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\_Kvalita\Formulare\VRZove\2025\update\"/>
    </mc:Choice>
  </mc:AlternateContent>
  <xr:revisionPtr revIDLastSave="0" documentId="13_ncr:1_{AE076172-DB72-4841-861C-2863E5F07D0C}" xr6:coauthVersionLast="47" xr6:coauthVersionMax="47" xr10:uidLastSave="{00000000-0000-0000-0000-000000000000}"/>
  <workbookProtection workbookAlgorithmName="SHA-512" workbookHashValue="Pl97yHUUZR23bL3Iy9mgVfZ1gTV0hzWG6wY3ulP8Uz45ZZqOxGYRSM2vdzax0odhInNDK4lt6DhUI6y8dbWUtw==" workbookSaltValue="vnSnqx81IO5iwOcb0VF2Ng==" workbookSpinCount="100000" lockStructure="1"/>
  <bookViews>
    <workbookView xWindow="-120" yWindow="-120" windowWidth="29040" windowHeight="16440" activeTab="1" xr2:uid="{00000000-000D-0000-FFFF-FFFF00000000}"/>
  </bookViews>
  <sheets>
    <sheet name="(1.1) Náklady" sheetId="5" r:id="rId1"/>
    <sheet name="Protokol" sheetId="7" r:id="rId2"/>
    <sheet name="Nastavenia" sheetId="4" state="veryHidden" r:id="rId3"/>
    <sheet name="Print" sheetId="6" state="veryHidden" r:id="rId4"/>
    <sheet name="Print2" sheetId="8" state="veryHidden" r:id="rId5"/>
  </sheets>
  <functionGroups builtInGroupCount="19"/>
  <definedNames>
    <definedName name="CIS_CENTER">Nastavenia!$O$2:$O$6</definedName>
    <definedName name="CIS_CENTER_WO">Nastavenia!$P$2:$P$5</definedName>
    <definedName name="CIS_STRUCT_ITEMS">Nastavenia!$Q$2:$Q$26</definedName>
    <definedName name="CIS_STRUCT_ITEMSnGROUPS">Nastavenia!$Q$2:$Q$30</definedName>
    <definedName name="CIS_WRKS_CATEGORIES">Nastavenia!$N$2:$N$4</definedName>
    <definedName name="DATA_COSTS_CATEGS">'(1.1) Náklady'!$E$7:$E$750</definedName>
    <definedName name="DATA_COSTS_TOTALS">'(1.1) Náklady'!$AK$7:$AK$750</definedName>
    <definedName name="DATA_COSTS_TYPES">'(1.1) Náklady'!$B$7:$B$750</definedName>
    <definedName name="Err_Message1">Nastavenia!$V$2</definedName>
    <definedName name="Err_Message2">Nastavenia!$V$3</definedName>
    <definedName name="M0">'(1.1) Náklady'!$K$7:$K$750</definedName>
    <definedName name="M1_">'(1.1) Náklady'!$L$7:$L$750</definedName>
    <definedName name="M10_">'(1.1) Náklady'!$U$7:$U$750</definedName>
    <definedName name="M11_">'(1.1) Náklady'!$V$7:$V$750</definedName>
    <definedName name="M12_">'(1.1) Náklady'!$W$7:$W$750</definedName>
    <definedName name="M13_">'(1.1) Náklady'!$X$7:$X$750</definedName>
    <definedName name="M14_">'(1.1) Náklady'!$Y$7:$Y$750</definedName>
    <definedName name="M15_">'(1.1) Náklady'!$Z$7:$Z$750</definedName>
    <definedName name="M16_">'(1.1) Náklady'!$AA$7:$AA$750</definedName>
    <definedName name="M17_">'(1.1) Náklady'!$AB$7:$AB$750</definedName>
    <definedName name="M18_">'(1.1) Náklady'!$AC$7:$AC$750</definedName>
    <definedName name="M19_">'(1.1) Náklady'!$AD$7:$AD$750</definedName>
    <definedName name="M2_">'(1.1) Náklady'!$M$7:$M$750</definedName>
    <definedName name="M20_">'(1.1) Náklady'!$AE$7:$AE$750</definedName>
    <definedName name="M21_">'(1.1) Náklady'!$AF$7:$AF$750</definedName>
    <definedName name="M22_">'(1.1) Náklady'!$AG$7:$AG$750</definedName>
    <definedName name="M23_">'(1.1) Náklady'!$AH$7:$AH$750</definedName>
    <definedName name="M24_">'(1.1) Náklady'!$AI$7:$AI$750</definedName>
    <definedName name="M25_">'(1.1) Náklady'!$AJ$7:$AJ$750</definedName>
    <definedName name="M3_">'(1.1) Náklady'!$N$7:$N$750</definedName>
    <definedName name="M4_">'(1.1) Náklady'!$O$7:$O$750</definedName>
    <definedName name="M5_">'(1.1) Náklady'!$P$7:$P$750</definedName>
    <definedName name="M6_">'(1.1) Náklady'!$Q$7:$Q$750</definedName>
    <definedName name="M7_">'(1.1) Náklady'!$R$7:$R$750</definedName>
    <definedName name="M8_">'(1.1) Náklady'!$S$7:$S$750</definedName>
    <definedName name="M9_">'(1.1) Náklady'!$T$7:$T$750</definedName>
    <definedName name="Par_Architect">Nastavenia!$B$22</definedName>
    <definedName name="Par_AvgCostHour">Nastavenia!$B$41</definedName>
    <definedName name="Par_AvgRevenuesHour">Nastavenia!$B$42</definedName>
    <definedName name="PAR_BONUSRATIO_PM">Nastavenia!$B$5</definedName>
    <definedName name="PAR_BONUSRATIO_TEAM">Nastavenia!$B$4</definedName>
    <definedName name="Par_Center">Nastavenia!$B$21</definedName>
    <definedName name="Par_CenterInput">'(1.1) Náklady'!$D$2</definedName>
    <definedName name="Par_ContractDate">Nastavenia!$B$19</definedName>
    <definedName name="Par_ContractManager">Nastavenia!$B$23</definedName>
    <definedName name="Par_Costs3P">Nastavenia!$B$33</definedName>
    <definedName name="Par_CostsLic">Nastavenia!$B$32</definedName>
    <definedName name="Par_CostsRisk">Nastavenia!$B$34</definedName>
    <definedName name="Par_CostsTotal">Nastavenia!$B$30</definedName>
    <definedName name="Par_CostsWork">Nastavenia!$B$31</definedName>
    <definedName name="Par_EndConsumer">Nastavenia!$B$17</definedName>
    <definedName name="Par_EndOfContract">'(1.1) Náklady'!$H$754</definedName>
    <definedName name="Par_EROwnRatio">Nastavenia!$B$43</definedName>
    <definedName name="Par_HoursTravel">Nastavenia!$B$40</definedName>
    <definedName name="Par_HoursWork">Nastavenia!$B$39</definedName>
    <definedName name="Par_Invoicing">'(1.1) Náklady'!$D$4</definedName>
    <definedName name="Par_LabelTravelTime">Nastavenia!$A$2</definedName>
    <definedName name="Par_MaxAmount">Nastavenia!$B$25</definedName>
    <definedName name="Par_Partner">Nastavenia!$B$18</definedName>
    <definedName name="Par_Profit">Nastavenia!$B$29</definedName>
    <definedName name="Par_Revs3P">Nastavenia!$B$38</definedName>
    <definedName name="Par_RevsLic">Nastavenia!$B$37</definedName>
    <definedName name="Par_RevsTotal">Nastavenia!$B$35</definedName>
    <definedName name="Par_RevsWork">Nastavenia!$B$36</definedName>
    <definedName name="Par_SalesPerson">Nastavenia!$B$20</definedName>
    <definedName name="PAR_SGA_percento">Nastavenia!$B$6</definedName>
    <definedName name="PAR_SGA_PERHOUR">Nastavenia!$B$7</definedName>
    <definedName name="PAR_WageCostRatio">Nastavenia!$B$6</definedName>
    <definedName name="PAR_WO_Contracted">'(1.1) Náklady'!$D$5</definedName>
    <definedName name="Par_WoAccountName">Nastavenia!$B$16</definedName>
    <definedName name="PAR_XLS_PHASE">Nastavenia!$B$9</definedName>
    <definedName name="PAR_XLS_REV">Nastavenia!$B$10</definedName>
    <definedName name="PAR_XLS_VERSION">Nastavenia!$B$8</definedName>
    <definedName name="_xlnm.Print_Area" localSheetId="1">Protokol!$B$2:$E$38</definedName>
    <definedName name="TRAN_CIS_ROLES">Nastavenia!$F$3:$J$92</definedName>
    <definedName name="TRAN_STRITEMS_LABEL">Nastavenia!$D$3:$J$92</definedName>
  </definedNames>
  <calcPr calcId="191029"/>
  <customWorkbookViews>
    <customWorkbookView name="FULL" guid="{1E1B3255-5DFF-4154-A295-6F5FCEC93D1C}" maximized="1" windowWidth="1280" windowHeight="799" activeSheetId="3"/>
  </customWorkbookViews>
</workbook>
</file>

<file path=xl/calcChain.xml><?xml version="1.0" encoding="utf-8"?>
<calcChain xmlns="http://schemas.openxmlformats.org/spreadsheetml/2006/main">
  <c r="D81" i="4" l="1"/>
  <c r="D65" i="4"/>
  <c r="D49" i="4"/>
  <c r="D33" i="4"/>
  <c r="D17" i="4"/>
  <c r="D82" i="4" l="1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83" i="4" l="1"/>
  <c r="L2" i="6" l="1"/>
  <c r="Q4" i="5" l="1"/>
  <c r="C10" i="7" l="1"/>
  <c r="B23" i="4" l="1"/>
  <c r="V2" i="8" s="1"/>
  <c r="B22" i="4"/>
  <c r="U2" i="8" s="1"/>
  <c r="J2" i="8" l="1"/>
  <c r="I2" i="8"/>
  <c r="G2" i="8"/>
  <c r="D2" i="8"/>
  <c r="A2" i="8" l="1"/>
  <c r="B4" i="7" l="1"/>
  <c r="G2" i="5"/>
  <c r="B35" i="4" l="1"/>
  <c r="D11" i="7" l="1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2" i="4"/>
  <c r="F750" i="5"/>
  <c r="F749" i="5"/>
  <c r="AW749" i="5" s="1"/>
  <c r="F748" i="5"/>
  <c r="AW748" i="5" s="1"/>
  <c r="F747" i="5"/>
  <c r="E747" i="5" s="1"/>
  <c r="F746" i="5"/>
  <c r="F745" i="5"/>
  <c r="F744" i="5"/>
  <c r="F743" i="5"/>
  <c r="AW743" i="5" s="1"/>
  <c r="F742" i="5"/>
  <c r="G742" i="5" s="1"/>
  <c r="F741" i="5"/>
  <c r="F740" i="5"/>
  <c r="AW740" i="5" s="1"/>
  <c r="F739" i="5"/>
  <c r="F738" i="5"/>
  <c r="G738" i="5" s="1"/>
  <c r="F737" i="5"/>
  <c r="AW737" i="5" s="1"/>
  <c r="F736" i="5"/>
  <c r="AW736" i="5" s="1"/>
  <c r="F735" i="5"/>
  <c r="E735" i="5" s="1"/>
  <c r="F734" i="5"/>
  <c r="G734" i="5" s="1"/>
  <c r="F733" i="5"/>
  <c r="AW733" i="5" s="1"/>
  <c r="F732" i="5"/>
  <c r="AW732" i="5" s="1"/>
  <c r="F731" i="5"/>
  <c r="AW731" i="5" s="1"/>
  <c r="F730" i="5"/>
  <c r="F729" i="5"/>
  <c r="AW729" i="5" s="1"/>
  <c r="F728" i="5"/>
  <c r="F727" i="5"/>
  <c r="G727" i="5" s="1"/>
  <c r="F726" i="5"/>
  <c r="AW726" i="5" s="1"/>
  <c r="F725" i="5"/>
  <c r="G725" i="5" s="1"/>
  <c r="F724" i="5"/>
  <c r="F723" i="5"/>
  <c r="AW723" i="5" s="1"/>
  <c r="F722" i="5"/>
  <c r="F721" i="5"/>
  <c r="F720" i="5"/>
  <c r="F719" i="5"/>
  <c r="AW719" i="5" s="1"/>
  <c r="F718" i="5"/>
  <c r="AW718" i="5" s="1"/>
  <c r="F717" i="5"/>
  <c r="AW717" i="5" s="1"/>
  <c r="F716" i="5"/>
  <c r="AW716" i="5" s="1"/>
  <c r="F715" i="5"/>
  <c r="AW715" i="5" s="1"/>
  <c r="F714" i="5"/>
  <c r="AW714" i="5" s="1"/>
  <c r="F713" i="5"/>
  <c r="G713" i="5" s="1"/>
  <c r="F712" i="5"/>
  <c r="E712" i="5" s="1"/>
  <c r="F711" i="5"/>
  <c r="AW711" i="5" s="1"/>
  <c r="F710" i="5"/>
  <c r="AW710" i="5" s="1"/>
  <c r="F709" i="5"/>
  <c r="AW709" i="5" s="1"/>
  <c r="F708" i="5"/>
  <c r="AW708" i="5" s="1"/>
  <c r="F707" i="5"/>
  <c r="AW707" i="5" s="1"/>
  <c r="F706" i="5"/>
  <c r="F705" i="5"/>
  <c r="F704" i="5"/>
  <c r="E704" i="5" s="1"/>
  <c r="F703" i="5"/>
  <c r="E703" i="5" s="1"/>
  <c r="F702" i="5"/>
  <c r="F701" i="5"/>
  <c r="F700" i="5"/>
  <c r="AW700" i="5" s="1"/>
  <c r="F699" i="5"/>
  <c r="AW699" i="5" s="1"/>
  <c r="F698" i="5"/>
  <c r="F697" i="5"/>
  <c r="F696" i="5"/>
  <c r="AW696" i="5" s="1"/>
  <c r="F695" i="5"/>
  <c r="F694" i="5"/>
  <c r="AW694" i="5" s="1"/>
  <c r="F693" i="5"/>
  <c r="AW693" i="5" s="1"/>
  <c r="F692" i="5"/>
  <c r="AW692" i="5" s="1"/>
  <c r="F691" i="5"/>
  <c r="E691" i="5" s="1"/>
  <c r="F690" i="5"/>
  <c r="F689" i="5"/>
  <c r="AW689" i="5" s="1"/>
  <c r="F688" i="5"/>
  <c r="E688" i="5" s="1"/>
  <c r="F687" i="5"/>
  <c r="AW687" i="5" s="1"/>
  <c r="F686" i="5"/>
  <c r="AW686" i="5" s="1"/>
  <c r="F685" i="5"/>
  <c r="AW685" i="5" s="1"/>
  <c r="F684" i="5"/>
  <c r="AW684" i="5" s="1"/>
  <c r="F683" i="5"/>
  <c r="AW683" i="5" s="1"/>
  <c r="F682" i="5"/>
  <c r="F681" i="5"/>
  <c r="AW681" i="5" s="1"/>
  <c r="F680" i="5"/>
  <c r="E680" i="5" s="1"/>
  <c r="F679" i="5"/>
  <c r="AW679" i="5" s="1"/>
  <c r="F678" i="5"/>
  <c r="AW678" i="5" s="1"/>
  <c r="F677" i="5"/>
  <c r="AW677" i="5" s="1"/>
  <c r="F676" i="5"/>
  <c r="AW676" i="5" s="1"/>
  <c r="F675" i="5"/>
  <c r="AW675" i="5" s="1"/>
  <c r="F674" i="5"/>
  <c r="F673" i="5"/>
  <c r="F672" i="5"/>
  <c r="E672" i="5" s="1"/>
  <c r="F671" i="5"/>
  <c r="E671" i="5" s="1"/>
  <c r="F670" i="5"/>
  <c r="G670" i="5" s="1"/>
  <c r="F669" i="5"/>
  <c r="F668" i="5"/>
  <c r="AW668" i="5" s="1"/>
  <c r="F667" i="5"/>
  <c r="AW667" i="5" s="1"/>
  <c r="F666" i="5"/>
  <c r="F665" i="5"/>
  <c r="F664" i="5"/>
  <c r="AW664" i="5" s="1"/>
  <c r="F663" i="5"/>
  <c r="F662" i="5"/>
  <c r="AW662" i="5" s="1"/>
  <c r="F661" i="5"/>
  <c r="AW661" i="5" s="1"/>
  <c r="F660" i="5"/>
  <c r="AW660" i="5" s="1"/>
  <c r="F659" i="5"/>
  <c r="E659" i="5" s="1"/>
  <c r="F658" i="5"/>
  <c r="F657" i="5"/>
  <c r="AW657" i="5" s="1"/>
  <c r="F656" i="5"/>
  <c r="F655" i="5"/>
  <c r="AW655" i="5" s="1"/>
  <c r="F654" i="5"/>
  <c r="AW654" i="5" s="1"/>
  <c r="F653" i="5"/>
  <c r="AW653" i="5" s="1"/>
  <c r="F652" i="5"/>
  <c r="AW652" i="5" s="1"/>
  <c r="F651" i="5"/>
  <c r="AW651" i="5" s="1"/>
  <c r="F650" i="5"/>
  <c r="F649" i="5"/>
  <c r="F648" i="5"/>
  <c r="E648" i="5" s="1"/>
  <c r="F647" i="5"/>
  <c r="F646" i="5"/>
  <c r="AW646" i="5" s="1"/>
  <c r="F645" i="5"/>
  <c r="E645" i="5" s="1"/>
  <c r="F644" i="5"/>
  <c r="AW644" i="5" s="1"/>
  <c r="F643" i="5"/>
  <c r="E643" i="5"/>
  <c r="F642" i="5"/>
  <c r="G642" i="5" s="1"/>
  <c r="F641" i="5"/>
  <c r="AW641" i="5" s="1"/>
  <c r="F640" i="5"/>
  <c r="AW640" i="5" s="1"/>
  <c r="F639" i="5"/>
  <c r="F638" i="5"/>
  <c r="F637" i="5"/>
  <c r="F636" i="5"/>
  <c r="AW636" i="5" s="1"/>
  <c r="F635" i="5"/>
  <c r="F634" i="5"/>
  <c r="AW634" i="5" s="1"/>
  <c r="F633" i="5"/>
  <c r="AW633" i="5" s="1"/>
  <c r="F632" i="5"/>
  <c r="E632" i="5" s="1"/>
  <c r="F631" i="5"/>
  <c r="F630" i="5"/>
  <c r="AW630" i="5" s="1"/>
  <c r="F629" i="5"/>
  <c r="F628" i="5"/>
  <c r="AW628" i="5" s="1"/>
  <c r="F627" i="5"/>
  <c r="F626" i="5"/>
  <c r="AW626" i="5" s="1"/>
  <c r="F625" i="5"/>
  <c r="G625" i="5" s="1"/>
  <c r="F624" i="5"/>
  <c r="F623" i="5"/>
  <c r="AW623" i="5" s="1"/>
  <c r="F622" i="5"/>
  <c r="F621" i="5"/>
  <c r="E621" i="5" s="1"/>
  <c r="F620" i="5"/>
  <c r="AW620" i="5" s="1"/>
  <c r="F619" i="5"/>
  <c r="E619" i="5" s="1"/>
  <c r="F618" i="5"/>
  <c r="G618" i="5" s="1"/>
  <c r="F617" i="5"/>
  <c r="AW617" i="5" s="1"/>
  <c r="F616" i="5"/>
  <c r="E616" i="5" s="1"/>
  <c r="F615" i="5"/>
  <c r="E615" i="5" s="1"/>
  <c r="F614" i="5"/>
  <c r="AW614" i="5" s="1"/>
  <c r="F613" i="5"/>
  <c r="E613" i="5" s="1"/>
  <c r="F612" i="5"/>
  <c r="AW612" i="5" s="1"/>
  <c r="F611" i="5"/>
  <c r="E611" i="5" s="1"/>
  <c r="F610" i="5"/>
  <c r="F609" i="5"/>
  <c r="AW609" i="5" s="1"/>
  <c r="F608" i="5"/>
  <c r="AW608" i="5" s="1"/>
  <c r="F607" i="5"/>
  <c r="F606" i="5"/>
  <c r="F605" i="5"/>
  <c r="G605" i="5" s="1"/>
  <c r="F604" i="5"/>
  <c r="AW604" i="5" s="1"/>
  <c r="F603" i="5"/>
  <c r="F602" i="5"/>
  <c r="AW602" i="5" s="1"/>
  <c r="F601" i="5"/>
  <c r="F600" i="5"/>
  <c r="E600" i="5" s="1"/>
  <c r="F599" i="5"/>
  <c r="F598" i="5"/>
  <c r="AW598" i="5" s="1"/>
  <c r="F597" i="5"/>
  <c r="G597" i="5" s="1"/>
  <c r="F596" i="5"/>
  <c r="AW596" i="5" s="1"/>
  <c r="F595" i="5"/>
  <c r="F594" i="5"/>
  <c r="AW594" i="5" s="1"/>
  <c r="F593" i="5"/>
  <c r="G593" i="5" s="1"/>
  <c r="F592" i="5"/>
  <c r="E592" i="5" s="1"/>
  <c r="F591" i="5"/>
  <c r="AW591" i="5" s="1"/>
  <c r="F590" i="5"/>
  <c r="G590" i="5" s="1"/>
  <c r="F589" i="5"/>
  <c r="F588" i="5"/>
  <c r="AW588" i="5" s="1"/>
  <c r="F587" i="5"/>
  <c r="E587" i="5" s="1"/>
  <c r="F586" i="5"/>
  <c r="F585" i="5"/>
  <c r="AW585" i="5" s="1"/>
  <c r="F584" i="5"/>
  <c r="AW584" i="5" s="1"/>
  <c r="F583" i="5"/>
  <c r="AW583" i="5" s="1"/>
  <c r="F582" i="5"/>
  <c r="AW582" i="5" s="1"/>
  <c r="F581" i="5"/>
  <c r="AW581" i="5" s="1"/>
  <c r="F580" i="5"/>
  <c r="F579" i="5"/>
  <c r="AW579" i="5" s="1"/>
  <c r="F578" i="5"/>
  <c r="E578" i="5" s="1"/>
  <c r="F577" i="5"/>
  <c r="AW577" i="5" s="1"/>
  <c r="F576" i="5"/>
  <c r="AW576" i="5" s="1"/>
  <c r="F575" i="5"/>
  <c r="AW575" i="5" s="1"/>
  <c r="F574" i="5"/>
  <c r="AW574" i="5" s="1"/>
  <c r="F573" i="5"/>
  <c r="E573" i="5" s="1"/>
  <c r="F572" i="5"/>
  <c r="F571" i="5"/>
  <c r="F570" i="5"/>
  <c r="F569" i="5"/>
  <c r="E569" i="5" s="1"/>
  <c r="F568" i="5"/>
  <c r="G568" i="5" s="1"/>
  <c r="F567" i="5"/>
  <c r="AW567" i="5" s="1"/>
  <c r="F566" i="5"/>
  <c r="AW566" i="5" s="1"/>
  <c r="F565" i="5"/>
  <c r="E565" i="5" s="1"/>
  <c r="F564" i="5"/>
  <c r="F563" i="5"/>
  <c r="G563" i="5" s="1"/>
  <c r="F562" i="5"/>
  <c r="AW562" i="5" s="1"/>
  <c r="F561" i="5"/>
  <c r="AW561" i="5" s="1"/>
  <c r="F560" i="5"/>
  <c r="F559" i="5"/>
  <c r="AW559" i="5" s="1"/>
  <c r="F558" i="5"/>
  <c r="AW558" i="5" s="1"/>
  <c r="F557" i="5"/>
  <c r="E557" i="5" s="1"/>
  <c r="F556" i="5"/>
  <c r="F555" i="5"/>
  <c r="AW555" i="5" s="1"/>
  <c r="F554" i="5"/>
  <c r="F553" i="5"/>
  <c r="AW553" i="5" s="1"/>
  <c r="F552" i="5"/>
  <c r="AW552" i="5" s="1"/>
  <c r="F551" i="5"/>
  <c r="F550" i="5"/>
  <c r="F549" i="5"/>
  <c r="E549" i="5" s="1"/>
  <c r="F548" i="5"/>
  <c r="F547" i="5"/>
  <c r="AW547" i="5" s="1"/>
  <c r="F546" i="5"/>
  <c r="AW546" i="5" s="1"/>
  <c r="F545" i="5"/>
  <c r="F544" i="5"/>
  <c r="F543" i="5"/>
  <c r="AW543" i="5" s="1"/>
  <c r="F542" i="5"/>
  <c r="AW542" i="5" s="1"/>
  <c r="F541" i="5"/>
  <c r="E541" i="5" s="1"/>
  <c r="F540" i="5"/>
  <c r="F539" i="5"/>
  <c r="AW539" i="5" s="1"/>
  <c r="F538" i="5"/>
  <c r="F537" i="5"/>
  <c r="E537" i="5" s="1"/>
  <c r="F536" i="5"/>
  <c r="F535" i="5"/>
  <c r="AW535" i="5" s="1"/>
  <c r="F534" i="5"/>
  <c r="AW534" i="5" s="1"/>
  <c r="F533" i="5"/>
  <c r="E533" i="5" s="1"/>
  <c r="F532" i="5"/>
  <c r="F531" i="5"/>
  <c r="G531" i="5" s="1"/>
  <c r="F530" i="5"/>
  <c r="F529" i="5"/>
  <c r="G529" i="5" s="1"/>
  <c r="F528" i="5"/>
  <c r="AW528" i="5" s="1"/>
  <c r="F527" i="5"/>
  <c r="AW527" i="5" s="1"/>
  <c r="F526" i="5"/>
  <c r="AW526" i="5" s="1"/>
  <c r="F525" i="5"/>
  <c r="E525" i="5" s="1"/>
  <c r="F524" i="5"/>
  <c r="F523" i="5"/>
  <c r="G523" i="5" s="1"/>
  <c r="F522" i="5"/>
  <c r="F521" i="5"/>
  <c r="AW521" i="5" s="1"/>
  <c r="F520" i="5"/>
  <c r="F519" i="5"/>
  <c r="F518" i="5"/>
  <c r="F517" i="5"/>
  <c r="F516" i="5"/>
  <c r="AW516" i="5" s="1"/>
  <c r="F515" i="5"/>
  <c r="F514" i="5"/>
  <c r="AW514" i="5" s="1"/>
  <c r="F513" i="5"/>
  <c r="F512" i="5"/>
  <c r="AW512" i="5" s="1"/>
  <c r="F511" i="5"/>
  <c r="AW511" i="5" s="1"/>
  <c r="F510" i="5"/>
  <c r="AW510" i="5" s="1"/>
  <c r="F509" i="5"/>
  <c r="E509" i="5" s="1"/>
  <c r="F508" i="5"/>
  <c r="F507" i="5"/>
  <c r="F506" i="5"/>
  <c r="F505" i="5"/>
  <c r="E505" i="5" s="1"/>
  <c r="F504" i="5"/>
  <c r="G504" i="5" s="1"/>
  <c r="F503" i="5"/>
  <c r="AW503" i="5" s="1"/>
  <c r="F502" i="5"/>
  <c r="AW502" i="5" s="1"/>
  <c r="F501" i="5"/>
  <c r="F500" i="5"/>
  <c r="F499" i="5"/>
  <c r="F498" i="5"/>
  <c r="AW498" i="5" s="1"/>
  <c r="F497" i="5"/>
  <c r="AW497" i="5" s="1"/>
  <c r="F496" i="5"/>
  <c r="F495" i="5"/>
  <c r="AW495" i="5" s="1"/>
  <c r="F494" i="5"/>
  <c r="AW494" i="5" s="1"/>
  <c r="F493" i="5"/>
  <c r="F492" i="5"/>
  <c r="G492" i="5" s="1"/>
  <c r="F491" i="5"/>
  <c r="AW491" i="5" s="1"/>
  <c r="F490" i="5"/>
  <c r="F489" i="5"/>
  <c r="AW489" i="5" s="1"/>
  <c r="F488" i="5"/>
  <c r="F487" i="5"/>
  <c r="F486" i="5"/>
  <c r="AW486" i="5" s="1"/>
  <c r="F485" i="5"/>
  <c r="E485" i="5" s="1"/>
  <c r="F484" i="5"/>
  <c r="F483" i="5"/>
  <c r="AW483" i="5" s="1"/>
  <c r="F482" i="5"/>
  <c r="AW482" i="5" s="1"/>
  <c r="F481" i="5"/>
  <c r="AW481" i="5" s="1"/>
  <c r="F480" i="5"/>
  <c r="F479" i="5"/>
  <c r="AW479" i="5" s="1"/>
  <c r="F478" i="5"/>
  <c r="AW478" i="5" s="1"/>
  <c r="F477" i="5"/>
  <c r="E477" i="5"/>
  <c r="F476" i="5"/>
  <c r="F475" i="5"/>
  <c r="AW475" i="5" s="1"/>
  <c r="F474" i="5"/>
  <c r="F473" i="5"/>
  <c r="E473" i="5" s="1"/>
  <c r="F472" i="5"/>
  <c r="G472" i="5" s="1"/>
  <c r="F471" i="5"/>
  <c r="AW471" i="5" s="1"/>
  <c r="F470" i="5"/>
  <c r="AW470" i="5" s="1"/>
  <c r="F469" i="5"/>
  <c r="F468" i="5"/>
  <c r="AW468" i="5" s="1"/>
  <c r="F467" i="5"/>
  <c r="F466" i="5"/>
  <c r="E466" i="5" s="1"/>
  <c r="F465" i="5"/>
  <c r="F464" i="5"/>
  <c r="AW464" i="5" s="1"/>
  <c r="F463" i="5"/>
  <c r="AW463" i="5" s="1"/>
  <c r="F462" i="5"/>
  <c r="AW462" i="5" s="1"/>
  <c r="F461" i="5"/>
  <c r="E461" i="5" s="1"/>
  <c r="F460" i="5"/>
  <c r="AW460" i="5" s="1"/>
  <c r="F459" i="5"/>
  <c r="AW459" i="5" s="1"/>
  <c r="F458" i="5"/>
  <c r="F457" i="5"/>
  <c r="AW457" i="5" s="1"/>
  <c r="F456" i="5"/>
  <c r="AW456" i="5" s="1"/>
  <c r="F455" i="5"/>
  <c r="G455" i="5" s="1"/>
  <c r="F454" i="5"/>
  <c r="E454" i="5"/>
  <c r="F453" i="5"/>
  <c r="G453" i="5" s="1"/>
  <c r="F452" i="5"/>
  <c r="F451" i="5"/>
  <c r="F450" i="5"/>
  <c r="F449" i="5"/>
  <c r="F448" i="5"/>
  <c r="AW448" i="5" s="1"/>
  <c r="F447" i="5"/>
  <c r="AW447" i="5" s="1"/>
  <c r="F446" i="5"/>
  <c r="AW446" i="5" s="1"/>
  <c r="F445" i="5"/>
  <c r="AW445" i="5" s="1"/>
  <c r="F444" i="5"/>
  <c r="G444" i="5" s="1"/>
  <c r="F443" i="5"/>
  <c r="F442" i="5"/>
  <c r="F441" i="5"/>
  <c r="AW441" i="5" s="1"/>
  <c r="F440" i="5"/>
  <c r="F439" i="5"/>
  <c r="AW439" i="5" s="1"/>
  <c r="F438" i="5"/>
  <c r="AW438" i="5" s="1"/>
  <c r="F437" i="5"/>
  <c r="E437" i="5" s="1"/>
  <c r="F436" i="5"/>
  <c r="G436" i="5" s="1"/>
  <c r="F435" i="5"/>
  <c r="F434" i="5"/>
  <c r="AW434" i="5" s="1"/>
  <c r="F433" i="5"/>
  <c r="AW433" i="5" s="1"/>
  <c r="F432" i="5"/>
  <c r="F431" i="5"/>
  <c r="AW431" i="5" s="1"/>
  <c r="F430" i="5"/>
  <c r="AW430" i="5" s="1"/>
  <c r="F429" i="5"/>
  <c r="AW429" i="5" s="1"/>
  <c r="F428" i="5"/>
  <c r="G428" i="5" s="1"/>
  <c r="F427" i="5"/>
  <c r="AW427" i="5" s="1"/>
  <c r="F426" i="5"/>
  <c r="AW426" i="5" s="1"/>
  <c r="F425" i="5"/>
  <c r="G425" i="5" s="1"/>
  <c r="F424" i="5"/>
  <c r="AW424" i="5" s="1"/>
  <c r="F423" i="5"/>
  <c r="F422" i="5"/>
  <c r="E422" i="5" s="1"/>
  <c r="F421" i="5"/>
  <c r="AW421" i="5" s="1"/>
  <c r="F420" i="5"/>
  <c r="G420" i="5" s="1"/>
  <c r="F419" i="5"/>
  <c r="AW419" i="5" s="1"/>
  <c r="F418" i="5"/>
  <c r="AW418" i="5" s="1"/>
  <c r="F417" i="5"/>
  <c r="AW417" i="5" s="1"/>
  <c r="F416" i="5"/>
  <c r="G416" i="5" s="1"/>
  <c r="F415" i="5"/>
  <c r="AW415" i="5" s="1"/>
  <c r="F414" i="5"/>
  <c r="AW414" i="5" s="1"/>
  <c r="F413" i="5"/>
  <c r="AW413" i="5" s="1"/>
  <c r="F412" i="5"/>
  <c r="G412" i="5" s="1"/>
  <c r="F411" i="5"/>
  <c r="F410" i="5"/>
  <c r="F409" i="5"/>
  <c r="G409" i="5" s="1"/>
  <c r="F408" i="5"/>
  <c r="AW408" i="5" s="1"/>
  <c r="F407" i="5"/>
  <c r="F406" i="5"/>
  <c r="E406" i="5" s="1"/>
  <c r="F405" i="5"/>
  <c r="AW405" i="5" s="1"/>
  <c r="F404" i="5"/>
  <c r="G404" i="5" s="1"/>
  <c r="F403" i="5"/>
  <c r="AW403" i="5" s="1"/>
  <c r="F402" i="5"/>
  <c r="AW402" i="5" s="1"/>
  <c r="F401" i="5"/>
  <c r="AW401" i="5" s="1"/>
  <c r="F400" i="5"/>
  <c r="F399" i="5"/>
  <c r="AW399" i="5" s="1"/>
  <c r="F398" i="5"/>
  <c r="AW398" i="5" s="1"/>
  <c r="F397" i="5"/>
  <c r="AW397" i="5" s="1"/>
  <c r="F396" i="5"/>
  <c r="F395" i="5"/>
  <c r="AW395" i="5" s="1"/>
  <c r="F394" i="5"/>
  <c r="F393" i="5"/>
  <c r="AW393" i="5" s="1"/>
  <c r="F392" i="5"/>
  <c r="G392" i="5" s="1"/>
  <c r="F391" i="5"/>
  <c r="AW391" i="5" s="1"/>
  <c r="F390" i="5"/>
  <c r="AW390" i="5" s="1"/>
  <c r="F389" i="5"/>
  <c r="AW389" i="5" s="1"/>
  <c r="F388" i="5"/>
  <c r="G388" i="5" s="1"/>
  <c r="F387" i="5"/>
  <c r="AW387" i="5" s="1"/>
  <c r="F386" i="5"/>
  <c r="F385" i="5"/>
  <c r="AW385" i="5" s="1"/>
  <c r="F384" i="5"/>
  <c r="AW384" i="5" s="1"/>
  <c r="F383" i="5"/>
  <c r="AW383" i="5" s="1"/>
  <c r="F382" i="5"/>
  <c r="F381" i="5"/>
  <c r="F380" i="5"/>
  <c r="AW380" i="5" s="1"/>
  <c r="F379" i="5"/>
  <c r="AW379" i="5" s="1"/>
  <c r="F378" i="5"/>
  <c r="F377" i="5"/>
  <c r="AW377" i="5" s="1"/>
  <c r="F376" i="5"/>
  <c r="AW376" i="5" s="1"/>
  <c r="F375" i="5"/>
  <c r="AW375" i="5" s="1"/>
  <c r="F374" i="5"/>
  <c r="F373" i="5"/>
  <c r="AW373" i="5" s="1"/>
  <c r="F372" i="5"/>
  <c r="AW372" i="5" s="1"/>
  <c r="F371" i="5"/>
  <c r="F370" i="5"/>
  <c r="F369" i="5"/>
  <c r="F368" i="5"/>
  <c r="AW368" i="5" s="1"/>
  <c r="F367" i="5"/>
  <c r="AW367" i="5" s="1"/>
  <c r="F366" i="5"/>
  <c r="F365" i="5"/>
  <c r="F364" i="5"/>
  <c r="AW364" i="5" s="1"/>
  <c r="F363" i="5"/>
  <c r="F362" i="5"/>
  <c r="F361" i="5"/>
  <c r="AW361" i="5" s="1"/>
  <c r="F360" i="5"/>
  <c r="AW360" i="5" s="1"/>
  <c r="F359" i="5"/>
  <c r="AW359" i="5" s="1"/>
  <c r="F358" i="5"/>
  <c r="F357" i="5"/>
  <c r="AW357" i="5" s="1"/>
  <c r="F356" i="5"/>
  <c r="AW356" i="5" s="1"/>
  <c r="F355" i="5"/>
  <c r="F354" i="5"/>
  <c r="F353" i="5"/>
  <c r="AW353" i="5" s="1"/>
  <c r="F352" i="5"/>
  <c r="AW352" i="5" s="1"/>
  <c r="F351" i="5"/>
  <c r="AW351" i="5" s="1"/>
  <c r="F350" i="5"/>
  <c r="AW350" i="5" s="1"/>
  <c r="F349" i="5"/>
  <c r="F348" i="5"/>
  <c r="AW348" i="5" s="1"/>
  <c r="F347" i="5"/>
  <c r="F346" i="5"/>
  <c r="F345" i="5"/>
  <c r="AW345" i="5" s="1"/>
  <c r="F344" i="5"/>
  <c r="F343" i="5"/>
  <c r="E343" i="5" s="1"/>
  <c r="F342" i="5"/>
  <c r="AW342" i="5" s="1"/>
  <c r="F341" i="5"/>
  <c r="AW341" i="5" s="1"/>
  <c r="F340" i="5"/>
  <c r="AW340" i="5" s="1"/>
  <c r="F339" i="5"/>
  <c r="F338" i="5"/>
  <c r="AW338" i="5" s="1"/>
  <c r="F337" i="5"/>
  <c r="G337" i="5" s="1"/>
  <c r="F336" i="5"/>
  <c r="AW336" i="5" s="1"/>
  <c r="F335" i="5"/>
  <c r="F334" i="5"/>
  <c r="AW334" i="5" s="1"/>
  <c r="F333" i="5"/>
  <c r="F332" i="5"/>
  <c r="AW332" i="5" s="1"/>
  <c r="F331" i="5"/>
  <c r="F330" i="5"/>
  <c r="F329" i="5"/>
  <c r="AW329" i="5" s="1"/>
  <c r="F328" i="5"/>
  <c r="AW328" i="5" s="1"/>
  <c r="F327" i="5"/>
  <c r="AW327" i="5" s="1"/>
  <c r="F326" i="5"/>
  <c r="AW326" i="5" s="1"/>
  <c r="F325" i="5"/>
  <c r="F324" i="5"/>
  <c r="AW324" i="5" s="1"/>
  <c r="F323" i="5"/>
  <c r="AW323" i="5" s="1"/>
  <c r="F322" i="5"/>
  <c r="F321" i="5"/>
  <c r="E321" i="5" s="1"/>
  <c r="F320" i="5"/>
  <c r="F319" i="5"/>
  <c r="E319" i="5" s="1"/>
  <c r="F318" i="5"/>
  <c r="AW318" i="5" s="1"/>
  <c r="F317" i="5"/>
  <c r="AW317" i="5" s="1"/>
  <c r="F316" i="5"/>
  <c r="AW316" i="5" s="1"/>
  <c r="F315" i="5"/>
  <c r="F314" i="5"/>
  <c r="AW314" i="5" s="1"/>
  <c r="F313" i="5"/>
  <c r="AW313" i="5" s="1"/>
  <c r="F312" i="5"/>
  <c r="F311" i="5"/>
  <c r="E311" i="5" s="1"/>
  <c r="F310" i="5"/>
  <c r="AW310" i="5" s="1"/>
  <c r="F309" i="5"/>
  <c r="AW309" i="5" s="1"/>
  <c r="F308" i="5"/>
  <c r="AW308" i="5" s="1"/>
  <c r="F307" i="5"/>
  <c r="F306" i="5"/>
  <c r="AW306" i="5" s="1"/>
  <c r="F305" i="5"/>
  <c r="AW305" i="5" s="1"/>
  <c r="F304" i="5"/>
  <c r="AW304" i="5" s="1"/>
  <c r="F303" i="5"/>
  <c r="AW303" i="5" s="1"/>
  <c r="F302" i="5"/>
  <c r="AW302" i="5" s="1"/>
  <c r="F301" i="5"/>
  <c r="F300" i="5"/>
  <c r="AW300" i="5" s="1"/>
  <c r="F299" i="5"/>
  <c r="F298" i="5"/>
  <c r="F297" i="5"/>
  <c r="E297" i="5" s="1"/>
  <c r="F296" i="5"/>
  <c r="F295" i="5"/>
  <c r="AW295" i="5" s="1"/>
  <c r="F294" i="5"/>
  <c r="AW294" i="5" s="1"/>
  <c r="F293" i="5"/>
  <c r="E293" i="5" s="1"/>
  <c r="F292" i="5"/>
  <c r="AW292" i="5" s="1"/>
  <c r="F291" i="5"/>
  <c r="F290" i="5"/>
  <c r="AW290" i="5" s="1"/>
  <c r="F289" i="5"/>
  <c r="AW289" i="5" s="1"/>
  <c r="F288" i="5"/>
  <c r="G288" i="5" s="1"/>
  <c r="F287" i="5"/>
  <c r="E287" i="5" s="1"/>
  <c r="F286" i="5"/>
  <c r="AW286" i="5" s="1"/>
  <c r="F285" i="5"/>
  <c r="AW285" i="5" s="1"/>
  <c r="F284" i="5"/>
  <c r="AW284" i="5" s="1"/>
  <c r="F283" i="5"/>
  <c r="F282" i="5"/>
  <c r="AW282" i="5" s="1"/>
  <c r="F281" i="5"/>
  <c r="F280" i="5"/>
  <c r="F279" i="5"/>
  <c r="F278" i="5"/>
  <c r="AW278" i="5" s="1"/>
  <c r="F277" i="5"/>
  <c r="G277" i="5" s="1"/>
  <c r="F276" i="5"/>
  <c r="AW276" i="5" s="1"/>
  <c r="F275" i="5"/>
  <c r="AW275" i="5" s="1"/>
  <c r="F274" i="5"/>
  <c r="AW274" i="5" s="1"/>
  <c r="F273" i="5"/>
  <c r="F272" i="5"/>
  <c r="G272" i="5" s="1"/>
  <c r="F271" i="5"/>
  <c r="AW271" i="5" s="1"/>
  <c r="F270" i="5"/>
  <c r="AW270" i="5" s="1"/>
  <c r="F269" i="5"/>
  <c r="E269" i="5" s="1"/>
  <c r="F268" i="5"/>
  <c r="AW268" i="5" s="1"/>
  <c r="F267" i="5"/>
  <c r="AW267" i="5" s="1"/>
  <c r="F266" i="5"/>
  <c r="AW266" i="5" s="1"/>
  <c r="F265" i="5"/>
  <c r="AW265" i="5" s="1"/>
  <c r="F264" i="5"/>
  <c r="G264" i="5" s="1"/>
  <c r="F263" i="5"/>
  <c r="E263" i="5" s="1"/>
  <c r="F262" i="5"/>
  <c r="AW262" i="5" s="1"/>
  <c r="F261" i="5"/>
  <c r="AW261" i="5" s="1"/>
  <c r="F260" i="5"/>
  <c r="AW260" i="5" s="1"/>
  <c r="F259" i="5"/>
  <c r="G259" i="5" s="1"/>
  <c r="F258" i="5"/>
  <c r="AW258" i="5" s="1"/>
  <c r="F257" i="5"/>
  <c r="G257" i="5" s="1"/>
  <c r="F256" i="5"/>
  <c r="AW256" i="5" s="1"/>
  <c r="F255" i="5"/>
  <c r="F254" i="5"/>
  <c r="AW254" i="5" s="1"/>
  <c r="F253" i="5"/>
  <c r="G253" i="5" s="1"/>
  <c r="F252" i="5"/>
  <c r="AW252" i="5" s="1"/>
  <c r="F251" i="5"/>
  <c r="G251" i="5" s="1"/>
  <c r="F250" i="5"/>
  <c r="AW250" i="5" s="1"/>
  <c r="F249" i="5"/>
  <c r="F248" i="5"/>
  <c r="F247" i="5"/>
  <c r="G247" i="5" s="1"/>
  <c r="F246" i="5"/>
  <c r="AW246" i="5" s="1"/>
  <c r="F245" i="5"/>
  <c r="AW245" i="5" s="1"/>
  <c r="F244" i="5"/>
  <c r="AW244" i="5" s="1"/>
  <c r="F243" i="5"/>
  <c r="F242" i="5"/>
  <c r="F241" i="5"/>
  <c r="F240" i="5"/>
  <c r="AW240" i="5" s="1"/>
  <c r="F239" i="5"/>
  <c r="AW239" i="5" s="1"/>
  <c r="F238" i="5"/>
  <c r="AW238" i="5" s="1"/>
  <c r="F237" i="5"/>
  <c r="E237" i="5" s="1"/>
  <c r="F236" i="5"/>
  <c r="AW236" i="5" s="1"/>
  <c r="F235" i="5"/>
  <c r="AW235" i="5" s="1"/>
  <c r="F234" i="5"/>
  <c r="AW234" i="5" s="1"/>
  <c r="F233" i="5"/>
  <c r="F232" i="5"/>
  <c r="E232" i="5" s="1"/>
  <c r="F231" i="5"/>
  <c r="G231" i="5" s="1"/>
  <c r="F230" i="5"/>
  <c r="AW230" i="5" s="1"/>
  <c r="F229" i="5"/>
  <c r="AW229" i="5" s="1"/>
  <c r="F228" i="5"/>
  <c r="AW228" i="5" s="1"/>
  <c r="F227" i="5"/>
  <c r="F226" i="5"/>
  <c r="F225" i="5"/>
  <c r="AW225" i="5" s="1"/>
  <c r="F224" i="5"/>
  <c r="AW224" i="5" s="1"/>
  <c r="F223" i="5"/>
  <c r="AW223" i="5" s="1"/>
  <c r="F222" i="5"/>
  <c r="AW222" i="5" s="1"/>
  <c r="F221" i="5"/>
  <c r="E221" i="5" s="1"/>
  <c r="F220" i="5"/>
  <c r="AW220" i="5" s="1"/>
  <c r="F219" i="5"/>
  <c r="AW219" i="5" s="1"/>
  <c r="F218" i="5"/>
  <c r="AW218" i="5" s="1"/>
  <c r="F217" i="5"/>
  <c r="F216" i="5"/>
  <c r="E216" i="5" s="1"/>
  <c r="F215" i="5"/>
  <c r="F214" i="5"/>
  <c r="F213" i="5"/>
  <c r="AW213" i="5" s="1"/>
  <c r="F212" i="5"/>
  <c r="AW212" i="5" s="1"/>
  <c r="F211" i="5"/>
  <c r="F210" i="5"/>
  <c r="F209" i="5"/>
  <c r="AW209" i="5" s="1"/>
  <c r="F208" i="5"/>
  <c r="AW208" i="5" s="1"/>
  <c r="F207" i="5"/>
  <c r="AW207" i="5" s="1"/>
  <c r="F206" i="5"/>
  <c r="F205" i="5"/>
  <c r="E205" i="5" s="1"/>
  <c r="F204" i="5"/>
  <c r="AW204" i="5" s="1"/>
  <c r="F203" i="5"/>
  <c r="AW203" i="5" s="1"/>
  <c r="F202" i="5"/>
  <c r="AW202" i="5" s="1"/>
  <c r="F201" i="5"/>
  <c r="AW201" i="5" s="1"/>
  <c r="F200" i="5"/>
  <c r="E200" i="5" s="1"/>
  <c r="F199" i="5"/>
  <c r="F198" i="5"/>
  <c r="F197" i="5"/>
  <c r="AW197" i="5" s="1"/>
  <c r="F196" i="5"/>
  <c r="AW196" i="5" s="1"/>
  <c r="F195" i="5"/>
  <c r="AW195" i="5" s="1"/>
  <c r="F194" i="5"/>
  <c r="F193" i="5"/>
  <c r="AW193" i="5" s="1"/>
  <c r="F192" i="5"/>
  <c r="AW192" i="5" s="1"/>
  <c r="F191" i="5"/>
  <c r="AW191" i="5" s="1"/>
  <c r="F190" i="5"/>
  <c r="F189" i="5"/>
  <c r="F188" i="5"/>
  <c r="AW188" i="5" s="1"/>
  <c r="F187" i="5"/>
  <c r="AW187" i="5" s="1"/>
  <c r="E187" i="5"/>
  <c r="F186" i="5"/>
  <c r="AW186" i="5" s="1"/>
  <c r="F185" i="5"/>
  <c r="AW185" i="5" s="1"/>
  <c r="F184" i="5"/>
  <c r="F183" i="5"/>
  <c r="G183" i="5" s="1"/>
  <c r="F182" i="5"/>
  <c r="F181" i="5"/>
  <c r="AW181" i="5" s="1"/>
  <c r="F180" i="5"/>
  <c r="AW180" i="5" s="1"/>
  <c r="F179" i="5"/>
  <c r="F178" i="5"/>
  <c r="F177" i="5"/>
  <c r="AW177" i="5" s="1"/>
  <c r="F176" i="5"/>
  <c r="AW176" i="5" s="1"/>
  <c r="F175" i="5"/>
  <c r="AW175" i="5" s="1"/>
  <c r="F174" i="5"/>
  <c r="F173" i="5"/>
  <c r="E173" i="5" s="1"/>
  <c r="F172" i="5"/>
  <c r="AW172" i="5" s="1"/>
  <c r="F171" i="5"/>
  <c r="AW171" i="5" s="1"/>
  <c r="F170" i="5"/>
  <c r="AW170" i="5" s="1"/>
  <c r="F169" i="5"/>
  <c r="AW169" i="5" s="1"/>
  <c r="F168" i="5"/>
  <c r="E168" i="5" s="1"/>
  <c r="F167" i="5"/>
  <c r="G167" i="5" s="1"/>
  <c r="F166" i="5"/>
  <c r="F165" i="5"/>
  <c r="AW165" i="5" s="1"/>
  <c r="F164" i="5"/>
  <c r="AW164" i="5" s="1"/>
  <c r="F163" i="5"/>
  <c r="F162" i="5"/>
  <c r="F161" i="5"/>
  <c r="AW161" i="5" s="1"/>
  <c r="F160" i="5"/>
  <c r="AW160" i="5" s="1"/>
  <c r="F159" i="5"/>
  <c r="AW159" i="5" s="1"/>
  <c r="E159" i="5"/>
  <c r="F158" i="5"/>
  <c r="F157" i="5"/>
  <c r="E157" i="5" s="1"/>
  <c r="F156" i="5"/>
  <c r="AW156" i="5" s="1"/>
  <c r="F155" i="5"/>
  <c r="AW155" i="5" s="1"/>
  <c r="F154" i="5"/>
  <c r="AW154" i="5" s="1"/>
  <c r="F153" i="5"/>
  <c r="AW153" i="5" s="1"/>
  <c r="F152" i="5"/>
  <c r="E152" i="5"/>
  <c r="F151" i="5"/>
  <c r="G151" i="5" s="1"/>
  <c r="F150" i="5"/>
  <c r="AW150" i="5" s="1"/>
  <c r="F149" i="5"/>
  <c r="AW149" i="5" s="1"/>
  <c r="F148" i="5"/>
  <c r="AW148" i="5" s="1"/>
  <c r="F147" i="5"/>
  <c r="F146" i="5"/>
  <c r="F145" i="5"/>
  <c r="AW145" i="5" s="1"/>
  <c r="F144" i="5"/>
  <c r="AW144" i="5" s="1"/>
  <c r="F143" i="5"/>
  <c r="AW143" i="5" s="1"/>
  <c r="F142" i="5"/>
  <c r="AW142" i="5" s="1"/>
  <c r="F141" i="5"/>
  <c r="E141" i="5" s="1"/>
  <c r="F140" i="5"/>
  <c r="AW140" i="5" s="1"/>
  <c r="F139" i="5"/>
  <c r="AW139" i="5" s="1"/>
  <c r="F138" i="5"/>
  <c r="AW138" i="5" s="1"/>
  <c r="F137" i="5"/>
  <c r="F136" i="5"/>
  <c r="E136" i="5" s="1"/>
  <c r="F135" i="5"/>
  <c r="F134" i="5"/>
  <c r="AW134" i="5" s="1"/>
  <c r="F133" i="5"/>
  <c r="AW133" i="5" s="1"/>
  <c r="F132" i="5"/>
  <c r="AW132" i="5" s="1"/>
  <c r="F131" i="5"/>
  <c r="AW131" i="5" s="1"/>
  <c r="F130" i="5"/>
  <c r="F129" i="5"/>
  <c r="AW129" i="5" s="1"/>
  <c r="F128" i="5"/>
  <c r="AW128" i="5" s="1"/>
  <c r="F127" i="5"/>
  <c r="AW127" i="5" s="1"/>
  <c r="F126" i="5"/>
  <c r="AW126" i="5" s="1"/>
  <c r="F125" i="5"/>
  <c r="F124" i="5"/>
  <c r="AW124" i="5" s="1"/>
  <c r="F123" i="5"/>
  <c r="AW123" i="5" s="1"/>
  <c r="F122" i="5"/>
  <c r="AW122" i="5" s="1"/>
  <c r="F121" i="5"/>
  <c r="F120" i="5"/>
  <c r="F119" i="5"/>
  <c r="G119" i="5" s="1"/>
  <c r="F118" i="5"/>
  <c r="AW118" i="5" s="1"/>
  <c r="F117" i="5"/>
  <c r="AW117" i="5" s="1"/>
  <c r="F116" i="5"/>
  <c r="AW116" i="5" s="1"/>
  <c r="F115" i="5"/>
  <c r="E115" i="5" s="1"/>
  <c r="F114" i="5"/>
  <c r="F113" i="5"/>
  <c r="F112" i="5"/>
  <c r="F111" i="5"/>
  <c r="F110" i="5"/>
  <c r="AW110" i="5" s="1"/>
  <c r="F109" i="5"/>
  <c r="E109" i="5" s="1"/>
  <c r="F108" i="5"/>
  <c r="F107" i="5"/>
  <c r="F106" i="5"/>
  <c r="E106" i="5" s="1"/>
  <c r="F105" i="5"/>
  <c r="AW105" i="5" s="1"/>
  <c r="F104" i="5"/>
  <c r="G104" i="5" s="1"/>
  <c r="F103" i="5"/>
  <c r="E103" i="5" s="1"/>
  <c r="F102" i="5"/>
  <c r="AW102" i="5" s="1"/>
  <c r="F101" i="5"/>
  <c r="AW101" i="5" s="1"/>
  <c r="F100" i="5"/>
  <c r="F99" i="5"/>
  <c r="AW99" i="5" s="1"/>
  <c r="F98" i="5"/>
  <c r="F97" i="5"/>
  <c r="AW97" i="5" s="1"/>
  <c r="F96" i="5"/>
  <c r="F95" i="5"/>
  <c r="F94" i="5"/>
  <c r="AW94" i="5" s="1"/>
  <c r="F93" i="5"/>
  <c r="AW93" i="5" s="1"/>
  <c r="F92" i="5"/>
  <c r="F91" i="5"/>
  <c r="F90" i="5"/>
  <c r="AW90" i="5" s="1"/>
  <c r="F89" i="5"/>
  <c r="AW89" i="5" s="1"/>
  <c r="F88" i="5"/>
  <c r="G88" i="5" s="1"/>
  <c r="F87" i="5"/>
  <c r="E87" i="5" s="1"/>
  <c r="F86" i="5"/>
  <c r="AW86" i="5" s="1"/>
  <c r="F85" i="5"/>
  <c r="E85" i="5" s="1"/>
  <c r="F84" i="5"/>
  <c r="F83" i="5"/>
  <c r="E83" i="5" s="1"/>
  <c r="F82" i="5"/>
  <c r="F81" i="5"/>
  <c r="AW81" i="5" s="1"/>
  <c r="F80" i="5"/>
  <c r="F79" i="5"/>
  <c r="F78" i="5"/>
  <c r="AW78" i="5" s="1"/>
  <c r="F77" i="5"/>
  <c r="E77" i="5" s="1"/>
  <c r="F76" i="5"/>
  <c r="F75" i="5"/>
  <c r="F74" i="5"/>
  <c r="F73" i="5"/>
  <c r="AW73" i="5" s="1"/>
  <c r="F72" i="5"/>
  <c r="F71" i="5"/>
  <c r="E71" i="5" s="1"/>
  <c r="F70" i="5"/>
  <c r="AW70" i="5" s="1"/>
  <c r="F69" i="5"/>
  <c r="AW69" i="5" s="1"/>
  <c r="F68" i="5"/>
  <c r="F67" i="5"/>
  <c r="AW67" i="5" s="1"/>
  <c r="F66" i="5"/>
  <c r="F65" i="5"/>
  <c r="AW65" i="5" s="1"/>
  <c r="F64" i="5"/>
  <c r="F63" i="5"/>
  <c r="F62" i="5"/>
  <c r="AW62" i="5" s="1"/>
  <c r="F61" i="5"/>
  <c r="AW61" i="5" s="1"/>
  <c r="F60" i="5"/>
  <c r="F59" i="5"/>
  <c r="F58" i="5"/>
  <c r="AW58" i="5" s="1"/>
  <c r="F57" i="5"/>
  <c r="AW57" i="5" s="1"/>
  <c r="F56" i="5"/>
  <c r="G56" i="5" s="1"/>
  <c r="F55" i="5"/>
  <c r="E55" i="5"/>
  <c r="F54" i="5"/>
  <c r="AW54" i="5" s="1"/>
  <c r="F53" i="5"/>
  <c r="E53" i="5" s="1"/>
  <c r="F52" i="5"/>
  <c r="F51" i="5"/>
  <c r="E51" i="5" s="1"/>
  <c r="F50" i="5"/>
  <c r="F49" i="5"/>
  <c r="F48" i="5"/>
  <c r="F47" i="5"/>
  <c r="F46" i="5"/>
  <c r="AW46" i="5" s="1"/>
  <c r="F45" i="5"/>
  <c r="E45" i="5" s="1"/>
  <c r="F44" i="5"/>
  <c r="F43" i="5"/>
  <c r="F42" i="5"/>
  <c r="E42" i="5" s="1"/>
  <c r="F41" i="5"/>
  <c r="AW41" i="5" s="1"/>
  <c r="F40" i="5"/>
  <c r="G40" i="5" s="1"/>
  <c r="F39" i="5"/>
  <c r="E39" i="5" s="1"/>
  <c r="F38" i="5"/>
  <c r="AW38" i="5" s="1"/>
  <c r="F37" i="5"/>
  <c r="AW37" i="5" s="1"/>
  <c r="F36" i="5"/>
  <c r="F35" i="5"/>
  <c r="AW35" i="5" s="1"/>
  <c r="F34" i="5"/>
  <c r="F33" i="5"/>
  <c r="AW33" i="5" s="1"/>
  <c r="F32" i="5"/>
  <c r="F31" i="5"/>
  <c r="F30" i="5"/>
  <c r="AW30" i="5" s="1"/>
  <c r="F29" i="5"/>
  <c r="AW29" i="5" s="1"/>
  <c r="F28" i="5"/>
  <c r="F27" i="5"/>
  <c r="F26" i="5"/>
  <c r="F25" i="5"/>
  <c r="AW25" i="5" s="1"/>
  <c r="F24" i="5"/>
  <c r="AW24" i="5" s="1"/>
  <c r="F23" i="5"/>
  <c r="AW23" i="5" s="1"/>
  <c r="F22" i="5"/>
  <c r="E22" i="5" s="1"/>
  <c r="F21" i="5"/>
  <c r="AW21" i="5" s="1"/>
  <c r="F20" i="5"/>
  <c r="F19" i="5"/>
  <c r="AW19" i="5" s="1"/>
  <c r="F18" i="5"/>
  <c r="E18" i="5"/>
  <c r="F17" i="5"/>
  <c r="AW17" i="5" s="1"/>
  <c r="F16" i="5"/>
  <c r="AW16" i="5" s="1"/>
  <c r="F15" i="5"/>
  <c r="F14" i="5"/>
  <c r="E14" i="5" s="1"/>
  <c r="F13" i="5"/>
  <c r="G13" i="5" s="1"/>
  <c r="F12" i="5"/>
  <c r="AW12" i="5" s="1"/>
  <c r="F11" i="5"/>
  <c r="AW11" i="5" s="1"/>
  <c r="F10" i="5"/>
  <c r="AW10" i="5" s="1"/>
  <c r="F9" i="5"/>
  <c r="F7" i="5"/>
  <c r="E653" i="5" l="1"/>
  <c r="E41" i="5"/>
  <c r="E271" i="5"/>
  <c r="E393" i="5"/>
  <c r="E421" i="5"/>
  <c r="E203" i="5"/>
  <c r="E441" i="5"/>
  <c r="E731" i="5"/>
  <c r="E123" i="5"/>
  <c r="E175" i="5"/>
  <c r="E73" i="5"/>
  <c r="E429" i="5"/>
  <c r="G73" i="5"/>
  <c r="E309" i="5"/>
  <c r="G651" i="5"/>
  <c r="E139" i="5"/>
  <c r="E295" i="5"/>
  <c r="G393" i="5"/>
  <c r="E675" i="5"/>
  <c r="E290" i="5"/>
  <c r="E683" i="5"/>
  <c r="E719" i="5"/>
  <c r="E223" i="5"/>
  <c r="E591" i="5"/>
  <c r="E679" i="5"/>
  <c r="E685" i="5"/>
  <c r="E105" i="5"/>
  <c r="E239" i="5"/>
  <c r="E317" i="5"/>
  <c r="E345" i="5"/>
  <c r="E457" i="5"/>
  <c r="E677" i="5"/>
  <c r="E709" i="5"/>
  <c r="G723" i="5"/>
  <c r="G685" i="5"/>
  <c r="G677" i="5"/>
  <c r="G719" i="5"/>
  <c r="E265" i="5"/>
  <c r="E313" i="5"/>
  <c r="E489" i="5"/>
  <c r="E623" i="5"/>
  <c r="E711" i="5"/>
  <c r="E723" i="5"/>
  <c r="E282" i="5"/>
  <c r="G387" i="5"/>
  <c r="G709" i="5"/>
  <c r="G623" i="5"/>
  <c r="E261" i="5"/>
  <c r="E651" i="5"/>
  <c r="G41" i="5"/>
  <c r="E405" i="5"/>
  <c r="E707" i="5"/>
  <c r="G248" i="5"/>
  <c r="AW248" i="5"/>
  <c r="E242" i="5"/>
  <c r="AW242" i="5"/>
  <c r="G47" i="5"/>
  <c r="AW47" i="5"/>
  <c r="E108" i="5"/>
  <c r="AW108" i="5"/>
  <c r="G125" i="5"/>
  <c r="AW125" i="5"/>
  <c r="G189" i="5"/>
  <c r="AW189" i="5"/>
  <c r="E299" i="5"/>
  <c r="AW299" i="5"/>
  <c r="E312" i="5"/>
  <c r="AW312" i="5"/>
  <c r="G382" i="5"/>
  <c r="AW382" i="5"/>
  <c r="E423" i="5"/>
  <c r="AW423" i="5"/>
  <c r="E450" i="5"/>
  <c r="AW450" i="5"/>
  <c r="G506" i="5"/>
  <c r="AW506" i="5"/>
  <c r="G518" i="5"/>
  <c r="AW518" i="5"/>
  <c r="E536" i="5"/>
  <c r="AW536" i="5"/>
  <c r="E599" i="5"/>
  <c r="AW599" i="5"/>
  <c r="G663" i="5"/>
  <c r="AW663" i="5"/>
  <c r="G701" i="5"/>
  <c r="AW701" i="5"/>
  <c r="E706" i="5"/>
  <c r="AW706" i="5"/>
  <c r="G724" i="5"/>
  <c r="AW724" i="5"/>
  <c r="E730" i="5"/>
  <c r="AW730" i="5"/>
  <c r="G739" i="5"/>
  <c r="AW739" i="5"/>
  <c r="G744" i="5"/>
  <c r="AW744" i="5"/>
  <c r="E750" i="5"/>
  <c r="AW750" i="5"/>
  <c r="G18" i="5"/>
  <c r="AW18" i="5"/>
  <c r="G31" i="5"/>
  <c r="AW31" i="5"/>
  <c r="E48" i="5"/>
  <c r="AW48" i="5"/>
  <c r="G57" i="5"/>
  <c r="G75" i="5"/>
  <c r="AW75" i="5"/>
  <c r="G115" i="5"/>
  <c r="AW115" i="5"/>
  <c r="G155" i="5"/>
  <c r="G190" i="5"/>
  <c r="AW190" i="5"/>
  <c r="E215" i="5"/>
  <c r="AW215" i="5"/>
  <c r="E243" i="5"/>
  <c r="AW243" i="5"/>
  <c r="G249" i="5"/>
  <c r="AW249" i="5"/>
  <c r="G269" i="5"/>
  <c r="AW269" i="5"/>
  <c r="E281" i="5"/>
  <c r="AW281" i="5"/>
  <c r="G289" i="5"/>
  <c r="E354" i="5"/>
  <c r="AW354" i="5"/>
  <c r="G413" i="5"/>
  <c r="E507" i="5"/>
  <c r="AW507" i="5"/>
  <c r="G525" i="5"/>
  <c r="AW525" i="5"/>
  <c r="G541" i="5"/>
  <c r="AW541" i="5"/>
  <c r="G553" i="5"/>
  <c r="G565" i="5"/>
  <c r="AW565" i="5"/>
  <c r="G611" i="5"/>
  <c r="AW611" i="5"/>
  <c r="G621" i="5"/>
  <c r="AW621" i="5"/>
  <c r="E631" i="5"/>
  <c r="AW631" i="5"/>
  <c r="AW7" i="5"/>
  <c r="E7" i="5"/>
  <c r="E32" i="5"/>
  <c r="AW32" i="5"/>
  <c r="G42" i="5"/>
  <c r="AW42" i="5"/>
  <c r="E72" i="5"/>
  <c r="AW72" i="5"/>
  <c r="G87" i="5"/>
  <c r="AW87" i="5"/>
  <c r="E100" i="5"/>
  <c r="AW100" i="5"/>
  <c r="E135" i="5"/>
  <c r="AW135" i="5"/>
  <c r="G173" i="5"/>
  <c r="AW173" i="5"/>
  <c r="E226" i="5"/>
  <c r="AW226" i="5"/>
  <c r="G232" i="5"/>
  <c r="AW232" i="5"/>
  <c r="G281" i="5"/>
  <c r="G329" i="5"/>
  <c r="E355" i="5"/>
  <c r="AW355" i="5"/>
  <c r="E369" i="5"/>
  <c r="AW369" i="5"/>
  <c r="E400" i="5"/>
  <c r="AW400" i="5"/>
  <c r="G461" i="5"/>
  <c r="AW461" i="5"/>
  <c r="E520" i="5"/>
  <c r="AW520" i="5"/>
  <c r="E560" i="5"/>
  <c r="AW560" i="5"/>
  <c r="E572" i="5"/>
  <c r="AW572" i="5"/>
  <c r="E586" i="5"/>
  <c r="AW586" i="5"/>
  <c r="E606" i="5"/>
  <c r="AW606" i="5"/>
  <c r="E622" i="5"/>
  <c r="AW622" i="5"/>
  <c r="G631" i="5"/>
  <c r="G643" i="5"/>
  <c r="AW643" i="5"/>
  <c r="E658" i="5"/>
  <c r="AW658" i="5"/>
  <c r="G675" i="5"/>
  <c r="G688" i="5"/>
  <c r="AW688" i="5"/>
  <c r="E741" i="5"/>
  <c r="AW741" i="5"/>
  <c r="G15" i="5"/>
  <c r="AW15" i="5"/>
  <c r="G50" i="5"/>
  <c r="AW50" i="5"/>
  <c r="G100" i="5"/>
  <c r="G135" i="5"/>
  <c r="E163" i="5"/>
  <c r="AW163" i="5"/>
  <c r="G174" i="5"/>
  <c r="AW174" i="5"/>
  <c r="E296" i="5"/>
  <c r="AW296" i="5"/>
  <c r="E330" i="5"/>
  <c r="AW330" i="5"/>
  <c r="G343" i="5"/>
  <c r="AW343" i="5"/>
  <c r="G355" i="5"/>
  <c r="E370" i="5"/>
  <c r="AW370" i="5"/>
  <c r="E396" i="5"/>
  <c r="AW396" i="5"/>
  <c r="G405" i="5"/>
  <c r="G429" i="5"/>
  <c r="E452" i="5"/>
  <c r="AW452" i="5"/>
  <c r="G490" i="5"/>
  <c r="AW490" i="5"/>
  <c r="E515" i="5"/>
  <c r="AW515" i="5"/>
  <c r="E532" i="5"/>
  <c r="AW532" i="5"/>
  <c r="G549" i="5"/>
  <c r="AW549" i="5"/>
  <c r="E638" i="5"/>
  <c r="AW638" i="5"/>
  <c r="E666" i="5"/>
  <c r="AW666" i="5"/>
  <c r="G26" i="5"/>
  <c r="AW26" i="5"/>
  <c r="G55" i="5"/>
  <c r="AW55" i="5"/>
  <c r="E68" i="5"/>
  <c r="AW68" i="5"/>
  <c r="E84" i="5"/>
  <c r="AW84" i="5"/>
  <c r="G111" i="5"/>
  <c r="AW111" i="5"/>
  <c r="E147" i="5"/>
  <c r="AW147" i="5"/>
  <c r="G182" i="5"/>
  <c r="AW182" i="5"/>
  <c r="E211" i="5"/>
  <c r="AW211" i="5"/>
  <c r="G221" i="5"/>
  <c r="AW221" i="5"/>
  <c r="G261" i="5"/>
  <c r="G287" i="5"/>
  <c r="AW287" i="5"/>
  <c r="G296" i="5"/>
  <c r="E331" i="5"/>
  <c r="AW331" i="5"/>
  <c r="E344" i="5"/>
  <c r="AW344" i="5"/>
  <c r="E363" i="5"/>
  <c r="AW363" i="5"/>
  <c r="E386" i="5"/>
  <c r="AW386" i="5"/>
  <c r="E480" i="5"/>
  <c r="AW480" i="5"/>
  <c r="G515" i="5"/>
  <c r="E544" i="5"/>
  <c r="AW544" i="5"/>
  <c r="E556" i="5"/>
  <c r="AW556" i="5"/>
  <c r="G573" i="5"/>
  <c r="AW573" i="5"/>
  <c r="G613" i="5"/>
  <c r="AW613" i="5"/>
  <c r="E627" i="5"/>
  <c r="AW627" i="5"/>
  <c r="G632" i="5"/>
  <c r="AW632" i="5"/>
  <c r="E650" i="5"/>
  <c r="AW650" i="5"/>
  <c r="G659" i="5"/>
  <c r="AW659" i="5"/>
  <c r="G672" i="5"/>
  <c r="AW672" i="5"/>
  <c r="G680" i="5"/>
  <c r="AW680" i="5"/>
  <c r="G703" i="5"/>
  <c r="AW703" i="5"/>
  <c r="G731" i="5"/>
  <c r="E17" i="5"/>
  <c r="G27" i="5"/>
  <c r="AW27" i="5"/>
  <c r="G51" i="5"/>
  <c r="AW51" i="5"/>
  <c r="E56" i="5"/>
  <c r="AW56" i="5"/>
  <c r="G68" i="5"/>
  <c r="G84" i="5"/>
  <c r="E89" i="5"/>
  <c r="G95" i="5"/>
  <c r="AW95" i="5"/>
  <c r="E112" i="5"/>
  <c r="AW112" i="5"/>
  <c r="E119" i="5"/>
  <c r="AW119" i="5"/>
  <c r="G123" i="5"/>
  <c r="E130" i="5"/>
  <c r="AW130" i="5"/>
  <c r="G136" i="5"/>
  <c r="AW136" i="5"/>
  <c r="G141" i="5"/>
  <c r="AW141" i="5"/>
  <c r="G147" i="5"/>
  <c r="G158" i="5"/>
  <c r="AW158" i="5"/>
  <c r="E171" i="5"/>
  <c r="E183" i="5"/>
  <c r="AW183" i="5"/>
  <c r="G187" i="5"/>
  <c r="E194" i="5"/>
  <c r="AW194" i="5"/>
  <c r="G200" i="5"/>
  <c r="AW200" i="5"/>
  <c r="G205" i="5"/>
  <c r="AW205" i="5"/>
  <c r="G211" i="5"/>
  <c r="G217" i="5"/>
  <c r="AW217" i="5"/>
  <c r="E235" i="5"/>
  <c r="E247" i="5"/>
  <c r="AW247" i="5"/>
  <c r="E272" i="5"/>
  <c r="AW272" i="5"/>
  <c r="E283" i="5"/>
  <c r="AW283" i="5"/>
  <c r="E288" i="5"/>
  <c r="AW288" i="5"/>
  <c r="E314" i="5"/>
  <c r="G319" i="5"/>
  <c r="AW319" i="5"/>
  <c r="E325" i="5"/>
  <c r="AW325" i="5"/>
  <c r="G344" i="5"/>
  <c r="E397" i="5"/>
  <c r="G406" i="5"/>
  <c r="AW406" i="5"/>
  <c r="E412" i="5"/>
  <c r="AW412" i="5"/>
  <c r="G421" i="5"/>
  <c r="G441" i="5"/>
  <c r="G457" i="5"/>
  <c r="G469" i="5"/>
  <c r="AW469" i="5"/>
  <c r="E487" i="5"/>
  <c r="AW487" i="5"/>
  <c r="E492" i="5"/>
  <c r="AW492" i="5"/>
  <c r="E523" i="5"/>
  <c r="AW523" i="5"/>
  <c r="E529" i="5"/>
  <c r="AW529" i="5"/>
  <c r="G533" i="5"/>
  <c r="AW533" i="5"/>
  <c r="G545" i="5"/>
  <c r="AW545" i="5"/>
  <c r="E551" i="5"/>
  <c r="AW551" i="5"/>
  <c r="G556" i="5"/>
  <c r="E563" i="5"/>
  <c r="AW563" i="5"/>
  <c r="G587" i="5"/>
  <c r="AW587" i="5"/>
  <c r="G591" i="5"/>
  <c r="E597" i="5"/>
  <c r="AW597" i="5"/>
  <c r="G645" i="5"/>
  <c r="AW645" i="5"/>
  <c r="G650" i="5"/>
  <c r="E673" i="5"/>
  <c r="AW673" i="5"/>
  <c r="E698" i="5"/>
  <c r="AW698" i="5"/>
  <c r="E738" i="5"/>
  <c r="AW738" i="5"/>
  <c r="E743" i="5"/>
  <c r="G747" i="5"/>
  <c r="AW747" i="5"/>
  <c r="G98" i="5"/>
  <c r="AW98" i="5"/>
  <c r="E264" i="5"/>
  <c r="AW264" i="5"/>
  <c r="G273" i="5"/>
  <c r="AW273" i="5"/>
  <c r="E307" i="5"/>
  <c r="AW307" i="5"/>
  <c r="E444" i="5"/>
  <c r="AW444" i="5"/>
  <c r="E472" i="5"/>
  <c r="AW472" i="5"/>
  <c r="E484" i="5"/>
  <c r="AW484" i="5"/>
  <c r="E500" i="5"/>
  <c r="AW500" i="5"/>
  <c r="E513" i="5"/>
  <c r="AW513" i="5"/>
  <c r="G530" i="5"/>
  <c r="AW530" i="5"/>
  <c r="E548" i="5"/>
  <c r="AW548" i="5"/>
  <c r="G570" i="5"/>
  <c r="AW570" i="5"/>
  <c r="E593" i="5"/>
  <c r="AW593" i="5"/>
  <c r="G647" i="5"/>
  <c r="AW647" i="5"/>
  <c r="G53" i="5"/>
  <c r="AW53" i="5"/>
  <c r="G71" i="5"/>
  <c r="AW71" i="5"/>
  <c r="G82" i="5"/>
  <c r="AW82" i="5"/>
  <c r="G91" i="5"/>
  <c r="AW91" i="5"/>
  <c r="G121" i="5"/>
  <c r="AW121" i="5"/>
  <c r="E179" i="5"/>
  <c r="AW179" i="5"/>
  <c r="G198" i="5"/>
  <c r="AW198" i="5"/>
  <c r="G394" i="5"/>
  <c r="AW394" i="5"/>
  <c r="E409" i="5"/>
  <c r="AW409" i="5"/>
  <c r="G477" i="5"/>
  <c r="AW477" i="5"/>
  <c r="G484" i="5"/>
  <c r="G501" i="5"/>
  <c r="AW501" i="5"/>
  <c r="G513" i="5"/>
  <c r="E531" i="5"/>
  <c r="AW531" i="5"/>
  <c r="G548" i="5"/>
  <c r="E571" i="5"/>
  <c r="AW571" i="5"/>
  <c r="E702" i="5"/>
  <c r="AW702" i="5"/>
  <c r="G720" i="5"/>
  <c r="AW720" i="5"/>
  <c r="G730" i="5"/>
  <c r="E745" i="5"/>
  <c r="AW745" i="5"/>
  <c r="G14" i="5"/>
  <c r="AW14" i="5"/>
  <c r="E49" i="5"/>
  <c r="AW49" i="5"/>
  <c r="G66" i="5"/>
  <c r="AW66" i="5"/>
  <c r="E76" i="5"/>
  <c r="AW76" i="5"/>
  <c r="E92" i="5"/>
  <c r="AW92" i="5"/>
  <c r="G109" i="5"/>
  <c r="AW109" i="5"/>
  <c r="G139" i="5"/>
  <c r="G168" i="5"/>
  <c r="AW168" i="5"/>
  <c r="E199" i="5"/>
  <c r="AW199" i="5"/>
  <c r="G237" i="5"/>
  <c r="AW237" i="5"/>
  <c r="G255" i="5"/>
  <c r="AW255" i="5"/>
  <c r="E301" i="5"/>
  <c r="AW301" i="5"/>
  <c r="G361" i="5"/>
  <c r="E435" i="5"/>
  <c r="AW435" i="5"/>
  <c r="E467" i="5"/>
  <c r="AW467" i="5"/>
  <c r="G489" i="5"/>
  <c r="G671" i="5"/>
  <c r="AW671" i="5"/>
  <c r="G679" i="5"/>
  <c r="G695" i="5"/>
  <c r="AW695" i="5"/>
  <c r="E746" i="5"/>
  <c r="AW746" i="5"/>
  <c r="E496" i="5"/>
  <c r="AW496" i="5"/>
  <c r="G537" i="5"/>
  <c r="AW537" i="5"/>
  <c r="G600" i="5"/>
  <c r="AW600" i="5"/>
  <c r="G622" i="5"/>
  <c r="G77" i="5"/>
  <c r="AW77" i="5"/>
  <c r="G105" i="5"/>
  <c r="G157" i="5"/>
  <c r="AW157" i="5"/>
  <c r="E251" i="5"/>
  <c r="AW251" i="5"/>
  <c r="G265" i="5"/>
  <c r="E277" i="5"/>
  <c r="AW277" i="5"/>
  <c r="E291" i="5"/>
  <c r="AW291" i="5"/>
  <c r="G309" i="5"/>
  <c r="G313" i="5"/>
  <c r="E371" i="5"/>
  <c r="AW371" i="5"/>
  <c r="E392" i="5"/>
  <c r="AW392" i="5"/>
  <c r="E416" i="5"/>
  <c r="AW416" i="5"/>
  <c r="G550" i="5"/>
  <c r="AW550" i="5"/>
  <c r="E568" i="5"/>
  <c r="AW568" i="5"/>
  <c r="E601" i="5"/>
  <c r="AW601" i="5"/>
  <c r="G653" i="5"/>
  <c r="E690" i="5"/>
  <c r="AW690" i="5"/>
  <c r="G707" i="5"/>
  <c r="E96" i="5"/>
  <c r="AW96" i="5"/>
  <c r="G106" i="5"/>
  <c r="AW106" i="5"/>
  <c r="G137" i="5"/>
  <c r="AW137" i="5"/>
  <c r="G166" i="5"/>
  <c r="AW166" i="5"/>
  <c r="G206" i="5"/>
  <c r="AW206" i="5"/>
  <c r="E407" i="5"/>
  <c r="AW407" i="5"/>
  <c r="G437" i="5"/>
  <c r="AW437" i="5"/>
  <c r="E449" i="5"/>
  <c r="AW449" i="5"/>
  <c r="E465" i="5"/>
  <c r="AW465" i="5"/>
  <c r="E488" i="5"/>
  <c r="AW488" i="5"/>
  <c r="E517" i="5"/>
  <c r="AW517" i="5"/>
  <c r="E540" i="5"/>
  <c r="AW540" i="5"/>
  <c r="E603" i="5"/>
  <c r="AW603" i="5"/>
  <c r="E610" i="5"/>
  <c r="AW610" i="5"/>
  <c r="G619" i="5"/>
  <c r="AW619" i="5"/>
  <c r="E629" i="5"/>
  <c r="AW629" i="5"/>
  <c r="G669" i="5"/>
  <c r="AW669" i="5"/>
  <c r="E674" i="5"/>
  <c r="AW674" i="5"/>
  <c r="E682" i="5"/>
  <c r="AW682" i="5"/>
  <c r="G691" i="5"/>
  <c r="AW691" i="5"/>
  <c r="G704" i="5"/>
  <c r="AW704" i="5"/>
  <c r="G712" i="5"/>
  <c r="AW712" i="5"/>
  <c r="G728" i="5"/>
  <c r="AW728" i="5"/>
  <c r="E64" i="5"/>
  <c r="AW64" i="5"/>
  <c r="G74" i="5"/>
  <c r="AW74" i="5"/>
  <c r="E104" i="5"/>
  <c r="AW104" i="5"/>
  <c r="G120" i="5"/>
  <c r="AW120" i="5"/>
  <c r="E178" i="5"/>
  <c r="AW178" i="5"/>
  <c r="G184" i="5"/>
  <c r="AW184" i="5"/>
  <c r="G214" i="5"/>
  <c r="AW214" i="5"/>
  <c r="E280" i="5"/>
  <c r="AW280" i="5"/>
  <c r="E346" i="5"/>
  <c r="AW346" i="5"/>
  <c r="E455" i="5"/>
  <c r="AW455" i="5"/>
  <c r="G493" i="5"/>
  <c r="AW493" i="5"/>
  <c r="G589" i="5"/>
  <c r="AW589" i="5"/>
  <c r="E605" i="5"/>
  <c r="AW605" i="5"/>
  <c r="G624" i="5"/>
  <c r="AW624" i="5"/>
  <c r="G656" i="5"/>
  <c r="AW656" i="5"/>
  <c r="E151" i="5"/>
  <c r="AW151" i="5"/>
  <c r="G219" i="5"/>
  <c r="G285" i="5"/>
  <c r="G312" i="5"/>
  <c r="G321" i="5"/>
  <c r="AW321" i="5"/>
  <c r="G335" i="5"/>
  <c r="AW335" i="5"/>
  <c r="E347" i="5"/>
  <c r="AW347" i="5"/>
  <c r="E420" i="5"/>
  <c r="AW420" i="5"/>
  <c r="G423" i="5"/>
  <c r="E440" i="5"/>
  <c r="AW440" i="5"/>
  <c r="E451" i="5"/>
  <c r="AW451" i="5"/>
  <c r="G466" i="5"/>
  <c r="AW466" i="5"/>
  <c r="E519" i="5"/>
  <c r="AW519" i="5"/>
  <c r="G536" i="5"/>
  <c r="E590" i="5"/>
  <c r="AW590" i="5"/>
  <c r="G599" i="5"/>
  <c r="G616" i="5"/>
  <c r="AW616" i="5"/>
  <c r="E625" i="5"/>
  <c r="AW625" i="5"/>
  <c r="E637" i="5"/>
  <c r="AW637" i="5"/>
  <c r="G706" i="5"/>
  <c r="E725" i="5"/>
  <c r="AW725" i="5"/>
  <c r="E162" i="5"/>
  <c r="AW162" i="5"/>
  <c r="G203" i="5"/>
  <c r="G215" i="5"/>
  <c r="E322" i="5"/>
  <c r="AW322" i="5"/>
  <c r="G440" i="5"/>
  <c r="G451" i="5"/>
  <c r="E508" i="5"/>
  <c r="AW508" i="5"/>
  <c r="G554" i="5"/>
  <c r="AW554" i="5"/>
  <c r="G578" i="5"/>
  <c r="AW578" i="5"/>
  <c r="G637" i="5"/>
  <c r="G648" i="5"/>
  <c r="AW648" i="5"/>
  <c r="E665" i="5"/>
  <c r="AW665" i="5"/>
  <c r="G683" i="5"/>
  <c r="G702" i="5"/>
  <c r="E721" i="5"/>
  <c r="AW721" i="5"/>
  <c r="G735" i="5"/>
  <c r="AW735" i="5"/>
  <c r="E20" i="5"/>
  <c r="AW20" i="5"/>
  <c r="G25" i="5"/>
  <c r="G39" i="5"/>
  <c r="AW39" i="5"/>
  <c r="G43" i="5"/>
  <c r="AW43" i="5"/>
  <c r="G59" i="5"/>
  <c r="AW59" i="5"/>
  <c r="G72" i="5"/>
  <c r="G83" i="5"/>
  <c r="AW83" i="5"/>
  <c r="E88" i="5"/>
  <c r="AW88" i="5"/>
  <c r="E146" i="5"/>
  <c r="AW146" i="5"/>
  <c r="G199" i="5"/>
  <c r="E210" i="5"/>
  <c r="AW210" i="5"/>
  <c r="E227" i="5"/>
  <c r="AW227" i="5"/>
  <c r="G233" i="5"/>
  <c r="AW233" i="5"/>
  <c r="G250" i="5"/>
  <c r="E337" i="5"/>
  <c r="AW337" i="5"/>
  <c r="E349" i="5"/>
  <c r="AW349" i="5"/>
  <c r="E362" i="5"/>
  <c r="AW362" i="5"/>
  <c r="E378" i="5"/>
  <c r="AW378" i="5"/>
  <c r="G400" i="5"/>
  <c r="G410" i="5"/>
  <c r="AW410" i="5"/>
  <c r="E425" i="5"/>
  <c r="AW425" i="5"/>
  <c r="E436" i="5"/>
  <c r="AW436" i="5"/>
  <c r="G467" i="5"/>
  <c r="G473" i="5"/>
  <c r="AW473" i="5"/>
  <c r="G485" i="5"/>
  <c r="AW485" i="5"/>
  <c r="G586" i="5"/>
  <c r="E595" i="5"/>
  <c r="AW595" i="5"/>
  <c r="G607" i="5"/>
  <c r="AW607" i="5"/>
  <c r="E618" i="5"/>
  <c r="AW618" i="5"/>
  <c r="E649" i="5"/>
  <c r="AW649" i="5"/>
  <c r="E722" i="5"/>
  <c r="AW722" i="5"/>
  <c r="E742" i="5"/>
  <c r="AW742" i="5"/>
  <c r="G746" i="5"/>
  <c r="G20" i="5"/>
  <c r="G34" i="5"/>
  <c r="AW34" i="5"/>
  <c r="E40" i="5"/>
  <c r="AW40" i="5"/>
  <c r="E44" i="5"/>
  <c r="AW44" i="5"/>
  <c r="E60" i="5"/>
  <c r="AW60" i="5"/>
  <c r="G152" i="5"/>
  <c r="AW152" i="5"/>
  <c r="G216" i="5"/>
  <c r="AW216" i="5"/>
  <c r="E257" i="5"/>
  <c r="AW257" i="5"/>
  <c r="G349" i="5"/>
  <c r="G396" i="5"/>
  <c r="E411" i="5"/>
  <c r="AW411" i="5"/>
  <c r="E453" i="5"/>
  <c r="AW453" i="5"/>
  <c r="G474" i="5"/>
  <c r="AW474" i="5"/>
  <c r="E504" i="5"/>
  <c r="AW504" i="5"/>
  <c r="G509" i="5"/>
  <c r="AW509" i="5"/>
  <c r="G522" i="5"/>
  <c r="AW522" i="5"/>
  <c r="G538" i="5"/>
  <c r="AW538" i="5"/>
  <c r="E580" i="5"/>
  <c r="AW580" i="5"/>
  <c r="G639" i="5"/>
  <c r="AW639" i="5"/>
  <c r="G697" i="5"/>
  <c r="AW697" i="5"/>
  <c r="G711" i="5"/>
  <c r="E727" i="5"/>
  <c r="AW727" i="5"/>
  <c r="E28" i="5"/>
  <c r="AW28" i="5"/>
  <c r="E36" i="5"/>
  <c r="AW36" i="5"/>
  <c r="G45" i="5"/>
  <c r="AW45" i="5"/>
  <c r="E52" i="5"/>
  <c r="AW52" i="5"/>
  <c r="G79" i="5"/>
  <c r="AW79" i="5"/>
  <c r="E113" i="5"/>
  <c r="AW113" i="5"/>
  <c r="G297" i="5"/>
  <c r="AW297" i="5"/>
  <c r="E320" i="5"/>
  <c r="AW320" i="5"/>
  <c r="E333" i="5"/>
  <c r="AW333" i="5"/>
  <c r="E339" i="5"/>
  <c r="AW339" i="5"/>
  <c r="G358" i="5"/>
  <c r="AW358" i="5"/>
  <c r="E365" i="5"/>
  <c r="AW365" i="5"/>
  <c r="E381" i="5"/>
  <c r="AW381" i="5"/>
  <c r="E432" i="5"/>
  <c r="AW432" i="5"/>
  <c r="G442" i="5"/>
  <c r="AW442" i="5"/>
  <c r="G458" i="5"/>
  <c r="AW458" i="5"/>
  <c r="E476" i="5"/>
  <c r="AW476" i="5"/>
  <c r="E499" i="5"/>
  <c r="AW499" i="5"/>
  <c r="E13" i="5"/>
  <c r="AW13" i="5"/>
  <c r="G17" i="5"/>
  <c r="G22" i="5"/>
  <c r="AW22" i="5"/>
  <c r="G36" i="5"/>
  <c r="G52" i="5"/>
  <c r="E57" i="5"/>
  <c r="G63" i="5"/>
  <c r="AW63" i="5"/>
  <c r="E74" i="5"/>
  <c r="E80" i="5"/>
  <c r="AW80" i="5"/>
  <c r="G85" i="5"/>
  <c r="AW85" i="5"/>
  <c r="G89" i="5"/>
  <c r="G103" i="5"/>
  <c r="AW103" i="5"/>
  <c r="G107" i="5"/>
  <c r="AW107" i="5"/>
  <c r="G114" i="5"/>
  <c r="AW114" i="5"/>
  <c r="E120" i="5"/>
  <c r="E125" i="5"/>
  <c r="E143" i="5"/>
  <c r="E155" i="5"/>
  <c r="E167" i="5"/>
  <c r="AW167" i="5"/>
  <c r="G171" i="5"/>
  <c r="E184" i="5"/>
  <c r="E189" i="5"/>
  <c r="E207" i="5"/>
  <c r="E219" i="5"/>
  <c r="E231" i="5"/>
  <c r="AW231" i="5"/>
  <c r="G235" i="5"/>
  <c r="G241" i="5"/>
  <c r="AW241" i="5"/>
  <c r="E248" i="5"/>
  <c r="E253" i="5"/>
  <c r="AW253" i="5"/>
  <c r="E259" i="5"/>
  <c r="AW259" i="5"/>
  <c r="G263" i="5"/>
  <c r="AW263" i="5"/>
  <c r="E273" i="5"/>
  <c r="G279" i="5"/>
  <c r="AW279" i="5"/>
  <c r="E285" i="5"/>
  <c r="E289" i="5"/>
  <c r="G293" i="5"/>
  <c r="AW293" i="5"/>
  <c r="E298" i="5"/>
  <c r="AW298" i="5"/>
  <c r="G311" i="5"/>
  <c r="AW311" i="5"/>
  <c r="E315" i="5"/>
  <c r="AW315" i="5"/>
  <c r="G320" i="5"/>
  <c r="G333" i="5"/>
  <c r="G366" i="5"/>
  <c r="AW366" i="5"/>
  <c r="G374" i="5"/>
  <c r="AW374" i="5"/>
  <c r="G381" i="5"/>
  <c r="E388" i="5"/>
  <c r="AW388" i="5"/>
  <c r="G397" i="5"/>
  <c r="E404" i="5"/>
  <c r="AW404" i="5"/>
  <c r="G407" i="5"/>
  <c r="E413" i="5"/>
  <c r="G422" i="5"/>
  <c r="AW422" i="5"/>
  <c r="E428" i="5"/>
  <c r="AW428" i="5"/>
  <c r="G432" i="5"/>
  <c r="E443" i="5"/>
  <c r="AW443" i="5"/>
  <c r="G449" i="5"/>
  <c r="G454" i="5"/>
  <c r="AW454" i="5"/>
  <c r="G465" i="5"/>
  <c r="G476" i="5"/>
  <c r="G488" i="5"/>
  <c r="E493" i="5"/>
  <c r="G499" i="5"/>
  <c r="G505" i="5"/>
  <c r="AW505" i="5"/>
  <c r="E518" i="5"/>
  <c r="E524" i="5"/>
  <c r="AW524" i="5"/>
  <c r="E530" i="5"/>
  <c r="G540" i="5"/>
  <c r="E553" i="5"/>
  <c r="G557" i="5"/>
  <c r="AW557" i="5"/>
  <c r="E564" i="5"/>
  <c r="AW564" i="5"/>
  <c r="G569" i="5"/>
  <c r="AW569" i="5"/>
  <c r="E589" i="5"/>
  <c r="G592" i="5"/>
  <c r="AW592" i="5"/>
  <c r="G610" i="5"/>
  <c r="G615" i="5"/>
  <c r="AW615" i="5"/>
  <c r="E624" i="5"/>
  <c r="G629" i="5"/>
  <c r="E635" i="5"/>
  <c r="AW635" i="5"/>
  <c r="E642" i="5"/>
  <c r="AW642" i="5"/>
  <c r="E647" i="5"/>
  <c r="E656" i="5"/>
  <c r="E670" i="5"/>
  <c r="AW670" i="5"/>
  <c r="G674" i="5"/>
  <c r="G682" i="5"/>
  <c r="E705" i="5"/>
  <c r="AW705" i="5"/>
  <c r="E713" i="5"/>
  <c r="AW713" i="5"/>
  <c r="E724" i="5"/>
  <c r="E734" i="5"/>
  <c r="AW734" i="5"/>
  <c r="E739" i="5"/>
  <c r="G743" i="5"/>
  <c r="E16" i="5"/>
  <c r="G37" i="5"/>
  <c r="E37" i="5"/>
  <c r="G90" i="5"/>
  <c r="E90" i="5"/>
  <c r="G101" i="5"/>
  <c r="E101" i="5"/>
  <c r="E170" i="5"/>
  <c r="E234" i="5"/>
  <c r="G303" i="5"/>
  <c r="E303" i="5"/>
  <c r="G341" i="5"/>
  <c r="E341" i="5"/>
  <c r="E353" i="5"/>
  <c r="G353" i="5"/>
  <c r="G367" i="5"/>
  <c r="E367" i="5"/>
  <c r="E379" i="5"/>
  <c r="G379" i="5"/>
  <c r="G401" i="5"/>
  <c r="E401" i="5"/>
  <c r="E408" i="5"/>
  <c r="G408" i="5"/>
  <c r="G433" i="5"/>
  <c r="E433" i="5"/>
  <c r="G497" i="5"/>
  <c r="E497" i="5"/>
  <c r="G35" i="5"/>
  <c r="E35" i="5"/>
  <c r="G61" i="5"/>
  <c r="E61" i="5"/>
  <c r="E65" i="5"/>
  <c r="G65" i="5"/>
  <c r="G99" i="5"/>
  <c r="E99" i="5"/>
  <c r="G144" i="5"/>
  <c r="E144" i="5"/>
  <c r="G208" i="5"/>
  <c r="E208" i="5"/>
  <c r="E376" i="5"/>
  <c r="G376" i="5"/>
  <c r="G389" i="5"/>
  <c r="E389" i="5"/>
  <c r="G426" i="5"/>
  <c r="E464" i="5"/>
  <c r="G464" i="5"/>
  <c r="G481" i="5"/>
  <c r="E481" i="5"/>
  <c r="G581" i="5"/>
  <c r="E581" i="5"/>
  <c r="G640" i="5"/>
  <c r="E640" i="5"/>
  <c r="E654" i="5"/>
  <c r="G654" i="5"/>
  <c r="E657" i="5"/>
  <c r="G657" i="5"/>
  <c r="G664" i="5"/>
  <c r="E664" i="5"/>
  <c r="E714" i="5"/>
  <c r="G714" i="5"/>
  <c r="E718" i="5"/>
  <c r="G718" i="5"/>
  <c r="G58" i="5"/>
  <c r="E58" i="5"/>
  <c r="G69" i="5"/>
  <c r="E69" i="5"/>
  <c r="G127" i="5"/>
  <c r="E127" i="5"/>
  <c r="E131" i="5"/>
  <c r="G131" i="5"/>
  <c r="G191" i="5"/>
  <c r="E191" i="5"/>
  <c r="E195" i="5"/>
  <c r="G195" i="5"/>
  <c r="E267" i="5"/>
  <c r="G267" i="5"/>
  <c r="E275" i="5"/>
  <c r="E336" i="5"/>
  <c r="G336" i="5"/>
  <c r="E373" i="5"/>
  <c r="G373" i="5"/>
  <c r="G417" i="5"/>
  <c r="E417" i="5"/>
  <c r="E424" i="5"/>
  <c r="G424" i="5"/>
  <c r="G445" i="5"/>
  <c r="E445" i="5"/>
  <c r="G546" i="5"/>
  <c r="E546" i="5"/>
  <c r="E552" i="5"/>
  <c r="G552" i="5"/>
  <c r="G10" i="5"/>
  <c r="E10" i="5"/>
  <c r="E33" i="5"/>
  <c r="G33" i="5"/>
  <c r="G67" i="5"/>
  <c r="E67" i="5"/>
  <c r="G93" i="5"/>
  <c r="E93" i="5"/>
  <c r="E97" i="5"/>
  <c r="G97" i="5"/>
  <c r="G117" i="5"/>
  <c r="E117" i="5"/>
  <c r="G181" i="5"/>
  <c r="E181" i="5"/>
  <c r="G245" i="5"/>
  <c r="E245" i="5"/>
  <c r="E256" i="5"/>
  <c r="G256" i="5"/>
  <c r="E323" i="5"/>
  <c r="E385" i="5"/>
  <c r="G385" i="5"/>
  <c r="G438" i="5"/>
  <c r="E438" i="5"/>
  <c r="E21" i="5"/>
  <c r="G23" i="5"/>
  <c r="E23" i="5"/>
  <c r="G30" i="5"/>
  <c r="E30" i="5"/>
  <c r="G38" i="5"/>
  <c r="E38" i="5"/>
  <c r="G62" i="5"/>
  <c r="E62" i="5"/>
  <c r="G70" i="5"/>
  <c r="E70" i="5"/>
  <c r="G94" i="5"/>
  <c r="E94" i="5"/>
  <c r="G102" i="5"/>
  <c r="E102" i="5"/>
  <c r="G128" i="5"/>
  <c r="E128" i="5"/>
  <c r="E154" i="5"/>
  <c r="G165" i="5"/>
  <c r="E165" i="5"/>
  <c r="G175" i="5"/>
  <c r="G192" i="5"/>
  <c r="E192" i="5"/>
  <c r="E218" i="5"/>
  <c r="G229" i="5"/>
  <c r="E229" i="5"/>
  <c r="G239" i="5"/>
  <c r="G295" i="5"/>
  <c r="E304" i="5"/>
  <c r="G304" i="5"/>
  <c r="G327" i="5"/>
  <c r="E327" i="5"/>
  <c r="G359" i="5"/>
  <c r="E359" i="5"/>
  <c r="E368" i="5"/>
  <c r="G368" i="5"/>
  <c r="E377" i="5"/>
  <c r="G390" i="5"/>
  <c r="E390" i="5"/>
  <c r="E395" i="5"/>
  <c r="G395" i="5"/>
  <c r="G402" i="5"/>
  <c r="E402" i="5"/>
  <c r="G418" i="5"/>
  <c r="E418" i="5"/>
  <c r="E439" i="5"/>
  <c r="G439" i="5"/>
  <c r="E456" i="5"/>
  <c r="G456" i="5"/>
  <c r="G470" i="5"/>
  <c r="E470" i="5"/>
  <c r="G482" i="5"/>
  <c r="E482" i="5"/>
  <c r="G521" i="5"/>
  <c r="E521" i="5"/>
  <c r="E535" i="5"/>
  <c r="G535" i="5"/>
  <c r="E547" i="5"/>
  <c r="G547" i="5"/>
  <c r="G561" i="5"/>
  <c r="E561" i="5"/>
  <c r="E567" i="5"/>
  <c r="G567" i="5"/>
  <c r="E576" i="5"/>
  <c r="G576" i="5"/>
  <c r="E579" i="5"/>
  <c r="G579" i="5"/>
  <c r="G608" i="5"/>
  <c r="E608" i="5"/>
  <c r="E641" i="5"/>
  <c r="G641" i="5"/>
  <c r="E655" i="5"/>
  <c r="G655" i="5"/>
  <c r="G661" i="5"/>
  <c r="E661" i="5"/>
  <c r="G699" i="5"/>
  <c r="E699" i="5"/>
  <c r="E715" i="5"/>
  <c r="G715" i="5"/>
  <c r="G740" i="5"/>
  <c r="E740" i="5"/>
  <c r="G7" i="5"/>
  <c r="G19" i="5"/>
  <c r="E19" i="5"/>
  <c r="G21" i="5"/>
  <c r="E24" i="5"/>
  <c r="G24" i="5"/>
  <c r="E81" i="5"/>
  <c r="E138" i="5"/>
  <c r="G149" i="5"/>
  <c r="E149" i="5"/>
  <c r="G159" i="5"/>
  <c r="G176" i="5"/>
  <c r="E176" i="5"/>
  <c r="G179" i="5"/>
  <c r="E202" i="5"/>
  <c r="G213" i="5"/>
  <c r="E213" i="5"/>
  <c r="G223" i="5"/>
  <c r="G240" i="5"/>
  <c r="E240" i="5"/>
  <c r="G243" i="5"/>
  <c r="G271" i="5"/>
  <c r="G301" i="5"/>
  <c r="E305" i="5"/>
  <c r="E328" i="5"/>
  <c r="G328" i="5"/>
  <c r="G351" i="5"/>
  <c r="E351" i="5"/>
  <c r="E357" i="5"/>
  <c r="E360" i="5"/>
  <c r="G360" i="5"/>
  <c r="G365" i="5"/>
  <c r="G371" i="5"/>
  <c r="G377" i="5"/>
  <c r="G383" i="5"/>
  <c r="E383" i="5"/>
  <c r="E391" i="5"/>
  <c r="G391" i="5"/>
  <c r="E403" i="5"/>
  <c r="G403" i="5"/>
  <c r="E419" i="5"/>
  <c r="G419" i="5"/>
  <c r="G452" i="5"/>
  <c r="E459" i="5"/>
  <c r="G459" i="5"/>
  <c r="E471" i="5"/>
  <c r="G471" i="5"/>
  <c r="G502" i="5"/>
  <c r="E502" i="5"/>
  <c r="E528" i="5"/>
  <c r="G528" i="5"/>
  <c r="E577" i="5"/>
  <c r="G577" i="5"/>
  <c r="G583" i="5"/>
  <c r="E583" i="5"/>
  <c r="E609" i="5"/>
  <c r="G609" i="5"/>
  <c r="G627" i="5"/>
  <c r="G635" i="5"/>
  <c r="E686" i="5"/>
  <c r="G686" i="5"/>
  <c r="E689" i="5"/>
  <c r="G689" i="5"/>
  <c r="G696" i="5"/>
  <c r="E696" i="5"/>
  <c r="E25" i="5"/>
  <c r="G46" i="5"/>
  <c r="E46" i="5"/>
  <c r="G49" i="5"/>
  <c r="G54" i="5"/>
  <c r="E54" i="5"/>
  <c r="G78" i="5"/>
  <c r="E78" i="5"/>
  <c r="G81" i="5"/>
  <c r="G86" i="5"/>
  <c r="E86" i="5"/>
  <c r="G110" i="5"/>
  <c r="E110" i="5"/>
  <c r="G113" i="5"/>
  <c r="E122" i="5"/>
  <c r="G133" i="5"/>
  <c r="E133" i="5"/>
  <c r="G143" i="5"/>
  <c r="G160" i="5"/>
  <c r="E160" i="5"/>
  <c r="G163" i="5"/>
  <c r="E186" i="5"/>
  <c r="G197" i="5"/>
  <c r="E197" i="5"/>
  <c r="G207" i="5"/>
  <c r="G224" i="5"/>
  <c r="E224" i="5"/>
  <c r="G227" i="5"/>
  <c r="E250" i="5"/>
  <c r="G280" i="5"/>
  <c r="G305" i="5"/>
  <c r="G317" i="5"/>
  <c r="G325" i="5"/>
  <c r="E329" i="5"/>
  <c r="G345" i="5"/>
  <c r="E352" i="5"/>
  <c r="G352" i="5"/>
  <c r="G357" i="5"/>
  <c r="E361" i="5"/>
  <c r="G363" i="5"/>
  <c r="G369" i="5"/>
  <c r="G375" i="5"/>
  <c r="E375" i="5"/>
  <c r="E384" i="5"/>
  <c r="G384" i="5"/>
  <c r="E387" i="5"/>
  <c r="G435" i="5"/>
  <c r="E448" i="5"/>
  <c r="G448" i="5"/>
  <c r="E468" i="5"/>
  <c r="G468" i="5"/>
  <c r="G486" i="5"/>
  <c r="E486" i="5"/>
  <c r="E503" i="5"/>
  <c r="G503" i="5"/>
  <c r="E512" i="5"/>
  <c r="G512" i="5"/>
  <c r="G517" i="5"/>
  <c r="G519" i="5"/>
  <c r="G584" i="5"/>
  <c r="E584" i="5"/>
  <c r="G595" i="5"/>
  <c r="G603" i="5"/>
  <c r="G667" i="5"/>
  <c r="E667" i="5"/>
  <c r="E687" i="5"/>
  <c r="G687" i="5"/>
  <c r="G693" i="5"/>
  <c r="E693" i="5"/>
  <c r="G722" i="5"/>
  <c r="E726" i="5"/>
  <c r="G726" i="5"/>
  <c r="E26" i="5"/>
  <c r="E34" i="5"/>
  <c r="E50" i="5"/>
  <c r="E66" i="5"/>
  <c r="E82" i="5"/>
  <c r="E98" i="5"/>
  <c r="E114" i="5"/>
  <c r="E255" i="5"/>
  <c r="E279" i="5"/>
  <c r="E335" i="5"/>
  <c r="E469" i="5"/>
  <c r="E483" i="5"/>
  <c r="G483" i="5"/>
  <c r="E501" i="5"/>
  <c r="E539" i="5"/>
  <c r="G539" i="5"/>
  <c r="E545" i="5"/>
  <c r="E550" i="5"/>
  <c r="E585" i="5"/>
  <c r="G585" i="5"/>
  <c r="E607" i="5"/>
  <c r="E639" i="5"/>
  <c r="E663" i="5"/>
  <c r="E669" i="5"/>
  <c r="E695" i="5"/>
  <c r="E701" i="5"/>
  <c r="E737" i="5"/>
  <c r="G737" i="5"/>
  <c r="E460" i="5"/>
  <c r="G460" i="5"/>
  <c r="E475" i="5"/>
  <c r="G475" i="5"/>
  <c r="E516" i="5"/>
  <c r="G516" i="5"/>
  <c r="G534" i="5"/>
  <c r="E534" i="5"/>
  <c r="G566" i="5"/>
  <c r="E566" i="5"/>
  <c r="E594" i="5"/>
  <c r="G594" i="5"/>
  <c r="E602" i="5"/>
  <c r="G602" i="5"/>
  <c r="E626" i="5"/>
  <c r="G626" i="5"/>
  <c r="E634" i="5"/>
  <c r="G634" i="5"/>
  <c r="G480" i="5"/>
  <c r="G487" i="5"/>
  <c r="G496" i="5"/>
  <c r="G500" i="5"/>
  <c r="G508" i="5"/>
  <c r="G520" i="5"/>
  <c r="G524" i="5"/>
  <c r="G532" i="5"/>
  <c r="G544" i="5"/>
  <c r="G551" i="5"/>
  <c r="G560" i="5"/>
  <c r="G564" i="5"/>
  <c r="G572" i="5"/>
  <c r="G580" i="5"/>
  <c r="G606" i="5"/>
  <c r="G638" i="5"/>
  <c r="G649" i="5"/>
  <c r="G658" i="5"/>
  <c r="G666" i="5"/>
  <c r="G673" i="5"/>
  <c r="G690" i="5"/>
  <c r="G698" i="5"/>
  <c r="G705" i="5"/>
  <c r="G721" i="5"/>
  <c r="G741" i="5"/>
  <c r="G745" i="5"/>
  <c r="G750" i="5"/>
  <c r="E29" i="5"/>
  <c r="G29" i="5" s="1"/>
  <c r="E129" i="5"/>
  <c r="E145" i="5"/>
  <c r="E153" i="5"/>
  <c r="E161" i="5"/>
  <c r="E177" i="5"/>
  <c r="E193" i="5"/>
  <c r="E209" i="5"/>
  <c r="E225" i="5"/>
  <c r="G306" i="5"/>
  <c r="G326" i="5"/>
  <c r="E326" i="5"/>
  <c r="G498" i="5"/>
  <c r="E498" i="5"/>
  <c r="E555" i="5"/>
  <c r="G555" i="5"/>
  <c r="E598" i="5"/>
  <c r="G598" i="5"/>
  <c r="E617" i="5"/>
  <c r="G617" i="5"/>
  <c r="G736" i="5"/>
  <c r="E736" i="5"/>
  <c r="G60" i="5"/>
  <c r="G76" i="5"/>
  <c r="G92" i="5"/>
  <c r="E118" i="5"/>
  <c r="E126" i="5"/>
  <c r="G129" i="5"/>
  <c r="E134" i="5"/>
  <c r="E142" i="5"/>
  <c r="G145" i="5"/>
  <c r="E150" i="5"/>
  <c r="G153" i="5"/>
  <c r="E222" i="5"/>
  <c r="G225" i="5"/>
  <c r="E230" i="5"/>
  <c r="E238" i="5"/>
  <c r="E246" i="5"/>
  <c r="E316" i="5"/>
  <c r="G316" i="5"/>
  <c r="E348" i="5"/>
  <c r="G348" i="5"/>
  <c r="G350" i="5"/>
  <c r="E350" i="5"/>
  <c r="E356" i="5"/>
  <c r="G356" i="5"/>
  <c r="E364" i="5"/>
  <c r="G364" i="5"/>
  <c r="E380" i="5"/>
  <c r="G380" i="5"/>
  <c r="E415" i="5"/>
  <c r="G415" i="5"/>
  <c r="E431" i="5"/>
  <c r="G431" i="5"/>
  <c r="G562" i="5"/>
  <c r="E562" i="5"/>
  <c r="G574" i="5"/>
  <c r="E574" i="5"/>
  <c r="E582" i="5"/>
  <c r="G582" i="5"/>
  <c r="G708" i="5"/>
  <c r="E708" i="5"/>
  <c r="E710" i="5"/>
  <c r="G710" i="5"/>
  <c r="G732" i="5"/>
  <c r="E732" i="5"/>
  <c r="G748" i="5"/>
  <c r="E748" i="5"/>
  <c r="G16" i="5"/>
  <c r="E27" i="5"/>
  <c r="G32" i="5"/>
  <c r="E43" i="5"/>
  <c r="G48" i="5"/>
  <c r="E59" i="5"/>
  <c r="G64" i="5"/>
  <c r="E75" i="5"/>
  <c r="G80" i="5"/>
  <c r="E91" i="5"/>
  <c r="G96" i="5"/>
  <c r="E107" i="5"/>
  <c r="G112" i="5"/>
  <c r="G116" i="5"/>
  <c r="E116" i="5"/>
  <c r="G118" i="5"/>
  <c r="G124" i="5"/>
  <c r="E124" i="5"/>
  <c r="G126" i="5"/>
  <c r="G132" i="5"/>
  <c r="E132" i="5"/>
  <c r="G134" i="5"/>
  <c r="G140" i="5"/>
  <c r="E140" i="5"/>
  <c r="G142" i="5"/>
  <c r="G148" i="5"/>
  <c r="E148" i="5"/>
  <c r="G150" i="5"/>
  <c r="G156" i="5"/>
  <c r="E156" i="5"/>
  <c r="G164" i="5"/>
  <c r="E164" i="5"/>
  <c r="G172" i="5"/>
  <c r="E172" i="5"/>
  <c r="G180" i="5"/>
  <c r="E180" i="5"/>
  <c r="G188" i="5"/>
  <c r="E188" i="5"/>
  <c r="G196" i="5"/>
  <c r="E196" i="5"/>
  <c r="G204" i="5"/>
  <c r="E204" i="5"/>
  <c r="G212" i="5"/>
  <c r="E212" i="5"/>
  <c r="G220" i="5"/>
  <c r="E220" i="5"/>
  <c r="G222" i="5"/>
  <c r="G228" i="5"/>
  <c r="E228" i="5"/>
  <c r="G230" i="5"/>
  <c r="G236" i="5"/>
  <c r="E236" i="5"/>
  <c r="G238" i="5"/>
  <c r="G244" i="5"/>
  <c r="E244" i="5"/>
  <c r="G246" i="5"/>
  <c r="E276" i="5"/>
  <c r="G276" i="5"/>
  <c r="G278" i="5"/>
  <c r="E278" i="5"/>
  <c r="G290" i="5"/>
  <c r="E308" i="5"/>
  <c r="G308" i="5"/>
  <c r="G310" i="5"/>
  <c r="E310" i="5"/>
  <c r="G322" i="5"/>
  <c r="E340" i="5"/>
  <c r="G340" i="5"/>
  <c r="G342" i="5"/>
  <c r="E342" i="5"/>
  <c r="G354" i="5"/>
  <c r="G362" i="5"/>
  <c r="G370" i="5"/>
  <c r="G378" i="5"/>
  <c r="G386" i="5"/>
  <c r="G411" i="5"/>
  <c r="E427" i="5"/>
  <c r="G427" i="5"/>
  <c r="E479" i="5"/>
  <c r="G479" i="5"/>
  <c r="E495" i="5"/>
  <c r="G495" i="5"/>
  <c r="G558" i="5"/>
  <c r="E558" i="5"/>
  <c r="E633" i="5"/>
  <c r="G660" i="5"/>
  <c r="E660" i="5"/>
  <c r="E662" i="5"/>
  <c r="G662" i="5"/>
  <c r="E681" i="5"/>
  <c r="G681" i="5"/>
  <c r="E121" i="5"/>
  <c r="E137" i="5"/>
  <c r="E169" i="5"/>
  <c r="E185" i="5"/>
  <c r="E201" i="5"/>
  <c r="E217" i="5"/>
  <c r="E233" i="5"/>
  <c r="E241" i="5"/>
  <c r="E249" i="5"/>
  <c r="G258" i="5"/>
  <c r="G266" i="5"/>
  <c r="G274" i="5"/>
  <c r="E292" i="5"/>
  <c r="G292" i="5"/>
  <c r="G294" i="5"/>
  <c r="E294" i="5"/>
  <c r="E324" i="5"/>
  <c r="G324" i="5"/>
  <c r="G338" i="5"/>
  <c r="G430" i="5"/>
  <c r="E430" i="5"/>
  <c r="G510" i="5"/>
  <c r="E510" i="5"/>
  <c r="G514" i="5"/>
  <c r="G596" i="5"/>
  <c r="E596" i="5"/>
  <c r="E697" i="5"/>
  <c r="E12" i="5"/>
  <c r="G12" i="5" s="1"/>
  <c r="G28" i="5"/>
  <c r="G44" i="5"/>
  <c r="G108" i="5"/>
  <c r="E158" i="5"/>
  <c r="G161" i="5"/>
  <c r="E166" i="5"/>
  <c r="G169" i="5"/>
  <c r="E174" i="5"/>
  <c r="G177" i="5"/>
  <c r="E182" i="5"/>
  <c r="G185" i="5"/>
  <c r="E190" i="5"/>
  <c r="G193" i="5"/>
  <c r="E198" i="5"/>
  <c r="G201" i="5"/>
  <c r="E206" i="5"/>
  <c r="G209" i="5"/>
  <c r="E214" i="5"/>
  <c r="E284" i="5"/>
  <c r="G284" i="5"/>
  <c r="G286" i="5"/>
  <c r="E286" i="5"/>
  <c r="G298" i="5"/>
  <c r="G318" i="5"/>
  <c r="E318" i="5"/>
  <c r="G330" i="5"/>
  <c r="E372" i="5"/>
  <c r="G372" i="5"/>
  <c r="G494" i="5"/>
  <c r="E494" i="5"/>
  <c r="E15" i="5"/>
  <c r="E31" i="5"/>
  <c r="E47" i="5"/>
  <c r="E63" i="5"/>
  <c r="E79" i="5"/>
  <c r="E95" i="5"/>
  <c r="E111" i="5"/>
  <c r="G252" i="5"/>
  <c r="E252" i="5"/>
  <c r="G254" i="5"/>
  <c r="E254" i="5"/>
  <c r="E258" i="5"/>
  <c r="E260" i="5"/>
  <c r="G260" i="5"/>
  <c r="G262" i="5"/>
  <c r="E262" i="5"/>
  <c r="E266" i="5"/>
  <c r="E268" i="5"/>
  <c r="G268" i="5"/>
  <c r="G270" i="5"/>
  <c r="E270" i="5"/>
  <c r="E274" i="5"/>
  <c r="G282" i="5"/>
  <c r="E300" i="5"/>
  <c r="G300" i="5"/>
  <c r="G302" i="5"/>
  <c r="E302" i="5"/>
  <c r="E306" i="5"/>
  <c r="G314" i="5"/>
  <c r="E332" i="5"/>
  <c r="G332" i="5"/>
  <c r="G334" i="5"/>
  <c r="E334" i="5"/>
  <c r="E338" i="5"/>
  <c r="G346" i="5"/>
  <c r="G434" i="5"/>
  <c r="E434" i="5"/>
  <c r="G446" i="5"/>
  <c r="E446" i="5"/>
  <c r="G450" i="5"/>
  <c r="E491" i="5"/>
  <c r="G491" i="5"/>
  <c r="E514" i="5"/>
  <c r="E543" i="5"/>
  <c r="G543" i="5"/>
  <c r="E559" i="5"/>
  <c r="G559" i="5"/>
  <c r="G633" i="5"/>
  <c r="G644" i="5"/>
  <c r="E644" i="5"/>
  <c r="E646" i="5"/>
  <c r="G646" i="5"/>
  <c r="G398" i="5"/>
  <c r="E398" i="5"/>
  <c r="E447" i="5"/>
  <c r="G447" i="5"/>
  <c r="G462" i="5"/>
  <c r="E462" i="5"/>
  <c r="E511" i="5"/>
  <c r="G511" i="5"/>
  <c r="G526" i="5"/>
  <c r="E526" i="5"/>
  <c r="E575" i="5"/>
  <c r="G575" i="5"/>
  <c r="G628" i="5"/>
  <c r="E628" i="5"/>
  <c r="E630" i="5"/>
  <c r="G630" i="5"/>
  <c r="G692" i="5"/>
  <c r="E692" i="5"/>
  <c r="E694" i="5"/>
  <c r="G694" i="5"/>
  <c r="E733" i="5"/>
  <c r="G733" i="5"/>
  <c r="G122" i="5"/>
  <c r="G130" i="5"/>
  <c r="G138" i="5"/>
  <c r="G146" i="5"/>
  <c r="G154" i="5"/>
  <c r="G162" i="5"/>
  <c r="G170" i="5"/>
  <c r="G178" i="5"/>
  <c r="G186" i="5"/>
  <c r="G194" i="5"/>
  <c r="G202" i="5"/>
  <c r="G210" i="5"/>
  <c r="G218" i="5"/>
  <c r="G226" i="5"/>
  <c r="G234" i="5"/>
  <c r="G242" i="5"/>
  <c r="G275" i="5"/>
  <c r="G283" i="5"/>
  <c r="G291" i="5"/>
  <c r="G299" i="5"/>
  <c r="G307" i="5"/>
  <c r="G315" i="5"/>
  <c r="G323" i="5"/>
  <c r="G331" i="5"/>
  <c r="G339" i="5"/>
  <c r="G347" i="5"/>
  <c r="E399" i="5"/>
  <c r="G399" i="5"/>
  <c r="G414" i="5"/>
  <c r="E414" i="5"/>
  <c r="G443" i="5"/>
  <c r="E463" i="5"/>
  <c r="G463" i="5"/>
  <c r="G478" i="5"/>
  <c r="E478" i="5"/>
  <c r="G507" i="5"/>
  <c r="E527" i="5"/>
  <c r="G527" i="5"/>
  <c r="G542" i="5"/>
  <c r="E542" i="5"/>
  <c r="G571" i="5"/>
  <c r="G601" i="5"/>
  <c r="G612" i="5"/>
  <c r="E612" i="5"/>
  <c r="E614" i="5"/>
  <c r="G614" i="5"/>
  <c r="G665" i="5"/>
  <c r="G676" i="5"/>
  <c r="E676" i="5"/>
  <c r="E678" i="5"/>
  <c r="G678" i="5"/>
  <c r="E717" i="5"/>
  <c r="G717" i="5"/>
  <c r="E729" i="5"/>
  <c r="G729" i="5"/>
  <c r="E358" i="5"/>
  <c r="E366" i="5"/>
  <c r="E374" i="5"/>
  <c r="E382" i="5"/>
  <c r="E394" i="5"/>
  <c r="E410" i="5"/>
  <c r="E426" i="5"/>
  <c r="E442" i="5"/>
  <c r="E458" i="5"/>
  <c r="E474" i="5"/>
  <c r="E490" i="5"/>
  <c r="E506" i="5"/>
  <c r="E522" i="5"/>
  <c r="E538" i="5"/>
  <c r="E554" i="5"/>
  <c r="E570" i="5"/>
  <c r="E720" i="5"/>
  <c r="E749" i="5"/>
  <c r="G749" i="5"/>
  <c r="G588" i="5"/>
  <c r="E588" i="5"/>
  <c r="G604" i="5"/>
  <c r="E604" i="5"/>
  <c r="G620" i="5"/>
  <c r="E620" i="5"/>
  <c r="G636" i="5"/>
  <c r="E636" i="5"/>
  <c r="G652" i="5"/>
  <c r="E652" i="5"/>
  <c r="G668" i="5"/>
  <c r="E668" i="5"/>
  <c r="G684" i="5"/>
  <c r="E684" i="5"/>
  <c r="G700" i="5"/>
  <c r="E700" i="5"/>
  <c r="G716" i="5"/>
  <c r="E716" i="5"/>
  <c r="E728" i="5"/>
  <c r="E744" i="5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F8" i="5" l="1"/>
  <c r="D50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2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J89" i="4" l="1"/>
  <c r="D89" i="4"/>
  <c r="AJ752" i="5" l="1"/>
  <c r="AI752" i="5"/>
  <c r="AH752" i="5"/>
  <c r="AG752" i="5"/>
  <c r="AF752" i="5"/>
  <c r="AE752" i="5"/>
  <c r="AD752" i="5"/>
  <c r="AC752" i="5"/>
  <c r="AB752" i="5"/>
  <c r="AA752" i="5"/>
  <c r="Z752" i="5"/>
  <c r="Y752" i="5"/>
  <c r="X752" i="5"/>
  <c r="W752" i="5"/>
  <c r="V752" i="5"/>
  <c r="U752" i="5"/>
  <c r="T752" i="5"/>
  <c r="S752" i="5"/>
  <c r="R752" i="5"/>
  <c r="Q752" i="5"/>
  <c r="P752" i="5"/>
  <c r="O752" i="5"/>
  <c r="L752" i="5"/>
  <c r="M752" i="5"/>
  <c r="N752" i="5"/>
  <c r="K752" i="5"/>
  <c r="E1" i="5" l="1"/>
  <c r="AJ6" i="5"/>
  <c r="AJ754" i="5" l="1"/>
  <c r="D88" i="4"/>
  <c r="AS13" i="5" l="1"/>
  <c r="BA13" i="5"/>
  <c r="AZ13" i="5"/>
  <c r="AY13" i="5"/>
  <c r="AS17" i="5"/>
  <c r="BA17" i="5"/>
  <c r="AY17" i="5"/>
  <c r="AZ17" i="5"/>
  <c r="AS21" i="5"/>
  <c r="BA21" i="5"/>
  <c r="AZ21" i="5"/>
  <c r="AY21" i="5"/>
  <c r="AS25" i="5"/>
  <c r="BA25" i="5"/>
  <c r="AY25" i="5"/>
  <c r="AZ25" i="5"/>
  <c r="AZ29" i="5"/>
  <c r="AY29" i="5"/>
  <c r="AS33" i="5"/>
  <c r="BA33" i="5"/>
  <c r="AY33" i="5"/>
  <c r="AZ33" i="5"/>
  <c r="AS37" i="5"/>
  <c r="BA37" i="5"/>
  <c r="AZ37" i="5"/>
  <c r="AY37" i="5"/>
  <c r="AS41" i="5"/>
  <c r="BA41" i="5"/>
  <c r="AY41" i="5"/>
  <c r="AZ41" i="5"/>
  <c r="AS45" i="5"/>
  <c r="BA45" i="5"/>
  <c r="AZ45" i="5"/>
  <c r="AY45" i="5"/>
  <c r="AS49" i="5"/>
  <c r="BA49" i="5"/>
  <c r="AY49" i="5"/>
  <c r="AZ49" i="5"/>
  <c r="AS53" i="5"/>
  <c r="BA53" i="5"/>
  <c r="AZ53" i="5"/>
  <c r="AY53" i="5"/>
  <c r="AS57" i="5"/>
  <c r="BA57" i="5"/>
  <c r="AY57" i="5"/>
  <c r="AZ57" i="5"/>
  <c r="AS61" i="5"/>
  <c r="BA61" i="5"/>
  <c r="AZ61" i="5"/>
  <c r="AY61" i="5"/>
  <c r="AS65" i="5"/>
  <c r="BA65" i="5"/>
  <c r="AY65" i="5"/>
  <c r="AZ65" i="5"/>
  <c r="AS69" i="5"/>
  <c r="BA69" i="5"/>
  <c r="AZ69" i="5"/>
  <c r="AY69" i="5"/>
  <c r="AS73" i="5"/>
  <c r="BA73" i="5"/>
  <c r="AY73" i="5"/>
  <c r="AZ73" i="5"/>
  <c r="AS77" i="5"/>
  <c r="BA77" i="5"/>
  <c r="AZ77" i="5"/>
  <c r="AY77" i="5"/>
  <c r="AS81" i="5"/>
  <c r="BA81" i="5"/>
  <c r="AY81" i="5"/>
  <c r="AZ81" i="5"/>
  <c r="AS85" i="5"/>
  <c r="BA85" i="5"/>
  <c r="AZ85" i="5"/>
  <c r="AY85" i="5"/>
  <c r="AS89" i="5"/>
  <c r="BA89" i="5"/>
  <c r="AY89" i="5"/>
  <c r="AZ89" i="5"/>
  <c r="AS93" i="5"/>
  <c r="BA93" i="5"/>
  <c r="AZ93" i="5"/>
  <c r="AY93" i="5"/>
  <c r="AS97" i="5"/>
  <c r="BA97" i="5"/>
  <c r="AY97" i="5"/>
  <c r="AZ97" i="5"/>
  <c r="AS101" i="5"/>
  <c r="BA101" i="5"/>
  <c r="AZ101" i="5"/>
  <c r="AY101" i="5"/>
  <c r="AS105" i="5"/>
  <c r="BA105" i="5"/>
  <c r="AY105" i="5"/>
  <c r="AZ105" i="5"/>
  <c r="AS109" i="5"/>
  <c r="BA109" i="5"/>
  <c r="AZ109" i="5"/>
  <c r="AY109" i="5"/>
  <c r="AS113" i="5"/>
  <c r="BA113" i="5"/>
  <c r="AY113" i="5"/>
  <c r="AZ113" i="5"/>
  <c r="AS117" i="5"/>
  <c r="BA117" i="5"/>
  <c r="AZ117" i="5"/>
  <c r="AY117" i="5"/>
  <c r="AS121" i="5"/>
  <c r="BA121" i="5"/>
  <c r="AY121" i="5"/>
  <c r="AZ121" i="5"/>
  <c r="AS125" i="5"/>
  <c r="BA125" i="5"/>
  <c r="AZ125" i="5"/>
  <c r="AY125" i="5"/>
  <c r="AS129" i="5"/>
  <c r="BA129" i="5"/>
  <c r="AY129" i="5"/>
  <c r="AZ129" i="5"/>
  <c r="AS133" i="5"/>
  <c r="BA133" i="5"/>
  <c r="AZ133" i="5"/>
  <c r="AY133" i="5"/>
  <c r="AS137" i="5"/>
  <c r="BA137" i="5"/>
  <c r="AY137" i="5"/>
  <c r="AZ137" i="5"/>
  <c r="AS141" i="5"/>
  <c r="BA141" i="5"/>
  <c r="AZ141" i="5"/>
  <c r="AY141" i="5"/>
  <c r="AS145" i="5"/>
  <c r="BA145" i="5"/>
  <c r="AY145" i="5"/>
  <c r="AZ145" i="5"/>
  <c r="AS149" i="5"/>
  <c r="BA149" i="5"/>
  <c r="AZ149" i="5"/>
  <c r="AY149" i="5"/>
  <c r="AS153" i="5"/>
  <c r="BA153" i="5"/>
  <c r="AY153" i="5"/>
  <c r="AZ153" i="5"/>
  <c r="AS157" i="5"/>
  <c r="BA157" i="5"/>
  <c r="AZ157" i="5"/>
  <c r="AY157" i="5"/>
  <c r="AS161" i="5"/>
  <c r="BA161" i="5"/>
  <c r="AY161" i="5"/>
  <c r="AZ161" i="5"/>
  <c r="AS165" i="5"/>
  <c r="BA165" i="5"/>
  <c r="AZ165" i="5"/>
  <c r="AY165" i="5"/>
  <c r="AS169" i="5"/>
  <c r="BA169" i="5"/>
  <c r="AY169" i="5"/>
  <c r="AZ169" i="5"/>
  <c r="AS173" i="5"/>
  <c r="BA173" i="5"/>
  <c r="AZ173" i="5"/>
  <c r="AY173" i="5"/>
  <c r="AS177" i="5"/>
  <c r="BA177" i="5"/>
  <c r="AY177" i="5"/>
  <c r="AZ177" i="5"/>
  <c r="AS181" i="5"/>
  <c r="BA181" i="5"/>
  <c r="AZ181" i="5"/>
  <c r="AY181" i="5"/>
  <c r="AS185" i="5"/>
  <c r="BA185" i="5"/>
  <c r="AY185" i="5"/>
  <c r="AZ185" i="5"/>
  <c r="AS189" i="5"/>
  <c r="BA189" i="5"/>
  <c r="AZ189" i="5"/>
  <c r="AY189" i="5"/>
  <c r="AS193" i="5"/>
  <c r="BA193" i="5"/>
  <c r="AY193" i="5"/>
  <c r="AZ193" i="5"/>
  <c r="AS197" i="5"/>
  <c r="BA197" i="5"/>
  <c r="AZ197" i="5"/>
  <c r="AY197" i="5"/>
  <c r="AS201" i="5"/>
  <c r="BA201" i="5"/>
  <c r="AY201" i="5"/>
  <c r="AZ201" i="5"/>
  <c r="AS205" i="5"/>
  <c r="BA205" i="5"/>
  <c r="AZ205" i="5"/>
  <c r="AY205" i="5"/>
  <c r="AS209" i="5"/>
  <c r="BA209" i="5"/>
  <c r="AY209" i="5"/>
  <c r="AZ209" i="5"/>
  <c r="AS213" i="5"/>
  <c r="BA213" i="5"/>
  <c r="AZ213" i="5"/>
  <c r="AY213" i="5"/>
  <c r="AS217" i="5"/>
  <c r="BA217" i="5"/>
  <c r="AZ217" i="5"/>
  <c r="AY217" i="5"/>
  <c r="AS221" i="5"/>
  <c r="BA221" i="5"/>
  <c r="AZ221" i="5"/>
  <c r="AY221" i="5"/>
  <c r="AS225" i="5"/>
  <c r="BA225" i="5"/>
  <c r="AY225" i="5"/>
  <c r="AZ225" i="5"/>
  <c r="AS229" i="5"/>
  <c r="BA229" i="5"/>
  <c r="AZ229" i="5"/>
  <c r="AY229" i="5"/>
  <c r="AS233" i="5"/>
  <c r="BA233" i="5"/>
  <c r="AY233" i="5"/>
  <c r="AZ233" i="5"/>
  <c r="AS237" i="5"/>
  <c r="BA237" i="5"/>
  <c r="AZ237" i="5"/>
  <c r="AY237" i="5"/>
  <c r="AS241" i="5"/>
  <c r="BA241" i="5"/>
  <c r="AY241" i="5"/>
  <c r="AZ241" i="5"/>
  <c r="AS245" i="5"/>
  <c r="BA245" i="5"/>
  <c r="AZ245" i="5"/>
  <c r="AY245" i="5"/>
  <c r="AS249" i="5"/>
  <c r="BA249" i="5"/>
  <c r="AZ249" i="5"/>
  <c r="AY249" i="5"/>
  <c r="AS253" i="5"/>
  <c r="BA253" i="5"/>
  <c r="AZ253" i="5"/>
  <c r="AY253" i="5"/>
  <c r="AS257" i="5"/>
  <c r="BA257" i="5"/>
  <c r="AY257" i="5"/>
  <c r="AZ257" i="5"/>
  <c r="AS261" i="5"/>
  <c r="BA261" i="5"/>
  <c r="AZ261" i="5"/>
  <c r="AY261" i="5"/>
  <c r="AS265" i="5"/>
  <c r="BA265" i="5"/>
  <c r="AY265" i="5"/>
  <c r="AZ265" i="5"/>
  <c r="AS269" i="5"/>
  <c r="BA269" i="5"/>
  <c r="AZ269" i="5"/>
  <c r="AY269" i="5"/>
  <c r="AS273" i="5"/>
  <c r="BA273" i="5"/>
  <c r="AY273" i="5"/>
  <c r="AZ273" i="5"/>
  <c r="AS277" i="5"/>
  <c r="BA277" i="5"/>
  <c r="AZ277" i="5"/>
  <c r="AY277" i="5"/>
  <c r="AS281" i="5"/>
  <c r="BA281" i="5"/>
  <c r="AZ281" i="5"/>
  <c r="AY281" i="5"/>
  <c r="AS285" i="5"/>
  <c r="BA285" i="5"/>
  <c r="AZ285" i="5"/>
  <c r="AY285" i="5"/>
  <c r="AS289" i="5"/>
  <c r="BA289" i="5"/>
  <c r="AY289" i="5"/>
  <c r="AZ289" i="5"/>
  <c r="AS293" i="5"/>
  <c r="BA293" i="5"/>
  <c r="AZ293" i="5"/>
  <c r="AY293" i="5"/>
  <c r="AS297" i="5"/>
  <c r="BA297" i="5"/>
  <c r="AY297" i="5"/>
  <c r="AZ297" i="5"/>
  <c r="AS301" i="5"/>
  <c r="BA301" i="5"/>
  <c r="AZ301" i="5"/>
  <c r="AY301" i="5"/>
  <c r="AS305" i="5"/>
  <c r="BA305" i="5"/>
  <c r="AY305" i="5"/>
  <c r="AZ305" i="5"/>
  <c r="AS309" i="5"/>
  <c r="BA309" i="5"/>
  <c r="AZ309" i="5"/>
  <c r="AY309" i="5"/>
  <c r="AS313" i="5"/>
  <c r="BA313" i="5"/>
  <c r="AZ313" i="5"/>
  <c r="AY313" i="5"/>
  <c r="AS317" i="5"/>
  <c r="BA317" i="5"/>
  <c r="AZ317" i="5"/>
  <c r="AY317" i="5"/>
  <c r="AS321" i="5"/>
  <c r="BA321" i="5"/>
  <c r="AY321" i="5"/>
  <c r="AZ321" i="5"/>
  <c r="AS325" i="5"/>
  <c r="BA325" i="5"/>
  <c r="AZ325" i="5"/>
  <c r="AY325" i="5"/>
  <c r="AS329" i="5"/>
  <c r="BA329" i="5"/>
  <c r="AY329" i="5"/>
  <c r="AZ329" i="5"/>
  <c r="AS333" i="5"/>
  <c r="BA333" i="5"/>
  <c r="AZ333" i="5"/>
  <c r="AY333" i="5"/>
  <c r="AS337" i="5"/>
  <c r="BA337" i="5"/>
  <c r="AY337" i="5"/>
  <c r="AZ337" i="5"/>
  <c r="AS341" i="5"/>
  <c r="BA341" i="5"/>
  <c r="AZ341" i="5"/>
  <c r="AY341" i="5"/>
  <c r="AS345" i="5"/>
  <c r="BA345" i="5"/>
  <c r="AZ345" i="5"/>
  <c r="AY345" i="5"/>
  <c r="AS349" i="5"/>
  <c r="BA349" i="5"/>
  <c r="AZ349" i="5"/>
  <c r="AY349" i="5"/>
  <c r="AS353" i="5"/>
  <c r="BA353" i="5"/>
  <c r="AY353" i="5"/>
  <c r="AZ353" i="5"/>
  <c r="AS357" i="5"/>
  <c r="BA357" i="5"/>
  <c r="AZ357" i="5"/>
  <c r="AY357" i="5"/>
  <c r="AS361" i="5"/>
  <c r="BA361" i="5"/>
  <c r="AY361" i="5"/>
  <c r="AZ361" i="5"/>
  <c r="AS365" i="5"/>
  <c r="BA365" i="5"/>
  <c r="AZ365" i="5"/>
  <c r="AY365" i="5"/>
  <c r="AS369" i="5"/>
  <c r="BA369" i="5"/>
  <c r="AY369" i="5"/>
  <c r="AZ369" i="5"/>
  <c r="AS373" i="5"/>
  <c r="BA373" i="5"/>
  <c r="AZ373" i="5"/>
  <c r="AY373" i="5"/>
  <c r="AS377" i="5"/>
  <c r="BA377" i="5"/>
  <c r="AZ377" i="5"/>
  <c r="AY377" i="5"/>
  <c r="AS381" i="5"/>
  <c r="BA381" i="5"/>
  <c r="AZ381" i="5"/>
  <c r="AY381" i="5"/>
  <c r="AS385" i="5"/>
  <c r="BA385" i="5"/>
  <c r="AY385" i="5"/>
  <c r="AZ385" i="5"/>
  <c r="AS389" i="5"/>
  <c r="BA389" i="5"/>
  <c r="AZ389" i="5"/>
  <c r="AY389" i="5"/>
  <c r="AS393" i="5"/>
  <c r="BA393" i="5"/>
  <c r="AY393" i="5"/>
  <c r="AZ393" i="5"/>
  <c r="AS397" i="5"/>
  <c r="BA397" i="5"/>
  <c r="AZ397" i="5"/>
  <c r="AY397" i="5"/>
  <c r="AS401" i="5"/>
  <c r="BA401" i="5"/>
  <c r="AY401" i="5"/>
  <c r="AZ401" i="5"/>
  <c r="AS405" i="5"/>
  <c r="BA405" i="5"/>
  <c r="AZ405" i="5"/>
  <c r="AY405" i="5"/>
  <c r="AS409" i="5"/>
  <c r="BA409" i="5"/>
  <c r="AZ409" i="5"/>
  <c r="AY409" i="5"/>
  <c r="AS413" i="5"/>
  <c r="BA413" i="5"/>
  <c r="AZ413" i="5"/>
  <c r="AY413" i="5"/>
  <c r="AS417" i="5"/>
  <c r="BA417" i="5"/>
  <c r="AY417" i="5"/>
  <c r="AZ417" i="5"/>
  <c r="AS421" i="5"/>
  <c r="BA421" i="5"/>
  <c r="AZ421" i="5"/>
  <c r="AY421" i="5"/>
  <c r="AS425" i="5"/>
  <c r="BA425" i="5"/>
  <c r="AY425" i="5"/>
  <c r="AZ425" i="5"/>
  <c r="AS429" i="5"/>
  <c r="BA429" i="5"/>
  <c r="AZ429" i="5"/>
  <c r="AY429" i="5"/>
  <c r="AS433" i="5"/>
  <c r="BA433" i="5"/>
  <c r="AY433" i="5"/>
  <c r="AZ433" i="5"/>
  <c r="AS437" i="5"/>
  <c r="BA437" i="5"/>
  <c r="AZ437" i="5"/>
  <c r="AY437" i="5"/>
  <c r="AS441" i="5"/>
  <c r="BA441" i="5"/>
  <c r="AZ441" i="5"/>
  <c r="AY441" i="5"/>
  <c r="AS445" i="5"/>
  <c r="BA445" i="5"/>
  <c r="AZ445" i="5"/>
  <c r="AY445" i="5"/>
  <c r="AS449" i="5"/>
  <c r="BA449" i="5"/>
  <c r="AY449" i="5"/>
  <c r="AZ449" i="5"/>
  <c r="AS453" i="5"/>
  <c r="BA453" i="5"/>
  <c r="AZ453" i="5"/>
  <c r="AY453" i="5"/>
  <c r="AS457" i="5"/>
  <c r="BA457" i="5"/>
  <c r="AY457" i="5"/>
  <c r="AZ457" i="5"/>
  <c r="AS461" i="5"/>
  <c r="BA461" i="5"/>
  <c r="AZ461" i="5"/>
  <c r="AY461" i="5"/>
  <c r="AS465" i="5"/>
  <c r="BA465" i="5"/>
  <c r="AY465" i="5"/>
  <c r="AZ465" i="5"/>
  <c r="AS469" i="5"/>
  <c r="BA469" i="5"/>
  <c r="AZ469" i="5"/>
  <c r="AY469" i="5"/>
  <c r="AS473" i="5"/>
  <c r="BA473" i="5"/>
  <c r="AZ473" i="5"/>
  <c r="AY473" i="5"/>
  <c r="AS477" i="5"/>
  <c r="BA477" i="5"/>
  <c r="AZ477" i="5"/>
  <c r="AY477" i="5"/>
  <c r="AS481" i="5"/>
  <c r="BA481" i="5"/>
  <c r="AY481" i="5"/>
  <c r="AZ481" i="5"/>
  <c r="AS485" i="5"/>
  <c r="BA485" i="5"/>
  <c r="AZ485" i="5"/>
  <c r="AY485" i="5"/>
  <c r="AS489" i="5"/>
  <c r="BA489" i="5"/>
  <c r="AY489" i="5"/>
  <c r="AZ489" i="5"/>
  <c r="AS493" i="5"/>
  <c r="BA493" i="5"/>
  <c r="AZ493" i="5"/>
  <c r="AY493" i="5"/>
  <c r="AS497" i="5"/>
  <c r="BA497" i="5"/>
  <c r="AY497" i="5"/>
  <c r="AZ497" i="5"/>
  <c r="AS501" i="5"/>
  <c r="BA501" i="5"/>
  <c r="AZ501" i="5"/>
  <c r="AY501" i="5"/>
  <c r="AS505" i="5"/>
  <c r="BA505" i="5"/>
  <c r="AZ505" i="5"/>
  <c r="AY505" i="5"/>
  <c r="AS509" i="5"/>
  <c r="BA509" i="5"/>
  <c r="AZ509" i="5"/>
  <c r="AY509" i="5"/>
  <c r="AS513" i="5"/>
  <c r="BA513" i="5"/>
  <c r="AY513" i="5"/>
  <c r="AZ513" i="5"/>
  <c r="AS517" i="5"/>
  <c r="BA517" i="5"/>
  <c r="AZ517" i="5"/>
  <c r="AY517" i="5"/>
  <c r="AS521" i="5"/>
  <c r="BA521" i="5"/>
  <c r="AY521" i="5"/>
  <c r="AZ521" i="5"/>
  <c r="AS525" i="5"/>
  <c r="BA525" i="5"/>
  <c r="AZ525" i="5"/>
  <c r="AY525" i="5"/>
  <c r="AS529" i="5"/>
  <c r="BA529" i="5"/>
  <c r="AY529" i="5"/>
  <c r="AZ529" i="5"/>
  <c r="AS533" i="5"/>
  <c r="BA533" i="5"/>
  <c r="AZ533" i="5"/>
  <c r="AY533" i="5"/>
  <c r="AS537" i="5"/>
  <c r="BA537" i="5"/>
  <c r="AZ537" i="5"/>
  <c r="AY537" i="5"/>
  <c r="AS541" i="5"/>
  <c r="BA541" i="5"/>
  <c r="AZ541" i="5"/>
  <c r="AY541" i="5"/>
  <c r="AS545" i="5"/>
  <c r="BA545" i="5"/>
  <c r="AY545" i="5"/>
  <c r="AZ545" i="5"/>
  <c r="AS549" i="5"/>
  <c r="BA549" i="5"/>
  <c r="AZ549" i="5"/>
  <c r="AY549" i="5"/>
  <c r="AS553" i="5"/>
  <c r="BA553" i="5"/>
  <c r="AY553" i="5"/>
  <c r="AZ553" i="5"/>
  <c r="AS557" i="5"/>
  <c r="BA557" i="5"/>
  <c r="AZ557" i="5"/>
  <c r="AY557" i="5"/>
  <c r="AS561" i="5"/>
  <c r="BA561" i="5"/>
  <c r="AY561" i="5"/>
  <c r="AZ561" i="5"/>
  <c r="AS565" i="5"/>
  <c r="BA565" i="5"/>
  <c r="AZ565" i="5"/>
  <c r="AY565" i="5"/>
  <c r="AS569" i="5"/>
  <c r="BA569" i="5"/>
  <c r="AZ569" i="5"/>
  <c r="AY569" i="5"/>
  <c r="AS573" i="5"/>
  <c r="BA573" i="5"/>
  <c r="AZ573" i="5"/>
  <c r="AY573" i="5"/>
  <c r="AS577" i="5"/>
  <c r="BA577" i="5"/>
  <c r="AY577" i="5"/>
  <c r="AZ577" i="5"/>
  <c r="AS581" i="5"/>
  <c r="BA581" i="5"/>
  <c r="AZ581" i="5"/>
  <c r="AY581" i="5"/>
  <c r="AS585" i="5"/>
  <c r="BA585" i="5"/>
  <c r="AY585" i="5"/>
  <c r="AZ585" i="5"/>
  <c r="AS589" i="5"/>
  <c r="BA589" i="5"/>
  <c r="AZ589" i="5"/>
  <c r="AY589" i="5"/>
  <c r="AS593" i="5"/>
  <c r="BA593" i="5"/>
  <c r="AY593" i="5"/>
  <c r="AZ593" i="5"/>
  <c r="AS597" i="5"/>
  <c r="BA597" i="5"/>
  <c r="AZ597" i="5"/>
  <c r="AY597" i="5"/>
  <c r="AS601" i="5"/>
  <c r="BA601" i="5"/>
  <c r="AZ601" i="5"/>
  <c r="AY601" i="5"/>
  <c r="AS605" i="5"/>
  <c r="BA605" i="5"/>
  <c r="AZ605" i="5"/>
  <c r="AY605" i="5"/>
  <c r="AS609" i="5"/>
  <c r="BA609" i="5"/>
  <c r="AY609" i="5"/>
  <c r="AZ609" i="5"/>
  <c r="AS613" i="5"/>
  <c r="BA613" i="5"/>
  <c r="AZ613" i="5"/>
  <c r="AY613" i="5"/>
  <c r="AS617" i="5"/>
  <c r="BA617" i="5"/>
  <c r="AY617" i="5"/>
  <c r="AZ617" i="5"/>
  <c r="AS621" i="5"/>
  <c r="BA621" i="5"/>
  <c r="AZ621" i="5"/>
  <c r="AY621" i="5"/>
  <c r="AS625" i="5"/>
  <c r="BA625" i="5"/>
  <c r="AY625" i="5"/>
  <c r="AZ625" i="5"/>
  <c r="AS629" i="5"/>
  <c r="BA629" i="5"/>
  <c r="AY629" i="5"/>
  <c r="AZ629" i="5"/>
  <c r="AS633" i="5"/>
  <c r="BA633" i="5"/>
  <c r="AY633" i="5"/>
  <c r="AZ633" i="5"/>
  <c r="AS637" i="5"/>
  <c r="BA637" i="5"/>
  <c r="AY637" i="5"/>
  <c r="AZ637" i="5"/>
  <c r="AS641" i="5"/>
  <c r="BA641" i="5"/>
  <c r="AY641" i="5"/>
  <c r="AZ641" i="5"/>
  <c r="AS645" i="5"/>
  <c r="BA645" i="5"/>
  <c r="AY645" i="5"/>
  <c r="AZ645" i="5"/>
  <c r="AS649" i="5"/>
  <c r="BA649" i="5"/>
  <c r="AY649" i="5"/>
  <c r="AZ649" i="5"/>
  <c r="AS653" i="5"/>
  <c r="BA653" i="5"/>
  <c r="AY653" i="5"/>
  <c r="AZ653" i="5"/>
  <c r="AS657" i="5"/>
  <c r="BA657" i="5"/>
  <c r="AY657" i="5"/>
  <c r="AZ657" i="5"/>
  <c r="AS661" i="5"/>
  <c r="BA661" i="5"/>
  <c r="AY661" i="5"/>
  <c r="AZ661" i="5"/>
  <c r="AS665" i="5"/>
  <c r="BA665" i="5"/>
  <c r="AY665" i="5"/>
  <c r="AZ665" i="5"/>
  <c r="AS669" i="5"/>
  <c r="BA669" i="5"/>
  <c r="AY669" i="5"/>
  <c r="AZ669" i="5"/>
  <c r="AS673" i="5"/>
  <c r="BA673" i="5"/>
  <c r="AY673" i="5"/>
  <c r="AZ673" i="5"/>
  <c r="AS677" i="5"/>
  <c r="BA677" i="5"/>
  <c r="AY677" i="5"/>
  <c r="AZ677" i="5"/>
  <c r="AS681" i="5"/>
  <c r="BA681" i="5"/>
  <c r="AY681" i="5"/>
  <c r="AZ681" i="5"/>
  <c r="AS685" i="5"/>
  <c r="BA685" i="5"/>
  <c r="AY685" i="5"/>
  <c r="AZ685" i="5"/>
  <c r="AS689" i="5"/>
  <c r="BA689" i="5"/>
  <c r="AY689" i="5"/>
  <c r="AZ689" i="5"/>
  <c r="AS693" i="5"/>
  <c r="BA693" i="5"/>
  <c r="AY693" i="5"/>
  <c r="AZ693" i="5"/>
  <c r="AS697" i="5"/>
  <c r="BA697" i="5"/>
  <c r="AY697" i="5"/>
  <c r="AZ697" i="5"/>
  <c r="AS701" i="5"/>
  <c r="BA701" i="5"/>
  <c r="AY701" i="5"/>
  <c r="AZ701" i="5"/>
  <c r="AS705" i="5"/>
  <c r="BA705" i="5"/>
  <c r="AY705" i="5"/>
  <c r="AZ705" i="5"/>
  <c r="AS709" i="5"/>
  <c r="BA709" i="5"/>
  <c r="AY709" i="5"/>
  <c r="AZ709" i="5"/>
  <c r="AS713" i="5"/>
  <c r="BA713" i="5"/>
  <c r="AY713" i="5"/>
  <c r="AZ713" i="5"/>
  <c r="AS717" i="5"/>
  <c r="BA717" i="5"/>
  <c r="AY717" i="5"/>
  <c r="AZ717" i="5"/>
  <c r="AS721" i="5"/>
  <c r="BA721" i="5"/>
  <c r="AY721" i="5"/>
  <c r="AZ721" i="5"/>
  <c r="AS725" i="5"/>
  <c r="BA725" i="5"/>
  <c r="AY725" i="5"/>
  <c r="AZ725" i="5"/>
  <c r="AS729" i="5"/>
  <c r="BA729" i="5"/>
  <c r="AY729" i="5"/>
  <c r="AZ729" i="5"/>
  <c r="AS733" i="5"/>
  <c r="BA733" i="5"/>
  <c r="AY733" i="5"/>
  <c r="AZ733" i="5"/>
  <c r="AS737" i="5"/>
  <c r="BA737" i="5"/>
  <c r="AY737" i="5"/>
  <c r="AZ737" i="5"/>
  <c r="AS741" i="5"/>
  <c r="BA741" i="5"/>
  <c r="AY741" i="5"/>
  <c r="AZ741" i="5"/>
  <c r="AS745" i="5"/>
  <c r="BA745" i="5"/>
  <c r="AY745" i="5"/>
  <c r="AZ745" i="5"/>
  <c r="AS749" i="5"/>
  <c r="BA749" i="5"/>
  <c r="AY749" i="5"/>
  <c r="AZ749" i="5"/>
  <c r="AS10" i="5"/>
  <c r="AZ10" i="5"/>
  <c r="BA10" i="5"/>
  <c r="AY10" i="5"/>
  <c r="AS14" i="5"/>
  <c r="AZ14" i="5"/>
  <c r="BA14" i="5"/>
  <c r="AY14" i="5"/>
  <c r="AS18" i="5"/>
  <c r="AZ18" i="5"/>
  <c r="BA18" i="5"/>
  <c r="AY18" i="5"/>
  <c r="AS22" i="5"/>
  <c r="AZ22" i="5"/>
  <c r="AY22" i="5"/>
  <c r="BA22" i="5"/>
  <c r="AS26" i="5"/>
  <c r="AZ26" i="5"/>
  <c r="BA26" i="5"/>
  <c r="AY26" i="5"/>
  <c r="AS30" i="5"/>
  <c r="AZ30" i="5"/>
  <c r="BA30" i="5"/>
  <c r="AY30" i="5"/>
  <c r="AS34" i="5"/>
  <c r="AZ34" i="5"/>
  <c r="BA34" i="5"/>
  <c r="AY34" i="5"/>
  <c r="AS38" i="5"/>
  <c r="AZ38" i="5"/>
  <c r="BA38" i="5"/>
  <c r="AY38" i="5"/>
  <c r="AS42" i="5"/>
  <c r="AZ42" i="5"/>
  <c r="BA42" i="5"/>
  <c r="AY42" i="5"/>
  <c r="AS46" i="5"/>
  <c r="AZ46" i="5"/>
  <c r="BA46" i="5"/>
  <c r="AY46" i="5"/>
  <c r="AS50" i="5"/>
  <c r="AZ50" i="5"/>
  <c r="BA50" i="5"/>
  <c r="AY50" i="5"/>
  <c r="AS54" i="5"/>
  <c r="AZ54" i="5"/>
  <c r="AY54" i="5"/>
  <c r="BA54" i="5"/>
  <c r="AS58" i="5"/>
  <c r="AZ58" i="5"/>
  <c r="BA58" i="5"/>
  <c r="AY58" i="5"/>
  <c r="AS62" i="5"/>
  <c r="AZ62" i="5"/>
  <c r="BA62" i="5"/>
  <c r="AY62" i="5"/>
  <c r="AS66" i="5"/>
  <c r="AZ66" i="5"/>
  <c r="BA66" i="5"/>
  <c r="AY66" i="5"/>
  <c r="AS70" i="5"/>
  <c r="AZ70" i="5"/>
  <c r="BA70" i="5"/>
  <c r="AY70" i="5"/>
  <c r="AS74" i="5"/>
  <c r="AZ74" i="5"/>
  <c r="BA74" i="5"/>
  <c r="AY74" i="5"/>
  <c r="AS78" i="5"/>
  <c r="AZ78" i="5"/>
  <c r="BA78" i="5"/>
  <c r="AY78" i="5"/>
  <c r="AS82" i="5"/>
  <c r="AZ82" i="5"/>
  <c r="BA82" i="5"/>
  <c r="AY82" i="5"/>
  <c r="AS86" i="5"/>
  <c r="AZ86" i="5"/>
  <c r="AY86" i="5"/>
  <c r="BA86" i="5"/>
  <c r="AS90" i="5"/>
  <c r="AZ90" i="5"/>
  <c r="BA90" i="5"/>
  <c r="AY90" i="5"/>
  <c r="AS94" i="5"/>
  <c r="AZ94" i="5"/>
  <c r="BA94" i="5"/>
  <c r="AY94" i="5"/>
  <c r="AS98" i="5"/>
  <c r="AZ98" i="5"/>
  <c r="BA98" i="5"/>
  <c r="AY98" i="5"/>
  <c r="AS102" i="5"/>
  <c r="AZ102" i="5"/>
  <c r="BA102" i="5"/>
  <c r="AY102" i="5"/>
  <c r="AS106" i="5"/>
  <c r="AZ106" i="5"/>
  <c r="BA106" i="5"/>
  <c r="AY106" i="5"/>
  <c r="AS110" i="5"/>
  <c r="AZ110" i="5"/>
  <c r="BA110" i="5"/>
  <c r="AY110" i="5"/>
  <c r="AS114" i="5"/>
  <c r="AZ114" i="5"/>
  <c r="BA114" i="5"/>
  <c r="AY114" i="5"/>
  <c r="AS118" i="5"/>
  <c r="AZ118" i="5"/>
  <c r="AY118" i="5"/>
  <c r="BA118" i="5"/>
  <c r="AS122" i="5"/>
  <c r="AZ122" i="5"/>
  <c r="BA122" i="5"/>
  <c r="AY122" i="5"/>
  <c r="AS126" i="5"/>
  <c r="AZ126" i="5"/>
  <c r="BA126" i="5"/>
  <c r="AY126" i="5"/>
  <c r="AS130" i="5"/>
  <c r="AZ130" i="5"/>
  <c r="BA130" i="5"/>
  <c r="AY130" i="5"/>
  <c r="AS134" i="5"/>
  <c r="AZ134" i="5"/>
  <c r="AY134" i="5"/>
  <c r="BA134" i="5"/>
  <c r="AS138" i="5"/>
  <c r="AZ138" i="5"/>
  <c r="BA138" i="5"/>
  <c r="AY138" i="5"/>
  <c r="AS142" i="5"/>
  <c r="AZ142" i="5"/>
  <c r="BA142" i="5"/>
  <c r="AY142" i="5"/>
  <c r="AS146" i="5"/>
  <c r="AZ146" i="5"/>
  <c r="BA146" i="5"/>
  <c r="AY146" i="5"/>
  <c r="AS150" i="5"/>
  <c r="AZ150" i="5"/>
  <c r="AY150" i="5"/>
  <c r="BA150" i="5"/>
  <c r="AS154" i="5"/>
  <c r="AZ154" i="5"/>
  <c r="BA154" i="5"/>
  <c r="AY154" i="5"/>
  <c r="AS158" i="5"/>
  <c r="AZ158" i="5"/>
  <c r="BA158" i="5"/>
  <c r="AY158" i="5"/>
  <c r="AS162" i="5"/>
  <c r="AZ162" i="5"/>
  <c r="BA162" i="5"/>
  <c r="AY162" i="5"/>
  <c r="AS166" i="5"/>
  <c r="AZ166" i="5"/>
  <c r="AY166" i="5"/>
  <c r="BA166" i="5"/>
  <c r="AS170" i="5"/>
  <c r="AZ170" i="5"/>
  <c r="BA170" i="5"/>
  <c r="AY170" i="5"/>
  <c r="AS174" i="5"/>
  <c r="AZ174" i="5"/>
  <c r="BA174" i="5"/>
  <c r="AY174" i="5"/>
  <c r="AS178" i="5"/>
  <c r="AZ178" i="5"/>
  <c r="BA178" i="5"/>
  <c r="AY178" i="5"/>
  <c r="AS182" i="5"/>
  <c r="AZ182" i="5"/>
  <c r="AY182" i="5"/>
  <c r="BA182" i="5"/>
  <c r="AS186" i="5"/>
  <c r="AZ186" i="5"/>
  <c r="BA186" i="5"/>
  <c r="AY186" i="5"/>
  <c r="AS190" i="5"/>
  <c r="AZ190" i="5"/>
  <c r="BA190" i="5"/>
  <c r="AY190" i="5"/>
  <c r="AS194" i="5"/>
  <c r="AZ194" i="5"/>
  <c r="BA194" i="5"/>
  <c r="AY194" i="5"/>
  <c r="AS198" i="5"/>
  <c r="AZ198" i="5"/>
  <c r="BA198" i="5"/>
  <c r="AY198" i="5"/>
  <c r="AS202" i="5"/>
  <c r="AZ202" i="5"/>
  <c r="BA202" i="5"/>
  <c r="AY202" i="5"/>
  <c r="AS206" i="5"/>
  <c r="AZ206" i="5"/>
  <c r="BA206" i="5"/>
  <c r="AY206" i="5"/>
  <c r="AS210" i="5"/>
  <c r="AZ210" i="5"/>
  <c r="BA210" i="5"/>
  <c r="AY210" i="5"/>
  <c r="AS214" i="5"/>
  <c r="AZ214" i="5"/>
  <c r="AY214" i="5"/>
  <c r="BA214" i="5"/>
  <c r="AS218" i="5"/>
  <c r="AZ218" i="5"/>
  <c r="BA218" i="5"/>
  <c r="AY218" i="5"/>
  <c r="AS222" i="5"/>
  <c r="AZ222" i="5"/>
  <c r="BA222" i="5"/>
  <c r="AY222" i="5"/>
  <c r="AS226" i="5"/>
  <c r="AZ226" i="5"/>
  <c r="BA226" i="5"/>
  <c r="AY226" i="5"/>
  <c r="AS230" i="5"/>
  <c r="AZ230" i="5"/>
  <c r="BA230" i="5"/>
  <c r="AY230" i="5"/>
  <c r="AS234" i="5"/>
  <c r="AZ234" i="5"/>
  <c r="BA234" i="5"/>
  <c r="AY234" i="5"/>
  <c r="AS238" i="5"/>
  <c r="AZ238" i="5"/>
  <c r="BA238" i="5"/>
  <c r="AY238" i="5"/>
  <c r="AS242" i="5"/>
  <c r="AZ242" i="5"/>
  <c r="BA242" i="5"/>
  <c r="AY242" i="5"/>
  <c r="AS246" i="5"/>
  <c r="AZ246" i="5"/>
  <c r="AY246" i="5"/>
  <c r="BA246" i="5"/>
  <c r="AS250" i="5"/>
  <c r="AZ250" i="5"/>
  <c r="BA250" i="5"/>
  <c r="AY250" i="5"/>
  <c r="AS254" i="5"/>
  <c r="AZ254" i="5"/>
  <c r="BA254" i="5"/>
  <c r="AY254" i="5"/>
  <c r="AS258" i="5"/>
  <c r="AZ258" i="5"/>
  <c r="BA258" i="5"/>
  <c r="AY258" i="5"/>
  <c r="AS262" i="5"/>
  <c r="AZ262" i="5"/>
  <c r="BA262" i="5"/>
  <c r="AY262" i="5"/>
  <c r="AS266" i="5"/>
  <c r="AZ266" i="5"/>
  <c r="BA266" i="5"/>
  <c r="AY266" i="5"/>
  <c r="AS270" i="5"/>
  <c r="AZ270" i="5"/>
  <c r="BA270" i="5"/>
  <c r="AY270" i="5"/>
  <c r="AS274" i="5"/>
  <c r="AZ274" i="5"/>
  <c r="BA274" i="5"/>
  <c r="AY274" i="5"/>
  <c r="AS278" i="5"/>
  <c r="AZ278" i="5"/>
  <c r="AY278" i="5"/>
  <c r="BA278" i="5"/>
  <c r="AS282" i="5"/>
  <c r="AZ282" i="5"/>
  <c r="BA282" i="5"/>
  <c r="AY282" i="5"/>
  <c r="AS286" i="5"/>
  <c r="AZ286" i="5"/>
  <c r="BA286" i="5"/>
  <c r="AY286" i="5"/>
  <c r="AS290" i="5"/>
  <c r="AZ290" i="5"/>
  <c r="BA290" i="5"/>
  <c r="AY290" i="5"/>
  <c r="AS294" i="5"/>
  <c r="AZ294" i="5"/>
  <c r="BA294" i="5"/>
  <c r="AY294" i="5"/>
  <c r="AS298" i="5"/>
  <c r="AZ298" i="5"/>
  <c r="BA298" i="5"/>
  <c r="AY298" i="5"/>
  <c r="AS302" i="5"/>
  <c r="AZ302" i="5"/>
  <c r="BA302" i="5"/>
  <c r="AY302" i="5"/>
  <c r="AS306" i="5"/>
  <c r="AZ306" i="5"/>
  <c r="BA306" i="5"/>
  <c r="AY306" i="5"/>
  <c r="AS310" i="5"/>
  <c r="AZ310" i="5"/>
  <c r="AY310" i="5"/>
  <c r="BA310" i="5"/>
  <c r="AS314" i="5"/>
  <c r="AZ314" i="5"/>
  <c r="BA314" i="5"/>
  <c r="AY314" i="5"/>
  <c r="AS318" i="5"/>
  <c r="AZ318" i="5"/>
  <c r="BA318" i="5"/>
  <c r="AY318" i="5"/>
  <c r="AS322" i="5"/>
  <c r="AZ322" i="5"/>
  <c r="BA322" i="5"/>
  <c r="AY322" i="5"/>
  <c r="AS326" i="5"/>
  <c r="AZ326" i="5"/>
  <c r="AY326" i="5"/>
  <c r="BA326" i="5"/>
  <c r="AS330" i="5"/>
  <c r="AZ330" i="5"/>
  <c r="BA330" i="5"/>
  <c r="AY330" i="5"/>
  <c r="AS334" i="5"/>
  <c r="AZ334" i="5"/>
  <c r="BA334" i="5"/>
  <c r="AY334" i="5"/>
  <c r="AS338" i="5"/>
  <c r="AZ338" i="5"/>
  <c r="BA338" i="5"/>
  <c r="AY338" i="5"/>
  <c r="AS342" i="5"/>
  <c r="AZ342" i="5"/>
  <c r="AY342" i="5"/>
  <c r="BA342" i="5"/>
  <c r="AS346" i="5"/>
  <c r="AZ346" i="5"/>
  <c r="BA346" i="5"/>
  <c r="AY346" i="5"/>
  <c r="AS350" i="5"/>
  <c r="AZ350" i="5"/>
  <c r="BA350" i="5"/>
  <c r="AY350" i="5"/>
  <c r="AS354" i="5"/>
  <c r="AZ354" i="5"/>
  <c r="BA354" i="5"/>
  <c r="AY354" i="5"/>
  <c r="AS358" i="5"/>
  <c r="AZ358" i="5"/>
  <c r="AY358" i="5"/>
  <c r="BA358" i="5"/>
  <c r="AS362" i="5"/>
  <c r="AZ362" i="5"/>
  <c r="BA362" i="5"/>
  <c r="AY362" i="5"/>
  <c r="AS366" i="5"/>
  <c r="AZ366" i="5"/>
  <c r="BA366" i="5"/>
  <c r="AY366" i="5"/>
  <c r="AS370" i="5"/>
  <c r="AZ370" i="5"/>
  <c r="BA370" i="5"/>
  <c r="AY370" i="5"/>
  <c r="AS374" i="5"/>
  <c r="AZ374" i="5"/>
  <c r="AY374" i="5"/>
  <c r="BA374" i="5"/>
  <c r="AS378" i="5"/>
  <c r="AZ378" i="5"/>
  <c r="BA378" i="5"/>
  <c r="AY378" i="5"/>
  <c r="AS382" i="5"/>
  <c r="AZ382" i="5"/>
  <c r="BA382" i="5"/>
  <c r="AY382" i="5"/>
  <c r="AS386" i="5"/>
  <c r="AZ386" i="5"/>
  <c r="BA386" i="5"/>
  <c r="AY386" i="5"/>
  <c r="AS390" i="5"/>
  <c r="AZ390" i="5"/>
  <c r="AY390" i="5"/>
  <c r="BA390" i="5"/>
  <c r="AS394" i="5"/>
  <c r="AZ394" i="5"/>
  <c r="BA394" i="5"/>
  <c r="AY394" i="5"/>
  <c r="AS398" i="5"/>
  <c r="AZ398" i="5"/>
  <c r="BA398" i="5"/>
  <c r="AY398" i="5"/>
  <c r="AS402" i="5"/>
  <c r="AZ402" i="5"/>
  <c r="BA402" i="5"/>
  <c r="AY402" i="5"/>
  <c r="AS406" i="5"/>
  <c r="AZ406" i="5"/>
  <c r="BA406" i="5"/>
  <c r="AY406" i="5"/>
  <c r="AS410" i="5"/>
  <c r="AZ410" i="5"/>
  <c r="BA410" i="5"/>
  <c r="AY410" i="5"/>
  <c r="AS414" i="5"/>
  <c r="AZ414" i="5"/>
  <c r="BA414" i="5"/>
  <c r="AY414" i="5"/>
  <c r="AS418" i="5"/>
  <c r="AZ418" i="5"/>
  <c r="BA418" i="5"/>
  <c r="AY418" i="5"/>
  <c r="AS422" i="5"/>
  <c r="AZ422" i="5"/>
  <c r="AY422" i="5"/>
  <c r="BA422" i="5"/>
  <c r="AS426" i="5"/>
  <c r="AZ426" i="5"/>
  <c r="BA426" i="5"/>
  <c r="AY426" i="5"/>
  <c r="AS430" i="5"/>
  <c r="AZ430" i="5"/>
  <c r="BA430" i="5"/>
  <c r="AY430" i="5"/>
  <c r="AS434" i="5"/>
  <c r="AZ434" i="5"/>
  <c r="BA434" i="5"/>
  <c r="AY434" i="5"/>
  <c r="AS438" i="5"/>
  <c r="AZ438" i="5"/>
  <c r="AY438" i="5"/>
  <c r="BA438" i="5"/>
  <c r="AS442" i="5"/>
  <c r="AZ442" i="5"/>
  <c r="BA442" i="5"/>
  <c r="AY442" i="5"/>
  <c r="AS446" i="5"/>
  <c r="AZ446" i="5"/>
  <c r="BA446" i="5"/>
  <c r="AY446" i="5"/>
  <c r="AS450" i="5"/>
  <c r="AZ450" i="5"/>
  <c r="BA450" i="5"/>
  <c r="AY450" i="5"/>
  <c r="AS454" i="5"/>
  <c r="AZ454" i="5"/>
  <c r="AY454" i="5"/>
  <c r="BA454" i="5"/>
  <c r="AS458" i="5"/>
  <c r="AZ458" i="5"/>
  <c r="BA458" i="5"/>
  <c r="AY458" i="5"/>
  <c r="AS462" i="5"/>
  <c r="AZ462" i="5"/>
  <c r="BA462" i="5"/>
  <c r="AY462" i="5"/>
  <c r="AS466" i="5"/>
  <c r="AZ466" i="5"/>
  <c r="BA466" i="5"/>
  <c r="AY466" i="5"/>
  <c r="AS470" i="5"/>
  <c r="AZ470" i="5"/>
  <c r="AY470" i="5"/>
  <c r="BA470" i="5"/>
  <c r="AS474" i="5"/>
  <c r="AZ474" i="5"/>
  <c r="BA474" i="5"/>
  <c r="AY474" i="5"/>
  <c r="AS478" i="5"/>
  <c r="AZ478" i="5"/>
  <c r="BA478" i="5"/>
  <c r="AY478" i="5"/>
  <c r="AS482" i="5"/>
  <c r="AZ482" i="5"/>
  <c r="BA482" i="5"/>
  <c r="AY482" i="5"/>
  <c r="AS486" i="5"/>
  <c r="AZ486" i="5"/>
  <c r="AY486" i="5"/>
  <c r="BA486" i="5"/>
  <c r="AS490" i="5"/>
  <c r="AZ490" i="5"/>
  <c r="BA490" i="5"/>
  <c r="AY490" i="5"/>
  <c r="AS494" i="5"/>
  <c r="AZ494" i="5"/>
  <c r="BA494" i="5"/>
  <c r="AY494" i="5"/>
  <c r="AS498" i="5"/>
  <c r="AZ498" i="5"/>
  <c r="BA498" i="5"/>
  <c r="AY498" i="5"/>
  <c r="AS502" i="5"/>
  <c r="AZ502" i="5"/>
  <c r="AY502" i="5"/>
  <c r="BA502" i="5"/>
  <c r="AS506" i="5"/>
  <c r="AZ506" i="5"/>
  <c r="BA506" i="5"/>
  <c r="AY506" i="5"/>
  <c r="AS510" i="5"/>
  <c r="AZ510" i="5"/>
  <c r="BA510" i="5"/>
  <c r="AY510" i="5"/>
  <c r="AS514" i="5"/>
  <c r="AZ514" i="5"/>
  <c r="BA514" i="5"/>
  <c r="AY514" i="5"/>
  <c r="AS518" i="5"/>
  <c r="AZ518" i="5"/>
  <c r="BA518" i="5"/>
  <c r="AY518" i="5"/>
  <c r="AS522" i="5"/>
  <c r="AZ522" i="5"/>
  <c r="BA522" i="5"/>
  <c r="AY522" i="5"/>
  <c r="AS526" i="5"/>
  <c r="AZ526" i="5"/>
  <c r="BA526" i="5"/>
  <c r="AY526" i="5"/>
  <c r="AS530" i="5"/>
  <c r="AZ530" i="5"/>
  <c r="BA530" i="5"/>
  <c r="AY530" i="5"/>
  <c r="AS534" i="5"/>
  <c r="AZ534" i="5"/>
  <c r="AY534" i="5"/>
  <c r="BA534" i="5"/>
  <c r="AS538" i="5"/>
  <c r="AZ538" i="5"/>
  <c r="BA538" i="5"/>
  <c r="AY538" i="5"/>
  <c r="AS542" i="5"/>
  <c r="AZ542" i="5"/>
  <c r="BA542" i="5"/>
  <c r="AY542" i="5"/>
  <c r="AS546" i="5"/>
  <c r="AZ546" i="5"/>
  <c r="BA546" i="5"/>
  <c r="AY546" i="5"/>
  <c r="AS550" i="5"/>
  <c r="AZ550" i="5"/>
  <c r="AY550" i="5"/>
  <c r="BA550" i="5"/>
  <c r="AS554" i="5"/>
  <c r="AZ554" i="5"/>
  <c r="BA554" i="5"/>
  <c r="AY554" i="5"/>
  <c r="AS558" i="5"/>
  <c r="AZ558" i="5"/>
  <c r="BA558" i="5"/>
  <c r="AY558" i="5"/>
  <c r="AS562" i="5"/>
  <c r="AZ562" i="5"/>
  <c r="BA562" i="5"/>
  <c r="AY562" i="5"/>
  <c r="AS566" i="5"/>
  <c r="AZ566" i="5"/>
  <c r="AY566" i="5"/>
  <c r="BA566" i="5"/>
  <c r="AS570" i="5"/>
  <c r="AZ570" i="5"/>
  <c r="BA570" i="5"/>
  <c r="AY570" i="5"/>
  <c r="AS574" i="5"/>
  <c r="AZ574" i="5"/>
  <c r="BA574" i="5"/>
  <c r="AY574" i="5"/>
  <c r="AS578" i="5"/>
  <c r="AZ578" i="5"/>
  <c r="BA578" i="5"/>
  <c r="AY578" i="5"/>
  <c r="AS582" i="5"/>
  <c r="AZ582" i="5"/>
  <c r="AY582" i="5"/>
  <c r="BA582" i="5"/>
  <c r="AS586" i="5"/>
  <c r="AZ586" i="5"/>
  <c r="BA586" i="5"/>
  <c r="AY586" i="5"/>
  <c r="AS590" i="5"/>
  <c r="AZ590" i="5"/>
  <c r="BA590" i="5"/>
  <c r="AY590" i="5"/>
  <c r="AS594" i="5"/>
  <c r="AZ594" i="5"/>
  <c r="BA594" i="5"/>
  <c r="AY594" i="5"/>
  <c r="AS598" i="5"/>
  <c r="AZ598" i="5"/>
  <c r="AY598" i="5"/>
  <c r="BA598" i="5"/>
  <c r="AS602" i="5"/>
  <c r="AZ602" i="5"/>
  <c r="BA602" i="5"/>
  <c r="AY602" i="5"/>
  <c r="AS606" i="5"/>
  <c r="AZ606" i="5"/>
  <c r="BA606" i="5"/>
  <c r="AY606" i="5"/>
  <c r="AS610" i="5"/>
  <c r="AZ610" i="5"/>
  <c r="BA610" i="5"/>
  <c r="AY610" i="5"/>
  <c r="AS614" i="5"/>
  <c r="AZ614" i="5"/>
  <c r="AY614" i="5"/>
  <c r="BA614" i="5"/>
  <c r="AS618" i="5"/>
  <c r="AZ618" i="5"/>
  <c r="BA618" i="5"/>
  <c r="AY618" i="5"/>
  <c r="AS622" i="5"/>
  <c r="AZ622" i="5"/>
  <c r="BA622" i="5"/>
  <c r="AY622" i="5"/>
  <c r="AS626" i="5"/>
  <c r="AZ626" i="5"/>
  <c r="BA626" i="5"/>
  <c r="AY626" i="5"/>
  <c r="AS630" i="5"/>
  <c r="AZ630" i="5"/>
  <c r="AY630" i="5"/>
  <c r="BA630" i="5"/>
  <c r="AS634" i="5"/>
  <c r="BA634" i="5"/>
  <c r="AZ634" i="5"/>
  <c r="AY634" i="5"/>
  <c r="AS638" i="5"/>
  <c r="BA638" i="5"/>
  <c r="AY638" i="5"/>
  <c r="AZ638" i="5"/>
  <c r="AS642" i="5"/>
  <c r="BA642" i="5"/>
  <c r="AZ642" i="5"/>
  <c r="AY642" i="5"/>
  <c r="AS646" i="5"/>
  <c r="AY646" i="5"/>
  <c r="BA646" i="5"/>
  <c r="AZ646" i="5"/>
  <c r="AS650" i="5"/>
  <c r="BA650" i="5"/>
  <c r="AZ650" i="5"/>
  <c r="AY650" i="5"/>
  <c r="AS654" i="5"/>
  <c r="BA654" i="5"/>
  <c r="AY654" i="5"/>
  <c r="AZ654" i="5"/>
  <c r="AS658" i="5"/>
  <c r="BA658" i="5"/>
  <c r="AZ658" i="5"/>
  <c r="AY658" i="5"/>
  <c r="AS662" i="5"/>
  <c r="AY662" i="5"/>
  <c r="AZ662" i="5"/>
  <c r="BA662" i="5"/>
  <c r="AS666" i="5"/>
  <c r="BA666" i="5"/>
  <c r="AZ666" i="5"/>
  <c r="AY666" i="5"/>
  <c r="AS670" i="5"/>
  <c r="BA670" i="5"/>
  <c r="AY670" i="5"/>
  <c r="AZ670" i="5"/>
  <c r="AS674" i="5"/>
  <c r="BA674" i="5"/>
  <c r="AZ674" i="5"/>
  <c r="AY674" i="5"/>
  <c r="AS678" i="5"/>
  <c r="AY678" i="5"/>
  <c r="BA678" i="5"/>
  <c r="AZ678" i="5"/>
  <c r="AS682" i="5"/>
  <c r="BA682" i="5"/>
  <c r="AZ682" i="5"/>
  <c r="AY682" i="5"/>
  <c r="AS686" i="5"/>
  <c r="BA686" i="5"/>
  <c r="AY686" i="5"/>
  <c r="AZ686" i="5"/>
  <c r="AS690" i="5"/>
  <c r="BA690" i="5"/>
  <c r="AZ690" i="5"/>
  <c r="AY690" i="5"/>
  <c r="AS694" i="5"/>
  <c r="AY694" i="5"/>
  <c r="AZ694" i="5"/>
  <c r="BA694" i="5"/>
  <c r="AS698" i="5"/>
  <c r="BA698" i="5"/>
  <c r="AZ698" i="5"/>
  <c r="AY698" i="5"/>
  <c r="AS702" i="5"/>
  <c r="BA702" i="5"/>
  <c r="AZ702" i="5"/>
  <c r="AY702" i="5"/>
  <c r="AS706" i="5"/>
  <c r="BA706" i="5"/>
  <c r="AY706" i="5"/>
  <c r="AZ706" i="5"/>
  <c r="AS710" i="5"/>
  <c r="BA710" i="5"/>
  <c r="AZ710" i="5"/>
  <c r="AY710" i="5"/>
  <c r="AS714" i="5"/>
  <c r="BA714" i="5"/>
  <c r="AY714" i="5"/>
  <c r="AZ714" i="5"/>
  <c r="AS718" i="5"/>
  <c r="BA718" i="5"/>
  <c r="AZ718" i="5"/>
  <c r="AY718" i="5"/>
  <c r="AS722" i="5"/>
  <c r="BA722" i="5"/>
  <c r="AY722" i="5"/>
  <c r="AZ722" i="5"/>
  <c r="AS726" i="5"/>
  <c r="AZ726" i="5"/>
  <c r="AY726" i="5"/>
  <c r="BA726" i="5"/>
  <c r="AS730" i="5"/>
  <c r="BA730" i="5"/>
  <c r="AY730" i="5"/>
  <c r="AZ730" i="5"/>
  <c r="AS734" i="5"/>
  <c r="BA734" i="5"/>
  <c r="AZ734" i="5"/>
  <c r="AY734" i="5"/>
  <c r="AS738" i="5"/>
  <c r="BA738" i="5"/>
  <c r="AY738" i="5"/>
  <c r="AZ738" i="5"/>
  <c r="AS742" i="5"/>
  <c r="BA742" i="5"/>
  <c r="AZ742" i="5"/>
  <c r="AY742" i="5"/>
  <c r="AS746" i="5"/>
  <c r="BA746" i="5"/>
  <c r="AY746" i="5"/>
  <c r="AZ746" i="5"/>
  <c r="AS750" i="5"/>
  <c r="BA750" i="5"/>
  <c r="AZ750" i="5"/>
  <c r="AY750" i="5"/>
  <c r="AZ11" i="5"/>
  <c r="AY11" i="5"/>
  <c r="AS15" i="5"/>
  <c r="AZ15" i="5"/>
  <c r="BA15" i="5"/>
  <c r="AY15" i="5"/>
  <c r="AS19" i="5"/>
  <c r="AZ19" i="5"/>
  <c r="BA19" i="5"/>
  <c r="AY19" i="5"/>
  <c r="AS23" i="5"/>
  <c r="AZ23" i="5"/>
  <c r="BA23" i="5"/>
  <c r="AY23" i="5"/>
  <c r="AS27" i="5"/>
  <c r="AZ27" i="5"/>
  <c r="BA27" i="5"/>
  <c r="AY27" i="5"/>
  <c r="AS31" i="5"/>
  <c r="AZ31" i="5"/>
  <c r="BA31" i="5"/>
  <c r="AY31" i="5"/>
  <c r="AS35" i="5"/>
  <c r="AZ35" i="5"/>
  <c r="BA35" i="5"/>
  <c r="AY35" i="5"/>
  <c r="AS39" i="5"/>
  <c r="AZ39" i="5"/>
  <c r="BA39" i="5"/>
  <c r="AY39" i="5"/>
  <c r="AS43" i="5"/>
  <c r="AZ43" i="5"/>
  <c r="BA43" i="5"/>
  <c r="AY43" i="5"/>
  <c r="AS47" i="5"/>
  <c r="AZ47" i="5"/>
  <c r="BA47" i="5"/>
  <c r="AY47" i="5"/>
  <c r="AS51" i="5"/>
  <c r="AZ51" i="5"/>
  <c r="BA51" i="5"/>
  <c r="AY51" i="5"/>
  <c r="AS55" i="5"/>
  <c r="AZ55" i="5"/>
  <c r="BA55" i="5"/>
  <c r="AY55" i="5"/>
  <c r="AS59" i="5"/>
  <c r="AZ59" i="5"/>
  <c r="BA59" i="5"/>
  <c r="AY59" i="5"/>
  <c r="AS63" i="5"/>
  <c r="AZ63" i="5"/>
  <c r="BA63" i="5"/>
  <c r="AY63" i="5"/>
  <c r="AS67" i="5"/>
  <c r="AZ67" i="5"/>
  <c r="BA67" i="5"/>
  <c r="AY67" i="5"/>
  <c r="AS71" i="5"/>
  <c r="AZ71" i="5"/>
  <c r="BA71" i="5"/>
  <c r="AY71" i="5"/>
  <c r="AS75" i="5"/>
  <c r="AZ75" i="5"/>
  <c r="BA75" i="5"/>
  <c r="AY75" i="5"/>
  <c r="AS79" i="5"/>
  <c r="AZ79" i="5"/>
  <c r="AY79" i="5"/>
  <c r="BA79" i="5"/>
  <c r="AS83" i="5"/>
  <c r="AZ83" i="5"/>
  <c r="BA83" i="5"/>
  <c r="AY83" i="5"/>
  <c r="AS87" i="5"/>
  <c r="AZ87" i="5"/>
  <c r="AY87" i="5"/>
  <c r="BA87" i="5"/>
  <c r="AS91" i="5"/>
  <c r="AZ91" i="5"/>
  <c r="BA91" i="5"/>
  <c r="AY91" i="5"/>
  <c r="AS95" i="5"/>
  <c r="AZ95" i="5"/>
  <c r="BA95" i="5"/>
  <c r="AY95" i="5"/>
  <c r="AS99" i="5"/>
  <c r="AZ99" i="5"/>
  <c r="BA99" i="5"/>
  <c r="AY99" i="5"/>
  <c r="AS103" i="5"/>
  <c r="AZ103" i="5"/>
  <c r="AY103" i="5"/>
  <c r="BA103" i="5"/>
  <c r="AS107" i="5"/>
  <c r="AZ107" i="5"/>
  <c r="BA107" i="5"/>
  <c r="AY107" i="5"/>
  <c r="AS111" i="5"/>
  <c r="AZ111" i="5"/>
  <c r="AY111" i="5"/>
  <c r="BA111" i="5"/>
  <c r="AS115" i="5"/>
  <c r="AZ115" i="5"/>
  <c r="BA115" i="5"/>
  <c r="AY115" i="5"/>
  <c r="AS119" i="5"/>
  <c r="AZ119" i="5"/>
  <c r="AY119" i="5"/>
  <c r="BA119" i="5"/>
  <c r="AS123" i="5"/>
  <c r="AZ123" i="5"/>
  <c r="BA123" i="5"/>
  <c r="AY123" i="5"/>
  <c r="AS127" i="5"/>
  <c r="AZ127" i="5"/>
  <c r="BA127" i="5"/>
  <c r="AY127" i="5"/>
  <c r="AS131" i="5"/>
  <c r="AZ131" i="5"/>
  <c r="BA131" i="5"/>
  <c r="AY131" i="5"/>
  <c r="AS135" i="5"/>
  <c r="AZ135" i="5"/>
  <c r="AY135" i="5"/>
  <c r="BA135" i="5"/>
  <c r="AS139" i="5"/>
  <c r="AZ139" i="5"/>
  <c r="BA139" i="5"/>
  <c r="AY139" i="5"/>
  <c r="AS143" i="5"/>
  <c r="AZ143" i="5"/>
  <c r="AY143" i="5"/>
  <c r="BA143" i="5"/>
  <c r="AS147" i="5"/>
  <c r="AZ147" i="5"/>
  <c r="BA147" i="5"/>
  <c r="AY147" i="5"/>
  <c r="AS151" i="5"/>
  <c r="AZ151" i="5"/>
  <c r="AY151" i="5"/>
  <c r="BA151" i="5"/>
  <c r="AS155" i="5"/>
  <c r="AZ155" i="5"/>
  <c r="BA155" i="5"/>
  <c r="AY155" i="5"/>
  <c r="AS159" i="5"/>
  <c r="AZ159" i="5"/>
  <c r="BA159" i="5"/>
  <c r="AY159" i="5"/>
  <c r="AS163" i="5"/>
  <c r="AZ163" i="5"/>
  <c r="BA163" i="5"/>
  <c r="AY163" i="5"/>
  <c r="AS167" i="5"/>
  <c r="AZ167" i="5"/>
  <c r="AY167" i="5"/>
  <c r="BA167" i="5"/>
  <c r="AS171" i="5"/>
  <c r="AZ171" i="5"/>
  <c r="BA171" i="5"/>
  <c r="AY171" i="5"/>
  <c r="AS175" i="5"/>
  <c r="AZ175" i="5"/>
  <c r="AY175" i="5"/>
  <c r="BA175" i="5"/>
  <c r="AS179" i="5"/>
  <c r="AZ179" i="5"/>
  <c r="BA179" i="5"/>
  <c r="AY179" i="5"/>
  <c r="AS183" i="5"/>
  <c r="AZ183" i="5"/>
  <c r="AY183" i="5"/>
  <c r="BA183" i="5"/>
  <c r="AS187" i="5"/>
  <c r="AZ187" i="5"/>
  <c r="BA187" i="5"/>
  <c r="AY187" i="5"/>
  <c r="AS191" i="5"/>
  <c r="AZ191" i="5"/>
  <c r="BA191" i="5"/>
  <c r="AY191" i="5"/>
  <c r="AS195" i="5"/>
  <c r="AZ195" i="5"/>
  <c r="BA195" i="5"/>
  <c r="AY195" i="5"/>
  <c r="AS199" i="5"/>
  <c r="AZ199" i="5"/>
  <c r="AY199" i="5"/>
  <c r="BA199" i="5"/>
  <c r="AS203" i="5"/>
  <c r="AZ203" i="5"/>
  <c r="BA203" i="5"/>
  <c r="AY203" i="5"/>
  <c r="AS207" i="5"/>
  <c r="AZ207" i="5"/>
  <c r="AY207" i="5"/>
  <c r="BA207" i="5"/>
  <c r="AS211" i="5"/>
  <c r="AZ211" i="5"/>
  <c r="BA211" i="5"/>
  <c r="AY211" i="5"/>
  <c r="AS215" i="5"/>
  <c r="AZ215" i="5"/>
  <c r="AY215" i="5"/>
  <c r="BA215" i="5"/>
  <c r="AS219" i="5"/>
  <c r="AZ219" i="5"/>
  <c r="BA219" i="5"/>
  <c r="AY219" i="5"/>
  <c r="AS223" i="5"/>
  <c r="AZ223" i="5"/>
  <c r="BA223" i="5"/>
  <c r="AY223" i="5"/>
  <c r="AS227" i="5"/>
  <c r="AZ227" i="5"/>
  <c r="BA227" i="5"/>
  <c r="AY227" i="5"/>
  <c r="AS231" i="5"/>
  <c r="AZ231" i="5"/>
  <c r="AY231" i="5"/>
  <c r="BA231" i="5"/>
  <c r="AS235" i="5"/>
  <c r="AZ235" i="5"/>
  <c r="BA235" i="5"/>
  <c r="AY235" i="5"/>
  <c r="AS239" i="5"/>
  <c r="AZ239" i="5"/>
  <c r="AY239" i="5"/>
  <c r="BA239" i="5"/>
  <c r="AS243" i="5"/>
  <c r="AZ243" i="5"/>
  <c r="BA243" i="5"/>
  <c r="AY243" i="5"/>
  <c r="AS247" i="5"/>
  <c r="AZ247" i="5"/>
  <c r="AY247" i="5"/>
  <c r="BA247" i="5"/>
  <c r="AS251" i="5"/>
  <c r="AZ251" i="5"/>
  <c r="BA251" i="5"/>
  <c r="AY251" i="5"/>
  <c r="AS255" i="5"/>
  <c r="AZ255" i="5"/>
  <c r="BA255" i="5"/>
  <c r="AY255" i="5"/>
  <c r="AS259" i="5"/>
  <c r="AZ259" i="5"/>
  <c r="BA259" i="5"/>
  <c r="AY259" i="5"/>
  <c r="AS263" i="5"/>
  <c r="AZ263" i="5"/>
  <c r="AY263" i="5"/>
  <c r="BA263" i="5"/>
  <c r="AS267" i="5"/>
  <c r="AZ267" i="5"/>
  <c r="BA267" i="5"/>
  <c r="AY267" i="5"/>
  <c r="AS271" i="5"/>
  <c r="AZ271" i="5"/>
  <c r="BA271" i="5"/>
  <c r="AY271" i="5"/>
  <c r="AS275" i="5"/>
  <c r="AZ275" i="5"/>
  <c r="BA275" i="5"/>
  <c r="AY275" i="5"/>
  <c r="AS279" i="5"/>
  <c r="AZ279" i="5"/>
  <c r="BA279" i="5"/>
  <c r="AY279" i="5"/>
  <c r="AS283" i="5"/>
  <c r="AZ283" i="5"/>
  <c r="BA283" i="5"/>
  <c r="AY283" i="5"/>
  <c r="AS287" i="5"/>
  <c r="AZ287" i="5"/>
  <c r="BA287" i="5"/>
  <c r="AY287" i="5"/>
  <c r="AS291" i="5"/>
  <c r="AZ291" i="5"/>
  <c r="BA291" i="5"/>
  <c r="AY291" i="5"/>
  <c r="AS295" i="5"/>
  <c r="AZ295" i="5"/>
  <c r="BA295" i="5"/>
  <c r="AY295" i="5"/>
  <c r="AS299" i="5"/>
  <c r="AZ299" i="5"/>
  <c r="BA299" i="5"/>
  <c r="AY299" i="5"/>
  <c r="AS303" i="5"/>
  <c r="AZ303" i="5"/>
  <c r="BA303" i="5"/>
  <c r="AY303" i="5"/>
  <c r="AS307" i="5"/>
  <c r="AZ307" i="5"/>
  <c r="BA307" i="5"/>
  <c r="AY307" i="5"/>
  <c r="AS311" i="5"/>
  <c r="AZ311" i="5"/>
  <c r="AY311" i="5"/>
  <c r="BA311" i="5"/>
  <c r="AS315" i="5"/>
  <c r="AZ315" i="5"/>
  <c r="BA315" i="5"/>
  <c r="AY315" i="5"/>
  <c r="AS319" i="5"/>
  <c r="AZ319" i="5"/>
  <c r="BA319" i="5"/>
  <c r="AY319" i="5"/>
  <c r="AS323" i="5"/>
  <c r="AZ323" i="5"/>
  <c r="BA323" i="5"/>
  <c r="AY323" i="5"/>
  <c r="AS327" i="5"/>
  <c r="AZ327" i="5"/>
  <c r="BA327" i="5"/>
  <c r="AY327" i="5"/>
  <c r="AS331" i="5"/>
  <c r="AZ331" i="5"/>
  <c r="BA331" i="5"/>
  <c r="AY331" i="5"/>
  <c r="AS335" i="5"/>
  <c r="AZ335" i="5"/>
  <c r="BA335" i="5"/>
  <c r="AY335" i="5"/>
  <c r="AS339" i="5"/>
  <c r="AZ339" i="5"/>
  <c r="BA339" i="5"/>
  <c r="AY339" i="5"/>
  <c r="AS343" i="5"/>
  <c r="AZ343" i="5"/>
  <c r="BA343" i="5"/>
  <c r="AY343" i="5"/>
  <c r="AS347" i="5"/>
  <c r="AZ347" i="5"/>
  <c r="BA347" i="5"/>
  <c r="AY347" i="5"/>
  <c r="AS351" i="5"/>
  <c r="AZ351" i="5"/>
  <c r="BA351" i="5"/>
  <c r="AY351" i="5"/>
  <c r="AS355" i="5"/>
  <c r="AZ355" i="5"/>
  <c r="BA355" i="5"/>
  <c r="AY355" i="5"/>
  <c r="AS359" i="5"/>
  <c r="AZ359" i="5"/>
  <c r="AY359" i="5"/>
  <c r="BA359" i="5"/>
  <c r="AS363" i="5"/>
  <c r="AZ363" i="5"/>
  <c r="BA363" i="5"/>
  <c r="AY363" i="5"/>
  <c r="AS367" i="5"/>
  <c r="AZ367" i="5"/>
  <c r="AY367" i="5"/>
  <c r="BA367" i="5"/>
  <c r="AS371" i="5"/>
  <c r="AZ371" i="5"/>
  <c r="BA371" i="5"/>
  <c r="AY371" i="5"/>
  <c r="AS375" i="5"/>
  <c r="AZ375" i="5"/>
  <c r="AY375" i="5"/>
  <c r="BA375" i="5"/>
  <c r="AS379" i="5"/>
  <c r="AZ379" i="5"/>
  <c r="BA379" i="5"/>
  <c r="AY379" i="5"/>
  <c r="AS383" i="5"/>
  <c r="AZ383" i="5"/>
  <c r="BA383" i="5"/>
  <c r="AY383" i="5"/>
  <c r="AS387" i="5"/>
  <c r="AZ387" i="5"/>
  <c r="BA387" i="5"/>
  <c r="AY387" i="5"/>
  <c r="AS391" i="5"/>
  <c r="AZ391" i="5"/>
  <c r="AY391" i="5"/>
  <c r="BA391" i="5"/>
  <c r="AS395" i="5"/>
  <c r="AZ395" i="5"/>
  <c r="BA395" i="5"/>
  <c r="AY395" i="5"/>
  <c r="AS399" i="5"/>
  <c r="AZ399" i="5"/>
  <c r="AY399" i="5"/>
  <c r="BA399" i="5"/>
  <c r="AS403" i="5"/>
  <c r="AZ403" i="5"/>
  <c r="BA403" i="5"/>
  <c r="AY403" i="5"/>
  <c r="AS407" i="5"/>
  <c r="AZ407" i="5"/>
  <c r="AY407" i="5"/>
  <c r="BA407" i="5"/>
  <c r="AS411" i="5"/>
  <c r="AZ411" i="5"/>
  <c r="BA411" i="5"/>
  <c r="AY411" i="5"/>
  <c r="AS415" i="5"/>
  <c r="AZ415" i="5"/>
  <c r="BA415" i="5"/>
  <c r="AY415" i="5"/>
  <c r="AS419" i="5"/>
  <c r="AZ419" i="5"/>
  <c r="BA419" i="5"/>
  <c r="AY419" i="5"/>
  <c r="AS423" i="5"/>
  <c r="AZ423" i="5"/>
  <c r="AY423" i="5"/>
  <c r="BA423" i="5"/>
  <c r="AS427" i="5"/>
  <c r="AZ427" i="5"/>
  <c r="BA427" i="5"/>
  <c r="AY427" i="5"/>
  <c r="AS431" i="5"/>
  <c r="AZ431" i="5"/>
  <c r="BA431" i="5"/>
  <c r="AY431" i="5"/>
  <c r="AS435" i="5"/>
  <c r="AZ435" i="5"/>
  <c r="BA435" i="5"/>
  <c r="AY435" i="5"/>
  <c r="AS439" i="5"/>
  <c r="AZ439" i="5"/>
  <c r="AY439" i="5"/>
  <c r="BA439" i="5"/>
  <c r="AS443" i="5"/>
  <c r="AZ443" i="5"/>
  <c r="BA443" i="5"/>
  <c r="AY443" i="5"/>
  <c r="AS447" i="5"/>
  <c r="AZ447" i="5"/>
  <c r="AY447" i="5"/>
  <c r="BA447" i="5"/>
  <c r="AS451" i="5"/>
  <c r="AZ451" i="5"/>
  <c r="BA451" i="5"/>
  <c r="AY451" i="5"/>
  <c r="AS455" i="5"/>
  <c r="AZ455" i="5"/>
  <c r="AY455" i="5"/>
  <c r="BA455" i="5"/>
  <c r="AS459" i="5"/>
  <c r="AZ459" i="5"/>
  <c r="BA459" i="5"/>
  <c r="AY459" i="5"/>
  <c r="AS463" i="5"/>
  <c r="AZ463" i="5"/>
  <c r="BA463" i="5"/>
  <c r="AY463" i="5"/>
  <c r="AS467" i="5"/>
  <c r="AZ467" i="5"/>
  <c r="BA467" i="5"/>
  <c r="AY467" i="5"/>
  <c r="AS471" i="5"/>
  <c r="AZ471" i="5"/>
  <c r="BA471" i="5"/>
  <c r="AY471" i="5"/>
  <c r="AS475" i="5"/>
  <c r="AZ475" i="5"/>
  <c r="BA475" i="5"/>
  <c r="AY475" i="5"/>
  <c r="AS479" i="5"/>
  <c r="AZ479" i="5"/>
  <c r="BA479" i="5"/>
  <c r="AY479" i="5"/>
  <c r="AS483" i="5"/>
  <c r="AZ483" i="5"/>
  <c r="BA483" i="5"/>
  <c r="AY483" i="5"/>
  <c r="AS487" i="5"/>
  <c r="AZ487" i="5"/>
  <c r="BA487" i="5"/>
  <c r="AY487" i="5"/>
  <c r="AS491" i="5"/>
  <c r="AZ491" i="5"/>
  <c r="BA491" i="5"/>
  <c r="AY491" i="5"/>
  <c r="AS495" i="5"/>
  <c r="AZ495" i="5"/>
  <c r="BA495" i="5"/>
  <c r="AY495" i="5"/>
  <c r="AS499" i="5"/>
  <c r="AZ499" i="5"/>
  <c r="BA499" i="5"/>
  <c r="AY499" i="5"/>
  <c r="AS503" i="5"/>
  <c r="AZ503" i="5"/>
  <c r="BA503" i="5"/>
  <c r="AY503" i="5"/>
  <c r="AS507" i="5"/>
  <c r="AZ507" i="5"/>
  <c r="BA507" i="5"/>
  <c r="AY507" i="5"/>
  <c r="AS511" i="5"/>
  <c r="AZ511" i="5"/>
  <c r="BA511" i="5"/>
  <c r="AY511" i="5"/>
  <c r="AS515" i="5"/>
  <c r="AZ515" i="5"/>
  <c r="BA515" i="5"/>
  <c r="AY515" i="5"/>
  <c r="AS519" i="5"/>
  <c r="AZ519" i="5"/>
  <c r="BA519" i="5"/>
  <c r="AY519" i="5"/>
  <c r="AS523" i="5"/>
  <c r="AZ523" i="5"/>
  <c r="BA523" i="5"/>
  <c r="AY523" i="5"/>
  <c r="AS527" i="5"/>
  <c r="AZ527" i="5"/>
  <c r="BA527" i="5"/>
  <c r="AY527" i="5"/>
  <c r="AS531" i="5"/>
  <c r="AZ531" i="5"/>
  <c r="BA531" i="5"/>
  <c r="AY531" i="5"/>
  <c r="AS535" i="5"/>
  <c r="AZ535" i="5"/>
  <c r="BA535" i="5"/>
  <c r="AY535" i="5"/>
  <c r="AS539" i="5"/>
  <c r="AZ539" i="5"/>
  <c r="BA539" i="5"/>
  <c r="AY539" i="5"/>
  <c r="AS543" i="5"/>
  <c r="AZ543" i="5"/>
  <c r="BA543" i="5"/>
  <c r="AY543" i="5"/>
  <c r="AS547" i="5"/>
  <c r="AZ547" i="5"/>
  <c r="BA547" i="5"/>
  <c r="AY547" i="5"/>
  <c r="AS551" i="5"/>
  <c r="AZ551" i="5"/>
  <c r="BA551" i="5"/>
  <c r="AY551" i="5"/>
  <c r="AS555" i="5"/>
  <c r="AZ555" i="5"/>
  <c r="BA555" i="5"/>
  <c r="AY555" i="5"/>
  <c r="AS559" i="5"/>
  <c r="AZ559" i="5"/>
  <c r="BA559" i="5"/>
  <c r="AY559" i="5"/>
  <c r="AS563" i="5"/>
  <c r="AZ563" i="5"/>
  <c r="BA563" i="5"/>
  <c r="AY563" i="5"/>
  <c r="AS567" i="5"/>
  <c r="AZ567" i="5"/>
  <c r="BA567" i="5"/>
  <c r="AY567" i="5"/>
  <c r="AS571" i="5"/>
  <c r="AZ571" i="5"/>
  <c r="BA571" i="5"/>
  <c r="AY571" i="5"/>
  <c r="AS575" i="5"/>
  <c r="AZ575" i="5"/>
  <c r="BA575" i="5"/>
  <c r="AY575" i="5"/>
  <c r="AS579" i="5"/>
  <c r="AZ579" i="5"/>
  <c r="BA579" i="5"/>
  <c r="AY579" i="5"/>
  <c r="AS583" i="5"/>
  <c r="AZ583" i="5"/>
  <c r="BA583" i="5"/>
  <c r="AY583" i="5"/>
  <c r="AS587" i="5"/>
  <c r="AZ587" i="5"/>
  <c r="BA587" i="5"/>
  <c r="AY587" i="5"/>
  <c r="AS591" i="5"/>
  <c r="AZ591" i="5"/>
  <c r="AY591" i="5"/>
  <c r="BA591" i="5"/>
  <c r="AS595" i="5"/>
  <c r="AZ595" i="5"/>
  <c r="BA595" i="5"/>
  <c r="AY595" i="5"/>
  <c r="AS599" i="5"/>
  <c r="AZ599" i="5"/>
  <c r="BA599" i="5"/>
  <c r="AY599" i="5"/>
  <c r="AS603" i="5"/>
  <c r="AZ603" i="5"/>
  <c r="BA603" i="5"/>
  <c r="AY603" i="5"/>
  <c r="AS607" i="5"/>
  <c r="AZ607" i="5"/>
  <c r="BA607" i="5"/>
  <c r="AY607" i="5"/>
  <c r="AS611" i="5"/>
  <c r="AZ611" i="5"/>
  <c r="BA611" i="5"/>
  <c r="AY611" i="5"/>
  <c r="AS615" i="5"/>
  <c r="AZ615" i="5"/>
  <c r="BA615" i="5"/>
  <c r="AY615" i="5"/>
  <c r="AS619" i="5"/>
  <c r="AZ619" i="5"/>
  <c r="BA619" i="5"/>
  <c r="AY619" i="5"/>
  <c r="AS623" i="5"/>
  <c r="AZ623" i="5"/>
  <c r="BA623" i="5"/>
  <c r="AY623" i="5"/>
  <c r="AS627" i="5"/>
  <c r="AZ627" i="5"/>
  <c r="BA627" i="5"/>
  <c r="AY627" i="5"/>
  <c r="AS631" i="5"/>
  <c r="AZ631" i="5"/>
  <c r="BA631" i="5"/>
  <c r="AY631" i="5"/>
  <c r="AS635" i="5"/>
  <c r="BA635" i="5"/>
  <c r="AZ635" i="5"/>
  <c r="AY635" i="5"/>
  <c r="AS639" i="5"/>
  <c r="AZ639" i="5"/>
  <c r="BA639" i="5"/>
  <c r="AY639" i="5"/>
  <c r="AS643" i="5"/>
  <c r="BA643" i="5"/>
  <c r="AZ643" i="5"/>
  <c r="AY643" i="5"/>
  <c r="AS647" i="5"/>
  <c r="AZ647" i="5"/>
  <c r="BA647" i="5"/>
  <c r="AY647" i="5"/>
  <c r="AS651" i="5"/>
  <c r="BA651" i="5"/>
  <c r="AZ651" i="5"/>
  <c r="AY651" i="5"/>
  <c r="AS655" i="5"/>
  <c r="AZ655" i="5"/>
  <c r="BA655" i="5"/>
  <c r="AY655" i="5"/>
  <c r="AS659" i="5"/>
  <c r="BA659" i="5"/>
  <c r="AZ659" i="5"/>
  <c r="AY659" i="5"/>
  <c r="AS663" i="5"/>
  <c r="AZ663" i="5"/>
  <c r="BA663" i="5"/>
  <c r="AY663" i="5"/>
  <c r="AS667" i="5"/>
  <c r="BA667" i="5"/>
  <c r="AZ667" i="5"/>
  <c r="AY667" i="5"/>
  <c r="AS671" i="5"/>
  <c r="AZ671" i="5"/>
  <c r="BA671" i="5"/>
  <c r="AY671" i="5"/>
  <c r="AS675" i="5"/>
  <c r="BA675" i="5"/>
  <c r="AZ675" i="5"/>
  <c r="AY675" i="5"/>
  <c r="AS679" i="5"/>
  <c r="AZ679" i="5"/>
  <c r="BA679" i="5"/>
  <c r="AY679" i="5"/>
  <c r="AS683" i="5"/>
  <c r="BA683" i="5"/>
  <c r="AZ683" i="5"/>
  <c r="AY683" i="5"/>
  <c r="AS687" i="5"/>
  <c r="AZ687" i="5"/>
  <c r="BA687" i="5"/>
  <c r="AY687" i="5"/>
  <c r="AS691" i="5"/>
  <c r="BA691" i="5"/>
  <c r="AZ691" i="5"/>
  <c r="AY691" i="5"/>
  <c r="AS695" i="5"/>
  <c r="AZ695" i="5"/>
  <c r="BA695" i="5"/>
  <c r="AY695" i="5"/>
  <c r="AS699" i="5"/>
  <c r="BA699" i="5"/>
  <c r="AZ699" i="5"/>
  <c r="AY699" i="5"/>
  <c r="AS703" i="5"/>
  <c r="AZ703" i="5"/>
  <c r="BA703" i="5"/>
  <c r="AY703" i="5"/>
  <c r="AS707" i="5"/>
  <c r="BA707" i="5"/>
  <c r="AZ707" i="5"/>
  <c r="AY707" i="5"/>
  <c r="AS711" i="5"/>
  <c r="AZ711" i="5"/>
  <c r="BA711" i="5"/>
  <c r="AY711" i="5"/>
  <c r="AS715" i="5"/>
  <c r="BA715" i="5"/>
  <c r="AZ715" i="5"/>
  <c r="AY715" i="5"/>
  <c r="AS719" i="5"/>
  <c r="AZ719" i="5"/>
  <c r="BA719" i="5"/>
  <c r="AY719" i="5"/>
  <c r="AS723" i="5"/>
  <c r="BA723" i="5"/>
  <c r="AZ723" i="5"/>
  <c r="AY723" i="5"/>
  <c r="AS727" i="5"/>
  <c r="AZ727" i="5"/>
  <c r="BA727" i="5"/>
  <c r="AY727" i="5"/>
  <c r="AS731" i="5"/>
  <c r="BA731" i="5"/>
  <c r="AZ731" i="5"/>
  <c r="AY731" i="5"/>
  <c r="AS735" i="5"/>
  <c r="AZ735" i="5"/>
  <c r="BA735" i="5"/>
  <c r="AY735" i="5"/>
  <c r="AS739" i="5"/>
  <c r="BA739" i="5"/>
  <c r="AZ739" i="5"/>
  <c r="AY739" i="5"/>
  <c r="AS743" i="5"/>
  <c r="AZ743" i="5"/>
  <c r="BA743" i="5"/>
  <c r="AY743" i="5"/>
  <c r="AS747" i="5"/>
  <c r="BA747" i="5"/>
  <c r="AZ747" i="5"/>
  <c r="AY747" i="5"/>
  <c r="AY7" i="5"/>
  <c r="AZ7" i="5"/>
  <c r="AZ12" i="5"/>
  <c r="AY12" i="5"/>
  <c r="BA12" i="5" s="1"/>
  <c r="AS16" i="5"/>
  <c r="BA16" i="5"/>
  <c r="AY16" i="5"/>
  <c r="AZ16" i="5"/>
  <c r="AS20" i="5"/>
  <c r="BA20" i="5"/>
  <c r="AZ20" i="5"/>
  <c r="AY20" i="5"/>
  <c r="AS24" i="5"/>
  <c r="BA24" i="5"/>
  <c r="AZ24" i="5"/>
  <c r="AY24" i="5"/>
  <c r="AS28" i="5"/>
  <c r="BA28" i="5"/>
  <c r="AZ28" i="5"/>
  <c r="AY28" i="5"/>
  <c r="AS32" i="5"/>
  <c r="BA32" i="5"/>
  <c r="AZ32" i="5"/>
  <c r="AY32" i="5"/>
  <c r="AS36" i="5"/>
  <c r="BA36" i="5"/>
  <c r="AZ36" i="5"/>
  <c r="AY36" i="5"/>
  <c r="AS40" i="5"/>
  <c r="BA40" i="5"/>
  <c r="AZ40" i="5"/>
  <c r="AY40" i="5"/>
  <c r="AS44" i="5"/>
  <c r="BA44" i="5"/>
  <c r="AZ44" i="5"/>
  <c r="AY44" i="5"/>
  <c r="AS48" i="5"/>
  <c r="BA48" i="5"/>
  <c r="AY48" i="5"/>
  <c r="AZ48" i="5"/>
  <c r="AS52" i="5"/>
  <c r="BA52" i="5"/>
  <c r="AZ52" i="5"/>
  <c r="AY52" i="5"/>
  <c r="AS56" i="5"/>
  <c r="BA56" i="5"/>
  <c r="AZ56" i="5"/>
  <c r="AY56" i="5"/>
  <c r="AS60" i="5"/>
  <c r="BA60" i="5"/>
  <c r="AZ60" i="5"/>
  <c r="AY60" i="5"/>
  <c r="AS64" i="5"/>
  <c r="BA64" i="5"/>
  <c r="AY64" i="5"/>
  <c r="AZ64" i="5"/>
  <c r="AS68" i="5"/>
  <c r="BA68" i="5"/>
  <c r="AZ68" i="5"/>
  <c r="AY68" i="5"/>
  <c r="AS72" i="5"/>
  <c r="BA72" i="5"/>
  <c r="AZ72" i="5"/>
  <c r="AY72" i="5"/>
  <c r="AS76" i="5"/>
  <c r="BA76" i="5"/>
  <c r="AZ76" i="5"/>
  <c r="AY76" i="5"/>
  <c r="AS80" i="5"/>
  <c r="BA80" i="5"/>
  <c r="AZ80" i="5"/>
  <c r="AY80" i="5"/>
  <c r="AS84" i="5"/>
  <c r="BA84" i="5"/>
  <c r="AZ84" i="5"/>
  <c r="AY84" i="5"/>
  <c r="AS88" i="5"/>
  <c r="BA88" i="5"/>
  <c r="AZ88" i="5"/>
  <c r="AY88" i="5"/>
  <c r="AS92" i="5"/>
  <c r="BA92" i="5"/>
  <c r="AZ92" i="5"/>
  <c r="AY92" i="5"/>
  <c r="AS96" i="5"/>
  <c r="BA96" i="5"/>
  <c r="AY96" i="5"/>
  <c r="AZ96" i="5"/>
  <c r="AS100" i="5"/>
  <c r="BA100" i="5"/>
  <c r="AZ100" i="5"/>
  <c r="AY100" i="5"/>
  <c r="AS104" i="5"/>
  <c r="BA104" i="5"/>
  <c r="AZ104" i="5"/>
  <c r="AY104" i="5"/>
  <c r="AS108" i="5"/>
  <c r="BA108" i="5"/>
  <c r="AZ108" i="5"/>
  <c r="AY108" i="5"/>
  <c r="AS112" i="5"/>
  <c r="BA112" i="5"/>
  <c r="AZ112" i="5"/>
  <c r="AY112" i="5"/>
  <c r="AS116" i="5"/>
  <c r="BA116" i="5"/>
  <c r="AZ116" i="5"/>
  <c r="AY116" i="5"/>
  <c r="AS120" i="5"/>
  <c r="BA120" i="5"/>
  <c r="AZ120" i="5"/>
  <c r="AY120" i="5"/>
  <c r="AS124" i="5"/>
  <c r="BA124" i="5"/>
  <c r="AZ124" i="5"/>
  <c r="AY124" i="5"/>
  <c r="AS128" i="5"/>
  <c r="BA128" i="5"/>
  <c r="AY128" i="5"/>
  <c r="AZ128" i="5"/>
  <c r="AS132" i="5"/>
  <c r="BA132" i="5"/>
  <c r="AZ132" i="5"/>
  <c r="AY132" i="5"/>
  <c r="AS136" i="5"/>
  <c r="BA136" i="5"/>
  <c r="AZ136" i="5"/>
  <c r="AY136" i="5"/>
  <c r="AS140" i="5"/>
  <c r="BA140" i="5"/>
  <c r="AZ140" i="5"/>
  <c r="AY140" i="5"/>
  <c r="AS144" i="5"/>
  <c r="BA144" i="5"/>
  <c r="AZ144" i="5"/>
  <c r="AY144" i="5"/>
  <c r="AS148" i="5"/>
  <c r="BA148" i="5"/>
  <c r="AZ148" i="5"/>
  <c r="AY148" i="5"/>
  <c r="AS152" i="5"/>
  <c r="BA152" i="5"/>
  <c r="AZ152" i="5"/>
  <c r="AY152" i="5"/>
  <c r="AS156" i="5"/>
  <c r="BA156" i="5"/>
  <c r="AZ156" i="5"/>
  <c r="AY156" i="5"/>
  <c r="AS160" i="5"/>
  <c r="BA160" i="5"/>
  <c r="AY160" i="5"/>
  <c r="AZ160" i="5"/>
  <c r="AS164" i="5"/>
  <c r="BA164" i="5"/>
  <c r="AZ164" i="5"/>
  <c r="AY164" i="5"/>
  <c r="AS168" i="5"/>
  <c r="BA168" i="5"/>
  <c r="AZ168" i="5"/>
  <c r="AY168" i="5"/>
  <c r="AS172" i="5"/>
  <c r="BA172" i="5"/>
  <c r="AZ172" i="5"/>
  <c r="AY172" i="5"/>
  <c r="AS176" i="5"/>
  <c r="BA176" i="5"/>
  <c r="AZ176" i="5"/>
  <c r="AY176" i="5"/>
  <c r="AS180" i="5"/>
  <c r="BA180" i="5"/>
  <c r="AZ180" i="5"/>
  <c r="AY180" i="5"/>
  <c r="AS184" i="5"/>
  <c r="BA184" i="5"/>
  <c r="AZ184" i="5"/>
  <c r="AY184" i="5"/>
  <c r="AS188" i="5"/>
  <c r="BA188" i="5"/>
  <c r="AZ188" i="5"/>
  <c r="AY188" i="5"/>
  <c r="AS192" i="5"/>
  <c r="BA192" i="5"/>
  <c r="AY192" i="5"/>
  <c r="AZ192" i="5"/>
  <c r="AS196" i="5"/>
  <c r="BA196" i="5"/>
  <c r="AZ196" i="5"/>
  <c r="AY196" i="5"/>
  <c r="AS200" i="5"/>
  <c r="BA200" i="5"/>
  <c r="AZ200" i="5"/>
  <c r="AY200" i="5"/>
  <c r="AS204" i="5"/>
  <c r="BA204" i="5"/>
  <c r="AZ204" i="5"/>
  <c r="AY204" i="5"/>
  <c r="AS208" i="5"/>
  <c r="BA208" i="5"/>
  <c r="AZ208" i="5"/>
  <c r="AY208" i="5"/>
  <c r="AS212" i="5"/>
  <c r="BA212" i="5"/>
  <c r="AZ212" i="5"/>
  <c r="AY212" i="5"/>
  <c r="AS216" i="5"/>
  <c r="BA216" i="5"/>
  <c r="AZ216" i="5"/>
  <c r="AY216" i="5"/>
  <c r="AS220" i="5"/>
  <c r="BA220" i="5"/>
  <c r="AZ220" i="5"/>
  <c r="AY220" i="5"/>
  <c r="AS224" i="5"/>
  <c r="BA224" i="5"/>
  <c r="AY224" i="5"/>
  <c r="AZ224" i="5"/>
  <c r="AS228" i="5"/>
  <c r="BA228" i="5"/>
  <c r="AZ228" i="5"/>
  <c r="AY228" i="5"/>
  <c r="AS232" i="5"/>
  <c r="BA232" i="5"/>
  <c r="AY232" i="5"/>
  <c r="AZ232" i="5"/>
  <c r="AS236" i="5"/>
  <c r="BA236" i="5"/>
  <c r="AZ236" i="5"/>
  <c r="AY236" i="5"/>
  <c r="AS240" i="5"/>
  <c r="BA240" i="5"/>
  <c r="AZ240" i="5"/>
  <c r="AY240" i="5"/>
  <c r="AS244" i="5"/>
  <c r="BA244" i="5"/>
  <c r="AZ244" i="5"/>
  <c r="AY244" i="5"/>
  <c r="AS248" i="5"/>
  <c r="BA248" i="5"/>
  <c r="AZ248" i="5"/>
  <c r="AY248" i="5"/>
  <c r="AS252" i="5"/>
  <c r="BA252" i="5"/>
  <c r="AY252" i="5"/>
  <c r="AZ252" i="5"/>
  <c r="AS256" i="5"/>
  <c r="BA256" i="5"/>
  <c r="AY256" i="5"/>
  <c r="AZ256" i="5"/>
  <c r="AS260" i="5"/>
  <c r="BA260" i="5"/>
  <c r="AZ260" i="5"/>
  <c r="AY260" i="5"/>
  <c r="AS264" i="5"/>
  <c r="BA264" i="5"/>
  <c r="AZ264" i="5"/>
  <c r="AY264" i="5"/>
  <c r="AS268" i="5"/>
  <c r="BA268" i="5"/>
  <c r="AZ268" i="5"/>
  <c r="AY268" i="5"/>
  <c r="AS272" i="5"/>
  <c r="BA272" i="5"/>
  <c r="AZ272" i="5"/>
  <c r="AY272" i="5"/>
  <c r="AS276" i="5"/>
  <c r="BA276" i="5"/>
  <c r="AY276" i="5"/>
  <c r="AZ276" i="5"/>
  <c r="AS280" i="5"/>
  <c r="BA280" i="5"/>
  <c r="AZ280" i="5"/>
  <c r="AY280" i="5"/>
  <c r="AS284" i="5"/>
  <c r="BA284" i="5"/>
  <c r="AZ284" i="5"/>
  <c r="AY284" i="5"/>
  <c r="AS288" i="5"/>
  <c r="BA288" i="5"/>
  <c r="AZ288" i="5"/>
  <c r="AY288" i="5"/>
  <c r="AS292" i="5"/>
  <c r="BA292" i="5"/>
  <c r="AZ292" i="5"/>
  <c r="AY292" i="5"/>
  <c r="AS296" i="5"/>
  <c r="BA296" i="5"/>
  <c r="AY296" i="5"/>
  <c r="AZ296" i="5"/>
  <c r="AS300" i="5"/>
  <c r="BA300" i="5"/>
  <c r="AZ300" i="5"/>
  <c r="AY300" i="5"/>
  <c r="AS304" i="5"/>
  <c r="BA304" i="5"/>
  <c r="AZ304" i="5"/>
  <c r="AY304" i="5"/>
  <c r="AS308" i="5"/>
  <c r="BA308" i="5"/>
  <c r="AZ308" i="5"/>
  <c r="AY308" i="5"/>
  <c r="AS312" i="5"/>
  <c r="BA312" i="5"/>
  <c r="AZ312" i="5"/>
  <c r="AY312" i="5"/>
  <c r="AS316" i="5"/>
  <c r="BA316" i="5"/>
  <c r="AY316" i="5"/>
  <c r="AZ316" i="5"/>
  <c r="AS320" i="5"/>
  <c r="BA320" i="5"/>
  <c r="AY320" i="5"/>
  <c r="AZ320" i="5"/>
  <c r="AS324" i="5"/>
  <c r="BA324" i="5"/>
  <c r="AZ324" i="5"/>
  <c r="AY324" i="5"/>
  <c r="AS328" i="5"/>
  <c r="BA328" i="5"/>
  <c r="AZ328" i="5"/>
  <c r="AY328" i="5"/>
  <c r="AS332" i="5"/>
  <c r="BA332" i="5"/>
  <c r="AZ332" i="5"/>
  <c r="AY332" i="5"/>
  <c r="AS336" i="5"/>
  <c r="BA336" i="5"/>
  <c r="AZ336" i="5"/>
  <c r="AY336" i="5"/>
  <c r="AS340" i="5"/>
  <c r="BA340" i="5"/>
  <c r="AY340" i="5"/>
  <c r="AZ340" i="5"/>
  <c r="AS344" i="5"/>
  <c r="BA344" i="5"/>
  <c r="AZ344" i="5"/>
  <c r="AY344" i="5"/>
  <c r="AS348" i="5"/>
  <c r="BA348" i="5"/>
  <c r="AZ348" i="5"/>
  <c r="AY348" i="5"/>
  <c r="AS352" i="5"/>
  <c r="BA352" i="5"/>
  <c r="AZ352" i="5"/>
  <c r="AY352" i="5"/>
  <c r="AS356" i="5"/>
  <c r="BA356" i="5"/>
  <c r="AZ356" i="5"/>
  <c r="AY356" i="5"/>
  <c r="AS360" i="5"/>
  <c r="BA360" i="5"/>
  <c r="AY360" i="5"/>
  <c r="AZ360" i="5"/>
  <c r="AS364" i="5"/>
  <c r="BA364" i="5"/>
  <c r="AZ364" i="5"/>
  <c r="AY364" i="5"/>
  <c r="AS368" i="5"/>
  <c r="BA368" i="5"/>
  <c r="AZ368" i="5"/>
  <c r="AY368" i="5"/>
  <c r="AS372" i="5"/>
  <c r="BA372" i="5"/>
  <c r="AY372" i="5"/>
  <c r="AZ372" i="5"/>
  <c r="AS376" i="5"/>
  <c r="BA376" i="5"/>
  <c r="AZ376" i="5"/>
  <c r="AY376" i="5"/>
  <c r="AS380" i="5"/>
  <c r="BA380" i="5"/>
  <c r="AY380" i="5"/>
  <c r="AZ380" i="5"/>
  <c r="AS384" i="5"/>
  <c r="BA384" i="5"/>
  <c r="AZ384" i="5"/>
  <c r="AY384" i="5"/>
  <c r="AS388" i="5"/>
  <c r="BA388" i="5"/>
  <c r="AZ388" i="5"/>
  <c r="AY388" i="5"/>
  <c r="AS392" i="5"/>
  <c r="BA392" i="5"/>
  <c r="AZ392" i="5"/>
  <c r="AY392" i="5"/>
  <c r="AS396" i="5"/>
  <c r="BA396" i="5"/>
  <c r="AZ396" i="5"/>
  <c r="AY396" i="5"/>
  <c r="AS400" i="5"/>
  <c r="BA400" i="5"/>
  <c r="AZ400" i="5"/>
  <c r="AY400" i="5"/>
  <c r="AS404" i="5"/>
  <c r="BA404" i="5"/>
  <c r="AZ404" i="5"/>
  <c r="AY404" i="5"/>
  <c r="AS408" i="5"/>
  <c r="BA408" i="5"/>
  <c r="AZ408" i="5"/>
  <c r="AY408" i="5"/>
  <c r="AS412" i="5"/>
  <c r="BA412" i="5"/>
  <c r="AZ412" i="5"/>
  <c r="AY412" i="5"/>
  <c r="AS416" i="5"/>
  <c r="BA416" i="5"/>
  <c r="AY416" i="5"/>
  <c r="AZ416" i="5"/>
  <c r="AS420" i="5"/>
  <c r="BA420" i="5"/>
  <c r="AZ420" i="5"/>
  <c r="AY420" i="5"/>
  <c r="AS424" i="5"/>
  <c r="BA424" i="5"/>
  <c r="AY424" i="5"/>
  <c r="AZ424" i="5"/>
  <c r="AS428" i="5"/>
  <c r="BA428" i="5"/>
  <c r="AZ428" i="5"/>
  <c r="AY428" i="5"/>
  <c r="AS432" i="5"/>
  <c r="BA432" i="5"/>
  <c r="AZ432" i="5"/>
  <c r="AY432" i="5"/>
  <c r="AS436" i="5"/>
  <c r="BA436" i="5"/>
  <c r="AY436" i="5"/>
  <c r="AZ436" i="5"/>
  <c r="AS440" i="5"/>
  <c r="BA440" i="5"/>
  <c r="AZ440" i="5"/>
  <c r="AY440" i="5"/>
  <c r="AS444" i="5"/>
  <c r="BA444" i="5"/>
  <c r="AY444" i="5"/>
  <c r="AZ444" i="5"/>
  <c r="AS448" i="5"/>
  <c r="BA448" i="5"/>
  <c r="AY448" i="5"/>
  <c r="AZ448" i="5"/>
  <c r="AS452" i="5"/>
  <c r="BA452" i="5"/>
  <c r="AZ452" i="5"/>
  <c r="AY452" i="5"/>
  <c r="AS456" i="5"/>
  <c r="BA456" i="5"/>
  <c r="AZ456" i="5"/>
  <c r="AY456" i="5"/>
  <c r="AS460" i="5"/>
  <c r="BA460" i="5"/>
  <c r="AZ460" i="5"/>
  <c r="AY460" i="5"/>
  <c r="AS464" i="5"/>
  <c r="BA464" i="5"/>
  <c r="AZ464" i="5"/>
  <c r="AY464" i="5"/>
  <c r="AS468" i="5"/>
  <c r="BA468" i="5"/>
  <c r="AY468" i="5"/>
  <c r="AZ468" i="5"/>
  <c r="AS472" i="5"/>
  <c r="BA472" i="5"/>
  <c r="AZ472" i="5"/>
  <c r="AY472" i="5"/>
  <c r="AS476" i="5"/>
  <c r="BA476" i="5"/>
  <c r="AZ476" i="5"/>
  <c r="AY476" i="5"/>
  <c r="AS480" i="5"/>
  <c r="BA480" i="5"/>
  <c r="AZ480" i="5"/>
  <c r="AY480" i="5"/>
  <c r="AS484" i="5"/>
  <c r="BA484" i="5"/>
  <c r="AZ484" i="5"/>
  <c r="AY484" i="5"/>
  <c r="AS488" i="5"/>
  <c r="BA488" i="5"/>
  <c r="AY488" i="5"/>
  <c r="AZ488" i="5"/>
  <c r="AS492" i="5"/>
  <c r="BA492" i="5"/>
  <c r="AZ492" i="5"/>
  <c r="AY492" i="5"/>
  <c r="AS496" i="5"/>
  <c r="BA496" i="5"/>
  <c r="AZ496" i="5"/>
  <c r="AY496" i="5"/>
  <c r="AS500" i="5"/>
  <c r="BA500" i="5"/>
  <c r="AZ500" i="5"/>
  <c r="AY500" i="5"/>
  <c r="AS504" i="5"/>
  <c r="BA504" i="5"/>
  <c r="AZ504" i="5"/>
  <c r="AY504" i="5"/>
  <c r="AS508" i="5"/>
  <c r="BA508" i="5"/>
  <c r="AZ508" i="5"/>
  <c r="AY508" i="5"/>
  <c r="AS512" i="5"/>
  <c r="BA512" i="5"/>
  <c r="AY512" i="5"/>
  <c r="AZ512" i="5"/>
  <c r="AS516" i="5"/>
  <c r="BA516" i="5"/>
  <c r="AZ516" i="5"/>
  <c r="AY516" i="5"/>
  <c r="AS520" i="5"/>
  <c r="BA520" i="5"/>
  <c r="AY520" i="5"/>
  <c r="AZ520" i="5"/>
  <c r="AS524" i="5"/>
  <c r="BA524" i="5"/>
  <c r="AZ524" i="5"/>
  <c r="AY524" i="5"/>
  <c r="AS528" i="5"/>
  <c r="BA528" i="5"/>
  <c r="AZ528" i="5"/>
  <c r="AY528" i="5"/>
  <c r="AS532" i="5"/>
  <c r="BA532" i="5"/>
  <c r="AZ532" i="5"/>
  <c r="AY532" i="5"/>
  <c r="AS536" i="5"/>
  <c r="BA536" i="5"/>
  <c r="AZ536" i="5"/>
  <c r="AY536" i="5"/>
  <c r="AS540" i="5"/>
  <c r="BA540" i="5"/>
  <c r="AZ540" i="5"/>
  <c r="AY540" i="5"/>
  <c r="AS544" i="5"/>
  <c r="BA544" i="5"/>
  <c r="AY544" i="5"/>
  <c r="AZ544" i="5"/>
  <c r="AS548" i="5"/>
  <c r="BA548" i="5"/>
  <c r="AZ548" i="5"/>
  <c r="AY548" i="5"/>
  <c r="AS552" i="5"/>
  <c r="BA552" i="5"/>
  <c r="AY552" i="5"/>
  <c r="AZ552" i="5"/>
  <c r="AS556" i="5"/>
  <c r="BA556" i="5"/>
  <c r="AZ556" i="5"/>
  <c r="AY556" i="5"/>
  <c r="AS560" i="5"/>
  <c r="BA560" i="5"/>
  <c r="AZ560" i="5"/>
  <c r="AY560" i="5"/>
  <c r="AS564" i="5"/>
  <c r="BA564" i="5"/>
  <c r="AY564" i="5"/>
  <c r="AZ564" i="5"/>
  <c r="AS568" i="5"/>
  <c r="BA568" i="5"/>
  <c r="AZ568" i="5"/>
  <c r="AY568" i="5"/>
  <c r="AS572" i="5"/>
  <c r="BA572" i="5"/>
  <c r="AY572" i="5"/>
  <c r="AZ572" i="5"/>
  <c r="AS576" i="5"/>
  <c r="BA576" i="5"/>
  <c r="AZ576" i="5"/>
  <c r="AY576" i="5"/>
  <c r="AS580" i="5"/>
  <c r="BA580" i="5"/>
  <c r="AZ580" i="5"/>
  <c r="AY580" i="5"/>
  <c r="AS584" i="5"/>
  <c r="BA584" i="5"/>
  <c r="AZ584" i="5"/>
  <c r="AY584" i="5"/>
  <c r="AS588" i="5"/>
  <c r="BA588" i="5"/>
  <c r="AZ588" i="5"/>
  <c r="AY588" i="5"/>
  <c r="AS592" i="5"/>
  <c r="BA592" i="5"/>
  <c r="AZ592" i="5"/>
  <c r="AY592" i="5"/>
  <c r="AS596" i="5"/>
  <c r="BA596" i="5"/>
  <c r="AZ596" i="5"/>
  <c r="AY596" i="5"/>
  <c r="AS600" i="5"/>
  <c r="BA600" i="5"/>
  <c r="AZ600" i="5"/>
  <c r="AY600" i="5"/>
  <c r="AS604" i="5"/>
  <c r="BA604" i="5"/>
  <c r="AZ604" i="5"/>
  <c r="AY604" i="5"/>
  <c r="AS608" i="5"/>
  <c r="BA608" i="5"/>
  <c r="AY608" i="5"/>
  <c r="AZ608" i="5"/>
  <c r="AS612" i="5"/>
  <c r="BA612" i="5"/>
  <c r="AZ612" i="5"/>
  <c r="AY612" i="5"/>
  <c r="AS616" i="5"/>
  <c r="BA616" i="5"/>
  <c r="AY616" i="5"/>
  <c r="AZ616" i="5"/>
  <c r="AS620" i="5"/>
  <c r="BA620" i="5"/>
  <c r="AZ620" i="5"/>
  <c r="AY620" i="5"/>
  <c r="AS624" i="5"/>
  <c r="BA624" i="5"/>
  <c r="AZ624" i="5"/>
  <c r="AY624" i="5"/>
  <c r="AS628" i="5"/>
  <c r="BA628" i="5"/>
  <c r="AY628" i="5"/>
  <c r="AZ628" i="5"/>
  <c r="AS632" i="5"/>
  <c r="BA632" i="5"/>
  <c r="AY632" i="5"/>
  <c r="AZ632" i="5"/>
  <c r="AS636" i="5"/>
  <c r="BA636" i="5"/>
  <c r="AZ636" i="5"/>
  <c r="AY636" i="5"/>
  <c r="AS640" i="5"/>
  <c r="BA640" i="5"/>
  <c r="AY640" i="5"/>
  <c r="AZ640" i="5"/>
  <c r="AS644" i="5"/>
  <c r="BA644" i="5"/>
  <c r="AZ644" i="5"/>
  <c r="AY644" i="5"/>
  <c r="AS648" i="5"/>
  <c r="BA648" i="5"/>
  <c r="AY648" i="5"/>
  <c r="AZ648" i="5"/>
  <c r="AS652" i="5"/>
  <c r="BA652" i="5"/>
  <c r="AZ652" i="5"/>
  <c r="AY652" i="5"/>
  <c r="AS656" i="5"/>
  <c r="BA656" i="5"/>
  <c r="AY656" i="5"/>
  <c r="AZ656" i="5"/>
  <c r="AS660" i="5"/>
  <c r="BA660" i="5"/>
  <c r="AZ660" i="5"/>
  <c r="AY660" i="5"/>
  <c r="AS664" i="5"/>
  <c r="BA664" i="5"/>
  <c r="AY664" i="5"/>
  <c r="AZ664" i="5"/>
  <c r="AS668" i="5"/>
  <c r="BA668" i="5"/>
  <c r="AZ668" i="5"/>
  <c r="AY668" i="5"/>
  <c r="AS672" i="5"/>
  <c r="BA672" i="5"/>
  <c r="AY672" i="5"/>
  <c r="AZ672" i="5"/>
  <c r="AS676" i="5"/>
  <c r="BA676" i="5"/>
  <c r="AZ676" i="5"/>
  <c r="AY676" i="5"/>
  <c r="AS680" i="5"/>
  <c r="BA680" i="5"/>
  <c r="AY680" i="5"/>
  <c r="AZ680" i="5"/>
  <c r="AS684" i="5"/>
  <c r="BA684" i="5"/>
  <c r="AZ684" i="5"/>
  <c r="AY684" i="5"/>
  <c r="AS688" i="5"/>
  <c r="BA688" i="5"/>
  <c r="AY688" i="5"/>
  <c r="AZ688" i="5"/>
  <c r="AS692" i="5"/>
  <c r="BA692" i="5"/>
  <c r="AZ692" i="5"/>
  <c r="AY692" i="5"/>
  <c r="AS696" i="5"/>
  <c r="BA696" i="5"/>
  <c r="AY696" i="5"/>
  <c r="AZ696" i="5"/>
  <c r="AS700" i="5"/>
  <c r="BA700" i="5"/>
  <c r="AZ700" i="5"/>
  <c r="AY700" i="5"/>
  <c r="AS704" i="5"/>
  <c r="BA704" i="5"/>
  <c r="AY704" i="5"/>
  <c r="AZ704" i="5"/>
  <c r="AS708" i="5"/>
  <c r="BA708" i="5"/>
  <c r="AZ708" i="5"/>
  <c r="AY708" i="5"/>
  <c r="AS712" i="5"/>
  <c r="BA712" i="5"/>
  <c r="AY712" i="5"/>
  <c r="AZ712" i="5"/>
  <c r="AS716" i="5"/>
  <c r="BA716" i="5"/>
  <c r="AZ716" i="5"/>
  <c r="AY716" i="5"/>
  <c r="AS720" i="5"/>
  <c r="BA720" i="5"/>
  <c r="AY720" i="5"/>
  <c r="AZ720" i="5"/>
  <c r="AS724" i="5"/>
  <c r="BA724" i="5"/>
  <c r="AZ724" i="5"/>
  <c r="AY724" i="5"/>
  <c r="AS728" i="5"/>
  <c r="BA728" i="5"/>
  <c r="AY728" i="5"/>
  <c r="AZ728" i="5"/>
  <c r="AS732" i="5"/>
  <c r="BA732" i="5"/>
  <c r="AZ732" i="5"/>
  <c r="AY732" i="5"/>
  <c r="AS736" i="5"/>
  <c r="BA736" i="5"/>
  <c r="AY736" i="5"/>
  <c r="AZ736" i="5"/>
  <c r="AS740" i="5"/>
  <c r="BA740" i="5"/>
  <c r="AZ740" i="5"/>
  <c r="AY740" i="5"/>
  <c r="AS744" i="5"/>
  <c r="BA744" i="5"/>
  <c r="AY744" i="5"/>
  <c r="AZ744" i="5"/>
  <c r="AS748" i="5"/>
  <c r="BA748" i="5"/>
  <c r="AZ748" i="5"/>
  <c r="AY748" i="5"/>
  <c r="AZ9" i="5"/>
  <c r="AY9" i="5"/>
  <c r="BA9" i="5" s="1"/>
  <c r="AK15" i="5" a="1"/>
  <c r="AK15" i="5" s="1"/>
  <c r="AX15" i="5"/>
  <c r="AK24" i="5" a="1"/>
  <c r="AK24" i="5" s="1"/>
  <c r="AX24" i="5"/>
  <c r="AK29" i="5" a="1"/>
  <c r="AK29" i="5" s="1"/>
  <c r="AS29" i="5" s="1"/>
  <c r="AX29" i="5"/>
  <c r="AK31" i="5" a="1"/>
  <c r="AK31" i="5" s="1"/>
  <c r="AX31" i="5"/>
  <c r="AK43" i="5" a="1"/>
  <c r="AK43" i="5" s="1"/>
  <c r="AX43" i="5"/>
  <c r="AK48" i="5" a="1"/>
  <c r="AK48" i="5" s="1"/>
  <c r="AX48" i="5"/>
  <c r="AK53" i="5" a="1"/>
  <c r="AK53" i="5" s="1"/>
  <c r="AX53" i="5"/>
  <c r="AK58" i="5" a="1"/>
  <c r="AK58" i="5" s="1"/>
  <c r="AX58" i="5"/>
  <c r="AK65" i="5" a="1"/>
  <c r="AK65" i="5" s="1"/>
  <c r="AX65" i="5"/>
  <c r="AK70" i="5" a="1"/>
  <c r="AK70" i="5" s="1"/>
  <c r="AX70" i="5"/>
  <c r="AK95" i="5" a="1"/>
  <c r="AK95" i="5" s="1"/>
  <c r="AX95" i="5"/>
  <c r="AK107" i="5" a="1"/>
  <c r="AK107" i="5" s="1"/>
  <c r="AX107" i="5"/>
  <c r="AK112" i="5" a="1"/>
  <c r="AK112" i="5" s="1"/>
  <c r="AX112" i="5"/>
  <c r="AK114" i="5" a="1"/>
  <c r="AK114" i="5" s="1"/>
  <c r="AX114" i="5"/>
  <c r="AK123" i="5" a="1"/>
  <c r="AK123" i="5" s="1"/>
  <c r="AX123" i="5"/>
  <c r="AK127" i="5" a="1"/>
  <c r="AK127" i="5" s="1"/>
  <c r="AX127" i="5"/>
  <c r="AK129" i="5" a="1"/>
  <c r="AK129" i="5" s="1"/>
  <c r="AX129" i="5"/>
  <c r="AK133" i="5" a="1"/>
  <c r="AK133" i="5" s="1"/>
  <c r="AX133" i="5"/>
  <c r="AK144" i="5" a="1"/>
  <c r="AK144" i="5" s="1"/>
  <c r="AX144" i="5"/>
  <c r="AK146" i="5" a="1"/>
  <c r="AK146" i="5" s="1"/>
  <c r="AX146" i="5"/>
  <c r="AK165" i="5" a="1"/>
  <c r="AK165" i="5" s="1"/>
  <c r="AX165" i="5"/>
  <c r="AK174" i="5" a="1"/>
  <c r="AK174" i="5" s="1"/>
  <c r="AX174" i="5"/>
  <c r="AK178" i="5" a="1"/>
  <c r="AK178" i="5" s="1"/>
  <c r="AX178" i="5"/>
  <c r="AK204" i="5" a="1"/>
  <c r="AK204" i="5" s="1"/>
  <c r="AX204" i="5"/>
  <c r="AK208" i="5" a="1"/>
  <c r="AK208" i="5" s="1"/>
  <c r="AX208" i="5"/>
  <c r="AK210" i="5" a="1"/>
  <c r="AK210" i="5" s="1"/>
  <c r="AX210" i="5"/>
  <c r="AK223" i="5" a="1"/>
  <c r="AK223" i="5" s="1"/>
  <c r="AX223" i="5"/>
  <c r="AK228" i="5" a="1"/>
  <c r="AK228" i="5" s="1"/>
  <c r="AX228" i="5"/>
  <c r="AK241" i="5" a="1"/>
  <c r="AK241" i="5" s="1"/>
  <c r="AX241" i="5"/>
  <c r="AK247" i="5" a="1"/>
  <c r="AK247" i="5" s="1"/>
  <c r="AX247" i="5"/>
  <c r="AK253" i="5" a="1"/>
  <c r="AK253" i="5" s="1"/>
  <c r="AX253" i="5"/>
  <c r="AK258" i="5" a="1"/>
  <c r="AK258" i="5" s="1"/>
  <c r="AX258" i="5"/>
  <c r="AK267" i="5" a="1"/>
  <c r="AK267" i="5" s="1"/>
  <c r="AX267" i="5"/>
  <c r="AK274" i="5" a="1"/>
  <c r="AK274" i="5" s="1"/>
  <c r="AX274" i="5"/>
  <c r="AK280" i="5" a="1"/>
  <c r="AK280" i="5" s="1"/>
  <c r="AX280" i="5"/>
  <c r="AK294" i="5" a="1"/>
  <c r="AK294" i="5" s="1"/>
  <c r="AX294" i="5"/>
  <c r="AK314" i="5" a="1"/>
  <c r="AK314" i="5" s="1"/>
  <c r="AX314" i="5"/>
  <c r="AK317" i="5" a="1"/>
  <c r="AK317" i="5" s="1"/>
  <c r="AX317" i="5"/>
  <c r="AK331" i="5" a="1"/>
  <c r="AK331" i="5" s="1"/>
  <c r="AX331" i="5"/>
  <c r="AK336" i="5" a="1"/>
  <c r="AK336" i="5" s="1"/>
  <c r="AX336" i="5"/>
  <c r="AK341" i="5" a="1"/>
  <c r="AK341" i="5" s="1"/>
  <c r="AX341" i="5"/>
  <c r="AK348" i="5" a="1"/>
  <c r="AK348" i="5" s="1"/>
  <c r="AX348" i="5"/>
  <c r="AK351" i="5" a="1"/>
  <c r="AK351" i="5" s="1"/>
  <c r="AX351" i="5"/>
  <c r="AK356" i="5" a="1"/>
  <c r="AK356" i="5" s="1"/>
  <c r="AX356" i="5"/>
  <c r="AK361" i="5" a="1"/>
  <c r="AK361" i="5" s="1"/>
  <c r="AX361" i="5"/>
  <c r="AK369" i="5" a="1"/>
  <c r="AK369" i="5" s="1"/>
  <c r="AX369" i="5"/>
  <c r="AK375" i="5" a="1"/>
  <c r="AK375" i="5" s="1"/>
  <c r="AX375" i="5"/>
  <c r="AK381" i="5" a="1"/>
  <c r="AK381" i="5" s="1"/>
  <c r="AX381" i="5"/>
  <c r="AK386" i="5" a="1"/>
  <c r="AK386" i="5" s="1"/>
  <c r="AX386" i="5"/>
  <c r="AK395" i="5" a="1"/>
  <c r="AK395" i="5" s="1"/>
  <c r="AX395" i="5"/>
  <c r="AK400" i="5" a="1"/>
  <c r="AK400" i="5" s="1"/>
  <c r="AX400" i="5"/>
  <c r="AK405" i="5" a="1"/>
  <c r="AK405" i="5" s="1"/>
  <c r="AX405" i="5"/>
  <c r="AK411" i="5" a="1"/>
  <c r="AK411" i="5" s="1"/>
  <c r="AX411" i="5"/>
  <c r="AK425" i="5" a="1"/>
  <c r="AK425" i="5" s="1"/>
  <c r="AX425" i="5"/>
  <c r="AK436" i="5" a="1"/>
  <c r="AK436" i="5" s="1"/>
  <c r="AX436" i="5"/>
  <c r="AK441" i="5" a="1"/>
  <c r="AK441" i="5" s="1"/>
  <c r="AX441" i="5"/>
  <c r="AK443" i="5" a="1"/>
  <c r="AK443" i="5" s="1"/>
  <c r="AX443" i="5"/>
  <c r="AK451" i="5" a="1"/>
  <c r="AK451" i="5" s="1"/>
  <c r="AX451" i="5"/>
  <c r="AK464" i="5" a="1"/>
  <c r="AK464" i="5" s="1"/>
  <c r="AX464" i="5"/>
  <c r="AK470" i="5" a="1"/>
  <c r="AK470" i="5" s="1"/>
  <c r="AX470" i="5"/>
  <c r="AK472" i="5" a="1"/>
  <c r="AK472" i="5" s="1"/>
  <c r="AX472" i="5"/>
  <c r="AK477" i="5" a="1"/>
  <c r="AK477" i="5" s="1"/>
  <c r="AX477" i="5"/>
  <c r="AK482" i="5" a="1"/>
  <c r="AK482" i="5" s="1"/>
  <c r="AX482" i="5"/>
  <c r="AK500" i="5" a="1"/>
  <c r="AK500" i="5" s="1"/>
  <c r="AX500" i="5"/>
  <c r="AK506" i="5" a="1"/>
  <c r="AK506" i="5" s="1"/>
  <c r="AX506" i="5"/>
  <c r="AK511" i="5" a="1"/>
  <c r="AK511" i="5" s="1"/>
  <c r="AX511" i="5"/>
  <c r="AK517" i="5" a="1"/>
  <c r="AK517" i="5" s="1"/>
  <c r="AX517" i="5"/>
  <c r="AK520" i="5" a="1"/>
  <c r="AK520" i="5" s="1"/>
  <c r="AX520" i="5"/>
  <c r="AK538" i="5" a="1"/>
  <c r="AK538" i="5" s="1"/>
  <c r="AX538" i="5"/>
  <c r="AK540" i="5" a="1"/>
  <c r="AK540" i="5" s="1"/>
  <c r="AX540" i="5"/>
  <c r="AK545" i="5" a="1"/>
  <c r="AK545" i="5" s="1"/>
  <c r="AX545" i="5"/>
  <c r="AK548" i="5" a="1"/>
  <c r="AK548" i="5" s="1"/>
  <c r="AX548" i="5"/>
  <c r="AK558" i="5" a="1"/>
  <c r="AK558" i="5" s="1"/>
  <c r="AX558" i="5"/>
  <c r="AK563" i="5" a="1"/>
  <c r="AK563" i="5" s="1"/>
  <c r="AX563" i="5"/>
  <c r="AK565" i="5" a="1"/>
  <c r="AK565" i="5" s="1"/>
  <c r="AX565" i="5"/>
  <c r="AK570" i="5" a="1"/>
  <c r="AK570" i="5" s="1"/>
  <c r="AX570" i="5"/>
  <c r="AK575" i="5" a="1"/>
  <c r="AK575" i="5" s="1"/>
  <c r="AX575" i="5"/>
  <c r="AK579" i="5" a="1"/>
  <c r="AK579" i="5" s="1"/>
  <c r="AX579" i="5"/>
  <c r="AK583" i="5" a="1"/>
  <c r="AK583" i="5" s="1"/>
  <c r="AX583" i="5"/>
  <c r="AK590" i="5" a="1"/>
  <c r="AK590" i="5" s="1"/>
  <c r="AX590" i="5"/>
  <c r="AK597" i="5" a="1"/>
  <c r="AK597" i="5" s="1"/>
  <c r="AX597" i="5"/>
  <c r="AK604" i="5" a="1"/>
  <c r="AK604" i="5" s="1"/>
  <c r="AX604" i="5"/>
  <c r="AK611" i="5" a="1"/>
  <c r="AK611" i="5" s="1"/>
  <c r="AX611" i="5"/>
  <c r="AK615" i="5" a="1"/>
  <c r="AK615" i="5" s="1"/>
  <c r="AX615" i="5"/>
  <c r="AK626" i="5" a="1"/>
  <c r="AK626" i="5" s="1"/>
  <c r="AX626" i="5"/>
  <c r="AK629" i="5" a="1"/>
  <c r="AK629" i="5" s="1"/>
  <c r="AX629" i="5"/>
  <c r="AK634" i="5" a="1"/>
  <c r="AK634" i="5" s="1"/>
  <c r="AX634" i="5"/>
  <c r="AK644" i="5" a="1"/>
  <c r="AK644" i="5" s="1"/>
  <c r="AX644" i="5"/>
  <c r="AK647" i="5" a="1"/>
  <c r="AK647" i="5" s="1"/>
  <c r="AX647" i="5"/>
  <c r="AK651" i="5" a="1"/>
  <c r="AK651" i="5" s="1"/>
  <c r="AX651" i="5"/>
  <c r="AK657" i="5" a="1"/>
  <c r="AK657" i="5" s="1"/>
  <c r="AX657" i="5"/>
  <c r="AK667" i="5" a="1"/>
  <c r="AK667" i="5" s="1"/>
  <c r="AX667" i="5"/>
  <c r="AK676" i="5" a="1"/>
  <c r="AK676" i="5" s="1"/>
  <c r="AX676" i="5"/>
  <c r="AK683" i="5" a="1"/>
  <c r="AK683" i="5" s="1"/>
  <c r="AX683" i="5"/>
  <c r="AK698" i="5" a="1"/>
  <c r="AK698" i="5" s="1"/>
  <c r="AX698" i="5"/>
  <c r="AK705" i="5" a="1"/>
  <c r="AK705" i="5" s="1"/>
  <c r="AX705" i="5"/>
  <c r="AK708" i="5" a="1"/>
  <c r="AK708" i="5" s="1"/>
  <c r="AX708" i="5"/>
  <c r="AK715" i="5" a="1"/>
  <c r="AK715" i="5" s="1"/>
  <c r="AX715" i="5"/>
  <c r="AK729" i="5" a="1"/>
  <c r="AK729" i="5" s="1"/>
  <c r="AX729" i="5"/>
  <c r="AK731" i="5" a="1"/>
  <c r="AK731" i="5" s="1"/>
  <c r="AX731" i="5"/>
  <c r="AK737" i="5" a="1"/>
  <c r="AK737" i="5" s="1"/>
  <c r="AX737" i="5"/>
  <c r="AK14" i="5" a="1"/>
  <c r="AK14" i="5" s="1"/>
  <c r="AX14" i="5"/>
  <c r="AK27" i="5" a="1"/>
  <c r="AK27" i="5" s="1"/>
  <c r="AX27" i="5"/>
  <c r="AK51" i="5" a="1"/>
  <c r="AK51" i="5" s="1"/>
  <c r="AX51" i="5"/>
  <c r="AK54" i="5" a="1"/>
  <c r="AK54" i="5" s="1"/>
  <c r="AX54" i="5"/>
  <c r="AK60" i="5" a="1"/>
  <c r="AK60" i="5" s="1"/>
  <c r="AX60" i="5"/>
  <c r="AK77" i="5" a="1"/>
  <c r="AK77" i="5" s="1"/>
  <c r="AX77" i="5"/>
  <c r="AK84" i="5" a="1"/>
  <c r="AK84" i="5" s="1"/>
  <c r="AX84" i="5"/>
  <c r="AK89" i="5" a="1"/>
  <c r="AK89" i="5" s="1"/>
  <c r="AX89" i="5"/>
  <c r="AK94" i="5" a="1"/>
  <c r="AK94" i="5" s="1"/>
  <c r="AX94" i="5"/>
  <c r="AK96" i="5" a="1"/>
  <c r="AK96" i="5" s="1"/>
  <c r="AX96" i="5"/>
  <c r="AK101" i="5" a="1"/>
  <c r="AK101" i="5" s="1"/>
  <c r="AX101" i="5"/>
  <c r="AK103" i="5" a="1"/>
  <c r="AK103" i="5" s="1"/>
  <c r="AX103" i="5"/>
  <c r="AK106" i="5" a="1"/>
  <c r="AK106" i="5" s="1"/>
  <c r="AX106" i="5"/>
  <c r="AK115" i="5" a="1"/>
  <c r="AK115" i="5" s="1"/>
  <c r="AX115" i="5"/>
  <c r="AK119" i="5" a="1"/>
  <c r="AK119" i="5" s="1"/>
  <c r="AX119" i="5"/>
  <c r="AK134" i="5" a="1"/>
  <c r="AK134" i="5" s="1"/>
  <c r="AX134" i="5"/>
  <c r="AK136" i="5" a="1"/>
  <c r="AK136" i="5" s="1"/>
  <c r="AX136" i="5"/>
  <c r="AK147" i="5" a="1"/>
  <c r="AK147" i="5" s="1"/>
  <c r="AX147" i="5"/>
  <c r="AK151" i="5" a="1"/>
  <c r="AK151" i="5" s="1"/>
  <c r="AX151" i="5"/>
  <c r="AK164" i="5" a="1"/>
  <c r="AK164" i="5" s="1"/>
  <c r="AX164" i="5"/>
  <c r="AK168" i="5" a="1"/>
  <c r="AK168" i="5" s="1"/>
  <c r="AX168" i="5"/>
  <c r="AK179" i="5" a="1"/>
  <c r="AK179" i="5" s="1"/>
  <c r="AX179" i="5"/>
  <c r="AK183" i="5" a="1"/>
  <c r="AK183" i="5" s="1"/>
  <c r="AX183" i="5"/>
  <c r="AK185" i="5" a="1"/>
  <c r="AK185" i="5" s="1"/>
  <c r="AX185" i="5"/>
  <c r="AK189" i="5" a="1"/>
  <c r="AK189" i="5" s="1"/>
  <c r="AX189" i="5"/>
  <c r="AK198" i="5" a="1"/>
  <c r="AK198" i="5" s="1"/>
  <c r="AX198" i="5"/>
  <c r="AK202" i="5" a="1"/>
  <c r="AK202" i="5" s="1"/>
  <c r="AX202" i="5"/>
  <c r="AK211" i="5" a="1"/>
  <c r="AK211" i="5" s="1"/>
  <c r="AX211" i="5"/>
  <c r="AK215" i="5" a="1"/>
  <c r="AK215" i="5" s="1"/>
  <c r="AX215" i="5"/>
  <c r="AK217" i="5" a="1"/>
  <c r="AK217" i="5" s="1"/>
  <c r="AX217" i="5"/>
  <c r="AK225" i="5" a="1"/>
  <c r="AK225" i="5" s="1"/>
  <c r="AX225" i="5"/>
  <c r="AK231" i="5" a="1"/>
  <c r="AK231" i="5" s="1"/>
  <c r="AX231" i="5"/>
  <c r="AK234" i="5" a="1"/>
  <c r="AK234" i="5" s="1"/>
  <c r="AX234" i="5"/>
  <c r="AK240" i="5" a="1"/>
  <c r="AK240" i="5" s="1"/>
  <c r="AX240" i="5"/>
  <c r="AK254" i="5" a="1"/>
  <c r="AK254" i="5" s="1"/>
  <c r="AX254" i="5"/>
  <c r="AK259" i="5" a="1"/>
  <c r="AK259" i="5" s="1"/>
  <c r="AX259" i="5"/>
  <c r="AK264" i="5" a="1"/>
  <c r="AK264" i="5" s="1"/>
  <c r="AX264" i="5"/>
  <c r="AK270" i="5" a="1"/>
  <c r="AK270" i="5" s="1"/>
  <c r="AX270" i="5"/>
  <c r="AK298" i="5" a="1"/>
  <c r="AK298" i="5" s="1"/>
  <c r="AX298" i="5"/>
  <c r="AK304" i="5" a="1"/>
  <c r="AK304" i="5" s="1"/>
  <c r="AX304" i="5"/>
  <c r="AK306" i="5" a="1"/>
  <c r="AK306" i="5" s="1"/>
  <c r="AX306" i="5"/>
  <c r="AK309" i="5" a="1"/>
  <c r="AK309" i="5" s="1"/>
  <c r="AX309" i="5"/>
  <c r="AK315" i="5" a="1"/>
  <c r="AK315" i="5" s="1"/>
  <c r="AX315" i="5"/>
  <c r="AK325" i="5" a="1"/>
  <c r="AK325" i="5" s="1"/>
  <c r="AX325" i="5"/>
  <c r="AK334" i="5" a="1"/>
  <c r="AK334" i="5" s="1"/>
  <c r="AX334" i="5"/>
  <c r="AK362" i="5" a="1"/>
  <c r="AK362" i="5" s="1"/>
  <c r="AX362" i="5"/>
  <c r="AK368" i="5" a="1"/>
  <c r="AK368" i="5" s="1"/>
  <c r="AX368" i="5"/>
  <c r="AK382" i="5" a="1"/>
  <c r="AK382" i="5" s="1"/>
  <c r="AX382" i="5"/>
  <c r="AK389" i="5" a="1"/>
  <c r="AK389" i="5" s="1"/>
  <c r="AX389" i="5"/>
  <c r="AK396" i="5" a="1"/>
  <c r="AK396" i="5" s="1"/>
  <c r="AX396" i="5"/>
  <c r="AK403" i="5" a="1"/>
  <c r="AK403" i="5" s="1"/>
  <c r="AX403" i="5"/>
  <c r="AK408" i="5" a="1"/>
  <c r="AK408" i="5" s="1"/>
  <c r="AX408" i="5"/>
  <c r="AK415" i="5" a="1"/>
  <c r="AK415" i="5" s="1"/>
  <c r="AX415" i="5"/>
  <c r="AK417" i="5" a="1"/>
  <c r="AK417" i="5" s="1"/>
  <c r="AX417" i="5"/>
  <c r="AK422" i="5" a="1"/>
  <c r="AK422" i="5" s="1"/>
  <c r="AX422" i="5"/>
  <c r="AK437" i="5" a="1"/>
  <c r="AK437" i="5" s="1"/>
  <c r="AX437" i="5"/>
  <c r="AK446" i="5" a="1"/>
  <c r="AK446" i="5" s="1"/>
  <c r="AX446" i="5"/>
  <c r="AK450" i="5" a="1"/>
  <c r="AK450" i="5" s="1"/>
  <c r="AX450" i="5"/>
  <c r="AK468" i="5" a="1"/>
  <c r="AK468" i="5" s="1"/>
  <c r="AX468" i="5"/>
  <c r="AK473" i="5" a="1"/>
  <c r="AK473" i="5" s="1"/>
  <c r="AX473" i="5"/>
  <c r="AK487" i="5" a="1"/>
  <c r="AK487" i="5" s="1"/>
  <c r="AX487" i="5"/>
  <c r="AK492" i="5" a="1"/>
  <c r="AK492" i="5" s="1"/>
  <c r="AX492" i="5"/>
  <c r="AK509" i="5" a="1"/>
  <c r="AK509" i="5" s="1"/>
  <c r="AX509" i="5"/>
  <c r="AK514" i="5" a="1"/>
  <c r="AK514" i="5" s="1"/>
  <c r="AX514" i="5"/>
  <c r="AK518" i="5" a="1"/>
  <c r="AK518" i="5" s="1"/>
  <c r="AX518" i="5"/>
  <c r="AK521" i="5" a="1"/>
  <c r="AK521" i="5" s="1"/>
  <c r="AX521" i="5"/>
  <c r="AK526" i="5" a="1"/>
  <c r="AK526" i="5" s="1"/>
  <c r="AX526" i="5"/>
  <c r="AK534" i="5" a="1"/>
  <c r="AK534" i="5" s="1"/>
  <c r="AX534" i="5"/>
  <c r="AK541" i="5" a="1"/>
  <c r="AK541" i="5" s="1"/>
  <c r="AX541" i="5"/>
  <c r="AK546" i="5" a="1"/>
  <c r="AK546" i="5" s="1"/>
  <c r="AX546" i="5"/>
  <c r="AK555" i="5" a="1"/>
  <c r="AK555" i="5" s="1"/>
  <c r="AX555" i="5"/>
  <c r="AK561" i="5" a="1"/>
  <c r="AK561" i="5" s="1"/>
  <c r="AX561" i="5"/>
  <c r="AK580" i="5" a="1"/>
  <c r="AK580" i="5" s="1"/>
  <c r="AX580" i="5"/>
  <c r="AK587" i="5" a="1"/>
  <c r="AK587" i="5" s="1"/>
  <c r="AX587" i="5"/>
  <c r="AK602" i="5" a="1"/>
  <c r="AK602" i="5" s="1"/>
  <c r="AX602" i="5"/>
  <c r="AK609" i="5" a="1"/>
  <c r="AK609" i="5" s="1"/>
  <c r="AX609" i="5"/>
  <c r="AK612" i="5" a="1"/>
  <c r="AK612" i="5" s="1"/>
  <c r="AX612" i="5"/>
  <c r="AK619" i="5" a="1"/>
  <c r="AK619" i="5" s="1"/>
  <c r="AX619" i="5"/>
  <c r="AK635" i="5" a="1"/>
  <c r="AK635" i="5" s="1"/>
  <c r="AX635" i="5"/>
  <c r="AK638" i="5" a="1"/>
  <c r="AK638" i="5" s="1"/>
  <c r="AX638" i="5"/>
  <c r="AK645" i="5" a="1"/>
  <c r="AK645" i="5" s="1"/>
  <c r="AX645" i="5"/>
  <c r="AK748" i="5" a="1"/>
  <c r="AK748" i="5" s="1"/>
  <c r="AX748" i="5"/>
  <c r="AK16" i="5" a="1"/>
  <c r="AK16" i="5" s="1"/>
  <c r="AX16" i="5"/>
  <c r="AK21" i="5" a="1"/>
  <c r="AK21" i="5" s="1"/>
  <c r="AX21" i="5"/>
  <c r="AK26" i="5" a="1"/>
  <c r="AK26" i="5" s="1"/>
  <c r="AX26" i="5"/>
  <c r="AK33" i="5" a="1"/>
  <c r="AK33" i="5" s="1"/>
  <c r="AX33" i="5"/>
  <c r="AK44" i="5" a="1"/>
  <c r="AK44" i="5" s="1"/>
  <c r="AX44" i="5"/>
  <c r="AK56" i="5" a="1"/>
  <c r="AK56" i="5" s="1"/>
  <c r="AX56" i="5"/>
  <c r="AK61" i="5" a="1"/>
  <c r="AK61" i="5" s="1"/>
  <c r="AX61" i="5"/>
  <c r="AK68" i="5" a="1"/>
  <c r="AK68" i="5" s="1"/>
  <c r="AX68" i="5"/>
  <c r="AK73" i="5" a="1"/>
  <c r="AK73" i="5" s="1"/>
  <c r="AX73" i="5"/>
  <c r="AK90" i="5" a="1"/>
  <c r="AK90" i="5" s="1"/>
  <c r="AX90" i="5"/>
  <c r="AK97" i="5" a="1"/>
  <c r="AK97" i="5" s="1"/>
  <c r="AX97" i="5"/>
  <c r="AK102" i="5" a="1"/>
  <c r="AK102" i="5" s="1"/>
  <c r="AX102" i="5"/>
  <c r="AK108" i="5" a="1"/>
  <c r="AK108" i="5" s="1"/>
  <c r="AX108" i="5"/>
  <c r="AK128" i="5" a="1"/>
  <c r="AK128" i="5" s="1"/>
  <c r="AX128" i="5"/>
  <c r="AK139" i="5" a="1"/>
  <c r="AK139" i="5" s="1"/>
  <c r="AX139" i="5"/>
  <c r="AK160" i="5" a="1"/>
  <c r="AK160" i="5" s="1"/>
  <c r="AX160" i="5"/>
  <c r="AK177" i="5" a="1"/>
  <c r="AK177" i="5" s="1"/>
  <c r="AX177" i="5"/>
  <c r="AK188" i="5" a="1"/>
  <c r="AK188" i="5" s="1"/>
  <c r="AX188" i="5"/>
  <c r="AK192" i="5" a="1"/>
  <c r="AK192" i="5" s="1"/>
  <c r="AX192" i="5"/>
  <c r="AK203" i="5" a="1"/>
  <c r="AK203" i="5" s="1"/>
  <c r="AX203" i="5"/>
  <c r="AK213" i="5" a="1"/>
  <c r="AK213" i="5" s="1"/>
  <c r="AX213" i="5"/>
  <c r="AK220" i="5" a="1"/>
  <c r="AK220" i="5" s="1"/>
  <c r="AX220" i="5"/>
  <c r="AK222" i="5" a="1"/>
  <c r="AK222" i="5" s="1"/>
  <c r="AX222" i="5"/>
  <c r="AK226" i="5" a="1"/>
  <c r="AK226" i="5" s="1"/>
  <c r="AX226" i="5"/>
  <c r="AK229" i="5" a="1"/>
  <c r="AK229" i="5" s="1"/>
  <c r="AX229" i="5"/>
  <c r="AK235" i="5" a="1"/>
  <c r="AK235" i="5" s="1"/>
  <c r="AX235" i="5"/>
  <c r="AK238" i="5" a="1"/>
  <c r="AK238" i="5" s="1"/>
  <c r="AX238" i="5"/>
  <c r="AK243" i="5" a="1"/>
  <c r="AK243" i="5" s="1"/>
  <c r="AX243" i="5"/>
  <c r="AK248" i="5" a="1"/>
  <c r="AK248" i="5" s="1"/>
  <c r="AX248" i="5"/>
  <c r="AK252" i="5" a="1"/>
  <c r="AK252" i="5" s="1"/>
  <c r="AX252" i="5"/>
  <c r="AK255" i="5" a="1"/>
  <c r="AK255" i="5" s="1"/>
  <c r="AX255" i="5"/>
  <c r="AK260" i="5" a="1"/>
  <c r="AK260" i="5" s="1"/>
  <c r="AX260" i="5"/>
  <c r="AK262" i="5" a="1"/>
  <c r="AK262" i="5" s="1"/>
  <c r="AX262" i="5"/>
  <c r="AK265" i="5" a="1"/>
  <c r="AK265" i="5" s="1"/>
  <c r="AX265" i="5"/>
  <c r="AK271" i="5" a="1"/>
  <c r="AK271" i="5" s="1"/>
  <c r="AX271" i="5"/>
  <c r="AK276" i="5" a="1"/>
  <c r="AK276" i="5" s="1"/>
  <c r="AX276" i="5"/>
  <c r="AK278" i="5" a="1"/>
  <c r="AK278" i="5" s="1"/>
  <c r="AX278" i="5"/>
  <c r="AK282" i="5" a="1"/>
  <c r="AK282" i="5" s="1"/>
  <c r="AX282" i="5"/>
  <c r="AK285" i="5" a="1"/>
  <c r="AK285" i="5" s="1"/>
  <c r="AX285" i="5"/>
  <c r="AK288" i="5" a="1"/>
  <c r="AK288" i="5" s="1"/>
  <c r="AX288" i="5"/>
  <c r="AK290" i="5" a="1"/>
  <c r="AK290" i="5" s="1"/>
  <c r="AX290" i="5"/>
  <c r="AK293" i="5" a="1"/>
  <c r="AK293" i="5" s="1"/>
  <c r="AX293" i="5"/>
  <c r="AK299" i="5" a="1"/>
  <c r="AK299" i="5" s="1"/>
  <c r="AX299" i="5"/>
  <c r="AK302" i="5" a="1"/>
  <c r="AK302" i="5" s="1"/>
  <c r="AX302" i="5"/>
  <c r="AK307" i="5" a="1"/>
  <c r="AK307" i="5" s="1"/>
  <c r="AX307" i="5"/>
  <c r="AK312" i="5" a="1"/>
  <c r="AK312" i="5" s="1"/>
  <c r="AX312" i="5"/>
  <c r="AK316" i="5" a="1"/>
  <c r="AK316" i="5" s="1"/>
  <c r="AX316" i="5"/>
  <c r="AK319" i="5" a="1"/>
  <c r="AK319" i="5" s="1"/>
  <c r="AX319" i="5"/>
  <c r="AK324" i="5" a="1"/>
  <c r="AK324" i="5" s="1"/>
  <c r="AX324" i="5"/>
  <c r="AK326" i="5" a="1"/>
  <c r="AK326" i="5" s="1"/>
  <c r="AX326" i="5"/>
  <c r="AK329" i="5" a="1"/>
  <c r="AK329" i="5" s="1"/>
  <c r="AX329" i="5"/>
  <c r="AK335" i="5" a="1"/>
  <c r="AK335" i="5" s="1"/>
  <c r="AX335" i="5"/>
  <c r="AK340" i="5" a="1"/>
  <c r="AK340" i="5" s="1"/>
  <c r="AX340" i="5"/>
  <c r="AK342" i="5" a="1"/>
  <c r="AK342" i="5" s="1"/>
  <c r="AX342" i="5"/>
  <c r="AK346" i="5" a="1"/>
  <c r="AK346" i="5" s="1"/>
  <c r="AX346" i="5"/>
  <c r="AK349" i="5" a="1"/>
  <c r="AK349" i="5" s="1"/>
  <c r="AX349" i="5"/>
  <c r="AK352" i="5" a="1"/>
  <c r="AK352" i="5" s="1"/>
  <c r="AX352" i="5"/>
  <c r="AK354" i="5" a="1"/>
  <c r="AK354" i="5" s="1"/>
  <c r="AX354" i="5"/>
  <c r="AK357" i="5" a="1"/>
  <c r="AK357" i="5" s="1"/>
  <c r="AX357" i="5"/>
  <c r="AK363" i="5" a="1"/>
  <c r="AK363" i="5" s="1"/>
  <c r="AX363" i="5"/>
  <c r="AK366" i="5" a="1"/>
  <c r="AK366" i="5" s="1"/>
  <c r="AX366" i="5"/>
  <c r="AK371" i="5" a="1"/>
  <c r="AK371" i="5" s="1"/>
  <c r="AX371" i="5"/>
  <c r="AK376" i="5" a="1"/>
  <c r="AK376" i="5" s="1"/>
  <c r="AX376" i="5"/>
  <c r="AK380" i="5" a="1"/>
  <c r="AK380" i="5" s="1"/>
  <c r="AX380" i="5"/>
  <c r="AK383" i="5" a="1"/>
  <c r="AK383" i="5" s="1"/>
  <c r="AX383" i="5"/>
  <c r="AK388" i="5" a="1"/>
  <c r="AK388" i="5" s="1"/>
  <c r="AX388" i="5"/>
  <c r="AK390" i="5" a="1"/>
  <c r="AK390" i="5" s="1"/>
  <c r="AX390" i="5"/>
  <c r="AK393" i="5" a="1"/>
  <c r="AK393" i="5" s="1"/>
  <c r="AX393" i="5"/>
  <c r="AK399" i="5" a="1"/>
  <c r="AK399" i="5" s="1"/>
  <c r="AX399" i="5"/>
  <c r="AK404" i="5" a="1"/>
  <c r="AK404" i="5" s="1"/>
  <c r="AX404" i="5"/>
  <c r="AK406" i="5" a="1"/>
  <c r="AK406" i="5" s="1"/>
  <c r="AX406" i="5"/>
  <c r="AK409" i="5" a="1"/>
  <c r="AK409" i="5" s="1"/>
  <c r="AX409" i="5"/>
  <c r="AK419" i="5" a="1"/>
  <c r="AK419" i="5" s="1"/>
  <c r="AX419" i="5"/>
  <c r="AK423" i="5" a="1"/>
  <c r="AK423" i="5" s="1"/>
  <c r="AX423" i="5"/>
  <c r="AK430" i="5" a="1"/>
  <c r="AK430" i="5" s="1"/>
  <c r="AX430" i="5"/>
  <c r="AK432" i="5" a="1"/>
  <c r="AK432" i="5" s="1"/>
  <c r="AX432" i="5"/>
  <c r="AK435" i="5" a="1"/>
  <c r="AK435" i="5" s="1"/>
  <c r="AX435" i="5"/>
  <c r="AK442" i="5" a="1"/>
  <c r="AK442" i="5" s="1"/>
  <c r="AX442" i="5"/>
  <c r="AK445" i="5" a="1"/>
  <c r="AK445" i="5" s="1"/>
  <c r="AX445" i="5"/>
  <c r="AK453" i="5" a="1"/>
  <c r="AK453" i="5" s="1"/>
  <c r="AX453" i="5"/>
  <c r="AK457" i="5" a="1"/>
  <c r="AK457" i="5" s="1"/>
  <c r="AX457" i="5"/>
  <c r="AK460" i="5" a="1"/>
  <c r="AK460" i="5" s="1"/>
  <c r="AX460" i="5"/>
  <c r="AK463" i="5" a="1"/>
  <c r="AK463" i="5" s="1"/>
  <c r="AX463" i="5"/>
  <c r="AK466" i="5" a="1"/>
  <c r="AK466" i="5" s="1"/>
  <c r="AX466" i="5"/>
  <c r="AK469" i="5" a="1"/>
  <c r="AK469" i="5" s="1"/>
  <c r="AX469" i="5"/>
  <c r="AK478" i="5" a="1"/>
  <c r="AK478" i="5" s="1"/>
  <c r="AX478" i="5"/>
  <c r="AK480" i="5" a="1"/>
  <c r="AK480" i="5" s="1"/>
  <c r="AX480" i="5"/>
  <c r="AK483" i="5" a="1"/>
  <c r="AK483" i="5" s="1"/>
  <c r="AX483" i="5"/>
  <c r="AK486" i="5" a="1"/>
  <c r="AK486" i="5" s="1"/>
  <c r="AX486" i="5"/>
  <c r="AK488" i="5" a="1"/>
  <c r="AK488" i="5" s="1"/>
  <c r="AX488" i="5"/>
  <c r="AK493" i="5" a="1"/>
  <c r="AK493" i="5" s="1"/>
  <c r="AX493" i="5"/>
  <c r="AK498" i="5" a="1"/>
  <c r="AK498" i="5" s="1"/>
  <c r="AX498" i="5"/>
  <c r="AK502" i="5" a="1"/>
  <c r="AK502" i="5" s="1"/>
  <c r="AX502" i="5"/>
  <c r="AK504" i="5" a="1"/>
  <c r="AK504" i="5" s="1"/>
  <c r="AX504" i="5"/>
  <c r="AK507" i="5" a="1"/>
  <c r="AK507" i="5" s="1"/>
  <c r="AX507" i="5"/>
  <c r="AK512" i="5" a="1"/>
  <c r="AK512" i="5" s="1"/>
  <c r="AX512" i="5"/>
  <c r="AK515" i="5" a="1"/>
  <c r="AK515" i="5" s="1"/>
  <c r="AX515" i="5"/>
  <c r="AK523" i="5" a="1"/>
  <c r="AK523" i="5" s="1"/>
  <c r="AX523" i="5"/>
  <c r="AK529" i="5" a="1"/>
  <c r="AK529" i="5" s="1"/>
  <c r="AX529" i="5"/>
  <c r="AK532" i="5" a="1"/>
  <c r="AK532" i="5" s="1"/>
  <c r="AX532" i="5"/>
  <c r="AK537" i="5" a="1"/>
  <c r="AK537" i="5" s="1"/>
  <c r="AX537" i="5"/>
  <c r="AK539" i="5" a="1"/>
  <c r="AK539" i="5" s="1"/>
  <c r="AX539" i="5"/>
  <c r="AK543" i="5" a="1"/>
  <c r="AK543" i="5" s="1"/>
  <c r="AX543" i="5"/>
  <c r="AK551" i="5" a="1"/>
  <c r="AK551" i="5" s="1"/>
  <c r="AX551" i="5"/>
  <c r="AK554" i="5" a="1"/>
  <c r="AK554" i="5" s="1"/>
  <c r="AX554" i="5"/>
  <c r="AK556" i="5" a="1"/>
  <c r="AK556" i="5" s="1"/>
  <c r="AX556" i="5"/>
  <c r="AK559" i="5" a="1"/>
  <c r="AK559" i="5" s="1"/>
  <c r="AX559" i="5"/>
  <c r="AK569" i="5" a="1"/>
  <c r="AK569" i="5" s="1"/>
  <c r="AX569" i="5"/>
  <c r="AK572" i="5" a="1"/>
  <c r="AK572" i="5" s="1"/>
  <c r="AX572" i="5"/>
  <c r="AK574" i="5" a="1"/>
  <c r="AK574" i="5" s="1"/>
  <c r="AX574" i="5"/>
  <c r="AK576" i="5" a="1"/>
  <c r="AK576" i="5" s="1"/>
  <c r="AX576" i="5"/>
  <c r="AK581" i="5" a="1"/>
  <c r="AK581" i="5" s="1"/>
  <c r="AX581" i="5"/>
  <c r="AK585" i="5" a="1"/>
  <c r="AK585" i="5" s="1"/>
  <c r="AX585" i="5"/>
  <c r="AK588" i="5" a="1"/>
  <c r="AK588" i="5" s="1"/>
  <c r="AX588" i="5"/>
  <c r="AK592" i="5" a="1"/>
  <c r="AK592" i="5" s="1"/>
  <c r="AX592" i="5"/>
  <c r="AK595" i="5" a="1"/>
  <c r="AK595" i="5" s="1"/>
  <c r="AX595" i="5"/>
  <c r="AK599" i="5" a="1"/>
  <c r="AK599" i="5" s="1"/>
  <c r="AX599" i="5"/>
  <c r="AK606" i="5" a="1"/>
  <c r="AK606" i="5" s="1"/>
  <c r="AX606" i="5"/>
  <c r="AK610" i="5" a="1"/>
  <c r="AK610" i="5" s="1"/>
  <c r="AX610" i="5"/>
  <c r="AK613" i="5" a="1"/>
  <c r="AK613" i="5" s="1"/>
  <c r="AX613" i="5"/>
  <c r="AK617" i="5" a="1"/>
  <c r="AK617" i="5" s="1"/>
  <c r="AX617" i="5"/>
  <c r="AK620" i="5" a="1"/>
  <c r="AK620" i="5" s="1"/>
  <c r="AX620" i="5"/>
  <c r="AK625" i="5" a="1"/>
  <c r="AK625" i="5" s="1"/>
  <c r="AX625" i="5"/>
  <c r="AK627" i="5" a="1"/>
  <c r="AK627" i="5" s="1"/>
  <c r="AX627" i="5"/>
  <c r="AK630" i="5" a="1"/>
  <c r="AK630" i="5" s="1"/>
  <c r="AX630" i="5"/>
  <c r="AK633" i="5" a="1"/>
  <c r="AK633" i="5" s="1"/>
  <c r="AX633" i="5"/>
  <c r="AK636" i="5" a="1"/>
  <c r="AK636" i="5" s="1"/>
  <c r="AX636" i="5"/>
  <c r="AK641" i="5" a="1"/>
  <c r="AK641" i="5" s="1"/>
  <c r="AX641" i="5"/>
  <c r="AK648" i="5" a="1"/>
  <c r="AK648" i="5" s="1"/>
  <c r="AX648" i="5"/>
  <c r="AK650" i="5" a="1"/>
  <c r="AK650" i="5" s="1"/>
  <c r="AX650" i="5"/>
  <c r="AK653" i="5" a="1"/>
  <c r="AK653" i="5" s="1"/>
  <c r="AX653" i="5"/>
  <c r="AK658" i="5" a="1"/>
  <c r="AK658" i="5" s="1"/>
  <c r="AX658" i="5"/>
  <c r="AK666" i="5" a="1"/>
  <c r="AK666" i="5" s="1"/>
  <c r="AX666" i="5"/>
  <c r="AK669" i="5" a="1"/>
  <c r="AK669" i="5" s="1"/>
  <c r="AX669" i="5"/>
  <c r="AK674" i="5" a="1"/>
  <c r="AK674" i="5" s="1"/>
  <c r="AX674" i="5"/>
  <c r="AK678" i="5" a="1"/>
  <c r="AK678" i="5" s="1"/>
  <c r="AX678" i="5"/>
  <c r="AK682" i="5" a="1"/>
  <c r="AK682" i="5" s="1"/>
  <c r="AX682" i="5"/>
  <c r="AK685" i="5" a="1"/>
  <c r="AK685" i="5" s="1"/>
  <c r="AX685" i="5"/>
  <c r="AK689" i="5" a="1"/>
  <c r="AK689" i="5" s="1"/>
  <c r="AX689" i="5"/>
  <c r="AK692" i="5" a="1"/>
  <c r="AK692" i="5" s="1"/>
  <c r="AX692" i="5"/>
  <c r="AK696" i="5" a="1"/>
  <c r="AK696" i="5" s="1"/>
  <c r="AX696" i="5"/>
  <c r="AK699" i="5" a="1"/>
  <c r="AK699" i="5" s="1"/>
  <c r="AX699" i="5"/>
  <c r="AK703" i="5" a="1"/>
  <c r="AK703" i="5" s="1"/>
  <c r="AX703" i="5"/>
  <c r="AK710" i="5" a="1"/>
  <c r="AK710" i="5" s="1"/>
  <c r="AX710" i="5"/>
  <c r="AK714" i="5" a="1"/>
  <c r="AK714" i="5" s="1"/>
  <c r="AX714" i="5"/>
  <c r="AK717" i="5" a="1"/>
  <c r="AK717" i="5" s="1"/>
  <c r="AX717" i="5"/>
  <c r="AK721" i="5" a="1"/>
  <c r="AK721" i="5" s="1"/>
  <c r="AX721" i="5"/>
  <c r="AK724" i="5" a="1"/>
  <c r="AK724" i="5" s="1"/>
  <c r="AX724" i="5"/>
  <c r="AK727" i="5" a="1"/>
  <c r="AK727" i="5" s="1"/>
  <c r="AX727" i="5"/>
  <c r="AK733" i="5" a="1"/>
  <c r="AK733" i="5" s="1"/>
  <c r="AX733" i="5"/>
  <c r="AK735" i="5" a="1"/>
  <c r="AK735" i="5" s="1"/>
  <c r="AX735" i="5"/>
  <c r="AK738" i="5" a="1"/>
  <c r="AK738" i="5" s="1"/>
  <c r="AX738" i="5"/>
  <c r="AK743" i="5" a="1"/>
  <c r="AK743" i="5" s="1"/>
  <c r="AX743" i="5"/>
  <c r="AK746" i="5" a="1"/>
  <c r="AK746" i="5" s="1"/>
  <c r="AX746" i="5"/>
  <c r="AK749" i="5" a="1"/>
  <c r="AK749" i="5" s="1"/>
  <c r="AX749" i="5"/>
  <c r="AK13" i="5" a="1"/>
  <c r="AK13" i="5" s="1"/>
  <c r="AX13" i="5"/>
  <c r="AK18" i="5" a="1"/>
  <c r="AK18" i="5" s="1"/>
  <c r="AX18" i="5"/>
  <c r="AK36" i="5" a="1"/>
  <c r="AK36" i="5" s="1"/>
  <c r="AX36" i="5"/>
  <c r="AK41" i="5" a="1"/>
  <c r="AK41" i="5" s="1"/>
  <c r="AX41" i="5"/>
  <c r="AK46" i="5" a="1"/>
  <c r="AK46" i="5" s="1"/>
  <c r="AX46" i="5"/>
  <c r="AK55" i="5" a="1"/>
  <c r="AK55" i="5" s="1"/>
  <c r="AX55" i="5"/>
  <c r="AK67" i="5" a="1"/>
  <c r="AK67" i="5" s="1"/>
  <c r="AX67" i="5"/>
  <c r="AK76" i="5" a="1"/>
  <c r="AK76" i="5" s="1"/>
  <c r="AX76" i="5"/>
  <c r="AK82" i="5" a="1"/>
  <c r="AK82" i="5" s="1"/>
  <c r="AX82" i="5"/>
  <c r="AK88" i="5" a="1"/>
  <c r="AK88" i="5" s="1"/>
  <c r="AX88" i="5"/>
  <c r="AK93" i="5" a="1"/>
  <c r="AK93" i="5" s="1"/>
  <c r="AX93" i="5"/>
  <c r="AK100" i="5" a="1"/>
  <c r="AK100" i="5" s="1"/>
  <c r="AX100" i="5"/>
  <c r="AK105" i="5" a="1"/>
  <c r="AK105" i="5" s="1"/>
  <c r="AX105" i="5"/>
  <c r="AK110" i="5" a="1"/>
  <c r="AK110" i="5" s="1"/>
  <c r="AX110" i="5"/>
  <c r="AK140" i="5" a="1"/>
  <c r="AK140" i="5" s="1"/>
  <c r="AX140" i="5"/>
  <c r="AK142" i="5" a="1"/>
  <c r="AK142" i="5" s="1"/>
  <c r="AX142" i="5"/>
  <c r="AK155" i="5" a="1"/>
  <c r="AK155" i="5" s="1"/>
  <c r="AX155" i="5"/>
  <c r="AK159" i="5" a="1"/>
  <c r="AK159" i="5" s="1"/>
  <c r="AX159" i="5"/>
  <c r="AK161" i="5" a="1"/>
  <c r="AK161" i="5" s="1"/>
  <c r="AX161" i="5"/>
  <c r="AK172" i="5" a="1"/>
  <c r="AK172" i="5" s="1"/>
  <c r="AX172" i="5"/>
  <c r="AK176" i="5" a="1"/>
  <c r="AK176" i="5" s="1"/>
  <c r="AX176" i="5"/>
  <c r="AK187" i="5" a="1"/>
  <c r="AK187" i="5" s="1"/>
  <c r="AX187" i="5"/>
  <c r="AK191" i="5" a="1"/>
  <c r="AK191" i="5" s="1"/>
  <c r="AX191" i="5"/>
  <c r="AK193" i="5" a="1"/>
  <c r="AK193" i="5" s="1"/>
  <c r="AX193" i="5"/>
  <c r="AK197" i="5" a="1"/>
  <c r="AK197" i="5" s="1"/>
  <c r="AX197" i="5"/>
  <c r="AK206" i="5" a="1"/>
  <c r="AK206" i="5" s="1"/>
  <c r="AX206" i="5"/>
  <c r="AK219" i="5" a="1"/>
  <c r="AK219" i="5" s="1"/>
  <c r="AX219" i="5"/>
  <c r="AK230" i="5" a="1"/>
  <c r="AK230" i="5" s="1"/>
  <c r="AX230" i="5"/>
  <c r="AK233" i="5" a="1"/>
  <c r="AK233" i="5" s="1"/>
  <c r="AX233" i="5"/>
  <c r="AK250" i="5" a="1"/>
  <c r="AK250" i="5" s="1"/>
  <c r="AX250" i="5"/>
  <c r="AK256" i="5" a="1"/>
  <c r="AK256" i="5" s="1"/>
  <c r="AX256" i="5"/>
  <c r="AK269" i="5" a="1"/>
  <c r="AK269" i="5" s="1"/>
  <c r="AX269" i="5"/>
  <c r="AK272" i="5" a="1"/>
  <c r="AK272" i="5" s="1"/>
  <c r="AX272" i="5"/>
  <c r="AK277" i="5" a="1"/>
  <c r="AK277" i="5" s="1"/>
  <c r="AX277" i="5"/>
  <c r="AK284" i="5" a="1"/>
  <c r="AK284" i="5" s="1"/>
  <c r="AX284" i="5"/>
  <c r="AK287" i="5" a="1"/>
  <c r="AK287" i="5" s="1"/>
  <c r="AX287" i="5"/>
  <c r="AK292" i="5" a="1"/>
  <c r="AK292" i="5" s="1"/>
  <c r="AX292" i="5"/>
  <c r="AK297" i="5" a="1"/>
  <c r="AK297" i="5" s="1"/>
  <c r="AX297" i="5"/>
  <c r="AK305" i="5" a="1"/>
  <c r="AK305" i="5" s="1"/>
  <c r="AX305" i="5"/>
  <c r="AK311" i="5" a="1"/>
  <c r="AK311" i="5" s="1"/>
  <c r="AX311" i="5"/>
  <c r="AK320" i="5" a="1"/>
  <c r="AK320" i="5" s="1"/>
  <c r="AX320" i="5"/>
  <c r="AK322" i="5" a="1"/>
  <c r="AK322" i="5" s="1"/>
  <c r="AX322" i="5"/>
  <c r="AK333" i="5" a="1"/>
  <c r="AK333" i="5" s="1"/>
  <c r="AX333" i="5"/>
  <c r="AK338" i="5" a="1"/>
  <c r="AK338" i="5" s="1"/>
  <c r="AX338" i="5"/>
  <c r="AK344" i="5" a="1"/>
  <c r="AK344" i="5" s="1"/>
  <c r="AX344" i="5"/>
  <c r="AK358" i="5" a="1"/>
  <c r="AK358" i="5" s="1"/>
  <c r="AX358" i="5"/>
  <c r="AK378" i="5" a="1"/>
  <c r="AK378" i="5" s="1"/>
  <c r="AX378" i="5"/>
  <c r="AK384" i="5" a="1"/>
  <c r="AK384" i="5" s="1"/>
  <c r="AX384" i="5"/>
  <c r="AK397" i="5" a="1"/>
  <c r="AK397" i="5" s="1"/>
  <c r="AX397" i="5"/>
  <c r="AK402" i="5" a="1"/>
  <c r="AK402" i="5" s="1"/>
  <c r="AX402" i="5"/>
  <c r="AK414" i="5" a="1"/>
  <c r="AK414" i="5" s="1"/>
  <c r="AX414" i="5"/>
  <c r="AK421" i="5" a="1"/>
  <c r="AK421" i="5" s="1"/>
  <c r="AX421" i="5"/>
  <c r="AK428" i="5" a="1"/>
  <c r="AK428" i="5" s="1"/>
  <c r="AX428" i="5"/>
  <c r="AK431" i="5" a="1"/>
  <c r="AK431" i="5" s="1"/>
  <c r="AX431" i="5"/>
  <c r="AK438" i="5" a="1"/>
  <c r="AK438" i="5" s="1"/>
  <c r="AX438" i="5"/>
  <c r="AK455" i="5" a="1"/>
  <c r="AK455" i="5" s="1"/>
  <c r="AX455" i="5"/>
  <c r="AK462" i="5" a="1"/>
  <c r="AK462" i="5" s="1"/>
  <c r="AX462" i="5"/>
  <c r="AK467" i="5" a="1"/>
  <c r="AK467" i="5" s="1"/>
  <c r="AX467" i="5"/>
  <c r="AK485" i="5" a="1"/>
  <c r="AK485" i="5" s="1"/>
  <c r="AX485" i="5"/>
  <c r="AK491" i="5" a="1"/>
  <c r="AK491" i="5" s="1"/>
  <c r="AX491" i="5"/>
  <c r="AK497" i="5" a="1"/>
  <c r="AK497" i="5" s="1"/>
  <c r="AX497" i="5"/>
  <c r="AK503" i="5" a="1"/>
  <c r="AK503" i="5" s="1"/>
  <c r="AX503" i="5"/>
  <c r="AK508" i="5" a="1"/>
  <c r="AK508" i="5" s="1"/>
  <c r="AX508" i="5"/>
  <c r="AK525" i="5" a="1"/>
  <c r="AK525" i="5" s="1"/>
  <c r="AX525" i="5"/>
  <c r="AK535" i="5" a="1"/>
  <c r="AK535" i="5" s="1"/>
  <c r="AX535" i="5"/>
  <c r="AK553" i="5" a="1"/>
  <c r="AK553" i="5" s="1"/>
  <c r="AX553" i="5"/>
  <c r="AK568" i="5" a="1"/>
  <c r="AK568" i="5" s="1"/>
  <c r="AX568" i="5"/>
  <c r="AK573" i="5" a="1"/>
  <c r="AK573" i="5" s="1"/>
  <c r="AX573" i="5"/>
  <c r="AK577" i="5" a="1"/>
  <c r="AK577" i="5" s="1"/>
  <c r="AX577" i="5"/>
  <c r="AK594" i="5" a="1"/>
  <c r="AK594" i="5" s="1"/>
  <c r="AX594" i="5"/>
  <c r="AK601" i="5" a="1"/>
  <c r="AK601" i="5" s="1"/>
  <c r="AX601" i="5"/>
  <c r="AK608" i="5" a="1"/>
  <c r="AK608" i="5" s="1"/>
  <c r="AX608" i="5"/>
  <c r="AK642" i="5" a="1"/>
  <c r="AK642" i="5" s="1"/>
  <c r="AX642" i="5"/>
  <c r="AK654" i="5" a="1"/>
  <c r="AK654" i="5" s="1"/>
  <c r="AX654" i="5"/>
  <c r="AK660" i="5" a="1"/>
  <c r="AK660" i="5" s="1"/>
  <c r="AX660" i="5"/>
  <c r="AK665" i="5" a="1"/>
  <c r="AK665" i="5" s="1"/>
  <c r="AX665" i="5"/>
  <c r="AK670" i="5" a="1"/>
  <c r="AK670" i="5" s="1"/>
  <c r="AX670" i="5"/>
  <c r="AK673" i="5" a="1"/>
  <c r="AK673" i="5" s="1"/>
  <c r="AX673" i="5"/>
  <c r="AK680" i="5" a="1"/>
  <c r="AK680" i="5" s="1"/>
  <c r="AX680" i="5"/>
  <c r="AK687" i="5" a="1"/>
  <c r="AK687" i="5" s="1"/>
  <c r="AX687" i="5"/>
  <c r="AK694" i="5" a="1"/>
  <c r="AK694" i="5" s="1"/>
  <c r="AX694" i="5"/>
  <c r="AK701" i="5" a="1"/>
  <c r="AK701" i="5" s="1"/>
  <c r="AX701" i="5"/>
  <c r="AK712" i="5" a="1"/>
  <c r="AK712" i="5" s="1"/>
  <c r="AX712" i="5"/>
  <c r="AK719" i="5" a="1"/>
  <c r="AK719" i="5" s="1"/>
  <c r="AX719" i="5"/>
  <c r="AK740" i="5" a="1"/>
  <c r="AK740" i="5" s="1"/>
  <c r="AX740" i="5"/>
  <c r="AK742" i="5" a="1"/>
  <c r="AK742" i="5" s="1"/>
  <c r="AX742" i="5"/>
  <c r="AK745" i="5" a="1"/>
  <c r="AK745" i="5" s="1"/>
  <c r="AX745" i="5"/>
  <c r="AK747" i="5" a="1"/>
  <c r="AK747" i="5" s="1"/>
  <c r="AX747" i="5"/>
  <c r="AK11" i="5" a="1"/>
  <c r="AK11" i="5" s="1"/>
  <c r="AK20" i="5" a="1"/>
  <c r="AK20" i="5" s="1"/>
  <c r="AX20" i="5"/>
  <c r="AK25" i="5" a="1"/>
  <c r="AK25" i="5" s="1"/>
  <c r="AX25" i="5"/>
  <c r="AK30" i="5" a="1"/>
  <c r="AK30" i="5" s="1"/>
  <c r="AX30" i="5"/>
  <c r="AK32" i="5" a="1"/>
  <c r="AK32" i="5" s="1"/>
  <c r="AX32" i="5"/>
  <c r="AK37" i="5" a="1"/>
  <c r="AK37" i="5" s="1"/>
  <c r="AX37" i="5"/>
  <c r="AK39" i="5" a="1"/>
  <c r="AK39" i="5" s="1"/>
  <c r="AX39" i="5"/>
  <c r="AK42" i="5" a="1"/>
  <c r="AK42" i="5" s="1"/>
  <c r="AX42" i="5"/>
  <c r="AK49" i="5" a="1"/>
  <c r="AK49" i="5" s="1"/>
  <c r="AX49" i="5"/>
  <c r="AK66" i="5" a="1"/>
  <c r="AK66" i="5" s="1"/>
  <c r="AX66" i="5"/>
  <c r="AK72" i="5" a="1"/>
  <c r="AK72" i="5" s="1"/>
  <c r="AX72" i="5"/>
  <c r="AK79" i="5" a="1"/>
  <c r="AK79" i="5" s="1"/>
  <c r="AX79" i="5"/>
  <c r="AK91" i="5" a="1"/>
  <c r="AK91" i="5" s="1"/>
  <c r="AX91" i="5"/>
  <c r="AK121" i="5" a="1"/>
  <c r="AK121" i="5" s="1"/>
  <c r="AX121" i="5"/>
  <c r="AK125" i="5" a="1"/>
  <c r="AK125" i="5" s="1"/>
  <c r="AX125" i="5"/>
  <c r="AK132" i="5" a="1"/>
  <c r="AK132" i="5" s="1"/>
  <c r="AX132" i="5"/>
  <c r="AK138" i="5" a="1"/>
  <c r="AK138" i="5" s="1"/>
  <c r="AX138" i="5"/>
  <c r="AK153" i="5" a="1"/>
  <c r="AK153" i="5" s="1"/>
  <c r="AX153" i="5"/>
  <c r="AK157" i="5" a="1"/>
  <c r="AK157" i="5" s="1"/>
  <c r="AX157" i="5"/>
  <c r="AK166" i="5" a="1"/>
  <c r="AK166" i="5" s="1"/>
  <c r="AX166" i="5"/>
  <c r="AK170" i="5" a="1"/>
  <c r="AK170" i="5" s="1"/>
  <c r="AX170" i="5"/>
  <c r="AK196" i="5" a="1"/>
  <c r="AK196" i="5" s="1"/>
  <c r="AX196" i="5"/>
  <c r="AK200" i="5" a="1"/>
  <c r="AK200" i="5" s="1"/>
  <c r="AX200" i="5"/>
  <c r="AK221" i="5" a="1"/>
  <c r="AK221" i="5" s="1"/>
  <c r="AX221" i="5"/>
  <c r="AK237" i="5" a="1"/>
  <c r="AK237" i="5" s="1"/>
  <c r="AX237" i="5"/>
  <c r="AK242" i="5" a="1"/>
  <c r="AK242" i="5" s="1"/>
  <c r="AX242" i="5"/>
  <c r="AK245" i="5" a="1"/>
  <c r="AK245" i="5" s="1"/>
  <c r="AX245" i="5"/>
  <c r="AK251" i="5" a="1"/>
  <c r="AK251" i="5" s="1"/>
  <c r="AX251" i="5"/>
  <c r="AK261" i="5" a="1"/>
  <c r="AK261" i="5" s="1"/>
  <c r="AX261" i="5"/>
  <c r="AK268" i="5" a="1"/>
  <c r="AK268" i="5" s="1"/>
  <c r="AX268" i="5"/>
  <c r="AK275" i="5" a="1"/>
  <c r="AK275" i="5" s="1"/>
  <c r="AX275" i="5"/>
  <c r="AK281" i="5" a="1"/>
  <c r="AK281" i="5" s="1"/>
  <c r="AX281" i="5"/>
  <c r="AK289" i="5" a="1"/>
  <c r="AK289" i="5" s="1"/>
  <c r="AX289" i="5"/>
  <c r="AK295" i="5" a="1"/>
  <c r="AK295" i="5" s="1"/>
  <c r="AX295" i="5"/>
  <c r="AK301" i="5" a="1"/>
  <c r="AK301" i="5" s="1"/>
  <c r="AX301" i="5"/>
  <c r="AK318" i="5" a="1"/>
  <c r="AK318" i="5" s="1"/>
  <c r="AX318" i="5"/>
  <c r="AK323" i="5" a="1"/>
  <c r="AK323" i="5" s="1"/>
  <c r="AX323" i="5"/>
  <c r="AK328" i="5" a="1"/>
  <c r="AK328" i="5" s="1"/>
  <c r="AX328" i="5"/>
  <c r="AK332" i="5" a="1"/>
  <c r="AK332" i="5" s="1"/>
  <c r="AX332" i="5"/>
  <c r="AK339" i="5" a="1"/>
  <c r="AK339" i="5" s="1"/>
  <c r="AX339" i="5"/>
  <c r="AK345" i="5" a="1"/>
  <c r="AK345" i="5" s="1"/>
  <c r="AX345" i="5"/>
  <c r="AK353" i="5" a="1"/>
  <c r="AK353" i="5" s="1"/>
  <c r="AX353" i="5"/>
  <c r="AK359" i="5" a="1"/>
  <c r="AK359" i="5" s="1"/>
  <c r="AX359" i="5"/>
  <c r="AK365" i="5" a="1"/>
  <c r="AK365" i="5" s="1"/>
  <c r="AX365" i="5"/>
  <c r="AK370" i="5" a="1"/>
  <c r="AK370" i="5" s="1"/>
  <c r="AX370" i="5"/>
  <c r="AK373" i="5" a="1"/>
  <c r="AK373" i="5" s="1"/>
  <c r="AX373" i="5"/>
  <c r="AK379" i="5" a="1"/>
  <c r="AK379" i="5" s="1"/>
  <c r="AX379" i="5"/>
  <c r="AK387" i="5" a="1"/>
  <c r="AK387" i="5" s="1"/>
  <c r="AX387" i="5"/>
  <c r="AK392" i="5" a="1"/>
  <c r="AK392" i="5" s="1"/>
  <c r="AX392" i="5"/>
  <c r="AK398" i="5" a="1"/>
  <c r="AK398" i="5" s="1"/>
  <c r="AX398" i="5"/>
  <c r="AK412" i="5" a="1"/>
  <c r="AK412" i="5" s="1"/>
  <c r="AX412" i="5"/>
  <c r="AK426" i="5" a="1"/>
  <c r="AK426" i="5" s="1"/>
  <c r="AX426" i="5"/>
  <c r="AK429" i="5" a="1"/>
  <c r="AK429" i="5" s="1"/>
  <c r="AX429" i="5"/>
  <c r="AK434" i="5" a="1"/>
  <c r="AK434" i="5" s="1"/>
  <c r="AX434" i="5"/>
  <c r="AK439" i="5" a="1"/>
  <c r="AK439" i="5" s="1"/>
  <c r="AX439" i="5"/>
  <c r="AK444" i="5" a="1"/>
  <c r="AK444" i="5" s="1"/>
  <c r="AX444" i="5"/>
  <c r="AK448" i="5" a="1"/>
  <c r="AK448" i="5" s="1"/>
  <c r="AX448" i="5"/>
  <c r="AK452" i="5" a="1"/>
  <c r="AK452" i="5" s="1"/>
  <c r="AX452" i="5"/>
  <c r="AK456" i="5" a="1"/>
  <c r="AK456" i="5" s="1"/>
  <c r="AX456" i="5"/>
  <c r="AK459" i="5" a="1"/>
  <c r="AK459" i="5" s="1"/>
  <c r="AX459" i="5"/>
  <c r="AK465" i="5" a="1"/>
  <c r="AK465" i="5" s="1"/>
  <c r="AX465" i="5"/>
  <c r="AK475" i="5" a="1"/>
  <c r="AK475" i="5" s="1"/>
  <c r="AX475" i="5"/>
  <c r="AK479" i="5" a="1"/>
  <c r="AK479" i="5" s="1"/>
  <c r="AX479" i="5"/>
  <c r="AK490" i="5" a="1"/>
  <c r="AK490" i="5" s="1"/>
  <c r="AX490" i="5"/>
  <c r="AK495" i="5" a="1"/>
  <c r="AK495" i="5" s="1"/>
  <c r="AX495" i="5"/>
  <c r="AK501" i="5" a="1"/>
  <c r="AK501" i="5" s="1"/>
  <c r="AX501" i="5"/>
  <c r="AK528" i="5" a="1"/>
  <c r="AK528" i="5" s="1"/>
  <c r="AX528" i="5"/>
  <c r="AK531" i="5" a="1"/>
  <c r="AK531" i="5" s="1"/>
  <c r="AX531" i="5"/>
  <c r="AK536" i="5" a="1"/>
  <c r="AK536" i="5" s="1"/>
  <c r="AX536" i="5"/>
  <c r="AK549" i="5" a="1"/>
  <c r="AK549" i="5" s="1"/>
  <c r="AX549" i="5"/>
  <c r="AK564" i="5" a="1"/>
  <c r="AK564" i="5" s="1"/>
  <c r="AX564" i="5"/>
  <c r="AK566" i="5" a="1"/>
  <c r="AK566" i="5" s="1"/>
  <c r="AX566" i="5"/>
  <c r="AK571" i="5" a="1"/>
  <c r="AK571" i="5" s="1"/>
  <c r="AX571" i="5"/>
  <c r="AK584" i="5" a="1"/>
  <c r="AK584" i="5" s="1"/>
  <c r="AX584" i="5"/>
  <c r="AK591" i="5" a="1"/>
  <c r="AK591" i="5" s="1"/>
  <c r="AX591" i="5"/>
  <c r="AK598" i="5" a="1"/>
  <c r="AK598" i="5" s="1"/>
  <c r="AX598" i="5"/>
  <c r="AK605" i="5" a="1"/>
  <c r="AK605" i="5" s="1"/>
  <c r="AX605" i="5"/>
  <c r="AK616" i="5" a="1"/>
  <c r="AK616" i="5" s="1"/>
  <c r="AX616" i="5"/>
  <c r="AK622" i="5" a="1"/>
  <c r="AK622" i="5" s="1"/>
  <c r="AX622" i="5"/>
  <c r="AK624" i="5" a="1"/>
  <c r="AK624" i="5" s="1"/>
  <c r="AX624" i="5"/>
  <c r="AK632" i="5" a="1"/>
  <c r="AK632" i="5" s="1"/>
  <c r="AX632" i="5"/>
  <c r="AK640" i="5" a="1"/>
  <c r="AK640" i="5" s="1"/>
  <c r="AX640" i="5"/>
  <c r="AK652" i="5" a="1"/>
  <c r="AK652" i="5" s="1"/>
  <c r="AX652" i="5"/>
  <c r="AK655" i="5" a="1"/>
  <c r="AK655" i="5" s="1"/>
  <c r="AX655" i="5"/>
  <c r="AK661" i="5" a="1"/>
  <c r="AK661" i="5" s="1"/>
  <c r="AX661" i="5"/>
  <c r="AK663" i="5" a="1"/>
  <c r="AK663" i="5" s="1"/>
  <c r="AX663" i="5"/>
  <c r="AK668" i="5" a="1"/>
  <c r="AK668" i="5" s="1"/>
  <c r="AX668" i="5"/>
  <c r="AK671" i="5" a="1"/>
  <c r="AK671" i="5" s="1"/>
  <c r="AX671" i="5"/>
  <c r="AK677" i="5" a="1"/>
  <c r="AK677" i="5" s="1"/>
  <c r="AX677" i="5"/>
  <c r="AK681" i="5" a="1"/>
  <c r="AK681" i="5" s="1"/>
  <c r="AX681" i="5"/>
  <c r="AK684" i="5" a="1"/>
  <c r="AK684" i="5" s="1"/>
  <c r="AX684" i="5"/>
  <c r="AK688" i="5" a="1"/>
  <c r="AK688" i="5" s="1"/>
  <c r="AX688" i="5"/>
  <c r="AK691" i="5" a="1"/>
  <c r="AK691" i="5" s="1"/>
  <c r="AX691" i="5"/>
  <c r="AK695" i="5" a="1"/>
  <c r="AK695" i="5" s="1"/>
  <c r="AX695" i="5"/>
  <c r="AK702" i="5" a="1"/>
  <c r="AK702" i="5" s="1"/>
  <c r="AX702" i="5"/>
  <c r="AK706" i="5" a="1"/>
  <c r="AK706" i="5" s="1"/>
  <c r="AX706" i="5"/>
  <c r="AK709" i="5" a="1"/>
  <c r="AK709" i="5" s="1"/>
  <c r="AX709" i="5"/>
  <c r="AK713" i="5" a="1"/>
  <c r="AK713" i="5" s="1"/>
  <c r="AX713" i="5"/>
  <c r="AK716" i="5" a="1"/>
  <c r="AK716" i="5" s="1"/>
  <c r="AX716" i="5"/>
  <c r="AK720" i="5" a="1"/>
  <c r="AK720" i="5" s="1"/>
  <c r="AX720" i="5"/>
  <c r="AK723" i="5" a="1"/>
  <c r="AK723" i="5" s="1"/>
  <c r="AX723" i="5"/>
  <c r="AK726" i="5" a="1"/>
  <c r="AK726" i="5" s="1"/>
  <c r="AX726" i="5"/>
  <c r="AK732" i="5" a="1"/>
  <c r="AK732" i="5" s="1"/>
  <c r="AX732" i="5"/>
  <c r="AK734" i="5" a="1"/>
  <c r="AK734" i="5" s="1"/>
  <c r="AX734" i="5"/>
  <c r="AK741" i="5" a="1"/>
  <c r="AK741" i="5" s="1"/>
  <c r="AX741" i="5"/>
  <c r="AK750" i="5" a="1"/>
  <c r="AK750" i="5" s="1"/>
  <c r="AX750" i="5"/>
  <c r="AK23" i="5" a="1"/>
  <c r="AK23" i="5" s="1"/>
  <c r="AX23" i="5"/>
  <c r="AK35" i="5" a="1"/>
  <c r="AK35" i="5" s="1"/>
  <c r="AX35" i="5"/>
  <c r="AK38" i="5" a="1"/>
  <c r="AK38" i="5" s="1"/>
  <c r="AX38" i="5"/>
  <c r="AK50" i="5" a="1"/>
  <c r="AK50" i="5" s="1"/>
  <c r="AX50" i="5"/>
  <c r="AK63" i="5" a="1"/>
  <c r="AK63" i="5" s="1"/>
  <c r="AX63" i="5"/>
  <c r="AK75" i="5" a="1"/>
  <c r="AK75" i="5" s="1"/>
  <c r="AX75" i="5"/>
  <c r="AK78" i="5" a="1"/>
  <c r="AK78" i="5" s="1"/>
  <c r="AX78" i="5"/>
  <c r="AK80" i="5" a="1"/>
  <c r="AK80" i="5" s="1"/>
  <c r="AX80" i="5"/>
  <c r="AK85" i="5" a="1"/>
  <c r="AK85" i="5" s="1"/>
  <c r="AX85" i="5"/>
  <c r="AK87" i="5" a="1"/>
  <c r="AK87" i="5" s="1"/>
  <c r="AX87" i="5"/>
  <c r="AK99" i="5" a="1"/>
  <c r="AK99" i="5" s="1"/>
  <c r="AX99" i="5"/>
  <c r="AK111" i="5" a="1"/>
  <c r="AK111" i="5" s="1"/>
  <c r="AX111" i="5"/>
  <c r="AK113" i="5" a="1"/>
  <c r="AK113" i="5" s="1"/>
  <c r="AX113" i="5"/>
  <c r="AK117" i="5" a="1"/>
  <c r="AK117" i="5" s="1"/>
  <c r="AX117" i="5"/>
  <c r="AK124" i="5" a="1"/>
  <c r="AK124" i="5" s="1"/>
  <c r="AX124" i="5"/>
  <c r="AK126" i="5" a="1"/>
  <c r="AK126" i="5" s="1"/>
  <c r="AX126" i="5"/>
  <c r="AK130" i="5" a="1"/>
  <c r="AK130" i="5" s="1"/>
  <c r="AX130" i="5"/>
  <c r="AK143" i="5" a="1"/>
  <c r="AK143" i="5" s="1"/>
  <c r="AX143" i="5"/>
  <c r="AK145" i="5" a="1"/>
  <c r="AK145" i="5" s="1"/>
  <c r="AX145" i="5"/>
  <c r="AK149" i="5" a="1"/>
  <c r="AK149" i="5" s="1"/>
  <c r="AX149" i="5"/>
  <c r="AK156" i="5" a="1"/>
  <c r="AK156" i="5" s="1"/>
  <c r="AX156" i="5"/>
  <c r="AK158" i="5" a="1"/>
  <c r="AK158" i="5" s="1"/>
  <c r="AX158" i="5"/>
  <c r="AK162" i="5" a="1"/>
  <c r="AK162" i="5" s="1"/>
  <c r="AX162" i="5"/>
  <c r="AK171" i="5" a="1"/>
  <c r="AK171" i="5" s="1"/>
  <c r="AX171" i="5"/>
  <c r="AK175" i="5" a="1"/>
  <c r="AK175" i="5" s="1"/>
  <c r="AX175" i="5"/>
  <c r="AK181" i="5" a="1"/>
  <c r="AK181" i="5" s="1"/>
  <c r="AX181" i="5"/>
  <c r="AK190" i="5" a="1"/>
  <c r="AK190" i="5" s="1"/>
  <c r="AX190" i="5"/>
  <c r="AK194" i="5" a="1"/>
  <c r="AK194" i="5" s="1"/>
  <c r="AX194" i="5"/>
  <c r="AK207" i="5" a="1"/>
  <c r="AK207" i="5" s="1"/>
  <c r="AX207" i="5"/>
  <c r="AK209" i="5" a="1"/>
  <c r="AK209" i="5" s="1"/>
  <c r="AX209" i="5"/>
  <c r="AK224" i="5" a="1"/>
  <c r="AK224" i="5" s="1"/>
  <c r="AX224" i="5"/>
  <c r="AK12" i="5" a="1"/>
  <c r="AK12" i="5" s="1"/>
  <c r="AS12" i="5" s="1"/>
  <c r="AX12" i="5"/>
  <c r="AK17" i="5" a="1"/>
  <c r="AK17" i="5" s="1"/>
  <c r="AX17" i="5"/>
  <c r="AK19" i="5" a="1"/>
  <c r="AK19" i="5" s="1"/>
  <c r="AX19" i="5"/>
  <c r="AK22" i="5" a="1"/>
  <c r="AK22" i="5" s="1"/>
  <c r="AX22" i="5"/>
  <c r="AK28" i="5" a="1"/>
  <c r="AK28" i="5" s="1"/>
  <c r="AX28" i="5"/>
  <c r="AK34" i="5" a="1"/>
  <c r="AK34" i="5" s="1"/>
  <c r="AX34" i="5"/>
  <c r="AK40" i="5" a="1"/>
  <c r="AK40" i="5" s="1"/>
  <c r="AX40" i="5"/>
  <c r="AK45" i="5" a="1"/>
  <c r="AK45" i="5" s="1"/>
  <c r="AX45" i="5"/>
  <c r="AK47" i="5" a="1"/>
  <c r="AK47" i="5" s="1"/>
  <c r="AX47" i="5"/>
  <c r="AK52" i="5" a="1"/>
  <c r="AK52" i="5" s="1"/>
  <c r="AX52" i="5"/>
  <c r="AK57" i="5" a="1"/>
  <c r="AK57" i="5" s="1"/>
  <c r="AX57" i="5"/>
  <c r="AK59" i="5" a="1"/>
  <c r="AK59" i="5" s="1"/>
  <c r="AX59" i="5"/>
  <c r="AK62" i="5" a="1"/>
  <c r="AK62" i="5" s="1"/>
  <c r="AX62" i="5"/>
  <c r="AK64" i="5" a="1"/>
  <c r="AK64" i="5" s="1"/>
  <c r="AX64" i="5"/>
  <c r="AK69" i="5" a="1"/>
  <c r="AK69" i="5" s="1"/>
  <c r="AX69" i="5"/>
  <c r="AK71" i="5" a="1"/>
  <c r="AK71" i="5" s="1"/>
  <c r="AX71" i="5"/>
  <c r="AK74" i="5" a="1"/>
  <c r="AK74" i="5" s="1"/>
  <c r="AX74" i="5"/>
  <c r="AK81" i="5" a="1"/>
  <c r="AK81" i="5" s="1"/>
  <c r="AX81" i="5"/>
  <c r="AK83" i="5" a="1"/>
  <c r="AK83" i="5" s="1"/>
  <c r="AX83" i="5"/>
  <c r="AK86" i="5" a="1"/>
  <c r="AK86" i="5" s="1"/>
  <c r="AX86" i="5"/>
  <c r="AK92" i="5" a="1"/>
  <c r="AK92" i="5" s="1"/>
  <c r="AX92" i="5"/>
  <c r="AK98" i="5" a="1"/>
  <c r="AK98" i="5" s="1"/>
  <c r="AX98" i="5"/>
  <c r="AK104" i="5" a="1"/>
  <c r="AK104" i="5" s="1"/>
  <c r="AX104" i="5"/>
  <c r="AK109" i="5" a="1"/>
  <c r="AK109" i="5" s="1"/>
  <c r="AX109" i="5"/>
  <c r="AK116" i="5" a="1"/>
  <c r="AK116" i="5" s="1"/>
  <c r="AX116" i="5"/>
  <c r="AK118" i="5" a="1"/>
  <c r="AK118" i="5" s="1"/>
  <c r="AX118" i="5"/>
  <c r="AK120" i="5" a="1"/>
  <c r="AK120" i="5" s="1"/>
  <c r="AX120" i="5"/>
  <c r="AK122" i="5" a="1"/>
  <c r="AK122" i="5" s="1"/>
  <c r="AX122" i="5"/>
  <c r="AK131" i="5" a="1"/>
  <c r="AK131" i="5" s="1"/>
  <c r="AX131" i="5"/>
  <c r="AK135" i="5" a="1"/>
  <c r="AK135" i="5" s="1"/>
  <c r="AX135" i="5"/>
  <c r="AK137" i="5" a="1"/>
  <c r="AK137" i="5" s="1"/>
  <c r="AX137" i="5"/>
  <c r="AK141" i="5" a="1"/>
  <c r="AK141" i="5" s="1"/>
  <c r="AX141" i="5"/>
  <c r="AK148" i="5" a="1"/>
  <c r="AK148" i="5" s="1"/>
  <c r="AX148" i="5"/>
  <c r="AK150" i="5" a="1"/>
  <c r="AK150" i="5" s="1"/>
  <c r="AX150" i="5"/>
  <c r="AK152" i="5" a="1"/>
  <c r="AK152" i="5" s="1"/>
  <c r="AX152" i="5"/>
  <c r="AK154" i="5" a="1"/>
  <c r="AK154" i="5" s="1"/>
  <c r="AX154" i="5"/>
  <c r="AK163" i="5" a="1"/>
  <c r="AK163" i="5" s="1"/>
  <c r="AX163" i="5"/>
  <c r="AK167" i="5" a="1"/>
  <c r="AK167" i="5" s="1"/>
  <c r="AX167" i="5"/>
  <c r="AK169" i="5" a="1"/>
  <c r="AK169" i="5" s="1"/>
  <c r="AX169" i="5"/>
  <c r="AK173" i="5" a="1"/>
  <c r="AK173" i="5" s="1"/>
  <c r="AX173" i="5"/>
  <c r="AK180" i="5" a="1"/>
  <c r="AK180" i="5" s="1"/>
  <c r="AX180" i="5"/>
  <c r="AK182" i="5" a="1"/>
  <c r="AK182" i="5" s="1"/>
  <c r="AX182" i="5"/>
  <c r="AK184" i="5" a="1"/>
  <c r="AK184" i="5" s="1"/>
  <c r="AX184" i="5"/>
  <c r="AK186" i="5" a="1"/>
  <c r="AK186" i="5" s="1"/>
  <c r="AX186" i="5"/>
  <c r="AK195" i="5" a="1"/>
  <c r="AK195" i="5" s="1"/>
  <c r="AX195" i="5"/>
  <c r="AK199" i="5" a="1"/>
  <c r="AK199" i="5" s="1"/>
  <c r="AX199" i="5"/>
  <c r="AK201" i="5" a="1"/>
  <c r="AK201" i="5" s="1"/>
  <c r="AX201" i="5"/>
  <c r="AK205" i="5" a="1"/>
  <c r="AK205" i="5" s="1"/>
  <c r="AX205" i="5"/>
  <c r="AK212" i="5" a="1"/>
  <c r="AK212" i="5" s="1"/>
  <c r="AX212" i="5"/>
  <c r="AK214" i="5" a="1"/>
  <c r="AK214" i="5" s="1"/>
  <c r="AX214" i="5"/>
  <c r="AK216" i="5" a="1"/>
  <c r="AK216" i="5" s="1"/>
  <c r="AX216" i="5"/>
  <c r="AK218" i="5" a="1"/>
  <c r="AK218" i="5" s="1"/>
  <c r="AX218" i="5"/>
  <c r="AK227" i="5" a="1"/>
  <c r="AK227" i="5" s="1"/>
  <c r="AX227" i="5"/>
  <c r="AK232" i="5" a="1"/>
  <c r="AK232" i="5" s="1"/>
  <c r="AX232" i="5"/>
  <c r="AK236" i="5" a="1"/>
  <c r="AK236" i="5" s="1"/>
  <c r="AX236" i="5"/>
  <c r="AK239" i="5" a="1"/>
  <c r="AK239" i="5" s="1"/>
  <c r="AX239" i="5"/>
  <c r="AK244" i="5" a="1"/>
  <c r="AK244" i="5" s="1"/>
  <c r="AX244" i="5"/>
  <c r="AK246" i="5" a="1"/>
  <c r="AK246" i="5" s="1"/>
  <c r="AX246" i="5"/>
  <c r="AK249" i="5" a="1"/>
  <c r="AK249" i="5" s="1"/>
  <c r="AX249" i="5"/>
  <c r="AK257" i="5" a="1"/>
  <c r="AK257" i="5" s="1"/>
  <c r="AX257" i="5"/>
  <c r="AK263" i="5" a="1"/>
  <c r="AK263" i="5" s="1"/>
  <c r="AX263" i="5"/>
  <c r="AK266" i="5" a="1"/>
  <c r="AK266" i="5" s="1"/>
  <c r="AX266" i="5"/>
  <c r="AK273" i="5" a="1"/>
  <c r="AK273" i="5" s="1"/>
  <c r="AX273" i="5"/>
  <c r="AK279" i="5" a="1"/>
  <c r="AK279" i="5" s="1"/>
  <c r="AX279" i="5"/>
  <c r="AK283" i="5" a="1"/>
  <c r="AK283" i="5" s="1"/>
  <c r="AX283" i="5"/>
  <c r="AK286" i="5" a="1"/>
  <c r="AK286" i="5" s="1"/>
  <c r="AX286" i="5"/>
  <c r="AK291" i="5" a="1"/>
  <c r="AK291" i="5" s="1"/>
  <c r="AX291" i="5"/>
  <c r="AK296" i="5" a="1"/>
  <c r="AK296" i="5" s="1"/>
  <c r="AX296" i="5"/>
  <c r="AK300" i="5" a="1"/>
  <c r="AK300" i="5" s="1"/>
  <c r="AX300" i="5"/>
  <c r="AK303" i="5" a="1"/>
  <c r="AK303" i="5" s="1"/>
  <c r="AX303" i="5"/>
  <c r="AK308" i="5" a="1"/>
  <c r="AK308" i="5" s="1"/>
  <c r="AX308" i="5"/>
  <c r="AK310" i="5" a="1"/>
  <c r="AK310" i="5" s="1"/>
  <c r="AX310" i="5"/>
  <c r="AK313" i="5" a="1"/>
  <c r="AK313" i="5" s="1"/>
  <c r="AX313" i="5"/>
  <c r="AK321" i="5" a="1"/>
  <c r="AK321" i="5" s="1"/>
  <c r="AX321" i="5"/>
  <c r="AK327" i="5" a="1"/>
  <c r="AK327" i="5" s="1"/>
  <c r="AX327" i="5"/>
  <c r="AK330" i="5" a="1"/>
  <c r="AK330" i="5" s="1"/>
  <c r="AX330" i="5"/>
  <c r="AK337" i="5" a="1"/>
  <c r="AK337" i="5" s="1"/>
  <c r="AX337" i="5"/>
  <c r="AK343" i="5" a="1"/>
  <c r="AK343" i="5" s="1"/>
  <c r="AX343" i="5"/>
  <c r="AK347" i="5" a="1"/>
  <c r="AK347" i="5" s="1"/>
  <c r="AX347" i="5"/>
  <c r="AK350" i="5" a="1"/>
  <c r="AK350" i="5" s="1"/>
  <c r="AX350" i="5"/>
  <c r="AK355" i="5" a="1"/>
  <c r="AK355" i="5" s="1"/>
  <c r="AX355" i="5"/>
  <c r="AK360" i="5" a="1"/>
  <c r="AK360" i="5" s="1"/>
  <c r="AX360" i="5"/>
  <c r="AK364" i="5" a="1"/>
  <c r="AK364" i="5" s="1"/>
  <c r="AX364" i="5"/>
  <c r="AK367" i="5" a="1"/>
  <c r="AK367" i="5" s="1"/>
  <c r="AX367" i="5"/>
  <c r="AK372" i="5" a="1"/>
  <c r="AK372" i="5" s="1"/>
  <c r="AX372" i="5"/>
  <c r="AK374" i="5" a="1"/>
  <c r="AK374" i="5" s="1"/>
  <c r="AX374" i="5"/>
  <c r="AK377" i="5" a="1"/>
  <c r="AK377" i="5" s="1"/>
  <c r="AX377" i="5"/>
  <c r="AK385" i="5" a="1"/>
  <c r="AK385" i="5" s="1"/>
  <c r="AX385" i="5"/>
  <c r="AK391" i="5" a="1"/>
  <c r="AK391" i="5" s="1"/>
  <c r="AX391" i="5"/>
  <c r="AK394" i="5" a="1"/>
  <c r="AK394" i="5" s="1"/>
  <c r="AX394" i="5"/>
  <c r="AK401" i="5" a="1"/>
  <c r="AK401" i="5" s="1"/>
  <c r="AX401" i="5"/>
  <c r="AK407" i="5" a="1"/>
  <c r="AK407" i="5" s="1"/>
  <c r="AX407" i="5"/>
  <c r="AK410" i="5" a="1"/>
  <c r="AK410" i="5" s="1"/>
  <c r="AX410" i="5"/>
  <c r="AK413" i="5" a="1"/>
  <c r="AK413" i="5" s="1"/>
  <c r="AX413" i="5"/>
  <c r="AK416" i="5" a="1"/>
  <c r="AK416" i="5" s="1"/>
  <c r="AX416" i="5"/>
  <c r="AK418" i="5" a="1"/>
  <c r="AK418" i="5" s="1"/>
  <c r="AX418" i="5"/>
  <c r="AK420" i="5" a="1"/>
  <c r="AK420" i="5" s="1"/>
  <c r="AX420" i="5"/>
  <c r="AK424" i="5" a="1"/>
  <c r="AK424" i="5" s="1"/>
  <c r="AX424" i="5"/>
  <c r="AK427" i="5" a="1"/>
  <c r="AK427" i="5" s="1"/>
  <c r="AX427" i="5"/>
  <c r="AK433" i="5" a="1"/>
  <c r="AK433" i="5" s="1"/>
  <c r="AX433" i="5"/>
  <c r="AK440" i="5" a="1"/>
  <c r="AK440" i="5" s="1"/>
  <c r="AX440" i="5"/>
  <c r="AK447" i="5" a="1"/>
  <c r="AK447" i="5" s="1"/>
  <c r="AX447" i="5"/>
  <c r="AK449" i="5" a="1"/>
  <c r="AK449" i="5" s="1"/>
  <c r="AX449" i="5"/>
  <c r="AK454" i="5" a="1"/>
  <c r="AK454" i="5" s="1"/>
  <c r="AX454" i="5"/>
  <c r="AK458" i="5" a="1"/>
  <c r="AK458" i="5" s="1"/>
  <c r="AX458" i="5"/>
  <c r="AK461" i="5" a="1"/>
  <c r="AK461" i="5" s="1"/>
  <c r="AX461" i="5"/>
  <c r="AK471" i="5" a="1"/>
  <c r="AK471" i="5" s="1"/>
  <c r="AX471" i="5"/>
  <c r="AK474" i="5" a="1"/>
  <c r="AK474" i="5" s="1"/>
  <c r="AX474" i="5"/>
  <c r="AK476" i="5" a="1"/>
  <c r="AK476" i="5" s="1"/>
  <c r="AX476" i="5"/>
  <c r="AK481" i="5" a="1"/>
  <c r="AK481" i="5" s="1"/>
  <c r="AX481" i="5"/>
  <c r="AK484" i="5" a="1"/>
  <c r="AK484" i="5" s="1"/>
  <c r="AX484" i="5"/>
  <c r="AK489" i="5" a="1"/>
  <c r="AK489" i="5" s="1"/>
  <c r="AX489" i="5"/>
  <c r="AK494" i="5" a="1"/>
  <c r="AK494" i="5" s="1"/>
  <c r="AX494" i="5"/>
  <c r="AK496" i="5" a="1"/>
  <c r="AK496" i="5" s="1"/>
  <c r="AX496" i="5"/>
  <c r="AK499" i="5" a="1"/>
  <c r="AK499" i="5" s="1"/>
  <c r="AX499" i="5"/>
  <c r="AK505" i="5" a="1"/>
  <c r="AK505" i="5" s="1"/>
  <c r="AX505" i="5"/>
  <c r="AK510" i="5" a="1"/>
  <c r="AK510" i="5" s="1"/>
  <c r="AX510" i="5"/>
  <c r="AK513" i="5" a="1"/>
  <c r="AK513" i="5" s="1"/>
  <c r="AX513" i="5"/>
  <c r="AK516" i="5" a="1"/>
  <c r="AK516" i="5" s="1"/>
  <c r="AX516" i="5"/>
  <c r="AK519" i="5" a="1"/>
  <c r="AK519" i="5" s="1"/>
  <c r="AX519" i="5"/>
  <c r="AK522" i="5" a="1"/>
  <c r="AK522" i="5" s="1"/>
  <c r="AX522" i="5"/>
  <c r="AK524" i="5" a="1"/>
  <c r="AK524" i="5" s="1"/>
  <c r="AX524" i="5"/>
  <c r="AK527" i="5" a="1"/>
  <c r="AK527" i="5" s="1"/>
  <c r="AX527" i="5"/>
  <c r="AK530" i="5" a="1"/>
  <c r="AK530" i="5" s="1"/>
  <c r="AX530" i="5"/>
  <c r="AK533" i="5" a="1"/>
  <c r="AK533" i="5" s="1"/>
  <c r="AX533" i="5"/>
  <c r="AK542" i="5" a="1"/>
  <c r="AK542" i="5" s="1"/>
  <c r="AX542" i="5"/>
  <c r="AK544" i="5" a="1"/>
  <c r="AK544" i="5" s="1"/>
  <c r="AX544" i="5"/>
  <c r="AK547" i="5" a="1"/>
  <c r="AK547" i="5" s="1"/>
  <c r="AX547" i="5"/>
  <c r="AK550" i="5" a="1"/>
  <c r="AK550" i="5" s="1"/>
  <c r="AX550" i="5"/>
  <c r="AK552" i="5" a="1"/>
  <c r="AK552" i="5" s="1"/>
  <c r="AX552" i="5"/>
  <c r="AK557" i="5" a="1"/>
  <c r="AK557" i="5" s="1"/>
  <c r="AX557" i="5"/>
  <c r="AK560" i="5" a="1"/>
  <c r="AK560" i="5" s="1"/>
  <c r="AX560" i="5"/>
  <c r="AK562" i="5" a="1"/>
  <c r="AK562" i="5" s="1"/>
  <c r="AX562" i="5"/>
  <c r="AK567" i="5" a="1"/>
  <c r="AK567" i="5" s="1"/>
  <c r="AX567" i="5"/>
  <c r="AK578" i="5" a="1"/>
  <c r="AK578" i="5" s="1"/>
  <c r="AX578" i="5"/>
  <c r="AK582" i="5" a="1"/>
  <c r="AK582" i="5" s="1"/>
  <c r="AX582" i="5"/>
  <c r="AK586" i="5" a="1"/>
  <c r="AK586" i="5" s="1"/>
  <c r="AX586" i="5"/>
  <c r="AK589" i="5" a="1"/>
  <c r="AK589" i="5" s="1"/>
  <c r="AX589" i="5"/>
  <c r="AK593" i="5" a="1"/>
  <c r="AK593" i="5" s="1"/>
  <c r="AX593" i="5"/>
  <c r="AK596" i="5" a="1"/>
  <c r="AK596" i="5" s="1"/>
  <c r="AX596" i="5"/>
  <c r="AK600" i="5" a="1"/>
  <c r="AK600" i="5" s="1"/>
  <c r="AX600" i="5"/>
  <c r="AK603" i="5" a="1"/>
  <c r="AK603" i="5" s="1"/>
  <c r="AX603" i="5"/>
  <c r="AK607" i="5" a="1"/>
  <c r="AK607" i="5" s="1"/>
  <c r="AX607" i="5"/>
  <c r="AK614" i="5" a="1"/>
  <c r="AK614" i="5" s="1"/>
  <c r="AX614" i="5"/>
  <c r="AK618" i="5" a="1"/>
  <c r="AK618" i="5" s="1"/>
  <c r="AX618" i="5"/>
  <c r="AK621" i="5" a="1"/>
  <c r="AK621" i="5" s="1"/>
  <c r="AX621" i="5"/>
  <c r="AK623" i="5" a="1"/>
  <c r="AK623" i="5" s="1"/>
  <c r="AX623" i="5"/>
  <c r="AK628" i="5" a="1"/>
  <c r="AK628" i="5" s="1"/>
  <c r="AX628" i="5"/>
  <c r="AK631" i="5" a="1"/>
  <c r="AK631" i="5" s="1"/>
  <c r="AX631" i="5"/>
  <c r="AK637" i="5" a="1"/>
  <c r="AK637" i="5" s="1"/>
  <c r="AX637" i="5"/>
  <c r="AK639" i="5" a="1"/>
  <c r="AK639" i="5" s="1"/>
  <c r="AX639" i="5"/>
  <c r="AK643" i="5" a="1"/>
  <c r="AK643" i="5" s="1"/>
  <c r="AX643" i="5"/>
  <c r="AK646" i="5" a="1"/>
  <c r="AK646" i="5" s="1"/>
  <c r="AX646" i="5"/>
  <c r="AK649" i="5" a="1"/>
  <c r="AK649" i="5" s="1"/>
  <c r="AX649" i="5"/>
  <c r="AK656" i="5" a="1"/>
  <c r="AK656" i="5" s="1"/>
  <c r="AX656" i="5"/>
  <c r="AK659" i="5" a="1"/>
  <c r="AK659" i="5" s="1"/>
  <c r="AX659" i="5"/>
  <c r="AK662" i="5" a="1"/>
  <c r="AK662" i="5" s="1"/>
  <c r="AX662" i="5"/>
  <c r="AK664" i="5" a="1"/>
  <c r="AK664" i="5" s="1"/>
  <c r="AX664" i="5"/>
  <c r="AK672" i="5" a="1"/>
  <c r="AK672" i="5" s="1"/>
  <c r="AX672" i="5"/>
  <c r="AK675" i="5" a="1"/>
  <c r="AK675" i="5" s="1"/>
  <c r="AX675" i="5"/>
  <c r="AK679" i="5" a="1"/>
  <c r="AK679" i="5" s="1"/>
  <c r="AX679" i="5"/>
  <c r="AK686" i="5" a="1"/>
  <c r="AK686" i="5" s="1"/>
  <c r="AX686" i="5"/>
  <c r="AK690" i="5" a="1"/>
  <c r="AK690" i="5" s="1"/>
  <c r="AX690" i="5"/>
  <c r="AK693" i="5" a="1"/>
  <c r="AK693" i="5" s="1"/>
  <c r="AX693" i="5"/>
  <c r="AK697" i="5" a="1"/>
  <c r="AK697" i="5" s="1"/>
  <c r="AX697" i="5"/>
  <c r="AK700" i="5" a="1"/>
  <c r="AK700" i="5" s="1"/>
  <c r="AX700" i="5"/>
  <c r="AK704" i="5" a="1"/>
  <c r="AK704" i="5" s="1"/>
  <c r="AX704" i="5"/>
  <c r="AK707" i="5" a="1"/>
  <c r="AK707" i="5" s="1"/>
  <c r="AX707" i="5"/>
  <c r="AK711" i="5" a="1"/>
  <c r="AK711" i="5" s="1"/>
  <c r="AX711" i="5"/>
  <c r="AK718" i="5" a="1"/>
  <c r="AK718" i="5" s="1"/>
  <c r="AX718" i="5"/>
  <c r="AK722" i="5" a="1"/>
  <c r="AK722" i="5" s="1"/>
  <c r="AX722" i="5"/>
  <c r="AK725" i="5" a="1"/>
  <c r="AK725" i="5" s="1"/>
  <c r="AX725" i="5"/>
  <c r="AK728" i="5" a="1"/>
  <c r="AK728" i="5" s="1"/>
  <c r="AX728" i="5"/>
  <c r="AK730" i="5" a="1"/>
  <c r="AK730" i="5" s="1"/>
  <c r="AX730" i="5"/>
  <c r="AK736" i="5" a="1"/>
  <c r="AK736" i="5" s="1"/>
  <c r="AX736" i="5"/>
  <c r="AK739" i="5" a="1"/>
  <c r="AK739" i="5" s="1"/>
  <c r="AX739" i="5"/>
  <c r="AK744" i="5" a="1"/>
  <c r="AK744" i="5" s="1"/>
  <c r="AX744" i="5"/>
  <c r="AK10" i="5" a="1"/>
  <c r="AK10" i="5" s="1"/>
  <c r="AX10" i="5"/>
  <c r="AK9" i="5" a="1"/>
  <c r="AK9" i="5" s="1"/>
  <c r="AK7" i="5" a="1"/>
  <c r="AK7" i="5" s="1"/>
  <c r="K6" i="5"/>
  <c r="L6" i="5"/>
  <c r="BA11" i="5" l="1"/>
  <c r="BA29" i="5"/>
  <c r="BA7" i="5"/>
  <c r="AX7" i="5"/>
  <c r="AS7" i="5"/>
  <c r="L754" i="5"/>
  <c r="K754" i="5"/>
  <c r="AO12" i="5"/>
  <c r="AO13" i="5"/>
  <c r="AO14" i="5"/>
  <c r="AO15" i="5"/>
  <c r="AO16" i="5"/>
  <c r="AO17" i="5"/>
  <c r="AO18" i="5"/>
  <c r="AO19" i="5"/>
  <c r="AO20" i="5"/>
  <c r="AO21" i="5"/>
  <c r="AO22" i="5"/>
  <c r="AO23" i="5"/>
  <c r="AO24" i="5"/>
  <c r="AO25" i="5"/>
  <c r="AO26" i="5"/>
  <c r="AO27" i="5"/>
  <c r="AO28" i="5"/>
  <c r="AO29" i="5"/>
  <c r="AO30" i="5"/>
  <c r="AO31" i="5"/>
  <c r="AO32" i="5"/>
  <c r="AO33" i="5"/>
  <c r="AO34" i="5"/>
  <c r="AO35" i="5"/>
  <c r="AO36" i="5"/>
  <c r="AO37" i="5"/>
  <c r="AO38" i="5"/>
  <c r="AO39" i="5"/>
  <c r="AO40" i="5"/>
  <c r="AO41" i="5"/>
  <c r="AO42" i="5"/>
  <c r="AO43" i="5"/>
  <c r="AO44" i="5"/>
  <c r="AO45" i="5"/>
  <c r="AO46" i="5"/>
  <c r="AO47" i="5"/>
  <c r="AO48" i="5"/>
  <c r="AO49" i="5"/>
  <c r="AO50" i="5"/>
  <c r="AO51" i="5"/>
  <c r="AO52" i="5"/>
  <c r="AO53" i="5"/>
  <c r="AO54" i="5"/>
  <c r="AO55" i="5"/>
  <c r="AO56" i="5"/>
  <c r="AO57" i="5"/>
  <c r="AO58" i="5"/>
  <c r="AO59" i="5"/>
  <c r="AO60" i="5"/>
  <c r="AO61" i="5"/>
  <c r="AO62" i="5"/>
  <c r="AO63" i="5"/>
  <c r="AO64" i="5"/>
  <c r="AO65" i="5"/>
  <c r="AO66" i="5"/>
  <c r="AO67" i="5"/>
  <c r="AO68" i="5"/>
  <c r="AO69" i="5"/>
  <c r="AO70" i="5"/>
  <c r="AO71" i="5"/>
  <c r="AO72" i="5"/>
  <c r="AO73" i="5"/>
  <c r="AO74" i="5"/>
  <c r="AO75" i="5"/>
  <c r="AO76" i="5"/>
  <c r="AO77" i="5"/>
  <c r="AO78" i="5"/>
  <c r="AO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92" i="5"/>
  <c r="AO93" i="5"/>
  <c r="AO94" i="5"/>
  <c r="AO95" i="5"/>
  <c r="AO96" i="5"/>
  <c r="AO97" i="5"/>
  <c r="AO98" i="5"/>
  <c r="AO99" i="5"/>
  <c r="AO100" i="5"/>
  <c r="AO101" i="5"/>
  <c r="AO102" i="5"/>
  <c r="AO103" i="5"/>
  <c r="AO104" i="5"/>
  <c r="AO105" i="5"/>
  <c r="AO106" i="5"/>
  <c r="AO107" i="5"/>
  <c r="AO108" i="5"/>
  <c r="AO109" i="5"/>
  <c r="AO110" i="5"/>
  <c r="AO111" i="5"/>
  <c r="AO112" i="5"/>
  <c r="AO113" i="5"/>
  <c r="AO114" i="5"/>
  <c r="AO115" i="5"/>
  <c r="AO116" i="5"/>
  <c r="AO117" i="5"/>
  <c r="AO118" i="5"/>
  <c r="AO119" i="5"/>
  <c r="AO120" i="5"/>
  <c r="AO121" i="5"/>
  <c r="AO122" i="5"/>
  <c r="AO123" i="5"/>
  <c r="AO124" i="5"/>
  <c r="AO125" i="5"/>
  <c r="AO126" i="5"/>
  <c r="AO127" i="5"/>
  <c r="AO128" i="5"/>
  <c r="AO129" i="5"/>
  <c r="AO130" i="5"/>
  <c r="AO131" i="5"/>
  <c r="AO132" i="5"/>
  <c r="AO133" i="5"/>
  <c r="AO134" i="5"/>
  <c r="AO135" i="5"/>
  <c r="AO136" i="5"/>
  <c r="AO137" i="5"/>
  <c r="AO138" i="5"/>
  <c r="AO139" i="5"/>
  <c r="AO140" i="5"/>
  <c r="AO141" i="5"/>
  <c r="AO142" i="5"/>
  <c r="AO143" i="5"/>
  <c r="AO144" i="5"/>
  <c r="AO145" i="5"/>
  <c r="AO146" i="5"/>
  <c r="AO147" i="5"/>
  <c r="AO148" i="5"/>
  <c r="AO149" i="5"/>
  <c r="AO150" i="5"/>
  <c r="AO151" i="5"/>
  <c r="AO152" i="5"/>
  <c r="AO153" i="5"/>
  <c r="AO154" i="5"/>
  <c r="AO155" i="5"/>
  <c r="AO156" i="5"/>
  <c r="AO157" i="5"/>
  <c r="AO158" i="5"/>
  <c r="AO159" i="5"/>
  <c r="AO160" i="5"/>
  <c r="AO161" i="5"/>
  <c r="AO162" i="5"/>
  <c r="AO163" i="5"/>
  <c r="AO164" i="5"/>
  <c r="AO165" i="5"/>
  <c r="AO166" i="5"/>
  <c r="AO167" i="5"/>
  <c r="AO168" i="5"/>
  <c r="AO169" i="5"/>
  <c r="AO170" i="5"/>
  <c r="AO171" i="5"/>
  <c r="AO172" i="5"/>
  <c r="AO173" i="5"/>
  <c r="AO174" i="5"/>
  <c r="AO175" i="5"/>
  <c r="AO176" i="5"/>
  <c r="AO177" i="5"/>
  <c r="AO178" i="5"/>
  <c r="AO179" i="5"/>
  <c r="AO180" i="5"/>
  <c r="AO181" i="5"/>
  <c r="AO182" i="5"/>
  <c r="AO183" i="5"/>
  <c r="AO184" i="5"/>
  <c r="AO185" i="5"/>
  <c r="AO186" i="5"/>
  <c r="AO187" i="5"/>
  <c r="AO188" i="5"/>
  <c r="AO189" i="5"/>
  <c r="AO190" i="5"/>
  <c r="AO191" i="5"/>
  <c r="AO192" i="5"/>
  <c r="AO193" i="5"/>
  <c r="AO194" i="5"/>
  <c r="AO195" i="5"/>
  <c r="AO196" i="5"/>
  <c r="AO197" i="5"/>
  <c r="AO198" i="5"/>
  <c r="AO199" i="5"/>
  <c r="AO200" i="5"/>
  <c r="AO201" i="5"/>
  <c r="AO202" i="5"/>
  <c r="AO203" i="5"/>
  <c r="AO204" i="5"/>
  <c r="AO205" i="5"/>
  <c r="AO206" i="5"/>
  <c r="AO207" i="5"/>
  <c r="AO208" i="5"/>
  <c r="AO209" i="5"/>
  <c r="AO210" i="5"/>
  <c r="AO211" i="5"/>
  <c r="AO212" i="5"/>
  <c r="AO213" i="5"/>
  <c r="AO214" i="5"/>
  <c r="AO215" i="5"/>
  <c r="AO216" i="5"/>
  <c r="AO217" i="5"/>
  <c r="AO218" i="5"/>
  <c r="AO219" i="5"/>
  <c r="AO220" i="5"/>
  <c r="AO221" i="5"/>
  <c r="AO222" i="5"/>
  <c r="AO223" i="5"/>
  <c r="AO224" i="5"/>
  <c r="AO225" i="5"/>
  <c r="AO226" i="5"/>
  <c r="AO227" i="5"/>
  <c r="AO228" i="5"/>
  <c r="AO229" i="5"/>
  <c r="AO230" i="5"/>
  <c r="AO231" i="5"/>
  <c r="AO232" i="5"/>
  <c r="AO233" i="5"/>
  <c r="AO234" i="5"/>
  <c r="AO235" i="5"/>
  <c r="AO236" i="5"/>
  <c r="AO237" i="5"/>
  <c r="AO238" i="5"/>
  <c r="AO239" i="5"/>
  <c r="AO240" i="5"/>
  <c r="AO241" i="5"/>
  <c r="AO242" i="5"/>
  <c r="AO243" i="5"/>
  <c r="AO244" i="5"/>
  <c r="AO245" i="5"/>
  <c r="AO246" i="5"/>
  <c r="AO247" i="5"/>
  <c r="AO248" i="5"/>
  <c r="AO249" i="5"/>
  <c r="AO250" i="5"/>
  <c r="AO251" i="5"/>
  <c r="AO252" i="5"/>
  <c r="AO253" i="5"/>
  <c r="AO254" i="5"/>
  <c r="AO255" i="5"/>
  <c r="AO256" i="5"/>
  <c r="AO257" i="5"/>
  <c r="AO258" i="5"/>
  <c r="AO259" i="5"/>
  <c r="AO260" i="5"/>
  <c r="AO261" i="5"/>
  <c r="AO262" i="5"/>
  <c r="AO263" i="5"/>
  <c r="AO264" i="5"/>
  <c r="AO265" i="5"/>
  <c r="AO266" i="5"/>
  <c r="AO267" i="5"/>
  <c r="AO268" i="5"/>
  <c r="AO269" i="5"/>
  <c r="AO270" i="5"/>
  <c r="AO271" i="5"/>
  <c r="AO272" i="5"/>
  <c r="AO273" i="5"/>
  <c r="AO274" i="5"/>
  <c r="AO275" i="5"/>
  <c r="AO276" i="5"/>
  <c r="AO277" i="5"/>
  <c r="AO278" i="5"/>
  <c r="AO279" i="5"/>
  <c r="AO280" i="5"/>
  <c r="AO281" i="5"/>
  <c r="AO282" i="5"/>
  <c r="AO283" i="5"/>
  <c r="AO284" i="5"/>
  <c r="AO285" i="5"/>
  <c r="AO286" i="5"/>
  <c r="AO287" i="5"/>
  <c r="AO288" i="5"/>
  <c r="AO289" i="5"/>
  <c r="AO290" i="5"/>
  <c r="AO291" i="5"/>
  <c r="AO292" i="5"/>
  <c r="AO293" i="5"/>
  <c r="AO294" i="5"/>
  <c r="AO295" i="5"/>
  <c r="AO296" i="5"/>
  <c r="AO297" i="5"/>
  <c r="AO298" i="5"/>
  <c r="AO299" i="5"/>
  <c r="AO300" i="5"/>
  <c r="AO301" i="5"/>
  <c r="AO302" i="5"/>
  <c r="AO303" i="5"/>
  <c r="AO304" i="5"/>
  <c r="AO305" i="5"/>
  <c r="AO306" i="5"/>
  <c r="AO307" i="5"/>
  <c r="AO308" i="5"/>
  <c r="AO309" i="5"/>
  <c r="AO310" i="5"/>
  <c r="AO311" i="5"/>
  <c r="AO312" i="5"/>
  <c r="AO313" i="5"/>
  <c r="AO314" i="5"/>
  <c r="AO315" i="5"/>
  <c r="AO316" i="5"/>
  <c r="AO317" i="5"/>
  <c r="AO318" i="5"/>
  <c r="AO319" i="5"/>
  <c r="AO320" i="5"/>
  <c r="AO321" i="5"/>
  <c r="AO322" i="5"/>
  <c r="AO323" i="5"/>
  <c r="AO324" i="5"/>
  <c r="AO325" i="5"/>
  <c r="AO326" i="5"/>
  <c r="AO327" i="5"/>
  <c r="AO328" i="5"/>
  <c r="AO329" i="5"/>
  <c r="AO330" i="5"/>
  <c r="AO331" i="5"/>
  <c r="AO332" i="5"/>
  <c r="AO333" i="5"/>
  <c r="AO334" i="5"/>
  <c r="AO335" i="5"/>
  <c r="AO336" i="5"/>
  <c r="AO337" i="5"/>
  <c r="AO338" i="5"/>
  <c r="AO339" i="5"/>
  <c r="AO340" i="5"/>
  <c r="AO341" i="5"/>
  <c r="AO342" i="5"/>
  <c r="AO343" i="5"/>
  <c r="AO344" i="5"/>
  <c r="AO345" i="5"/>
  <c r="AO346" i="5"/>
  <c r="AO347" i="5"/>
  <c r="AO348" i="5"/>
  <c r="AO349" i="5"/>
  <c r="AO350" i="5"/>
  <c r="AO351" i="5"/>
  <c r="AO352" i="5"/>
  <c r="AO353" i="5"/>
  <c r="AO354" i="5"/>
  <c r="AO355" i="5"/>
  <c r="AO356" i="5"/>
  <c r="AO357" i="5"/>
  <c r="AO358" i="5"/>
  <c r="AO359" i="5"/>
  <c r="AO360" i="5"/>
  <c r="AO361" i="5"/>
  <c r="AO362" i="5"/>
  <c r="AO363" i="5"/>
  <c r="AO364" i="5"/>
  <c r="AO365" i="5"/>
  <c r="AO366" i="5"/>
  <c r="AO367" i="5"/>
  <c r="AO368" i="5"/>
  <c r="AO369" i="5"/>
  <c r="AO370" i="5"/>
  <c r="AO371" i="5"/>
  <c r="AO372" i="5"/>
  <c r="AO373" i="5"/>
  <c r="AO374" i="5"/>
  <c r="AO375" i="5"/>
  <c r="AO376" i="5"/>
  <c r="AO377" i="5"/>
  <c r="AO378" i="5"/>
  <c r="AO379" i="5"/>
  <c r="AO380" i="5"/>
  <c r="AO381" i="5"/>
  <c r="AO382" i="5"/>
  <c r="AO383" i="5"/>
  <c r="AO384" i="5"/>
  <c r="AO385" i="5"/>
  <c r="AO386" i="5"/>
  <c r="AO387" i="5"/>
  <c r="AO388" i="5"/>
  <c r="AO389" i="5"/>
  <c r="AO390" i="5"/>
  <c r="AO391" i="5"/>
  <c r="AO392" i="5"/>
  <c r="AO393" i="5"/>
  <c r="AO394" i="5"/>
  <c r="AO395" i="5"/>
  <c r="AO396" i="5"/>
  <c r="AO397" i="5"/>
  <c r="AO398" i="5"/>
  <c r="AO399" i="5"/>
  <c r="AO400" i="5"/>
  <c r="AO401" i="5"/>
  <c r="AO402" i="5"/>
  <c r="AO403" i="5"/>
  <c r="AO404" i="5"/>
  <c r="AO405" i="5"/>
  <c r="AO406" i="5"/>
  <c r="AO407" i="5"/>
  <c r="AO408" i="5"/>
  <c r="AO409" i="5"/>
  <c r="AO410" i="5"/>
  <c r="AO411" i="5"/>
  <c r="AO412" i="5"/>
  <c r="AO413" i="5"/>
  <c r="AO414" i="5"/>
  <c r="AO415" i="5"/>
  <c r="AO416" i="5"/>
  <c r="AO417" i="5"/>
  <c r="AO418" i="5"/>
  <c r="AO419" i="5"/>
  <c r="AO420" i="5"/>
  <c r="AO421" i="5"/>
  <c r="AO422" i="5"/>
  <c r="AO423" i="5"/>
  <c r="AO424" i="5"/>
  <c r="AO425" i="5"/>
  <c r="AO426" i="5"/>
  <c r="AO427" i="5"/>
  <c r="AO428" i="5"/>
  <c r="AO429" i="5"/>
  <c r="AO430" i="5"/>
  <c r="AO431" i="5"/>
  <c r="AO432" i="5"/>
  <c r="AO433" i="5"/>
  <c r="AO434" i="5"/>
  <c r="AO435" i="5"/>
  <c r="AO436" i="5"/>
  <c r="AO437" i="5"/>
  <c r="AO438" i="5"/>
  <c r="AO439" i="5"/>
  <c r="AO440" i="5"/>
  <c r="AO441" i="5"/>
  <c r="AO442" i="5"/>
  <c r="AO443" i="5"/>
  <c r="AO444" i="5"/>
  <c r="AO445" i="5"/>
  <c r="AO446" i="5"/>
  <c r="AO447" i="5"/>
  <c r="AO448" i="5"/>
  <c r="AO449" i="5"/>
  <c r="AO450" i="5"/>
  <c r="AO451" i="5"/>
  <c r="AO452" i="5"/>
  <c r="AO453" i="5"/>
  <c r="AO454" i="5"/>
  <c r="AO455" i="5"/>
  <c r="AO456" i="5"/>
  <c r="AO457" i="5"/>
  <c r="AO458" i="5"/>
  <c r="AO459" i="5"/>
  <c r="AO460" i="5"/>
  <c r="AO461" i="5"/>
  <c r="AO462" i="5"/>
  <c r="AO463" i="5"/>
  <c r="AO464" i="5"/>
  <c r="AO465" i="5"/>
  <c r="AO466" i="5"/>
  <c r="AO467" i="5"/>
  <c r="AO468" i="5"/>
  <c r="AO469" i="5"/>
  <c r="AO470" i="5"/>
  <c r="AO471" i="5"/>
  <c r="AO472" i="5"/>
  <c r="AO473" i="5"/>
  <c r="AO474" i="5"/>
  <c r="AO475" i="5"/>
  <c r="AO476" i="5"/>
  <c r="AO477" i="5"/>
  <c r="AO478" i="5"/>
  <c r="AO479" i="5"/>
  <c r="AO480" i="5"/>
  <c r="AO481" i="5"/>
  <c r="AO482" i="5"/>
  <c r="AO483" i="5"/>
  <c r="AO484" i="5"/>
  <c r="AO485" i="5"/>
  <c r="AO486" i="5"/>
  <c r="AO487" i="5"/>
  <c r="AO488" i="5"/>
  <c r="AO489" i="5"/>
  <c r="AO490" i="5"/>
  <c r="AO491" i="5"/>
  <c r="AO492" i="5"/>
  <c r="AO493" i="5"/>
  <c r="AO494" i="5"/>
  <c r="AO495" i="5"/>
  <c r="AO496" i="5"/>
  <c r="AO497" i="5"/>
  <c r="AO498" i="5"/>
  <c r="AO499" i="5"/>
  <c r="AO500" i="5"/>
  <c r="AO501" i="5"/>
  <c r="AO502" i="5"/>
  <c r="AO503" i="5"/>
  <c r="AO504" i="5"/>
  <c r="AO505" i="5"/>
  <c r="AO506" i="5"/>
  <c r="AO507" i="5"/>
  <c r="AO508" i="5"/>
  <c r="AO509" i="5"/>
  <c r="AO510" i="5"/>
  <c r="AO511" i="5"/>
  <c r="AO512" i="5"/>
  <c r="AO513" i="5"/>
  <c r="AO514" i="5"/>
  <c r="AO515" i="5"/>
  <c r="AO516" i="5"/>
  <c r="AO517" i="5"/>
  <c r="AO518" i="5"/>
  <c r="AO519" i="5"/>
  <c r="AO520" i="5"/>
  <c r="AO521" i="5"/>
  <c r="AO522" i="5"/>
  <c r="AO523" i="5"/>
  <c r="AO524" i="5"/>
  <c r="AO525" i="5"/>
  <c r="AO526" i="5"/>
  <c r="AO527" i="5"/>
  <c r="AO528" i="5"/>
  <c r="AO529" i="5"/>
  <c r="AO530" i="5"/>
  <c r="AO531" i="5"/>
  <c r="AO532" i="5"/>
  <c r="AO533" i="5"/>
  <c r="AO534" i="5"/>
  <c r="AO535" i="5"/>
  <c r="AO536" i="5"/>
  <c r="AO537" i="5"/>
  <c r="AO538" i="5"/>
  <c r="AO539" i="5"/>
  <c r="AO540" i="5"/>
  <c r="AO541" i="5"/>
  <c r="AO542" i="5"/>
  <c r="AO543" i="5"/>
  <c r="AO544" i="5"/>
  <c r="AO545" i="5"/>
  <c r="AO546" i="5"/>
  <c r="AO547" i="5"/>
  <c r="AO548" i="5"/>
  <c r="AO549" i="5"/>
  <c r="AO550" i="5"/>
  <c r="AO551" i="5"/>
  <c r="AO552" i="5"/>
  <c r="AO553" i="5"/>
  <c r="AO554" i="5"/>
  <c r="AO555" i="5"/>
  <c r="AO556" i="5"/>
  <c r="AO557" i="5"/>
  <c r="AO558" i="5"/>
  <c r="AO559" i="5"/>
  <c r="AO560" i="5"/>
  <c r="AO561" i="5"/>
  <c r="AO562" i="5"/>
  <c r="AO563" i="5"/>
  <c r="AO564" i="5"/>
  <c r="AO565" i="5"/>
  <c r="AO566" i="5"/>
  <c r="AO567" i="5"/>
  <c r="AO568" i="5"/>
  <c r="AO569" i="5"/>
  <c r="AO570" i="5"/>
  <c r="AO571" i="5"/>
  <c r="AO572" i="5"/>
  <c r="AO573" i="5"/>
  <c r="AO574" i="5"/>
  <c r="AO575" i="5"/>
  <c r="AO576" i="5"/>
  <c r="AO577" i="5"/>
  <c r="AO578" i="5"/>
  <c r="AO579" i="5"/>
  <c r="AO580" i="5"/>
  <c r="AO581" i="5"/>
  <c r="AO582" i="5"/>
  <c r="AO583" i="5"/>
  <c r="AO584" i="5"/>
  <c r="AO585" i="5"/>
  <c r="AO586" i="5"/>
  <c r="AO587" i="5"/>
  <c r="AO588" i="5"/>
  <c r="AO589" i="5"/>
  <c r="AO590" i="5"/>
  <c r="AO591" i="5"/>
  <c r="AO592" i="5"/>
  <c r="AO593" i="5"/>
  <c r="AO594" i="5"/>
  <c r="AO595" i="5"/>
  <c r="AO596" i="5"/>
  <c r="AO597" i="5"/>
  <c r="AO598" i="5"/>
  <c r="AO599" i="5"/>
  <c r="AO600" i="5"/>
  <c r="AO601" i="5"/>
  <c r="AO602" i="5"/>
  <c r="AO603" i="5"/>
  <c r="AO604" i="5"/>
  <c r="AO605" i="5"/>
  <c r="AO606" i="5"/>
  <c r="AO607" i="5"/>
  <c r="AO608" i="5"/>
  <c r="AO609" i="5"/>
  <c r="AO610" i="5"/>
  <c r="AO611" i="5"/>
  <c r="AO612" i="5"/>
  <c r="AO613" i="5"/>
  <c r="AO614" i="5"/>
  <c r="AO615" i="5"/>
  <c r="AO616" i="5"/>
  <c r="AO617" i="5"/>
  <c r="AO618" i="5"/>
  <c r="AO619" i="5"/>
  <c r="AO620" i="5"/>
  <c r="AO621" i="5"/>
  <c r="AO622" i="5"/>
  <c r="AO623" i="5"/>
  <c r="AO624" i="5"/>
  <c r="AO625" i="5"/>
  <c r="AO626" i="5"/>
  <c r="AO627" i="5"/>
  <c r="AO628" i="5"/>
  <c r="AO629" i="5"/>
  <c r="AO630" i="5"/>
  <c r="AO631" i="5"/>
  <c r="AO632" i="5"/>
  <c r="AO633" i="5"/>
  <c r="AO634" i="5"/>
  <c r="AO635" i="5"/>
  <c r="AO636" i="5"/>
  <c r="AO637" i="5"/>
  <c r="AO638" i="5"/>
  <c r="AO639" i="5"/>
  <c r="AO640" i="5"/>
  <c r="AO641" i="5"/>
  <c r="AO642" i="5"/>
  <c r="AO643" i="5"/>
  <c r="AO644" i="5"/>
  <c r="AO645" i="5"/>
  <c r="AO646" i="5"/>
  <c r="AO647" i="5"/>
  <c r="AO648" i="5"/>
  <c r="AO649" i="5"/>
  <c r="AO650" i="5"/>
  <c r="AO651" i="5"/>
  <c r="AO652" i="5"/>
  <c r="AO653" i="5"/>
  <c r="AO654" i="5"/>
  <c r="AO655" i="5"/>
  <c r="AO656" i="5"/>
  <c r="AO657" i="5"/>
  <c r="AO658" i="5"/>
  <c r="AO659" i="5"/>
  <c r="AO660" i="5"/>
  <c r="AO661" i="5"/>
  <c r="AO662" i="5"/>
  <c r="AO663" i="5"/>
  <c r="AO664" i="5"/>
  <c r="AO665" i="5"/>
  <c r="AO666" i="5"/>
  <c r="AO667" i="5"/>
  <c r="AO668" i="5"/>
  <c r="AO669" i="5"/>
  <c r="AO670" i="5"/>
  <c r="AO671" i="5"/>
  <c r="AO672" i="5"/>
  <c r="AO673" i="5"/>
  <c r="AO674" i="5"/>
  <c r="AO675" i="5"/>
  <c r="AO676" i="5"/>
  <c r="AO677" i="5"/>
  <c r="AO678" i="5"/>
  <c r="AO679" i="5"/>
  <c r="AO680" i="5"/>
  <c r="AO681" i="5"/>
  <c r="AO682" i="5"/>
  <c r="AO683" i="5"/>
  <c r="AO684" i="5"/>
  <c r="AO685" i="5"/>
  <c r="AO686" i="5"/>
  <c r="AO687" i="5"/>
  <c r="AO688" i="5"/>
  <c r="AO689" i="5"/>
  <c r="AO690" i="5"/>
  <c r="AO691" i="5"/>
  <c r="AO692" i="5"/>
  <c r="AO693" i="5"/>
  <c r="AO694" i="5"/>
  <c r="AO695" i="5"/>
  <c r="AO696" i="5"/>
  <c r="AO697" i="5"/>
  <c r="AO698" i="5"/>
  <c r="AO699" i="5"/>
  <c r="AO700" i="5"/>
  <c r="AO701" i="5"/>
  <c r="AO702" i="5"/>
  <c r="AO703" i="5"/>
  <c r="AO704" i="5"/>
  <c r="AO705" i="5"/>
  <c r="AO706" i="5"/>
  <c r="AO707" i="5"/>
  <c r="AO708" i="5"/>
  <c r="AO709" i="5"/>
  <c r="AO710" i="5"/>
  <c r="AO711" i="5"/>
  <c r="AO712" i="5"/>
  <c r="AO713" i="5"/>
  <c r="AO714" i="5"/>
  <c r="AO715" i="5"/>
  <c r="AO716" i="5"/>
  <c r="AO717" i="5"/>
  <c r="AO718" i="5"/>
  <c r="AO719" i="5"/>
  <c r="AO720" i="5"/>
  <c r="AO721" i="5"/>
  <c r="AO722" i="5"/>
  <c r="AO723" i="5"/>
  <c r="AO724" i="5"/>
  <c r="AO725" i="5"/>
  <c r="AO726" i="5"/>
  <c r="AO727" i="5"/>
  <c r="AO728" i="5"/>
  <c r="AO729" i="5"/>
  <c r="AO730" i="5"/>
  <c r="AO731" i="5"/>
  <c r="AO732" i="5"/>
  <c r="AO733" i="5"/>
  <c r="AO734" i="5"/>
  <c r="AO735" i="5"/>
  <c r="AO736" i="5"/>
  <c r="AO737" i="5"/>
  <c r="AO738" i="5"/>
  <c r="AO739" i="5"/>
  <c r="AO740" i="5"/>
  <c r="AO741" i="5"/>
  <c r="AO742" i="5"/>
  <c r="AO743" i="5"/>
  <c r="AO744" i="5"/>
  <c r="AO745" i="5"/>
  <c r="AO746" i="5"/>
  <c r="AO747" i="5"/>
  <c r="AO748" i="5"/>
  <c r="AO749" i="5"/>
  <c r="AO750" i="5"/>
  <c r="AO9" i="5" l="1"/>
  <c r="AQ9" i="5" l="1"/>
  <c r="AQ28" i="5"/>
  <c r="AQ29" i="5"/>
  <c r="AQ30" i="5"/>
  <c r="AQ31" i="5"/>
  <c r="AQ32" i="5"/>
  <c r="AQ33" i="5"/>
  <c r="AQ34" i="5"/>
  <c r="AQ35" i="5"/>
  <c r="AQ36" i="5"/>
  <c r="AQ37" i="5"/>
  <c r="AQ38" i="5"/>
  <c r="AQ39" i="5"/>
  <c r="AQ40" i="5"/>
  <c r="AQ41" i="5"/>
  <c r="AQ42" i="5"/>
  <c r="AQ43" i="5"/>
  <c r="AQ44" i="5"/>
  <c r="AQ45" i="5"/>
  <c r="AQ46" i="5"/>
  <c r="AQ47" i="5"/>
  <c r="AQ48" i="5"/>
  <c r="AQ49" i="5"/>
  <c r="AQ50" i="5"/>
  <c r="AQ51" i="5"/>
  <c r="AQ52" i="5"/>
  <c r="AQ53" i="5"/>
  <c r="AQ54" i="5"/>
  <c r="AQ55" i="5"/>
  <c r="AQ56" i="5"/>
  <c r="AQ57" i="5"/>
  <c r="AQ58" i="5"/>
  <c r="AQ59" i="5"/>
  <c r="AQ60" i="5"/>
  <c r="AQ61" i="5"/>
  <c r="AQ62" i="5"/>
  <c r="AQ63" i="5"/>
  <c r="AQ64" i="5"/>
  <c r="AQ65" i="5"/>
  <c r="AQ66" i="5"/>
  <c r="AQ67" i="5"/>
  <c r="AQ68" i="5"/>
  <c r="AQ69" i="5"/>
  <c r="AQ70" i="5"/>
  <c r="AQ71" i="5"/>
  <c r="AQ72" i="5"/>
  <c r="AQ73" i="5"/>
  <c r="AQ74" i="5"/>
  <c r="AQ75" i="5"/>
  <c r="AQ76" i="5"/>
  <c r="AQ77" i="5"/>
  <c r="AQ78" i="5"/>
  <c r="AQ79" i="5"/>
  <c r="AQ80" i="5"/>
  <c r="AQ81" i="5"/>
  <c r="AQ82" i="5"/>
  <c r="AQ83" i="5"/>
  <c r="AQ84" i="5"/>
  <c r="AQ85" i="5"/>
  <c r="AQ86" i="5"/>
  <c r="AQ87" i="5"/>
  <c r="AQ88" i="5"/>
  <c r="AQ89" i="5"/>
  <c r="AQ90" i="5"/>
  <c r="AQ91" i="5"/>
  <c r="AQ92" i="5"/>
  <c r="AQ93" i="5"/>
  <c r="AQ94" i="5"/>
  <c r="AQ95" i="5"/>
  <c r="AQ96" i="5"/>
  <c r="AQ97" i="5"/>
  <c r="AQ98" i="5"/>
  <c r="AQ99" i="5"/>
  <c r="AQ100" i="5"/>
  <c r="AQ101" i="5"/>
  <c r="AQ102" i="5"/>
  <c r="AQ103" i="5"/>
  <c r="AQ104" i="5"/>
  <c r="AQ105" i="5"/>
  <c r="AQ106" i="5"/>
  <c r="AQ107" i="5"/>
  <c r="AQ108" i="5"/>
  <c r="AQ109" i="5"/>
  <c r="AQ110" i="5"/>
  <c r="AQ111" i="5"/>
  <c r="AQ112" i="5"/>
  <c r="AQ113" i="5"/>
  <c r="AQ114" i="5"/>
  <c r="AQ115" i="5"/>
  <c r="AQ116" i="5"/>
  <c r="AQ117" i="5"/>
  <c r="AQ118" i="5"/>
  <c r="AQ119" i="5"/>
  <c r="AQ120" i="5"/>
  <c r="AQ121" i="5"/>
  <c r="AQ122" i="5"/>
  <c r="AQ123" i="5"/>
  <c r="AQ124" i="5"/>
  <c r="AQ125" i="5"/>
  <c r="AQ126" i="5"/>
  <c r="AQ127" i="5"/>
  <c r="AQ128" i="5"/>
  <c r="AQ129" i="5"/>
  <c r="AQ130" i="5"/>
  <c r="AQ131" i="5"/>
  <c r="AQ132" i="5"/>
  <c r="AQ133" i="5"/>
  <c r="AQ134" i="5"/>
  <c r="AQ135" i="5"/>
  <c r="AQ136" i="5"/>
  <c r="AQ137" i="5"/>
  <c r="AQ138" i="5"/>
  <c r="AQ139" i="5"/>
  <c r="AQ140" i="5"/>
  <c r="AQ141" i="5"/>
  <c r="AQ142" i="5"/>
  <c r="AQ143" i="5"/>
  <c r="AQ144" i="5"/>
  <c r="AQ145" i="5"/>
  <c r="AQ146" i="5"/>
  <c r="AQ147" i="5"/>
  <c r="AQ148" i="5"/>
  <c r="AQ149" i="5"/>
  <c r="AQ150" i="5"/>
  <c r="AQ151" i="5"/>
  <c r="AQ152" i="5"/>
  <c r="AQ153" i="5"/>
  <c r="AQ154" i="5"/>
  <c r="AQ155" i="5"/>
  <c r="AQ156" i="5"/>
  <c r="AQ157" i="5"/>
  <c r="AQ158" i="5"/>
  <c r="AQ159" i="5"/>
  <c r="AQ160" i="5"/>
  <c r="AQ161" i="5"/>
  <c r="AQ162" i="5"/>
  <c r="AQ163" i="5"/>
  <c r="AQ164" i="5"/>
  <c r="AQ165" i="5"/>
  <c r="AQ166" i="5"/>
  <c r="AQ167" i="5"/>
  <c r="AQ168" i="5"/>
  <c r="AQ169" i="5"/>
  <c r="AQ170" i="5"/>
  <c r="AQ171" i="5"/>
  <c r="AQ172" i="5"/>
  <c r="AQ173" i="5"/>
  <c r="AQ174" i="5"/>
  <c r="AQ175" i="5"/>
  <c r="AQ176" i="5"/>
  <c r="AQ177" i="5"/>
  <c r="AQ178" i="5"/>
  <c r="AQ179" i="5"/>
  <c r="AQ180" i="5"/>
  <c r="AQ181" i="5"/>
  <c r="AQ182" i="5"/>
  <c r="AQ183" i="5"/>
  <c r="AQ184" i="5"/>
  <c r="AQ185" i="5"/>
  <c r="AQ186" i="5"/>
  <c r="AQ187" i="5"/>
  <c r="AQ188" i="5"/>
  <c r="AQ189" i="5"/>
  <c r="AQ190" i="5"/>
  <c r="AQ191" i="5"/>
  <c r="AQ192" i="5"/>
  <c r="AQ193" i="5"/>
  <c r="AQ194" i="5"/>
  <c r="AQ195" i="5"/>
  <c r="AQ196" i="5"/>
  <c r="AQ197" i="5"/>
  <c r="AQ198" i="5"/>
  <c r="AQ199" i="5"/>
  <c r="AQ200" i="5"/>
  <c r="AQ201" i="5"/>
  <c r="AQ202" i="5"/>
  <c r="AQ203" i="5"/>
  <c r="AQ204" i="5"/>
  <c r="AQ205" i="5"/>
  <c r="AQ206" i="5"/>
  <c r="AQ207" i="5"/>
  <c r="AQ208" i="5"/>
  <c r="AQ209" i="5"/>
  <c r="AQ210" i="5"/>
  <c r="AQ211" i="5"/>
  <c r="AQ212" i="5"/>
  <c r="AQ213" i="5"/>
  <c r="AQ214" i="5"/>
  <c r="AQ215" i="5"/>
  <c r="AQ216" i="5"/>
  <c r="AQ217" i="5"/>
  <c r="AQ218" i="5"/>
  <c r="AQ219" i="5"/>
  <c r="AQ220" i="5"/>
  <c r="AQ221" i="5"/>
  <c r="AQ222" i="5"/>
  <c r="AQ223" i="5"/>
  <c r="AQ224" i="5"/>
  <c r="AQ225" i="5"/>
  <c r="AQ226" i="5"/>
  <c r="AQ227" i="5"/>
  <c r="AQ228" i="5"/>
  <c r="AQ229" i="5"/>
  <c r="AQ230" i="5"/>
  <c r="AQ231" i="5"/>
  <c r="AQ232" i="5"/>
  <c r="AQ233" i="5"/>
  <c r="AQ234" i="5"/>
  <c r="AQ235" i="5"/>
  <c r="AQ236" i="5"/>
  <c r="AQ237" i="5"/>
  <c r="AQ238" i="5"/>
  <c r="AQ239" i="5"/>
  <c r="AQ240" i="5"/>
  <c r="AQ241" i="5"/>
  <c r="AQ242" i="5"/>
  <c r="AQ243" i="5"/>
  <c r="AQ244" i="5"/>
  <c r="AQ245" i="5"/>
  <c r="AQ246" i="5"/>
  <c r="AQ247" i="5"/>
  <c r="AQ248" i="5"/>
  <c r="AQ249" i="5"/>
  <c r="AQ250" i="5"/>
  <c r="AQ251" i="5"/>
  <c r="AQ252" i="5"/>
  <c r="AQ253" i="5"/>
  <c r="AQ254" i="5"/>
  <c r="AQ255" i="5"/>
  <c r="AQ256" i="5"/>
  <c r="AQ257" i="5"/>
  <c r="AQ258" i="5"/>
  <c r="AQ259" i="5"/>
  <c r="AQ260" i="5"/>
  <c r="AQ261" i="5"/>
  <c r="AQ262" i="5"/>
  <c r="AQ263" i="5"/>
  <c r="AQ264" i="5"/>
  <c r="AQ265" i="5"/>
  <c r="AQ266" i="5"/>
  <c r="AQ267" i="5"/>
  <c r="AQ268" i="5"/>
  <c r="AQ269" i="5"/>
  <c r="AQ270" i="5"/>
  <c r="AQ271" i="5"/>
  <c r="AQ272" i="5"/>
  <c r="AQ273" i="5"/>
  <c r="AQ274" i="5"/>
  <c r="AQ275" i="5"/>
  <c r="AQ276" i="5"/>
  <c r="AQ277" i="5"/>
  <c r="AQ278" i="5"/>
  <c r="AQ279" i="5"/>
  <c r="AQ280" i="5"/>
  <c r="AQ281" i="5"/>
  <c r="AQ282" i="5"/>
  <c r="AQ283" i="5"/>
  <c r="AQ284" i="5"/>
  <c r="AQ285" i="5"/>
  <c r="AQ286" i="5"/>
  <c r="AQ287" i="5"/>
  <c r="AQ288" i="5"/>
  <c r="AQ289" i="5"/>
  <c r="AQ290" i="5"/>
  <c r="AQ291" i="5"/>
  <c r="AQ292" i="5"/>
  <c r="AQ293" i="5"/>
  <c r="AQ294" i="5"/>
  <c r="AQ295" i="5"/>
  <c r="AQ296" i="5"/>
  <c r="AQ297" i="5"/>
  <c r="AQ298" i="5"/>
  <c r="AQ299" i="5"/>
  <c r="AQ300" i="5"/>
  <c r="AQ301" i="5"/>
  <c r="AQ302" i="5"/>
  <c r="AQ303" i="5"/>
  <c r="AQ304" i="5"/>
  <c r="AQ305" i="5"/>
  <c r="AQ306" i="5"/>
  <c r="AQ307" i="5"/>
  <c r="AQ308" i="5"/>
  <c r="AQ309" i="5"/>
  <c r="AQ310" i="5"/>
  <c r="AQ311" i="5"/>
  <c r="AQ312" i="5"/>
  <c r="AQ313" i="5"/>
  <c r="AQ314" i="5"/>
  <c r="AQ315" i="5"/>
  <c r="AQ316" i="5"/>
  <c r="AQ317" i="5"/>
  <c r="AQ318" i="5"/>
  <c r="AQ319" i="5"/>
  <c r="AQ320" i="5"/>
  <c r="AQ321" i="5"/>
  <c r="AQ322" i="5"/>
  <c r="AQ323" i="5"/>
  <c r="AQ324" i="5"/>
  <c r="AQ325" i="5"/>
  <c r="AQ326" i="5"/>
  <c r="AQ327" i="5"/>
  <c r="AQ328" i="5"/>
  <c r="AQ329" i="5"/>
  <c r="AQ330" i="5"/>
  <c r="AQ331" i="5"/>
  <c r="AQ332" i="5"/>
  <c r="AQ333" i="5"/>
  <c r="AQ334" i="5"/>
  <c r="AQ335" i="5"/>
  <c r="AQ336" i="5"/>
  <c r="AQ337" i="5"/>
  <c r="AQ338" i="5"/>
  <c r="AQ339" i="5"/>
  <c r="AQ340" i="5"/>
  <c r="AQ341" i="5"/>
  <c r="AQ342" i="5"/>
  <c r="AQ343" i="5"/>
  <c r="AQ344" i="5"/>
  <c r="AQ345" i="5"/>
  <c r="AQ346" i="5"/>
  <c r="AQ347" i="5"/>
  <c r="AQ348" i="5"/>
  <c r="AQ349" i="5"/>
  <c r="AQ350" i="5"/>
  <c r="AQ351" i="5"/>
  <c r="AQ352" i="5"/>
  <c r="AQ353" i="5"/>
  <c r="AQ354" i="5"/>
  <c r="AQ355" i="5"/>
  <c r="AQ356" i="5"/>
  <c r="AQ357" i="5"/>
  <c r="AQ358" i="5"/>
  <c r="AQ359" i="5"/>
  <c r="AQ360" i="5"/>
  <c r="AQ361" i="5"/>
  <c r="AQ362" i="5"/>
  <c r="AQ363" i="5"/>
  <c r="AQ364" i="5"/>
  <c r="AQ365" i="5"/>
  <c r="AQ366" i="5"/>
  <c r="AQ367" i="5"/>
  <c r="AQ368" i="5"/>
  <c r="AQ369" i="5"/>
  <c r="AQ370" i="5"/>
  <c r="AQ371" i="5"/>
  <c r="AQ372" i="5"/>
  <c r="AQ373" i="5"/>
  <c r="AQ374" i="5"/>
  <c r="AQ375" i="5"/>
  <c r="AQ376" i="5"/>
  <c r="AQ377" i="5"/>
  <c r="AQ378" i="5"/>
  <c r="AQ379" i="5"/>
  <c r="AQ380" i="5"/>
  <c r="AQ381" i="5"/>
  <c r="AQ382" i="5"/>
  <c r="AQ383" i="5"/>
  <c r="AQ384" i="5"/>
  <c r="AQ385" i="5"/>
  <c r="AQ386" i="5"/>
  <c r="AQ387" i="5"/>
  <c r="AQ388" i="5"/>
  <c r="AQ389" i="5"/>
  <c r="AQ390" i="5"/>
  <c r="AQ391" i="5"/>
  <c r="AQ392" i="5"/>
  <c r="AQ393" i="5"/>
  <c r="AQ394" i="5"/>
  <c r="AQ395" i="5"/>
  <c r="AQ396" i="5"/>
  <c r="AQ397" i="5"/>
  <c r="AQ398" i="5"/>
  <c r="AQ399" i="5"/>
  <c r="AQ400" i="5"/>
  <c r="AQ401" i="5"/>
  <c r="AQ402" i="5"/>
  <c r="AQ403" i="5"/>
  <c r="AQ404" i="5"/>
  <c r="AQ405" i="5"/>
  <c r="AQ406" i="5"/>
  <c r="AQ407" i="5"/>
  <c r="AQ408" i="5"/>
  <c r="AQ409" i="5"/>
  <c r="AQ410" i="5"/>
  <c r="AQ411" i="5"/>
  <c r="AQ412" i="5"/>
  <c r="AQ413" i="5"/>
  <c r="AQ414" i="5"/>
  <c r="AQ415" i="5"/>
  <c r="AQ416" i="5"/>
  <c r="AQ417" i="5"/>
  <c r="AQ418" i="5"/>
  <c r="AQ419" i="5"/>
  <c r="AQ420" i="5"/>
  <c r="AQ421" i="5"/>
  <c r="AQ422" i="5"/>
  <c r="AQ423" i="5"/>
  <c r="AQ424" i="5"/>
  <c r="AQ425" i="5"/>
  <c r="AQ426" i="5"/>
  <c r="AQ427" i="5"/>
  <c r="AQ428" i="5"/>
  <c r="AQ429" i="5"/>
  <c r="AQ430" i="5"/>
  <c r="AQ431" i="5"/>
  <c r="AQ432" i="5"/>
  <c r="AQ433" i="5"/>
  <c r="AQ434" i="5"/>
  <c r="AQ435" i="5"/>
  <c r="AQ436" i="5"/>
  <c r="AQ437" i="5"/>
  <c r="AQ438" i="5"/>
  <c r="AQ439" i="5"/>
  <c r="AQ440" i="5"/>
  <c r="AQ441" i="5"/>
  <c r="AQ442" i="5"/>
  <c r="AQ443" i="5"/>
  <c r="AQ444" i="5"/>
  <c r="AQ445" i="5"/>
  <c r="AQ446" i="5"/>
  <c r="AQ447" i="5"/>
  <c r="AQ448" i="5"/>
  <c r="AQ449" i="5"/>
  <c r="AQ450" i="5"/>
  <c r="AQ451" i="5"/>
  <c r="AQ452" i="5"/>
  <c r="AQ453" i="5"/>
  <c r="AQ454" i="5"/>
  <c r="AQ455" i="5"/>
  <c r="AQ456" i="5"/>
  <c r="AQ457" i="5"/>
  <c r="AQ458" i="5"/>
  <c r="AQ459" i="5"/>
  <c r="AQ460" i="5"/>
  <c r="AQ461" i="5"/>
  <c r="AQ462" i="5"/>
  <c r="AQ463" i="5"/>
  <c r="AQ464" i="5"/>
  <c r="AQ465" i="5"/>
  <c r="AQ466" i="5"/>
  <c r="AQ467" i="5"/>
  <c r="AQ468" i="5"/>
  <c r="AQ469" i="5"/>
  <c r="AQ470" i="5"/>
  <c r="AQ471" i="5"/>
  <c r="AQ472" i="5"/>
  <c r="AQ473" i="5"/>
  <c r="AQ474" i="5"/>
  <c r="AQ475" i="5"/>
  <c r="AQ476" i="5"/>
  <c r="AQ477" i="5"/>
  <c r="AQ478" i="5"/>
  <c r="AQ479" i="5"/>
  <c r="AQ480" i="5"/>
  <c r="AQ481" i="5"/>
  <c r="AQ482" i="5"/>
  <c r="AQ483" i="5"/>
  <c r="AQ484" i="5"/>
  <c r="AQ485" i="5"/>
  <c r="AQ486" i="5"/>
  <c r="AQ487" i="5"/>
  <c r="AQ488" i="5"/>
  <c r="AQ489" i="5"/>
  <c r="AQ490" i="5"/>
  <c r="AQ491" i="5"/>
  <c r="AQ492" i="5"/>
  <c r="AQ493" i="5"/>
  <c r="AQ494" i="5"/>
  <c r="AQ495" i="5"/>
  <c r="AQ496" i="5"/>
  <c r="AQ497" i="5"/>
  <c r="AQ498" i="5"/>
  <c r="AQ499" i="5"/>
  <c r="AQ500" i="5"/>
  <c r="AQ501" i="5"/>
  <c r="AQ502" i="5"/>
  <c r="AQ503" i="5"/>
  <c r="AQ504" i="5"/>
  <c r="AQ505" i="5"/>
  <c r="AQ506" i="5"/>
  <c r="AQ507" i="5"/>
  <c r="AQ508" i="5"/>
  <c r="AQ509" i="5"/>
  <c r="AQ510" i="5"/>
  <c r="AQ511" i="5"/>
  <c r="AQ512" i="5"/>
  <c r="AQ513" i="5"/>
  <c r="AQ514" i="5"/>
  <c r="AQ515" i="5"/>
  <c r="AQ516" i="5"/>
  <c r="AQ517" i="5"/>
  <c r="AQ518" i="5"/>
  <c r="AQ519" i="5"/>
  <c r="AQ520" i="5"/>
  <c r="AQ521" i="5"/>
  <c r="AQ522" i="5"/>
  <c r="AQ523" i="5"/>
  <c r="AQ524" i="5"/>
  <c r="AQ525" i="5"/>
  <c r="AQ526" i="5"/>
  <c r="AQ527" i="5"/>
  <c r="AQ528" i="5"/>
  <c r="AQ529" i="5"/>
  <c r="AQ530" i="5"/>
  <c r="AQ531" i="5"/>
  <c r="AQ532" i="5"/>
  <c r="AQ533" i="5"/>
  <c r="AQ534" i="5"/>
  <c r="AQ535" i="5"/>
  <c r="AQ536" i="5"/>
  <c r="AQ537" i="5"/>
  <c r="AQ538" i="5"/>
  <c r="AQ539" i="5"/>
  <c r="AQ540" i="5"/>
  <c r="AQ541" i="5"/>
  <c r="AQ542" i="5"/>
  <c r="AQ543" i="5"/>
  <c r="AQ544" i="5"/>
  <c r="AQ545" i="5"/>
  <c r="AQ546" i="5"/>
  <c r="AQ547" i="5"/>
  <c r="AQ548" i="5"/>
  <c r="AQ549" i="5"/>
  <c r="AQ550" i="5"/>
  <c r="AQ551" i="5"/>
  <c r="AQ552" i="5"/>
  <c r="AQ553" i="5"/>
  <c r="AQ554" i="5"/>
  <c r="AQ555" i="5"/>
  <c r="AQ556" i="5"/>
  <c r="AQ557" i="5"/>
  <c r="AQ558" i="5"/>
  <c r="AQ559" i="5"/>
  <c r="AQ560" i="5"/>
  <c r="AQ561" i="5"/>
  <c r="AQ562" i="5"/>
  <c r="AQ563" i="5"/>
  <c r="AQ564" i="5"/>
  <c r="AQ565" i="5"/>
  <c r="AQ566" i="5"/>
  <c r="AQ567" i="5"/>
  <c r="AQ568" i="5"/>
  <c r="AQ569" i="5"/>
  <c r="AQ570" i="5"/>
  <c r="AQ571" i="5"/>
  <c r="AQ572" i="5"/>
  <c r="AQ573" i="5"/>
  <c r="AQ574" i="5"/>
  <c r="AQ575" i="5"/>
  <c r="AQ576" i="5"/>
  <c r="AQ577" i="5"/>
  <c r="AQ578" i="5"/>
  <c r="AQ579" i="5"/>
  <c r="AQ580" i="5"/>
  <c r="AQ581" i="5"/>
  <c r="AQ582" i="5"/>
  <c r="AQ583" i="5"/>
  <c r="AQ584" i="5"/>
  <c r="AQ585" i="5"/>
  <c r="AQ586" i="5"/>
  <c r="AQ587" i="5"/>
  <c r="AQ588" i="5"/>
  <c r="AQ589" i="5"/>
  <c r="AQ590" i="5"/>
  <c r="AQ591" i="5"/>
  <c r="AQ592" i="5"/>
  <c r="AQ593" i="5"/>
  <c r="AQ594" i="5"/>
  <c r="AQ595" i="5"/>
  <c r="AQ596" i="5"/>
  <c r="AQ597" i="5"/>
  <c r="AQ598" i="5"/>
  <c r="AQ599" i="5"/>
  <c r="AQ600" i="5"/>
  <c r="AQ601" i="5"/>
  <c r="AQ602" i="5"/>
  <c r="AQ603" i="5"/>
  <c r="AQ604" i="5"/>
  <c r="AQ605" i="5"/>
  <c r="AQ606" i="5"/>
  <c r="AQ607" i="5"/>
  <c r="AQ608" i="5"/>
  <c r="AQ609" i="5"/>
  <c r="AQ610" i="5"/>
  <c r="AQ611" i="5"/>
  <c r="AQ612" i="5"/>
  <c r="AQ613" i="5"/>
  <c r="AQ614" i="5"/>
  <c r="AQ615" i="5"/>
  <c r="AQ616" i="5"/>
  <c r="AQ617" i="5"/>
  <c r="AQ618" i="5"/>
  <c r="AQ619" i="5"/>
  <c r="AQ620" i="5"/>
  <c r="AQ621" i="5"/>
  <c r="AQ622" i="5"/>
  <c r="AQ623" i="5"/>
  <c r="AQ624" i="5"/>
  <c r="AQ625" i="5"/>
  <c r="AQ626" i="5"/>
  <c r="AQ627" i="5"/>
  <c r="AQ628" i="5"/>
  <c r="AQ629" i="5"/>
  <c r="AQ630" i="5"/>
  <c r="AQ631" i="5"/>
  <c r="AQ632" i="5"/>
  <c r="AQ633" i="5"/>
  <c r="AQ634" i="5"/>
  <c r="AQ635" i="5"/>
  <c r="AQ636" i="5"/>
  <c r="AQ637" i="5"/>
  <c r="AQ638" i="5"/>
  <c r="AQ639" i="5"/>
  <c r="AQ640" i="5"/>
  <c r="AQ641" i="5"/>
  <c r="AQ642" i="5"/>
  <c r="AQ643" i="5"/>
  <c r="AQ644" i="5"/>
  <c r="AQ645" i="5"/>
  <c r="AQ646" i="5"/>
  <c r="AQ647" i="5"/>
  <c r="AQ648" i="5"/>
  <c r="AQ649" i="5"/>
  <c r="AQ650" i="5"/>
  <c r="AQ651" i="5"/>
  <c r="AQ652" i="5"/>
  <c r="AQ653" i="5"/>
  <c r="AQ654" i="5"/>
  <c r="AQ655" i="5"/>
  <c r="AQ656" i="5"/>
  <c r="AQ657" i="5"/>
  <c r="AQ658" i="5"/>
  <c r="AQ659" i="5"/>
  <c r="AQ660" i="5"/>
  <c r="AQ661" i="5"/>
  <c r="AQ662" i="5"/>
  <c r="AQ663" i="5"/>
  <c r="AQ664" i="5"/>
  <c r="AQ665" i="5"/>
  <c r="AQ666" i="5"/>
  <c r="AQ667" i="5"/>
  <c r="AQ668" i="5"/>
  <c r="AQ669" i="5"/>
  <c r="AQ670" i="5"/>
  <c r="AQ671" i="5"/>
  <c r="AQ672" i="5"/>
  <c r="AQ673" i="5"/>
  <c r="AQ674" i="5"/>
  <c r="AQ675" i="5"/>
  <c r="AQ676" i="5"/>
  <c r="AQ677" i="5"/>
  <c r="AQ678" i="5"/>
  <c r="AQ679" i="5"/>
  <c r="AQ680" i="5"/>
  <c r="AQ681" i="5"/>
  <c r="AQ682" i="5"/>
  <c r="AQ683" i="5"/>
  <c r="AQ684" i="5"/>
  <c r="AQ685" i="5"/>
  <c r="AQ686" i="5"/>
  <c r="AQ687" i="5"/>
  <c r="AQ688" i="5"/>
  <c r="AQ689" i="5"/>
  <c r="AQ690" i="5"/>
  <c r="AQ691" i="5"/>
  <c r="AQ692" i="5"/>
  <c r="AQ693" i="5"/>
  <c r="AQ694" i="5"/>
  <c r="AQ695" i="5"/>
  <c r="AQ696" i="5"/>
  <c r="AQ697" i="5"/>
  <c r="AQ698" i="5"/>
  <c r="AQ699" i="5"/>
  <c r="AQ700" i="5"/>
  <c r="AQ701" i="5"/>
  <c r="AQ702" i="5"/>
  <c r="AQ703" i="5"/>
  <c r="AQ704" i="5"/>
  <c r="AQ705" i="5"/>
  <c r="AQ706" i="5"/>
  <c r="AQ707" i="5"/>
  <c r="AQ708" i="5"/>
  <c r="AQ709" i="5"/>
  <c r="AQ710" i="5"/>
  <c r="AQ711" i="5"/>
  <c r="AQ712" i="5"/>
  <c r="AQ713" i="5"/>
  <c r="AQ714" i="5"/>
  <c r="AQ715" i="5"/>
  <c r="AQ716" i="5"/>
  <c r="AQ717" i="5"/>
  <c r="AQ718" i="5"/>
  <c r="AQ719" i="5"/>
  <c r="AQ720" i="5"/>
  <c r="AQ721" i="5"/>
  <c r="AQ722" i="5"/>
  <c r="AQ723" i="5"/>
  <c r="AQ724" i="5"/>
  <c r="AQ725" i="5"/>
  <c r="AQ726" i="5"/>
  <c r="AQ727" i="5"/>
  <c r="AQ728" i="5"/>
  <c r="AQ729" i="5"/>
  <c r="AQ730" i="5"/>
  <c r="AQ731" i="5"/>
  <c r="AQ732" i="5"/>
  <c r="AQ733" i="5"/>
  <c r="AQ734" i="5"/>
  <c r="AQ735" i="5"/>
  <c r="AQ736" i="5"/>
  <c r="AQ737" i="5"/>
  <c r="AQ738" i="5"/>
  <c r="AQ739" i="5"/>
  <c r="AQ740" i="5"/>
  <c r="AQ741" i="5"/>
  <c r="AQ742" i="5"/>
  <c r="AQ743" i="5"/>
  <c r="AQ744" i="5"/>
  <c r="AQ745" i="5"/>
  <c r="AQ746" i="5"/>
  <c r="AQ747" i="5"/>
  <c r="AQ748" i="5"/>
  <c r="AQ749" i="5"/>
  <c r="AQ750" i="5"/>
  <c r="AN9" i="5" l="1"/>
  <c r="AU746" i="5"/>
  <c r="AU734" i="5"/>
  <c r="AR146" i="5"/>
  <c r="AP142" i="5"/>
  <c r="AN138" i="5"/>
  <c r="AR130" i="5"/>
  <c r="AP126" i="5"/>
  <c r="AN122" i="5"/>
  <c r="AR114" i="5"/>
  <c r="AP110" i="5"/>
  <c r="AN106" i="5"/>
  <c r="AN98" i="5"/>
  <c r="AP90" i="5"/>
  <c r="AP82" i="5"/>
  <c r="AP74" i="5"/>
  <c r="AP62" i="5"/>
  <c r="AN54" i="5"/>
  <c r="AR46" i="5"/>
  <c r="AT42" i="5"/>
  <c r="AP30" i="5"/>
  <c r="D84" i="4"/>
  <c r="D85" i="4"/>
  <c r="D86" i="4"/>
  <c r="D87" i="4"/>
  <c r="D90" i="4"/>
  <c r="D91" i="4"/>
  <c r="D92" i="4"/>
  <c r="AN732" i="5"/>
  <c r="AN736" i="5"/>
  <c r="AN737" i="5"/>
  <c r="AP732" i="5"/>
  <c r="AP736" i="5"/>
  <c r="AP737" i="5"/>
  <c r="AR732" i="5"/>
  <c r="AR733" i="5"/>
  <c r="AR736" i="5"/>
  <c r="AT732" i="5"/>
  <c r="AL732" i="5" s="1"/>
  <c r="AT733" i="5"/>
  <c r="AL733" i="5" s="1"/>
  <c r="AT735" i="5"/>
  <c r="AT736" i="5"/>
  <c r="AL736" i="5" s="1"/>
  <c r="AU732" i="5"/>
  <c r="AU733" i="5"/>
  <c r="AU736" i="5"/>
  <c r="AU737" i="5"/>
  <c r="AN738" i="5"/>
  <c r="AN740" i="5"/>
  <c r="AN742" i="5"/>
  <c r="AP740" i="5"/>
  <c r="AP741" i="5"/>
  <c r="AR738" i="5"/>
  <c r="AR740" i="5"/>
  <c r="AR742" i="5"/>
  <c r="AT740" i="5"/>
  <c r="AL740" i="5" s="1"/>
  <c r="AU740" i="5"/>
  <c r="AU741" i="5"/>
  <c r="AN744" i="5"/>
  <c r="AN748" i="5"/>
  <c r="AN749" i="5"/>
  <c r="AP744" i="5"/>
  <c r="AP748" i="5"/>
  <c r="AP749" i="5"/>
  <c r="AR744" i="5"/>
  <c r="AR745" i="5"/>
  <c r="AR748" i="5"/>
  <c r="AT744" i="5"/>
  <c r="AL744" i="5" s="1"/>
  <c r="AT745" i="5"/>
  <c r="AL745" i="5" s="1"/>
  <c r="AT747" i="5"/>
  <c r="AT748" i="5"/>
  <c r="AL748" i="5" s="1"/>
  <c r="AU744" i="5"/>
  <c r="AU745" i="5"/>
  <c r="AU748" i="5"/>
  <c r="AU749" i="5"/>
  <c r="AR25" i="5"/>
  <c r="AP28" i="5"/>
  <c r="AT28" i="5"/>
  <c r="AL28" i="5" s="1"/>
  <c r="AU28" i="5"/>
  <c r="AP29" i="5"/>
  <c r="AT29" i="5"/>
  <c r="AL29" i="5" s="1"/>
  <c r="AP31" i="5"/>
  <c r="AN32" i="5"/>
  <c r="AP32" i="5"/>
  <c r="AR32" i="5"/>
  <c r="AT32" i="5"/>
  <c r="AL32" i="5" s="1"/>
  <c r="AU32" i="5"/>
  <c r="AT33" i="5"/>
  <c r="AL33" i="5" s="1"/>
  <c r="AP34" i="5"/>
  <c r="AP35" i="5"/>
  <c r="AN36" i="5"/>
  <c r="AP36" i="5"/>
  <c r="AR36" i="5"/>
  <c r="AT36" i="5"/>
  <c r="AL36" i="5" s="1"/>
  <c r="AU36" i="5"/>
  <c r="AP37" i="5"/>
  <c r="AT38" i="5"/>
  <c r="AN40" i="5"/>
  <c r="AP40" i="5"/>
  <c r="AR40" i="5"/>
  <c r="AT40" i="5"/>
  <c r="AL40" i="5" s="1"/>
  <c r="AU40" i="5"/>
  <c r="AN41" i="5"/>
  <c r="AR41" i="5"/>
  <c r="AN42" i="5"/>
  <c r="AN44" i="5"/>
  <c r="AP44" i="5"/>
  <c r="AR44" i="5"/>
  <c r="AT44" i="5"/>
  <c r="AL44" i="5" s="1"/>
  <c r="AU44" i="5"/>
  <c r="AN45" i="5"/>
  <c r="AR45" i="5"/>
  <c r="AP46" i="5"/>
  <c r="AP47" i="5"/>
  <c r="AN48" i="5"/>
  <c r="AP48" i="5"/>
  <c r="AR48" i="5"/>
  <c r="AT48" i="5"/>
  <c r="AL48" i="5" s="1"/>
  <c r="AU48" i="5"/>
  <c r="AR49" i="5"/>
  <c r="AU49" i="5"/>
  <c r="AP51" i="5"/>
  <c r="AN52" i="5"/>
  <c r="AP52" i="5"/>
  <c r="AR52" i="5"/>
  <c r="AT52" i="5"/>
  <c r="AL52" i="5" s="1"/>
  <c r="AU52" i="5"/>
  <c r="AN53" i="5"/>
  <c r="AU53" i="5"/>
  <c r="AN56" i="5"/>
  <c r="AP56" i="5"/>
  <c r="AR56" i="5"/>
  <c r="AT56" i="5"/>
  <c r="AL56" i="5" s="1"/>
  <c r="AU56" i="5"/>
  <c r="AP57" i="5"/>
  <c r="AT58" i="5"/>
  <c r="AN60" i="5"/>
  <c r="AP60" i="5"/>
  <c r="AR60" i="5"/>
  <c r="AT60" i="5"/>
  <c r="AL60" i="5" s="1"/>
  <c r="AU60" i="5"/>
  <c r="AP61" i="5"/>
  <c r="AT61" i="5"/>
  <c r="AL61" i="5" s="1"/>
  <c r="AP63" i="5"/>
  <c r="AN64" i="5"/>
  <c r="AP64" i="5"/>
  <c r="AR64" i="5"/>
  <c r="AT64" i="5"/>
  <c r="AL64" i="5" s="1"/>
  <c r="AU64" i="5"/>
  <c r="AT65" i="5"/>
  <c r="AL65" i="5" s="1"/>
  <c r="AP66" i="5"/>
  <c r="AP67" i="5"/>
  <c r="AN68" i="5"/>
  <c r="AP68" i="5"/>
  <c r="AR68" i="5"/>
  <c r="AT68" i="5"/>
  <c r="AL68" i="5" s="1"/>
  <c r="AU68" i="5"/>
  <c r="AP69" i="5"/>
  <c r="AT70" i="5"/>
  <c r="AU71" i="5"/>
  <c r="AN72" i="5"/>
  <c r="AP72" i="5"/>
  <c r="AR72" i="5"/>
  <c r="AT72" i="5"/>
  <c r="AL72" i="5" s="1"/>
  <c r="AU72" i="5"/>
  <c r="AN73" i="5"/>
  <c r="AU73" i="5"/>
  <c r="AU74" i="5"/>
  <c r="AU75" i="5"/>
  <c r="AN76" i="5"/>
  <c r="AP76" i="5"/>
  <c r="AR76" i="5"/>
  <c r="AT76" i="5"/>
  <c r="AL76" i="5" s="1"/>
  <c r="AU76" i="5"/>
  <c r="AP77" i="5"/>
  <c r="AU79" i="5"/>
  <c r="AN80" i="5"/>
  <c r="AP80" i="5"/>
  <c r="AR80" i="5"/>
  <c r="AT80" i="5"/>
  <c r="AL80" i="5" s="1"/>
  <c r="AU80" i="5"/>
  <c r="AN81" i="5"/>
  <c r="AU81" i="5"/>
  <c r="AU82" i="5"/>
  <c r="AU83" i="5"/>
  <c r="AN84" i="5"/>
  <c r="AP84" i="5"/>
  <c r="AR84" i="5"/>
  <c r="AT84" i="5"/>
  <c r="AL84" i="5" s="1"/>
  <c r="AU84" i="5"/>
  <c r="AP85" i="5"/>
  <c r="AU87" i="5"/>
  <c r="AN88" i="5"/>
  <c r="AP88" i="5"/>
  <c r="AR88" i="5"/>
  <c r="AT88" i="5"/>
  <c r="AL88" i="5" s="1"/>
  <c r="AU88" i="5"/>
  <c r="AN89" i="5"/>
  <c r="AU89" i="5"/>
  <c r="AU90" i="5"/>
  <c r="AU91" i="5"/>
  <c r="AN92" i="5"/>
  <c r="AP92" i="5"/>
  <c r="AR92" i="5"/>
  <c r="AT92" i="5"/>
  <c r="AL92" i="5" s="1"/>
  <c r="AU92" i="5"/>
  <c r="AP93" i="5"/>
  <c r="AR95" i="5"/>
  <c r="AN96" i="5"/>
  <c r="AP96" i="5"/>
  <c r="AR96" i="5"/>
  <c r="AT96" i="5"/>
  <c r="AL96" i="5" s="1"/>
  <c r="AU96" i="5"/>
  <c r="AN97" i="5"/>
  <c r="AU97" i="5"/>
  <c r="AT98" i="5"/>
  <c r="AN99" i="5"/>
  <c r="AP99" i="5"/>
  <c r="AU99" i="5"/>
  <c r="AN100" i="5"/>
  <c r="AP100" i="5"/>
  <c r="AR100" i="5"/>
  <c r="AT100" i="5"/>
  <c r="AL100" i="5" s="1"/>
  <c r="AU100" i="5"/>
  <c r="AR101" i="5"/>
  <c r="AT101" i="5"/>
  <c r="AP102" i="5"/>
  <c r="AU102" i="5"/>
  <c r="AR103" i="5"/>
  <c r="AN104" i="5"/>
  <c r="AP104" i="5"/>
  <c r="AR104" i="5"/>
  <c r="AT104" i="5"/>
  <c r="AL104" i="5" s="1"/>
  <c r="AU104" i="5"/>
  <c r="AP105" i="5"/>
  <c r="AT105" i="5"/>
  <c r="AL105" i="5" s="1"/>
  <c r="AU105" i="5"/>
  <c r="AR106" i="5"/>
  <c r="AN107" i="5"/>
  <c r="AP107" i="5"/>
  <c r="AU107" i="5"/>
  <c r="AN108" i="5"/>
  <c r="AP108" i="5"/>
  <c r="AR108" i="5"/>
  <c r="AT108" i="5"/>
  <c r="AL108" i="5" s="1"/>
  <c r="AU108" i="5"/>
  <c r="AT109" i="5"/>
  <c r="AL109" i="5" s="1"/>
  <c r="AU110" i="5"/>
  <c r="AR111" i="5"/>
  <c r="AN112" i="5"/>
  <c r="AP112" i="5"/>
  <c r="AR112" i="5"/>
  <c r="AT112" i="5"/>
  <c r="AL112" i="5" s="1"/>
  <c r="AU112" i="5"/>
  <c r="AN113" i="5"/>
  <c r="AR113" i="5"/>
  <c r="AT113" i="5"/>
  <c r="AU113" i="5"/>
  <c r="AN115" i="5"/>
  <c r="AP115" i="5"/>
  <c r="AU115" i="5"/>
  <c r="AN116" i="5"/>
  <c r="AP116" i="5"/>
  <c r="AR116" i="5"/>
  <c r="AT116" i="5"/>
  <c r="AL116" i="5" s="1"/>
  <c r="AU116" i="5"/>
  <c r="AN117" i="5"/>
  <c r="AR117" i="5"/>
  <c r="AT117" i="5"/>
  <c r="AP118" i="5"/>
  <c r="AU118" i="5"/>
  <c r="AR119" i="5"/>
  <c r="AN120" i="5"/>
  <c r="AP120" i="5"/>
  <c r="AR120" i="5"/>
  <c r="AT120" i="5"/>
  <c r="AL120" i="5" s="1"/>
  <c r="AU120" i="5"/>
  <c r="AP121" i="5"/>
  <c r="AT121" i="5"/>
  <c r="AL121" i="5" s="1"/>
  <c r="AU121" i="5"/>
  <c r="AR122" i="5"/>
  <c r="AN123" i="5"/>
  <c r="AP123" i="5"/>
  <c r="AU123" i="5"/>
  <c r="AN124" i="5"/>
  <c r="AP124" i="5"/>
  <c r="AR124" i="5"/>
  <c r="AT124" i="5"/>
  <c r="AL124" i="5" s="1"/>
  <c r="AU124" i="5"/>
  <c r="AP125" i="5"/>
  <c r="AT125" i="5"/>
  <c r="AL125" i="5" s="1"/>
  <c r="AU125" i="5"/>
  <c r="AU126" i="5"/>
  <c r="AR127" i="5"/>
  <c r="AN128" i="5"/>
  <c r="AP128" i="5"/>
  <c r="AR128" i="5"/>
  <c r="AT128" i="5"/>
  <c r="AL128" i="5" s="1"/>
  <c r="AU128" i="5"/>
  <c r="AN129" i="5"/>
  <c r="AR129" i="5"/>
  <c r="AT129" i="5"/>
  <c r="AU129" i="5"/>
  <c r="AN131" i="5"/>
  <c r="AP131" i="5"/>
  <c r="AU131" i="5"/>
  <c r="AN132" i="5"/>
  <c r="AP132" i="5"/>
  <c r="AR132" i="5"/>
  <c r="AT132" i="5"/>
  <c r="AL132" i="5" s="1"/>
  <c r="AU132" i="5"/>
  <c r="AN133" i="5"/>
  <c r="AR133" i="5"/>
  <c r="AT133" i="5"/>
  <c r="AU133" i="5"/>
  <c r="AP134" i="5"/>
  <c r="AU134" i="5"/>
  <c r="AR135" i="5"/>
  <c r="AN136" i="5"/>
  <c r="AP136" i="5"/>
  <c r="AR136" i="5"/>
  <c r="AT136" i="5"/>
  <c r="AL136" i="5" s="1"/>
  <c r="AU136" i="5"/>
  <c r="AP137" i="5"/>
  <c r="AT137" i="5"/>
  <c r="AL137" i="5" s="1"/>
  <c r="AU137" i="5"/>
  <c r="AR138" i="5"/>
  <c r="AN139" i="5"/>
  <c r="AP139" i="5"/>
  <c r="AU139" i="5"/>
  <c r="AN140" i="5"/>
  <c r="AP140" i="5"/>
  <c r="AR140" i="5"/>
  <c r="AT140" i="5"/>
  <c r="AL140" i="5" s="1"/>
  <c r="AU140" i="5"/>
  <c r="AP141" i="5"/>
  <c r="AT141" i="5"/>
  <c r="AL141" i="5" s="1"/>
  <c r="AU141" i="5"/>
  <c r="AU142" i="5"/>
  <c r="AR143" i="5"/>
  <c r="AN144" i="5"/>
  <c r="AP144" i="5"/>
  <c r="AR144" i="5"/>
  <c r="AT144" i="5"/>
  <c r="AL144" i="5" s="1"/>
  <c r="AU144" i="5"/>
  <c r="AN145" i="5"/>
  <c r="AR145" i="5"/>
  <c r="AT145" i="5"/>
  <c r="AU145" i="5"/>
  <c r="AN147" i="5"/>
  <c r="AP147" i="5"/>
  <c r="AU147" i="5"/>
  <c r="AN148" i="5"/>
  <c r="AP148" i="5"/>
  <c r="AR148" i="5"/>
  <c r="AT148" i="5"/>
  <c r="AL148" i="5" s="1"/>
  <c r="AU148" i="5"/>
  <c r="AN149" i="5"/>
  <c r="AR149" i="5"/>
  <c r="AT149" i="5"/>
  <c r="AU149" i="5"/>
  <c r="D3" i="4"/>
  <c r="AW8" i="5" l="1"/>
  <c r="AW9" i="5"/>
  <c r="E11" i="5"/>
  <c r="G11" i="5" s="1"/>
  <c r="AQ8" i="5"/>
  <c r="AZ8" i="5"/>
  <c r="AY8" i="5"/>
  <c r="AO8" i="5"/>
  <c r="AO10" i="5"/>
  <c r="AO11" i="5"/>
  <c r="AQ20" i="5"/>
  <c r="AQ13" i="5"/>
  <c r="AQ17" i="5"/>
  <c r="AQ21" i="5"/>
  <c r="AQ25" i="5"/>
  <c r="AQ14" i="5"/>
  <c r="AQ18" i="5"/>
  <c r="AQ22" i="5"/>
  <c r="AN26" i="5"/>
  <c r="AQ26" i="5"/>
  <c r="AQ12" i="5"/>
  <c r="AQ24" i="5"/>
  <c r="AQ15" i="5"/>
  <c r="AQ19" i="5"/>
  <c r="AQ23" i="5"/>
  <c r="AQ27" i="5"/>
  <c r="AQ16" i="5"/>
  <c r="AQ10" i="5"/>
  <c r="AQ11" i="5"/>
  <c r="AT146" i="5"/>
  <c r="AL146" i="5" s="1"/>
  <c r="AT138" i="5"/>
  <c r="AL138" i="5" s="1"/>
  <c r="AT130" i="5"/>
  <c r="AL130" i="5" s="1"/>
  <c r="AT122" i="5"/>
  <c r="AL122" i="5" s="1"/>
  <c r="AT114" i="5"/>
  <c r="AL114" i="5" s="1"/>
  <c r="AT106" i="5"/>
  <c r="AL106" i="5" s="1"/>
  <c r="AR42" i="5"/>
  <c r="AT25" i="5"/>
  <c r="AP25" i="5"/>
  <c r="AU25" i="5" s="1"/>
  <c r="AU29" i="5"/>
  <c r="AV29" i="5" s="1"/>
  <c r="AN29" i="5"/>
  <c r="AR29" i="5"/>
  <c r="AU33" i="5"/>
  <c r="AV33" i="5" s="1"/>
  <c r="AN33" i="5"/>
  <c r="AR33" i="5"/>
  <c r="AU37" i="5"/>
  <c r="AN37" i="5"/>
  <c r="AR37" i="5"/>
  <c r="AP41" i="5"/>
  <c r="AU41" i="5"/>
  <c r="AT45" i="5"/>
  <c r="AL45" i="5" s="1"/>
  <c r="AP45" i="5"/>
  <c r="AT49" i="5"/>
  <c r="AL49" i="5" s="1"/>
  <c r="AP49" i="5"/>
  <c r="AT53" i="5"/>
  <c r="AL53" i="5" s="1"/>
  <c r="AP53" i="5"/>
  <c r="AN57" i="5"/>
  <c r="AR57" i="5"/>
  <c r="AT57" i="5"/>
  <c r="AL57" i="5" s="1"/>
  <c r="AU61" i="5"/>
  <c r="AV61" i="5" s="1"/>
  <c r="AN61" i="5"/>
  <c r="AR61" i="5"/>
  <c r="AU65" i="5"/>
  <c r="AV65" i="5" s="1"/>
  <c r="AN65" i="5"/>
  <c r="AR65" i="5"/>
  <c r="AU69" i="5"/>
  <c r="AN69" i="5"/>
  <c r="AR69" i="5"/>
  <c r="AT73" i="5"/>
  <c r="AL73" i="5" s="1"/>
  <c r="AP73" i="5"/>
  <c r="AU77" i="5"/>
  <c r="AN77" i="5"/>
  <c r="AR77" i="5"/>
  <c r="AT81" i="5"/>
  <c r="AL81" i="5" s="1"/>
  <c r="AP81" i="5"/>
  <c r="AU85" i="5"/>
  <c r="AN85" i="5"/>
  <c r="AR85" i="5"/>
  <c r="AT89" i="5"/>
  <c r="AL89" i="5" s="1"/>
  <c r="AP89" i="5"/>
  <c r="AU93" i="5"/>
  <c r="AN93" i="5"/>
  <c r="AR93" i="5"/>
  <c r="AT97" i="5"/>
  <c r="AL97" i="5" s="1"/>
  <c r="AP97" i="5"/>
  <c r="AP101" i="5"/>
  <c r="AL101" i="5"/>
  <c r="AN105" i="5"/>
  <c r="AR105" i="5"/>
  <c r="AN109" i="5"/>
  <c r="AR109" i="5"/>
  <c r="AP113" i="5"/>
  <c r="AL113" i="5"/>
  <c r="AP117" i="5"/>
  <c r="AL117" i="5"/>
  <c r="AN121" i="5"/>
  <c r="AR121" i="5"/>
  <c r="AN125" i="5"/>
  <c r="AR125" i="5"/>
  <c r="AP129" i="5"/>
  <c r="AL129" i="5"/>
  <c r="AP133" i="5"/>
  <c r="AL133" i="5"/>
  <c r="AN137" i="5"/>
  <c r="AR137" i="5"/>
  <c r="AN141" i="5"/>
  <c r="AR141" i="5"/>
  <c r="AP145" i="5"/>
  <c r="AL145" i="5"/>
  <c r="AP149" i="5"/>
  <c r="AL149" i="5"/>
  <c r="AN733" i="5"/>
  <c r="AP733" i="5"/>
  <c r="AR737" i="5"/>
  <c r="AT737" i="5"/>
  <c r="AL737" i="5" s="1"/>
  <c r="AT741" i="5"/>
  <c r="AL741" i="5" s="1"/>
  <c r="AN741" i="5"/>
  <c r="AR741" i="5"/>
  <c r="AN745" i="5"/>
  <c r="AP745" i="5"/>
  <c r="AR749" i="5"/>
  <c r="AT749" i="5"/>
  <c r="AL749" i="5" s="1"/>
  <c r="AL38" i="5"/>
  <c r="AN38" i="5"/>
  <c r="AP50" i="5"/>
  <c r="AT54" i="5"/>
  <c r="AL54" i="5" s="1"/>
  <c r="AN58" i="5"/>
  <c r="AR58" i="5"/>
  <c r="AL70" i="5"/>
  <c r="AN70" i="5"/>
  <c r="AU78" i="5"/>
  <c r="AP78" i="5"/>
  <c r="AU86" i="5"/>
  <c r="AP86" i="5"/>
  <c r="AU94" i="5"/>
  <c r="AP94" i="5"/>
  <c r="AR98" i="5"/>
  <c r="AP738" i="5"/>
  <c r="AP742" i="5"/>
  <c r="AN146" i="5"/>
  <c r="AN130" i="5"/>
  <c r="AU117" i="5"/>
  <c r="AN114" i="5"/>
  <c r="AU109" i="5"/>
  <c r="AV109" i="5" s="1"/>
  <c r="AP109" i="5"/>
  <c r="AU101" i="5"/>
  <c r="AN101" i="5"/>
  <c r="AR97" i="5"/>
  <c r="AT93" i="5"/>
  <c r="AL93" i="5" s="1"/>
  <c r="AR89" i="5"/>
  <c r="AT85" i="5"/>
  <c r="AL85" i="5" s="1"/>
  <c r="AR81" i="5"/>
  <c r="AT77" i="5"/>
  <c r="AL77" i="5" s="1"/>
  <c r="AR73" i="5"/>
  <c r="AT69" i="5"/>
  <c r="AL69" i="5" s="1"/>
  <c r="AP65" i="5"/>
  <c r="AR62" i="5"/>
  <c r="AU57" i="5"/>
  <c r="AR53" i="5"/>
  <c r="AN49" i="5"/>
  <c r="AU45" i="5"/>
  <c r="AT41" i="5"/>
  <c r="AL41" i="5" s="1"/>
  <c r="AT37" i="5"/>
  <c r="AL37" i="5" s="1"/>
  <c r="AP33" i="5"/>
  <c r="AR30" i="5"/>
  <c r="AN25" i="5"/>
  <c r="AR28" i="5"/>
  <c r="AN28" i="5"/>
  <c r="AT26" i="5"/>
  <c r="AL26" i="5" s="1"/>
  <c r="AR26" i="5"/>
  <c r="AV132" i="5"/>
  <c r="AT14" i="5"/>
  <c r="AP14" i="5"/>
  <c r="AR14" i="5"/>
  <c r="AN14" i="5"/>
  <c r="AU26" i="5"/>
  <c r="AP26" i="5"/>
  <c r="AU30" i="5"/>
  <c r="AN30" i="5"/>
  <c r="AT30" i="5"/>
  <c r="AL30" i="5" s="1"/>
  <c r="AU34" i="5"/>
  <c r="AR34" i="5"/>
  <c r="AN34" i="5"/>
  <c r="AT34" i="5"/>
  <c r="AL34" i="5" s="1"/>
  <c r="AU38" i="5"/>
  <c r="AP38" i="5"/>
  <c r="AR38" i="5"/>
  <c r="AU42" i="5"/>
  <c r="AL42" i="5"/>
  <c r="AP42" i="5"/>
  <c r="AU46" i="5"/>
  <c r="AN46" i="5"/>
  <c r="AT46" i="5"/>
  <c r="AL46" i="5" s="1"/>
  <c r="AU50" i="5"/>
  <c r="AR50" i="5"/>
  <c r="AN50" i="5"/>
  <c r="AT50" i="5"/>
  <c r="AL50" i="5" s="1"/>
  <c r="AU54" i="5"/>
  <c r="AP54" i="5"/>
  <c r="AR54" i="5"/>
  <c r="AU58" i="5"/>
  <c r="AL58" i="5"/>
  <c r="AP58" i="5"/>
  <c r="AU62" i="5"/>
  <c r="AN62" i="5"/>
  <c r="AT62" i="5"/>
  <c r="AL62" i="5" s="1"/>
  <c r="AU66" i="5"/>
  <c r="AR66" i="5"/>
  <c r="AN66" i="5"/>
  <c r="AT66" i="5"/>
  <c r="AL66" i="5" s="1"/>
  <c r="AU70" i="5"/>
  <c r="AP70" i="5"/>
  <c r="AR70" i="5"/>
  <c r="AN74" i="5"/>
  <c r="AR74" i="5"/>
  <c r="AT74" i="5"/>
  <c r="AL74" i="5" s="1"/>
  <c r="AN78" i="5"/>
  <c r="AR78" i="5"/>
  <c r="AT78" i="5"/>
  <c r="AL78" i="5" s="1"/>
  <c r="AN82" i="5"/>
  <c r="AR82" i="5"/>
  <c r="AT82" i="5"/>
  <c r="AL82" i="5" s="1"/>
  <c r="AN86" i="5"/>
  <c r="AR86" i="5"/>
  <c r="AT86" i="5"/>
  <c r="AL86" i="5" s="1"/>
  <c r="AN90" i="5"/>
  <c r="AR90" i="5"/>
  <c r="AT90" i="5"/>
  <c r="AL90" i="5" s="1"/>
  <c r="AN94" i="5"/>
  <c r="AR94" i="5"/>
  <c r="AT94" i="5"/>
  <c r="AL94" i="5" s="1"/>
  <c r="AP98" i="5"/>
  <c r="AL98" i="5"/>
  <c r="AU98" i="5"/>
  <c r="AN102" i="5"/>
  <c r="AR102" i="5"/>
  <c r="AT102" i="5"/>
  <c r="AL102" i="5" s="1"/>
  <c r="AP106" i="5"/>
  <c r="AU106" i="5"/>
  <c r="AN110" i="5"/>
  <c r="AR110" i="5"/>
  <c r="AT110" i="5"/>
  <c r="AL110" i="5" s="1"/>
  <c r="AP114" i="5"/>
  <c r="AU114" i="5"/>
  <c r="AN118" i="5"/>
  <c r="AR118" i="5"/>
  <c r="AT118" i="5"/>
  <c r="AL118" i="5" s="1"/>
  <c r="AP122" i="5"/>
  <c r="AU122" i="5"/>
  <c r="AN126" i="5"/>
  <c r="AR126" i="5"/>
  <c r="AT126" i="5"/>
  <c r="AL126" i="5" s="1"/>
  <c r="AP130" i="5"/>
  <c r="AU130" i="5"/>
  <c r="AN134" i="5"/>
  <c r="AR134" i="5"/>
  <c r="AT134" i="5"/>
  <c r="AL134" i="5" s="1"/>
  <c r="AP138" i="5"/>
  <c r="AU138" i="5"/>
  <c r="AN142" i="5"/>
  <c r="AR142" i="5"/>
  <c r="AT142" i="5"/>
  <c r="AL142" i="5" s="1"/>
  <c r="AP146" i="5"/>
  <c r="AU146" i="5"/>
  <c r="AN734" i="5"/>
  <c r="AP734" i="5"/>
  <c r="AR734" i="5"/>
  <c r="AT734" i="5"/>
  <c r="AL734" i="5" s="1"/>
  <c r="AT738" i="5"/>
  <c r="AL738" i="5" s="1"/>
  <c r="AU738" i="5"/>
  <c r="AT742" i="5"/>
  <c r="AL742" i="5" s="1"/>
  <c r="AU742" i="5"/>
  <c r="AN746" i="5"/>
  <c r="AP746" i="5"/>
  <c r="AR746" i="5"/>
  <c r="AT746" i="5"/>
  <c r="AL746" i="5" s="1"/>
  <c r="AR27" i="5"/>
  <c r="AP27" i="5"/>
  <c r="AU31" i="5"/>
  <c r="AU35" i="5"/>
  <c r="AU39" i="5"/>
  <c r="AP39" i="5"/>
  <c r="AU43" i="5"/>
  <c r="AP43" i="5"/>
  <c r="AU47" i="5"/>
  <c r="AU51" i="5"/>
  <c r="AU55" i="5"/>
  <c r="AP55" i="5"/>
  <c r="AU59" i="5"/>
  <c r="AP59" i="5"/>
  <c r="AU63" i="5"/>
  <c r="AU67" i="5"/>
  <c r="AP71" i="5"/>
  <c r="AP75" i="5"/>
  <c r="AP79" i="5"/>
  <c r="AP83" i="5"/>
  <c r="AP87" i="5"/>
  <c r="AP91" i="5"/>
  <c r="AN95" i="5"/>
  <c r="AP95" i="5"/>
  <c r="AU95" i="5"/>
  <c r="AR99" i="5"/>
  <c r="AN103" i="5"/>
  <c r="AP103" i="5"/>
  <c r="AU103" i="5"/>
  <c r="AR107" i="5"/>
  <c r="AN111" i="5"/>
  <c r="AP111" i="5"/>
  <c r="AU111" i="5"/>
  <c r="AR115" i="5"/>
  <c r="AN119" i="5"/>
  <c r="AP119" i="5"/>
  <c r="AU119" i="5"/>
  <c r="AR123" i="5"/>
  <c r="AN127" i="5"/>
  <c r="AP127" i="5"/>
  <c r="AU127" i="5"/>
  <c r="AR131" i="5"/>
  <c r="AN135" i="5"/>
  <c r="AP135" i="5"/>
  <c r="AU135" i="5"/>
  <c r="AR139" i="5"/>
  <c r="AN143" i="5"/>
  <c r="AP143" i="5"/>
  <c r="AU143" i="5"/>
  <c r="AR147" i="5"/>
  <c r="AN735" i="5"/>
  <c r="AP735" i="5"/>
  <c r="AR735" i="5"/>
  <c r="AL735" i="5"/>
  <c r="AT739" i="5"/>
  <c r="AL739" i="5" s="1"/>
  <c r="AU739" i="5"/>
  <c r="AT743" i="5"/>
  <c r="AL743" i="5" s="1"/>
  <c r="AU743" i="5"/>
  <c r="AN747" i="5"/>
  <c r="AP747" i="5"/>
  <c r="AR747" i="5"/>
  <c r="AL747" i="5"/>
  <c r="AU747" i="5"/>
  <c r="AR743" i="5"/>
  <c r="AR739" i="5"/>
  <c r="AP743" i="5"/>
  <c r="AP739" i="5"/>
  <c r="AN743" i="5"/>
  <c r="AN739" i="5"/>
  <c r="AU735" i="5"/>
  <c r="AV744" i="5"/>
  <c r="AV748" i="5"/>
  <c r="AT147" i="5"/>
  <c r="AL147" i="5" s="1"/>
  <c r="AT143" i="5"/>
  <c r="AL143" i="5" s="1"/>
  <c r="AT139" i="5"/>
  <c r="AL139" i="5" s="1"/>
  <c r="AT135" i="5"/>
  <c r="AL135" i="5" s="1"/>
  <c r="AT131" i="5"/>
  <c r="AL131" i="5" s="1"/>
  <c r="AT127" i="5"/>
  <c r="AL127" i="5" s="1"/>
  <c r="AT123" i="5"/>
  <c r="AL123" i="5" s="1"/>
  <c r="AT119" i="5"/>
  <c r="AL119" i="5" s="1"/>
  <c r="AT115" i="5"/>
  <c r="AL115" i="5" s="1"/>
  <c r="AT111" i="5"/>
  <c r="AL111" i="5" s="1"/>
  <c r="AT107" i="5"/>
  <c r="AL107" i="5" s="1"/>
  <c r="AT103" i="5"/>
  <c r="AL103" i="5" s="1"/>
  <c r="AT99" i="5"/>
  <c r="AL99" i="5" s="1"/>
  <c r="AT95" i="5"/>
  <c r="AL95" i="5" s="1"/>
  <c r="AT91" i="5"/>
  <c r="AL91" i="5" s="1"/>
  <c r="AT87" i="5"/>
  <c r="AL87" i="5" s="1"/>
  <c r="AT83" i="5"/>
  <c r="AL83" i="5" s="1"/>
  <c r="AT79" i="5"/>
  <c r="AL79" i="5" s="1"/>
  <c r="AT75" i="5"/>
  <c r="AL75" i="5" s="1"/>
  <c r="AT71" i="5"/>
  <c r="AL71" i="5" s="1"/>
  <c r="AT67" i="5"/>
  <c r="AL67" i="5" s="1"/>
  <c r="AT63" i="5"/>
  <c r="AL63" i="5" s="1"/>
  <c r="AT59" i="5"/>
  <c r="AL59" i="5" s="1"/>
  <c r="AT55" i="5"/>
  <c r="AL55" i="5" s="1"/>
  <c r="AT51" i="5"/>
  <c r="AL51" i="5" s="1"/>
  <c r="AT47" i="5"/>
  <c r="AL47" i="5" s="1"/>
  <c r="AT43" i="5"/>
  <c r="AL43" i="5" s="1"/>
  <c r="AT39" i="5"/>
  <c r="AL39" i="5" s="1"/>
  <c r="AT35" i="5"/>
  <c r="AL35" i="5" s="1"/>
  <c r="AT31" i="5"/>
  <c r="AL31" i="5" s="1"/>
  <c r="AT27" i="5"/>
  <c r="AR91" i="5"/>
  <c r="AN91" i="5"/>
  <c r="AR87" i="5"/>
  <c r="AN87" i="5"/>
  <c r="AR83" i="5"/>
  <c r="AN83" i="5"/>
  <c r="AR79" i="5"/>
  <c r="AN79" i="5"/>
  <c r="AR75" i="5"/>
  <c r="AN75" i="5"/>
  <c r="AR71" i="5"/>
  <c r="AN71" i="5"/>
  <c r="AR67" i="5"/>
  <c r="AN67" i="5"/>
  <c r="AR63" i="5"/>
  <c r="AN63" i="5"/>
  <c r="AR59" i="5"/>
  <c r="AN59" i="5"/>
  <c r="AR55" i="5"/>
  <c r="AN55" i="5"/>
  <c r="AR51" i="5"/>
  <c r="AN51" i="5"/>
  <c r="AR47" i="5"/>
  <c r="AN47" i="5"/>
  <c r="AR43" i="5"/>
  <c r="AN43" i="5"/>
  <c r="AR39" i="5"/>
  <c r="AN39" i="5"/>
  <c r="AR35" i="5"/>
  <c r="AN35" i="5"/>
  <c r="AR31" i="5"/>
  <c r="AN31" i="5"/>
  <c r="AN27" i="5"/>
  <c r="AV148" i="5"/>
  <c r="AV144" i="5"/>
  <c r="AV141" i="5"/>
  <c r="AV140" i="5"/>
  <c r="AV137" i="5"/>
  <c r="AV121" i="5"/>
  <c r="AV116" i="5"/>
  <c r="AV112" i="5"/>
  <c r="AV105" i="5"/>
  <c r="AV80" i="5"/>
  <c r="AV736" i="5"/>
  <c r="AV732" i="5"/>
  <c r="AV128" i="5"/>
  <c r="AV124" i="5"/>
  <c r="AV740" i="5"/>
  <c r="AV125" i="5"/>
  <c r="AV733" i="5"/>
  <c r="AV72" i="5"/>
  <c r="AV64" i="5"/>
  <c r="AV136" i="5"/>
  <c r="AV120" i="5"/>
  <c r="AV96" i="5"/>
  <c r="AV56" i="5"/>
  <c r="AV48" i="5"/>
  <c r="AV745" i="5"/>
  <c r="AV40" i="5"/>
  <c r="AV32" i="5"/>
  <c r="AV76" i="5"/>
  <c r="AV60" i="5"/>
  <c r="AV44" i="5"/>
  <c r="AV28" i="5"/>
  <c r="AV108" i="5"/>
  <c r="AV92" i="5"/>
  <c r="AV88" i="5"/>
  <c r="AV104" i="5"/>
  <c r="AV100" i="5"/>
  <c r="AV84" i="5"/>
  <c r="AV68" i="5"/>
  <c r="AV52" i="5"/>
  <c r="AV36" i="5"/>
  <c r="AV91" i="5" l="1"/>
  <c r="E8" i="5"/>
  <c r="G8" i="5" s="1"/>
  <c r="AX8" i="5" s="1"/>
  <c r="E9" i="5"/>
  <c r="G9" i="5" s="1"/>
  <c r="AX11" i="5"/>
  <c r="AS11" i="5"/>
  <c r="BA8" i="5"/>
  <c r="AV147" i="5"/>
  <c r="AV99" i="5"/>
  <c r="AV83" i="5"/>
  <c r="AV115" i="5"/>
  <c r="AV131" i="5"/>
  <c r="AV123" i="5"/>
  <c r="AV107" i="5"/>
  <c r="AV75" i="5"/>
  <c r="AV741" i="5"/>
  <c r="AV57" i="5"/>
  <c r="AV139" i="5"/>
  <c r="AV43" i="5"/>
  <c r="AV54" i="5"/>
  <c r="AV79" i="5"/>
  <c r="AV59" i="5"/>
  <c r="AV55" i="5"/>
  <c r="AV39" i="5"/>
  <c r="AV94" i="5"/>
  <c r="AV87" i="5"/>
  <c r="AV118" i="5"/>
  <c r="AV71" i="5"/>
  <c r="AV93" i="5"/>
  <c r="AV77" i="5"/>
  <c r="AV78" i="5"/>
  <c r="AV86" i="5"/>
  <c r="AV85" i="5"/>
  <c r="AV69" i="5"/>
  <c r="AV37" i="5"/>
  <c r="AL25" i="5"/>
  <c r="AV738" i="5"/>
  <c r="AV38" i="5"/>
  <c r="AV97" i="5"/>
  <c r="AV134" i="5"/>
  <c r="AV746" i="5"/>
  <c r="AV102" i="5"/>
  <c r="AV74" i="5"/>
  <c r="AV149" i="5"/>
  <c r="AV81" i="5"/>
  <c r="AV126" i="5"/>
  <c r="AV82" i="5"/>
  <c r="AV737" i="5"/>
  <c r="AV129" i="5"/>
  <c r="AV73" i="5"/>
  <c r="AV53" i="5"/>
  <c r="AV41" i="5"/>
  <c r="AV110" i="5"/>
  <c r="AV30" i="5"/>
  <c r="AV90" i="5"/>
  <c r="AV749" i="5"/>
  <c r="AV89" i="5"/>
  <c r="AV133" i="5"/>
  <c r="AV145" i="5"/>
  <c r="AV734" i="5"/>
  <c r="AV62" i="5"/>
  <c r="AV46" i="5"/>
  <c r="AV113" i="5"/>
  <c r="AV49" i="5"/>
  <c r="AV142" i="5"/>
  <c r="AU27" i="5"/>
  <c r="AL27" i="5"/>
  <c r="AV45" i="5"/>
  <c r="AV34" i="5"/>
  <c r="AV743" i="5"/>
  <c r="AV66" i="5"/>
  <c r="AV50" i="5"/>
  <c r="AV42" i="5"/>
  <c r="AV101" i="5"/>
  <c r="AV117" i="5"/>
  <c r="AV70" i="5"/>
  <c r="AV143" i="5"/>
  <c r="AV146" i="5"/>
  <c r="AV47" i="5"/>
  <c r="AV742" i="5"/>
  <c r="AV135" i="5"/>
  <c r="AV127" i="5"/>
  <c r="AV119" i="5"/>
  <c r="AV111" i="5"/>
  <c r="AV103" i="5"/>
  <c r="AV95" i="5"/>
  <c r="AV51" i="5"/>
  <c r="AV35" i="5"/>
  <c r="AV747" i="5"/>
  <c r="AV63" i="5"/>
  <c r="AV31" i="5"/>
  <c r="AV114" i="5"/>
  <c r="AV26" i="5"/>
  <c r="AV122" i="5"/>
  <c r="AV106" i="5"/>
  <c r="AV58" i="5"/>
  <c r="AV67" i="5"/>
  <c r="AV130" i="5"/>
  <c r="AV735" i="5"/>
  <c r="AV739" i="5"/>
  <c r="AV138" i="5"/>
  <c r="AV98" i="5"/>
  <c r="AL14" i="5"/>
  <c r="AP9" i="5" l="1"/>
  <c r="AU9" i="5" s="1"/>
  <c r="AS9" i="5"/>
  <c r="AX9" i="5"/>
  <c r="AR9" i="5"/>
  <c r="AV25" i="5"/>
  <c r="AV27" i="5"/>
  <c r="AT9" i="5" l="1"/>
  <c r="AL9" i="5" s="1"/>
  <c r="AQ7" i="5"/>
  <c r="AO7" i="5"/>
  <c r="AR10" i="5"/>
  <c r="AR12" i="5"/>
  <c r="AR13" i="5"/>
  <c r="AR8" i="5"/>
  <c r="AP19" i="5"/>
  <c r="AR19" i="5"/>
  <c r="AR22" i="5"/>
  <c r="AP18" i="5"/>
  <c r="AR24" i="5"/>
  <c r="AP24" i="5"/>
  <c r="AP23" i="5"/>
  <c r="AR17" i="5"/>
  <c r="AU725" i="5"/>
  <c r="AU717" i="5"/>
  <c r="AU710" i="5"/>
  <c r="AU703" i="5"/>
  <c r="AU695" i="5"/>
  <c r="AU687" i="5"/>
  <c r="AU679" i="5"/>
  <c r="AU671" i="5"/>
  <c r="AU663" i="5"/>
  <c r="AU655" i="5"/>
  <c r="AU636" i="5"/>
  <c r="AU629" i="5"/>
  <c r="AU621" i="5"/>
  <c r="AU613" i="5"/>
  <c r="AU605" i="5"/>
  <c r="AU593" i="5"/>
  <c r="AU585" i="5"/>
  <c r="AU577" i="5"/>
  <c r="AU570" i="5"/>
  <c r="AU562" i="5"/>
  <c r="AU554" i="5"/>
  <c r="AU546" i="5"/>
  <c r="AU538" i="5"/>
  <c r="AU534" i="5"/>
  <c r="AU526" i="5"/>
  <c r="AU518" i="5"/>
  <c r="AU510" i="5"/>
  <c r="AU502" i="5"/>
  <c r="AU494" i="5"/>
  <c r="AU486" i="5"/>
  <c r="AU478" i="5"/>
  <c r="AU470" i="5"/>
  <c r="AU462" i="5"/>
  <c r="AU454" i="5"/>
  <c r="AU446" i="5"/>
  <c r="AU442" i="5"/>
  <c r="AU434" i="5"/>
  <c r="AU426" i="5"/>
  <c r="AU418" i="5"/>
  <c r="AU410" i="5"/>
  <c r="AU402" i="5"/>
  <c r="AU394" i="5"/>
  <c r="AU390" i="5"/>
  <c r="AU382" i="5"/>
  <c r="AU374" i="5"/>
  <c r="AU366" i="5"/>
  <c r="AU358" i="5"/>
  <c r="AU350" i="5"/>
  <c r="AU342" i="5"/>
  <c r="AU334" i="5"/>
  <c r="AU326" i="5"/>
  <c r="AU318" i="5"/>
  <c r="AU310" i="5"/>
  <c r="AU302" i="5"/>
  <c r="AU294" i="5"/>
  <c r="AU286" i="5"/>
  <c r="AU278" i="5"/>
  <c r="AU270" i="5"/>
  <c r="AU262" i="5"/>
  <c r="AU254" i="5"/>
  <c r="AU246" i="5"/>
  <c r="AU238" i="5"/>
  <c r="AU234" i="5"/>
  <c r="AU226" i="5"/>
  <c r="AU218" i="5"/>
  <c r="AU210" i="5"/>
  <c r="AU202" i="5"/>
  <c r="AU194" i="5"/>
  <c r="AU186" i="5"/>
  <c r="AU178" i="5"/>
  <c r="AU170" i="5"/>
  <c r="AU162" i="5"/>
  <c r="AU158" i="5"/>
  <c r="AU150" i="5"/>
  <c r="AU15" i="5"/>
  <c r="AU731" i="5"/>
  <c r="AU724" i="5"/>
  <c r="AU698" i="5"/>
  <c r="AU690" i="5"/>
  <c r="AU682" i="5"/>
  <c r="AU674" i="5"/>
  <c r="AU666" i="5"/>
  <c r="AU658" i="5"/>
  <c r="AU646" i="5"/>
  <c r="AU628" i="5"/>
  <c r="AU620" i="5"/>
  <c r="AU608" i="5"/>
  <c r="AU600" i="5"/>
  <c r="AU592" i="5"/>
  <c r="AU584" i="5"/>
  <c r="AU576" i="5"/>
  <c r="AU569" i="5"/>
  <c r="AU561" i="5"/>
  <c r="AU549" i="5"/>
  <c r="AU545" i="5"/>
  <c r="AU537" i="5"/>
  <c r="AU529" i="5"/>
  <c r="AU521" i="5"/>
  <c r="AU513" i="5"/>
  <c r="AU505" i="5"/>
  <c r="AU497" i="5"/>
  <c r="AU489" i="5"/>
  <c r="AU481" i="5"/>
  <c r="AU473" i="5"/>
  <c r="AU465" i="5"/>
  <c r="AU457" i="5"/>
  <c r="AU449" i="5"/>
  <c r="AU441" i="5"/>
  <c r="AU429" i="5"/>
  <c r="AU421" i="5"/>
  <c r="AU413" i="5"/>
  <c r="AU405" i="5"/>
  <c r="AU397" i="5"/>
  <c r="AU385" i="5"/>
  <c r="AU377" i="5"/>
  <c r="AU369" i="5"/>
  <c r="AU361" i="5"/>
  <c r="AU353" i="5"/>
  <c r="AU345" i="5"/>
  <c r="AU337" i="5"/>
  <c r="AU329" i="5"/>
  <c r="AU321" i="5"/>
  <c r="AU313" i="5"/>
  <c r="AU305" i="5"/>
  <c r="AU297" i="5"/>
  <c r="AU289" i="5"/>
  <c r="AU281" i="5"/>
  <c r="AU273" i="5"/>
  <c r="AU265" i="5"/>
  <c r="AU257" i="5"/>
  <c r="AU249" i="5"/>
  <c r="AU241" i="5"/>
  <c r="AU233" i="5"/>
  <c r="AU221" i="5"/>
  <c r="AU213" i="5"/>
  <c r="AU205" i="5"/>
  <c r="AU197" i="5"/>
  <c r="AU189" i="5"/>
  <c r="AU181" i="5"/>
  <c r="AU173" i="5"/>
  <c r="AU165" i="5"/>
  <c r="AU157" i="5"/>
  <c r="AU723" i="5"/>
  <c r="AU715" i="5"/>
  <c r="AU708" i="5"/>
  <c r="AU705" i="5"/>
  <c r="AU697" i="5"/>
  <c r="AU693" i="5"/>
  <c r="AU685" i="5"/>
  <c r="AU677" i="5"/>
  <c r="AU669" i="5"/>
  <c r="AU661" i="5"/>
  <c r="AU649" i="5"/>
  <c r="AU729" i="5"/>
  <c r="AU726" i="5"/>
  <c r="AU722" i="5"/>
  <c r="AU718" i="5"/>
  <c r="AU714" i="5"/>
  <c r="AU711" i="5"/>
  <c r="AU707" i="5"/>
  <c r="AU704" i="5"/>
  <c r="AU700" i="5"/>
  <c r="AU696" i="5"/>
  <c r="AU692" i="5"/>
  <c r="AU688" i="5"/>
  <c r="AU684" i="5"/>
  <c r="AU680" i="5"/>
  <c r="AU676" i="5"/>
  <c r="AU672" i="5"/>
  <c r="AU668" i="5"/>
  <c r="AU664" i="5"/>
  <c r="AU660" i="5"/>
  <c r="AU656" i="5"/>
  <c r="AU652" i="5"/>
  <c r="AU648" i="5"/>
  <c r="AU644" i="5"/>
  <c r="AU641" i="5"/>
  <c r="AU637" i="5"/>
  <c r="AU634" i="5"/>
  <c r="AU630" i="5"/>
  <c r="AU626" i="5"/>
  <c r="AU622" i="5"/>
  <c r="AU618" i="5"/>
  <c r="AU614" i="5"/>
  <c r="AU610" i="5"/>
  <c r="AU606" i="5"/>
  <c r="AU602" i="5"/>
  <c r="AU598" i="5"/>
  <c r="AU594" i="5"/>
  <c r="AU590" i="5"/>
  <c r="AU586" i="5"/>
  <c r="AU582" i="5"/>
  <c r="AU578" i="5"/>
  <c r="AU574" i="5"/>
  <c r="AU571" i="5"/>
  <c r="AU567" i="5"/>
  <c r="AU563" i="5"/>
  <c r="AU559" i="5"/>
  <c r="AU555" i="5"/>
  <c r="AU551" i="5"/>
  <c r="AU547" i="5"/>
  <c r="AU543" i="5"/>
  <c r="AU539" i="5"/>
  <c r="AU535" i="5"/>
  <c r="AU531" i="5"/>
  <c r="AU527" i="5"/>
  <c r="AU523" i="5"/>
  <c r="AU519" i="5"/>
  <c r="AU515" i="5"/>
  <c r="AU511" i="5"/>
  <c r="AU507" i="5"/>
  <c r="AU503" i="5"/>
  <c r="AU499" i="5"/>
  <c r="AU495" i="5"/>
  <c r="AU491" i="5"/>
  <c r="AU487" i="5"/>
  <c r="AU483" i="5"/>
  <c r="AU479" i="5"/>
  <c r="AU475" i="5"/>
  <c r="AU471" i="5"/>
  <c r="AU467" i="5"/>
  <c r="AU463" i="5"/>
  <c r="AU459" i="5"/>
  <c r="AU455" i="5"/>
  <c r="AU451" i="5"/>
  <c r="AU447" i="5"/>
  <c r="AU443" i="5"/>
  <c r="AU439" i="5"/>
  <c r="AU435" i="5"/>
  <c r="AU431" i="5"/>
  <c r="AU427" i="5"/>
  <c r="AU423" i="5"/>
  <c r="AU419" i="5"/>
  <c r="AU415" i="5"/>
  <c r="AU411" i="5"/>
  <c r="AU407" i="5"/>
  <c r="AU403" i="5"/>
  <c r="AU399" i="5"/>
  <c r="AU395" i="5"/>
  <c r="AU391" i="5"/>
  <c r="AU387" i="5"/>
  <c r="AU383" i="5"/>
  <c r="AU379" i="5"/>
  <c r="AU375" i="5"/>
  <c r="AU371" i="5"/>
  <c r="AU367" i="5"/>
  <c r="AU363" i="5"/>
  <c r="AU359" i="5"/>
  <c r="AU355" i="5"/>
  <c r="AU351" i="5"/>
  <c r="AU347" i="5"/>
  <c r="AU343" i="5"/>
  <c r="AU339" i="5"/>
  <c r="AU335" i="5"/>
  <c r="AU331" i="5"/>
  <c r="AU327" i="5"/>
  <c r="AU323" i="5"/>
  <c r="AU319" i="5"/>
  <c r="AU315" i="5"/>
  <c r="AU311" i="5"/>
  <c r="AU307" i="5"/>
  <c r="AU303" i="5"/>
  <c r="AU299" i="5"/>
  <c r="AU295" i="5"/>
  <c r="AU291" i="5"/>
  <c r="AU287" i="5"/>
  <c r="AU283" i="5"/>
  <c r="AU279" i="5"/>
  <c r="AU275" i="5"/>
  <c r="AU271" i="5"/>
  <c r="AU267" i="5"/>
  <c r="AU263" i="5"/>
  <c r="AU259" i="5"/>
  <c r="AU255" i="5"/>
  <c r="AU251" i="5"/>
  <c r="AU247" i="5"/>
  <c r="AU243" i="5"/>
  <c r="AU239" i="5"/>
  <c r="AU235" i="5"/>
  <c r="AU231" i="5"/>
  <c r="AU227" i="5"/>
  <c r="AU223" i="5"/>
  <c r="AU219" i="5"/>
  <c r="AU215" i="5"/>
  <c r="AU211" i="5"/>
  <c r="AU207" i="5"/>
  <c r="AU203" i="5"/>
  <c r="AU199" i="5"/>
  <c r="AU195" i="5"/>
  <c r="AU191" i="5"/>
  <c r="AU187" i="5"/>
  <c r="AU183" i="5"/>
  <c r="AU179" i="5"/>
  <c r="AU175" i="5"/>
  <c r="AU171" i="5"/>
  <c r="AU167" i="5"/>
  <c r="AU163" i="5"/>
  <c r="AU159" i="5"/>
  <c r="AU155" i="5"/>
  <c r="AU151" i="5"/>
  <c r="AU16" i="5"/>
  <c r="AU728" i="5"/>
  <c r="AU721" i="5"/>
  <c r="AU713" i="5"/>
  <c r="AU706" i="5"/>
  <c r="AU699" i="5"/>
  <c r="AU691" i="5"/>
  <c r="AU683" i="5"/>
  <c r="AU675" i="5"/>
  <c r="AU667" i="5"/>
  <c r="AU659" i="5"/>
  <c r="AU651" i="5"/>
  <c r="AU647" i="5"/>
  <c r="AU640" i="5"/>
  <c r="AU633" i="5"/>
  <c r="AU625" i="5"/>
  <c r="AU617" i="5"/>
  <c r="AU609" i="5"/>
  <c r="AU601" i="5"/>
  <c r="AU597" i="5"/>
  <c r="AU589" i="5"/>
  <c r="AU581" i="5"/>
  <c r="AU573" i="5"/>
  <c r="AU566" i="5"/>
  <c r="AU558" i="5"/>
  <c r="AU550" i="5"/>
  <c r="AU542" i="5"/>
  <c r="AU530" i="5"/>
  <c r="AU522" i="5"/>
  <c r="AU514" i="5"/>
  <c r="AU506" i="5"/>
  <c r="AU498" i="5"/>
  <c r="AU490" i="5"/>
  <c r="AU482" i="5"/>
  <c r="AU474" i="5"/>
  <c r="AU466" i="5"/>
  <c r="AU458" i="5"/>
  <c r="AU450" i="5"/>
  <c r="AU438" i="5"/>
  <c r="AU430" i="5"/>
  <c r="AU422" i="5"/>
  <c r="AU414" i="5"/>
  <c r="AU406" i="5"/>
  <c r="AU398" i="5"/>
  <c r="AU386" i="5"/>
  <c r="AU378" i="5"/>
  <c r="AU370" i="5"/>
  <c r="AU362" i="5"/>
  <c r="AU354" i="5"/>
  <c r="AU346" i="5"/>
  <c r="AU338" i="5"/>
  <c r="AU330" i="5"/>
  <c r="AU322" i="5"/>
  <c r="AU314" i="5"/>
  <c r="AU306" i="5"/>
  <c r="AU298" i="5"/>
  <c r="AU290" i="5"/>
  <c r="AU282" i="5"/>
  <c r="AU274" i="5"/>
  <c r="AU266" i="5"/>
  <c r="AU258" i="5"/>
  <c r="AU250" i="5"/>
  <c r="AU242" i="5"/>
  <c r="AU230" i="5"/>
  <c r="AU222" i="5"/>
  <c r="AU214" i="5"/>
  <c r="AU206" i="5"/>
  <c r="AU198" i="5"/>
  <c r="AU190" i="5"/>
  <c r="AU182" i="5"/>
  <c r="AU174" i="5"/>
  <c r="AU166" i="5"/>
  <c r="AU154" i="5"/>
  <c r="AU727" i="5"/>
  <c r="AU720" i="5"/>
  <c r="AU716" i="5"/>
  <c r="AU709" i="5"/>
  <c r="AU702" i="5"/>
  <c r="AU694" i="5"/>
  <c r="AU686" i="5"/>
  <c r="AU678" i="5"/>
  <c r="AU670" i="5"/>
  <c r="AU662" i="5"/>
  <c r="AU654" i="5"/>
  <c r="AU650" i="5"/>
  <c r="AU643" i="5"/>
  <c r="AU639" i="5"/>
  <c r="AU632" i="5"/>
  <c r="AU624" i="5"/>
  <c r="AU616" i="5"/>
  <c r="AU612" i="5"/>
  <c r="AU604" i="5"/>
  <c r="AU596" i="5"/>
  <c r="AU588" i="5"/>
  <c r="AU580" i="5"/>
  <c r="AU572" i="5"/>
  <c r="AU565" i="5"/>
  <c r="AU557" i="5"/>
  <c r="AU553" i="5"/>
  <c r="AU541" i="5"/>
  <c r="AU533" i="5"/>
  <c r="AU525" i="5"/>
  <c r="AU517" i="5"/>
  <c r="AU509" i="5"/>
  <c r="AU501" i="5"/>
  <c r="AU493" i="5"/>
  <c r="AU485" i="5"/>
  <c r="AU477" i="5"/>
  <c r="AU469" i="5"/>
  <c r="AU461" i="5"/>
  <c r="AU453" i="5"/>
  <c r="AU445" i="5"/>
  <c r="AU437" i="5"/>
  <c r="AU433" i="5"/>
  <c r="AU425" i="5"/>
  <c r="AU417" i="5"/>
  <c r="AU409" i="5"/>
  <c r="AU401" i="5"/>
  <c r="AU393" i="5"/>
  <c r="AU389" i="5"/>
  <c r="AU381" i="5"/>
  <c r="AU373" i="5"/>
  <c r="AU365" i="5"/>
  <c r="AU357" i="5"/>
  <c r="AU349" i="5"/>
  <c r="AU341" i="5"/>
  <c r="AU333" i="5"/>
  <c r="AU325" i="5"/>
  <c r="AU317" i="5"/>
  <c r="AU309" i="5"/>
  <c r="AU301" i="5"/>
  <c r="AU293" i="5"/>
  <c r="AU285" i="5"/>
  <c r="AU277" i="5"/>
  <c r="AU269" i="5"/>
  <c r="AU261" i="5"/>
  <c r="AU253" i="5"/>
  <c r="AU245" i="5"/>
  <c r="AU237" i="5"/>
  <c r="AU229" i="5"/>
  <c r="AU225" i="5"/>
  <c r="AU217" i="5"/>
  <c r="AU209" i="5"/>
  <c r="AU201" i="5"/>
  <c r="AU193" i="5"/>
  <c r="AU185" i="5"/>
  <c r="AU177" i="5"/>
  <c r="AU169" i="5"/>
  <c r="AU161" i="5"/>
  <c r="AU153" i="5"/>
  <c r="AU750" i="5"/>
  <c r="AU730" i="5"/>
  <c r="AU719" i="5"/>
  <c r="AU712" i="5"/>
  <c r="AU701" i="5"/>
  <c r="AU689" i="5"/>
  <c r="AU681" i="5"/>
  <c r="AU673" i="5"/>
  <c r="AU665" i="5"/>
  <c r="AU657" i="5"/>
  <c r="AU653" i="5"/>
  <c r="AU645" i="5"/>
  <c r="AU642" i="5"/>
  <c r="AU638" i="5"/>
  <c r="AU635" i="5"/>
  <c r="AU631" i="5"/>
  <c r="AU627" i="5"/>
  <c r="AU623" i="5"/>
  <c r="AU619" i="5"/>
  <c r="AU615" i="5"/>
  <c r="AU611" i="5"/>
  <c r="AU607" i="5"/>
  <c r="AU603" i="5"/>
  <c r="AU599" i="5"/>
  <c r="AU595" i="5"/>
  <c r="AU591" i="5"/>
  <c r="AU587" i="5"/>
  <c r="AU583" i="5"/>
  <c r="AU579" i="5"/>
  <c r="AU575" i="5"/>
  <c r="AU568" i="5"/>
  <c r="AU564" i="5"/>
  <c r="AU560" i="5"/>
  <c r="AU556" i="5"/>
  <c r="AU552" i="5"/>
  <c r="AU548" i="5"/>
  <c r="AU544" i="5"/>
  <c r="AU540" i="5"/>
  <c r="AU536" i="5"/>
  <c r="AU532" i="5"/>
  <c r="AU528" i="5"/>
  <c r="AU524" i="5"/>
  <c r="AU520" i="5"/>
  <c r="AU516" i="5"/>
  <c r="AU512" i="5"/>
  <c r="AU508" i="5"/>
  <c r="AU504" i="5"/>
  <c r="AU500" i="5"/>
  <c r="AU496" i="5"/>
  <c r="AU492" i="5"/>
  <c r="AU488" i="5"/>
  <c r="AU484" i="5"/>
  <c r="AU480" i="5"/>
  <c r="AU476" i="5"/>
  <c r="AU472" i="5"/>
  <c r="AU468" i="5"/>
  <c r="AU464" i="5"/>
  <c r="AU460" i="5"/>
  <c r="AU456" i="5"/>
  <c r="AU452" i="5"/>
  <c r="AU448" i="5"/>
  <c r="AU444" i="5"/>
  <c r="AU440" i="5"/>
  <c r="AU436" i="5"/>
  <c r="AU432" i="5"/>
  <c r="AU428" i="5"/>
  <c r="AU424" i="5"/>
  <c r="AU420" i="5"/>
  <c r="AU416" i="5"/>
  <c r="AU412" i="5"/>
  <c r="AU408" i="5"/>
  <c r="AU404" i="5"/>
  <c r="AU400" i="5"/>
  <c r="AU396" i="5"/>
  <c r="AU392" i="5"/>
  <c r="AU388" i="5"/>
  <c r="AU384" i="5"/>
  <c r="AU380" i="5"/>
  <c r="AU376" i="5"/>
  <c r="AU372" i="5"/>
  <c r="AU368" i="5"/>
  <c r="AU364" i="5"/>
  <c r="AU360" i="5"/>
  <c r="AU356" i="5"/>
  <c r="AU352" i="5"/>
  <c r="AU348" i="5"/>
  <c r="AU344" i="5"/>
  <c r="AU340" i="5"/>
  <c r="AU336" i="5"/>
  <c r="AU332" i="5"/>
  <c r="AU328" i="5"/>
  <c r="AU324" i="5"/>
  <c r="AU320" i="5"/>
  <c r="AU316" i="5"/>
  <c r="AU312" i="5"/>
  <c r="AU308" i="5"/>
  <c r="AU304" i="5"/>
  <c r="AU300" i="5"/>
  <c r="AU296" i="5"/>
  <c r="AU292" i="5"/>
  <c r="AU288" i="5"/>
  <c r="AU284" i="5"/>
  <c r="AU280" i="5"/>
  <c r="AU276" i="5"/>
  <c r="AU272" i="5"/>
  <c r="AU268" i="5"/>
  <c r="AU264" i="5"/>
  <c r="AU260" i="5"/>
  <c r="AU256" i="5"/>
  <c r="AU252" i="5"/>
  <c r="AU248" i="5"/>
  <c r="AU244" i="5"/>
  <c r="AU240" i="5"/>
  <c r="AU236" i="5"/>
  <c r="AU232" i="5"/>
  <c r="AU228" i="5"/>
  <c r="AU224" i="5"/>
  <c r="AU220" i="5"/>
  <c r="AU216" i="5"/>
  <c r="AU212" i="5"/>
  <c r="AU208" i="5"/>
  <c r="AU204" i="5"/>
  <c r="AU200" i="5"/>
  <c r="AU196" i="5"/>
  <c r="AU192" i="5"/>
  <c r="AU188" i="5"/>
  <c r="AU184" i="5"/>
  <c r="AU180" i="5"/>
  <c r="AU176" i="5"/>
  <c r="AU172" i="5"/>
  <c r="AU168" i="5"/>
  <c r="AU164" i="5"/>
  <c r="AU160" i="5"/>
  <c r="AU156" i="5"/>
  <c r="AU152" i="5"/>
  <c r="AT720" i="5"/>
  <c r="AL720" i="5" s="1"/>
  <c r="AT710" i="5"/>
  <c r="AL710" i="5" s="1"/>
  <c r="AT695" i="5"/>
  <c r="AL695" i="5" s="1"/>
  <c r="AT683" i="5"/>
  <c r="AL683" i="5" s="1"/>
  <c r="AT671" i="5"/>
  <c r="AL671" i="5" s="1"/>
  <c r="AT659" i="5"/>
  <c r="AL659" i="5" s="1"/>
  <c r="AT647" i="5"/>
  <c r="AL647" i="5" s="1"/>
  <c r="AT640" i="5"/>
  <c r="AL640" i="5" s="1"/>
  <c r="AT630" i="5"/>
  <c r="AL630" i="5" s="1"/>
  <c r="AT617" i="5"/>
  <c r="AL617" i="5" s="1"/>
  <c r="AT610" i="5"/>
  <c r="AL610" i="5" s="1"/>
  <c r="AT600" i="5"/>
  <c r="AL600" i="5" s="1"/>
  <c r="AT590" i="5"/>
  <c r="AL590" i="5" s="1"/>
  <c r="AT583" i="5"/>
  <c r="AL583" i="5" s="1"/>
  <c r="AT570" i="5"/>
  <c r="AL570" i="5" s="1"/>
  <c r="AT553" i="5"/>
  <c r="AL553" i="5" s="1"/>
  <c r="AT543" i="5"/>
  <c r="AL543" i="5" s="1"/>
  <c r="AT529" i="5"/>
  <c r="AL529" i="5" s="1"/>
  <c r="AT513" i="5"/>
  <c r="AL513" i="5" s="1"/>
  <c r="AT498" i="5"/>
  <c r="AL498" i="5" s="1"/>
  <c r="AT489" i="5"/>
  <c r="AL489" i="5" s="1"/>
  <c r="AT477" i="5"/>
  <c r="AL477" i="5" s="1"/>
  <c r="AT464" i="5"/>
  <c r="AL464" i="5" s="1"/>
  <c r="AT453" i="5"/>
  <c r="AL453" i="5" s="1"/>
  <c r="AT445" i="5"/>
  <c r="AL445" i="5" s="1"/>
  <c r="AT432" i="5"/>
  <c r="AL432" i="5" s="1"/>
  <c r="AT419" i="5"/>
  <c r="AL419" i="5" s="1"/>
  <c r="AT404" i="5"/>
  <c r="AL404" i="5" s="1"/>
  <c r="AT389" i="5"/>
  <c r="AL389" i="5" s="1"/>
  <c r="AT376" i="5"/>
  <c r="AL376" i="5" s="1"/>
  <c r="AT365" i="5"/>
  <c r="AL365" i="5" s="1"/>
  <c r="AT356" i="5"/>
  <c r="AL356" i="5" s="1"/>
  <c r="AT341" i="5"/>
  <c r="AL341" i="5" s="1"/>
  <c r="AT331" i="5"/>
  <c r="AL331" i="5" s="1"/>
  <c r="AT315" i="5"/>
  <c r="AL315" i="5" s="1"/>
  <c r="AT288" i="5"/>
  <c r="AL288" i="5" s="1"/>
  <c r="AT278" i="5"/>
  <c r="AL278" i="5" s="1"/>
  <c r="AT262" i="5"/>
  <c r="AL262" i="5" s="1"/>
  <c r="AT250" i="5"/>
  <c r="AL250" i="5" s="1"/>
  <c r="AT238" i="5"/>
  <c r="AL238" i="5" s="1"/>
  <c r="AT225" i="5"/>
  <c r="AL225" i="5" s="1"/>
  <c r="AT212" i="5"/>
  <c r="AL212" i="5" s="1"/>
  <c r="AT201" i="5"/>
  <c r="AL201" i="5" s="1"/>
  <c r="AT191" i="5"/>
  <c r="AL191" i="5" s="1"/>
  <c r="AT179" i="5"/>
  <c r="AL179" i="5" s="1"/>
  <c r="AT169" i="5"/>
  <c r="AL169" i="5" s="1"/>
  <c r="AT163" i="5"/>
  <c r="AL163" i="5" s="1"/>
  <c r="AT151" i="5"/>
  <c r="AL151" i="5" s="1"/>
  <c r="AT7" i="5"/>
  <c r="AT722" i="5"/>
  <c r="AL722" i="5" s="1"/>
  <c r="AT715" i="5"/>
  <c r="AL715" i="5" s="1"/>
  <c r="AT709" i="5"/>
  <c r="AL709" i="5" s="1"/>
  <c r="AT702" i="5"/>
  <c r="AL702" i="5" s="1"/>
  <c r="AT698" i="5"/>
  <c r="AL698" i="5" s="1"/>
  <c r="AT694" i="5"/>
  <c r="AL694" i="5" s="1"/>
  <c r="AT690" i="5"/>
  <c r="AL690" i="5" s="1"/>
  <c r="AT686" i="5"/>
  <c r="AL686" i="5" s="1"/>
  <c r="AT682" i="5"/>
  <c r="AL682" i="5" s="1"/>
  <c r="AT678" i="5"/>
  <c r="AL678" i="5" s="1"/>
  <c r="AT674" i="5"/>
  <c r="AL674" i="5" s="1"/>
  <c r="AT670" i="5"/>
  <c r="AL670" i="5" s="1"/>
  <c r="AT666" i="5"/>
  <c r="AL666" i="5" s="1"/>
  <c r="AT662" i="5"/>
  <c r="AL662" i="5" s="1"/>
  <c r="AT658" i="5"/>
  <c r="AL658" i="5" s="1"/>
  <c r="AT654" i="5"/>
  <c r="AL654" i="5" s="1"/>
  <c r="AT650" i="5"/>
  <c r="AL650" i="5" s="1"/>
  <c r="AT646" i="5"/>
  <c r="AL646" i="5" s="1"/>
  <c r="AT643" i="5"/>
  <c r="AL643" i="5" s="1"/>
  <c r="AT639" i="5"/>
  <c r="AL639" i="5" s="1"/>
  <c r="AT636" i="5"/>
  <c r="AL636" i="5" s="1"/>
  <c r="AT633" i="5"/>
  <c r="AL633" i="5" s="1"/>
  <c r="AT629" i="5"/>
  <c r="AL629" i="5" s="1"/>
  <c r="AT626" i="5"/>
  <c r="AL626" i="5" s="1"/>
  <c r="AT616" i="5"/>
  <c r="AL616" i="5" s="1"/>
  <c r="AT612" i="5"/>
  <c r="AL612" i="5" s="1"/>
  <c r="AT609" i="5"/>
  <c r="AL609" i="5" s="1"/>
  <c r="AT606" i="5"/>
  <c r="AL606" i="5" s="1"/>
  <c r="AT603" i="5"/>
  <c r="AL603" i="5" s="1"/>
  <c r="AT599" i="5"/>
  <c r="AL599" i="5" s="1"/>
  <c r="AT592" i="5"/>
  <c r="AL592" i="5" s="1"/>
  <c r="AT589" i="5"/>
  <c r="AL589" i="5" s="1"/>
  <c r="AT586" i="5"/>
  <c r="AL586" i="5" s="1"/>
  <c r="AT582" i="5"/>
  <c r="AL582" i="5" s="1"/>
  <c r="AT579" i="5"/>
  <c r="AL579" i="5" s="1"/>
  <c r="AT575" i="5"/>
  <c r="AL575" i="5" s="1"/>
  <c r="AT572" i="5"/>
  <c r="AL572" i="5" s="1"/>
  <c r="AT569" i="5"/>
  <c r="AL569" i="5" s="1"/>
  <c r="AT565" i="5"/>
  <c r="AL565" i="5" s="1"/>
  <c r="AT562" i="5"/>
  <c r="AL562" i="5" s="1"/>
  <c r="AT552" i="5"/>
  <c r="AL552" i="5" s="1"/>
  <c r="AT549" i="5"/>
  <c r="AL549" i="5" s="1"/>
  <c r="AT546" i="5"/>
  <c r="AL546" i="5" s="1"/>
  <c r="AT536" i="5"/>
  <c r="AL536" i="5" s="1"/>
  <c r="AT532" i="5"/>
  <c r="AL532" i="5" s="1"/>
  <c r="AT528" i="5"/>
  <c r="AL528" i="5" s="1"/>
  <c r="AT524" i="5"/>
  <c r="AL524" i="5" s="1"/>
  <c r="AT520" i="5"/>
  <c r="AL520" i="5" s="1"/>
  <c r="AT516" i="5"/>
  <c r="AL516" i="5" s="1"/>
  <c r="AT512" i="5"/>
  <c r="AL512" i="5" s="1"/>
  <c r="AT508" i="5"/>
  <c r="AL508" i="5" s="1"/>
  <c r="AT504" i="5"/>
  <c r="AL504" i="5" s="1"/>
  <c r="AT500" i="5"/>
  <c r="AL500" i="5" s="1"/>
  <c r="AT495" i="5"/>
  <c r="AL495" i="5" s="1"/>
  <c r="AT492" i="5"/>
  <c r="AL492" i="5" s="1"/>
  <c r="AT488" i="5"/>
  <c r="AL488" i="5" s="1"/>
  <c r="AT484" i="5"/>
  <c r="AL484" i="5" s="1"/>
  <c r="AT480" i="5"/>
  <c r="AL480" i="5" s="1"/>
  <c r="AT476" i="5"/>
  <c r="AL476" i="5" s="1"/>
  <c r="AT473" i="5"/>
  <c r="AL473" i="5" s="1"/>
  <c r="AT467" i="5"/>
  <c r="AL467" i="5" s="1"/>
  <c r="AT463" i="5"/>
  <c r="AL463" i="5" s="1"/>
  <c r="AT459" i="5"/>
  <c r="AL459" i="5" s="1"/>
  <c r="AT456" i="5"/>
  <c r="AL456" i="5" s="1"/>
  <c r="AT452" i="5"/>
  <c r="AL452" i="5" s="1"/>
  <c r="AT448" i="5"/>
  <c r="AL448" i="5" s="1"/>
  <c r="AT444" i="5"/>
  <c r="AL444" i="5" s="1"/>
  <c r="AT435" i="5"/>
  <c r="AL435" i="5" s="1"/>
  <c r="AT431" i="5"/>
  <c r="AL431" i="5" s="1"/>
  <c r="AT422" i="5"/>
  <c r="AL422" i="5" s="1"/>
  <c r="AT418" i="5"/>
  <c r="AL418" i="5" s="1"/>
  <c r="AT414" i="5"/>
  <c r="AL414" i="5" s="1"/>
  <c r="AT411" i="5"/>
  <c r="AL411" i="5" s="1"/>
  <c r="AT407" i="5"/>
  <c r="AL407" i="5" s="1"/>
  <c r="AT403" i="5"/>
  <c r="AL403" i="5" s="1"/>
  <c r="AT399" i="5"/>
  <c r="AL399" i="5" s="1"/>
  <c r="AT395" i="5"/>
  <c r="AL395" i="5" s="1"/>
  <c r="AT391" i="5"/>
  <c r="AL391" i="5" s="1"/>
  <c r="AT388" i="5"/>
  <c r="AL388" i="5" s="1"/>
  <c r="AT379" i="5"/>
  <c r="AL379" i="5" s="1"/>
  <c r="AT375" i="5"/>
  <c r="AL375" i="5" s="1"/>
  <c r="AT372" i="5"/>
  <c r="AL372" i="5" s="1"/>
  <c r="AT368" i="5"/>
  <c r="AL368" i="5" s="1"/>
  <c r="AT364" i="5"/>
  <c r="AL364" i="5" s="1"/>
  <c r="AT355" i="5"/>
  <c r="AL355" i="5" s="1"/>
  <c r="AT352" i="5"/>
  <c r="AL352" i="5" s="1"/>
  <c r="AT348" i="5"/>
  <c r="AL348" i="5" s="1"/>
  <c r="AT344" i="5"/>
  <c r="AL344" i="5" s="1"/>
  <c r="AT340" i="5"/>
  <c r="AL340" i="5" s="1"/>
  <c r="AT334" i="5"/>
  <c r="AL334" i="5" s="1"/>
  <c r="AT330" i="5"/>
  <c r="AL330" i="5" s="1"/>
  <c r="AT326" i="5"/>
  <c r="AL326" i="5" s="1"/>
  <c r="AT322" i="5"/>
  <c r="AL322" i="5" s="1"/>
  <c r="AT318" i="5"/>
  <c r="AL318" i="5" s="1"/>
  <c r="AT314" i="5"/>
  <c r="AL314" i="5" s="1"/>
  <c r="AT310" i="5"/>
  <c r="AL310" i="5" s="1"/>
  <c r="AT307" i="5"/>
  <c r="AL307" i="5" s="1"/>
  <c r="AT300" i="5"/>
  <c r="AL300" i="5" s="1"/>
  <c r="AT297" i="5"/>
  <c r="AL297" i="5" s="1"/>
  <c r="AT293" i="5"/>
  <c r="AL293" i="5" s="1"/>
  <c r="AT291" i="5"/>
  <c r="AL291" i="5" s="1"/>
  <c r="AT287" i="5"/>
  <c r="AL287" i="5" s="1"/>
  <c r="AT284" i="5"/>
  <c r="AL284" i="5" s="1"/>
  <c r="AT281" i="5"/>
  <c r="AL281" i="5" s="1"/>
  <c r="AT277" i="5"/>
  <c r="AL277" i="5" s="1"/>
  <c r="AT273" i="5"/>
  <c r="AL273" i="5" s="1"/>
  <c r="AT269" i="5"/>
  <c r="AL269" i="5" s="1"/>
  <c r="AT265" i="5"/>
  <c r="AL265" i="5" s="1"/>
  <c r="AT261" i="5"/>
  <c r="AL261" i="5" s="1"/>
  <c r="AT257" i="5"/>
  <c r="AL257" i="5" s="1"/>
  <c r="AT253" i="5"/>
  <c r="AL253" i="5" s="1"/>
  <c r="AT249" i="5"/>
  <c r="AL249" i="5" s="1"/>
  <c r="AT245" i="5"/>
  <c r="AL245" i="5" s="1"/>
  <c r="AT241" i="5"/>
  <c r="AL241" i="5" s="1"/>
  <c r="AT237" i="5"/>
  <c r="AL237" i="5" s="1"/>
  <c r="AT233" i="5"/>
  <c r="AL233" i="5" s="1"/>
  <c r="AT230" i="5"/>
  <c r="AL230" i="5" s="1"/>
  <c r="AT224" i="5"/>
  <c r="AL224" i="5" s="1"/>
  <c r="AT218" i="5"/>
  <c r="AL218" i="5" s="1"/>
  <c r="AT215" i="5"/>
  <c r="AL215" i="5" s="1"/>
  <c r="AT208" i="5"/>
  <c r="AL208" i="5" s="1"/>
  <c r="AT204" i="5"/>
  <c r="AL204" i="5" s="1"/>
  <c r="AT200" i="5"/>
  <c r="AL200" i="5" s="1"/>
  <c r="AT194" i="5"/>
  <c r="AL194" i="5" s="1"/>
  <c r="AT190" i="5"/>
  <c r="AL190" i="5" s="1"/>
  <c r="AT186" i="5"/>
  <c r="AL186" i="5" s="1"/>
  <c r="AT182" i="5"/>
  <c r="AL182" i="5" s="1"/>
  <c r="AT178" i="5"/>
  <c r="AL178" i="5" s="1"/>
  <c r="AT176" i="5"/>
  <c r="AL176" i="5" s="1"/>
  <c r="AT172" i="5"/>
  <c r="AL172" i="5" s="1"/>
  <c r="AT168" i="5"/>
  <c r="AL168" i="5" s="1"/>
  <c r="AT159" i="5"/>
  <c r="AL159" i="5" s="1"/>
  <c r="AT156" i="5"/>
  <c r="AL156" i="5" s="1"/>
  <c r="AT703" i="5"/>
  <c r="AL703" i="5" s="1"/>
  <c r="AT687" i="5"/>
  <c r="AL687" i="5" s="1"/>
  <c r="AT675" i="5"/>
  <c r="AL675" i="5" s="1"/>
  <c r="AT663" i="5"/>
  <c r="AL663" i="5" s="1"/>
  <c r="AT651" i="5"/>
  <c r="AL651" i="5" s="1"/>
  <c r="AT637" i="5"/>
  <c r="AL637" i="5" s="1"/>
  <c r="AT623" i="5"/>
  <c r="AL623" i="5" s="1"/>
  <c r="AT596" i="5"/>
  <c r="AL596" i="5" s="1"/>
  <c r="AT587" i="5"/>
  <c r="AL587" i="5" s="1"/>
  <c r="AT573" i="5"/>
  <c r="AL573" i="5" s="1"/>
  <c r="AT556" i="5"/>
  <c r="AL556" i="5" s="1"/>
  <c r="AT540" i="5"/>
  <c r="AL540" i="5" s="1"/>
  <c r="AT525" i="5"/>
  <c r="AL525" i="5" s="1"/>
  <c r="AT509" i="5"/>
  <c r="AL509" i="5" s="1"/>
  <c r="AT496" i="5"/>
  <c r="AL496" i="5" s="1"/>
  <c r="AT485" i="5"/>
  <c r="AL485" i="5" s="1"/>
  <c r="AT470" i="5"/>
  <c r="AL470" i="5" s="1"/>
  <c r="AT460" i="5"/>
  <c r="AL460" i="5" s="1"/>
  <c r="AT441" i="5"/>
  <c r="AL441" i="5" s="1"/>
  <c r="AT426" i="5"/>
  <c r="AL426" i="5" s="1"/>
  <c r="AT412" i="5"/>
  <c r="AL412" i="5" s="1"/>
  <c r="AT396" i="5"/>
  <c r="AL396" i="5" s="1"/>
  <c r="AT382" i="5"/>
  <c r="AL382" i="5" s="1"/>
  <c r="AT369" i="5"/>
  <c r="AL369" i="5" s="1"/>
  <c r="AT358" i="5"/>
  <c r="AL358" i="5" s="1"/>
  <c r="AT349" i="5"/>
  <c r="AL349" i="5" s="1"/>
  <c r="AT335" i="5"/>
  <c r="AL335" i="5" s="1"/>
  <c r="AT323" i="5"/>
  <c r="AL323" i="5" s="1"/>
  <c r="AT304" i="5"/>
  <c r="AL304" i="5" s="1"/>
  <c r="AT274" i="5"/>
  <c r="AL274" i="5" s="1"/>
  <c r="AT258" i="5"/>
  <c r="AL258" i="5" s="1"/>
  <c r="AT246" i="5"/>
  <c r="AL246" i="5" s="1"/>
  <c r="AT231" i="5"/>
  <c r="AL231" i="5" s="1"/>
  <c r="AT219" i="5"/>
  <c r="AL219" i="5" s="1"/>
  <c r="AT205" i="5"/>
  <c r="AL205" i="5" s="1"/>
  <c r="AT195" i="5"/>
  <c r="AL195" i="5" s="1"/>
  <c r="AT183" i="5"/>
  <c r="AL183" i="5" s="1"/>
  <c r="AT173" i="5"/>
  <c r="AL173" i="5" s="1"/>
  <c r="AT160" i="5"/>
  <c r="AL160" i="5" s="1"/>
  <c r="AT726" i="5"/>
  <c r="AL726" i="5" s="1"/>
  <c r="AT719" i="5"/>
  <c r="AL719" i="5" s="1"/>
  <c r="AT712" i="5"/>
  <c r="AL712" i="5" s="1"/>
  <c r="AT714" i="5"/>
  <c r="AL714" i="5" s="1"/>
  <c r="AT701" i="5"/>
  <c r="AL701" i="5" s="1"/>
  <c r="AT685" i="5"/>
  <c r="AL685" i="5" s="1"/>
  <c r="AT673" i="5"/>
  <c r="AL673" i="5" s="1"/>
  <c r="AT661" i="5"/>
  <c r="AL661" i="5" s="1"/>
  <c r="AT645" i="5"/>
  <c r="AL645" i="5" s="1"/>
  <c r="AT628" i="5"/>
  <c r="AL628" i="5" s="1"/>
  <c r="AT619" i="5"/>
  <c r="AL619" i="5" s="1"/>
  <c r="AT615" i="5"/>
  <c r="AL615" i="5" s="1"/>
  <c r="AT605" i="5"/>
  <c r="AL605" i="5" s="1"/>
  <c r="AT595" i="5"/>
  <c r="AL595" i="5" s="1"/>
  <c r="AT588" i="5"/>
  <c r="AL588" i="5" s="1"/>
  <c r="AT585" i="5"/>
  <c r="AL585" i="5" s="1"/>
  <c r="AT581" i="5"/>
  <c r="AL581" i="5" s="1"/>
  <c r="AT578" i="5"/>
  <c r="AL578" i="5" s="1"/>
  <c r="AT568" i="5"/>
  <c r="AL568" i="5" s="1"/>
  <c r="AT558" i="5"/>
  <c r="AL558" i="5" s="1"/>
  <c r="AT551" i="5"/>
  <c r="AL551" i="5" s="1"/>
  <c r="AT545" i="5"/>
  <c r="AL545" i="5" s="1"/>
  <c r="AT535" i="5"/>
  <c r="AL535" i="5" s="1"/>
  <c r="AT527" i="5"/>
  <c r="AL527" i="5" s="1"/>
  <c r="AT515" i="5"/>
  <c r="AL515" i="5" s="1"/>
  <c r="AT507" i="5"/>
  <c r="AL507" i="5" s="1"/>
  <c r="AT499" i="5"/>
  <c r="AL499" i="5" s="1"/>
  <c r="AT491" i="5"/>
  <c r="AL491" i="5" s="1"/>
  <c r="AT479" i="5"/>
  <c r="AL479" i="5" s="1"/>
  <c r="AT472" i="5"/>
  <c r="AL472" i="5" s="1"/>
  <c r="AT466" i="5"/>
  <c r="AL466" i="5" s="1"/>
  <c r="AT455" i="5"/>
  <c r="AL455" i="5" s="1"/>
  <c r="AT447" i="5"/>
  <c r="AL447" i="5" s="1"/>
  <c r="AT440" i="5"/>
  <c r="AL440" i="5" s="1"/>
  <c r="AT434" i="5"/>
  <c r="AL434" i="5" s="1"/>
  <c r="AT430" i="5"/>
  <c r="AL430" i="5" s="1"/>
  <c r="AT428" i="5"/>
  <c r="AL428" i="5" s="1"/>
  <c r="AT425" i="5"/>
  <c r="AL425" i="5" s="1"/>
  <c r="AT421" i="5"/>
  <c r="AL421" i="5" s="1"/>
  <c r="AT417" i="5"/>
  <c r="AL417" i="5" s="1"/>
  <c r="AT413" i="5"/>
  <c r="AL413" i="5" s="1"/>
  <c r="AT406" i="5"/>
  <c r="AL406" i="5" s="1"/>
  <c r="AT402" i="5"/>
  <c r="AL402" i="5" s="1"/>
  <c r="AT398" i="5"/>
  <c r="AL398" i="5" s="1"/>
  <c r="AT394" i="5"/>
  <c r="AL394" i="5" s="1"/>
  <c r="AT390" i="5"/>
  <c r="AL390" i="5" s="1"/>
  <c r="AT387" i="5"/>
  <c r="AL387" i="5" s="1"/>
  <c r="AT384" i="5"/>
  <c r="AL384" i="5" s="1"/>
  <c r="AT381" i="5"/>
  <c r="AL381" i="5" s="1"/>
  <c r="AT378" i="5"/>
  <c r="AL378" i="5" s="1"/>
  <c r="AT374" i="5"/>
  <c r="AL374" i="5" s="1"/>
  <c r="AT371" i="5"/>
  <c r="AL371" i="5" s="1"/>
  <c r="AT367" i="5"/>
  <c r="AL367" i="5" s="1"/>
  <c r="AT363" i="5"/>
  <c r="AL363" i="5" s="1"/>
  <c r="AT360" i="5"/>
  <c r="AL360" i="5" s="1"/>
  <c r="AT357" i="5"/>
  <c r="AL357" i="5" s="1"/>
  <c r="AT354" i="5"/>
  <c r="AL354" i="5" s="1"/>
  <c r="AT351" i="5"/>
  <c r="AL351" i="5" s="1"/>
  <c r="AT347" i="5"/>
  <c r="AL347" i="5" s="1"/>
  <c r="AT343" i="5"/>
  <c r="AL343" i="5" s="1"/>
  <c r="AT339" i="5"/>
  <c r="AL339" i="5" s="1"/>
  <c r="AT336" i="5"/>
  <c r="AL336" i="5" s="1"/>
  <c r="AT333" i="5"/>
  <c r="AL333" i="5" s="1"/>
  <c r="AT329" i="5"/>
  <c r="AL329" i="5" s="1"/>
  <c r="AT325" i="5"/>
  <c r="AL325" i="5" s="1"/>
  <c r="AT321" i="5"/>
  <c r="AL321" i="5" s="1"/>
  <c r="AT317" i="5"/>
  <c r="AL317" i="5" s="1"/>
  <c r="AT313" i="5"/>
  <c r="AL313" i="5" s="1"/>
  <c r="AT309" i="5"/>
  <c r="AL309" i="5" s="1"/>
  <c r="AT306" i="5"/>
  <c r="AL306" i="5" s="1"/>
  <c r="AT303" i="5"/>
  <c r="AL303" i="5" s="1"/>
  <c r="AT299" i="5"/>
  <c r="AL299" i="5" s="1"/>
  <c r="AT296" i="5"/>
  <c r="AL296" i="5" s="1"/>
  <c r="AT290" i="5"/>
  <c r="AL290" i="5" s="1"/>
  <c r="AT286" i="5"/>
  <c r="AL286" i="5" s="1"/>
  <c r="AT280" i="5"/>
  <c r="AL280" i="5" s="1"/>
  <c r="AT276" i="5"/>
  <c r="AL276" i="5" s="1"/>
  <c r="AT272" i="5"/>
  <c r="AL272" i="5" s="1"/>
  <c r="AT268" i="5"/>
  <c r="AL268" i="5" s="1"/>
  <c r="AT264" i="5"/>
  <c r="AL264" i="5" s="1"/>
  <c r="AT260" i="5"/>
  <c r="AL260" i="5" s="1"/>
  <c r="AT256" i="5"/>
  <c r="AL256" i="5" s="1"/>
  <c r="AT252" i="5"/>
  <c r="AL252" i="5" s="1"/>
  <c r="AT248" i="5"/>
  <c r="AL248" i="5" s="1"/>
  <c r="AT244" i="5"/>
  <c r="AL244" i="5" s="1"/>
  <c r="AT240" i="5"/>
  <c r="AL240" i="5" s="1"/>
  <c r="AT236" i="5"/>
  <c r="AL236" i="5" s="1"/>
  <c r="AT232" i="5"/>
  <c r="AL232" i="5" s="1"/>
  <c r="AT229" i="5"/>
  <c r="AL229" i="5" s="1"/>
  <c r="AT227" i="5"/>
  <c r="AL227" i="5" s="1"/>
  <c r="AT223" i="5"/>
  <c r="AL223" i="5" s="1"/>
  <c r="AT220" i="5"/>
  <c r="AL220" i="5" s="1"/>
  <c r="AT217" i="5"/>
  <c r="AL217" i="5" s="1"/>
  <c r="AT214" i="5"/>
  <c r="AL214" i="5" s="1"/>
  <c r="AT211" i="5"/>
  <c r="AL211" i="5" s="1"/>
  <c r="AT207" i="5"/>
  <c r="AL207" i="5" s="1"/>
  <c r="AT203" i="5"/>
  <c r="AL203" i="5" s="1"/>
  <c r="AT199" i="5"/>
  <c r="AL199" i="5" s="1"/>
  <c r="AT197" i="5"/>
  <c r="AL197" i="5" s="1"/>
  <c r="AT193" i="5"/>
  <c r="AL193" i="5" s="1"/>
  <c r="AT189" i="5"/>
  <c r="AL189" i="5" s="1"/>
  <c r="AT185" i="5"/>
  <c r="AL185" i="5" s="1"/>
  <c r="AT181" i="5"/>
  <c r="AL181" i="5" s="1"/>
  <c r="AT175" i="5"/>
  <c r="AL175" i="5" s="1"/>
  <c r="AT171" i="5"/>
  <c r="AL171" i="5" s="1"/>
  <c r="AT167" i="5"/>
  <c r="AL167" i="5" s="1"/>
  <c r="AT165" i="5"/>
  <c r="AL165" i="5" s="1"/>
  <c r="AT162" i="5"/>
  <c r="AL162" i="5" s="1"/>
  <c r="AT158" i="5"/>
  <c r="AL158" i="5" s="1"/>
  <c r="AT155" i="5"/>
  <c r="AL155" i="5" s="1"/>
  <c r="AT153" i="5"/>
  <c r="AL153" i="5" s="1"/>
  <c r="AT150" i="5"/>
  <c r="AL150" i="5" s="1"/>
  <c r="AT729" i="5"/>
  <c r="AL729" i="5" s="1"/>
  <c r="AT723" i="5"/>
  <c r="AL723" i="5" s="1"/>
  <c r="AT716" i="5"/>
  <c r="AL716" i="5" s="1"/>
  <c r="AT706" i="5"/>
  <c r="AL706" i="5" s="1"/>
  <c r="AT699" i="5"/>
  <c r="AL699" i="5" s="1"/>
  <c r="AT691" i="5"/>
  <c r="AL691" i="5" s="1"/>
  <c r="AT679" i="5"/>
  <c r="AL679" i="5" s="1"/>
  <c r="AT667" i="5"/>
  <c r="AL667" i="5" s="1"/>
  <c r="AT655" i="5"/>
  <c r="AL655" i="5" s="1"/>
  <c r="AT634" i="5"/>
  <c r="AL634" i="5" s="1"/>
  <c r="AT627" i="5"/>
  <c r="AL627" i="5" s="1"/>
  <c r="AT620" i="5"/>
  <c r="AL620" i="5" s="1"/>
  <c r="AT613" i="5"/>
  <c r="AL613" i="5" s="1"/>
  <c r="AT593" i="5"/>
  <c r="AL593" i="5" s="1"/>
  <c r="AT576" i="5"/>
  <c r="AL576" i="5" s="1"/>
  <c r="AT566" i="5"/>
  <c r="AL566" i="5" s="1"/>
  <c r="AT563" i="5"/>
  <c r="AL563" i="5" s="1"/>
  <c r="AT559" i="5"/>
  <c r="AL559" i="5" s="1"/>
  <c r="AT550" i="5"/>
  <c r="AL550" i="5" s="1"/>
  <c r="AT547" i="5"/>
  <c r="AL547" i="5" s="1"/>
  <c r="AT537" i="5"/>
  <c r="AL537" i="5" s="1"/>
  <c r="AT533" i="5"/>
  <c r="AL533" i="5" s="1"/>
  <c r="AT521" i="5"/>
  <c r="AL521" i="5" s="1"/>
  <c r="AT517" i="5"/>
  <c r="AL517" i="5" s="1"/>
  <c r="AT505" i="5"/>
  <c r="AL505" i="5" s="1"/>
  <c r="AT501" i="5"/>
  <c r="AL501" i="5" s="1"/>
  <c r="AT493" i="5"/>
  <c r="AL493" i="5" s="1"/>
  <c r="AT481" i="5"/>
  <c r="AL481" i="5" s="1"/>
  <c r="AT474" i="5"/>
  <c r="AL474" i="5" s="1"/>
  <c r="AT468" i="5"/>
  <c r="AL468" i="5" s="1"/>
  <c r="AT457" i="5"/>
  <c r="AL457" i="5" s="1"/>
  <c r="AT449" i="5"/>
  <c r="AL449" i="5" s="1"/>
  <c r="AT438" i="5"/>
  <c r="AL438" i="5" s="1"/>
  <c r="AT436" i="5"/>
  <c r="AL436" i="5" s="1"/>
  <c r="AT429" i="5"/>
  <c r="AL429" i="5" s="1"/>
  <c r="AT423" i="5"/>
  <c r="AL423" i="5" s="1"/>
  <c r="AT415" i="5"/>
  <c r="AL415" i="5" s="1"/>
  <c r="AT408" i="5"/>
  <c r="AL408" i="5" s="1"/>
  <c r="AT400" i="5"/>
  <c r="AL400" i="5" s="1"/>
  <c r="AT392" i="5"/>
  <c r="AL392" i="5" s="1"/>
  <c r="AT385" i="5"/>
  <c r="AL385" i="5" s="1"/>
  <c r="AT380" i="5"/>
  <c r="AL380" i="5" s="1"/>
  <c r="AT373" i="5"/>
  <c r="AL373" i="5" s="1"/>
  <c r="AT361" i="5"/>
  <c r="AL361" i="5" s="1"/>
  <c r="AT353" i="5"/>
  <c r="AL353" i="5" s="1"/>
  <c r="AT345" i="5"/>
  <c r="AL345" i="5" s="1"/>
  <c r="AT337" i="5"/>
  <c r="AL337" i="5" s="1"/>
  <c r="AT327" i="5"/>
  <c r="AL327" i="5" s="1"/>
  <c r="AT319" i="5"/>
  <c r="AL319" i="5" s="1"/>
  <c r="AT311" i="5"/>
  <c r="AL311" i="5" s="1"/>
  <c r="AT308" i="5"/>
  <c r="AL308" i="5" s="1"/>
  <c r="AT301" i="5"/>
  <c r="AL301" i="5" s="1"/>
  <c r="AT294" i="5"/>
  <c r="AL294" i="5" s="1"/>
  <c r="AT282" i="5"/>
  <c r="AL282" i="5" s="1"/>
  <c r="AT270" i="5"/>
  <c r="AL270" i="5" s="1"/>
  <c r="AT266" i="5"/>
  <c r="AL266" i="5" s="1"/>
  <c r="AT254" i="5"/>
  <c r="AL254" i="5" s="1"/>
  <c r="AT242" i="5"/>
  <c r="AL242" i="5" s="1"/>
  <c r="AT234" i="5"/>
  <c r="AL234" i="5" s="1"/>
  <c r="AT228" i="5"/>
  <c r="AL228" i="5" s="1"/>
  <c r="AT221" i="5"/>
  <c r="AL221" i="5" s="1"/>
  <c r="AT216" i="5"/>
  <c r="AL216" i="5" s="1"/>
  <c r="AT209" i="5"/>
  <c r="AL209" i="5" s="1"/>
  <c r="AT198" i="5"/>
  <c r="AL198" i="5" s="1"/>
  <c r="AT187" i="5"/>
  <c r="AL187" i="5" s="1"/>
  <c r="AT166" i="5"/>
  <c r="AL166" i="5" s="1"/>
  <c r="AT157" i="5"/>
  <c r="AL157" i="5" s="1"/>
  <c r="AT154" i="5"/>
  <c r="AL154" i="5" s="1"/>
  <c r="AT731" i="5"/>
  <c r="AL731" i="5" s="1"/>
  <c r="AT728" i="5"/>
  <c r="AL728" i="5" s="1"/>
  <c r="AT725" i="5"/>
  <c r="AL725" i="5" s="1"/>
  <c r="AT718" i="5"/>
  <c r="AL718" i="5" s="1"/>
  <c r="AT711" i="5"/>
  <c r="AL711" i="5" s="1"/>
  <c r="AT708" i="5"/>
  <c r="AL708" i="5" s="1"/>
  <c r="AT705" i="5"/>
  <c r="AL705" i="5" s="1"/>
  <c r="AT697" i="5"/>
  <c r="AL697" i="5" s="1"/>
  <c r="AT693" i="5"/>
  <c r="AL693" i="5" s="1"/>
  <c r="AT689" i="5"/>
  <c r="AL689" i="5" s="1"/>
  <c r="AT681" i="5"/>
  <c r="AL681" i="5" s="1"/>
  <c r="AT677" i="5"/>
  <c r="AL677" i="5" s="1"/>
  <c r="AT669" i="5"/>
  <c r="AL669" i="5" s="1"/>
  <c r="AT665" i="5"/>
  <c r="AL665" i="5" s="1"/>
  <c r="AT657" i="5"/>
  <c r="AL657" i="5" s="1"/>
  <c r="AT653" i="5"/>
  <c r="AL653" i="5" s="1"/>
  <c r="AT649" i="5"/>
  <c r="AL649" i="5" s="1"/>
  <c r="AT642" i="5"/>
  <c r="AL642" i="5" s="1"/>
  <c r="AT632" i="5"/>
  <c r="AL632" i="5" s="1"/>
  <c r="AT625" i="5"/>
  <c r="AL625" i="5" s="1"/>
  <c r="AT622" i="5"/>
  <c r="AL622" i="5" s="1"/>
  <c r="AT608" i="5"/>
  <c r="AL608" i="5" s="1"/>
  <c r="AT602" i="5"/>
  <c r="AL602" i="5" s="1"/>
  <c r="AT598" i="5"/>
  <c r="AL598" i="5" s="1"/>
  <c r="AT591" i="5"/>
  <c r="AL591" i="5" s="1"/>
  <c r="AT564" i="5"/>
  <c r="AL564" i="5" s="1"/>
  <c r="AT561" i="5"/>
  <c r="AL561" i="5" s="1"/>
  <c r="AT555" i="5"/>
  <c r="AL555" i="5" s="1"/>
  <c r="AT548" i="5"/>
  <c r="AL548" i="5" s="1"/>
  <c r="AT542" i="5"/>
  <c r="AL542" i="5" s="1"/>
  <c r="AT539" i="5"/>
  <c r="AL539" i="5" s="1"/>
  <c r="AT531" i="5"/>
  <c r="AL531" i="5" s="1"/>
  <c r="AT523" i="5"/>
  <c r="AL523" i="5" s="1"/>
  <c r="AT519" i="5"/>
  <c r="AL519" i="5" s="1"/>
  <c r="AT511" i="5"/>
  <c r="AL511" i="5" s="1"/>
  <c r="AT503" i="5"/>
  <c r="AL503" i="5" s="1"/>
  <c r="AT497" i="5"/>
  <c r="AL497" i="5" s="1"/>
  <c r="AT494" i="5"/>
  <c r="AL494" i="5" s="1"/>
  <c r="AT487" i="5"/>
  <c r="AL487" i="5" s="1"/>
  <c r="AT483" i="5"/>
  <c r="AL483" i="5" s="1"/>
  <c r="AT475" i="5"/>
  <c r="AL475" i="5" s="1"/>
  <c r="AT469" i="5"/>
  <c r="AL469" i="5" s="1"/>
  <c r="AT462" i="5"/>
  <c r="AL462" i="5" s="1"/>
  <c r="AT458" i="5"/>
  <c r="AL458" i="5" s="1"/>
  <c r="AT451" i="5"/>
  <c r="AL451" i="5" s="1"/>
  <c r="AT443" i="5"/>
  <c r="AL443" i="5" s="1"/>
  <c r="AT437" i="5"/>
  <c r="AL437" i="5" s="1"/>
  <c r="AT410" i="5"/>
  <c r="AL410" i="5" s="1"/>
  <c r="AT750" i="5"/>
  <c r="AL750" i="5" s="1"/>
  <c r="AT730" i="5"/>
  <c r="AL730" i="5" s="1"/>
  <c r="AT727" i="5"/>
  <c r="AL727" i="5" s="1"/>
  <c r="AT724" i="5"/>
  <c r="AL724" i="5" s="1"/>
  <c r="AT721" i="5"/>
  <c r="AL721" i="5" s="1"/>
  <c r="AT717" i="5"/>
  <c r="AL717" i="5" s="1"/>
  <c r="AT713" i="5"/>
  <c r="AL713" i="5" s="1"/>
  <c r="AT707" i="5"/>
  <c r="AL707" i="5" s="1"/>
  <c r="AT704" i="5"/>
  <c r="AL704" i="5" s="1"/>
  <c r="AT700" i="5"/>
  <c r="AL700" i="5" s="1"/>
  <c r="AT696" i="5"/>
  <c r="AL696" i="5" s="1"/>
  <c r="AT692" i="5"/>
  <c r="AL692" i="5" s="1"/>
  <c r="AT688" i="5"/>
  <c r="AL688" i="5" s="1"/>
  <c r="AT684" i="5"/>
  <c r="AL684" i="5" s="1"/>
  <c r="AT680" i="5"/>
  <c r="AL680" i="5" s="1"/>
  <c r="AT676" i="5"/>
  <c r="AL676" i="5" s="1"/>
  <c r="AT672" i="5"/>
  <c r="AL672" i="5" s="1"/>
  <c r="AT668" i="5"/>
  <c r="AL668" i="5" s="1"/>
  <c r="AT664" i="5"/>
  <c r="AL664" i="5" s="1"/>
  <c r="AT660" i="5"/>
  <c r="AL660" i="5" s="1"/>
  <c r="AT656" i="5"/>
  <c r="AL656" i="5" s="1"/>
  <c r="AT652" i="5"/>
  <c r="AL652" i="5" s="1"/>
  <c r="AT648" i="5"/>
  <c r="AL648" i="5" s="1"/>
  <c r="AT644" i="5"/>
  <c r="AL644" i="5" s="1"/>
  <c r="AT641" i="5"/>
  <c r="AL641" i="5" s="1"/>
  <c r="AT638" i="5"/>
  <c r="AL638" i="5" s="1"/>
  <c r="AT635" i="5"/>
  <c r="AL635" i="5" s="1"/>
  <c r="AT631" i="5"/>
  <c r="AL631" i="5" s="1"/>
  <c r="AT624" i="5"/>
  <c r="AL624" i="5" s="1"/>
  <c r="AT621" i="5"/>
  <c r="AL621" i="5" s="1"/>
  <c r="AT618" i="5"/>
  <c r="AL618" i="5" s="1"/>
  <c r="AT614" i="5"/>
  <c r="AL614" i="5" s="1"/>
  <c r="AT611" i="5"/>
  <c r="AL611" i="5" s="1"/>
  <c r="AT607" i="5"/>
  <c r="AL607" i="5" s="1"/>
  <c r="AT604" i="5"/>
  <c r="AL604" i="5" s="1"/>
  <c r="AT601" i="5"/>
  <c r="AL601" i="5" s="1"/>
  <c r="AT597" i="5"/>
  <c r="AL597" i="5" s="1"/>
  <c r="AT594" i="5"/>
  <c r="AL594" i="5" s="1"/>
  <c r="AT584" i="5"/>
  <c r="AL584" i="5" s="1"/>
  <c r="AT580" i="5"/>
  <c r="AL580" i="5" s="1"/>
  <c r="AT577" i="5"/>
  <c r="AL577" i="5" s="1"/>
  <c r="AT574" i="5"/>
  <c r="AL574" i="5" s="1"/>
  <c r="AT571" i="5"/>
  <c r="AL571" i="5" s="1"/>
  <c r="AT567" i="5"/>
  <c r="AL567" i="5" s="1"/>
  <c r="AT560" i="5"/>
  <c r="AL560" i="5" s="1"/>
  <c r="AT557" i="5"/>
  <c r="AL557" i="5" s="1"/>
  <c r="AT554" i="5"/>
  <c r="AL554" i="5" s="1"/>
  <c r="AT544" i="5"/>
  <c r="AL544" i="5" s="1"/>
  <c r="AT541" i="5"/>
  <c r="AL541" i="5" s="1"/>
  <c r="AT538" i="5"/>
  <c r="AL538" i="5" s="1"/>
  <c r="AT534" i="5"/>
  <c r="AL534" i="5" s="1"/>
  <c r="AT530" i="5"/>
  <c r="AL530" i="5" s="1"/>
  <c r="AT526" i="5"/>
  <c r="AL526" i="5" s="1"/>
  <c r="AT522" i="5"/>
  <c r="AL522" i="5" s="1"/>
  <c r="AT518" i="5"/>
  <c r="AL518" i="5" s="1"/>
  <c r="AT514" i="5"/>
  <c r="AL514" i="5" s="1"/>
  <c r="AT510" i="5"/>
  <c r="AL510" i="5" s="1"/>
  <c r="AT506" i="5"/>
  <c r="AL506" i="5" s="1"/>
  <c r="AT502" i="5"/>
  <c r="AL502" i="5" s="1"/>
  <c r="AT490" i="5"/>
  <c r="AL490" i="5" s="1"/>
  <c r="AT486" i="5"/>
  <c r="AL486" i="5" s="1"/>
  <c r="AT482" i="5"/>
  <c r="AL482" i="5" s="1"/>
  <c r="AT478" i="5"/>
  <c r="AL478" i="5" s="1"/>
  <c r="AT471" i="5"/>
  <c r="AL471" i="5" s="1"/>
  <c r="AT465" i="5"/>
  <c r="AL465" i="5" s="1"/>
  <c r="AT461" i="5"/>
  <c r="AL461" i="5" s="1"/>
  <c r="AT454" i="5"/>
  <c r="AL454" i="5" s="1"/>
  <c r="AT450" i="5"/>
  <c r="AL450" i="5" s="1"/>
  <c r="AT446" i="5"/>
  <c r="AL446" i="5" s="1"/>
  <c r="AT442" i="5"/>
  <c r="AL442" i="5" s="1"/>
  <c r="AT439" i="5"/>
  <c r="AL439" i="5" s="1"/>
  <c r="AT433" i="5"/>
  <c r="AL433" i="5" s="1"/>
  <c r="AT427" i="5"/>
  <c r="AL427" i="5" s="1"/>
  <c r="AT424" i="5"/>
  <c r="AL424" i="5" s="1"/>
  <c r="AT420" i="5"/>
  <c r="AL420" i="5" s="1"/>
  <c r="AT416" i="5"/>
  <c r="AL416" i="5" s="1"/>
  <c r="AT409" i="5"/>
  <c r="AL409" i="5" s="1"/>
  <c r="AT405" i="5"/>
  <c r="AL405" i="5" s="1"/>
  <c r="AT401" i="5"/>
  <c r="AL401" i="5" s="1"/>
  <c r="AT397" i="5"/>
  <c r="AL397" i="5" s="1"/>
  <c r="AT393" i="5"/>
  <c r="AL393" i="5" s="1"/>
  <c r="AT386" i="5"/>
  <c r="AL386" i="5" s="1"/>
  <c r="AT383" i="5"/>
  <c r="AL383" i="5" s="1"/>
  <c r="AT377" i="5"/>
  <c r="AL377" i="5" s="1"/>
  <c r="AT370" i="5"/>
  <c r="AL370" i="5" s="1"/>
  <c r="AT366" i="5"/>
  <c r="AL366" i="5" s="1"/>
  <c r="AT362" i="5"/>
  <c r="AL362" i="5" s="1"/>
  <c r="AT359" i="5"/>
  <c r="AL359" i="5" s="1"/>
  <c r="AT350" i="5"/>
  <c r="AL350" i="5" s="1"/>
  <c r="AT346" i="5"/>
  <c r="AL346" i="5" s="1"/>
  <c r="AT342" i="5"/>
  <c r="AL342" i="5" s="1"/>
  <c r="AT338" i="5"/>
  <c r="AL338" i="5" s="1"/>
  <c r="AT332" i="5"/>
  <c r="AL332" i="5" s="1"/>
  <c r="AT328" i="5"/>
  <c r="AL328" i="5" s="1"/>
  <c r="AT324" i="5"/>
  <c r="AL324" i="5" s="1"/>
  <c r="AT320" i="5"/>
  <c r="AL320" i="5" s="1"/>
  <c r="AT316" i="5"/>
  <c r="AL316" i="5" s="1"/>
  <c r="AT312" i="5"/>
  <c r="AL312" i="5" s="1"/>
  <c r="AT305" i="5"/>
  <c r="AL305" i="5" s="1"/>
  <c r="AT302" i="5"/>
  <c r="AL302" i="5" s="1"/>
  <c r="AT298" i="5"/>
  <c r="AL298" i="5" s="1"/>
  <c r="AT295" i="5"/>
  <c r="AL295" i="5" s="1"/>
  <c r="AT292" i="5"/>
  <c r="AL292" i="5" s="1"/>
  <c r="AT289" i="5"/>
  <c r="AL289" i="5" s="1"/>
  <c r="AT285" i="5"/>
  <c r="AL285" i="5" s="1"/>
  <c r="AT283" i="5"/>
  <c r="AL283" i="5" s="1"/>
  <c r="AT279" i="5"/>
  <c r="AL279" i="5" s="1"/>
  <c r="AT275" i="5"/>
  <c r="AL275" i="5" s="1"/>
  <c r="AT271" i="5"/>
  <c r="AL271" i="5" s="1"/>
  <c r="AT267" i="5"/>
  <c r="AL267" i="5" s="1"/>
  <c r="AT263" i="5"/>
  <c r="AL263" i="5" s="1"/>
  <c r="AT259" i="5"/>
  <c r="AL259" i="5" s="1"/>
  <c r="AT255" i="5"/>
  <c r="AL255" i="5" s="1"/>
  <c r="AT251" i="5"/>
  <c r="AL251" i="5" s="1"/>
  <c r="AT247" i="5"/>
  <c r="AL247" i="5" s="1"/>
  <c r="AT243" i="5"/>
  <c r="AL243" i="5" s="1"/>
  <c r="AT239" i="5"/>
  <c r="AL239" i="5" s="1"/>
  <c r="AT235" i="5"/>
  <c r="AL235" i="5" s="1"/>
  <c r="AT226" i="5"/>
  <c r="AL226" i="5" s="1"/>
  <c r="AT222" i="5"/>
  <c r="AL222" i="5" s="1"/>
  <c r="AT213" i="5"/>
  <c r="AL213" i="5" s="1"/>
  <c r="AT210" i="5"/>
  <c r="AL210" i="5" s="1"/>
  <c r="AT206" i="5"/>
  <c r="AL206" i="5" s="1"/>
  <c r="AT202" i="5"/>
  <c r="AL202" i="5" s="1"/>
  <c r="AT196" i="5"/>
  <c r="AL196" i="5" s="1"/>
  <c r="AT192" i="5"/>
  <c r="AL192" i="5" s="1"/>
  <c r="AT188" i="5"/>
  <c r="AL188" i="5" s="1"/>
  <c r="AT184" i="5"/>
  <c r="AL184" i="5" s="1"/>
  <c r="AT180" i="5"/>
  <c r="AL180" i="5" s="1"/>
  <c r="AT177" i="5"/>
  <c r="AL177" i="5" s="1"/>
  <c r="AT174" i="5"/>
  <c r="AL174" i="5" s="1"/>
  <c r="AT170" i="5"/>
  <c r="AL170" i="5" s="1"/>
  <c r="AT164" i="5"/>
  <c r="AL164" i="5" s="1"/>
  <c r="AT161" i="5"/>
  <c r="AL161" i="5" s="1"/>
  <c r="AT152" i="5"/>
  <c r="AL152" i="5" s="1"/>
  <c r="AR731" i="5"/>
  <c r="AP731" i="5"/>
  <c r="AN731" i="5"/>
  <c r="AR722" i="5"/>
  <c r="AP722" i="5"/>
  <c r="AN722" i="5"/>
  <c r="AR715" i="5"/>
  <c r="AP715" i="5"/>
  <c r="AN715" i="5"/>
  <c r="AR709" i="5"/>
  <c r="AP709" i="5"/>
  <c r="AN709" i="5"/>
  <c r="AP699" i="5"/>
  <c r="AR699" i="5"/>
  <c r="AN699" i="5"/>
  <c r="AR689" i="5"/>
  <c r="AP689" i="5"/>
  <c r="AN689" i="5"/>
  <c r="AR673" i="5"/>
  <c r="AP673" i="5"/>
  <c r="AN673" i="5"/>
  <c r="AP657" i="5"/>
  <c r="AR657" i="5"/>
  <c r="AN657" i="5"/>
  <c r="AR645" i="5"/>
  <c r="AP645" i="5"/>
  <c r="AN645" i="5"/>
  <c r="AR626" i="5"/>
  <c r="AP626" i="5"/>
  <c r="AN626" i="5"/>
  <c r="AR616" i="5"/>
  <c r="AP616" i="5"/>
  <c r="AN616" i="5"/>
  <c r="AR594" i="5"/>
  <c r="AP594" i="5"/>
  <c r="AN594" i="5"/>
  <c r="AR584" i="5"/>
  <c r="AP584" i="5"/>
  <c r="AN584" i="5"/>
  <c r="AR546" i="5"/>
  <c r="AP546" i="5"/>
  <c r="AN546" i="5"/>
  <c r="AR536" i="5"/>
  <c r="AP536" i="5"/>
  <c r="AN536" i="5"/>
  <c r="AR520" i="5"/>
  <c r="AP520" i="5"/>
  <c r="AN520" i="5"/>
  <c r="AR508" i="5"/>
  <c r="AN508" i="5"/>
  <c r="AP508" i="5"/>
  <c r="AN486" i="5"/>
  <c r="AR486" i="5"/>
  <c r="AP486" i="5"/>
  <c r="AR462" i="5"/>
  <c r="AN462" i="5"/>
  <c r="AP462" i="5"/>
  <c r="AR452" i="5"/>
  <c r="AN452" i="5"/>
  <c r="AP452" i="5"/>
  <c r="AR444" i="5"/>
  <c r="AN444" i="5"/>
  <c r="AP444" i="5"/>
  <c r="AR435" i="5"/>
  <c r="AP435" i="5"/>
  <c r="AN435" i="5"/>
  <c r="AR422" i="5"/>
  <c r="AN422" i="5"/>
  <c r="AP422" i="5"/>
  <c r="AR407" i="5"/>
  <c r="AP407" i="5"/>
  <c r="AN407" i="5"/>
  <c r="AR397" i="5"/>
  <c r="AP397" i="5"/>
  <c r="AN397" i="5"/>
  <c r="AR386" i="5"/>
  <c r="AP386" i="5"/>
  <c r="AN386" i="5"/>
  <c r="AR359" i="5"/>
  <c r="AP359" i="5"/>
  <c r="AN359" i="5"/>
  <c r="AR350" i="5"/>
  <c r="AP350" i="5"/>
  <c r="AN350" i="5"/>
  <c r="AR340" i="5"/>
  <c r="AP340" i="5"/>
  <c r="AN340" i="5"/>
  <c r="AR327" i="5"/>
  <c r="AP327" i="5"/>
  <c r="AN327" i="5"/>
  <c r="AR313" i="5"/>
  <c r="AP313" i="5"/>
  <c r="AN313" i="5"/>
  <c r="AR288" i="5"/>
  <c r="AP288" i="5"/>
  <c r="AN288" i="5"/>
  <c r="AR274" i="5"/>
  <c r="AN274" i="5"/>
  <c r="AP274" i="5"/>
  <c r="AR257" i="5"/>
  <c r="AP257" i="5"/>
  <c r="AN257" i="5"/>
  <c r="AR247" i="5"/>
  <c r="AP247" i="5"/>
  <c r="AN247" i="5"/>
  <c r="AR222" i="5"/>
  <c r="AP222" i="5"/>
  <c r="AN222" i="5"/>
  <c r="AR214" i="5"/>
  <c r="AN214" i="5"/>
  <c r="AP214" i="5"/>
  <c r="AR175" i="5"/>
  <c r="AP175" i="5"/>
  <c r="AN175" i="5"/>
  <c r="AN17" i="5"/>
  <c r="AT17" i="5"/>
  <c r="AP10" i="5"/>
  <c r="AN10" i="5"/>
  <c r="AR724" i="5"/>
  <c r="AP724" i="5"/>
  <c r="AN724" i="5"/>
  <c r="AR708" i="5"/>
  <c r="AN708" i="5"/>
  <c r="AP708" i="5"/>
  <c r="AR688" i="5"/>
  <c r="AP688" i="5"/>
  <c r="AN688" i="5"/>
  <c r="AR680" i="5"/>
  <c r="AP680" i="5"/>
  <c r="AN680" i="5"/>
  <c r="AR676" i="5"/>
  <c r="AN676" i="5"/>
  <c r="AP676" i="5"/>
  <c r="AR668" i="5"/>
  <c r="AN668" i="5"/>
  <c r="AP668" i="5"/>
  <c r="AR664" i="5"/>
  <c r="AP664" i="5"/>
  <c r="AN664" i="5"/>
  <c r="AR660" i="5"/>
  <c r="AN660" i="5"/>
  <c r="AP660" i="5"/>
  <c r="AR656" i="5"/>
  <c r="AP656" i="5"/>
  <c r="AN656" i="5"/>
  <c r="AR652" i="5"/>
  <c r="AN652" i="5"/>
  <c r="AP652" i="5"/>
  <c r="AR648" i="5"/>
  <c r="AP648" i="5"/>
  <c r="AN648" i="5"/>
  <c r="AR644" i="5"/>
  <c r="AN644" i="5"/>
  <c r="AP644" i="5"/>
  <c r="AP641" i="5"/>
  <c r="AR641" i="5"/>
  <c r="AN641" i="5"/>
  <c r="AR638" i="5"/>
  <c r="AP638" i="5"/>
  <c r="AN638" i="5"/>
  <c r="AP635" i="5"/>
  <c r="AR635" i="5"/>
  <c r="AN635" i="5"/>
  <c r="AR631" i="5"/>
  <c r="AP631" i="5"/>
  <c r="AN631" i="5"/>
  <c r="AR628" i="5"/>
  <c r="AN628" i="5"/>
  <c r="AP628" i="5"/>
  <c r="AR625" i="5"/>
  <c r="AP625" i="5"/>
  <c r="AN625" i="5"/>
  <c r="AR622" i="5"/>
  <c r="AP622" i="5"/>
  <c r="AN622" i="5"/>
  <c r="AR619" i="5"/>
  <c r="AP619" i="5"/>
  <c r="AN619" i="5"/>
  <c r="AR615" i="5"/>
  <c r="AP615" i="5"/>
  <c r="AN615" i="5"/>
  <c r="AR612" i="5"/>
  <c r="AN612" i="5"/>
  <c r="AP612" i="5"/>
  <c r="AR609" i="5"/>
  <c r="AP609" i="5"/>
  <c r="AN609" i="5"/>
  <c r="AR606" i="5"/>
  <c r="AP606" i="5"/>
  <c r="AN606" i="5"/>
  <c r="AR603" i="5"/>
  <c r="AP603" i="5"/>
  <c r="AN603" i="5"/>
  <c r="AR599" i="5"/>
  <c r="AP599" i="5"/>
  <c r="AN599" i="5"/>
  <c r="AR596" i="5"/>
  <c r="AN596" i="5"/>
  <c r="AP596" i="5"/>
  <c r="AP593" i="5"/>
  <c r="AR593" i="5"/>
  <c r="AN593" i="5"/>
  <c r="AR590" i="5"/>
  <c r="AP590" i="5"/>
  <c r="AN590" i="5"/>
  <c r="AR587" i="5"/>
  <c r="AP587" i="5"/>
  <c r="AN587" i="5"/>
  <c r="AR583" i="5"/>
  <c r="AP583" i="5"/>
  <c r="AN583" i="5"/>
  <c r="AR580" i="5"/>
  <c r="AN580" i="5"/>
  <c r="AP580" i="5"/>
  <c r="AP577" i="5"/>
  <c r="AR577" i="5"/>
  <c r="AN577" i="5"/>
  <c r="AR574" i="5"/>
  <c r="AN574" i="5"/>
  <c r="AP574" i="5"/>
  <c r="AP571" i="5"/>
  <c r="AR571" i="5"/>
  <c r="AN571" i="5"/>
  <c r="AR567" i="5"/>
  <c r="AP567" i="5"/>
  <c r="AN567" i="5"/>
  <c r="AR564" i="5"/>
  <c r="AN564" i="5"/>
  <c r="AP564" i="5"/>
  <c r="AR561" i="5"/>
  <c r="AP561" i="5"/>
  <c r="AN561" i="5"/>
  <c r="AR558" i="5"/>
  <c r="AN558" i="5"/>
  <c r="AP558" i="5"/>
  <c r="AR555" i="5"/>
  <c r="AP555" i="5"/>
  <c r="AN555" i="5"/>
  <c r="AR551" i="5"/>
  <c r="AP551" i="5"/>
  <c r="AN551" i="5"/>
  <c r="AR548" i="5"/>
  <c r="AN548" i="5"/>
  <c r="AP548" i="5"/>
  <c r="AR545" i="5"/>
  <c r="AP545" i="5"/>
  <c r="AN545" i="5"/>
  <c r="AR542" i="5"/>
  <c r="AN542" i="5"/>
  <c r="AP542" i="5"/>
  <c r="AR539" i="5"/>
  <c r="AP539" i="5"/>
  <c r="AN539" i="5"/>
  <c r="AR535" i="5"/>
  <c r="AP535" i="5"/>
  <c r="AN535" i="5"/>
  <c r="AR531" i="5"/>
  <c r="AP531" i="5"/>
  <c r="AN531" i="5"/>
  <c r="AR527" i="5"/>
  <c r="AP527" i="5"/>
  <c r="AN527" i="5"/>
  <c r="AR523" i="5"/>
  <c r="AP523" i="5"/>
  <c r="AN523" i="5"/>
  <c r="AR519" i="5"/>
  <c r="AP519" i="5"/>
  <c r="AN519" i="5"/>
  <c r="AR515" i="5"/>
  <c r="AP515" i="5"/>
  <c r="AN515" i="5"/>
  <c r="AR511" i="5"/>
  <c r="AP511" i="5"/>
  <c r="AN511" i="5"/>
  <c r="AP507" i="5"/>
  <c r="AR507" i="5"/>
  <c r="AN507" i="5"/>
  <c r="AR503" i="5"/>
  <c r="AP503" i="5"/>
  <c r="AN503" i="5"/>
  <c r="AR498" i="5"/>
  <c r="AP498" i="5"/>
  <c r="AN498" i="5"/>
  <c r="AR496" i="5"/>
  <c r="AP496" i="5"/>
  <c r="AN496" i="5"/>
  <c r="AR493" i="5"/>
  <c r="AP493" i="5"/>
  <c r="AN493" i="5"/>
  <c r="AR489" i="5"/>
  <c r="AP489" i="5"/>
  <c r="AN489" i="5"/>
  <c r="AR485" i="5"/>
  <c r="AP485" i="5"/>
  <c r="AN485" i="5"/>
  <c r="AR478" i="5"/>
  <c r="AN478" i="5"/>
  <c r="AP478" i="5"/>
  <c r="AR475" i="5"/>
  <c r="AP475" i="5"/>
  <c r="AN475" i="5"/>
  <c r="AR472" i="5"/>
  <c r="AP472" i="5"/>
  <c r="AN472" i="5"/>
  <c r="AR469" i="5"/>
  <c r="AP469" i="5"/>
  <c r="AN469" i="5"/>
  <c r="AR458" i="5"/>
  <c r="AP458" i="5"/>
  <c r="AN458" i="5"/>
  <c r="AR455" i="5"/>
  <c r="AP455" i="5"/>
  <c r="AN455" i="5"/>
  <c r="AR451" i="5"/>
  <c r="AP451" i="5"/>
  <c r="AN451" i="5"/>
  <c r="AR447" i="5"/>
  <c r="AP447" i="5"/>
  <c r="AN447" i="5"/>
  <c r="AP443" i="5"/>
  <c r="AR443" i="5"/>
  <c r="AN443" i="5"/>
  <c r="AR440" i="5"/>
  <c r="AP440" i="5"/>
  <c r="AN440" i="5"/>
  <c r="AR437" i="5"/>
  <c r="AP437" i="5"/>
  <c r="AN437" i="5"/>
  <c r="AR434" i="5"/>
  <c r="AP434" i="5"/>
  <c r="AN434" i="5"/>
  <c r="AR430" i="5"/>
  <c r="AN430" i="5"/>
  <c r="AP430" i="5"/>
  <c r="AR428" i="5"/>
  <c r="AN428" i="5"/>
  <c r="AP428" i="5"/>
  <c r="AR425" i="5"/>
  <c r="AP425" i="5"/>
  <c r="AN425" i="5"/>
  <c r="AR421" i="5"/>
  <c r="AP421" i="5"/>
  <c r="AN421" i="5"/>
  <c r="AR417" i="5"/>
  <c r="AP417" i="5"/>
  <c r="AN417" i="5"/>
  <c r="AR413" i="5"/>
  <c r="AP413" i="5"/>
  <c r="AN413" i="5"/>
  <c r="AR410" i="5"/>
  <c r="AP410" i="5"/>
  <c r="AN410" i="5"/>
  <c r="AR406" i="5"/>
  <c r="AN406" i="5"/>
  <c r="AP406" i="5"/>
  <c r="AR403" i="5"/>
  <c r="AP403" i="5"/>
  <c r="AN403" i="5"/>
  <c r="AR399" i="5"/>
  <c r="AP399" i="5"/>
  <c r="AN399" i="5"/>
  <c r="AR396" i="5"/>
  <c r="AN396" i="5"/>
  <c r="AP396" i="5"/>
  <c r="AR392" i="5"/>
  <c r="AP392" i="5"/>
  <c r="AN392" i="5"/>
  <c r="AR389" i="5"/>
  <c r="AP389" i="5"/>
  <c r="AN389" i="5"/>
  <c r="AR385" i="5"/>
  <c r="AP385" i="5"/>
  <c r="AN385" i="5"/>
  <c r="AR382" i="5"/>
  <c r="AN382" i="5"/>
  <c r="AP382" i="5"/>
  <c r="AR380" i="5"/>
  <c r="AN380" i="5"/>
  <c r="AP380" i="5"/>
  <c r="AR376" i="5"/>
  <c r="AP376" i="5"/>
  <c r="AN376" i="5"/>
  <c r="AR373" i="5"/>
  <c r="AP373" i="5"/>
  <c r="AN373" i="5"/>
  <c r="AR369" i="5"/>
  <c r="AP369" i="5"/>
  <c r="AN369" i="5"/>
  <c r="AR365" i="5"/>
  <c r="AP365" i="5"/>
  <c r="AN365" i="5"/>
  <c r="AR361" i="5"/>
  <c r="AP361" i="5"/>
  <c r="AN361" i="5"/>
  <c r="AR358" i="5"/>
  <c r="AN358" i="5"/>
  <c r="AP358" i="5"/>
  <c r="AR356" i="5"/>
  <c r="AP356" i="5"/>
  <c r="AN356" i="5"/>
  <c r="AR353" i="5"/>
  <c r="AP353" i="5"/>
  <c r="AN353" i="5"/>
  <c r="AR343" i="5"/>
  <c r="AP343" i="5"/>
  <c r="AN343" i="5"/>
  <c r="AR339" i="5"/>
  <c r="AP339" i="5"/>
  <c r="AN339" i="5"/>
  <c r="AR336" i="5"/>
  <c r="AP336" i="5"/>
  <c r="AN336" i="5"/>
  <c r="AR330" i="5"/>
  <c r="AP330" i="5"/>
  <c r="AN330" i="5"/>
  <c r="AR326" i="5"/>
  <c r="AN326" i="5"/>
  <c r="AP326" i="5"/>
  <c r="AR323" i="5"/>
  <c r="AP323" i="5"/>
  <c r="AN323" i="5"/>
  <c r="AR319" i="5"/>
  <c r="AP319" i="5"/>
  <c r="AN319" i="5"/>
  <c r="AR316" i="5"/>
  <c r="AP316" i="5"/>
  <c r="AN316" i="5"/>
  <c r="AR309" i="5"/>
  <c r="AP309" i="5"/>
  <c r="AN309" i="5"/>
  <c r="AR306" i="5"/>
  <c r="AN306" i="5"/>
  <c r="AP306" i="5"/>
  <c r="AR303" i="5"/>
  <c r="AP303" i="5"/>
  <c r="AN303" i="5"/>
  <c r="AR300" i="5"/>
  <c r="AP300" i="5"/>
  <c r="AN300" i="5"/>
  <c r="AR297" i="5"/>
  <c r="AP297" i="5"/>
  <c r="AN297" i="5"/>
  <c r="AR293" i="5"/>
  <c r="AP293" i="5"/>
  <c r="AN293" i="5"/>
  <c r="AR291" i="5"/>
  <c r="AP291" i="5"/>
  <c r="AN291" i="5"/>
  <c r="AR287" i="5"/>
  <c r="AP287" i="5"/>
  <c r="AN287" i="5"/>
  <c r="AR284" i="5"/>
  <c r="AP284" i="5"/>
  <c r="AN284" i="5"/>
  <c r="AR281" i="5"/>
  <c r="AP281" i="5"/>
  <c r="AN281" i="5"/>
  <c r="AR277" i="5"/>
  <c r="AP277" i="5"/>
  <c r="AN277" i="5"/>
  <c r="AR273" i="5"/>
  <c r="AP273" i="5"/>
  <c r="AN273" i="5"/>
  <c r="AR269" i="5"/>
  <c r="AP269" i="5"/>
  <c r="AN269" i="5"/>
  <c r="AR265" i="5"/>
  <c r="AP265" i="5"/>
  <c r="AN265" i="5"/>
  <c r="AR262" i="5"/>
  <c r="AN262" i="5"/>
  <c r="AP262" i="5"/>
  <c r="AR256" i="5"/>
  <c r="AP256" i="5"/>
  <c r="AN256" i="5"/>
  <c r="AR250" i="5"/>
  <c r="AP250" i="5"/>
  <c r="AN250" i="5"/>
  <c r="AR246" i="5"/>
  <c r="AN246" i="5"/>
  <c r="AP246" i="5"/>
  <c r="AR242" i="5"/>
  <c r="AN242" i="5"/>
  <c r="AP242" i="5"/>
  <c r="AR238" i="5"/>
  <c r="AP238" i="5"/>
  <c r="AN238" i="5"/>
  <c r="AR234" i="5"/>
  <c r="AP234" i="5"/>
  <c r="AN234" i="5"/>
  <c r="AR231" i="5"/>
  <c r="AP231" i="5"/>
  <c r="AN231" i="5"/>
  <c r="AR228" i="5"/>
  <c r="AP228" i="5"/>
  <c r="AN228" i="5"/>
  <c r="AR225" i="5"/>
  <c r="AP225" i="5"/>
  <c r="AN225" i="5"/>
  <c r="AR221" i="5"/>
  <c r="AP221" i="5"/>
  <c r="AN221" i="5"/>
  <c r="AR219" i="5"/>
  <c r="AP219" i="5"/>
  <c r="AN219" i="5"/>
  <c r="AR216" i="5"/>
  <c r="AP216" i="5"/>
  <c r="AN216" i="5"/>
  <c r="AR211" i="5"/>
  <c r="AP211" i="5"/>
  <c r="AN211" i="5"/>
  <c r="AR208" i="5"/>
  <c r="AP208" i="5"/>
  <c r="AN208" i="5"/>
  <c r="AR204" i="5"/>
  <c r="AP204" i="5"/>
  <c r="AN204" i="5"/>
  <c r="AR198" i="5"/>
  <c r="AP198" i="5"/>
  <c r="AN198" i="5"/>
  <c r="AR192" i="5"/>
  <c r="AP192" i="5"/>
  <c r="AN192" i="5"/>
  <c r="AR189" i="5"/>
  <c r="AP189" i="5"/>
  <c r="AN189" i="5"/>
  <c r="AR186" i="5"/>
  <c r="AP186" i="5"/>
  <c r="AN186" i="5"/>
  <c r="AR180" i="5"/>
  <c r="AP180" i="5"/>
  <c r="AN180" i="5"/>
  <c r="AR177" i="5"/>
  <c r="AP177" i="5"/>
  <c r="AN177" i="5"/>
  <c r="AR171" i="5"/>
  <c r="AP171" i="5"/>
  <c r="AN171" i="5"/>
  <c r="AR166" i="5"/>
  <c r="AP166" i="5"/>
  <c r="AN166" i="5"/>
  <c r="AR163" i="5"/>
  <c r="AP163" i="5"/>
  <c r="AN163" i="5"/>
  <c r="AR160" i="5"/>
  <c r="AP160" i="5"/>
  <c r="AN160" i="5"/>
  <c r="AR157" i="5"/>
  <c r="AP157" i="5"/>
  <c r="AN157" i="5"/>
  <c r="AR154" i="5"/>
  <c r="AP154" i="5"/>
  <c r="AN154" i="5"/>
  <c r="AR151" i="5"/>
  <c r="AP151" i="5"/>
  <c r="AN151" i="5"/>
  <c r="AN24" i="5"/>
  <c r="AT24" i="5"/>
  <c r="AP20" i="5"/>
  <c r="AN20" i="5"/>
  <c r="AT20" i="5"/>
  <c r="AP16" i="5"/>
  <c r="AN16" i="5"/>
  <c r="AT16" i="5"/>
  <c r="AL16" i="5" s="1"/>
  <c r="AR750" i="5"/>
  <c r="AP750" i="5"/>
  <c r="AN750" i="5"/>
  <c r="AR727" i="5"/>
  <c r="AP727" i="5"/>
  <c r="AN727" i="5"/>
  <c r="AR718" i="5"/>
  <c r="AP718" i="5"/>
  <c r="AN718" i="5"/>
  <c r="AR711" i="5"/>
  <c r="AP711" i="5"/>
  <c r="AN711" i="5"/>
  <c r="AR704" i="5"/>
  <c r="AP704" i="5"/>
  <c r="AN704" i="5"/>
  <c r="AR693" i="5"/>
  <c r="AP693" i="5"/>
  <c r="AN693" i="5"/>
  <c r="AR677" i="5"/>
  <c r="AP677" i="5"/>
  <c r="AN677" i="5"/>
  <c r="AR661" i="5"/>
  <c r="AP661" i="5"/>
  <c r="AN661" i="5"/>
  <c r="AR642" i="5"/>
  <c r="AP642" i="5"/>
  <c r="AN642" i="5"/>
  <c r="AR597" i="5"/>
  <c r="AP597" i="5"/>
  <c r="AN597" i="5"/>
  <c r="AR565" i="5"/>
  <c r="AP565" i="5"/>
  <c r="AN565" i="5"/>
  <c r="AR552" i="5"/>
  <c r="AP552" i="5"/>
  <c r="AN552" i="5"/>
  <c r="AR528" i="5"/>
  <c r="AP528" i="5"/>
  <c r="AN528" i="5"/>
  <c r="AR516" i="5"/>
  <c r="AN516" i="5"/>
  <c r="AP516" i="5"/>
  <c r="AR501" i="5"/>
  <c r="AP501" i="5"/>
  <c r="AN501" i="5"/>
  <c r="AR479" i="5"/>
  <c r="AP479" i="5"/>
  <c r="AN479" i="5"/>
  <c r="AR467" i="5"/>
  <c r="AP467" i="5"/>
  <c r="AN467" i="5"/>
  <c r="AR456" i="5"/>
  <c r="AP456" i="5"/>
  <c r="AN456" i="5"/>
  <c r="AR411" i="5"/>
  <c r="AP411" i="5"/>
  <c r="AN411" i="5"/>
  <c r="AR393" i="5"/>
  <c r="AP393" i="5"/>
  <c r="AN393" i="5"/>
  <c r="AR383" i="5"/>
  <c r="AP383" i="5"/>
  <c r="AN383" i="5"/>
  <c r="AR370" i="5"/>
  <c r="AN370" i="5"/>
  <c r="AP370" i="5"/>
  <c r="AR344" i="5"/>
  <c r="AP344" i="5"/>
  <c r="AN344" i="5"/>
  <c r="AR334" i="5"/>
  <c r="AP334" i="5"/>
  <c r="AN334" i="5"/>
  <c r="AR320" i="5"/>
  <c r="AP320" i="5"/>
  <c r="AN320" i="5"/>
  <c r="AR310" i="5"/>
  <c r="AN310" i="5"/>
  <c r="AP310" i="5"/>
  <c r="AR301" i="5"/>
  <c r="AP301" i="5"/>
  <c r="AN301" i="5"/>
  <c r="AR278" i="5"/>
  <c r="AN278" i="5"/>
  <c r="AP278" i="5"/>
  <c r="AR263" i="5"/>
  <c r="AP263" i="5"/>
  <c r="AN263" i="5"/>
  <c r="AR251" i="5"/>
  <c r="AP251" i="5"/>
  <c r="AN251" i="5"/>
  <c r="AR235" i="5"/>
  <c r="AP235" i="5"/>
  <c r="AN235" i="5"/>
  <c r="AR226" i="5"/>
  <c r="AN226" i="5"/>
  <c r="AP226" i="5"/>
  <c r="AR205" i="5"/>
  <c r="AP205" i="5"/>
  <c r="AN205" i="5"/>
  <c r="AR193" i="5"/>
  <c r="AP193" i="5"/>
  <c r="AN193" i="5"/>
  <c r="AR181" i="5"/>
  <c r="AP181" i="5"/>
  <c r="AN181" i="5"/>
  <c r="AR169" i="5"/>
  <c r="AP169" i="5"/>
  <c r="AN169" i="5"/>
  <c r="AR152" i="5"/>
  <c r="AP152" i="5"/>
  <c r="AN152" i="5"/>
  <c r="AR21" i="5"/>
  <c r="AN21" i="5"/>
  <c r="AT21" i="5"/>
  <c r="AL21" i="5" s="1"/>
  <c r="AR692" i="5"/>
  <c r="AN692" i="5"/>
  <c r="AP692" i="5"/>
  <c r="AN13" i="5"/>
  <c r="AT13" i="5"/>
  <c r="AR730" i="5"/>
  <c r="AP730" i="5"/>
  <c r="AN730" i="5"/>
  <c r="AR723" i="5"/>
  <c r="AP723" i="5"/>
  <c r="AN723" i="5"/>
  <c r="AR717" i="5"/>
  <c r="AP717" i="5"/>
  <c r="AN717" i="5"/>
  <c r="AR710" i="5"/>
  <c r="AP710" i="5"/>
  <c r="AN710" i="5"/>
  <c r="AR703" i="5"/>
  <c r="AP703" i="5"/>
  <c r="AN703" i="5"/>
  <c r="AR695" i="5"/>
  <c r="AP695" i="5"/>
  <c r="AN695" i="5"/>
  <c r="AR683" i="5"/>
  <c r="AP683" i="5"/>
  <c r="AN683" i="5"/>
  <c r="AR667" i="5"/>
  <c r="AP667" i="5"/>
  <c r="AN667" i="5"/>
  <c r="AR655" i="5"/>
  <c r="AP655" i="5"/>
  <c r="AN655" i="5"/>
  <c r="AR640" i="5"/>
  <c r="AP640" i="5"/>
  <c r="AN640" i="5"/>
  <c r="AR624" i="5"/>
  <c r="AP624" i="5"/>
  <c r="AN624" i="5"/>
  <c r="AR586" i="5"/>
  <c r="AP586" i="5"/>
  <c r="AN586" i="5"/>
  <c r="AR576" i="5"/>
  <c r="AP576" i="5"/>
  <c r="AN576" i="5"/>
  <c r="AR570" i="5"/>
  <c r="AP570" i="5"/>
  <c r="AN570" i="5"/>
  <c r="AR560" i="5"/>
  <c r="AP560" i="5"/>
  <c r="AN560" i="5"/>
  <c r="AR544" i="5"/>
  <c r="AP544" i="5"/>
  <c r="AN544" i="5"/>
  <c r="AR534" i="5"/>
  <c r="AN534" i="5"/>
  <c r="AP534" i="5"/>
  <c r="AR522" i="5"/>
  <c r="AP522" i="5"/>
  <c r="AN522" i="5"/>
  <c r="AR510" i="5"/>
  <c r="AN510" i="5"/>
  <c r="AP510" i="5"/>
  <c r="AR500" i="5"/>
  <c r="AN500" i="5"/>
  <c r="AP500" i="5"/>
  <c r="AR495" i="5"/>
  <c r="AP495" i="5"/>
  <c r="AN495" i="5"/>
  <c r="AR484" i="5"/>
  <c r="AN484" i="5"/>
  <c r="AP484" i="5"/>
  <c r="AR466" i="5"/>
  <c r="AP466" i="5"/>
  <c r="AN466" i="5"/>
  <c r="AR461" i="5"/>
  <c r="AP461" i="5"/>
  <c r="AN461" i="5"/>
  <c r="AR450" i="5"/>
  <c r="AP450" i="5"/>
  <c r="AN450" i="5"/>
  <c r="AR439" i="5"/>
  <c r="AP439" i="5"/>
  <c r="AN439" i="5"/>
  <c r="AR424" i="5"/>
  <c r="AP424" i="5"/>
  <c r="AN424" i="5"/>
  <c r="AR420" i="5"/>
  <c r="AN420" i="5"/>
  <c r="AP420" i="5"/>
  <c r="AR416" i="5"/>
  <c r="AP416" i="5"/>
  <c r="AN416" i="5"/>
  <c r="AR409" i="5"/>
  <c r="AP409" i="5"/>
  <c r="AN409" i="5"/>
  <c r="AR405" i="5"/>
  <c r="AP405" i="5"/>
  <c r="AN405" i="5"/>
  <c r="AR402" i="5"/>
  <c r="AP402" i="5"/>
  <c r="AN402" i="5"/>
  <c r="AR398" i="5"/>
  <c r="AN398" i="5"/>
  <c r="AP398" i="5"/>
  <c r="AR395" i="5"/>
  <c r="AP395" i="5"/>
  <c r="AN395" i="5"/>
  <c r="AR391" i="5"/>
  <c r="AP391" i="5"/>
  <c r="AN391" i="5"/>
  <c r="AR388" i="5"/>
  <c r="AN388" i="5"/>
  <c r="AP388" i="5"/>
  <c r="AR379" i="5"/>
  <c r="AP379" i="5"/>
  <c r="AN379" i="5"/>
  <c r="AR375" i="5"/>
  <c r="AP375" i="5"/>
  <c r="AN375" i="5"/>
  <c r="AR372" i="5"/>
  <c r="AP372" i="5"/>
  <c r="AN372" i="5"/>
  <c r="AR368" i="5"/>
  <c r="AP368" i="5"/>
  <c r="AN368" i="5"/>
  <c r="AR364" i="5"/>
  <c r="AP364" i="5"/>
  <c r="AN364" i="5"/>
  <c r="AR355" i="5"/>
  <c r="AP355" i="5"/>
  <c r="AN355" i="5"/>
  <c r="AR352" i="5"/>
  <c r="AP352" i="5"/>
  <c r="AN352" i="5"/>
  <c r="AR349" i="5"/>
  <c r="AP349" i="5"/>
  <c r="AN349" i="5"/>
  <c r="AR346" i="5"/>
  <c r="AP346" i="5"/>
  <c r="AN346" i="5"/>
  <c r="AR342" i="5"/>
  <c r="AN342" i="5"/>
  <c r="AP342" i="5"/>
  <c r="AR338" i="5"/>
  <c r="AN338" i="5"/>
  <c r="AP338" i="5"/>
  <c r="AR333" i="5"/>
  <c r="AP333" i="5"/>
  <c r="AN333" i="5"/>
  <c r="AR329" i="5"/>
  <c r="AP329" i="5"/>
  <c r="AN329" i="5"/>
  <c r="AR325" i="5"/>
  <c r="AP325" i="5"/>
  <c r="AN325" i="5"/>
  <c r="AR322" i="5"/>
  <c r="AN322" i="5"/>
  <c r="AP322" i="5"/>
  <c r="AR318" i="5"/>
  <c r="AP318" i="5"/>
  <c r="AN318" i="5"/>
  <c r="AR315" i="5"/>
  <c r="AP315" i="5"/>
  <c r="AN315" i="5"/>
  <c r="AR312" i="5"/>
  <c r="AP312" i="5"/>
  <c r="AN312" i="5"/>
  <c r="AR305" i="5"/>
  <c r="AP305" i="5"/>
  <c r="AN305" i="5"/>
  <c r="AR302" i="5"/>
  <c r="AP302" i="5"/>
  <c r="AN302" i="5"/>
  <c r="AR299" i="5"/>
  <c r="AP299" i="5"/>
  <c r="AN299" i="5"/>
  <c r="AR296" i="5"/>
  <c r="AP296" i="5"/>
  <c r="AN296" i="5"/>
  <c r="AR290" i="5"/>
  <c r="AN290" i="5"/>
  <c r="AP290" i="5"/>
  <c r="AR286" i="5"/>
  <c r="AP286" i="5"/>
  <c r="AN286" i="5"/>
  <c r="AP280" i="5"/>
  <c r="AR280" i="5"/>
  <c r="AN280" i="5"/>
  <c r="AR276" i="5"/>
  <c r="AP276" i="5"/>
  <c r="AN276" i="5"/>
  <c r="AR272" i="5"/>
  <c r="AP272" i="5"/>
  <c r="AN272" i="5"/>
  <c r="AR268" i="5"/>
  <c r="AP268" i="5"/>
  <c r="AN268" i="5"/>
  <c r="AR264" i="5"/>
  <c r="AP264" i="5"/>
  <c r="AN264" i="5"/>
  <c r="AR261" i="5"/>
  <c r="AP261" i="5"/>
  <c r="AN261" i="5"/>
  <c r="AR259" i="5"/>
  <c r="AP259" i="5"/>
  <c r="AN259" i="5"/>
  <c r="AR255" i="5"/>
  <c r="AP255" i="5"/>
  <c r="AN255" i="5"/>
  <c r="AR252" i="5"/>
  <c r="AP252" i="5"/>
  <c r="AN252" i="5"/>
  <c r="AR249" i="5"/>
  <c r="AP249" i="5"/>
  <c r="AN249" i="5"/>
  <c r="AR245" i="5"/>
  <c r="AP245" i="5"/>
  <c r="AN245" i="5"/>
  <c r="AR241" i="5"/>
  <c r="AP241" i="5"/>
  <c r="AN241" i="5"/>
  <c r="AR237" i="5"/>
  <c r="AP237" i="5"/>
  <c r="AN237" i="5"/>
  <c r="AR233" i="5"/>
  <c r="AP233" i="5"/>
  <c r="AN233" i="5"/>
  <c r="AR230" i="5"/>
  <c r="AN230" i="5"/>
  <c r="AP230" i="5"/>
  <c r="AR224" i="5"/>
  <c r="AP224" i="5"/>
  <c r="AN224" i="5"/>
  <c r="AR218" i="5"/>
  <c r="AP218" i="5"/>
  <c r="AN218" i="5"/>
  <c r="AR215" i="5"/>
  <c r="AP215" i="5"/>
  <c r="AN215" i="5"/>
  <c r="AR213" i="5"/>
  <c r="AP213" i="5"/>
  <c r="AN213" i="5"/>
  <c r="AR210" i="5"/>
  <c r="AN210" i="5"/>
  <c r="AP210" i="5"/>
  <c r="AR207" i="5"/>
  <c r="AP207" i="5"/>
  <c r="AN207" i="5"/>
  <c r="AR203" i="5"/>
  <c r="AP203" i="5"/>
  <c r="AN203" i="5"/>
  <c r="AR200" i="5"/>
  <c r="AP200" i="5"/>
  <c r="AN200" i="5"/>
  <c r="AR195" i="5"/>
  <c r="AP195" i="5"/>
  <c r="AN195" i="5"/>
  <c r="AR191" i="5"/>
  <c r="AP191" i="5"/>
  <c r="AN191" i="5"/>
  <c r="AR188" i="5"/>
  <c r="AP188" i="5"/>
  <c r="AN188" i="5"/>
  <c r="AR185" i="5"/>
  <c r="AP185" i="5"/>
  <c r="AN185" i="5"/>
  <c r="AR182" i="5"/>
  <c r="AP182" i="5"/>
  <c r="AN182" i="5"/>
  <c r="AR179" i="5"/>
  <c r="AP179" i="5"/>
  <c r="AN179" i="5"/>
  <c r="AR174" i="5"/>
  <c r="AP174" i="5"/>
  <c r="AN174" i="5"/>
  <c r="AR170" i="5"/>
  <c r="AP170" i="5"/>
  <c r="AN170" i="5"/>
  <c r="AR168" i="5"/>
  <c r="AP168" i="5"/>
  <c r="AN168" i="5"/>
  <c r="AR159" i="5"/>
  <c r="AP159" i="5"/>
  <c r="AN159" i="5"/>
  <c r="AR156" i="5"/>
  <c r="AP156" i="5"/>
  <c r="AN156" i="5"/>
  <c r="AN23" i="5"/>
  <c r="AT23" i="5"/>
  <c r="AN19" i="5"/>
  <c r="AT19" i="5"/>
  <c r="AP15" i="5"/>
  <c r="AN15" i="5"/>
  <c r="AT15" i="5"/>
  <c r="AL15" i="5" s="1"/>
  <c r="AN11" i="5"/>
  <c r="AR729" i="5"/>
  <c r="AP729" i="5"/>
  <c r="AN729" i="5"/>
  <c r="AR725" i="5"/>
  <c r="AP725" i="5"/>
  <c r="AN725" i="5"/>
  <c r="AR720" i="5"/>
  <c r="AP720" i="5"/>
  <c r="AN720" i="5"/>
  <c r="AR713" i="5"/>
  <c r="AP713" i="5"/>
  <c r="AN713" i="5"/>
  <c r="AR706" i="5"/>
  <c r="AP706" i="5"/>
  <c r="AN706" i="5"/>
  <c r="AR702" i="5"/>
  <c r="AP702" i="5"/>
  <c r="AN702" i="5"/>
  <c r="AR697" i="5"/>
  <c r="AP697" i="5"/>
  <c r="AN697" i="5"/>
  <c r="AR685" i="5"/>
  <c r="AP685" i="5"/>
  <c r="AN685" i="5"/>
  <c r="AR681" i="5"/>
  <c r="AP681" i="5"/>
  <c r="AN681" i="5"/>
  <c r="AR669" i="5"/>
  <c r="AP669" i="5"/>
  <c r="AN669" i="5"/>
  <c r="AR665" i="5"/>
  <c r="AP665" i="5"/>
  <c r="AN665" i="5"/>
  <c r="AR653" i="5"/>
  <c r="AP653" i="5"/>
  <c r="AN653" i="5"/>
  <c r="AR649" i="5"/>
  <c r="AP649" i="5"/>
  <c r="AN649" i="5"/>
  <c r="AR632" i="5"/>
  <c r="AP632" i="5"/>
  <c r="AN632" i="5"/>
  <c r="AR629" i="5"/>
  <c r="AP629" i="5"/>
  <c r="AN629" i="5"/>
  <c r="AR613" i="5"/>
  <c r="AP613" i="5"/>
  <c r="AN613" i="5"/>
  <c r="AR610" i="5"/>
  <c r="AP610" i="5"/>
  <c r="AN610" i="5"/>
  <c r="AR600" i="5"/>
  <c r="AP600" i="5"/>
  <c r="AN600" i="5"/>
  <c r="AR581" i="5"/>
  <c r="AP581" i="5"/>
  <c r="AN581" i="5"/>
  <c r="AR578" i="5"/>
  <c r="AP578" i="5"/>
  <c r="AN578" i="5"/>
  <c r="AR568" i="5"/>
  <c r="AP568" i="5"/>
  <c r="AN568" i="5"/>
  <c r="AR562" i="5"/>
  <c r="AP562" i="5"/>
  <c r="AN562" i="5"/>
  <c r="AR549" i="5"/>
  <c r="AP549" i="5"/>
  <c r="AN549" i="5"/>
  <c r="AR532" i="5"/>
  <c r="AN532" i="5"/>
  <c r="AP532" i="5"/>
  <c r="AR524" i="5"/>
  <c r="AN524" i="5"/>
  <c r="AP524" i="5"/>
  <c r="AR512" i="5"/>
  <c r="AP512" i="5"/>
  <c r="AN512" i="5"/>
  <c r="AR504" i="5"/>
  <c r="AP504" i="5"/>
  <c r="AN504" i="5"/>
  <c r="AR490" i="5"/>
  <c r="AP490" i="5"/>
  <c r="AN490" i="5"/>
  <c r="AR482" i="5"/>
  <c r="AP482" i="5"/>
  <c r="AN482" i="5"/>
  <c r="AR476" i="5"/>
  <c r="AN476" i="5"/>
  <c r="AP476" i="5"/>
  <c r="AR473" i="5"/>
  <c r="AP473" i="5"/>
  <c r="AN473" i="5"/>
  <c r="AP465" i="5"/>
  <c r="AN465" i="5"/>
  <c r="AR465" i="5"/>
  <c r="AR459" i="5"/>
  <c r="AP459" i="5"/>
  <c r="AN459" i="5"/>
  <c r="AR448" i="5"/>
  <c r="AP448" i="5"/>
  <c r="AN448" i="5"/>
  <c r="AR431" i="5"/>
  <c r="AP431" i="5"/>
  <c r="AN431" i="5"/>
  <c r="AR418" i="5"/>
  <c r="AP418" i="5"/>
  <c r="AN418" i="5"/>
  <c r="AR414" i="5"/>
  <c r="AN414" i="5"/>
  <c r="AP414" i="5"/>
  <c r="AR404" i="5"/>
  <c r="AN404" i="5"/>
  <c r="AP404" i="5"/>
  <c r="AR400" i="5"/>
  <c r="AP400" i="5"/>
  <c r="AN400" i="5"/>
  <c r="AR377" i="5"/>
  <c r="AP377" i="5"/>
  <c r="AN377" i="5"/>
  <c r="AP366" i="5"/>
  <c r="AN366" i="5"/>
  <c r="AR366" i="5"/>
  <c r="AR362" i="5"/>
  <c r="AP362" i="5"/>
  <c r="AN362" i="5"/>
  <c r="AR347" i="5"/>
  <c r="AP347" i="5"/>
  <c r="AN347" i="5"/>
  <c r="AR331" i="5"/>
  <c r="AP331" i="5"/>
  <c r="AN331" i="5"/>
  <c r="AR324" i="5"/>
  <c r="AP324" i="5"/>
  <c r="AN324" i="5"/>
  <c r="AR317" i="5"/>
  <c r="AP317" i="5"/>
  <c r="AN317" i="5"/>
  <c r="AR307" i="5"/>
  <c r="AP307" i="5"/>
  <c r="AN307" i="5"/>
  <c r="AR294" i="5"/>
  <c r="AN294" i="5"/>
  <c r="AP294" i="5"/>
  <c r="AR282" i="5"/>
  <c r="AP282" i="5"/>
  <c r="AN282" i="5"/>
  <c r="AR270" i="5"/>
  <c r="AP270" i="5"/>
  <c r="AN270" i="5"/>
  <c r="AR266" i="5"/>
  <c r="AP266" i="5"/>
  <c r="AN266" i="5"/>
  <c r="AR260" i="5"/>
  <c r="AP260" i="5"/>
  <c r="AN260" i="5"/>
  <c r="AR253" i="5"/>
  <c r="AP253" i="5"/>
  <c r="AN253" i="5"/>
  <c r="AR243" i="5"/>
  <c r="AP243" i="5"/>
  <c r="AN243" i="5"/>
  <c r="AR239" i="5"/>
  <c r="AP239" i="5"/>
  <c r="AN239" i="5"/>
  <c r="AR209" i="5"/>
  <c r="AP209" i="5"/>
  <c r="AN209" i="5"/>
  <c r="AR201" i="5"/>
  <c r="AP201" i="5"/>
  <c r="AN201" i="5"/>
  <c r="AR196" i="5"/>
  <c r="AP196" i="5"/>
  <c r="AN196" i="5"/>
  <c r="AR190" i="5"/>
  <c r="AP190" i="5"/>
  <c r="AN190" i="5"/>
  <c r="AR187" i="5"/>
  <c r="AP187" i="5"/>
  <c r="AN187" i="5"/>
  <c r="AR183" i="5"/>
  <c r="AP183" i="5"/>
  <c r="AN183" i="5"/>
  <c r="AR172" i="5"/>
  <c r="AP172" i="5"/>
  <c r="AN172" i="5"/>
  <c r="AR164" i="5"/>
  <c r="AP164" i="5"/>
  <c r="AN164" i="5"/>
  <c r="AR161" i="5"/>
  <c r="AP161" i="5"/>
  <c r="AN161" i="5"/>
  <c r="AR7" i="5"/>
  <c r="AP7" i="5"/>
  <c r="AN7" i="5"/>
  <c r="AR696" i="5"/>
  <c r="AP696" i="5"/>
  <c r="AN696" i="5"/>
  <c r="AR684" i="5"/>
  <c r="AN684" i="5"/>
  <c r="AP684" i="5"/>
  <c r="AR672" i="5"/>
  <c r="AP672" i="5"/>
  <c r="AN672" i="5"/>
  <c r="AN8" i="5"/>
  <c r="AR728" i="5"/>
  <c r="AN728" i="5"/>
  <c r="AP728" i="5"/>
  <c r="AR726" i="5"/>
  <c r="AP726" i="5"/>
  <c r="AN726" i="5"/>
  <c r="AP721" i="5"/>
  <c r="AR721" i="5"/>
  <c r="AN721" i="5"/>
  <c r="AR719" i="5"/>
  <c r="AP719" i="5"/>
  <c r="AN719" i="5"/>
  <c r="AR714" i="5"/>
  <c r="AP714" i="5"/>
  <c r="AN714" i="5"/>
  <c r="AR712" i="5"/>
  <c r="AP712" i="5"/>
  <c r="AN712" i="5"/>
  <c r="AR707" i="5"/>
  <c r="AP707" i="5"/>
  <c r="AN707" i="5"/>
  <c r="AP705" i="5"/>
  <c r="AR705" i="5"/>
  <c r="AN705" i="5"/>
  <c r="AR701" i="5"/>
  <c r="AP701" i="5"/>
  <c r="AN701" i="5"/>
  <c r="AR698" i="5"/>
  <c r="AP698" i="5"/>
  <c r="AN698" i="5"/>
  <c r="AR691" i="5"/>
  <c r="AP691" i="5"/>
  <c r="AN691" i="5"/>
  <c r="AR687" i="5"/>
  <c r="AP687" i="5"/>
  <c r="AN687" i="5"/>
  <c r="AR679" i="5"/>
  <c r="AP679" i="5"/>
  <c r="AN679" i="5"/>
  <c r="AR675" i="5"/>
  <c r="AP675" i="5"/>
  <c r="AN675" i="5"/>
  <c r="AR671" i="5"/>
  <c r="AP671" i="5"/>
  <c r="AN671" i="5"/>
  <c r="AR663" i="5"/>
  <c r="AP663" i="5"/>
  <c r="AN663" i="5"/>
  <c r="AR659" i="5"/>
  <c r="AP659" i="5"/>
  <c r="AN659" i="5"/>
  <c r="AR651" i="5"/>
  <c r="AP651" i="5"/>
  <c r="AN651" i="5"/>
  <c r="AR647" i="5"/>
  <c r="AP647" i="5"/>
  <c r="AN647" i="5"/>
  <c r="AR637" i="5"/>
  <c r="AP637" i="5"/>
  <c r="AN637" i="5"/>
  <c r="AR634" i="5"/>
  <c r="AP634" i="5"/>
  <c r="AN634" i="5"/>
  <c r="AR621" i="5"/>
  <c r="AP621" i="5"/>
  <c r="AN621" i="5"/>
  <c r="AR618" i="5"/>
  <c r="AP618" i="5"/>
  <c r="AN618" i="5"/>
  <c r="AR608" i="5"/>
  <c r="AP608" i="5"/>
  <c r="AN608" i="5"/>
  <c r="AR605" i="5"/>
  <c r="AP605" i="5"/>
  <c r="AN605" i="5"/>
  <c r="AR602" i="5"/>
  <c r="AP602" i="5"/>
  <c r="AN602" i="5"/>
  <c r="AR592" i="5"/>
  <c r="AP592" i="5"/>
  <c r="AN592" i="5"/>
  <c r="AR589" i="5"/>
  <c r="AP589" i="5"/>
  <c r="AN589" i="5"/>
  <c r="AR573" i="5"/>
  <c r="AP573" i="5"/>
  <c r="AN573" i="5"/>
  <c r="AR557" i="5"/>
  <c r="AP557" i="5"/>
  <c r="AN557" i="5"/>
  <c r="AR554" i="5"/>
  <c r="AP554" i="5"/>
  <c r="AN554" i="5"/>
  <c r="AR541" i="5"/>
  <c r="AP541" i="5"/>
  <c r="AN541" i="5"/>
  <c r="AR538" i="5"/>
  <c r="AP538" i="5"/>
  <c r="AN538" i="5"/>
  <c r="AR530" i="5"/>
  <c r="AP530" i="5"/>
  <c r="AN530" i="5"/>
  <c r="AR526" i="5"/>
  <c r="AN526" i="5"/>
  <c r="AP526" i="5"/>
  <c r="AR518" i="5"/>
  <c r="AN518" i="5"/>
  <c r="AP518" i="5"/>
  <c r="AR514" i="5"/>
  <c r="AP514" i="5"/>
  <c r="AN514" i="5"/>
  <c r="AR506" i="5"/>
  <c r="AP506" i="5"/>
  <c r="AN506" i="5"/>
  <c r="AR502" i="5"/>
  <c r="AN502" i="5"/>
  <c r="AP502" i="5"/>
  <c r="AR492" i="5"/>
  <c r="AN492" i="5"/>
  <c r="AP492" i="5"/>
  <c r="AR488" i="5"/>
  <c r="AP488" i="5"/>
  <c r="AN488" i="5"/>
  <c r="AR481" i="5"/>
  <c r="AP481" i="5"/>
  <c r="AN481" i="5"/>
  <c r="AR477" i="5"/>
  <c r="AP477" i="5"/>
  <c r="AN477" i="5"/>
  <c r="AR471" i="5"/>
  <c r="AP471" i="5"/>
  <c r="AN471" i="5"/>
  <c r="AR464" i="5"/>
  <c r="AP464" i="5"/>
  <c r="AN464" i="5"/>
  <c r="AR454" i="5"/>
  <c r="AN454" i="5"/>
  <c r="AP454" i="5"/>
  <c r="AR446" i="5"/>
  <c r="AN446" i="5"/>
  <c r="AP446" i="5"/>
  <c r="AR442" i="5"/>
  <c r="AP442" i="5"/>
  <c r="AN442" i="5"/>
  <c r="AR433" i="5"/>
  <c r="AP433" i="5"/>
  <c r="AN433" i="5"/>
  <c r="AR427" i="5"/>
  <c r="AP427" i="5"/>
  <c r="AN427" i="5"/>
  <c r="AN12" i="5"/>
  <c r="AT12" i="5"/>
  <c r="AR716" i="5"/>
  <c r="AN716" i="5"/>
  <c r="AP716" i="5"/>
  <c r="AR700" i="5"/>
  <c r="AN700" i="5"/>
  <c r="AP700" i="5"/>
  <c r="AR694" i="5"/>
  <c r="AP694" i="5"/>
  <c r="AN694" i="5"/>
  <c r="AR690" i="5"/>
  <c r="AP690" i="5"/>
  <c r="AN690" i="5"/>
  <c r="AR686" i="5"/>
  <c r="AP686" i="5"/>
  <c r="AN686" i="5"/>
  <c r="AR682" i="5"/>
  <c r="AP682" i="5"/>
  <c r="AN682" i="5"/>
  <c r="AR678" i="5"/>
  <c r="AP678" i="5"/>
  <c r="AN678" i="5"/>
  <c r="AR674" i="5"/>
  <c r="AP674" i="5"/>
  <c r="AN674" i="5"/>
  <c r="AR670" i="5"/>
  <c r="AP670" i="5"/>
  <c r="AN670" i="5"/>
  <c r="AR666" i="5"/>
  <c r="AP666" i="5"/>
  <c r="AN666" i="5"/>
  <c r="AR662" i="5"/>
  <c r="AP662" i="5"/>
  <c r="AN662" i="5"/>
  <c r="AR658" i="5"/>
  <c r="AP658" i="5"/>
  <c r="AN658" i="5"/>
  <c r="AR654" i="5"/>
  <c r="AP654" i="5"/>
  <c r="AN654" i="5"/>
  <c r="AR650" i="5"/>
  <c r="AP650" i="5"/>
  <c r="AN650" i="5"/>
  <c r="AR646" i="5"/>
  <c r="AP646" i="5"/>
  <c r="AN646" i="5"/>
  <c r="AR643" i="5"/>
  <c r="AP643" i="5"/>
  <c r="AN643" i="5"/>
  <c r="AR639" i="5"/>
  <c r="AP639" i="5"/>
  <c r="AN639" i="5"/>
  <c r="AR636" i="5"/>
  <c r="AN636" i="5"/>
  <c r="AP636" i="5"/>
  <c r="AR633" i="5"/>
  <c r="AP633" i="5"/>
  <c r="AN633" i="5"/>
  <c r="AR630" i="5"/>
  <c r="AP630" i="5"/>
  <c r="AN630" i="5"/>
  <c r="AR627" i="5"/>
  <c r="AP627" i="5"/>
  <c r="AN627" i="5"/>
  <c r="AR623" i="5"/>
  <c r="AP623" i="5"/>
  <c r="AN623" i="5"/>
  <c r="AR620" i="5"/>
  <c r="AN620" i="5"/>
  <c r="AP620" i="5"/>
  <c r="AR617" i="5"/>
  <c r="AP617" i="5"/>
  <c r="AN617" i="5"/>
  <c r="AR614" i="5"/>
  <c r="AP614" i="5"/>
  <c r="AN614" i="5"/>
  <c r="AR611" i="5"/>
  <c r="AP611" i="5"/>
  <c r="AN611" i="5"/>
  <c r="AR607" i="5"/>
  <c r="AP607" i="5"/>
  <c r="AN607" i="5"/>
  <c r="AR604" i="5"/>
  <c r="AN604" i="5"/>
  <c r="AP604" i="5"/>
  <c r="AR601" i="5"/>
  <c r="AP601" i="5"/>
  <c r="AN601" i="5"/>
  <c r="AR598" i="5"/>
  <c r="AP598" i="5"/>
  <c r="AN598" i="5"/>
  <c r="AR595" i="5"/>
  <c r="AP595" i="5"/>
  <c r="AN595" i="5"/>
  <c r="AR591" i="5"/>
  <c r="AP591" i="5"/>
  <c r="AN591" i="5"/>
  <c r="AR588" i="5"/>
  <c r="AN588" i="5"/>
  <c r="AP588" i="5"/>
  <c r="AR585" i="5"/>
  <c r="AP585" i="5"/>
  <c r="AN585" i="5"/>
  <c r="AR582" i="5"/>
  <c r="AN582" i="5"/>
  <c r="AP582" i="5"/>
  <c r="AR579" i="5"/>
  <c r="AP579" i="5"/>
  <c r="AN579" i="5"/>
  <c r="AR575" i="5"/>
  <c r="AP575" i="5"/>
  <c r="AN575" i="5"/>
  <c r="AR572" i="5"/>
  <c r="AN572" i="5"/>
  <c r="AP572" i="5"/>
  <c r="AR569" i="5"/>
  <c r="AP569" i="5"/>
  <c r="AN569" i="5"/>
  <c r="AR566" i="5"/>
  <c r="AN566" i="5"/>
  <c r="AP566" i="5"/>
  <c r="AR563" i="5"/>
  <c r="AP563" i="5"/>
  <c r="AN563" i="5"/>
  <c r="AR559" i="5"/>
  <c r="AP559" i="5"/>
  <c r="AN559" i="5"/>
  <c r="AR556" i="5"/>
  <c r="AN556" i="5"/>
  <c r="AP556" i="5"/>
  <c r="AR553" i="5"/>
  <c r="AP553" i="5"/>
  <c r="AN553" i="5"/>
  <c r="AN550" i="5"/>
  <c r="AP550" i="5"/>
  <c r="AR550" i="5"/>
  <c r="AR547" i="5"/>
  <c r="AP547" i="5"/>
  <c r="AN547" i="5"/>
  <c r="AR543" i="5"/>
  <c r="AP543" i="5"/>
  <c r="AN543" i="5"/>
  <c r="AR540" i="5"/>
  <c r="AN540" i="5"/>
  <c r="AP540" i="5"/>
  <c r="AR537" i="5"/>
  <c r="AP537" i="5"/>
  <c r="AN537" i="5"/>
  <c r="AR533" i="5"/>
  <c r="AP533" i="5"/>
  <c r="AN533" i="5"/>
  <c r="AP529" i="5"/>
  <c r="AR529" i="5"/>
  <c r="AN529" i="5"/>
  <c r="AR525" i="5"/>
  <c r="AP525" i="5"/>
  <c r="AN525" i="5"/>
  <c r="AR521" i="5"/>
  <c r="AP521" i="5"/>
  <c r="AN521" i="5"/>
  <c r="AR517" i="5"/>
  <c r="AP517" i="5"/>
  <c r="AN517" i="5"/>
  <c r="AP513" i="5"/>
  <c r="AR513" i="5"/>
  <c r="AN513" i="5"/>
  <c r="AR509" i="5"/>
  <c r="AP509" i="5"/>
  <c r="AN509" i="5"/>
  <c r="AR505" i="5"/>
  <c r="AP505" i="5"/>
  <c r="AN505" i="5"/>
  <c r="AR499" i="5"/>
  <c r="AP499" i="5"/>
  <c r="AN499" i="5"/>
  <c r="AR497" i="5"/>
  <c r="AP497" i="5"/>
  <c r="AN497" i="5"/>
  <c r="AR494" i="5"/>
  <c r="AN494" i="5"/>
  <c r="AP494" i="5"/>
  <c r="AR491" i="5"/>
  <c r="AP491" i="5"/>
  <c r="AN491" i="5"/>
  <c r="AR487" i="5"/>
  <c r="AP487" i="5"/>
  <c r="AN487" i="5"/>
  <c r="AR483" i="5"/>
  <c r="AP483" i="5"/>
  <c r="AN483" i="5"/>
  <c r="AR480" i="5"/>
  <c r="AP480" i="5"/>
  <c r="AN480" i="5"/>
  <c r="AR474" i="5"/>
  <c r="AP474" i="5"/>
  <c r="AN474" i="5"/>
  <c r="AR470" i="5"/>
  <c r="AN470" i="5"/>
  <c r="AP470" i="5"/>
  <c r="AR468" i="5"/>
  <c r="AN468" i="5"/>
  <c r="AP468" i="5"/>
  <c r="AR463" i="5"/>
  <c r="AP463" i="5"/>
  <c r="AN463" i="5"/>
  <c r="AR460" i="5"/>
  <c r="AN460" i="5"/>
  <c r="AP460" i="5"/>
  <c r="AR457" i="5"/>
  <c r="AP457" i="5"/>
  <c r="AN457" i="5"/>
  <c r="AR453" i="5"/>
  <c r="AP453" i="5"/>
  <c r="AN453" i="5"/>
  <c r="AP449" i="5"/>
  <c r="AR449" i="5"/>
  <c r="AN449" i="5"/>
  <c r="AR445" i="5"/>
  <c r="AP445" i="5"/>
  <c r="AN445" i="5"/>
  <c r="AR441" i="5"/>
  <c r="AP441" i="5"/>
  <c r="AN441" i="5"/>
  <c r="AR438" i="5"/>
  <c r="AN438" i="5"/>
  <c r="AP438" i="5"/>
  <c r="AR436" i="5"/>
  <c r="AN436" i="5"/>
  <c r="AP436" i="5"/>
  <c r="AR432" i="5"/>
  <c r="AP432" i="5"/>
  <c r="AN432" i="5"/>
  <c r="AR429" i="5"/>
  <c r="AP429" i="5"/>
  <c r="AN429" i="5"/>
  <c r="AR426" i="5"/>
  <c r="AP426" i="5"/>
  <c r="AN426" i="5"/>
  <c r="AR423" i="5"/>
  <c r="AP423" i="5"/>
  <c r="AN423" i="5"/>
  <c r="AR419" i="5"/>
  <c r="AP419" i="5"/>
  <c r="AN419" i="5"/>
  <c r="AR415" i="5"/>
  <c r="AP415" i="5"/>
  <c r="AN415" i="5"/>
  <c r="AR412" i="5"/>
  <c r="AN412" i="5"/>
  <c r="AP412" i="5"/>
  <c r="AR408" i="5"/>
  <c r="AP408" i="5"/>
  <c r="AN408" i="5"/>
  <c r="AR401" i="5"/>
  <c r="AP401" i="5"/>
  <c r="AN401" i="5"/>
  <c r="AR394" i="5"/>
  <c r="AP394" i="5"/>
  <c r="AN394" i="5"/>
  <c r="AR390" i="5"/>
  <c r="AN390" i="5"/>
  <c r="AP390" i="5"/>
  <c r="AR387" i="5"/>
  <c r="AP387" i="5"/>
  <c r="AN387" i="5"/>
  <c r="AR384" i="5"/>
  <c r="AP384" i="5"/>
  <c r="AN384" i="5"/>
  <c r="AR381" i="5"/>
  <c r="AP381" i="5"/>
  <c r="AN381" i="5"/>
  <c r="AR378" i="5"/>
  <c r="AP378" i="5"/>
  <c r="AN378" i="5"/>
  <c r="AR374" i="5"/>
  <c r="AN374" i="5"/>
  <c r="AP374" i="5"/>
  <c r="AR371" i="5"/>
  <c r="AP371" i="5"/>
  <c r="AN371" i="5"/>
  <c r="AR367" i="5"/>
  <c r="AP367" i="5"/>
  <c r="AN367" i="5"/>
  <c r="AR363" i="5"/>
  <c r="AP363" i="5"/>
  <c r="AN363" i="5"/>
  <c r="AP360" i="5"/>
  <c r="AR360" i="5"/>
  <c r="AN360" i="5"/>
  <c r="AR357" i="5"/>
  <c r="AP357" i="5"/>
  <c r="AN357" i="5"/>
  <c r="AR354" i="5"/>
  <c r="AN354" i="5"/>
  <c r="AP354" i="5"/>
  <c r="AR351" i="5"/>
  <c r="AP351" i="5"/>
  <c r="AN351" i="5"/>
  <c r="AR348" i="5"/>
  <c r="AP348" i="5"/>
  <c r="AN348" i="5"/>
  <c r="AR345" i="5"/>
  <c r="AP345" i="5"/>
  <c r="AN345" i="5"/>
  <c r="AR341" i="5"/>
  <c r="AP341" i="5"/>
  <c r="AN341" i="5"/>
  <c r="AR337" i="5"/>
  <c r="AP337" i="5"/>
  <c r="AN337" i="5"/>
  <c r="AR335" i="5"/>
  <c r="AP335" i="5"/>
  <c r="AN335" i="5"/>
  <c r="AR332" i="5"/>
  <c r="AP332" i="5"/>
  <c r="AN332" i="5"/>
  <c r="AR328" i="5"/>
  <c r="AP328" i="5"/>
  <c r="AN328" i="5"/>
  <c r="AR321" i="5"/>
  <c r="AP321" i="5"/>
  <c r="AN321" i="5"/>
  <c r="AR314" i="5"/>
  <c r="AP314" i="5"/>
  <c r="AN314" i="5"/>
  <c r="AR311" i="5"/>
  <c r="AP311" i="5"/>
  <c r="AN311" i="5"/>
  <c r="AP308" i="5"/>
  <c r="AR308" i="5"/>
  <c r="AN308" i="5"/>
  <c r="AR304" i="5"/>
  <c r="AP304" i="5"/>
  <c r="AN304" i="5"/>
  <c r="AR298" i="5"/>
  <c r="AP298" i="5"/>
  <c r="AN298" i="5"/>
  <c r="AR295" i="5"/>
  <c r="AP295" i="5"/>
  <c r="AN295" i="5"/>
  <c r="AR292" i="5"/>
  <c r="AP292" i="5"/>
  <c r="AN292" i="5"/>
  <c r="AR289" i="5"/>
  <c r="AP289" i="5"/>
  <c r="AN289" i="5"/>
  <c r="AR285" i="5"/>
  <c r="AP285" i="5"/>
  <c r="AN285" i="5"/>
  <c r="AR283" i="5"/>
  <c r="AP283" i="5"/>
  <c r="AN283" i="5"/>
  <c r="AR279" i="5"/>
  <c r="AP279" i="5"/>
  <c r="AN279" i="5"/>
  <c r="AR275" i="5"/>
  <c r="AP275" i="5"/>
  <c r="AN275" i="5"/>
  <c r="AR271" i="5"/>
  <c r="AP271" i="5"/>
  <c r="AN271" i="5"/>
  <c r="AR267" i="5"/>
  <c r="AP267" i="5"/>
  <c r="AN267" i="5"/>
  <c r="AR258" i="5"/>
  <c r="AN258" i="5"/>
  <c r="AP258" i="5"/>
  <c r="AR254" i="5"/>
  <c r="AP254" i="5"/>
  <c r="AN254" i="5"/>
  <c r="AR248" i="5"/>
  <c r="AP248" i="5"/>
  <c r="AN248" i="5"/>
  <c r="AR244" i="5"/>
  <c r="AP244" i="5"/>
  <c r="AN244" i="5"/>
  <c r="AR240" i="5"/>
  <c r="AP240" i="5"/>
  <c r="AN240" i="5"/>
  <c r="AR236" i="5"/>
  <c r="AP236" i="5"/>
  <c r="AN236" i="5"/>
  <c r="AR232" i="5"/>
  <c r="AP232" i="5"/>
  <c r="AN232" i="5"/>
  <c r="AR229" i="5"/>
  <c r="AP229" i="5"/>
  <c r="AN229" i="5"/>
  <c r="AR227" i="5"/>
  <c r="AP227" i="5"/>
  <c r="AN227" i="5"/>
  <c r="AR223" i="5"/>
  <c r="AP223" i="5"/>
  <c r="AN223" i="5"/>
  <c r="AR220" i="5"/>
  <c r="AP220" i="5"/>
  <c r="AN220" i="5"/>
  <c r="AR217" i="5"/>
  <c r="AP217" i="5"/>
  <c r="AN217" i="5"/>
  <c r="AR212" i="5"/>
  <c r="AP212" i="5"/>
  <c r="AN212" i="5"/>
  <c r="AR206" i="5"/>
  <c r="AP206" i="5"/>
  <c r="AN206" i="5"/>
  <c r="AR202" i="5"/>
  <c r="AP202" i="5"/>
  <c r="AN202" i="5"/>
  <c r="AR199" i="5"/>
  <c r="AP199" i="5"/>
  <c r="AN199" i="5"/>
  <c r="AR197" i="5"/>
  <c r="AP197" i="5"/>
  <c r="AN197" i="5"/>
  <c r="AP194" i="5"/>
  <c r="AR194" i="5"/>
  <c r="AN194" i="5"/>
  <c r="AR184" i="5"/>
  <c r="AP184" i="5"/>
  <c r="AN184" i="5"/>
  <c r="AR178" i="5"/>
  <c r="AP178" i="5"/>
  <c r="AN178" i="5"/>
  <c r="AR176" i="5"/>
  <c r="AP176" i="5"/>
  <c r="AN176" i="5"/>
  <c r="AR173" i="5"/>
  <c r="AP173" i="5"/>
  <c r="AN173" i="5"/>
  <c r="AR167" i="5"/>
  <c r="AP167" i="5"/>
  <c r="AN167" i="5"/>
  <c r="AR165" i="5"/>
  <c r="AP165" i="5"/>
  <c r="AN165" i="5"/>
  <c r="AR162" i="5"/>
  <c r="AP162" i="5"/>
  <c r="AN162" i="5"/>
  <c r="AR158" i="5"/>
  <c r="AP158" i="5"/>
  <c r="AN158" i="5"/>
  <c r="AR155" i="5"/>
  <c r="AP155" i="5"/>
  <c r="AN155" i="5"/>
  <c r="AR153" i="5"/>
  <c r="AP153" i="5"/>
  <c r="AN153" i="5"/>
  <c r="AR150" i="5"/>
  <c r="AP150" i="5"/>
  <c r="AN150" i="5"/>
  <c r="AP22" i="5"/>
  <c r="AN22" i="5"/>
  <c r="AT22" i="5"/>
  <c r="AN18" i="5"/>
  <c r="AT18" i="5"/>
  <c r="AP11" i="5"/>
  <c r="AT11" i="5"/>
  <c r="AR16" i="5"/>
  <c r="AR20" i="5"/>
  <c r="AR23" i="5"/>
  <c r="AP21" i="5"/>
  <c r="AR15" i="5"/>
  <c r="AP17" i="5"/>
  <c r="AR18" i="5"/>
  <c r="AP13" i="5"/>
  <c r="AP8" i="5"/>
  <c r="AR11" i="5"/>
  <c r="AP12" i="5"/>
  <c r="AV9" i="5" l="1"/>
  <c r="AU7" i="5"/>
  <c r="AV7" i="5" s="1"/>
  <c r="AV424" i="5"/>
  <c r="AV469" i="5"/>
  <c r="AV685" i="5"/>
  <c r="AV494" i="5"/>
  <c r="AV490" i="5"/>
  <c r="AV675" i="5"/>
  <c r="AV278" i="5"/>
  <c r="AV304" i="5"/>
  <c r="AV496" i="5"/>
  <c r="AV544" i="5"/>
  <c r="AV642" i="5"/>
  <c r="AV665" i="5"/>
  <c r="AV301" i="5"/>
  <c r="AV338" i="5"/>
  <c r="AV542" i="5"/>
  <c r="AV601" i="5"/>
  <c r="AV691" i="5"/>
  <c r="AV443" i="5"/>
  <c r="AV723" i="5"/>
  <c r="AV449" i="5"/>
  <c r="AV481" i="5"/>
  <c r="AV392" i="5"/>
  <c r="AV154" i="5"/>
  <c r="AV361" i="5"/>
  <c r="AV296" i="5"/>
  <c r="AV360" i="5"/>
  <c r="AV568" i="5"/>
  <c r="AV619" i="5"/>
  <c r="AV635" i="5"/>
  <c r="AV596" i="5"/>
  <c r="AV323" i="5"/>
  <c r="AV387" i="5"/>
  <c r="AV403" i="5"/>
  <c r="AV499" i="5"/>
  <c r="AV297" i="5"/>
  <c r="AV342" i="5"/>
  <c r="AV374" i="5"/>
  <c r="AV402" i="5"/>
  <c r="AV434" i="5"/>
  <c r="AV526" i="5"/>
  <c r="AV554" i="5"/>
  <c r="AV663" i="5"/>
  <c r="AV332" i="5"/>
  <c r="AV348" i="5"/>
  <c r="AV444" i="5"/>
  <c r="AV540" i="5"/>
  <c r="AV556" i="5"/>
  <c r="AV638" i="5"/>
  <c r="AV689" i="5"/>
  <c r="AV730" i="5"/>
  <c r="AV229" i="5"/>
  <c r="AV325" i="5"/>
  <c r="AV541" i="5"/>
  <c r="AV604" i="5"/>
  <c r="AV198" i="5"/>
  <c r="AV466" i="5"/>
  <c r="AV530" i="5"/>
  <c r="AV327" i="5"/>
  <c r="AV343" i="5"/>
  <c r="AV423" i="5"/>
  <c r="AV439" i="5"/>
  <c r="AV471" i="5"/>
  <c r="AV519" i="5"/>
  <c r="AV535" i="5"/>
  <c r="AV614" i="5"/>
  <c r="AV630" i="5"/>
  <c r="AV369" i="5"/>
  <c r="AV405" i="5"/>
  <c r="AV382" i="5"/>
  <c r="AV593" i="5"/>
  <c r="AV368" i="5"/>
  <c r="AV750" i="5"/>
  <c r="AV485" i="5"/>
  <c r="AV370" i="5"/>
  <c r="AV721" i="5"/>
  <c r="AV171" i="5"/>
  <c r="AV427" i="5"/>
  <c r="AV459" i="5"/>
  <c r="AV602" i="5"/>
  <c r="AV648" i="5"/>
  <c r="AV664" i="5"/>
  <c r="AV680" i="5"/>
  <c r="AV696" i="5"/>
  <c r="AV726" i="5"/>
  <c r="AV418" i="5"/>
  <c r="AV478" i="5"/>
  <c r="AV510" i="5"/>
  <c r="AV228" i="5"/>
  <c r="AV260" i="5"/>
  <c r="AV564" i="5"/>
  <c r="AV309" i="5"/>
  <c r="AV401" i="5"/>
  <c r="AV433" i="5"/>
  <c r="AV461" i="5"/>
  <c r="AV493" i="5"/>
  <c r="AV557" i="5"/>
  <c r="AV588" i="5"/>
  <c r="AV450" i="5"/>
  <c r="AV514" i="5"/>
  <c r="AV383" i="5"/>
  <c r="AV559" i="5"/>
  <c r="AV574" i="5"/>
  <c r="AV652" i="5"/>
  <c r="AV668" i="5"/>
  <c r="AV684" i="5"/>
  <c r="AV700" i="5"/>
  <c r="AV421" i="5"/>
  <c r="AV549" i="5"/>
  <c r="AV366" i="5"/>
  <c r="AV426" i="5"/>
  <c r="AV454" i="5"/>
  <c r="AV577" i="5"/>
  <c r="AV717" i="5"/>
  <c r="AL7" i="5"/>
  <c r="AL17" i="5"/>
  <c r="AL23" i="5"/>
  <c r="AL18" i="5"/>
  <c r="AL19" i="5"/>
  <c r="AL24" i="5"/>
  <c r="AL20" i="5"/>
  <c r="AL13" i="5"/>
  <c r="AL11" i="5"/>
  <c r="AL12" i="5"/>
  <c r="AL22" i="5"/>
  <c r="AU21" i="5"/>
  <c r="AV21" i="5" s="1"/>
  <c r="AU20" i="5"/>
  <c r="AT10" i="5"/>
  <c r="AV173" i="5"/>
  <c r="AV231" i="5"/>
  <c r="AV168" i="5"/>
  <c r="AV172" i="5"/>
  <c r="AV186" i="5"/>
  <c r="AV208" i="5"/>
  <c r="AV215" i="5"/>
  <c r="AV233" i="5"/>
  <c r="AV249" i="5"/>
  <c r="AV269" i="5"/>
  <c r="AV284" i="5"/>
  <c r="AV180" i="5"/>
  <c r="AV196" i="5"/>
  <c r="AV247" i="5"/>
  <c r="AV267" i="5"/>
  <c r="AV283" i="5"/>
  <c r="AV295" i="5"/>
  <c r="AV320" i="5"/>
  <c r="AV177" i="5"/>
  <c r="AV243" i="5"/>
  <c r="AV259" i="5"/>
  <c r="AV263" i="5"/>
  <c r="AV279" i="5"/>
  <c r="AV292" i="5"/>
  <c r="AV302" i="5"/>
  <c r="AV305" i="5"/>
  <c r="AV312" i="5"/>
  <c r="AV316" i="5"/>
  <c r="AV183" i="5"/>
  <c r="AV195" i="5"/>
  <c r="AV161" i="5"/>
  <c r="AV192" i="5"/>
  <c r="AV202" i="5"/>
  <c r="AV191" i="5"/>
  <c r="AV288" i="5"/>
  <c r="AV356" i="5"/>
  <c r="AV404" i="5"/>
  <c r="AV453" i="5"/>
  <c r="AV498" i="5"/>
  <c r="AV553" i="5"/>
  <c r="AV600" i="5"/>
  <c r="AV640" i="5"/>
  <c r="AV683" i="5"/>
  <c r="AV725" i="5"/>
  <c r="AV15" i="5"/>
  <c r="AV16" i="5"/>
  <c r="AV480" i="5"/>
  <c r="AV495" i="5"/>
  <c r="AV512" i="5"/>
  <c r="AV528" i="5"/>
  <c r="AV552" i="5"/>
  <c r="AV572" i="5"/>
  <c r="AV603" i="5"/>
  <c r="AV616" i="5"/>
  <c r="AV636" i="5"/>
  <c r="AV650" i="5"/>
  <c r="AV666" i="5"/>
  <c r="AV682" i="5"/>
  <c r="AV698" i="5"/>
  <c r="AV722" i="5"/>
  <c r="AV225" i="5"/>
  <c r="AV341" i="5"/>
  <c r="AV389" i="5"/>
  <c r="AV445" i="5"/>
  <c r="AV489" i="5"/>
  <c r="AV543" i="5"/>
  <c r="AV590" i="5"/>
  <c r="AV671" i="5"/>
  <c r="AV505" i="5"/>
  <c r="AV613" i="5"/>
  <c r="AV246" i="5"/>
  <c r="AV720" i="5"/>
  <c r="AV409" i="5"/>
  <c r="AV206" i="5"/>
  <c r="AV266" i="5"/>
  <c r="AV517" i="5"/>
  <c r="AV634" i="5"/>
  <c r="AV410" i="5"/>
  <c r="AV503" i="5"/>
  <c r="AV531" i="5"/>
  <c r="AV555" i="5"/>
  <c r="AV598" i="5"/>
  <c r="AV625" i="5"/>
  <c r="AV653" i="5"/>
  <c r="AV697" i="5"/>
  <c r="AV718" i="5"/>
  <c r="AV153" i="5"/>
  <c r="AV165" i="5"/>
  <c r="AV181" i="5"/>
  <c r="AV197" i="5"/>
  <c r="AV211" i="5"/>
  <c r="AV236" i="5"/>
  <c r="AV252" i="5"/>
  <c r="AV268" i="5"/>
  <c r="AV303" i="5"/>
  <c r="AV317" i="5"/>
  <c r="AV333" i="5"/>
  <c r="AV336" i="5"/>
  <c r="AV354" i="5"/>
  <c r="AV367" i="5"/>
  <c r="AV381" i="5"/>
  <c r="AV413" i="5"/>
  <c r="AV428" i="5"/>
  <c r="AV447" i="5"/>
  <c r="AV479" i="5"/>
  <c r="AV515" i="5"/>
  <c r="AV551" i="5"/>
  <c r="AV605" i="5"/>
  <c r="AV714" i="5"/>
  <c r="AV156" i="5"/>
  <c r="AV178" i="5"/>
  <c r="AV224" i="5"/>
  <c r="AV241" i="5"/>
  <c r="AV261" i="5"/>
  <c r="AV277" i="5"/>
  <c r="AV291" i="5"/>
  <c r="AV307" i="5"/>
  <c r="AV322" i="5"/>
  <c r="AV340" i="5"/>
  <c r="AV375" i="5"/>
  <c r="AV395" i="5"/>
  <c r="AV411" i="5"/>
  <c r="AV431" i="5"/>
  <c r="AV452" i="5"/>
  <c r="AV467" i="5"/>
  <c r="AV488" i="5"/>
  <c r="AV504" i="5"/>
  <c r="AV520" i="5"/>
  <c r="AV536" i="5"/>
  <c r="AV546" i="5"/>
  <c r="AV579" i="5"/>
  <c r="AV592" i="5"/>
  <c r="AV609" i="5"/>
  <c r="AV643" i="5"/>
  <c r="AV658" i="5"/>
  <c r="AV674" i="5"/>
  <c r="AV690" i="5"/>
  <c r="AV226" i="5"/>
  <c r="AV255" i="5"/>
  <c r="AV693" i="5"/>
  <c r="AV708" i="5"/>
  <c r="AV728" i="5"/>
  <c r="AV239" i="5"/>
  <c r="AV275" i="5"/>
  <c r="AV289" i="5"/>
  <c r="AV328" i="5"/>
  <c r="AV350" i="5"/>
  <c r="AV362" i="5"/>
  <c r="AV397" i="5"/>
  <c r="AV420" i="5"/>
  <c r="AV446" i="5"/>
  <c r="AV486" i="5"/>
  <c r="AV506" i="5"/>
  <c r="AV522" i="5"/>
  <c r="AV538" i="5"/>
  <c r="AV571" i="5"/>
  <c r="AV584" i="5"/>
  <c r="AV611" i="5"/>
  <c r="AV624" i="5"/>
  <c r="AV631" i="5"/>
  <c r="AV644" i="5"/>
  <c r="AV660" i="5"/>
  <c r="AV676" i="5"/>
  <c r="AV692" i="5"/>
  <c r="AV707" i="5"/>
  <c r="AV713" i="5"/>
  <c r="AV727" i="5"/>
  <c r="AV458" i="5"/>
  <c r="AV216" i="5"/>
  <c r="AV234" i="5"/>
  <c r="AV308" i="5"/>
  <c r="AV311" i="5"/>
  <c r="AV380" i="5"/>
  <c r="AV214" i="5"/>
  <c r="AV290" i="5"/>
  <c r="AV306" i="5"/>
  <c r="AV313" i="5"/>
  <c r="AV645" i="5"/>
  <c r="AV160" i="5"/>
  <c r="AV274" i="5"/>
  <c r="AV441" i="5"/>
  <c r="AV230" i="5"/>
  <c r="AV310" i="5"/>
  <c r="AV662" i="5"/>
  <c r="AV694" i="5"/>
  <c r="AV212" i="5"/>
  <c r="AV262" i="5"/>
  <c r="AV710" i="5"/>
  <c r="AV408" i="5"/>
  <c r="AV436" i="5"/>
  <c r="AV468" i="5"/>
  <c r="AV547" i="5"/>
  <c r="AV566" i="5"/>
  <c r="AV620" i="5"/>
  <c r="AV667" i="5"/>
  <c r="AV706" i="5"/>
  <c r="AV167" i="5"/>
  <c r="AV185" i="5"/>
  <c r="AV199" i="5"/>
  <c r="AV223" i="5"/>
  <c r="AV227" i="5"/>
  <c r="AV240" i="5"/>
  <c r="AV256" i="5"/>
  <c r="AV272" i="5"/>
  <c r="AV286" i="5"/>
  <c r="AV321" i="5"/>
  <c r="AV339" i="5"/>
  <c r="AV357" i="5"/>
  <c r="AV371" i="5"/>
  <c r="AV384" i="5"/>
  <c r="AV394" i="5"/>
  <c r="AV417" i="5"/>
  <c r="AV430" i="5"/>
  <c r="AV455" i="5"/>
  <c r="AV491" i="5"/>
  <c r="AV527" i="5"/>
  <c r="AV558" i="5"/>
  <c r="AV585" i="5"/>
  <c r="AV615" i="5"/>
  <c r="AV673" i="5"/>
  <c r="AV712" i="5"/>
  <c r="AV219" i="5"/>
  <c r="AV349" i="5"/>
  <c r="AV358" i="5"/>
  <c r="AV412" i="5"/>
  <c r="AV470" i="5"/>
  <c r="AV525" i="5"/>
  <c r="AV587" i="5"/>
  <c r="AV651" i="5"/>
  <c r="AV703" i="5"/>
  <c r="AV159" i="5"/>
  <c r="AV182" i="5"/>
  <c r="AV200" i="5"/>
  <c r="AV204" i="5"/>
  <c r="AV245" i="5"/>
  <c r="AV265" i="5"/>
  <c r="AV326" i="5"/>
  <c r="AV344" i="5"/>
  <c r="AV364" i="5"/>
  <c r="AV379" i="5"/>
  <c r="AV399" i="5"/>
  <c r="AV414" i="5"/>
  <c r="AV569" i="5"/>
  <c r="AV582" i="5"/>
  <c r="AV599" i="5"/>
  <c r="AV612" i="5"/>
  <c r="AV633" i="5"/>
  <c r="AV646" i="5"/>
  <c r="AV678" i="5"/>
  <c r="AV715" i="5"/>
  <c r="AV169" i="5"/>
  <c r="AV331" i="5"/>
  <c r="AV376" i="5"/>
  <c r="AV432" i="5"/>
  <c r="AV477" i="5"/>
  <c r="AV529" i="5"/>
  <c r="AV583" i="5"/>
  <c r="AV617" i="5"/>
  <c r="AV659" i="5"/>
  <c r="AV184" i="5"/>
  <c r="AV235" i="5"/>
  <c r="AV251" i="5"/>
  <c r="AV271" i="5"/>
  <c r="AV285" i="5"/>
  <c r="AV324" i="5"/>
  <c r="AV359" i="5"/>
  <c r="AV386" i="5"/>
  <c r="AV393" i="5"/>
  <c r="AV416" i="5"/>
  <c r="AV442" i="5"/>
  <c r="AV465" i="5"/>
  <c r="AV482" i="5"/>
  <c r="AV502" i="5"/>
  <c r="AV518" i="5"/>
  <c r="AV560" i="5"/>
  <c r="AV567" i="5"/>
  <c r="AV580" i="5"/>
  <c r="AV594" i="5"/>
  <c r="AV597" i="5"/>
  <c r="AV607" i="5"/>
  <c r="AV618" i="5"/>
  <c r="AV621" i="5"/>
  <c r="AV641" i="5"/>
  <c r="AV656" i="5"/>
  <c r="AV672" i="5"/>
  <c r="AV688" i="5"/>
  <c r="AV724" i="5"/>
  <c r="AV451" i="5"/>
  <c r="AV475" i="5"/>
  <c r="AV483" i="5"/>
  <c r="AV497" i="5"/>
  <c r="AV523" i="5"/>
  <c r="AV548" i="5"/>
  <c r="AV591" i="5"/>
  <c r="AV608" i="5"/>
  <c r="AV622" i="5"/>
  <c r="AV649" i="5"/>
  <c r="AV669" i="5"/>
  <c r="AV677" i="5"/>
  <c r="AV711" i="5"/>
  <c r="AV731" i="5"/>
  <c r="AV187" i="5"/>
  <c r="AV221" i="5"/>
  <c r="AV242" i="5"/>
  <c r="AV282" i="5"/>
  <c r="AV353" i="5"/>
  <c r="AV385" i="5"/>
  <c r="AV415" i="5"/>
  <c r="AV438" i="5"/>
  <c r="AV521" i="5"/>
  <c r="AV533" i="5"/>
  <c r="AV550" i="5"/>
  <c r="AV627" i="5"/>
  <c r="AV679" i="5"/>
  <c r="AV716" i="5"/>
  <c r="AV150" i="5"/>
  <c r="AV162" i="5"/>
  <c r="AV175" i="5"/>
  <c r="AV193" i="5"/>
  <c r="AV207" i="5"/>
  <c r="AV220" i="5"/>
  <c r="AV232" i="5"/>
  <c r="AV244" i="5"/>
  <c r="AV248" i="5"/>
  <c r="AV264" i="5"/>
  <c r="AV276" i="5"/>
  <c r="AV280" i="5"/>
  <c r="AV299" i="5"/>
  <c r="AV329" i="5"/>
  <c r="AV347" i="5"/>
  <c r="AV351" i="5"/>
  <c r="AV363" i="5"/>
  <c r="AV378" i="5"/>
  <c r="AV390" i="5"/>
  <c r="AV406" i="5"/>
  <c r="AV425" i="5"/>
  <c r="AV440" i="5"/>
  <c r="AV472" i="5"/>
  <c r="AV507" i="5"/>
  <c r="AV545" i="5"/>
  <c r="AV578" i="5"/>
  <c r="AV581" i="5"/>
  <c r="AV595" i="5"/>
  <c r="AV628" i="5"/>
  <c r="AV661" i="5"/>
  <c r="AV701" i="5"/>
  <c r="AV719" i="5"/>
  <c r="AV205" i="5"/>
  <c r="AV335" i="5"/>
  <c r="AV396" i="5"/>
  <c r="AV460" i="5"/>
  <c r="AV509" i="5"/>
  <c r="AV573" i="5"/>
  <c r="AV637" i="5"/>
  <c r="AV687" i="5"/>
  <c r="AV176" i="5"/>
  <c r="AV190" i="5"/>
  <c r="AV194" i="5"/>
  <c r="AV237" i="5"/>
  <c r="AV253" i="5"/>
  <c r="AV257" i="5"/>
  <c r="AV273" i="5"/>
  <c r="AV300" i="5"/>
  <c r="AV314" i="5"/>
  <c r="AV330" i="5"/>
  <c r="AV334" i="5"/>
  <c r="AV352" i="5"/>
  <c r="AV355" i="5"/>
  <c r="AV372" i="5"/>
  <c r="AV388" i="5"/>
  <c r="AV391" i="5"/>
  <c r="AV407" i="5"/>
  <c r="AV422" i="5"/>
  <c r="AV448" i="5"/>
  <c r="AV463" i="5"/>
  <c r="AV473" i="5"/>
  <c r="AV484" i="5"/>
  <c r="AV500" i="5"/>
  <c r="AV516" i="5"/>
  <c r="AV532" i="5"/>
  <c r="AV562" i="5"/>
  <c r="AV565" i="5"/>
  <c r="AV575" i="5"/>
  <c r="AV586" i="5"/>
  <c r="AV589" i="5"/>
  <c r="AV606" i="5"/>
  <c r="AV626" i="5"/>
  <c r="AV629" i="5"/>
  <c r="AV639" i="5"/>
  <c r="AV654" i="5"/>
  <c r="AV670" i="5"/>
  <c r="AV686" i="5"/>
  <c r="AV702" i="5"/>
  <c r="AV709" i="5"/>
  <c r="AV163" i="5"/>
  <c r="AV201" i="5"/>
  <c r="AV238" i="5"/>
  <c r="AV315" i="5"/>
  <c r="AV365" i="5"/>
  <c r="AV419" i="5"/>
  <c r="AV464" i="5"/>
  <c r="AV513" i="5"/>
  <c r="AV610" i="5"/>
  <c r="AV647" i="5"/>
  <c r="AV695" i="5"/>
  <c r="AV377" i="5"/>
  <c r="AV437" i="5"/>
  <c r="AV462" i="5"/>
  <c r="AV487" i="5"/>
  <c r="AV511" i="5"/>
  <c r="AV539" i="5"/>
  <c r="AV561" i="5"/>
  <c r="AV632" i="5"/>
  <c r="AV657" i="5"/>
  <c r="AV681" i="5"/>
  <c r="AV705" i="5"/>
  <c r="AV157" i="5"/>
  <c r="AV166" i="5"/>
  <c r="AV209" i="5"/>
  <c r="AV270" i="5"/>
  <c r="AV337" i="5"/>
  <c r="AV345" i="5"/>
  <c r="AV373" i="5"/>
  <c r="AV400" i="5"/>
  <c r="AV429" i="5"/>
  <c r="AV457" i="5"/>
  <c r="AV501" i="5"/>
  <c r="AV537" i="5"/>
  <c r="AV563" i="5"/>
  <c r="AV655" i="5"/>
  <c r="AV699" i="5"/>
  <c r="AV729" i="5"/>
  <c r="AV155" i="5"/>
  <c r="AV158" i="5"/>
  <c r="AV189" i="5"/>
  <c r="AV203" i="5"/>
  <c r="AV217" i="5"/>
  <c r="AV623" i="5"/>
  <c r="AV293" i="5"/>
  <c r="AV435" i="5"/>
  <c r="AV456" i="5"/>
  <c r="AV476" i="5"/>
  <c r="AV492" i="5"/>
  <c r="AV508" i="5"/>
  <c r="AV524" i="5"/>
  <c r="AV151" i="5"/>
  <c r="AV152" i="5"/>
  <c r="AV164" i="5"/>
  <c r="AV170" i="5"/>
  <c r="AV174" i="5"/>
  <c r="AV188" i="5"/>
  <c r="AV210" i="5"/>
  <c r="AV213" i="5"/>
  <c r="AV222" i="5"/>
  <c r="AV298" i="5"/>
  <c r="AV346" i="5"/>
  <c r="AV534" i="5"/>
  <c r="AV704" i="5"/>
  <c r="AV254" i="5"/>
  <c r="AV294" i="5"/>
  <c r="AV319" i="5"/>
  <c r="AV474" i="5"/>
  <c r="AV576" i="5"/>
  <c r="AV398" i="5"/>
  <c r="AV258" i="5"/>
  <c r="AV218" i="5"/>
  <c r="AV281" i="5"/>
  <c r="AV287" i="5"/>
  <c r="AV318" i="5"/>
  <c r="AV179" i="5"/>
  <c r="AV250" i="5"/>
  <c r="AV570" i="5"/>
  <c r="S6" i="5"/>
  <c r="T6" i="5"/>
  <c r="W6" i="5"/>
  <c r="P6" i="5"/>
  <c r="AA6" i="5"/>
  <c r="U6" i="5"/>
  <c r="N6" i="5"/>
  <c r="Y6" i="5"/>
  <c r="AG6" i="5"/>
  <c r="X6" i="5"/>
  <c r="AH6" i="5"/>
  <c r="Q6" i="5"/>
  <c r="AF6" i="5"/>
  <c r="M6" i="5"/>
  <c r="Z6" i="5"/>
  <c r="R6" i="5"/>
  <c r="V6" i="5"/>
  <c r="AC6" i="5"/>
  <c r="AE6" i="5"/>
  <c r="AI6" i="5"/>
  <c r="O6" i="5"/>
  <c r="AD6" i="5"/>
  <c r="AB6" i="5"/>
  <c r="M754" i="5" l="1"/>
  <c r="Q754" i="5"/>
  <c r="U754" i="5"/>
  <c r="AH754" i="5"/>
  <c r="Z754" i="5"/>
  <c r="AB754" i="5"/>
  <c r="AF754" i="5"/>
  <c r="AA754" i="5"/>
  <c r="AI754" i="5"/>
  <c r="Y754" i="5"/>
  <c r="V754" i="5"/>
  <c r="S754" i="5"/>
  <c r="N754" i="5"/>
  <c r="AD754" i="5"/>
  <c r="AC754" i="5"/>
  <c r="AE754" i="5"/>
  <c r="W754" i="5"/>
  <c r="R754" i="5"/>
  <c r="X754" i="5"/>
  <c r="T754" i="5"/>
  <c r="P754" i="5"/>
  <c r="AG754" i="5"/>
  <c r="O754" i="5"/>
  <c r="AK8" i="5" a="1"/>
  <c r="AK8" i="5" s="1"/>
  <c r="AS8" i="5" s="1"/>
  <c r="AU10" i="5"/>
  <c r="AV20" i="5"/>
  <c r="B39" i="4" l="1" a="1"/>
  <c r="B39" i="4" s="1"/>
  <c r="K2" i="8" s="1"/>
  <c r="B40" i="4" a="1"/>
  <c r="B40" i="4" s="1"/>
  <c r="AT8" i="5"/>
  <c r="AU8" i="5"/>
  <c r="AS751" i="5"/>
  <c r="AL10" i="5"/>
  <c r="AV10" i="5"/>
  <c r="AU14" i="5"/>
  <c r="AV14" i="5" s="1"/>
  <c r="AU13" i="5"/>
  <c r="AV13" i="5" s="1"/>
  <c r="AU23" i="5"/>
  <c r="AV23" i="5" s="1"/>
  <c r="AU11" i="5"/>
  <c r="AV11" i="5" s="1"/>
  <c r="AU18" i="5"/>
  <c r="AV18" i="5" s="1"/>
  <c r="AU12" i="5"/>
  <c r="AV12" i="5" s="1"/>
  <c r="AU17" i="5"/>
  <c r="AV17" i="5" s="1"/>
  <c r="AU22" i="5"/>
  <c r="AV22" i="5" s="1"/>
  <c r="AU24" i="5"/>
  <c r="AV24" i="5" s="1"/>
  <c r="AU19" i="5"/>
  <c r="AV19" i="5" s="1"/>
  <c r="B30" i="4" l="1" a="1"/>
  <c r="B30" i="4" s="1"/>
  <c r="B31" i="4" a="1"/>
  <c r="B31" i="4" s="1"/>
  <c r="B33" i="4" a="1"/>
  <c r="B33" i="4" s="1"/>
  <c r="B42" i="4"/>
  <c r="N2" i="8" s="1"/>
  <c r="L2" i="8"/>
  <c r="AL8" i="5"/>
  <c r="AV8" i="5"/>
  <c r="AV751" i="5" s="1"/>
  <c r="AT751" i="5"/>
  <c r="AU751" i="5"/>
  <c r="B36" i="4" l="1"/>
  <c r="S3" i="5" s="1"/>
  <c r="E2" i="8"/>
  <c r="F2" i="8"/>
  <c r="B41" i="4"/>
  <c r="M2" i="8" s="1"/>
  <c r="C2" i="8"/>
  <c r="B29" i="4"/>
  <c r="B2" i="8" s="1"/>
  <c r="E4" i="5"/>
  <c r="M3" i="5"/>
  <c r="J3" i="5"/>
  <c r="C11" i="7" s="1"/>
  <c r="K3" i="5"/>
  <c r="K753" i="5"/>
  <c r="L753" i="5" s="1"/>
  <c r="M753" i="5" s="1"/>
  <c r="N753" i="5" s="1"/>
  <c r="O753" i="5" s="1"/>
  <c r="P753" i="5" s="1"/>
  <c r="Q753" i="5" s="1"/>
  <c r="R753" i="5" s="1"/>
  <c r="S753" i="5" s="1"/>
  <c r="H2" i="8" l="1"/>
  <c r="B43" i="4"/>
  <c r="O3" i="5"/>
  <c r="M4" i="5"/>
  <c r="C12" i="7" s="1"/>
  <c r="T753" i="5"/>
  <c r="U753" i="5" s="1"/>
  <c r="V753" i="5" s="1"/>
  <c r="W753" i="5" s="1"/>
  <c r="X753" i="5" s="1"/>
  <c r="Y753" i="5" s="1"/>
  <c r="Z753" i="5" s="1"/>
  <c r="AA753" i="5" s="1"/>
  <c r="AB753" i="5" s="1"/>
  <c r="AC753" i="5" s="1"/>
  <c r="AD753" i="5" s="1"/>
  <c r="AE753" i="5" s="1"/>
  <c r="AF753" i="5" s="1"/>
  <c r="AG753" i="5" s="1"/>
  <c r="AH753" i="5" s="1"/>
  <c r="AI753" i="5" s="1"/>
  <c r="AJ753" i="5" s="1"/>
  <c r="O2" i="8" l="1"/>
  <c r="C13" i="7"/>
  <c r="S4" i="5"/>
  <c r="O4" i="5"/>
  <c r="Q3" i="5" s="1"/>
  <c r="H753" i="5"/>
  <c r="H754" i="5" s="1"/>
  <c r="K2" i="6" s="1"/>
  <c r="D12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URDA</author>
  </authors>
  <commentList>
    <comment ref="B6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38"/>
          </rPr>
          <t>Usmernenie - povinné polia:</t>
        </r>
        <r>
          <rPr>
            <sz val="9"/>
            <color indexed="81"/>
            <rFont val="Tahoma"/>
            <family val="2"/>
            <charset val="238"/>
          </rPr>
          <t xml:space="preserve">
Pole </t>
        </r>
        <r>
          <rPr>
            <i/>
            <sz val="9"/>
            <color indexed="81"/>
            <rFont val="Tahoma"/>
            <family val="2"/>
            <charset val="238"/>
          </rPr>
          <t>Stredisko:</t>
        </r>
        <r>
          <rPr>
            <sz val="9"/>
            <color indexed="81"/>
            <rFont val="Tahoma"/>
            <family val="2"/>
            <charset val="238"/>
          </rPr>
          <t xml:space="preserve"> je povinné, ak </t>
        </r>
        <r>
          <rPr>
            <i/>
            <sz val="9"/>
            <color indexed="81"/>
            <rFont val="Tahoma"/>
            <family val="2"/>
            <charset val="238"/>
          </rPr>
          <t>Typ</t>
        </r>
        <r>
          <rPr>
            <sz val="9"/>
            <color indexed="81"/>
            <rFont val="Tahoma"/>
            <family val="2"/>
            <charset val="238"/>
          </rPr>
          <t xml:space="preserve"> nákladu je v človekodňoch. Ak je v eurách, potom je nutné ho </t>
        </r>
        <r>
          <rPr>
            <i/>
            <sz val="9"/>
            <color indexed="10"/>
            <rFont val="Tahoma"/>
            <family val="2"/>
            <charset val="238"/>
          </rPr>
          <t xml:space="preserve">nevypĺňať </t>
        </r>
        <r>
          <rPr>
            <sz val="9"/>
            <color indexed="81"/>
            <rFont val="Tahoma"/>
            <family val="2"/>
            <charset val="238"/>
          </rPr>
          <t>(Delete).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Michal ROVŇANÍK</author>
  </authors>
  <commentList>
    <comment ref="J2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38"/>
          </rPr>
          <t>Michal ROVŇANÍK:</t>
        </r>
        <r>
          <rPr>
            <sz val="9"/>
            <color indexed="81"/>
            <rFont val="Tahoma"/>
            <family val="2"/>
            <charset val="238"/>
          </rPr>
          <t xml:space="preserve">
Náklady materskej firmy
</t>
        </r>
        <r>
          <rPr>
            <b/>
            <sz val="9"/>
            <color indexed="81"/>
            <rFont val="Tahoma"/>
            <family val="2"/>
            <charset val="238"/>
          </rPr>
          <t xml:space="preserve">PU:
</t>
        </r>
        <r>
          <rPr>
            <sz val="9"/>
            <color indexed="81"/>
            <rFont val="Tahoma"/>
            <family val="2"/>
            <charset val="238"/>
          </rPr>
          <t>aktualizované vo verzii 5. Sadzby nie sú rozdelené podľa strediska.</t>
        </r>
      </text>
    </comment>
    <comment ref="K2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38"/>
          </rPr>
          <t>Michal ROVŇANÍK:</t>
        </r>
        <r>
          <rPr>
            <sz val="9"/>
            <color indexed="81"/>
            <rFont val="Tahoma"/>
            <family val="2"/>
            <charset val="238"/>
          </rPr>
          <t xml:space="preserve">
Náklady materskej firmy + transakčná prirážka
</t>
        </r>
        <r>
          <rPr>
            <b/>
            <sz val="9"/>
            <color indexed="81"/>
            <rFont val="Tahoma"/>
            <family val="2"/>
            <charset val="238"/>
          </rPr>
          <t>PU:</t>
        </r>
        <r>
          <rPr>
            <sz val="9"/>
            <color indexed="81"/>
            <rFont val="Tahoma"/>
            <family val="2"/>
            <charset val="238"/>
          </rPr>
          <t xml:space="preserve">
vo verzii 5 vymazané z dôvodu neaktualnosti.</t>
        </r>
      </text>
    </comment>
  </commentList>
</comments>
</file>

<file path=xl/sharedStrings.xml><?xml version="1.0" encoding="utf-8"?>
<sst xmlns="http://schemas.openxmlformats.org/spreadsheetml/2006/main" count="685" uniqueCount="191">
  <si>
    <t>Hodnota</t>
  </si>
  <si>
    <t>Parameter</t>
  </si>
  <si>
    <t>Názov</t>
  </si>
  <si>
    <t>HW</t>
  </si>
  <si>
    <t>SW</t>
  </si>
  <si>
    <t>WORKS</t>
  </si>
  <si>
    <t>PROV</t>
  </si>
  <si>
    <t>∑</t>
  </si>
  <si>
    <t xml:space="preserve">hardware </t>
  </si>
  <si>
    <t>software</t>
  </si>
  <si>
    <t>práce</t>
  </si>
  <si>
    <t>provízie</t>
  </si>
  <si>
    <t>CIS_POLOŽKY</t>
  </si>
  <si>
    <t>interné práce</t>
  </si>
  <si>
    <t>nákup 3S</t>
  </si>
  <si>
    <t>cestovné náhrady (stravné, diéty, ubytovanie)</t>
  </si>
  <si>
    <t>číselník typov položiek tvoriacich štruktúru zákazky</t>
  </si>
  <si>
    <t>LIC_D2000</t>
  </si>
  <si>
    <t>LIC_SELT</t>
  </si>
  <si>
    <t>licencie</t>
  </si>
  <si>
    <t>TRAVEL</t>
  </si>
  <si>
    <t>CIS_KATEGÓRIE</t>
  </si>
  <si>
    <t>skup. - interné práce</t>
  </si>
  <si>
    <t>skup. - nákup 3S</t>
  </si>
  <si>
    <t>MJ</t>
  </si>
  <si>
    <t>čld.</t>
  </si>
  <si>
    <t>EUR</t>
  </si>
  <si>
    <t>číselník typov + skupiny položiek (použité pre výnosy)</t>
  </si>
  <si>
    <t>*** prázdna ***</t>
  </si>
  <si>
    <t>presales</t>
  </si>
  <si>
    <t>N_Typ</t>
  </si>
  <si>
    <t>N_Kateg</t>
  </si>
  <si>
    <t>N_MJ</t>
  </si>
  <si>
    <t>N_Direct</t>
  </si>
  <si>
    <t>N_SGA</t>
  </si>
  <si>
    <t>N_Total</t>
  </si>
  <si>
    <t>N_Amount</t>
  </si>
  <si>
    <t>CIS_STREDISKO</t>
  </si>
  <si>
    <t>SELT</t>
  </si>
  <si>
    <t>CIS_PRÁCE</t>
  </si>
  <si>
    <t>realizácia</t>
  </si>
  <si>
    <t>CIS_STREDISKO_WO</t>
  </si>
  <si>
    <t>N_Center</t>
  </si>
  <si>
    <t>N_Výkon</t>
  </si>
  <si>
    <t>akvizícia</t>
  </si>
  <si>
    <t>∑ v EUR</t>
  </si>
  <si>
    <t>Stredisko</t>
  </si>
  <si>
    <t>Fáza</t>
  </si>
  <si>
    <t>Kategória</t>
  </si>
  <si>
    <t>FINANCE</t>
  </si>
  <si>
    <t>finančné náklady</t>
  </si>
  <si>
    <t>Typ</t>
  </si>
  <si>
    <t>Pracovník</t>
  </si>
  <si>
    <t>Druh</t>
  </si>
  <si>
    <t>Hodina</t>
  </si>
  <si>
    <t>Komponent SZ</t>
  </si>
  <si>
    <t>Datum</t>
  </si>
  <si>
    <t>Sum</t>
  </si>
  <si>
    <t>fáza</t>
  </si>
  <si>
    <t>nie</t>
  </si>
  <si>
    <t>revízia</t>
  </si>
  <si>
    <t>číslo verzie</t>
  </si>
  <si>
    <t>N_Tariff</t>
  </si>
  <si>
    <t>N_ItemsCount</t>
  </si>
  <si>
    <t>Názov konta</t>
  </si>
  <si>
    <t>Koncový zákazník</t>
  </si>
  <si>
    <t>Partner</t>
  </si>
  <si>
    <t>Dátum kontraktu</t>
  </si>
  <si>
    <t>Obchodník</t>
  </si>
  <si>
    <t>M0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</si>
  <si>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</si>
  <si>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</si>
  <si>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</si>
  <si>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</si>
  <si>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</si>
  <si>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</si>
  <si>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</si>
  <si>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</si>
  <si>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</si>
  <si>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</si>
  <si>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</si>
  <si>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</si>
  <si>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</si>
  <si>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</si>
  <si>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</si>
  <si>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 xml:space="preserve">názov/označenie </t>
  </si>
  <si>
    <t>Fakturácia</t>
  </si>
  <si>
    <t>Náklad</t>
  </si>
  <si>
    <r>
      <t>Plánovaná fakturácia</t>
    </r>
    <r>
      <rPr>
        <b/>
        <sz val="9"/>
        <color theme="1"/>
        <rFont val="Calibri"/>
        <family val="2"/>
        <charset val="238"/>
        <scheme val="minor"/>
      </rPr>
      <t xml:space="preserve"> </t>
    </r>
    <r>
      <rPr>
        <sz val="9"/>
        <color theme="1"/>
        <rFont val="Calibri"/>
        <family val="2"/>
        <charset val="238"/>
        <scheme val="minor"/>
      </rPr>
      <t>(editovateľné)</t>
    </r>
    <r>
      <rPr>
        <sz val="11"/>
        <color theme="1"/>
        <rFont val="Calibri"/>
        <family val="2"/>
        <charset val="238"/>
        <scheme val="minor"/>
      </rPr>
      <t>:</t>
    </r>
  </si>
  <si>
    <t>Hrubá marža (GM)</t>
  </si>
  <si>
    <t>_SBC</t>
  </si>
  <si>
    <t>Maximálny objem zákazky</t>
  </si>
  <si>
    <t>TRAVEL - km</t>
  </si>
  <si>
    <t>TransferFrom</t>
  </si>
  <si>
    <t>TranferTo</t>
  </si>
  <si>
    <t>IsTransfer</t>
  </si>
  <si>
    <t>km</t>
  </si>
  <si>
    <t>Výnosy</t>
  </si>
  <si>
    <t>Sadzba</t>
  </si>
  <si>
    <t>Náklady v Eur</t>
  </si>
  <si>
    <t>SG&amp;A percento z plánovaných výnosov</t>
  </si>
  <si>
    <t>Analytik</t>
  </si>
  <si>
    <t>Analytik (junior)</t>
  </si>
  <si>
    <t>Architekt softvérového riešenia</t>
  </si>
  <si>
    <t>Dokumentarista</t>
  </si>
  <si>
    <t>IT špecialista</t>
  </si>
  <si>
    <t>IT špecialista (junior)</t>
  </si>
  <si>
    <t>Kontrakt manažér</t>
  </si>
  <si>
    <t>Konzultant (junior)</t>
  </si>
  <si>
    <t>Konzultant</t>
  </si>
  <si>
    <t>Programátor (junior)</t>
  </si>
  <si>
    <t>Programátor</t>
  </si>
  <si>
    <t>Projektový manažér (junior)</t>
  </si>
  <si>
    <t>Projektový manažér</t>
  </si>
  <si>
    <t>Tester</t>
  </si>
  <si>
    <t>Msq_Part1</t>
  </si>
  <si>
    <t>Msq_Part2</t>
  </si>
  <si>
    <t>SKONTROLUJ TYP AŽ</t>
  </si>
  <si>
    <t>FÁZA!</t>
  </si>
  <si>
    <t>NULOVÁ HODINOVÁ</t>
  </si>
  <si>
    <t>SADZBA!</t>
  </si>
  <si>
    <r>
      <t>Začiatok realizácie</t>
    </r>
    <r>
      <rPr>
        <b/>
        <sz val="9"/>
        <color theme="1"/>
        <rFont val="Calibri"/>
        <family val="2"/>
        <charset val="238"/>
        <scheme val="minor"/>
      </rPr>
      <t xml:space="preserve"> </t>
    </r>
    <r>
      <rPr>
        <sz val="9"/>
        <color theme="1"/>
        <rFont val="Calibri"/>
        <family val="2"/>
        <charset val="238"/>
        <scheme val="minor"/>
      </rPr>
      <t>(editovateľné)</t>
    </r>
    <r>
      <rPr>
        <sz val="11"/>
        <color theme="1"/>
        <rFont val="Calibri"/>
        <family val="2"/>
        <charset val="238"/>
        <scheme val="minor"/>
      </rPr>
      <t>:</t>
    </r>
  </si>
  <si>
    <t>Calc_N_Typ</t>
  </si>
  <si>
    <t>IsTravelTime</t>
  </si>
  <si>
    <t>: čas na ceste</t>
  </si>
  <si>
    <t>Protokol o preskúmaní ponuky</t>
  </si>
  <si>
    <t xml:space="preserve">Číslo ponuky </t>
  </si>
  <si>
    <t>Zákazník</t>
  </si>
  <si>
    <t>Predmet ponuky</t>
  </si>
  <si>
    <t>Seller  zabezpečí preskúmanie  ponuky kompetentnými pracovníkmi:</t>
  </si>
  <si>
    <t>Ponuku preskúmal</t>
  </si>
  <si>
    <t xml:space="preserve"> Komentár - pripomienky</t>
  </si>
  <si>
    <t>Podpis</t>
  </si>
  <si>
    <t>Dátum</t>
  </si>
  <si>
    <t>Za zapracovanie pripomienok zodpovedá Seller</t>
  </si>
  <si>
    <t>Pripomienky boli zapracované</t>
  </si>
  <si>
    <t>Ak pripomienky neboli zapracované v plnom rozsahu, predloží Seller ponuku znovu na preskúmanie.</t>
  </si>
  <si>
    <t>Uloženie ponuky v papierovej forme:</t>
  </si>
  <si>
    <r>
      <t xml:space="preserve">Contract Manager
</t>
    </r>
    <r>
      <rPr>
        <sz val="8"/>
        <color theme="1"/>
        <rFont val="Calibri"/>
        <family val="2"/>
        <charset val="238"/>
        <scheme val="minor"/>
      </rPr>
      <t>Meno:</t>
    </r>
  </si>
  <si>
    <t>Číslo realizačného projektu</t>
  </si>
  <si>
    <r>
      <t xml:space="preserve">Head of PM
</t>
    </r>
    <r>
      <rPr>
        <sz val="8"/>
        <color theme="1"/>
        <rFont val="Calibri"/>
        <family val="2"/>
        <charset val="238"/>
        <scheme val="minor"/>
      </rPr>
      <t>Meno:</t>
    </r>
  </si>
  <si>
    <r>
      <t xml:space="preserve">Project Manager
</t>
    </r>
    <r>
      <rPr>
        <sz val="8"/>
        <color theme="1"/>
        <rFont val="Calibri"/>
        <family val="2"/>
        <charset val="238"/>
        <scheme val="minor"/>
      </rPr>
      <t>Meno:</t>
    </r>
  </si>
  <si>
    <r>
      <t xml:space="preserve">CFO/PM Controller
</t>
    </r>
    <r>
      <rPr>
        <sz val="8"/>
        <color theme="1"/>
        <rFont val="Calibri"/>
        <family val="2"/>
        <charset val="238"/>
        <scheme val="minor"/>
      </rPr>
      <t>Meno:</t>
    </r>
  </si>
  <si>
    <t>Podpis:</t>
  </si>
  <si>
    <t>Dátum:</t>
  </si>
  <si>
    <r>
      <rPr>
        <b/>
        <sz val="12"/>
        <color theme="1"/>
        <rFont val="Calibri"/>
        <family val="2"/>
        <charset val="238"/>
        <scheme val="minor"/>
      </rPr>
      <t>Za vytvorenie ponuky zodpovedá Seller</t>
    </r>
    <r>
      <rPr>
        <sz val="11"/>
        <color theme="1"/>
        <rFont val="Calibri"/>
        <family val="2"/>
        <charset val="238"/>
        <scheme val="minor"/>
      </rPr>
      <t xml:space="preserve"> 
</t>
    </r>
    <r>
      <rPr>
        <sz val="8"/>
        <color theme="1"/>
        <rFont val="Calibri"/>
        <family val="2"/>
        <charset val="238"/>
        <scheme val="minor"/>
      </rPr>
      <t>(uviesť meno)</t>
    </r>
  </si>
  <si>
    <t>Parametre VRZ</t>
  </si>
  <si>
    <t>Hrubá marža IPS (GM_IPS)</t>
  </si>
  <si>
    <r>
      <t xml:space="preserve">Architect
</t>
    </r>
    <r>
      <rPr>
        <sz val="8"/>
        <color theme="1"/>
        <rFont val="Calibri"/>
        <family val="2"/>
        <charset val="238"/>
        <scheme val="minor"/>
      </rPr>
      <t>Meno:</t>
    </r>
  </si>
  <si>
    <t>Center</t>
  </si>
  <si>
    <t>GM_IPS_Required</t>
  </si>
  <si>
    <t>Profit</t>
  </si>
  <si>
    <t>Costs_work</t>
  </si>
  <si>
    <t>Costs_licences</t>
  </si>
  <si>
    <t>Costs_3P</t>
  </si>
  <si>
    <t>Costs_risk</t>
  </si>
  <si>
    <t>Revenues_work</t>
  </si>
  <si>
    <t>Revenues_licences</t>
  </si>
  <si>
    <t>Revenues_3P</t>
  </si>
  <si>
    <t>Hours_work</t>
  </si>
  <si>
    <t>Hours_travel</t>
  </si>
  <si>
    <t>Avg_CostHour</t>
  </si>
  <si>
    <t>Avg_RevenuesHour</t>
  </si>
  <si>
    <t>ER_OwnRatio</t>
  </si>
  <si>
    <t>Profylaxis_hours</t>
  </si>
  <si>
    <t>StandBy_hours</t>
  </si>
  <si>
    <t>Profylaxis_Revenues</t>
  </si>
  <si>
    <t>StandBy_Revenues</t>
  </si>
  <si>
    <t>Hotline_Revenues</t>
  </si>
  <si>
    <t>Costs_Total</t>
  </si>
  <si>
    <t>Revenues_Total</t>
  </si>
  <si>
    <r>
      <rPr>
        <b/>
        <sz val="11"/>
        <color theme="1"/>
        <rFont val="Calibri"/>
        <family val="2"/>
        <charset val="238"/>
        <scheme val="minor"/>
      </rPr>
      <t>Stredisko</t>
    </r>
    <r>
      <rPr>
        <sz val="11"/>
        <color theme="1"/>
        <rFont val="Calibri"/>
        <family val="2"/>
        <charset val="238"/>
        <scheme val="minor"/>
      </rPr>
      <t xml:space="preserve"> </t>
    </r>
    <r>
      <rPr>
        <sz val="9"/>
        <color theme="1"/>
        <rFont val="Calibri"/>
        <family val="2"/>
        <charset val="238"/>
        <scheme val="minor"/>
      </rPr>
      <t>(editovateľné)</t>
    </r>
    <r>
      <rPr>
        <sz val="11"/>
        <color theme="1"/>
        <rFont val="Calibri"/>
        <family val="2"/>
        <charset val="238"/>
        <scheme val="minor"/>
      </rPr>
      <t>:</t>
    </r>
  </si>
  <si>
    <t>Požiadavka na GM_IPS</t>
  </si>
  <si>
    <t>WoAccount</t>
  </si>
  <si>
    <t>Architect</t>
  </si>
  <si>
    <t>Contract_Manager</t>
  </si>
  <si>
    <t>Architekt</t>
  </si>
  <si>
    <t>záruka</t>
  </si>
  <si>
    <t>IPS náklady [Eur]</t>
  </si>
  <si>
    <t>člh.</t>
  </si>
  <si>
    <t>EUM</t>
  </si>
  <si>
    <t>ETS</t>
  </si>
  <si>
    <t>company</t>
  </si>
  <si>
    <t>Projektový koordinátor</t>
  </si>
  <si>
    <t>Výnosy IPS 
ER_IPS</t>
  </si>
  <si>
    <t>SDS</t>
  </si>
  <si>
    <t>ITS</t>
  </si>
  <si>
    <t>D2000</t>
  </si>
  <si>
    <t>21_0</t>
  </si>
  <si>
    <t>Programátor (študent)</t>
  </si>
  <si>
    <t>PLATNOSŤ KALKULÁCIE: DO 31.12.2025.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</si>
</sst>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2" formatCode="_-* #,##0\ &quot;€&quot;_-;\-* #,##0\ &quot;€&quot;_-;_-* &quot;-&quot;\ &quot;€&quot;_-;_-@_-"/>
    <numFmt numFmtId="164" formatCode="_-* #,##0.00\ _€_-;\-* #,##0.00\ _€_-;_-* &quot;-&quot;??\ _€_-;_-@_-"/>
    <numFmt numFmtId="165" formatCode="m/yy"/>
    <numFmt numFmtId="166" formatCode="#,##0\ _€;[Red]\-#,##0\ _€;&quot;&quot;"/>
    <numFmt numFmtId="167" formatCode="#,##0;[Red]\-#,##0;"/>
    <numFmt numFmtId="168" formatCode="&quot;&quot;"/>
    <numFmt numFmtId="169" formatCode="d\.m\.yyyy"/>
    <numFmt numFmtId="170" formatCode="#&quot; +&quot;"/>
    <numFmt numFmtId="171" formatCode="_-* #,##0\ _€_-;\-* #,##0\ _€_-;_-* &quot;-&quot;??\ _€_-;_-@_-"/>
    <numFmt numFmtId="172" formatCode="&quot;+ &quot;#,##0;[Red]&quot;- &quot;#,##0"/>
    <numFmt numFmtId="173" formatCode="0.0%;[Red]0.0%;0;[Red]\ @"/>
  </numFmts>
  <fonts count="39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b/>
      <sz val="11"/>
      <color theme="1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2"/>
      <color rgb="FFFF0000"/>
      <name val="Calibri"/>
      <family val="2"/>
      <charset val="238"/>
      <scheme val="minor"/>
    </font>
    <font>
      <i/>
      <sz val="9"/>
      <color indexed="10"/>
      <name val="Tahoma"/>
      <family val="2"/>
      <charset val="238"/>
    </font>
    <font>
      <i/>
      <sz val="9"/>
      <color indexed="81"/>
      <name val="Tahoma"/>
      <family val="2"/>
      <charset val="238"/>
    </font>
    <font>
      <sz val="11"/>
      <color rgb="FFFF0000"/>
      <name val="Calibri"/>
      <family val="2"/>
      <charset val="238"/>
      <scheme val="minor"/>
    </font>
    <font>
      <sz val="11"/>
      <color theme="0" tint="-0.34998626667073579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b/>
      <u val="double"/>
      <sz val="14"/>
      <color theme="1"/>
      <name val="Calibri"/>
      <family val="2"/>
      <scheme val="minor"/>
    </font>
    <font>
      <b/>
      <sz val="12"/>
      <color rgb="FF006100"/>
      <name val="Calibri"/>
      <family val="2"/>
      <charset val="238"/>
      <scheme val="minor"/>
    </font>
    <font>
      <i/>
      <sz val="11"/>
      <color theme="1"/>
      <name val="Calibri"/>
      <family val="2"/>
      <scheme val="minor"/>
    </font>
    <font>
      <b/>
      <sz val="12"/>
      <color rgb="FF9C0006"/>
      <name val="Calibri"/>
      <family val="2"/>
      <charset val="238"/>
      <scheme val="minor"/>
    </font>
    <font>
      <b/>
      <i/>
      <sz val="14"/>
      <color theme="1"/>
      <name val="Calibri"/>
      <family val="2"/>
      <charset val="238"/>
      <scheme val="minor"/>
    </font>
    <font>
      <sz val="12"/>
      <color theme="4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3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u/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i/>
      <sz val="11"/>
      <color theme="4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i/>
      <sz val="10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i/>
      <sz val="16"/>
      <color theme="1"/>
      <name val="Calibri"/>
      <family val="2"/>
      <charset val="238"/>
      <scheme val="minor"/>
    </font>
  </fonts>
  <fills count="8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theme="0" tint="-0.25098422193060094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5" borderId="0" applyNumberFormat="0" applyBorder="0" applyAlignment="0" applyProtection="0"/>
    <xf numFmtId="0" fontId="21" fillId="6" borderId="0" applyNumberFormat="0" applyBorder="0" applyAlignment="0" applyProtection="0"/>
  </cellStyleXfs>
  <cellXfs count="145">
    <xf numFmtId="0" fontId="0" fillId="0" borderId="0" xfId="0"/>
    <xf numFmtId="0" fontId="0" fillId="0" borderId="2" xfId="0" applyBorder="1" applyProtection="1">
      <protection hidden="1"/>
    </xf>
    <xf numFmtId="0" fontId="0" fillId="0" borderId="0" xfId="0" applyProtection="1">
      <protection hidden="1"/>
    </xf>
    <xf numFmtId="0" fontId="7" fillId="2" borderId="4" xfId="0" applyFont="1" applyFill="1" applyBorder="1" applyProtection="1">
      <protection hidden="1"/>
    </xf>
    <xf numFmtId="0" fontId="7" fillId="2" borderId="0" xfId="0" applyFont="1" applyFill="1" applyProtection="1">
      <protection hidden="1"/>
    </xf>
    <xf numFmtId="0" fontId="3" fillId="0" borderId="0" xfId="0" applyFont="1" applyProtection="1">
      <protection hidden="1"/>
    </xf>
    <xf numFmtId="0" fontId="2" fillId="0" borderId="0" xfId="0" applyFont="1" applyAlignment="1" applyProtection="1">
      <alignment horizontal="left"/>
      <protection hidden="1"/>
    </xf>
    <xf numFmtId="0" fontId="2" fillId="0" borderId="0" xfId="0" applyFont="1" applyProtection="1">
      <protection hidden="1"/>
    </xf>
    <xf numFmtId="0" fontId="0" fillId="0" borderId="3" xfId="0" applyBorder="1" applyProtection="1">
      <protection hidden="1"/>
    </xf>
    <xf numFmtId="0" fontId="8" fillId="0" borderId="0" xfId="0" applyFont="1" applyProtection="1">
      <protection hidden="1"/>
    </xf>
    <xf numFmtId="0" fontId="0" fillId="0" borderId="5" xfId="0" applyBorder="1" applyProtection="1">
      <protection hidden="1"/>
    </xf>
    <xf numFmtId="0" fontId="6" fillId="0" borderId="0" xfId="0" applyFont="1" applyAlignment="1" applyProtection="1">
      <alignment horizontal="center"/>
      <protection hidden="1"/>
    </xf>
    <xf numFmtId="0" fontId="6" fillId="0" borderId="5" xfId="0" applyFont="1" applyBorder="1" applyAlignment="1" applyProtection="1">
      <alignment horizontal="center"/>
      <protection hidden="1"/>
    </xf>
    <xf numFmtId="0" fontId="11" fillId="2" borderId="5" xfId="0" applyFont="1" applyFill="1" applyBorder="1" applyAlignment="1" applyProtection="1">
      <alignment horizontal="center" vertic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Alignment="1" applyProtection="1">
      <alignment horizontal="center"/>
      <protection hidden="1"/>
    </xf>
    <xf numFmtId="0" fontId="2" fillId="3" borderId="0" xfId="0" applyFont="1" applyFill="1" applyProtection="1">
      <protection hidden="1"/>
    </xf>
    <xf numFmtId="164" fontId="2" fillId="0" borderId="0" xfId="1" applyFont="1" applyProtection="1">
      <protection hidden="1"/>
    </xf>
    <xf numFmtId="2" fontId="2" fillId="0" borderId="0" xfId="0" applyNumberFormat="1" applyFont="1" applyProtection="1">
      <protection hidden="1"/>
    </xf>
    <xf numFmtId="16" fontId="2" fillId="0" borderId="0" xfId="0" applyNumberFormat="1" applyFont="1" applyProtection="1">
      <protection hidden="1"/>
    </xf>
    <xf numFmtId="0" fontId="2" fillId="4" borderId="0" xfId="0" applyFont="1" applyFill="1" applyProtection="1">
      <protection hidden="1"/>
    </xf>
    <xf numFmtId="14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65" fontId="7" fillId="2" borderId="0" xfId="0" applyNumberFormat="1" applyFont="1" applyFill="1" applyAlignment="1" applyProtection="1">
      <alignment horizontal="center" vertical="center" shrinkToFit="1"/>
      <protection hidden="1"/>
    </xf>
    <xf numFmtId="3" fontId="5" fillId="0" borderId="0" xfId="1" applyNumberFormat="1" applyFont="1" applyBorder="1" applyAlignment="1" applyProtection="1">
      <alignment horizontal="right" shrinkToFit="1"/>
      <protection locked="0"/>
    </xf>
    <xf numFmtId="3" fontId="5" fillId="0" borderId="0" xfId="1" applyNumberFormat="1" applyFont="1" applyFill="1" applyBorder="1" applyAlignment="1" applyProtection="1">
      <alignment horizontal="right" shrinkToFit="1"/>
      <protection locked="0"/>
    </xf>
    <xf numFmtId="3" fontId="5" fillId="0" borderId="7" xfId="1" applyNumberFormat="1" applyFont="1" applyBorder="1" applyAlignment="1" applyProtection="1">
      <alignment horizontal="right" shrinkToFit="1"/>
      <protection locked="0"/>
    </xf>
    <xf numFmtId="166" fontId="2" fillId="0" borderId="5" xfId="1" applyNumberFormat="1" applyFont="1" applyBorder="1" applyAlignment="1" applyProtection="1">
      <alignment shrinkToFit="1"/>
      <protection hidden="1"/>
    </xf>
    <xf numFmtId="166" fontId="2" fillId="0" borderId="8" xfId="1" applyNumberFormat="1" applyFont="1" applyBorder="1" applyAlignment="1" applyProtection="1">
      <alignment shrinkToFit="1"/>
      <protection hidden="1"/>
    </xf>
    <xf numFmtId="49" fontId="7" fillId="2" borderId="0" xfId="0" applyNumberFormat="1" applyFont="1" applyFill="1" applyProtection="1">
      <protection hidden="1"/>
    </xf>
    <xf numFmtId="49" fontId="0" fillId="0" borderId="0" xfId="0" applyNumberFormat="1" applyProtection="1">
      <protection hidden="1"/>
    </xf>
    <xf numFmtId="49" fontId="2" fillId="0" borderId="0" xfId="0" applyNumberFormat="1" applyFont="1" applyAlignment="1" applyProtection="1">
      <alignment horizontal="left"/>
      <protection locked="0"/>
    </xf>
    <xf numFmtId="0" fontId="2" fillId="0" borderId="7" xfId="0" applyFont="1" applyBorder="1" applyAlignment="1" applyProtection="1">
      <alignment horizontal="left"/>
      <protection hidden="1"/>
    </xf>
    <xf numFmtId="0" fontId="2" fillId="0" borderId="4" xfId="0" applyFont="1" applyBorder="1" applyAlignment="1" applyProtection="1">
      <alignment horizontal="left"/>
      <protection locked="0"/>
    </xf>
    <xf numFmtId="0" fontId="2" fillId="0" borderId="6" xfId="0" applyFont="1" applyBorder="1" applyAlignment="1" applyProtection="1">
      <alignment horizontal="left"/>
      <protection locked="0"/>
    </xf>
    <xf numFmtId="167" fontId="4" fillId="0" borderId="0" xfId="0" applyNumberFormat="1" applyFont="1" applyAlignment="1" applyProtection="1">
      <alignment horizontal="left"/>
      <protection locked="0"/>
    </xf>
    <xf numFmtId="167" fontId="4" fillId="0" borderId="7" xfId="0" applyNumberFormat="1" applyFont="1" applyBorder="1" applyAlignment="1" applyProtection="1">
      <alignment horizontal="left"/>
      <protection locked="0"/>
    </xf>
    <xf numFmtId="0" fontId="11" fillId="2" borderId="0" xfId="0" applyFont="1" applyFill="1" applyAlignment="1" applyProtection="1">
      <alignment horizontal="center" vertical="center"/>
      <protection hidden="1"/>
    </xf>
    <xf numFmtId="166" fontId="2" fillId="0" borderId="0" xfId="1" applyNumberFormat="1" applyFont="1" applyBorder="1" applyAlignment="1" applyProtection="1">
      <alignment shrinkToFit="1"/>
      <protection hidden="1"/>
    </xf>
    <xf numFmtId="166" fontId="2" fillId="0" borderId="7" xfId="1" applyNumberFormat="1" applyFont="1" applyBorder="1" applyAlignment="1" applyProtection="1">
      <alignment shrinkToFit="1"/>
      <protection hidden="1"/>
    </xf>
    <xf numFmtId="0" fontId="2" fillId="0" borderId="0" xfId="0" applyFont="1" applyAlignment="1" applyProtection="1">
      <alignment horizontal="left"/>
      <protection locked="0"/>
    </xf>
    <xf numFmtId="0" fontId="2" fillId="0" borderId="7" xfId="0" applyFont="1" applyBorder="1" applyAlignment="1" applyProtection="1">
      <alignment horizontal="left"/>
      <protection locked="0"/>
    </xf>
    <xf numFmtId="0" fontId="16" fillId="0" borderId="0" xfId="0" applyFont="1"/>
    <xf numFmtId="168" fontId="7" fillId="2" borderId="0" xfId="0" applyNumberFormat="1" applyFont="1" applyFill="1" applyAlignment="1" applyProtection="1">
      <alignment horizontal="center" vertical="center" shrinkToFit="1"/>
      <protection hidden="1"/>
    </xf>
    <xf numFmtId="169" fontId="16" fillId="0" borderId="0" xfId="0" applyNumberFormat="1" applyFont="1"/>
    <xf numFmtId="169" fontId="0" fillId="0" borderId="0" xfId="0" applyNumberFormat="1"/>
    <xf numFmtId="0" fontId="12" fillId="0" borderId="0" xfId="0" applyFont="1" applyProtection="1">
      <protection hidden="1"/>
    </xf>
    <xf numFmtId="0" fontId="18" fillId="0" borderId="0" xfId="0" applyFont="1" applyProtection="1">
      <protection hidden="1"/>
    </xf>
    <xf numFmtId="0" fontId="13" fillId="0" borderId="7" xfId="0" applyFont="1" applyBorder="1" applyAlignment="1" applyProtection="1">
      <alignment vertical="center"/>
      <protection hidden="1"/>
    </xf>
    <xf numFmtId="171" fontId="25" fillId="0" borderId="0" xfId="4" applyNumberFormat="1" applyFont="1" applyFill="1" applyBorder="1" applyAlignment="1" applyProtection="1">
      <alignment horizontal="right"/>
      <protection hidden="1"/>
    </xf>
    <xf numFmtId="0" fontId="22" fillId="0" borderId="0" xfId="0" applyFont="1" applyProtection="1">
      <protection hidden="1"/>
    </xf>
    <xf numFmtId="171" fontId="2" fillId="0" borderId="0" xfId="1" applyNumberFormat="1" applyFont="1" applyProtection="1">
      <protection hidden="1"/>
    </xf>
    <xf numFmtId="0" fontId="27" fillId="0" borderId="7" xfId="0" applyFont="1" applyBorder="1" applyAlignment="1" applyProtection="1">
      <alignment vertical="center"/>
      <protection hidden="1"/>
    </xf>
    <xf numFmtId="0" fontId="27" fillId="0" borderId="0" xfId="0" applyFont="1" applyAlignment="1" applyProtection="1">
      <alignment vertical="center"/>
      <protection hidden="1"/>
    </xf>
    <xf numFmtId="3" fontId="0" fillId="0" borderId="0" xfId="0" applyNumberFormat="1" applyProtection="1">
      <protection hidden="1"/>
    </xf>
    <xf numFmtId="165" fontId="0" fillId="0" borderId="0" xfId="0" applyNumberFormat="1" applyProtection="1">
      <protection hidden="1"/>
    </xf>
    <xf numFmtId="14" fontId="0" fillId="0" borderId="0" xfId="0" applyNumberFormat="1" applyProtection="1">
      <protection hidden="1"/>
    </xf>
    <xf numFmtId="0" fontId="28" fillId="0" borderId="0" xfId="0" applyFont="1" applyProtection="1">
      <protection hidden="1"/>
    </xf>
    <xf numFmtId="0" fontId="29" fillId="0" borderId="0" xfId="0" applyFont="1" applyProtection="1">
      <protection hidden="1"/>
    </xf>
    <xf numFmtId="164" fontId="4" fillId="0" borderId="0" xfId="0" applyNumberFormat="1" applyFont="1" applyProtection="1">
      <protection hidden="1"/>
    </xf>
    <xf numFmtId="14" fontId="12" fillId="0" borderId="0" xfId="0" applyNumberFormat="1" applyFont="1" applyAlignment="1" applyProtection="1">
      <alignment horizontal="right"/>
      <protection locked="0"/>
    </xf>
    <xf numFmtId="3" fontId="0" fillId="0" borderId="0" xfId="0" applyNumberFormat="1" applyProtection="1">
      <protection locked="0"/>
    </xf>
    <xf numFmtId="0" fontId="5" fillId="0" borderId="0" xfId="0" applyFont="1"/>
    <xf numFmtId="14" fontId="0" fillId="0" borderId="0" xfId="0" applyNumberFormat="1"/>
    <xf numFmtId="0" fontId="30" fillId="0" borderId="0" xfId="0" applyFont="1"/>
    <xf numFmtId="0" fontId="31" fillId="0" borderId="9" xfId="0" applyFont="1" applyBorder="1" applyAlignment="1">
      <alignment vertical="top"/>
    </xf>
    <xf numFmtId="0" fontId="0" fillId="0" borderId="9" xfId="0" applyBorder="1" applyAlignment="1">
      <alignment wrapText="1"/>
    </xf>
    <xf numFmtId="0" fontId="12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32" fillId="0" borderId="0" xfId="0" applyFont="1"/>
    <xf numFmtId="0" fontId="0" fillId="0" borderId="11" xfId="0" applyBorder="1" applyAlignment="1" applyProtection="1">
      <alignment horizontal="left" indent="2"/>
      <protection locked="0"/>
    </xf>
    <xf numFmtId="0" fontId="33" fillId="0" borderId="0" xfId="0" applyFont="1"/>
    <xf numFmtId="0" fontId="31" fillId="0" borderId="9" xfId="0" applyFont="1" applyBorder="1" applyAlignment="1">
      <alignment horizontal="left" vertical="top" wrapText="1"/>
    </xf>
    <xf numFmtId="0" fontId="0" fillId="0" borderId="11" xfId="0" applyBorder="1" applyAlignment="1" applyProtection="1">
      <alignment horizontal="left" vertical="center" wrapText="1" indent="2"/>
      <protection locked="0"/>
    </xf>
    <xf numFmtId="0" fontId="0" fillId="0" borderId="11" xfId="0" applyBorder="1" applyAlignment="1" applyProtection="1">
      <alignment horizontal="left" vertical="center" indent="2"/>
      <protection locked="0"/>
    </xf>
    <xf numFmtId="0" fontId="0" fillId="0" borderId="0" xfId="0" applyAlignment="1" applyProtection="1">
      <alignment horizontal="left" vertical="center" indent="2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2" xfId="0" applyNumberFormat="1" applyBorder="1" applyAlignment="1" applyProtection="1">
      <alignment horizontal="right"/>
      <protection hidden="1"/>
    </xf>
    <xf numFmtId="49" fontId="0" fillId="0" borderId="2" xfId="0" applyNumberFormat="1" applyBorder="1" applyAlignment="1" applyProtection="1">
      <alignment horizontal="right"/>
      <protection locked="0" hidden="1"/>
    </xf>
    <xf numFmtId="9" fontId="0" fillId="0" borderId="0" xfId="2" applyFont="1"/>
    <xf numFmtId="3" fontId="36" fillId="7" borderId="1" xfId="0" applyNumberFormat="1" applyFont="1" applyFill="1" applyBorder="1" applyAlignment="1" applyProtection="1">
      <alignment vertical="center" wrapText="1"/>
      <protection hidden="1"/>
    </xf>
    <xf numFmtId="0" fontId="36" fillId="7" borderId="6" xfId="0" applyFont="1" applyFill="1" applyBorder="1" applyAlignment="1" applyProtection="1">
      <alignment vertical="center" wrapText="1"/>
      <protection hidden="1"/>
    </xf>
    <xf numFmtId="42" fontId="0" fillId="0" borderId="0" xfId="0" applyNumberFormat="1"/>
    <xf numFmtId="0" fontId="24" fillId="0" borderId="2" xfId="0" applyFont="1" applyBorder="1" applyAlignment="1" applyProtection="1">
      <alignment horizontal="right" vertical="center"/>
      <protection hidden="1"/>
    </xf>
    <xf numFmtId="0" fontId="17" fillId="0" borderId="1" xfId="0" applyFont="1" applyBorder="1" applyAlignment="1" applyProtection="1">
      <alignment horizontal="left" vertical="top" indent="2"/>
      <protection hidden="1"/>
    </xf>
    <xf numFmtId="0" fontId="17" fillId="0" borderId="2" xfId="0" applyFont="1" applyBorder="1" applyAlignment="1" applyProtection="1">
      <alignment horizontal="left" vertical="top" indent="2"/>
      <protection hidden="1"/>
    </xf>
    <xf numFmtId="0" fontId="16" fillId="0" borderId="0" xfId="0" applyFont="1" applyProtection="1">
      <protection hidden="1"/>
    </xf>
    <xf numFmtId="1" fontId="37" fillId="0" borderId="0" xfId="0" applyNumberFormat="1" applyFont="1" applyAlignment="1" applyProtection="1">
      <alignment horizontal="center" vertical="center"/>
      <protection hidden="1"/>
    </xf>
    <xf numFmtId="170" fontId="37" fillId="0" borderId="0" xfId="0" quotePrefix="1" applyNumberFormat="1" applyFont="1" applyAlignment="1" applyProtection="1">
      <alignment horizontal="center" vertical="center"/>
      <protection hidden="1"/>
    </xf>
    <xf numFmtId="14" fontId="16" fillId="0" borderId="0" xfId="0" applyNumberFormat="1" applyFont="1"/>
    <xf numFmtId="0" fontId="2" fillId="0" borderId="15" xfId="0" applyFont="1" applyBorder="1" applyProtection="1">
      <protection hidden="1"/>
    </xf>
    <xf numFmtId="0" fontId="2" fillId="3" borderId="15" xfId="0" applyFont="1" applyFill="1" applyBorder="1" applyProtection="1">
      <protection hidden="1"/>
    </xf>
    <xf numFmtId="164" fontId="2" fillId="0" borderId="15" xfId="1" applyFont="1" applyBorder="1" applyProtection="1">
      <protection hidden="1"/>
    </xf>
    <xf numFmtId="0" fontId="36" fillId="7" borderId="4" xfId="0" applyFont="1" applyFill="1" applyBorder="1" applyAlignment="1" applyProtection="1">
      <alignment vertical="center" wrapText="1"/>
      <protection hidden="1"/>
    </xf>
    <xf numFmtId="0" fontId="31" fillId="0" borderId="7" xfId="0" applyFont="1" applyBorder="1" applyAlignment="1" applyProtection="1">
      <alignment horizontal="left" vertical="top" wrapText="1"/>
      <protection hidden="1"/>
    </xf>
    <xf numFmtId="0" fontId="12" fillId="0" borderId="4" xfId="0" applyFont="1" applyBorder="1" applyAlignment="1" applyProtection="1">
      <alignment horizontal="right"/>
      <protection hidden="1"/>
    </xf>
    <xf numFmtId="0" fontId="12" fillId="0" borderId="0" xfId="0" applyFont="1" applyAlignment="1" applyProtection="1">
      <alignment horizontal="right"/>
      <protection hidden="1"/>
    </xf>
    <xf numFmtId="0" fontId="13" fillId="0" borderId="7" xfId="0" applyFont="1" applyBorder="1" applyAlignment="1" applyProtection="1">
      <alignment horizontal="center" vertical="center"/>
      <protection hidden="1"/>
    </xf>
    <xf numFmtId="0" fontId="22" fillId="0" borderId="4" xfId="0" applyFont="1" applyBorder="1" applyProtection="1">
      <protection locked="0"/>
    </xf>
    <xf numFmtId="0" fontId="22" fillId="0" borderId="0" xfId="0" applyFont="1" applyProtection="1">
      <protection locked="0"/>
    </xf>
    <xf numFmtId="0" fontId="24" fillId="0" borderId="2" xfId="0" applyFont="1" applyBorder="1" applyAlignment="1" applyProtection="1">
      <alignment horizontal="center" wrapText="1"/>
      <protection hidden="1"/>
    </xf>
    <xf numFmtId="172" fontId="26" fillId="0" borderId="0" xfId="0" applyNumberFormat="1" applyFont="1" applyAlignment="1" applyProtection="1">
      <alignment horizontal="center"/>
      <protection hidden="1"/>
    </xf>
    <xf numFmtId="173" fontId="12" fillId="0" borderId="0" xfId="2" applyNumberFormat="1" applyFont="1" applyBorder="1" applyAlignment="1" applyProtection="1">
      <alignment horizontal="center"/>
      <protection hidden="1"/>
    </xf>
    <xf numFmtId="0" fontId="24" fillId="0" borderId="2" xfId="0" applyFont="1" applyBorder="1" applyAlignment="1" applyProtection="1">
      <alignment horizontal="center" vertical="center"/>
      <protection hidden="1"/>
    </xf>
    <xf numFmtId="171" fontId="23" fillId="0" borderId="0" xfId="3" applyNumberFormat="1" applyFont="1" applyFill="1" applyBorder="1" applyAlignment="1" applyProtection="1">
      <alignment horizontal="center"/>
      <protection hidden="1"/>
    </xf>
    <xf numFmtId="0" fontId="24" fillId="0" borderId="2" xfId="0" applyFont="1" applyBorder="1" applyAlignment="1" applyProtection="1">
      <alignment horizontal="center" vertical="center" wrapText="1"/>
      <protection hidden="1"/>
    </xf>
    <xf numFmtId="9" fontId="38" fillId="0" borderId="0" xfId="0" applyNumberFormat="1" applyFont="1" applyAlignment="1" applyProtection="1">
      <alignment horizontal="center"/>
      <protection hidden="1"/>
    </xf>
    <xf numFmtId="0" fontId="36" fillId="7" borderId="7" xfId="0" applyFont="1" applyFill="1" applyBorder="1" applyAlignment="1" applyProtection="1">
      <alignment horizontal="left" vertical="top" wrapText="1"/>
      <protection hidden="1"/>
    </xf>
    <xf numFmtId="0" fontId="36" fillId="7" borderId="8" xfId="0" applyFont="1" applyFill="1" applyBorder="1" applyAlignment="1" applyProtection="1">
      <alignment horizontal="left" vertical="top" wrapText="1"/>
      <protection hidden="1"/>
    </xf>
    <xf numFmtId="0" fontId="34" fillId="0" borderId="1" xfId="0" applyFont="1" applyBorder="1" applyAlignment="1" applyProtection="1">
      <alignment horizontal="left" vertical="center" wrapText="1" indent="1"/>
      <protection locked="0"/>
    </xf>
    <xf numFmtId="0" fontId="34" fillId="0" borderId="2" xfId="0" applyFont="1" applyBorder="1" applyAlignment="1" applyProtection="1">
      <alignment horizontal="left" vertical="center" wrapText="1" indent="1"/>
      <protection locked="0"/>
    </xf>
    <xf numFmtId="0" fontId="34" fillId="0" borderId="3" xfId="0" applyFont="1" applyBorder="1" applyAlignment="1" applyProtection="1">
      <alignment horizontal="left" vertical="center" wrapText="1" indent="1"/>
      <protection locked="0"/>
    </xf>
    <xf numFmtId="0" fontId="34" fillId="0" borderId="6" xfId="0" applyFont="1" applyBorder="1" applyAlignment="1" applyProtection="1">
      <alignment horizontal="left" vertical="center" wrapText="1" indent="1"/>
      <protection locked="0"/>
    </xf>
    <xf numFmtId="0" fontId="34" fillId="0" borderId="7" xfId="0" applyFont="1" applyBorder="1" applyAlignment="1" applyProtection="1">
      <alignment horizontal="left" vertical="center" wrapText="1" indent="1"/>
      <protection locked="0"/>
    </xf>
    <xf numFmtId="0" fontId="34" fillId="0" borderId="8" xfId="0" applyFont="1" applyBorder="1" applyAlignment="1" applyProtection="1">
      <alignment horizontal="left" vertical="center" wrapText="1" indent="1"/>
      <protection locked="0"/>
    </xf>
    <xf numFmtId="0" fontId="35" fillId="0" borderId="12" xfId="0" applyFont="1" applyBorder="1" applyAlignment="1" applyProtection="1">
      <alignment horizontal="left" vertical="center" wrapText="1" indent="1"/>
      <protection locked="0"/>
    </xf>
    <xf numFmtId="0" fontId="35" fillId="0" borderId="13" xfId="0" applyFont="1" applyBorder="1" applyAlignment="1" applyProtection="1">
      <alignment horizontal="left" vertical="center" wrapText="1" indent="1"/>
      <protection locked="0"/>
    </xf>
    <xf numFmtId="0" fontId="35" fillId="0" borderId="14" xfId="0" applyFont="1" applyBorder="1" applyAlignment="1" applyProtection="1">
      <alignment horizontal="left" vertical="center" wrapText="1" indent="1"/>
      <protection locked="0"/>
    </xf>
    <xf numFmtId="0" fontId="34" fillId="0" borderId="12" xfId="0" applyFont="1" applyBorder="1" applyAlignment="1" applyProtection="1">
      <alignment horizontal="left" vertical="center" wrapText="1" indent="1"/>
      <protection locked="0"/>
    </xf>
    <xf numFmtId="0" fontId="34" fillId="0" borderId="13" xfId="0" applyFont="1" applyBorder="1" applyAlignment="1" applyProtection="1">
      <alignment horizontal="left" vertical="center" wrapText="1" indent="1"/>
      <protection locked="0"/>
    </xf>
    <xf numFmtId="0" fontId="34" fillId="0" borderId="14" xfId="0" applyFont="1" applyBorder="1" applyAlignment="1" applyProtection="1">
      <alignment horizontal="left" vertical="center" wrapText="1" indent="1"/>
      <protection locked="0"/>
    </xf>
    <xf numFmtId="0" fontId="31" fillId="0" borderId="10" xfId="0" applyFont="1" applyBorder="1" applyAlignment="1">
      <alignment horizontal="left" vertical="top"/>
    </xf>
    <xf numFmtId="0" fontId="31" fillId="0" borderId="11" xfId="0" applyFon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35" fillId="0" borderId="1" xfId="0" applyFont="1" applyBorder="1" applyAlignment="1">
      <alignment horizontal="left" vertical="center" wrapText="1" indent="1"/>
    </xf>
    <xf numFmtId="0" fontId="35" fillId="0" borderId="2" xfId="0" applyFont="1" applyBorder="1" applyAlignment="1">
      <alignment horizontal="left" vertical="center" wrapText="1" indent="1"/>
    </xf>
    <xf numFmtId="0" fontId="35" fillId="0" borderId="3" xfId="0" applyFont="1" applyBorder="1" applyAlignment="1">
      <alignment horizontal="left" vertical="center" wrapText="1" indent="1"/>
    </xf>
    <xf numFmtId="0" fontId="2" fillId="0" borderId="0" xfId="0" applyFont="1" applyAlignment="1">
      <alignment horizontal="left" vertical="top" wrapText="1"/>
    </xf>
    <xf numFmtId="0" fontId="2" fillId="0" borderId="10" xfId="0" applyFont="1" applyBorder="1" applyAlignment="1" applyProtection="1">
      <alignment horizontal="center" vertical="top" wrapText="1"/>
      <protection locked="0"/>
    </xf>
    <xf numFmtId="0" fontId="2" fillId="0" borderId="11" xfId="0" applyFont="1" applyBorder="1" applyAlignment="1" applyProtection="1">
      <alignment horizontal="center" vertical="top" wrapText="1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36" fillId="7" borderId="2" xfId="0" applyFont="1" applyFill="1" applyBorder="1" applyAlignment="1" applyProtection="1">
      <alignment horizontal="left" vertical="top" wrapText="1"/>
      <protection hidden="1"/>
    </xf>
    <xf numFmtId="0" fontId="36" fillId="7" borderId="3" xfId="0" applyFont="1" applyFill="1" applyBorder="1" applyAlignment="1" applyProtection="1">
      <alignment horizontal="left" vertical="top" wrapText="1"/>
      <protection hidden="1"/>
    </xf>
    <xf numFmtId="0" fontId="36" fillId="7" borderId="0" xfId="0" applyFont="1" applyFill="1" applyAlignment="1" applyProtection="1">
      <alignment horizontal="left" vertical="top" wrapText="1"/>
      <protection hidden="1"/>
    </xf>
    <xf numFmtId="0" fontId="36" fillId="7" borderId="5" xfId="0" applyFont="1" applyFill="1" applyBorder="1" applyAlignment="1" applyProtection="1">
      <alignment horizontal="left" vertical="top" wrapText="1"/>
      <protection hidden="1"/>
    </xf>
    <xf numFmtId="0" fontId="31" fillId="0" borderId="10" xfId="0" applyFont="1" applyBorder="1" applyAlignment="1" applyProtection="1">
      <alignment horizontal="left" vertical="top" wrapText="1"/>
      <protection hidden="1"/>
    </xf>
    <xf numFmtId="0" fontId="31" fillId="0" borderId="16" xfId="0" applyFont="1" applyBorder="1" applyAlignment="1" applyProtection="1">
      <alignment horizontal="left" vertical="top" wrapText="1"/>
      <protection hidden="1"/>
    </xf>
    <xf numFmtId="0" fontId="4" fillId="0" borderId="0" xfId="0" applyFont="1" applyAlignment="1" applyProtection="1">
      <alignment horizontal="center"/>
      <protection hidden="1"/>
    </xf>
  </cellXfs>
  <cellStyles count="5">
    <cellStyle name="Bad" xfId="4" builtinId="27"/>
    <cellStyle name="Comma" xfId="1" builtinId="3"/>
    <cellStyle name="Good" xfId="3" builtinId="26"/>
    <cellStyle name="Normal" xfId="0" builtinId="0"/>
    <cellStyle name="Percent" xfId="2" builtinId="5"/>
  </cellStyles>
  <dxfs count="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-* #,##0.00\ _€_-;\-* #,##0.00\ _€_-;_-* &quot;-&quot;??\ _€_-;_-@_-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-* #,##0.00\ _€_-;\-* #,##0.00\ _€_-;_-* &quot;-&quot;??\ _€_-;_-@_-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-* #,##0.00\ _€_-;\-* #,##0.00\ _€_-;_-* &quot;-&quot;??\ _€_-;_-@_-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-* #,##0.00\ _€_-;\-* #,##0.00\ _€_-;_-* &quot;-&quot;??\ _€_-;_-@_-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_-* #,##0.00\ _€_-;\-* #,##0.00\ _€_-;_-* &quot;-&quot;??\ _€_-;_-@_-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1"/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numFmt numFmtId="174" formatCode="&quot;&quot;;&quot;&quot;;&quot;&quot;;&quot;&quot;"/>
      <fill>
        <patternFill patternType="gray0625">
          <bgColor theme="0" tint="-4.9989318521683403E-2"/>
        </patternFill>
      </fill>
    </dxf>
    <dxf>
      <numFmt numFmtId="174" formatCode="&quot;&quot;;&quot;&quot;;&quot;&quot;;&quot;&quot;"/>
      <fill>
        <patternFill patternType="gray0625">
          <bgColor theme="0" tint="-4.9989318521683403E-2"/>
        </patternFill>
      </fill>
    </dxf>
    <dxf>
      <numFmt numFmtId="174" formatCode="&quot;&quot;;&quot;&quot;;&quot;&quot;;&quot;&quot;"/>
      <fill>
        <patternFill patternType="gray0625">
          <bgColor theme="0" tint="-4.9989318521683403E-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numFmt numFmtId="174" formatCode="&quot;&quot;;&quot;&quot;;&quot;&quot;;&quot;&quot;"/>
      <fill>
        <patternFill patternType="gray0625">
          <bgColor theme="0" tint="-4.9989318521683403E-2"/>
        </patternFill>
      </fill>
    </dxf>
    <dxf>
      <fill>
        <patternFill>
          <bgColor rgb="FFFF0000"/>
        </patternFill>
      </fill>
    </dxf>
    <dxf>
      <numFmt numFmtId="174" formatCode="&quot;&quot;;&quot;&quot;;&quot;&quot;;&quot;&quot;"/>
      <fill>
        <patternFill patternType="gray0625">
          <bgColor theme="0" tint="-4.9989318521683403E-2"/>
        </patternFill>
      </fill>
    </dxf>
    <dxf>
      <numFmt numFmtId="174" formatCode="&quot;&quot;;&quot;&quot;;&quot;&quot;;&quot;&quot;"/>
      <fill>
        <patternFill patternType="gray0625">
          <bgColor theme="0" tint="-4.9989318521683403E-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numFmt numFmtId="0" formatCode="General"/>
      <fill>
        <patternFill patternType="none">
          <bgColor auto="1"/>
        </patternFill>
      </fill>
    </dxf>
    <dxf>
      <font>
        <b/>
        <i val="0"/>
        <color rgb="FFFF0000"/>
      </font>
      <numFmt numFmtId="0" formatCode="General"/>
      <fill>
        <patternFill patternType="none">
          <bgColor auto="1"/>
        </patternFill>
      </fill>
    </dxf>
    <dxf>
      <numFmt numFmtId="174" formatCode="&quot;&quot;;&quot;&quot;;&quot;&quot;;&quot;&quot;"/>
      <fill>
        <patternFill patternType="gray0625">
          <bgColor theme="0" tint="-4.9989318521683403E-2"/>
        </patternFill>
      </fill>
    </dxf>
    <dxf>
      <numFmt numFmtId="174" formatCode="&quot;&quot;;&quot;&quot;;&quot;&quot;;&quot;&quot;"/>
      <fill>
        <patternFill patternType="gray0625">
          <bgColor theme="0" tint="-4.9989318521683403E-2"/>
        </patternFill>
      </fill>
    </dxf>
  </dxfs>
  <tableStyles count="0" defaultTableStyle="TableStyleMedium2" defaultPivotStyle="PivotStyleLight16"/>
  <colors>
    <mruColors>
      <color rgb="FFF8F8F8"/>
      <color rgb="FFFF97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Costs" displayName="TableCosts" ref="AN6:BC751" totalsRowCount="1" headerRowDxfId="42" dataDxfId="41" totalsRowDxfId="40">
  <autoFilter ref="AN6:BC750" xr:uid="{00000000-0009-0000-0100-000001000000}"/>
  <tableColumns count="16">
    <tableColumn id="1" xr3:uid="{00000000-0010-0000-0000-000001000000}" name="N_Typ" dataDxfId="39" totalsRowDxfId="38">
      <calculatedColumnFormula>IF(F7=1,B7,"")</calculatedColumnFormula>
    </tableColumn>
    <tableColumn id="8" xr3:uid="{00000000-0010-0000-0000-000008000000}" name="N_Center" dataDxfId="37" totalsRowDxfId="36">
      <calculatedColumnFormula>IF(F7=1,IF(C7="","",C7),"")</calculatedColumnFormula>
    </tableColumn>
    <tableColumn id="2" xr3:uid="{00000000-0010-0000-0000-000002000000}" name="N_Kateg" dataDxfId="35" totalsRowDxfId="34">
      <calculatedColumnFormula>IF(F7=1,E7,"")</calculatedColumnFormula>
    </tableColumn>
    <tableColumn id="9" xr3:uid="{00000000-0010-0000-0000-000009000000}" name="N_Výkon" dataDxfId="33" totalsRowDxfId="32">
      <calculatedColumnFormula>IF(F7=1,IF(OR(D7="realizácia",D7=""),"realizácia",D7),"")</calculatedColumnFormula>
    </tableColumn>
    <tableColumn id="3" xr3:uid="{00000000-0010-0000-0000-000003000000}" name="N_MJ" dataDxfId="31" totalsRowDxfId="30">
      <calculatedColumnFormula>IF(F7=1,G7,"")</calculatedColumnFormula>
    </tableColumn>
    <tableColumn id="7" xr3:uid="{00000000-0010-0000-0000-000007000000}" name="N_Amount" totalsRowFunction="custom" dataDxfId="29" totalsRowDxfId="28">
      <calculatedColumnFormula>IF(F7=1,IF(G7="ks",ROUNDUP(AK7,0),AK7),0)</calculatedColumnFormula>
      <totalsRowFormula>SUBTOTAL(109,AS7:AS750)</totalsRowFormula>
    </tableColumn>
    <tableColumn id="4" xr3:uid="{00000000-0010-0000-0000-000004000000}" name="N_Direct" totalsRowFunction="custom" dataDxfId="27" totalsRowDxfId="26">
      <calculatedColumnFormula>TableCosts[[#This Row],[N_Amount]]*TableCosts[[#This Row],[N_Tariff]]*TableCosts[[#This Row],[N_ItemsCount]]</calculatedColumnFormula>
      <totalsRowFormula>SUBTOTAL(109,AT7:AT750)</totalsRowFormula>
    </tableColumn>
    <tableColumn id="5" xr3:uid="{00000000-0010-0000-0000-000005000000}" name="N_SGA" totalsRowFunction="custom" dataDxfId="25" totalsRowDxfId="24">
      <calculatedColumnFormula>IF(F7=1,IF(TableCosts[[#This Row],[N_Kateg]]="interné práce",TableCosts[[#This Row],[N_Amount]]*8*PAR_SGA_PERHOUR,0),0)</calculatedColumnFormula>
      <totalsRowFormula>SUBTOTAL(109,AU7:AU750)</totalsRowFormula>
    </tableColumn>
    <tableColumn id="6" xr3:uid="{00000000-0010-0000-0000-000006000000}" name="N_Total" totalsRowFunction="custom" dataDxfId="23" totalsRowDxfId="22">
      <calculatedColumnFormula>SUM(TableCosts[[#This Row],[N_Direct]:[N_SGA]])</calculatedColumnFormula>
      <totalsRowFormula>SUBTOTAL(109,AV7:AV750)</totalsRowFormula>
    </tableColumn>
    <tableColumn id="10" xr3:uid="{00000000-0010-0000-0000-00000A000000}" name="N_Tariff" dataDxfId="21" totalsRowDxfId="20">
      <calculatedColumnFormula>IF(F7=1,IF(D7="",NA(),VLOOKUP(C7&amp;TableCosts[[#This Row],[Calc_N_Typ]],TRAN_STRITEMS_LABEL,7,0)),0)</calculatedColumnFormula>
    </tableColumn>
    <tableColumn id="11" xr3:uid="{00000000-0010-0000-0000-00000B000000}" name="N_ItemsCount" dataDxfId="19" totalsRowDxfId="18">
      <calculatedColumnFormula>IF(F7=1,IF(G7="čld.",8,1),0)</calculatedColumnFormula>
    </tableColumn>
    <tableColumn id="12" xr3:uid="{00000000-0010-0000-0000-00000C000000}" name="TransferFrom" dataDxfId="17" totalsRowDxfId="16">
      <calculatedColumnFormula>IF(F7=1,IFERROR(VLOOKUP(B7,IpsLicences,2,0),IF(C7="",Par_Center,C7)),"")</calculatedColumnFormula>
    </tableColumn>
    <tableColumn id="13" xr3:uid="{00000000-0010-0000-0000-00000D000000}" name="TranferTo" dataDxfId="15" totalsRowDxfId="14">
      <calculatedColumnFormula>IF(F7=1,Par_Center,"")</calculatedColumnFormula>
    </tableColumn>
    <tableColumn id="14" xr3:uid="{00000000-0010-0000-0000-00000E000000}" name="IsTransfer" dataDxfId="13" totalsRowDxfId="12">
      <calculatedColumnFormula>IF(F7=1,IF(TableCosts[[#This Row],[TransferFrom]]=TableCosts[[#This Row],[TranferTo]],0,1),"")</calculatedColumnFormula>
    </tableColumn>
    <tableColumn id="15" xr3:uid="{00000000-0010-0000-0000-00000F000000}" name="Calc_N_Typ" dataDxfId="11" totalsRowDxfId="10">
      <calculatedColumnFormula>IF(RIGHT(B7,LEN(Par_LabelTravelTime))=Par_LabelTravelTime,LEFT(B7,LEN(B7)-LEN(Par_LabelTravelTime)),B7)</calculatedColumnFormula>
    </tableColumn>
    <tableColumn id="16" xr3:uid="{00000000-0010-0000-0000-000010000000}" name="IsTravelTime" dataDxfId="9" totalsRowDxfId="8">
      <calculatedColumnFormula>IF(RIGHT(B7,LEN(Par_LabelTravelTime))=Par_LabelTravelTime,1,0)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_ErrMessage" displayName="Tab_ErrMessage" ref="V1:W3" totalsRowShown="0" headerRowDxfId="7" dataDxfId="6">
  <autoFilter ref="V1:W3" xr:uid="{00000000-0009-0000-0100-000002000000}"/>
  <tableColumns count="2">
    <tableColumn id="1" xr3:uid="{00000000-0010-0000-0100-000001000000}" name="Msq_Part1" dataDxfId="5"/>
    <tableColumn id="2" xr3:uid="{00000000-0010-0000-0100-000002000000}" name="Msq_Part2" dataDxfId="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_GMRequired" displayName="Tab_GMRequired" ref="S1:T6" totalsRowShown="0" headerRowDxfId="3" dataDxfId="2">
  <autoFilter ref="S1:T6" xr:uid="{00000000-0009-0000-0100-000003000000}"/>
  <tableColumns count="2">
    <tableColumn id="1" xr3:uid="{00000000-0010-0000-0200-000001000000}" name="Center" dataDxfId="1"/>
    <tableColumn id="2" xr3:uid="{00000000-0010-0000-0200-000002000000}" name="GM_IPS_Requir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0.79998168889431442"/>
    <pageSetUpPr fitToPage="1"/>
  </sheetPr>
  <dimension ref="B1:BC754"/>
  <sheetViews>
    <sheetView showGridLines="0" zoomScale="90" zoomScaleNormal="90" workbookViewId="0">
      <pane xSplit="10" ySplit="6" topLeftCell="K10" activePane="bottomRight" state="frozen"/>
      <selection pane="topRight" activeCell="K1" sqref="K1"/>
      <selection pane="bottomLeft" activeCell="A7" sqref="A7"/>
      <selection pane="bottomRight" activeCell="D16" sqref="D16"/>
    </sheetView>
  </sheetViews>
  <sheetFormatPr defaultColWidth="9.140625" defaultRowHeight="15" x14ac:dyDescent="0.25"/>
  <cols>
    <col min="1" max="1" width="1" style="2" customWidth="1"/>
    <col min="2" max="2" width="24.140625" style="2" customWidth="1"/>
    <col min="3" max="3" width="12.42578125" style="30" customWidth="1"/>
    <col min="4" max="4" width="11" style="30" bestFit="1" customWidth="1"/>
    <col min="5" max="5" width="16.85546875" style="2" customWidth="1"/>
    <col min="6" max="6" width="3" style="2" hidden="1" customWidth="1"/>
    <col min="7" max="7" width="6.85546875" style="2" customWidth="1"/>
    <col min="8" max="8" width="13.85546875" style="2" customWidth="1"/>
    <col min="9" max="9" width="12.140625" style="2" hidden="1" customWidth="1"/>
    <col min="10" max="10" width="34.28515625" style="2" customWidth="1"/>
    <col min="11" max="36" width="8.28515625" style="2" customWidth="1"/>
    <col min="37" max="38" width="9.85546875" style="2" customWidth="1"/>
    <col min="39" max="39" width="9.140625" style="2"/>
    <col min="40" max="40" width="12.42578125" style="2" hidden="1" customWidth="1"/>
    <col min="41" max="41" width="14.140625" style="2" hidden="1" customWidth="1"/>
    <col min="42" max="42" width="11.42578125" style="2" hidden="1" customWidth="1"/>
    <col min="43" max="43" width="13" style="2" hidden="1" customWidth="1"/>
    <col min="44" max="44" width="8.28515625" style="2" hidden="1" customWidth="1"/>
    <col min="45" max="45" width="12.85546875" style="2" hidden="1" customWidth="1"/>
    <col min="46" max="46" width="14" style="2" hidden="1" customWidth="1"/>
    <col min="47" max="47" width="12.42578125" style="2" hidden="1" customWidth="1"/>
    <col min="48" max="48" width="14" style="2" hidden="1" customWidth="1"/>
    <col min="49" max="55" width="9.140625" style="2" hidden="1" customWidth="1"/>
    <col min="56" max="16384" width="9.140625" style="2"/>
  </cols>
  <sheetData>
    <row r="1" spans="2:55" ht="33" customHeight="1" x14ac:dyDescent="0.25">
      <c r="B1" s="100" t="s">
        <v>190</v>
      </c>
      <c r="C1" s="100"/>
      <c r="D1" s="100"/>
      <c r="E1" s="52" t="str">
        <f>"VRZ iba pre obchodné prípady do "&amp;Par_MaxAmount&amp;" €."</f>
        <v>VRZ iba pre obchodné prípady do 30000 €.</v>
      </c>
      <c r="F1" s="48"/>
      <c r="G1" s="48"/>
    </row>
    <row r="2" spans="2:55" ht="29.25" customHeight="1" x14ac:dyDescent="0.25">
      <c r="B2" s="87"/>
      <c r="C2" s="80" t="s">
        <v>171</v>
      </c>
      <c r="D2" s="81"/>
      <c r="E2" s="1"/>
      <c r="F2" s="1"/>
      <c r="G2" s="88" t="str">
        <f>"verzia: "&amp;PAR_XLS_VERSION</f>
        <v>verzia: 21_0</v>
      </c>
      <c r="H2" s="1"/>
      <c r="I2" s="1"/>
      <c r="J2" s="86" t="s">
        <v>87</v>
      </c>
      <c r="K2" s="106" t="s">
        <v>86</v>
      </c>
      <c r="L2" s="106"/>
      <c r="M2" s="108" t="s">
        <v>89</v>
      </c>
      <c r="N2" s="108"/>
      <c r="O2" s="103" t="s">
        <v>147</v>
      </c>
      <c r="P2" s="103"/>
      <c r="Q2" s="103" t="s">
        <v>172</v>
      </c>
      <c r="R2" s="103"/>
      <c r="S2" s="103" t="s">
        <v>184</v>
      </c>
      <c r="T2" s="103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8"/>
    </row>
    <row r="3" spans="2:55" ht="22.5" customHeight="1" x14ac:dyDescent="0.35">
      <c r="B3" s="101" t="s">
        <v>85</v>
      </c>
      <c r="C3" s="102"/>
      <c r="D3" s="102"/>
      <c r="E3" s="102"/>
      <c r="F3" s="102"/>
      <c r="G3" s="102"/>
      <c r="H3" s="102"/>
      <c r="I3" s="50"/>
      <c r="J3" s="49">
        <f>IF(MAX(Par_CostsTotal,Par_Invoicing)&gt;Par_MaxAmount,-1,Par_CostsTotal)</f>
        <v>0</v>
      </c>
      <c r="K3" s="107">
        <f>IF(MAX(Par_CostsTotal,Par_Invoicing)&gt;Par_MaxAmount,-1,Par_Invoicing)</f>
        <v>0</v>
      </c>
      <c r="L3" s="107"/>
      <c r="M3" s="104">
        <f>IF(MAX(Par_CostsTotal,Par_Invoicing)&gt;Par_MaxAmount,-1,Par_Invoicing-Par_CostsTotal)</f>
        <v>0</v>
      </c>
      <c r="N3" s="104"/>
      <c r="O3" s="104">
        <f>IF(MAX(Par_CostsTotal,Par_Invoicing)&gt;Par_MaxAmount,-1,Par_RevsLic+Par_RevsWork-Par_CostsLic-Par_CostsWork)</f>
        <v>0</v>
      </c>
      <c r="P3" s="104"/>
      <c r="Q3" s="109" t="str">
        <f>IF(Q4="","",IFERROR(VALUE(O4),-1))</f>
        <v/>
      </c>
      <c r="R3" s="109"/>
      <c r="S3" s="107">
        <f>IF(MAX(Par_CostsTotal,Par_Invoicing)&gt;Par_MaxAmount,-1,Par_RevsWork+Par_RevsLic)</f>
        <v>0</v>
      </c>
      <c r="T3" s="107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L3" s="10"/>
    </row>
    <row r="4" spans="2:55" ht="15.75" x14ac:dyDescent="0.25">
      <c r="B4" s="98" t="s">
        <v>88</v>
      </c>
      <c r="C4" s="99"/>
      <c r="D4" s="61"/>
      <c r="E4" s="53" t="str">
        <f>IF(MAX(Par_CostsTotal,Par_Invoicing)&gt;Par_MaxAmount,"Tento rozbor nie je určený pre tento typ zákazky!","")</f>
        <v/>
      </c>
      <c r="K4" s="47" t="s">
        <v>69</v>
      </c>
      <c r="M4" s="105" t="str">
        <f>IF(M3=0,"",IF(M3&lt;0,"stratová zákazka",M3/K3))</f>
        <v/>
      </c>
      <c r="N4" s="105"/>
      <c r="O4" s="105" t="str">
        <f>IF(O3=0,"",IF(O3&lt;0,"stratová zákazka",O3/(Par_RevsLic+Par_RevsWork)))</f>
        <v/>
      </c>
      <c r="P4" s="105"/>
      <c r="Q4" s="105" t="str">
        <f>IFERROR(VLOOKUP(Par_CenterInput,Tab_GMRequired[],2,0),"")</f>
        <v/>
      </c>
      <c r="R4" s="105"/>
      <c r="S4" s="105" t="str">
        <f>IF(S3=0,"",IF(S3&lt;0,"stratová zákazka",Par_EROwnRatio))</f>
        <v/>
      </c>
      <c r="T4" s="105"/>
      <c r="U4" s="47"/>
      <c r="V4" s="47" t="s">
        <v>70</v>
      </c>
      <c r="W4" s="47" t="s">
        <v>71</v>
      </c>
      <c r="X4" s="47" t="s">
        <v>72</v>
      </c>
      <c r="Y4" s="47" t="s">
        <v>73</v>
      </c>
      <c r="Z4" s="47" t="s">
        <v>74</v>
      </c>
      <c r="AA4" s="47" t="s">
        <v>75</v>
      </c>
      <c r="AB4" s="47" t="s">
        <v>76</v>
      </c>
      <c r="AC4" s="47" t="s">
        <v>77</v>
      </c>
      <c r="AD4" s="47" t="s">
        <v>78</v>
      </c>
      <c r="AE4" s="47" t="s">
        <v>79</v>
      </c>
      <c r="AF4" s="47" t="s">
        <v>80</v>
      </c>
      <c r="AG4" s="47" t="s">
        <v>81</v>
      </c>
      <c r="AH4" s="47" t="s">
        <v>82</v>
      </c>
      <c r="AI4" s="47" t="s">
        <v>83</v>
      </c>
      <c r="AJ4" s="47" t="s">
        <v>84</v>
      </c>
      <c r="AL4" s="10"/>
    </row>
    <row r="5" spans="2:55" s="11" customFormat="1" x14ac:dyDescent="0.25">
      <c r="B5" s="98" t="s">
        <v>121</v>
      </c>
      <c r="C5" s="99"/>
      <c r="D5" s="60">
        <v>45778</v>
      </c>
      <c r="E5" s="30"/>
      <c r="K5" s="90">
        <v>0</v>
      </c>
      <c r="L5" s="90">
        <v>1</v>
      </c>
      <c r="M5" s="90">
        <v>2</v>
      </c>
      <c r="N5" s="90">
        <v>3</v>
      </c>
      <c r="O5" s="90">
        <v>4</v>
      </c>
      <c r="P5" s="90">
        <v>5</v>
      </c>
      <c r="Q5" s="90">
        <v>6</v>
      </c>
      <c r="R5" s="90">
        <v>7</v>
      </c>
      <c r="S5" s="90">
        <v>8</v>
      </c>
      <c r="T5" s="90">
        <v>9</v>
      </c>
      <c r="U5" s="90">
        <v>10</v>
      </c>
      <c r="V5" s="90">
        <v>11</v>
      </c>
      <c r="W5" s="90">
        <v>12</v>
      </c>
      <c r="X5" s="90">
        <v>13</v>
      </c>
      <c r="Y5" s="90">
        <v>14</v>
      </c>
      <c r="Z5" s="90">
        <v>15</v>
      </c>
      <c r="AA5" s="90">
        <v>16</v>
      </c>
      <c r="AB5" s="90">
        <v>17</v>
      </c>
      <c r="AC5" s="90">
        <v>18</v>
      </c>
      <c r="AD5" s="90">
        <v>19</v>
      </c>
      <c r="AE5" s="90">
        <v>20</v>
      </c>
      <c r="AF5" s="90">
        <v>21</v>
      </c>
      <c r="AG5" s="90">
        <v>22</v>
      </c>
      <c r="AH5" s="90">
        <v>23</v>
      </c>
      <c r="AI5" s="90">
        <v>24</v>
      </c>
      <c r="AJ5" s="91">
        <v>25</v>
      </c>
      <c r="AL5" s="12"/>
    </row>
    <row r="6" spans="2:55" s="5" customFormat="1" ht="15.75" x14ac:dyDescent="0.25">
      <c r="B6" s="3" t="s">
        <v>51</v>
      </c>
      <c r="C6" s="29" t="s">
        <v>46</v>
      </c>
      <c r="D6" s="29" t="s">
        <v>47</v>
      </c>
      <c r="E6" s="4" t="s">
        <v>48</v>
      </c>
      <c r="F6" s="4"/>
      <c r="G6" s="4" t="s">
        <v>24</v>
      </c>
      <c r="H6" s="4" t="s">
        <v>52</v>
      </c>
      <c r="I6" s="4"/>
      <c r="J6" s="4" t="s">
        <v>2</v>
      </c>
      <c r="K6" s="23">
        <f>IterateMonth(PAR_WO_Contracted,K$5)</f>
        <v>45778</v>
      </c>
      <c r="L6" s="23">
        <f>IterateMonth(PAR_WO_Contracted,L$5)</f>
        <v>45809</v>
      </c>
      <c r="M6" s="23">
        <f t="shared" ref="M6:AJ6" si="0">IterateMonth(PAR_WO_Contracted,M$5)</f>
        <v>45839</v>
      </c>
      <c r="N6" s="23">
        <f t="shared" si="0"/>
        <v>45870</v>
      </c>
      <c r="O6" s="23">
        <f t="shared" si="0"/>
        <v>45901</v>
      </c>
      <c r="P6" s="23">
        <f t="shared" si="0"/>
        <v>45931</v>
      </c>
      <c r="Q6" s="23">
        <f t="shared" si="0"/>
        <v>45962</v>
      </c>
      <c r="R6" s="23">
        <f t="shared" si="0"/>
        <v>45992</v>
      </c>
      <c r="S6" s="23">
        <f t="shared" si="0"/>
        <v>46023</v>
      </c>
      <c r="T6" s="23">
        <f t="shared" si="0"/>
        <v>46054</v>
      </c>
      <c r="U6" s="23">
        <f t="shared" si="0"/>
        <v>46082</v>
      </c>
      <c r="V6" s="23">
        <f t="shared" si="0"/>
        <v>46113</v>
      </c>
      <c r="W6" s="23">
        <f t="shared" si="0"/>
        <v>46143</v>
      </c>
      <c r="X6" s="23">
        <f t="shared" si="0"/>
        <v>46174</v>
      </c>
      <c r="Y6" s="23">
        <f t="shared" si="0"/>
        <v>46204</v>
      </c>
      <c r="Z6" s="23">
        <f t="shared" si="0"/>
        <v>46235</v>
      </c>
      <c r="AA6" s="23">
        <f t="shared" si="0"/>
        <v>46266</v>
      </c>
      <c r="AB6" s="23">
        <f t="shared" si="0"/>
        <v>46296</v>
      </c>
      <c r="AC6" s="23">
        <f t="shared" si="0"/>
        <v>46327</v>
      </c>
      <c r="AD6" s="23">
        <f t="shared" si="0"/>
        <v>46357</v>
      </c>
      <c r="AE6" s="23">
        <f t="shared" si="0"/>
        <v>46388</v>
      </c>
      <c r="AF6" s="23">
        <f t="shared" si="0"/>
        <v>46419</v>
      </c>
      <c r="AG6" s="23">
        <f t="shared" si="0"/>
        <v>46447</v>
      </c>
      <c r="AH6" s="23">
        <f t="shared" si="0"/>
        <v>46478</v>
      </c>
      <c r="AI6" s="23">
        <f t="shared" si="0"/>
        <v>46508</v>
      </c>
      <c r="AJ6" s="43">
        <f t="shared" si="0"/>
        <v>46539</v>
      </c>
      <c r="AK6" s="37" t="s">
        <v>7</v>
      </c>
      <c r="AL6" s="13" t="s">
        <v>45</v>
      </c>
      <c r="AN6" s="5" t="s">
        <v>30</v>
      </c>
      <c r="AO6" s="5" t="s">
        <v>42</v>
      </c>
      <c r="AP6" s="5" t="s">
        <v>31</v>
      </c>
      <c r="AQ6" s="5" t="s">
        <v>43</v>
      </c>
      <c r="AR6" s="5" t="s">
        <v>32</v>
      </c>
      <c r="AS6" s="5" t="s">
        <v>36</v>
      </c>
      <c r="AT6" s="5" t="s">
        <v>33</v>
      </c>
      <c r="AU6" s="5" t="s">
        <v>34</v>
      </c>
      <c r="AV6" s="5" t="s">
        <v>35</v>
      </c>
      <c r="AW6" s="46" t="s">
        <v>62</v>
      </c>
      <c r="AX6" s="46" t="s">
        <v>63</v>
      </c>
      <c r="AY6" s="58" t="s">
        <v>93</v>
      </c>
      <c r="AZ6" s="58" t="s">
        <v>94</v>
      </c>
      <c r="BA6" s="58" t="s">
        <v>95</v>
      </c>
      <c r="BB6" s="46" t="s">
        <v>122</v>
      </c>
      <c r="BC6" s="46" t="s">
        <v>123</v>
      </c>
    </row>
    <row r="7" spans="2:55" s="7" customFormat="1" ht="12.75" x14ac:dyDescent="0.2">
      <c r="B7" s="33" t="s">
        <v>28</v>
      </c>
      <c r="C7" s="31"/>
      <c r="D7" s="40" t="s">
        <v>44</v>
      </c>
      <c r="E7" s="6" t="str">
        <f>IF(F7=1,IF(ISERROR(TableCosts[[#This Row],[N_Tariff]]),Err_Message1,IF(TableCosts[[#This Row],[N_Tariff]]=0,Err_Message2,VLOOKUP(C7&amp;TableCosts[[#This Row],[Calc_N_Typ]],TRAN_STRITEMS_LABEL,5,FALSE))),"")</f>
        <v/>
      </c>
      <c r="F7" s="6">
        <f t="shared" ref="F7" si="1">IF(B7="",0,IF(LEFT(B7,3)="***",-1,1))</f>
        <v>-1</v>
      </c>
      <c r="G7" s="6" t="str">
        <f>IF(F7=1,IFERROR(VLOOKUP(E7,Tab_ErrMessage[],2,0),VLOOKUP(C7&amp;TableCosts[[#This Row],[Calc_N_Typ]],TRAN_STRITEMS_LABEL,4,FALSE)),"")</f>
        <v/>
      </c>
      <c r="H7" s="40"/>
      <c r="I7" s="40"/>
      <c r="J7" s="35" t="s">
        <v>44</v>
      </c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5"/>
      <c r="AH7" s="25"/>
      <c r="AI7" s="24"/>
      <c r="AJ7" s="24"/>
      <c r="AK7" s="38">
        <f t="array" ref="AK7">IF(F7=1,SUM((ROW(M0)=ROW(AK7))*(M0+M1_+M2_+M3_+M4_+M5_+M6_+M7_+M8_+M9_+M10_+M11_+M12_+M13_+M14_+M15_+M16_+M17_+M18_+M19_+M20_+M21_+M22_+M23_+M24_+M25_)),0)</f>
        <v>0</v>
      </c>
      <c r="AL7" s="27">
        <f>TableCosts[[#This Row],[N_Direct]]</f>
        <v>0</v>
      </c>
      <c r="AN7" s="7" t="str">
        <f t="shared" ref="AN7:AN71" si="2">IF(F7=1,B7,"")</f>
        <v/>
      </c>
      <c r="AO7" s="7" t="str">
        <f>IF(F7=1,IF(C7="","",C7),"")</f>
        <v/>
      </c>
      <c r="AP7" s="7" t="str">
        <f t="shared" ref="AP7:AP71" si="3">IF(F7=1,E7,"")</f>
        <v/>
      </c>
      <c r="AQ7" s="7" t="str">
        <f t="shared" ref="AQ7:AQ70" si="4">IF(F7=1,IF(OR(D7="realizácia",D7=""),"realizácia",D7),"")</f>
        <v/>
      </c>
      <c r="AR7" s="7" t="str">
        <f t="shared" ref="AR7:AR71" si="5">IF(F7=1,G7,"")</f>
        <v/>
      </c>
      <c r="AS7" s="7">
        <f t="shared" ref="AS7:AS70" si="6">IF(F7=1,IF(G7="ks",ROUNDUP(AK7,0),AK7),0)</f>
        <v>0</v>
      </c>
      <c r="AT7" s="17">
        <f>TableCosts[[#This Row],[N_Amount]]*TableCosts[[#This Row],[N_Tariff]]*TableCosts[[#This Row],[N_ItemsCount]]</f>
        <v>0</v>
      </c>
      <c r="AU7" s="17">
        <f>IF(F7=1,IF(TableCosts[[#This Row],[N_Kateg]]="interné práce",TableCosts[[#This Row],[N_Amount]]*8*PAR_SGA_PERHOUR,0),0)</f>
        <v>0</v>
      </c>
      <c r="AV7" s="17">
        <f>SUM(TableCosts[[#This Row],[N_Direct]:[N_SGA]])</f>
        <v>0</v>
      </c>
      <c r="AW7" s="7">
        <f>IF(F7=1,IF(D7="",NA(),VLOOKUP(C7&amp;TableCosts[[#This Row],[Calc_N_Typ]],TRAN_STRITEMS_LABEL,7,0)),0)</f>
        <v>0</v>
      </c>
      <c r="AX7" s="7">
        <f t="shared" ref="AX7:AX70" si="7">IF(F7=1,IF(G7="čld.",8,1),0)</f>
        <v>0</v>
      </c>
      <c r="AY7" s="7" t="str">
        <f>IF(F7=1,IFERROR(VLOOKUP(B7,IpsLicences,2,0),IF(C7="",Par_Center,C7)),"")</f>
        <v/>
      </c>
      <c r="AZ7" s="7" t="str">
        <f t="shared" ref="AZ7:AZ70" si="8">IF(F7=1,Par_Center,"")</f>
        <v/>
      </c>
      <c r="BA7" s="7" t="str">
        <f>IF(F7=1,IF(TableCosts[[#This Row],[TransferFrom]]=TableCosts[[#This Row],[TranferTo]],0,1),"")</f>
        <v/>
      </c>
      <c r="BB7" s="7" t="str">
        <f t="shared" ref="BB7:BB70" si="9">IF(RIGHT(B7,LEN(Par_LabelTravelTime))=Par_LabelTravelTime,LEFT(B7,LEN(B7)-LEN(Par_LabelTravelTime)),B7)</f>
        <v>*** prázdna ***</v>
      </c>
      <c r="BC7" s="7">
        <f t="shared" ref="BC7:BC70" si="10">IF(RIGHT(B7,LEN(Par_LabelTravelTime))=Par_LabelTravelTime,1,0)</f>
        <v>0</v>
      </c>
    </row>
    <row r="8" spans="2:55" s="7" customFormat="1" ht="12.75" x14ac:dyDescent="0.2">
      <c r="B8" s="33" t="s">
        <v>178</v>
      </c>
      <c r="C8" s="31"/>
      <c r="D8" s="40" t="s">
        <v>44</v>
      </c>
      <c r="E8" s="6" t="str">
        <f>IF(F8=1,IF(ISERROR(TableCosts[[#This Row],[N_Tariff]]),Err_Message1,IF(TableCosts[[#This Row],[N_Tariff]]=0,Err_Message2,VLOOKUP(C8&amp;TableCosts[[#This Row],[Calc_N_Typ]],TRAN_STRITEMS_LABEL,5,FALSE))),"")</f>
        <v>interné práce</v>
      </c>
      <c r="F8" s="6">
        <f t="shared" ref="F8" si="11">IF(B8="",0,IF(LEFT(B8,3)="***",-1,1))</f>
        <v>1</v>
      </c>
      <c r="G8" s="6" t="str">
        <f>IF(F8=1,IFERROR(VLOOKUP(E8,Tab_ErrMessage[],2,0),VLOOKUP(C8&amp;TableCosts[[#This Row],[Calc_N_Typ]],TRAN_STRITEMS_LABEL,4,FALSE)),"")</f>
        <v>EUR</v>
      </c>
      <c r="H8" s="40"/>
      <c r="I8" s="40"/>
      <c r="J8" s="35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5"/>
      <c r="AH8" s="25"/>
      <c r="AI8" s="24"/>
      <c r="AJ8" s="24"/>
      <c r="AK8" s="38">
        <f t="array" ref="AK8">IF(F8=1,SUM((ROW(M0)=ROW(AK8))*(M0+M1_+M2_+M3_+M4_+M5_+M6_+M7_+M8_+M9_+M10_+M11_+M12_+M13_+M14_+M15_+M16_+M17_+M18_+M19_+M20_+M21_+M22_+M23_+M24_+M25_)),0)</f>
        <v>0</v>
      </c>
      <c r="AL8" s="27">
        <f>TableCosts[[#This Row],[N_Direct]]</f>
        <v>0</v>
      </c>
      <c r="AN8" s="7" t="str">
        <f t="shared" si="2"/>
        <v>IPS náklady [Eur]</v>
      </c>
      <c r="AO8" s="7" t="str">
        <f>IF(F8=1,IF(C8="","",C8),"")</f>
        <v/>
      </c>
      <c r="AP8" s="7" t="str">
        <f t="shared" si="3"/>
        <v>interné práce</v>
      </c>
      <c r="AQ8" s="7" t="str">
        <f t="shared" si="4"/>
        <v>akvizícia</v>
      </c>
      <c r="AR8" s="7" t="str">
        <f t="shared" si="5"/>
        <v>EUR</v>
      </c>
      <c r="AS8" s="7">
        <f t="shared" si="6"/>
        <v>0</v>
      </c>
      <c r="AT8" s="17">
        <f>TableCosts[[#This Row],[N_Amount]]*TableCosts[[#This Row],[N_Tariff]]*TableCosts[[#This Row],[N_ItemsCount]]</f>
        <v>0</v>
      </c>
      <c r="AU8" s="17">
        <f>IF(F8=1,IF(TableCosts[[#This Row],[N_Kateg]]="interné práce",TableCosts[[#This Row],[N_Amount]]*8*PAR_SGA_PERHOUR,0),0)</f>
        <v>0</v>
      </c>
      <c r="AV8" s="17">
        <f>SUM(TableCosts[[#This Row],[N_Direct]:[N_SGA]])</f>
        <v>0</v>
      </c>
      <c r="AW8" s="7">
        <f>IF(F8=1,IF(D8="",NA(),VLOOKUP(C8&amp;TableCosts[[#This Row],[Calc_N_Typ]],TRAN_STRITEMS_LABEL,7,0)),0)</f>
        <v>1</v>
      </c>
      <c r="AX8" s="7">
        <f t="shared" si="7"/>
        <v>1</v>
      </c>
      <c r="AY8" s="57">
        <f>IF(F8=1,IFERROR(VLOOKUP(B8,IpsLicences,2,0),IF(C8="",Par_Center,C8)),"")</f>
        <v>0</v>
      </c>
      <c r="AZ8" s="57">
        <f t="shared" si="8"/>
        <v>0</v>
      </c>
      <c r="BA8" s="57">
        <f>IF(F8=1,IF(TableCosts[[#This Row],[TransferFrom]]=TableCosts[[#This Row],[TranferTo]],0,1),"")</f>
        <v>0</v>
      </c>
      <c r="BB8" s="7" t="str">
        <f t="shared" si="9"/>
        <v>IPS náklady [Eur]</v>
      </c>
      <c r="BC8" s="7">
        <f t="shared" si="10"/>
        <v>0</v>
      </c>
    </row>
    <row r="9" spans="2:55" s="7" customFormat="1" ht="12.75" x14ac:dyDescent="0.2">
      <c r="B9" s="33" t="s">
        <v>49</v>
      </c>
      <c r="C9" s="31"/>
      <c r="D9" s="40" t="s">
        <v>44</v>
      </c>
      <c r="E9" s="6" t="str">
        <f>IF(F9=1,IF(ISERROR(TableCosts[[#This Row],[N_Tariff]]),Err_Message1,IF(TableCosts[[#This Row],[N_Tariff]]=0,Err_Message2,VLOOKUP(C9&amp;TableCosts[[#This Row],[Calc_N_Typ]],TRAN_STRITEMS_LABEL,5,FALSE))),"")</f>
        <v>nákup 3S</v>
      </c>
      <c r="F9" s="6">
        <f t="shared" ref="F9:F72" si="12">IF(B9="",0,IF(LEFT(B9,3)="***",-1,1))</f>
        <v>1</v>
      </c>
      <c r="G9" s="6" t="str">
        <f>IF(F9=1,IFERROR(VLOOKUP(E9,Tab_ErrMessage[],2,0),VLOOKUP(C9&amp;TableCosts[[#This Row],[Calc_N_Typ]],TRAN_STRITEMS_LABEL,4,FALSE)),"")</f>
        <v>EUR</v>
      </c>
      <c r="H9" s="40"/>
      <c r="I9" s="40"/>
      <c r="J9" s="35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5"/>
      <c r="AH9" s="25"/>
      <c r="AI9" s="24"/>
      <c r="AJ9" s="24"/>
      <c r="AK9" s="38">
        <f t="array" ref="AK9">IF(F9=1,SUM((ROW(M0)=ROW(AK9))*(M0+M1_+M2_+M3_+M4_+M5_+M6_+M7_+M8_+M9_+M10_+M11_+M12_+M13_+M14_+M15_+M16_+M17_+M18_+M19_+M20_+M21_+M22_+M23_+M24_+M25_)),0)</f>
        <v>0</v>
      </c>
      <c r="AL9" s="27">
        <f>TableCosts[[#This Row],[N_Direct]]</f>
        <v>0</v>
      </c>
      <c r="AN9" s="7" t="str">
        <f>IF(F9=1,B9,"")</f>
        <v>FINANCE</v>
      </c>
      <c r="AO9" s="7" t="str">
        <f t="shared" ref="AO9:AO70" si="13">IF(F9=1,IF(C9="","",C9),"")</f>
        <v/>
      </c>
      <c r="AP9" s="7" t="str">
        <f>IF(F9=1,E9,"")</f>
        <v>nákup 3S</v>
      </c>
      <c r="AQ9" s="7" t="str">
        <f t="shared" si="4"/>
        <v>akvizícia</v>
      </c>
      <c r="AR9" s="7" t="str">
        <f>IF(F9=1,G9,"")</f>
        <v>EUR</v>
      </c>
      <c r="AS9" s="7">
        <f t="shared" si="6"/>
        <v>0</v>
      </c>
      <c r="AT9" s="17">
        <f>TableCosts[[#This Row],[N_Amount]]*TableCosts[[#This Row],[N_Tariff]]*TableCosts[[#This Row],[N_ItemsCount]]</f>
        <v>0</v>
      </c>
      <c r="AU9" s="17">
        <f>IF(F9=1,IF(TableCosts[[#This Row],[N_Kateg]]="interné práce",TableCosts[[#This Row],[N_Amount]]*8*PAR_SGA_PERHOUR,0),0)</f>
        <v>0</v>
      </c>
      <c r="AV9" s="17">
        <f>SUM(TableCosts[[#This Row],[N_Direct]:[N_SGA]])</f>
        <v>0</v>
      </c>
      <c r="AW9" s="7">
        <f>IF(F9=1,IF(D9="",NA(),VLOOKUP(C9&amp;TableCosts[[#This Row],[Calc_N_Typ]],TRAN_STRITEMS_LABEL,7,0)),0)</f>
        <v>1</v>
      </c>
      <c r="AX9" s="7">
        <f t="shared" si="7"/>
        <v>1</v>
      </c>
      <c r="AY9" s="57">
        <f t="shared" ref="AY9:AY70" si="14">IF(F9=1,IFERROR(VLOOKUP(B9,IpsLicences,2,0),IF(C9="",Par_Center,C9)),"")</f>
        <v>0</v>
      </c>
      <c r="AZ9" s="57">
        <f t="shared" si="8"/>
        <v>0</v>
      </c>
      <c r="BA9" s="57">
        <f>IF(F9=1,IF(TableCosts[[#This Row],[TransferFrom]]=TableCosts[[#This Row],[TranferTo]],0,1),"")</f>
        <v>0</v>
      </c>
      <c r="BB9" s="7" t="str">
        <f t="shared" si="9"/>
        <v>FINANCE</v>
      </c>
      <c r="BC9" s="7">
        <f t="shared" si="10"/>
        <v>0</v>
      </c>
    </row>
    <row r="10" spans="2:55" s="7" customFormat="1" ht="12.75" x14ac:dyDescent="0.2">
      <c r="B10" s="33" t="s">
        <v>28</v>
      </c>
      <c r="C10" s="31"/>
      <c r="D10" s="40"/>
      <c r="E10" s="6" t="str">
        <f>IF(F10=1,IF(ISERROR(TableCosts[[#This Row],[N_Tariff]]),Err_Message1,IF(TableCosts[[#This Row],[N_Tariff]]=0,Err_Message2,VLOOKUP(C10&amp;TableCosts[[#This Row],[Calc_N_Typ]],TRAN_STRITEMS_LABEL,5,FALSE))),"")</f>
        <v/>
      </c>
      <c r="F10" s="6">
        <f t="shared" si="12"/>
        <v>-1</v>
      </c>
      <c r="G10" s="6" t="str">
        <f>IF(F10=1,IFERROR(VLOOKUP(E10,Tab_ErrMessage[],2,0),VLOOKUP(C10&amp;TableCosts[[#This Row],[Calc_N_Typ]],TRAN_STRITEMS_LABEL,4,FALSE)),"")</f>
        <v/>
      </c>
      <c r="H10" s="40"/>
      <c r="I10" s="40"/>
      <c r="J10" s="35" t="s">
        <v>40</v>
      </c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5"/>
      <c r="AH10" s="25"/>
      <c r="AI10" s="24"/>
      <c r="AJ10" s="24"/>
      <c r="AK10" s="38">
        <f t="array" ref="AK10">IF(F10=1,SUM((ROW(M0)=ROW(AK10))*(M0+M1_+M2_+M3_+M4_+M5_+M6_+M7_+M8_+M9_+M10_+M11_+M12_+M13_+M14_+M15_+M16_+M17_+M18_+M19_+M20_+M21_+M22_+M23_+M24_+M25_)),0)</f>
        <v>0</v>
      </c>
      <c r="AL10" s="27">
        <f>TableCosts[[#This Row],[N_Direct]]</f>
        <v>0</v>
      </c>
      <c r="AN10" s="7" t="str">
        <f t="shared" si="2"/>
        <v/>
      </c>
      <c r="AO10" s="7" t="str">
        <f t="shared" si="13"/>
        <v/>
      </c>
      <c r="AP10" s="7" t="str">
        <f t="shared" si="3"/>
        <v/>
      </c>
      <c r="AQ10" s="7" t="str">
        <f t="shared" si="4"/>
        <v/>
      </c>
      <c r="AR10" s="7" t="str">
        <f t="shared" si="5"/>
        <v/>
      </c>
      <c r="AS10" s="7">
        <f t="shared" si="6"/>
        <v>0</v>
      </c>
      <c r="AT10" s="17">
        <f>TableCosts[[#This Row],[N_Amount]]*TableCosts[[#This Row],[N_Tariff]]*TableCosts[[#This Row],[N_ItemsCount]]</f>
        <v>0</v>
      </c>
      <c r="AU10" s="17">
        <f>IF(F10=1,IF(TableCosts[[#This Row],[N_Kateg]]="interné práce",TableCosts[[#This Row],[N_Amount]]*8*PAR_SGA_PERHOUR,0),0)</f>
        <v>0</v>
      </c>
      <c r="AV10" s="17">
        <f>SUM(TableCosts[[#This Row],[N_Direct]:[N_SGA]])</f>
        <v>0</v>
      </c>
      <c r="AW10" s="7">
        <f>IF(F10=1,IF(D10="",NA(),VLOOKUP(C10&amp;TableCosts[[#This Row],[Calc_N_Typ]],TRAN_STRITEMS_LABEL,7,0)),0)</f>
        <v>0</v>
      </c>
      <c r="AX10" s="7">
        <f t="shared" si="7"/>
        <v>0</v>
      </c>
      <c r="AY10" s="57" t="str">
        <f t="shared" si="14"/>
        <v/>
      </c>
      <c r="AZ10" s="57" t="str">
        <f t="shared" si="8"/>
        <v/>
      </c>
      <c r="BA10" s="57" t="str">
        <f>IF(F10=1,IF(TableCosts[[#This Row],[TransferFrom]]=TableCosts[[#This Row],[TranferTo]],0,1),"")</f>
        <v/>
      </c>
      <c r="BB10" s="7" t="str">
        <f t="shared" si="9"/>
        <v>*** prázdna ***</v>
      </c>
      <c r="BC10" s="7">
        <f t="shared" si="10"/>
        <v>0</v>
      </c>
    </row>
    <row r="11" spans="2:55" s="7" customFormat="1" ht="13.9" x14ac:dyDescent="0.3">
      <c r="B11" s="33"/>
      <c r="C11" s="31"/>
      <c r="D11" s="40"/>
      <c r="E11" s="6" t="str">
        <f>IF(F11=1,IF(ISERROR(TableCosts[[#This Row],[N_Tariff]]),Err_Message1,IF(TableCosts[[#This Row],[N_Tariff]]=0,Err_Message2,VLOOKUP(C11&amp;TableCosts[[#This Row],[Calc_N_Typ]],TRAN_STRITEMS_LABEL,5,FALSE))),"")</f>
        <v/>
      </c>
      <c r="F11" s="6">
        <f t="shared" si="12"/>
        <v>0</v>
      </c>
      <c r="G11" s="6" t="str">
        <f>IF(F11=1,IFERROR(VLOOKUP(E11,Tab_ErrMessage[],2,0),VLOOKUP(C11&amp;TableCosts[[#This Row],[Calc_N_Typ]],TRAN_STRITEMS_LABEL,4,FALSE)),"")</f>
        <v/>
      </c>
      <c r="H11" s="40"/>
      <c r="I11" s="40"/>
      <c r="J11" s="35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5"/>
      <c r="AH11" s="25"/>
      <c r="AI11" s="24"/>
      <c r="AJ11" s="24"/>
      <c r="AK11" s="38">
        <f t="array" ref="AK11">IF(F11=1,SUM((ROW(M0)=ROW(AK11))*(M0+M1_+M2_+M3_+M4_+M5_+M6_+M7_+M8_+M9_+M10_+M11_+M12_+M13_+M14_+M15_+M16_+M17_+M18_+M19_+M20_+M21_+M22_+M23_+M24_+M25_)),0)</f>
        <v>0</v>
      </c>
      <c r="AL11" s="27">
        <f>TableCosts[[#This Row],[N_Direct]]</f>
        <v>0</v>
      </c>
      <c r="AN11" s="7" t="str">
        <f t="shared" si="2"/>
        <v/>
      </c>
      <c r="AO11" s="7" t="str">
        <f t="shared" si="13"/>
        <v/>
      </c>
      <c r="AP11" s="7" t="str">
        <f t="shared" si="3"/>
        <v/>
      </c>
      <c r="AQ11" s="7" t="str">
        <f t="shared" si="4"/>
        <v/>
      </c>
      <c r="AR11" s="7" t="str">
        <f t="shared" si="5"/>
        <v/>
      </c>
      <c r="AS11" s="7">
        <f t="shared" si="6"/>
        <v>0</v>
      </c>
      <c r="AT11" s="17">
        <f>TableCosts[[#This Row],[N_Amount]]*TableCosts[[#This Row],[N_Tariff]]*TableCosts[[#This Row],[N_ItemsCount]]</f>
        <v>0</v>
      </c>
      <c r="AU11" s="17">
        <f>IF(F11=1,IF(TableCosts[[#This Row],[N_Kateg]]="interné práce",TableCosts[[#This Row],[N_Amount]]*8*PAR_SGA_PERHOUR,0),0)</f>
        <v>0</v>
      </c>
      <c r="AV11" s="17">
        <f>SUM(TableCosts[[#This Row],[N_Direct]:[N_SGA]])</f>
        <v>0</v>
      </c>
      <c r="AW11" s="7">
        <f>IF(F11=1,IF(D11="",NA(),VLOOKUP(C11&amp;TableCosts[[#This Row],[Calc_N_Typ]],TRAN_STRITEMS_LABEL,7,0)),0)</f>
        <v>0</v>
      </c>
      <c r="AX11" s="7">
        <f t="shared" si="7"/>
        <v>0</v>
      </c>
      <c r="AY11" s="57" t="str">
        <f t="shared" si="14"/>
        <v/>
      </c>
      <c r="AZ11" s="57" t="str">
        <f t="shared" si="8"/>
        <v/>
      </c>
      <c r="BA11" s="57" t="str">
        <f>IF(F11=1,IF(TableCosts[[#This Row],[TransferFrom]]=TableCosts[[#This Row],[TranferTo]],0,1),"")</f>
        <v/>
      </c>
      <c r="BB11" s="7">
        <f t="shared" si="9"/>
        <v>0</v>
      </c>
      <c r="BC11" s="7">
        <f t="shared" si="10"/>
        <v>0</v>
      </c>
    </row>
    <row r="12" spans="2:55" s="7" customFormat="1" ht="13.9" x14ac:dyDescent="0.3">
      <c r="B12" s="33"/>
      <c r="C12" s="31"/>
      <c r="D12" s="40"/>
      <c r="E12" s="6" t="str">
        <f>IF(F12=1,IF(ISERROR(TableCosts[[#This Row],[N_Tariff]]),Err_Message1,IF(TableCosts[[#This Row],[N_Tariff]]=0,Err_Message2,VLOOKUP(C12&amp;TableCosts[[#This Row],[Calc_N_Typ]],TRAN_STRITEMS_LABEL,5,FALSE))),"")</f>
        <v/>
      </c>
      <c r="F12" s="6">
        <f t="shared" si="12"/>
        <v>0</v>
      </c>
      <c r="G12" s="6" t="str">
        <f>IF(F12=1,IFERROR(VLOOKUP(E12,Tab_ErrMessage[],2,0),VLOOKUP(C12&amp;TableCosts[[#This Row],[Calc_N_Typ]],TRAN_STRITEMS_LABEL,4,FALSE)),"")</f>
        <v/>
      </c>
      <c r="H12" s="40"/>
      <c r="I12" s="40"/>
      <c r="J12" s="35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5"/>
      <c r="AH12" s="25"/>
      <c r="AI12" s="24"/>
      <c r="AJ12" s="24"/>
      <c r="AK12" s="38">
        <f t="array" ref="AK12">IF(F12=1,SUM((ROW(M0)=ROW(AK12))*(M0+M1_+M2_+M3_+M4_+M5_+M6_+M7_+M8_+M9_+M10_+M11_+M12_+M13_+M14_+M15_+M16_+M17_+M18_+M19_+M20_+M21_+M22_+M23_+M24_+M25_)),0)</f>
        <v>0</v>
      </c>
      <c r="AL12" s="27">
        <f>TableCosts[[#This Row],[N_Direct]]</f>
        <v>0</v>
      </c>
      <c r="AN12" s="7" t="str">
        <f t="shared" si="2"/>
        <v/>
      </c>
      <c r="AO12" s="7" t="str">
        <f t="shared" si="13"/>
        <v/>
      </c>
      <c r="AP12" s="7" t="str">
        <f t="shared" si="3"/>
        <v/>
      </c>
      <c r="AQ12" s="7" t="str">
        <f t="shared" si="4"/>
        <v/>
      </c>
      <c r="AR12" s="7" t="str">
        <f t="shared" si="5"/>
        <v/>
      </c>
      <c r="AS12" s="7">
        <f t="shared" si="6"/>
        <v>0</v>
      </c>
      <c r="AT12" s="17">
        <f>TableCosts[[#This Row],[N_Amount]]*TableCosts[[#This Row],[N_Tariff]]*TableCosts[[#This Row],[N_ItemsCount]]</f>
        <v>0</v>
      </c>
      <c r="AU12" s="17">
        <f>IF(F12=1,IF(TableCosts[[#This Row],[N_Kateg]]="interné práce",TableCosts[[#This Row],[N_Amount]]*8*PAR_SGA_PERHOUR,0),0)</f>
        <v>0</v>
      </c>
      <c r="AV12" s="17">
        <f>SUM(TableCosts[[#This Row],[N_Direct]:[N_SGA]])</f>
        <v>0</v>
      </c>
      <c r="AW12" s="7">
        <f>IF(F12=1,IF(D12="",NA(),VLOOKUP(C12&amp;TableCosts[[#This Row],[Calc_N_Typ]],TRAN_STRITEMS_LABEL,7,0)),0)</f>
        <v>0</v>
      </c>
      <c r="AX12" s="7">
        <f t="shared" si="7"/>
        <v>0</v>
      </c>
      <c r="AY12" s="57" t="str">
        <f t="shared" si="14"/>
        <v/>
      </c>
      <c r="AZ12" s="57" t="str">
        <f t="shared" si="8"/>
        <v/>
      </c>
      <c r="BA12" s="57" t="str">
        <f>IF(F12=1,IF(TableCosts[[#This Row],[TransferFrom]]=TableCosts[[#This Row],[TranferTo]],0,1),"")</f>
        <v/>
      </c>
      <c r="BB12" s="7">
        <f t="shared" si="9"/>
        <v>0</v>
      </c>
      <c r="BC12" s="7">
        <f t="shared" si="10"/>
        <v>0</v>
      </c>
    </row>
    <row r="13" spans="2:55" s="7" customFormat="1" ht="13.9" x14ac:dyDescent="0.3">
      <c r="B13" s="33"/>
      <c r="C13" s="31"/>
      <c r="D13" s="40"/>
      <c r="E13" s="6" t="str">
        <f>IF(F13=1,IF(ISERROR(TableCosts[[#This Row],[N_Tariff]]),Err_Message1,IF(TableCosts[[#This Row],[N_Tariff]]=0,Err_Message2,VLOOKUP(C13&amp;TableCosts[[#This Row],[Calc_N_Typ]],TRAN_STRITEMS_LABEL,5,FALSE))),"")</f>
        <v/>
      </c>
      <c r="F13" s="6">
        <f t="shared" si="12"/>
        <v>0</v>
      </c>
      <c r="G13" s="6" t="str">
        <f>IF(F13=1,IFERROR(VLOOKUP(E13,Tab_ErrMessage[],2,0),VLOOKUP(C13&amp;TableCosts[[#This Row],[Calc_N_Typ]],TRAN_STRITEMS_LABEL,4,FALSE)),"")</f>
        <v/>
      </c>
      <c r="H13" s="40"/>
      <c r="I13" s="40"/>
      <c r="J13" s="35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5"/>
      <c r="AH13" s="25"/>
      <c r="AI13" s="24"/>
      <c r="AJ13" s="24"/>
      <c r="AK13" s="38">
        <f t="array" ref="AK13">IF(F13=1,SUM((ROW(M0)=ROW(AK13))*(M0+M1_+M2_+M3_+M4_+M5_+M6_+M7_+M8_+M9_+M10_+M11_+M12_+M13_+M14_+M15_+M16_+M17_+M18_+M19_+M20_+M21_+M22_+M23_+M24_+M25_)),0)</f>
        <v>0</v>
      </c>
      <c r="AL13" s="27">
        <f>TableCosts[[#This Row],[N_Direct]]</f>
        <v>0</v>
      </c>
      <c r="AN13" s="7" t="str">
        <f t="shared" si="2"/>
        <v/>
      </c>
      <c r="AO13" s="7" t="str">
        <f t="shared" si="13"/>
        <v/>
      </c>
      <c r="AP13" s="7" t="str">
        <f t="shared" si="3"/>
        <v/>
      </c>
      <c r="AQ13" s="7" t="str">
        <f t="shared" si="4"/>
        <v/>
      </c>
      <c r="AR13" s="7" t="str">
        <f t="shared" si="5"/>
        <v/>
      </c>
      <c r="AS13" s="7">
        <f t="shared" si="6"/>
        <v>0</v>
      </c>
      <c r="AT13" s="17">
        <f>TableCosts[[#This Row],[N_Amount]]*TableCosts[[#This Row],[N_Tariff]]*TableCosts[[#This Row],[N_ItemsCount]]</f>
        <v>0</v>
      </c>
      <c r="AU13" s="17">
        <f>IF(F13=1,IF(TableCosts[[#This Row],[N_Kateg]]="interné práce",TableCosts[[#This Row],[N_Amount]]*8*PAR_SGA_PERHOUR,0),0)</f>
        <v>0</v>
      </c>
      <c r="AV13" s="17">
        <f>SUM(TableCosts[[#This Row],[N_Direct]:[N_SGA]])</f>
        <v>0</v>
      </c>
      <c r="AW13" s="7">
        <f>IF(F13=1,IF(D13="",NA(),VLOOKUP(C13&amp;TableCosts[[#This Row],[Calc_N_Typ]],TRAN_STRITEMS_LABEL,7,0)),0)</f>
        <v>0</v>
      </c>
      <c r="AX13" s="7">
        <f t="shared" si="7"/>
        <v>0</v>
      </c>
      <c r="AY13" s="57" t="str">
        <f t="shared" si="14"/>
        <v/>
      </c>
      <c r="AZ13" s="57" t="str">
        <f t="shared" si="8"/>
        <v/>
      </c>
      <c r="BA13" s="57" t="str">
        <f>IF(F13=1,IF(TableCosts[[#This Row],[TransferFrom]]=TableCosts[[#This Row],[TranferTo]],0,1),"")</f>
        <v/>
      </c>
      <c r="BB13" s="7">
        <f t="shared" si="9"/>
        <v>0</v>
      </c>
      <c r="BC13" s="7">
        <f t="shared" si="10"/>
        <v>0</v>
      </c>
    </row>
    <row r="14" spans="2:55" s="7" customFormat="1" ht="13.9" x14ac:dyDescent="0.3">
      <c r="B14" s="33"/>
      <c r="C14" s="31"/>
      <c r="D14" s="40"/>
      <c r="E14" s="6" t="str">
        <f>IF(F14=1,IF(ISERROR(TableCosts[[#This Row],[N_Tariff]]),Err_Message1,IF(TableCosts[[#This Row],[N_Tariff]]=0,Err_Message2,VLOOKUP(C14&amp;TableCosts[[#This Row],[Calc_N_Typ]],TRAN_STRITEMS_LABEL,5,FALSE))),"")</f>
        <v/>
      </c>
      <c r="F14" s="6">
        <f t="shared" si="12"/>
        <v>0</v>
      </c>
      <c r="G14" s="6" t="str">
        <f>IF(F14=1,IFERROR(VLOOKUP(E14,Tab_ErrMessage[],2,0),VLOOKUP(C14&amp;TableCosts[[#This Row],[Calc_N_Typ]],TRAN_STRITEMS_LABEL,4,FALSE)),"")</f>
        <v/>
      </c>
      <c r="H14" s="40"/>
      <c r="I14" s="40"/>
      <c r="J14" s="35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5"/>
      <c r="AH14" s="25"/>
      <c r="AI14" s="24"/>
      <c r="AJ14" s="24"/>
      <c r="AK14" s="38">
        <f t="array" ref="AK14">IF(F14=1,SUM((ROW(M0)=ROW(AK14))*(M0+M1_+M2_+M3_+M4_+M5_+M6_+M7_+M8_+M9_+M10_+M11_+M12_+M13_+M14_+M15_+M16_+M17_+M18_+M19_+M20_+M21_+M22_+M23_+M24_+M25_)),0)</f>
        <v>0</v>
      </c>
      <c r="AL14" s="27">
        <f>TableCosts[[#This Row],[N_Direct]]</f>
        <v>0</v>
      </c>
      <c r="AN14" s="7" t="str">
        <f>IF(F14=1,B14,"")</f>
        <v/>
      </c>
      <c r="AO14" s="7" t="str">
        <f t="shared" si="13"/>
        <v/>
      </c>
      <c r="AP14" s="7" t="str">
        <f>IF(F14=1,E14,"")</f>
        <v/>
      </c>
      <c r="AQ14" s="7" t="str">
        <f t="shared" si="4"/>
        <v/>
      </c>
      <c r="AR14" s="7" t="str">
        <f>IF(F14=1,G14,"")</f>
        <v/>
      </c>
      <c r="AS14" s="7">
        <f t="shared" si="6"/>
        <v>0</v>
      </c>
      <c r="AT14" s="17">
        <f>TableCosts[[#This Row],[N_Amount]]*TableCosts[[#This Row],[N_Tariff]]*TableCosts[[#This Row],[N_ItemsCount]]</f>
        <v>0</v>
      </c>
      <c r="AU14" s="17">
        <f>IF(F14=1,IF(TableCosts[[#This Row],[N_Kateg]]="interné práce",TableCosts[[#This Row],[N_Amount]]*8*PAR_SGA_PERHOUR,0),0)</f>
        <v>0</v>
      </c>
      <c r="AV14" s="17">
        <f>SUM(TableCosts[[#This Row],[N_Direct]:[N_SGA]])</f>
        <v>0</v>
      </c>
      <c r="AW14" s="7">
        <f>IF(F14=1,IF(D14="",NA(),VLOOKUP(C14&amp;TableCosts[[#This Row],[Calc_N_Typ]],TRAN_STRITEMS_LABEL,7,0)),0)</f>
        <v>0</v>
      </c>
      <c r="AX14" s="7">
        <f t="shared" si="7"/>
        <v>0</v>
      </c>
      <c r="AY14" s="57" t="str">
        <f t="shared" si="14"/>
        <v/>
      </c>
      <c r="AZ14" s="57" t="str">
        <f t="shared" si="8"/>
        <v/>
      </c>
      <c r="BA14" s="57" t="str">
        <f>IF(F14=1,IF(TableCosts[[#This Row],[TransferFrom]]=TableCosts[[#This Row],[TranferTo]],0,1),"")</f>
        <v/>
      </c>
      <c r="BB14" s="7">
        <f t="shared" si="9"/>
        <v>0</v>
      </c>
      <c r="BC14" s="7">
        <f t="shared" si="10"/>
        <v>0</v>
      </c>
    </row>
    <row r="15" spans="2:55" s="7" customFormat="1" ht="13.9" x14ac:dyDescent="0.3">
      <c r="B15" s="33"/>
      <c r="C15" s="31"/>
      <c r="D15" s="40"/>
      <c r="E15" s="6" t="str">
        <f>IF(F15=1,IF(ISERROR(TableCosts[[#This Row],[N_Tariff]]),Err_Message1,IF(TableCosts[[#This Row],[N_Tariff]]=0,Err_Message2,VLOOKUP(C15&amp;TableCosts[[#This Row],[Calc_N_Typ]],TRAN_STRITEMS_LABEL,5,FALSE))),"")</f>
        <v/>
      </c>
      <c r="F15" s="6">
        <f t="shared" si="12"/>
        <v>0</v>
      </c>
      <c r="G15" s="6" t="str">
        <f>IF(F15=1,IFERROR(VLOOKUP(E15,Tab_ErrMessage[],2,0),VLOOKUP(C15&amp;TableCosts[[#This Row],[Calc_N_Typ]],TRAN_STRITEMS_LABEL,4,FALSE)),"")</f>
        <v/>
      </c>
      <c r="H15" s="40"/>
      <c r="I15" s="40"/>
      <c r="J15" s="35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5"/>
      <c r="AH15" s="25"/>
      <c r="AI15" s="24"/>
      <c r="AJ15" s="24"/>
      <c r="AK15" s="38">
        <f t="array" ref="AK15">IF(F15=1,SUM((ROW(M0)=ROW(AK15))*(M0+M1_+M2_+M3_+M4_+M5_+M6_+M7_+M8_+M9_+M10_+M11_+M12_+M13_+M14_+M15_+M16_+M17_+M18_+M19_+M20_+M21_+M22_+M23_+M24_+M25_)),0)</f>
        <v>0</v>
      </c>
      <c r="AL15" s="27">
        <f>TableCosts[[#This Row],[N_Direct]]</f>
        <v>0</v>
      </c>
      <c r="AN15" s="7" t="str">
        <f t="shared" si="2"/>
        <v/>
      </c>
      <c r="AO15" s="7" t="str">
        <f t="shared" si="13"/>
        <v/>
      </c>
      <c r="AP15" s="7" t="str">
        <f t="shared" si="3"/>
        <v/>
      </c>
      <c r="AQ15" s="7" t="str">
        <f t="shared" si="4"/>
        <v/>
      </c>
      <c r="AR15" s="7" t="str">
        <f t="shared" si="5"/>
        <v/>
      </c>
      <c r="AS15" s="7">
        <f t="shared" si="6"/>
        <v>0</v>
      </c>
      <c r="AT15" s="17">
        <f>TableCosts[[#This Row],[N_Amount]]*TableCosts[[#This Row],[N_Tariff]]*TableCosts[[#This Row],[N_ItemsCount]]</f>
        <v>0</v>
      </c>
      <c r="AU15" s="17">
        <f>IF(F15=1,IF(TableCosts[[#This Row],[N_Kateg]]="interné práce",TableCosts[[#This Row],[N_Amount]]*8*PAR_SGA_PERHOUR,0),0)</f>
        <v>0</v>
      </c>
      <c r="AV15" s="17">
        <f>SUM(TableCosts[[#This Row],[N_Direct]:[N_SGA]])</f>
        <v>0</v>
      </c>
      <c r="AW15" s="7">
        <f>IF(F15=1,IF(D15="",NA(),VLOOKUP(C15&amp;TableCosts[[#This Row],[Calc_N_Typ]],TRAN_STRITEMS_LABEL,7,0)),0)</f>
        <v>0</v>
      </c>
      <c r="AX15" s="7">
        <f t="shared" si="7"/>
        <v>0</v>
      </c>
      <c r="AY15" s="57" t="str">
        <f t="shared" si="14"/>
        <v/>
      </c>
      <c r="AZ15" s="57" t="str">
        <f t="shared" si="8"/>
        <v/>
      </c>
      <c r="BA15" s="57" t="str">
        <f>IF(F15=1,IF(TableCosts[[#This Row],[TransferFrom]]=TableCosts[[#This Row],[TranferTo]],0,1),"")</f>
        <v/>
      </c>
      <c r="BB15" s="7">
        <f t="shared" si="9"/>
        <v>0</v>
      </c>
      <c r="BC15" s="7">
        <f t="shared" si="10"/>
        <v>0</v>
      </c>
    </row>
    <row r="16" spans="2:55" s="7" customFormat="1" ht="13.9" x14ac:dyDescent="0.3">
      <c r="B16" s="33"/>
      <c r="C16" s="31"/>
      <c r="D16" s="40"/>
      <c r="E16" s="6" t="str">
        <f>IF(F16=1,IF(ISERROR(TableCosts[[#This Row],[N_Tariff]]),Err_Message1,IF(TableCosts[[#This Row],[N_Tariff]]=0,Err_Message2,VLOOKUP(C16&amp;TableCosts[[#This Row],[Calc_N_Typ]],TRAN_STRITEMS_LABEL,5,FALSE))),"")</f>
        <v/>
      </c>
      <c r="F16" s="6">
        <f t="shared" si="12"/>
        <v>0</v>
      </c>
      <c r="G16" s="6" t="str">
        <f>IF(F16=1,IFERROR(VLOOKUP(E16,Tab_ErrMessage[],2,0),VLOOKUP(C16&amp;TableCosts[[#This Row],[Calc_N_Typ]],TRAN_STRITEMS_LABEL,4,FALSE)),"")</f>
        <v/>
      </c>
      <c r="H16" s="40"/>
      <c r="I16" s="40"/>
      <c r="J16" s="35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38">
        <f t="array" ref="AK16">IF(F16=1,SUM((ROW(M0)=ROW(AK16))*(M0+M1_+M2_+M3_+M4_+M5_+M6_+M7_+M8_+M9_+M10_+M11_+M12_+M13_+M14_+M15_+M16_+M17_+M18_+M19_+M20_+M21_+M22_+M23_+M24_+M25_)),0)</f>
        <v>0</v>
      </c>
      <c r="AL16" s="27">
        <f>TableCosts[[#This Row],[N_Direct]]</f>
        <v>0</v>
      </c>
      <c r="AN16" s="7" t="str">
        <f t="shared" si="2"/>
        <v/>
      </c>
      <c r="AO16" s="7" t="str">
        <f t="shared" si="13"/>
        <v/>
      </c>
      <c r="AP16" s="7" t="str">
        <f t="shared" si="3"/>
        <v/>
      </c>
      <c r="AQ16" s="7" t="str">
        <f t="shared" si="4"/>
        <v/>
      </c>
      <c r="AR16" s="7" t="str">
        <f t="shared" si="5"/>
        <v/>
      </c>
      <c r="AS16" s="7">
        <f t="shared" si="6"/>
        <v>0</v>
      </c>
      <c r="AT16" s="17">
        <f>TableCosts[[#This Row],[N_Amount]]*TableCosts[[#This Row],[N_Tariff]]*TableCosts[[#This Row],[N_ItemsCount]]</f>
        <v>0</v>
      </c>
      <c r="AU16" s="17">
        <f>IF(F16=1,IF(TableCosts[[#This Row],[N_Kateg]]="interné práce",TableCosts[[#This Row],[N_Amount]]*8*PAR_SGA_PERHOUR,0),0)</f>
        <v>0</v>
      </c>
      <c r="AV16" s="17">
        <f>SUM(TableCosts[[#This Row],[N_Direct]:[N_SGA]])</f>
        <v>0</v>
      </c>
      <c r="AW16" s="7">
        <f>IF(F16=1,IF(D16="",NA(),VLOOKUP(C16&amp;TableCosts[[#This Row],[Calc_N_Typ]],TRAN_STRITEMS_LABEL,7,0)),0)</f>
        <v>0</v>
      </c>
      <c r="AX16" s="7">
        <f t="shared" si="7"/>
        <v>0</v>
      </c>
      <c r="AY16" s="57" t="str">
        <f t="shared" si="14"/>
        <v/>
      </c>
      <c r="AZ16" s="57" t="str">
        <f t="shared" si="8"/>
        <v/>
      </c>
      <c r="BA16" s="57" t="str">
        <f>IF(F16=1,IF(TableCosts[[#This Row],[TransferFrom]]=TableCosts[[#This Row],[TranferTo]],0,1),"")</f>
        <v/>
      </c>
      <c r="BB16" s="7">
        <f t="shared" si="9"/>
        <v>0</v>
      </c>
      <c r="BC16" s="7">
        <f t="shared" si="10"/>
        <v>0</v>
      </c>
    </row>
    <row r="17" spans="2:55" s="7" customFormat="1" ht="13.9" x14ac:dyDescent="0.3">
      <c r="B17" s="33"/>
      <c r="C17" s="31"/>
      <c r="D17" s="40"/>
      <c r="E17" s="6" t="str">
        <f>IF(F17=1,IF(ISERROR(TableCosts[[#This Row],[N_Tariff]]),Err_Message1,IF(TableCosts[[#This Row],[N_Tariff]]=0,Err_Message2,VLOOKUP(C17&amp;TableCosts[[#This Row],[Calc_N_Typ]],TRAN_STRITEMS_LABEL,5,FALSE))),"")</f>
        <v/>
      </c>
      <c r="F17" s="6">
        <f t="shared" si="12"/>
        <v>0</v>
      </c>
      <c r="G17" s="6" t="str">
        <f>IF(F17=1,IFERROR(VLOOKUP(E17,Tab_ErrMessage[],2,0),VLOOKUP(C17&amp;TableCosts[[#This Row],[Calc_N_Typ]],TRAN_STRITEMS_LABEL,4,FALSE)),"")</f>
        <v/>
      </c>
      <c r="H17" s="40"/>
      <c r="I17" s="40"/>
      <c r="J17" s="35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38">
        <f t="array" ref="AK17">IF(F17=1,SUM((ROW(M0)=ROW(AK17))*(M0+M1_+M2_+M3_+M4_+M5_+M6_+M7_+M8_+M9_+M10_+M11_+M12_+M13_+M14_+M15_+M16_+M17_+M18_+M19_+M20_+M21_+M22_+M23_+M24_+M25_)),0)</f>
        <v>0</v>
      </c>
      <c r="AL17" s="27">
        <f>TableCosts[[#This Row],[N_Direct]]</f>
        <v>0</v>
      </c>
      <c r="AN17" s="7" t="str">
        <f t="shared" si="2"/>
        <v/>
      </c>
      <c r="AO17" s="7" t="str">
        <f t="shared" si="13"/>
        <v/>
      </c>
      <c r="AP17" s="7" t="str">
        <f t="shared" si="3"/>
        <v/>
      </c>
      <c r="AQ17" s="7" t="str">
        <f t="shared" si="4"/>
        <v/>
      </c>
      <c r="AR17" s="7" t="str">
        <f t="shared" si="5"/>
        <v/>
      </c>
      <c r="AS17" s="7">
        <f t="shared" si="6"/>
        <v>0</v>
      </c>
      <c r="AT17" s="17">
        <f>TableCosts[[#This Row],[N_Amount]]*TableCosts[[#This Row],[N_Tariff]]*TableCosts[[#This Row],[N_ItemsCount]]</f>
        <v>0</v>
      </c>
      <c r="AU17" s="17">
        <f>IF(F17=1,IF(TableCosts[[#This Row],[N_Kateg]]="interné práce",TableCosts[[#This Row],[N_Amount]]*8*PAR_SGA_PERHOUR,0),0)</f>
        <v>0</v>
      </c>
      <c r="AV17" s="17">
        <f>SUM(TableCosts[[#This Row],[N_Direct]:[N_SGA]])</f>
        <v>0</v>
      </c>
      <c r="AW17" s="7">
        <f>IF(F17=1,IF(D17="",NA(),VLOOKUP(C17&amp;TableCosts[[#This Row],[Calc_N_Typ]],TRAN_STRITEMS_LABEL,7,0)),0)</f>
        <v>0</v>
      </c>
      <c r="AX17" s="7">
        <f t="shared" si="7"/>
        <v>0</v>
      </c>
      <c r="AY17" s="57" t="str">
        <f t="shared" si="14"/>
        <v/>
      </c>
      <c r="AZ17" s="57" t="str">
        <f t="shared" si="8"/>
        <v/>
      </c>
      <c r="BA17" s="57" t="str">
        <f>IF(F17=1,IF(TableCosts[[#This Row],[TransferFrom]]=TableCosts[[#This Row],[TranferTo]],0,1),"")</f>
        <v/>
      </c>
      <c r="BB17" s="7">
        <f t="shared" si="9"/>
        <v>0</v>
      </c>
      <c r="BC17" s="7">
        <f t="shared" si="10"/>
        <v>0</v>
      </c>
    </row>
    <row r="18" spans="2:55" s="7" customFormat="1" ht="13.9" x14ac:dyDescent="0.3">
      <c r="B18" s="33"/>
      <c r="C18" s="31"/>
      <c r="D18" s="40"/>
      <c r="E18" s="6" t="str">
        <f>IF(F18=1,IF(ISERROR(TableCosts[[#This Row],[N_Tariff]]),Err_Message1,IF(TableCosts[[#This Row],[N_Tariff]]=0,Err_Message2,VLOOKUP(C18&amp;TableCosts[[#This Row],[Calc_N_Typ]],TRAN_STRITEMS_LABEL,5,FALSE))),"")</f>
        <v/>
      </c>
      <c r="F18" s="6">
        <f t="shared" si="12"/>
        <v>0</v>
      </c>
      <c r="G18" s="6" t="str">
        <f>IF(F18=1,IFERROR(VLOOKUP(E18,Tab_ErrMessage[],2,0),VLOOKUP(C18&amp;TableCosts[[#This Row],[Calc_N_Typ]],TRAN_STRITEMS_LABEL,4,FALSE)),"")</f>
        <v/>
      </c>
      <c r="H18" s="40"/>
      <c r="I18" s="40"/>
      <c r="J18" s="35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38">
        <f t="array" ref="AK18">IF(F18=1,SUM((ROW(M0)=ROW(AK18))*(M0+M1_+M2_+M3_+M4_+M5_+M6_+M7_+M8_+M9_+M10_+M11_+M12_+M13_+M14_+M15_+M16_+M17_+M18_+M19_+M20_+M21_+M22_+M23_+M24_+M25_)),0)</f>
        <v>0</v>
      </c>
      <c r="AL18" s="27">
        <f>TableCosts[[#This Row],[N_Direct]]</f>
        <v>0</v>
      </c>
      <c r="AN18" s="7" t="str">
        <f t="shared" si="2"/>
        <v/>
      </c>
      <c r="AO18" s="7" t="str">
        <f t="shared" si="13"/>
        <v/>
      </c>
      <c r="AP18" s="7" t="str">
        <f t="shared" si="3"/>
        <v/>
      </c>
      <c r="AQ18" s="7" t="str">
        <f t="shared" si="4"/>
        <v/>
      </c>
      <c r="AR18" s="7" t="str">
        <f t="shared" si="5"/>
        <v/>
      </c>
      <c r="AS18" s="7">
        <f t="shared" si="6"/>
        <v>0</v>
      </c>
      <c r="AT18" s="17">
        <f>TableCosts[[#This Row],[N_Amount]]*TableCosts[[#This Row],[N_Tariff]]*TableCosts[[#This Row],[N_ItemsCount]]</f>
        <v>0</v>
      </c>
      <c r="AU18" s="17">
        <f>IF(F18=1,IF(TableCosts[[#This Row],[N_Kateg]]="interné práce",TableCosts[[#This Row],[N_Amount]]*8*PAR_SGA_PERHOUR,0),0)</f>
        <v>0</v>
      </c>
      <c r="AV18" s="17">
        <f>SUM(TableCosts[[#This Row],[N_Direct]:[N_SGA]])</f>
        <v>0</v>
      </c>
      <c r="AW18" s="7">
        <f>IF(F18=1,IF(D18="",NA(),VLOOKUP(C18&amp;TableCosts[[#This Row],[Calc_N_Typ]],TRAN_STRITEMS_LABEL,7,0)),0)</f>
        <v>0</v>
      </c>
      <c r="AX18" s="7">
        <f t="shared" si="7"/>
        <v>0</v>
      </c>
      <c r="AY18" s="57" t="str">
        <f t="shared" si="14"/>
        <v/>
      </c>
      <c r="AZ18" s="57" t="str">
        <f t="shared" si="8"/>
        <v/>
      </c>
      <c r="BA18" s="57" t="str">
        <f>IF(F18=1,IF(TableCosts[[#This Row],[TransferFrom]]=TableCosts[[#This Row],[TranferTo]],0,1),"")</f>
        <v/>
      </c>
      <c r="BB18" s="7">
        <f t="shared" si="9"/>
        <v>0</v>
      </c>
      <c r="BC18" s="7">
        <f t="shared" si="10"/>
        <v>0</v>
      </c>
    </row>
    <row r="19" spans="2:55" s="7" customFormat="1" ht="13.9" x14ac:dyDescent="0.3">
      <c r="B19" s="33"/>
      <c r="C19" s="31"/>
      <c r="D19" s="40"/>
      <c r="E19" s="6" t="str">
        <f>IF(F19=1,IF(ISERROR(TableCosts[[#This Row],[N_Tariff]]),Err_Message1,IF(TableCosts[[#This Row],[N_Tariff]]=0,Err_Message2,VLOOKUP(C19&amp;TableCosts[[#This Row],[Calc_N_Typ]],TRAN_STRITEMS_LABEL,5,FALSE))),"")</f>
        <v/>
      </c>
      <c r="F19" s="6">
        <f t="shared" si="12"/>
        <v>0</v>
      </c>
      <c r="G19" s="6" t="str">
        <f>IF(F19=1,IFERROR(VLOOKUP(E19,Tab_ErrMessage[],2,0),VLOOKUP(C19&amp;TableCosts[[#This Row],[Calc_N_Typ]],TRAN_STRITEMS_LABEL,4,FALSE)),"")</f>
        <v/>
      </c>
      <c r="H19" s="40"/>
      <c r="I19" s="40"/>
      <c r="J19" s="35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38">
        <f t="array" ref="AK19">IF(F19=1,SUM((ROW(M0)=ROW(AK19))*(M0+M1_+M2_+M3_+M4_+M5_+M6_+M7_+M8_+M9_+M10_+M11_+M12_+M13_+M14_+M15_+M16_+M17_+M18_+M19_+M20_+M21_+M22_+M23_+M24_+M25_)),0)</f>
        <v>0</v>
      </c>
      <c r="AL19" s="27">
        <f>TableCosts[[#This Row],[N_Direct]]</f>
        <v>0</v>
      </c>
      <c r="AN19" s="7" t="str">
        <f t="shared" si="2"/>
        <v/>
      </c>
      <c r="AO19" s="7" t="str">
        <f t="shared" si="13"/>
        <v/>
      </c>
      <c r="AP19" s="7" t="str">
        <f t="shared" si="3"/>
        <v/>
      </c>
      <c r="AQ19" s="7" t="str">
        <f t="shared" si="4"/>
        <v/>
      </c>
      <c r="AR19" s="7" t="str">
        <f t="shared" si="5"/>
        <v/>
      </c>
      <c r="AS19" s="7">
        <f t="shared" si="6"/>
        <v>0</v>
      </c>
      <c r="AT19" s="17">
        <f>TableCosts[[#This Row],[N_Amount]]*TableCosts[[#This Row],[N_Tariff]]*TableCosts[[#This Row],[N_ItemsCount]]</f>
        <v>0</v>
      </c>
      <c r="AU19" s="17">
        <f>IF(F19=1,IF(TableCosts[[#This Row],[N_Kateg]]="interné práce",TableCosts[[#This Row],[N_Amount]]*8*PAR_SGA_PERHOUR,0),0)</f>
        <v>0</v>
      </c>
      <c r="AV19" s="17">
        <f>SUM(TableCosts[[#This Row],[N_Direct]:[N_SGA]])</f>
        <v>0</v>
      </c>
      <c r="AW19" s="7">
        <f>IF(F19=1,IF(D19="",NA(),VLOOKUP(C19&amp;TableCosts[[#This Row],[Calc_N_Typ]],TRAN_STRITEMS_LABEL,7,0)),0)</f>
        <v>0</v>
      </c>
      <c r="AX19" s="7">
        <f t="shared" si="7"/>
        <v>0</v>
      </c>
      <c r="AY19" s="57" t="str">
        <f t="shared" si="14"/>
        <v/>
      </c>
      <c r="AZ19" s="57" t="str">
        <f t="shared" si="8"/>
        <v/>
      </c>
      <c r="BA19" s="57" t="str">
        <f>IF(F19=1,IF(TableCosts[[#This Row],[TransferFrom]]=TableCosts[[#This Row],[TranferTo]],0,1),"")</f>
        <v/>
      </c>
      <c r="BB19" s="7">
        <f t="shared" si="9"/>
        <v>0</v>
      </c>
      <c r="BC19" s="7">
        <f t="shared" si="10"/>
        <v>0</v>
      </c>
    </row>
    <row r="20" spans="2:55" s="7" customFormat="1" ht="13.9" x14ac:dyDescent="0.3">
      <c r="B20" s="33"/>
      <c r="C20" s="31"/>
      <c r="D20" s="40"/>
      <c r="E20" s="6" t="str">
        <f>IF(F20=1,IF(ISERROR(TableCosts[[#This Row],[N_Tariff]]),Err_Message1,IF(TableCosts[[#This Row],[N_Tariff]]=0,Err_Message2,VLOOKUP(C20&amp;TableCosts[[#This Row],[Calc_N_Typ]],TRAN_STRITEMS_LABEL,5,FALSE))),"")</f>
        <v/>
      </c>
      <c r="F20" s="6">
        <f t="shared" si="12"/>
        <v>0</v>
      </c>
      <c r="G20" s="6" t="str">
        <f>IF(F20=1,IFERROR(VLOOKUP(E20,Tab_ErrMessage[],2,0),VLOOKUP(C20&amp;TableCosts[[#This Row],[Calc_N_Typ]],TRAN_STRITEMS_LABEL,4,FALSE)),"")</f>
        <v/>
      </c>
      <c r="H20" s="40"/>
      <c r="I20" s="40"/>
      <c r="J20" s="35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38">
        <f t="array" ref="AK20">IF(F20=1,SUM((ROW(M0)=ROW(AK20))*(M0+M1_+M2_+M3_+M4_+M5_+M6_+M7_+M8_+M9_+M10_+M11_+M12_+M13_+M14_+M15_+M16_+M17_+M18_+M19_+M20_+M21_+M22_+M23_+M24_+M25_)),0)</f>
        <v>0</v>
      </c>
      <c r="AL20" s="27">
        <f>TableCosts[[#This Row],[N_Direct]]</f>
        <v>0</v>
      </c>
      <c r="AN20" s="7" t="str">
        <f t="shared" si="2"/>
        <v/>
      </c>
      <c r="AO20" s="7" t="str">
        <f t="shared" si="13"/>
        <v/>
      </c>
      <c r="AP20" s="7" t="str">
        <f t="shared" si="3"/>
        <v/>
      </c>
      <c r="AQ20" s="7" t="str">
        <f t="shared" si="4"/>
        <v/>
      </c>
      <c r="AR20" s="7" t="str">
        <f t="shared" si="5"/>
        <v/>
      </c>
      <c r="AS20" s="7">
        <f t="shared" si="6"/>
        <v>0</v>
      </c>
      <c r="AT20" s="17">
        <f>TableCosts[[#This Row],[N_Amount]]*TableCosts[[#This Row],[N_Tariff]]*TableCosts[[#This Row],[N_ItemsCount]]</f>
        <v>0</v>
      </c>
      <c r="AU20" s="17">
        <f>IF(F20=1,IF(TableCosts[[#This Row],[N_Kateg]]="interné práce",TableCosts[[#This Row],[N_Amount]]*8*PAR_SGA_PERHOUR,0),0)</f>
        <v>0</v>
      </c>
      <c r="AV20" s="17">
        <f>SUM(TableCosts[[#This Row],[N_Direct]:[N_SGA]])</f>
        <v>0</v>
      </c>
      <c r="AW20" s="7">
        <f>IF(F20=1,IF(D20="",NA(),VLOOKUP(C20&amp;TableCosts[[#This Row],[Calc_N_Typ]],TRAN_STRITEMS_LABEL,7,0)),0)</f>
        <v>0</v>
      </c>
      <c r="AX20" s="7">
        <f t="shared" si="7"/>
        <v>0</v>
      </c>
      <c r="AY20" s="57" t="str">
        <f t="shared" si="14"/>
        <v/>
      </c>
      <c r="AZ20" s="57" t="str">
        <f t="shared" si="8"/>
        <v/>
      </c>
      <c r="BA20" s="57" t="str">
        <f>IF(F20=1,IF(TableCosts[[#This Row],[TransferFrom]]=TableCosts[[#This Row],[TranferTo]],0,1),"")</f>
        <v/>
      </c>
      <c r="BB20" s="7">
        <f t="shared" si="9"/>
        <v>0</v>
      </c>
      <c r="BC20" s="7">
        <f t="shared" si="10"/>
        <v>0</v>
      </c>
    </row>
    <row r="21" spans="2:55" s="7" customFormat="1" ht="13.9" x14ac:dyDescent="0.3">
      <c r="B21" s="33"/>
      <c r="C21" s="31"/>
      <c r="D21" s="40"/>
      <c r="E21" s="6" t="str">
        <f>IF(F21=1,IF(ISERROR(TableCosts[[#This Row],[N_Tariff]]),Err_Message1,IF(TableCosts[[#This Row],[N_Tariff]]=0,Err_Message2,VLOOKUP(C21&amp;TableCosts[[#This Row],[Calc_N_Typ]],TRAN_STRITEMS_LABEL,5,FALSE))),"")</f>
        <v/>
      </c>
      <c r="F21" s="6">
        <f t="shared" si="12"/>
        <v>0</v>
      </c>
      <c r="G21" s="6" t="str">
        <f>IF(F21=1,IFERROR(VLOOKUP(E21,Tab_ErrMessage[],2,0),VLOOKUP(C21&amp;TableCosts[[#This Row],[Calc_N_Typ]],TRAN_STRITEMS_LABEL,4,FALSE)),"")</f>
        <v/>
      </c>
      <c r="H21" s="40"/>
      <c r="I21" s="40"/>
      <c r="J21" s="35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38">
        <f t="array" ref="AK21">IF(F21=1,SUM((ROW(M0)=ROW(AK21))*(M0+M1_+M2_+M3_+M4_+M5_+M6_+M7_+M8_+M9_+M10_+M11_+M12_+M13_+M14_+M15_+M16_+M17_+M18_+M19_+M20_+M21_+M22_+M23_+M24_+M25_)),0)</f>
        <v>0</v>
      </c>
      <c r="AL21" s="27">
        <f>TableCosts[[#This Row],[N_Direct]]</f>
        <v>0</v>
      </c>
      <c r="AN21" s="7" t="str">
        <f t="shared" si="2"/>
        <v/>
      </c>
      <c r="AO21" s="7" t="str">
        <f t="shared" si="13"/>
        <v/>
      </c>
      <c r="AP21" s="7" t="str">
        <f t="shared" si="3"/>
        <v/>
      </c>
      <c r="AQ21" s="7" t="str">
        <f t="shared" si="4"/>
        <v/>
      </c>
      <c r="AR21" s="7" t="str">
        <f t="shared" si="5"/>
        <v/>
      </c>
      <c r="AS21" s="7">
        <f t="shared" si="6"/>
        <v>0</v>
      </c>
      <c r="AT21" s="17">
        <f>TableCosts[[#This Row],[N_Amount]]*TableCosts[[#This Row],[N_Tariff]]*TableCosts[[#This Row],[N_ItemsCount]]</f>
        <v>0</v>
      </c>
      <c r="AU21" s="17">
        <f>IF(F21=1,IF(TableCosts[[#This Row],[N_Kateg]]="interné práce",TableCosts[[#This Row],[N_Amount]]*8*PAR_SGA_PERHOUR,0),0)</f>
        <v>0</v>
      </c>
      <c r="AV21" s="17">
        <f>SUM(TableCosts[[#This Row],[N_Direct]:[N_SGA]])</f>
        <v>0</v>
      </c>
      <c r="AW21" s="7">
        <f>IF(F21=1,IF(D21="",NA(),VLOOKUP(C21&amp;TableCosts[[#This Row],[Calc_N_Typ]],TRAN_STRITEMS_LABEL,7,0)),0)</f>
        <v>0</v>
      </c>
      <c r="AX21" s="7">
        <f t="shared" si="7"/>
        <v>0</v>
      </c>
      <c r="AY21" s="57" t="str">
        <f t="shared" si="14"/>
        <v/>
      </c>
      <c r="AZ21" s="57" t="str">
        <f t="shared" si="8"/>
        <v/>
      </c>
      <c r="BA21" s="57" t="str">
        <f>IF(F21=1,IF(TableCosts[[#This Row],[TransferFrom]]=TableCosts[[#This Row],[TranferTo]],0,1),"")</f>
        <v/>
      </c>
      <c r="BB21" s="7">
        <f t="shared" si="9"/>
        <v>0</v>
      </c>
      <c r="BC21" s="7">
        <f t="shared" si="10"/>
        <v>0</v>
      </c>
    </row>
    <row r="22" spans="2:55" s="7" customFormat="1" ht="13.9" x14ac:dyDescent="0.3">
      <c r="B22" s="33"/>
      <c r="C22" s="31"/>
      <c r="D22" s="40"/>
      <c r="E22" s="6" t="str">
        <f>IF(F22=1,IF(ISERROR(TableCosts[[#This Row],[N_Tariff]]),Err_Message1,IF(TableCosts[[#This Row],[N_Tariff]]=0,Err_Message2,VLOOKUP(C22&amp;TableCosts[[#This Row],[Calc_N_Typ]],TRAN_STRITEMS_LABEL,5,FALSE))),"")</f>
        <v/>
      </c>
      <c r="F22" s="6">
        <f t="shared" si="12"/>
        <v>0</v>
      </c>
      <c r="G22" s="6" t="str">
        <f>IF(F22=1,IFERROR(VLOOKUP(E22,Tab_ErrMessage[],2,0),VLOOKUP(C22&amp;TableCosts[[#This Row],[Calc_N_Typ]],TRAN_STRITEMS_LABEL,4,FALSE)),"")</f>
        <v/>
      </c>
      <c r="H22" s="40"/>
      <c r="I22" s="40"/>
      <c r="J22" s="35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38">
        <f t="array" ref="AK22">IF(F22=1,SUM((ROW(M0)=ROW(AK22))*(M0+M1_+M2_+M3_+M4_+M5_+M6_+M7_+M8_+M9_+M10_+M11_+M12_+M13_+M14_+M15_+M16_+M17_+M18_+M19_+M20_+M21_+M22_+M23_+M24_+M25_)),0)</f>
        <v>0</v>
      </c>
      <c r="AL22" s="27">
        <f>TableCosts[[#This Row],[N_Direct]]</f>
        <v>0</v>
      </c>
      <c r="AN22" s="7" t="str">
        <f t="shared" si="2"/>
        <v/>
      </c>
      <c r="AO22" s="7" t="str">
        <f t="shared" si="13"/>
        <v/>
      </c>
      <c r="AP22" s="7" t="str">
        <f t="shared" si="3"/>
        <v/>
      </c>
      <c r="AQ22" s="7" t="str">
        <f t="shared" si="4"/>
        <v/>
      </c>
      <c r="AR22" s="7" t="str">
        <f t="shared" si="5"/>
        <v/>
      </c>
      <c r="AS22" s="7">
        <f t="shared" si="6"/>
        <v>0</v>
      </c>
      <c r="AT22" s="17">
        <f>TableCosts[[#This Row],[N_Amount]]*TableCosts[[#This Row],[N_Tariff]]*TableCosts[[#This Row],[N_ItemsCount]]</f>
        <v>0</v>
      </c>
      <c r="AU22" s="17">
        <f>IF(F22=1,IF(TableCosts[[#This Row],[N_Kateg]]="interné práce",TableCosts[[#This Row],[N_Amount]]*8*PAR_SGA_PERHOUR,0),0)</f>
        <v>0</v>
      </c>
      <c r="AV22" s="17">
        <f>SUM(TableCosts[[#This Row],[N_Direct]:[N_SGA]])</f>
        <v>0</v>
      </c>
      <c r="AW22" s="7">
        <f>IF(F22=1,IF(D22="",NA(),VLOOKUP(C22&amp;TableCosts[[#This Row],[Calc_N_Typ]],TRAN_STRITEMS_LABEL,7,0)),0)</f>
        <v>0</v>
      </c>
      <c r="AX22" s="7">
        <f t="shared" si="7"/>
        <v>0</v>
      </c>
      <c r="AY22" s="57" t="str">
        <f t="shared" si="14"/>
        <v/>
      </c>
      <c r="AZ22" s="57" t="str">
        <f t="shared" si="8"/>
        <v/>
      </c>
      <c r="BA22" s="57" t="str">
        <f>IF(F22=1,IF(TableCosts[[#This Row],[TransferFrom]]=TableCosts[[#This Row],[TranferTo]],0,1),"")</f>
        <v/>
      </c>
      <c r="BB22" s="7">
        <f t="shared" si="9"/>
        <v>0</v>
      </c>
      <c r="BC22" s="7">
        <f t="shared" si="10"/>
        <v>0</v>
      </c>
    </row>
    <row r="23" spans="2:55" s="7" customFormat="1" ht="13.9" x14ac:dyDescent="0.3">
      <c r="B23" s="33"/>
      <c r="C23" s="31"/>
      <c r="D23" s="40"/>
      <c r="E23" s="6" t="str">
        <f>IF(F23=1,IF(ISERROR(TableCosts[[#This Row],[N_Tariff]]),Err_Message1,IF(TableCosts[[#This Row],[N_Tariff]]=0,Err_Message2,VLOOKUP(C23&amp;TableCosts[[#This Row],[Calc_N_Typ]],TRAN_STRITEMS_LABEL,5,FALSE))),"")</f>
        <v/>
      </c>
      <c r="F23" s="6">
        <f t="shared" si="12"/>
        <v>0</v>
      </c>
      <c r="G23" s="6" t="str">
        <f>IF(F23=1,IFERROR(VLOOKUP(E23,Tab_ErrMessage[],2,0),VLOOKUP(C23&amp;TableCosts[[#This Row],[Calc_N_Typ]],TRAN_STRITEMS_LABEL,4,FALSE)),"")</f>
        <v/>
      </c>
      <c r="H23" s="40"/>
      <c r="I23" s="40"/>
      <c r="J23" s="35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38">
        <f t="array" ref="AK23">IF(F23=1,SUM((ROW(M0)=ROW(AK23))*(M0+M1_+M2_+M3_+M4_+M5_+M6_+M7_+M8_+M9_+M10_+M11_+M12_+M13_+M14_+M15_+M16_+M17_+M18_+M19_+M20_+M21_+M22_+M23_+M24_+M25_)),0)</f>
        <v>0</v>
      </c>
      <c r="AL23" s="27">
        <f>TableCosts[[#This Row],[N_Direct]]</f>
        <v>0</v>
      </c>
      <c r="AN23" s="7" t="str">
        <f t="shared" si="2"/>
        <v/>
      </c>
      <c r="AO23" s="7" t="str">
        <f t="shared" si="13"/>
        <v/>
      </c>
      <c r="AP23" s="7" t="str">
        <f t="shared" si="3"/>
        <v/>
      </c>
      <c r="AQ23" s="7" t="str">
        <f t="shared" si="4"/>
        <v/>
      </c>
      <c r="AR23" s="7" t="str">
        <f t="shared" si="5"/>
        <v/>
      </c>
      <c r="AS23" s="7">
        <f t="shared" si="6"/>
        <v>0</v>
      </c>
      <c r="AT23" s="17">
        <f>TableCosts[[#This Row],[N_Amount]]*TableCosts[[#This Row],[N_Tariff]]*TableCosts[[#This Row],[N_ItemsCount]]</f>
        <v>0</v>
      </c>
      <c r="AU23" s="17">
        <f>IF(F23=1,IF(TableCosts[[#This Row],[N_Kateg]]="interné práce",TableCosts[[#This Row],[N_Amount]]*8*PAR_SGA_PERHOUR,0),0)</f>
        <v>0</v>
      </c>
      <c r="AV23" s="17">
        <f>SUM(TableCosts[[#This Row],[N_Direct]:[N_SGA]])</f>
        <v>0</v>
      </c>
      <c r="AW23" s="7">
        <f>IF(F23=1,IF(D23="",NA(),VLOOKUP(C23&amp;TableCosts[[#This Row],[Calc_N_Typ]],TRAN_STRITEMS_LABEL,7,0)),0)</f>
        <v>0</v>
      </c>
      <c r="AX23" s="7">
        <f t="shared" si="7"/>
        <v>0</v>
      </c>
      <c r="AY23" s="57" t="str">
        <f t="shared" si="14"/>
        <v/>
      </c>
      <c r="AZ23" s="57" t="str">
        <f t="shared" si="8"/>
        <v/>
      </c>
      <c r="BA23" s="57" t="str">
        <f>IF(F23=1,IF(TableCosts[[#This Row],[TransferFrom]]=TableCosts[[#This Row],[TranferTo]],0,1),"")</f>
        <v/>
      </c>
      <c r="BB23" s="7">
        <f t="shared" si="9"/>
        <v>0</v>
      </c>
      <c r="BC23" s="7">
        <f t="shared" si="10"/>
        <v>0</v>
      </c>
    </row>
    <row r="24" spans="2:55" s="7" customFormat="1" ht="13.9" x14ac:dyDescent="0.3">
      <c r="B24" s="33"/>
      <c r="C24" s="31"/>
      <c r="D24" s="40"/>
      <c r="E24" s="6" t="str">
        <f>IF(F24=1,IF(ISERROR(TableCosts[[#This Row],[N_Tariff]]),Err_Message1,IF(TableCosts[[#This Row],[N_Tariff]]=0,Err_Message2,VLOOKUP(C24&amp;TableCosts[[#This Row],[Calc_N_Typ]],TRAN_STRITEMS_LABEL,5,FALSE))),"")</f>
        <v/>
      </c>
      <c r="F24" s="6">
        <f t="shared" si="12"/>
        <v>0</v>
      </c>
      <c r="G24" s="6" t="str">
        <f>IF(F24=1,IFERROR(VLOOKUP(E24,Tab_ErrMessage[],2,0),VLOOKUP(C24&amp;TableCosts[[#This Row],[Calc_N_Typ]],TRAN_STRITEMS_LABEL,4,FALSE)),"")</f>
        <v/>
      </c>
      <c r="H24" s="40"/>
      <c r="I24" s="40"/>
      <c r="J24" s="35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38">
        <f t="array" ref="AK24">IF(F24=1,SUM((ROW(M0)=ROW(AK24))*(M0+M1_+M2_+M3_+M4_+M5_+M6_+M7_+M8_+M9_+M10_+M11_+M12_+M13_+M14_+M15_+M16_+M17_+M18_+M19_+M20_+M21_+M22_+M23_+M24_+M25_)),0)</f>
        <v>0</v>
      </c>
      <c r="AL24" s="27">
        <f>TableCosts[[#This Row],[N_Direct]]</f>
        <v>0</v>
      </c>
      <c r="AN24" s="7" t="str">
        <f t="shared" si="2"/>
        <v/>
      </c>
      <c r="AO24" s="7" t="str">
        <f t="shared" si="13"/>
        <v/>
      </c>
      <c r="AP24" s="7" t="str">
        <f t="shared" si="3"/>
        <v/>
      </c>
      <c r="AQ24" s="7" t="str">
        <f t="shared" si="4"/>
        <v/>
      </c>
      <c r="AR24" s="7" t="str">
        <f t="shared" si="5"/>
        <v/>
      </c>
      <c r="AS24" s="7">
        <f t="shared" si="6"/>
        <v>0</v>
      </c>
      <c r="AT24" s="17">
        <f>TableCosts[[#This Row],[N_Amount]]*TableCosts[[#This Row],[N_Tariff]]*TableCosts[[#This Row],[N_ItemsCount]]</f>
        <v>0</v>
      </c>
      <c r="AU24" s="17">
        <f>IF(F24=1,IF(TableCosts[[#This Row],[N_Kateg]]="interné práce",TableCosts[[#This Row],[N_Amount]]*8*PAR_SGA_PERHOUR,0),0)</f>
        <v>0</v>
      </c>
      <c r="AV24" s="17">
        <f>SUM(TableCosts[[#This Row],[N_Direct]:[N_SGA]])</f>
        <v>0</v>
      </c>
      <c r="AW24" s="7">
        <f>IF(F24=1,IF(D24="",NA(),VLOOKUP(C24&amp;TableCosts[[#This Row],[Calc_N_Typ]],TRAN_STRITEMS_LABEL,7,0)),0)</f>
        <v>0</v>
      </c>
      <c r="AX24" s="7">
        <f t="shared" si="7"/>
        <v>0</v>
      </c>
      <c r="AY24" s="57" t="str">
        <f t="shared" si="14"/>
        <v/>
      </c>
      <c r="AZ24" s="57" t="str">
        <f t="shared" si="8"/>
        <v/>
      </c>
      <c r="BA24" s="57" t="str">
        <f>IF(F24=1,IF(TableCosts[[#This Row],[TransferFrom]]=TableCosts[[#This Row],[TranferTo]],0,1),"")</f>
        <v/>
      </c>
      <c r="BB24" s="7">
        <f t="shared" si="9"/>
        <v>0</v>
      </c>
      <c r="BC24" s="7">
        <f t="shared" si="10"/>
        <v>0</v>
      </c>
    </row>
    <row r="25" spans="2:55" s="7" customFormat="1" ht="13.9" x14ac:dyDescent="0.3">
      <c r="B25" s="33"/>
      <c r="C25" s="31"/>
      <c r="D25" s="40"/>
      <c r="E25" s="6" t="str">
        <f>IF(F25=1,IF(ISERROR(TableCosts[[#This Row],[N_Tariff]]),Err_Message1,IF(TableCosts[[#This Row],[N_Tariff]]=0,Err_Message2,VLOOKUP(C25&amp;TableCosts[[#This Row],[Calc_N_Typ]],TRAN_STRITEMS_LABEL,5,FALSE))),"")</f>
        <v/>
      </c>
      <c r="F25" s="6">
        <f t="shared" si="12"/>
        <v>0</v>
      </c>
      <c r="G25" s="6" t="str">
        <f>IF(F25=1,IFERROR(VLOOKUP(E25,Tab_ErrMessage[],2,0),VLOOKUP(C25&amp;TableCosts[[#This Row],[Calc_N_Typ]],TRAN_STRITEMS_LABEL,4,FALSE)),"")</f>
        <v/>
      </c>
      <c r="H25" s="40"/>
      <c r="I25" s="40"/>
      <c r="J25" s="35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38">
        <f t="array" ref="AK25">IF(F25=1,SUM((ROW(M0)=ROW(AK25))*(M0+M1_+M2_+M3_+M4_+M5_+M6_+M7_+M8_+M9_+M10_+M11_+M12_+M13_+M14_+M15_+M16_+M17_+M18_+M19_+M20_+M21_+M22_+M23_+M24_+M25_)),0)</f>
        <v>0</v>
      </c>
      <c r="AL25" s="27">
        <f>TableCosts[[#This Row],[N_Direct]]</f>
        <v>0</v>
      </c>
      <c r="AN25" s="7" t="str">
        <f t="shared" si="2"/>
        <v/>
      </c>
      <c r="AO25" s="7" t="str">
        <f t="shared" si="13"/>
        <v/>
      </c>
      <c r="AP25" s="7" t="str">
        <f t="shared" si="3"/>
        <v/>
      </c>
      <c r="AQ25" s="7" t="str">
        <f t="shared" si="4"/>
        <v/>
      </c>
      <c r="AR25" s="7" t="str">
        <f t="shared" si="5"/>
        <v/>
      </c>
      <c r="AS25" s="7">
        <f t="shared" si="6"/>
        <v>0</v>
      </c>
      <c r="AT25" s="17">
        <f>TableCosts[[#This Row],[N_Amount]]*TableCosts[[#This Row],[N_Tariff]]*TableCosts[[#This Row],[N_ItemsCount]]</f>
        <v>0</v>
      </c>
      <c r="AU25" s="17">
        <f>IF(F25=1,IF(TableCosts[[#This Row],[N_Kateg]]="interné práce",TableCosts[[#This Row],[N_Amount]]*8*PAR_SGA_PERHOUR,0),0)</f>
        <v>0</v>
      </c>
      <c r="AV25" s="17">
        <f>SUM(TableCosts[[#This Row],[N_Direct]:[N_SGA]])</f>
        <v>0</v>
      </c>
      <c r="AW25" s="7">
        <f>IF(F25=1,IF(D25="",NA(),VLOOKUP(C25&amp;TableCosts[[#This Row],[Calc_N_Typ]],TRAN_STRITEMS_LABEL,7,0)),0)</f>
        <v>0</v>
      </c>
      <c r="AX25" s="7">
        <f t="shared" si="7"/>
        <v>0</v>
      </c>
      <c r="AY25" s="57" t="str">
        <f t="shared" si="14"/>
        <v/>
      </c>
      <c r="AZ25" s="57" t="str">
        <f t="shared" si="8"/>
        <v/>
      </c>
      <c r="BA25" s="57" t="str">
        <f>IF(F25=1,IF(TableCosts[[#This Row],[TransferFrom]]=TableCosts[[#This Row],[TranferTo]],0,1),"")</f>
        <v/>
      </c>
      <c r="BB25" s="7">
        <f t="shared" si="9"/>
        <v>0</v>
      </c>
      <c r="BC25" s="7">
        <f t="shared" si="10"/>
        <v>0</v>
      </c>
    </row>
    <row r="26" spans="2:55" s="7" customFormat="1" ht="13.9" x14ac:dyDescent="0.3">
      <c r="B26" s="33"/>
      <c r="C26" s="31"/>
      <c r="D26" s="40"/>
      <c r="E26" s="6" t="str">
        <f>IF(F26=1,IF(ISERROR(TableCosts[[#This Row],[N_Tariff]]),Err_Message1,IF(TableCosts[[#This Row],[N_Tariff]]=0,Err_Message2,VLOOKUP(C26&amp;TableCosts[[#This Row],[Calc_N_Typ]],TRAN_STRITEMS_LABEL,5,FALSE))),"")</f>
        <v/>
      </c>
      <c r="F26" s="6">
        <f t="shared" si="12"/>
        <v>0</v>
      </c>
      <c r="G26" s="6" t="str">
        <f>IF(F26=1,IFERROR(VLOOKUP(E26,Tab_ErrMessage[],2,0),VLOOKUP(C26&amp;TableCosts[[#This Row],[Calc_N_Typ]],TRAN_STRITEMS_LABEL,4,FALSE)),"")</f>
        <v/>
      </c>
      <c r="H26" s="40"/>
      <c r="I26" s="40"/>
      <c r="J26" s="35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38">
        <f t="array" ref="AK26">IF(F26=1,SUM((ROW(M0)=ROW(AK26))*(M0+M1_+M2_+M3_+M4_+M5_+M6_+M7_+M8_+M9_+M10_+M11_+M12_+M13_+M14_+M15_+M16_+M17_+M18_+M19_+M20_+M21_+M22_+M23_+M24_+M25_)),0)</f>
        <v>0</v>
      </c>
      <c r="AL26" s="27">
        <f>TableCosts[[#This Row],[N_Direct]]</f>
        <v>0</v>
      </c>
      <c r="AN26" s="7" t="str">
        <f t="shared" si="2"/>
        <v/>
      </c>
      <c r="AO26" s="7" t="str">
        <f t="shared" si="13"/>
        <v/>
      </c>
      <c r="AP26" s="7" t="str">
        <f t="shared" si="3"/>
        <v/>
      </c>
      <c r="AQ26" s="7" t="str">
        <f t="shared" si="4"/>
        <v/>
      </c>
      <c r="AR26" s="7" t="str">
        <f t="shared" si="5"/>
        <v/>
      </c>
      <c r="AS26" s="7">
        <f t="shared" si="6"/>
        <v>0</v>
      </c>
      <c r="AT26" s="17">
        <f>TableCosts[[#This Row],[N_Amount]]*TableCosts[[#This Row],[N_Tariff]]*TableCosts[[#This Row],[N_ItemsCount]]</f>
        <v>0</v>
      </c>
      <c r="AU26" s="17">
        <f>IF(F26=1,IF(TableCosts[[#This Row],[N_Kateg]]="interné práce",TableCosts[[#This Row],[N_Amount]]*8*PAR_SGA_PERHOUR,0),0)</f>
        <v>0</v>
      </c>
      <c r="AV26" s="17">
        <f>SUM(TableCosts[[#This Row],[N_Direct]:[N_SGA]])</f>
        <v>0</v>
      </c>
      <c r="AW26" s="7">
        <f>IF(F26=1,IF(D26="",NA(),VLOOKUP(C26&amp;TableCosts[[#This Row],[Calc_N_Typ]],TRAN_STRITEMS_LABEL,7,0)),0)</f>
        <v>0</v>
      </c>
      <c r="AX26" s="7">
        <f t="shared" si="7"/>
        <v>0</v>
      </c>
      <c r="AY26" s="57" t="str">
        <f t="shared" si="14"/>
        <v/>
      </c>
      <c r="AZ26" s="57" t="str">
        <f t="shared" si="8"/>
        <v/>
      </c>
      <c r="BA26" s="57" t="str">
        <f>IF(F26=1,IF(TableCosts[[#This Row],[TransferFrom]]=TableCosts[[#This Row],[TranferTo]],0,1),"")</f>
        <v/>
      </c>
      <c r="BB26" s="7">
        <f t="shared" si="9"/>
        <v>0</v>
      </c>
      <c r="BC26" s="7">
        <f t="shared" si="10"/>
        <v>0</v>
      </c>
    </row>
    <row r="27" spans="2:55" s="7" customFormat="1" ht="13.9" x14ac:dyDescent="0.3">
      <c r="B27" s="33"/>
      <c r="C27" s="31"/>
      <c r="D27" s="40"/>
      <c r="E27" s="6" t="str">
        <f>IF(F27=1,IF(ISERROR(TableCosts[[#This Row],[N_Tariff]]),Err_Message1,IF(TableCosts[[#This Row],[N_Tariff]]=0,Err_Message2,VLOOKUP(C27&amp;TableCosts[[#This Row],[Calc_N_Typ]],TRAN_STRITEMS_LABEL,5,FALSE))),"")</f>
        <v/>
      </c>
      <c r="F27" s="6">
        <f t="shared" si="12"/>
        <v>0</v>
      </c>
      <c r="G27" s="6" t="str">
        <f>IF(F27=1,IFERROR(VLOOKUP(E27,Tab_ErrMessage[],2,0),VLOOKUP(C27&amp;TableCosts[[#This Row],[Calc_N_Typ]],TRAN_STRITEMS_LABEL,4,FALSE)),"")</f>
        <v/>
      </c>
      <c r="H27" s="40"/>
      <c r="I27" s="40"/>
      <c r="J27" s="35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38">
        <f t="array" ref="AK27">IF(F27=1,SUM((ROW(M0)=ROW(AK27))*(M0+M1_+M2_+M3_+M4_+M5_+M6_+M7_+M8_+M9_+M10_+M11_+M12_+M13_+M14_+M15_+M16_+M17_+M18_+M19_+M20_+M21_+M22_+M23_+M24_+M25_)),0)</f>
        <v>0</v>
      </c>
      <c r="AL27" s="27">
        <f>TableCosts[[#This Row],[N_Direct]]</f>
        <v>0</v>
      </c>
      <c r="AN27" s="7" t="str">
        <f t="shared" si="2"/>
        <v/>
      </c>
      <c r="AO27" s="7" t="str">
        <f t="shared" si="13"/>
        <v/>
      </c>
      <c r="AP27" s="7" t="str">
        <f t="shared" si="3"/>
        <v/>
      </c>
      <c r="AQ27" s="7" t="str">
        <f t="shared" si="4"/>
        <v/>
      </c>
      <c r="AR27" s="7" t="str">
        <f t="shared" si="5"/>
        <v/>
      </c>
      <c r="AS27" s="7">
        <f t="shared" si="6"/>
        <v>0</v>
      </c>
      <c r="AT27" s="17">
        <f>TableCosts[[#This Row],[N_Amount]]*TableCosts[[#This Row],[N_Tariff]]*TableCosts[[#This Row],[N_ItemsCount]]</f>
        <v>0</v>
      </c>
      <c r="AU27" s="17">
        <f>IF(F27=1,IF(TableCosts[[#This Row],[N_Kateg]]="interné práce",TableCosts[[#This Row],[N_Amount]]*8*PAR_SGA_PERHOUR,0),0)</f>
        <v>0</v>
      </c>
      <c r="AV27" s="17">
        <f>SUM(TableCosts[[#This Row],[N_Direct]:[N_SGA]])</f>
        <v>0</v>
      </c>
      <c r="AW27" s="7">
        <f>IF(F27=1,IF(D27="",NA(),VLOOKUP(C27&amp;TableCosts[[#This Row],[Calc_N_Typ]],TRAN_STRITEMS_LABEL,7,0)),0)</f>
        <v>0</v>
      </c>
      <c r="AX27" s="7">
        <f t="shared" si="7"/>
        <v>0</v>
      </c>
      <c r="AY27" s="57" t="str">
        <f t="shared" si="14"/>
        <v/>
      </c>
      <c r="AZ27" s="57" t="str">
        <f t="shared" si="8"/>
        <v/>
      </c>
      <c r="BA27" s="57" t="str">
        <f>IF(F27=1,IF(TableCosts[[#This Row],[TransferFrom]]=TableCosts[[#This Row],[TranferTo]],0,1),"")</f>
        <v/>
      </c>
      <c r="BB27" s="7">
        <f t="shared" si="9"/>
        <v>0</v>
      </c>
      <c r="BC27" s="7">
        <f t="shared" si="10"/>
        <v>0</v>
      </c>
    </row>
    <row r="28" spans="2:55" s="7" customFormat="1" ht="13.9" x14ac:dyDescent="0.3">
      <c r="B28" s="33"/>
      <c r="C28" s="31"/>
      <c r="D28" s="40"/>
      <c r="E28" s="6" t="str">
        <f>IF(F28=1,IF(ISERROR(TableCosts[[#This Row],[N_Tariff]]),Err_Message1,IF(TableCosts[[#This Row],[N_Tariff]]=0,Err_Message2,VLOOKUP(C28&amp;TableCosts[[#This Row],[Calc_N_Typ]],TRAN_STRITEMS_LABEL,5,FALSE))),"")</f>
        <v/>
      </c>
      <c r="F28" s="6">
        <f t="shared" si="12"/>
        <v>0</v>
      </c>
      <c r="G28" s="6" t="str">
        <f>IF(F28=1,IFERROR(VLOOKUP(E28,Tab_ErrMessage[],2,0),VLOOKUP(C28&amp;TableCosts[[#This Row],[Calc_N_Typ]],TRAN_STRITEMS_LABEL,4,FALSE)),"")</f>
        <v/>
      </c>
      <c r="H28" s="40"/>
      <c r="I28" s="40"/>
      <c r="J28" s="35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38">
        <f t="array" ref="AK28">IF(F28=1,SUM((ROW(M0)=ROW(AK28))*(M0+M1_+M2_+M3_+M4_+M5_+M6_+M7_+M8_+M9_+M10_+M11_+M12_+M13_+M14_+M15_+M16_+M17_+M18_+M19_+M20_+M21_+M22_+M23_+M24_+M25_)),0)</f>
        <v>0</v>
      </c>
      <c r="AL28" s="27">
        <f>TableCosts[[#This Row],[N_Direct]]</f>
        <v>0</v>
      </c>
      <c r="AN28" s="7" t="str">
        <f t="shared" si="2"/>
        <v/>
      </c>
      <c r="AO28" s="7" t="str">
        <f t="shared" si="13"/>
        <v/>
      </c>
      <c r="AP28" s="7" t="str">
        <f t="shared" si="3"/>
        <v/>
      </c>
      <c r="AQ28" s="7" t="str">
        <f t="shared" si="4"/>
        <v/>
      </c>
      <c r="AR28" s="7" t="str">
        <f t="shared" si="5"/>
        <v/>
      </c>
      <c r="AS28" s="7">
        <f t="shared" si="6"/>
        <v>0</v>
      </c>
      <c r="AT28" s="17">
        <f>TableCosts[[#This Row],[N_Amount]]*TableCosts[[#This Row],[N_Tariff]]*TableCosts[[#This Row],[N_ItemsCount]]</f>
        <v>0</v>
      </c>
      <c r="AU28" s="17">
        <f>IF(F28=1,IF(TableCosts[[#This Row],[N_Kateg]]="interné práce",TableCosts[[#This Row],[N_Amount]]*8*PAR_SGA_PERHOUR,0),0)</f>
        <v>0</v>
      </c>
      <c r="AV28" s="17">
        <f>SUM(TableCosts[[#This Row],[N_Direct]:[N_SGA]])</f>
        <v>0</v>
      </c>
      <c r="AW28" s="7">
        <f>IF(F28=1,IF(D28="",NA(),VLOOKUP(C28&amp;TableCosts[[#This Row],[Calc_N_Typ]],TRAN_STRITEMS_LABEL,7,0)),0)</f>
        <v>0</v>
      </c>
      <c r="AX28" s="7">
        <f t="shared" si="7"/>
        <v>0</v>
      </c>
      <c r="AY28" s="57" t="str">
        <f t="shared" si="14"/>
        <v/>
      </c>
      <c r="AZ28" s="57" t="str">
        <f t="shared" si="8"/>
        <v/>
      </c>
      <c r="BA28" s="57" t="str">
        <f>IF(F28=1,IF(TableCosts[[#This Row],[TransferFrom]]=TableCosts[[#This Row],[TranferTo]],0,1),"")</f>
        <v/>
      </c>
      <c r="BB28" s="7">
        <f t="shared" si="9"/>
        <v>0</v>
      </c>
      <c r="BC28" s="7">
        <f t="shared" si="10"/>
        <v>0</v>
      </c>
    </row>
    <row r="29" spans="2:55" s="7" customFormat="1" ht="13.9" x14ac:dyDescent="0.3">
      <c r="B29" s="33"/>
      <c r="C29" s="31"/>
      <c r="D29" s="40"/>
      <c r="E29" s="6" t="str">
        <f>IF(F29=1,IF(ISERROR(TableCosts[[#This Row],[N_Tariff]]),Err_Message1,IF(TableCosts[[#This Row],[N_Tariff]]=0,Err_Message2,VLOOKUP(C29&amp;TableCosts[[#This Row],[Calc_N_Typ]],TRAN_STRITEMS_LABEL,5,FALSE))),"")</f>
        <v/>
      </c>
      <c r="F29" s="6">
        <f t="shared" si="12"/>
        <v>0</v>
      </c>
      <c r="G29" s="6" t="str">
        <f>IF(F29=1,IFERROR(VLOOKUP(E29,Tab_ErrMessage[],2,0),VLOOKUP(C29&amp;TableCosts[[#This Row],[Calc_N_Typ]],TRAN_STRITEMS_LABEL,4,FALSE)),"")</f>
        <v/>
      </c>
      <c r="H29" s="40"/>
      <c r="I29" s="40"/>
      <c r="J29" s="35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38">
        <f t="array" ref="AK29">IF(F29=1,SUM((ROW(M0)=ROW(AK29))*(M0+M1_+M2_+M3_+M4_+M5_+M6_+M7_+M8_+M9_+M10_+M11_+M12_+M13_+M14_+M15_+M16_+M17_+M18_+M19_+M20_+M21_+M22_+M23_+M24_+M25_)),0)</f>
        <v>0</v>
      </c>
      <c r="AL29" s="27">
        <f>TableCosts[[#This Row],[N_Direct]]</f>
        <v>0</v>
      </c>
      <c r="AN29" s="7" t="str">
        <f t="shared" si="2"/>
        <v/>
      </c>
      <c r="AO29" s="7" t="str">
        <f t="shared" si="13"/>
        <v/>
      </c>
      <c r="AP29" s="7" t="str">
        <f t="shared" si="3"/>
        <v/>
      </c>
      <c r="AQ29" s="7" t="str">
        <f t="shared" si="4"/>
        <v/>
      </c>
      <c r="AR29" s="7" t="str">
        <f t="shared" si="5"/>
        <v/>
      </c>
      <c r="AS29" s="7">
        <f t="shared" si="6"/>
        <v>0</v>
      </c>
      <c r="AT29" s="17">
        <f>TableCosts[[#This Row],[N_Amount]]*TableCosts[[#This Row],[N_Tariff]]*TableCosts[[#This Row],[N_ItemsCount]]</f>
        <v>0</v>
      </c>
      <c r="AU29" s="17">
        <f>IF(F29=1,IF(TableCosts[[#This Row],[N_Kateg]]="interné práce",TableCosts[[#This Row],[N_Amount]]*8*PAR_SGA_PERHOUR,0),0)</f>
        <v>0</v>
      </c>
      <c r="AV29" s="17">
        <f>SUM(TableCosts[[#This Row],[N_Direct]:[N_SGA]])</f>
        <v>0</v>
      </c>
      <c r="AW29" s="7">
        <f>IF(F29=1,IF(D29="",NA(),VLOOKUP(C29&amp;TableCosts[[#This Row],[Calc_N_Typ]],TRAN_STRITEMS_LABEL,7,0)),0)</f>
        <v>0</v>
      </c>
      <c r="AX29" s="7">
        <f t="shared" si="7"/>
        <v>0</v>
      </c>
      <c r="AY29" s="57" t="str">
        <f t="shared" si="14"/>
        <v/>
      </c>
      <c r="AZ29" s="57" t="str">
        <f t="shared" si="8"/>
        <v/>
      </c>
      <c r="BA29" s="57" t="str">
        <f>IF(F29=1,IF(TableCosts[[#This Row],[TransferFrom]]=TableCosts[[#This Row],[TranferTo]],0,1),"")</f>
        <v/>
      </c>
      <c r="BB29" s="7">
        <f t="shared" si="9"/>
        <v>0</v>
      </c>
      <c r="BC29" s="7">
        <f t="shared" si="10"/>
        <v>0</v>
      </c>
    </row>
    <row r="30" spans="2:55" s="7" customFormat="1" ht="13.9" x14ac:dyDescent="0.3">
      <c r="B30" s="33"/>
      <c r="C30" s="31"/>
      <c r="D30" s="40"/>
      <c r="E30" s="6" t="str">
        <f>IF(F30=1,IF(ISERROR(TableCosts[[#This Row],[N_Tariff]]),Err_Message1,IF(TableCosts[[#This Row],[N_Tariff]]=0,Err_Message2,VLOOKUP(C30&amp;TableCosts[[#This Row],[Calc_N_Typ]],TRAN_STRITEMS_LABEL,5,FALSE))),"")</f>
        <v/>
      </c>
      <c r="F30" s="6">
        <f t="shared" si="12"/>
        <v>0</v>
      </c>
      <c r="G30" s="6" t="str">
        <f>IF(F30=1,IFERROR(VLOOKUP(E30,Tab_ErrMessage[],2,0),VLOOKUP(C30&amp;TableCosts[[#This Row],[Calc_N_Typ]],TRAN_STRITEMS_LABEL,4,FALSE)),"")</f>
        <v/>
      </c>
      <c r="H30" s="40"/>
      <c r="I30" s="40"/>
      <c r="J30" s="35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38">
        <f t="array" ref="AK30">IF(F30=1,SUM((ROW(M0)=ROW(AK30))*(M0+M1_+M2_+M3_+M4_+M5_+M6_+M7_+M8_+M9_+M10_+M11_+M12_+M13_+M14_+M15_+M16_+M17_+M18_+M19_+M20_+M21_+M22_+M23_+M24_+M25_)),0)</f>
        <v>0</v>
      </c>
      <c r="AL30" s="27">
        <f>TableCosts[[#This Row],[N_Direct]]</f>
        <v>0</v>
      </c>
      <c r="AN30" s="7" t="str">
        <f t="shared" si="2"/>
        <v/>
      </c>
      <c r="AO30" s="7" t="str">
        <f t="shared" si="13"/>
        <v/>
      </c>
      <c r="AP30" s="7" t="str">
        <f t="shared" si="3"/>
        <v/>
      </c>
      <c r="AQ30" s="7" t="str">
        <f t="shared" si="4"/>
        <v/>
      </c>
      <c r="AR30" s="7" t="str">
        <f t="shared" si="5"/>
        <v/>
      </c>
      <c r="AS30" s="7">
        <f t="shared" si="6"/>
        <v>0</v>
      </c>
      <c r="AT30" s="17">
        <f>TableCosts[[#This Row],[N_Amount]]*TableCosts[[#This Row],[N_Tariff]]*TableCosts[[#This Row],[N_ItemsCount]]</f>
        <v>0</v>
      </c>
      <c r="AU30" s="17">
        <f>IF(F30=1,IF(TableCosts[[#This Row],[N_Kateg]]="interné práce",TableCosts[[#This Row],[N_Amount]]*8*PAR_SGA_PERHOUR,0),0)</f>
        <v>0</v>
      </c>
      <c r="AV30" s="17">
        <f>SUM(TableCosts[[#This Row],[N_Direct]:[N_SGA]])</f>
        <v>0</v>
      </c>
      <c r="AW30" s="7">
        <f>IF(F30=1,IF(D30="",NA(),VLOOKUP(C30&amp;TableCosts[[#This Row],[Calc_N_Typ]],TRAN_STRITEMS_LABEL,7,0)),0)</f>
        <v>0</v>
      </c>
      <c r="AX30" s="7">
        <f t="shared" si="7"/>
        <v>0</v>
      </c>
      <c r="AY30" s="57" t="str">
        <f t="shared" si="14"/>
        <v/>
      </c>
      <c r="AZ30" s="57" t="str">
        <f t="shared" si="8"/>
        <v/>
      </c>
      <c r="BA30" s="57" t="str">
        <f>IF(F30=1,IF(TableCosts[[#This Row],[TransferFrom]]=TableCosts[[#This Row],[TranferTo]],0,1),"")</f>
        <v/>
      </c>
      <c r="BB30" s="7">
        <f t="shared" si="9"/>
        <v>0</v>
      </c>
      <c r="BC30" s="7">
        <f t="shared" si="10"/>
        <v>0</v>
      </c>
    </row>
    <row r="31" spans="2:55" s="7" customFormat="1" ht="13.9" x14ac:dyDescent="0.3">
      <c r="B31" s="33"/>
      <c r="C31" s="31"/>
      <c r="D31" s="40"/>
      <c r="E31" s="6" t="str">
        <f>IF(F31=1,IF(ISERROR(TableCosts[[#This Row],[N_Tariff]]),Err_Message1,IF(TableCosts[[#This Row],[N_Tariff]]=0,Err_Message2,VLOOKUP(C31&amp;TableCosts[[#This Row],[Calc_N_Typ]],TRAN_STRITEMS_LABEL,5,FALSE))),"")</f>
        <v/>
      </c>
      <c r="F31" s="6">
        <f t="shared" si="12"/>
        <v>0</v>
      </c>
      <c r="G31" s="6" t="str">
        <f>IF(F31=1,IFERROR(VLOOKUP(E31,Tab_ErrMessage[],2,0),VLOOKUP(C31&amp;TableCosts[[#This Row],[Calc_N_Typ]],TRAN_STRITEMS_LABEL,4,FALSE)),"")</f>
        <v/>
      </c>
      <c r="H31" s="40"/>
      <c r="I31" s="40"/>
      <c r="J31" s="35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38">
        <f t="array" ref="AK31">IF(F31=1,SUM((ROW(M0)=ROW(AK31))*(M0+M1_+M2_+M3_+M4_+M5_+M6_+M7_+M8_+M9_+M10_+M11_+M12_+M13_+M14_+M15_+M16_+M17_+M18_+M19_+M20_+M21_+M22_+M23_+M24_+M25_)),0)</f>
        <v>0</v>
      </c>
      <c r="AL31" s="27">
        <f>TableCosts[[#This Row],[N_Direct]]</f>
        <v>0</v>
      </c>
      <c r="AN31" s="7" t="str">
        <f t="shared" si="2"/>
        <v/>
      </c>
      <c r="AO31" s="7" t="str">
        <f t="shared" si="13"/>
        <v/>
      </c>
      <c r="AP31" s="7" t="str">
        <f t="shared" si="3"/>
        <v/>
      </c>
      <c r="AQ31" s="7" t="str">
        <f t="shared" si="4"/>
        <v/>
      </c>
      <c r="AR31" s="7" t="str">
        <f t="shared" si="5"/>
        <v/>
      </c>
      <c r="AS31" s="7">
        <f t="shared" si="6"/>
        <v>0</v>
      </c>
      <c r="AT31" s="17">
        <f>TableCosts[[#This Row],[N_Amount]]*TableCosts[[#This Row],[N_Tariff]]*TableCosts[[#This Row],[N_ItemsCount]]</f>
        <v>0</v>
      </c>
      <c r="AU31" s="17">
        <f>IF(F31=1,IF(TableCosts[[#This Row],[N_Kateg]]="interné práce",TableCosts[[#This Row],[N_Amount]]*8*PAR_SGA_PERHOUR,0),0)</f>
        <v>0</v>
      </c>
      <c r="AV31" s="17">
        <f>SUM(TableCosts[[#This Row],[N_Direct]:[N_SGA]])</f>
        <v>0</v>
      </c>
      <c r="AW31" s="7">
        <f>IF(F31=1,IF(D31="",NA(),VLOOKUP(C31&amp;TableCosts[[#This Row],[Calc_N_Typ]],TRAN_STRITEMS_LABEL,7,0)),0)</f>
        <v>0</v>
      </c>
      <c r="AX31" s="7">
        <f t="shared" si="7"/>
        <v>0</v>
      </c>
      <c r="AY31" s="57" t="str">
        <f t="shared" si="14"/>
        <v/>
      </c>
      <c r="AZ31" s="57" t="str">
        <f t="shared" si="8"/>
        <v/>
      </c>
      <c r="BA31" s="57" t="str">
        <f>IF(F31=1,IF(TableCosts[[#This Row],[TransferFrom]]=TableCosts[[#This Row],[TranferTo]],0,1),"")</f>
        <v/>
      </c>
      <c r="BB31" s="7">
        <f t="shared" si="9"/>
        <v>0</v>
      </c>
      <c r="BC31" s="7">
        <f t="shared" si="10"/>
        <v>0</v>
      </c>
    </row>
    <row r="32" spans="2:55" s="7" customFormat="1" ht="13.9" x14ac:dyDescent="0.3">
      <c r="B32" s="33"/>
      <c r="C32" s="31"/>
      <c r="D32" s="40"/>
      <c r="E32" s="6" t="str">
        <f>IF(F32=1,IF(ISERROR(TableCosts[[#This Row],[N_Tariff]]),Err_Message1,IF(TableCosts[[#This Row],[N_Tariff]]=0,Err_Message2,VLOOKUP(C32&amp;TableCosts[[#This Row],[Calc_N_Typ]],TRAN_STRITEMS_LABEL,5,FALSE))),"")</f>
        <v/>
      </c>
      <c r="F32" s="6">
        <f t="shared" si="12"/>
        <v>0</v>
      </c>
      <c r="G32" s="6" t="str">
        <f>IF(F32=1,IFERROR(VLOOKUP(E32,Tab_ErrMessage[],2,0),VLOOKUP(C32&amp;TableCosts[[#This Row],[Calc_N_Typ]],TRAN_STRITEMS_LABEL,4,FALSE)),"")</f>
        <v/>
      </c>
      <c r="H32" s="40"/>
      <c r="I32" s="40"/>
      <c r="J32" s="35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38">
        <f t="array" ref="AK32">IF(F32=1,SUM((ROW(M0)=ROW(AK32))*(M0+M1_+M2_+M3_+M4_+M5_+M6_+M7_+M8_+M9_+M10_+M11_+M12_+M13_+M14_+M15_+M16_+M17_+M18_+M19_+M20_+M21_+M22_+M23_+M24_+M25_)),0)</f>
        <v>0</v>
      </c>
      <c r="AL32" s="27">
        <f>TableCosts[[#This Row],[N_Direct]]</f>
        <v>0</v>
      </c>
      <c r="AN32" s="7" t="str">
        <f t="shared" si="2"/>
        <v/>
      </c>
      <c r="AO32" s="7" t="str">
        <f t="shared" si="13"/>
        <v/>
      </c>
      <c r="AP32" s="7" t="str">
        <f t="shared" si="3"/>
        <v/>
      </c>
      <c r="AQ32" s="7" t="str">
        <f t="shared" si="4"/>
        <v/>
      </c>
      <c r="AR32" s="7" t="str">
        <f t="shared" si="5"/>
        <v/>
      </c>
      <c r="AS32" s="7">
        <f t="shared" si="6"/>
        <v>0</v>
      </c>
      <c r="AT32" s="17">
        <f>TableCosts[[#This Row],[N_Amount]]*TableCosts[[#This Row],[N_Tariff]]*TableCosts[[#This Row],[N_ItemsCount]]</f>
        <v>0</v>
      </c>
      <c r="AU32" s="17">
        <f>IF(F32=1,IF(TableCosts[[#This Row],[N_Kateg]]="interné práce",TableCosts[[#This Row],[N_Amount]]*8*PAR_SGA_PERHOUR,0),0)</f>
        <v>0</v>
      </c>
      <c r="AV32" s="17">
        <f>SUM(TableCosts[[#This Row],[N_Direct]:[N_SGA]])</f>
        <v>0</v>
      </c>
      <c r="AW32" s="7">
        <f>IF(F32=1,IF(D32="",NA(),VLOOKUP(C32&amp;TableCosts[[#This Row],[Calc_N_Typ]],TRAN_STRITEMS_LABEL,7,0)),0)</f>
        <v>0</v>
      </c>
      <c r="AX32" s="7">
        <f t="shared" si="7"/>
        <v>0</v>
      </c>
      <c r="AY32" s="57" t="str">
        <f t="shared" si="14"/>
        <v/>
      </c>
      <c r="AZ32" s="57" t="str">
        <f t="shared" si="8"/>
        <v/>
      </c>
      <c r="BA32" s="57" t="str">
        <f>IF(F32=1,IF(TableCosts[[#This Row],[TransferFrom]]=TableCosts[[#This Row],[TranferTo]],0,1),"")</f>
        <v/>
      </c>
      <c r="BB32" s="7">
        <f t="shared" si="9"/>
        <v>0</v>
      </c>
      <c r="BC32" s="7">
        <f t="shared" si="10"/>
        <v>0</v>
      </c>
    </row>
    <row r="33" spans="2:55" s="7" customFormat="1" ht="13.9" x14ac:dyDescent="0.3">
      <c r="B33" s="33"/>
      <c r="C33" s="31"/>
      <c r="D33" s="40"/>
      <c r="E33" s="6" t="str">
        <f>IF(F33=1,IF(ISERROR(TableCosts[[#This Row],[N_Tariff]]),Err_Message1,IF(TableCosts[[#This Row],[N_Tariff]]=0,Err_Message2,VLOOKUP(C33&amp;TableCosts[[#This Row],[Calc_N_Typ]],TRAN_STRITEMS_LABEL,5,FALSE))),"")</f>
        <v/>
      </c>
      <c r="F33" s="6">
        <f t="shared" si="12"/>
        <v>0</v>
      </c>
      <c r="G33" s="6" t="str">
        <f>IF(F33=1,IFERROR(VLOOKUP(E33,Tab_ErrMessage[],2,0),VLOOKUP(C33&amp;TableCosts[[#This Row],[Calc_N_Typ]],TRAN_STRITEMS_LABEL,4,FALSE)),"")</f>
        <v/>
      </c>
      <c r="H33" s="40"/>
      <c r="I33" s="40"/>
      <c r="J33" s="35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38">
        <f t="array" ref="AK33">IF(F33=1,SUM((ROW(M0)=ROW(AK33))*(M0+M1_+M2_+M3_+M4_+M5_+M6_+M7_+M8_+M9_+M10_+M11_+M12_+M13_+M14_+M15_+M16_+M17_+M18_+M19_+M20_+M21_+M22_+M23_+M24_+M25_)),0)</f>
        <v>0</v>
      </c>
      <c r="AL33" s="27">
        <f>TableCosts[[#This Row],[N_Direct]]</f>
        <v>0</v>
      </c>
      <c r="AN33" s="7" t="str">
        <f t="shared" si="2"/>
        <v/>
      </c>
      <c r="AO33" s="7" t="str">
        <f t="shared" si="13"/>
        <v/>
      </c>
      <c r="AP33" s="7" t="str">
        <f t="shared" si="3"/>
        <v/>
      </c>
      <c r="AQ33" s="7" t="str">
        <f t="shared" si="4"/>
        <v/>
      </c>
      <c r="AR33" s="7" t="str">
        <f t="shared" si="5"/>
        <v/>
      </c>
      <c r="AS33" s="7">
        <f t="shared" si="6"/>
        <v>0</v>
      </c>
      <c r="AT33" s="17">
        <f>TableCosts[[#This Row],[N_Amount]]*TableCosts[[#This Row],[N_Tariff]]*TableCosts[[#This Row],[N_ItemsCount]]</f>
        <v>0</v>
      </c>
      <c r="AU33" s="17">
        <f>IF(F33=1,IF(TableCosts[[#This Row],[N_Kateg]]="interné práce",TableCosts[[#This Row],[N_Amount]]*8*PAR_SGA_PERHOUR,0),0)</f>
        <v>0</v>
      </c>
      <c r="AV33" s="17">
        <f>SUM(TableCosts[[#This Row],[N_Direct]:[N_SGA]])</f>
        <v>0</v>
      </c>
      <c r="AW33" s="7">
        <f>IF(F33=1,IF(D33="",NA(),VLOOKUP(C33&amp;TableCosts[[#This Row],[Calc_N_Typ]],TRAN_STRITEMS_LABEL,7,0)),0)</f>
        <v>0</v>
      </c>
      <c r="AX33" s="7">
        <f t="shared" si="7"/>
        <v>0</v>
      </c>
      <c r="AY33" s="57" t="str">
        <f t="shared" si="14"/>
        <v/>
      </c>
      <c r="AZ33" s="57" t="str">
        <f t="shared" si="8"/>
        <v/>
      </c>
      <c r="BA33" s="57" t="str">
        <f>IF(F33=1,IF(TableCosts[[#This Row],[TransferFrom]]=TableCosts[[#This Row],[TranferTo]],0,1),"")</f>
        <v/>
      </c>
      <c r="BB33" s="7">
        <f t="shared" si="9"/>
        <v>0</v>
      </c>
      <c r="BC33" s="7">
        <f t="shared" si="10"/>
        <v>0</v>
      </c>
    </row>
    <row r="34" spans="2:55" s="7" customFormat="1" ht="13.9" x14ac:dyDescent="0.3">
      <c r="B34" s="33"/>
      <c r="C34" s="31"/>
      <c r="D34" s="40"/>
      <c r="E34" s="6" t="str">
        <f>IF(F34=1,IF(ISERROR(TableCosts[[#This Row],[N_Tariff]]),Err_Message1,IF(TableCosts[[#This Row],[N_Tariff]]=0,Err_Message2,VLOOKUP(C34&amp;TableCosts[[#This Row],[Calc_N_Typ]],TRAN_STRITEMS_LABEL,5,FALSE))),"")</f>
        <v/>
      </c>
      <c r="F34" s="6">
        <f t="shared" si="12"/>
        <v>0</v>
      </c>
      <c r="G34" s="6" t="str">
        <f>IF(F34=1,IFERROR(VLOOKUP(E34,Tab_ErrMessage[],2,0),VLOOKUP(C34&amp;TableCosts[[#This Row],[Calc_N_Typ]],TRAN_STRITEMS_LABEL,4,FALSE)),"")</f>
        <v/>
      </c>
      <c r="H34" s="40"/>
      <c r="I34" s="40"/>
      <c r="J34" s="35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38">
        <f t="array" ref="AK34">IF(F34=1,SUM((ROW(M0)=ROW(AK34))*(M0+M1_+M2_+M3_+M4_+M5_+M6_+M7_+M8_+M9_+M10_+M11_+M12_+M13_+M14_+M15_+M16_+M17_+M18_+M19_+M20_+M21_+M22_+M23_+M24_+M25_)),0)</f>
        <v>0</v>
      </c>
      <c r="AL34" s="27">
        <f>TableCosts[[#This Row],[N_Direct]]</f>
        <v>0</v>
      </c>
      <c r="AN34" s="7" t="str">
        <f t="shared" si="2"/>
        <v/>
      </c>
      <c r="AO34" s="7" t="str">
        <f t="shared" si="13"/>
        <v/>
      </c>
      <c r="AP34" s="7" t="str">
        <f t="shared" si="3"/>
        <v/>
      </c>
      <c r="AQ34" s="7" t="str">
        <f t="shared" si="4"/>
        <v/>
      </c>
      <c r="AR34" s="7" t="str">
        <f t="shared" si="5"/>
        <v/>
      </c>
      <c r="AS34" s="7">
        <f t="shared" si="6"/>
        <v>0</v>
      </c>
      <c r="AT34" s="17">
        <f>TableCosts[[#This Row],[N_Amount]]*TableCosts[[#This Row],[N_Tariff]]*TableCosts[[#This Row],[N_ItemsCount]]</f>
        <v>0</v>
      </c>
      <c r="AU34" s="17">
        <f>IF(F34=1,IF(TableCosts[[#This Row],[N_Kateg]]="interné práce",TableCosts[[#This Row],[N_Amount]]*8*PAR_SGA_PERHOUR,0),0)</f>
        <v>0</v>
      </c>
      <c r="AV34" s="17">
        <f>SUM(TableCosts[[#This Row],[N_Direct]:[N_SGA]])</f>
        <v>0</v>
      </c>
      <c r="AW34" s="7">
        <f>IF(F34=1,IF(D34="",NA(),VLOOKUP(C34&amp;TableCosts[[#This Row],[Calc_N_Typ]],TRAN_STRITEMS_LABEL,7,0)),0)</f>
        <v>0</v>
      </c>
      <c r="AX34" s="7">
        <f t="shared" si="7"/>
        <v>0</v>
      </c>
      <c r="AY34" s="57" t="str">
        <f t="shared" si="14"/>
        <v/>
      </c>
      <c r="AZ34" s="57" t="str">
        <f t="shared" si="8"/>
        <v/>
      </c>
      <c r="BA34" s="57" t="str">
        <f>IF(F34=1,IF(TableCosts[[#This Row],[TransferFrom]]=TableCosts[[#This Row],[TranferTo]],0,1),"")</f>
        <v/>
      </c>
      <c r="BB34" s="7">
        <f t="shared" si="9"/>
        <v>0</v>
      </c>
      <c r="BC34" s="7">
        <f t="shared" si="10"/>
        <v>0</v>
      </c>
    </row>
    <row r="35" spans="2:55" s="7" customFormat="1" ht="13.9" x14ac:dyDescent="0.3">
      <c r="B35" s="33"/>
      <c r="C35" s="31"/>
      <c r="D35" s="40"/>
      <c r="E35" s="6" t="str">
        <f>IF(F35=1,IF(ISERROR(TableCosts[[#This Row],[N_Tariff]]),Err_Message1,IF(TableCosts[[#This Row],[N_Tariff]]=0,Err_Message2,VLOOKUP(C35&amp;TableCosts[[#This Row],[Calc_N_Typ]],TRAN_STRITEMS_LABEL,5,FALSE))),"")</f>
        <v/>
      </c>
      <c r="F35" s="6">
        <f t="shared" si="12"/>
        <v>0</v>
      </c>
      <c r="G35" s="6" t="str">
        <f>IF(F35=1,IFERROR(VLOOKUP(E35,Tab_ErrMessage[],2,0),VLOOKUP(C35&amp;TableCosts[[#This Row],[Calc_N_Typ]],TRAN_STRITEMS_LABEL,4,FALSE)),"")</f>
        <v/>
      </c>
      <c r="H35" s="40"/>
      <c r="I35" s="40"/>
      <c r="J35" s="35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38">
        <f t="array" ref="AK35">IF(F35=1,SUM((ROW(M0)=ROW(AK35))*(M0+M1_+M2_+M3_+M4_+M5_+M6_+M7_+M8_+M9_+M10_+M11_+M12_+M13_+M14_+M15_+M16_+M17_+M18_+M19_+M20_+M21_+M22_+M23_+M24_+M25_)),0)</f>
        <v>0</v>
      </c>
      <c r="AL35" s="27">
        <f>TableCosts[[#This Row],[N_Direct]]</f>
        <v>0</v>
      </c>
      <c r="AN35" s="7" t="str">
        <f t="shared" si="2"/>
        <v/>
      </c>
      <c r="AO35" s="7" t="str">
        <f t="shared" si="13"/>
        <v/>
      </c>
      <c r="AP35" s="7" t="str">
        <f t="shared" si="3"/>
        <v/>
      </c>
      <c r="AQ35" s="7" t="str">
        <f t="shared" si="4"/>
        <v/>
      </c>
      <c r="AR35" s="7" t="str">
        <f t="shared" si="5"/>
        <v/>
      </c>
      <c r="AS35" s="7">
        <f t="shared" si="6"/>
        <v>0</v>
      </c>
      <c r="AT35" s="17">
        <f>TableCosts[[#This Row],[N_Amount]]*TableCosts[[#This Row],[N_Tariff]]*TableCosts[[#This Row],[N_ItemsCount]]</f>
        <v>0</v>
      </c>
      <c r="AU35" s="17">
        <f>IF(F35=1,IF(TableCosts[[#This Row],[N_Kateg]]="interné práce",TableCosts[[#This Row],[N_Amount]]*8*PAR_SGA_PERHOUR,0),0)</f>
        <v>0</v>
      </c>
      <c r="AV35" s="17">
        <f>SUM(TableCosts[[#This Row],[N_Direct]:[N_SGA]])</f>
        <v>0</v>
      </c>
      <c r="AW35" s="7">
        <f>IF(F35=1,IF(D35="",NA(),VLOOKUP(C35&amp;TableCosts[[#This Row],[Calc_N_Typ]],TRAN_STRITEMS_LABEL,7,0)),0)</f>
        <v>0</v>
      </c>
      <c r="AX35" s="7">
        <f t="shared" si="7"/>
        <v>0</v>
      </c>
      <c r="AY35" s="57" t="str">
        <f t="shared" si="14"/>
        <v/>
      </c>
      <c r="AZ35" s="57" t="str">
        <f t="shared" si="8"/>
        <v/>
      </c>
      <c r="BA35" s="57" t="str">
        <f>IF(F35=1,IF(TableCosts[[#This Row],[TransferFrom]]=TableCosts[[#This Row],[TranferTo]],0,1),"")</f>
        <v/>
      </c>
      <c r="BB35" s="7">
        <f t="shared" si="9"/>
        <v>0</v>
      </c>
      <c r="BC35" s="7">
        <f t="shared" si="10"/>
        <v>0</v>
      </c>
    </row>
    <row r="36" spans="2:55" s="7" customFormat="1" ht="13.9" x14ac:dyDescent="0.3">
      <c r="B36" s="33"/>
      <c r="C36" s="31"/>
      <c r="D36" s="40"/>
      <c r="E36" s="6" t="str">
        <f>IF(F36=1,IF(ISERROR(TableCosts[[#This Row],[N_Tariff]]),Err_Message1,IF(TableCosts[[#This Row],[N_Tariff]]=0,Err_Message2,VLOOKUP(C36&amp;TableCosts[[#This Row],[Calc_N_Typ]],TRAN_STRITEMS_LABEL,5,FALSE))),"")</f>
        <v/>
      </c>
      <c r="F36" s="6">
        <f t="shared" si="12"/>
        <v>0</v>
      </c>
      <c r="G36" s="6" t="str">
        <f>IF(F36=1,IFERROR(VLOOKUP(E36,Tab_ErrMessage[],2,0),VLOOKUP(C36&amp;TableCosts[[#This Row],[Calc_N_Typ]],TRAN_STRITEMS_LABEL,4,FALSE)),"")</f>
        <v/>
      </c>
      <c r="H36" s="40"/>
      <c r="I36" s="40"/>
      <c r="J36" s="35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38">
        <f t="array" ref="AK36">IF(F36=1,SUM((ROW(M0)=ROW(AK36))*(M0+M1_+M2_+M3_+M4_+M5_+M6_+M7_+M8_+M9_+M10_+M11_+M12_+M13_+M14_+M15_+M16_+M17_+M18_+M19_+M20_+M21_+M22_+M23_+M24_+M25_)),0)</f>
        <v>0</v>
      </c>
      <c r="AL36" s="27">
        <f>TableCosts[[#This Row],[N_Direct]]</f>
        <v>0</v>
      </c>
      <c r="AN36" s="7" t="str">
        <f t="shared" si="2"/>
        <v/>
      </c>
      <c r="AO36" s="7" t="str">
        <f t="shared" si="13"/>
        <v/>
      </c>
      <c r="AP36" s="7" t="str">
        <f t="shared" si="3"/>
        <v/>
      </c>
      <c r="AQ36" s="7" t="str">
        <f t="shared" si="4"/>
        <v/>
      </c>
      <c r="AR36" s="7" t="str">
        <f t="shared" si="5"/>
        <v/>
      </c>
      <c r="AS36" s="7">
        <f t="shared" si="6"/>
        <v>0</v>
      </c>
      <c r="AT36" s="17">
        <f>TableCosts[[#This Row],[N_Amount]]*TableCosts[[#This Row],[N_Tariff]]*TableCosts[[#This Row],[N_ItemsCount]]</f>
        <v>0</v>
      </c>
      <c r="AU36" s="17">
        <f>IF(F36=1,IF(TableCosts[[#This Row],[N_Kateg]]="interné práce",TableCosts[[#This Row],[N_Amount]]*8*PAR_SGA_PERHOUR,0),0)</f>
        <v>0</v>
      </c>
      <c r="AV36" s="17">
        <f>SUM(TableCosts[[#This Row],[N_Direct]:[N_SGA]])</f>
        <v>0</v>
      </c>
      <c r="AW36" s="7">
        <f>IF(F36=1,IF(D36="",NA(),VLOOKUP(C36&amp;TableCosts[[#This Row],[Calc_N_Typ]],TRAN_STRITEMS_LABEL,7,0)),0)</f>
        <v>0</v>
      </c>
      <c r="AX36" s="7">
        <f t="shared" si="7"/>
        <v>0</v>
      </c>
      <c r="AY36" s="57" t="str">
        <f t="shared" si="14"/>
        <v/>
      </c>
      <c r="AZ36" s="57" t="str">
        <f t="shared" si="8"/>
        <v/>
      </c>
      <c r="BA36" s="57" t="str">
        <f>IF(F36=1,IF(TableCosts[[#This Row],[TransferFrom]]=TableCosts[[#This Row],[TranferTo]],0,1),"")</f>
        <v/>
      </c>
      <c r="BB36" s="7">
        <f t="shared" si="9"/>
        <v>0</v>
      </c>
      <c r="BC36" s="7">
        <f t="shared" si="10"/>
        <v>0</v>
      </c>
    </row>
    <row r="37" spans="2:55" s="7" customFormat="1" ht="12.75" x14ac:dyDescent="0.2">
      <c r="B37" s="33"/>
      <c r="C37" s="31"/>
      <c r="D37" s="40"/>
      <c r="E37" s="6" t="str">
        <f>IF(F37=1,IF(ISERROR(TableCosts[[#This Row],[N_Tariff]]),Err_Message1,IF(TableCosts[[#This Row],[N_Tariff]]=0,Err_Message2,VLOOKUP(C37&amp;TableCosts[[#This Row],[Calc_N_Typ]],TRAN_STRITEMS_LABEL,5,FALSE))),"")</f>
        <v/>
      </c>
      <c r="F37" s="6">
        <f t="shared" si="12"/>
        <v>0</v>
      </c>
      <c r="G37" s="6" t="str">
        <f>IF(F37=1,IFERROR(VLOOKUP(E37,Tab_ErrMessage[],2,0),VLOOKUP(C37&amp;TableCosts[[#This Row],[Calc_N_Typ]],TRAN_STRITEMS_LABEL,4,FALSE)),"")</f>
        <v/>
      </c>
      <c r="H37" s="40"/>
      <c r="I37" s="40"/>
      <c r="J37" s="35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38">
        <f t="array" ref="AK37">IF(F37=1,SUM((ROW(M0)=ROW(AK37))*(M0+M1_+M2_+M3_+M4_+M5_+M6_+M7_+M8_+M9_+M10_+M11_+M12_+M13_+M14_+M15_+M16_+M17_+M18_+M19_+M20_+M21_+M22_+M23_+M24_+M25_)),0)</f>
        <v>0</v>
      </c>
      <c r="AL37" s="27">
        <f>TableCosts[[#This Row],[N_Direct]]</f>
        <v>0</v>
      </c>
      <c r="AN37" s="7" t="str">
        <f t="shared" si="2"/>
        <v/>
      </c>
      <c r="AO37" s="7" t="str">
        <f t="shared" si="13"/>
        <v/>
      </c>
      <c r="AP37" s="7" t="str">
        <f t="shared" si="3"/>
        <v/>
      </c>
      <c r="AQ37" s="7" t="str">
        <f t="shared" si="4"/>
        <v/>
      </c>
      <c r="AR37" s="7" t="str">
        <f t="shared" si="5"/>
        <v/>
      </c>
      <c r="AS37" s="7">
        <f t="shared" si="6"/>
        <v>0</v>
      </c>
      <c r="AT37" s="17">
        <f>TableCosts[[#This Row],[N_Amount]]*TableCosts[[#This Row],[N_Tariff]]*TableCosts[[#This Row],[N_ItemsCount]]</f>
        <v>0</v>
      </c>
      <c r="AU37" s="17">
        <f>IF(F37=1,IF(TableCosts[[#This Row],[N_Kateg]]="interné práce",TableCosts[[#This Row],[N_Amount]]*8*PAR_SGA_PERHOUR,0),0)</f>
        <v>0</v>
      </c>
      <c r="AV37" s="17">
        <f>SUM(TableCosts[[#This Row],[N_Direct]:[N_SGA]])</f>
        <v>0</v>
      </c>
      <c r="AW37" s="7">
        <f>IF(F37=1,IF(D37="",NA(),VLOOKUP(C37&amp;TableCosts[[#This Row],[Calc_N_Typ]],TRAN_STRITEMS_LABEL,7,0)),0)</f>
        <v>0</v>
      </c>
      <c r="AX37" s="7">
        <f t="shared" si="7"/>
        <v>0</v>
      </c>
      <c r="AY37" s="57" t="str">
        <f t="shared" si="14"/>
        <v/>
      </c>
      <c r="AZ37" s="57" t="str">
        <f t="shared" si="8"/>
        <v/>
      </c>
      <c r="BA37" s="57" t="str">
        <f>IF(F37=1,IF(TableCosts[[#This Row],[TransferFrom]]=TableCosts[[#This Row],[TranferTo]],0,1),"")</f>
        <v/>
      </c>
      <c r="BB37" s="7">
        <f t="shared" si="9"/>
        <v>0</v>
      </c>
      <c r="BC37" s="7">
        <f t="shared" si="10"/>
        <v>0</v>
      </c>
    </row>
    <row r="38" spans="2:55" s="7" customFormat="1" ht="12.75" x14ac:dyDescent="0.2">
      <c r="B38" s="33"/>
      <c r="C38" s="31"/>
      <c r="D38" s="40"/>
      <c r="E38" s="6" t="str">
        <f>IF(F38=1,IF(ISERROR(TableCosts[[#This Row],[N_Tariff]]),Err_Message1,IF(TableCosts[[#This Row],[N_Tariff]]=0,Err_Message2,VLOOKUP(C38&amp;TableCosts[[#This Row],[Calc_N_Typ]],TRAN_STRITEMS_LABEL,5,FALSE))),"")</f>
        <v/>
      </c>
      <c r="F38" s="6">
        <f t="shared" si="12"/>
        <v>0</v>
      </c>
      <c r="G38" s="6" t="str">
        <f>IF(F38=1,IFERROR(VLOOKUP(E38,Tab_ErrMessage[],2,0),VLOOKUP(C38&amp;TableCosts[[#This Row],[Calc_N_Typ]],TRAN_STRITEMS_LABEL,4,FALSE)),"")</f>
        <v/>
      </c>
      <c r="H38" s="40"/>
      <c r="I38" s="40"/>
      <c r="J38" s="35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38">
        <f t="array" ref="AK38">IF(F38=1,SUM((ROW(M0)=ROW(AK38))*(M0+M1_+M2_+M3_+M4_+M5_+M6_+M7_+M8_+M9_+M10_+M11_+M12_+M13_+M14_+M15_+M16_+M17_+M18_+M19_+M20_+M21_+M22_+M23_+M24_+M25_)),0)</f>
        <v>0</v>
      </c>
      <c r="AL38" s="27">
        <f>TableCosts[[#This Row],[N_Direct]]</f>
        <v>0</v>
      </c>
      <c r="AN38" s="7" t="str">
        <f t="shared" si="2"/>
        <v/>
      </c>
      <c r="AO38" s="7" t="str">
        <f t="shared" si="13"/>
        <v/>
      </c>
      <c r="AP38" s="7" t="str">
        <f t="shared" si="3"/>
        <v/>
      </c>
      <c r="AQ38" s="7" t="str">
        <f t="shared" si="4"/>
        <v/>
      </c>
      <c r="AR38" s="7" t="str">
        <f t="shared" si="5"/>
        <v/>
      </c>
      <c r="AS38" s="7">
        <f t="shared" si="6"/>
        <v>0</v>
      </c>
      <c r="AT38" s="17">
        <f>TableCosts[[#This Row],[N_Amount]]*TableCosts[[#This Row],[N_Tariff]]*TableCosts[[#This Row],[N_ItemsCount]]</f>
        <v>0</v>
      </c>
      <c r="AU38" s="17">
        <f>IF(F38=1,IF(TableCosts[[#This Row],[N_Kateg]]="interné práce",TableCosts[[#This Row],[N_Amount]]*8*PAR_SGA_PERHOUR,0),0)</f>
        <v>0</v>
      </c>
      <c r="AV38" s="17">
        <f>SUM(TableCosts[[#This Row],[N_Direct]:[N_SGA]])</f>
        <v>0</v>
      </c>
      <c r="AW38" s="7">
        <f>IF(F38=1,IF(D38="",NA(),VLOOKUP(C38&amp;TableCosts[[#This Row],[Calc_N_Typ]],TRAN_STRITEMS_LABEL,7,0)),0)</f>
        <v>0</v>
      </c>
      <c r="AX38" s="7">
        <f t="shared" si="7"/>
        <v>0</v>
      </c>
      <c r="AY38" s="57" t="str">
        <f t="shared" si="14"/>
        <v/>
      </c>
      <c r="AZ38" s="57" t="str">
        <f t="shared" si="8"/>
        <v/>
      </c>
      <c r="BA38" s="57" t="str">
        <f>IF(F38=1,IF(TableCosts[[#This Row],[TransferFrom]]=TableCosts[[#This Row],[TranferTo]],0,1),"")</f>
        <v/>
      </c>
      <c r="BB38" s="7">
        <f t="shared" si="9"/>
        <v>0</v>
      </c>
      <c r="BC38" s="7">
        <f t="shared" si="10"/>
        <v>0</v>
      </c>
    </row>
    <row r="39" spans="2:55" s="7" customFormat="1" ht="12.75" x14ac:dyDescent="0.2">
      <c r="B39" s="33"/>
      <c r="C39" s="31"/>
      <c r="D39" s="40"/>
      <c r="E39" s="6" t="str">
        <f>IF(F39=1,IF(ISERROR(TableCosts[[#This Row],[N_Tariff]]),Err_Message1,IF(TableCosts[[#This Row],[N_Tariff]]=0,Err_Message2,VLOOKUP(C39&amp;TableCosts[[#This Row],[Calc_N_Typ]],TRAN_STRITEMS_LABEL,5,FALSE))),"")</f>
        <v/>
      </c>
      <c r="F39" s="6">
        <f t="shared" si="12"/>
        <v>0</v>
      </c>
      <c r="G39" s="6" t="str">
        <f>IF(F39=1,IFERROR(VLOOKUP(E39,Tab_ErrMessage[],2,0),VLOOKUP(C39&amp;TableCosts[[#This Row],[Calc_N_Typ]],TRAN_STRITEMS_LABEL,4,FALSE)),"")</f>
        <v/>
      </c>
      <c r="H39" s="40"/>
      <c r="I39" s="40"/>
      <c r="J39" s="35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38">
        <f t="array" ref="AK39">IF(F39=1,SUM((ROW(M0)=ROW(AK39))*(M0+M1_+M2_+M3_+M4_+M5_+M6_+M7_+M8_+M9_+M10_+M11_+M12_+M13_+M14_+M15_+M16_+M17_+M18_+M19_+M20_+M21_+M22_+M23_+M24_+M25_)),0)</f>
        <v>0</v>
      </c>
      <c r="AL39" s="27">
        <f>TableCosts[[#This Row],[N_Direct]]</f>
        <v>0</v>
      </c>
      <c r="AN39" s="7" t="str">
        <f t="shared" si="2"/>
        <v/>
      </c>
      <c r="AO39" s="7" t="str">
        <f t="shared" si="13"/>
        <v/>
      </c>
      <c r="AP39" s="7" t="str">
        <f t="shared" si="3"/>
        <v/>
      </c>
      <c r="AQ39" s="7" t="str">
        <f t="shared" si="4"/>
        <v/>
      </c>
      <c r="AR39" s="7" t="str">
        <f t="shared" si="5"/>
        <v/>
      </c>
      <c r="AS39" s="7">
        <f t="shared" si="6"/>
        <v>0</v>
      </c>
      <c r="AT39" s="17">
        <f>TableCosts[[#This Row],[N_Amount]]*TableCosts[[#This Row],[N_Tariff]]*TableCosts[[#This Row],[N_ItemsCount]]</f>
        <v>0</v>
      </c>
      <c r="AU39" s="17">
        <f>IF(F39=1,IF(TableCosts[[#This Row],[N_Kateg]]="interné práce",TableCosts[[#This Row],[N_Amount]]*8*PAR_SGA_PERHOUR,0),0)</f>
        <v>0</v>
      </c>
      <c r="AV39" s="17">
        <f>SUM(TableCosts[[#This Row],[N_Direct]:[N_SGA]])</f>
        <v>0</v>
      </c>
      <c r="AW39" s="7">
        <f>IF(F39=1,IF(D39="",NA(),VLOOKUP(C39&amp;TableCosts[[#This Row],[Calc_N_Typ]],TRAN_STRITEMS_LABEL,7,0)),0)</f>
        <v>0</v>
      </c>
      <c r="AX39" s="7">
        <f t="shared" si="7"/>
        <v>0</v>
      </c>
      <c r="AY39" s="57" t="str">
        <f t="shared" si="14"/>
        <v/>
      </c>
      <c r="AZ39" s="57" t="str">
        <f t="shared" si="8"/>
        <v/>
      </c>
      <c r="BA39" s="57" t="str">
        <f>IF(F39=1,IF(TableCosts[[#This Row],[TransferFrom]]=TableCosts[[#This Row],[TranferTo]],0,1),"")</f>
        <v/>
      </c>
      <c r="BB39" s="7">
        <f t="shared" si="9"/>
        <v>0</v>
      </c>
      <c r="BC39" s="7">
        <f t="shared" si="10"/>
        <v>0</v>
      </c>
    </row>
    <row r="40" spans="2:55" s="7" customFormat="1" ht="12.75" x14ac:dyDescent="0.2">
      <c r="B40" s="33"/>
      <c r="C40" s="31"/>
      <c r="D40" s="40"/>
      <c r="E40" s="6" t="str">
        <f>IF(F40=1,IF(ISERROR(TableCosts[[#This Row],[N_Tariff]]),Err_Message1,IF(TableCosts[[#This Row],[N_Tariff]]=0,Err_Message2,VLOOKUP(C40&amp;TableCosts[[#This Row],[Calc_N_Typ]],TRAN_STRITEMS_LABEL,5,FALSE))),"")</f>
        <v/>
      </c>
      <c r="F40" s="6">
        <f t="shared" si="12"/>
        <v>0</v>
      </c>
      <c r="G40" s="6" t="str">
        <f>IF(F40=1,IFERROR(VLOOKUP(E40,Tab_ErrMessage[],2,0),VLOOKUP(C40&amp;TableCosts[[#This Row],[Calc_N_Typ]],TRAN_STRITEMS_LABEL,4,FALSE)),"")</f>
        <v/>
      </c>
      <c r="H40" s="40"/>
      <c r="I40" s="40"/>
      <c r="J40" s="35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38">
        <f t="array" ref="AK40">IF(F40=1,SUM((ROW(M0)=ROW(AK40))*(M0+M1_+M2_+M3_+M4_+M5_+M6_+M7_+M8_+M9_+M10_+M11_+M12_+M13_+M14_+M15_+M16_+M17_+M18_+M19_+M20_+M21_+M22_+M23_+M24_+M25_)),0)</f>
        <v>0</v>
      </c>
      <c r="AL40" s="27">
        <f>TableCosts[[#This Row],[N_Direct]]</f>
        <v>0</v>
      </c>
      <c r="AN40" s="7" t="str">
        <f t="shared" si="2"/>
        <v/>
      </c>
      <c r="AO40" s="7" t="str">
        <f t="shared" si="13"/>
        <v/>
      </c>
      <c r="AP40" s="7" t="str">
        <f t="shared" si="3"/>
        <v/>
      </c>
      <c r="AQ40" s="7" t="str">
        <f t="shared" si="4"/>
        <v/>
      </c>
      <c r="AR40" s="7" t="str">
        <f t="shared" si="5"/>
        <v/>
      </c>
      <c r="AS40" s="7">
        <f t="shared" si="6"/>
        <v>0</v>
      </c>
      <c r="AT40" s="17">
        <f>TableCosts[[#This Row],[N_Amount]]*TableCosts[[#This Row],[N_Tariff]]*TableCosts[[#This Row],[N_ItemsCount]]</f>
        <v>0</v>
      </c>
      <c r="AU40" s="17">
        <f>IF(F40=1,IF(TableCosts[[#This Row],[N_Kateg]]="interné práce",TableCosts[[#This Row],[N_Amount]]*8*PAR_SGA_PERHOUR,0),0)</f>
        <v>0</v>
      </c>
      <c r="AV40" s="17">
        <f>SUM(TableCosts[[#This Row],[N_Direct]:[N_SGA]])</f>
        <v>0</v>
      </c>
      <c r="AW40" s="7">
        <f>IF(F40=1,IF(D40="",NA(),VLOOKUP(C40&amp;TableCosts[[#This Row],[Calc_N_Typ]],TRAN_STRITEMS_LABEL,7,0)),0)</f>
        <v>0</v>
      </c>
      <c r="AX40" s="7">
        <f t="shared" si="7"/>
        <v>0</v>
      </c>
      <c r="AY40" s="57" t="str">
        <f t="shared" si="14"/>
        <v/>
      </c>
      <c r="AZ40" s="57" t="str">
        <f t="shared" si="8"/>
        <v/>
      </c>
      <c r="BA40" s="57" t="str">
        <f>IF(F40=1,IF(TableCosts[[#This Row],[TransferFrom]]=TableCosts[[#This Row],[TranferTo]],0,1),"")</f>
        <v/>
      </c>
      <c r="BB40" s="7">
        <f t="shared" si="9"/>
        <v>0</v>
      </c>
      <c r="BC40" s="7">
        <f t="shared" si="10"/>
        <v>0</v>
      </c>
    </row>
    <row r="41" spans="2:55" s="7" customFormat="1" ht="12.75" x14ac:dyDescent="0.2">
      <c r="B41" s="33"/>
      <c r="C41" s="31"/>
      <c r="D41" s="40"/>
      <c r="E41" s="6" t="str">
        <f>IF(F41=1,IF(ISERROR(TableCosts[[#This Row],[N_Tariff]]),Err_Message1,IF(TableCosts[[#This Row],[N_Tariff]]=0,Err_Message2,VLOOKUP(C41&amp;TableCosts[[#This Row],[Calc_N_Typ]],TRAN_STRITEMS_LABEL,5,FALSE))),"")</f>
        <v/>
      </c>
      <c r="F41" s="6">
        <f t="shared" si="12"/>
        <v>0</v>
      </c>
      <c r="G41" s="6" t="str">
        <f>IF(F41=1,IFERROR(VLOOKUP(E41,Tab_ErrMessage[],2,0),VLOOKUP(C41&amp;TableCosts[[#This Row],[Calc_N_Typ]],TRAN_STRITEMS_LABEL,4,FALSE)),"")</f>
        <v/>
      </c>
      <c r="H41" s="40"/>
      <c r="I41" s="40"/>
      <c r="J41" s="35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38">
        <f t="array" ref="AK41">IF(F41=1,SUM((ROW(M0)=ROW(AK41))*(M0+M1_+M2_+M3_+M4_+M5_+M6_+M7_+M8_+M9_+M10_+M11_+M12_+M13_+M14_+M15_+M16_+M17_+M18_+M19_+M20_+M21_+M22_+M23_+M24_+M25_)),0)</f>
        <v>0</v>
      </c>
      <c r="AL41" s="27">
        <f>TableCosts[[#This Row],[N_Direct]]</f>
        <v>0</v>
      </c>
      <c r="AN41" s="7" t="str">
        <f t="shared" si="2"/>
        <v/>
      </c>
      <c r="AO41" s="7" t="str">
        <f t="shared" si="13"/>
        <v/>
      </c>
      <c r="AP41" s="7" t="str">
        <f t="shared" si="3"/>
        <v/>
      </c>
      <c r="AQ41" s="7" t="str">
        <f t="shared" si="4"/>
        <v/>
      </c>
      <c r="AR41" s="7" t="str">
        <f t="shared" si="5"/>
        <v/>
      </c>
      <c r="AS41" s="7">
        <f t="shared" si="6"/>
        <v>0</v>
      </c>
      <c r="AT41" s="17">
        <f>TableCosts[[#This Row],[N_Amount]]*TableCosts[[#This Row],[N_Tariff]]*TableCosts[[#This Row],[N_ItemsCount]]</f>
        <v>0</v>
      </c>
      <c r="AU41" s="17">
        <f>IF(F41=1,IF(TableCosts[[#This Row],[N_Kateg]]="interné práce",TableCosts[[#This Row],[N_Amount]]*8*PAR_SGA_PERHOUR,0),0)</f>
        <v>0</v>
      </c>
      <c r="AV41" s="17">
        <f>SUM(TableCosts[[#This Row],[N_Direct]:[N_SGA]])</f>
        <v>0</v>
      </c>
      <c r="AW41" s="7">
        <f>IF(F41=1,IF(D41="",NA(),VLOOKUP(C41&amp;TableCosts[[#This Row],[Calc_N_Typ]],TRAN_STRITEMS_LABEL,7,0)),0)</f>
        <v>0</v>
      </c>
      <c r="AX41" s="7">
        <f t="shared" si="7"/>
        <v>0</v>
      </c>
      <c r="AY41" s="57" t="str">
        <f t="shared" si="14"/>
        <v/>
      </c>
      <c r="AZ41" s="57" t="str">
        <f t="shared" si="8"/>
        <v/>
      </c>
      <c r="BA41" s="57" t="str">
        <f>IF(F41=1,IF(TableCosts[[#This Row],[TransferFrom]]=TableCosts[[#This Row],[TranferTo]],0,1),"")</f>
        <v/>
      </c>
      <c r="BB41" s="7">
        <f t="shared" si="9"/>
        <v>0</v>
      </c>
      <c r="BC41" s="7">
        <f t="shared" si="10"/>
        <v>0</v>
      </c>
    </row>
    <row r="42" spans="2:55" s="7" customFormat="1" ht="12.75" x14ac:dyDescent="0.2">
      <c r="B42" s="33"/>
      <c r="C42" s="31"/>
      <c r="D42" s="40"/>
      <c r="E42" s="6" t="str">
        <f>IF(F42=1,IF(ISERROR(TableCosts[[#This Row],[N_Tariff]]),Err_Message1,IF(TableCosts[[#This Row],[N_Tariff]]=0,Err_Message2,VLOOKUP(C42&amp;TableCosts[[#This Row],[Calc_N_Typ]],TRAN_STRITEMS_LABEL,5,FALSE))),"")</f>
        <v/>
      </c>
      <c r="F42" s="6">
        <f t="shared" si="12"/>
        <v>0</v>
      </c>
      <c r="G42" s="6" t="str">
        <f>IF(F42=1,IFERROR(VLOOKUP(E42,Tab_ErrMessage[],2,0),VLOOKUP(C42&amp;TableCosts[[#This Row],[Calc_N_Typ]],TRAN_STRITEMS_LABEL,4,FALSE)),"")</f>
        <v/>
      </c>
      <c r="H42" s="40"/>
      <c r="I42" s="40"/>
      <c r="J42" s="35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38">
        <f t="array" ref="AK42">IF(F42=1,SUM((ROW(M0)=ROW(AK42))*(M0+M1_+M2_+M3_+M4_+M5_+M6_+M7_+M8_+M9_+M10_+M11_+M12_+M13_+M14_+M15_+M16_+M17_+M18_+M19_+M20_+M21_+M22_+M23_+M24_+M25_)),0)</f>
        <v>0</v>
      </c>
      <c r="AL42" s="27">
        <f>TableCosts[[#This Row],[N_Direct]]</f>
        <v>0</v>
      </c>
      <c r="AN42" s="7" t="str">
        <f t="shared" si="2"/>
        <v/>
      </c>
      <c r="AO42" s="7" t="str">
        <f t="shared" si="13"/>
        <v/>
      </c>
      <c r="AP42" s="7" t="str">
        <f t="shared" si="3"/>
        <v/>
      </c>
      <c r="AQ42" s="7" t="str">
        <f t="shared" si="4"/>
        <v/>
      </c>
      <c r="AR42" s="7" t="str">
        <f t="shared" si="5"/>
        <v/>
      </c>
      <c r="AS42" s="7">
        <f t="shared" si="6"/>
        <v>0</v>
      </c>
      <c r="AT42" s="17">
        <f>TableCosts[[#This Row],[N_Amount]]*TableCosts[[#This Row],[N_Tariff]]*TableCosts[[#This Row],[N_ItemsCount]]</f>
        <v>0</v>
      </c>
      <c r="AU42" s="17">
        <f>IF(F42=1,IF(TableCosts[[#This Row],[N_Kateg]]="interné práce",TableCosts[[#This Row],[N_Amount]]*8*PAR_SGA_PERHOUR,0),0)</f>
        <v>0</v>
      </c>
      <c r="AV42" s="17">
        <f>SUM(TableCosts[[#This Row],[N_Direct]:[N_SGA]])</f>
        <v>0</v>
      </c>
      <c r="AW42" s="7">
        <f>IF(F42=1,IF(D42="",NA(),VLOOKUP(C42&amp;TableCosts[[#This Row],[Calc_N_Typ]],TRAN_STRITEMS_LABEL,7,0)),0)</f>
        <v>0</v>
      </c>
      <c r="AX42" s="7">
        <f t="shared" si="7"/>
        <v>0</v>
      </c>
      <c r="AY42" s="57" t="str">
        <f t="shared" si="14"/>
        <v/>
      </c>
      <c r="AZ42" s="57" t="str">
        <f t="shared" si="8"/>
        <v/>
      </c>
      <c r="BA42" s="57" t="str">
        <f>IF(F42=1,IF(TableCosts[[#This Row],[TransferFrom]]=TableCosts[[#This Row],[TranferTo]],0,1),"")</f>
        <v/>
      </c>
      <c r="BB42" s="7">
        <f t="shared" si="9"/>
        <v>0</v>
      </c>
      <c r="BC42" s="7">
        <f t="shared" si="10"/>
        <v>0</v>
      </c>
    </row>
    <row r="43" spans="2:55" s="7" customFormat="1" ht="12.75" x14ac:dyDescent="0.2">
      <c r="B43" s="33"/>
      <c r="C43" s="31"/>
      <c r="D43" s="40"/>
      <c r="E43" s="6" t="str">
        <f>IF(F43=1,IF(ISERROR(TableCosts[[#This Row],[N_Tariff]]),Err_Message1,IF(TableCosts[[#This Row],[N_Tariff]]=0,Err_Message2,VLOOKUP(C43&amp;TableCosts[[#This Row],[Calc_N_Typ]],TRAN_STRITEMS_LABEL,5,FALSE))),"")</f>
        <v/>
      </c>
      <c r="F43" s="6">
        <f t="shared" si="12"/>
        <v>0</v>
      </c>
      <c r="G43" s="6" t="str">
        <f>IF(F43=1,IFERROR(VLOOKUP(E43,Tab_ErrMessage[],2,0),VLOOKUP(C43&amp;TableCosts[[#This Row],[Calc_N_Typ]],TRAN_STRITEMS_LABEL,4,FALSE)),"")</f>
        <v/>
      </c>
      <c r="H43" s="40"/>
      <c r="I43" s="40"/>
      <c r="J43" s="35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38">
        <f t="array" ref="AK43">IF(F43=1,SUM((ROW(M0)=ROW(AK43))*(M0+M1_+M2_+M3_+M4_+M5_+M6_+M7_+M8_+M9_+M10_+M11_+M12_+M13_+M14_+M15_+M16_+M17_+M18_+M19_+M20_+M21_+M22_+M23_+M24_+M25_)),0)</f>
        <v>0</v>
      </c>
      <c r="AL43" s="27">
        <f>TableCosts[[#This Row],[N_Direct]]</f>
        <v>0</v>
      </c>
      <c r="AN43" s="7" t="str">
        <f t="shared" si="2"/>
        <v/>
      </c>
      <c r="AO43" s="7" t="str">
        <f t="shared" si="13"/>
        <v/>
      </c>
      <c r="AP43" s="7" t="str">
        <f t="shared" si="3"/>
        <v/>
      </c>
      <c r="AQ43" s="7" t="str">
        <f t="shared" si="4"/>
        <v/>
      </c>
      <c r="AR43" s="7" t="str">
        <f t="shared" si="5"/>
        <v/>
      </c>
      <c r="AS43" s="7">
        <f t="shared" si="6"/>
        <v>0</v>
      </c>
      <c r="AT43" s="17">
        <f>TableCosts[[#This Row],[N_Amount]]*TableCosts[[#This Row],[N_Tariff]]*TableCosts[[#This Row],[N_ItemsCount]]</f>
        <v>0</v>
      </c>
      <c r="AU43" s="17">
        <f>IF(F43=1,IF(TableCosts[[#This Row],[N_Kateg]]="interné práce",TableCosts[[#This Row],[N_Amount]]*8*PAR_SGA_PERHOUR,0),0)</f>
        <v>0</v>
      </c>
      <c r="AV43" s="17">
        <f>SUM(TableCosts[[#This Row],[N_Direct]:[N_SGA]])</f>
        <v>0</v>
      </c>
      <c r="AW43" s="7">
        <f>IF(F43=1,IF(D43="",NA(),VLOOKUP(C43&amp;TableCosts[[#This Row],[Calc_N_Typ]],TRAN_STRITEMS_LABEL,7,0)),0)</f>
        <v>0</v>
      </c>
      <c r="AX43" s="7">
        <f t="shared" si="7"/>
        <v>0</v>
      </c>
      <c r="AY43" s="57" t="str">
        <f t="shared" si="14"/>
        <v/>
      </c>
      <c r="AZ43" s="57" t="str">
        <f t="shared" si="8"/>
        <v/>
      </c>
      <c r="BA43" s="57" t="str">
        <f>IF(F43=1,IF(TableCosts[[#This Row],[TransferFrom]]=TableCosts[[#This Row],[TranferTo]],0,1),"")</f>
        <v/>
      </c>
      <c r="BB43" s="7">
        <f t="shared" si="9"/>
        <v>0</v>
      </c>
      <c r="BC43" s="7">
        <f t="shared" si="10"/>
        <v>0</v>
      </c>
    </row>
    <row r="44" spans="2:55" s="7" customFormat="1" ht="12.75" x14ac:dyDescent="0.2">
      <c r="B44" s="33"/>
      <c r="C44" s="31"/>
      <c r="D44" s="40"/>
      <c r="E44" s="6" t="str">
        <f>IF(F44=1,IF(ISERROR(TableCosts[[#This Row],[N_Tariff]]),Err_Message1,IF(TableCosts[[#This Row],[N_Tariff]]=0,Err_Message2,VLOOKUP(C44&amp;TableCosts[[#This Row],[Calc_N_Typ]],TRAN_STRITEMS_LABEL,5,FALSE))),"")</f>
        <v/>
      </c>
      <c r="F44" s="6">
        <f t="shared" si="12"/>
        <v>0</v>
      </c>
      <c r="G44" s="6" t="str">
        <f>IF(F44=1,IFERROR(VLOOKUP(E44,Tab_ErrMessage[],2,0),VLOOKUP(C44&amp;TableCosts[[#This Row],[Calc_N_Typ]],TRAN_STRITEMS_LABEL,4,FALSE)),"")</f>
        <v/>
      </c>
      <c r="H44" s="40"/>
      <c r="I44" s="40"/>
      <c r="J44" s="35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38">
        <f t="array" ref="AK44">IF(F44=1,SUM((ROW(M0)=ROW(AK44))*(M0+M1_+M2_+M3_+M4_+M5_+M6_+M7_+M8_+M9_+M10_+M11_+M12_+M13_+M14_+M15_+M16_+M17_+M18_+M19_+M20_+M21_+M22_+M23_+M24_+M25_)),0)</f>
        <v>0</v>
      </c>
      <c r="AL44" s="27">
        <f>TableCosts[[#This Row],[N_Direct]]</f>
        <v>0</v>
      </c>
      <c r="AN44" s="7" t="str">
        <f t="shared" si="2"/>
        <v/>
      </c>
      <c r="AO44" s="7" t="str">
        <f t="shared" si="13"/>
        <v/>
      </c>
      <c r="AP44" s="7" t="str">
        <f t="shared" si="3"/>
        <v/>
      </c>
      <c r="AQ44" s="7" t="str">
        <f t="shared" si="4"/>
        <v/>
      </c>
      <c r="AR44" s="7" t="str">
        <f t="shared" si="5"/>
        <v/>
      </c>
      <c r="AS44" s="7">
        <f t="shared" si="6"/>
        <v>0</v>
      </c>
      <c r="AT44" s="17">
        <f>TableCosts[[#This Row],[N_Amount]]*TableCosts[[#This Row],[N_Tariff]]*TableCosts[[#This Row],[N_ItemsCount]]</f>
        <v>0</v>
      </c>
      <c r="AU44" s="17">
        <f>IF(F44=1,IF(TableCosts[[#This Row],[N_Kateg]]="interné práce",TableCosts[[#This Row],[N_Amount]]*8*PAR_SGA_PERHOUR,0),0)</f>
        <v>0</v>
      </c>
      <c r="AV44" s="17">
        <f>SUM(TableCosts[[#This Row],[N_Direct]:[N_SGA]])</f>
        <v>0</v>
      </c>
      <c r="AW44" s="7">
        <f>IF(F44=1,IF(D44="",NA(),VLOOKUP(C44&amp;TableCosts[[#This Row],[Calc_N_Typ]],TRAN_STRITEMS_LABEL,7,0)),0)</f>
        <v>0</v>
      </c>
      <c r="AX44" s="7">
        <f t="shared" si="7"/>
        <v>0</v>
      </c>
      <c r="AY44" s="57" t="str">
        <f t="shared" si="14"/>
        <v/>
      </c>
      <c r="AZ44" s="57" t="str">
        <f t="shared" si="8"/>
        <v/>
      </c>
      <c r="BA44" s="57" t="str">
        <f>IF(F44=1,IF(TableCosts[[#This Row],[TransferFrom]]=TableCosts[[#This Row],[TranferTo]],0,1),"")</f>
        <v/>
      </c>
      <c r="BB44" s="7">
        <f t="shared" si="9"/>
        <v>0</v>
      </c>
      <c r="BC44" s="7">
        <f t="shared" si="10"/>
        <v>0</v>
      </c>
    </row>
    <row r="45" spans="2:55" s="7" customFormat="1" ht="12.75" x14ac:dyDescent="0.2">
      <c r="B45" s="33"/>
      <c r="C45" s="31"/>
      <c r="D45" s="40"/>
      <c r="E45" s="6" t="str">
        <f>IF(F45=1,IF(ISERROR(TableCosts[[#This Row],[N_Tariff]]),Err_Message1,IF(TableCosts[[#This Row],[N_Tariff]]=0,Err_Message2,VLOOKUP(C45&amp;TableCosts[[#This Row],[Calc_N_Typ]],TRAN_STRITEMS_LABEL,5,FALSE))),"")</f>
        <v/>
      </c>
      <c r="F45" s="6">
        <f t="shared" si="12"/>
        <v>0</v>
      </c>
      <c r="G45" s="6" t="str">
        <f>IF(F45=1,IFERROR(VLOOKUP(E45,Tab_ErrMessage[],2,0),VLOOKUP(C45&amp;TableCosts[[#This Row],[Calc_N_Typ]],TRAN_STRITEMS_LABEL,4,FALSE)),"")</f>
        <v/>
      </c>
      <c r="H45" s="40"/>
      <c r="I45" s="40"/>
      <c r="J45" s="35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38">
        <f t="array" ref="AK45">IF(F45=1,SUM((ROW(M0)=ROW(AK45))*(M0+M1_+M2_+M3_+M4_+M5_+M6_+M7_+M8_+M9_+M10_+M11_+M12_+M13_+M14_+M15_+M16_+M17_+M18_+M19_+M20_+M21_+M22_+M23_+M24_+M25_)),0)</f>
        <v>0</v>
      </c>
      <c r="AL45" s="27">
        <f>TableCosts[[#This Row],[N_Direct]]</f>
        <v>0</v>
      </c>
      <c r="AN45" s="7" t="str">
        <f t="shared" si="2"/>
        <v/>
      </c>
      <c r="AO45" s="7" t="str">
        <f t="shared" si="13"/>
        <v/>
      </c>
      <c r="AP45" s="7" t="str">
        <f t="shared" si="3"/>
        <v/>
      </c>
      <c r="AQ45" s="7" t="str">
        <f t="shared" si="4"/>
        <v/>
      </c>
      <c r="AR45" s="7" t="str">
        <f t="shared" si="5"/>
        <v/>
      </c>
      <c r="AS45" s="7">
        <f t="shared" si="6"/>
        <v>0</v>
      </c>
      <c r="AT45" s="17">
        <f>TableCosts[[#This Row],[N_Amount]]*TableCosts[[#This Row],[N_Tariff]]*TableCosts[[#This Row],[N_ItemsCount]]</f>
        <v>0</v>
      </c>
      <c r="AU45" s="17">
        <f>IF(F45=1,IF(TableCosts[[#This Row],[N_Kateg]]="interné práce",TableCosts[[#This Row],[N_Amount]]*8*PAR_SGA_PERHOUR,0),0)</f>
        <v>0</v>
      </c>
      <c r="AV45" s="17">
        <f>SUM(TableCosts[[#This Row],[N_Direct]:[N_SGA]])</f>
        <v>0</v>
      </c>
      <c r="AW45" s="7">
        <f>IF(F45=1,IF(D45="",NA(),VLOOKUP(C45&amp;TableCosts[[#This Row],[Calc_N_Typ]],TRAN_STRITEMS_LABEL,7,0)),0)</f>
        <v>0</v>
      </c>
      <c r="AX45" s="7">
        <f t="shared" si="7"/>
        <v>0</v>
      </c>
      <c r="AY45" s="57" t="str">
        <f t="shared" si="14"/>
        <v/>
      </c>
      <c r="AZ45" s="57" t="str">
        <f t="shared" si="8"/>
        <v/>
      </c>
      <c r="BA45" s="57" t="str">
        <f>IF(F45=1,IF(TableCosts[[#This Row],[TransferFrom]]=TableCosts[[#This Row],[TranferTo]],0,1),"")</f>
        <v/>
      </c>
      <c r="BB45" s="7">
        <f t="shared" si="9"/>
        <v>0</v>
      </c>
      <c r="BC45" s="7">
        <f t="shared" si="10"/>
        <v>0</v>
      </c>
    </row>
    <row r="46" spans="2:55" s="7" customFormat="1" ht="12.75" x14ac:dyDescent="0.2">
      <c r="B46" s="33"/>
      <c r="C46" s="31"/>
      <c r="D46" s="40"/>
      <c r="E46" s="6" t="str">
        <f>IF(F46=1,IF(ISERROR(TableCosts[[#This Row],[N_Tariff]]),Err_Message1,IF(TableCosts[[#This Row],[N_Tariff]]=0,Err_Message2,VLOOKUP(C46&amp;TableCosts[[#This Row],[Calc_N_Typ]],TRAN_STRITEMS_LABEL,5,FALSE))),"")</f>
        <v/>
      </c>
      <c r="F46" s="6">
        <f t="shared" si="12"/>
        <v>0</v>
      </c>
      <c r="G46" s="6" t="str">
        <f>IF(F46=1,IFERROR(VLOOKUP(E46,Tab_ErrMessage[],2,0),VLOOKUP(C46&amp;TableCosts[[#This Row],[Calc_N_Typ]],TRAN_STRITEMS_LABEL,4,FALSE)),"")</f>
        <v/>
      </c>
      <c r="H46" s="40"/>
      <c r="I46" s="40"/>
      <c r="J46" s="35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38">
        <f t="array" ref="AK46">IF(F46=1,SUM((ROW(M0)=ROW(AK46))*(M0+M1_+M2_+M3_+M4_+M5_+M6_+M7_+M8_+M9_+M10_+M11_+M12_+M13_+M14_+M15_+M16_+M17_+M18_+M19_+M20_+M21_+M22_+M23_+M24_+M25_)),0)</f>
        <v>0</v>
      </c>
      <c r="AL46" s="27">
        <f>TableCosts[[#This Row],[N_Direct]]</f>
        <v>0</v>
      </c>
      <c r="AN46" s="7" t="str">
        <f t="shared" si="2"/>
        <v/>
      </c>
      <c r="AO46" s="7" t="str">
        <f t="shared" si="13"/>
        <v/>
      </c>
      <c r="AP46" s="7" t="str">
        <f t="shared" si="3"/>
        <v/>
      </c>
      <c r="AQ46" s="7" t="str">
        <f t="shared" si="4"/>
        <v/>
      </c>
      <c r="AR46" s="7" t="str">
        <f t="shared" si="5"/>
        <v/>
      </c>
      <c r="AS46" s="7">
        <f t="shared" si="6"/>
        <v>0</v>
      </c>
      <c r="AT46" s="17">
        <f>TableCosts[[#This Row],[N_Amount]]*TableCosts[[#This Row],[N_Tariff]]*TableCosts[[#This Row],[N_ItemsCount]]</f>
        <v>0</v>
      </c>
      <c r="AU46" s="17">
        <f>IF(F46=1,IF(TableCosts[[#This Row],[N_Kateg]]="interné práce",TableCosts[[#This Row],[N_Amount]]*8*PAR_SGA_PERHOUR,0),0)</f>
        <v>0</v>
      </c>
      <c r="AV46" s="17">
        <f>SUM(TableCosts[[#This Row],[N_Direct]:[N_SGA]])</f>
        <v>0</v>
      </c>
      <c r="AW46" s="7">
        <f>IF(F46=1,IF(D46="",NA(),VLOOKUP(C46&amp;TableCosts[[#This Row],[Calc_N_Typ]],TRAN_STRITEMS_LABEL,7,0)),0)</f>
        <v>0</v>
      </c>
      <c r="AX46" s="7">
        <f t="shared" si="7"/>
        <v>0</v>
      </c>
      <c r="AY46" s="57" t="str">
        <f t="shared" si="14"/>
        <v/>
      </c>
      <c r="AZ46" s="57" t="str">
        <f t="shared" si="8"/>
        <v/>
      </c>
      <c r="BA46" s="57" t="str">
        <f>IF(F46=1,IF(TableCosts[[#This Row],[TransferFrom]]=TableCosts[[#This Row],[TranferTo]],0,1),"")</f>
        <v/>
      </c>
      <c r="BB46" s="7">
        <f t="shared" si="9"/>
        <v>0</v>
      </c>
      <c r="BC46" s="7">
        <f t="shared" si="10"/>
        <v>0</v>
      </c>
    </row>
    <row r="47" spans="2:55" s="7" customFormat="1" ht="12.75" x14ac:dyDescent="0.2">
      <c r="B47" s="33"/>
      <c r="C47" s="31"/>
      <c r="D47" s="40"/>
      <c r="E47" s="6" t="str">
        <f>IF(F47=1,IF(ISERROR(TableCosts[[#This Row],[N_Tariff]]),Err_Message1,IF(TableCosts[[#This Row],[N_Tariff]]=0,Err_Message2,VLOOKUP(C47&amp;TableCosts[[#This Row],[Calc_N_Typ]],TRAN_STRITEMS_LABEL,5,FALSE))),"")</f>
        <v/>
      </c>
      <c r="F47" s="6">
        <f t="shared" si="12"/>
        <v>0</v>
      </c>
      <c r="G47" s="6" t="str">
        <f>IF(F47=1,IFERROR(VLOOKUP(E47,Tab_ErrMessage[],2,0),VLOOKUP(C47&amp;TableCosts[[#This Row],[Calc_N_Typ]],TRAN_STRITEMS_LABEL,4,FALSE)),"")</f>
        <v/>
      </c>
      <c r="H47" s="40"/>
      <c r="I47" s="40"/>
      <c r="J47" s="35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38">
        <f t="array" ref="AK47">IF(F47=1,SUM((ROW(M0)=ROW(AK47))*(M0+M1_+M2_+M3_+M4_+M5_+M6_+M7_+M8_+M9_+M10_+M11_+M12_+M13_+M14_+M15_+M16_+M17_+M18_+M19_+M20_+M21_+M22_+M23_+M24_+M25_)),0)</f>
        <v>0</v>
      </c>
      <c r="AL47" s="27">
        <f>TableCosts[[#This Row],[N_Direct]]</f>
        <v>0</v>
      </c>
      <c r="AN47" s="7" t="str">
        <f t="shared" si="2"/>
        <v/>
      </c>
      <c r="AO47" s="7" t="str">
        <f t="shared" si="13"/>
        <v/>
      </c>
      <c r="AP47" s="7" t="str">
        <f t="shared" si="3"/>
        <v/>
      </c>
      <c r="AQ47" s="7" t="str">
        <f t="shared" si="4"/>
        <v/>
      </c>
      <c r="AR47" s="7" t="str">
        <f t="shared" si="5"/>
        <v/>
      </c>
      <c r="AS47" s="7">
        <f t="shared" si="6"/>
        <v>0</v>
      </c>
      <c r="AT47" s="17">
        <f>TableCosts[[#This Row],[N_Amount]]*TableCosts[[#This Row],[N_Tariff]]*TableCosts[[#This Row],[N_ItemsCount]]</f>
        <v>0</v>
      </c>
      <c r="AU47" s="17">
        <f>IF(F47=1,IF(TableCosts[[#This Row],[N_Kateg]]="interné práce",TableCosts[[#This Row],[N_Amount]]*8*PAR_SGA_PERHOUR,0),0)</f>
        <v>0</v>
      </c>
      <c r="AV47" s="17">
        <f>SUM(TableCosts[[#This Row],[N_Direct]:[N_SGA]])</f>
        <v>0</v>
      </c>
      <c r="AW47" s="7">
        <f>IF(F47=1,IF(D47="",NA(),VLOOKUP(C47&amp;TableCosts[[#This Row],[Calc_N_Typ]],TRAN_STRITEMS_LABEL,7,0)),0)</f>
        <v>0</v>
      </c>
      <c r="AX47" s="7">
        <f t="shared" si="7"/>
        <v>0</v>
      </c>
      <c r="AY47" s="57" t="str">
        <f t="shared" si="14"/>
        <v/>
      </c>
      <c r="AZ47" s="57" t="str">
        <f t="shared" si="8"/>
        <v/>
      </c>
      <c r="BA47" s="57" t="str">
        <f>IF(F47=1,IF(TableCosts[[#This Row],[TransferFrom]]=TableCosts[[#This Row],[TranferTo]],0,1),"")</f>
        <v/>
      </c>
      <c r="BB47" s="7">
        <f t="shared" si="9"/>
        <v>0</v>
      </c>
      <c r="BC47" s="7">
        <f t="shared" si="10"/>
        <v>0</v>
      </c>
    </row>
    <row r="48" spans="2:55" s="7" customFormat="1" ht="12.75" x14ac:dyDescent="0.2">
      <c r="B48" s="33"/>
      <c r="C48" s="31"/>
      <c r="D48" s="40"/>
      <c r="E48" s="6" t="str">
        <f>IF(F48=1,IF(ISERROR(TableCosts[[#This Row],[N_Tariff]]),Err_Message1,IF(TableCosts[[#This Row],[N_Tariff]]=0,Err_Message2,VLOOKUP(C48&amp;TableCosts[[#This Row],[Calc_N_Typ]],TRAN_STRITEMS_LABEL,5,FALSE))),"")</f>
        <v/>
      </c>
      <c r="F48" s="6">
        <f t="shared" si="12"/>
        <v>0</v>
      </c>
      <c r="G48" s="6" t="str">
        <f>IF(F48=1,IFERROR(VLOOKUP(E48,Tab_ErrMessage[],2,0),VLOOKUP(C48&amp;TableCosts[[#This Row],[Calc_N_Typ]],TRAN_STRITEMS_LABEL,4,FALSE)),"")</f>
        <v/>
      </c>
      <c r="H48" s="40"/>
      <c r="I48" s="40"/>
      <c r="J48" s="35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38">
        <f t="array" ref="AK48">IF(F48=1,SUM((ROW(M0)=ROW(AK48))*(M0+M1_+M2_+M3_+M4_+M5_+M6_+M7_+M8_+M9_+M10_+M11_+M12_+M13_+M14_+M15_+M16_+M17_+M18_+M19_+M20_+M21_+M22_+M23_+M24_+M25_)),0)</f>
        <v>0</v>
      </c>
      <c r="AL48" s="27">
        <f>TableCosts[[#This Row],[N_Direct]]</f>
        <v>0</v>
      </c>
      <c r="AN48" s="7" t="str">
        <f t="shared" si="2"/>
        <v/>
      </c>
      <c r="AO48" s="7" t="str">
        <f t="shared" si="13"/>
        <v/>
      </c>
      <c r="AP48" s="7" t="str">
        <f t="shared" si="3"/>
        <v/>
      </c>
      <c r="AQ48" s="7" t="str">
        <f t="shared" si="4"/>
        <v/>
      </c>
      <c r="AR48" s="7" t="str">
        <f t="shared" si="5"/>
        <v/>
      </c>
      <c r="AS48" s="7">
        <f t="shared" si="6"/>
        <v>0</v>
      </c>
      <c r="AT48" s="17">
        <f>TableCosts[[#This Row],[N_Amount]]*TableCosts[[#This Row],[N_Tariff]]*TableCosts[[#This Row],[N_ItemsCount]]</f>
        <v>0</v>
      </c>
      <c r="AU48" s="17">
        <f>IF(F48=1,IF(TableCosts[[#This Row],[N_Kateg]]="interné práce",TableCosts[[#This Row],[N_Amount]]*8*PAR_SGA_PERHOUR,0),0)</f>
        <v>0</v>
      </c>
      <c r="AV48" s="17">
        <f>SUM(TableCosts[[#This Row],[N_Direct]:[N_SGA]])</f>
        <v>0</v>
      </c>
      <c r="AW48" s="7">
        <f>IF(F48=1,IF(D48="",NA(),VLOOKUP(C48&amp;TableCosts[[#This Row],[Calc_N_Typ]],TRAN_STRITEMS_LABEL,7,0)),0)</f>
        <v>0</v>
      </c>
      <c r="AX48" s="7">
        <f t="shared" si="7"/>
        <v>0</v>
      </c>
      <c r="AY48" s="57" t="str">
        <f t="shared" si="14"/>
        <v/>
      </c>
      <c r="AZ48" s="57" t="str">
        <f t="shared" si="8"/>
        <v/>
      </c>
      <c r="BA48" s="57" t="str">
        <f>IF(F48=1,IF(TableCosts[[#This Row],[TransferFrom]]=TableCosts[[#This Row],[TranferTo]],0,1),"")</f>
        <v/>
      </c>
      <c r="BB48" s="7">
        <f t="shared" si="9"/>
        <v>0</v>
      </c>
      <c r="BC48" s="7">
        <f t="shared" si="10"/>
        <v>0</v>
      </c>
    </row>
    <row r="49" spans="2:55" s="7" customFormat="1" ht="12.75" x14ac:dyDescent="0.2">
      <c r="B49" s="33"/>
      <c r="C49" s="31"/>
      <c r="D49" s="40"/>
      <c r="E49" s="6" t="str">
        <f>IF(F49=1,IF(ISERROR(TableCosts[[#This Row],[N_Tariff]]),Err_Message1,IF(TableCosts[[#This Row],[N_Tariff]]=0,Err_Message2,VLOOKUP(C49&amp;TableCosts[[#This Row],[Calc_N_Typ]],TRAN_STRITEMS_LABEL,5,FALSE))),"")</f>
        <v/>
      </c>
      <c r="F49" s="6">
        <f t="shared" si="12"/>
        <v>0</v>
      </c>
      <c r="G49" s="6" t="str">
        <f>IF(F49=1,IFERROR(VLOOKUP(E49,Tab_ErrMessage[],2,0),VLOOKUP(C49&amp;TableCosts[[#This Row],[Calc_N_Typ]],TRAN_STRITEMS_LABEL,4,FALSE)),"")</f>
        <v/>
      </c>
      <c r="H49" s="40"/>
      <c r="I49" s="40"/>
      <c r="J49" s="35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38">
        <f t="array" ref="AK49">IF(F49=1,SUM((ROW(M0)=ROW(AK49))*(M0+M1_+M2_+M3_+M4_+M5_+M6_+M7_+M8_+M9_+M10_+M11_+M12_+M13_+M14_+M15_+M16_+M17_+M18_+M19_+M20_+M21_+M22_+M23_+M24_+M25_)),0)</f>
        <v>0</v>
      </c>
      <c r="AL49" s="27">
        <f>TableCosts[[#This Row],[N_Direct]]</f>
        <v>0</v>
      </c>
      <c r="AN49" s="7" t="str">
        <f t="shared" si="2"/>
        <v/>
      </c>
      <c r="AO49" s="7" t="str">
        <f t="shared" si="13"/>
        <v/>
      </c>
      <c r="AP49" s="7" t="str">
        <f t="shared" si="3"/>
        <v/>
      </c>
      <c r="AQ49" s="7" t="str">
        <f t="shared" si="4"/>
        <v/>
      </c>
      <c r="AR49" s="7" t="str">
        <f t="shared" si="5"/>
        <v/>
      </c>
      <c r="AS49" s="7">
        <f t="shared" si="6"/>
        <v>0</v>
      </c>
      <c r="AT49" s="17">
        <f>TableCosts[[#This Row],[N_Amount]]*TableCosts[[#This Row],[N_Tariff]]*TableCosts[[#This Row],[N_ItemsCount]]</f>
        <v>0</v>
      </c>
      <c r="AU49" s="17">
        <f>IF(F49=1,IF(TableCosts[[#This Row],[N_Kateg]]="interné práce",TableCosts[[#This Row],[N_Amount]]*8*PAR_SGA_PERHOUR,0),0)</f>
        <v>0</v>
      </c>
      <c r="AV49" s="17">
        <f>SUM(TableCosts[[#This Row],[N_Direct]:[N_SGA]])</f>
        <v>0</v>
      </c>
      <c r="AW49" s="7">
        <f>IF(F49=1,IF(D49="",NA(),VLOOKUP(C49&amp;TableCosts[[#This Row],[Calc_N_Typ]],TRAN_STRITEMS_LABEL,7,0)),0)</f>
        <v>0</v>
      </c>
      <c r="AX49" s="7">
        <f t="shared" si="7"/>
        <v>0</v>
      </c>
      <c r="AY49" s="57" t="str">
        <f t="shared" si="14"/>
        <v/>
      </c>
      <c r="AZ49" s="57" t="str">
        <f t="shared" si="8"/>
        <v/>
      </c>
      <c r="BA49" s="57" t="str">
        <f>IF(F49=1,IF(TableCosts[[#This Row],[TransferFrom]]=TableCosts[[#This Row],[TranferTo]],0,1),"")</f>
        <v/>
      </c>
      <c r="BB49" s="7">
        <f t="shared" si="9"/>
        <v>0</v>
      </c>
      <c r="BC49" s="7">
        <f t="shared" si="10"/>
        <v>0</v>
      </c>
    </row>
    <row r="50" spans="2:55" s="7" customFormat="1" ht="12.75" x14ac:dyDescent="0.2">
      <c r="B50" s="33"/>
      <c r="C50" s="31"/>
      <c r="D50" s="40"/>
      <c r="E50" s="6" t="str">
        <f>IF(F50=1,IF(ISERROR(TableCosts[[#This Row],[N_Tariff]]),Err_Message1,IF(TableCosts[[#This Row],[N_Tariff]]=0,Err_Message2,VLOOKUP(C50&amp;TableCosts[[#This Row],[Calc_N_Typ]],TRAN_STRITEMS_LABEL,5,FALSE))),"")</f>
        <v/>
      </c>
      <c r="F50" s="6">
        <f t="shared" si="12"/>
        <v>0</v>
      </c>
      <c r="G50" s="6" t="str">
        <f>IF(F50=1,IFERROR(VLOOKUP(E50,Tab_ErrMessage[],2,0),VLOOKUP(C50&amp;TableCosts[[#This Row],[Calc_N_Typ]],TRAN_STRITEMS_LABEL,4,FALSE)),"")</f>
        <v/>
      </c>
      <c r="H50" s="40"/>
      <c r="I50" s="40"/>
      <c r="J50" s="35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38">
        <f t="array" ref="AK50">IF(F50=1,SUM((ROW(M0)=ROW(AK50))*(M0+M1_+M2_+M3_+M4_+M5_+M6_+M7_+M8_+M9_+M10_+M11_+M12_+M13_+M14_+M15_+M16_+M17_+M18_+M19_+M20_+M21_+M22_+M23_+M24_+M25_)),0)</f>
        <v>0</v>
      </c>
      <c r="AL50" s="27">
        <f>TableCosts[[#This Row],[N_Direct]]</f>
        <v>0</v>
      </c>
      <c r="AN50" s="7" t="str">
        <f t="shared" si="2"/>
        <v/>
      </c>
      <c r="AO50" s="7" t="str">
        <f t="shared" si="13"/>
        <v/>
      </c>
      <c r="AP50" s="7" t="str">
        <f t="shared" si="3"/>
        <v/>
      </c>
      <c r="AQ50" s="7" t="str">
        <f t="shared" si="4"/>
        <v/>
      </c>
      <c r="AR50" s="7" t="str">
        <f t="shared" si="5"/>
        <v/>
      </c>
      <c r="AS50" s="7">
        <f t="shared" si="6"/>
        <v>0</v>
      </c>
      <c r="AT50" s="17">
        <f>TableCosts[[#This Row],[N_Amount]]*TableCosts[[#This Row],[N_Tariff]]*TableCosts[[#This Row],[N_ItemsCount]]</f>
        <v>0</v>
      </c>
      <c r="AU50" s="17">
        <f>IF(F50=1,IF(TableCosts[[#This Row],[N_Kateg]]="interné práce",TableCosts[[#This Row],[N_Amount]]*8*PAR_SGA_PERHOUR,0),0)</f>
        <v>0</v>
      </c>
      <c r="AV50" s="17">
        <f>SUM(TableCosts[[#This Row],[N_Direct]:[N_SGA]])</f>
        <v>0</v>
      </c>
      <c r="AW50" s="7">
        <f>IF(F50=1,IF(D50="",NA(),VLOOKUP(C50&amp;TableCosts[[#This Row],[Calc_N_Typ]],TRAN_STRITEMS_LABEL,7,0)),0)</f>
        <v>0</v>
      </c>
      <c r="AX50" s="7">
        <f t="shared" si="7"/>
        <v>0</v>
      </c>
      <c r="AY50" s="57" t="str">
        <f t="shared" si="14"/>
        <v/>
      </c>
      <c r="AZ50" s="57" t="str">
        <f t="shared" si="8"/>
        <v/>
      </c>
      <c r="BA50" s="57" t="str">
        <f>IF(F50=1,IF(TableCosts[[#This Row],[TransferFrom]]=TableCosts[[#This Row],[TranferTo]],0,1),"")</f>
        <v/>
      </c>
      <c r="BB50" s="7">
        <f t="shared" si="9"/>
        <v>0</v>
      </c>
      <c r="BC50" s="7">
        <f t="shared" si="10"/>
        <v>0</v>
      </c>
    </row>
    <row r="51" spans="2:55" s="7" customFormat="1" ht="12.75" x14ac:dyDescent="0.2">
      <c r="B51" s="33"/>
      <c r="C51" s="31"/>
      <c r="D51" s="40"/>
      <c r="E51" s="6" t="str">
        <f>IF(F51=1,IF(ISERROR(TableCosts[[#This Row],[N_Tariff]]),Err_Message1,IF(TableCosts[[#This Row],[N_Tariff]]=0,Err_Message2,VLOOKUP(C51&amp;TableCosts[[#This Row],[Calc_N_Typ]],TRAN_STRITEMS_LABEL,5,FALSE))),"")</f>
        <v/>
      </c>
      <c r="F51" s="6">
        <f t="shared" si="12"/>
        <v>0</v>
      </c>
      <c r="G51" s="6" t="str">
        <f>IF(F51=1,IFERROR(VLOOKUP(E51,Tab_ErrMessage[],2,0),VLOOKUP(C51&amp;TableCosts[[#This Row],[Calc_N_Typ]],TRAN_STRITEMS_LABEL,4,FALSE)),"")</f>
        <v/>
      </c>
      <c r="H51" s="40"/>
      <c r="I51" s="40"/>
      <c r="J51" s="35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38">
        <f t="array" ref="AK51">IF(F51=1,SUM((ROW(M0)=ROW(AK51))*(M0+M1_+M2_+M3_+M4_+M5_+M6_+M7_+M8_+M9_+M10_+M11_+M12_+M13_+M14_+M15_+M16_+M17_+M18_+M19_+M20_+M21_+M22_+M23_+M24_+M25_)),0)</f>
        <v>0</v>
      </c>
      <c r="AL51" s="27">
        <f>TableCosts[[#This Row],[N_Direct]]</f>
        <v>0</v>
      </c>
      <c r="AN51" s="7" t="str">
        <f t="shared" si="2"/>
        <v/>
      </c>
      <c r="AO51" s="7" t="str">
        <f t="shared" si="13"/>
        <v/>
      </c>
      <c r="AP51" s="7" t="str">
        <f t="shared" si="3"/>
        <v/>
      </c>
      <c r="AQ51" s="7" t="str">
        <f t="shared" si="4"/>
        <v/>
      </c>
      <c r="AR51" s="7" t="str">
        <f t="shared" si="5"/>
        <v/>
      </c>
      <c r="AS51" s="7">
        <f t="shared" si="6"/>
        <v>0</v>
      </c>
      <c r="AT51" s="17">
        <f>TableCosts[[#This Row],[N_Amount]]*TableCosts[[#This Row],[N_Tariff]]*TableCosts[[#This Row],[N_ItemsCount]]</f>
        <v>0</v>
      </c>
      <c r="AU51" s="17">
        <f>IF(F51=1,IF(TableCosts[[#This Row],[N_Kateg]]="interné práce",TableCosts[[#This Row],[N_Amount]]*8*PAR_SGA_PERHOUR,0),0)</f>
        <v>0</v>
      </c>
      <c r="AV51" s="17">
        <f>SUM(TableCosts[[#This Row],[N_Direct]:[N_SGA]])</f>
        <v>0</v>
      </c>
      <c r="AW51" s="7">
        <f>IF(F51=1,IF(D51="",NA(),VLOOKUP(C51&amp;TableCosts[[#This Row],[Calc_N_Typ]],TRAN_STRITEMS_LABEL,7,0)),0)</f>
        <v>0</v>
      </c>
      <c r="AX51" s="7">
        <f t="shared" si="7"/>
        <v>0</v>
      </c>
      <c r="AY51" s="57" t="str">
        <f t="shared" si="14"/>
        <v/>
      </c>
      <c r="AZ51" s="57" t="str">
        <f t="shared" si="8"/>
        <v/>
      </c>
      <c r="BA51" s="57" t="str">
        <f>IF(F51=1,IF(TableCosts[[#This Row],[TransferFrom]]=TableCosts[[#This Row],[TranferTo]],0,1),"")</f>
        <v/>
      </c>
      <c r="BB51" s="7">
        <f t="shared" si="9"/>
        <v>0</v>
      </c>
      <c r="BC51" s="7">
        <f t="shared" si="10"/>
        <v>0</v>
      </c>
    </row>
    <row r="52" spans="2:55" s="7" customFormat="1" ht="12.75" x14ac:dyDescent="0.2">
      <c r="B52" s="33"/>
      <c r="C52" s="31"/>
      <c r="D52" s="40"/>
      <c r="E52" s="6" t="str">
        <f>IF(F52=1,IF(ISERROR(TableCosts[[#This Row],[N_Tariff]]),Err_Message1,IF(TableCosts[[#This Row],[N_Tariff]]=0,Err_Message2,VLOOKUP(C52&amp;TableCosts[[#This Row],[Calc_N_Typ]],TRAN_STRITEMS_LABEL,5,FALSE))),"")</f>
        <v/>
      </c>
      <c r="F52" s="6">
        <f t="shared" si="12"/>
        <v>0</v>
      </c>
      <c r="G52" s="6" t="str">
        <f>IF(F52=1,IFERROR(VLOOKUP(E52,Tab_ErrMessage[],2,0),VLOOKUP(C52&amp;TableCosts[[#This Row],[Calc_N_Typ]],TRAN_STRITEMS_LABEL,4,FALSE)),"")</f>
        <v/>
      </c>
      <c r="H52" s="40"/>
      <c r="I52" s="40"/>
      <c r="J52" s="35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38">
        <f t="array" ref="AK52">IF(F52=1,SUM((ROW(M0)=ROW(AK52))*(M0+M1_+M2_+M3_+M4_+M5_+M6_+M7_+M8_+M9_+M10_+M11_+M12_+M13_+M14_+M15_+M16_+M17_+M18_+M19_+M20_+M21_+M22_+M23_+M24_+M25_)),0)</f>
        <v>0</v>
      </c>
      <c r="AL52" s="27">
        <f>TableCosts[[#This Row],[N_Direct]]</f>
        <v>0</v>
      </c>
      <c r="AN52" s="7" t="str">
        <f t="shared" si="2"/>
        <v/>
      </c>
      <c r="AO52" s="7" t="str">
        <f t="shared" si="13"/>
        <v/>
      </c>
      <c r="AP52" s="7" t="str">
        <f t="shared" si="3"/>
        <v/>
      </c>
      <c r="AQ52" s="7" t="str">
        <f t="shared" si="4"/>
        <v/>
      </c>
      <c r="AR52" s="7" t="str">
        <f t="shared" si="5"/>
        <v/>
      </c>
      <c r="AS52" s="7">
        <f t="shared" si="6"/>
        <v>0</v>
      </c>
      <c r="AT52" s="17">
        <f>TableCosts[[#This Row],[N_Amount]]*TableCosts[[#This Row],[N_Tariff]]*TableCosts[[#This Row],[N_ItemsCount]]</f>
        <v>0</v>
      </c>
      <c r="AU52" s="17">
        <f>IF(F52=1,IF(TableCosts[[#This Row],[N_Kateg]]="interné práce",TableCosts[[#This Row],[N_Amount]]*8*PAR_SGA_PERHOUR,0),0)</f>
        <v>0</v>
      </c>
      <c r="AV52" s="17">
        <f>SUM(TableCosts[[#This Row],[N_Direct]:[N_SGA]])</f>
        <v>0</v>
      </c>
      <c r="AW52" s="7">
        <f>IF(F52=1,IF(D52="",NA(),VLOOKUP(C52&amp;TableCosts[[#This Row],[Calc_N_Typ]],TRAN_STRITEMS_LABEL,7,0)),0)</f>
        <v>0</v>
      </c>
      <c r="AX52" s="7">
        <f t="shared" si="7"/>
        <v>0</v>
      </c>
      <c r="AY52" s="57" t="str">
        <f t="shared" si="14"/>
        <v/>
      </c>
      <c r="AZ52" s="57" t="str">
        <f t="shared" si="8"/>
        <v/>
      </c>
      <c r="BA52" s="57" t="str">
        <f>IF(F52=1,IF(TableCosts[[#This Row],[TransferFrom]]=TableCosts[[#This Row],[TranferTo]],0,1),"")</f>
        <v/>
      </c>
      <c r="BB52" s="7">
        <f t="shared" si="9"/>
        <v>0</v>
      </c>
      <c r="BC52" s="7">
        <f t="shared" si="10"/>
        <v>0</v>
      </c>
    </row>
    <row r="53" spans="2:55" s="7" customFormat="1" ht="12.75" x14ac:dyDescent="0.2">
      <c r="B53" s="33"/>
      <c r="C53" s="31"/>
      <c r="D53" s="40"/>
      <c r="E53" s="6" t="str">
        <f>IF(F53=1,IF(ISERROR(TableCosts[[#This Row],[N_Tariff]]),Err_Message1,IF(TableCosts[[#This Row],[N_Tariff]]=0,Err_Message2,VLOOKUP(C53&amp;TableCosts[[#This Row],[Calc_N_Typ]],TRAN_STRITEMS_LABEL,5,FALSE))),"")</f>
        <v/>
      </c>
      <c r="F53" s="6">
        <f t="shared" si="12"/>
        <v>0</v>
      </c>
      <c r="G53" s="6" t="str">
        <f>IF(F53=1,IFERROR(VLOOKUP(E53,Tab_ErrMessage[],2,0),VLOOKUP(C53&amp;TableCosts[[#This Row],[Calc_N_Typ]],TRAN_STRITEMS_LABEL,4,FALSE)),"")</f>
        <v/>
      </c>
      <c r="H53" s="40"/>
      <c r="I53" s="40"/>
      <c r="J53" s="35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38">
        <f t="array" ref="AK53">IF(F53=1,SUM((ROW(M0)=ROW(AK53))*(M0+M1_+M2_+M3_+M4_+M5_+M6_+M7_+M8_+M9_+M10_+M11_+M12_+M13_+M14_+M15_+M16_+M17_+M18_+M19_+M20_+M21_+M22_+M23_+M24_+M25_)),0)</f>
        <v>0</v>
      </c>
      <c r="AL53" s="27">
        <f>TableCosts[[#This Row],[N_Direct]]</f>
        <v>0</v>
      </c>
      <c r="AN53" s="7" t="str">
        <f t="shared" si="2"/>
        <v/>
      </c>
      <c r="AO53" s="7" t="str">
        <f t="shared" si="13"/>
        <v/>
      </c>
      <c r="AP53" s="7" t="str">
        <f t="shared" si="3"/>
        <v/>
      </c>
      <c r="AQ53" s="7" t="str">
        <f t="shared" si="4"/>
        <v/>
      </c>
      <c r="AR53" s="7" t="str">
        <f t="shared" si="5"/>
        <v/>
      </c>
      <c r="AS53" s="7">
        <f t="shared" si="6"/>
        <v>0</v>
      </c>
      <c r="AT53" s="17">
        <f>TableCosts[[#This Row],[N_Amount]]*TableCosts[[#This Row],[N_Tariff]]*TableCosts[[#This Row],[N_ItemsCount]]</f>
        <v>0</v>
      </c>
      <c r="AU53" s="17">
        <f>IF(F53=1,IF(TableCosts[[#This Row],[N_Kateg]]="interné práce",TableCosts[[#This Row],[N_Amount]]*8*PAR_SGA_PERHOUR,0),0)</f>
        <v>0</v>
      </c>
      <c r="AV53" s="17">
        <f>SUM(TableCosts[[#This Row],[N_Direct]:[N_SGA]])</f>
        <v>0</v>
      </c>
      <c r="AW53" s="7">
        <f>IF(F53=1,IF(D53="",NA(),VLOOKUP(C53&amp;TableCosts[[#This Row],[Calc_N_Typ]],TRAN_STRITEMS_LABEL,7,0)),0)</f>
        <v>0</v>
      </c>
      <c r="AX53" s="7">
        <f t="shared" si="7"/>
        <v>0</v>
      </c>
      <c r="AY53" s="57" t="str">
        <f t="shared" si="14"/>
        <v/>
      </c>
      <c r="AZ53" s="57" t="str">
        <f t="shared" si="8"/>
        <v/>
      </c>
      <c r="BA53" s="57" t="str">
        <f>IF(F53=1,IF(TableCosts[[#This Row],[TransferFrom]]=TableCosts[[#This Row],[TranferTo]],0,1),"")</f>
        <v/>
      </c>
      <c r="BB53" s="7">
        <f t="shared" si="9"/>
        <v>0</v>
      </c>
      <c r="BC53" s="7">
        <f t="shared" si="10"/>
        <v>0</v>
      </c>
    </row>
    <row r="54" spans="2:55" s="7" customFormat="1" ht="12.75" x14ac:dyDescent="0.2">
      <c r="B54" s="33"/>
      <c r="C54" s="31"/>
      <c r="D54" s="40"/>
      <c r="E54" s="6" t="str">
        <f>IF(F54=1,IF(ISERROR(TableCosts[[#This Row],[N_Tariff]]),Err_Message1,IF(TableCosts[[#This Row],[N_Tariff]]=0,Err_Message2,VLOOKUP(C54&amp;TableCosts[[#This Row],[Calc_N_Typ]],TRAN_STRITEMS_LABEL,5,FALSE))),"")</f>
        <v/>
      </c>
      <c r="F54" s="6">
        <f t="shared" si="12"/>
        <v>0</v>
      </c>
      <c r="G54" s="6" t="str">
        <f>IF(F54=1,IFERROR(VLOOKUP(E54,Tab_ErrMessage[],2,0),VLOOKUP(C54&amp;TableCosts[[#This Row],[Calc_N_Typ]],TRAN_STRITEMS_LABEL,4,FALSE)),"")</f>
        <v/>
      </c>
      <c r="H54" s="40"/>
      <c r="I54" s="40"/>
      <c r="J54" s="35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38">
        <f t="array" ref="AK54">IF(F54=1,SUM((ROW(M0)=ROW(AK54))*(M0+M1_+M2_+M3_+M4_+M5_+M6_+M7_+M8_+M9_+M10_+M11_+M12_+M13_+M14_+M15_+M16_+M17_+M18_+M19_+M20_+M21_+M22_+M23_+M24_+M25_)),0)</f>
        <v>0</v>
      </c>
      <c r="AL54" s="27">
        <f>TableCosts[[#This Row],[N_Direct]]</f>
        <v>0</v>
      </c>
      <c r="AN54" s="7" t="str">
        <f t="shared" si="2"/>
        <v/>
      </c>
      <c r="AO54" s="7" t="str">
        <f t="shared" si="13"/>
        <v/>
      </c>
      <c r="AP54" s="7" t="str">
        <f t="shared" si="3"/>
        <v/>
      </c>
      <c r="AQ54" s="7" t="str">
        <f t="shared" si="4"/>
        <v/>
      </c>
      <c r="AR54" s="7" t="str">
        <f t="shared" si="5"/>
        <v/>
      </c>
      <c r="AS54" s="7">
        <f t="shared" si="6"/>
        <v>0</v>
      </c>
      <c r="AT54" s="17">
        <f>TableCosts[[#This Row],[N_Amount]]*TableCosts[[#This Row],[N_Tariff]]*TableCosts[[#This Row],[N_ItemsCount]]</f>
        <v>0</v>
      </c>
      <c r="AU54" s="17">
        <f>IF(F54=1,IF(TableCosts[[#This Row],[N_Kateg]]="interné práce",TableCosts[[#This Row],[N_Amount]]*8*PAR_SGA_PERHOUR,0),0)</f>
        <v>0</v>
      </c>
      <c r="AV54" s="17">
        <f>SUM(TableCosts[[#This Row],[N_Direct]:[N_SGA]])</f>
        <v>0</v>
      </c>
      <c r="AW54" s="7">
        <f>IF(F54=1,IF(D54="",NA(),VLOOKUP(C54&amp;TableCosts[[#This Row],[Calc_N_Typ]],TRAN_STRITEMS_LABEL,7,0)),0)</f>
        <v>0</v>
      </c>
      <c r="AX54" s="7">
        <f t="shared" si="7"/>
        <v>0</v>
      </c>
      <c r="AY54" s="57" t="str">
        <f t="shared" si="14"/>
        <v/>
      </c>
      <c r="AZ54" s="57" t="str">
        <f t="shared" si="8"/>
        <v/>
      </c>
      <c r="BA54" s="57" t="str">
        <f>IF(F54=1,IF(TableCosts[[#This Row],[TransferFrom]]=TableCosts[[#This Row],[TranferTo]],0,1),"")</f>
        <v/>
      </c>
      <c r="BB54" s="7">
        <f t="shared" si="9"/>
        <v>0</v>
      </c>
      <c r="BC54" s="7">
        <f t="shared" si="10"/>
        <v>0</v>
      </c>
    </row>
    <row r="55" spans="2:55" s="7" customFormat="1" ht="12.75" x14ac:dyDescent="0.2">
      <c r="B55" s="33"/>
      <c r="C55" s="31"/>
      <c r="D55" s="40"/>
      <c r="E55" s="6" t="str">
        <f>IF(F55=1,IF(ISERROR(TableCosts[[#This Row],[N_Tariff]]),Err_Message1,IF(TableCosts[[#This Row],[N_Tariff]]=0,Err_Message2,VLOOKUP(C55&amp;TableCosts[[#This Row],[Calc_N_Typ]],TRAN_STRITEMS_LABEL,5,FALSE))),"")</f>
        <v/>
      </c>
      <c r="F55" s="6">
        <f t="shared" si="12"/>
        <v>0</v>
      </c>
      <c r="G55" s="6" t="str">
        <f>IF(F55=1,IFERROR(VLOOKUP(E55,Tab_ErrMessage[],2,0),VLOOKUP(C55&amp;TableCosts[[#This Row],[Calc_N_Typ]],TRAN_STRITEMS_LABEL,4,FALSE)),"")</f>
        <v/>
      </c>
      <c r="H55" s="40"/>
      <c r="I55" s="40"/>
      <c r="J55" s="35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38">
        <f t="array" ref="AK55">IF(F55=1,SUM((ROW(M0)=ROW(AK55))*(M0+M1_+M2_+M3_+M4_+M5_+M6_+M7_+M8_+M9_+M10_+M11_+M12_+M13_+M14_+M15_+M16_+M17_+M18_+M19_+M20_+M21_+M22_+M23_+M24_+M25_)),0)</f>
        <v>0</v>
      </c>
      <c r="AL55" s="27">
        <f>TableCosts[[#This Row],[N_Direct]]</f>
        <v>0</v>
      </c>
      <c r="AN55" s="7" t="str">
        <f t="shared" si="2"/>
        <v/>
      </c>
      <c r="AO55" s="7" t="str">
        <f t="shared" si="13"/>
        <v/>
      </c>
      <c r="AP55" s="7" t="str">
        <f t="shared" si="3"/>
        <v/>
      </c>
      <c r="AQ55" s="7" t="str">
        <f t="shared" si="4"/>
        <v/>
      </c>
      <c r="AR55" s="7" t="str">
        <f t="shared" si="5"/>
        <v/>
      </c>
      <c r="AS55" s="7">
        <f t="shared" si="6"/>
        <v>0</v>
      </c>
      <c r="AT55" s="17">
        <f>TableCosts[[#This Row],[N_Amount]]*TableCosts[[#This Row],[N_Tariff]]*TableCosts[[#This Row],[N_ItemsCount]]</f>
        <v>0</v>
      </c>
      <c r="AU55" s="17">
        <f>IF(F55=1,IF(TableCosts[[#This Row],[N_Kateg]]="interné práce",TableCosts[[#This Row],[N_Amount]]*8*PAR_SGA_PERHOUR,0),0)</f>
        <v>0</v>
      </c>
      <c r="AV55" s="17">
        <f>SUM(TableCosts[[#This Row],[N_Direct]:[N_SGA]])</f>
        <v>0</v>
      </c>
      <c r="AW55" s="7">
        <f>IF(F55=1,IF(D55="",NA(),VLOOKUP(C55&amp;TableCosts[[#This Row],[Calc_N_Typ]],TRAN_STRITEMS_LABEL,7,0)),0)</f>
        <v>0</v>
      </c>
      <c r="AX55" s="7">
        <f t="shared" si="7"/>
        <v>0</v>
      </c>
      <c r="AY55" s="57" t="str">
        <f t="shared" si="14"/>
        <v/>
      </c>
      <c r="AZ55" s="57" t="str">
        <f t="shared" si="8"/>
        <v/>
      </c>
      <c r="BA55" s="57" t="str">
        <f>IF(F55=1,IF(TableCosts[[#This Row],[TransferFrom]]=TableCosts[[#This Row],[TranferTo]],0,1),"")</f>
        <v/>
      </c>
      <c r="BB55" s="7">
        <f t="shared" si="9"/>
        <v>0</v>
      </c>
      <c r="BC55" s="7">
        <f t="shared" si="10"/>
        <v>0</v>
      </c>
    </row>
    <row r="56" spans="2:55" s="7" customFormat="1" ht="12.75" x14ac:dyDescent="0.2">
      <c r="B56" s="33"/>
      <c r="C56" s="31"/>
      <c r="D56" s="40"/>
      <c r="E56" s="6" t="str">
        <f>IF(F56=1,IF(ISERROR(TableCosts[[#This Row],[N_Tariff]]),Err_Message1,IF(TableCosts[[#This Row],[N_Tariff]]=0,Err_Message2,VLOOKUP(C56&amp;TableCosts[[#This Row],[Calc_N_Typ]],TRAN_STRITEMS_LABEL,5,FALSE))),"")</f>
        <v/>
      </c>
      <c r="F56" s="6">
        <f t="shared" si="12"/>
        <v>0</v>
      </c>
      <c r="G56" s="6" t="str">
        <f>IF(F56=1,IFERROR(VLOOKUP(E56,Tab_ErrMessage[],2,0),VLOOKUP(C56&amp;TableCosts[[#This Row],[Calc_N_Typ]],TRAN_STRITEMS_LABEL,4,FALSE)),"")</f>
        <v/>
      </c>
      <c r="H56" s="40"/>
      <c r="I56" s="40"/>
      <c r="J56" s="35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38">
        <f t="array" ref="AK56">IF(F56=1,SUM((ROW(M0)=ROW(AK56))*(M0+M1_+M2_+M3_+M4_+M5_+M6_+M7_+M8_+M9_+M10_+M11_+M12_+M13_+M14_+M15_+M16_+M17_+M18_+M19_+M20_+M21_+M22_+M23_+M24_+M25_)),0)</f>
        <v>0</v>
      </c>
      <c r="AL56" s="27">
        <f>TableCosts[[#This Row],[N_Direct]]</f>
        <v>0</v>
      </c>
      <c r="AN56" s="7" t="str">
        <f t="shared" si="2"/>
        <v/>
      </c>
      <c r="AO56" s="7" t="str">
        <f t="shared" si="13"/>
        <v/>
      </c>
      <c r="AP56" s="7" t="str">
        <f t="shared" si="3"/>
        <v/>
      </c>
      <c r="AQ56" s="7" t="str">
        <f t="shared" si="4"/>
        <v/>
      </c>
      <c r="AR56" s="7" t="str">
        <f t="shared" si="5"/>
        <v/>
      </c>
      <c r="AS56" s="7">
        <f t="shared" si="6"/>
        <v>0</v>
      </c>
      <c r="AT56" s="17">
        <f>TableCosts[[#This Row],[N_Amount]]*TableCosts[[#This Row],[N_Tariff]]*TableCosts[[#This Row],[N_ItemsCount]]</f>
        <v>0</v>
      </c>
      <c r="AU56" s="17">
        <f>IF(F56=1,IF(TableCosts[[#This Row],[N_Kateg]]="interné práce",TableCosts[[#This Row],[N_Amount]]*8*PAR_SGA_PERHOUR,0),0)</f>
        <v>0</v>
      </c>
      <c r="AV56" s="17">
        <f>SUM(TableCosts[[#This Row],[N_Direct]:[N_SGA]])</f>
        <v>0</v>
      </c>
      <c r="AW56" s="7">
        <f>IF(F56=1,IF(D56="",NA(),VLOOKUP(C56&amp;TableCosts[[#This Row],[Calc_N_Typ]],TRAN_STRITEMS_LABEL,7,0)),0)</f>
        <v>0</v>
      </c>
      <c r="AX56" s="7">
        <f t="shared" si="7"/>
        <v>0</v>
      </c>
      <c r="AY56" s="57" t="str">
        <f t="shared" si="14"/>
        <v/>
      </c>
      <c r="AZ56" s="57" t="str">
        <f t="shared" si="8"/>
        <v/>
      </c>
      <c r="BA56" s="57" t="str">
        <f>IF(F56=1,IF(TableCosts[[#This Row],[TransferFrom]]=TableCosts[[#This Row],[TranferTo]],0,1),"")</f>
        <v/>
      </c>
      <c r="BB56" s="7">
        <f t="shared" si="9"/>
        <v>0</v>
      </c>
      <c r="BC56" s="7">
        <f t="shared" si="10"/>
        <v>0</v>
      </c>
    </row>
    <row r="57" spans="2:55" s="7" customFormat="1" ht="12.75" x14ac:dyDescent="0.2">
      <c r="B57" s="33"/>
      <c r="C57" s="31"/>
      <c r="D57" s="40"/>
      <c r="E57" s="6" t="str">
        <f>IF(F57=1,IF(ISERROR(TableCosts[[#This Row],[N_Tariff]]),Err_Message1,IF(TableCosts[[#This Row],[N_Tariff]]=0,Err_Message2,VLOOKUP(C57&amp;TableCosts[[#This Row],[Calc_N_Typ]],TRAN_STRITEMS_LABEL,5,FALSE))),"")</f>
        <v/>
      </c>
      <c r="F57" s="6">
        <f t="shared" si="12"/>
        <v>0</v>
      </c>
      <c r="G57" s="6" t="str">
        <f>IF(F57=1,IFERROR(VLOOKUP(E57,Tab_ErrMessage[],2,0),VLOOKUP(C57&amp;TableCosts[[#This Row],[Calc_N_Typ]],TRAN_STRITEMS_LABEL,4,FALSE)),"")</f>
        <v/>
      </c>
      <c r="H57" s="40"/>
      <c r="I57" s="40"/>
      <c r="J57" s="35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38">
        <f t="array" ref="AK57">IF(F57=1,SUM((ROW(M0)=ROW(AK57))*(M0+M1_+M2_+M3_+M4_+M5_+M6_+M7_+M8_+M9_+M10_+M11_+M12_+M13_+M14_+M15_+M16_+M17_+M18_+M19_+M20_+M21_+M22_+M23_+M24_+M25_)),0)</f>
        <v>0</v>
      </c>
      <c r="AL57" s="27">
        <f>TableCosts[[#This Row],[N_Direct]]</f>
        <v>0</v>
      </c>
      <c r="AN57" s="7" t="str">
        <f t="shared" si="2"/>
        <v/>
      </c>
      <c r="AO57" s="7" t="str">
        <f t="shared" si="13"/>
        <v/>
      </c>
      <c r="AP57" s="7" t="str">
        <f t="shared" si="3"/>
        <v/>
      </c>
      <c r="AQ57" s="7" t="str">
        <f t="shared" si="4"/>
        <v/>
      </c>
      <c r="AR57" s="7" t="str">
        <f t="shared" si="5"/>
        <v/>
      </c>
      <c r="AS57" s="7">
        <f t="shared" si="6"/>
        <v>0</v>
      </c>
      <c r="AT57" s="17">
        <f>TableCosts[[#This Row],[N_Amount]]*TableCosts[[#This Row],[N_Tariff]]*TableCosts[[#This Row],[N_ItemsCount]]</f>
        <v>0</v>
      </c>
      <c r="AU57" s="17">
        <f>IF(F57=1,IF(TableCosts[[#This Row],[N_Kateg]]="interné práce",TableCosts[[#This Row],[N_Amount]]*8*PAR_SGA_PERHOUR,0),0)</f>
        <v>0</v>
      </c>
      <c r="AV57" s="17">
        <f>SUM(TableCosts[[#This Row],[N_Direct]:[N_SGA]])</f>
        <v>0</v>
      </c>
      <c r="AW57" s="7">
        <f>IF(F57=1,IF(D57="",NA(),VLOOKUP(C57&amp;TableCosts[[#This Row],[Calc_N_Typ]],TRAN_STRITEMS_LABEL,7,0)),0)</f>
        <v>0</v>
      </c>
      <c r="AX57" s="7">
        <f t="shared" si="7"/>
        <v>0</v>
      </c>
      <c r="AY57" s="57" t="str">
        <f t="shared" si="14"/>
        <v/>
      </c>
      <c r="AZ57" s="57" t="str">
        <f t="shared" si="8"/>
        <v/>
      </c>
      <c r="BA57" s="57" t="str">
        <f>IF(F57=1,IF(TableCosts[[#This Row],[TransferFrom]]=TableCosts[[#This Row],[TranferTo]],0,1),"")</f>
        <v/>
      </c>
      <c r="BB57" s="7">
        <f t="shared" si="9"/>
        <v>0</v>
      </c>
      <c r="BC57" s="7">
        <f t="shared" si="10"/>
        <v>0</v>
      </c>
    </row>
    <row r="58" spans="2:55" s="7" customFormat="1" ht="12.75" x14ac:dyDescent="0.2">
      <c r="B58" s="33"/>
      <c r="C58" s="31"/>
      <c r="D58" s="40"/>
      <c r="E58" s="6" t="str">
        <f>IF(F58=1,IF(ISERROR(TableCosts[[#This Row],[N_Tariff]]),Err_Message1,IF(TableCosts[[#This Row],[N_Tariff]]=0,Err_Message2,VLOOKUP(C58&amp;TableCosts[[#This Row],[Calc_N_Typ]],TRAN_STRITEMS_LABEL,5,FALSE))),"")</f>
        <v/>
      </c>
      <c r="F58" s="6">
        <f t="shared" si="12"/>
        <v>0</v>
      </c>
      <c r="G58" s="6" t="str">
        <f>IF(F58=1,IFERROR(VLOOKUP(E58,Tab_ErrMessage[],2,0),VLOOKUP(C58&amp;TableCosts[[#This Row],[Calc_N_Typ]],TRAN_STRITEMS_LABEL,4,FALSE)),"")</f>
        <v/>
      </c>
      <c r="H58" s="40"/>
      <c r="I58" s="40"/>
      <c r="J58" s="35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38">
        <f t="array" ref="AK58">IF(F58=1,SUM((ROW(M0)=ROW(AK58))*(M0+M1_+M2_+M3_+M4_+M5_+M6_+M7_+M8_+M9_+M10_+M11_+M12_+M13_+M14_+M15_+M16_+M17_+M18_+M19_+M20_+M21_+M22_+M23_+M24_+M25_)),0)</f>
        <v>0</v>
      </c>
      <c r="AL58" s="27">
        <f>TableCosts[[#This Row],[N_Direct]]</f>
        <v>0</v>
      </c>
      <c r="AN58" s="7" t="str">
        <f t="shared" si="2"/>
        <v/>
      </c>
      <c r="AO58" s="7" t="str">
        <f t="shared" si="13"/>
        <v/>
      </c>
      <c r="AP58" s="7" t="str">
        <f t="shared" si="3"/>
        <v/>
      </c>
      <c r="AQ58" s="7" t="str">
        <f t="shared" si="4"/>
        <v/>
      </c>
      <c r="AR58" s="7" t="str">
        <f t="shared" si="5"/>
        <v/>
      </c>
      <c r="AS58" s="7">
        <f t="shared" si="6"/>
        <v>0</v>
      </c>
      <c r="AT58" s="17">
        <f>TableCosts[[#This Row],[N_Amount]]*TableCosts[[#This Row],[N_Tariff]]*TableCosts[[#This Row],[N_ItemsCount]]</f>
        <v>0</v>
      </c>
      <c r="AU58" s="17">
        <f>IF(F58=1,IF(TableCosts[[#This Row],[N_Kateg]]="interné práce",TableCosts[[#This Row],[N_Amount]]*8*PAR_SGA_PERHOUR,0),0)</f>
        <v>0</v>
      </c>
      <c r="AV58" s="17">
        <f>SUM(TableCosts[[#This Row],[N_Direct]:[N_SGA]])</f>
        <v>0</v>
      </c>
      <c r="AW58" s="7">
        <f>IF(F58=1,IF(D58="",NA(),VLOOKUP(C58&amp;TableCosts[[#This Row],[Calc_N_Typ]],TRAN_STRITEMS_LABEL,7,0)),0)</f>
        <v>0</v>
      </c>
      <c r="AX58" s="7">
        <f t="shared" si="7"/>
        <v>0</v>
      </c>
      <c r="AY58" s="57" t="str">
        <f t="shared" si="14"/>
        <v/>
      </c>
      <c r="AZ58" s="57" t="str">
        <f t="shared" si="8"/>
        <v/>
      </c>
      <c r="BA58" s="57" t="str">
        <f>IF(F58=1,IF(TableCosts[[#This Row],[TransferFrom]]=TableCosts[[#This Row],[TranferTo]],0,1),"")</f>
        <v/>
      </c>
      <c r="BB58" s="7">
        <f t="shared" si="9"/>
        <v>0</v>
      </c>
      <c r="BC58" s="7">
        <f t="shared" si="10"/>
        <v>0</v>
      </c>
    </row>
    <row r="59" spans="2:55" s="7" customFormat="1" ht="12.75" x14ac:dyDescent="0.2">
      <c r="B59" s="33"/>
      <c r="C59" s="31"/>
      <c r="D59" s="40"/>
      <c r="E59" s="6" t="str">
        <f>IF(F59=1,IF(ISERROR(TableCosts[[#This Row],[N_Tariff]]),Err_Message1,IF(TableCosts[[#This Row],[N_Tariff]]=0,Err_Message2,VLOOKUP(C59&amp;TableCosts[[#This Row],[Calc_N_Typ]],TRAN_STRITEMS_LABEL,5,FALSE))),"")</f>
        <v/>
      </c>
      <c r="F59" s="6">
        <f t="shared" si="12"/>
        <v>0</v>
      </c>
      <c r="G59" s="6" t="str">
        <f>IF(F59=1,IFERROR(VLOOKUP(E59,Tab_ErrMessage[],2,0),VLOOKUP(C59&amp;TableCosts[[#This Row],[Calc_N_Typ]],TRAN_STRITEMS_LABEL,4,FALSE)),"")</f>
        <v/>
      </c>
      <c r="H59" s="40"/>
      <c r="I59" s="40"/>
      <c r="J59" s="35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38">
        <f t="array" ref="AK59">IF(F59=1,SUM((ROW(M0)=ROW(AK59))*(M0+M1_+M2_+M3_+M4_+M5_+M6_+M7_+M8_+M9_+M10_+M11_+M12_+M13_+M14_+M15_+M16_+M17_+M18_+M19_+M20_+M21_+M22_+M23_+M24_+M25_)),0)</f>
        <v>0</v>
      </c>
      <c r="AL59" s="27">
        <f>TableCosts[[#This Row],[N_Direct]]</f>
        <v>0</v>
      </c>
      <c r="AN59" s="7" t="str">
        <f t="shared" si="2"/>
        <v/>
      </c>
      <c r="AO59" s="7" t="str">
        <f t="shared" si="13"/>
        <v/>
      </c>
      <c r="AP59" s="7" t="str">
        <f t="shared" si="3"/>
        <v/>
      </c>
      <c r="AQ59" s="7" t="str">
        <f t="shared" si="4"/>
        <v/>
      </c>
      <c r="AR59" s="7" t="str">
        <f t="shared" si="5"/>
        <v/>
      </c>
      <c r="AS59" s="7">
        <f t="shared" si="6"/>
        <v>0</v>
      </c>
      <c r="AT59" s="17">
        <f>TableCosts[[#This Row],[N_Amount]]*TableCosts[[#This Row],[N_Tariff]]*TableCosts[[#This Row],[N_ItemsCount]]</f>
        <v>0</v>
      </c>
      <c r="AU59" s="17">
        <f>IF(F59=1,IF(TableCosts[[#This Row],[N_Kateg]]="interné práce",TableCosts[[#This Row],[N_Amount]]*8*PAR_SGA_PERHOUR,0),0)</f>
        <v>0</v>
      </c>
      <c r="AV59" s="17">
        <f>SUM(TableCosts[[#This Row],[N_Direct]:[N_SGA]])</f>
        <v>0</v>
      </c>
      <c r="AW59" s="7">
        <f>IF(F59=1,IF(D59="",NA(),VLOOKUP(C59&amp;TableCosts[[#This Row],[Calc_N_Typ]],TRAN_STRITEMS_LABEL,7,0)),0)</f>
        <v>0</v>
      </c>
      <c r="AX59" s="7">
        <f t="shared" si="7"/>
        <v>0</v>
      </c>
      <c r="AY59" s="57" t="str">
        <f t="shared" si="14"/>
        <v/>
      </c>
      <c r="AZ59" s="57" t="str">
        <f t="shared" si="8"/>
        <v/>
      </c>
      <c r="BA59" s="57" t="str">
        <f>IF(F59=1,IF(TableCosts[[#This Row],[TransferFrom]]=TableCosts[[#This Row],[TranferTo]],0,1),"")</f>
        <v/>
      </c>
      <c r="BB59" s="7">
        <f t="shared" si="9"/>
        <v>0</v>
      </c>
      <c r="BC59" s="7">
        <f t="shared" si="10"/>
        <v>0</v>
      </c>
    </row>
    <row r="60" spans="2:55" s="7" customFormat="1" ht="12.75" x14ac:dyDescent="0.2">
      <c r="B60" s="33"/>
      <c r="C60" s="31"/>
      <c r="D60" s="40"/>
      <c r="E60" s="6" t="str">
        <f>IF(F60=1,IF(ISERROR(TableCosts[[#This Row],[N_Tariff]]),Err_Message1,IF(TableCosts[[#This Row],[N_Tariff]]=0,Err_Message2,VLOOKUP(C60&amp;TableCosts[[#This Row],[Calc_N_Typ]],TRAN_STRITEMS_LABEL,5,FALSE))),"")</f>
        <v/>
      </c>
      <c r="F60" s="6">
        <f t="shared" si="12"/>
        <v>0</v>
      </c>
      <c r="G60" s="6" t="str">
        <f>IF(F60=1,IFERROR(VLOOKUP(E60,Tab_ErrMessage[],2,0),VLOOKUP(C60&amp;TableCosts[[#This Row],[Calc_N_Typ]],TRAN_STRITEMS_LABEL,4,FALSE)),"")</f>
        <v/>
      </c>
      <c r="H60" s="40"/>
      <c r="I60" s="40"/>
      <c r="J60" s="35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38">
        <f t="array" ref="AK60">IF(F60=1,SUM((ROW(M0)=ROW(AK60))*(M0+M1_+M2_+M3_+M4_+M5_+M6_+M7_+M8_+M9_+M10_+M11_+M12_+M13_+M14_+M15_+M16_+M17_+M18_+M19_+M20_+M21_+M22_+M23_+M24_+M25_)),0)</f>
        <v>0</v>
      </c>
      <c r="AL60" s="27">
        <f>TableCosts[[#This Row],[N_Direct]]</f>
        <v>0</v>
      </c>
      <c r="AN60" s="7" t="str">
        <f t="shared" si="2"/>
        <v/>
      </c>
      <c r="AO60" s="7" t="str">
        <f t="shared" si="13"/>
        <v/>
      </c>
      <c r="AP60" s="7" t="str">
        <f t="shared" si="3"/>
        <v/>
      </c>
      <c r="AQ60" s="7" t="str">
        <f t="shared" si="4"/>
        <v/>
      </c>
      <c r="AR60" s="7" t="str">
        <f t="shared" si="5"/>
        <v/>
      </c>
      <c r="AS60" s="7">
        <f t="shared" si="6"/>
        <v>0</v>
      </c>
      <c r="AT60" s="17">
        <f>TableCosts[[#This Row],[N_Amount]]*TableCosts[[#This Row],[N_Tariff]]*TableCosts[[#This Row],[N_ItemsCount]]</f>
        <v>0</v>
      </c>
      <c r="AU60" s="17">
        <f>IF(F60=1,IF(TableCosts[[#This Row],[N_Kateg]]="interné práce",TableCosts[[#This Row],[N_Amount]]*8*PAR_SGA_PERHOUR,0),0)</f>
        <v>0</v>
      </c>
      <c r="AV60" s="17">
        <f>SUM(TableCosts[[#This Row],[N_Direct]:[N_SGA]])</f>
        <v>0</v>
      </c>
      <c r="AW60" s="7">
        <f>IF(F60=1,IF(D60="",NA(),VLOOKUP(C60&amp;TableCosts[[#This Row],[Calc_N_Typ]],TRAN_STRITEMS_LABEL,7,0)),0)</f>
        <v>0</v>
      </c>
      <c r="AX60" s="7">
        <f t="shared" si="7"/>
        <v>0</v>
      </c>
      <c r="AY60" s="57" t="str">
        <f t="shared" si="14"/>
        <v/>
      </c>
      <c r="AZ60" s="57" t="str">
        <f t="shared" si="8"/>
        <v/>
      </c>
      <c r="BA60" s="57" t="str">
        <f>IF(F60=1,IF(TableCosts[[#This Row],[TransferFrom]]=TableCosts[[#This Row],[TranferTo]],0,1),"")</f>
        <v/>
      </c>
      <c r="BB60" s="7">
        <f t="shared" si="9"/>
        <v>0</v>
      </c>
      <c r="BC60" s="7">
        <f t="shared" si="10"/>
        <v>0</v>
      </c>
    </row>
    <row r="61" spans="2:55" s="7" customFormat="1" ht="12.75" x14ac:dyDescent="0.2">
      <c r="B61" s="33"/>
      <c r="C61" s="31"/>
      <c r="D61" s="40"/>
      <c r="E61" s="6" t="str">
        <f>IF(F61=1,IF(ISERROR(TableCosts[[#This Row],[N_Tariff]]),Err_Message1,IF(TableCosts[[#This Row],[N_Tariff]]=0,Err_Message2,VLOOKUP(C61&amp;TableCosts[[#This Row],[Calc_N_Typ]],TRAN_STRITEMS_LABEL,5,FALSE))),"")</f>
        <v/>
      </c>
      <c r="F61" s="6">
        <f t="shared" si="12"/>
        <v>0</v>
      </c>
      <c r="G61" s="6" t="str">
        <f>IF(F61=1,IFERROR(VLOOKUP(E61,Tab_ErrMessage[],2,0),VLOOKUP(C61&amp;TableCosts[[#This Row],[Calc_N_Typ]],TRAN_STRITEMS_LABEL,4,FALSE)),"")</f>
        <v/>
      </c>
      <c r="H61" s="40"/>
      <c r="I61" s="40"/>
      <c r="J61" s="35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38">
        <f t="array" ref="AK61">IF(F61=1,SUM((ROW(M0)=ROW(AK61))*(M0+M1_+M2_+M3_+M4_+M5_+M6_+M7_+M8_+M9_+M10_+M11_+M12_+M13_+M14_+M15_+M16_+M17_+M18_+M19_+M20_+M21_+M22_+M23_+M24_+M25_)),0)</f>
        <v>0</v>
      </c>
      <c r="AL61" s="27">
        <f>TableCosts[[#This Row],[N_Direct]]</f>
        <v>0</v>
      </c>
      <c r="AN61" s="7" t="str">
        <f t="shared" si="2"/>
        <v/>
      </c>
      <c r="AO61" s="7" t="str">
        <f t="shared" si="13"/>
        <v/>
      </c>
      <c r="AP61" s="7" t="str">
        <f t="shared" si="3"/>
        <v/>
      </c>
      <c r="AQ61" s="7" t="str">
        <f t="shared" si="4"/>
        <v/>
      </c>
      <c r="AR61" s="7" t="str">
        <f t="shared" si="5"/>
        <v/>
      </c>
      <c r="AS61" s="7">
        <f t="shared" si="6"/>
        <v>0</v>
      </c>
      <c r="AT61" s="17">
        <f>TableCosts[[#This Row],[N_Amount]]*TableCosts[[#This Row],[N_Tariff]]*TableCosts[[#This Row],[N_ItemsCount]]</f>
        <v>0</v>
      </c>
      <c r="AU61" s="17">
        <f>IF(F61=1,IF(TableCosts[[#This Row],[N_Kateg]]="interné práce",TableCosts[[#This Row],[N_Amount]]*8*PAR_SGA_PERHOUR,0),0)</f>
        <v>0</v>
      </c>
      <c r="AV61" s="17">
        <f>SUM(TableCosts[[#This Row],[N_Direct]:[N_SGA]])</f>
        <v>0</v>
      </c>
      <c r="AW61" s="7">
        <f>IF(F61=1,IF(D61="",NA(),VLOOKUP(C61&amp;TableCosts[[#This Row],[Calc_N_Typ]],TRAN_STRITEMS_LABEL,7,0)),0)</f>
        <v>0</v>
      </c>
      <c r="AX61" s="7">
        <f t="shared" si="7"/>
        <v>0</v>
      </c>
      <c r="AY61" s="57" t="str">
        <f t="shared" si="14"/>
        <v/>
      </c>
      <c r="AZ61" s="57" t="str">
        <f t="shared" si="8"/>
        <v/>
      </c>
      <c r="BA61" s="57" t="str">
        <f>IF(F61=1,IF(TableCosts[[#This Row],[TransferFrom]]=TableCosts[[#This Row],[TranferTo]],0,1),"")</f>
        <v/>
      </c>
      <c r="BB61" s="7">
        <f t="shared" si="9"/>
        <v>0</v>
      </c>
      <c r="BC61" s="7">
        <f t="shared" si="10"/>
        <v>0</v>
      </c>
    </row>
    <row r="62" spans="2:55" s="7" customFormat="1" ht="12.75" x14ac:dyDescent="0.2">
      <c r="B62" s="33"/>
      <c r="C62" s="31"/>
      <c r="D62" s="40"/>
      <c r="E62" s="6" t="str">
        <f>IF(F62=1,IF(ISERROR(TableCosts[[#This Row],[N_Tariff]]),Err_Message1,IF(TableCosts[[#This Row],[N_Tariff]]=0,Err_Message2,VLOOKUP(C62&amp;TableCosts[[#This Row],[Calc_N_Typ]],TRAN_STRITEMS_LABEL,5,FALSE))),"")</f>
        <v/>
      </c>
      <c r="F62" s="6">
        <f t="shared" si="12"/>
        <v>0</v>
      </c>
      <c r="G62" s="6" t="str">
        <f>IF(F62=1,IFERROR(VLOOKUP(E62,Tab_ErrMessage[],2,0),VLOOKUP(C62&amp;TableCosts[[#This Row],[Calc_N_Typ]],TRAN_STRITEMS_LABEL,4,FALSE)),"")</f>
        <v/>
      </c>
      <c r="H62" s="40"/>
      <c r="I62" s="40"/>
      <c r="J62" s="35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38">
        <f t="array" ref="AK62">IF(F62=1,SUM((ROW(M0)=ROW(AK62))*(M0+M1_+M2_+M3_+M4_+M5_+M6_+M7_+M8_+M9_+M10_+M11_+M12_+M13_+M14_+M15_+M16_+M17_+M18_+M19_+M20_+M21_+M22_+M23_+M24_+M25_)),0)</f>
        <v>0</v>
      </c>
      <c r="AL62" s="27">
        <f>TableCosts[[#This Row],[N_Direct]]</f>
        <v>0</v>
      </c>
      <c r="AN62" s="7" t="str">
        <f t="shared" si="2"/>
        <v/>
      </c>
      <c r="AO62" s="7" t="str">
        <f t="shared" si="13"/>
        <v/>
      </c>
      <c r="AP62" s="7" t="str">
        <f t="shared" si="3"/>
        <v/>
      </c>
      <c r="AQ62" s="7" t="str">
        <f t="shared" si="4"/>
        <v/>
      </c>
      <c r="AR62" s="7" t="str">
        <f t="shared" si="5"/>
        <v/>
      </c>
      <c r="AS62" s="7">
        <f t="shared" si="6"/>
        <v>0</v>
      </c>
      <c r="AT62" s="17">
        <f>TableCosts[[#This Row],[N_Amount]]*TableCosts[[#This Row],[N_Tariff]]*TableCosts[[#This Row],[N_ItemsCount]]</f>
        <v>0</v>
      </c>
      <c r="AU62" s="17">
        <f>IF(F62=1,IF(TableCosts[[#This Row],[N_Kateg]]="interné práce",TableCosts[[#This Row],[N_Amount]]*8*PAR_SGA_PERHOUR,0),0)</f>
        <v>0</v>
      </c>
      <c r="AV62" s="17">
        <f>SUM(TableCosts[[#This Row],[N_Direct]:[N_SGA]])</f>
        <v>0</v>
      </c>
      <c r="AW62" s="7">
        <f>IF(F62=1,IF(D62="",NA(),VLOOKUP(C62&amp;TableCosts[[#This Row],[Calc_N_Typ]],TRAN_STRITEMS_LABEL,7,0)),0)</f>
        <v>0</v>
      </c>
      <c r="AX62" s="7">
        <f t="shared" si="7"/>
        <v>0</v>
      </c>
      <c r="AY62" s="57" t="str">
        <f t="shared" si="14"/>
        <v/>
      </c>
      <c r="AZ62" s="57" t="str">
        <f t="shared" si="8"/>
        <v/>
      </c>
      <c r="BA62" s="57" t="str">
        <f>IF(F62=1,IF(TableCosts[[#This Row],[TransferFrom]]=TableCosts[[#This Row],[TranferTo]],0,1),"")</f>
        <v/>
      </c>
      <c r="BB62" s="7">
        <f t="shared" si="9"/>
        <v>0</v>
      </c>
      <c r="BC62" s="7">
        <f t="shared" si="10"/>
        <v>0</v>
      </c>
    </row>
    <row r="63" spans="2:55" s="7" customFormat="1" ht="12.75" x14ac:dyDescent="0.2">
      <c r="B63" s="33"/>
      <c r="C63" s="31"/>
      <c r="D63" s="40"/>
      <c r="E63" s="6" t="str">
        <f>IF(F63=1,IF(ISERROR(TableCosts[[#This Row],[N_Tariff]]),Err_Message1,IF(TableCosts[[#This Row],[N_Tariff]]=0,Err_Message2,VLOOKUP(C63&amp;TableCosts[[#This Row],[Calc_N_Typ]],TRAN_STRITEMS_LABEL,5,FALSE))),"")</f>
        <v/>
      </c>
      <c r="F63" s="6">
        <f t="shared" si="12"/>
        <v>0</v>
      </c>
      <c r="G63" s="6" t="str">
        <f>IF(F63=1,IFERROR(VLOOKUP(E63,Tab_ErrMessage[],2,0),VLOOKUP(C63&amp;TableCosts[[#This Row],[Calc_N_Typ]],TRAN_STRITEMS_LABEL,4,FALSE)),"")</f>
        <v/>
      </c>
      <c r="H63" s="40"/>
      <c r="I63" s="40"/>
      <c r="J63" s="35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38">
        <f t="array" ref="AK63">IF(F63=1,SUM((ROW(M0)=ROW(AK63))*(M0+M1_+M2_+M3_+M4_+M5_+M6_+M7_+M8_+M9_+M10_+M11_+M12_+M13_+M14_+M15_+M16_+M17_+M18_+M19_+M20_+M21_+M22_+M23_+M24_+M25_)),0)</f>
        <v>0</v>
      </c>
      <c r="AL63" s="27">
        <f>TableCosts[[#This Row],[N_Direct]]</f>
        <v>0</v>
      </c>
      <c r="AN63" s="7" t="str">
        <f t="shared" si="2"/>
        <v/>
      </c>
      <c r="AO63" s="7" t="str">
        <f t="shared" si="13"/>
        <v/>
      </c>
      <c r="AP63" s="7" t="str">
        <f t="shared" si="3"/>
        <v/>
      </c>
      <c r="AQ63" s="7" t="str">
        <f t="shared" si="4"/>
        <v/>
      </c>
      <c r="AR63" s="7" t="str">
        <f t="shared" si="5"/>
        <v/>
      </c>
      <c r="AS63" s="7">
        <f t="shared" si="6"/>
        <v>0</v>
      </c>
      <c r="AT63" s="17">
        <f>TableCosts[[#This Row],[N_Amount]]*TableCosts[[#This Row],[N_Tariff]]*TableCosts[[#This Row],[N_ItemsCount]]</f>
        <v>0</v>
      </c>
      <c r="AU63" s="17">
        <f>IF(F63=1,IF(TableCosts[[#This Row],[N_Kateg]]="interné práce",TableCosts[[#This Row],[N_Amount]]*8*PAR_SGA_PERHOUR,0),0)</f>
        <v>0</v>
      </c>
      <c r="AV63" s="17">
        <f>SUM(TableCosts[[#This Row],[N_Direct]:[N_SGA]])</f>
        <v>0</v>
      </c>
      <c r="AW63" s="7">
        <f>IF(F63=1,IF(D63="",NA(),VLOOKUP(C63&amp;TableCosts[[#This Row],[Calc_N_Typ]],TRAN_STRITEMS_LABEL,7,0)),0)</f>
        <v>0</v>
      </c>
      <c r="AX63" s="7">
        <f t="shared" si="7"/>
        <v>0</v>
      </c>
      <c r="AY63" s="57" t="str">
        <f t="shared" si="14"/>
        <v/>
      </c>
      <c r="AZ63" s="57" t="str">
        <f t="shared" si="8"/>
        <v/>
      </c>
      <c r="BA63" s="57" t="str">
        <f>IF(F63=1,IF(TableCosts[[#This Row],[TransferFrom]]=TableCosts[[#This Row],[TranferTo]],0,1),"")</f>
        <v/>
      </c>
      <c r="BB63" s="7">
        <f t="shared" si="9"/>
        <v>0</v>
      </c>
      <c r="BC63" s="7">
        <f t="shared" si="10"/>
        <v>0</v>
      </c>
    </row>
    <row r="64" spans="2:55" s="7" customFormat="1" ht="12.75" x14ac:dyDescent="0.2">
      <c r="B64" s="33"/>
      <c r="C64" s="31"/>
      <c r="D64" s="40"/>
      <c r="E64" s="6" t="str">
        <f>IF(F64=1,IF(ISERROR(TableCosts[[#This Row],[N_Tariff]]),Err_Message1,IF(TableCosts[[#This Row],[N_Tariff]]=0,Err_Message2,VLOOKUP(C64&amp;TableCosts[[#This Row],[Calc_N_Typ]],TRAN_STRITEMS_LABEL,5,FALSE))),"")</f>
        <v/>
      </c>
      <c r="F64" s="6">
        <f t="shared" si="12"/>
        <v>0</v>
      </c>
      <c r="G64" s="6" t="str">
        <f>IF(F64=1,IFERROR(VLOOKUP(E64,Tab_ErrMessage[],2,0),VLOOKUP(C64&amp;TableCosts[[#This Row],[Calc_N_Typ]],TRAN_STRITEMS_LABEL,4,FALSE)),"")</f>
        <v/>
      </c>
      <c r="H64" s="40"/>
      <c r="I64" s="40"/>
      <c r="J64" s="35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38">
        <f t="array" ref="AK64">IF(F64=1,SUM((ROW(M0)=ROW(AK64))*(M0+M1_+M2_+M3_+M4_+M5_+M6_+M7_+M8_+M9_+M10_+M11_+M12_+M13_+M14_+M15_+M16_+M17_+M18_+M19_+M20_+M21_+M22_+M23_+M24_+M25_)),0)</f>
        <v>0</v>
      </c>
      <c r="AL64" s="27">
        <f>TableCosts[[#This Row],[N_Direct]]</f>
        <v>0</v>
      </c>
      <c r="AN64" s="7" t="str">
        <f t="shared" si="2"/>
        <v/>
      </c>
      <c r="AO64" s="7" t="str">
        <f t="shared" si="13"/>
        <v/>
      </c>
      <c r="AP64" s="7" t="str">
        <f t="shared" si="3"/>
        <v/>
      </c>
      <c r="AQ64" s="7" t="str">
        <f t="shared" si="4"/>
        <v/>
      </c>
      <c r="AR64" s="7" t="str">
        <f t="shared" si="5"/>
        <v/>
      </c>
      <c r="AS64" s="7">
        <f t="shared" si="6"/>
        <v>0</v>
      </c>
      <c r="AT64" s="17">
        <f>TableCosts[[#This Row],[N_Amount]]*TableCosts[[#This Row],[N_Tariff]]*TableCosts[[#This Row],[N_ItemsCount]]</f>
        <v>0</v>
      </c>
      <c r="AU64" s="17">
        <f>IF(F64=1,IF(TableCosts[[#This Row],[N_Kateg]]="interné práce",TableCosts[[#This Row],[N_Amount]]*8*PAR_SGA_PERHOUR,0),0)</f>
        <v>0</v>
      </c>
      <c r="AV64" s="17">
        <f>SUM(TableCosts[[#This Row],[N_Direct]:[N_SGA]])</f>
        <v>0</v>
      </c>
      <c r="AW64" s="7">
        <f>IF(F64=1,IF(D64="",NA(),VLOOKUP(C64&amp;TableCosts[[#This Row],[Calc_N_Typ]],TRAN_STRITEMS_LABEL,7,0)),0)</f>
        <v>0</v>
      </c>
      <c r="AX64" s="7">
        <f t="shared" si="7"/>
        <v>0</v>
      </c>
      <c r="AY64" s="57" t="str">
        <f t="shared" si="14"/>
        <v/>
      </c>
      <c r="AZ64" s="57" t="str">
        <f t="shared" si="8"/>
        <v/>
      </c>
      <c r="BA64" s="57" t="str">
        <f>IF(F64=1,IF(TableCosts[[#This Row],[TransferFrom]]=TableCosts[[#This Row],[TranferTo]],0,1),"")</f>
        <v/>
      </c>
      <c r="BB64" s="7">
        <f t="shared" si="9"/>
        <v>0</v>
      </c>
      <c r="BC64" s="7">
        <f t="shared" si="10"/>
        <v>0</v>
      </c>
    </row>
    <row r="65" spans="2:55" s="7" customFormat="1" ht="12.75" x14ac:dyDescent="0.2">
      <c r="B65" s="33"/>
      <c r="C65" s="31"/>
      <c r="D65" s="40"/>
      <c r="E65" s="6" t="str">
        <f>IF(F65=1,IF(ISERROR(TableCosts[[#This Row],[N_Tariff]]),Err_Message1,IF(TableCosts[[#This Row],[N_Tariff]]=0,Err_Message2,VLOOKUP(C65&amp;TableCosts[[#This Row],[Calc_N_Typ]],TRAN_STRITEMS_LABEL,5,FALSE))),"")</f>
        <v/>
      </c>
      <c r="F65" s="6">
        <f t="shared" si="12"/>
        <v>0</v>
      </c>
      <c r="G65" s="6" t="str">
        <f>IF(F65=1,IFERROR(VLOOKUP(E65,Tab_ErrMessage[],2,0),VLOOKUP(C65&amp;TableCosts[[#This Row],[Calc_N_Typ]],TRAN_STRITEMS_LABEL,4,FALSE)),"")</f>
        <v/>
      </c>
      <c r="H65" s="40"/>
      <c r="I65" s="40"/>
      <c r="J65" s="35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38">
        <f t="array" ref="AK65">IF(F65=1,SUM((ROW(M0)=ROW(AK65))*(M0+M1_+M2_+M3_+M4_+M5_+M6_+M7_+M8_+M9_+M10_+M11_+M12_+M13_+M14_+M15_+M16_+M17_+M18_+M19_+M20_+M21_+M22_+M23_+M24_+M25_)),0)</f>
        <v>0</v>
      </c>
      <c r="AL65" s="27">
        <f>TableCosts[[#This Row],[N_Direct]]</f>
        <v>0</v>
      </c>
      <c r="AN65" s="7" t="str">
        <f t="shared" si="2"/>
        <v/>
      </c>
      <c r="AO65" s="7" t="str">
        <f t="shared" si="13"/>
        <v/>
      </c>
      <c r="AP65" s="7" t="str">
        <f t="shared" si="3"/>
        <v/>
      </c>
      <c r="AQ65" s="7" t="str">
        <f t="shared" si="4"/>
        <v/>
      </c>
      <c r="AR65" s="7" t="str">
        <f t="shared" si="5"/>
        <v/>
      </c>
      <c r="AS65" s="7">
        <f t="shared" si="6"/>
        <v>0</v>
      </c>
      <c r="AT65" s="17">
        <f>TableCosts[[#This Row],[N_Amount]]*TableCosts[[#This Row],[N_Tariff]]*TableCosts[[#This Row],[N_ItemsCount]]</f>
        <v>0</v>
      </c>
      <c r="AU65" s="17">
        <f>IF(F65=1,IF(TableCosts[[#This Row],[N_Kateg]]="interné práce",TableCosts[[#This Row],[N_Amount]]*8*PAR_SGA_PERHOUR,0),0)</f>
        <v>0</v>
      </c>
      <c r="AV65" s="17">
        <f>SUM(TableCosts[[#This Row],[N_Direct]:[N_SGA]])</f>
        <v>0</v>
      </c>
      <c r="AW65" s="7">
        <f>IF(F65=1,IF(D65="",NA(),VLOOKUP(C65&amp;TableCosts[[#This Row],[Calc_N_Typ]],TRAN_STRITEMS_LABEL,7,0)),0)</f>
        <v>0</v>
      </c>
      <c r="AX65" s="7">
        <f t="shared" si="7"/>
        <v>0</v>
      </c>
      <c r="AY65" s="57" t="str">
        <f t="shared" si="14"/>
        <v/>
      </c>
      <c r="AZ65" s="57" t="str">
        <f t="shared" si="8"/>
        <v/>
      </c>
      <c r="BA65" s="57" t="str">
        <f>IF(F65=1,IF(TableCosts[[#This Row],[TransferFrom]]=TableCosts[[#This Row],[TranferTo]],0,1),"")</f>
        <v/>
      </c>
      <c r="BB65" s="7">
        <f t="shared" si="9"/>
        <v>0</v>
      </c>
      <c r="BC65" s="7">
        <f t="shared" si="10"/>
        <v>0</v>
      </c>
    </row>
    <row r="66" spans="2:55" s="7" customFormat="1" ht="12.75" x14ac:dyDescent="0.2">
      <c r="B66" s="33"/>
      <c r="C66" s="31"/>
      <c r="D66" s="40"/>
      <c r="E66" s="6" t="str">
        <f>IF(F66=1,IF(ISERROR(TableCosts[[#This Row],[N_Tariff]]),Err_Message1,IF(TableCosts[[#This Row],[N_Tariff]]=0,Err_Message2,VLOOKUP(C66&amp;TableCosts[[#This Row],[Calc_N_Typ]],TRAN_STRITEMS_LABEL,5,FALSE))),"")</f>
        <v/>
      </c>
      <c r="F66" s="6">
        <f t="shared" si="12"/>
        <v>0</v>
      </c>
      <c r="G66" s="6" t="str">
        <f>IF(F66=1,IFERROR(VLOOKUP(E66,Tab_ErrMessage[],2,0),VLOOKUP(C66&amp;TableCosts[[#This Row],[Calc_N_Typ]],TRAN_STRITEMS_LABEL,4,FALSE)),"")</f>
        <v/>
      </c>
      <c r="H66" s="40"/>
      <c r="I66" s="40"/>
      <c r="J66" s="35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38">
        <f t="array" ref="AK66">IF(F66=1,SUM((ROW(M0)=ROW(AK66))*(M0+M1_+M2_+M3_+M4_+M5_+M6_+M7_+M8_+M9_+M10_+M11_+M12_+M13_+M14_+M15_+M16_+M17_+M18_+M19_+M20_+M21_+M22_+M23_+M24_+M25_)),0)</f>
        <v>0</v>
      </c>
      <c r="AL66" s="27">
        <f>TableCosts[[#This Row],[N_Direct]]</f>
        <v>0</v>
      </c>
      <c r="AN66" s="7" t="str">
        <f t="shared" si="2"/>
        <v/>
      </c>
      <c r="AO66" s="7" t="str">
        <f t="shared" si="13"/>
        <v/>
      </c>
      <c r="AP66" s="7" t="str">
        <f t="shared" si="3"/>
        <v/>
      </c>
      <c r="AQ66" s="7" t="str">
        <f t="shared" si="4"/>
        <v/>
      </c>
      <c r="AR66" s="7" t="str">
        <f t="shared" si="5"/>
        <v/>
      </c>
      <c r="AS66" s="7">
        <f t="shared" si="6"/>
        <v>0</v>
      </c>
      <c r="AT66" s="17">
        <f>TableCosts[[#This Row],[N_Amount]]*TableCosts[[#This Row],[N_Tariff]]*TableCosts[[#This Row],[N_ItemsCount]]</f>
        <v>0</v>
      </c>
      <c r="AU66" s="17">
        <f>IF(F66=1,IF(TableCosts[[#This Row],[N_Kateg]]="interné práce",TableCosts[[#This Row],[N_Amount]]*8*PAR_SGA_PERHOUR,0),0)</f>
        <v>0</v>
      </c>
      <c r="AV66" s="17">
        <f>SUM(TableCosts[[#This Row],[N_Direct]:[N_SGA]])</f>
        <v>0</v>
      </c>
      <c r="AW66" s="7">
        <f>IF(F66=1,IF(D66="",NA(),VLOOKUP(C66&amp;TableCosts[[#This Row],[Calc_N_Typ]],TRAN_STRITEMS_LABEL,7,0)),0)</f>
        <v>0</v>
      </c>
      <c r="AX66" s="7">
        <f t="shared" si="7"/>
        <v>0</v>
      </c>
      <c r="AY66" s="57" t="str">
        <f t="shared" si="14"/>
        <v/>
      </c>
      <c r="AZ66" s="57" t="str">
        <f t="shared" si="8"/>
        <v/>
      </c>
      <c r="BA66" s="57" t="str">
        <f>IF(F66=1,IF(TableCosts[[#This Row],[TransferFrom]]=TableCosts[[#This Row],[TranferTo]],0,1),"")</f>
        <v/>
      </c>
      <c r="BB66" s="7">
        <f t="shared" si="9"/>
        <v>0</v>
      </c>
      <c r="BC66" s="7">
        <f t="shared" si="10"/>
        <v>0</v>
      </c>
    </row>
    <row r="67" spans="2:55" s="7" customFormat="1" ht="12.75" x14ac:dyDescent="0.2">
      <c r="B67" s="33"/>
      <c r="C67" s="31"/>
      <c r="D67" s="40"/>
      <c r="E67" s="6" t="str">
        <f>IF(F67=1,IF(ISERROR(TableCosts[[#This Row],[N_Tariff]]),Err_Message1,IF(TableCosts[[#This Row],[N_Tariff]]=0,Err_Message2,VLOOKUP(C67&amp;TableCosts[[#This Row],[Calc_N_Typ]],TRAN_STRITEMS_LABEL,5,FALSE))),"")</f>
        <v/>
      </c>
      <c r="F67" s="6">
        <f t="shared" si="12"/>
        <v>0</v>
      </c>
      <c r="G67" s="6" t="str">
        <f>IF(F67=1,IFERROR(VLOOKUP(E67,Tab_ErrMessage[],2,0),VLOOKUP(C67&amp;TableCosts[[#This Row],[Calc_N_Typ]],TRAN_STRITEMS_LABEL,4,FALSE)),"")</f>
        <v/>
      </c>
      <c r="H67" s="40"/>
      <c r="I67" s="40"/>
      <c r="J67" s="35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K67" s="38">
        <f t="array" ref="AK67">IF(F67=1,SUM((ROW(M0)=ROW(AK67))*(M0+M1_+M2_+M3_+M4_+M5_+M6_+M7_+M8_+M9_+M10_+M11_+M12_+M13_+M14_+M15_+M16_+M17_+M18_+M19_+M20_+M21_+M22_+M23_+M24_+M25_)),0)</f>
        <v>0</v>
      </c>
      <c r="AL67" s="27">
        <f>TableCosts[[#This Row],[N_Direct]]</f>
        <v>0</v>
      </c>
      <c r="AN67" s="7" t="str">
        <f t="shared" si="2"/>
        <v/>
      </c>
      <c r="AO67" s="7" t="str">
        <f t="shared" si="13"/>
        <v/>
      </c>
      <c r="AP67" s="7" t="str">
        <f t="shared" si="3"/>
        <v/>
      </c>
      <c r="AQ67" s="7" t="str">
        <f t="shared" si="4"/>
        <v/>
      </c>
      <c r="AR67" s="7" t="str">
        <f t="shared" si="5"/>
        <v/>
      </c>
      <c r="AS67" s="7">
        <f t="shared" si="6"/>
        <v>0</v>
      </c>
      <c r="AT67" s="17">
        <f>TableCosts[[#This Row],[N_Amount]]*TableCosts[[#This Row],[N_Tariff]]*TableCosts[[#This Row],[N_ItemsCount]]</f>
        <v>0</v>
      </c>
      <c r="AU67" s="17">
        <f>IF(F67=1,IF(TableCosts[[#This Row],[N_Kateg]]="interné práce",TableCosts[[#This Row],[N_Amount]]*8*PAR_SGA_PERHOUR,0),0)</f>
        <v>0</v>
      </c>
      <c r="AV67" s="17">
        <f>SUM(TableCosts[[#This Row],[N_Direct]:[N_SGA]])</f>
        <v>0</v>
      </c>
      <c r="AW67" s="7">
        <f>IF(F67=1,IF(D67="",NA(),VLOOKUP(C67&amp;TableCosts[[#This Row],[Calc_N_Typ]],TRAN_STRITEMS_LABEL,7,0)),0)</f>
        <v>0</v>
      </c>
      <c r="AX67" s="7">
        <f t="shared" si="7"/>
        <v>0</v>
      </c>
      <c r="AY67" s="57" t="str">
        <f t="shared" si="14"/>
        <v/>
      </c>
      <c r="AZ67" s="57" t="str">
        <f t="shared" si="8"/>
        <v/>
      </c>
      <c r="BA67" s="57" t="str">
        <f>IF(F67=1,IF(TableCosts[[#This Row],[TransferFrom]]=TableCosts[[#This Row],[TranferTo]],0,1),"")</f>
        <v/>
      </c>
      <c r="BB67" s="7">
        <f t="shared" si="9"/>
        <v>0</v>
      </c>
      <c r="BC67" s="7">
        <f t="shared" si="10"/>
        <v>0</v>
      </c>
    </row>
    <row r="68" spans="2:55" s="7" customFormat="1" ht="12.75" x14ac:dyDescent="0.2">
      <c r="B68" s="33"/>
      <c r="C68" s="31"/>
      <c r="D68" s="40"/>
      <c r="E68" s="6" t="str">
        <f>IF(F68=1,IF(ISERROR(TableCosts[[#This Row],[N_Tariff]]),Err_Message1,IF(TableCosts[[#This Row],[N_Tariff]]=0,Err_Message2,VLOOKUP(C68&amp;TableCosts[[#This Row],[Calc_N_Typ]],TRAN_STRITEMS_LABEL,5,FALSE))),"")</f>
        <v/>
      </c>
      <c r="F68" s="6">
        <f t="shared" si="12"/>
        <v>0</v>
      </c>
      <c r="G68" s="6" t="str">
        <f>IF(F68=1,IFERROR(VLOOKUP(E68,Tab_ErrMessage[],2,0),VLOOKUP(C68&amp;TableCosts[[#This Row],[Calc_N_Typ]],TRAN_STRITEMS_LABEL,4,FALSE)),"")</f>
        <v/>
      </c>
      <c r="H68" s="40"/>
      <c r="I68" s="40"/>
      <c r="J68" s="35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38">
        <f t="array" ref="AK68">IF(F68=1,SUM((ROW(M0)=ROW(AK68))*(M0+M1_+M2_+M3_+M4_+M5_+M6_+M7_+M8_+M9_+M10_+M11_+M12_+M13_+M14_+M15_+M16_+M17_+M18_+M19_+M20_+M21_+M22_+M23_+M24_+M25_)),0)</f>
        <v>0</v>
      </c>
      <c r="AL68" s="27">
        <f>TableCosts[[#This Row],[N_Direct]]</f>
        <v>0</v>
      </c>
      <c r="AN68" s="7" t="str">
        <f t="shared" si="2"/>
        <v/>
      </c>
      <c r="AO68" s="7" t="str">
        <f t="shared" si="13"/>
        <v/>
      </c>
      <c r="AP68" s="7" t="str">
        <f t="shared" si="3"/>
        <v/>
      </c>
      <c r="AQ68" s="7" t="str">
        <f t="shared" si="4"/>
        <v/>
      </c>
      <c r="AR68" s="7" t="str">
        <f t="shared" si="5"/>
        <v/>
      </c>
      <c r="AS68" s="7">
        <f t="shared" si="6"/>
        <v>0</v>
      </c>
      <c r="AT68" s="17">
        <f>TableCosts[[#This Row],[N_Amount]]*TableCosts[[#This Row],[N_Tariff]]*TableCosts[[#This Row],[N_ItemsCount]]</f>
        <v>0</v>
      </c>
      <c r="AU68" s="17">
        <f>IF(F68=1,IF(TableCosts[[#This Row],[N_Kateg]]="interné práce",TableCosts[[#This Row],[N_Amount]]*8*PAR_SGA_PERHOUR,0),0)</f>
        <v>0</v>
      </c>
      <c r="AV68" s="17">
        <f>SUM(TableCosts[[#This Row],[N_Direct]:[N_SGA]])</f>
        <v>0</v>
      </c>
      <c r="AW68" s="7">
        <f>IF(F68=1,IF(D68="",NA(),VLOOKUP(C68&amp;TableCosts[[#This Row],[Calc_N_Typ]],TRAN_STRITEMS_LABEL,7,0)),0)</f>
        <v>0</v>
      </c>
      <c r="AX68" s="7">
        <f t="shared" si="7"/>
        <v>0</v>
      </c>
      <c r="AY68" s="57" t="str">
        <f t="shared" si="14"/>
        <v/>
      </c>
      <c r="AZ68" s="57" t="str">
        <f t="shared" si="8"/>
        <v/>
      </c>
      <c r="BA68" s="57" t="str">
        <f>IF(F68=1,IF(TableCosts[[#This Row],[TransferFrom]]=TableCosts[[#This Row],[TranferTo]],0,1),"")</f>
        <v/>
      </c>
      <c r="BB68" s="7">
        <f t="shared" si="9"/>
        <v>0</v>
      </c>
      <c r="BC68" s="7">
        <f t="shared" si="10"/>
        <v>0</v>
      </c>
    </row>
    <row r="69" spans="2:55" s="7" customFormat="1" ht="12.75" x14ac:dyDescent="0.2">
      <c r="B69" s="33"/>
      <c r="C69" s="31"/>
      <c r="D69" s="40"/>
      <c r="E69" s="6" t="str">
        <f>IF(F69=1,IF(ISERROR(TableCosts[[#This Row],[N_Tariff]]),Err_Message1,IF(TableCosts[[#This Row],[N_Tariff]]=0,Err_Message2,VLOOKUP(C69&amp;TableCosts[[#This Row],[Calc_N_Typ]],TRAN_STRITEMS_LABEL,5,FALSE))),"")</f>
        <v/>
      </c>
      <c r="F69" s="6">
        <f t="shared" si="12"/>
        <v>0</v>
      </c>
      <c r="G69" s="6" t="str">
        <f>IF(F69=1,IFERROR(VLOOKUP(E69,Tab_ErrMessage[],2,0),VLOOKUP(C69&amp;TableCosts[[#This Row],[Calc_N_Typ]],TRAN_STRITEMS_LABEL,4,FALSE)),"")</f>
        <v/>
      </c>
      <c r="H69" s="40"/>
      <c r="I69" s="40"/>
      <c r="J69" s="35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K69" s="38">
        <f t="array" ref="AK69">IF(F69=1,SUM((ROW(M0)=ROW(AK69))*(M0+M1_+M2_+M3_+M4_+M5_+M6_+M7_+M8_+M9_+M10_+M11_+M12_+M13_+M14_+M15_+M16_+M17_+M18_+M19_+M20_+M21_+M22_+M23_+M24_+M25_)),0)</f>
        <v>0</v>
      </c>
      <c r="AL69" s="27">
        <f>TableCosts[[#This Row],[N_Direct]]</f>
        <v>0</v>
      </c>
      <c r="AN69" s="7" t="str">
        <f t="shared" si="2"/>
        <v/>
      </c>
      <c r="AO69" s="7" t="str">
        <f t="shared" si="13"/>
        <v/>
      </c>
      <c r="AP69" s="7" t="str">
        <f t="shared" si="3"/>
        <v/>
      </c>
      <c r="AQ69" s="7" t="str">
        <f t="shared" si="4"/>
        <v/>
      </c>
      <c r="AR69" s="7" t="str">
        <f t="shared" si="5"/>
        <v/>
      </c>
      <c r="AS69" s="7">
        <f t="shared" si="6"/>
        <v>0</v>
      </c>
      <c r="AT69" s="17">
        <f>TableCosts[[#This Row],[N_Amount]]*TableCosts[[#This Row],[N_Tariff]]*TableCosts[[#This Row],[N_ItemsCount]]</f>
        <v>0</v>
      </c>
      <c r="AU69" s="17">
        <f>IF(F69=1,IF(TableCosts[[#This Row],[N_Kateg]]="interné práce",TableCosts[[#This Row],[N_Amount]]*8*PAR_SGA_PERHOUR,0),0)</f>
        <v>0</v>
      </c>
      <c r="AV69" s="17">
        <f>SUM(TableCosts[[#This Row],[N_Direct]:[N_SGA]])</f>
        <v>0</v>
      </c>
      <c r="AW69" s="7">
        <f>IF(F69=1,IF(D69="",NA(),VLOOKUP(C69&amp;TableCosts[[#This Row],[Calc_N_Typ]],TRAN_STRITEMS_LABEL,7,0)),0)</f>
        <v>0</v>
      </c>
      <c r="AX69" s="7">
        <f t="shared" si="7"/>
        <v>0</v>
      </c>
      <c r="AY69" s="57" t="str">
        <f t="shared" si="14"/>
        <v/>
      </c>
      <c r="AZ69" s="57" t="str">
        <f t="shared" si="8"/>
        <v/>
      </c>
      <c r="BA69" s="57" t="str">
        <f>IF(F69=1,IF(TableCosts[[#This Row],[TransferFrom]]=TableCosts[[#This Row],[TranferTo]],0,1),"")</f>
        <v/>
      </c>
      <c r="BB69" s="7">
        <f t="shared" si="9"/>
        <v>0</v>
      </c>
      <c r="BC69" s="7">
        <f t="shared" si="10"/>
        <v>0</v>
      </c>
    </row>
    <row r="70" spans="2:55" s="7" customFormat="1" ht="12.75" x14ac:dyDescent="0.2">
      <c r="B70" s="33"/>
      <c r="C70" s="31"/>
      <c r="D70" s="40"/>
      <c r="E70" s="6" t="str">
        <f>IF(F70=1,IF(ISERROR(TableCosts[[#This Row],[N_Tariff]]),Err_Message1,IF(TableCosts[[#This Row],[N_Tariff]]=0,Err_Message2,VLOOKUP(C70&amp;TableCosts[[#This Row],[Calc_N_Typ]],TRAN_STRITEMS_LABEL,5,FALSE))),"")</f>
        <v/>
      </c>
      <c r="F70" s="6">
        <f t="shared" si="12"/>
        <v>0</v>
      </c>
      <c r="G70" s="6" t="str">
        <f>IF(F70=1,IFERROR(VLOOKUP(E70,Tab_ErrMessage[],2,0),VLOOKUP(C70&amp;TableCosts[[#This Row],[Calc_N_Typ]],TRAN_STRITEMS_LABEL,4,FALSE)),"")</f>
        <v/>
      </c>
      <c r="H70" s="40"/>
      <c r="I70" s="40"/>
      <c r="J70" s="35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38">
        <f t="array" ref="AK70">IF(F70=1,SUM((ROW(M0)=ROW(AK70))*(M0+M1_+M2_+M3_+M4_+M5_+M6_+M7_+M8_+M9_+M10_+M11_+M12_+M13_+M14_+M15_+M16_+M17_+M18_+M19_+M20_+M21_+M22_+M23_+M24_+M25_)),0)</f>
        <v>0</v>
      </c>
      <c r="AL70" s="27">
        <f>TableCosts[[#This Row],[N_Direct]]</f>
        <v>0</v>
      </c>
      <c r="AN70" s="7" t="str">
        <f t="shared" si="2"/>
        <v/>
      </c>
      <c r="AO70" s="7" t="str">
        <f t="shared" si="13"/>
        <v/>
      </c>
      <c r="AP70" s="7" t="str">
        <f t="shared" si="3"/>
        <v/>
      </c>
      <c r="AQ70" s="7" t="str">
        <f t="shared" si="4"/>
        <v/>
      </c>
      <c r="AR70" s="7" t="str">
        <f t="shared" si="5"/>
        <v/>
      </c>
      <c r="AS70" s="7">
        <f t="shared" si="6"/>
        <v>0</v>
      </c>
      <c r="AT70" s="17">
        <f>TableCosts[[#This Row],[N_Amount]]*TableCosts[[#This Row],[N_Tariff]]*TableCosts[[#This Row],[N_ItemsCount]]</f>
        <v>0</v>
      </c>
      <c r="AU70" s="17">
        <f>IF(F70=1,IF(TableCosts[[#This Row],[N_Kateg]]="interné práce",TableCosts[[#This Row],[N_Amount]]*8*PAR_SGA_PERHOUR,0),0)</f>
        <v>0</v>
      </c>
      <c r="AV70" s="17">
        <f>SUM(TableCosts[[#This Row],[N_Direct]:[N_SGA]])</f>
        <v>0</v>
      </c>
      <c r="AW70" s="7">
        <f>IF(F70=1,IF(D70="",NA(),VLOOKUP(C70&amp;TableCosts[[#This Row],[Calc_N_Typ]],TRAN_STRITEMS_LABEL,7,0)),0)</f>
        <v>0</v>
      </c>
      <c r="AX70" s="7">
        <f t="shared" si="7"/>
        <v>0</v>
      </c>
      <c r="AY70" s="57" t="str">
        <f t="shared" si="14"/>
        <v/>
      </c>
      <c r="AZ70" s="57" t="str">
        <f t="shared" si="8"/>
        <v/>
      </c>
      <c r="BA70" s="57" t="str">
        <f>IF(F70=1,IF(TableCosts[[#This Row],[TransferFrom]]=TableCosts[[#This Row],[TranferTo]],0,1),"")</f>
        <v/>
      </c>
      <c r="BB70" s="7">
        <f t="shared" si="9"/>
        <v>0</v>
      </c>
      <c r="BC70" s="7">
        <f t="shared" si="10"/>
        <v>0</v>
      </c>
    </row>
    <row r="71" spans="2:55" s="7" customFormat="1" ht="12.75" x14ac:dyDescent="0.2">
      <c r="B71" s="33"/>
      <c r="C71" s="31"/>
      <c r="D71" s="40"/>
      <c r="E71" s="6" t="str">
        <f>IF(F71=1,IF(ISERROR(TableCosts[[#This Row],[N_Tariff]]),Err_Message1,IF(TableCosts[[#This Row],[N_Tariff]]=0,Err_Message2,VLOOKUP(C71&amp;TableCosts[[#This Row],[Calc_N_Typ]],TRAN_STRITEMS_LABEL,5,FALSE))),"")</f>
        <v/>
      </c>
      <c r="F71" s="6">
        <f t="shared" si="12"/>
        <v>0</v>
      </c>
      <c r="G71" s="6" t="str">
        <f>IF(F71=1,IFERROR(VLOOKUP(E71,Tab_ErrMessage[],2,0),VLOOKUP(C71&amp;TableCosts[[#This Row],[Calc_N_Typ]],TRAN_STRITEMS_LABEL,4,FALSE)),"")</f>
        <v/>
      </c>
      <c r="H71" s="40"/>
      <c r="I71" s="40"/>
      <c r="J71" s="35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K71" s="38">
        <f t="array" ref="AK71">IF(F71=1,SUM((ROW(M0)=ROW(AK71))*(M0+M1_+M2_+M3_+M4_+M5_+M6_+M7_+M8_+M9_+M10_+M11_+M12_+M13_+M14_+M15_+M16_+M17_+M18_+M19_+M20_+M21_+M22_+M23_+M24_+M25_)),0)</f>
        <v>0</v>
      </c>
      <c r="AL71" s="27">
        <f>TableCosts[[#This Row],[N_Direct]]</f>
        <v>0</v>
      </c>
      <c r="AN71" s="7" t="str">
        <f t="shared" si="2"/>
        <v/>
      </c>
      <c r="AO71" s="7" t="str">
        <f t="shared" ref="AO71:AO134" si="15">IF(F71=1,IF(C71="","",C71),"")</f>
        <v/>
      </c>
      <c r="AP71" s="7" t="str">
        <f t="shared" si="3"/>
        <v/>
      </c>
      <c r="AQ71" s="7" t="str">
        <f t="shared" ref="AQ71:AQ134" si="16">IF(F71=1,IF(OR(D71="realizácia",D71=""),"realizácia",D71),"")</f>
        <v/>
      </c>
      <c r="AR71" s="7" t="str">
        <f t="shared" si="5"/>
        <v/>
      </c>
      <c r="AS71" s="7">
        <f t="shared" ref="AS71:AS134" si="17">IF(F71=1,IF(G71="ks",ROUNDUP(AK71,0),AK71),0)</f>
        <v>0</v>
      </c>
      <c r="AT71" s="17">
        <f>TableCosts[[#This Row],[N_Amount]]*TableCosts[[#This Row],[N_Tariff]]*TableCosts[[#This Row],[N_ItemsCount]]</f>
        <v>0</v>
      </c>
      <c r="AU71" s="17">
        <f>IF(F71=1,IF(TableCosts[[#This Row],[N_Kateg]]="interné práce",TableCosts[[#This Row],[N_Amount]]*8*PAR_SGA_PERHOUR,0),0)</f>
        <v>0</v>
      </c>
      <c r="AV71" s="17">
        <f>SUM(TableCosts[[#This Row],[N_Direct]:[N_SGA]])</f>
        <v>0</v>
      </c>
      <c r="AW71" s="7">
        <f>IF(F71=1,IF(D71="",NA(),VLOOKUP(C71&amp;TableCosts[[#This Row],[Calc_N_Typ]],TRAN_STRITEMS_LABEL,7,0)),0)</f>
        <v>0</v>
      </c>
      <c r="AX71" s="7">
        <f t="shared" ref="AX71:AX134" si="18">IF(F71=1,IF(G71="čld.",8,1),0)</f>
        <v>0</v>
      </c>
      <c r="AY71" s="57" t="str">
        <f t="shared" ref="AY71:AY134" si="19">IF(F71=1,IFERROR(VLOOKUP(B71,IpsLicences,2,0),IF(C71="",Par_Center,C71)),"")</f>
        <v/>
      </c>
      <c r="AZ71" s="57" t="str">
        <f t="shared" ref="AZ71:AZ134" si="20">IF(F71=1,Par_Center,"")</f>
        <v/>
      </c>
      <c r="BA71" s="57" t="str">
        <f>IF(F71=1,IF(TableCosts[[#This Row],[TransferFrom]]=TableCosts[[#This Row],[TranferTo]],0,1),"")</f>
        <v/>
      </c>
      <c r="BB71" s="7">
        <f t="shared" ref="BB71:BB134" si="21">IF(RIGHT(B71,LEN(Par_LabelTravelTime))=Par_LabelTravelTime,LEFT(B71,LEN(B71)-LEN(Par_LabelTravelTime)),B71)</f>
        <v>0</v>
      </c>
      <c r="BC71" s="7">
        <f t="shared" ref="BC71:BC134" si="22">IF(RIGHT(B71,LEN(Par_LabelTravelTime))=Par_LabelTravelTime,1,0)</f>
        <v>0</v>
      </c>
    </row>
    <row r="72" spans="2:55" s="7" customFormat="1" ht="12.75" x14ac:dyDescent="0.2">
      <c r="B72" s="33"/>
      <c r="C72" s="31"/>
      <c r="D72" s="40"/>
      <c r="E72" s="6" t="str">
        <f>IF(F72=1,IF(ISERROR(TableCosts[[#This Row],[N_Tariff]]),Err_Message1,IF(TableCosts[[#This Row],[N_Tariff]]=0,Err_Message2,VLOOKUP(C72&amp;TableCosts[[#This Row],[Calc_N_Typ]],TRAN_STRITEMS_LABEL,5,FALSE))),"")</f>
        <v/>
      </c>
      <c r="F72" s="6">
        <f t="shared" si="12"/>
        <v>0</v>
      </c>
      <c r="G72" s="6" t="str">
        <f>IF(F72=1,IFERROR(VLOOKUP(E72,Tab_ErrMessage[],2,0),VLOOKUP(C72&amp;TableCosts[[#This Row],[Calc_N_Typ]],TRAN_STRITEMS_LABEL,4,FALSE)),"")</f>
        <v/>
      </c>
      <c r="H72" s="40"/>
      <c r="I72" s="40"/>
      <c r="J72" s="35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38">
        <f t="array" ref="AK72">IF(F72=1,SUM((ROW(M0)=ROW(AK72))*(M0+M1_+M2_+M3_+M4_+M5_+M6_+M7_+M8_+M9_+M10_+M11_+M12_+M13_+M14_+M15_+M16_+M17_+M18_+M19_+M20_+M21_+M22_+M23_+M24_+M25_)),0)</f>
        <v>0</v>
      </c>
      <c r="AL72" s="27">
        <f>TableCosts[[#This Row],[N_Direct]]</f>
        <v>0</v>
      </c>
      <c r="AN72" s="7" t="str">
        <f t="shared" ref="AN72:AN135" si="23">IF(F72=1,B72,"")</f>
        <v/>
      </c>
      <c r="AO72" s="7" t="str">
        <f t="shared" si="15"/>
        <v/>
      </c>
      <c r="AP72" s="7" t="str">
        <f t="shared" ref="AP72:AP135" si="24">IF(F72=1,E72,"")</f>
        <v/>
      </c>
      <c r="AQ72" s="7" t="str">
        <f t="shared" si="16"/>
        <v/>
      </c>
      <c r="AR72" s="7" t="str">
        <f t="shared" ref="AR72:AR135" si="25">IF(F72=1,G72,"")</f>
        <v/>
      </c>
      <c r="AS72" s="7">
        <f t="shared" si="17"/>
        <v>0</v>
      </c>
      <c r="AT72" s="17">
        <f>TableCosts[[#This Row],[N_Amount]]*TableCosts[[#This Row],[N_Tariff]]*TableCosts[[#This Row],[N_ItemsCount]]</f>
        <v>0</v>
      </c>
      <c r="AU72" s="17">
        <f>IF(F72=1,IF(TableCosts[[#This Row],[N_Kateg]]="interné práce",TableCosts[[#This Row],[N_Amount]]*8*PAR_SGA_PERHOUR,0),0)</f>
        <v>0</v>
      </c>
      <c r="AV72" s="17">
        <f>SUM(TableCosts[[#This Row],[N_Direct]:[N_SGA]])</f>
        <v>0</v>
      </c>
      <c r="AW72" s="7">
        <f>IF(F72=1,IF(D72="",NA(),VLOOKUP(C72&amp;TableCosts[[#This Row],[Calc_N_Typ]],TRAN_STRITEMS_LABEL,7,0)),0)</f>
        <v>0</v>
      </c>
      <c r="AX72" s="7">
        <f t="shared" si="18"/>
        <v>0</v>
      </c>
      <c r="AY72" s="57" t="str">
        <f t="shared" si="19"/>
        <v/>
      </c>
      <c r="AZ72" s="57" t="str">
        <f t="shared" si="20"/>
        <v/>
      </c>
      <c r="BA72" s="57" t="str">
        <f>IF(F72=1,IF(TableCosts[[#This Row],[TransferFrom]]=TableCosts[[#This Row],[TranferTo]],0,1),"")</f>
        <v/>
      </c>
      <c r="BB72" s="7">
        <f t="shared" si="21"/>
        <v>0</v>
      </c>
      <c r="BC72" s="7">
        <f t="shared" si="22"/>
        <v>0</v>
      </c>
    </row>
    <row r="73" spans="2:55" s="7" customFormat="1" ht="12.75" x14ac:dyDescent="0.2">
      <c r="B73" s="33"/>
      <c r="C73" s="31"/>
      <c r="D73" s="40"/>
      <c r="E73" s="6" t="str">
        <f>IF(F73=1,IF(ISERROR(TableCosts[[#This Row],[N_Tariff]]),Err_Message1,IF(TableCosts[[#This Row],[N_Tariff]]=0,Err_Message2,VLOOKUP(C73&amp;TableCosts[[#This Row],[Calc_N_Typ]],TRAN_STRITEMS_LABEL,5,FALSE))),"")</f>
        <v/>
      </c>
      <c r="F73" s="6">
        <f t="shared" ref="F73:F136" si="26">IF(B73="",0,IF(LEFT(B73,3)="***",-1,1))</f>
        <v>0</v>
      </c>
      <c r="G73" s="6" t="str">
        <f>IF(F73=1,IFERROR(VLOOKUP(E73,Tab_ErrMessage[],2,0),VLOOKUP(C73&amp;TableCosts[[#This Row],[Calc_N_Typ]],TRAN_STRITEMS_LABEL,4,FALSE)),"")</f>
        <v/>
      </c>
      <c r="H73" s="40"/>
      <c r="I73" s="40"/>
      <c r="J73" s="35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24"/>
      <c r="AK73" s="38">
        <f t="array" ref="AK73">IF(F73=1,SUM((ROW(M0)=ROW(AK73))*(M0+M1_+M2_+M3_+M4_+M5_+M6_+M7_+M8_+M9_+M10_+M11_+M12_+M13_+M14_+M15_+M16_+M17_+M18_+M19_+M20_+M21_+M22_+M23_+M24_+M25_)),0)</f>
        <v>0</v>
      </c>
      <c r="AL73" s="27">
        <f>TableCosts[[#This Row],[N_Direct]]</f>
        <v>0</v>
      </c>
      <c r="AN73" s="7" t="str">
        <f t="shared" si="23"/>
        <v/>
      </c>
      <c r="AO73" s="7" t="str">
        <f t="shared" si="15"/>
        <v/>
      </c>
      <c r="AP73" s="7" t="str">
        <f t="shared" si="24"/>
        <v/>
      </c>
      <c r="AQ73" s="7" t="str">
        <f t="shared" si="16"/>
        <v/>
      </c>
      <c r="AR73" s="7" t="str">
        <f t="shared" si="25"/>
        <v/>
      </c>
      <c r="AS73" s="7">
        <f t="shared" si="17"/>
        <v>0</v>
      </c>
      <c r="AT73" s="17">
        <f>TableCosts[[#This Row],[N_Amount]]*TableCosts[[#This Row],[N_Tariff]]*TableCosts[[#This Row],[N_ItemsCount]]</f>
        <v>0</v>
      </c>
      <c r="AU73" s="17">
        <f>IF(F73=1,IF(TableCosts[[#This Row],[N_Kateg]]="interné práce",TableCosts[[#This Row],[N_Amount]]*8*PAR_SGA_PERHOUR,0),0)</f>
        <v>0</v>
      </c>
      <c r="AV73" s="17">
        <f>SUM(TableCosts[[#This Row],[N_Direct]:[N_SGA]])</f>
        <v>0</v>
      </c>
      <c r="AW73" s="7">
        <f>IF(F73=1,IF(D73="",NA(),VLOOKUP(C73&amp;TableCosts[[#This Row],[Calc_N_Typ]],TRAN_STRITEMS_LABEL,7,0)),0)</f>
        <v>0</v>
      </c>
      <c r="AX73" s="7">
        <f t="shared" si="18"/>
        <v>0</v>
      </c>
      <c r="AY73" s="57" t="str">
        <f t="shared" si="19"/>
        <v/>
      </c>
      <c r="AZ73" s="57" t="str">
        <f t="shared" si="20"/>
        <v/>
      </c>
      <c r="BA73" s="57" t="str">
        <f>IF(F73=1,IF(TableCosts[[#This Row],[TransferFrom]]=TableCosts[[#This Row],[TranferTo]],0,1),"")</f>
        <v/>
      </c>
      <c r="BB73" s="7">
        <f t="shared" si="21"/>
        <v>0</v>
      </c>
      <c r="BC73" s="7">
        <f t="shared" si="22"/>
        <v>0</v>
      </c>
    </row>
    <row r="74" spans="2:55" s="7" customFormat="1" ht="12.75" x14ac:dyDescent="0.2">
      <c r="B74" s="33"/>
      <c r="C74" s="31"/>
      <c r="D74" s="40"/>
      <c r="E74" s="6" t="str">
        <f>IF(F74=1,IF(ISERROR(TableCosts[[#This Row],[N_Tariff]]),Err_Message1,IF(TableCosts[[#This Row],[N_Tariff]]=0,Err_Message2,VLOOKUP(C74&amp;TableCosts[[#This Row],[Calc_N_Typ]],TRAN_STRITEMS_LABEL,5,FALSE))),"")</f>
        <v/>
      </c>
      <c r="F74" s="6">
        <f t="shared" si="26"/>
        <v>0</v>
      </c>
      <c r="G74" s="6" t="str">
        <f>IF(F74=1,IFERROR(VLOOKUP(E74,Tab_ErrMessage[],2,0),VLOOKUP(C74&amp;TableCosts[[#This Row],[Calc_N_Typ]],TRAN_STRITEMS_LABEL,4,FALSE)),"")</f>
        <v/>
      </c>
      <c r="H74" s="40"/>
      <c r="I74" s="40"/>
      <c r="J74" s="35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/>
      <c r="AK74" s="38">
        <f t="array" ref="AK74">IF(F74=1,SUM((ROW(M0)=ROW(AK74))*(M0+M1_+M2_+M3_+M4_+M5_+M6_+M7_+M8_+M9_+M10_+M11_+M12_+M13_+M14_+M15_+M16_+M17_+M18_+M19_+M20_+M21_+M22_+M23_+M24_+M25_)),0)</f>
        <v>0</v>
      </c>
      <c r="AL74" s="27">
        <f>TableCosts[[#This Row],[N_Direct]]</f>
        <v>0</v>
      </c>
      <c r="AN74" s="7" t="str">
        <f t="shared" si="23"/>
        <v/>
      </c>
      <c r="AO74" s="7" t="str">
        <f t="shared" si="15"/>
        <v/>
      </c>
      <c r="AP74" s="7" t="str">
        <f t="shared" si="24"/>
        <v/>
      </c>
      <c r="AQ74" s="7" t="str">
        <f t="shared" si="16"/>
        <v/>
      </c>
      <c r="AR74" s="7" t="str">
        <f t="shared" si="25"/>
        <v/>
      </c>
      <c r="AS74" s="7">
        <f t="shared" si="17"/>
        <v>0</v>
      </c>
      <c r="AT74" s="17">
        <f>TableCosts[[#This Row],[N_Amount]]*TableCosts[[#This Row],[N_Tariff]]*TableCosts[[#This Row],[N_ItemsCount]]</f>
        <v>0</v>
      </c>
      <c r="AU74" s="17">
        <f>IF(F74=1,IF(TableCosts[[#This Row],[N_Kateg]]="interné práce",TableCosts[[#This Row],[N_Amount]]*8*PAR_SGA_PERHOUR,0),0)</f>
        <v>0</v>
      </c>
      <c r="AV74" s="17">
        <f>SUM(TableCosts[[#This Row],[N_Direct]:[N_SGA]])</f>
        <v>0</v>
      </c>
      <c r="AW74" s="7">
        <f>IF(F74=1,IF(D74="",NA(),VLOOKUP(C74&amp;TableCosts[[#This Row],[Calc_N_Typ]],TRAN_STRITEMS_LABEL,7,0)),0)</f>
        <v>0</v>
      </c>
      <c r="AX74" s="7">
        <f t="shared" si="18"/>
        <v>0</v>
      </c>
      <c r="AY74" s="57" t="str">
        <f t="shared" si="19"/>
        <v/>
      </c>
      <c r="AZ74" s="57" t="str">
        <f t="shared" si="20"/>
        <v/>
      </c>
      <c r="BA74" s="57" t="str">
        <f>IF(F74=1,IF(TableCosts[[#This Row],[TransferFrom]]=TableCosts[[#This Row],[TranferTo]],0,1),"")</f>
        <v/>
      </c>
      <c r="BB74" s="7">
        <f t="shared" si="21"/>
        <v>0</v>
      </c>
      <c r="BC74" s="7">
        <f t="shared" si="22"/>
        <v>0</v>
      </c>
    </row>
    <row r="75" spans="2:55" s="7" customFormat="1" ht="12.75" x14ac:dyDescent="0.2">
      <c r="B75" s="33"/>
      <c r="C75" s="31"/>
      <c r="D75" s="40"/>
      <c r="E75" s="6" t="str">
        <f>IF(F75=1,IF(ISERROR(TableCosts[[#This Row],[N_Tariff]]),Err_Message1,IF(TableCosts[[#This Row],[N_Tariff]]=0,Err_Message2,VLOOKUP(C75&amp;TableCosts[[#This Row],[Calc_N_Typ]],TRAN_STRITEMS_LABEL,5,FALSE))),"")</f>
        <v/>
      </c>
      <c r="F75" s="6">
        <f t="shared" si="26"/>
        <v>0</v>
      </c>
      <c r="G75" s="6" t="str">
        <f>IF(F75=1,IFERROR(VLOOKUP(E75,Tab_ErrMessage[],2,0),VLOOKUP(C75&amp;TableCosts[[#This Row],[Calc_N_Typ]],TRAN_STRITEMS_LABEL,4,FALSE)),"")</f>
        <v/>
      </c>
      <c r="H75" s="40"/>
      <c r="I75" s="40"/>
      <c r="J75" s="35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24"/>
      <c r="AK75" s="38">
        <f t="array" ref="AK75">IF(F75=1,SUM((ROW(M0)=ROW(AK75))*(M0+M1_+M2_+M3_+M4_+M5_+M6_+M7_+M8_+M9_+M10_+M11_+M12_+M13_+M14_+M15_+M16_+M17_+M18_+M19_+M20_+M21_+M22_+M23_+M24_+M25_)),0)</f>
        <v>0</v>
      </c>
      <c r="AL75" s="27">
        <f>TableCosts[[#This Row],[N_Direct]]</f>
        <v>0</v>
      </c>
      <c r="AN75" s="7" t="str">
        <f t="shared" si="23"/>
        <v/>
      </c>
      <c r="AO75" s="7" t="str">
        <f t="shared" si="15"/>
        <v/>
      </c>
      <c r="AP75" s="7" t="str">
        <f t="shared" si="24"/>
        <v/>
      </c>
      <c r="AQ75" s="7" t="str">
        <f t="shared" si="16"/>
        <v/>
      </c>
      <c r="AR75" s="7" t="str">
        <f t="shared" si="25"/>
        <v/>
      </c>
      <c r="AS75" s="7">
        <f t="shared" si="17"/>
        <v>0</v>
      </c>
      <c r="AT75" s="17">
        <f>TableCosts[[#This Row],[N_Amount]]*TableCosts[[#This Row],[N_Tariff]]*TableCosts[[#This Row],[N_ItemsCount]]</f>
        <v>0</v>
      </c>
      <c r="AU75" s="17">
        <f>IF(F75=1,IF(TableCosts[[#This Row],[N_Kateg]]="interné práce",TableCosts[[#This Row],[N_Amount]]*8*PAR_SGA_PERHOUR,0),0)</f>
        <v>0</v>
      </c>
      <c r="AV75" s="17">
        <f>SUM(TableCosts[[#This Row],[N_Direct]:[N_SGA]])</f>
        <v>0</v>
      </c>
      <c r="AW75" s="7">
        <f>IF(F75=1,IF(D75="",NA(),VLOOKUP(C75&amp;TableCosts[[#This Row],[Calc_N_Typ]],TRAN_STRITEMS_LABEL,7,0)),0)</f>
        <v>0</v>
      </c>
      <c r="AX75" s="7">
        <f t="shared" si="18"/>
        <v>0</v>
      </c>
      <c r="AY75" s="57" t="str">
        <f t="shared" si="19"/>
        <v/>
      </c>
      <c r="AZ75" s="57" t="str">
        <f t="shared" si="20"/>
        <v/>
      </c>
      <c r="BA75" s="57" t="str">
        <f>IF(F75=1,IF(TableCosts[[#This Row],[TransferFrom]]=TableCosts[[#This Row],[TranferTo]],0,1),"")</f>
        <v/>
      </c>
      <c r="BB75" s="7">
        <f t="shared" si="21"/>
        <v>0</v>
      </c>
      <c r="BC75" s="7">
        <f t="shared" si="22"/>
        <v>0</v>
      </c>
    </row>
    <row r="76" spans="2:55" s="7" customFormat="1" ht="12.75" x14ac:dyDescent="0.2">
      <c r="B76" s="33"/>
      <c r="C76" s="31"/>
      <c r="D76" s="40"/>
      <c r="E76" s="6" t="str">
        <f>IF(F76=1,IF(ISERROR(TableCosts[[#This Row],[N_Tariff]]),Err_Message1,IF(TableCosts[[#This Row],[N_Tariff]]=0,Err_Message2,VLOOKUP(C76&amp;TableCosts[[#This Row],[Calc_N_Typ]],TRAN_STRITEMS_LABEL,5,FALSE))),"")</f>
        <v/>
      </c>
      <c r="F76" s="6">
        <f t="shared" si="26"/>
        <v>0</v>
      </c>
      <c r="G76" s="6" t="str">
        <f>IF(F76=1,IFERROR(VLOOKUP(E76,Tab_ErrMessage[],2,0),VLOOKUP(C76&amp;TableCosts[[#This Row],[Calc_N_Typ]],TRAN_STRITEMS_LABEL,4,FALSE)),"")</f>
        <v/>
      </c>
      <c r="H76" s="40"/>
      <c r="I76" s="40"/>
      <c r="J76" s="35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K76" s="38">
        <f t="array" ref="AK76">IF(F76=1,SUM((ROW(M0)=ROW(AK76))*(M0+M1_+M2_+M3_+M4_+M5_+M6_+M7_+M8_+M9_+M10_+M11_+M12_+M13_+M14_+M15_+M16_+M17_+M18_+M19_+M20_+M21_+M22_+M23_+M24_+M25_)),0)</f>
        <v>0</v>
      </c>
      <c r="AL76" s="27">
        <f>TableCosts[[#This Row],[N_Direct]]</f>
        <v>0</v>
      </c>
      <c r="AN76" s="7" t="str">
        <f t="shared" si="23"/>
        <v/>
      </c>
      <c r="AO76" s="7" t="str">
        <f t="shared" si="15"/>
        <v/>
      </c>
      <c r="AP76" s="7" t="str">
        <f t="shared" si="24"/>
        <v/>
      </c>
      <c r="AQ76" s="7" t="str">
        <f t="shared" si="16"/>
        <v/>
      </c>
      <c r="AR76" s="7" t="str">
        <f t="shared" si="25"/>
        <v/>
      </c>
      <c r="AS76" s="7">
        <f t="shared" si="17"/>
        <v>0</v>
      </c>
      <c r="AT76" s="17">
        <f>TableCosts[[#This Row],[N_Amount]]*TableCosts[[#This Row],[N_Tariff]]*TableCosts[[#This Row],[N_ItemsCount]]</f>
        <v>0</v>
      </c>
      <c r="AU76" s="17">
        <f>IF(F76=1,IF(TableCosts[[#This Row],[N_Kateg]]="interné práce",TableCosts[[#This Row],[N_Amount]]*8*PAR_SGA_PERHOUR,0),0)</f>
        <v>0</v>
      </c>
      <c r="AV76" s="17">
        <f>SUM(TableCosts[[#This Row],[N_Direct]:[N_SGA]])</f>
        <v>0</v>
      </c>
      <c r="AW76" s="7">
        <f>IF(F76=1,IF(D76="",NA(),VLOOKUP(C76&amp;TableCosts[[#This Row],[Calc_N_Typ]],TRAN_STRITEMS_LABEL,7,0)),0)</f>
        <v>0</v>
      </c>
      <c r="AX76" s="7">
        <f t="shared" si="18"/>
        <v>0</v>
      </c>
      <c r="AY76" s="57" t="str">
        <f t="shared" si="19"/>
        <v/>
      </c>
      <c r="AZ76" s="57" t="str">
        <f t="shared" si="20"/>
        <v/>
      </c>
      <c r="BA76" s="57" t="str">
        <f>IF(F76=1,IF(TableCosts[[#This Row],[TransferFrom]]=TableCosts[[#This Row],[TranferTo]],0,1),"")</f>
        <v/>
      </c>
      <c r="BB76" s="7">
        <f t="shared" si="21"/>
        <v>0</v>
      </c>
      <c r="BC76" s="7">
        <f t="shared" si="22"/>
        <v>0</v>
      </c>
    </row>
    <row r="77" spans="2:55" s="7" customFormat="1" ht="12.75" x14ac:dyDescent="0.2">
      <c r="B77" s="33"/>
      <c r="C77" s="31"/>
      <c r="D77" s="40"/>
      <c r="E77" s="6" t="str">
        <f>IF(F77=1,IF(ISERROR(TableCosts[[#This Row],[N_Tariff]]),Err_Message1,IF(TableCosts[[#This Row],[N_Tariff]]=0,Err_Message2,VLOOKUP(C77&amp;TableCosts[[#This Row],[Calc_N_Typ]],TRAN_STRITEMS_LABEL,5,FALSE))),"")</f>
        <v/>
      </c>
      <c r="F77" s="6">
        <f t="shared" si="26"/>
        <v>0</v>
      </c>
      <c r="G77" s="6" t="str">
        <f>IF(F77=1,IFERROR(VLOOKUP(E77,Tab_ErrMessage[],2,0),VLOOKUP(C77&amp;TableCosts[[#This Row],[Calc_N_Typ]],TRAN_STRITEMS_LABEL,4,FALSE)),"")</f>
        <v/>
      </c>
      <c r="H77" s="40"/>
      <c r="I77" s="40"/>
      <c r="J77" s="35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/>
      <c r="AK77" s="38">
        <f t="array" ref="AK77">IF(F77=1,SUM((ROW(M0)=ROW(AK77))*(M0+M1_+M2_+M3_+M4_+M5_+M6_+M7_+M8_+M9_+M10_+M11_+M12_+M13_+M14_+M15_+M16_+M17_+M18_+M19_+M20_+M21_+M22_+M23_+M24_+M25_)),0)</f>
        <v>0</v>
      </c>
      <c r="AL77" s="27">
        <f>TableCosts[[#This Row],[N_Direct]]</f>
        <v>0</v>
      </c>
      <c r="AN77" s="7" t="str">
        <f t="shared" si="23"/>
        <v/>
      </c>
      <c r="AO77" s="7" t="str">
        <f t="shared" si="15"/>
        <v/>
      </c>
      <c r="AP77" s="7" t="str">
        <f t="shared" si="24"/>
        <v/>
      </c>
      <c r="AQ77" s="7" t="str">
        <f t="shared" si="16"/>
        <v/>
      </c>
      <c r="AR77" s="7" t="str">
        <f t="shared" si="25"/>
        <v/>
      </c>
      <c r="AS77" s="7">
        <f t="shared" si="17"/>
        <v>0</v>
      </c>
      <c r="AT77" s="17">
        <f>TableCosts[[#This Row],[N_Amount]]*TableCosts[[#This Row],[N_Tariff]]*TableCosts[[#This Row],[N_ItemsCount]]</f>
        <v>0</v>
      </c>
      <c r="AU77" s="17">
        <f>IF(F77=1,IF(TableCosts[[#This Row],[N_Kateg]]="interné práce",TableCosts[[#This Row],[N_Amount]]*8*PAR_SGA_PERHOUR,0),0)</f>
        <v>0</v>
      </c>
      <c r="AV77" s="17">
        <f>SUM(TableCosts[[#This Row],[N_Direct]:[N_SGA]])</f>
        <v>0</v>
      </c>
      <c r="AW77" s="7">
        <f>IF(F77=1,IF(D77="",NA(),VLOOKUP(C77&amp;TableCosts[[#This Row],[Calc_N_Typ]],TRAN_STRITEMS_LABEL,7,0)),0)</f>
        <v>0</v>
      </c>
      <c r="AX77" s="7">
        <f t="shared" si="18"/>
        <v>0</v>
      </c>
      <c r="AY77" s="57" t="str">
        <f t="shared" si="19"/>
        <v/>
      </c>
      <c r="AZ77" s="57" t="str">
        <f t="shared" si="20"/>
        <v/>
      </c>
      <c r="BA77" s="57" t="str">
        <f>IF(F77=1,IF(TableCosts[[#This Row],[TransferFrom]]=TableCosts[[#This Row],[TranferTo]],0,1),"")</f>
        <v/>
      </c>
      <c r="BB77" s="7">
        <f t="shared" si="21"/>
        <v>0</v>
      </c>
      <c r="BC77" s="7">
        <f t="shared" si="22"/>
        <v>0</v>
      </c>
    </row>
    <row r="78" spans="2:55" s="7" customFormat="1" ht="12.75" x14ac:dyDescent="0.2">
      <c r="B78" s="33"/>
      <c r="C78" s="31"/>
      <c r="D78" s="40"/>
      <c r="E78" s="6" t="str">
        <f>IF(F78=1,IF(ISERROR(TableCosts[[#This Row],[N_Tariff]]),Err_Message1,IF(TableCosts[[#This Row],[N_Tariff]]=0,Err_Message2,VLOOKUP(C78&amp;TableCosts[[#This Row],[Calc_N_Typ]],TRAN_STRITEMS_LABEL,5,FALSE))),"")</f>
        <v/>
      </c>
      <c r="F78" s="6">
        <f t="shared" si="26"/>
        <v>0</v>
      </c>
      <c r="G78" s="6" t="str">
        <f>IF(F78=1,IFERROR(VLOOKUP(E78,Tab_ErrMessage[],2,0),VLOOKUP(C78&amp;TableCosts[[#This Row],[Calc_N_Typ]],TRAN_STRITEMS_LABEL,4,FALSE)),"")</f>
        <v/>
      </c>
      <c r="H78" s="40"/>
      <c r="I78" s="40"/>
      <c r="J78" s="35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4"/>
      <c r="AI78" s="24"/>
      <c r="AJ78" s="24"/>
      <c r="AK78" s="38">
        <f t="array" ref="AK78">IF(F78=1,SUM((ROW(M0)=ROW(AK78))*(M0+M1_+M2_+M3_+M4_+M5_+M6_+M7_+M8_+M9_+M10_+M11_+M12_+M13_+M14_+M15_+M16_+M17_+M18_+M19_+M20_+M21_+M22_+M23_+M24_+M25_)),0)</f>
        <v>0</v>
      </c>
      <c r="AL78" s="27">
        <f>TableCosts[[#This Row],[N_Direct]]</f>
        <v>0</v>
      </c>
      <c r="AN78" s="7" t="str">
        <f t="shared" si="23"/>
        <v/>
      </c>
      <c r="AO78" s="7" t="str">
        <f t="shared" si="15"/>
        <v/>
      </c>
      <c r="AP78" s="7" t="str">
        <f t="shared" si="24"/>
        <v/>
      </c>
      <c r="AQ78" s="7" t="str">
        <f t="shared" si="16"/>
        <v/>
      </c>
      <c r="AR78" s="7" t="str">
        <f t="shared" si="25"/>
        <v/>
      </c>
      <c r="AS78" s="7">
        <f t="shared" si="17"/>
        <v>0</v>
      </c>
      <c r="AT78" s="17">
        <f>TableCosts[[#This Row],[N_Amount]]*TableCosts[[#This Row],[N_Tariff]]*TableCosts[[#This Row],[N_ItemsCount]]</f>
        <v>0</v>
      </c>
      <c r="AU78" s="17">
        <f>IF(F78=1,IF(TableCosts[[#This Row],[N_Kateg]]="interné práce",TableCosts[[#This Row],[N_Amount]]*8*PAR_SGA_PERHOUR,0),0)</f>
        <v>0</v>
      </c>
      <c r="AV78" s="17">
        <f>SUM(TableCosts[[#This Row],[N_Direct]:[N_SGA]])</f>
        <v>0</v>
      </c>
      <c r="AW78" s="7">
        <f>IF(F78=1,IF(D78="",NA(),VLOOKUP(C78&amp;TableCosts[[#This Row],[Calc_N_Typ]],TRAN_STRITEMS_LABEL,7,0)),0)</f>
        <v>0</v>
      </c>
      <c r="AX78" s="7">
        <f t="shared" si="18"/>
        <v>0</v>
      </c>
      <c r="AY78" s="57" t="str">
        <f t="shared" si="19"/>
        <v/>
      </c>
      <c r="AZ78" s="57" t="str">
        <f t="shared" si="20"/>
        <v/>
      </c>
      <c r="BA78" s="57" t="str">
        <f>IF(F78=1,IF(TableCosts[[#This Row],[TransferFrom]]=TableCosts[[#This Row],[TranferTo]],0,1),"")</f>
        <v/>
      </c>
      <c r="BB78" s="7">
        <f t="shared" si="21"/>
        <v>0</v>
      </c>
      <c r="BC78" s="7">
        <f t="shared" si="22"/>
        <v>0</v>
      </c>
    </row>
    <row r="79" spans="2:55" s="7" customFormat="1" ht="12.75" x14ac:dyDescent="0.2">
      <c r="B79" s="33"/>
      <c r="C79" s="31"/>
      <c r="D79" s="40"/>
      <c r="E79" s="6" t="str">
        <f>IF(F79=1,IF(ISERROR(TableCosts[[#This Row],[N_Tariff]]),Err_Message1,IF(TableCosts[[#This Row],[N_Tariff]]=0,Err_Message2,VLOOKUP(C79&amp;TableCosts[[#This Row],[Calc_N_Typ]],TRAN_STRITEMS_LABEL,5,FALSE))),"")</f>
        <v/>
      </c>
      <c r="F79" s="6">
        <f t="shared" si="26"/>
        <v>0</v>
      </c>
      <c r="G79" s="6" t="str">
        <f>IF(F79=1,IFERROR(VLOOKUP(E79,Tab_ErrMessage[],2,0),VLOOKUP(C79&amp;TableCosts[[#This Row],[Calc_N_Typ]],TRAN_STRITEMS_LABEL,4,FALSE)),"")</f>
        <v/>
      </c>
      <c r="H79" s="40"/>
      <c r="I79" s="40"/>
      <c r="J79" s="35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/>
      <c r="AK79" s="38">
        <f t="array" ref="AK79">IF(F79=1,SUM((ROW(M0)=ROW(AK79))*(M0+M1_+M2_+M3_+M4_+M5_+M6_+M7_+M8_+M9_+M10_+M11_+M12_+M13_+M14_+M15_+M16_+M17_+M18_+M19_+M20_+M21_+M22_+M23_+M24_+M25_)),0)</f>
        <v>0</v>
      </c>
      <c r="AL79" s="27">
        <f>TableCosts[[#This Row],[N_Direct]]</f>
        <v>0</v>
      </c>
      <c r="AN79" s="7" t="str">
        <f t="shared" si="23"/>
        <v/>
      </c>
      <c r="AO79" s="7" t="str">
        <f t="shared" si="15"/>
        <v/>
      </c>
      <c r="AP79" s="7" t="str">
        <f t="shared" si="24"/>
        <v/>
      </c>
      <c r="AQ79" s="7" t="str">
        <f t="shared" si="16"/>
        <v/>
      </c>
      <c r="AR79" s="7" t="str">
        <f t="shared" si="25"/>
        <v/>
      </c>
      <c r="AS79" s="7">
        <f t="shared" si="17"/>
        <v>0</v>
      </c>
      <c r="AT79" s="17">
        <f>TableCosts[[#This Row],[N_Amount]]*TableCosts[[#This Row],[N_Tariff]]*TableCosts[[#This Row],[N_ItemsCount]]</f>
        <v>0</v>
      </c>
      <c r="AU79" s="17">
        <f>IF(F79=1,IF(TableCosts[[#This Row],[N_Kateg]]="interné práce",TableCosts[[#This Row],[N_Amount]]*8*PAR_SGA_PERHOUR,0),0)</f>
        <v>0</v>
      </c>
      <c r="AV79" s="17">
        <f>SUM(TableCosts[[#This Row],[N_Direct]:[N_SGA]])</f>
        <v>0</v>
      </c>
      <c r="AW79" s="7">
        <f>IF(F79=1,IF(D79="",NA(),VLOOKUP(C79&amp;TableCosts[[#This Row],[Calc_N_Typ]],TRAN_STRITEMS_LABEL,7,0)),0)</f>
        <v>0</v>
      </c>
      <c r="AX79" s="7">
        <f t="shared" si="18"/>
        <v>0</v>
      </c>
      <c r="AY79" s="57" t="str">
        <f t="shared" si="19"/>
        <v/>
      </c>
      <c r="AZ79" s="57" t="str">
        <f t="shared" si="20"/>
        <v/>
      </c>
      <c r="BA79" s="57" t="str">
        <f>IF(F79=1,IF(TableCosts[[#This Row],[TransferFrom]]=TableCosts[[#This Row],[TranferTo]],0,1),"")</f>
        <v/>
      </c>
      <c r="BB79" s="7">
        <f t="shared" si="21"/>
        <v>0</v>
      </c>
      <c r="BC79" s="7">
        <f t="shared" si="22"/>
        <v>0</v>
      </c>
    </row>
    <row r="80" spans="2:55" s="7" customFormat="1" ht="12.75" x14ac:dyDescent="0.2">
      <c r="B80" s="33"/>
      <c r="C80" s="31"/>
      <c r="D80" s="40"/>
      <c r="E80" s="6" t="str">
        <f>IF(F80=1,IF(ISERROR(TableCosts[[#This Row],[N_Tariff]]),Err_Message1,IF(TableCosts[[#This Row],[N_Tariff]]=0,Err_Message2,VLOOKUP(C80&amp;TableCosts[[#This Row],[Calc_N_Typ]],TRAN_STRITEMS_LABEL,5,FALSE))),"")</f>
        <v/>
      </c>
      <c r="F80" s="6">
        <f t="shared" si="26"/>
        <v>0</v>
      </c>
      <c r="G80" s="6" t="str">
        <f>IF(F80=1,IFERROR(VLOOKUP(E80,Tab_ErrMessage[],2,0),VLOOKUP(C80&amp;TableCosts[[#This Row],[Calc_N_Typ]],TRAN_STRITEMS_LABEL,4,FALSE)),"")</f>
        <v/>
      </c>
      <c r="H80" s="40"/>
      <c r="I80" s="40"/>
      <c r="J80" s="35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4"/>
      <c r="AI80" s="24"/>
      <c r="AJ80" s="24"/>
      <c r="AK80" s="38">
        <f t="array" ref="AK80">IF(F80=1,SUM((ROW(M0)=ROW(AK80))*(M0+M1_+M2_+M3_+M4_+M5_+M6_+M7_+M8_+M9_+M10_+M11_+M12_+M13_+M14_+M15_+M16_+M17_+M18_+M19_+M20_+M21_+M22_+M23_+M24_+M25_)),0)</f>
        <v>0</v>
      </c>
      <c r="AL80" s="27">
        <f>TableCosts[[#This Row],[N_Direct]]</f>
        <v>0</v>
      </c>
      <c r="AN80" s="7" t="str">
        <f t="shared" si="23"/>
        <v/>
      </c>
      <c r="AO80" s="7" t="str">
        <f t="shared" si="15"/>
        <v/>
      </c>
      <c r="AP80" s="7" t="str">
        <f t="shared" si="24"/>
        <v/>
      </c>
      <c r="AQ80" s="7" t="str">
        <f t="shared" si="16"/>
        <v/>
      </c>
      <c r="AR80" s="7" t="str">
        <f t="shared" si="25"/>
        <v/>
      </c>
      <c r="AS80" s="7">
        <f t="shared" si="17"/>
        <v>0</v>
      </c>
      <c r="AT80" s="17">
        <f>TableCosts[[#This Row],[N_Amount]]*TableCosts[[#This Row],[N_Tariff]]*TableCosts[[#This Row],[N_ItemsCount]]</f>
        <v>0</v>
      </c>
      <c r="AU80" s="17">
        <f>IF(F80=1,IF(TableCosts[[#This Row],[N_Kateg]]="interné práce",TableCosts[[#This Row],[N_Amount]]*8*PAR_SGA_PERHOUR,0),0)</f>
        <v>0</v>
      </c>
      <c r="AV80" s="17">
        <f>SUM(TableCosts[[#This Row],[N_Direct]:[N_SGA]])</f>
        <v>0</v>
      </c>
      <c r="AW80" s="7">
        <f>IF(F80=1,IF(D80="",NA(),VLOOKUP(C80&amp;TableCosts[[#This Row],[Calc_N_Typ]],TRAN_STRITEMS_LABEL,7,0)),0)</f>
        <v>0</v>
      </c>
      <c r="AX80" s="7">
        <f t="shared" si="18"/>
        <v>0</v>
      </c>
      <c r="AY80" s="57" t="str">
        <f t="shared" si="19"/>
        <v/>
      </c>
      <c r="AZ80" s="57" t="str">
        <f t="shared" si="20"/>
        <v/>
      </c>
      <c r="BA80" s="57" t="str">
        <f>IF(F80=1,IF(TableCosts[[#This Row],[TransferFrom]]=TableCosts[[#This Row],[TranferTo]],0,1),"")</f>
        <v/>
      </c>
      <c r="BB80" s="7">
        <f t="shared" si="21"/>
        <v>0</v>
      </c>
      <c r="BC80" s="7">
        <f t="shared" si="22"/>
        <v>0</v>
      </c>
    </row>
    <row r="81" spans="2:55" s="7" customFormat="1" ht="12.75" x14ac:dyDescent="0.2">
      <c r="B81" s="33"/>
      <c r="C81" s="31"/>
      <c r="D81" s="40"/>
      <c r="E81" s="6" t="str">
        <f>IF(F81=1,IF(ISERROR(TableCosts[[#This Row],[N_Tariff]]),Err_Message1,IF(TableCosts[[#This Row],[N_Tariff]]=0,Err_Message2,VLOOKUP(C81&amp;TableCosts[[#This Row],[Calc_N_Typ]],TRAN_STRITEMS_LABEL,5,FALSE))),"")</f>
        <v/>
      </c>
      <c r="F81" s="6">
        <f t="shared" si="26"/>
        <v>0</v>
      </c>
      <c r="G81" s="6" t="str">
        <f>IF(F81=1,IFERROR(VLOOKUP(E81,Tab_ErrMessage[],2,0),VLOOKUP(C81&amp;TableCosts[[#This Row],[Calc_N_Typ]],TRAN_STRITEMS_LABEL,4,FALSE)),"")</f>
        <v/>
      </c>
      <c r="H81" s="40"/>
      <c r="I81" s="40"/>
      <c r="J81" s="35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/>
      <c r="AK81" s="38">
        <f t="array" ref="AK81">IF(F81=1,SUM((ROW(M0)=ROW(AK81))*(M0+M1_+M2_+M3_+M4_+M5_+M6_+M7_+M8_+M9_+M10_+M11_+M12_+M13_+M14_+M15_+M16_+M17_+M18_+M19_+M20_+M21_+M22_+M23_+M24_+M25_)),0)</f>
        <v>0</v>
      </c>
      <c r="AL81" s="27">
        <f>TableCosts[[#This Row],[N_Direct]]</f>
        <v>0</v>
      </c>
      <c r="AN81" s="7" t="str">
        <f t="shared" si="23"/>
        <v/>
      </c>
      <c r="AO81" s="7" t="str">
        <f t="shared" si="15"/>
        <v/>
      </c>
      <c r="AP81" s="7" t="str">
        <f t="shared" si="24"/>
        <v/>
      </c>
      <c r="AQ81" s="7" t="str">
        <f t="shared" si="16"/>
        <v/>
      </c>
      <c r="AR81" s="7" t="str">
        <f t="shared" si="25"/>
        <v/>
      </c>
      <c r="AS81" s="7">
        <f t="shared" si="17"/>
        <v>0</v>
      </c>
      <c r="AT81" s="17">
        <f>TableCosts[[#This Row],[N_Amount]]*TableCosts[[#This Row],[N_Tariff]]*TableCosts[[#This Row],[N_ItemsCount]]</f>
        <v>0</v>
      </c>
      <c r="AU81" s="17">
        <f>IF(F81=1,IF(TableCosts[[#This Row],[N_Kateg]]="interné práce",TableCosts[[#This Row],[N_Amount]]*8*PAR_SGA_PERHOUR,0),0)</f>
        <v>0</v>
      </c>
      <c r="AV81" s="17">
        <f>SUM(TableCosts[[#This Row],[N_Direct]:[N_SGA]])</f>
        <v>0</v>
      </c>
      <c r="AW81" s="7">
        <f>IF(F81=1,IF(D81="",NA(),VLOOKUP(C81&amp;TableCosts[[#This Row],[Calc_N_Typ]],TRAN_STRITEMS_LABEL,7,0)),0)</f>
        <v>0</v>
      </c>
      <c r="AX81" s="7">
        <f t="shared" si="18"/>
        <v>0</v>
      </c>
      <c r="AY81" s="57" t="str">
        <f t="shared" si="19"/>
        <v/>
      </c>
      <c r="AZ81" s="57" t="str">
        <f t="shared" si="20"/>
        <v/>
      </c>
      <c r="BA81" s="57" t="str">
        <f>IF(F81=1,IF(TableCosts[[#This Row],[TransferFrom]]=TableCosts[[#This Row],[TranferTo]],0,1),"")</f>
        <v/>
      </c>
      <c r="BB81" s="7">
        <f t="shared" si="21"/>
        <v>0</v>
      </c>
      <c r="BC81" s="7">
        <f t="shared" si="22"/>
        <v>0</v>
      </c>
    </row>
    <row r="82" spans="2:55" s="7" customFormat="1" ht="12.75" x14ac:dyDescent="0.2">
      <c r="B82" s="33"/>
      <c r="C82" s="31"/>
      <c r="D82" s="40"/>
      <c r="E82" s="6" t="str">
        <f>IF(F82=1,IF(ISERROR(TableCosts[[#This Row],[N_Tariff]]),Err_Message1,IF(TableCosts[[#This Row],[N_Tariff]]=0,Err_Message2,VLOOKUP(C82&amp;TableCosts[[#This Row],[Calc_N_Typ]],TRAN_STRITEMS_LABEL,5,FALSE))),"")</f>
        <v/>
      </c>
      <c r="F82" s="6">
        <f t="shared" si="26"/>
        <v>0</v>
      </c>
      <c r="G82" s="6" t="str">
        <f>IF(F82=1,IFERROR(VLOOKUP(E82,Tab_ErrMessage[],2,0),VLOOKUP(C82&amp;TableCosts[[#This Row],[Calc_N_Typ]],TRAN_STRITEMS_LABEL,4,FALSE)),"")</f>
        <v/>
      </c>
      <c r="H82" s="40"/>
      <c r="I82" s="40"/>
      <c r="J82" s="35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4"/>
      <c r="AJ82" s="24"/>
      <c r="AK82" s="38">
        <f t="array" ref="AK82">IF(F82=1,SUM((ROW(M0)=ROW(AK82))*(M0+M1_+M2_+M3_+M4_+M5_+M6_+M7_+M8_+M9_+M10_+M11_+M12_+M13_+M14_+M15_+M16_+M17_+M18_+M19_+M20_+M21_+M22_+M23_+M24_+M25_)),0)</f>
        <v>0</v>
      </c>
      <c r="AL82" s="27">
        <f>TableCosts[[#This Row],[N_Direct]]</f>
        <v>0</v>
      </c>
      <c r="AN82" s="7" t="str">
        <f t="shared" si="23"/>
        <v/>
      </c>
      <c r="AO82" s="7" t="str">
        <f t="shared" si="15"/>
        <v/>
      </c>
      <c r="AP82" s="7" t="str">
        <f t="shared" si="24"/>
        <v/>
      </c>
      <c r="AQ82" s="7" t="str">
        <f t="shared" si="16"/>
        <v/>
      </c>
      <c r="AR82" s="7" t="str">
        <f t="shared" si="25"/>
        <v/>
      </c>
      <c r="AS82" s="7">
        <f t="shared" si="17"/>
        <v>0</v>
      </c>
      <c r="AT82" s="17">
        <f>TableCosts[[#This Row],[N_Amount]]*TableCosts[[#This Row],[N_Tariff]]*TableCosts[[#This Row],[N_ItemsCount]]</f>
        <v>0</v>
      </c>
      <c r="AU82" s="17">
        <f>IF(F82=1,IF(TableCosts[[#This Row],[N_Kateg]]="interné práce",TableCosts[[#This Row],[N_Amount]]*8*PAR_SGA_PERHOUR,0),0)</f>
        <v>0</v>
      </c>
      <c r="AV82" s="17">
        <f>SUM(TableCosts[[#This Row],[N_Direct]:[N_SGA]])</f>
        <v>0</v>
      </c>
      <c r="AW82" s="7">
        <f>IF(F82=1,IF(D82="",NA(),VLOOKUP(C82&amp;TableCosts[[#This Row],[Calc_N_Typ]],TRAN_STRITEMS_LABEL,7,0)),0)</f>
        <v>0</v>
      </c>
      <c r="AX82" s="7">
        <f t="shared" si="18"/>
        <v>0</v>
      </c>
      <c r="AY82" s="57" t="str">
        <f t="shared" si="19"/>
        <v/>
      </c>
      <c r="AZ82" s="57" t="str">
        <f t="shared" si="20"/>
        <v/>
      </c>
      <c r="BA82" s="57" t="str">
        <f>IF(F82=1,IF(TableCosts[[#This Row],[TransferFrom]]=TableCosts[[#This Row],[TranferTo]],0,1),"")</f>
        <v/>
      </c>
      <c r="BB82" s="7">
        <f t="shared" si="21"/>
        <v>0</v>
      </c>
      <c r="BC82" s="7">
        <f t="shared" si="22"/>
        <v>0</v>
      </c>
    </row>
    <row r="83" spans="2:55" s="7" customFormat="1" ht="12.75" x14ac:dyDescent="0.2">
      <c r="B83" s="33"/>
      <c r="C83" s="31"/>
      <c r="D83" s="40"/>
      <c r="E83" s="6" t="str">
        <f>IF(F83=1,IF(ISERROR(TableCosts[[#This Row],[N_Tariff]]),Err_Message1,IF(TableCosts[[#This Row],[N_Tariff]]=0,Err_Message2,VLOOKUP(C83&amp;TableCosts[[#This Row],[Calc_N_Typ]],TRAN_STRITEMS_LABEL,5,FALSE))),"")</f>
        <v/>
      </c>
      <c r="F83" s="6">
        <f t="shared" si="26"/>
        <v>0</v>
      </c>
      <c r="G83" s="6" t="str">
        <f>IF(F83=1,IFERROR(VLOOKUP(E83,Tab_ErrMessage[],2,0),VLOOKUP(C83&amp;TableCosts[[#This Row],[Calc_N_Typ]],TRAN_STRITEMS_LABEL,4,FALSE)),"")</f>
        <v/>
      </c>
      <c r="H83" s="40"/>
      <c r="I83" s="40"/>
      <c r="J83" s="35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4"/>
      <c r="AI83" s="24"/>
      <c r="AJ83" s="24"/>
      <c r="AK83" s="38">
        <f t="array" ref="AK83">IF(F83=1,SUM((ROW(M0)=ROW(AK83))*(M0+M1_+M2_+M3_+M4_+M5_+M6_+M7_+M8_+M9_+M10_+M11_+M12_+M13_+M14_+M15_+M16_+M17_+M18_+M19_+M20_+M21_+M22_+M23_+M24_+M25_)),0)</f>
        <v>0</v>
      </c>
      <c r="AL83" s="27">
        <f>TableCosts[[#This Row],[N_Direct]]</f>
        <v>0</v>
      </c>
      <c r="AN83" s="7" t="str">
        <f t="shared" si="23"/>
        <v/>
      </c>
      <c r="AO83" s="7" t="str">
        <f t="shared" si="15"/>
        <v/>
      </c>
      <c r="AP83" s="7" t="str">
        <f t="shared" si="24"/>
        <v/>
      </c>
      <c r="AQ83" s="7" t="str">
        <f t="shared" si="16"/>
        <v/>
      </c>
      <c r="AR83" s="7" t="str">
        <f t="shared" si="25"/>
        <v/>
      </c>
      <c r="AS83" s="7">
        <f t="shared" si="17"/>
        <v>0</v>
      </c>
      <c r="AT83" s="17">
        <f>TableCosts[[#This Row],[N_Amount]]*TableCosts[[#This Row],[N_Tariff]]*TableCosts[[#This Row],[N_ItemsCount]]</f>
        <v>0</v>
      </c>
      <c r="AU83" s="17">
        <f>IF(F83=1,IF(TableCosts[[#This Row],[N_Kateg]]="interné práce",TableCosts[[#This Row],[N_Amount]]*8*PAR_SGA_PERHOUR,0),0)</f>
        <v>0</v>
      </c>
      <c r="AV83" s="17">
        <f>SUM(TableCosts[[#This Row],[N_Direct]:[N_SGA]])</f>
        <v>0</v>
      </c>
      <c r="AW83" s="7">
        <f>IF(F83=1,IF(D83="",NA(),VLOOKUP(C83&amp;TableCosts[[#This Row],[Calc_N_Typ]],TRAN_STRITEMS_LABEL,7,0)),0)</f>
        <v>0</v>
      </c>
      <c r="AX83" s="7">
        <f t="shared" si="18"/>
        <v>0</v>
      </c>
      <c r="AY83" s="57" t="str">
        <f t="shared" si="19"/>
        <v/>
      </c>
      <c r="AZ83" s="57" t="str">
        <f t="shared" si="20"/>
        <v/>
      </c>
      <c r="BA83" s="57" t="str">
        <f>IF(F83=1,IF(TableCosts[[#This Row],[TransferFrom]]=TableCosts[[#This Row],[TranferTo]],0,1),"")</f>
        <v/>
      </c>
      <c r="BB83" s="7">
        <f t="shared" si="21"/>
        <v>0</v>
      </c>
      <c r="BC83" s="7">
        <f t="shared" si="22"/>
        <v>0</v>
      </c>
    </row>
    <row r="84" spans="2:55" s="7" customFormat="1" ht="12.75" x14ac:dyDescent="0.2">
      <c r="B84" s="33"/>
      <c r="C84" s="31"/>
      <c r="D84" s="40"/>
      <c r="E84" s="6" t="str">
        <f>IF(F84=1,IF(ISERROR(TableCosts[[#This Row],[N_Tariff]]),Err_Message1,IF(TableCosts[[#This Row],[N_Tariff]]=0,Err_Message2,VLOOKUP(C84&amp;TableCosts[[#This Row],[Calc_N_Typ]],TRAN_STRITEMS_LABEL,5,FALSE))),"")</f>
        <v/>
      </c>
      <c r="F84" s="6">
        <f t="shared" si="26"/>
        <v>0</v>
      </c>
      <c r="G84" s="6" t="str">
        <f>IF(F84=1,IFERROR(VLOOKUP(E84,Tab_ErrMessage[],2,0),VLOOKUP(C84&amp;TableCosts[[#This Row],[Calc_N_Typ]],TRAN_STRITEMS_LABEL,4,FALSE)),"")</f>
        <v/>
      </c>
      <c r="H84" s="40"/>
      <c r="I84" s="40"/>
      <c r="J84" s="35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K84" s="38">
        <f t="array" ref="AK84">IF(F84=1,SUM((ROW(M0)=ROW(AK84))*(M0+M1_+M2_+M3_+M4_+M5_+M6_+M7_+M8_+M9_+M10_+M11_+M12_+M13_+M14_+M15_+M16_+M17_+M18_+M19_+M20_+M21_+M22_+M23_+M24_+M25_)),0)</f>
        <v>0</v>
      </c>
      <c r="AL84" s="27">
        <f>TableCosts[[#This Row],[N_Direct]]</f>
        <v>0</v>
      </c>
      <c r="AN84" s="7" t="str">
        <f t="shared" si="23"/>
        <v/>
      </c>
      <c r="AO84" s="7" t="str">
        <f t="shared" si="15"/>
        <v/>
      </c>
      <c r="AP84" s="7" t="str">
        <f t="shared" si="24"/>
        <v/>
      </c>
      <c r="AQ84" s="7" t="str">
        <f t="shared" si="16"/>
        <v/>
      </c>
      <c r="AR84" s="7" t="str">
        <f t="shared" si="25"/>
        <v/>
      </c>
      <c r="AS84" s="7">
        <f t="shared" si="17"/>
        <v>0</v>
      </c>
      <c r="AT84" s="17">
        <f>TableCosts[[#This Row],[N_Amount]]*TableCosts[[#This Row],[N_Tariff]]*TableCosts[[#This Row],[N_ItemsCount]]</f>
        <v>0</v>
      </c>
      <c r="AU84" s="17">
        <f>IF(F84=1,IF(TableCosts[[#This Row],[N_Kateg]]="interné práce",TableCosts[[#This Row],[N_Amount]]*8*PAR_SGA_PERHOUR,0),0)</f>
        <v>0</v>
      </c>
      <c r="AV84" s="17">
        <f>SUM(TableCosts[[#This Row],[N_Direct]:[N_SGA]])</f>
        <v>0</v>
      </c>
      <c r="AW84" s="7">
        <f>IF(F84=1,IF(D84="",NA(),VLOOKUP(C84&amp;TableCosts[[#This Row],[Calc_N_Typ]],TRAN_STRITEMS_LABEL,7,0)),0)</f>
        <v>0</v>
      </c>
      <c r="AX84" s="7">
        <f t="shared" si="18"/>
        <v>0</v>
      </c>
      <c r="AY84" s="57" t="str">
        <f t="shared" si="19"/>
        <v/>
      </c>
      <c r="AZ84" s="57" t="str">
        <f t="shared" si="20"/>
        <v/>
      </c>
      <c r="BA84" s="57" t="str">
        <f>IF(F84=1,IF(TableCosts[[#This Row],[TransferFrom]]=TableCosts[[#This Row],[TranferTo]],0,1),"")</f>
        <v/>
      </c>
      <c r="BB84" s="7">
        <f t="shared" si="21"/>
        <v>0</v>
      </c>
      <c r="BC84" s="7">
        <f t="shared" si="22"/>
        <v>0</v>
      </c>
    </row>
    <row r="85" spans="2:55" s="7" customFormat="1" ht="12.75" x14ac:dyDescent="0.2">
      <c r="B85" s="33"/>
      <c r="C85" s="31"/>
      <c r="D85" s="40"/>
      <c r="E85" s="6" t="str">
        <f>IF(F85=1,IF(ISERROR(TableCosts[[#This Row],[N_Tariff]]),Err_Message1,IF(TableCosts[[#This Row],[N_Tariff]]=0,Err_Message2,VLOOKUP(C85&amp;TableCosts[[#This Row],[Calc_N_Typ]],TRAN_STRITEMS_LABEL,5,FALSE))),"")</f>
        <v/>
      </c>
      <c r="F85" s="6">
        <f t="shared" si="26"/>
        <v>0</v>
      </c>
      <c r="G85" s="6" t="str">
        <f>IF(F85=1,IFERROR(VLOOKUP(E85,Tab_ErrMessage[],2,0),VLOOKUP(C85&amp;TableCosts[[#This Row],[Calc_N_Typ]],TRAN_STRITEMS_LABEL,4,FALSE)),"")</f>
        <v/>
      </c>
      <c r="H85" s="40"/>
      <c r="I85" s="40"/>
      <c r="J85" s="35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4"/>
      <c r="AI85" s="24"/>
      <c r="AJ85" s="24"/>
      <c r="AK85" s="38">
        <f t="array" ref="AK85">IF(F85=1,SUM((ROW(M0)=ROW(AK85))*(M0+M1_+M2_+M3_+M4_+M5_+M6_+M7_+M8_+M9_+M10_+M11_+M12_+M13_+M14_+M15_+M16_+M17_+M18_+M19_+M20_+M21_+M22_+M23_+M24_+M25_)),0)</f>
        <v>0</v>
      </c>
      <c r="AL85" s="27">
        <f>TableCosts[[#This Row],[N_Direct]]</f>
        <v>0</v>
      </c>
      <c r="AN85" s="7" t="str">
        <f t="shared" si="23"/>
        <v/>
      </c>
      <c r="AO85" s="7" t="str">
        <f t="shared" si="15"/>
        <v/>
      </c>
      <c r="AP85" s="7" t="str">
        <f t="shared" si="24"/>
        <v/>
      </c>
      <c r="AQ85" s="7" t="str">
        <f t="shared" si="16"/>
        <v/>
      </c>
      <c r="AR85" s="7" t="str">
        <f t="shared" si="25"/>
        <v/>
      </c>
      <c r="AS85" s="7">
        <f t="shared" si="17"/>
        <v>0</v>
      </c>
      <c r="AT85" s="17">
        <f>TableCosts[[#This Row],[N_Amount]]*TableCosts[[#This Row],[N_Tariff]]*TableCosts[[#This Row],[N_ItemsCount]]</f>
        <v>0</v>
      </c>
      <c r="AU85" s="17">
        <f>IF(F85=1,IF(TableCosts[[#This Row],[N_Kateg]]="interné práce",TableCosts[[#This Row],[N_Amount]]*8*PAR_SGA_PERHOUR,0),0)</f>
        <v>0</v>
      </c>
      <c r="AV85" s="17">
        <f>SUM(TableCosts[[#This Row],[N_Direct]:[N_SGA]])</f>
        <v>0</v>
      </c>
      <c r="AW85" s="7">
        <f>IF(F85=1,IF(D85="",NA(),VLOOKUP(C85&amp;TableCosts[[#This Row],[Calc_N_Typ]],TRAN_STRITEMS_LABEL,7,0)),0)</f>
        <v>0</v>
      </c>
      <c r="AX85" s="7">
        <f t="shared" si="18"/>
        <v>0</v>
      </c>
      <c r="AY85" s="57" t="str">
        <f t="shared" si="19"/>
        <v/>
      </c>
      <c r="AZ85" s="57" t="str">
        <f t="shared" si="20"/>
        <v/>
      </c>
      <c r="BA85" s="57" t="str">
        <f>IF(F85=1,IF(TableCosts[[#This Row],[TransferFrom]]=TableCosts[[#This Row],[TranferTo]],0,1),"")</f>
        <v/>
      </c>
      <c r="BB85" s="7">
        <f t="shared" si="21"/>
        <v>0</v>
      </c>
      <c r="BC85" s="7">
        <f t="shared" si="22"/>
        <v>0</v>
      </c>
    </row>
    <row r="86" spans="2:55" s="7" customFormat="1" ht="12.75" x14ac:dyDescent="0.2">
      <c r="B86" s="33"/>
      <c r="C86" s="31"/>
      <c r="D86" s="40"/>
      <c r="E86" s="6" t="str">
        <f>IF(F86=1,IF(ISERROR(TableCosts[[#This Row],[N_Tariff]]),Err_Message1,IF(TableCosts[[#This Row],[N_Tariff]]=0,Err_Message2,VLOOKUP(C86&amp;TableCosts[[#This Row],[Calc_N_Typ]],TRAN_STRITEMS_LABEL,5,FALSE))),"")</f>
        <v/>
      </c>
      <c r="F86" s="6">
        <f t="shared" si="26"/>
        <v>0</v>
      </c>
      <c r="G86" s="6" t="str">
        <f>IF(F86=1,IFERROR(VLOOKUP(E86,Tab_ErrMessage[],2,0),VLOOKUP(C86&amp;TableCosts[[#This Row],[Calc_N_Typ]],TRAN_STRITEMS_LABEL,4,FALSE)),"")</f>
        <v/>
      </c>
      <c r="H86" s="40"/>
      <c r="I86" s="40"/>
      <c r="J86" s="35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4"/>
      <c r="AI86" s="24"/>
      <c r="AJ86" s="24"/>
      <c r="AK86" s="38">
        <f t="array" ref="AK86">IF(F86=1,SUM((ROW(M0)=ROW(AK86))*(M0+M1_+M2_+M3_+M4_+M5_+M6_+M7_+M8_+M9_+M10_+M11_+M12_+M13_+M14_+M15_+M16_+M17_+M18_+M19_+M20_+M21_+M22_+M23_+M24_+M25_)),0)</f>
        <v>0</v>
      </c>
      <c r="AL86" s="27">
        <f>TableCosts[[#This Row],[N_Direct]]</f>
        <v>0</v>
      </c>
      <c r="AN86" s="7" t="str">
        <f t="shared" si="23"/>
        <v/>
      </c>
      <c r="AO86" s="7" t="str">
        <f t="shared" si="15"/>
        <v/>
      </c>
      <c r="AP86" s="7" t="str">
        <f t="shared" si="24"/>
        <v/>
      </c>
      <c r="AQ86" s="7" t="str">
        <f t="shared" si="16"/>
        <v/>
      </c>
      <c r="AR86" s="7" t="str">
        <f t="shared" si="25"/>
        <v/>
      </c>
      <c r="AS86" s="7">
        <f t="shared" si="17"/>
        <v>0</v>
      </c>
      <c r="AT86" s="17">
        <f>TableCosts[[#This Row],[N_Amount]]*TableCosts[[#This Row],[N_Tariff]]*TableCosts[[#This Row],[N_ItemsCount]]</f>
        <v>0</v>
      </c>
      <c r="AU86" s="17">
        <f>IF(F86=1,IF(TableCosts[[#This Row],[N_Kateg]]="interné práce",TableCosts[[#This Row],[N_Amount]]*8*PAR_SGA_PERHOUR,0),0)</f>
        <v>0</v>
      </c>
      <c r="AV86" s="17">
        <f>SUM(TableCosts[[#This Row],[N_Direct]:[N_SGA]])</f>
        <v>0</v>
      </c>
      <c r="AW86" s="7">
        <f>IF(F86=1,IF(D86="",NA(),VLOOKUP(C86&amp;TableCosts[[#This Row],[Calc_N_Typ]],TRAN_STRITEMS_LABEL,7,0)),0)</f>
        <v>0</v>
      </c>
      <c r="AX86" s="7">
        <f t="shared" si="18"/>
        <v>0</v>
      </c>
      <c r="AY86" s="57" t="str">
        <f t="shared" si="19"/>
        <v/>
      </c>
      <c r="AZ86" s="57" t="str">
        <f t="shared" si="20"/>
        <v/>
      </c>
      <c r="BA86" s="57" t="str">
        <f>IF(F86=1,IF(TableCosts[[#This Row],[TransferFrom]]=TableCosts[[#This Row],[TranferTo]],0,1),"")</f>
        <v/>
      </c>
      <c r="BB86" s="7">
        <f t="shared" si="21"/>
        <v>0</v>
      </c>
      <c r="BC86" s="7">
        <f t="shared" si="22"/>
        <v>0</v>
      </c>
    </row>
    <row r="87" spans="2:55" s="7" customFormat="1" ht="12.75" x14ac:dyDescent="0.2">
      <c r="B87" s="33"/>
      <c r="C87" s="31"/>
      <c r="D87" s="40"/>
      <c r="E87" s="6" t="str">
        <f>IF(F87=1,IF(ISERROR(TableCosts[[#This Row],[N_Tariff]]),Err_Message1,IF(TableCosts[[#This Row],[N_Tariff]]=0,Err_Message2,VLOOKUP(C87&amp;TableCosts[[#This Row],[Calc_N_Typ]],TRAN_STRITEMS_LABEL,5,FALSE))),"")</f>
        <v/>
      </c>
      <c r="F87" s="6">
        <f t="shared" si="26"/>
        <v>0</v>
      </c>
      <c r="G87" s="6" t="str">
        <f>IF(F87=1,IFERROR(VLOOKUP(E87,Tab_ErrMessage[],2,0),VLOOKUP(C87&amp;TableCosts[[#This Row],[Calc_N_Typ]],TRAN_STRITEMS_LABEL,4,FALSE)),"")</f>
        <v/>
      </c>
      <c r="H87" s="40"/>
      <c r="I87" s="40"/>
      <c r="J87" s="35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4"/>
      <c r="AI87" s="24"/>
      <c r="AJ87" s="24"/>
      <c r="AK87" s="38">
        <f t="array" ref="AK87">IF(F87=1,SUM((ROW(M0)=ROW(AK87))*(M0+M1_+M2_+M3_+M4_+M5_+M6_+M7_+M8_+M9_+M10_+M11_+M12_+M13_+M14_+M15_+M16_+M17_+M18_+M19_+M20_+M21_+M22_+M23_+M24_+M25_)),0)</f>
        <v>0</v>
      </c>
      <c r="AL87" s="27">
        <f>TableCosts[[#This Row],[N_Direct]]</f>
        <v>0</v>
      </c>
      <c r="AN87" s="7" t="str">
        <f t="shared" si="23"/>
        <v/>
      </c>
      <c r="AO87" s="7" t="str">
        <f t="shared" si="15"/>
        <v/>
      </c>
      <c r="AP87" s="7" t="str">
        <f t="shared" si="24"/>
        <v/>
      </c>
      <c r="AQ87" s="7" t="str">
        <f t="shared" si="16"/>
        <v/>
      </c>
      <c r="AR87" s="7" t="str">
        <f t="shared" si="25"/>
        <v/>
      </c>
      <c r="AS87" s="7">
        <f t="shared" si="17"/>
        <v>0</v>
      </c>
      <c r="AT87" s="17">
        <f>TableCosts[[#This Row],[N_Amount]]*TableCosts[[#This Row],[N_Tariff]]*TableCosts[[#This Row],[N_ItemsCount]]</f>
        <v>0</v>
      </c>
      <c r="AU87" s="17">
        <f>IF(F87=1,IF(TableCosts[[#This Row],[N_Kateg]]="interné práce",TableCosts[[#This Row],[N_Amount]]*8*PAR_SGA_PERHOUR,0),0)</f>
        <v>0</v>
      </c>
      <c r="AV87" s="17">
        <f>SUM(TableCosts[[#This Row],[N_Direct]:[N_SGA]])</f>
        <v>0</v>
      </c>
      <c r="AW87" s="7">
        <f>IF(F87=1,IF(D87="",NA(),VLOOKUP(C87&amp;TableCosts[[#This Row],[Calc_N_Typ]],TRAN_STRITEMS_LABEL,7,0)),0)</f>
        <v>0</v>
      </c>
      <c r="AX87" s="7">
        <f t="shared" si="18"/>
        <v>0</v>
      </c>
      <c r="AY87" s="57" t="str">
        <f t="shared" si="19"/>
        <v/>
      </c>
      <c r="AZ87" s="57" t="str">
        <f t="shared" si="20"/>
        <v/>
      </c>
      <c r="BA87" s="57" t="str">
        <f>IF(F87=1,IF(TableCosts[[#This Row],[TransferFrom]]=TableCosts[[#This Row],[TranferTo]],0,1),"")</f>
        <v/>
      </c>
      <c r="BB87" s="7">
        <f t="shared" si="21"/>
        <v>0</v>
      </c>
      <c r="BC87" s="7">
        <f t="shared" si="22"/>
        <v>0</v>
      </c>
    </row>
    <row r="88" spans="2:55" s="7" customFormat="1" ht="12.75" x14ac:dyDescent="0.2">
      <c r="B88" s="33"/>
      <c r="C88" s="31"/>
      <c r="D88" s="40"/>
      <c r="E88" s="6" t="str">
        <f>IF(F88=1,IF(ISERROR(TableCosts[[#This Row],[N_Tariff]]),Err_Message1,IF(TableCosts[[#This Row],[N_Tariff]]=0,Err_Message2,VLOOKUP(C88&amp;TableCosts[[#This Row],[Calc_N_Typ]],TRAN_STRITEMS_LABEL,5,FALSE))),"")</f>
        <v/>
      </c>
      <c r="F88" s="6">
        <f t="shared" si="26"/>
        <v>0</v>
      </c>
      <c r="G88" s="6" t="str">
        <f>IF(F88=1,IFERROR(VLOOKUP(E88,Tab_ErrMessage[],2,0),VLOOKUP(C88&amp;TableCosts[[#This Row],[Calc_N_Typ]],TRAN_STRITEMS_LABEL,4,FALSE)),"")</f>
        <v/>
      </c>
      <c r="H88" s="40"/>
      <c r="I88" s="40"/>
      <c r="J88" s="35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K88" s="38">
        <f t="array" ref="AK88">IF(F88=1,SUM((ROW(M0)=ROW(AK88))*(M0+M1_+M2_+M3_+M4_+M5_+M6_+M7_+M8_+M9_+M10_+M11_+M12_+M13_+M14_+M15_+M16_+M17_+M18_+M19_+M20_+M21_+M22_+M23_+M24_+M25_)),0)</f>
        <v>0</v>
      </c>
      <c r="AL88" s="27">
        <f>TableCosts[[#This Row],[N_Direct]]</f>
        <v>0</v>
      </c>
      <c r="AN88" s="7" t="str">
        <f t="shared" si="23"/>
        <v/>
      </c>
      <c r="AO88" s="7" t="str">
        <f t="shared" si="15"/>
        <v/>
      </c>
      <c r="AP88" s="7" t="str">
        <f t="shared" si="24"/>
        <v/>
      </c>
      <c r="AQ88" s="7" t="str">
        <f t="shared" si="16"/>
        <v/>
      </c>
      <c r="AR88" s="7" t="str">
        <f t="shared" si="25"/>
        <v/>
      </c>
      <c r="AS88" s="7">
        <f t="shared" si="17"/>
        <v>0</v>
      </c>
      <c r="AT88" s="17">
        <f>TableCosts[[#This Row],[N_Amount]]*TableCosts[[#This Row],[N_Tariff]]*TableCosts[[#This Row],[N_ItemsCount]]</f>
        <v>0</v>
      </c>
      <c r="AU88" s="17">
        <f>IF(F88=1,IF(TableCosts[[#This Row],[N_Kateg]]="interné práce",TableCosts[[#This Row],[N_Amount]]*8*PAR_SGA_PERHOUR,0),0)</f>
        <v>0</v>
      </c>
      <c r="AV88" s="17">
        <f>SUM(TableCosts[[#This Row],[N_Direct]:[N_SGA]])</f>
        <v>0</v>
      </c>
      <c r="AW88" s="7">
        <f>IF(F88=1,IF(D88="",NA(),VLOOKUP(C88&amp;TableCosts[[#This Row],[Calc_N_Typ]],TRAN_STRITEMS_LABEL,7,0)),0)</f>
        <v>0</v>
      </c>
      <c r="AX88" s="7">
        <f t="shared" si="18"/>
        <v>0</v>
      </c>
      <c r="AY88" s="57" t="str">
        <f t="shared" si="19"/>
        <v/>
      </c>
      <c r="AZ88" s="57" t="str">
        <f t="shared" si="20"/>
        <v/>
      </c>
      <c r="BA88" s="57" t="str">
        <f>IF(F88=1,IF(TableCosts[[#This Row],[TransferFrom]]=TableCosts[[#This Row],[TranferTo]],0,1),"")</f>
        <v/>
      </c>
      <c r="BB88" s="7">
        <f t="shared" si="21"/>
        <v>0</v>
      </c>
      <c r="BC88" s="7">
        <f t="shared" si="22"/>
        <v>0</v>
      </c>
    </row>
    <row r="89" spans="2:55" s="7" customFormat="1" ht="12.75" x14ac:dyDescent="0.2">
      <c r="B89" s="33"/>
      <c r="C89" s="31"/>
      <c r="D89" s="40"/>
      <c r="E89" s="6" t="str">
        <f>IF(F89=1,IF(ISERROR(TableCosts[[#This Row],[N_Tariff]]),Err_Message1,IF(TableCosts[[#This Row],[N_Tariff]]=0,Err_Message2,VLOOKUP(C89&amp;TableCosts[[#This Row],[Calc_N_Typ]],TRAN_STRITEMS_LABEL,5,FALSE))),"")</f>
        <v/>
      </c>
      <c r="F89" s="6">
        <f t="shared" si="26"/>
        <v>0</v>
      </c>
      <c r="G89" s="6" t="str">
        <f>IF(F89=1,IFERROR(VLOOKUP(E89,Tab_ErrMessage[],2,0),VLOOKUP(C89&amp;TableCosts[[#This Row],[Calc_N_Typ]],TRAN_STRITEMS_LABEL,4,FALSE)),"")</f>
        <v/>
      </c>
      <c r="H89" s="40"/>
      <c r="I89" s="40"/>
      <c r="J89" s="35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24"/>
      <c r="AK89" s="38">
        <f t="array" ref="AK89">IF(F89=1,SUM((ROW(M0)=ROW(AK89))*(M0+M1_+M2_+M3_+M4_+M5_+M6_+M7_+M8_+M9_+M10_+M11_+M12_+M13_+M14_+M15_+M16_+M17_+M18_+M19_+M20_+M21_+M22_+M23_+M24_+M25_)),0)</f>
        <v>0</v>
      </c>
      <c r="AL89" s="27">
        <f>TableCosts[[#This Row],[N_Direct]]</f>
        <v>0</v>
      </c>
      <c r="AN89" s="7" t="str">
        <f t="shared" si="23"/>
        <v/>
      </c>
      <c r="AO89" s="7" t="str">
        <f t="shared" si="15"/>
        <v/>
      </c>
      <c r="AP89" s="7" t="str">
        <f t="shared" si="24"/>
        <v/>
      </c>
      <c r="AQ89" s="7" t="str">
        <f t="shared" si="16"/>
        <v/>
      </c>
      <c r="AR89" s="7" t="str">
        <f t="shared" si="25"/>
        <v/>
      </c>
      <c r="AS89" s="7">
        <f t="shared" si="17"/>
        <v>0</v>
      </c>
      <c r="AT89" s="17">
        <f>TableCosts[[#This Row],[N_Amount]]*TableCosts[[#This Row],[N_Tariff]]*TableCosts[[#This Row],[N_ItemsCount]]</f>
        <v>0</v>
      </c>
      <c r="AU89" s="17">
        <f>IF(F89=1,IF(TableCosts[[#This Row],[N_Kateg]]="interné práce",TableCosts[[#This Row],[N_Amount]]*8*PAR_SGA_PERHOUR,0),0)</f>
        <v>0</v>
      </c>
      <c r="AV89" s="17">
        <f>SUM(TableCosts[[#This Row],[N_Direct]:[N_SGA]])</f>
        <v>0</v>
      </c>
      <c r="AW89" s="7">
        <f>IF(F89=1,IF(D89="",NA(),VLOOKUP(C89&amp;TableCosts[[#This Row],[Calc_N_Typ]],TRAN_STRITEMS_LABEL,7,0)),0)</f>
        <v>0</v>
      </c>
      <c r="AX89" s="7">
        <f t="shared" si="18"/>
        <v>0</v>
      </c>
      <c r="AY89" s="57" t="str">
        <f t="shared" si="19"/>
        <v/>
      </c>
      <c r="AZ89" s="57" t="str">
        <f t="shared" si="20"/>
        <v/>
      </c>
      <c r="BA89" s="57" t="str">
        <f>IF(F89=1,IF(TableCosts[[#This Row],[TransferFrom]]=TableCosts[[#This Row],[TranferTo]],0,1),"")</f>
        <v/>
      </c>
      <c r="BB89" s="7">
        <f t="shared" si="21"/>
        <v>0</v>
      </c>
      <c r="BC89" s="7">
        <f t="shared" si="22"/>
        <v>0</v>
      </c>
    </row>
    <row r="90" spans="2:55" s="7" customFormat="1" ht="12.75" x14ac:dyDescent="0.2">
      <c r="B90" s="33"/>
      <c r="C90" s="31"/>
      <c r="D90" s="40"/>
      <c r="E90" s="6" t="str">
        <f>IF(F90=1,IF(ISERROR(TableCosts[[#This Row],[N_Tariff]]),Err_Message1,IF(TableCosts[[#This Row],[N_Tariff]]=0,Err_Message2,VLOOKUP(C90&amp;TableCosts[[#This Row],[Calc_N_Typ]],TRAN_STRITEMS_LABEL,5,FALSE))),"")</f>
        <v/>
      </c>
      <c r="F90" s="6">
        <f t="shared" si="26"/>
        <v>0</v>
      </c>
      <c r="G90" s="6" t="str">
        <f>IF(F90=1,IFERROR(VLOOKUP(E90,Tab_ErrMessage[],2,0),VLOOKUP(C90&amp;TableCosts[[#This Row],[Calc_N_Typ]],TRAN_STRITEMS_LABEL,4,FALSE)),"")</f>
        <v/>
      </c>
      <c r="H90" s="40"/>
      <c r="I90" s="40"/>
      <c r="J90" s="35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24"/>
      <c r="AK90" s="38">
        <f t="array" ref="AK90">IF(F90=1,SUM((ROW(M0)=ROW(AK90))*(M0+M1_+M2_+M3_+M4_+M5_+M6_+M7_+M8_+M9_+M10_+M11_+M12_+M13_+M14_+M15_+M16_+M17_+M18_+M19_+M20_+M21_+M22_+M23_+M24_+M25_)),0)</f>
        <v>0</v>
      </c>
      <c r="AL90" s="27">
        <f>TableCosts[[#This Row],[N_Direct]]</f>
        <v>0</v>
      </c>
      <c r="AN90" s="7" t="str">
        <f t="shared" si="23"/>
        <v/>
      </c>
      <c r="AO90" s="7" t="str">
        <f t="shared" si="15"/>
        <v/>
      </c>
      <c r="AP90" s="7" t="str">
        <f t="shared" si="24"/>
        <v/>
      </c>
      <c r="AQ90" s="7" t="str">
        <f t="shared" si="16"/>
        <v/>
      </c>
      <c r="AR90" s="7" t="str">
        <f t="shared" si="25"/>
        <v/>
      </c>
      <c r="AS90" s="7">
        <f t="shared" si="17"/>
        <v>0</v>
      </c>
      <c r="AT90" s="17">
        <f>TableCosts[[#This Row],[N_Amount]]*TableCosts[[#This Row],[N_Tariff]]*TableCosts[[#This Row],[N_ItemsCount]]</f>
        <v>0</v>
      </c>
      <c r="AU90" s="17">
        <f>IF(F90=1,IF(TableCosts[[#This Row],[N_Kateg]]="interné práce",TableCosts[[#This Row],[N_Amount]]*8*PAR_SGA_PERHOUR,0),0)</f>
        <v>0</v>
      </c>
      <c r="AV90" s="17">
        <f>SUM(TableCosts[[#This Row],[N_Direct]:[N_SGA]])</f>
        <v>0</v>
      </c>
      <c r="AW90" s="7">
        <f>IF(F90=1,IF(D90="",NA(),VLOOKUP(C90&amp;TableCosts[[#This Row],[Calc_N_Typ]],TRAN_STRITEMS_LABEL,7,0)),0)</f>
        <v>0</v>
      </c>
      <c r="AX90" s="7">
        <f t="shared" si="18"/>
        <v>0</v>
      </c>
      <c r="AY90" s="57" t="str">
        <f t="shared" si="19"/>
        <v/>
      </c>
      <c r="AZ90" s="57" t="str">
        <f t="shared" si="20"/>
        <v/>
      </c>
      <c r="BA90" s="57" t="str">
        <f>IF(F90=1,IF(TableCosts[[#This Row],[TransferFrom]]=TableCosts[[#This Row],[TranferTo]],0,1),"")</f>
        <v/>
      </c>
      <c r="BB90" s="7">
        <f t="shared" si="21"/>
        <v>0</v>
      </c>
      <c r="BC90" s="7">
        <f t="shared" si="22"/>
        <v>0</v>
      </c>
    </row>
    <row r="91" spans="2:55" s="7" customFormat="1" ht="12.75" x14ac:dyDescent="0.2">
      <c r="B91" s="33"/>
      <c r="C91" s="31"/>
      <c r="D91" s="40"/>
      <c r="E91" s="6" t="str">
        <f>IF(F91=1,IF(ISERROR(TableCosts[[#This Row],[N_Tariff]]),Err_Message1,IF(TableCosts[[#This Row],[N_Tariff]]=0,Err_Message2,VLOOKUP(C91&amp;TableCosts[[#This Row],[Calc_N_Typ]],TRAN_STRITEMS_LABEL,5,FALSE))),"")</f>
        <v/>
      </c>
      <c r="F91" s="6">
        <f t="shared" si="26"/>
        <v>0</v>
      </c>
      <c r="G91" s="6" t="str">
        <f>IF(F91=1,IFERROR(VLOOKUP(E91,Tab_ErrMessage[],2,0),VLOOKUP(C91&amp;TableCosts[[#This Row],[Calc_N_Typ]],TRAN_STRITEMS_LABEL,4,FALSE)),"")</f>
        <v/>
      </c>
      <c r="H91" s="40"/>
      <c r="I91" s="40"/>
      <c r="J91" s="35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K91" s="38">
        <f t="array" ref="AK91">IF(F91=1,SUM((ROW(M0)=ROW(AK91))*(M0+M1_+M2_+M3_+M4_+M5_+M6_+M7_+M8_+M9_+M10_+M11_+M12_+M13_+M14_+M15_+M16_+M17_+M18_+M19_+M20_+M21_+M22_+M23_+M24_+M25_)),0)</f>
        <v>0</v>
      </c>
      <c r="AL91" s="27">
        <f>TableCosts[[#This Row],[N_Direct]]</f>
        <v>0</v>
      </c>
      <c r="AN91" s="7" t="str">
        <f t="shared" si="23"/>
        <v/>
      </c>
      <c r="AO91" s="7" t="str">
        <f t="shared" si="15"/>
        <v/>
      </c>
      <c r="AP91" s="7" t="str">
        <f t="shared" si="24"/>
        <v/>
      </c>
      <c r="AQ91" s="7" t="str">
        <f t="shared" si="16"/>
        <v/>
      </c>
      <c r="AR91" s="7" t="str">
        <f t="shared" si="25"/>
        <v/>
      </c>
      <c r="AS91" s="7">
        <f t="shared" si="17"/>
        <v>0</v>
      </c>
      <c r="AT91" s="17">
        <f>TableCosts[[#This Row],[N_Amount]]*TableCosts[[#This Row],[N_Tariff]]*TableCosts[[#This Row],[N_ItemsCount]]</f>
        <v>0</v>
      </c>
      <c r="AU91" s="17">
        <f>IF(F91=1,IF(TableCosts[[#This Row],[N_Kateg]]="interné práce",TableCosts[[#This Row],[N_Amount]]*8*PAR_SGA_PERHOUR,0),0)</f>
        <v>0</v>
      </c>
      <c r="AV91" s="17">
        <f>SUM(TableCosts[[#This Row],[N_Direct]:[N_SGA]])</f>
        <v>0</v>
      </c>
      <c r="AW91" s="7">
        <f>IF(F91=1,IF(D91="",NA(),VLOOKUP(C91&amp;TableCosts[[#This Row],[Calc_N_Typ]],TRAN_STRITEMS_LABEL,7,0)),0)</f>
        <v>0</v>
      </c>
      <c r="AX91" s="7">
        <f t="shared" si="18"/>
        <v>0</v>
      </c>
      <c r="AY91" s="57" t="str">
        <f t="shared" si="19"/>
        <v/>
      </c>
      <c r="AZ91" s="57" t="str">
        <f t="shared" si="20"/>
        <v/>
      </c>
      <c r="BA91" s="57" t="str">
        <f>IF(F91=1,IF(TableCosts[[#This Row],[TransferFrom]]=TableCosts[[#This Row],[TranferTo]],0,1),"")</f>
        <v/>
      </c>
      <c r="BB91" s="7">
        <f t="shared" si="21"/>
        <v>0</v>
      </c>
      <c r="BC91" s="7">
        <f t="shared" si="22"/>
        <v>0</v>
      </c>
    </row>
    <row r="92" spans="2:55" s="7" customFormat="1" ht="12.75" x14ac:dyDescent="0.2">
      <c r="B92" s="33"/>
      <c r="C92" s="31"/>
      <c r="D92" s="40"/>
      <c r="E92" s="6" t="str">
        <f>IF(F92=1,IF(ISERROR(TableCosts[[#This Row],[N_Tariff]]),Err_Message1,IF(TableCosts[[#This Row],[N_Tariff]]=0,Err_Message2,VLOOKUP(C92&amp;TableCosts[[#This Row],[Calc_N_Typ]],TRAN_STRITEMS_LABEL,5,FALSE))),"")</f>
        <v/>
      </c>
      <c r="F92" s="6">
        <f t="shared" si="26"/>
        <v>0</v>
      </c>
      <c r="G92" s="6" t="str">
        <f>IF(F92=1,IFERROR(VLOOKUP(E92,Tab_ErrMessage[],2,0),VLOOKUP(C92&amp;TableCosts[[#This Row],[Calc_N_Typ]],TRAN_STRITEMS_LABEL,4,FALSE)),"")</f>
        <v/>
      </c>
      <c r="H92" s="40"/>
      <c r="I92" s="40"/>
      <c r="J92" s="35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24"/>
      <c r="AK92" s="38">
        <f t="array" ref="AK92">IF(F92=1,SUM((ROW(M0)=ROW(AK92))*(M0+M1_+M2_+M3_+M4_+M5_+M6_+M7_+M8_+M9_+M10_+M11_+M12_+M13_+M14_+M15_+M16_+M17_+M18_+M19_+M20_+M21_+M22_+M23_+M24_+M25_)),0)</f>
        <v>0</v>
      </c>
      <c r="AL92" s="27">
        <f>TableCosts[[#This Row],[N_Direct]]</f>
        <v>0</v>
      </c>
      <c r="AN92" s="7" t="str">
        <f t="shared" si="23"/>
        <v/>
      </c>
      <c r="AO92" s="7" t="str">
        <f t="shared" si="15"/>
        <v/>
      </c>
      <c r="AP92" s="7" t="str">
        <f t="shared" si="24"/>
        <v/>
      </c>
      <c r="AQ92" s="7" t="str">
        <f t="shared" si="16"/>
        <v/>
      </c>
      <c r="AR92" s="7" t="str">
        <f t="shared" si="25"/>
        <v/>
      </c>
      <c r="AS92" s="7">
        <f t="shared" si="17"/>
        <v>0</v>
      </c>
      <c r="AT92" s="17">
        <f>TableCosts[[#This Row],[N_Amount]]*TableCosts[[#This Row],[N_Tariff]]*TableCosts[[#This Row],[N_ItemsCount]]</f>
        <v>0</v>
      </c>
      <c r="AU92" s="17">
        <f>IF(F92=1,IF(TableCosts[[#This Row],[N_Kateg]]="interné práce",TableCosts[[#This Row],[N_Amount]]*8*PAR_SGA_PERHOUR,0),0)</f>
        <v>0</v>
      </c>
      <c r="AV92" s="17">
        <f>SUM(TableCosts[[#This Row],[N_Direct]:[N_SGA]])</f>
        <v>0</v>
      </c>
      <c r="AW92" s="7">
        <f>IF(F92=1,IF(D92="",NA(),VLOOKUP(C92&amp;TableCosts[[#This Row],[Calc_N_Typ]],TRAN_STRITEMS_LABEL,7,0)),0)</f>
        <v>0</v>
      </c>
      <c r="AX92" s="7">
        <f t="shared" si="18"/>
        <v>0</v>
      </c>
      <c r="AY92" s="57" t="str">
        <f t="shared" si="19"/>
        <v/>
      </c>
      <c r="AZ92" s="57" t="str">
        <f t="shared" si="20"/>
        <v/>
      </c>
      <c r="BA92" s="57" t="str">
        <f>IF(F92=1,IF(TableCosts[[#This Row],[TransferFrom]]=TableCosts[[#This Row],[TranferTo]],0,1),"")</f>
        <v/>
      </c>
      <c r="BB92" s="7">
        <f t="shared" si="21"/>
        <v>0</v>
      </c>
      <c r="BC92" s="7">
        <f t="shared" si="22"/>
        <v>0</v>
      </c>
    </row>
    <row r="93" spans="2:55" s="7" customFormat="1" ht="12.75" x14ac:dyDescent="0.2">
      <c r="B93" s="33"/>
      <c r="C93" s="31"/>
      <c r="D93" s="40"/>
      <c r="E93" s="6" t="str">
        <f>IF(F93=1,IF(ISERROR(TableCosts[[#This Row],[N_Tariff]]),Err_Message1,IF(TableCosts[[#This Row],[N_Tariff]]=0,Err_Message2,VLOOKUP(C93&amp;TableCosts[[#This Row],[Calc_N_Typ]],TRAN_STRITEMS_LABEL,5,FALSE))),"")</f>
        <v/>
      </c>
      <c r="F93" s="6">
        <f t="shared" si="26"/>
        <v>0</v>
      </c>
      <c r="G93" s="6" t="str">
        <f>IF(F93=1,IFERROR(VLOOKUP(E93,Tab_ErrMessage[],2,0),VLOOKUP(C93&amp;TableCosts[[#This Row],[Calc_N_Typ]],TRAN_STRITEMS_LABEL,4,FALSE)),"")</f>
        <v/>
      </c>
      <c r="H93" s="40"/>
      <c r="I93" s="40"/>
      <c r="J93" s="35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K93" s="38">
        <f t="array" ref="AK93">IF(F93=1,SUM((ROW(M0)=ROW(AK93))*(M0+M1_+M2_+M3_+M4_+M5_+M6_+M7_+M8_+M9_+M10_+M11_+M12_+M13_+M14_+M15_+M16_+M17_+M18_+M19_+M20_+M21_+M22_+M23_+M24_+M25_)),0)</f>
        <v>0</v>
      </c>
      <c r="AL93" s="27">
        <f>TableCosts[[#This Row],[N_Direct]]</f>
        <v>0</v>
      </c>
      <c r="AN93" s="7" t="str">
        <f t="shared" si="23"/>
        <v/>
      </c>
      <c r="AO93" s="7" t="str">
        <f t="shared" si="15"/>
        <v/>
      </c>
      <c r="AP93" s="7" t="str">
        <f t="shared" si="24"/>
        <v/>
      </c>
      <c r="AQ93" s="7" t="str">
        <f t="shared" si="16"/>
        <v/>
      </c>
      <c r="AR93" s="7" t="str">
        <f t="shared" si="25"/>
        <v/>
      </c>
      <c r="AS93" s="7">
        <f t="shared" si="17"/>
        <v>0</v>
      </c>
      <c r="AT93" s="17">
        <f>TableCosts[[#This Row],[N_Amount]]*TableCosts[[#This Row],[N_Tariff]]*TableCosts[[#This Row],[N_ItemsCount]]</f>
        <v>0</v>
      </c>
      <c r="AU93" s="17">
        <f>IF(F93=1,IF(TableCosts[[#This Row],[N_Kateg]]="interné práce",TableCosts[[#This Row],[N_Amount]]*8*PAR_SGA_PERHOUR,0),0)</f>
        <v>0</v>
      </c>
      <c r="AV93" s="17">
        <f>SUM(TableCosts[[#This Row],[N_Direct]:[N_SGA]])</f>
        <v>0</v>
      </c>
      <c r="AW93" s="7">
        <f>IF(F93=1,IF(D93="",NA(),VLOOKUP(C93&amp;TableCosts[[#This Row],[Calc_N_Typ]],TRAN_STRITEMS_LABEL,7,0)),0)</f>
        <v>0</v>
      </c>
      <c r="AX93" s="7">
        <f t="shared" si="18"/>
        <v>0</v>
      </c>
      <c r="AY93" s="57" t="str">
        <f t="shared" si="19"/>
        <v/>
      </c>
      <c r="AZ93" s="57" t="str">
        <f t="shared" si="20"/>
        <v/>
      </c>
      <c r="BA93" s="57" t="str">
        <f>IF(F93=1,IF(TableCosts[[#This Row],[TransferFrom]]=TableCosts[[#This Row],[TranferTo]],0,1),"")</f>
        <v/>
      </c>
      <c r="BB93" s="7">
        <f t="shared" si="21"/>
        <v>0</v>
      </c>
      <c r="BC93" s="7">
        <f t="shared" si="22"/>
        <v>0</v>
      </c>
    </row>
    <row r="94" spans="2:55" s="7" customFormat="1" ht="12.75" x14ac:dyDescent="0.2">
      <c r="B94" s="33"/>
      <c r="C94" s="31"/>
      <c r="D94" s="40"/>
      <c r="E94" s="6" t="str">
        <f>IF(F94=1,IF(ISERROR(TableCosts[[#This Row],[N_Tariff]]),Err_Message1,IF(TableCosts[[#This Row],[N_Tariff]]=0,Err_Message2,VLOOKUP(C94&amp;TableCosts[[#This Row],[Calc_N_Typ]],TRAN_STRITEMS_LABEL,5,FALSE))),"")</f>
        <v/>
      </c>
      <c r="F94" s="6">
        <f t="shared" si="26"/>
        <v>0</v>
      </c>
      <c r="G94" s="6" t="str">
        <f>IF(F94=1,IFERROR(VLOOKUP(E94,Tab_ErrMessage[],2,0),VLOOKUP(C94&amp;TableCosts[[#This Row],[Calc_N_Typ]],TRAN_STRITEMS_LABEL,4,FALSE)),"")</f>
        <v/>
      </c>
      <c r="H94" s="40"/>
      <c r="I94" s="40"/>
      <c r="J94" s="35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4"/>
      <c r="AI94" s="24"/>
      <c r="AJ94" s="24"/>
      <c r="AK94" s="38">
        <f t="array" ref="AK94">IF(F94=1,SUM((ROW(M0)=ROW(AK94))*(M0+M1_+M2_+M3_+M4_+M5_+M6_+M7_+M8_+M9_+M10_+M11_+M12_+M13_+M14_+M15_+M16_+M17_+M18_+M19_+M20_+M21_+M22_+M23_+M24_+M25_)),0)</f>
        <v>0</v>
      </c>
      <c r="AL94" s="27">
        <f>TableCosts[[#This Row],[N_Direct]]</f>
        <v>0</v>
      </c>
      <c r="AN94" s="7" t="str">
        <f t="shared" si="23"/>
        <v/>
      </c>
      <c r="AO94" s="7" t="str">
        <f t="shared" si="15"/>
        <v/>
      </c>
      <c r="AP94" s="7" t="str">
        <f t="shared" si="24"/>
        <v/>
      </c>
      <c r="AQ94" s="7" t="str">
        <f t="shared" si="16"/>
        <v/>
      </c>
      <c r="AR94" s="7" t="str">
        <f t="shared" si="25"/>
        <v/>
      </c>
      <c r="AS94" s="7">
        <f t="shared" si="17"/>
        <v>0</v>
      </c>
      <c r="AT94" s="17">
        <f>TableCosts[[#This Row],[N_Amount]]*TableCosts[[#This Row],[N_Tariff]]*TableCosts[[#This Row],[N_ItemsCount]]</f>
        <v>0</v>
      </c>
      <c r="AU94" s="17">
        <f>IF(F94=1,IF(TableCosts[[#This Row],[N_Kateg]]="interné práce",TableCosts[[#This Row],[N_Amount]]*8*PAR_SGA_PERHOUR,0),0)</f>
        <v>0</v>
      </c>
      <c r="AV94" s="17">
        <f>SUM(TableCosts[[#This Row],[N_Direct]:[N_SGA]])</f>
        <v>0</v>
      </c>
      <c r="AW94" s="7">
        <f>IF(F94=1,IF(D94="",NA(),VLOOKUP(C94&amp;TableCosts[[#This Row],[Calc_N_Typ]],TRAN_STRITEMS_LABEL,7,0)),0)</f>
        <v>0</v>
      </c>
      <c r="AX94" s="7">
        <f t="shared" si="18"/>
        <v>0</v>
      </c>
      <c r="AY94" s="57" t="str">
        <f t="shared" si="19"/>
        <v/>
      </c>
      <c r="AZ94" s="57" t="str">
        <f t="shared" si="20"/>
        <v/>
      </c>
      <c r="BA94" s="57" t="str">
        <f>IF(F94=1,IF(TableCosts[[#This Row],[TransferFrom]]=TableCosts[[#This Row],[TranferTo]],0,1),"")</f>
        <v/>
      </c>
      <c r="BB94" s="7">
        <f t="shared" si="21"/>
        <v>0</v>
      </c>
      <c r="BC94" s="7">
        <f t="shared" si="22"/>
        <v>0</v>
      </c>
    </row>
    <row r="95" spans="2:55" s="7" customFormat="1" ht="12.75" x14ac:dyDescent="0.2">
      <c r="B95" s="33"/>
      <c r="C95" s="31"/>
      <c r="D95" s="40"/>
      <c r="E95" s="6" t="str">
        <f>IF(F95=1,IF(ISERROR(TableCosts[[#This Row],[N_Tariff]]),Err_Message1,IF(TableCosts[[#This Row],[N_Tariff]]=0,Err_Message2,VLOOKUP(C95&amp;TableCosts[[#This Row],[Calc_N_Typ]],TRAN_STRITEMS_LABEL,5,FALSE))),"")</f>
        <v/>
      </c>
      <c r="F95" s="6">
        <f t="shared" si="26"/>
        <v>0</v>
      </c>
      <c r="G95" s="6" t="str">
        <f>IF(F95=1,IFERROR(VLOOKUP(E95,Tab_ErrMessage[],2,0),VLOOKUP(C95&amp;TableCosts[[#This Row],[Calc_N_Typ]],TRAN_STRITEMS_LABEL,4,FALSE)),"")</f>
        <v/>
      </c>
      <c r="H95" s="40"/>
      <c r="I95" s="40"/>
      <c r="J95" s="35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4"/>
      <c r="AI95" s="24"/>
      <c r="AJ95" s="24"/>
      <c r="AK95" s="38">
        <f t="array" ref="AK95">IF(F95=1,SUM((ROW(M0)=ROW(AK95))*(M0+M1_+M2_+M3_+M4_+M5_+M6_+M7_+M8_+M9_+M10_+M11_+M12_+M13_+M14_+M15_+M16_+M17_+M18_+M19_+M20_+M21_+M22_+M23_+M24_+M25_)),0)</f>
        <v>0</v>
      </c>
      <c r="AL95" s="27">
        <f>TableCosts[[#This Row],[N_Direct]]</f>
        <v>0</v>
      </c>
      <c r="AN95" s="7" t="str">
        <f t="shared" si="23"/>
        <v/>
      </c>
      <c r="AO95" s="7" t="str">
        <f t="shared" si="15"/>
        <v/>
      </c>
      <c r="AP95" s="7" t="str">
        <f t="shared" si="24"/>
        <v/>
      </c>
      <c r="AQ95" s="7" t="str">
        <f t="shared" si="16"/>
        <v/>
      </c>
      <c r="AR95" s="7" t="str">
        <f t="shared" si="25"/>
        <v/>
      </c>
      <c r="AS95" s="7">
        <f t="shared" si="17"/>
        <v>0</v>
      </c>
      <c r="AT95" s="17">
        <f>TableCosts[[#This Row],[N_Amount]]*TableCosts[[#This Row],[N_Tariff]]*TableCosts[[#This Row],[N_ItemsCount]]</f>
        <v>0</v>
      </c>
      <c r="AU95" s="17">
        <f>IF(F95=1,IF(TableCosts[[#This Row],[N_Kateg]]="interné práce",TableCosts[[#This Row],[N_Amount]]*8*PAR_SGA_PERHOUR,0),0)</f>
        <v>0</v>
      </c>
      <c r="AV95" s="17">
        <f>SUM(TableCosts[[#This Row],[N_Direct]:[N_SGA]])</f>
        <v>0</v>
      </c>
      <c r="AW95" s="7">
        <f>IF(F95=1,IF(D95="",NA(),VLOOKUP(C95&amp;TableCosts[[#This Row],[Calc_N_Typ]],TRAN_STRITEMS_LABEL,7,0)),0)</f>
        <v>0</v>
      </c>
      <c r="AX95" s="7">
        <f t="shared" si="18"/>
        <v>0</v>
      </c>
      <c r="AY95" s="57" t="str">
        <f t="shared" si="19"/>
        <v/>
      </c>
      <c r="AZ95" s="57" t="str">
        <f t="shared" si="20"/>
        <v/>
      </c>
      <c r="BA95" s="57" t="str">
        <f>IF(F95=1,IF(TableCosts[[#This Row],[TransferFrom]]=TableCosts[[#This Row],[TranferTo]],0,1),"")</f>
        <v/>
      </c>
      <c r="BB95" s="7">
        <f t="shared" si="21"/>
        <v>0</v>
      </c>
      <c r="BC95" s="7">
        <f t="shared" si="22"/>
        <v>0</v>
      </c>
    </row>
    <row r="96" spans="2:55" s="7" customFormat="1" ht="12.75" x14ac:dyDescent="0.2">
      <c r="B96" s="33"/>
      <c r="C96" s="31"/>
      <c r="D96" s="40"/>
      <c r="E96" s="6" t="str">
        <f>IF(F96=1,IF(ISERROR(TableCosts[[#This Row],[N_Tariff]]),Err_Message1,IF(TableCosts[[#This Row],[N_Tariff]]=0,Err_Message2,VLOOKUP(C96&amp;TableCosts[[#This Row],[Calc_N_Typ]],TRAN_STRITEMS_LABEL,5,FALSE))),"")</f>
        <v/>
      </c>
      <c r="F96" s="6">
        <f t="shared" si="26"/>
        <v>0</v>
      </c>
      <c r="G96" s="6" t="str">
        <f>IF(F96=1,IFERROR(VLOOKUP(E96,Tab_ErrMessage[],2,0),VLOOKUP(C96&amp;TableCosts[[#This Row],[Calc_N_Typ]],TRAN_STRITEMS_LABEL,4,FALSE)),"")</f>
        <v/>
      </c>
      <c r="H96" s="40"/>
      <c r="I96" s="40"/>
      <c r="J96" s="35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4"/>
      <c r="AI96" s="24"/>
      <c r="AJ96" s="24"/>
      <c r="AK96" s="38">
        <f t="array" ref="AK96">IF(F96=1,SUM((ROW(M0)=ROW(AK96))*(M0+M1_+M2_+M3_+M4_+M5_+M6_+M7_+M8_+M9_+M10_+M11_+M12_+M13_+M14_+M15_+M16_+M17_+M18_+M19_+M20_+M21_+M22_+M23_+M24_+M25_)),0)</f>
        <v>0</v>
      </c>
      <c r="AL96" s="27">
        <f>TableCosts[[#This Row],[N_Direct]]</f>
        <v>0</v>
      </c>
      <c r="AN96" s="7" t="str">
        <f t="shared" si="23"/>
        <v/>
      </c>
      <c r="AO96" s="7" t="str">
        <f t="shared" si="15"/>
        <v/>
      </c>
      <c r="AP96" s="7" t="str">
        <f t="shared" si="24"/>
        <v/>
      </c>
      <c r="AQ96" s="7" t="str">
        <f t="shared" si="16"/>
        <v/>
      </c>
      <c r="AR96" s="7" t="str">
        <f t="shared" si="25"/>
        <v/>
      </c>
      <c r="AS96" s="7">
        <f t="shared" si="17"/>
        <v>0</v>
      </c>
      <c r="AT96" s="17">
        <f>TableCosts[[#This Row],[N_Amount]]*TableCosts[[#This Row],[N_Tariff]]*TableCosts[[#This Row],[N_ItemsCount]]</f>
        <v>0</v>
      </c>
      <c r="AU96" s="17">
        <f>IF(F96=1,IF(TableCosts[[#This Row],[N_Kateg]]="interné práce",TableCosts[[#This Row],[N_Amount]]*8*PAR_SGA_PERHOUR,0),0)</f>
        <v>0</v>
      </c>
      <c r="AV96" s="17">
        <f>SUM(TableCosts[[#This Row],[N_Direct]:[N_SGA]])</f>
        <v>0</v>
      </c>
      <c r="AW96" s="7">
        <f>IF(F96=1,IF(D96="",NA(),VLOOKUP(C96&amp;TableCosts[[#This Row],[Calc_N_Typ]],TRAN_STRITEMS_LABEL,7,0)),0)</f>
        <v>0</v>
      </c>
      <c r="AX96" s="7">
        <f t="shared" si="18"/>
        <v>0</v>
      </c>
      <c r="AY96" s="57" t="str">
        <f t="shared" si="19"/>
        <v/>
      </c>
      <c r="AZ96" s="57" t="str">
        <f t="shared" si="20"/>
        <v/>
      </c>
      <c r="BA96" s="57" t="str">
        <f>IF(F96=1,IF(TableCosts[[#This Row],[TransferFrom]]=TableCosts[[#This Row],[TranferTo]],0,1),"")</f>
        <v/>
      </c>
      <c r="BB96" s="7">
        <f t="shared" si="21"/>
        <v>0</v>
      </c>
      <c r="BC96" s="7">
        <f t="shared" si="22"/>
        <v>0</v>
      </c>
    </row>
    <row r="97" spans="2:55" s="7" customFormat="1" ht="12.75" x14ac:dyDescent="0.2">
      <c r="B97" s="33"/>
      <c r="C97" s="31"/>
      <c r="D97" s="40"/>
      <c r="E97" s="6" t="str">
        <f>IF(F97=1,IF(ISERROR(TableCosts[[#This Row],[N_Tariff]]),Err_Message1,IF(TableCosts[[#This Row],[N_Tariff]]=0,Err_Message2,VLOOKUP(C97&amp;TableCosts[[#This Row],[Calc_N_Typ]],TRAN_STRITEMS_LABEL,5,FALSE))),"")</f>
        <v/>
      </c>
      <c r="F97" s="6">
        <f t="shared" si="26"/>
        <v>0</v>
      </c>
      <c r="G97" s="6" t="str">
        <f>IF(F97=1,IFERROR(VLOOKUP(E97,Tab_ErrMessage[],2,0),VLOOKUP(C97&amp;TableCosts[[#This Row],[Calc_N_Typ]],TRAN_STRITEMS_LABEL,4,FALSE)),"")</f>
        <v/>
      </c>
      <c r="H97" s="40"/>
      <c r="I97" s="40"/>
      <c r="J97" s="35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4"/>
      <c r="AI97" s="24"/>
      <c r="AJ97" s="24"/>
      <c r="AK97" s="38">
        <f t="array" ref="AK97">IF(F97=1,SUM((ROW(M0)=ROW(AK97))*(M0+M1_+M2_+M3_+M4_+M5_+M6_+M7_+M8_+M9_+M10_+M11_+M12_+M13_+M14_+M15_+M16_+M17_+M18_+M19_+M20_+M21_+M22_+M23_+M24_+M25_)),0)</f>
        <v>0</v>
      </c>
      <c r="AL97" s="27">
        <f>TableCosts[[#This Row],[N_Direct]]</f>
        <v>0</v>
      </c>
      <c r="AN97" s="7" t="str">
        <f t="shared" si="23"/>
        <v/>
      </c>
      <c r="AO97" s="7" t="str">
        <f t="shared" si="15"/>
        <v/>
      </c>
      <c r="AP97" s="7" t="str">
        <f t="shared" si="24"/>
        <v/>
      </c>
      <c r="AQ97" s="7" t="str">
        <f t="shared" si="16"/>
        <v/>
      </c>
      <c r="AR97" s="7" t="str">
        <f t="shared" si="25"/>
        <v/>
      </c>
      <c r="AS97" s="7">
        <f t="shared" si="17"/>
        <v>0</v>
      </c>
      <c r="AT97" s="17">
        <f>TableCosts[[#This Row],[N_Amount]]*TableCosts[[#This Row],[N_Tariff]]*TableCosts[[#This Row],[N_ItemsCount]]</f>
        <v>0</v>
      </c>
      <c r="AU97" s="17">
        <f>IF(F97=1,IF(TableCosts[[#This Row],[N_Kateg]]="interné práce",TableCosts[[#This Row],[N_Amount]]*8*PAR_SGA_PERHOUR,0),0)</f>
        <v>0</v>
      </c>
      <c r="AV97" s="17">
        <f>SUM(TableCosts[[#This Row],[N_Direct]:[N_SGA]])</f>
        <v>0</v>
      </c>
      <c r="AW97" s="7">
        <f>IF(F97=1,IF(D97="",NA(),VLOOKUP(C97&amp;TableCosts[[#This Row],[Calc_N_Typ]],TRAN_STRITEMS_LABEL,7,0)),0)</f>
        <v>0</v>
      </c>
      <c r="AX97" s="7">
        <f t="shared" si="18"/>
        <v>0</v>
      </c>
      <c r="AY97" s="57" t="str">
        <f t="shared" si="19"/>
        <v/>
      </c>
      <c r="AZ97" s="57" t="str">
        <f t="shared" si="20"/>
        <v/>
      </c>
      <c r="BA97" s="57" t="str">
        <f>IF(F97=1,IF(TableCosts[[#This Row],[TransferFrom]]=TableCosts[[#This Row],[TranferTo]],0,1),"")</f>
        <v/>
      </c>
      <c r="BB97" s="7">
        <f t="shared" si="21"/>
        <v>0</v>
      </c>
      <c r="BC97" s="7">
        <f t="shared" si="22"/>
        <v>0</v>
      </c>
    </row>
    <row r="98" spans="2:55" s="7" customFormat="1" ht="12.75" x14ac:dyDescent="0.2">
      <c r="B98" s="33"/>
      <c r="C98" s="31"/>
      <c r="D98" s="40"/>
      <c r="E98" s="6" t="str">
        <f>IF(F98=1,IF(ISERROR(TableCosts[[#This Row],[N_Tariff]]),Err_Message1,IF(TableCosts[[#This Row],[N_Tariff]]=0,Err_Message2,VLOOKUP(C98&amp;TableCosts[[#This Row],[Calc_N_Typ]],TRAN_STRITEMS_LABEL,5,FALSE))),"")</f>
        <v/>
      </c>
      <c r="F98" s="6">
        <f t="shared" si="26"/>
        <v>0</v>
      </c>
      <c r="G98" s="6" t="str">
        <f>IF(F98=1,IFERROR(VLOOKUP(E98,Tab_ErrMessage[],2,0),VLOOKUP(C98&amp;TableCosts[[#This Row],[Calc_N_Typ]],TRAN_STRITEMS_LABEL,4,FALSE)),"")</f>
        <v/>
      </c>
      <c r="H98" s="40"/>
      <c r="I98" s="40"/>
      <c r="J98" s="35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4"/>
      <c r="AI98" s="24"/>
      <c r="AJ98" s="24"/>
      <c r="AK98" s="38">
        <f t="array" ref="AK98">IF(F98=1,SUM((ROW(M0)=ROW(AK98))*(M0+M1_+M2_+M3_+M4_+M5_+M6_+M7_+M8_+M9_+M10_+M11_+M12_+M13_+M14_+M15_+M16_+M17_+M18_+M19_+M20_+M21_+M22_+M23_+M24_+M25_)),0)</f>
        <v>0</v>
      </c>
      <c r="AL98" s="27">
        <f>TableCosts[[#This Row],[N_Direct]]</f>
        <v>0</v>
      </c>
      <c r="AN98" s="7" t="str">
        <f t="shared" si="23"/>
        <v/>
      </c>
      <c r="AO98" s="7" t="str">
        <f t="shared" si="15"/>
        <v/>
      </c>
      <c r="AP98" s="7" t="str">
        <f t="shared" si="24"/>
        <v/>
      </c>
      <c r="AQ98" s="7" t="str">
        <f t="shared" si="16"/>
        <v/>
      </c>
      <c r="AR98" s="7" t="str">
        <f t="shared" si="25"/>
        <v/>
      </c>
      <c r="AS98" s="7">
        <f t="shared" si="17"/>
        <v>0</v>
      </c>
      <c r="AT98" s="17">
        <f>TableCosts[[#This Row],[N_Amount]]*TableCosts[[#This Row],[N_Tariff]]*TableCosts[[#This Row],[N_ItemsCount]]</f>
        <v>0</v>
      </c>
      <c r="AU98" s="17">
        <f>IF(F98=1,IF(TableCosts[[#This Row],[N_Kateg]]="interné práce",TableCosts[[#This Row],[N_Amount]]*8*PAR_SGA_PERHOUR,0),0)</f>
        <v>0</v>
      </c>
      <c r="AV98" s="17">
        <f>SUM(TableCosts[[#This Row],[N_Direct]:[N_SGA]])</f>
        <v>0</v>
      </c>
      <c r="AW98" s="7">
        <f>IF(F98=1,IF(D98="",NA(),VLOOKUP(C98&amp;TableCosts[[#This Row],[Calc_N_Typ]],TRAN_STRITEMS_LABEL,7,0)),0)</f>
        <v>0</v>
      </c>
      <c r="AX98" s="7">
        <f t="shared" si="18"/>
        <v>0</v>
      </c>
      <c r="AY98" s="57" t="str">
        <f t="shared" si="19"/>
        <v/>
      </c>
      <c r="AZ98" s="57" t="str">
        <f t="shared" si="20"/>
        <v/>
      </c>
      <c r="BA98" s="57" t="str">
        <f>IF(F98=1,IF(TableCosts[[#This Row],[TransferFrom]]=TableCosts[[#This Row],[TranferTo]],0,1),"")</f>
        <v/>
      </c>
      <c r="BB98" s="7">
        <f t="shared" si="21"/>
        <v>0</v>
      </c>
      <c r="BC98" s="7">
        <f t="shared" si="22"/>
        <v>0</v>
      </c>
    </row>
    <row r="99" spans="2:55" s="7" customFormat="1" ht="12.75" x14ac:dyDescent="0.2">
      <c r="B99" s="33"/>
      <c r="C99" s="31"/>
      <c r="D99" s="40"/>
      <c r="E99" s="6" t="str">
        <f>IF(F99=1,IF(ISERROR(TableCosts[[#This Row],[N_Tariff]]),Err_Message1,IF(TableCosts[[#This Row],[N_Tariff]]=0,Err_Message2,VLOOKUP(C99&amp;TableCosts[[#This Row],[Calc_N_Typ]],TRAN_STRITEMS_LABEL,5,FALSE))),"")</f>
        <v/>
      </c>
      <c r="F99" s="6">
        <f t="shared" si="26"/>
        <v>0</v>
      </c>
      <c r="G99" s="6" t="str">
        <f>IF(F99=1,IFERROR(VLOOKUP(E99,Tab_ErrMessage[],2,0),VLOOKUP(C99&amp;TableCosts[[#This Row],[Calc_N_Typ]],TRAN_STRITEMS_LABEL,4,FALSE)),"")</f>
        <v/>
      </c>
      <c r="H99" s="40"/>
      <c r="I99" s="40"/>
      <c r="J99" s="35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4"/>
      <c r="AI99" s="24"/>
      <c r="AJ99" s="24"/>
      <c r="AK99" s="38">
        <f t="array" ref="AK99">IF(F99=1,SUM((ROW(M0)=ROW(AK99))*(M0+M1_+M2_+M3_+M4_+M5_+M6_+M7_+M8_+M9_+M10_+M11_+M12_+M13_+M14_+M15_+M16_+M17_+M18_+M19_+M20_+M21_+M22_+M23_+M24_+M25_)),0)</f>
        <v>0</v>
      </c>
      <c r="AL99" s="27">
        <f>TableCosts[[#This Row],[N_Direct]]</f>
        <v>0</v>
      </c>
      <c r="AN99" s="7" t="str">
        <f t="shared" si="23"/>
        <v/>
      </c>
      <c r="AO99" s="7" t="str">
        <f t="shared" si="15"/>
        <v/>
      </c>
      <c r="AP99" s="7" t="str">
        <f t="shared" si="24"/>
        <v/>
      </c>
      <c r="AQ99" s="7" t="str">
        <f t="shared" si="16"/>
        <v/>
      </c>
      <c r="AR99" s="7" t="str">
        <f t="shared" si="25"/>
        <v/>
      </c>
      <c r="AS99" s="7">
        <f t="shared" si="17"/>
        <v>0</v>
      </c>
      <c r="AT99" s="17">
        <f>TableCosts[[#This Row],[N_Amount]]*TableCosts[[#This Row],[N_Tariff]]*TableCosts[[#This Row],[N_ItemsCount]]</f>
        <v>0</v>
      </c>
      <c r="AU99" s="17">
        <f>IF(F99=1,IF(TableCosts[[#This Row],[N_Kateg]]="interné práce",TableCosts[[#This Row],[N_Amount]]*8*PAR_SGA_PERHOUR,0),0)</f>
        <v>0</v>
      </c>
      <c r="AV99" s="17">
        <f>SUM(TableCosts[[#This Row],[N_Direct]:[N_SGA]])</f>
        <v>0</v>
      </c>
      <c r="AW99" s="7">
        <f>IF(F99=1,IF(D99="",NA(),VLOOKUP(C99&amp;TableCosts[[#This Row],[Calc_N_Typ]],TRAN_STRITEMS_LABEL,7,0)),0)</f>
        <v>0</v>
      </c>
      <c r="AX99" s="7">
        <f t="shared" si="18"/>
        <v>0</v>
      </c>
      <c r="AY99" s="57" t="str">
        <f t="shared" si="19"/>
        <v/>
      </c>
      <c r="AZ99" s="57" t="str">
        <f t="shared" si="20"/>
        <v/>
      </c>
      <c r="BA99" s="57" t="str">
        <f>IF(F99=1,IF(TableCosts[[#This Row],[TransferFrom]]=TableCosts[[#This Row],[TranferTo]],0,1),"")</f>
        <v/>
      </c>
      <c r="BB99" s="7">
        <f t="shared" si="21"/>
        <v>0</v>
      </c>
      <c r="BC99" s="7">
        <f t="shared" si="22"/>
        <v>0</v>
      </c>
    </row>
    <row r="100" spans="2:55" s="7" customFormat="1" ht="12.75" x14ac:dyDescent="0.2">
      <c r="B100" s="33"/>
      <c r="C100" s="31"/>
      <c r="D100" s="40"/>
      <c r="E100" s="6" t="str">
        <f>IF(F100=1,IF(ISERROR(TableCosts[[#This Row],[N_Tariff]]),Err_Message1,IF(TableCosts[[#This Row],[N_Tariff]]=0,Err_Message2,VLOOKUP(C100&amp;TableCosts[[#This Row],[Calc_N_Typ]],TRAN_STRITEMS_LABEL,5,FALSE))),"")</f>
        <v/>
      </c>
      <c r="F100" s="6">
        <f t="shared" si="26"/>
        <v>0</v>
      </c>
      <c r="G100" s="6" t="str">
        <f>IF(F100=1,IFERROR(VLOOKUP(E100,Tab_ErrMessage[],2,0),VLOOKUP(C100&amp;TableCosts[[#This Row],[Calc_N_Typ]],TRAN_STRITEMS_LABEL,4,FALSE)),"")</f>
        <v/>
      </c>
      <c r="H100" s="40"/>
      <c r="I100" s="40"/>
      <c r="J100" s="35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4"/>
      <c r="AI100" s="24"/>
      <c r="AJ100" s="24"/>
      <c r="AK100" s="38">
        <f t="array" ref="AK100">IF(F100=1,SUM((ROW(M0)=ROW(AK100))*(M0+M1_+M2_+M3_+M4_+M5_+M6_+M7_+M8_+M9_+M10_+M11_+M12_+M13_+M14_+M15_+M16_+M17_+M18_+M19_+M20_+M21_+M22_+M23_+M24_+M25_)),0)</f>
        <v>0</v>
      </c>
      <c r="AL100" s="27">
        <f>TableCosts[[#This Row],[N_Direct]]</f>
        <v>0</v>
      </c>
      <c r="AN100" s="7" t="str">
        <f t="shared" si="23"/>
        <v/>
      </c>
      <c r="AO100" s="7" t="str">
        <f t="shared" si="15"/>
        <v/>
      </c>
      <c r="AP100" s="7" t="str">
        <f t="shared" si="24"/>
        <v/>
      </c>
      <c r="AQ100" s="7" t="str">
        <f t="shared" si="16"/>
        <v/>
      </c>
      <c r="AR100" s="7" t="str">
        <f t="shared" si="25"/>
        <v/>
      </c>
      <c r="AS100" s="7">
        <f t="shared" si="17"/>
        <v>0</v>
      </c>
      <c r="AT100" s="17">
        <f>TableCosts[[#This Row],[N_Amount]]*TableCosts[[#This Row],[N_Tariff]]*TableCosts[[#This Row],[N_ItemsCount]]</f>
        <v>0</v>
      </c>
      <c r="AU100" s="17">
        <f>IF(F100=1,IF(TableCosts[[#This Row],[N_Kateg]]="interné práce",TableCosts[[#This Row],[N_Amount]]*8*PAR_SGA_PERHOUR,0),0)</f>
        <v>0</v>
      </c>
      <c r="AV100" s="17">
        <f>SUM(TableCosts[[#This Row],[N_Direct]:[N_SGA]])</f>
        <v>0</v>
      </c>
      <c r="AW100" s="7">
        <f>IF(F100=1,IF(D100="",NA(),VLOOKUP(C100&amp;TableCosts[[#This Row],[Calc_N_Typ]],TRAN_STRITEMS_LABEL,7,0)),0)</f>
        <v>0</v>
      </c>
      <c r="AX100" s="7">
        <f t="shared" si="18"/>
        <v>0</v>
      </c>
      <c r="AY100" s="57" t="str">
        <f t="shared" si="19"/>
        <v/>
      </c>
      <c r="AZ100" s="57" t="str">
        <f t="shared" si="20"/>
        <v/>
      </c>
      <c r="BA100" s="57" t="str">
        <f>IF(F100=1,IF(TableCosts[[#This Row],[TransferFrom]]=TableCosts[[#This Row],[TranferTo]],0,1),"")</f>
        <v/>
      </c>
      <c r="BB100" s="7">
        <f t="shared" si="21"/>
        <v>0</v>
      </c>
      <c r="BC100" s="7">
        <f t="shared" si="22"/>
        <v>0</v>
      </c>
    </row>
    <row r="101" spans="2:55" s="7" customFormat="1" ht="12.75" x14ac:dyDescent="0.2">
      <c r="B101" s="33"/>
      <c r="C101" s="31"/>
      <c r="D101" s="40"/>
      <c r="E101" s="6" t="str">
        <f>IF(F101=1,IF(ISERROR(TableCosts[[#This Row],[N_Tariff]]),Err_Message1,IF(TableCosts[[#This Row],[N_Tariff]]=0,Err_Message2,VLOOKUP(C101&amp;TableCosts[[#This Row],[Calc_N_Typ]],TRAN_STRITEMS_LABEL,5,FALSE))),"")</f>
        <v/>
      </c>
      <c r="F101" s="6">
        <f t="shared" si="26"/>
        <v>0</v>
      </c>
      <c r="G101" s="6" t="str">
        <f>IF(F101=1,IFERROR(VLOOKUP(E101,Tab_ErrMessage[],2,0),VLOOKUP(C101&amp;TableCosts[[#This Row],[Calc_N_Typ]],TRAN_STRITEMS_LABEL,4,FALSE)),"")</f>
        <v/>
      </c>
      <c r="H101" s="40"/>
      <c r="I101" s="40"/>
      <c r="J101" s="35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4"/>
      <c r="AI101" s="24"/>
      <c r="AJ101" s="24"/>
      <c r="AK101" s="38">
        <f t="array" ref="AK101">IF(F101=1,SUM((ROW(M0)=ROW(AK101))*(M0+M1_+M2_+M3_+M4_+M5_+M6_+M7_+M8_+M9_+M10_+M11_+M12_+M13_+M14_+M15_+M16_+M17_+M18_+M19_+M20_+M21_+M22_+M23_+M24_+M25_)),0)</f>
        <v>0</v>
      </c>
      <c r="AL101" s="27">
        <f>TableCosts[[#This Row],[N_Direct]]</f>
        <v>0</v>
      </c>
      <c r="AN101" s="7" t="str">
        <f t="shared" si="23"/>
        <v/>
      </c>
      <c r="AO101" s="7" t="str">
        <f t="shared" si="15"/>
        <v/>
      </c>
      <c r="AP101" s="7" t="str">
        <f t="shared" si="24"/>
        <v/>
      </c>
      <c r="AQ101" s="7" t="str">
        <f t="shared" si="16"/>
        <v/>
      </c>
      <c r="AR101" s="7" t="str">
        <f t="shared" si="25"/>
        <v/>
      </c>
      <c r="AS101" s="7">
        <f t="shared" si="17"/>
        <v>0</v>
      </c>
      <c r="AT101" s="17">
        <f>TableCosts[[#This Row],[N_Amount]]*TableCosts[[#This Row],[N_Tariff]]*TableCosts[[#This Row],[N_ItemsCount]]</f>
        <v>0</v>
      </c>
      <c r="AU101" s="17">
        <f>IF(F101=1,IF(TableCosts[[#This Row],[N_Kateg]]="interné práce",TableCosts[[#This Row],[N_Amount]]*8*PAR_SGA_PERHOUR,0),0)</f>
        <v>0</v>
      </c>
      <c r="AV101" s="17">
        <f>SUM(TableCosts[[#This Row],[N_Direct]:[N_SGA]])</f>
        <v>0</v>
      </c>
      <c r="AW101" s="7">
        <f>IF(F101=1,IF(D101="",NA(),VLOOKUP(C101&amp;TableCosts[[#This Row],[Calc_N_Typ]],TRAN_STRITEMS_LABEL,7,0)),0)</f>
        <v>0</v>
      </c>
      <c r="AX101" s="7">
        <f t="shared" si="18"/>
        <v>0</v>
      </c>
      <c r="AY101" s="57" t="str">
        <f t="shared" si="19"/>
        <v/>
      </c>
      <c r="AZ101" s="57" t="str">
        <f t="shared" si="20"/>
        <v/>
      </c>
      <c r="BA101" s="57" t="str">
        <f>IF(F101=1,IF(TableCosts[[#This Row],[TransferFrom]]=TableCosts[[#This Row],[TranferTo]],0,1),"")</f>
        <v/>
      </c>
      <c r="BB101" s="7">
        <f t="shared" si="21"/>
        <v>0</v>
      </c>
      <c r="BC101" s="7">
        <f t="shared" si="22"/>
        <v>0</v>
      </c>
    </row>
    <row r="102" spans="2:55" s="7" customFormat="1" ht="12.75" x14ac:dyDescent="0.2">
      <c r="B102" s="33"/>
      <c r="C102" s="31"/>
      <c r="D102" s="40"/>
      <c r="E102" s="6" t="str">
        <f>IF(F102=1,IF(ISERROR(TableCosts[[#This Row],[N_Tariff]]),Err_Message1,IF(TableCosts[[#This Row],[N_Tariff]]=0,Err_Message2,VLOOKUP(C102&amp;TableCosts[[#This Row],[Calc_N_Typ]],TRAN_STRITEMS_LABEL,5,FALSE))),"")</f>
        <v/>
      </c>
      <c r="F102" s="6">
        <f t="shared" si="26"/>
        <v>0</v>
      </c>
      <c r="G102" s="6" t="str">
        <f>IF(F102=1,IFERROR(VLOOKUP(E102,Tab_ErrMessage[],2,0),VLOOKUP(C102&amp;TableCosts[[#This Row],[Calc_N_Typ]],TRAN_STRITEMS_LABEL,4,FALSE)),"")</f>
        <v/>
      </c>
      <c r="H102" s="40"/>
      <c r="I102" s="40"/>
      <c r="J102" s="35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4"/>
      <c r="AI102" s="24"/>
      <c r="AJ102" s="24"/>
      <c r="AK102" s="38">
        <f t="array" ref="AK102">IF(F102=1,SUM((ROW(M0)=ROW(AK102))*(M0+M1_+M2_+M3_+M4_+M5_+M6_+M7_+M8_+M9_+M10_+M11_+M12_+M13_+M14_+M15_+M16_+M17_+M18_+M19_+M20_+M21_+M22_+M23_+M24_+M25_)),0)</f>
        <v>0</v>
      </c>
      <c r="AL102" s="27">
        <f>TableCosts[[#This Row],[N_Direct]]</f>
        <v>0</v>
      </c>
      <c r="AN102" s="7" t="str">
        <f t="shared" si="23"/>
        <v/>
      </c>
      <c r="AO102" s="7" t="str">
        <f t="shared" si="15"/>
        <v/>
      </c>
      <c r="AP102" s="7" t="str">
        <f t="shared" si="24"/>
        <v/>
      </c>
      <c r="AQ102" s="7" t="str">
        <f t="shared" si="16"/>
        <v/>
      </c>
      <c r="AR102" s="7" t="str">
        <f t="shared" si="25"/>
        <v/>
      </c>
      <c r="AS102" s="7">
        <f t="shared" si="17"/>
        <v>0</v>
      </c>
      <c r="AT102" s="17">
        <f>TableCosts[[#This Row],[N_Amount]]*TableCosts[[#This Row],[N_Tariff]]*TableCosts[[#This Row],[N_ItemsCount]]</f>
        <v>0</v>
      </c>
      <c r="AU102" s="17">
        <f>IF(F102=1,IF(TableCosts[[#This Row],[N_Kateg]]="interné práce",TableCosts[[#This Row],[N_Amount]]*8*PAR_SGA_PERHOUR,0),0)</f>
        <v>0</v>
      </c>
      <c r="AV102" s="17">
        <f>SUM(TableCosts[[#This Row],[N_Direct]:[N_SGA]])</f>
        <v>0</v>
      </c>
      <c r="AW102" s="7">
        <f>IF(F102=1,IF(D102="",NA(),VLOOKUP(C102&amp;TableCosts[[#This Row],[Calc_N_Typ]],TRAN_STRITEMS_LABEL,7,0)),0)</f>
        <v>0</v>
      </c>
      <c r="AX102" s="7">
        <f t="shared" si="18"/>
        <v>0</v>
      </c>
      <c r="AY102" s="57" t="str">
        <f t="shared" si="19"/>
        <v/>
      </c>
      <c r="AZ102" s="57" t="str">
        <f t="shared" si="20"/>
        <v/>
      </c>
      <c r="BA102" s="57" t="str">
        <f>IF(F102=1,IF(TableCosts[[#This Row],[TransferFrom]]=TableCosts[[#This Row],[TranferTo]],0,1),"")</f>
        <v/>
      </c>
      <c r="BB102" s="7">
        <f t="shared" si="21"/>
        <v>0</v>
      </c>
      <c r="BC102" s="7">
        <f t="shared" si="22"/>
        <v>0</v>
      </c>
    </row>
    <row r="103" spans="2:55" s="7" customFormat="1" ht="12.75" x14ac:dyDescent="0.2">
      <c r="B103" s="33"/>
      <c r="C103" s="31"/>
      <c r="D103" s="40"/>
      <c r="E103" s="6" t="str">
        <f>IF(F103=1,IF(ISERROR(TableCosts[[#This Row],[N_Tariff]]),Err_Message1,IF(TableCosts[[#This Row],[N_Tariff]]=0,Err_Message2,VLOOKUP(C103&amp;TableCosts[[#This Row],[Calc_N_Typ]],TRAN_STRITEMS_LABEL,5,FALSE))),"")</f>
        <v/>
      </c>
      <c r="F103" s="6">
        <f t="shared" si="26"/>
        <v>0</v>
      </c>
      <c r="G103" s="6" t="str">
        <f>IF(F103=1,IFERROR(VLOOKUP(E103,Tab_ErrMessage[],2,0),VLOOKUP(C103&amp;TableCosts[[#This Row],[Calc_N_Typ]],TRAN_STRITEMS_LABEL,4,FALSE)),"")</f>
        <v/>
      </c>
      <c r="H103" s="40"/>
      <c r="I103" s="40"/>
      <c r="J103" s="35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24"/>
      <c r="AK103" s="38">
        <f t="array" ref="AK103">IF(F103=1,SUM((ROW(M0)=ROW(AK103))*(M0+M1_+M2_+M3_+M4_+M5_+M6_+M7_+M8_+M9_+M10_+M11_+M12_+M13_+M14_+M15_+M16_+M17_+M18_+M19_+M20_+M21_+M22_+M23_+M24_+M25_)),0)</f>
        <v>0</v>
      </c>
      <c r="AL103" s="27">
        <f>TableCosts[[#This Row],[N_Direct]]</f>
        <v>0</v>
      </c>
      <c r="AN103" s="7" t="str">
        <f t="shared" si="23"/>
        <v/>
      </c>
      <c r="AO103" s="7" t="str">
        <f t="shared" si="15"/>
        <v/>
      </c>
      <c r="AP103" s="7" t="str">
        <f t="shared" si="24"/>
        <v/>
      </c>
      <c r="AQ103" s="7" t="str">
        <f t="shared" si="16"/>
        <v/>
      </c>
      <c r="AR103" s="7" t="str">
        <f t="shared" si="25"/>
        <v/>
      </c>
      <c r="AS103" s="7">
        <f t="shared" si="17"/>
        <v>0</v>
      </c>
      <c r="AT103" s="17">
        <f>TableCosts[[#This Row],[N_Amount]]*TableCosts[[#This Row],[N_Tariff]]*TableCosts[[#This Row],[N_ItemsCount]]</f>
        <v>0</v>
      </c>
      <c r="AU103" s="17">
        <f>IF(F103=1,IF(TableCosts[[#This Row],[N_Kateg]]="interné práce",TableCosts[[#This Row],[N_Amount]]*8*PAR_SGA_PERHOUR,0),0)</f>
        <v>0</v>
      </c>
      <c r="AV103" s="17">
        <f>SUM(TableCosts[[#This Row],[N_Direct]:[N_SGA]])</f>
        <v>0</v>
      </c>
      <c r="AW103" s="7">
        <f>IF(F103=1,IF(D103="",NA(),VLOOKUP(C103&amp;TableCosts[[#This Row],[Calc_N_Typ]],TRAN_STRITEMS_LABEL,7,0)),0)</f>
        <v>0</v>
      </c>
      <c r="AX103" s="7">
        <f t="shared" si="18"/>
        <v>0</v>
      </c>
      <c r="AY103" s="57" t="str">
        <f t="shared" si="19"/>
        <v/>
      </c>
      <c r="AZ103" s="57" t="str">
        <f t="shared" si="20"/>
        <v/>
      </c>
      <c r="BA103" s="57" t="str">
        <f>IF(F103=1,IF(TableCosts[[#This Row],[TransferFrom]]=TableCosts[[#This Row],[TranferTo]],0,1),"")</f>
        <v/>
      </c>
      <c r="BB103" s="7">
        <f t="shared" si="21"/>
        <v>0</v>
      </c>
      <c r="BC103" s="7">
        <f t="shared" si="22"/>
        <v>0</v>
      </c>
    </row>
    <row r="104" spans="2:55" s="7" customFormat="1" ht="12.75" x14ac:dyDescent="0.2">
      <c r="B104" s="33"/>
      <c r="C104" s="31"/>
      <c r="D104" s="40"/>
      <c r="E104" s="6" t="str">
        <f>IF(F104=1,IF(ISERROR(TableCosts[[#This Row],[N_Tariff]]),Err_Message1,IF(TableCosts[[#This Row],[N_Tariff]]=0,Err_Message2,VLOOKUP(C104&amp;TableCosts[[#This Row],[Calc_N_Typ]],TRAN_STRITEMS_LABEL,5,FALSE))),"")</f>
        <v/>
      </c>
      <c r="F104" s="6">
        <f t="shared" si="26"/>
        <v>0</v>
      </c>
      <c r="G104" s="6" t="str">
        <f>IF(F104=1,IFERROR(VLOOKUP(E104,Tab_ErrMessage[],2,0),VLOOKUP(C104&amp;TableCosts[[#This Row],[Calc_N_Typ]],TRAN_STRITEMS_LABEL,4,FALSE)),"")</f>
        <v/>
      </c>
      <c r="H104" s="40"/>
      <c r="I104" s="40"/>
      <c r="J104" s="35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4"/>
      <c r="AI104" s="24"/>
      <c r="AJ104" s="24"/>
      <c r="AK104" s="38">
        <f t="array" ref="AK104">IF(F104=1,SUM((ROW(M0)=ROW(AK104))*(M0+M1_+M2_+M3_+M4_+M5_+M6_+M7_+M8_+M9_+M10_+M11_+M12_+M13_+M14_+M15_+M16_+M17_+M18_+M19_+M20_+M21_+M22_+M23_+M24_+M25_)),0)</f>
        <v>0</v>
      </c>
      <c r="AL104" s="27">
        <f>TableCosts[[#This Row],[N_Direct]]</f>
        <v>0</v>
      </c>
      <c r="AN104" s="7" t="str">
        <f t="shared" si="23"/>
        <v/>
      </c>
      <c r="AO104" s="7" t="str">
        <f t="shared" si="15"/>
        <v/>
      </c>
      <c r="AP104" s="7" t="str">
        <f t="shared" si="24"/>
        <v/>
      </c>
      <c r="AQ104" s="7" t="str">
        <f t="shared" si="16"/>
        <v/>
      </c>
      <c r="AR104" s="7" t="str">
        <f t="shared" si="25"/>
        <v/>
      </c>
      <c r="AS104" s="7">
        <f t="shared" si="17"/>
        <v>0</v>
      </c>
      <c r="AT104" s="17">
        <f>TableCosts[[#This Row],[N_Amount]]*TableCosts[[#This Row],[N_Tariff]]*TableCosts[[#This Row],[N_ItemsCount]]</f>
        <v>0</v>
      </c>
      <c r="AU104" s="17">
        <f>IF(F104=1,IF(TableCosts[[#This Row],[N_Kateg]]="interné práce",TableCosts[[#This Row],[N_Amount]]*8*PAR_SGA_PERHOUR,0),0)</f>
        <v>0</v>
      </c>
      <c r="AV104" s="17">
        <f>SUM(TableCosts[[#This Row],[N_Direct]:[N_SGA]])</f>
        <v>0</v>
      </c>
      <c r="AW104" s="7">
        <f>IF(F104=1,IF(D104="",NA(),VLOOKUP(C104&amp;TableCosts[[#This Row],[Calc_N_Typ]],TRAN_STRITEMS_LABEL,7,0)),0)</f>
        <v>0</v>
      </c>
      <c r="AX104" s="7">
        <f t="shared" si="18"/>
        <v>0</v>
      </c>
      <c r="AY104" s="57" t="str">
        <f t="shared" si="19"/>
        <v/>
      </c>
      <c r="AZ104" s="57" t="str">
        <f t="shared" si="20"/>
        <v/>
      </c>
      <c r="BA104" s="57" t="str">
        <f>IF(F104=1,IF(TableCosts[[#This Row],[TransferFrom]]=TableCosts[[#This Row],[TranferTo]],0,1),"")</f>
        <v/>
      </c>
      <c r="BB104" s="7">
        <f t="shared" si="21"/>
        <v>0</v>
      </c>
      <c r="BC104" s="7">
        <f t="shared" si="22"/>
        <v>0</v>
      </c>
    </row>
    <row r="105" spans="2:55" s="7" customFormat="1" ht="12.75" x14ac:dyDescent="0.2">
      <c r="B105" s="33"/>
      <c r="C105" s="31"/>
      <c r="D105" s="40"/>
      <c r="E105" s="6" t="str">
        <f>IF(F105=1,IF(ISERROR(TableCosts[[#This Row],[N_Tariff]]),Err_Message1,IF(TableCosts[[#This Row],[N_Tariff]]=0,Err_Message2,VLOOKUP(C105&amp;TableCosts[[#This Row],[Calc_N_Typ]],TRAN_STRITEMS_LABEL,5,FALSE))),"")</f>
        <v/>
      </c>
      <c r="F105" s="6">
        <f t="shared" si="26"/>
        <v>0</v>
      </c>
      <c r="G105" s="6" t="str">
        <f>IF(F105=1,IFERROR(VLOOKUP(E105,Tab_ErrMessage[],2,0),VLOOKUP(C105&amp;TableCosts[[#This Row],[Calc_N_Typ]],TRAN_STRITEMS_LABEL,4,FALSE)),"")</f>
        <v/>
      </c>
      <c r="H105" s="40"/>
      <c r="I105" s="40"/>
      <c r="J105" s="35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4"/>
      <c r="AI105" s="24"/>
      <c r="AJ105" s="24"/>
      <c r="AK105" s="38">
        <f t="array" ref="AK105">IF(F105=1,SUM((ROW(M0)=ROW(AK105))*(M0+M1_+M2_+M3_+M4_+M5_+M6_+M7_+M8_+M9_+M10_+M11_+M12_+M13_+M14_+M15_+M16_+M17_+M18_+M19_+M20_+M21_+M22_+M23_+M24_+M25_)),0)</f>
        <v>0</v>
      </c>
      <c r="AL105" s="27">
        <f>TableCosts[[#This Row],[N_Direct]]</f>
        <v>0</v>
      </c>
      <c r="AN105" s="7" t="str">
        <f t="shared" si="23"/>
        <v/>
      </c>
      <c r="AO105" s="7" t="str">
        <f t="shared" si="15"/>
        <v/>
      </c>
      <c r="AP105" s="7" t="str">
        <f t="shared" si="24"/>
        <v/>
      </c>
      <c r="AQ105" s="7" t="str">
        <f t="shared" si="16"/>
        <v/>
      </c>
      <c r="AR105" s="7" t="str">
        <f t="shared" si="25"/>
        <v/>
      </c>
      <c r="AS105" s="7">
        <f t="shared" si="17"/>
        <v>0</v>
      </c>
      <c r="AT105" s="17">
        <f>TableCosts[[#This Row],[N_Amount]]*TableCosts[[#This Row],[N_Tariff]]*TableCosts[[#This Row],[N_ItemsCount]]</f>
        <v>0</v>
      </c>
      <c r="AU105" s="17">
        <f>IF(F105=1,IF(TableCosts[[#This Row],[N_Kateg]]="interné práce",TableCosts[[#This Row],[N_Amount]]*8*PAR_SGA_PERHOUR,0),0)</f>
        <v>0</v>
      </c>
      <c r="AV105" s="17">
        <f>SUM(TableCosts[[#This Row],[N_Direct]:[N_SGA]])</f>
        <v>0</v>
      </c>
      <c r="AW105" s="7">
        <f>IF(F105=1,IF(D105="",NA(),VLOOKUP(C105&amp;TableCosts[[#This Row],[Calc_N_Typ]],TRAN_STRITEMS_LABEL,7,0)),0)</f>
        <v>0</v>
      </c>
      <c r="AX105" s="7">
        <f t="shared" si="18"/>
        <v>0</v>
      </c>
      <c r="AY105" s="57" t="str">
        <f t="shared" si="19"/>
        <v/>
      </c>
      <c r="AZ105" s="57" t="str">
        <f t="shared" si="20"/>
        <v/>
      </c>
      <c r="BA105" s="57" t="str">
        <f>IF(F105=1,IF(TableCosts[[#This Row],[TransferFrom]]=TableCosts[[#This Row],[TranferTo]],0,1),"")</f>
        <v/>
      </c>
      <c r="BB105" s="7">
        <f t="shared" si="21"/>
        <v>0</v>
      </c>
      <c r="BC105" s="7">
        <f t="shared" si="22"/>
        <v>0</v>
      </c>
    </row>
    <row r="106" spans="2:55" s="7" customFormat="1" ht="12.75" x14ac:dyDescent="0.2">
      <c r="B106" s="33"/>
      <c r="C106" s="31"/>
      <c r="D106" s="40"/>
      <c r="E106" s="6" t="str">
        <f>IF(F106=1,IF(ISERROR(TableCosts[[#This Row],[N_Tariff]]),Err_Message1,IF(TableCosts[[#This Row],[N_Tariff]]=0,Err_Message2,VLOOKUP(C106&amp;TableCosts[[#This Row],[Calc_N_Typ]],TRAN_STRITEMS_LABEL,5,FALSE))),"")</f>
        <v/>
      </c>
      <c r="F106" s="6">
        <f t="shared" si="26"/>
        <v>0</v>
      </c>
      <c r="G106" s="6" t="str">
        <f>IF(F106=1,IFERROR(VLOOKUP(E106,Tab_ErrMessage[],2,0),VLOOKUP(C106&amp;TableCosts[[#This Row],[Calc_N_Typ]],TRAN_STRITEMS_LABEL,4,FALSE)),"")</f>
        <v/>
      </c>
      <c r="H106" s="40"/>
      <c r="I106" s="40"/>
      <c r="J106" s="35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4"/>
      <c r="AI106" s="24"/>
      <c r="AJ106" s="24"/>
      <c r="AK106" s="38">
        <f t="array" ref="AK106">IF(F106=1,SUM((ROW(M0)=ROW(AK106))*(M0+M1_+M2_+M3_+M4_+M5_+M6_+M7_+M8_+M9_+M10_+M11_+M12_+M13_+M14_+M15_+M16_+M17_+M18_+M19_+M20_+M21_+M22_+M23_+M24_+M25_)),0)</f>
        <v>0</v>
      </c>
      <c r="AL106" s="27">
        <f>TableCosts[[#This Row],[N_Direct]]</f>
        <v>0</v>
      </c>
      <c r="AN106" s="7" t="str">
        <f t="shared" si="23"/>
        <v/>
      </c>
      <c r="AO106" s="7" t="str">
        <f t="shared" si="15"/>
        <v/>
      </c>
      <c r="AP106" s="7" t="str">
        <f t="shared" si="24"/>
        <v/>
      </c>
      <c r="AQ106" s="7" t="str">
        <f t="shared" si="16"/>
        <v/>
      </c>
      <c r="AR106" s="7" t="str">
        <f t="shared" si="25"/>
        <v/>
      </c>
      <c r="AS106" s="7">
        <f t="shared" si="17"/>
        <v>0</v>
      </c>
      <c r="AT106" s="17">
        <f>TableCosts[[#This Row],[N_Amount]]*TableCosts[[#This Row],[N_Tariff]]*TableCosts[[#This Row],[N_ItemsCount]]</f>
        <v>0</v>
      </c>
      <c r="AU106" s="17">
        <f>IF(F106=1,IF(TableCosts[[#This Row],[N_Kateg]]="interné práce",TableCosts[[#This Row],[N_Amount]]*8*PAR_SGA_PERHOUR,0),0)</f>
        <v>0</v>
      </c>
      <c r="AV106" s="17">
        <f>SUM(TableCosts[[#This Row],[N_Direct]:[N_SGA]])</f>
        <v>0</v>
      </c>
      <c r="AW106" s="7">
        <f>IF(F106=1,IF(D106="",NA(),VLOOKUP(C106&amp;TableCosts[[#This Row],[Calc_N_Typ]],TRAN_STRITEMS_LABEL,7,0)),0)</f>
        <v>0</v>
      </c>
      <c r="AX106" s="7">
        <f t="shared" si="18"/>
        <v>0</v>
      </c>
      <c r="AY106" s="57" t="str">
        <f t="shared" si="19"/>
        <v/>
      </c>
      <c r="AZ106" s="57" t="str">
        <f t="shared" si="20"/>
        <v/>
      </c>
      <c r="BA106" s="57" t="str">
        <f>IF(F106=1,IF(TableCosts[[#This Row],[TransferFrom]]=TableCosts[[#This Row],[TranferTo]],0,1),"")</f>
        <v/>
      </c>
      <c r="BB106" s="7">
        <f t="shared" si="21"/>
        <v>0</v>
      </c>
      <c r="BC106" s="7">
        <f t="shared" si="22"/>
        <v>0</v>
      </c>
    </row>
    <row r="107" spans="2:55" s="7" customFormat="1" ht="12.75" x14ac:dyDescent="0.2">
      <c r="B107" s="33"/>
      <c r="C107" s="31"/>
      <c r="D107" s="40"/>
      <c r="E107" s="6" t="str">
        <f>IF(F107=1,IF(ISERROR(TableCosts[[#This Row],[N_Tariff]]),Err_Message1,IF(TableCosts[[#This Row],[N_Tariff]]=0,Err_Message2,VLOOKUP(C107&amp;TableCosts[[#This Row],[Calc_N_Typ]],TRAN_STRITEMS_LABEL,5,FALSE))),"")</f>
        <v/>
      </c>
      <c r="F107" s="6">
        <f t="shared" si="26"/>
        <v>0</v>
      </c>
      <c r="G107" s="6" t="str">
        <f>IF(F107=1,IFERROR(VLOOKUP(E107,Tab_ErrMessage[],2,0),VLOOKUP(C107&amp;TableCosts[[#This Row],[Calc_N_Typ]],TRAN_STRITEMS_LABEL,4,FALSE)),"")</f>
        <v/>
      </c>
      <c r="H107" s="40"/>
      <c r="I107" s="40"/>
      <c r="J107" s="35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4"/>
      <c r="AI107" s="24"/>
      <c r="AJ107" s="24"/>
      <c r="AK107" s="38">
        <f t="array" ref="AK107">IF(F107=1,SUM((ROW(M0)=ROW(AK107))*(M0+M1_+M2_+M3_+M4_+M5_+M6_+M7_+M8_+M9_+M10_+M11_+M12_+M13_+M14_+M15_+M16_+M17_+M18_+M19_+M20_+M21_+M22_+M23_+M24_+M25_)),0)</f>
        <v>0</v>
      </c>
      <c r="AL107" s="27">
        <f>TableCosts[[#This Row],[N_Direct]]</f>
        <v>0</v>
      </c>
      <c r="AN107" s="7" t="str">
        <f t="shared" si="23"/>
        <v/>
      </c>
      <c r="AO107" s="7" t="str">
        <f t="shared" si="15"/>
        <v/>
      </c>
      <c r="AP107" s="7" t="str">
        <f t="shared" si="24"/>
        <v/>
      </c>
      <c r="AQ107" s="7" t="str">
        <f t="shared" si="16"/>
        <v/>
      </c>
      <c r="AR107" s="7" t="str">
        <f t="shared" si="25"/>
        <v/>
      </c>
      <c r="AS107" s="7">
        <f t="shared" si="17"/>
        <v>0</v>
      </c>
      <c r="AT107" s="17">
        <f>TableCosts[[#This Row],[N_Amount]]*TableCosts[[#This Row],[N_Tariff]]*TableCosts[[#This Row],[N_ItemsCount]]</f>
        <v>0</v>
      </c>
      <c r="AU107" s="17">
        <f>IF(F107=1,IF(TableCosts[[#This Row],[N_Kateg]]="interné práce",TableCosts[[#This Row],[N_Amount]]*8*PAR_SGA_PERHOUR,0),0)</f>
        <v>0</v>
      </c>
      <c r="AV107" s="17">
        <f>SUM(TableCosts[[#This Row],[N_Direct]:[N_SGA]])</f>
        <v>0</v>
      </c>
      <c r="AW107" s="7">
        <f>IF(F107=1,IF(D107="",NA(),VLOOKUP(C107&amp;TableCosts[[#This Row],[Calc_N_Typ]],TRAN_STRITEMS_LABEL,7,0)),0)</f>
        <v>0</v>
      </c>
      <c r="AX107" s="7">
        <f t="shared" si="18"/>
        <v>0</v>
      </c>
      <c r="AY107" s="57" t="str">
        <f t="shared" si="19"/>
        <v/>
      </c>
      <c r="AZ107" s="57" t="str">
        <f t="shared" si="20"/>
        <v/>
      </c>
      <c r="BA107" s="57" t="str">
        <f>IF(F107=1,IF(TableCosts[[#This Row],[TransferFrom]]=TableCosts[[#This Row],[TranferTo]],0,1),"")</f>
        <v/>
      </c>
      <c r="BB107" s="7">
        <f t="shared" si="21"/>
        <v>0</v>
      </c>
      <c r="BC107" s="7">
        <f t="shared" si="22"/>
        <v>0</v>
      </c>
    </row>
    <row r="108" spans="2:55" s="7" customFormat="1" ht="12.75" x14ac:dyDescent="0.2">
      <c r="B108" s="33"/>
      <c r="C108" s="31"/>
      <c r="D108" s="40"/>
      <c r="E108" s="6" t="str">
        <f>IF(F108=1,IF(ISERROR(TableCosts[[#This Row],[N_Tariff]]),Err_Message1,IF(TableCosts[[#This Row],[N_Tariff]]=0,Err_Message2,VLOOKUP(C108&amp;TableCosts[[#This Row],[Calc_N_Typ]],TRAN_STRITEMS_LABEL,5,FALSE))),"")</f>
        <v/>
      </c>
      <c r="F108" s="6">
        <f t="shared" si="26"/>
        <v>0</v>
      </c>
      <c r="G108" s="6" t="str">
        <f>IF(F108=1,IFERROR(VLOOKUP(E108,Tab_ErrMessage[],2,0),VLOOKUP(C108&amp;TableCosts[[#This Row],[Calc_N_Typ]],TRAN_STRITEMS_LABEL,4,FALSE)),"")</f>
        <v/>
      </c>
      <c r="H108" s="40"/>
      <c r="I108" s="40"/>
      <c r="J108" s="35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4"/>
      <c r="AI108" s="24"/>
      <c r="AJ108" s="24"/>
      <c r="AK108" s="38">
        <f t="array" ref="AK108">IF(F108=1,SUM((ROW(M0)=ROW(AK108))*(M0+M1_+M2_+M3_+M4_+M5_+M6_+M7_+M8_+M9_+M10_+M11_+M12_+M13_+M14_+M15_+M16_+M17_+M18_+M19_+M20_+M21_+M22_+M23_+M24_+M25_)),0)</f>
        <v>0</v>
      </c>
      <c r="AL108" s="27">
        <f>TableCosts[[#This Row],[N_Direct]]</f>
        <v>0</v>
      </c>
      <c r="AN108" s="7" t="str">
        <f t="shared" si="23"/>
        <v/>
      </c>
      <c r="AO108" s="7" t="str">
        <f t="shared" si="15"/>
        <v/>
      </c>
      <c r="AP108" s="7" t="str">
        <f t="shared" si="24"/>
        <v/>
      </c>
      <c r="AQ108" s="7" t="str">
        <f t="shared" si="16"/>
        <v/>
      </c>
      <c r="AR108" s="7" t="str">
        <f t="shared" si="25"/>
        <v/>
      </c>
      <c r="AS108" s="7">
        <f t="shared" si="17"/>
        <v>0</v>
      </c>
      <c r="AT108" s="17">
        <f>TableCosts[[#This Row],[N_Amount]]*TableCosts[[#This Row],[N_Tariff]]*TableCosts[[#This Row],[N_ItemsCount]]</f>
        <v>0</v>
      </c>
      <c r="AU108" s="17">
        <f>IF(F108=1,IF(TableCosts[[#This Row],[N_Kateg]]="interné práce",TableCosts[[#This Row],[N_Amount]]*8*PAR_SGA_PERHOUR,0),0)</f>
        <v>0</v>
      </c>
      <c r="AV108" s="17">
        <f>SUM(TableCosts[[#This Row],[N_Direct]:[N_SGA]])</f>
        <v>0</v>
      </c>
      <c r="AW108" s="7">
        <f>IF(F108=1,IF(D108="",NA(),VLOOKUP(C108&amp;TableCosts[[#This Row],[Calc_N_Typ]],TRAN_STRITEMS_LABEL,7,0)),0)</f>
        <v>0</v>
      </c>
      <c r="AX108" s="7">
        <f t="shared" si="18"/>
        <v>0</v>
      </c>
      <c r="AY108" s="57" t="str">
        <f t="shared" si="19"/>
        <v/>
      </c>
      <c r="AZ108" s="57" t="str">
        <f t="shared" si="20"/>
        <v/>
      </c>
      <c r="BA108" s="57" t="str">
        <f>IF(F108=1,IF(TableCosts[[#This Row],[TransferFrom]]=TableCosts[[#This Row],[TranferTo]],0,1),"")</f>
        <v/>
      </c>
      <c r="BB108" s="7">
        <f t="shared" si="21"/>
        <v>0</v>
      </c>
      <c r="BC108" s="7">
        <f t="shared" si="22"/>
        <v>0</v>
      </c>
    </row>
    <row r="109" spans="2:55" s="7" customFormat="1" ht="12.75" x14ac:dyDescent="0.2">
      <c r="B109" s="33"/>
      <c r="C109" s="31"/>
      <c r="D109" s="40"/>
      <c r="E109" s="6" t="str">
        <f>IF(F109=1,IF(ISERROR(TableCosts[[#This Row],[N_Tariff]]),Err_Message1,IF(TableCosts[[#This Row],[N_Tariff]]=0,Err_Message2,VLOOKUP(C109&amp;TableCosts[[#This Row],[Calc_N_Typ]],TRAN_STRITEMS_LABEL,5,FALSE))),"")</f>
        <v/>
      </c>
      <c r="F109" s="6">
        <f t="shared" si="26"/>
        <v>0</v>
      </c>
      <c r="G109" s="6" t="str">
        <f>IF(F109=1,IFERROR(VLOOKUP(E109,Tab_ErrMessage[],2,0),VLOOKUP(C109&amp;TableCosts[[#This Row],[Calc_N_Typ]],TRAN_STRITEMS_LABEL,4,FALSE)),"")</f>
        <v/>
      </c>
      <c r="H109" s="40"/>
      <c r="I109" s="40"/>
      <c r="J109" s="35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4"/>
      <c r="AJ109" s="24"/>
      <c r="AK109" s="38">
        <f t="array" ref="AK109">IF(F109=1,SUM((ROW(M0)=ROW(AK109))*(M0+M1_+M2_+M3_+M4_+M5_+M6_+M7_+M8_+M9_+M10_+M11_+M12_+M13_+M14_+M15_+M16_+M17_+M18_+M19_+M20_+M21_+M22_+M23_+M24_+M25_)),0)</f>
        <v>0</v>
      </c>
      <c r="AL109" s="27">
        <f>TableCosts[[#This Row],[N_Direct]]</f>
        <v>0</v>
      </c>
      <c r="AN109" s="7" t="str">
        <f t="shared" si="23"/>
        <v/>
      </c>
      <c r="AO109" s="7" t="str">
        <f t="shared" si="15"/>
        <v/>
      </c>
      <c r="AP109" s="7" t="str">
        <f t="shared" si="24"/>
        <v/>
      </c>
      <c r="AQ109" s="7" t="str">
        <f t="shared" si="16"/>
        <v/>
      </c>
      <c r="AR109" s="7" t="str">
        <f t="shared" si="25"/>
        <v/>
      </c>
      <c r="AS109" s="7">
        <f t="shared" si="17"/>
        <v>0</v>
      </c>
      <c r="AT109" s="17">
        <f>TableCosts[[#This Row],[N_Amount]]*TableCosts[[#This Row],[N_Tariff]]*TableCosts[[#This Row],[N_ItemsCount]]</f>
        <v>0</v>
      </c>
      <c r="AU109" s="17">
        <f>IF(F109=1,IF(TableCosts[[#This Row],[N_Kateg]]="interné práce",TableCosts[[#This Row],[N_Amount]]*8*PAR_SGA_PERHOUR,0),0)</f>
        <v>0</v>
      </c>
      <c r="AV109" s="17">
        <f>SUM(TableCosts[[#This Row],[N_Direct]:[N_SGA]])</f>
        <v>0</v>
      </c>
      <c r="AW109" s="7">
        <f>IF(F109=1,IF(D109="",NA(),VLOOKUP(C109&amp;TableCosts[[#This Row],[Calc_N_Typ]],TRAN_STRITEMS_LABEL,7,0)),0)</f>
        <v>0</v>
      </c>
      <c r="AX109" s="7">
        <f t="shared" si="18"/>
        <v>0</v>
      </c>
      <c r="AY109" s="57" t="str">
        <f t="shared" si="19"/>
        <v/>
      </c>
      <c r="AZ109" s="57" t="str">
        <f t="shared" si="20"/>
        <v/>
      </c>
      <c r="BA109" s="57" t="str">
        <f>IF(F109=1,IF(TableCosts[[#This Row],[TransferFrom]]=TableCosts[[#This Row],[TranferTo]],0,1),"")</f>
        <v/>
      </c>
      <c r="BB109" s="7">
        <f t="shared" si="21"/>
        <v>0</v>
      </c>
      <c r="BC109" s="7">
        <f t="shared" si="22"/>
        <v>0</v>
      </c>
    </row>
    <row r="110" spans="2:55" s="7" customFormat="1" ht="12.75" x14ac:dyDescent="0.2">
      <c r="B110" s="33"/>
      <c r="C110" s="31"/>
      <c r="D110" s="40"/>
      <c r="E110" s="6" t="str">
        <f>IF(F110=1,IF(ISERROR(TableCosts[[#This Row],[N_Tariff]]),Err_Message1,IF(TableCosts[[#This Row],[N_Tariff]]=0,Err_Message2,VLOOKUP(C110&amp;TableCosts[[#This Row],[Calc_N_Typ]],TRAN_STRITEMS_LABEL,5,FALSE))),"")</f>
        <v/>
      </c>
      <c r="F110" s="6">
        <f t="shared" si="26"/>
        <v>0</v>
      </c>
      <c r="G110" s="6" t="str">
        <f>IF(F110=1,IFERROR(VLOOKUP(E110,Tab_ErrMessage[],2,0),VLOOKUP(C110&amp;TableCosts[[#This Row],[Calc_N_Typ]],TRAN_STRITEMS_LABEL,4,FALSE)),"")</f>
        <v/>
      </c>
      <c r="H110" s="40"/>
      <c r="I110" s="40"/>
      <c r="J110" s="35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I110" s="24"/>
      <c r="AJ110" s="24"/>
      <c r="AK110" s="38">
        <f t="array" ref="AK110">IF(F110=1,SUM((ROW(M0)=ROW(AK110))*(M0+M1_+M2_+M3_+M4_+M5_+M6_+M7_+M8_+M9_+M10_+M11_+M12_+M13_+M14_+M15_+M16_+M17_+M18_+M19_+M20_+M21_+M22_+M23_+M24_+M25_)),0)</f>
        <v>0</v>
      </c>
      <c r="AL110" s="27">
        <f>TableCosts[[#This Row],[N_Direct]]</f>
        <v>0</v>
      </c>
      <c r="AN110" s="7" t="str">
        <f t="shared" si="23"/>
        <v/>
      </c>
      <c r="AO110" s="7" t="str">
        <f t="shared" si="15"/>
        <v/>
      </c>
      <c r="AP110" s="7" t="str">
        <f t="shared" si="24"/>
        <v/>
      </c>
      <c r="AQ110" s="7" t="str">
        <f t="shared" si="16"/>
        <v/>
      </c>
      <c r="AR110" s="7" t="str">
        <f t="shared" si="25"/>
        <v/>
      </c>
      <c r="AS110" s="7">
        <f t="shared" si="17"/>
        <v>0</v>
      </c>
      <c r="AT110" s="17">
        <f>TableCosts[[#This Row],[N_Amount]]*TableCosts[[#This Row],[N_Tariff]]*TableCosts[[#This Row],[N_ItemsCount]]</f>
        <v>0</v>
      </c>
      <c r="AU110" s="17">
        <f>IF(F110=1,IF(TableCosts[[#This Row],[N_Kateg]]="interné práce",TableCosts[[#This Row],[N_Amount]]*8*PAR_SGA_PERHOUR,0),0)</f>
        <v>0</v>
      </c>
      <c r="AV110" s="17">
        <f>SUM(TableCosts[[#This Row],[N_Direct]:[N_SGA]])</f>
        <v>0</v>
      </c>
      <c r="AW110" s="7">
        <f>IF(F110=1,IF(D110="",NA(),VLOOKUP(C110&amp;TableCosts[[#This Row],[Calc_N_Typ]],TRAN_STRITEMS_LABEL,7,0)),0)</f>
        <v>0</v>
      </c>
      <c r="AX110" s="7">
        <f t="shared" si="18"/>
        <v>0</v>
      </c>
      <c r="AY110" s="57" t="str">
        <f t="shared" si="19"/>
        <v/>
      </c>
      <c r="AZ110" s="57" t="str">
        <f t="shared" si="20"/>
        <v/>
      </c>
      <c r="BA110" s="57" t="str">
        <f>IF(F110=1,IF(TableCosts[[#This Row],[TransferFrom]]=TableCosts[[#This Row],[TranferTo]],0,1),"")</f>
        <v/>
      </c>
      <c r="BB110" s="7">
        <f t="shared" si="21"/>
        <v>0</v>
      </c>
      <c r="BC110" s="7">
        <f t="shared" si="22"/>
        <v>0</v>
      </c>
    </row>
    <row r="111" spans="2:55" s="7" customFormat="1" ht="12.75" x14ac:dyDescent="0.2">
      <c r="B111" s="33"/>
      <c r="C111" s="31"/>
      <c r="D111" s="40"/>
      <c r="E111" s="6" t="str">
        <f>IF(F111=1,IF(ISERROR(TableCosts[[#This Row],[N_Tariff]]),Err_Message1,IF(TableCosts[[#This Row],[N_Tariff]]=0,Err_Message2,VLOOKUP(C111&amp;TableCosts[[#This Row],[Calc_N_Typ]],TRAN_STRITEMS_LABEL,5,FALSE))),"")</f>
        <v/>
      </c>
      <c r="F111" s="6">
        <f t="shared" si="26"/>
        <v>0</v>
      </c>
      <c r="G111" s="6" t="str">
        <f>IF(F111=1,IFERROR(VLOOKUP(E111,Tab_ErrMessage[],2,0),VLOOKUP(C111&amp;TableCosts[[#This Row],[Calc_N_Typ]],TRAN_STRITEMS_LABEL,4,FALSE)),"")</f>
        <v/>
      </c>
      <c r="H111" s="40"/>
      <c r="I111" s="40"/>
      <c r="J111" s="35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4"/>
      <c r="AJ111" s="24"/>
      <c r="AK111" s="38">
        <f t="array" ref="AK111">IF(F111=1,SUM((ROW(M0)=ROW(AK111))*(M0+M1_+M2_+M3_+M4_+M5_+M6_+M7_+M8_+M9_+M10_+M11_+M12_+M13_+M14_+M15_+M16_+M17_+M18_+M19_+M20_+M21_+M22_+M23_+M24_+M25_)),0)</f>
        <v>0</v>
      </c>
      <c r="AL111" s="27">
        <f>TableCosts[[#This Row],[N_Direct]]</f>
        <v>0</v>
      </c>
      <c r="AN111" s="7" t="str">
        <f t="shared" si="23"/>
        <v/>
      </c>
      <c r="AO111" s="7" t="str">
        <f t="shared" si="15"/>
        <v/>
      </c>
      <c r="AP111" s="7" t="str">
        <f t="shared" si="24"/>
        <v/>
      </c>
      <c r="AQ111" s="7" t="str">
        <f t="shared" si="16"/>
        <v/>
      </c>
      <c r="AR111" s="7" t="str">
        <f t="shared" si="25"/>
        <v/>
      </c>
      <c r="AS111" s="7">
        <f t="shared" si="17"/>
        <v>0</v>
      </c>
      <c r="AT111" s="17">
        <f>TableCosts[[#This Row],[N_Amount]]*TableCosts[[#This Row],[N_Tariff]]*TableCosts[[#This Row],[N_ItemsCount]]</f>
        <v>0</v>
      </c>
      <c r="AU111" s="17">
        <f>IF(F111=1,IF(TableCosts[[#This Row],[N_Kateg]]="interné práce",TableCosts[[#This Row],[N_Amount]]*8*PAR_SGA_PERHOUR,0),0)</f>
        <v>0</v>
      </c>
      <c r="AV111" s="17">
        <f>SUM(TableCosts[[#This Row],[N_Direct]:[N_SGA]])</f>
        <v>0</v>
      </c>
      <c r="AW111" s="7">
        <f>IF(F111=1,IF(D111="",NA(),VLOOKUP(C111&amp;TableCosts[[#This Row],[Calc_N_Typ]],TRAN_STRITEMS_LABEL,7,0)),0)</f>
        <v>0</v>
      </c>
      <c r="AX111" s="7">
        <f t="shared" si="18"/>
        <v>0</v>
      </c>
      <c r="AY111" s="57" t="str">
        <f t="shared" si="19"/>
        <v/>
      </c>
      <c r="AZ111" s="57" t="str">
        <f t="shared" si="20"/>
        <v/>
      </c>
      <c r="BA111" s="57" t="str">
        <f>IF(F111=1,IF(TableCosts[[#This Row],[TransferFrom]]=TableCosts[[#This Row],[TranferTo]],0,1),"")</f>
        <v/>
      </c>
      <c r="BB111" s="7">
        <f t="shared" si="21"/>
        <v>0</v>
      </c>
      <c r="BC111" s="7">
        <f t="shared" si="22"/>
        <v>0</v>
      </c>
    </row>
    <row r="112" spans="2:55" s="7" customFormat="1" ht="12.75" x14ac:dyDescent="0.2">
      <c r="B112" s="33"/>
      <c r="C112" s="31"/>
      <c r="D112" s="40"/>
      <c r="E112" s="6" t="str">
        <f>IF(F112=1,IF(ISERROR(TableCosts[[#This Row],[N_Tariff]]),Err_Message1,IF(TableCosts[[#This Row],[N_Tariff]]=0,Err_Message2,VLOOKUP(C112&amp;TableCosts[[#This Row],[Calc_N_Typ]],TRAN_STRITEMS_LABEL,5,FALSE))),"")</f>
        <v/>
      </c>
      <c r="F112" s="6">
        <f t="shared" si="26"/>
        <v>0</v>
      </c>
      <c r="G112" s="6" t="str">
        <f>IF(F112=1,IFERROR(VLOOKUP(E112,Tab_ErrMessage[],2,0),VLOOKUP(C112&amp;TableCosts[[#This Row],[Calc_N_Typ]],TRAN_STRITEMS_LABEL,4,FALSE)),"")</f>
        <v/>
      </c>
      <c r="H112" s="40"/>
      <c r="I112" s="40"/>
      <c r="J112" s="35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I112" s="24"/>
      <c r="AJ112" s="24"/>
      <c r="AK112" s="38">
        <f t="array" ref="AK112">IF(F112=1,SUM((ROW(M0)=ROW(AK112))*(M0+M1_+M2_+M3_+M4_+M5_+M6_+M7_+M8_+M9_+M10_+M11_+M12_+M13_+M14_+M15_+M16_+M17_+M18_+M19_+M20_+M21_+M22_+M23_+M24_+M25_)),0)</f>
        <v>0</v>
      </c>
      <c r="AL112" s="27">
        <f>TableCosts[[#This Row],[N_Direct]]</f>
        <v>0</v>
      </c>
      <c r="AN112" s="7" t="str">
        <f t="shared" si="23"/>
        <v/>
      </c>
      <c r="AO112" s="7" t="str">
        <f t="shared" si="15"/>
        <v/>
      </c>
      <c r="AP112" s="7" t="str">
        <f t="shared" si="24"/>
        <v/>
      </c>
      <c r="AQ112" s="7" t="str">
        <f t="shared" si="16"/>
        <v/>
      </c>
      <c r="AR112" s="7" t="str">
        <f t="shared" si="25"/>
        <v/>
      </c>
      <c r="AS112" s="7">
        <f t="shared" si="17"/>
        <v>0</v>
      </c>
      <c r="AT112" s="17">
        <f>TableCosts[[#This Row],[N_Amount]]*TableCosts[[#This Row],[N_Tariff]]*TableCosts[[#This Row],[N_ItemsCount]]</f>
        <v>0</v>
      </c>
      <c r="AU112" s="17">
        <f>IF(F112=1,IF(TableCosts[[#This Row],[N_Kateg]]="interné práce",TableCosts[[#This Row],[N_Amount]]*8*PAR_SGA_PERHOUR,0),0)</f>
        <v>0</v>
      </c>
      <c r="AV112" s="17">
        <f>SUM(TableCosts[[#This Row],[N_Direct]:[N_SGA]])</f>
        <v>0</v>
      </c>
      <c r="AW112" s="7">
        <f>IF(F112=1,IF(D112="",NA(),VLOOKUP(C112&amp;TableCosts[[#This Row],[Calc_N_Typ]],TRAN_STRITEMS_LABEL,7,0)),0)</f>
        <v>0</v>
      </c>
      <c r="AX112" s="7">
        <f t="shared" si="18"/>
        <v>0</v>
      </c>
      <c r="AY112" s="57" t="str">
        <f t="shared" si="19"/>
        <v/>
      </c>
      <c r="AZ112" s="57" t="str">
        <f t="shared" si="20"/>
        <v/>
      </c>
      <c r="BA112" s="57" t="str">
        <f>IF(F112=1,IF(TableCosts[[#This Row],[TransferFrom]]=TableCosts[[#This Row],[TranferTo]],0,1),"")</f>
        <v/>
      </c>
      <c r="BB112" s="7">
        <f t="shared" si="21"/>
        <v>0</v>
      </c>
      <c r="BC112" s="7">
        <f t="shared" si="22"/>
        <v>0</v>
      </c>
    </row>
    <row r="113" spans="2:55" s="7" customFormat="1" ht="12.75" x14ac:dyDescent="0.2">
      <c r="B113" s="33"/>
      <c r="C113" s="31"/>
      <c r="D113" s="40"/>
      <c r="E113" s="6" t="str">
        <f>IF(F113=1,IF(ISERROR(TableCosts[[#This Row],[N_Tariff]]),Err_Message1,IF(TableCosts[[#This Row],[N_Tariff]]=0,Err_Message2,VLOOKUP(C113&amp;TableCosts[[#This Row],[Calc_N_Typ]],TRAN_STRITEMS_LABEL,5,FALSE))),"")</f>
        <v/>
      </c>
      <c r="F113" s="6">
        <f t="shared" si="26"/>
        <v>0</v>
      </c>
      <c r="G113" s="6" t="str">
        <f>IF(F113=1,IFERROR(VLOOKUP(E113,Tab_ErrMessage[],2,0),VLOOKUP(C113&amp;TableCosts[[#This Row],[Calc_N_Typ]],TRAN_STRITEMS_LABEL,4,FALSE)),"")</f>
        <v/>
      </c>
      <c r="H113" s="40"/>
      <c r="I113" s="40"/>
      <c r="J113" s="35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4"/>
      <c r="AI113" s="24"/>
      <c r="AJ113" s="24"/>
      <c r="AK113" s="38">
        <f t="array" ref="AK113">IF(F113=1,SUM((ROW(M0)=ROW(AK113))*(M0+M1_+M2_+M3_+M4_+M5_+M6_+M7_+M8_+M9_+M10_+M11_+M12_+M13_+M14_+M15_+M16_+M17_+M18_+M19_+M20_+M21_+M22_+M23_+M24_+M25_)),0)</f>
        <v>0</v>
      </c>
      <c r="AL113" s="27">
        <f>TableCosts[[#This Row],[N_Direct]]</f>
        <v>0</v>
      </c>
      <c r="AN113" s="7" t="str">
        <f t="shared" si="23"/>
        <v/>
      </c>
      <c r="AO113" s="7" t="str">
        <f t="shared" si="15"/>
        <v/>
      </c>
      <c r="AP113" s="7" t="str">
        <f t="shared" si="24"/>
        <v/>
      </c>
      <c r="AQ113" s="7" t="str">
        <f t="shared" si="16"/>
        <v/>
      </c>
      <c r="AR113" s="7" t="str">
        <f t="shared" si="25"/>
        <v/>
      </c>
      <c r="AS113" s="7">
        <f t="shared" si="17"/>
        <v>0</v>
      </c>
      <c r="AT113" s="17">
        <f>TableCosts[[#This Row],[N_Amount]]*TableCosts[[#This Row],[N_Tariff]]*TableCosts[[#This Row],[N_ItemsCount]]</f>
        <v>0</v>
      </c>
      <c r="AU113" s="17">
        <f>IF(F113=1,IF(TableCosts[[#This Row],[N_Kateg]]="interné práce",TableCosts[[#This Row],[N_Amount]]*8*PAR_SGA_PERHOUR,0),0)</f>
        <v>0</v>
      </c>
      <c r="AV113" s="17">
        <f>SUM(TableCosts[[#This Row],[N_Direct]:[N_SGA]])</f>
        <v>0</v>
      </c>
      <c r="AW113" s="7">
        <f>IF(F113=1,IF(D113="",NA(),VLOOKUP(C113&amp;TableCosts[[#This Row],[Calc_N_Typ]],TRAN_STRITEMS_LABEL,7,0)),0)</f>
        <v>0</v>
      </c>
      <c r="AX113" s="7">
        <f t="shared" si="18"/>
        <v>0</v>
      </c>
      <c r="AY113" s="57" t="str">
        <f t="shared" si="19"/>
        <v/>
      </c>
      <c r="AZ113" s="57" t="str">
        <f t="shared" si="20"/>
        <v/>
      </c>
      <c r="BA113" s="57" t="str">
        <f>IF(F113=1,IF(TableCosts[[#This Row],[TransferFrom]]=TableCosts[[#This Row],[TranferTo]],0,1),"")</f>
        <v/>
      </c>
      <c r="BB113" s="7">
        <f t="shared" si="21"/>
        <v>0</v>
      </c>
      <c r="BC113" s="7">
        <f t="shared" si="22"/>
        <v>0</v>
      </c>
    </row>
    <row r="114" spans="2:55" s="7" customFormat="1" ht="12.75" x14ac:dyDescent="0.2">
      <c r="B114" s="33"/>
      <c r="C114" s="31"/>
      <c r="D114" s="40"/>
      <c r="E114" s="6" t="str">
        <f>IF(F114=1,IF(ISERROR(TableCosts[[#This Row],[N_Tariff]]),Err_Message1,IF(TableCosts[[#This Row],[N_Tariff]]=0,Err_Message2,VLOOKUP(C114&amp;TableCosts[[#This Row],[Calc_N_Typ]],TRAN_STRITEMS_LABEL,5,FALSE))),"")</f>
        <v/>
      </c>
      <c r="F114" s="6">
        <f t="shared" si="26"/>
        <v>0</v>
      </c>
      <c r="G114" s="6" t="str">
        <f>IF(F114=1,IFERROR(VLOOKUP(E114,Tab_ErrMessage[],2,0),VLOOKUP(C114&amp;TableCosts[[#This Row],[Calc_N_Typ]],TRAN_STRITEMS_LABEL,4,FALSE)),"")</f>
        <v/>
      </c>
      <c r="H114" s="40"/>
      <c r="I114" s="40"/>
      <c r="J114" s="35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4"/>
      <c r="AI114" s="24"/>
      <c r="AJ114" s="24"/>
      <c r="AK114" s="38">
        <f t="array" ref="AK114">IF(F114=1,SUM((ROW(M0)=ROW(AK114))*(M0+M1_+M2_+M3_+M4_+M5_+M6_+M7_+M8_+M9_+M10_+M11_+M12_+M13_+M14_+M15_+M16_+M17_+M18_+M19_+M20_+M21_+M22_+M23_+M24_+M25_)),0)</f>
        <v>0</v>
      </c>
      <c r="AL114" s="27">
        <f>TableCosts[[#This Row],[N_Direct]]</f>
        <v>0</v>
      </c>
      <c r="AN114" s="7" t="str">
        <f t="shared" si="23"/>
        <v/>
      </c>
      <c r="AO114" s="7" t="str">
        <f t="shared" si="15"/>
        <v/>
      </c>
      <c r="AP114" s="7" t="str">
        <f t="shared" si="24"/>
        <v/>
      </c>
      <c r="AQ114" s="7" t="str">
        <f t="shared" si="16"/>
        <v/>
      </c>
      <c r="AR114" s="7" t="str">
        <f t="shared" si="25"/>
        <v/>
      </c>
      <c r="AS114" s="7">
        <f t="shared" si="17"/>
        <v>0</v>
      </c>
      <c r="AT114" s="17">
        <f>TableCosts[[#This Row],[N_Amount]]*TableCosts[[#This Row],[N_Tariff]]*TableCosts[[#This Row],[N_ItemsCount]]</f>
        <v>0</v>
      </c>
      <c r="AU114" s="17">
        <f>IF(F114=1,IF(TableCosts[[#This Row],[N_Kateg]]="interné práce",TableCosts[[#This Row],[N_Amount]]*8*PAR_SGA_PERHOUR,0),0)</f>
        <v>0</v>
      </c>
      <c r="AV114" s="17">
        <f>SUM(TableCosts[[#This Row],[N_Direct]:[N_SGA]])</f>
        <v>0</v>
      </c>
      <c r="AW114" s="7">
        <f>IF(F114=1,IF(D114="",NA(),VLOOKUP(C114&amp;TableCosts[[#This Row],[Calc_N_Typ]],TRAN_STRITEMS_LABEL,7,0)),0)</f>
        <v>0</v>
      </c>
      <c r="AX114" s="7">
        <f t="shared" si="18"/>
        <v>0</v>
      </c>
      <c r="AY114" s="57" t="str">
        <f t="shared" si="19"/>
        <v/>
      </c>
      <c r="AZ114" s="57" t="str">
        <f t="shared" si="20"/>
        <v/>
      </c>
      <c r="BA114" s="57" t="str">
        <f>IF(F114=1,IF(TableCosts[[#This Row],[TransferFrom]]=TableCosts[[#This Row],[TranferTo]],0,1),"")</f>
        <v/>
      </c>
      <c r="BB114" s="7">
        <f t="shared" si="21"/>
        <v>0</v>
      </c>
      <c r="BC114" s="7">
        <f t="shared" si="22"/>
        <v>0</v>
      </c>
    </row>
    <row r="115" spans="2:55" s="7" customFormat="1" ht="12.75" x14ac:dyDescent="0.2">
      <c r="B115" s="33"/>
      <c r="C115" s="31"/>
      <c r="D115" s="40"/>
      <c r="E115" s="6" t="str">
        <f>IF(F115=1,IF(ISERROR(TableCosts[[#This Row],[N_Tariff]]),Err_Message1,IF(TableCosts[[#This Row],[N_Tariff]]=0,Err_Message2,VLOOKUP(C115&amp;TableCosts[[#This Row],[Calc_N_Typ]],TRAN_STRITEMS_LABEL,5,FALSE))),"")</f>
        <v/>
      </c>
      <c r="F115" s="6">
        <f t="shared" si="26"/>
        <v>0</v>
      </c>
      <c r="G115" s="6" t="str">
        <f>IF(F115=1,IFERROR(VLOOKUP(E115,Tab_ErrMessage[],2,0),VLOOKUP(C115&amp;TableCosts[[#This Row],[Calc_N_Typ]],TRAN_STRITEMS_LABEL,4,FALSE)),"")</f>
        <v/>
      </c>
      <c r="H115" s="40"/>
      <c r="I115" s="40"/>
      <c r="J115" s="35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4"/>
      <c r="AI115" s="24"/>
      <c r="AJ115" s="24"/>
      <c r="AK115" s="38">
        <f t="array" ref="AK115">IF(F115=1,SUM((ROW(M0)=ROW(AK115))*(M0+M1_+M2_+M3_+M4_+M5_+M6_+M7_+M8_+M9_+M10_+M11_+M12_+M13_+M14_+M15_+M16_+M17_+M18_+M19_+M20_+M21_+M22_+M23_+M24_+M25_)),0)</f>
        <v>0</v>
      </c>
      <c r="AL115" s="27">
        <f>TableCosts[[#This Row],[N_Direct]]</f>
        <v>0</v>
      </c>
      <c r="AN115" s="7" t="str">
        <f t="shared" si="23"/>
        <v/>
      </c>
      <c r="AO115" s="7" t="str">
        <f t="shared" si="15"/>
        <v/>
      </c>
      <c r="AP115" s="7" t="str">
        <f t="shared" si="24"/>
        <v/>
      </c>
      <c r="AQ115" s="7" t="str">
        <f t="shared" si="16"/>
        <v/>
      </c>
      <c r="AR115" s="7" t="str">
        <f t="shared" si="25"/>
        <v/>
      </c>
      <c r="AS115" s="7">
        <f t="shared" si="17"/>
        <v>0</v>
      </c>
      <c r="AT115" s="17">
        <f>TableCosts[[#This Row],[N_Amount]]*TableCosts[[#This Row],[N_Tariff]]*TableCosts[[#This Row],[N_ItemsCount]]</f>
        <v>0</v>
      </c>
      <c r="AU115" s="17">
        <f>IF(F115=1,IF(TableCosts[[#This Row],[N_Kateg]]="interné práce",TableCosts[[#This Row],[N_Amount]]*8*PAR_SGA_PERHOUR,0),0)</f>
        <v>0</v>
      </c>
      <c r="AV115" s="17">
        <f>SUM(TableCosts[[#This Row],[N_Direct]:[N_SGA]])</f>
        <v>0</v>
      </c>
      <c r="AW115" s="7">
        <f>IF(F115=1,IF(D115="",NA(),VLOOKUP(C115&amp;TableCosts[[#This Row],[Calc_N_Typ]],TRAN_STRITEMS_LABEL,7,0)),0)</f>
        <v>0</v>
      </c>
      <c r="AX115" s="7">
        <f t="shared" si="18"/>
        <v>0</v>
      </c>
      <c r="AY115" s="57" t="str">
        <f t="shared" si="19"/>
        <v/>
      </c>
      <c r="AZ115" s="57" t="str">
        <f t="shared" si="20"/>
        <v/>
      </c>
      <c r="BA115" s="57" t="str">
        <f>IF(F115=1,IF(TableCosts[[#This Row],[TransferFrom]]=TableCosts[[#This Row],[TranferTo]],0,1),"")</f>
        <v/>
      </c>
      <c r="BB115" s="7">
        <f t="shared" si="21"/>
        <v>0</v>
      </c>
      <c r="BC115" s="7">
        <f t="shared" si="22"/>
        <v>0</v>
      </c>
    </row>
    <row r="116" spans="2:55" s="7" customFormat="1" ht="12.75" x14ac:dyDescent="0.2">
      <c r="B116" s="33"/>
      <c r="C116" s="31"/>
      <c r="D116" s="40"/>
      <c r="E116" s="6" t="str">
        <f>IF(F116=1,IF(ISERROR(TableCosts[[#This Row],[N_Tariff]]),Err_Message1,IF(TableCosts[[#This Row],[N_Tariff]]=0,Err_Message2,VLOOKUP(C116&amp;TableCosts[[#This Row],[Calc_N_Typ]],TRAN_STRITEMS_LABEL,5,FALSE))),"")</f>
        <v/>
      </c>
      <c r="F116" s="6">
        <f t="shared" si="26"/>
        <v>0</v>
      </c>
      <c r="G116" s="6" t="str">
        <f>IF(F116=1,IFERROR(VLOOKUP(E116,Tab_ErrMessage[],2,0),VLOOKUP(C116&amp;TableCosts[[#This Row],[Calc_N_Typ]],TRAN_STRITEMS_LABEL,4,FALSE)),"")</f>
        <v/>
      </c>
      <c r="H116" s="40"/>
      <c r="I116" s="40"/>
      <c r="J116" s="35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4"/>
      <c r="AI116" s="24"/>
      <c r="AJ116" s="24"/>
      <c r="AK116" s="38">
        <f t="array" ref="AK116">IF(F116=1,SUM((ROW(M0)=ROW(AK116))*(M0+M1_+M2_+M3_+M4_+M5_+M6_+M7_+M8_+M9_+M10_+M11_+M12_+M13_+M14_+M15_+M16_+M17_+M18_+M19_+M20_+M21_+M22_+M23_+M24_+M25_)),0)</f>
        <v>0</v>
      </c>
      <c r="AL116" s="27">
        <f>TableCosts[[#This Row],[N_Direct]]</f>
        <v>0</v>
      </c>
      <c r="AN116" s="7" t="str">
        <f t="shared" si="23"/>
        <v/>
      </c>
      <c r="AO116" s="7" t="str">
        <f t="shared" si="15"/>
        <v/>
      </c>
      <c r="AP116" s="7" t="str">
        <f t="shared" si="24"/>
        <v/>
      </c>
      <c r="AQ116" s="7" t="str">
        <f t="shared" si="16"/>
        <v/>
      </c>
      <c r="AR116" s="7" t="str">
        <f t="shared" si="25"/>
        <v/>
      </c>
      <c r="AS116" s="7">
        <f t="shared" si="17"/>
        <v>0</v>
      </c>
      <c r="AT116" s="17">
        <f>TableCosts[[#This Row],[N_Amount]]*TableCosts[[#This Row],[N_Tariff]]*TableCosts[[#This Row],[N_ItemsCount]]</f>
        <v>0</v>
      </c>
      <c r="AU116" s="17">
        <f>IF(F116=1,IF(TableCosts[[#This Row],[N_Kateg]]="interné práce",TableCosts[[#This Row],[N_Amount]]*8*PAR_SGA_PERHOUR,0),0)</f>
        <v>0</v>
      </c>
      <c r="AV116" s="17">
        <f>SUM(TableCosts[[#This Row],[N_Direct]:[N_SGA]])</f>
        <v>0</v>
      </c>
      <c r="AW116" s="7">
        <f>IF(F116=1,IF(D116="",NA(),VLOOKUP(C116&amp;TableCosts[[#This Row],[Calc_N_Typ]],TRAN_STRITEMS_LABEL,7,0)),0)</f>
        <v>0</v>
      </c>
      <c r="AX116" s="7">
        <f t="shared" si="18"/>
        <v>0</v>
      </c>
      <c r="AY116" s="57" t="str">
        <f t="shared" si="19"/>
        <v/>
      </c>
      <c r="AZ116" s="57" t="str">
        <f t="shared" si="20"/>
        <v/>
      </c>
      <c r="BA116" s="57" t="str">
        <f>IF(F116=1,IF(TableCosts[[#This Row],[TransferFrom]]=TableCosts[[#This Row],[TranferTo]],0,1),"")</f>
        <v/>
      </c>
      <c r="BB116" s="7">
        <f t="shared" si="21"/>
        <v>0</v>
      </c>
      <c r="BC116" s="7">
        <f t="shared" si="22"/>
        <v>0</v>
      </c>
    </row>
    <row r="117" spans="2:55" s="7" customFormat="1" ht="12.75" x14ac:dyDescent="0.2">
      <c r="B117" s="33"/>
      <c r="C117" s="31"/>
      <c r="D117" s="40"/>
      <c r="E117" s="6" t="str">
        <f>IF(F117=1,IF(ISERROR(TableCosts[[#This Row],[N_Tariff]]),Err_Message1,IF(TableCosts[[#This Row],[N_Tariff]]=0,Err_Message2,VLOOKUP(C117&amp;TableCosts[[#This Row],[Calc_N_Typ]],TRAN_STRITEMS_LABEL,5,FALSE))),"")</f>
        <v/>
      </c>
      <c r="F117" s="6">
        <f t="shared" si="26"/>
        <v>0</v>
      </c>
      <c r="G117" s="6" t="str">
        <f>IF(F117=1,IFERROR(VLOOKUP(E117,Tab_ErrMessage[],2,0),VLOOKUP(C117&amp;TableCosts[[#This Row],[Calc_N_Typ]],TRAN_STRITEMS_LABEL,4,FALSE)),"")</f>
        <v/>
      </c>
      <c r="H117" s="40"/>
      <c r="I117" s="40"/>
      <c r="J117" s="35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4"/>
      <c r="AI117" s="24"/>
      <c r="AJ117" s="24"/>
      <c r="AK117" s="38">
        <f t="array" ref="AK117">IF(F117=1,SUM((ROW(M0)=ROW(AK117))*(M0+M1_+M2_+M3_+M4_+M5_+M6_+M7_+M8_+M9_+M10_+M11_+M12_+M13_+M14_+M15_+M16_+M17_+M18_+M19_+M20_+M21_+M22_+M23_+M24_+M25_)),0)</f>
        <v>0</v>
      </c>
      <c r="AL117" s="27">
        <f>TableCosts[[#This Row],[N_Direct]]</f>
        <v>0</v>
      </c>
      <c r="AN117" s="7" t="str">
        <f t="shared" si="23"/>
        <v/>
      </c>
      <c r="AO117" s="7" t="str">
        <f t="shared" si="15"/>
        <v/>
      </c>
      <c r="AP117" s="7" t="str">
        <f t="shared" si="24"/>
        <v/>
      </c>
      <c r="AQ117" s="7" t="str">
        <f t="shared" si="16"/>
        <v/>
      </c>
      <c r="AR117" s="7" t="str">
        <f t="shared" si="25"/>
        <v/>
      </c>
      <c r="AS117" s="7">
        <f t="shared" si="17"/>
        <v>0</v>
      </c>
      <c r="AT117" s="17">
        <f>TableCosts[[#This Row],[N_Amount]]*TableCosts[[#This Row],[N_Tariff]]*TableCosts[[#This Row],[N_ItemsCount]]</f>
        <v>0</v>
      </c>
      <c r="AU117" s="17">
        <f>IF(F117=1,IF(TableCosts[[#This Row],[N_Kateg]]="interné práce",TableCosts[[#This Row],[N_Amount]]*8*PAR_SGA_PERHOUR,0),0)</f>
        <v>0</v>
      </c>
      <c r="AV117" s="17">
        <f>SUM(TableCosts[[#This Row],[N_Direct]:[N_SGA]])</f>
        <v>0</v>
      </c>
      <c r="AW117" s="7">
        <f>IF(F117=1,IF(D117="",NA(),VLOOKUP(C117&amp;TableCosts[[#This Row],[Calc_N_Typ]],TRAN_STRITEMS_LABEL,7,0)),0)</f>
        <v>0</v>
      </c>
      <c r="AX117" s="7">
        <f t="shared" si="18"/>
        <v>0</v>
      </c>
      <c r="AY117" s="57" t="str">
        <f t="shared" si="19"/>
        <v/>
      </c>
      <c r="AZ117" s="57" t="str">
        <f t="shared" si="20"/>
        <v/>
      </c>
      <c r="BA117" s="57" t="str">
        <f>IF(F117=1,IF(TableCosts[[#This Row],[TransferFrom]]=TableCosts[[#This Row],[TranferTo]],0,1),"")</f>
        <v/>
      </c>
      <c r="BB117" s="7">
        <f t="shared" si="21"/>
        <v>0</v>
      </c>
      <c r="BC117" s="7">
        <f t="shared" si="22"/>
        <v>0</v>
      </c>
    </row>
    <row r="118" spans="2:55" s="7" customFormat="1" ht="12.75" x14ac:dyDescent="0.2">
      <c r="B118" s="33"/>
      <c r="C118" s="31"/>
      <c r="D118" s="40"/>
      <c r="E118" s="6" t="str">
        <f>IF(F118=1,IF(ISERROR(TableCosts[[#This Row],[N_Tariff]]),Err_Message1,IF(TableCosts[[#This Row],[N_Tariff]]=0,Err_Message2,VLOOKUP(C118&amp;TableCosts[[#This Row],[Calc_N_Typ]],TRAN_STRITEMS_LABEL,5,FALSE))),"")</f>
        <v/>
      </c>
      <c r="F118" s="6">
        <f t="shared" si="26"/>
        <v>0</v>
      </c>
      <c r="G118" s="6" t="str">
        <f>IF(F118=1,IFERROR(VLOOKUP(E118,Tab_ErrMessage[],2,0),VLOOKUP(C118&amp;TableCosts[[#This Row],[Calc_N_Typ]],TRAN_STRITEMS_LABEL,4,FALSE)),"")</f>
        <v/>
      </c>
      <c r="H118" s="40"/>
      <c r="I118" s="40"/>
      <c r="J118" s="35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4"/>
      <c r="AI118" s="24"/>
      <c r="AJ118" s="24"/>
      <c r="AK118" s="38">
        <f t="array" ref="AK118">IF(F118=1,SUM((ROW(M0)=ROW(AK118))*(M0+M1_+M2_+M3_+M4_+M5_+M6_+M7_+M8_+M9_+M10_+M11_+M12_+M13_+M14_+M15_+M16_+M17_+M18_+M19_+M20_+M21_+M22_+M23_+M24_+M25_)),0)</f>
        <v>0</v>
      </c>
      <c r="AL118" s="27">
        <f>TableCosts[[#This Row],[N_Direct]]</f>
        <v>0</v>
      </c>
      <c r="AN118" s="7" t="str">
        <f t="shared" si="23"/>
        <v/>
      </c>
      <c r="AO118" s="7" t="str">
        <f t="shared" si="15"/>
        <v/>
      </c>
      <c r="AP118" s="7" t="str">
        <f t="shared" si="24"/>
        <v/>
      </c>
      <c r="AQ118" s="7" t="str">
        <f t="shared" si="16"/>
        <v/>
      </c>
      <c r="AR118" s="7" t="str">
        <f t="shared" si="25"/>
        <v/>
      </c>
      <c r="AS118" s="7">
        <f t="shared" si="17"/>
        <v>0</v>
      </c>
      <c r="AT118" s="17">
        <f>TableCosts[[#This Row],[N_Amount]]*TableCosts[[#This Row],[N_Tariff]]*TableCosts[[#This Row],[N_ItemsCount]]</f>
        <v>0</v>
      </c>
      <c r="AU118" s="17">
        <f>IF(F118=1,IF(TableCosts[[#This Row],[N_Kateg]]="interné práce",TableCosts[[#This Row],[N_Amount]]*8*PAR_SGA_PERHOUR,0),0)</f>
        <v>0</v>
      </c>
      <c r="AV118" s="17">
        <f>SUM(TableCosts[[#This Row],[N_Direct]:[N_SGA]])</f>
        <v>0</v>
      </c>
      <c r="AW118" s="7">
        <f>IF(F118=1,IF(D118="",NA(),VLOOKUP(C118&amp;TableCosts[[#This Row],[Calc_N_Typ]],TRAN_STRITEMS_LABEL,7,0)),0)</f>
        <v>0</v>
      </c>
      <c r="AX118" s="7">
        <f t="shared" si="18"/>
        <v>0</v>
      </c>
      <c r="AY118" s="57" t="str">
        <f t="shared" si="19"/>
        <v/>
      </c>
      <c r="AZ118" s="57" t="str">
        <f t="shared" si="20"/>
        <v/>
      </c>
      <c r="BA118" s="57" t="str">
        <f>IF(F118=1,IF(TableCosts[[#This Row],[TransferFrom]]=TableCosts[[#This Row],[TranferTo]],0,1),"")</f>
        <v/>
      </c>
      <c r="BB118" s="7">
        <f t="shared" si="21"/>
        <v>0</v>
      </c>
      <c r="BC118" s="7">
        <f t="shared" si="22"/>
        <v>0</v>
      </c>
    </row>
    <row r="119" spans="2:55" s="7" customFormat="1" ht="12.75" x14ac:dyDescent="0.2">
      <c r="B119" s="33"/>
      <c r="C119" s="31"/>
      <c r="D119" s="40"/>
      <c r="E119" s="6" t="str">
        <f>IF(F119=1,IF(ISERROR(TableCosts[[#This Row],[N_Tariff]]),Err_Message1,IF(TableCosts[[#This Row],[N_Tariff]]=0,Err_Message2,VLOOKUP(C119&amp;TableCosts[[#This Row],[Calc_N_Typ]],TRAN_STRITEMS_LABEL,5,FALSE))),"")</f>
        <v/>
      </c>
      <c r="F119" s="6">
        <f t="shared" si="26"/>
        <v>0</v>
      </c>
      <c r="G119" s="6" t="str">
        <f>IF(F119=1,IFERROR(VLOOKUP(E119,Tab_ErrMessage[],2,0),VLOOKUP(C119&amp;TableCosts[[#This Row],[Calc_N_Typ]],TRAN_STRITEMS_LABEL,4,FALSE)),"")</f>
        <v/>
      </c>
      <c r="H119" s="40"/>
      <c r="I119" s="40"/>
      <c r="J119" s="35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4"/>
      <c r="AI119" s="24"/>
      <c r="AJ119" s="24"/>
      <c r="AK119" s="38">
        <f t="array" ref="AK119">IF(F119=1,SUM((ROW(M0)=ROW(AK119))*(M0+M1_+M2_+M3_+M4_+M5_+M6_+M7_+M8_+M9_+M10_+M11_+M12_+M13_+M14_+M15_+M16_+M17_+M18_+M19_+M20_+M21_+M22_+M23_+M24_+M25_)),0)</f>
        <v>0</v>
      </c>
      <c r="AL119" s="27">
        <f>TableCosts[[#This Row],[N_Direct]]</f>
        <v>0</v>
      </c>
      <c r="AN119" s="7" t="str">
        <f t="shared" si="23"/>
        <v/>
      </c>
      <c r="AO119" s="7" t="str">
        <f t="shared" si="15"/>
        <v/>
      </c>
      <c r="AP119" s="7" t="str">
        <f t="shared" si="24"/>
        <v/>
      </c>
      <c r="AQ119" s="7" t="str">
        <f t="shared" si="16"/>
        <v/>
      </c>
      <c r="AR119" s="7" t="str">
        <f t="shared" si="25"/>
        <v/>
      </c>
      <c r="AS119" s="7">
        <f t="shared" si="17"/>
        <v>0</v>
      </c>
      <c r="AT119" s="17">
        <f>TableCosts[[#This Row],[N_Amount]]*TableCosts[[#This Row],[N_Tariff]]*TableCosts[[#This Row],[N_ItemsCount]]</f>
        <v>0</v>
      </c>
      <c r="AU119" s="17">
        <f>IF(F119=1,IF(TableCosts[[#This Row],[N_Kateg]]="interné práce",TableCosts[[#This Row],[N_Amount]]*8*PAR_SGA_PERHOUR,0),0)</f>
        <v>0</v>
      </c>
      <c r="AV119" s="17">
        <f>SUM(TableCosts[[#This Row],[N_Direct]:[N_SGA]])</f>
        <v>0</v>
      </c>
      <c r="AW119" s="7">
        <f>IF(F119=1,IF(D119="",NA(),VLOOKUP(C119&amp;TableCosts[[#This Row],[Calc_N_Typ]],TRAN_STRITEMS_LABEL,7,0)),0)</f>
        <v>0</v>
      </c>
      <c r="AX119" s="7">
        <f t="shared" si="18"/>
        <v>0</v>
      </c>
      <c r="AY119" s="57" t="str">
        <f t="shared" si="19"/>
        <v/>
      </c>
      <c r="AZ119" s="57" t="str">
        <f t="shared" si="20"/>
        <v/>
      </c>
      <c r="BA119" s="57" t="str">
        <f>IF(F119=1,IF(TableCosts[[#This Row],[TransferFrom]]=TableCosts[[#This Row],[TranferTo]],0,1),"")</f>
        <v/>
      </c>
      <c r="BB119" s="7">
        <f t="shared" si="21"/>
        <v>0</v>
      </c>
      <c r="BC119" s="7">
        <f t="shared" si="22"/>
        <v>0</v>
      </c>
    </row>
    <row r="120" spans="2:55" s="7" customFormat="1" ht="12.75" x14ac:dyDescent="0.2">
      <c r="B120" s="33"/>
      <c r="C120" s="31"/>
      <c r="D120" s="40"/>
      <c r="E120" s="6" t="str">
        <f>IF(F120=1,IF(ISERROR(TableCosts[[#This Row],[N_Tariff]]),Err_Message1,IF(TableCosts[[#This Row],[N_Tariff]]=0,Err_Message2,VLOOKUP(C120&amp;TableCosts[[#This Row],[Calc_N_Typ]],TRAN_STRITEMS_LABEL,5,FALSE))),"")</f>
        <v/>
      </c>
      <c r="F120" s="6">
        <f t="shared" si="26"/>
        <v>0</v>
      </c>
      <c r="G120" s="6" t="str">
        <f>IF(F120=1,IFERROR(VLOOKUP(E120,Tab_ErrMessage[],2,0),VLOOKUP(C120&amp;TableCosts[[#This Row],[Calc_N_Typ]],TRAN_STRITEMS_LABEL,4,FALSE)),"")</f>
        <v/>
      </c>
      <c r="H120" s="40"/>
      <c r="I120" s="40"/>
      <c r="J120" s="35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4"/>
      <c r="AI120" s="24"/>
      <c r="AJ120" s="24"/>
      <c r="AK120" s="38">
        <f t="array" ref="AK120">IF(F120=1,SUM((ROW(M0)=ROW(AK120))*(M0+M1_+M2_+M3_+M4_+M5_+M6_+M7_+M8_+M9_+M10_+M11_+M12_+M13_+M14_+M15_+M16_+M17_+M18_+M19_+M20_+M21_+M22_+M23_+M24_+M25_)),0)</f>
        <v>0</v>
      </c>
      <c r="AL120" s="27">
        <f>TableCosts[[#This Row],[N_Direct]]</f>
        <v>0</v>
      </c>
      <c r="AN120" s="7" t="str">
        <f t="shared" si="23"/>
        <v/>
      </c>
      <c r="AO120" s="7" t="str">
        <f t="shared" si="15"/>
        <v/>
      </c>
      <c r="AP120" s="7" t="str">
        <f t="shared" si="24"/>
        <v/>
      </c>
      <c r="AQ120" s="7" t="str">
        <f t="shared" si="16"/>
        <v/>
      </c>
      <c r="AR120" s="7" t="str">
        <f t="shared" si="25"/>
        <v/>
      </c>
      <c r="AS120" s="7">
        <f t="shared" si="17"/>
        <v>0</v>
      </c>
      <c r="AT120" s="17">
        <f>TableCosts[[#This Row],[N_Amount]]*TableCosts[[#This Row],[N_Tariff]]*TableCosts[[#This Row],[N_ItemsCount]]</f>
        <v>0</v>
      </c>
      <c r="AU120" s="17">
        <f>IF(F120=1,IF(TableCosts[[#This Row],[N_Kateg]]="interné práce",TableCosts[[#This Row],[N_Amount]]*8*PAR_SGA_PERHOUR,0),0)</f>
        <v>0</v>
      </c>
      <c r="AV120" s="17">
        <f>SUM(TableCosts[[#This Row],[N_Direct]:[N_SGA]])</f>
        <v>0</v>
      </c>
      <c r="AW120" s="7">
        <f>IF(F120=1,IF(D120="",NA(),VLOOKUP(C120&amp;TableCosts[[#This Row],[Calc_N_Typ]],TRAN_STRITEMS_LABEL,7,0)),0)</f>
        <v>0</v>
      </c>
      <c r="AX120" s="7">
        <f t="shared" si="18"/>
        <v>0</v>
      </c>
      <c r="AY120" s="57" t="str">
        <f t="shared" si="19"/>
        <v/>
      </c>
      <c r="AZ120" s="57" t="str">
        <f t="shared" si="20"/>
        <v/>
      </c>
      <c r="BA120" s="57" t="str">
        <f>IF(F120=1,IF(TableCosts[[#This Row],[TransferFrom]]=TableCosts[[#This Row],[TranferTo]],0,1),"")</f>
        <v/>
      </c>
      <c r="BB120" s="7">
        <f t="shared" si="21"/>
        <v>0</v>
      </c>
      <c r="BC120" s="7">
        <f t="shared" si="22"/>
        <v>0</v>
      </c>
    </row>
    <row r="121" spans="2:55" s="7" customFormat="1" ht="12.75" x14ac:dyDescent="0.2">
      <c r="B121" s="33"/>
      <c r="C121" s="31"/>
      <c r="D121" s="40"/>
      <c r="E121" s="6" t="str">
        <f>IF(F121=1,IF(ISERROR(TableCosts[[#This Row],[N_Tariff]]),Err_Message1,IF(TableCosts[[#This Row],[N_Tariff]]=0,Err_Message2,VLOOKUP(C121&amp;TableCosts[[#This Row],[Calc_N_Typ]],TRAN_STRITEMS_LABEL,5,FALSE))),"")</f>
        <v/>
      </c>
      <c r="F121" s="6">
        <f t="shared" si="26"/>
        <v>0</v>
      </c>
      <c r="G121" s="6" t="str">
        <f>IF(F121=1,IFERROR(VLOOKUP(E121,Tab_ErrMessage[],2,0),VLOOKUP(C121&amp;TableCosts[[#This Row],[Calc_N_Typ]],TRAN_STRITEMS_LABEL,4,FALSE)),"")</f>
        <v/>
      </c>
      <c r="H121" s="40"/>
      <c r="I121" s="40"/>
      <c r="J121" s="35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4"/>
      <c r="AI121" s="24"/>
      <c r="AJ121" s="24"/>
      <c r="AK121" s="38">
        <f t="array" ref="AK121">IF(F121=1,SUM((ROW(M0)=ROW(AK121))*(M0+M1_+M2_+M3_+M4_+M5_+M6_+M7_+M8_+M9_+M10_+M11_+M12_+M13_+M14_+M15_+M16_+M17_+M18_+M19_+M20_+M21_+M22_+M23_+M24_+M25_)),0)</f>
        <v>0</v>
      </c>
      <c r="AL121" s="27">
        <f>TableCosts[[#This Row],[N_Direct]]</f>
        <v>0</v>
      </c>
      <c r="AN121" s="7" t="str">
        <f t="shared" si="23"/>
        <v/>
      </c>
      <c r="AO121" s="7" t="str">
        <f t="shared" si="15"/>
        <v/>
      </c>
      <c r="AP121" s="7" t="str">
        <f t="shared" si="24"/>
        <v/>
      </c>
      <c r="AQ121" s="7" t="str">
        <f t="shared" si="16"/>
        <v/>
      </c>
      <c r="AR121" s="7" t="str">
        <f t="shared" si="25"/>
        <v/>
      </c>
      <c r="AS121" s="7">
        <f t="shared" si="17"/>
        <v>0</v>
      </c>
      <c r="AT121" s="17">
        <f>TableCosts[[#This Row],[N_Amount]]*TableCosts[[#This Row],[N_Tariff]]*TableCosts[[#This Row],[N_ItemsCount]]</f>
        <v>0</v>
      </c>
      <c r="AU121" s="17">
        <f>IF(F121=1,IF(TableCosts[[#This Row],[N_Kateg]]="interné práce",TableCosts[[#This Row],[N_Amount]]*8*PAR_SGA_PERHOUR,0),0)</f>
        <v>0</v>
      </c>
      <c r="AV121" s="17">
        <f>SUM(TableCosts[[#This Row],[N_Direct]:[N_SGA]])</f>
        <v>0</v>
      </c>
      <c r="AW121" s="7">
        <f>IF(F121=1,IF(D121="",NA(),VLOOKUP(C121&amp;TableCosts[[#This Row],[Calc_N_Typ]],TRAN_STRITEMS_LABEL,7,0)),0)</f>
        <v>0</v>
      </c>
      <c r="AX121" s="7">
        <f t="shared" si="18"/>
        <v>0</v>
      </c>
      <c r="AY121" s="57" t="str">
        <f t="shared" si="19"/>
        <v/>
      </c>
      <c r="AZ121" s="57" t="str">
        <f t="shared" si="20"/>
        <v/>
      </c>
      <c r="BA121" s="57" t="str">
        <f>IF(F121=1,IF(TableCosts[[#This Row],[TransferFrom]]=TableCosts[[#This Row],[TranferTo]],0,1),"")</f>
        <v/>
      </c>
      <c r="BB121" s="7">
        <f t="shared" si="21"/>
        <v>0</v>
      </c>
      <c r="BC121" s="7">
        <f t="shared" si="22"/>
        <v>0</v>
      </c>
    </row>
    <row r="122" spans="2:55" s="7" customFormat="1" ht="12.75" x14ac:dyDescent="0.2">
      <c r="B122" s="33"/>
      <c r="C122" s="31"/>
      <c r="D122" s="40"/>
      <c r="E122" s="6" t="str">
        <f>IF(F122=1,IF(ISERROR(TableCosts[[#This Row],[N_Tariff]]),Err_Message1,IF(TableCosts[[#This Row],[N_Tariff]]=0,Err_Message2,VLOOKUP(C122&amp;TableCosts[[#This Row],[Calc_N_Typ]],TRAN_STRITEMS_LABEL,5,FALSE))),"")</f>
        <v/>
      </c>
      <c r="F122" s="6">
        <f t="shared" si="26"/>
        <v>0</v>
      </c>
      <c r="G122" s="6" t="str">
        <f>IF(F122=1,IFERROR(VLOOKUP(E122,Tab_ErrMessage[],2,0),VLOOKUP(C122&amp;TableCosts[[#This Row],[Calc_N_Typ]],TRAN_STRITEMS_LABEL,4,FALSE)),"")</f>
        <v/>
      </c>
      <c r="H122" s="40"/>
      <c r="I122" s="40"/>
      <c r="J122" s="35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4"/>
      <c r="AI122" s="24"/>
      <c r="AJ122" s="24"/>
      <c r="AK122" s="38">
        <f t="array" ref="AK122">IF(F122=1,SUM((ROW(M0)=ROW(AK122))*(M0+M1_+M2_+M3_+M4_+M5_+M6_+M7_+M8_+M9_+M10_+M11_+M12_+M13_+M14_+M15_+M16_+M17_+M18_+M19_+M20_+M21_+M22_+M23_+M24_+M25_)),0)</f>
        <v>0</v>
      </c>
      <c r="AL122" s="27">
        <f>TableCosts[[#This Row],[N_Direct]]</f>
        <v>0</v>
      </c>
      <c r="AN122" s="7" t="str">
        <f t="shared" si="23"/>
        <v/>
      </c>
      <c r="AO122" s="7" t="str">
        <f t="shared" si="15"/>
        <v/>
      </c>
      <c r="AP122" s="7" t="str">
        <f t="shared" si="24"/>
        <v/>
      </c>
      <c r="AQ122" s="7" t="str">
        <f t="shared" si="16"/>
        <v/>
      </c>
      <c r="AR122" s="7" t="str">
        <f t="shared" si="25"/>
        <v/>
      </c>
      <c r="AS122" s="7">
        <f t="shared" si="17"/>
        <v>0</v>
      </c>
      <c r="AT122" s="17">
        <f>TableCosts[[#This Row],[N_Amount]]*TableCosts[[#This Row],[N_Tariff]]*TableCosts[[#This Row],[N_ItemsCount]]</f>
        <v>0</v>
      </c>
      <c r="AU122" s="17">
        <f>IF(F122=1,IF(TableCosts[[#This Row],[N_Kateg]]="interné práce",TableCosts[[#This Row],[N_Amount]]*8*PAR_SGA_PERHOUR,0),0)</f>
        <v>0</v>
      </c>
      <c r="AV122" s="17">
        <f>SUM(TableCosts[[#This Row],[N_Direct]:[N_SGA]])</f>
        <v>0</v>
      </c>
      <c r="AW122" s="7">
        <f>IF(F122=1,IF(D122="",NA(),VLOOKUP(C122&amp;TableCosts[[#This Row],[Calc_N_Typ]],TRAN_STRITEMS_LABEL,7,0)),0)</f>
        <v>0</v>
      </c>
      <c r="AX122" s="7">
        <f t="shared" si="18"/>
        <v>0</v>
      </c>
      <c r="AY122" s="57" t="str">
        <f t="shared" si="19"/>
        <v/>
      </c>
      <c r="AZ122" s="57" t="str">
        <f t="shared" si="20"/>
        <v/>
      </c>
      <c r="BA122" s="57" t="str">
        <f>IF(F122=1,IF(TableCosts[[#This Row],[TransferFrom]]=TableCosts[[#This Row],[TranferTo]],0,1),"")</f>
        <v/>
      </c>
      <c r="BB122" s="7">
        <f t="shared" si="21"/>
        <v>0</v>
      </c>
      <c r="BC122" s="7">
        <f t="shared" si="22"/>
        <v>0</v>
      </c>
    </row>
    <row r="123" spans="2:55" s="7" customFormat="1" ht="12.75" x14ac:dyDescent="0.2">
      <c r="B123" s="33"/>
      <c r="C123" s="31"/>
      <c r="D123" s="40"/>
      <c r="E123" s="6" t="str">
        <f>IF(F123=1,IF(ISERROR(TableCosts[[#This Row],[N_Tariff]]),Err_Message1,IF(TableCosts[[#This Row],[N_Tariff]]=0,Err_Message2,VLOOKUP(C123&amp;TableCosts[[#This Row],[Calc_N_Typ]],TRAN_STRITEMS_LABEL,5,FALSE))),"")</f>
        <v/>
      </c>
      <c r="F123" s="6">
        <f t="shared" si="26"/>
        <v>0</v>
      </c>
      <c r="G123" s="6" t="str">
        <f>IF(F123=1,IFERROR(VLOOKUP(E123,Tab_ErrMessage[],2,0),VLOOKUP(C123&amp;TableCosts[[#This Row],[Calc_N_Typ]],TRAN_STRITEMS_LABEL,4,FALSE)),"")</f>
        <v/>
      </c>
      <c r="H123" s="40"/>
      <c r="I123" s="40"/>
      <c r="J123" s="35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4"/>
      <c r="AI123" s="24"/>
      <c r="AJ123" s="24"/>
      <c r="AK123" s="38">
        <f t="array" ref="AK123">IF(F123=1,SUM((ROW(M0)=ROW(AK123))*(M0+M1_+M2_+M3_+M4_+M5_+M6_+M7_+M8_+M9_+M10_+M11_+M12_+M13_+M14_+M15_+M16_+M17_+M18_+M19_+M20_+M21_+M22_+M23_+M24_+M25_)),0)</f>
        <v>0</v>
      </c>
      <c r="AL123" s="27">
        <f>TableCosts[[#This Row],[N_Direct]]</f>
        <v>0</v>
      </c>
      <c r="AN123" s="7" t="str">
        <f t="shared" si="23"/>
        <v/>
      </c>
      <c r="AO123" s="7" t="str">
        <f t="shared" si="15"/>
        <v/>
      </c>
      <c r="AP123" s="7" t="str">
        <f t="shared" si="24"/>
        <v/>
      </c>
      <c r="AQ123" s="7" t="str">
        <f t="shared" si="16"/>
        <v/>
      </c>
      <c r="AR123" s="7" t="str">
        <f t="shared" si="25"/>
        <v/>
      </c>
      <c r="AS123" s="7">
        <f t="shared" si="17"/>
        <v>0</v>
      </c>
      <c r="AT123" s="17">
        <f>TableCosts[[#This Row],[N_Amount]]*TableCosts[[#This Row],[N_Tariff]]*TableCosts[[#This Row],[N_ItemsCount]]</f>
        <v>0</v>
      </c>
      <c r="AU123" s="17">
        <f>IF(F123=1,IF(TableCosts[[#This Row],[N_Kateg]]="interné práce",TableCosts[[#This Row],[N_Amount]]*8*PAR_SGA_PERHOUR,0),0)</f>
        <v>0</v>
      </c>
      <c r="AV123" s="17">
        <f>SUM(TableCosts[[#This Row],[N_Direct]:[N_SGA]])</f>
        <v>0</v>
      </c>
      <c r="AW123" s="7">
        <f>IF(F123=1,IF(D123="",NA(),VLOOKUP(C123&amp;TableCosts[[#This Row],[Calc_N_Typ]],TRAN_STRITEMS_LABEL,7,0)),0)</f>
        <v>0</v>
      </c>
      <c r="AX123" s="7">
        <f t="shared" si="18"/>
        <v>0</v>
      </c>
      <c r="AY123" s="57" t="str">
        <f t="shared" si="19"/>
        <v/>
      </c>
      <c r="AZ123" s="57" t="str">
        <f t="shared" si="20"/>
        <v/>
      </c>
      <c r="BA123" s="57" t="str">
        <f>IF(F123=1,IF(TableCosts[[#This Row],[TransferFrom]]=TableCosts[[#This Row],[TranferTo]],0,1),"")</f>
        <v/>
      </c>
      <c r="BB123" s="7">
        <f t="shared" si="21"/>
        <v>0</v>
      </c>
      <c r="BC123" s="7">
        <f t="shared" si="22"/>
        <v>0</v>
      </c>
    </row>
    <row r="124" spans="2:55" s="7" customFormat="1" ht="12.75" x14ac:dyDescent="0.2">
      <c r="B124" s="33"/>
      <c r="C124" s="31"/>
      <c r="D124" s="40"/>
      <c r="E124" s="6" t="str">
        <f>IF(F124=1,IF(ISERROR(TableCosts[[#This Row],[N_Tariff]]),Err_Message1,IF(TableCosts[[#This Row],[N_Tariff]]=0,Err_Message2,VLOOKUP(C124&amp;TableCosts[[#This Row],[Calc_N_Typ]],TRAN_STRITEMS_LABEL,5,FALSE))),"")</f>
        <v/>
      </c>
      <c r="F124" s="6">
        <f t="shared" si="26"/>
        <v>0</v>
      </c>
      <c r="G124" s="6" t="str">
        <f>IF(F124=1,IFERROR(VLOOKUP(E124,Tab_ErrMessage[],2,0),VLOOKUP(C124&amp;TableCosts[[#This Row],[Calc_N_Typ]],TRAN_STRITEMS_LABEL,4,FALSE)),"")</f>
        <v/>
      </c>
      <c r="H124" s="40"/>
      <c r="I124" s="40"/>
      <c r="J124" s="35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4"/>
      <c r="AI124" s="24"/>
      <c r="AJ124" s="24"/>
      <c r="AK124" s="38">
        <f t="array" ref="AK124">IF(F124=1,SUM((ROW(M0)=ROW(AK124))*(M0+M1_+M2_+M3_+M4_+M5_+M6_+M7_+M8_+M9_+M10_+M11_+M12_+M13_+M14_+M15_+M16_+M17_+M18_+M19_+M20_+M21_+M22_+M23_+M24_+M25_)),0)</f>
        <v>0</v>
      </c>
      <c r="AL124" s="27">
        <f>TableCosts[[#This Row],[N_Direct]]</f>
        <v>0</v>
      </c>
      <c r="AN124" s="7" t="str">
        <f t="shared" si="23"/>
        <v/>
      </c>
      <c r="AO124" s="7" t="str">
        <f t="shared" si="15"/>
        <v/>
      </c>
      <c r="AP124" s="7" t="str">
        <f t="shared" si="24"/>
        <v/>
      </c>
      <c r="AQ124" s="7" t="str">
        <f t="shared" si="16"/>
        <v/>
      </c>
      <c r="AR124" s="7" t="str">
        <f t="shared" si="25"/>
        <v/>
      </c>
      <c r="AS124" s="7">
        <f t="shared" si="17"/>
        <v>0</v>
      </c>
      <c r="AT124" s="17">
        <f>TableCosts[[#This Row],[N_Amount]]*TableCosts[[#This Row],[N_Tariff]]*TableCosts[[#This Row],[N_ItemsCount]]</f>
        <v>0</v>
      </c>
      <c r="AU124" s="17">
        <f>IF(F124=1,IF(TableCosts[[#This Row],[N_Kateg]]="interné práce",TableCosts[[#This Row],[N_Amount]]*8*PAR_SGA_PERHOUR,0),0)</f>
        <v>0</v>
      </c>
      <c r="AV124" s="17">
        <f>SUM(TableCosts[[#This Row],[N_Direct]:[N_SGA]])</f>
        <v>0</v>
      </c>
      <c r="AW124" s="7">
        <f>IF(F124=1,IF(D124="",NA(),VLOOKUP(C124&amp;TableCosts[[#This Row],[Calc_N_Typ]],TRAN_STRITEMS_LABEL,7,0)),0)</f>
        <v>0</v>
      </c>
      <c r="AX124" s="7">
        <f t="shared" si="18"/>
        <v>0</v>
      </c>
      <c r="AY124" s="57" t="str">
        <f t="shared" si="19"/>
        <v/>
      </c>
      <c r="AZ124" s="57" t="str">
        <f t="shared" si="20"/>
        <v/>
      </c>
      <c r="BA124" s="57" t="str">
        <f>IF(F124=1,IF(TableCosts[[#This Row],[TransferFrom]]=TableCosts[[#This Row],[TranferTo]],0,1),"")</f>
        <v/>
      </c>
      <c r="BB124" s="7">
        <f t="shared" si="21"/>
        <v>0</v>
      </c>
      <c r="BC124" s="7">
        <f t="shared" si="22"/>
        <v>0</v>
      </c>
    </row>
    <row r="125" spans="2:55" s="7" customFormat="1" ht="12.75" x14ac:dyDescent="0.2">
      <c r="B125" s="33"/>
      <c r="C125" s="31"/>
      <c r="D125" s="40"/>
      <c r="E125" s="6" t="str">
        <f>IF(F125=1,IF(ISERROR(TableCosts[[#This Row],[N_Tariff]]),Err_Message1,IF(TableCosts[[#This Row],[N_Tariff]]=0,Err_Message2,VLOOKUP(C125&amp;TableCosts[[#This Row],[Calc_N_Typ]],TRAN_STRITEMS_LABEL,5,FALSE))),"")</f>
        <v/>
      </c>
      <c r="F125" s="6">
        <f t="shared" si="26"/>
        <v>0</v>
      </c>
      <c r="G125" s="6" t="str">
        <f>IF(F125=1,IFERROR(VLOOKUP(E125,Tab_ErrMessage[],2,0),VLOOKUP(C125&amp;TableCosts[[#This Row],[Calc_N_Typ]],TRAN_STRITEMS_LABEL,4,FALSE)),"")</f>
        <v/>
      </c>
      <c r="H125" s="40"/>
      <c r="I125" s="40"/>
      <c r="J125" s="35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4"/>
      <c r="AI125" s="24"/>
      <c r="AJ125" s="24"/>
      <c r="AK125" s="38">
        <f t="array" ref="AK125">IF(F125=1,SUM((ROW(M0)=ROW(AK125))*(M0+M1_+M2_+M3_+M4_+M5_+M6_+M7_+M8_+M9_+M10_+M11_+M12_+M13_+M14_+M15_+M16_+M17_+M18_+M19_+M20_+M21_+M22_+M23_+M24_+M25_)),0)</f>
        <v>0</v>
      </c>
      <c r="AL125" s="27">
        <f>TableCosts[[#This Row],[N_Direct]]</f>
        <v>0</v>
      </c>
      <c r="AN125" s="7" t="str">
        <f t="shared" si="23"/>
        <v/>
      </c>
      <c r="AO125" s="7" t="str">
        <f t="shared" si="15"/>
        <v/>
      </c>
      <c r="AP125" s="7" t="str">
        <f t="shared" si="24"/>
        <v/>
      </c>
      <c r="AQ125" s="7" t="str">
        <f t="shared" si="16"/>
        <v/>
      </c>
      <c r="AR125" s="7" t="str">
        <f t="shared" si="25"/>
        <v/>
      </c>
      <c r="AS125" s="7">
        <f t="shared" si="17"/>
        <v>0</v>
      </c>
      <c r="AT125" s="17">
        <f>TableCosts[[#This Row],[N_Amount]]*TableCosts[[#This Row],[N_Tariff]]*TableCosts[[#This Row],[N_ItemsCount]]</f>
        <v>0</v>
      </c>
      <c r="AU125" s="17">
        <f>IF(F125=1,IF(TableCosts[[#This Row],[N_Kateg]]="interné práce",TableCosts[[#This Row],[N_Amount]]*8*PAR_SGA_PERHOUR,0),0)</f>
        <v>0</v>
      </c>
      <c r="AV125" s="17">
        <f>SUM(TableCosts[[#This Row],[N_Direct]:[N_SGA]])</f>
        <v>0</v>
      </c>
      <c r="AW125" s="7">
        <f>IF(F125=1,IF(D125="",NA(),VLOOKUP(C125&amp;TableCosts[[#This Row],[Calc_N_Typ]],TRAN_STRITEMS_LABEL,7,0)),0)</f>
        <v>0</v>
      </c>
      <c r="AX125" s="7">
        <f t="shared" si="18"/>
        <v>0</v>
      </c>
      <c r="AY125" s="57" t="str">
        <f t="shared" si="19"/>
        <v/>
      </c>
      <c r="AZ125" s="57" t="str">
        <f t="shared" si="20"/>
        <v/>
      </c>
      <c r="BA125" s="57" t="str">
        <f>IF(F125=1,IF(TableCosts[[#This Row],[TransferFrom]]=TableCosts[[#This Row],[TranferTo]],0,1),"")</f>
        <v/>
      </c>
      <c r="BB125" s="7">
        <f t="shared" si="21"/>
        <v>0</v>
      </c>
      <c r="BC125" s="7">
        <f t="shared" si="22"/>
        <v>0</v>
      </c>
    </row>
    <row r="126" spans="2:55" s="7" customFormat="1" ht="12.75" x14ac:dyDescent="0.2">
      <c r="B126" s="33"/>
      <c r="C126" s="31"/>
      <c r="D126" s="40"/>
      <c r="E126" s="6" t="str">
        <f>IF(F126=1,IF(ISERROR(TableCosts[[#This Row],[N_Tariff]]),Err_Message1,IF(TableCosts[[#This Row],[N_Tariff]]=0,Err_Message2,VLOOKUP(C126&amp;TableCosts[[#This Row],[Calc_N_Typ]],TRAN_STRITEMS_LABEL,5,FALSE))),"")</f>
        <v/>
      </c>
      <c r="F126" s="6">
        <f t="shared" si="26"/>
        <v>0</v>
      </c>
      <c r="G126" s="6" t="str">
        <f>IF(F126=1,IFERROR(VLOOKUP(E126,Tab_ErrMessage[],2,0),VLOOKUP(C126&amp;TableCosts[[#This Row],[Calc_N_Typ]],TRAN_STRITEMS_LABEL,4,FALSE)),"")</f>
        <v/>
      </c>
      <c r="H126" s="40"/>
      <c r="I126" s="40"/>
      <c r="J126" s="35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4"/>
      <c r="AI126" s="24"/>
      <c r="AJ126" s="24"/>
      <c r="AK126" s="38">
        <f t="array" ref="AK126">IF(F126=1,SUM((ROW(M0)=ROW(AK126))*(M0+M1_+M2_+M3_+M4_+M5_+M6_+M7_+M8_+M9_+M10_+M11_+M12_+M13_+M14_+M15_+M16_+M17_+M18_+M19_+M20_+M21_+M22_+M23_+M24_+M25_)),0)</f>
        <v>0</v>
      </c>
      <c r="AL126" s="27">
        <f>TableCosts[[#This Row],[N_Direct]]</f>
        <v>0</v>
      </c>
      <c r="AN126" s="7" t="str">
        <f t="shared" si="23"/>
        <v/>
      </c>
      <c r="AO126" s="7" t="str">
        <f t="shared" si="15"/>
        <v/>
      </c>
      <c r="AP126" s="7" t="str">
        <f t="shared" si="24"/>
        <v/>
      </c>
      <c r="AQ126" s="7" t="str">
        <f t="shared" si="16"/>
        <v/>
      </c>
      <c r="AR126" s="7" t="str">
        <f t="shared" si="25"/>
        <v/>
      </c>
      <c r="AS126" s="7">
        <f t="shared" si="17"/>
        <v>0</v>
      </c>
      <c r="AT126" s="17">
        <f>TableCosts[[#This Row],[N_Amount]]*TableCosts[[#This Row],[N_Tariff]]*TableCosts[[#This Row],[N_ItemsCount]]</f>
        <v>0</v>
      </c>
      <c r="AU126" s="17">
        <f>IF(F126=1,IF(TableCosts[[#This Row],[N_Kateg]]="interné práce",TableCosts[[#This Row],[N_Amount]]*8*PAR_SGA_PERHOUR,0),0)</f>
        <v>0</v>
      </c>
      <c r="AV126" s="17">
        <f>SUM(TableCosts[[#This Row],[N_Direct]:[N_SGA]])</f>
        <v>0</v>
      </c>
      <c r="AW126" s="7">
        <f>IF(F126=1,IF(D126="",NA(),VLOOKUP(C126&amp;TableCosts[[#This Row],[Calc_N_Typ]],TRAN_STRITEMS_LABEL,7,0)),0)</f>
        <v>0</v>
      </c>
      <c r="AX126" s="7">
        <f t="shared" si="18"/>
        <v>0</v>
      </c>
      <c r="AY126" s="57" t="str">
        <f t="shared" si="19"/>
        <v/>
      </c>
      <c r="AZ126" s="57" t="str">
        <f t="shared" si="20"/>
        <v/>
      </c>
      <c r="BA126" s="57" t="str">
        <f>IF(F126=1,IF(TableCosts[[#This Row],[TransferFrom]]=TableCosts[[#This Row],[TranferTo]],0,1),"")</f>
        <v/>
      </c>
      <c r="BB126" s="7">
        <f t="shared" si="21"/>
        <v>0</v>
      </c>
      <c r="BC126" s="7">
        <f t="shared" si="22"/>
        <v>0</v>
      </c>
    </row>
    <row r="127" spans="2:55" s="7" customFormat="1" ht="12.75" x14ac:dyDescent="0.2">
      <c r="B127" s="33"/>
      <c r="C127" s="31"/>
      <c r="D127" s="40"/>
      <c r="E127" s="6" t="str">
        <f>IF(F127=1,IF(ISERROR(TableCosts[[#This Row],[N_Tariff]]),Err_Message1,IF(TableCosts[[#This Row],[N_Tariff]]=0,Err_Message2,VLOOKUP(C127&amp;TableCosts[[#This Row],[Calc_N_Typ]],TRAN_STRITEMS_LABEL,5,FALSE))),"")</f>
        <v/>
      </c>
      <c r="F127" s="6">
        <f t="shared" si="26"/>
        <v>0</v>
      </c>
      <c r="G127" s="6" t="str">
        <f>IF(F127=1,IFERROR(VLOOKUP(E127,Tab_ErrMessage[],2,0),VLOOKUP(C127&amp;TableCosts[[#This Row],[Calc_N_Typ]],TRAN_STRITEMS_LABEL,4,FALSE)),"")</f>
        <v/>
      </c>
      <c r="H127" s="40"/>
      <c r="I127" s="40"/>
      <c r="J127" s="35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4"/>
      <c r="AI127" s="24"/>
      <c r="AJ127" s="24"/>
      <c r="AK127" s="38">
        <f t="array" ref="AK127">IF(F127=1,SUM((ROW(M0)=ROW(AK127))*(M0+M1_+M2_+M3_+M4_+M5_+M6_+M7_+M8_+M9_+M10_+M11_+M12_+M13_+M14_+M15_+M16_+M17_+M18_+M19_+M20_+M21_+M22_+M23_+M24_+M25_)),0)</f>
        <v>0</v>
      </c>
      <c r="AL127" s="27">
        <f>TableCosts[[#This Row],[N_Direct]]</f>
        <v>0</v>
      </c>
      <c r="AN127" s="7" t="str">
        <f t="shared" si="23"/>
        <v/>
      </c>
      <c r="AO127" s="7" t="str">
        <f t="shared" si="15"/>
        <v/>
      </c>
      <c r="AP127" s="7" t="str">
        <f t="shared" si="24"/>
        <v/>
      </c>
      <c r="AQ127" s="7" t="str">
        <f t="shared" si="16"/>
        <v/>
      </c>
      <c r="AR127" s="7" t="str">
        <f t="shared" si="25"/>
        <v/>
      </c>
      <c r="AS127" s="7">
        <f t="shared" si="17"/>
        <v>0</v>
      </c>
      <c r="AT127" s="17">
        <f>TableCosts[[#This Row],[N_Amount]]*TableCosts[[#This Row],[N_Tariff]]*TableCosts[[#This Row],[N_ItemsCount]]</f>
        <v>0</v>
      </c>
      <c r="AU127" s="17">
        <f>IF(F127=1,IF(TableCosts[[#This Row],[N_Kateg]]="interné práce",TableCosts[[#This Row],[N_Amount]]*8*PAR_SGA_PERHOUR,0),0)</f>
        <v>0</v>
      </c>
      <c r="AV127" s="17">
        <f>SUM(TableCosts[[#This Row],[N_Direct]:[N_SGA]])</f>
        <v>0</v>
      </c>
      <c r="AW127" s="7">
        <f>IF(F127=1,IF(D127="",NA(),VLOOKUP(C127&amp;TableCosts[[#This Row],[Calc_N_Typ]],TRAN_STRITEMS_LABEL,7,0)),0)</f>
        <v>0</v>
      </c>
      <c r="AX127" s="7">
        <f t="shared" si="18"/>
        <v>0</v>
      </c>
      <c r="AY127" s="57" t="str">
        <f t="shared" si="19"/>
        <v/>
      </c>
      <c r="AZ127" s="57" t="str">
        <f t="shared" si="20"/>
        <v/>
      </c>
      <c r="BA127" s="57" t="str">
        <f>IF(F127=1,IF(TableCosts[[#This Row],[TransferFrom]]=TableCosts[[#This Row],[TranferTo]],0,1),"")</f>
        <v/>
      </c>
      <c r="BB127" s="7">
        <f t="shared" si="21"/>
        <v>0</v>
      </c>
      <c r="BC127" s="7">
        <f t="shared" si="22"/>
        <v>0</v>
      </c>
    </row>
    <row r="128" spans="2:55" s="7" customFormat="1" ht="12.75" x14ac:dyDescent="0.2">
      <c r="B128" s="33"/>
      <c r="C128" s="31"/>
      <c r="D128" s="40"/>
      <c r="E128" s="6" t="str">
        <f>IF(F128=1,IF(ISERROR(TableCosts[[#This Row],[N_Tariff]]),Err_Message1,IF(TableCosts[[#This Row],[N_Tariff]]=0,Err_Message2,VLOOKUP(C128&amp;TableCosts[[#This Row],[Calc_N_Typ]],TRAN_STRITEMS_LABEL,5,FALSE))),"")</f>
        <v/>
      </c>
      <c r="F128" s="6">
        <f t="shared" si="26"/>
        <v>0</v>
      </c>
      <c r="G128" s="6" t="str">
        <f>IF(F128=1,IFERROR(VLOOKUP(E128,Tab_ErrMessage[],2,0),VLOOKUP(C128&amp;TableCosts[[#This Row],[Calc_N_Typ]],TRAN_STRITEMS_LABEL,4,FALSE)),"")</f>
        <v/>
      </c>
      <c r="H128" s="40"/>
      <c r="I128" s="40"/>
      <c r="J128" s="35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4"/>
      <c r="AI128" s="24"/>
      <c r="AJ128" s="24"/>
      <c r="AK128" s="38">
        <f t="array" ref="AK128">IF(F128=1,SUM((ROW(M0)=ROW(AK128))*(M0+M1_+M2_+M3_+M4_+M5_+M6_+M7_+M8_+M9_+M10_+M11_+M12_+M13_+M14_+M15_+M16_+M17_+M18_+M19_+M20_+M21_+M22_+M23_+M24_+M25_)),0)</f>
        <v>0</v>
      </c>
      <c r="AL128" s="27">
        <f>TableCosts[[#This Row],[N_Direct]]</f>
        <v>0</v>
      </c>
      <c r="AN128" s="7" t="str">
        <f t="shared" si="23"/>
        <v/>
      </c>
      <c r="AO128" s="7" t="str">
        <f t="shared" si="15"/>
        <v/>
      </c>
      <c r="AP128" s="7" t="str">
        <f t="shared" si="24"/>
        <v/>
      </c>
      <c r="AQ128" s="7" t="str">
        <f t="shared" si="16"/>
        <v/>
      </c>
      <c r="AR128" s="7" t="str">
        <f t="shared" si="25"/>
        <v/>
      </c>
      <c r="AS128" s="7">
        <f t="shared" si="17"/>
        <v>0</v>
      </c>
      <c r="AT128" s="17">
        <f>TableCosts[[#This Row],[N_Amount]]*TableCosts[[#This Row],[N_Tariff]]*TableCosts[[#This Row],[N_ItemsCount]]</f>
        <v>0</v>
      </c>
      <c r="AU128" s="17">
        <f>IF(F128=1,IF(TableCosts[[#This Row],[N_Kateg]]="interné práce",TableCosts[[#This Row],[N_Amount]]*8*PAR_SGA_PERHOUR,0),0)</f>
        <v>0</v>
      </c>
      <c r="AV128" s="17">
        <f>SUM(TableCosts[[#This Row],[N_Direct]:[N_SGA]])</f>
        <v>0</v>
      </c>
      <c r="AW128" s="7">
        <f>IF(F128=1,IF(D128="",NA(),VLOOKUP(C128&amp;TableCosts[[#This Row],[Calc_N_Typ]],TRAN_STRITEMS_LABEL,7,0)),0)</f>
        <v>0</v>
      </c>
      <c r="AX128" s="7">
        <f t="shared" si="18"/>
        <v>0</v>
      </c>
      <c r="AY128" s="57" t="str">
        <f t="shared" si="19"/>
        <v/>
      </c>
      <c r="AZ128" s="57" t="str">
        <f t="shared" si="20"/>
        <v/>
      </c>
      <c r="BA128" s="57" t="str">
        <f>IF(F128=1,IF(TableCosts[[#This Row],[TransferFrom]]=TableCosts[[#This Row],[TranferTo]],0,1),"")</f>
        <v/>
      </c>
      <c r="BB128" s="7">
        <f t="shared" si="21"/>
        <v>0</v>
      </c>
      <c r="BC128" s="7">
        <f t="shared" si="22"/>
        <v>0</v>
      </c>
    </row>
    <row r="129" spans="2:55" s="7" customFormat="1" ht="12.75" x14ac:dyDescent="0.2">
      <c r="B129" s="33"/>
      <c r="C129" s="31"/>
      <c r="D129" s="40"/>
      <c r="E129" s="6" t="str">
        <f>IF(F129=1,IF(ISERROR(TableCosts[[#This Row],[N_Tariff]]),Err_Message1,IF(TableCosts[[#This Row],[N_Tariff]]=0,Err_Message2,VLOOKUP(C129&amp;TableCosts[[#This Row],[Calc_N_Typ]],TRAN_STRITEMS_LABEL,5,FALSE))),"")</f>
        <v/>
      </c>
      <c r="F129" s="6">
        <f t="shared" si="26"/>
        <v>0</v>
      </c>
      <c r="G129" s="6" t="str">
        <f>IF(F129=1,IFERROR(VLOOKUP(E129,Tab_ErrMessage[],2,0),VLOOKUP(C129&amp;TableCosts[[#This Row],[Calc_N_Typ]],TRAN_STRITEMS_LABEL,4,FALSE)),"")</f>
        <v/>
      </c>
      <c r="H129" s="40"/>
      <c r="I129" s="40"/>
      <c r="J129" s="35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4"/>
      <c r="AI129" s="24"/>
      <c r="AJ129" s="24"/>
      <c r="AK129" s="38">
        <f t="array" ref="AK129">IF(F129=1,SUM((ROW(M0)=ROW(AK129))*(M0+M1_+M2_+M3_+M4_+M5_+M6_+M7_+M8_+M9_+M10_+M11_+M12_+M13_+M14_+M15_+M16_+M17_+M18_+M19_+M20_+M21_+M22_+M23_+M24_+M25_)),0)</f>
        <v>0</v>
      </c>
      <c r="AL129" s="27">
        <f>TableCosts[[#This Row],[N_Direct]]</f>
        <v>0</v>
      </c>
      <c r="AN129" s="7" t="str">
        <f t="shared" si="23"/>
        <v/>
      </c>
      <c r="AO129" s="7" t="str">
        <f t="shared" si="15"/>
        <v/>
      </c>
      <c r="AP129" s="7" t="str">
        <f t="shared" si="24"/>
        <v/>
      </c>
      <c r="AQ129" s="7" t="str">
        <f t="shared" si="16"/>
        <v/>
      </c>
      <c r="AR129" s="7" t="str">
        <f t="shared" si="25"/>
        <v/>
      </c>
      <c r="AS129" s="7">
        <f t="shared" si="17"/>
        <v>0</v>
      </c>
      <c r="AT129" s="17">
        <f>TableCosts[[#This Row],[N_Amount]]*TableCosts[[#This Row],[N_Tariff]]*TableCosts[[#This Row],[N_ItemsCount]]</f>
        <v>0</v>
      </c>
      <c r="AU129" s="17">
        <f>IF(F129=1,IF(TableCosts[[#This Row],[N_Kateg]]="interné práce",TableCosts[[#This Row],[N_Amount]]*8*PAR_SGA_PERHOUR,0),0)</f>
        <v>0</v>
      </c>
      <c r="AV129" s="17">
        <f>SUM(TableCosts[[#This Row],[N_Direct]:[N_SGA]])</f>
        <v>0</v>
      </c>
      <c r="AW129" s="7">
        <f>IF(F129=1,IF(D129="",NA(),VLOOKUP(C129&amp;TableCosts[[#This Row],[Calc_N_Typ]],TRAN_STRITEMS_LABEL,7,0)),0)</f>
        <v>0</v>
      </c>
      <c r="AX129" s="7">
        <f t="shared" si="18"/>
        <v>0</v>
      </c>
      <c r="AY129" s="57" t="str">
        <f t="shared" si="19"/>
        <v/>
      </c>
      <c r="AZ129" s="57" t="str">
        <f t="shared" si="20"/>
        <v/>
      </c>
      <c r="BA129" s="57" t="str">
        <f>IF(F129=1,IF(TableCosts[[#This Row],[TransferFrom]]=TableCosts[[#This Row],[TranferTo]],0,1),"")</f>
        <v/>
      </c>
      <c r="BB129" s="7">
        <f t="shared" si="21"/>
        <v>0</v>
      </c>
      <c r="BC129" s="7">
        <f t="shared" si="22"/>
        <v>0</v>
      </c>
    </row>
    <row r="130" spans="2:55" s="7" customFormat="1" ht="12.75" x14ac:dyDescent="0.2">
      <c r="B130" s="33"/>
      <c r="C130" s="31"/>
      <c r="D130" s="40"/>
      <c r="E130" s="6" t="str">
        <f>IF(F130=1,IF(ISERROR(TableCosts[[#This Row],[N_Tariff]]),Err_Message1,IF(TableCosts[[#This Row],[N_Tariff]]=0,Err_Message2,VLOOKUP(C130&amp;TableCosts[[#This Row],[Calc_N_Typ]],TRAN_STRITEMS_LABEL,5,FALSE))),"")</f>
        <v/>
      </c>
      <c r="F130" s="6">
        <f t="shared" si="26"/>
        <v>0</v>
      </c>
      <c r="G130" s="6" t="str">
        <f>IF(F130=1,IFERROR(VLOOKUP(E130,Tab_ErrMessage[],2,0),VLOOKUP(C130&amp;TableCosts[[#This Row],[Calc_N_Typ]],TRAN_STRITEMS_LABEL,4,FALSE)),"")</f>
        <v/>
      </c>
      <c r="H130" s="40"/>
      <c r="I130" s="40"/>
      <c r="J130" s="35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4"/>
      <c r="AI130" s="24"/>
      <c r="AJ130" s="24"/>
      <c r="AK130" s="38">
        <f t="array" ref="AK130">IF(F130=1,SUM((ROW(M0)=ROW(AK130))*(M0+M1_+M2_+M3_+M4_+M5_+M6_+M7_+M8_+M9_+M10_+M11_+M12_+M13_+M14_+M15_+M16_+M17_+M18_+M19_+M20_+M21_+M22_+M23_+M24_+M25_)),0)</f>
        <v>0</v>
      </c>
      <c r="AL130" s="27">
        <f>TableCosts[[#This Row],[N_Direct]]</f>
        <v>0</v>
      </c>
      <c r="AN130" s="7" t="str">
        <f t="shared" si="23"/>
        <v/>
      </c>
      <c r="AO130" s="7" t="str">
        <f t="shared" si="15"/>
        <v/>
      </c>
      <c r="AP130" s="7" t="str">
        <f t="shared" si="24"/>
        <v/>
      </c>
      <c r="AQ130" s="7" t="str">
        <f t="shared" si="16"/>
        <v/>
      </c>
      <c r="AR130" s="7" t="str">
        <f t="shared" si="25"/>
        <v/>
      </c>
      <c r="AS130" s="7">
        <f t="shared" si="17"/>
        <v>0</v>
      </c>
      <c r="AT130" s="17">
        <f>TableCosts[[#This Row],[N_Amount]]*TableCosts[[#This Row],[N_Tariff]]*TableCosts[[#This Row],[N_ItemsCount]]</f>
        <v>0</v>
      </c>
      <c r="AU130" s="17">
        <f>IF(F130=1,IF(TableCosts[[#This Row],[N_Kateg]]="interné práce",TableCosts[[#This Row],[N_Amount]]*8*PAR_SGA_PERHOUR,0),0)</f>
        <v>0</v>
      </c>
      <c r="AV130" s="17">
        <f>SUM(TableCosts[[#This Row],[N_Direct]:[N_SGA]])</f>
        <v>0</v>
      </c>
      <c r="AW130" s="7">
        <f>IF(F130=1,IF(D130="",NA(),VLOOKUP(C130&amp;TableCosts[[#This Row],[Calc_N_Typ]],TRAN_STRITEMS_LABEL,7,0)),0)</f>
        <v>0</v>
      </c>
      <c r="AX130" s="7">
        <f t="shared" si="18"/>
        <v>0</v>
      </c>
      <c r="AY130" s="57" t="str">
        <f t="shared" si="19"/>
        <v/>
      </c>
      <c r="AZ130" s="57" t="str">
        <f t="shared" si="20"/>
        <v/>
      </c>
      <c r="BA130" s="57" t="str">
        <f>IF(F130=1,IF(TableCosts[[#This Row],[TransferFrom]]=TableCosts[[#This Row],[TranferTo]],0,1),"")</f>
        <v/>
      </c>
      <c r="BB130" s="7">
        <f t="shared" si="21"/>
        <v>0</v>
      </c>
      <c r="BC130" s="7">
        <f t="shared" si="22"/>
        <v>0</v>
      </c>
    </row>
    <row r="131" spans="2:55" s="7" customFormat="1" ht="12.75" x14ac:dyDescent="0.2">
      <c r="B131" s="33"/>
      <c r="C131" s="31"/>
      <c r="D131" s="40"/>
      <c r="E131" s="6" t="str">
        <f>IF(F131=1,IF(ISERROR(TableCosts[[#This Row],[N_Tariff]]),Err_Message1,IF(TableCosts[[#This Row],[N_Tariff]]=0,Err_Message2,VLOOKUP(C131&amp;TableCosts[[#This Row],[Calc_N_Typ]],TRAN_STRITEMS_LABEL,5,FALSE))),"")</f>
        <v/>
      </c>
      <c r="F131" s="6">
        <f t="shared" si="26"/>
        <v>0</v>
      </c>
      <c r="G131" s="6" t="str">
        <f>IF(F131=1,IFERROR(VLOOKUP(E131,Tab_ErrMessage[],2,0),VLOOKUP(C131&amp;TableCosts[[#This Row],[Calc_N_Typ]],TRAN_STRITEMS_LABEL,4,FALSE)),"")</f>
        <v/>
      </c>
      <c r="H131" s="40"/>
      <c r="I131" s="40"/>
      <c r="J131" s="35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4"/>
      <c r="AI131" s="24"/>
      <c r="AJ131" s="24"/>
      <c r="AK131" s="38">
        <f t="array" ref="AK131">IF(F131=1,SUM((ROW(M0)=ROW(AK131))*(M0+M1_+M2_+M3_+M4_+M5_+M6_+M7_+M8_+M9_+M10_+M11_+M12_+M13_+M14_+M15_+M16_+M17_+M18_+M19_+M20_+M21_+M22_+M23_+M24_+M25_)),0)</f>
        <v>0</v>
      </c>
      <c r="AL131" s="27">
        <f>TableCosts[[#This Row],[N_Direct]]</f>
        <v>0</v>
      </c>
      <c r="AN131" s="7" t="str">
        <f t="shared" si="23"/>
        <v/>
      </c>
      <c r="AO131" s="7" t="str">
        <f t="shared" si="15"/>
        <v/>
      </c>
      <c r="AP131" s="7" t="str">
        <f t="shared" si="24"/>
        <v/>
      </c>
      <c r="AQ131" s="7" t="str">
        <f t="shared" si="16"/>
        <v/>
      </c>
      <c r="AR131" s="7" t="str">
        <f t="shared" si="25"/>
        <v/>
      </c>
      <c r="AS131" s="7">
        <f t="shared" si="17"/>
        <v>0</v>
      </c>
      <c r="AT131" s="17">
        <f>TableCosts[[#This Row],[N_Amount]]*TableCosts[[#This Row],[N_Tariff]]*TableCosts[[#This Row],[N_ItemsCount]]</f>
        <v>0</v>
      </c>
      <c r="AU131" s="17">
        <f>IF(F131=1,IF(TableCosts[[#This Row],[N_Kateg]]="interné práce",TableCosts[[#This Row],[N_Amount]]*8*PAR_SGA_PERHOUR,0),0)</f>
        <v>0</v>
      </c>
      <c r="AV131" s="17">
        <f>SUM(TableCosts[[#This Row],[N_Direct]:[N_SGA]])</f>
        <v>0</v>
      </c>
      <c r="AW131" s="7">
        <f>IF(F131=1,IF(D131="",NA(),VLOOKUP(C131&amp;TableCosts[[#This Row],[Calc_N_Typ]],TRAN_STRITEMS_LABEL,7,0)),0)</f>
        <v>0</v>
      </c>
      <c r="AX131" s="7">
        <f t="shared" si="18"/>
        <v>0</v>
      </c>
      <c r="AY131" s="57" t="str">
        <f t="shared" si="19"/>
        <v/>
      </c>
      <c r="AZ131" s="57" t="str">
        <f t="shared" si="20"/>
        <v/>
      </c>
      <c r="BA131" s="57" t="str">
        <f>IF(F131=1,IF(TableCosts[[#This Row],[TransferFrom]]=TableCosts[[#This Row],[TranferTo]],0,1),"")</f>
        <v/>
      </c>
      <c r="BB131" s="7">
        <f t="shared" si="21"/>
        <v>0</v>
      </c>
      <c r="BC131" s="7">
        <f t="shared" si="22"/>
        <v>0</v>
      </c>
    </row>
    <row r="132" spans="2:55" s="7" customFormat="1" ht="12.75" x14ac:dyDescent="0.2">
      <c r="B132" s="33"/>
      <c r="C132" s="31"/>
      <c r="D132" s="40"/>
      <c r="E132" s="6" t="str">
        <f>IF(F132=1,IF(ISERROR(TableCosts[[#This Row],[N_Tariff]]),Err_Message1,IF(TableCosts[[#This Row],[N_Tariff]]=0,Err_Message2,VLOOKUP(C132&amp;TableCosts[[#This Row],[Calc_N_Typ]],TRAN_STRITEMS_LABEL,5,FALSE))),"")</f>
        <v/>
      </c>
      <c r="F132" s="6">
        <f t="shared" si="26"/>
        <v>0</v>
      </c>
      <c r="G132" s="6" t="str">
        <f>IF(F132=1,IFERROR(VLOOKUP(E132,Tab_ErrMessage[],2,0),VLOOKUP(C132&amp;TableCosts[[#This Row],[Calc_N_Typ]],TRAN_STRITEMS_LABEL,4,FALSE)),"")</f>
        <v/>
      </c>
      <c r="H132" s="40"/>
      <c r="I132" s="40"/>
      <c r="J132" s="35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4"/>
      <c r="AI132" s="24"/>
      <c r="AJ132" s="24"/>
      <c r="AK132" s="38">
        <f t="array" ref="AK132">IF(F132=1,SUM((ROW(M0)=ROW(AK132))*(M0+M1_+M2_+M3_+M4_+M5_+M6_+M7_+M8_+M9_+M10_+M11_+M12_+M13_+M14_+M15_+M16_+M17_+M18_+M19_+M20_+M21_+M22_+M23_+M24_+M25_)),0)</f>
        <v>0</v>
      </c>
      <c r="AL132" s="27">
        <f>TableCosts[[#This Row],[N_Direct]]</f>
        <v>0</v>
      </c>
      <c r="AN132" s="7" t="str">
        <f t="shared" si="23"/>
        <v/>
      </c>
      <c r="AO132" s="7" t="str">
        <f t="shared" si="15"/>
        <v/>
      </c>
      <c r="AP132" s="7" t="str">
        <f t="shared" si="24"/>
        <v/>
      </c>
      <c r="AQ132" s="7" t="str">
        <f t="shared" si="16"/>
        <v/>
      </c>
      <c r="AR132" s="7" t="str">
        <f t="shared" si="25"/>
        <v/>
      </c>
      <c r="AS132" s="7">
        <f t="shared" si="17"/>
        <v>0</v>
      </c>
      <c r="AT132" s="17">
        <f>TableCosts[[#This Row],[N_Amount]]*TableCosts[[#This Row],[N_Tariff]]*TableCosts[[#This Row],[N_ItemsCount]]</f>
        <v>0</v>
      </c>
      <c r="AU132" s="17">
        <f>IF(F132=1,IF(TableCosts[[#This Row],[N_Kateg]]="interné práce",TableCosts[[#This Row],[N_Amount]]*8*PAR_SGA_PERHOUR,0),0)</f>
        <v>0</v>
      </c>
      <c r="AV132" s="17">
        <f>SUM(TableCosts[[#This Row],[N_Direct]:[N_SGA]])</f>
        <v>0</v>
      </c>
      <c r="AW132" s="7">
        <f>IF(F132=1,IF(D132="",NA(),VLOOKUP(C132&amp;TableCosts[[#This Row],[Calc_N_Typ]],TRAN_STRITEMS_LABEL,7,0)),0)</f>
        <v>0</v>
      </c>
      <c r="AX132" s="7">
        <f t="shared" si="18"/>
        <v>0</v>
      </c>
      <c r="AY132" s="57" t="str">
        <f t="shared" si="19"/>
        <v/>
      </c>
      <c r="AZ132" s="57" t="str">
        <f t="shared" si="20"/>
        <v/>
      </c>
      <c r="BA132" s="57" t="str">
        <f>IF(F132=1,IF(TableCosts[[#This Row],[TransferFrom]]=TableCosts[[#This Row],[TranferTo]],0,1),"")</f>
        <v/>
      </c>
      <c r="BB132" s="7">
        <f t="shared" si="21"/>
        <v>0</v>
      </c>
      <c r="BC132" s="7">
        <f t="shared" si="22"/>
        <v>0</v>
      </c>
    </row>
    <row r="133" spans="2:55" s="7" customFormat="1" ht="12.75" x14ac:dyDescent="0.2">
      <c r="B133" s="33"/>
      <c r="C133" s="31"/>
      <c r="D133" s="40"/>
      <c r="E133" s="6" t="str">
        <f>IF(F133=1,IF(ISERROR(TableCosts[[#This Row],[N_Tariff]]),Err_Message1,IF(TableCosts[[#This Row],[N_Tariff]]=0,Err_Message2,VLOOKUP(C133&amp;TableCosts[[#This Row],[Calc_N_Typ]],TRAN_STRITEMS_LABEL,5,FALSE))),"")</f>
        <v/>
      </c>
      <c r="F133" s="6">
        <f t="shared" si="26"/>
        <v>0</v>
      </c>
      <c r="G133" s="6" t="str">
        <f>IF(F133=1,IFERROR(VLOOKUP(E133,Tab_ErrMessage[],2,0),VLOOKUP(C133&amp;TableCosts[[#This Row],[Calc_N_Typ]],TRAN_STRITEMS_LABEL,4,FALSE)),"")</f>
        <v/>
      </c>
      <c r="H133" s="40"/>
      <c r="I133" s="40"/>
      <c r="J133" s="35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4"/>
      <c r="AI133" s="24"/>
      <c r="AJ133" s="24"/>
      <c r="AK133" s="38">
        <f t="array" ref="AK133">IF(F133=1,SUM((ROW(M0)=ROW(AK133))*(M0+M1_+M2_+M3_+M4_+M5_+M6_+M7_+M8_+M9_+M10_+M11_+M12_+M13_+M14_+M15_+M16_+M17_+M18_+M19_+M20_+M21_+M22_+M23_+M24_+M25_)),0)</f>
        <v>0</v>
      </c>
      <c r="AL133" s="27">
        <f>TableCosts[[#This Row],[N_Direct]]</f>
        <v>0</v>
      </c>
      <c r="AN133" s="7" t="str">
        <f t="shared" si="23"/>
        <v/>
      </c>
      <c r="AO133" s="7" t="str">
        <f t="shared" si="15"/>
        <v/>
      </c>
      <c r="AP133" s="7" t="str">
        <f t="shared" si="24"/>
        <v/>
      </c>
      <c r="AQ133" s="7" t="str">
        <f t="shared" si="16"/>
        <v/>
      </c>
      <c r="AR133" s="7" t="str">
        <f t="shared" si="25"/>
        <v/>
      </c>
      <c r="AS133" s="7">
        <f t="shared" si="17"/>
        <v>0</v>
      </c>
      <c r="AT133" s="17">
        <f>TableCosts[[#This Row],[N_Amount]]*TableCosts[[#This Row],[N_Tariff]]*TableCosts[[#This Row],[N_ItemsCount]]</f>
        <v>0</v>
      </c>
      <c r="AU133" s="17">
        <f>IF(F133=1,IF(TableCosts[[#This Row],[N_Kateg]]="interné práce",TableCosts[[#This Row],[N_Amount]]*8*PAR_SGA_PERHOUR,0),0)</f>
        <v>0</v>
      </c>
      <c r="AV133" s="17">
        <f>SUM(TableCosts[[#This Row],[N_Direct]:[N_SGA]])</f>
        <v>0</v>
      </c>
      <c r="AW133" s="7">
        <f>IF(F133=1,IF(D133="",NA(),VLOOKUP(C133&amp;TableCosts[[#This Row],[Calc_N_Typ]],TRAN_STRITEMS_LABEL,7,0)),0)</f>
        <v>0</v>
      </c>
      <c r="AX133" s="7">
        <f t="shared" si="18"/>
        <v>0</v>
      </c>
      <c r="AY133" s="57" t="str">
        <f t="shared" si="19"/>
        <v/>
      </c>
      <c r="AZ133" s="57" t="str">
        <f t="shared" si="20"/>
        <v/>
      </c>
      <c r="BA133" s="57" t="str">
        <f>IF(F133=1,IF(TableCosts[[#This Row],[TransferFrom]]=TableCosts[[#This Row],[TranferTo]],0,1),"")</f>
        <v/>
      </c>
      <c r="BB133" s="7">
        <f t="shared" si="21"/>
        <v>0</v>
      </c>
      <c r="BC133" s="7">
        <f t="shared" si="22"/>
        <v>0</v>
      </c>
    </row>
    <row r="134" spans="2:55" s="7" customFormat="1" ht="12.75" x14ac:dyDescent="0.2">
      <c r="B134" s="33"/>
      <c r="C134" s="31"/>
      <c r="D134" s="40"/>
      <c r="E134" s="6" t="str">
        <f>IF(F134=1,IF(ISERROR(TableCosts[[#This Row],[N_Tariff]]),Err_Message1,IF(TableCosts[[#This Row],[N_Tariff]]=0,Err_Message2,VLOOKUP(C134&amp;TableCosts[[#This Row],[Calc_N_Typ]],TRAN_STRITEMS_LABEL,5,FALSE))),"")</f>
        <v/>
      </c>
      <c r="F134" s="6">
        <f t="shared" si="26"/>
        <v>0</v>
      </c>
      <c r="G134" s="6" t="str">
        <f>IF(F134=1,IFERROR(VLOOKUP(E134,Tab_ErrMessage[],2,0),VLOOKUP(C134&amp;TableCosts[[#This Row],[Calc_N_Typ]],TRAN_STRITEMS_LABEL,4,FALSE)),"")</f>
        <v/>
      </c>
      <c r="H134" s="40"/>
      <c r="I134" s="40"/>
      <c r="J134" s="35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4"/>
      <c r="AI134" s="24"/>
      <c r="AJ134" s="24"/>
      <c r="AK134" s="38">
        <f t="array" ref="AK134">IF(F134=1,SUM((ROW(M0)=ROW(AK134))*(M0+M1_+M2_+M3_+M4_+M5_+M6_+M7_+M8_+M9_+M10_+M11_+M12_+M13_+M14_+M15_+M16_+M17_+M18_+M19_+M20_+M21_+M22_+M23_+M24_+M25_)),0)</f>
        <v>0</v>
      </c>
      <c r="AL134" s="27">
        <f>TableCosts[[#This Row],[N_Direct]]</f>
        <v>0</v>
      </c>
      <c r="AN134" s="7" t="str">
        <f t="shared" si="23"/>
        <v/>
      </c>
      <c r="AO134" s="7" t="str">
        <f t="shared" si="15"/>
        <v/>
      </c>
      <c r="AP134" s="7" t="str">
        <f t="shared" si="24"/>
        <v/>
      </c>
      <c r="AQ134" s="7" t="str">
        <f t="shared" si="16"/>
        <v/>
      </c>
      <c r="AR134" s="7" t="str">
        <f t="shared" si="25"/>
        <v/>
      </c>
      <c r="AS134" s="7">
        <f t="shared" si="17"/>
        <v>0</v>
      </c>
      <c r="AT134" s="17">
        <f>TableCosts[[#This Row],[N_Amount]]*TableCosts[[#This Row],[N_Tariff]]*TableCosts[[#This Row],[N_ItemsCount]]</f>
        <v>0</v>
      </c>
      <c r="AU134" s="17">
        <f>IF(F134=1,IF(TableCosts[[#This Row],[N_Kateg]]="interné práce",TableCosts[[#This Row],[N_Amount]]*8*PAR_SGA_PERHOUR,0),0)</f>
        <v>0</v>
      </c>
      <c r="AV134" s="17">
        <f>SUM(TableCosts[[#This Row],[N_Direct]:[N_SGA]])</f>
        <v>0</v>
      </c>
      <c r="AW134" s="7">
        <f>IF(F134=1,IF(D134="",NA(),VLOOKUP(C134&amp;TableCosts[[#This Row],[Calc_N_Typ]],TRAN_STRITEMS_LABEL,7,0)),0)</f>
        <v>0</v>
      </c>
      <c r="AX134" s="7">
        <f t="shared" si="18"/>
        <v>0</v>
      </c>
      <c r="AY134" s="57" t="str">
        <f t="shared" si="19"/>
        <v/>
      </c>
      <c r="AZ134" s="57" t="str">
        <f t="shared" si="20"/>
        <v/>
      </c>
      <c r="BA134" s="57" t="str">
        <f>IF(F134=1,IF(TableCosts[[#This Row],[TransferFrom]]=TableCosts[[#This Row],[TranferTo]],0,1),"")</f>
        <v/>
      </c>
      <c r="BB134" s="7">
        <f t="shared" si="21"/>
        <v>0</v>
      </c>
      <c r="BC134" s="7">
        <f t="shared" si="22"/>
        <v>0</v>
      </c>
    </row>
    <row r="135" spans="2:55" s="7" customFormat="1" ht="12.75" x14ac:dyDescent="0.2">
      <c r="B135" s="33"/>
      <c r="C135" s="31"/>
      <c r="D135" s="40"/>
      <c r="E135" s="6" t="str">
        <f>IF(F135=1,IF(ISERROR(TableCosts[[#This Row],[N_Tariff]]),Err_Message1,IF(TableCosts[[#This Row],[N_Tariff]]=0,Err_Message2,VLOOKUP(C135&amp;TableCosts[[#This Row],[Calc_N_Typ]],TRAN_STRITEMS_LABEL,5,FALSE))),"")</f>
        <v/>
      </c>
      <c r="F135" s="6">
        <f t="shared" si="26"/>
        <v>0</v>
      </c>
      <c r="G135" s="6" t="str">
        <f>IF(F135=1,IFERROR(VLOOKUP(E135,Tab_ErrMessage[],2,0),VLOOKUP(C135&amp;TableCosts[[#This Row],[Calc_N_Typ]],TRAN_STRITEMS_LABEL,4,FALSE)),"")</f>
        <v/>
      </c>
      <c r="H135" s="40"/>
      <c r="I135" s="40"/>
      <c r="J135" s="35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4"/>
      <c r="AI135" s="24"/>
      <c r="AJ135" s="24"/>
      <c r="AK135" s="38">
        <f t="array" ref="AK135">IF(F135=1,SUM((ROW(M0)=ROW(AK135))*(M0+M1_+M2_+M3_+M4_+M5_+M6_+M7_+M8_+M9_+M10_+M11_+M12_+M13_+M14_+M15_+M16_+M17_+M18_+M19_+M20_+M21_+M22_+M23_+M24_+M25_)),0)</f>
        <v>0</v>
      </c>
      <c r="AL135" s="27">
        <f>TableCosts[[#This Row],[N_Direct]]</f>
        <v>0</v>
      </c>
      <c r="AN135" s="7" t="str">
        <f t="shared" si="23"/>
        <v/>
      </c>
      <c r="AO135" s="7" t="str">
        <f t="shared" ref="AO135:AO198" si="27">IF(F135=1,IF(C135="","",C135),"")</f>
        <v/>
      </c>
      <c r="AP135" s="7" t="str">
        <f t="shared" si="24"/>
        <v/>
      </c>
      <c r="AQ135" s="7" t="str">
        <f t="shared" ref="AQ135:AQ198" si="28">IF(F135=1,IF(OR(D135="realizácia",D135=""),"realizácia",D135),"")</f>
        <v/>
      </c>
      <c r="AR135" s="7" t="str">
        <f t="shared" si="25"/>
        <v/>
      </c>
      <c r="AS135" s="7">
        <f t="shared" ref="AS135:AS198" si="29">IF(F135=1,IF(G135="ks",ROUNDUP(AK135,0),AK135),0)</f>
        <v>0</v>
      </c>
      <c r="AT135" s="17">
        <f>TableCosts[[#This Row],[N_Amount]]*TableCosts[[#This Row],[N_Tariff]]*TableCosts[[#This Row],[N_ItemsCount]]</f>
        <v>0</v>
      </c>
      <c r="AU135" s="17">
        <f>IF(F135=1,IF(TableCosts[[#This Row],[N_Kateg]]="interné práce",TableCosts[[#This Row],[N_Amount]]*8*PAR_SGA_PERHOUR,0),0)</f>
        <v>0</v>
      </c>
      <c r="AV135" s="17">
        <f>SUM(TableCosts[[#This Row],[N_Direct]:[N_SGA]])</f>
        <v>0</v>
      </c>
      <c r="AW135" s="7">
        <f>IF(F135=1,IF(D135="",NA(),VLOOKUP(C135&amp;TableCosts[[#This Row],[Calc_N_Typ]],TRAN_STRITEMS_LABEL,7,0)),0)</f>
        <v>0</v>
      </c>
      <c r="AX135" s="7">
        <f t="shared" ref="AX135:AX198" si="30">IF(F135=1,IF(G135="čld.",8,1),0)</f>
        <v>0</v>
      </c>
      <c r="AY135" s="57" t="str">
        <f t="shared" ref="AY135:AY198" si="31">IF(F135=1,IFERROR(VLOOKUP(B135,IpsLicences,2,0),IF(C135="",Par_Center,C135)),"")</f>
        <v/>
      </c>
      <c r="AZ135" s="57" t="str">
        <f t="shared" ref="AZ135:AZ198" si="32">IF(F135=1,Par_Center,"")</f>
        <v/>
      </c>
      <c r="BA135" s="57" t="str">
        <f>IF(F135=1,IF(TableCosts[[#This Row],[TransferFrom]]=TableCosts[[#This Row],[TranferTo]],0,1),"")</f>
        <v/>
      </c>
      <c r="BB135" s="7">
        <f t="shared" ref="BB135:BB198" si="33">IF(RIGHT(B135,LEN(Par_LabelTravelTime))=Par_LabelTravelTime,LEFT(B135,LEN(B135)-LEN(Par_LabelTravelTime)),B135)</f>
        <v>0</v>
      </c>
      <c r="BC135" s="7">
        <f t="shared" ref="BC135:BC198" si="34">IF(RIGHT(B135,LEN(Par_LabelTravelTime))=Par_LabelTravelTime,1,0)</f>
        <v>0</v>
      </c>
    </row>
    <row r="136" spans="2:55" s="7" customFormat="1" ht="12.75" x14ac:dyDescent="0.2">
      <c r="B136" s="33"/>
      <c r="C136" s="31"/>
      <c r="D136" s="40"/>
      <c r="E136" s="6" t="str">
        <f>IF(F136=1,IF(ISERROR(TableCosts[[#This Row],[N_Tariff]]),Err_Message1,IF(TableCosts[[#This Row],[N_Tariff]]=0,Err_Message2,VLOOKUP(C136&amp;TableCosts[[#This Row],[Calc_N_Typ]],TRAN_STRITEMS_LABEL,5,FALSE))),"")</f>
        <v/>
      </c>
      <c r="F136" s="6">
        <f t="shared" si="26"/>
        <v>0</v>
      </c>
      <c r="G136" s="6" t="str">
        <f>IF(F136=1,IFERROR(VLOOKUP(E136,Tab_ErrMessage[],2,0),VLOOKUP(C136&amp;TableCosts[[#This Row],[Calc_N_Typ]],TRAN_STRITEMS_LABEL,4,FALSE)),"")</f>
        <v/>
      </c>
      <c r="H136" s="40"/>
      <c r="I136" s="40"/>
      <c r="J136" s="35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4"/>
      <c r="AI136" s="24"/>
      <c r="AJ136" s="24"/>
      <c r="AK136" s="38">
        <f t="array" ref="AK136">IF(F136=1,SUM((ROW(M0)=ROW(AK136))*(M0+M1_+M2_+M3_+M4_+M5_+M6_+M7_+M8_+M9_+M10_+M11_+M12_+M13_+M14_+M15_+M16_+M17_+M18_+M19_+M20_+M21_+M22_+M23_+M24_+M25_)),0)</f>
        <v>0</v>
      </c>
      <c r="AL136" s="27">
        <f>TableCosts[[#This Row],[N_Direct]]</f>
        <v>0</v>
      </c>
      <c r="AN136" s="7" t="str">
        <f t="shared" ref="AN136:AN182" si="35">IF(F136=1,B136,"")</f>
        <v/>
      </c>
      <c r="AO136" s="7" t="str">
        <f t="shared" si="27"/>
        <v/>
      </c>
      <c r="AP136" s="7" t="str">
        <f t="shared" ref="AP136:AP182" si="36">IF(F136=1,E136,"")</f>
        <v/>
      </c>
      <c r="AQ136" s="7" t="str">
        <f t="shared" si="28"/>
        <v/>
      </c>
      <c r="AR136" s="7" t="str">
        <f t="shared" ref="AR136:AR182" si="37">IF(F136=1,G136,"")</f>
        <v/>
      </c>
      <c r="AS136" s="7">
        <f t="shared" si="29"/>
        <v>0</v>
      </c>
      <c r="AT136" s="17">
        <f>TableCosts[[#This Row],[N_Amount]]*TableCosts[[#This Row],[N_Tariff]]*TableCosts[[#This Row],[N_ItemsCount]]</f>
        <v>0</v>
      </c>
      <c r="AU136" s="17">
        <f>IF(F136=1,IF(TableCosts[[#This Row],[N_Kateg]]="interné práce",TableCosts[[#This Row],[N_Amount]]*8*PAR_SGA_PERHOUR,0),0)</f>
        <v>0</v>
      </c>
      <c r="AV136" s="17">
        <f>SUM(TableCosts[[#This Row],[N_Direct]:[N_SGA]])</f>
        <v>0</v>
      </c>
      <c r="AW136" s="7">
        <f>IF(F136=1,IF(D136="",NA(),VLOOKUP(C136&amp;TableCosts[[#This Row],[Calc_N_Typ]],TRAN_STRITEMS_LABEL,7,0)),0)</f>
        <v>0</v>
      </c>
      <c r="AX136" s="7">
        <f t="shared" si="30"/>
        <v>0</v>
      </c>
      <c r="AY136" s="57" t="str">
        <f t="shared" si="31"/>
        <v/>
      </c>
      <c r="AZ136" s="57" t="str">
        <f t="shared" si="32"/>
        <v/>
      </c>
      <c r="BA136" s="57" t="str">
        <f>IF(F136=1,IF(TableCosts[[#This Row],[TransferFrom]]=TableCosts[[#This Row],[TranferTo]],0,1),"")</f>
        <v/>
      </c>
      <c r="BB136" s="7">
        <f t="shared" si="33"/>
        <v>0</v>
      </c>
      <c r="BC136" s="7">
        <f t="shared" si="34"/>
        <v>0</v>
      </c>
    </row>
    <row r="137" spans="2:55" s="7" customFormat="1" ht="12.75" x14ac:dyDescent="0.2">
      <c r="B137" s="33"/>
      <c r="C137" s="31"/>
      <c r="D137" s="40"/>
      <c r="E137" s="6" t="str">
        <f>IF(F137=1,IF(ISERROR(TableCosts[[#This Row],[N_Tariff]]),Err_Message1,IF(TableCosts[[#This Row],[N_Tariff]]=0,Err_Message2,VLOOKUP(C137&amp;TableCosts[[#This Row],[Calc_N_Typ]],TRAN_STRITEMS_LABEL,5,FALSE))),"")</f>
        <v/>
      </c>
      <c r="F137" s="6">
        <f t="shared" ref="F137:F200" si="38">IF(B137="",0,IF(LEFT(B137,3)="***",-1,1))</f>
        <v>0</v>
      </c>
      <c r="G137" s="6" t="str">
        <f>IF(F137=1,IFERROR(VLOOKUP(E137,Tab_ErrMessage[],2,0),VLOOKUP(C137&amp;TableCosts[[#This Row],[Calc_N_Typ]],TRAN_STRITEMS_LABEL,4,FALSE)),"")</f>
        <v/>
      </c>
      <c r="H137" s="40"/>
      <c r="I137" s="40"/>
      <c r="J137" s="35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4"/>
      <c r="AI137" s="24"/>
      <c r="AJ137" s="24"/>
      <c r="AK137" s="38">
        <f t="array" ref="AK137">IF(F137=1,SUM((ROW(M0)=ROW(AK137))*(M0+M1_+M2_+M3_+M4_+M5_+M6_+M7_+M8_+M9_+M10_+M11_+M12_+M13_+M14_+M15_+M16_+M17_+M18_+M19_+M20_+M21_+M22_+M23_+M24_+M25_)),0)</f>
        <v>0</v>
      </c>
      <c r="AL137" s="27">
        <f>TableCosts[[#This Row],[N_Direct]]</f>
        <v>0</v>
      </c>
      <c r="AN137" s="7" t="str">
        <f t="shared" si="35"/>
        <v/>
      </c>
      <c r="AO137" s="7" t="str">
        <f t="shared" si="27"/>
        <v/>
      </c>
      <c r="AP137" s="7" t="str">
        <f t="shared" si="36"/>
        <v/>
      </c>
      <c r="AQ137" s="7" t="str">
        <f t="shared" si="28"/>
        <v/>
      </c>
      <c r="AR137" s="7" t="str">
        <f t="shared" si="37"/>
        <v/>
      </c>
      <c r="AS137" s="7">
        <f t="shared" si="29"/>
        <v>0</v>
      </c>
      <c r="AT137" s="17">
        <f>TableCosts[[#This Row],[N_Amount]]*TableCosts[[#This Row],[N_Tariff]]*TableCosts[[#This Row],[N_ItemsCount]]</f>
        <v>0</v>
      </c>
      <c r="AU137" s="17">
        <f>IF(F137=1,IF(TableCosts[[#This Row],[N_Kateg]]="interné práce",TableCosts[[#This Row],[N_Amount]]*8*PAR_SGA_PERHOUR,0),0)</f>
        <v>0</v>
      </c>
      <c r="AV137" s="17">
        <f>SUM(TableCosts[[#This Row],[N_Direct]:[N_SGA]])</f>
        <v>0</v>
      </c>
      <c r="AW137" s="7">
        <f>IF(F137=1,IF(D137="",NA(),VLOOKUP(C137&amp;TableCosts[[#This Row],[Calc_N_Typ]],TRAN_STRITEMS_LABEL,7,0)),0)</f>
        <v>0</v>
      </c>
      <c r="AX137" s="7">
        <f t="shared" si="30"/>
        <v>0</v>
      </c>
      <c r="AY137" s="57" t="str">
        <f t="shared" si="31"/>
        <v/>
      </c>
      <c r="AZ137" s="57" t="str">
        <f t="shared" si="32"/>
        <v/>
      </c>
      <c r="BA137" s="57" t="str">
        <f>IF(F137=1,IF(TableCosts[[#This Row],[TransferFrom]]=TableCosts[[#This Row],[TranferTo]],0,1),"")</f>
        <v/>
      </c>
      <c r="BB137" s="7">
        <f t="shared" si="33"/>
        <v>0</v>
      </c>
      <c r="BC137" s="7">
        <f t="shared" si="34"/>
        <v>0</v>
      </c>
    </row>
    <row r="138" spans="2:55" s="7" customFormat="1" ht="12.75" x14ac:dyDescent="0.2">
      <c r="B138" s="33"/>
      <c r="C138" s="31"/>
      <c r="D138" s="40"/>
      <c r="E138" s="6" t="str">
        <f>IF(F138=1,IF(ISERROR(TableCosts[[#This Row],[N_Tariff]]),Err_Message1,IF(TableCosts[[#This Row],[N_Tariff]]=0,Err_Message2,VLOOKUP(C138&amp;TableCosts[[#This Row],[Calc_N_Typ]],TRAN_STRITEMS_LABEL,5,FALSE))),"")</f>
        <v/>
      </c>
      <c r="F138" s="6">
        <f t="shared" si="38"/>
        <v>0</v>
      </c>
      <c r="G138" s="6" t="str">
        <f>IF(F138=1,IFERROR(VLOOKUP(E138,Tab_ErrMessage[],2,0),VLOOKUP(C138&amp;TableCosts[[#This Row],[Calc_N_Typ]],TRAN_STRITEMS_LABEL,4,FALSE)),"")</f>
        <v/>
      </c>
      <c r="H138" s="40"/>
      <c r="I138" s="40"/>
      <c r="J138" s="35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4"/>
      <c r="AI138" s="24"/>
      <c r="AJ138" s="24"/>
      <c r="AK138" s="38">
        <f t="array" ref="AK138">IF(F138=1,SUM((ROW(M0)=ROW(AK138))*(M0+M1_+M2_+M3_+M4_+M5_+M6_+M7_+M8_+M9_+M10_+M11_+M12_+M13_+M14_+M15_+M16_+M17_+M18_+M19_+M20_+M21_+M22_+M23_+M24_+M25_)),0)</f>
        <v>0</v>
      </c>
      <c r="AL138" s="27">
        <f>TableCosts[[#This Row],[N_Direct]]</f>
        <v>0</v>
      </c>
      <c r="AN138" s="7" t="str">
        <f t="shared" si="35"/>
        <v/>
      </c>
      <c r="AO138" s="7" t="str">
        <f t="shared" si="27"/>
        <v/>
      </c>
      <c r="AP138" s="7" t="str">
        <f t="shared" si="36"/>
        <v/>
      </c>
      <c r="AQ138" s="7" t="str">
        <f t="shared" si="28"/>
        <v/>
      </c>
      <c r="AR138" s="7" t="str">
        <f t="shared" si="37"/>
        <v/>
      </c>
      <c r="AS138" s="7">
        <f t="shared" si="29"/>
        <v>0</v>
      </c>
      <c r="AT138" s="17">
        <f>TableCosts[[#This Row],[N_Amount]]*TableCosts[[#This Row],[N_Tariff]]*TableCosts[[#This Row],[N_ItemsCount]]</f>
        <v>0</v>
      </c>
      <c r="AU138" s="17">
        <f>IF(F138=1,IF(TableCosts[[#This Row],[N_Kateg]]="interné práce",TableCosts[[#This Row],[N_Amount]]*8*PAR_SGA_PERHOUR,0),0)</f>
        <v>0</v>
      </c>
      <c r="AV138" s="17">
        <f>SUM(TableCosts[[#This Row],[N_Direct]:[N_SGA]])</f>
        <v>0</v>
      </c>
      <c r="AW138" s="7">
        <f>IF(F138=1,IF(D138="",NA(),VLOOKUP(C138&amp;TableCosts[[#This Row],[Calc_N_Typ]],TRAN_STRITEMS_LABEL,7,0)),0)</f>
        <v>0</v>
      </c>
      <c r="AX138" s="7">
        <f t="shared" si="30"/>
        <v>0</v>
      </c>
      <c r="AY138" s="57" t="str">
        <f t="shared" si="31"/>
        <v/>
      </c>
      <c r="AZ138" s="57" t="str">
        <f t="shared" si="32"/>
        <v/>
      </c>
      <c r="BA138" s="57" t="str">
        <f>IF(F138=1,IF(TableCosts[[#This Row],[TransferFrom]]=TableCosts[[#This Row],[TranferTo]],0,1),"")</f>
        <v/>
      </c>
      <c r="BB138" s="7">
        <f t="shared" si="33"/>
        <v>0</v>
      </c>
      <c r="BC138" s="7">
        <f t="shared" si="34"/>
        <v>0</v>
      </c>
    </row>
    <row r="139" spans="2:55" s="7" customFormat="1" ht="12.75" x14ac:dyDescent="0.2">
      <c r="B139" s="33"/>
      <c r="C139" s="31"/>
      <c r="D139" s="40"/>
      <c r="E139" s="6" t="str">
        <f>IF(F139=1,IF(ISERROR(TableCosts[[#This Row],[N_Tariff]]),Err_Message1,IF(TableCosts[[#This Row],[N_Tariff]]=0,Err_Message2,VLOOKUP(C139&amp;TableCosts[[#This Row],[Calc_N_Typ]],TRAN_STRITEMS_LABEL,5,FALSE))),"")</f>
        <v/>
      </c>
      <c r="F139" s="6">
        <f t="shared" si="38"/>
        <v>0</v>
      </c>
      <c r="G139" s="6" t="str">
        <f>IF(F139=1,IFERROR(VLOOKUP(E139,Tab_ErrMessage[],2,0),VLOOKUP(C139&amp;TableCosts[[#This Row],[Calc_N_Typ]],TRAN_STRITEMS_LABEL,4,FALSE)),"")</f>
        <v/>
      </c>
      <c r="H139" s="40"/>
      <c r="I139" s="40"/>
      <c r="J139" s="35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4"/>
      <c r="AI139" s="24"/>
      <c r="AJ139" s="24"/>
      <c r="AK139" s="38">
        <f t="array" ref="AK139">IF(F139=1,SUM((ROW(M0)=ROW(AK139))*(M0+M1_+M2_+M3_+M4_+M5_+M6_+M7_+M8_+M9_+M10_+M11_+M12_+M13_+M14_+M15_+M16_+M17_+M18_+M19_+M20_+M21_+M22_+M23_+M24_+M25_)),0)</f>
        <v>0</v>
      </c>
      <c r="AL139" s="27">
        <f>TableCosts[[#This Row],[N_Direct]]</f>
        <v>0</v>
      </c>
      <c r="AN139" s="7" t="str">
        <f t="shared" si="35"/>
        <v/>
      </c>
      <c r="AO139" s="7" t="str">
        <f t="shared" si="27"/>
        <v/>
      </c>
      <c r="AP139" s="7" t="str">
        <f t="shared" si="36"/>
        <v/>
      </c>
      <c r="AQ139" s="7" t="str">
        <f t="shared" si="28"/>
        <v/>
      </c>
      <c r="AR139" s="7" t="str">
        <f t="shared" si="37"/>
        <v/>
      </c>
      <c r="AS139" s="7">
        <f t="shared" si="29"/>
        <v>0</v>
      </c>
      <c r="AT139" s="17">
        <f>TableCosts[[#This Row],[N_Amount]]*TableCosts[[#This Row],[N_Tariff]]*TableCosts[[#This Row],[N_ItemsCount]]</f>
        <v>0</v>
      </c>
      <c r="AU139" s="17">
        <f>IF(F139=1,IF(TableCosts[[#This Row],[N_Kateg]]="interné práce",TableCosts[[#This Row],[N_Amount]]*8*PAR_SGA_PERHOUR,0),0)</f>
        <v>0</v>
      </c>
      <c r="AV139" s="17">
        <f>SUM(TableCosts[[#This Row],[N_Direct]:[N_SGA]])</f>
        <v>0</v>
      </c>
      <c r="AW139" s="7">
        <f>IF(F139=1,IF(D139="",NA(),VLOOKUP(C139&amp;TableCosts[[#This Row],[Calc_N_Typ]],TRAN_STRITEMS_LABEL,7,0)),0)</f>
        <v>0</v>
      </c>
      <c r="AX139" s="7">
        <f t="shared" si="30"/>
        <v>0</v>
      </c>
      <c r="AY139" s="57" t="str">
        <f t="shared" si="31"/>
        <v/>
      </c>
      <c r="AZ139" s="57" t="str">
        <f t="shared" si="32"/>
        <v/>
      </c>
      <c r="BA139" s="57" t="str">
        <f>IF(F139=1,IF(TableCosts[[#This Row],[TransferFrom]]=TableCosts[[#This Row],[TranferTo]],0,1),"")</f>
        <v/>
      </c>
      <c r="BB139" s="7">
        <f t="shared" si="33"/>
        <v>0</v>
      </c>
      <c r="BC139" s="7">
        <f t="shared" si="34"/>
        <v>0</v>
      </c>
    </row>
    <row r="140" spans="2:55" s="7" customFormat="1" ht="12.75" x14ac:dyDescent="0.2">
      <c r="B140" s="33"/>
      <c r="C140" s="31"/>
      <c r="D140" s="40"/>
      <c r="E140" s="6" t="str">
        <f>IF(F140=1,IF(ISERROR(TableCosts[[#This Row],[N_Tariff]]),Err_Message1,IF(TableCosts[[#This Row],[N_Tariff]]=0,Err_Message2,VLOOKUP(C140&amp;TableCosts[[#This Row],[Calc_N_Typ]],TRAN_STRITEMS_LABEL,5,FALSE))),"")</f>
        <v/>
      </c>
      <c r="F140" s="6">
        <f t="shared" si="38"/>
        <v>0</v>
      </c>
      <c r="G140" s="6" t="str">
        <f>IF(F140=1,IFERROR(VLOOKUP(E140,Tab_ErrMessage[],2,0),VLOOKUP(C140&amp;TableCosts[[#This Row],[Calc_N_Typ]],TRAN_STRITEMS_LABEL,4,FALSE)),"")</f>
        <v/>
      </c>
      <c r="H140" s="40"/>
      <c r="I140" s="40"/>
      <c r="J140" s="35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4"/>
      <c r="AI140" s="24"/>
      <c r="AJ140" s="24"/>
      <c r="AK140" s="38">
        <f t="array" ref="AK140">IF(F140=1,SUM((ROW(M0)=ROW(AK140))*(M0+M1_+M2_+M3_+M4_+M5_+M6_+M7_+M8_+M9_+M10_+M11_+M12_+M13_+M14_+M15_+M16_+M17_+M18_+M19_+M20_+M21_+M22_+M23_+M24_+M25_)),0)</f>
        <v>0</v>
      </c>
      <c r="AL140" s="27">
        <f>TableCosts[[#This Row],[N_Direct]]</f>
        <v>0</v>
      </c>
      <c r="AN140" s="7" t="str">
        <f t="shared" si="35"/>
        <v/>
      </c>
      <c r="AO140" s="7" t="str">
        <f t="shared" si="27"/>
        <v/>
      </c>
      <c r="AP140" s="7" t="str">
        <f t="shared" si="36"/>
        <v/>
      </c>
      <c r="AQ140" s="7" t="str">
        <f t="shared" si="28"/>
        <v/>
      </c>
      <c r="AR140" s="7" t="str">
        <f t="shared" si="37"/>
        <v/>
      </c>
      <c r="AS140" s="7">
        <f t="shared" si="29"/>
        <v>0</v>
      </c>
      <c r="AT140" s="17">
        <f>TableCosts[[#This Row],[N_Amount]]*TableCosts[[#This Row],[N_Tariff]]*TableCosts[[#This Row],[N_ItemsCount]]</f>
        <v>0</v>
      </c>
      <c r="AU140" s="17">
        <f>IF(F140=1,IF(TableCosts[[#This Row],[N_Kateg]]="interné práce",TableCosts[[#This Row],[N_Amount]]*8*PAR_SGA_PERHOUR,0),0)</f>
        <v>0</v>
      </c>
      <c r="AV140" s="17">
        <f>SUM(TableCosts[[#This Row],[N_Direct]:[N_SGA]])</f>
        <v>0</v>
      </c>
      <c r="AW140" s="7">
        <f>IF(F140=1,IF(D140="",NA(),VLOOKUP(C140&amp;TableCosts[[#This Row],[Calc_N_Typ]],TRAN_STRITEMS_LABEL,7,0)),0)</f>
        <v>0</v>
      </c>
      <c r="AX140" s="7">
        <f t="shared" si="30"/>
        <v>0</v>
      </c>
      <c r="AY140" s="57" t="str">
        <f t="shared" si="31"/>
        <v/>
      </c>
      <c r="AZ140" s="57" t="str">
        <f t="shared" si="32"/>
        <v/>
      </c>
      <c r="BA140" s="57" t="str">
        <f>IF(F140=1,IF(TableCosts[[#This Row],[TransferFrom]]=TableCosts[[#This Row],[TranferTo]],0,1),"")</f>
        <v/>
      </c>
      <c r="BB140" s="7">
        <f t="shared" si="33"/>
        <v>0</v>
      </c>
      <c r="BC140" s="7">
        <f t="shared" si="34"/>
        <v>0</v>
      </c>
    </row>
    <row r="141" spans="2:55" s="7" customFormat="1" ht="12.75" x14ac:dyDescent="0.2">
      <c r="B141" s="33"/>
      <c r="C141" s="31"/>
      <c r="D141" s="40"/>
      <c r="E141" s="6" t="str">
        <f>IF(F141=1,IF(ISERROR(TableCosts[[#This Row],[N_Tariff]]),Err_Message1,IF(TableCosts[[#This Row],[N_Tariff]]=0,Err_Message2,VLOOKUP(C141&amp;TableCosts[[#This Row],[Calc_N_Typ]],TRAN_STRITEMS_LABEL,5,FALSE))),"")</f>
        <v/>
      </c>
      <c r="F141" s="6">
        <f t="shared" si="38"/>
        <v>0</v>
      </c>
      <c r="G141" s="6" t="str">
        <f>IF(F141=1,IFERROR(VLOOKUP(E141,Tab_ErrMessage[],2,0),VLOOKUP(C141&amp;TableCosts[[#This Row],[Calc_N_Typ]],TRAN_STRITEMS_LABEL,4,FALSE)),"")</f>
        <v/>
      </c>
      <c r="H141" s="40"/>
      <c r="I141" s="40"/>
      <c r="J141" s="35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4"/>
      <c r="AI141" s="24"/>
      <c r="AJ141" s="24"/>
      <c r="AK141" s="38">
        <f t="array" ref="AK141">IF(F141=1,SUM((ROW(M0)=ROW(AK141))*(M0+M1_+M2_+M3_+M4_+M5_+M6_+M7_+M8_+M9_+M10_+M11_+M12_+M13_+M14_+M15_+M16_+M17_+M18_+M19_+M20_+M21_+M22_+M23_+M24_+M25_)),0)</f>
        <v>0</v>
      </c>
      <c r="AL141" s="27">
        <f>TableCosts[[#This Row],[N_Direct]]</f>
        <v>0</v>
      </c>
      <c r="AN141" s="7" t="str">
        <f t="shared" si="35"/>
        <v/>
      </c>
      <c r="AO141" s="7" t="str">
        <f t="shared" si="27"/>
        <v/>
      </c>
      <c r="AP141" s="7" t="str">
        <f t="shared" si="36"/>
        <v/>
      </c>
      <c r="AQ141" s="7" t="str">
        <f t="shared" si="28"/>
        <v/>
      </c>
      <c r="AR141" s="7" t="str">
        <f t="shared" si="37"/>
        <v/>
      </c>
      <c r="AS141" s="7">
        <f t="shared" si="29"/>
        <v>0</v>
      </c>
      <c r="AT141" s="17">
        <f>TableCosts[[#This Row],[N_Amount]]*TableCosts[[#This Row],[N_Tariff]]*TableCosts[[#This Row],[N_ItemsCount]]</f>
        <v>0</v>
      </c>
      <c r="AU141" s="17">
        <f>IF(F141=1,IF(TableCosts[[#This Row],[N_Kateg]]="interné práce",TableCosts[[#This Row],[N_Amount]]*8*PAR_SGA_PERHOUR,0),0)</f>
        <v>0</v>
      </c>
      <c r="AV141" s="17">
        <f>SUM(TableCosts[[#This Row],[N_Direct]:[N_SGA]])</f>
        <v>0</v>
      </c>
      <c r="AW141" s="7">
        <f>IF(F141=1,IF(D141="",NA(),VLOOKUP(C141&amp;TableCosts[[#This Row],[Calc_N_Typ]],TRAN_STRITEMS_LABEL,7,0)),0)</f>
        <v>0</v>
      </c>
      <c r="AX141" s="7">
        <f t="shared" si="30"/>
        <v>0</v>
      </c>
      <c r="AY141" s="57" t="str">
        <f t="shared" si="31"/>
        <v/>
      </c>
      <c r="AZ141" s="57" t="str">
        <f t="shared" si="32"/>
        <v/>
      </c>
      <c r="BA141" s="57" t="str">
        <f>IF(F141=1,IF(TableCosts[[#This Row],[TransferFrom]]=TableCosts[[#This Row],[TranferTo]],0,1),"")</f>
        <v/>
      </c>
      <c r="BB141" s="7">
        <f t="shared" si="33"/>
        <v>0</v>
      </c>
      <c r="BC141" s="7">
        <f t="shared" si="34"/>
        <v>0</v>
      </c>
    </row>
    <row r="142" spans="2:55" s="7" customFormat="1" ht="12.75" x14ac:dyDescent="0.2">
      <c r="B142" s="33"/>
      <c r="C142" s="31"/>
      <c r="D142" s="40"/>
      <c r="E142" s="6" t="str">
        <f>IF(F142=1,IF(ISERROR(TableCosts[[#This Row],[N_Tariff]]),Err_Message1,IF(TableCosts[[#This Row],[N_Tariff]]=0,Err_Message2,VLOOKUP(C142&amp;TableCosts[[#This Row],[Calc_N_Typ]],TRAN_STRITEMS_LABEL,5,FALSE))),"")</f>
        <v/>
      </c>
      <c r="F142" s="6">
        <f t="shared" si="38"/>
        <v>0</v>
      </c>
      <c r="G142" s="6" t="str">
        <f>IF(F142=1,IFERROR(VLOOKUP(E142,Tab_ErrMessage[],2,0),VLOOKUP(C142&amp;TableCosts[[#This Row],[Calc_N_Typ]],TRAN_STRITEMS_LABEL,4,FALSE)),"")</f>
        <v/>
      </c>
      <c r="H142" s="40"/>
      <c r="I142" s="40"/>
      <c r="J142" s="35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4"/>
      <c r="AI142" s="24"/>
      <c r="AJ142" s="24"/>
      <c r="AK142" s="38">
        <f t="array" ref="AK142">IF(F142=1,SUM((ROW(M0)=ROW(AK142))*(M0+M1_+M2_+M3_+M4_+M5_+M6_+M7_+M8_+M9_+M10_+M11_+M12_+M13_+M14_+M15_+M16_+M17_+M18_+M19_+M20_+M21_+M22_+M23_+M24_+M25_)),0)</f>
        <v>0</v>
      </c>
      <c r="AL142" s="27">
        <f>TableCosts[[#This Row],[N_Direct]]</f>
        <v>0</v>
      </c>
      <c r="AN142" s="7" t="str">
        <f t="shared" si="35"/>
        <v/>
      </c>
      <c r="AO142" s="7" t="str">
        <f t="shared" si="27"/>
        <v/>
      </c>
      <c r="AP142" s="7" t="str">
        <f t="shared" si="36"/>
        <v/>
      </c>
      <c r="AQ142" s="7" t="str">
        <f t="shared" si="28"/>
        <v/>
      </c>
      <c r="AR142" s="7" t="str">
        <f t="shared" si="37"/>
        <v/>
      </c>
      <c r="AS142" s="7">
        <f t="shared" si="29"/>
        <v>0</v>
      </c>
      <c r="AT142" s="17">
        <f>TableCosts[[#This Row],[N_Amount]]*TableCosts[[#This Row],[N_Tariff]]*TableCosts[[#This Row],[N_ItemsCount]]</f>
        <v>0</v>
      </c>
      <c r="AU142" s="17">
        <f>IF(F142=1,IF(TableCosts[[#This Row],[N_Kateg]]="interné práce",TableCosts[[#This Row],[N_Amount]]*8*PAR_SGA_PERHOUR,0),0)</f>
        <v>0</v>
      </c>
      <c r="AV142" s="17">
        <f>SUM(TableCosts[[#This Row],[N_Direct]:[N_SGA]])</f>
        <v>0</v>
      </c>
      <c r="AW142" s="7">
        <f>IF(F142=1,IF(D142="",NA(),VLOOKUP(C142&amp;TableCosts[[#This Row],[Calc_N_Typ]],TRAN_STRITEMS_LABEL,7,0)),0)</f>
        <v>0</v>
      </c>
      <c r="AX142" s="7">
        <f t="shared" si="30"/>
        <v>0</v>
      </c>
      <c r="AY142" s="57" t="str">
        <f t="shared" si="31"/>
        <v/>
      </c>
      <c r="AZ142" s="57" t="str">
        <f t="shared" si="32"/>
        <v/>
      </c>
      <c r="BA142" s="57" t="str">
        <f>IF(F142=1,IF(TableCosts[[#This Row],[TransferFrom]]=TableCosts[[#This Row],[TranferTo]],0,1),"")</f>
        <v/>
      </c>
      <c r="BB142" s="7">
        <f t="shared" si="33"/>
        <v>0</v>
      </c>
      <c r="BC142" s="7">
        <f t="shared" si="34"/>
        <v>0</v>
      </c>
    </row>
    <row r="143" spans="2:55" s="7" customFormat="1" ht="12.75" x14ac:dyDescent="0.2">
      <c r="B143" s="33"/>
      <c r="C143" s="31"/>
      <c r="D143" s="40"/>
      <c r="E143" s="6" t="str">
        <f>IF(F143=1,IF(ISERROR(TableCosts[[#This Row],[N_Tariff]]),Err_Message1,IF(TableCosts[[#This Row],[N_Tariff]]=0,Err_Message2,VLOOKUP(C143&amp;TableCosts[[#This Row],[Calc_N_Typ]],TRAN_STRITEMS_LABEL,5,FALSE))),"")</f>
        <v/>
      </c>
      <c r="F143" s="6">
        <f t="shared" si="38"/>
        <v>0</v>
      </c>
      <c r="G143" s="6" t="str">
        <f>IF(F143=1,IFERROR(VLOOKUP(E143,Tab_ErrMessage[],2,0),VLOOKUP(C143&amp;TableCosts[[#This Row],[Calc_N_Typ]],TRAN_STRITEMS_LABEL,4,FALSE)),"")</f>
        <v/>
      </c>
      <c r="H143" s="40"/>
      <c r="I143" s="40"/>
      <c r="J143" s="35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4"/>
      <c r="AI143" s="24"/>
      <c r="AJ143" s="24"/>
      <c r="AK143" s="38">
        <f t="array" ref="AK143">IF(F143=1,SUM((ROW(M0)=ROW(AK143))*(M0+M1_+M2_+M3_+M4_+M5_+M6_+M7_+M8_+M9_+M10_+M11_+M12_+M13_+M14_+M15_+M16_+M17_+M18_+M19_+M20_+M21_+M22_+M23_+M24_+M25_)),0)</f>
        <v>0</v>
      </c>
      <c r="AL143" s="27">
        <f>TableCosts[[#This Row],[N_Direct]]</f>
        <v>0</v>
      </c>
      <c r="AN143" s="7" t="str">
        <f t="shared" si="35"/>
        <v/>
      </c>
      <c r="AO143" s="7" t="str">
        <f t="shared" si="27"/>
        <v/>
      </c>
      <c r="AP143" s="7" t="str">
        <f t="shared" si="36"/>
        <v/>
      </c>
      <c r="AQ143" s="7" t="str">
        <f t="shared" si="28"/>
        <v/>
      </c>
      <c r="AR143" s="7" t="str">
        <f t="shared" si="37"/>
        <v/>
      </c>
      <c r="AS143" s="7">
        <f t="shared" si="29"/>
        <v>0</v>
      </c>
      <c r="AT143" s="17">
        <f>TableCosts[[#This Row],[N_Amount]]*TableCosts[[#This Row],[N_Tariff]]*TableCosts[[#This Row],[N_ItemsCount]]</f>
        <v>0</v>
      </c>
      <c r="AU143" s="17">
        <f>IF(F143=1,IF(TableCosts[[#This Row],[N_Kateg]]="interné práce",TableCosts[[#This Row],[N_Amount]]*8*PAR_SGA_PERHOUR,0),0)</f>
        <v>0</v>
      </c>
      <c r="AV143" s="17">
        <f>SUM(TableCosts[[#This Row],[N_Direct]:[N_SGA]])</f>
        <v>0</v>
      </c>
      <c r="AW143" s="7">
        <f>IF(F143=1,IF(D143="",NA(),VLOOKUP(C143&amp;TableCosts[[#This Row],[Calc_N_Typ]],TRAN_STRITEMS_LABEL,7,0)),0)</f>
        <v>0</v>
      </c>
      <c r="AX143" s="7">
        <f t="shared" si="30"/>
        <v>0</v>
      </c>
      <c r="AY143" s="57" t="str">
        <f t="shared" si="31"/>
        <v/>
      </c>
      <c r="AZ143" s="57" t="str">
        <f t="shared" si="32"/>
        <v/>
      </c>
      <c r="BA143" s="57" t="str">
        <f>IF(F143=1,IF(TableCosts[[#This Row],[TransferFrom]]=TableCosts[[#This Row],[TranferTo]],0,1),"")</f>
        <v/>
      </c>
      <c r="BB143" s="7">
        <f t="shared" si="33"/>
        <v>0</v>
      </c>
      <c r="BC143" s="7">
        <f t="shared" si="34"/>
        <v>0</v>
      </c>
    </row>
    <row r="144" spans="2:55" s="7" customFormat="1" ht="12.75" x14ac:dyDescent="0.2">
      <c r="B144" s="33"/>
      <c r="C144" s="31"/>
      <c r="D144" s="40"/>
      <c r="E144" s="6" t="str">
        <f>IF(F144=1,IF(ISERROR(TableCosts[[#This Row],[N_Tariff]]),Err_Message1,IF(TableCosts[[#This Row],[N_Tariff]]=0,Err_Message2,VLOOKUP(C144&amp;TableCosts[[#This Row],[Calc_N_Typ]],TRAN_STRITEMS_LABEL,5,FALSE))),"")</f>
        <v/>
      </c>
      <c r="F144" s="6">
        <f t="shared" si="38"/>
        <v>0</v>
      </c>
      <c r="G144" s="6" t="str">
        <f>IF(F144=1,IFERROR(VLOOKUP(E144,Tab_ErrMessage[],2,0),VLOOKUP(C144&amp;TableCosts[[#This Row],[Calc_N_Typ]],TRAN_STRITEMS_LABEL,4,FALSE)),"")</f>
        <v/>
      </c>
      <c r="H144" s="40"/>
      <c r="I144" s="40"/>
      <c r="J144" s="35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4"/>
      <c r="AI144" s="24"/>
      <c r="AJ144" s="24"/>
      <c r="AK144" s="38">
        <f t="array" ref="AK144">IF(F144=1,SUM((ROW(M0)=ROW(AK144))*(M0+M1_+M2_+M3_+M4_+M5_+M6_+M7_+M8_+M9_+M10_+M11_+M12_+M13_+M14_+M15_+M16_+M17_+M18_+M19_+M20_+M21_+M22_+M23_+M24_+M25_)),0)</f>
        <v>0</v>
      </c>
      <c r="AL144" s="27">
        <f>TableCosts[[#This Row],[N_Direct]]</f>
        <v>0</v>
      </c>
      <c r="AN144" s="7" t="str">
        <f t="shared" si="35"/>
        <v/>
      </c>
      <c r="AO144" s="7" t="str">
        <f t="shared" si="27"/>
        <v/>
      </c>
      <c r="AP144" s="7" t="str">
        <f t="shared" si="36"/>
        <v/>
      </c>
      <c r="AQ144" s="7" t="str">
        <f t="shared" si="28"/>
        <v/>
      </c>
      <c r="AR144" s="7" t="str">
        <f t="shared" si="37"/>
        <v/>
      </c>
      <c r="AS144" s="7">
        <f t="shared" si="29"/>
        <v>0</v>
      </c>
      <c r="AT144" s="17">
        <f>TableCosts[[#This Row],[N_Amount]]*TableCosts[[#This Row],[N_Tariff]]*TableCosts[[#This Row],[N_ItemsCount]]</f>
        <v>0</v>
      </c>
      <c r="AU144" s="17">
        <f>IF(F144=1,IF(TableCosts[[#This Row],[N_Kateg]]="interné práce",TableCosts[[#This Row],[N_Amount]]*8*PAR_SGA_PERHOUR,0),0)</f>
        <v>0</v>
      </c>
      <c r="AV144" s="17">
        <f>SUM(TableCosts[[#This Row],[N_Direct]:[N_SGA]])</f>
        <v>0</v>
      </c>
      <c r="AW144" s="7">
        <f>IF(F144=1,IF(D144="",NA(),VLOOKUP(C144&amp;TableCosts[[#This Row],[Calc_N_Typ]],TRAN_STRITEMS_LABEL,7,0)),0)</f>
        <v>0</v>
      </c>
      <c r="AX144" s="7">
        <f t="shared" si="30"/>
        <v>0</v>
      </c>
      <c r="AY144" s="57" t="str">
        <f t="shared" si="31"/>
        <v/>
      </c>
      <c r="AZ144" s="57" t="str">
        <f t="shared" si="32"/>
        <v/>
      </c>
      <c r="BA144" s="57" t="str">
        <f>IF(F144=1,IF(TableCosts[[#This Row],[TransferFrom]]=TableCosts[[#This Row],[TranferTo]],0,1),"")</f>
        <v/>
      </c>
      <c r="BB144" s="7">
        <f t="shared" si="33"/>
        <v>0</v>
      </c>
      <c r="BC144" s="7">
        <f t="shared" si="34"/>
        <v>0</v>
      </c>
    </row>
    <row r="145" spans="2:55" s="7" customFormat="1" ht="12.75" x14ac:dyDescent="0.2">
      <c r="B145" s="33"/>
      <c r="C145" s="31"/>
      <c r="D145" s="40"/>
      <c r="E145" s="6" t="str">
        <f>IF(F145=1,IF(ISERROR(TableCosts[[#This Row],[N_Tariff]]),Err_Message1,IF(TableCosts[[#This Row],[N_Tariff]]=0,Err_Message2,VLOOKUP(C145&amp;TableCosts[[#This Row],[Calc_N_Typ]],TRAN_STRITEMS_LABEL,5,FALSE))),"")</f>
        <v/>
      </c>
      <c r="F145" s="6">
        <f t="shared" si="38"/>
        <v>0</v>
      </c>
      <c r="G145" s="6" t="str">
        <f>IF(F145=1,IFERROR(VLOOKUP(E145,Tab_ErrMessage[],2,0),VLOOKUP(C145&amp;TableCosts[[#This Row],[Calc_N_Typ]],TRAN_STRITEMS_LABEL,4,FALSE)),"")</f>
        <v/>
      </c>
      <c r="H145" s="40"/>
      <c r="I145" s="40"/>
      <c r="J145" s="35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4"/>
      <c r="AI145" s="24"/>
      <c r="AJ145" s="24"/>
      <c r="AK145" s="38">
        <f t="array" ref="AK145">IF(F145=1,SUM((ROW(M0)=ROW(AK145))*(M0+M1_+M2_+M3_+M4_+M5_+M6_+M7_+M8_+M9_+M10_+M11_+M12_+M13_+M14_+M15_+M16_+M17_+M18_+M19_+M20_+M21_+M22_+M23_+M24_+M25_)),0)</f>
        <v>0</v>
      </c>
      <c r="AL145" s="27">
        <f>TableCosts[[#This Row],[N_Direct]]</f>
        <v>0</v>
      </c>
      <c r="AN145" s="7" t="str">
        <f t="shared" si="35"/>
        <v/>
      </c>
      <c r="AO145" s="7" t="str">
        <f t="shared" si="27"/>
        <v/>
      </c>
      <c r="AP145" s="7" t="str">
        <f t="shared" si="36"/>
        <v/>
      </c>
      <c r="AQ145" s="7" t="str">
        <f t="shared" si="28"/>
        <v/>
      </c>
      <c r="AR145" s="7" t="str">
        <f t="shared" si="37"/>
        <v/>
      </c>
      <c r="AS145" s="7">
        <f t="shared" si="29"/>
        <v>0</v>
      </c>
      <c r="AT145" s="17">
        <f>TableCosts[[#This Row],[N_Amount]]*TableCosts[[#This Row],[N_Tariff]]*TableCosts[[#This Row],[N_ItemsCount]]</f>
        <v>0</v>
      </c>
      <c r="AU145" s="17">
        <f>IF(F145=1,IF(TableCosts[[#This Row],[N_Kateg]]="interné práce",TableCosts[[#This Row],[N_Amount]]*8*PAR_SGA_PERHOUR,0),0)</f>
        <v>0</v>
      </c>
      <c r="AV145" s="17">
        <f>SUM(TableCosts[[#This Row],[N_Direct]:[N_SGA]])</f>
        <v>0</v>
      </c>
      <c r="AW145" s="7">
        <f>IF(F145=1,IF(D145="",NA(),VLOOKUP(C145&amp;TableCosts[[#This Row],[Calc_N_Typ]],TRAN_STRITEMS_LABEL,7,0)),0)</f>
        <v>0</v>
      </c>
      <c r="AX145" s="7">
        <f t="shared" si="30"/>
        <v>0</v>
      </c>
      <c r="AY145" s="57" t="str">
        <f t="shared" si="31"/>
        <v/>
      </c>
      <c r="AZ145" s="57" t="str">
        <f t="shared" si="32"/>
        <v/>
      </c>
      <c r="BA145" s="57" t="str">
        <f>IF(F145=1,IF(TableCosts[[#This Row],[TransferFrom]]=TableCosts[[#This Row],[TranferTo]],0,1),"")</f>
        <v/>
      </c>
      <c r="BB145" s="7">
        <f t="shared" si="33"/>
        <v>0</v>
      </c>
      <c r="BC145" s="7">
        <f t="shared" si="34"/>
        <v>0</v>
      </c>
    </row>
    <row r="146" spans="2:55" s="7" customFormat="1" ht="12.75" x14ac:dyDescent="0.2">
      <c r="B146" s="33"/>
      <c r="C146" s="31"/>
      <c r="D146" s="40"/>
      <c r="E146" s="6" t="str">
        <f>IF(F146=1,IF(ISERROR(TableCosts[[#This Row],[N_Tariff]]),Err_Message1,IF(TableCosts[[#This Row],[N_Tariff]]=0,Err_Message2,VLOOKUP(C146&amp;TableCosts[[#This Row],[Calc_N_Typ]],TRAN_STRITEMS_LABEL,5,FALSE))),"")</f>
        <v/>
      </c>
      <c r="F146" s="6">
        <f t="shared" si="38"/>
        <v>0</v>
      </c>
      <c r="G146" s="6" t="str">
        <f>IF(F146=1,IFERROR(VLOOKUP(E146,Tab_ErrMessage[],2,0),VLOOKUP(C146&amp;TableCosts[[#This Row],[Calc_N_Typ]],TRAN_STRITEMS_LABEL,4,FALSE)),"")</f>
        <v/>
      </c>
      <c r="H146" s="40"/>
      <c r="I146" s="40"/>
      <c r="J146" s="35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4"/>
      <c r="AI146" s="24"/>
      <c r="AJ146" s="24"/>
      <c r="AK146" s="38">
        <f t="array" ref="AK146">IF(F146=1,SUM((ROW(M0)=ROW(AK146))*(M0+M1_+M2_+M3_+M4_+M5_+M6_+M7_+M8_+M9_+M10_+M11_+M12_+M13_+M14_+M15_+M16_+M17_+M18_+M19_+M20_+M21_+M22_+M23_+M24_+M25_)),0)</f>
        <v>0</v>
      </c>
      <c r="AL146" s="27">
        <f>TableCosts[[#This Row],[N_Direct]]</f>
        <v>0</v>
      </c>
      <c r="AN146" s="7" t="str">
        <f t="shared" si="35"/>
        <v/>
      </c>
      <c r="AO146" s="7" t="str">
        <f t="shared" si="27"/>
        <v/>
      </c>
      <c r="AP146" s="7" t="str">
        <f t="shared" si="36"/>
        <v/>
      </c>
      <c r="AQ146" s="7" t="str">
        <f t="shared" si="28"/>
        <v/>
      </c>
      <c r="AR146" s="7" t="str">
        <f t="shared" si="37"/>
        <v/>
      </c>
      <c r="AS146" s="7">
        <f t="shared" si="29"/>
        <v>0</v>
      </c>
      <c r="AT146" s="17">
        <f>TableCosts[[#This Row],[N_Amount]]*TableCosts[[#This Row],[N_Tariff]]*TableCosts[[#This Row],[N_ItemsCount]]</f>
        <v>0</v>
      </c>
      <c r="AU146" s="17">
        <f>IF(F146=1,IF(TableCosts[[#This Row],[N_Kateg]]="interné práce",TableCosts[[#This Row],[N_Amount]]*8*PAR_SGA_PERHOUR,0),0)</f>
        <v>0</v>
      </c>
      <c r="AV146" s="17">
        <f>SUM(TableCosts[[#This Row],[N_Direct]:[N_SGA]])</f>
        <v>0</v>
      </c>
      <c r="AW146" s="7">
        <f>IF(F146=1,IF(D146="",NA(),VLOOKUP(C146&amp;TableCosts[[#This Row],[Calc_N_Typ]],TRAN_STRITEMS_LABEL,7,0)),0)</f>
        <v>0</v>
      </c>
      <c r="AX146" s="7">
        <f t="shared" si="30"/>
        <v>0</v>
      </c>
      <c r="AY146" s="57" t="str">
        <f t="shared" si="31"/>
        <v/>
      </c>
      <c r="AZ146" s="57" t="str">
        <f t="shared" si="32"/>
        <v/>
      </c>
      <c r="BA146" s="57" t="str">
        <f>IF(F146=1,IF(TableCosts[[#This Row],[TransferFrom]]=TableCosts[[#This Row],[TranferTo]],0,1),"")</f>
        <v/>
      </c>
      <c r="BB146" s="7">
        <f t="shared" si="33"/>
        <v>0</v>
      </c>
      <c r="BC146" s="7">
        <f t="shared" si="34"/>
        <v>0</v>
      </c>
    </row>
    <row r="147" spans="2:55" s="7" customFormat="1" ht="12.75" x14ac:dyDescent="0.2">
      <c r="B147" s="33"/>
      <c r="C147" s="31"/>
      <c r="D147" s="40"/>
      <c r="E147" s="6" t="str">
        <f>IF(F147=1,IF(ISERROR(TableCosts[[#This Row],[N_Tariff]]),Err_Message1,IF(TableCosts[[#This Row],[N_Tariff]]=0,Err_Message2,VLOOKUP(C147&amp;TableCosts[[#This Row],[Calc_N_Typ]],TRAN_STRITEMS_LABEL,5,FALSE))),"")</f>
        <v/>
      </c>
      <c r="F147" s="6">
        <f t="shared" si="38"/>
        <v>0</v>
      </c>
      <c r="G147" s="6" t="str">
        <f>IF(F147=1,IFERROR(VLOOKUP(E147,Tab_ErrMessage[],2,0),VLOOKUP(C147&amp;TableCosts[[#This Row],[Calc_N_Typ]],TRAN_STRITEMS_LABEL,4,FALSE)),"")</f>
        <v/>
      </c>
      <c r="H147" s="40"/>
      <c r="I147" s="40"/>
      <c r="J147" s="35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4"/>
      <c r="AI147" s="24"/>
      <c r="AJ147" s="24"/>
      <c r="AK147" s="38">
        <f t="array" ref="AK147">IF(F147=1,SUM((ROW(M0)=ROW(AK147))*(M0+M1_+M2_+M3_+M4_+M5_+M6_+M7_+M8_+M9_+M10_+M11_+M12_+M13_+M14_+M15_+M16_+M17_+M18_+M19_+M20_+M21_+M22_+M23_+M24_+M25_)),0)</f>
        <v>0</v>
      </c>
      <c r="AL147" s="27">
        <f>TableCosts[[#This Row],[N_Direct]]</f>
        <v>0</v>
      </c>
      <c r="AN147" s="7" t="str">
        <f t="shared" si="35"/>
        <v/>
      </c>
      <c r="AO147" s="7" t="str">
        <f t="shared" si="27"/>
        <v/>
      </c>
      <c r="AP147" s="7" t="str">
        <f t="shared" si="36"/>
        <v/>
      </c>
      <c r="AQ147" s="7" t="str">
        <f t="shared" si="28"/>
        <v/>
      </c>
      <c r="AR147" s="7" t="str">
        <f t="shared" si="37"/>
        <v/>
      </c>
      <c r="AS147" s="7">
        <f t="shared" si="29"/>
        <v>0</v>
      </c>
      <c r="AT147" s="17">
        <f>TableCosts[[#This Row],[N_Amount]]*TableCosts[[#This Row],[N_Tariff]]*TableCosts[[#This Row],[N_ItemsCount]]</f>
        <v>0</v>
      </c>
      <c r="AU147" s="17">
        <f>IF(F147=1,IF(TableCosts[[#This Row],[N_Kateg]]="interné práce",TableCosts[[#This Row],[N_Amount]]*8*PAR_SGA_PERHOUR,0),0)</f>
        <v>0</v>
      </c>
      <c r="AV147" s="17">
        <f>SUM(TableCosts[[#This Row],[N_Direct]:[N_SGA]])</f>
        <v>0</v>
      </c>
      <c r="AW147" s="7">
        <f>IF(F147=1,IF(D147="",NA(),VLOOKUP(C147&amp;TableCosts[[#This Row],[Calc_N_Typ]],TRAN_STRITEMS_LABEL,7,0)),0)</f>
        <v>0</v>
      </c>
      <c r="AX147" s="7">
        <f t="shared" si="30"/>
        <v>0</v>
      </c>
      <c r="AY147" s="57" t="str">
        <f t="shared" si="31"/>
        <v/>
      </c>
      <c r="AZ147" s="57" t="str">
        <f t="shared" si="32"/>
        <v/>
      </c>
      <c r="BA147" s="57" t="str">
        <f>IF(F147=1,IF(TableCosts[[#This Row],[TransferFrom]]=TableCosts[[#This Row],[TranferTo]],0,1),"")</f>
        <v/>
      </c>
      <c r="BB147" s="7">
        <f t="shared" si="33"/>
        <v>0</v>
      </c>
      <c r="BC147" s="7">
        <f t="shared" si="34"/>
        <v>0</v>
      </c>
    </row>
    <row r="148" spans="2:55" s="7" customFormat="1" ht="12.75" x14ac:dyDescent="0.2">
      <c r="B148" s="33"/>
      <c r="C148" s="31"/>
      <c r="D148" s="40"/>
      <c r="E148" s="6" t="str">
        <f>IF(F148=1,IF(ISERROR(TableCosts[[#This Row],[N_Tariff]]),Err_Message1,IF(TableCosts[[#This Row],[N_Tariff]]=0,Err_Message2,VLOOKUP(C148&amp;TableCosts[[#This Row],[Calc_N_Typ]],TRAN_STRITEMS_LABEL,5,FALSE))),"")</f>
        <v/>
      </c>
      <c r="F148" s="6">
        <f t="shared" si="38"/>
        <v>0</v>
      </c>
      <c r="G148" s="6" t="str">
        <f>IF(F148=1,IFERROR(VLOOKUP(E148,Tab_ErrMessage[],2,0),VLOOKUP(C148&amp;TableCosts[[#This Row],[Calc_N_Typ]],TRAN_STRITEMS_LABEL,4,FALSE)),"")</f>
        <v/>
      </c>
      <c r="H148" s="40"/>
      <c r="I148" s="40"/>
      <c r="J148" s="35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4"/>
      <c r="AI148" s="24"/>
      <c r="AJ148" s="24"/>
      <c r="AK148" s="38">
        <f t="array" ref="AK148">IF(F148=1,SUM((ROW(M0)=ROW(AK148))*(M0+M1_+M2_+M3_+M4_+M5_+M6_+M7_+M8_+M9_+M10_+M11_+M12_+M13_+M14_+M15_+M16_+M17_+M18_+M19_+M20_+M21_+M22_+M23_+M24_+M25_)),0)</f>
        <v>0</v>
      </c>
      <c r="AL148" s="27">
        <f>TableCosts[[#This Row],[N_Direct]]</f>
        <v>0</v>
      </c>
      <c r="AN148" s="7" t="str">
        <f t="shared" si="35"/>
        <v/>
      </c>
      <c r="AO148" s="7" t="str">
        <f t="shared" si="27"/>
        <v/>
      </c>
      <c r="AP148" s="7" t="str">
        <f t="shared" si="36"/>
        <v/>
      </c>
      <c r="AQ148" s="7" t="str">
        <f t="shared" si="28"/>
        <v/>
      </c>
      <c r="AR148" s="7" t="str">
        <f t="shared" si="37"/>
        <v/>
      </c>
      <c r="AS148" s="7">
        <f t="shared" si="29"/>
        <v>0</v>
      </c>
      <c r="AT148" s="17">
        <f>TableCosts[[#This Row],[N_Amount]]*TableCosts[[#This Row],[N_Tariff]]*TableCosts[[#This Row],[N_ItemsCount]]</f>
        <v>0</v>
      </c>
      <c r="AU148" s="17">
        <f>IF(F148=1,IF(TableCosts[[#This Row],[N_Kateg]]="interné práce",TableCosts[[#This Row],[N_Amount]]*8*PAR_SGA_PERHOUR,0),0)</f>
        <v>0</v>
      </c>
      <c r="AV148" s="17">
        <f>SUM(TableCosts[[#This Row],[N_Direct]:[N_SGA]])</f>
        <v>0</v>
      </c>
      <c r="AW148" s="7">
        <f>IF(F148=1,IF(D148="",NA(),VLOOKUP(C148&amp;TableCosts[[#This Row],[Calc_N_Typ]],TRAN_STRITEMS_LABEL,7,0)),0)</f>
        <v>0</v>
      </c>
      <c r="AX148" s="7">
        <f t="shared" si="30"/>
        <v>0</v>
      </c>
      <c r="AY148" s="57" t="str">
        <f t="shared" si="31"/>
        <v/>
      </c>
      <c r="AZ148" s="57" t="str">
        <f t="shared" si="32"/>
        <v/>
      </c>
      <c r="BA148" s="57" t="str">
        <f>IF(F148=1,IF(TableCosts[[#This Row],[TransferFrom]]=TableCosts[[#This Row],[TranferTo]],0,1),"")</f>
        <v/>
      </c>
      <c r="BB148" s="7">
        <f t="shared" si="33"/>
        <v>0</v>
      </c>
      <c r="BC148" s="7">
        <f t="shared" si="34"/>
        <v>0</v>
      </c>
    </row>
    <row r="149" spans="2:55" s="7" customFormat="1" ht="12.75" x14ac:dyDescent="0.2">
      <c r="B149" s="33"/>
      <c r="C149" s="31"/>
      <c r="D149" s="40"/>
      <c r="E149" s="6" t="str">
        <f>IF(F149=1,IF(ISERROR(TableCosts[[#This Row],[N_Tariff]]),Err_Message1,IF(TableCosts[[#This Row],[N_Tariff]]=0,Err_Message2,VLOOKUP(C149&amp;TableCosts[[#This Row],[Calc_N_Typ]],TRAN_STRITEMS_LABEL,5,FALSE))),"")</f>
        <v/>
      </c>
      <c r="F149" s="6">
        <f t="shared" si="38"/>
        <v>0</v>
      </c>
      <c r="G149" s="6" t="str">
        <f>IF(F149=1,IFERROR(VLOOKUP(E149,Tab_ErrMessage[],2,0),VLOOKUP(C149&amp;TableCosts[[#This Row],[Calc_N_Typ]],TRAN_STRITEMS_LABEL,4,FALSE)),"")</f>
        <v/>
      </c>
      <c r="H149" s="40"/>
      <c r="I149" s="40"/>
      <c r="J149" s="35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4"/>
      <c r="AI149" s="24"/>
      <c r="AJ149" s="24"/>
      <c r="AK149" s="38">
        <f t="array" ref="AK149">IF(F149=1,SUM((ROW(M0)=ROW(AK149))*(M0+M1_+M2_+M3_+M4_+M5_+M6_+M7_+M8_+M9_+M10_+M11_+M12_+M13_+M14_+M15_+M16_+M17_+M18_+M19_+M20_+M21_+M22_+M23_+M24_+M25_)),0)</f>
        <v>0</v>
      </c>
      <c r="AL149" s="27">
        <f>TableCosts[[#This Row],[N_Direct]]</f>
        <v>0</v>
      </c>
      <c r="AN149" s="7" t="str">
        <f t="shared" si="35"/>
        <v/>
      </c>
      <c r="AO149" s="7" t="str">
        <f t="shared" si="27"/>
        <v/>
      </c>
      <c r="AP149" s="7" t="str">
        <f t="shared" si="36"/>
        <v/>
      </c>
      <c r="AQ149" s="7" t="str">
        <f t="shared" si="28"/>
        <v/>
      </c>
      <c r="AR149" s="7" t="str">
        <f t="shared" si="37"/>
        <v/>
      </c>
      <c r="AS149" s="7">
        <f t="shared" si="29"/>
        <v>0</v>
      </c>
      <c r="AT149" s="17">
        <f>TableCosts[[#This Row],[N_Amount]]*TableCosts[[#This Row],[N_Tariff]]*TableCosts[[#This Row],[N_ItemsCount]]</f>
        <v>0</v>
      </c>
      <c r="AU149" s="17">
        <f>IF(F149=1,IF(TableCosts[[#This Row],[N_Kateg]]="interné práce",TableCosts[[#This Row],[N_Amount]]*8*PAR_SGA_PERHOUR,0),0)</f>
        <v>0</v>
      </c>
      <c r="AV149" s="17">
        <f>SUM(TableCosts[[#This Row],[N_Direct]:[N_SGA]])</f>
        <v>0</v>
      </c>
      <c r="AW149" s="7">
        <f>IF(F149=1,IF(D149="",NA(),VLOOKUP(C149&amp;TableCosts[[#This Row],[Calc_N_Typ]],TRAN_STRITEMS_LABEL,7,0)),0)</f>
        <v>0</v>
      </c>
      <c r="AX149" s="7">
        <f t="shared" si="30"/>
        <v>0</v>
      </c>
      <c r="AY149" s="57" t="str">
        <f t="shared" si="31"/>
        <v/>
      </c>
      <c r="AZ149" s="57" t="str">
        <f t="shared" si="32"/>
        <v/>
      </c>
      <c r="BA149" s="57" t="str">
        <f>IF(F149=1,IF(TableCosts[[#This Row],[TransferFrom]]=TableCosts[[#This Row],[TranferTo]],0,1),"")</f>
        <v/>
      </c>
      <c r="BB149" s="7">
        <f t="shared" si="33"/>
        <v>0</v>
      </c>
      <c r="BC149" s="7">
        <f t="shared" si="34"/>
        <v>0</v>
      </c>
    </row>
    <row r="150" spans="2:55" s="7" customFormat="1" ht="12.75" x14ac:dyDescent="0.2">
      <c r="B150" s="33"/>
      <c r="C150" s="31"/>
      <c r="D150" s="40"/>
      <c r="E150" s="6" t="str">
        <f>IF(F150=1,IF(ISERROR(TableCosts[[#This Row],[N_Tariff]]),Err_Message1,IF(TableCosts[[#This Row],[N_Tariff]]=0,Err_Message2,VLOOKUP(C150&amp;TableCosts[[#This Row],[Calc_N_Typ]],TRAN_STRITEMS_LABEL,5,FALSE))),"")</f>
        <v/>
      </c>
      <c r="F150" s="6">
        <f t="shared" si="38"/>
        <v>0</v>
      </c>
      <c r="G150" s="6" t="str">
        <f>IF(F150=1,IFERROR(VLOOKUP(E150,Tab_ErrMessage[],2,0),VLOOKUP(C150&amp;TableCosts[[#This Row],[Calc_N_Typ]],TRAN_STRITEMS_LABEL,4,FALSE)),"")</f>
        <v/>
      </c>
      <c r="H150" s="40"/>
      <c r="I150" s="40"/>
      <c r="J150" s="35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4"/>
      <c r="AI150" s="24"/>
      <c r="AJ150" s="24"/>
      <c r="AK150" s="38">
        <f t="array" ref="AK150">IF(F150=1,SUM((ROW(M0)=ROW(AK150))*(M0+M1_+M2_+M3_+M4_+M5_+M6_+M7_+M8_+M9_+M10_+M11_+M12_+M13_+M14_+M15_+M16_+M17_+M18_+M19_+M20_+M21_+M22_+M23_+M24_+M25_)),0)</f>
        <v>0</v>
      </c>
      <c r="AL150" s="27">
        <f>TableCosts[[#This Row],[N_Direct]]</f>
        <v>0</v>
      </c>
      <c r="AN150" s="7" t="str">
        <f t="shared" si="35"/>
        <v/>
      </c>
      <c r="AO150" s="7" t="str">
        <f t="shared" si="27"/>
        <v/>
      </c>
      <c r="AP150" s="7" t="str">
        <f t="shared" si="36"/>
        <v/>
      </c>
      <c r="AQ150" s="7" t="str">
        <f t="shared" si="28"/>
        <v/>
      </c>
      <c r="AR150" s="7" t="str">
        <f t="shared" si="37"/>
        <v/>
      </c>
      <c r="AS150" s="7">
        <f t="shared" si="29"/>
        <v>0</v>
      </c>
      <c r="AT150" s="17">
        <f>TableCosts[[#This Row],[N_Amount]]*TableCosts[[#This Row],[N_Tariff]]*TableCosts[[#This Row],[N_ItemsCount]]</f>
        <v>0</v>
      </c>
      <c r="AU150" s="17">
        <f>IF(F150=1,IF(TableCosts[[#This Row],[N_Kateg]]="interné práce",TableCosts[[#This Row],[N_Amount]]*8*PAR_SGA_PERHOUR,0),0)</f>
        <v>0</v>
      </c>
      <c r="AV150" s="17">
        <f>SUM(TableCosts[[#This Row],[N_Direct]:[N_SGA]])</f>
        <v>0</v>
      </c>
      <c r="AW150" s="7">
        <f>IF(F150=1,IF(D150="",NA(),VLOOKUP(C150&amp;TableCosts[[#This Row],[Calc_N_Typ]],TRAN_STRITEMS_LABEL,7,0)),0)</f>
        <v>0</v>
      </c>
      <c r="AX150" s="7">
        <f t="shared" si="30"/>
        <v>0</v>
      </c>
      <c r="AY150" s="57" t="str">
        <f t="shared" si="31"/>
        <v/>
      </c>
      <c r="AZ150" s="57" t="str">
        <f t="shared" si="32"/>
        <v/>
      </c>
      <c r="BA150" s="57" t="str">
        <f>IF(F150=1,IF(TableCosts[[#This Row],[TransferFrom]]=TableCosts[[#This Row],[TranferTo]],0,1),"")</f>
        <v/>
      </c>
      <c r="BB150" s="7">
        <f t="shared" si="33"/>
        <v>0</v>
      </c>
      <c r="BC150" s="7">
        <f t="shared" si="34"/>
        <v>0</v>
      </c>
    </row>
    <row r="151" spans="2:55" s="7" customFormat="1" ht="12.75" x14ac:dyDescent="0.2">
      <c r="B151" s="33"/>
      <c r="C151" s="31"/>
      <c r="D151" s="40"/>
      <c r="E151" s="6" t="str">
        <f>IF(F151=1,IF(ISERROR(TableCosts[[#This Row],[N_Tariff]]),Err_Message1,IF(TableCosts[[#This Row],[N_Tariff]]=0,Err_Message2,VLOOKUP(C151&amp;TableCosts[[#This Row],[Calc_N_Typ]],TRAN_STRITEMS_LABEL,5,FALSE))),"")</f>
        <v/>
      </c>
      <c r="F151" s="6">
        <f t="shared" si="38"/>
        <v>0</v>
      </c>
      <c r="G151" s="6" t="str">
        <f>IF(F151=1,IFERROR(VLOOKUP(E151,Tab_ErrMessage[],2,0),VLOOKUP(C151&amp;TableCosts[[#This Row],[Calc_N_Typ]],TRAN_STRITEMS_LABEL,4,FALSE)),"")</f>
        <v/>
      </c>
      <c r="H151" s="40"/>
      <c r="I151" s="40"/>
      <c r="J151" s="35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4"/>
      <c r="AI151" s="24"/>
      <c r="AJ151" s="24"/>
      <c r="AK151" s="38">
        <f t="array" ref="AK151">IF(F151=1,SUM((ROW(M0)=ROW(AK151))*(M0+M1_+M2_+M3_+M4_+M5_+M6_+M7_+M8_+M9_+M10_+M11_+M12_+M13_+M14_+M15_+M16_+M17_+M18_+M19_+M20_+M21_+M22_+M23_+M24_+M25_)),0)</f>
        <v>0</v>
      </c>
      <c r="AL151" s="27">
        <f>TableCosts[[#This Row],[N_Direct]]</f>
        <v>0</v>
      </c>
      <c r="AN151" s="7" t="str">
        <f t="shared" si="35"/>
        <v/>
      </c>
      <c r="AO151" s="7" t="str">
        <f t="shared" si="27"/>
        <v/>
      </c>
      <c r="AP151" s="7" t="str">
        <f t="shared" si="36"/>
        <v/>
      </c>
      <c r="AQ151" s="7" t="str">
        <f t="shared" si="28"/>
        <v/>
      </c>
      <c r="AR151" s="7" t="str">
        <f t="shared" si="37"/>
        <v/>
      </c>
      <c r="AS151" s="7">
        <f t="shared" si="29"/>
        <v>0</v>
      </c>
      <c r="AT151" s="17">
        <f>TableCosts[[#This Row],[N_Amount]]*TableCosts[[#This Row],[N_Tariff]]*TableCosts[[#This Row],[N_ItemsCount]]</f>
        <v>0</v>
      </c>
      <c r="AU151" s="17">
        <f>IF(F151=1,IF(TableCosts[[#This Row],[N_Kateg]]="interné práce",TableCosts[[#This Row],[N_Amount]]*8*PAR_SGA_PERHOUR,0),0)</f>
        <v>0</v>
      </c>
      <c r="AV151" s="17">
        <f>SUM(TableCosts[[#This Row],[N_Direct]:[N_SGA]])</f>
        <v>0</v>
      </c>
      <c r="AW151" s="7">
        <f>IF(F151=1,IF(D151="",NA(),VLOOKUP(C151&amp;TableCosts[[#This Row],[Calc_N_Typ]],TRAN_STRITEMS_LABEL,7,0)),0)</f>
        <v>0</v>
      </c>
      <c r="AX151" s="7">
        <f t="shared" si="30"/>
        <v>0</v>
      </c>
      <c r="AY151" s="57" t="str">
        <f t="shared" si="31"/>
        <v/>
      </c>
      <c r="AZ151" s="57" t="str">
        <f t="shared" si="32"/>
        <v/>
      </c>
      <c r="BA151" s="57" t="str">
        <f>IF(F151=1,IF(TableCosts[[#This Row],[TransferFrom]]=TableCosts[[#This Row],[TranferTo]],0,1),"")</f>
        <v/>
      </c>
      <c r="BB151" s="7">
        <f t="shared" si="33"/>
        <v>0</v>
      </c>
      <c r="BC151" s="7">
        <f t="shared" si="34"/>
        <v>0</v>
      </c>
    </row>
    <row r="152" spans="2:55" s="7" customFormat="1" ht="12.75" x14ac:dyDescent="0.2">
      <c r="B152" s="33"/>
      <c r="C152" s="31"/>
      <c r="D152" s="40"/>
      <c r="E152" s="6" t="str">
        <f>IF(F152=1,IF(ISERROR(TableCosts[[#This Row],[N_Tariff]]),Err_Message1,IF(TableCosts[[#This Row],[N_Tariff]]=0,Err_Message2,VLOOKUP(C152&amp;TableCosts[[#This Row],[Calc_N_Typ]],TRAN_STRITEMS_LABEL,5,FALSE))),"")</f>
        <v/>
      </c>
      <c r="F152" s="6">
        <f t="shared" si="38"/>
        <v>0</v>
      </c>
      <c r="G152" s="6" t="str">
        <f>IF(F152=1,IFERROR(VLOOKUP(E152,Tab_ErrMessage[],2,0),VLOOKUP(C152&amp;TableCosts[[#This Row],[Calc_N_Typ]],TRAN_STRITEMS_LABEL,4,FALSE)),"")</f>
        <v/>
      </c>
      <c r="H152" s="40"/>
      <c r="I152" s="40"/>
      <c r="J152" s="35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4"/>
      <c r="AI152" s="24"/>
      <c r="AJ152" s="24"/>
      <c r="AK152" s="38">
        <f t="array" ref="AK152">IF(F152=1,SUM((ROW(M0)=ROW(AK152))*(M0+M1_+M2_+M3_+M4_+M5_+M6_+M7_+M8_+M9_+M10_+M11_+M12_+M13_+M14_+M15_+M16_+M17_+M18_+M19_+M20_+M21_+M22_+M23_+M24_+M25_)),0)</f>
        <v>0</v>
      </c>
      <c r="AL152" s="27">
        <f>TableCosts[[#This Row],[N_Direct]]</f>
        <v>0</v>
      </c>
      <c r="AN152" s="7" t="str">
        <f t="shared" si="35"/>
        <v/>
      </c>
      <c r="AO152" s="7" t="str">
        <f t="shared" si="27"/>
        <v/>
      </c>
      <c r="AP152" s="7" t="str">
        <f t="shared" si="36"/>
        <v/>
      </c>
      <c r="AQ152" s="7" t="str">
        <f t="shared" si="28"/>
        <v/>
      </c>
      <c r="AR152" s="7" t="str">
        <f t="shared" si="37"/>
        <v/>
      </c>
      <c r="AS152" s="7">
        <f t="shared" si="29"/>
        <v>0</v>
      </c>
      <c r="AT152" s="17">
        <f>TableCosts[[#This Row],[N_Amount]]*TableCosts[[#This Row],[N_Tariff]]*TableCosts[[#This Row],[N_ItemsCount]]</f>
        <v>0</v>
      </c>
      <c r="AU152" s="17">
        <f>IF(F152=1,IF(TableCosts[[#This Row],[N_Kateg]]="interné práce",TableCosts[[#This Row],[N_Amount]]*8*PAR_SGA_PERHOUR,0),0)</f>
        <v>0</v>
      </c>
      <c r="AV152" s="17">
        <f>SUM(TableCosts[[#This Row],[N_Direct]:[N_SGA]])</f>
        <v>0</v>
      </c>
      <c r="AW152" s="7">
        <f>IF(F152=1,IF(D152="",NA(),VLOOKUP(C152&amp;TableCosts[[#This Row],[Calc_N_Typ]],TRAN_STRITEMS_LABEL,7,0)),0)</f>
        <v>0</v>
      </c>
      <c r="AX152" s="7">
        <f t="shared" si="30"/>
        <v>0</v>
      </c>
      <c r="AY152" s="57" t="str">
        <f t="shared" si="31"/>
        <v/>
      </c>
      <c r="AZ152" s="57" t="str">
        <f t="shared" si="32"/>
        <v/>
      </c>
      <c r="BA152" s="57" t="str">
        <f>IF(F152=1,IF(TableCosts[[#This Row],[TransferFrom]]=TableCosts[[#This Row],[TranferTo]],0,1),"")</f>
        <v/>
      </c>
      <c r="BB152" s="7">
        <f t="shared" si="33"/>
        <v>0</v>
      </c>
      <c r="BC152" s="7">
        <f t="shared" si="34"/>
        <v>0</v>
      </c>
    </row>
    <row r="153" spans="2:55" s="7" customFormat="1" ht="12.75" x14ac:dyDescent="0.2">
      <c r="B153" s="33"/>
      <c r="C153" s="31"/>
      <c r="D153" s="40"/>
      <c r="E153" s="6" t="str">
        <f>IF(F153=1,IF(ISERROR(TableCosts[[#This Row],[N_Tariff]]),Err_Message1,IF(TableCosts[[#This Row],[N_Tariff]]=0,Err_Message2,VLOOKUP(C153&amp;TableCosts[[#This Row],[Calc_N_Typ]],TRAN_STRITEMS_LABEL,5,FALSE))),"")</f>
        <v/>
      </c>
      <c r="F153" s="6">
        <f t="shared" si="38"/>
        <v>0</v>
      </c>
      <c r="G153" s="6" t="str">
        <f>IF(F153=1,IFERROR(VLOOKUP(E153,Tab_ErrMessage[],2,0),VLOOKUP(C153&amp;TableCosts[[#This Row],[Calc_N_Typ]],TRAN_STRITEMS_LABEL,4,FALSE)),"")</f>
        <v/>
      </c>
      <c r="H153" s="40"/>
      <c r="I153" s="40"/>
      <c r="J153" s="35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4"/>
      <c r="AI153" s="24"/>
      <c r="AJ153" s="24"/>
      <c r="AK153" s="38">
        <f t="array" ref="AK153">IF(F153=1,SUM((ROW(M0)=ROW(AK153))*(M0+M1_+M2_+M3_+M4_+M5_+M6_+M7_+M8_+M9_+M10_+M11_+M12_+M13_+M14_+M15_+M16_+M17_+M18_+M19_+M20_+M21_+M22_+M23_+M24_+M25_)),0)</f>
        <v>0</v>
      </c>
      <c r="AL153" s="27">
        <f>TableCosts[[#This Row],[N_Direct]]</f>
        <v>0</v>
      </c>
      <c r="AN153" s="7" t="str">
        <f t="shared" si="35"/>
        <v/>
      </c>
      <c r="AO153" s="7" t="str">
        <f t="shared" si="27"/>
        <v/>
      </c>
      <c r="AP153" s="7" t="str">
        <f t="shared" si="36"/>
        <v/>
      </c>
      <c r="AQ153" s="7" t="str">
        <f t="shared" si="28"/>
        <v/>
      </c>
      <c r="AR153" s="7" t="str">
        <f t="shared" si="37"/>
        <v/>
      </c>
      <c r="AS153" s="7">
        <f t="shared" si="29"/>
        <v>0</v>
      </c>
      <c r="AT153" s="17">
        <f>TableCosts[[#This Row],[N_Amount]]*TableCosts[[#This Row],[N_Tariff]]*TableCosts[[#This Row],[N_ItemsCount]]</f>
        <v>0</v>
      </c>
      <c r="AU153" s="17">
        <f>IF(F153=1,IF(TableCosts[[#This Row],[N_Kateg]]="interné práce",TableCosts[[#This Row],[N_Amount]]*8*PAR_SGA_PERHOUR,0),0)</f>
        <v>0</v>
      </c>
      <c r="AV153" s="17">
        <f>SUM(TableCosts[[#This Row],[N_Direct]:[N_SGA]])</f>
        <v>0</v>
      </c>
      <c r="AW153" s="7">
        <f>IF(F153=1,IF(D153="",NA(),VLOOKUP(C153&amp;TableCosts[[#This Row],[Calc_N_Typ]],TRAN_STRITEMS_LABEL,7,0)),0)</f>
        <v>0</v>
      </c>
      <c r="AX153" s="7">
        <f t="shared" si="30"/>
        <v>0</v>
      </c>
      <c r="AY153" s="57" t="str">
        <f t="shared" si="31"/>
        <v/>
      </c>
      <c r="AZ153" s="57" t="str">
        <f t="shared" si="32"/>
        <v/>
      </c>
      <c r="BA153" s="57" t="str">
        <f>IF(F153=1,IF(TableCosts[[#This Row],[TransferFrom]]=TableCosts[[#This Row],[TranferTo]],0,1),"")</f>
        <v/>
      </c>
      <c r="BB153" s="7">
        <f t="shared" si="33"/>
        <v>0</v>
      </c>
      <c r="BC153" s="7">
        <f t="shared" si="34"/>
        <v>0</v>
      </c>
    </row>
    <row r="154" spans="2:55" s="7" customFormat="1" ht="12.75" x14ac:dyDescent="0.2">
      <c r="B154" s="33"/>
      <c r="C154" s="31"/>
      <c r="D154" s="40"/>
      <c r="E154" s="6" t="str">
        <f>IF(F154=1,IF(ISERROR(TableCosts[[#This Row],[N_Tariff]]),Err_Message1,IF(TableCosts[[#This Row],[N_Tariff]]=0,Err_Message2,VLOOKUP(C154&amp;TableCosts[[#This Row],[Calc_N_Typ]],TRAN_STRITEMS_LABEL,5,FALSE))),"")</f>
        <v/>
      </c>
      <c r="F154" s="6">
        <f t="shared" si="38"/>
        <v>0</v>
      </c>
      <c r="G154" s="6" t="str">
        <f>IF(F154=1,IFERROR(VLOOKUP(E154,Tab_ErrMessage[],2,0),VLOOKUP(C154&amp;TableCosts[[#This Row],[Calc_N_Typ]],TRAN_STRITEMS_LABEL,4,FALSE)),"")</f>
        <v/>
      </c>
      <c r="H154" s="40"/>
      <c r="I154" s="40"/>
      <c r="J154" s="35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4"/>
      <c r="AI154" s="24"/>
      <c r="AJ154" s="24"/>
      <c r="AK154" s="38">
        <f t="array" ref="AK154">IF(F154=1,SUM((ROW(M0)=ROW(AK154))*(M0+M1_+M2_+M3_+M4_+M5_+M6_+M7_+M8_+M9_+M10_+M11_+M12_+M13_+M14_+M15_+M16_+M17_+M18_+M19_+M20_+M21_+M22_+M23_+M24_+M25_)),0)</f>
        <v>0</v>
      </c>
      <c r="AL154" s="27">
        <f>TableCosts[[#This Row],[N_Direct]]</f>
        <v>0</v>
      </c>
      <c r="AN154" s="7" t="str">
        <f t="shared" si="35"/>
        <v/>
      </c>
      <c r="AO154" s="7" t="str">
        <f t="shared" si="27"/>
        <v/>
      </c>
      <c r="AP154" s="7" t="str">
        <f t="shared" si="36"/>
        <v/>
      </c>
      <c r="AQ154" s="7" t="str">
        <f t="shared" si="28"/>
        <v/>
      </c>
      <c r="AR154" s="7" t="str">
        <f t="shared" si="37"/>
        <v/>
      </c>
      <c r="AS154" s="7">
        <f t="shared" si="29"/>
        <v>0</v>
      </c>
      <c r="AT154" s="17">
        <f>TableCosts[[#This Row],[N_Amount]]*TableCosts[[#This Row],[N_Tariff]]*TableCosts[[#This Row],[N_ItemsCount]]</f>
        <v>0</v>
      </c>
      <c r="AU154" s="17">
        <f>IF(F154=1,IF(TableCosts[[#This Row],[N_Kateg]]="interné práce",TableCosts[[#This Row],[N_Amount]]*8*PAR_SGA_PERHOUR,0),0)</f>
        <v>0</v>
      </c>
      <c r="AV154" s="17">
        <f>SUM(TableCosts[[#This Row],[N_Direct]:[N_SGA]])</f>
        <v>0</v>
      </c>
      <c r="AW154" s="7">
        <f>IF(F154=1,IF(D154="",NA(),VLOOKUP(C154&amp;TableCosts[[#This Row],[Calc_N_Typ]],TRAN_STRITEMS_LABEL,7,0)),0)</f>
        <v>0</v>
      </c>
      <c r="AX154" s="7">
        <f t="shared" si="30"/>
        <v>0</v>
      </c>
      <c r="AY154" s="57" t="str">
        <f t="shared" si="31"/>
        <v/>
      </c>
      <c r="AZ154" s="57" t="str">
        <f t="shared" si="32"/>
        <v/>
      </c>
      <c r="BA154" s="57" t="str">
        <f>IF(F154=1,IF(TableCosts[[#This Row],[TransferFrom]]=TableCosts[[#This Row],[TranferTo]],0,1),"")</f>
        <v/>
      </c>
      <c r="BB154" s="7">
        <f t="shared" si="33"/>
        <v>0</v>
      </c>
      <c r="BC154" s="7">
        <f t="shared" si="34"/>
        <v>0</v>
      </c>
    </row>
    <row r="155" spans="2:55" s="7" customFormat="1" ht="12.75" x14ac:dyDescent="0.2">
      <c r="B155" s="33"/>
      <c r="C155" s="31"/>
      <c r="D155" s="40"/>
      <c r="E155" s="6" t="str">
        <f>IF(F155=1,IF(ISERROR(TableCosts[[#This Row],[N_Tariff]]),Err_Message1,IF(TableCosts[[#This Row],[N_Tariff]]=0,Err_Message2,VLOOKUP(C155&amp;TableCosts[[#This Row],[Calc_N_Typ]],TRAN_STRITEMS_LABEL,5,FALSE))),"")</f>
        <v/>
      </c>
      <c r="F155" s="6">
        <f t="shared" si="38"/>
        <v>0</v>
      </c>
      <c r="G155" s="6" t="str">
        <f>IF(F155=1,IFERROR(VLOOKUP(E155,Tab_ErrMessage[],2,0),VLOOKUP(C155&amp;TableCosts[[#This Row],[Calc_N_Typ]],TRAN_STRITEMS_LABEL,4,FALSE)),"")</f>
        <v/>
      </c>
      <c r="H155" s="40"/>
      <c r="I155" s="40"/>
      <c r="J155" s="35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4"/>
      <c r="AI155" s="24"/>
      <c r="AJ155" s="24"/>
      <c r="AK155" s="38">
        <f t="array" ref="AK155">IF(F155=1,SUM((ROW(M0)=ROW(AK155))*(M0+M1_+M2_+M3_+M4_+M5_+M6_+M7_+M8_+M9_+M10_+M11_+M12_+M13_+M14_+M15_+M16_+M17_+M18_+M19_+M20_+M21_+M22_+M23_+M24_+M25_)),0)</f>
        <v>0</v>
      </c>
      <c r="AL155" s="27">
        <f>TableCosts[[#This Row],[N_Direct]]</f>
        <v>0</v>
      </c>
      <c r="AN155" s="7" t="str">
        <f t="shared" si="35"/>
        <v/>
      </c>
      <c r="AO155" s="7" t="str">
        <f t="shared" si="27"/>
        <v/>
      </c>
      <c r="AP155" s="7" t="str">
        <f t="shared" si="36"/>
        <v/>
      </c>
      <c r="AQ155" s="7" t="str">
        <f t="shared" si="28"/>
        <v/>
      </c>
      <c r="AR155" s="7" t="str">
        <f t="shared" si="37"/>
        <v/>
      </c>
      <c r="AS155" s="7">
        <f t="shared" si="29"/>
        <v>0</v>
      </c>
      <c r="AT155" s="17">
        <f>TableCosts[[#This Row],[N_Amount]]*TableCosts[[#This Row],[N_Tariff]]*TableCosts[[#This Row],[N_ItemsCount]]</f>
        <v>0</v>
      </c>
      <c r="AU155" s="17">
        <f>IF(F155=1,IF(TableCosts[[#This Row],[N_Kateg]]="interné práce",TableCosts[[#This Row],[N_Amount]]*8*PAR_SGA_PERHOUR,0),0)</f>
        <v>0</v>
      </c>
      <c r="AV155" s="17">
        <f>SUM(TableCosts[[#This Row],[N_Direct]:[N_SGA]])</f>
        <v>0</v>
      </c>
      <c r="AW155" s="7">
        <f>IF(F155=1,IF(D155="",NA(),VLOOKUP(C155&amp;TableCosts[[#This Row],[Calc_N_Typ]],TRAN_STRITEMS_LABEL,7,0)),0)</f>
        <v>0</v>
      </c>
      <c r="AX155" s="7">
        <f t="shared" si="30"/>
        <v>0</v>
      </c>
      <c r="AY155" s="57" t="str">
        <f t="shared" si="31"/>
        <v/>
      </c>
      <c r="AZ155" s="57" t="str">
        <f t="shared" si="32"/>
        <v/>
      </c>
      <c r="BA155" s="57" t="str">
        <f>IF(F155=1,IF(TableCosts[[#This Row],[TransferFrom]]=TableCosts[[#This Row],[TranferTo]],0,1),"")</f>
        <v/>
      </c>
      <c r="BB155" s="7">
        <f t="shared" si="33"/>
        <v>0</v>
      </c>
      <c r="BC155" s="7">
        <f t="shared" si="34"/>
        <v>0</v>
      </c>
    </row>
    <row r="156" spans="2:55" s="7" customFormat="1" ht="12.75" x14ac:dyDescent="0.2">
      <c r="B156" s="33"/>
      <c r="C156" s="31"/>
      <c r="D156" s="40"/>
      <c r="E156" s="6" t="str">
        <f>IF(F156=1,IF(ISERROR(TableCosts[[#This Row],[N_Tariff]]),Err_Message1,IF(TableCosts[[#This Row],[N_Tariff]]=0,Err_Message2,VLOOKUP(C156&amp;TableCosts[[#This Row],[Calc_N_Typ]],TRAN_STRITEMS_LABEL,5,FALSE))),"")</f>
        <v/>
      </c>
      <c r="F156" s="6">
        <f t="shared" si="38"/>
        <v>0</v>
      </c>
      <c r="G156" s="6" t="str">
        <f>IF(F156=1,IFERROR(VLOOKUP(E156,Tab_ErrMessage[],2,0),VLOOKUP(C156&amp;TableCosts[[#This Row],[Calc_N_Typ]],TRAN_STRITEMS_LABEL,4,FALSE)),"")</f>
        <v/>
      </c>
      <c r="H156" s="40"/>
      <c r="I156" s="40"/>
      <c r="J156" s="35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4"/>
      <c r="AI156" s="24"/>
      <c r="AJ156" s="24"/>
      <c r="AK156" s="38">
        <f t="array" ref="AK156">IF(F156=1,SUM((ROW(M0)=ROW(AK156))*(M0+M1_+M2_+M3_+M4_+M5_+M6_+M7_+M8_+M9_+M10_+M11_+M12_+M13_+M14_+M15_+M16_+M17_+M18_+M19_+M20_+M21_+M22_+M23_+M24_+M25_)),0)</f>
        <v>0</v>
      </c>
      <c r="AL156" s="27">
        <f>TableCosts[[#This Row],[N_Direct]]</f>
        <v>0</v>
      </c>
      <c r="AN156" s="7" t="str">
        <f t="shared" si="35"/>
        <v/>
      </c>
      <c r="AO156" s="7" t="str">
        <f t="shared" si="27"/>
        <v/>
      </c>
      <c r="AP156" s="7" t="str">
        <f t="shared" si="36"/>
        <v/>
      </c>
      <c r="AQ156" s="7" t="str">
        <f t="shared" si="28"/>
        <v/>
      </c>
      <c r="AR156" s="7" t="str">
        <f t="shared" si="37"/>
        <v/>
      </c>
      <c r="AS156" s="7">
        <f t="shared" si="29"/>
        <v>0</v>
      </c>
      <c r="AT156" s="17">
        <f>TableCosts[[#This Row],[N_Amount]]*TableCosts[[#This Row],[N_Tariff]]*TableCosts[[#This Row],[N_ItemsCount]]</f>
        <v>0</v>
      </c>
      <c r="AU156" s="17">
        <f>IF(F156=1,IF(TableCosts[[#This Row],[N_Kateg]]="interné práce",TableCosts[[#This Row],[N_Amount]]*8*PAR_SGA_PERHOUR,0),0)</f>
        <v>0</v>
      </c>
      <c r="AV156" s="17">
        <f>SUM(TableCosts[[#This Row],[N_Direct]:[N_SGA]])</f>
        <v>0</v>
      </c>
      <c r="AW156" s="7">
        <f>IF(F156=1,IF(D156="",NA(),VLOOKUP(C156&amp;TableCosts[[#This Row],[Calc_N_Typ]],TRAN_STRITEMS_LABEL,7,0)),0)</f>
        <v>0</v>
      </c>
      <c r="AX156" s="7">
        <f t="shared" si="30"/>
        <v>0</v>
      </c>
      <c r="AY156" s="57" t="str">
        <f t="shared" si="31"/>
        <v/>
      </c>
      <c r="AZ156" s="57" t="str">
        <f t="shared" si="32"/>
        <v/>
      </c>
      <c r="BA156" s="57" t="str">
        <f>IF(F156=1,IF(TableCosts[[#This Row],[TransferFrom]]=TableCosts[[#This Row],[TranferTo]],0,1),"")</f>
        <v/>
      </c>
      <c r="BB156" s="7">
        <f t="shared" si="33"/>
        <v>0</v>
      </c>
      <c r="BC156" s="7">
        <f t="shared" si="34"/>
        <v>0</v>
      </c>
    </row>
    <row r="157" spans="2:55" s="7" customFormat="1" ht="12.75" x14ac:dyDescent="0.2">
      <c r="B157" s="33"/>
      <c r="C157" s="31"/>
      <c r="D157" s="40"/>
      <c r="E157" s="6" t="str">
        <f>IF(F157=1,IF(ISERROR(TableCosts[[#This Row],[N_Tariff]]),Err_Message1,IF(TableCosts[[#This Row],[N_Tariff]]=0,Err_Message2,VLOOKUP(C157&amp;TableCosts[[#This Row],[Calc_N_Typ]],TRAN_STRITEMS_LABEL,5,FALSE))),"")</f>
        <v/>
      </c>
      <c r="F157" s="6">
        <f t="shared" si="38"/>
        <v>0</v>
      </c>
      <c r="G157" s="6" t="str">
        <f>IF(F157=1,IFERROR(VLOOKUP(E157,Tab_ErrMessage[],2,0),VLOOKUP(C157&amp;TableCosts[[#This Row],[Calc_N_Typ]],TRAN_STRITEMS_LABEL,4,FALSE)),"")</f>
        <v/>
      </c>
      <c r="H157" s="40"/>
      <c r="I157" s="40"/>
      <c r="J157" s="35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4"/>
      <c r="AI157" s="24"/>
      <c r="AJ157" s="24"/>
      <c r="AK157" s="38">
        <f t="array" ref="AK157">IF(F157=1,SUM((ROW(M0)=ROW(AK157))*(M0+M1_+M2_+M3_+M4_+M5_+M6_+M7_+M8_+M9_+M10_+M11_+M12_+M13_+M14_+M15_+M16_+M17_+M18_+M19_+M20_+M21_+M22_+M23_+M24_+M25_)),0)</f>
        <v>0</v>
      </c>
      <c r="AL157" s="27">
        <f>TableCosts[[#This Row],[N_Direct]]</f>
        <v>0</v>
      </c>
      <c r="AN157" s="7" t="str">
        <f t="shared" si="35"/>
        <v/>
      </c>
      <c r="AO157" s="7" t="str">
        <f t="shared" si="27"/>
        <v/>
      </c>
      <c r="AP157" s="7" t="str">
        <f t="shared" si="36"/>
        <v/>
      </c>
      <c r="AQ157" s="7" t="str">
        <f t="shared" si="28"/>
        <v/>
      </c>
      <c r="AR157" s="7" t="str">
        <f t="shared" si="37"/>
        <v/>
      </c>
      <c r="AS157" s="7">
        <f t="shared" si="29"/>
        <v>0</v>
      </c>
      <c r="AT157" s="17">
        <f>TableCosts[[#This Row],[N_Amount]]*TableCosts[[#This Row],[N_Tariff]]*TableCosts[[#This Row],[N_ItemsCount]]</f>
        <v>0</v>
      </c>
      <c r="AU157" s="17">
        <f>IF(F157=1,IF(TableCosts[[#This Row],[N_Kateg]]="interné práce",TableCosts[[#This Row],[N_Amount]]*8*PAR_SGA_PERHOUR,0),0)</f>
        <v>0</v>
      </c>
      <c r="AV157" s="17">
        <f>SUM(TableCosts[[#This Row],[N_Direct]:[N_SGA]])</f>
        <v>0</v>
      </c>
      <c r="AW157" s="7">
        <f>IF(F157=1,IF(D157="",NA(),VLOOKUP(C157&amp;TableCosts[[#This Row],[Calc_N_Typ]],TRAN_STRITEMS_LABEL,7,0)),0)</f>
        <v>0</v>
      </c>
      <c r="AX157" s="7">
        <f t="shared" si="30"/>
        <v>0</v>
      </c>
      <c r="AY157" s="57" t="str">
        <f t="shared" si="31"/>
        <v/>
      </c>
      <c r="AZ157" s="57" t="str">
        <f t="shared" si="32"/>
        <v/>
      </c>
      <c r="BA157" s="57" t="str">
        <f>IF(F157=1,IF(TableCosts[[#This Row],[TransferFrom]]=TableCosts[[#This Row],[TranferTo]],0,1),"")</f>
        <v/>
      </c>
      <c r="BB157" s="7">
        <f t="shared" si="33"/>
        <v>0</v>
      </c>
      <c r="BC157" s="7">
        <f t="shared" si="34"/>
        <v>0</v>
      </c>
    </row>
    <row r="158" spans="2:55" s="7" customFormat="1" ht="12.75" x14ac:dyDescent="0.2">
      <c r="B158" s="33"/>
      <c r="C158" s="31"/>
      <c r="D158" s="40"/>
      <c r="E158" s="6" t="str">
        <f>IF(F158=1,IF(ISERROR(TableCosts[[#This Row],[N_Tariff]]),Err_Message1,IF(TableCosts[[#This Row],[N_Tariff]]=0,Err_Message2,VLOOKUP(C158&amp;TableCosts[[#This Row],[Calc_N_Typ]],TRAN_STRITEMS_LABEL,5,FALSE))),"")</f>
        <v/>
      </c>
      <c r="F158" s="6">
        <f t="shared" si="38"/>
        <v>0</v>
      </c>
      <c r="G158" s="6" t="str">
        <f>IF(F158=1,IFERROR(VLOOKUP(E158,Tab_ErrMessage[],2,0),VLOOKUP(C158&amp;TableCosts[[#This Row],[Calc_N_Typ]],TRAN_STRITEMS_LABEL,4,FALSE)),"")</f>
        <v/>
      </c>
      <c r="H158" s="40"/>
      <c r="I158" s="40"/>
      <c r="J158" s="35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4"/>
      <c r="AI158" s="24"/>
      <c r="AJ158" s="24"/>
      <c r="AK158" s="38">
        <f t="array" ref="AK158">IF(F158=1,SUM((ROW(M0)=ROW(AK158))*(M0+M1_+M2_+M3_+M4_+M5_+M6_+M7_+M8_+M9_+M10_+M11_+M12_+M13_+M14_+M15_+M16_+M17_+M18_+M19_+M20_+M21_+M22_+M23_+M24_+M25_)),0)</f>
        <v>0</v>
      </c>
      <c r="AL158" s="27">
        <f>TableCosts[[#This Row],[N_Direct]]</f>
        <v>0</v>
      </c>
      <c r="AN158" s="7" t="str">
        <f t="shared" si="35"/>
        <v/>
      </c>
      <c r="AO158" s="7" t="str">
        <f t="shared" si="27"/>
        <v/>
      </c>
      <c r="AP158" s="7" t="str">
        <f t="shared" si="36"/>
        <v/>
      </c>
      <c r="AQ158" s="7" t="str">
        <f t="shared" si="28"/>
        <v/>
      </c>
      <c r="AR158" s="7" t="str">
        <f t="shared" si="37"/>
        <v/>
      </c>
      <c r="AS158" s="7">
        <f t="shared" si="29"/>
        <v>0</v>
      </c>
      <c r="AT158" s="17">
        <f>TableCosts[[#This Row],[N_Amount]]*TableCosts[[#This Row],[N_Tariff]]*TableCosts[[#This Row],[N_ItemsCount]]</f>
        <v>0</v>
      </c>
      <c r="AU158" s="17">
        <f>IF(F158=1,IF(TableCosts[[#This Row],[N_Kateg]]="interné práce",TableCosts[[#This Row],[N_Amount]]*8*PAR_SGA_PERHOUR,0),0)</f>
        <v>0</v>
      </c>
      <c r="AV158" s="17">
        <f>SUM(TableCosts[[#This Row],[N_Direct]:[N_SGA]])</f>
        <v>0</v>
      </c>
      <c r="AW158" s="7">
        <f>IF(F158=1,IF(D158="",NA(),VLOOKUP(C158&amp;TableCosts[[#This Row],[Calc_N_Typ]],TRAN_STRITEMS_LABEL,7,0)),0)</f>
        <v>0</v>
      </c>
      <c r="AX158" s="7">
        <f t="shared" si="30"/>
        <v>0</v>
      </c>
      <c r="AY158" s="57" t="str">
        <f t="shared" si="31"/>
        <v/>
      </c>
      <c r="AZ158" s="57" t="str">
        <f t="shared" si="32"/>
        <v/>
      </c>
      <c r="BA158" s="57" t="str">
        <f>IF(F158=1,IF(TableCosts[[#This Row],[TransferFrom]]=TableCosts[[#This Row],[TranferTo]],0,1),"")</f>
        <v/>
      </c>
      <c r="BB158" s="7">
        <f t="shared" si="33"/>
        <v>0</v>
      </c>
      <c r="BC158" s="7">
        <f t="shared" si="34"/>
        <v>0</v>
      </c>
    </row>
    <row r="159" spans="2:55" s="7" customFormat="1" ht="12.75" x14ac:dyDescent="0.2">
      <c r="B159" s="33"/>
      <c r="C159" s="31"/>
      <c r="D159" s="40"/>
      <c r="E159" s="6" t="str">
        <f>IF(F159=1,IF(ISERROR(TableCosts[[#This Row],[N_Tariff]]),Err_Message1,IF(TableCosts[[#This Row],[N_Tariff]]=0,Err_Message2,VLOOKUP(C159&amp;TableCosts[[#This Row],[Calc_N_Typ]],TRAN_STRITEMS_LABEL,5,FALSE))),"")</f>
        <v/>
      </c>
      <c r="F159" s="6">
        <f t="shared" si="38"/>
        <v>0</v>
      </c>
      <c r="G159" s="6" t="str">
        <f>IF(F159=1,IFERROR(VLOOKUP(E159,Tab_ErrMessage[],2,0),VLOOKUP(C159&amp;TableCosts[[#This Row],[Calc_N_Typ]],TRAN_STRITEMS_LABEL,4,FALSE)),"")</f>
        <v/>
      </c>
      <c r="H159" s="40"/>
      <c r="I159" s="40"/>
      <c r="J159" s="35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4"/>
      <c r="AI159" s="24"/>
      <c r="AJ159" s="24"/>
      <c r="AK159" s="38">
        <f t="array" ref="AK159">IF(F159=1,SUM((ROW(M0)=ROW(AK159))*(M0+M1_+M2_+M3_+M4_+M5_+M6_+M7_+M8_+M9_+M10_+M11_+M12_+M13_+M14_+M15_+M16_+M17_+M18_+M19_+M20_+M21_+M22_+M23_+M24_+M25_)),0)</f>
        <v>0</v>
      </c>
      <c r="AL159" s="27">
        <f>TableCosts[[#This Row],[N_Direct]]</f>
        <v>0</v>
      </c>
      <c r="AN159" s="7" t="str">
        <f t="shared" si="35"/>
        <v/>
      </c>
      <c r="AO159" s="7" t="str">
        <f t="shared" si="27"/>
        <v/>
      </c>
      <c r="AP159" s="7" t="str">
        <f t="shared" si="36"/>
        <v/>
      </c>
      <c r="AQ159" s="7" t="str">
        <f t="shared" si="28"/>
        <v/>
      </c>
      <c r="AR159" s="7" t="str">
        <f t="shared" si="37"/>
        <v/>
      </c>
      <c r="AS159" s="7">
        <f t="shared" si="29"/>
        <v>0</v>
      </c>
      <c r="AT159" s="17">
        <f>TableCosts[[#This Row],[N_Amount]]*TableCosts[[#This Row],[N_Tariff]]*TableCosts[[#This Row],[N_ItemsCount]]</f>
        <v>0</v>
      </c>
      <c r="AU159" s="17">
        <f>IF(F159=1,IF(TableCosts[[#This Row],[N_Kateg]]="interné práce",TableCosts[[#This Row],[N_Amount]]*8*PAR_SGA_PERHOUR,0),0)</f>
        <v>0</v>
      </c>
      <c r="AV159" s="17">
        <f>SUM(TableCosts[[#This Row],[N_Direct]:[N_SGA]])</f>
        <v>0</v>
      </c>
      <c r="AW159" s="7">
        <f>IF(F159=1,IF(D159="",NA(),VLOOKUP(C159&amp;TableCosts[[#This Row],[Calc_N_Typ]],TRAN_STRITEMS_LABEL,7,0)),0)</f>
        <v>0</v>
      </c>
      <c r="AX159" s="7">
        <f t="shared" si="30"/>
        <v>0</v>
      </c>
      <c r="AY159" s="57" t="str">
        <f t="shared" si="31"/>
        <v/>
      </c>
      <c r="AZ159" s="57" t="str">
        <f t="shared" si="32"/>
        <v/>
      </c>
      <c r="BA159" s="57" t="str">
        <f>IF(F159=1,IF(TableCosts[[#This Row],[TransferFrom]]=TableCosts[[#This Row],[TranferTo]],0,1),"")</f>
        <v/>
      </c>
      <c r="BB159" s="7">
        <f t="shared" si="33"/>
        <v>0</v>
      </c>
      <c r="BC159" s="7">
        <f t="shared" si="34"/>
        <v>0</v>
      </c>
    </row>
    <row r="160" spans="2:55" s="7" customFormat="1" ht="12.75" x14ac:dyDescent="0.2">
      <c r="B160" s="33"/>
      <c r="C160" s="31"/>
      <c r="D160" s="40"/>
      <c r="E160" s="6" t="str">
        <f>IF(F160=1,IF(ISERROR(TableCosts[[#This Row],[N_Tariff]]),Err_Message1,IF(TableCosts[[#This Row],[N_Tariff]]=0,Err_Message2,VLOOKUP(C160&amp;TableCosts[[#This Row],[Calc_N_Typ]],TRAN_STRITEMS_LABEL,5,FALSE))),"")</f>
        <v/>
      </c>
      <c r="F160" s="6">
        <f t="shared" si="38"/>
        <v>0</v>
      </c>
      <c r="G160" s="6" t="str">
        <f>IF(F160=1,IFERROR(VLOOKUP(E160,Tab_ErrMessage[],2,0),VLOOKUP(C160&amp;TableCosts[[#This Row],[Calc_N_Typ]],TRAN_STRITEMS_LABEL,4,FALSE)),"")</f>
        <v/>
      </c>
      <c r="H160" s="40"/>
      <c r="I160" s="40"/>
      <c r="J160" s="35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4"/>
      <c r="AI160" s="24"/>
      <c r="AJ160" s="24"/>
      <c r="AK160" s="38">
        <f t="array" ref="AK160">IF(F160=1,SUM((ROW(M0)=ROW(AK160))*(M0+M1_+M2_+M3_+M4_+M5_+M6_+M7_+M8_+M9_+M10_+M11_+M12_+M13_+M14_+M15_+M16_+M17_+M18_+M19_+M20_+M21_+M22_+M23_+M24_+M25_)),0)</f>
        <v>0</v>
      </c>
      <c r="AL160" s="27">
        <f>TableCosts[[#This Row],[N_Direct]]</f>
        <v>0</v>
      </c>
      <c r="AN160" s="7" t="str">
        <f t="shared" si="35"/>
        <v/>
      </c>
      <c r="AO160" s="7" t="str">
        <f t="shared" si="27"/>
        <v/>
      </c>
      <c r="AP160" s="7" t="str">
        <f t="shared" si="36"/>
        <v/>
      </c>
      <c r="AQ160" s="7" t="str">
        <f t="shared" si="28"/>
        <v/>
      </c>
      <c r="AR160" s="7" t="str">
        <f t="shared" si="37"/>
        <v/>
      </c>
      <c r="AS160" s="7">
        <f t="shared" si="29"/>
        <v>0</v>
      </c>
      <c r="AT160" s="17">
        <f>TableCosts[[#This Row],[N_Amount]]*TableCosts[[#This Row],[N_Tariff]]*TableCosts[[#This Row],[N_ItemsCount]]</f>
        <v>0</v>
      </c>
      <c r="AU160" s="17">
        <f>IF(F160=1,IF(TableCosts[[#This Row],[N_Kateg]]="interné práce",TableCosts[[#This Row],[N_Amount]]*8*PAR_SGA_PERHOUR,0),0)</f>
        <v>0</v>
      </c>
      <c r="AV160" s="17">
        <f>SUM(TableCosts[[#This Row],[N_Direct]:[N_SGA]])</f>
        <v>0</v>
      </c>
      <c r="AW160" s="7">
        <f>IF(F160=1,IF(D160="",NA(),VLOOKUP(C160&amp;TableCosts[[#This Row],[Calc_N_Typ]],TRAN_STRITEMS_LABEL,7,0)),0)</f>
        <v>0</v>
      </c>
      <c r="AX160" s="7">
        <f t="shared" si="30"/>
        <v>0</v>
      </c>
      <c r="AY160" s="57" t="str">
        <f t="shared" si="31"/>
        <v/>
      </c>
      <c r="AZ160" s="57" t="str">
        <f t="shared" si="32"/>
        <v/>
      </c>
      <c r="BA160" s="57" t="str">
        <f>IF(F160=1,IF(TableCosts[[#This Row],[TransferFrom]]=TableCosts[[#This Row],[TranferTo]],0,1),"")</f>
        <v/>
      </c>
      <c r="BB160" s="7">
        <f t="shared" si="33"/>
        <v>0</v>
      </c>
      <c r="BC160" s="7">
        <f t="shared" si="34"/>
        <v>0</v>
      </c>
    </row>
    <row r="161" spans="2:55" s="7" customFormat="1" ht="12.75" x14ac:dyDescent="0.2">
      <c r="B161" s="33"/>
      <c r="C161" s="31"/>
      <c r="D161" s="40"/>
      <c r="E161" s="6" t="str">
        <f>IF(F161=1,IF(ISERROR(TableCosts[[#This Row],[N_Tariff]]),Err_Message1,IF(TableCosts[[#This Row],[N_Tariff]]=0,Err_Message2,VLOOKUP(C161&amp;TableCosts[[#This Row],[Calc_N_Typ]],TRAN_STRITEMS_LABEL,5,FALSE))),"")</f>
        <v/>
      </c>
      <c r="F161" s="6">
        <f t="shared" si="38"/>
        <v>0</v>
      </c>
      <c r="G161" s="6" t="str">
        <f>IF(F161=1,IFERROR(VLOOKUP(E161,Tab_ErrMessage[],2,0),VLOOKUP(C161&amp;TableCosts[[#This Row],[Calc_N_Typ]],TRAN_STRITEMS_LABEL,4,FALSE)),"")</f>
        <v/>
      </c>
      <c r="H161" s="40"/>
      <c r="I161" s="40"/>
      <c r="J161" s="35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4"/>
      <c r="AI161" s="24"/>
      <c r="AJ161" s="24"/>
      <c r="AK161" s="38">
        <f t="array" ref="AK161">IF(F161=1,SUM((ROW(M0)=ROW(AK161))*(M0+M1_+M2_+M3_+M4_+M5_+M6_+M7_+M8_+M9_+M10_+M11_+M12_+M13_+M14_+M15_+M16_+M17_+M18_+M19_+M20_+M21_+M22_+M23_+M24_+M25_)),0)</f>
        <v>0</v>
      </c>
      <c r="AL161" s="27">
        <f>TableCosts[[#This Row],[N_Direct]]</f>
        <v>0</v>
      </c>
      <c r="AN161" s="7" t="str">
        <f t="shared" si="35"/>
        <v/>
      </c>
      <c r="AO161" s="7" t="str">
        <f t="shared" si="27"/>
        <v/>
      </c>
      <c r="AP161" s="7" t="str">
        <f t="shared" si="36"/>
        <v/>
      </c>
      <c r="AQ161" s="7" t="str">
        <f t="shared" si="28"/>
        <v/>
      </c>
      <c r="AR161" s="7" t="str">
        <f t="shared" si="37"/>
        <v/>
      </c>
      <c r="AS161" s="7">
        <f t="shared" si="29"/>
        <v>0</v>
      </c>
      <c r="AT161" s="17">
        <f>TableCosts[[#This Row],[N_Amount]]*TableCosts[[#This Row],[N_Tariff]]*TableCosts[[#This Row],[N_ItemsCount]]</f>
        <v>0</v>
      </c>
      <c r="AU161" s="17">
        <f>IF(F161=1,IF(TableCosts[[#This Row],[N_Kateg]]="interné práce",TableCosts[[#This Row],[N_Amount]]*8*PAR_SGA_PERHOUR,0),0)</f>
        <v>0</v>
      </c>
      <c r="AV161" s="17">
        <f>SUM(TableCosts[[#This Row],[N_Direct]:[N_SGA]])</f>
        <v>0</v>
      </c>
      <c r="AW161" s="7">
        <f>IF(F161=1,IF(D161="",NA(),VLOOKUP(C161&amp;TableCosts[[#This Row],[Calc_N_Typ]],TRAN_STRITEMS_LABEL,7,0)),0)</f>
        <v>0</v>
      </c>
      <c r="AX161" s="7">
        <f t="shared" si="30"/>
        <v>0</v>
      </c>
      <c r="AY161" s="57" t="str">
        <f t="shared" si="31"/>
        <v/>
      </c>
      <c r="AZ161" s="57" t="str">
        <f t="shared" si="32"/>
        <v/>
      </c>
      <c r="BA161" s="57" t="str">
        <f>IF(F161=1,IF(TableCosts[[#This Row],[TransferFrom]]=TableCosts[[#This Row],[TranferTo]],0,1),"")</f>
        <v/>
      </c>
      <c r="BB161" s="7">
        <f t="shared" si="33"/>
        <v>0</v>
      </c>
      <c r="BC161" s="7">
        <f t="shared" si="34"/>
        <v>0</v>
      </c>
    </row>
    <row r="162" spans="2:55" s="7" customFormat="1" ht="12.75" x14ac:dyDescent="0.2">
      <c r="B162" s="33"/>
      <c r="C162" s="31"/>
      <c r="D162" s="40"/>
      <c r="E162" s="6" t="str">
        <f>IF(F162=1,IF(ISERROR(TableCosts[[#This Row],[N_Tariff]]),Err_Message1,IF(TableCosts[[#This Row],[N_Tariff]]=0,Err_Message2,VLOOKUP(C162&amp;TableCosts[[#This Row],[Calc_N_Typ]],TRAN_STRITEMS_LABEL,5,FALSE))),"")</f>
        <v/>
      </c>
      <c r="F162" s="6">
        <f t="shared" si="38"/>
        <v>0</v>
      </c>
      <c r="G162" s="6" t="str">
        <f>IF(F162=1,IFERROR(VLOOKUP(E162,Tab_ErrMessage[],2,0),VLOOKUP(C162&amp;TableCosts[[#This Row],[Calc_N_Typ]],TRAN_STRITEMS_LABEL,4,FALSE)),"")</f>
        <v/>
      </c>
      <c r="H162" s="40"/>
      <c r="I162" s="40"/>
      <c r="J162" s="35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4"/>
      <c r="AI162" s="24"/>
      <c r="AJ162" s="24"/>
      <c r="AK162" s="38">
        <f t="array" ref="AK162">IF(F162=1,SUM((ROW(M0)=ROW(AK162))*(M0+M1_+M2_+M3_+M4_+M5_+M6_+M7_+M8_+M9_+M10_+M11_+M12_+M13_+M14_+M15_+M16_+M17_+M18_+M19_+M20_+M21_+M22_+M23_+M24_+M25_)),0)</f>
        <v>0</v>
      </c>
      <c r="AL162" s="27">
        <f>TableCosts[[#This Row],[N_Direct]]</f>
        <v>0</v>
      </c>
      <c r="AN162" s="7" t="str">
        <f t="shared" si="35"/>
        <v/>
      </c>
      <c r="AO162" s="7" t="str">
        <f t="shared" si="27"/>
        <v/>
      </c>
      <c r="AP162" s="7" t="str">
        <f t="shared" si="36"/>
        <v/>
      </c>
      <c r="AQ162" s="7" t="str">
        <f t="shared" si="28"/>
        <v/>
      </c>
      <c r="AR162" s="7" t="str">
        <f t="shared" si="37"/>
        <v/>
      </c>
      <c r="AS162" s="7">
        <f t="shared" si="29"/>
        <v>0</v>
      </c>
      <c r="AT162" s="17">
        <f>TableCosts[[#This Row],[N_Amount]]*TableCosts[[#This Row],[N_Tariff]]*TableCosts[[#This Row],[N_ItemsCount]]</f>
        <v>0</v>
      </c>
      <c r="AU162" s="17">
        <f>IF(F162=1,IF(TableCosts[[#This Row],[N_Kateg]]="interné práce",TableCosts[[#This Row],[N_Amount]]*8*PAR_SGA_PERHOUR,0),0)</f>
        <v>0</v>
      </c>
      <c r="AV162" s="17">
        <f>SUM(TableCosts[[#This Row],[N_Direct]:[N_SGA]])</f>
        <v>0</v>
      </c>
      <c r="AW162" s="7">
        <f>IF(F162=1,IF(D162="",NA(),VLOOKUP(C162&amp;TableCosts[[#This Row],[Calc_N_Typ]],TRAN_STRITEMS_LABEL,7,0)),0)</f>
        <v>0</v>
      </c>
      <c r="AX162" s="7">
        <f t="shared" si="30"/>
        <v>0</v>
      </c>
      <c r="AY162" s="57" t="str">
        <f t="shared" si="31"/>
        <v/>
      </c>
      <c r="AZ162" s="57" t="str">
        <f t="shared" si="32"/>
        <v/>
      </c>
      <c r="BA162" s="57" t="str">
        <f>IF(F162=1,IF(TableCosts[[#This Row],[TransferFrom]]=TableCosts[[#This Row],[TranferTo]],0,1),"")</f>
        <v/>
      </c>
      <c r="BB162" s="7">
        <f t="shared" si="33"/>
        <v>0</v>
      </c>
      <c r="BC162" s="7">
        <f t="shared" si="34"/>
        <v>0</v>
      </c>
    </row>
    <row r="163" spans="2:55" s="7" customFormat="1" ht="12.75" x14ac:dyDescent="0.2">
      <c r="B163" s="33"/>
      <c r="C163" s="31"/>
      <c r="D163" s="40"/>
      <c r="E163" s="6" t="str">
        <f>IF(F163=1,IF(ISERROR(TableCosts[[#This Row],[N_Tariff]]),Err_Message1,IF(TableCosts[[#This Row],[N_Tariff]]=0,Err_Message2,VLOOKUP(C163&amp;TableCosts[[#This Row],[Calc_N_Typ]],TRAN_STRITEMS_LABEL,5,FALSE))),"")</f>
        <v/>
      </c>
      <c r="F163" s="6">
        <f t="shared" si="38"/>
        <v>0</v>
      </c>
      <c r="G163" s="6" t="str">
        <f>IF(F163=1,IFERROR(VLOOKUP(E163,Tab_ErrMessage[],2,0),VLOOKUP(C163&amp;TableCosts[[#This Row],[Calc_N_Typ]],TRAN_STRITEMS_LABEL,4,FALSE)),"")</f>
        <v/>
      </c>
      <c r="H163" s="40"/>
      <c r="I163" s="40"/>
      <c r="J163" s="35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4"/>
      <c r="AI163" s="24"/>
      <c r="AJ163" s="24"/>
      <c r="AK163" s="38">
        <f t="array" ref="AK163">IF(F163=1,SUM((ROW(M0)=ROW(AK163))*(M0+M1_+M2_+M3_+M4_+M5_+M6_+M7_+M8_+M9_+M10_+M11_+M12_+M13_+M14_+M15_+M16_+M17_+M18_+M19_+M20_+M21_+M22_+M23_+M24_+M25_)),0)</f>
        <v>0</v>
      </c>
      <c r="AL163" s="27">
        <f>TableCosts[[#This Row],[N_Direct]]</f>
        <v>0</v>
      </c>
      <c r="AN163" s="7" t="str">
        <f t="shared" si="35"/>
        <v/>
      </c>
      <c r="AO163" s="7" t="str">
        <f t="shared" si="27"/>
        <v/>
      </c>
      <c r="AP163" s="7" t="str">
        <f t="shared" si="36"/>
        <v/>
      </c>
      <c r="AQ163" s="7" t="str">
        <f t="shared" si="28"/>
        <v/>
      </c>
      <c r="AR163" s="7" t="str">
        <f t="shared" si="37"/>
        <v/>
      </c>
      <c r="AS163" s="7">
        <f t="shared" si="29"/>
        <v>0</v>
      </c>
      <c r="AT163" s="17">
        <f>TableCosts[[#This Row],[N_Amount]]*TableCosts[[#This Row],[N_Tariff]]*TableCosts[[#This Row],[N_ItemsCount]]</f>
        <v>0</v>
      </c>
      <c r="AU163" s="17">
        <f>IF(F163=1,IF(TableCosts[[#This Row],[N_Kateg]]="interné práce",TableCosts[[#This Row],[N_Amount]]*8*PAR_SGA_PERHOUR,0),0)</f>
        <v>0</v>
      </c>
      <c r="AV163" s="17">
        <f>SUM(TableCosts[[#This Row],[N_Direct]:[N_SGA]])</f>
        <v>0</v>
      </c>
      <c r="AW163" s="7">
        <f>IF(F163=1,IF(D163="",NA(),VLOOKUP(C163&amp;TableCosts[[#This Row],[Calc_N_Typ]],TRAN_STRITEMS_LABEL,7,0)),0)</f>
        <v>0</v>
      </c>
      <c r="AX163" s="7">
        <f t="shared" si="30"/>
        <v>0</v>
      </c>
      <c r="AY163" s="57" t="str">
        <f t="shared" si="31"/>
        <v/>
      </c>
      <c r="AZ163" s="57" t="str">
        <f t="shared" si="32"/>
        <v/>
      </c>
      <c r="BA163" s="57" t="str">
        <f>IF(F163=1,IF(TableCosts[[#This Row],[TransferFrom]]=TableCosts[[#This Row],[TranferTo]],0,1),"")</f>
        <v/>
      </c>
      <c r="BB163" s="7">
        <f t="shared" si="33"/>
        <v>0</v>
      </c>
      <c r="BC163" s="7">
        <f t="shared" si="34"/>
        <v>0</v>
      </c>
    </row>
    <row r="164" spans="2:55" s="7" customFormat="1" ht="12.75" x14ac:dyDescent="0.2">
      <c r="B164" s="33"/>
      <c r="C164" s="31"/>
      <c r="D164" s="40"/>
      <c r="E164" s="6" t="str">
        <f>IF(F164=1,IF(ISERROR(TableCosts[[#This Row],[N_Tariff]]),Err_Message1,IF(TableCosts[[#This Row],[N_Tariff]]=0,Err_Message2,VLOOKUP(C164&amp;TableCosts[[#This Row],[Calc_N_Typ]],TRAN_STRITEMS_LABEL,5,FALSE))),"")</f>
        <v/>
      </c>
      <c r="F164" s="6">
        <f t="shared" si="38"/>
        <v>0</v>
      </c>
      <c r="G164" s="6" t="str">
        <f>IF(F164=1,IFERROR(VLOOKUP(E164,Tab_ErrMessage[],2,0),VLOOKUP(C164&amp;TableCosts[[#This Row],[Calc_N_Typ]],TRAN_STRITEMS_LABEL,4,FALSE)),"")</f>
        <v/>
      </c>
      <c r="H164" s="40"/>
      <c r="I164" s="40"/>
      <c r="J164" s="35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4"/>
      <c r="AI164" s="24"/>
      <c r="AJ164" s="24"/>
      <c r="AK164" s="38">
        <f t="array" ref="AK164">IF(F164=1,SUM((ROW(M0)=ROW(AK164))*(M0+M1_+M2_+M3_+M4_+M5_+M6_+M7_+M8_+M9_+M10_+M11_+M12_+M13_+M14_+M15_+M16_+M17_+M18_+M19_+M20_+M21_+M22_+M23_+M24_+M25_)),0)</f>
        <v>0</v>
      </c>
      <c r="AL164" s="27">
        <f>TableCosts[[#This Row],[N_Direct]]</f>
        <v>0</v>
      </c>
      <c r="AN164" s="7" t="str">
        <f t="shared" si="35"/>
        <v/>
      </c>
      <c r="AO164" s="7" t="str">
        <f t="shared" si="27"/>
        <v/>
      </c>
      <c r="AP164" s="7" t="str">
        <f t="shared" si="36"/>
        <v/>
      </c>
      <c r="AQ164" s="7" t="str">
        <f t="shared" si="28"/>
        <v/>
      </c>
      <c r="AR164" s="7" t="str">
        <f t="shared" si="37"/>
        <v/>
      </c>
      <c r="AS164" s="7">
        <f t="shared" si="29"/>
        <v>0</v>
      </c>
      <c r="AT164" s="17">
        <f>TableCosts[[#This Row],[N_Amount]]*TableCosts[[#This Row],[N_Tariff]]*TableCosts[[#This Row],[N_ItemsCount]]</f>
        <v>0</v>
      </c>
      <c r="AU164" s="17">
        <f>IF(F164=1,IF(TableCosts[[#This Row],[N_Kateg]]="interné práce",TableCosts[[#This Row],[N_Amount]]*8*PAR_SGA_PERHOUR,0),0)</f>
        <v>0</v>
      </c>
      <c r="AV164" s="17">
        <f>SUM(TableCosts[[#This Row],[N_Direct]:[N_SGA]])</f>
        <v>0</v>
      </c>
      <c r="AW164" s="7">
        <f>IF(F164=1,IF(D164="",NA(),VLOOKUP(C164&amp;TableCosts[[#This Row],[Calc_N_Typ]],TRAN_STRITEMS_LABEL,7,0)),0)</f>
        <v>0</v>
      </c>
      <c r="AX164" s="7">
        <f t="shared" si="30"/>
        <v>0</v>
      </c>
      <c r="AY164" s="57" t="str">
        <f t="shared" si="31"/>
        <v/>
      </c>
      <c r="AZ164" s="57" t="str">
        <f t="shared" si="32"/>
        <v/>
      </c>
      <c r="BA164" s="57" t="str">
        <f>IF(F164=1,IF(TableCosts[[#This Row],[TransferFrom]]=TableCosts[[#This Row],[TranferTo]],0,1),"")</f>
        <v/>
      </c>
      <c r="BB164" s="7">
        <f t="shared" si="33"/>
        <v>0</v>
      </c>
      <c r="BC164" s="7">
        <f t="shared" si="34"/>
        <v>0</v>
      </c>
    </row>
    <row r="165" spans="2:55" s="7" customFormat="1" ht="12.75" x14ac:dyDescent="0.2">
      <c r="B165" s="33"/>
      <c r="C165" s="31"/>
      <c r="D165" s="40"/>
      <c r="E165" s="6" t="str">
        <f>IF(F165=1,IF(ISERROR(TableCosts[[#This Row],[N_Tariff]]),Err_Message1,IF(TableCosts[[#This Row],[N_Tariff]]=0,Err_Message2,VLOOKUP(C165&amp;TableCosts[[#This Row],[Calc_N_Typ]],TRAN_STRITEMS_LABEL,5,FALSE))),"")</f>
        <v/>
      </c>
      <c r="F165" s="6">
        <f t="shared" si="38"/>
        <v>0</v>
      </c>
      <c r="G165" s="6" t="str">
        <f>IF(F165=1,IFERROR(VLOOKUP(E165,Tab_ErrMessage[],2,0),VLOOKUP(C165&amp;TableCosts[[#This Row],[Calc_N_Typ]],TRAN_STRITEMS_LABEL,4,FALSE)),"")</f>
        <v/>
      </c>
      <c r="H165" s="40"/>
      <c r="I165" s="40"/>
      <c r="J165" s="35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4"/>
      <c r="AI165" s="24"/>
      <c r="AJ165" s="24"/>
      <c r="AK165" s="38">
        <f t="array" ref="AK165">IF(F165=1,SUM((ROW(M0)=ROW(AK165))*(M0+M1_+M2_+M3_+M4_+M5_+M6_+M7_+M8_+M9_+M10_+M11_+M12_+M13_+M14_+M15_+M16_+M17_+M18_+M19_+M20_+M21_+M22_+M23_+M24_+M25_)),0)</f>
        <v>0</v>
      </c>
      <c r="AL165" s="27">
        <f>TableCosts[[#This Row],[N_Direct]]</f>
        <v>0</v>
      </c>
      <c r="AN165" s="7" t="str">
        <f t="shared" si="35"/>
        <v/>
      </c>
      <c r="AO165" s="7" t="str">
        <f t="shared" si="27"/>
        <v/>
      </c>
      <c r="AP165" s="7" t="str">
        <f t="shared" si="36"/>
        <v/>
      </c>
      <c r="AQ165" s="7" t="str">
        <f t="shared" si="28"/>
        <v/>
      </c>
      <c r="AR165" s="7" t="str">
        <f t="shared" si="37"/>
        <v/>
      </c>
      <c r="AS165" s="7">
        <f t="shared" si="29"/>
        <v>0</v>
      </c>
      <c r="AT165" s="17">
        <f>TableCosts[[#This Row],[N_Amount]]*TableCosts[[#This Row],[N_Tariff]]*TableCosts[[#This Row],[N_ItemsCount]]</f>
        <v>0</v>
      </c>
      <c r="AU165" s="17">
        <f>IF(F165=1,IF(TableCosts[[#This Row],[N_Kateg]]="interné práce",TableCosts[[#This Row],[N_Amount]]*8*PAR_SGA_PERHOUR,0),0)</f>
        <v>0</v>
      </c>
      <c r="AV165" s="17">
        <f>SUM(TableCosts[[#This Row],[N_Direct]:[N_SGA]])</f>
        <v>0</v>
      </c>
      <c r="AW165" s="7">
        <f>IF(F165=1,IF(D165="",NA(),VLOOKUP(C165&amp;TableCosts[[#This Row],[Calc_N_Typ]],TRAN_STRITEMS_LABEL,7,0)),0)</f>
        <v>0</v>
      </c>
      <c r="AX165" s="7">
        <f t="shared" si="30"/>
        <v>0</v>
      </c>
      <c r="AY165" s="57" t="str">
        <f t="shared" si="31"/>
        <v/>
      </c>
      <c r="AZ165" s="57" t="str">
        <f t="shared" si="32"/>
        <v/>
      </c>
      <c r="BA165" s="57" t="str">
        <f>IF(F165=1,IF(TableCosts[[#This Row],[TransferFrom]]=TableCosts[[#This Row],[TranferTo]],0,1),"")</f>
        <v/>
      </c>
      <c r="BB165" s="7">
        <f t="shared" si="33"/>
        <v>0</v>
      </c>
      <c r="BC165" s="7">
        <f t="shared" si="34"/>
        <v>0</v>
      </c>
    </row>
    <row r="166" spans="2:55" s="7" customFormat="1" ht="12.75" x14ac:dyDescent="0.2">
      <c r="B166" s="33"/>
      <c r="C166" s="31"/>
      <c r="D166" s="40"/>
      <c r="E166" s="6" t="str">
        <f>IF(F166=1,IF(ISERROR(TableCosts[[#This Row],[N_Tariff]]),Err_Message1,IF(TableCosts[[#This Row],[N_Tariff]]=0,Err_Message2,VLOOKUP(C166&amp;TableCosts[[#This Row],[Calc_N_Typ]],TRAN_STRITEMS_LABEL,5,FALSE))),"")</f>
        <v/>
      </c>
      <c r="F166" s="6">
        <f t="shared" si="38"/>
        <v>0</v>
      </c>
      <c r="G166" s="6" t="str">
        <f>IF(F166=1,IFERROR(VLOOKUP(E166,Tab_ErrMessage[],2,0),VLOOKUP(C166&amp;TableCosts[[#This Row],[Calc_N_Typ]],TRAN_STRITEMS_LABEL,4,FALSE)),"")</f>
        <v/>
      </c>
      <c r="H166" s="40"/>
      <c r="I166" s="40"/>
      <c r="J166" s="35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4"/>
      <c r="AI166" s="24"/>
      <c r="AJ166" s="24"/>
      <c r="AK166" s="38">
        <f t="array" ref="AK166">IF(F166=1,SUM((ROW(M0)=ROW(AK166))*(M0+M1_+M2_+M3_+M4_+M5_+M6_+M7_+M8_+M9_+M10_+M11_+M12_+M13_+M14_+M15_+M16_+M17_+M18_+M19_+M20_+M21_+M22_+M23_+M24_+M25_)),0)</f>
        <v>0</v>
      </c>
      <c r="AL166" s="27">
        <f>TableCosts[[#This Row],[N_Direct]]</f>
        <v>0</v>
      </c>
      <c r="AN166" s="7" t="str">
        <f t="shared" si="35"/>
        <v/>
      </c>
      <c r="AO166" s="7" t="str">
        <f t="shared" si="27"/>
        <v/>
      </c>
      <c r="AP166" s="7" t="str">
        <f t="shared" si="36"/>
        <v/>
      </c>
      <c r="AQ166" s="7" t="str">
        <f t="shared" si="28"/>
        <v/>
      </c>
      <c r="AR166" s="7" t="str">
        <f t="shared" si="37"/>
        <v/>
      </c>
      <c r="AS166" s="7">
        <f t="shared" si="29"/>
        <v>0</v>
      </c>
      <c r="AT166" s="17">
        <f>TableCosts[[#This Row],[N_Amount]]*TableCosts[[#This Row],[N_Tariff]]*TableCosts[[#This Row],[N_ItemsCount]]</f>
        <v>0</v>
      </c>
      <c r="AU166" s="17">
        <f>IF(F166=1,IF(TableCosts[[#This Row],[N_Kateg]]="interné práce",TableCosts[[#This Row],[N_Amount]]*8*PAR_SGA_PERHOUR,0),0)</f>
        <v>0</v>
      </c>
      <c r="AV166" s="17">
        <f>SUM(TableCosts[[#This Row],[N_Direct]:[N_SGA]])</f>
        <v>0</v>
      </c>
      <c r="AW166" s="7">
        <f>IF(F166=1,IF(D166="",NA(),VLOOKUP(C166&amp;TableCosts[[#This Row],[Calc_N_Typ]],TRAN_STRITEMS_LABEL,7,0)),0)</f>
        <v>0</v>
      </c>
      <c r="AX166" s="7">
        <f t="shared" si="30"/>
        <v>0</v>
      </c>
      <c r="AY166" s="57" t="str">
        <f t="shared" si="31"/>
        <v/>
      </c>
      <c r="AZ166" s="57" t="str">
        <f t="shared" si="32"/>
        <v/>
      </c>
      <c r="BA166" s="57" t="str">
        <f>IF(F166=1,IF(TableCosts[[#This Row],[TransferFrom]]=TableCosts[[#This Row],[TranferTo]],0,1),"")</f>
        <v/>
      </c>
      <c r="BB166" s="7">
        <f t="shared" si="33"/>
        <v>0</v>
      </c>
      <c r="BC166" s="7">
        <f t="shared" si="34"/>
        <v>0</v>
      </c>
    </row>
    <row r="167" spans="2:55" s="7" customFormat="1" ht="12.75" x14ac:dyDescent="0.2">
      <c r="B167" s="33"/>
      <c r="C167" s="31"/>
      <c r="D167" s="40"/>
      <c r="E167" s="6" t="str">
        <f>IF(F167=1,IF(ISERROR(TableCosts[[#This Row],[N_Tariff]]),Err_Message1,IF(TableCosts[[#This Row],[N_Tariff]]=0,Err_Message2,VLOOKUP(C167&amp;TableCosts[[#This Row],[Calc_N_Typ]],TRAN_STRITEMS_LABEL,5,FALSE))),"")</f>
        <v/>
      </c>
      <c r="F167" s="6">
        <f t="shared" si="38"/>
        <v>0</v>
      </c>
      <c r="G167" s="6" t="str">
        <f>IF(F167=1,IFERROR(VLOOKUP(E167,Tab_ErrMessage[],2,0),VLOOKUP(C167&amp;TableCosts[[#This Row],[Calc_N_Typ]],TRAN_STRITEMS_LABEL,4,FALSE)),"")</f>
        <v/>
      </c>
      <c r="H167" s="40"/>
      <c r="I167" s="40"/>
      <c r="J167" s="35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4"/>
      <c r="AI167" s="24"/>
      <c r="AJ167" s="24"/>
      <c r="AK167" s="38">
        <f t="array" ref="AK167">IF(F167=1,SUM((ROW(M0)=ROW(AK167))*(M0+M1_+M2_+M3_+M4_+M5_+M6_+M7_+M8_+M9_+M10_+M11_+M12_+M13_+M14_+M15_+M16_+M17_+M18_+M19_+M20_+M21_+M22_+M23_+M24_+M25_)),0)</f>
        <v>0</v>
      </c>
      <c r="AL167" s="27">
        <f>TableCosts[[#This Row],[N_Direct]]</f>
        <v>0</v>
      </c>
      <c r="AN167" s="7" t="str">
        <f t="shared" si="35"/>
        <v/>
      </c>
      <c r="AO167" s="7" t="str">
        <f t="shared" si="27"/>
        <v/>
      </c>
      <c r="AP167" s="7" t="str">
        <f t="shared" si="36"/>
        <v/>
      </c>
      <c r="AQ167" s="7" t="str">
        <f t="shared" si="28"/>
        <v/>
      </c>
      <c r="AR167" s="7" t="str">
        <f t="shared" si="37"/>
        <v/>
      </c>
      <c r="AS167" s="7">
        <f t="shared" si="29"/>
        <v>0</v>
      </c>
      <c r="AT167" s="17">
        <f>TableCosts[[#This Row],[N_Amount]]*TableCosts[[#This Row],[N_Tariff]]*TableCosts[[#This Row],[N_ItemsCount]]</f>
        <v>0</v>
      </c>
      <c r="AU167" s="17">
        <f>IF(F167=1,IF(TableCosts[[#This Row],[N_Kateg]]="interné práce",TableCosts[[#This Row],[N_Amount]]*8*PAR_SGA_PERHOUR,0),0)</f>
        <v>0</v>
      </c>
      <c r="AV167" s="17">
        <f>SUM(TableCosts[[#This Row],[N_Direct]:[N_SGA]])</f>
        <v>0</v>
      </c>
      <c r="AW167" s="7">
        <f>IF(F167=1,IF(D167="",NA(),VLOOKUP(C167&amp;TableCosts[[#This Row],[Calc_N_Typ]],TRAN_STRITEMS_LABEL,7,0)),0)</f>
        <v>0</v>
      </c>
      <c r="AX167" s="7">
        <f t="shared" si="30"/>
        <v>0</v>
      </c>
      <c r="AY167" s="57" t="str">
        <f t="shared" si="31"/>
        <v/>
      </c>
      <c r="AZ167" s="57" t="str">
        <f t="shared" si="32"/>
        <v/>
      </c>
      <c r="BA167" s="57" t="str">
        <f>IF(F167=1,IF(TableCosts[[#This Row],[TransferFrom]]=TableCosts[[#This Row],[TranferTo]],0,1),"")</f>
        <v/>
      </c>
      <c r="BB167" s="7">
        <f t="shared" si="33"/>
        <v>0</v>
      </c>
      <c r="BC167" s="7">
        <f t="shared" si="34"/>
        <v>0</v>
      </c>
    </row>
    <row r="168" spans="2:55" s="7" customFormat="1" ht="12.75" x14ac:dyDescent="0.2">
      <c r="B168" s="33"/>
      <c r="C168" s="31"/>
      <c r="D168" s="40"/>
      <c r="E168" s="6" t="str">
        <f>IF(F168=1,IF(ISERROR(TableCosts[[#This Row],[N_Tariff]]),Err_Message1,IF(TableCosts[[#This Row],[N_Tariff]]=0,Err_Message2,VLOOKUP(C168&amp;TableCosts[[#This Row],[Calc_N_Typ]],TRAN_STRITEMS_LABEL,5,FALSE))),"")</f>
        <v/>
      </c>
      <c r="F168" s="6">
        <f t="shared" si="38"/>
        <v>0</v>
      </c>
      <c r="G168" s="6" t="str">
        <f>IF(F168=1,IFERROR(VLOOKUP(E168,Tab_ErrMessage[],2,0),VLOOKUP(C168&amp;TableCosts[[#This Row],[Calc_N_Typ]],TRAN_STRITEMS_LABEL,4,FALSE)),"")</f>
        <v/>
      </c>
      <c r="H168" s="40"/>
      <c r="I168" s="40"/>
      <c r="J168" s="35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4"/>
      <c r="AI168" s="24"/>
      <c r="AJ168" s="24"/>
      <c r="AK168" s="38">
        <f t="array" ref="AK168">IF(F168=1,SUM((ROW(M0)=ROW(AK168))*(M0+M1_+M2_+M3_+M4_+M5_+M6_+M7_+M8_+M9_+M10_+M11_+M12_+M13_+M14_+M15_+M16_+M17_+M18_+M19_+M20_+M21_+M22_+M23_+M24_+M25_)),0)</f>
        <v>0</v>
      </c>
      <c r="AL168" s="27">
        <f>TableCosts[[#This Row],[N_Direct]]</f>
        <v>0</v>
      </c>
      <c r="AN168" s="7" t="str">
        <f t="shared" si="35"/>
        <v/>
      </c>
      <c r="AO168" s="7" t="str">
        <f t="shared" si="27"/>
        <v/>
      </c>
      <c r="AP168" s="7" t="str">
        <f t="shared" si="36"/>
        <v/>
      </c>
      <c r="AQ168" s="7" t="str">
        <f t="shared" si="28"/>
        <v/>
      </c>
      <c r="AR168" s="7" t="str">
        <f t="shared" si="37"/>
        <v/>
      </c>
      <c r="AS168" s="7">
        <f t="shared" si="29"/>
        <v>0</v>
      </c>
      <c r="AT168" s="17">
        <f>TableCosts[[#This Row],[N_Amount]]*TableCosts[[#This Row],[N_Tariff]]*TableCosts[[#This Row],[N_ItemsCount]]</f>
        <v>0</v>
      </c>
      <c r="AU168" s="17">
        <f>IF(F168=1,IF(TableCosts[[#This Row],[N_Kateg]]="interné práce",TableCosts[[#This Row],[N_Amount]]*8*PAR_SGA_PERHOUR,0),0)</f>
        <v>0</v>
      </c>
      <c r="AV168" s="17">
        <f>SUM(TableCosts[[#This Row],[N_Direct]:[N_SGA]])</f>
        <v>0</v>
      </c>
      <c r="AW168" s="7">
        <f>IF(F168=1,IF(D168="",NA(),VLOOKUP(C168&amp;TableCosts[[#This Row],[Calc_N_Typ]],TRAN_STRITEMS_LABEL,7,0)),0)</f>
        <v>0</v>
      </c>
      <c r="AX168" s="7">
        <f t="shared" si="30"/>
        <v>0</v>
      </c>
      <c r="AY168" s="57" t="str">
        <f t="shared" si="31"/>
        <v/>
      </c>
      <c r="AZ168" s="57" t="str">
        <f t="shared" si="32"/>
        <v/>
      </c>
      <c r="BA168" s="57" t="str">
        <f>IF(F168=1,IF(TableCosts[[#This Row],[TransferFrom]]=TableCosts[[#This Row],[TranferTo]],0,1),"")</f>
        <v/>
      </c>
      <c r="BB168" s="7">
        <f t="shared" si="33"/>
        <v>0</v>
      </c>
      <c r="BC168" s="7">
        <f t="shared" si="34"/>
        <v>0</v>
      </c>
    </row>
    <row r="169" spans="2:55" s="7" customFormat="1" ht="12.75" x14ac:dyDescent="0.2">
      <c r="B169" s="33"/>
      <c r="C169" s="31"/>
      <c r="D169" s="40"/>
      <c r="E169" s="6" t="str">
        <f>IF(F169=1,IF(ISERROR(TableCosts[[#This Row],[N_Tariff]]),Err_Message1,IF(TableCosts[[#This Row],[N_Tariff]]=0,Err_Message2,VLOOKUP(C169&amp;TableCosts[[#This Row],[Calc_N_Typ]],TRAN_STRITEMS_LABEL,5,FALSE))),"")</f>
        <v/>
      </c>
      <c r="F169" s="6">
        <f t="shared" si="38"/>
        <v>0</v>
      </c>
      <c r="G169" s="6" t="str">
        <f>IF(F169=1,IFERROR(VLOOKUP(E169,Tab_ErrMessage[],2,0),VLOOKUP(C169&amp;TableCosts[[#This Row],[Calc_N_Typ]],TRAN_STRITEMS_LABEL,4,FALSE)),"")</f>
        <v/>
      </c>
      <c r="H169" s="40"/>
      <c r="I169" s="40"/>
      <c r="J169" s="35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4"/>
      <c r="AI169" s="24"/>
      <c r="AJ169" s="24"/>
      <c r="AK169" s="38">
        <f t="array" ref="AK169">IF(F169=1,SUM((ROW(M0)=ROW(AK169))*(M0+M1_+M2_+M3_+M4_+M5_+M6_+M7_+M8_+M9_+M10_+M11_+M12_+M13_+M14_+M15_+M16_+M17_+M18_+M19_+M20_+M21_+M22_+M23_+M24_+M25_)),0)</f>
        <v>0</v>
      </c>
      <c r="AL169" s="27">
        <f>TableCosts[[#This Row],[N_Direct]]</f>
        <v>0</v>
      </c>
      <c r="AN169" s="7" t="str">
        <f t="shared" si="35"/>
        <v/>
      </c>
      <c r="AO169" s="7" t="str">
        <f t="shared" si="27"/>
        <v/>
      </c>
      <c r="AP169" s="7" t="str">
        <f t="shared" si="36"/>
        <v/>
      </c>
      <c r="AQ169" s="7" t="str">
        <f t="shared" si="28"/>
        <v/>
      </c>
      <c r="AR169" s="7" t="str">
        <f t="shared" si="37"/>
        <v/>
      </c>
      <c r="AS169" s="7">
        <f t="shared" si="29"/>
        <v>0</v>
      </c>
      <c r="AT169" s="17">
        <f>TableCosts[[#This Row],[N_Amount]]*TableCosts[[#This Row],[N_Tariff]]*TableCosts[[#This Row],[N_ItemsCount]]</f>
        <v>0</v>
      </c>
      <c r="AU169" s="17">
        <f>IF(F169=1,IF(TableCosts[[#This Row],[N_Kateg]]="interné práce",TableCosts[[#This Row],[N_Amount]]*8*PAR_SGA_PERHOUR,0),0)</f>
        <v>0</v>
      </c>
      <c r="AV169" s="17">
        <f>SUM(TableCosts[[#This Row],[N_Direct]:[N_SGA]])</f>
        <v>0</v>
      </c>
      <c r="AW169" s="7">
        <f>IF(F169=1,IF(D169="",NA(),VLOOKUP(C169&amp;TableCosts[[#This Row],[Calc_N_Typ]],TRAN_STRITEMS_LABEL,7,0)),0)</f>
        <v>0</v>
      </c>
      <c r="AX169" s="7">
        <f t="shared" si="30"/>
        <v>0</v>
      </c>
      <c r="AY169" s="57" t="str">
        <f t="shared" si="31"/>
        <v/>
      </c>
      <c r="AZ169" s="57" t="str">
        <f t="shared" si="32"/>
        <v/>
      </c>
      <c r="BA169" s="57" t="str">
        <f>IF(F169=1,IF(TableCosts[[#This Row],[TransferFrom]]=TableCosts[[#This Row],[TranferTo]],0,1),"")</f>
        <v/>
      </c>
      <c r="BB169" s="7">
        <f t="shared" si="33"/>
        <v>0</v>
      </c>
      <c r="BC169" s="7">
        <f t="shared" si="34"/>
        <v>0</v>
      </c>
    </row>
    <row r="170" spans="2:55" s="7" customFormat="1" ht="12.75" x14ac:dyDescent="0.2">
      <c r="B170" s="33"/>
      <c r="C170" s="31"/>
      <c r="D170" s="40"/>
      <c r="E170" s="6" t="str">
        <f>IF(F170=1,IF(ISERROR(TableCosts[[#This Row],[N_Tariff]]),Err_Message1,IF(TableCosts[[#This Row],[N_Tariff]]=0,Err_Message2,VLOOKUP(C170&amp;TableCosts[[#This Row],[Calc_N_Typ]],TRAN_STRITEMS_LABEL,5,FALSE))),"")</f>
        <v/>
      </c>
      <c r="F170" s="6">
        <f t="shared" si="38"/>
        <v>0</v>
      </c>
      <c r="G170" s="6" t="str">
        <f>IF(F170=1,IFERROR(VLOOKUP(E170,Tab_ErrMessage[],2,0),VLOOKUP(C170&amp;TableCosts[[#This Row],[Calc_N_Typ]],TRAN_STRITEMS_LABEL,4,FALSE)),"")</f>
        <v/>
      </c>
      <c r="H170" s="40"/>
      <c r="I170" s="40"/>
      <c r="J170" s="35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4"/>
      <c r="AI170" s="24"/>
      <c r="AJ170" s="24"/>
      <c r="AK170" s="38">
        <f t="array" ref="AK170">IF(F170=1,SUM((ROW(M0)=ROW(AK170))*(M0+M1_+M2_+M3_+M4_+M5_+M6_+M7_+M8_+M9_+M10_+M11_+M12_+M13_+M14_+M15_+M16_+M17_+M18_+M19_+M20_+M21_+M22_+M23_+M24_+M25_)),0)</f>
        <v>0</v>
      </c>
      <c r="AL170" s="27">
        <f>TableCosts[[#This Row],[N_Direct]]</f>
        <v>0</v>
      </c>
      <c r="AN170" s="7" t="str">
        <f t="shared" si="35"/>
        <v/>
      </c>
      <c r="AO170" s="7" t="str">
        <f t="shared" si="27"/>
        <v/>
      </c>
      <c r="AP170" s="7" t="str">
        <f t="shared" si="36"/>
        <v/>
      </c>
      <c r="AQ170" s="7" t="str">
        <f t="shared" si="28"/>
        <v/>
      </c>
      <c r="AR170" s="7" t="str">
        <f t="shared" si="37"/>
        <v/>
      </c>
      <c r="AS170" s="7">
        <f t="shared" si="29"/>
        <v>0</v>
      </c>
      <c r="AT170" s="17">
        <f>TableCosts[[#This Row],[N_Amount]]*TableCosts[[#This Row],[N_Tariff]]*TableCosts[[#This Row],[N_ItemsCount]]</f>
        <v>0</v>
      </c>
      <c r="AU170" s="17">
        <f>IF(F170=1,IF(TableCosts[[#This Row],[N_Kateg]]="interné práce",TableCosts[[#This Row],[N_Amount]]*8*PAR_SGA_PERHOUR,0),0)</f>
        <v>0</v>
      </c>
      <c r="AV170" s="17">
        <f>SUM(TableCosts[[#This Row],[N_Direct]:[N_SGA]])</f>
        <v>0</v>
      </c>
      <c r="AW170" s="7">
        <f>IF(F170=1,IF(D170="",NA(),VLOOKUP(C170&amp;TableCosts[[#This Row],[Calc_N_Typ]],TRAN_STRITEMS_LABEL,7,0)),0)</f>
        <v>0</v>
      </c>
      <c r="AX170" s="7">
        <f t="shared" si="30"/>
        <v>0</v>
      </c>
      <c r="AY170" s="57" t="str">
        <f t="shared" si="31"/>
        <v/>
      </c>
      <c r="AZ170" s="57" t="str">
        <f t="shared" si="32"/>
        <v/>
      </c>
      <c r="BA170" s="57" t="str">
        <f>IF(F170=1,IF(TableCosts[[#This Row],[TransferFrom]]=TableCosts[[#This Row],[TranferTo]],0,1),"")</f>
        <v/>
      </c>
      <c r="BB170" s="7">
        <f t="shared" si="33"/>
        <v>0</v>
      </c>
      <c r="BC170" s="7">
        <f t="shared" si="34"/>
        <v>0</v>
      </c>
    </row>
    <row r="171" spans="2:55" s="7" customFormat="1" ht="12.75" x14ac:dyDescent="0.2">
      <c r="B171" s="33"/>
      <c r="C171" s="31"/>
      <c r="D171" s="40"/>
      <c r="E171" s="6" t="str">
        <f>IF(F171=1,IF(ISERROR(TableCosts[[#This Row],[N_Tariff]]),Err_Message1,IF(TableCosts[[#This Row],[N_Tariff]]=0,Err_Message2,VLOOKUP(C171&amp;TableCosts[[#This Row],[Calc_N_Typ]],TRAN_STRITEMS_LABEL,5,FALSE))),"")</f>
        <v/>
      </c>
      <c r="F171" s="6">
        <f t="shared" si="38"/>
        <v>0</v>
      </c>
      <c r="G171" s="6" t="str">
        <f>IF(F171=1,IFERROR(VLOOKUP(E171,Tab_ErrMessage[],2,0),VLOOKUP(C171&amp;TableCosts[[#This Row],[Calc_N_Typ]],TRAN_STRITEMS_LABEL,4,FALSE)),"")</f>
        <v/>
      </c>
      <c r="H171" s="40"/>
      <c r="I171" s="40"/>
      <c r="J171" s="35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4"/>
      <c r="AI171" s="24"/>
      <c r="AJ171" s="24"/>
      <c r="AK171" s="38">
        <f t="array" ref="AK171">IF(F171=1,SUM((ROW(M0)=ROW(AK171))*(M0+M1_+M2_+M3_+M4_+M5_+M6_+M7_+M8_+M9_+M10_+M11_+M12_+M13_+M14_+M15_+M16_+M17_+M18_+M19_+M20_+M21_+M22_+M23_+M24_+M25_)),0)</f>
        <v>0</v>
      </c>
      <c r="AL171" s="27">
        <f>TableCosts[[#This Row],[N_Direct]]</f>
        <v>0</v>
      </c>
      <c r="AN171" s="7" t="str">
        <f t="shared" si="35"/>
        <v/>
      </c>
      <c r="AO171" s="7" t="str">
        <f t="shared" si="27"/>
        <v/>
      </c>
      <c r="AP171" s="7" t="str">
        <f t="shared" si="36"/>
        <v/>
      </c>
      <c r="AQ171" s="7" t="str">
        <f t="shared" si="28"/>
        <v/>
      </c>
      <c r="AR171" s="7" t="str">
        <f t="shared" si="37"/>
        <v/>
      </c>
      <c r="AS171" s="7">
        <f t="shared" si="29"/>
        <v>0</v>
      </c>
      <c r="AT171" s="17">
        <f>TableCosts[[#This Row],[N_Amount]]*TableCosts[[#This Row],[N_Tariff]]*TableCosts[[#This Row],[N_ItemsCount]]</f>
        <v>0</v>
      </c>
      <c r="AU171" s="17">
        <f>IF(F171=1,IF(TableCosts[[#This Row],[N_Kateg]]="interné práce",TableCosts[[#This Row],[N_Amount]]*8*PAR_SGA_PERHOUR,0),0)</f>
        <v>0</v>
      </c>
      <c r="AV171" s="17">
        <f>SUM(TableCosts[[#This Row],[N_Direct]:[N_SGA]])</f>
        <v>0</v>
      </c>
      <c r="AW171" s="7">
        <f>IF(F171=1,IF(D171="",NA(),VLOOKUP(C171&amp;TableCosts[[#This Row],[Calc_N_Typ]],TRAN_STRITEMS_LABEL,7,0)),0)</f>
        <v>0</v>
      </c>
      <c r="AX171" s="7">
        <f t="shared" si="30"/>
        <v>0</v>
      </c>
      <c r="AY171" s="57" t="str">
        <f t="shared" si="31"/>
        <v/>
      </c>
      <c r="AZ171" s="57" t="str">
        <f t="shared" si="32"/>
        <v/>
      </c>
      <c r="BA171" s="57" t="str">
        <f>IF(F171=1,IF(TableCosts[[#This Row],[TransferFrom]]=TableCosts[[#This Row],[TranferTo]],0,1),"")</f>
        <v/>
      </c>
      <c r="BB171" s="7">
        <f t="shared" si="33"/>
        <v>0</v>
      </c>
      <c r="BC171" s="7">
        <f t="shared" si="34"/>
        <v>0</v>
      </c>
    </row>
    <row r="172" spans="2:55" s="7" customFormat="1" ht="12.75" x14ac:dyDescent="0.2">
      <c r="B172" s="33"/>
      <c r="C172" s="31"/>
      <c r="D172" s="40"/>
      <c r="E172" s="6" t="str">
        <f>IF(F172=1,IF(ISERROR(TableCosts[[#This Row],[N_Tariff]]),Err_Message1,IF(TableCosts[[#This Row],[N_Tariff]]=0,Err_Message2,VLOOKUP(C172&amp;TableCosts[[#This Row],[Calc_N_Typ]],TRAN_STRITEMS_LABEL,5,FALSE))),"")</f>
        <v/>
      </c>
      <c r="F172" s="6">
        <f t="shared" si="38"/>
        <v>0</v>
      </c>
      <c r="G172" s="6" t="str">
        <f>IF(F172=1,IFERROR(VLOOKUP(E172,Tab_ErrMessage[],2,0),VLOOKUP(C172&amp;TableCosts[[#This Row],[Calc_N_Typ]],TRAN_STRITEMS_LABEL,4,FALSE)),"")</f>
        <v/>
      </c>
      <c r="H172" s="40"/>
      <c r="I172" s="40"/>
      <c r="J172" s="35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4"/>
      <c r="AI172" s="24"/>
      <c r="AJ172" s="24"/>
      <c r="AK172" s="38">
        <f t="array" ref="AK172">IF(F172=1,SUM((ROW(M0)=ROW(AK172))*(M0+M1_+M2_+M3_+M4_+M5_+M6_+M7_+M8_+M9_+M10_+M11_+M12_+M13_+M14_+M15_+M16_+M17_+M18_+M19_+M20_+M21_+M22_+M23_+M24_+M25_)),0)</f>
        <v>0</v>
      </c>
      <c r="AL172" s="27">
        <f>TableCosts[[#This Row],[N_Direct]]</f>
        <v>0</v>
      </c>
      <c r="AN172" s="7" t="str">
        <f t="shared" si="35"/>
        <v/>
      </c>
      <c r="AO172" s="7" t="str">
        <f t="shared" si="27"/>
        <v/>
      </c>
      <c r="AP172" s="7" t="str">
        <f t="shared" si="36"/>
        <v/>
      </c>
      <c r="AQ172" s="7" t="str">
        <f t="shared" si="28"/>
        <v/>
      </c>
      <c r="AR172" s="7" t="str">
        <f t="shared" si="37"/>
        <v/>
      </c>
      <c r="AS172" s="7">
        <f t="shared" si="29"/>
        <v>0</v>
      </c>
      <c r="AT172" s="17">
        <f>TableCosts[[#This Row],[N_Amount]]*TableCosts[[#This Row],[N_Tariff]]*TableCosts[[#This Row],[N_ItemsCount]]</f>
        <v>0</v>
      </c>
      <c r="AU172" s="17">
        <f>IF(F172=1,IF(TableCosts[[#This Row],[N_Kateg]]="interné práce",TableCosts[[#This Row],[N_Amount]]*8*PAR_SGA_PERHOUR,0),0)</f>
        <v>0</v>
      </c>
      <c r="AV172" s="17">
        <f>SUM(TableCosts[[#This Row],[N_Direct]:[N_SGA]])</f>
        <v>0</v>
      </c>
      <c r="AW172" s="7">
        <f>IF(F172=1,IF(D172="",NA(),VLOOKUP(C172&amp;TableCosts[[#This Row],[Calc_N_Typ]],TRAN_STRITEMS_LABEL,7,0)),0)</f>
        <v>0</v>
      </c>
      <c r="AX172" s="7">
        <f t="shared" si="30"/>
        <v>0</v>
      </c>
      <c r="AY172" s="57" t="str">
        <f t="shared" si="31"/>
        <v/>
      </c>
      <c r="AZ172" s="57" t="str">
        <f t="shared" si="32"/>
        <v/>
      </c>
      <c r="BA172" s="57" t="str">
        <f>IF(F172=1,IF(TableCosts[[#This Row],[TransferFrom]]=TableCosts[[#This Row],[TranferTo]],0,1),"")</f>
        <v/>
      </c>
      <c r="BB172" s="7">
        <f t="shared" si="33"/>
        <v>0</v>
      </c>
      <c r="BC172" s="7">
        <f t="shared" si="34"/>
        <v>0</v>
      </c>
    </row>
    <row r="173" spans="2:55" s="7" customFormat="1" ht="12.75" x14ac:dyDescent="0.2">
      <c r="B173" s="33"/>
      <c r="C173" s="31"/>
      <c r="D173" s="40"/>
      <c r="E173" s="6" t="str">
        <f>IF(F173=1,IF(ISERROR(TableCosts[[#This Row],[N_Tariff]]),Err_Message1,IF(TableCosts[[#This Row],[N_Tariff]]=0,Err_Message2,VLOOKUP(C173&amp;TableCosts[[#This Row],[Calc_N_Typ]],TRAN_STRITEMS_LABEL,5,FALSE))),"")</f>
        <v/>
      </c>
      <c r="F173" s="6">
        <f t="shared" si="38"/>
        <v>0</v>
      </c>
      <c r="G173" s="6" t="str">
        <f>IF(F173=1,IFERROR(VLOOKUP(E173,Tab_ErrMessage[],2,0),VLOOKUP(C173&amp;TableCosts[[#This Row],[Calc_N_Typ]],TRAN_STRITEMS_LABEL,4,FALSE)),"")</f>
        <v/>
      </c>
      <c r="H173" s="40"/>
      <c r="I173" s="40"/>
      <c r="J173" s="35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4"/>
      <c r="AI173" s="24"/>
      <c r="AJ173" s="24"/>
      <c r="AK173" s="38">
        <f t="array" ref="AK173">IF(F173=1,SUM((ROW(M0)=ROW(AK173))*(M0+M1_+M2_+M3_+M4_+M5_+M6_+M7_+M8_+M9_+M10_+M11_+M12_+M13_+M14_+M15_+M16_+M17_+M18_+M19_+M20_+M21_+M22_+M23_+M24_+M25_)),0)</f>
        <v>0</v>
      </c>
      <c r="AL173" s="27">
        <f>TableCosts[[#This Row],[N_Direct]]</f>
        <v>0</v>
      </c>
      <c r="AN173" s="7" t="str">
        <f t="shared" si="35"/>
        <v/>
      </c>
      <c r="AO173" s="7" t="str">
        <f t="shared" si="27"/>
        <v/>
      </c>
      <c r="AP173" s="7" t="str">
        <f t="shared" si="36"/>
        <v/>
      </c>
      <c r="AQ173" s="7" t="str">
        <f t="shared" si="28"/>
        <v/>
      </c>
      <c r="AR173" s="7" t="str">
        <f t="shared" si="37"/>
        <v/>
      </c>
      <c r="AS173" s="7">
        <f t="shared" si="29"/>
        <v>0</v>
      </c>
      <c r="AT173" s="17">
        <f>TableCosts[[#This Row],[N_Amount]]*TableCosts[[#This Row],[N_Tariff]]*TableCosts[[#This Row],[N_ItemsCount]]</f>
        <v>0</v>
      </c>
      <c r="AU173" s="17">
        <f>IF(F173=1,IF(TableCosts[[#This Row],[N_Kateg]]="interné práce",TableCosts[[#This Row],[N_Amount]]*8*PAR_SGA_PERHOUR,0),0)</f>
        <v>0</v>
      </c>
      <c r="AV173" s="17">
        <f>SUM(TableCosts[[#This Row],[N_Direct]:[N_SGA]])</f>
        <v>0</v>
      </c>
      <c r="AW173" s="7">
        <f>IF(F173=1,IF(D173="",NA(),VLOOKUP(C173&amp;TableCosts[[#This Row],[Calc_N_Typ]],TRAN_STRITEMS_LABEL,7,0)),0)</f>
        <v>0</v>
      </c>
      <c r="AX173" s="7">
        <f t="shared" si="30"/>
        <v>0</v>
      </c>
      <c r="AY173" s="57" t="str">
        <f t="shared" si="31"/>
        <v/>
      </c>
      <c r="AZ173" s="57" t="str">
        <f t="shared" si="32"/>
        <v/>
      </c>
      <c r="BA173" s="57" t="str">
        <f>IF(F173=1,IF(TableCosts[[#This Row],[TransferFrom]]=TableCosts[[#This Row],[TranferTo]],0,1),"")</f>
        <v/>
      </c>
      <c r="BB173" s="7">
        <f t="shared" si="33"/>
        <v>0</v>
      </c>
      <c r="BC173" s="7">
        <f t="shared" si="34"/>
        <v>0</v>
      </c>
    </row>
    <row r="174" spans="2:55" s="7" customFormat="1" ht="12.75" x14ac:dyDescent="0.2">
      <c r="B174" s="33"/>
      <c r="C174" s="31"/>
      <c r="D174" s="40"/>
      <c r="E174" s="6" t="str">
        <f>IF(F174=1,IF(ISERROR(TableCosts[[#This Row],[N_Tariff]]),Err_Message1,IF(TableCosts[[#This Row],[N_Tariff]]=0,Err_Message2,VLOOKUP(C174&amp;TableCosts[[#This Row],[Calc_N_Typ]],TRAN_STRITEMS_LABEL,5,FALSE))),"")</f>
        <v/>
      </c>
      <c r="F174" s="6">
        <f t="shared" si="38"/>
        <v>0</v>
      </c>
      <c r="G174" s="6" t="str">
        <f>IF(F174=1,IFERROR(VLOOKUP(E174,Tab_ErrMessage[],2,0),VLOOKUP(C174&amp;TableCosts[[#This Row],[Calc_N_Typ]],TRAN_STRITEMS_LABEL,4,FALSE)),"")</f>
        <v/>
      </c>
      <c r="H174" s="40"/>
      <c r="I174" s="40"/>
      <c r="J174" s="35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4"/>
      <c r="AI174" s="24"/>
      <c r="AJ174" s="24"/>
      <c r="AK174" s="38">
        <f t="array" ref="AK174">IF(F174=1,SUM((ROW(M0)=ROW(AK174))*(M0+M1_+M2_+M3_+M4_+M5_+M6_+M7_+M8_+M9_+M10_+M11_+M12_+M13_+M14_+M15_+M16_+M17_+M18_+M19_+M20_+M21_+M22_+M23_+M24_+M25_)),0)</f>
        <v>0</v>
      </c>
      <c r="AL174" s="27">
        <f>TableCosts[[#This Row],[N_Direct]]</f>
        <v>0</v>
      </c>
      <c r="AN174" s="7" t="str">
        <f t="shared" si="35"/>
        <v/>
      </c>
      <c r="AO174" s="7" t="str">
        <f t="shared" si="27"/>
        <v/>
      </c>
      <c r="AP174" s="7" t="str">
        <f t="shared" si="36"/>
        <v/>
      </c>
      <c r="AQ174" s="7" t="str">
        <f t="shared" si="28"/>
        <v/>
      </c>
      <c r="AR174" s="7" t="str">
        <f t="shared" si="37"/>
        <v/>
      </c>
      <c r="AS174" s="7">
        <f t="shared" si="29"/>
        <v>0</v>
      </c>
      <c r="AT174" s="17">
        <f>TableCosts[[#This Row],[N_Amount]]*TableCosts[[#This Row],[N_Tariff]]*TableCosts[[#This Row],[N_ItemsCount]]</f>
        <v>0</v>
      </c>
      <c r="AU174" s="17">
        <f>IF(F174=1,IF(TableCosts[[#This Row],[N_Kateg]]="interné práce",TableCosts[[#This Row],[N_Amount]]*8*PAR_SGA_PERHOUR,0),0)</f>
        <v>0</v>
      </c>
      <c r="AV174" s="17">
        <f>SUM(TableCosts[[#This Row],[N_Direct]:[N_SGA]])</f>
        <v>0</v>
      </c>
      <c r="AW174" s="7">
        <f>IF(F174=1,IF(D174="",NA(),VLOOKUP(C174&amp;TableCosts[[#This Row],[Calc_N_Typ]],TRAN_STRITEMS_LABEL,7,0)),0)</f>
        <v>0</v>
      </c>
      <c r="AX174" s="7">
        <f t="shared" si="30"/>
        <v>0</v>
      </c>
      <c r="AY174" s="57" t="str">
        <f t="shared" si="31"/>
        <v/>
      </c>
      <c r="AZ174" s="57" t="str">
        <f t="shared" si="32"/>
        <v/>
      </c>
      <c r="BA174" s="57" t="str">
        <f>IF(F174=1,IF(TableCosts[[#This Row],[TransferFrom]]=TableCosts[[#This Row],[TranferTo]],0,1),"")</f>
        <v/>
      </c>
      <c r="BB174" s="7">
        <f t="shared" si="33"/>
        <v>0</v>
      </c>
      <c r="BC174" s="7">
        <f t="shared" si="34"/>
        <v>0</v>
      </c>
    </row>
    <row r="175" spans="2:55" s="7" customFormat="1" ht="12.75" x14ac:dyDescent="0.2">
      <c r="B175" s="33"/>
      <c r="C175" s="31"/>
      <c r="D175" s="40"/>
      <c r="E175" s="6" t="str">
        <f>IF(F175=1,IF(ISERROR(TableCosts[[#This Row],[N_Tariff]]),Err_Message1,IF(TableCosts[[#This Row],[N_Tariff]]=0,Err_Message2,VLOOKUP(C175&amp;TableCosts[[#This Row],[Calc_N_Typ]],TRAN_STRITEMS_LABEL,5,FALSE))),"")</f>
        <v/>
      </c>
      <c r="F175" s="6">
        <f t="shared" si="38"/>
        <v>0</v>
      </c>
      <c r="G175" s="6" t="str">
        <f>IF(F175=1,IFERROR(VLOOKUP(E175,Tab_ErrMessage[],2,0),VLOOKUP(C175&amp;TableCosts[[#This Row],[Calc_N_Typ]],TRAN_STRITEMS_LABEL,4,FALSE)),"")</f>
        <v/>
      </c>
      <c r="H175" s="40"/>
      <c r="I175" s="40"/>
      <c r="J175" s="35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4"/>
      <c r="AI175" s="24"/>
      <c r="AJ175" s="24"/>
      <c r="AK175" s="38">
        <f t="array" ref="AK175">IF(F175=1,SUM((ROW(M0)=ROW(AK175))*(M0+M1_+M2_+M3_+M4_+M5_+M6_+M7_+M8_+M9_+M10_+M11_+M12_+M13_+M14_+M15_+M16_+M17_+M18_+M19_+M20_+M21_+M22_+M23_+M24_+M25_)),0)</f>
        <v>0</v>
      </c>
      <c r="AL175" s="27">
        <f>TableCosts[[#This Row],[N_Direct]]</f>
        <v>0</v>
      </c>
      <c r="AN175" s="7" t="str">
        <f t="shared" si="35"/>
        <v/>
      </c>
      <c r="AO175" s="7" t="str">
        <f t="shared" si="27"/>
        <v/>
      </c>
      <c r="AP175" s="7" t="str">
        <f t="shared" si="36"/>
        <v/>
      </c>
      <c r="AQ175" s="7" t="str">
        <f t="shared" si="28"/>
        <v/>
      </c>
      <c r="AR175" s="7" t="str">
        <f t="shared" si="37"/>
        <v/>
      </c>
      <c r="AS175" s="7">
        <f t="shared" si="29"/>
        <v>0</v>
      </c>
      <c r="AT175" s="17">
        <f>TableCosts[[#This Row],[N_Amount]]*TableCosts[[#This Row],[N_Tariff]]*TableCosts[[#This Row],[N_ItemsCount]]</f>
        <v>0</v>
      </c>
      <c r="AU175" s="17">
        <f>IF(F175=1,IF(TableCosts[[#This Row],[N_Kateg]]="interné práce",TableCosts[[#This Row],[N_Amount]]*8*PAR_SGA_PERHOUR,0),0)</f>
        <v>0</v>
      </c>
      <c r="AV175" s="17">
        <f>SUM(TableCosts[[#This Row],[N_Direct]:[N_SGA]])</f>
        <v>0</v>
      </c>
      <c r="AW175" s="7">
        <f>IF(F175=1,IF(D175="",NA(),VLOOKUP(C175&amp;TableCosts[[#This Row],[Calc_N_Typ]],TRAN_STRITEMS_LABEL,7,0)),0)</f>
        <v>0</v>
      </c>
      <c r="AX175" s="7">
        <f t="shared" si="30"/>
        <v>0</v>
      </c>
      <c r="AY175" s="57" t="str">
        <f t="shared" si="31"/>
        <v/>
      </c>
      <c r="AZ175" s="57" t="str">
        <f t="shared" si="32"/>
        <v/>
      </c>
      <c r="BA175" s="57" t="str">
        <f>IF(F175=1,IF(TableCosts[[#This Row],[TransferFrom]]=TableCosts[[#This Row],[TranferTo]],0,1),"")</f>
        <v/>
      </c>
      <c r="BB175" s="7">
        <f t="shared" si="33"/>
        <v>0</v>
      </c>
      <c r="BC175" s="7">
        <f t="shared" si="34"/>
        <v>0</v>
      </c>
    </row>
    <row r="176" spans="2:55" s="7" customFormat="1" ht="12.75" x14ac:dyDescent="0.2">
      <c r="B176" s="33"/>
      <c r="C176" s="31"/>
      <c r="D176" s="40"/>
      <c r="E176" s="6" t="str">
        <f>IF(F176=1,IF(ISERROR(TableCosts[[#This Row],[N_Tariff]]),Err_Message1,IF(TableCosts[[#This Row],[N_Tariff]]=0,Err_Message2,VLOOKUP(C176&amp;TableCosts[[#This Row],[Calc_N_Typ]],TRAN_STRITEMS_LABEL,5,FALSE))),"")</f>
        <v/>
      </c>
      <c r="F176" s="6">
        <f t="shared" si="38"/>
        <v>0</v>
      </c>
      <c r="G176" s="6" t="str">
        <f>IF(F176=1,IFERROR(VLOOKUP(E176,Tab_ErrMessage[],2,0),VLOOKUP(C176&amp;TableCosts[[#This Row],[Calc_N_Typ]],TRAN_STRITEMS_LABEL,4,FALSE)),"")</f>
        <v/>
      </c>
      <c r="H176" s="40"/>
      <c r="I176" s="40"/>
      <c r="J176" s="35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4"/>
      <c r="AI176" s="24"/>
      <c r="AJ176" s="24"/>
      <c r="AK176" s="38">
        <f t="array" ref="AK176">IF(F176=1,SUM((ROW(M0)=ROW(AK176))*(M0+M1_+M2_+M3_+M4_+M5_+M6_+M7_+M8_+M9_+M10_+M11_+M12_+M13_+M14_+M15_+M16_+M17_+M18_+M19_+M20_+M21_+M22_+M23_+M24_+M25_)),0)</f>
        <v>0</v>
      </c>
      <c r="AL176" s="27">
        <f>TableCosts[[#This Row],[N_Direct]]</f>
        <v>0</v>
      </c>
      <c r="AN176" s="7" t="str">
        <f t="shared" si="35"/>
        <v/>
      </c>
      <c r="AO176" s="7" t="str">
        <f t="shared" si="27"/>
        <v/>
      </c>
      <c r="AP176" s="7" t="str">
        <f t="shared" si="36"/>
        <v/>
      </c>
      <c r="AQ176" s="7" t="str">
        <f t="shared" si="28"/>
        <v/>
      </c>
      <c r="AR176" s="7" t="str">
        <f t="shared" si="37"/>
        <v/>
      </c>
      <c r="AS176" s="7">
        <f t="shared" si="29"/>
        <v>0</v>
      </c>
      <c r="AT176" s="17">
        <f>TableCosts[[#This Row],[N_Amount]]*TableCosts[[#This Row],[N_Tariff]]*TableCosts[[#This Row],[N_ItemsCount]]</f>
        <v>0</v>
      </c>
      <c r="AU176" s="17">
        <f>IF(F176=1,IF(TableCosts[[#This Row],[N_Kateg]]="interné práce",TableCosts[[#This Row],[N_Amount]]*8*PAR_SGA_PERHOUR,0),0)</f>
        <v>0</v>
      </c>
      <c r="AV176" s="17">
        <f>SUM(TableCosts[[#This Row],[N_Direct]:[N_SGA]])</f>
        <v>0</v>
      </c>
      <c r="AW176" s="7">
        <f>IF(F176=1,IF(D176="",NA(),VLOOKUP(C176&amp;TableCosts[[#This Row],[Calc_N_Typ]],TRAN_STRITEMS_LABEL,7,0)),0)</f>
        <v>0</v>
      </c>
      <c r="AX176" s="7">
        <f t="shared" si="30"/>
        <v>0</v>
      </c>
      <c r="AY176" s="57" t="str">
        <f t="shared" si="31"/>
        <v/>
      </c>
      <c r="AZ176" s="57" t="str">
        <f t="shared" si="32"/>
        <v/>
      </c>
      <c r="BA176" s="57" t="str">
        <f>IF(F176=1,IF(TableCosts[[#This Row],[TransferFrom]]=TableCosts[[#This Row],[TranferTo]],0,1),"")</f>
        <v/>
      </c>
      <c r="BB176" s="7">
        <f t="shared" si="33"/>
        <v>0</v>
      </c>
      <c r="BC176" s="7">
        <f t="shared" si="34"/>
        <v>0</v>
      </c>
    </row>
    <row r="177" spans="2:55" s="7" customFormat="1" ht="12.75" x14ac:dyDescent="0.2">
      <c r="B177" s="33"/>
      <c r="C177" s="31"/>
      <c r="D177" s="40"/>
      <c r="E177" s="6" t="str">
        <f>IF(F177=1,IF(ISERROR(TableCosts[[#This Row],[N_Tariff]]),Err_Message1,IF(TableCosts[[#This Row],[N_Tariff]]=0,Err_Message2,VLOOKUP(C177&amp;TableCosts[[#This Row],[Calc_N_Typ]],TRAN_STRITEMS_LABEL,5,FALSE))),"")</f>
        <v/>
      </c>
      <c r="F177" s="6">
        <f t="shared" si="38"/>
        <v>0</v>
      </c>
      <c r="G177" s="6" t="str">
        <f>IF(F177=1,IFERROR(VLOOKUP(E177,Tab_ErrMessage[],2,0),VLOOKUP(C177&amp;TableCosts[[#This Row],[Calc_N_Typ]],TRAN_STRITEMS_LABEL,4,FALSE)),"")</f>
        <v/>
      </c>
      <c r="H177" s="40"/>
      <c r="I177" s="40"/>
      <c r="J177" s="35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4"/>
      <c r="AI177" s="24"/>
      <c r="AJ177" s="24"/>
      <c r="AK177" s="38">
        <f t="array" ref="AK177">IF(F177=1,SUM((ROW(M0)=ROW(AK177))*(M0+M1_+M2_+M3_+M4_+M5_+M6_+M7_+M8_+M9_+M10_+M11_+M12_+M13_+M14_+M15_+M16_+M17_+M18_+M19_+M20_+M21_+M22_+M23_+M24_+M25_)),0)</f>
        <v>0</v>
      </c>
      <c r="AL177" s="27">
        <f>TableCosts[[#This Row],[N_Direct]]</f>
        <v>0</v>
      </c>
      <c r="AN177" s="7" t="str">
        <f t="shared" si="35"/>
        <v/>
      </c>
      <c r="AO177" s="7" t="str">
        <f t="shared" si="27"/>
        <v/>
      </c>
      <c r="AP177" s="7" t="str">
        <f t="shared" si="36"/>
        <v/>
      </c>
      <c r="AQ177" s="7" t="str">
        <f t="shared" si="28"/>
        <v/>
      </c>
      <c r="AR177" s="7" t="str">
        <f t="shared" si="37"/>
        <v/>
      </c>
      <c r="AS177" s="7">
        <f t="shared" si="29"/>
        <v>0</v>
      </c>
      <c r="AT177" s="17">
        <f>TableCosts[[#This Row],[N_Amount]]*TableCosts[[#This Row],[N_Tariff]]*TableCosts[[#This Row],[N_ItemsCount]]</f>
        <v>0</v>
      </c>
      <c r="AU177" s="17">
        <f>IF(F177=1,IF(TableCosts[[#This Row],[N_Kateg]]="interné práce",TableCosts[[#This Row],[N_Amount]]*8*PAR_SGA_PERHOUR,0),0)</f>
        <v>0</v>
      </c>
      <c r="AV177" s="17">
        <f>SUM(TableCosts[[#This Row],[N_Direct]:[N_SGA]])</f>
        <v>0</v>
      </c>
      <c r="AW177" s="7">
        <f>IF(F177=1,IF(D177="",NA(),VLOOKUP(C177&amp;TableCosts[[#This Row],[Calc_N_Typ]],TRAN_STRITEMS_LABEL,7,0)),0)</f>
        <v>0</v>
      </c>
      <c r="AX177" s="7">
        <f t="shared" si="30"/>
        <v>0</v>
      </c>
      <c r="AY177" s="57" t="str">
        <f t="shared" si="31"/>
        <v/>
      </c>
      <c r="AZ177" s="57" t="str">
        <f t="shared" si="32"/>
        <v/>
      </c>
      <c r="BA177" s="57" t="str">
        <f>IF(F177=1,IF(TableCosts[[#This Row],[TransferFrom]]=TableCosts[[#This Row],[TranferTo]],0,1),"")</f>
        <v/>
      </c>
      <c r="BB177" s="7">
        <f t="shared" si="33"/>
        <v>0</v>
      </c>
      <c r="BC177" s="7">
        <f t="shared" si="34"/>
        <v>0</v>
      </c>
    </row>
    <row r="178" spans="2:55" s="7" customFormat="1" ht="12.75" x14ac:dyDescent="0.2">
      <c r="B178" s="33"/>
      <c r="C178" s="31"/>
      <c r="D178" s="40"/>
      <c r="E178" s="6" t="str">
        <f>IF(F178=1,IF(ISERROR(TableCosts[[#This Row],[N_Tariff]]),Err_Message1,IF(TableCosts[[#This Row],[N_Tariff]]=0,Err_Message2,VLOOKUP(C178&amp;TableCosts[[#This Row],[Calc_N_Typ]],TRAN_STRITEMS_LABEL,5,FALSE))),"")</f>
        <v/>
      </c>
      <c r="F178" s="6">
        <f t="shared" si="38"/>
        <v>0</v>
      </c>
      <c r="G178" s="6" t="str">
        <f>IF(F178=1,IFERROR(VLOOKUP(E178,Tab_ErrMessage[],2,0),VLOOKUP(C178&amp;TableCosts[[#This Row],[Calc_N_Typ]],TRAN_STRITEMS_LABEL,4,FALSE)),"")</f>
        <v/>
      </c>
      <c r="H178" s="40"/>
      <c r="I178" s="40"/>
      <c r="J178" s="35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4"/>
      <c r="AI178" s="24"/>
      <c r="AJ178" s="24"/>
      <c r="AK178" s="38">
        <f t="array" ref="AK178">IF(F178=1,SUM((ROW(M0)=ROW(AK178))*(M0+M1_+M2_+M3_+M4_+M5_+M6_+M7_+M8_+M9_+M10_+M11_+M12_+M13_+M14_+M15_+M16_+M17_+M18_+M19_+M20_+M21_+M22_+M23_+M24_+M25_)),0)</f>
        <v>0</v>
      </c>
      <c r="AL178" s="27">
        <f>TableCosts[[#This Row],[N_Direct]]</f>
        <v>0</v>
      </c>
      <c r="AN178" s="7" t="str">
        <f t="shared" si="35"/>
        <v/>
      </c>
      <c r="AO178" s="7" t="str">
        <f t="shared" si="27"/>
        <v/>
      </c>
      <c r="AP178" s="7" t="str">
        <f t="shared" si="36"/>
        <v/>
      </c>
      <c r="AQ178" s="7" t="str">
        <f t="shared" si="28"/>
        <v/>
      </c>
      <c r="AR178" s="7" t="str">
        <f t="shared" si="37"/>
        <v/>
      </c>
      <c r="AS178" s="7">
        <f t="shared" si="29"/>
        <v>0</v>
      </c>
      <c r="AT178" s="17">
        <f>TableCosts[[#This Row],[N_Amount]]*TableCosts[[#This Row],[N_Tariff]]*TableCosts[[#This Row],[N_ItemsCount]]</f>
        <v>0</v>
      </c>
      <c r="AU178" s="17">
        <f>IF(F178=1,IF(TableCosts[[#This Row],[N_Kateg]]="interné práce",TableCosts[[#This Row],[N_Amount]]*8*PAR_SGA_PERHOUR,0),0)</f>
        <v>0</v>
      </c>
      <c r="AV178" s="17">
        <f>SUM(TableCosts[[#This Row],[N_Direct]:[N_SGA]])</f>
        <v>0</v>
      </c>
      <c r="AW178" s="7">
        <f>IF(F178=1,IF(D178="",NA(),VLOOKUP(C178&amp;TableCosts[[#This Row],[Calc_N_Typ]],TRAN_STRITEMS_LABEL,7,0)),0)</f>
        <v>0</v>
      </c>
      <c r="AX178" s="7">
        <f t="shared" si="30"/>
        <v>0</v>
      </c>
      <c r="AY178" s="57" t="str">
        <f t="shared" si="31"/>
        <v/>
      </c>
      <c r="AZ178" s="57" t="str">
        <f t="shared" si="32"/>
        <v/>
      </c>
      <c r="BA178" s="57" t="str">
        <f>IF(F178=1,IF(TableCosts[[#This Row],[TransferFrom]]=TableCosts[[#This Row],[TranferTo]],0,1),"")</f>
        <v/>
      </c>
      <c r="BB178" s="7">
        <f t="shared" si="33"/>
        <v>0</v>
      </c>
      <c r="BC178" s="7">
        <f t="shared" si="34"/>
        <v>0</v>
      </c>
    </row>
    <row r="179" spans="2:55" s="7" customFormat="1" ht="12.75" x14ac:dyDescent="0.2">
      <c r="B179" s="33"/>
      <c r="C179" s="31"/>
      <c r="D179" s="40"/>
      <c r="E179" s="6" t="str">
        <f>IF(F179=1,IF(ISERROR(TableCosts[[#This Row],[N_Tariff]]),Err_Message1,IF(TableCosts[[#This Row],[N_Tariff]]=0,Err_Message2,VLOOKUP(C179&amp;TableCosts[[#This Row],[Calc_N_Typ]],TRAN_STRITEMS_LABEL,5,FALSE))),"")</f>
        <v/>
      </c>
      <c r="F179" s="6">
        <f t="shared" si="38"/>
        <v>0</v>
      </c>
      <c r="G179" s="6" t="str">
        <f>IF(F179=1,IFERROR(VLOOKUP(E179,Tab_ErrMessage[],2,0),VLOOKUP(C179&amp;TableCosts[[#This Row],[Calc_N_Typ]],TRAN_STRITEMS_LABEL,4,FALSE)),"")</f>
        <v/>
      </c>
      <c r="H179" s="40"/>
      <c r="I179" s="40"/>
      <c r="J179" s="35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4"/>
      <c r="AI179" s="24"/>
      <c r="AJ179" s="24"/>
      <c r="AK179" s="38">
        <f t="array" ref="AK179">IF(F179=1,SUM((ROW(M0)=ROW(AK179))*(M0+M1_+M2_+M3_+M4_+M5_+M6_+M7_+M8_+M9_+M10_+M11_+M12_+M13_+M14_+M15_+M16_+M17_+M18_+M19_+M20_+M21_+M22_+M23_+M24_+M25_)),0)</f>
        <v>0</v>
      </c>
      <c r="AL179" s="27">
        <f>TableCosts[[#This Row],[N_Direct]]</f>
        <v>0</v>
      </c>
      <c r="AN179" s="7" t="str">
        <f t="shared" si="35"/>
        <v/>
      </c>
      <c r="AO179" s="7" t="str">
        <f t="shared" si="27"/>
        <v/>
      </c>
      <c r="AP179" s="7" t="str">
        <f t="shared" si="36"/>
        <v/>
      </c>
      <c r="AQ179" s="7" t="str">
        <f t="shared" si="28"/>
        <v/>
      </c>
      <c r="AR179" s="7" t="str">
        <f t="shared" si="37"/>
        <v/>
      </c>
      <c r="AS179" s="7">
        <f t="shared" si="29"/>
        <v>0</v>
      </c>
      <c r="AT179" s="17">
        <f>TableCosts[[#This Row],[N_Amount]]*TableCosts[[#This Row],[N_Tariff]]*TableCosts[[#This Row],[N_ItemsCount]]</f>
        <v>0</v>
      </c>
      <c r="AU179" s="17">
        <f>IF(F179=1,IF(TableCosts[[#This Row],[N_Kateg]]="interné práce",TableCosts[[#This Row],[N_Amount]]*8*PAR_SGA_PERHOUR,0),0)</f>
        <v>0</v>
      </c>
      <c r="AV179" s="17">
        <f>SUM(TableCosts[[#This Row],[N_Direct]:[N_SGA]])</f>
        <v>0</v>
      </c>
      <c r="AW179" s="7">
        <f>IF(F179=1,IF(D179="",NA(),VLOOKUP(C179&amp;TableCosts[[#This Row],[Calc_N_Typ]],TRAN_STRITEMS_LABEL,7,0)),0)</f>
        <v>0</v>
      </c>
      <c r="AX179" s="7">
        <f t="shared" si="30"/>
        <v>0</v>
      </c>
      <c r="AY179" s="57" t="str">
        <f t="shared" si="31"/>
        <v/>
      </c>
      <c r="AZ179" s="57" t="str">
        <f t="shared" si="32"/>
        <v/>
      </c>
      <c r="BA179" s="57" t="str">
        <f>IF(F179=1,IF(TableCosts[[#This Row],[TransferFrom]]=TableCosts[[#This Row],[TranferTo]],0,1),"")</f>
        <v/>
      </c>
      <c r="BB179" s="7">
        <f t="shared" si="33"/>
        <v>0</v>
      </c>
      <c r="BC179" s="7">
        <f t="shared" si="34"/>
        <v>0</v>
      </c>
    </row>
    <row r="180" spans="2:55" s="7" customFormat="1" ht="12.75" x14ac:dyDescent="0.2">
      <c r="B180" s="33"/>
      <c r="C180" s="31"/>
      <c r="D180" s="40"/>
      <c r="E180" s="6" t="str">
        <f>IF(F180=1,IF(ISERROR(TableCosts[[#This Row],[N_Tariff]]),Err_Message1,IF(TableCosts[[#This Row],[N_Tariff]]=0,Err_Message2,VLOOKUP(C180&amp;TableCosts[[#This Row],[Calc_N_Typ]],TRAN_STRITEMS_LABEL,5,FALSE))),"")</f>
        <v/>
      </c>
      <c r="F180" s="6">
        <f t="shared" si="38"/>
        <v>0</v>
      </c>
      <c r="G180" s="6" t="str">
        <f>IF(F180=1,IFERROR(VLOOKUP(E180,Tab_ErrMessage[],2,0),VLOOKUP(C180&amp;TableCosts[[#This Row],[Calc_N_Typ]],TRAN_STRITEMS_LABEL,4,FALSE)),"")</f>
        <v/>
      </c>
      <c r="H180" s="40"/>
      <c r="I180" s="40"/>
      <c r="J180" s="35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4"/>
      <c r="AI180" s="24"/>
      <c r="AJ180" s="24"/>
      <c r="AK180" s="38">
        <f t="array" ref="AK180">IF(F180=1,SUM((ROW(M0)=ROW(AK180))*(M0+M1_+M2_+M3_+M4_+M5_+M6_+M7_+M8_+M9_+M10_+M11_+M12_+M13_+M14_+M15_+M16_+M17_+M18_+M19_+M20_+M21_+M22_+M23_+M24_+M25_)),0)</f>
        <v>0</v>
      </c>
      <c r="AL180" s="27">
        <f>TableCosts[[#This Row],[N_Direct]]</f>
        <v>0</v>
      </c>
      <c r="AN180" s="7" t="str">
        <f t="shared" si="35"/>
        <v/>
      </c>
      <c r="AO180" s="7" t="str">
        <f t="shared" si="27"/>
        <v/>
      </c>
      <c r="AP180" s="7" t="str">
        <f t="shared" si="36"/>
        <v/>
      </c>
      <c r="AQ180" s="7" t="str">
        <f t="shared" si="28"/>
        <v/>
      </c>
      <c r="AR180" s="7" t="str">
        <f t="shared" si="37"/>
        <v/>
      </c>
      <c r="AS180" s="7">
        <f t="shared" si="29"/>
        <v>0</v>
      </c>
      <c r="AT180" s="17">
        <f>TableCosts[[#This Row],[N_Amount]]*TableCosts[[#This Row],[N_Tariff]]*TableCosts[[#This Row],[N_ItemsCount]]</f>
        <v>0</v>
      </c>
      <c r="AU180" s="17">
        <f>IF(F180=1,IF(TableCosts[[#This Row],[N_Kateg]]="interné práce",TableCosts[[#This Row],[N_Amount]]*8*PAR_SGA_PERHOUR,0),0)</f>
        <v>0</v>
      </c>
      <c r="AV180" s="17">
        <f>SUM(TableCosts[[#This Row],[N_Direct]:[N_SGA]])</f>
        <v>0</v>
      </c>
      <c r="AW180" s="7">
        <f>IF(F180=1,IF(D180="",NA(),VLOOKUP(C180&amp;TableCosts[[#This Row],[Calc_N_Typ]],TRAN_STRITEMS_LABEL,7,0)),0)</f>
        <v>0</v>
      </c>
      <c r="AX180" s="7">
        <f t="shared" si="30"/>
        <v>0</v>
      </c>
      <c r="AY180" s="57" t="str">
        <f t="shared" si="31"/>
        <v/>
      </c>
      <c r="AZ180" s="57" t="str">
        <f t="shared" si="32"/>
        <v/>
      </c>
      <c r="BA180" s="57" t="str">
        <f>IF(F180=1,IF(TableCosts[[#This Row],[TransferFrom]]=TableCosts[[#This Row],[TranferTo]],0,1),"")</f>
        <v/>
      </c>
      <c r="BB180" s="7">
        <f t="shared" si="33"/>
        <v>0</v>
      </c>
      <c r="BC180" s="7">
        <f t="shared" si="34"/>
        <v>0</v>
      </c>
    </row>
    <row r="181" spans="2:55" s="7" customFormat="1" ht="12.75" x14ac:dyDescent="0.2">
      <c r="B181" s="33"/>
      <c r="C181" s="31"/>
      <c r="D181" s="40"/>
      <c r="E181" s="6" t="str">
        <f>IF(F181=1,IF(ISERROR(TableCosts[[#This Row],[N_Tariff]]),Err_Message1,IF(TableCosts[[#This Row],[N_Tariff]]=0,Err_Message2,VLOOKUP(C181&amp;TableCosts[[#This Row],[Calc_N_Typ]],TRAN_STRITEMS_LABEL,5,FALSE))),"")</f>
        <v/>
      </c>
      <c r="F181" s="6">
        <f t="shared" si="38"/>
        <v>0</v>
      </c>
      <c r="G181" s="6" t="str">
        <f>IF(F181=1,IFERROR(VLOOKUP(E181,Tab_ErrMessage[],2,0),VLOOKUP(C181&amp;TableCosts[[#This Row],[Calc_N_Typ]],TRAN_STRITEMS_LABEL,4,FALSE)),"")</f>
        <v/>
      </c>
      <c r="H181" s="40"/>
      <c r="I181" s="40"/>
      <c r="J181" s="35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4"/>
      <c r="AI181" s="24"/>
      <c r="AJ181" s="24"/>
      <c r="AK181" s="38">
        <f t="array" ref="AK181">IF(F181=1,SUM((ROW(M0)=ROW(AK181))*(M0+M1_+M2_+M3_+M4_+M5_+M6_+M7_+M8_+M9_+M10_+M11_+M12_+M13_+M14_+M15_+M16_+M17_+M18_+M19_+M20_+M21_+M22_+M23_+M24_+M25_)),0)</f>
        <v>0</v>
      </c>
      <c r="AL181" s="27">
        <f>TableCosts[[#This Row],[N_Direct]]</f>
        <v>0</v>
      </c>
      <c r="AN181" s="7" t="str">
        <f t="shared" si="35"/>
        <v/>
      </c>
      <c r="AO181" s="7" t="str">
        <f t="shared" si="27"/>
        <v/>
      </c>
      <c r="AP181" s="7" t="str">
        <f t="shared" si="36"/>
        <v/>
      </c>
      <c r="AQ181" s="7" t="str">
        <f t="shared" si="28"/>
        <v/>
      </c>
      <c r="AR181" s="7" t="str">
        <f t="shared" si="37"/>
        <v/>
      </c>
      <c r="AS181" s="7">
        <f t="shared" si="29"/>
        <v>0</v>
      </c>
      <c r="AT181" s="17">
        <f>TableCosts[[#This Row],[N_Amount]]*TableCosts[[#This Row],[N_Tariff]]*TableCosts[[#This Row],[N_ItemsCount]]</f>
        <v>0</v>
      </c>
      <c r="AU181" s="17">
        <f>IF(F181=1,IF(TableCosts[[#This Row],[N_Kateg]]="interné práce",TableCosts[[#This Row],[N_Amount]]*8*PAR_SGA_PERHOUR,0),0)</f>
        <v>0</v>
      </c>
      <c r="AV181" s="17">
        <f>SUM(TableCosts[[#This Row],[N_Direct]:[N_SGA]])</f>
        <v>0</v>
      </c>
      <c r="AW181" s="7">
        <f>IF(F181=1,IF(D181="",NA(),VLOOKUP(C181&amp;TableCosts[[#This Row],[Calc_N_Typ]],TRAN_STRITEMS_LABEL,7,0)),0)</f>
        <v>0</v>
      </c>
      <c r="AX181" s="7">
        <f t="shared" si="30"/>
        <v>0</v>
      </c>
      <c r="AY181" s="57" t="str">
        <f t="shared" si="31"/>
        <v/>
      </c>
      <c r="AZ181" s="57" t="str">
        <f t="shared" si="32"/>
        <v/>
      </c>
      <c r="BA181" s="57" t="str">
        <f>IF(F181=1,IF(TableCosts[[#This Row],[TransferFrom]]=TableCosts[[#This Row],[TranferTo]],0,1),"")</f>
        <v/>
      </c>
      <c r="BB181" s="7">
        <f t="shared" si="33"/>
        <v>0</v>
      </c>
      <c r="BC181" s="7">
        <f t="shared" si="34"/>
        <v>0</v>
      </c>
    </row>
    <row r="182" spans="2:55" s="7" customFormat="1" ht="12.75" x14ac:dyDescent="0.2">
      <c r="B182" s="33"/>
      <c r="C182" s="31"/>
      <c r="D182" s="40"/>
      <c r="E182" s="6" t="str">
        <f>IF(F182=1,IF(ISERROR(TableCosts[[#This Row],[N_Tariff]]),Err_Message1,IF(TableCosts[[#This Row],[N_Tariff]]=0,Err_Message2,VLOOKUP(C182&amp;TableCosts[[#This Row],[Calc_N_Typ]],TRAN_STRITEMS_LABEL,5,FALSE))),"")</f>
        <v/>
      </c>
      <c r="F182" s="6">
        <f t="shared" si="38"/>
        <v>0</v>
      </c>
      <c r="G182" s="6" t="str">
        <f>IF(F182=1,IFERROR(VLOOKUP(E182,Tab_ErrMessage[],2,0),VLOOKUP(C182&amp;TableCosts[[#This Row],[Calc_N_Typ]],TRAN_STRITEMS_LABEL,4,FALSE)),"")</f>
        <v/>
      </c>
      <c r="H182" s="40"/>
      <c r="I182" s="40"/>
      <c r="J182" s="35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38">
        <f t="array" ref="AK182">IF(F182=1,SUM((ROW(M0)=ROW(AK182))*(M0+M1_+M2_+M3_+M4_+M5_+M6_+M7_+M8_+M9_+M10_+M11_+M12_+M13_+M14_+M15_+M16_+M17_+M18_+M19_+M20_+M21_+M22_+M23_+M24_+M25_)),0)</f>
        <v>0</v>
      </c>
      <c r="AL182" s="27">
        <f>TableCosts[[#This Row],[N_Direct]]</f>
        <v>0</v>
      </c>
      <c r="AN182" s="7" t="str">
        <f t="shared" si="35"/>
        <v/>
      </c>
      <c r="AO182" s="7" t="str">
        <f t="shared" si="27"/>
        <v/>
      </c>
      <c r="AP182" s="7" t="str">
        <f t="shared" si="36"/>
        <v/>
      </c>
      <c r="AQ182" s="7" t="str">
        <f t="shared" si="28"/>
        <v/>
      </c>
      <c r="AR182" s="7" t="str">
        <f t="shared" si="37"/>
        <v/>
      </c>
      <c r="AS182" s="7">
        <f t="shared" si="29"/>
        <v>0</v>
      </c>
      <c r="AT182" s="17">
        <f>TableCosts[[#This Row],[N_Amount]]*TableCosts[[#This Row],[N_Tariff]]*TableCosts[[#This Row],[N_ItemsCount]]</f>
        <v>0</v>
      </c>
      <c r="AU182" s="17">
        <f>IF(F182=1,IF(TableCosts[[#This Row],[N_Kateg]]="interné práce",TableCosts[[#This Row],[N_Amount]]*8*PAR_SGA_PERHOUR,0),0)</f>
        <v>0</v>
      </c>
      <c r="AV182" s="17">
        <f>SUM(TableCosts[[#This Row],[N_Direct]:[N_SGA]])</f>
        <v>0</v>
      </c>
      <c r="AW182" s="7">
        <f>IF(F182=1,IF(D182="",NA(),VLOOKUP(C182&amp;TableCosts[[#This Row],[Calc_N_Typ]],TRAN_STRITEMS_LABEL,7,0)),0)</f>
        <v>0</v>
      </c>
      <c r="AX182" s="7">
        <f t="shared" si="30"/>
        <v>0</v>
      </c>
      <c r="AY182" s="57" t="str">
        <f t="shared" si="31"/>
        <v/>
      </c>
      <c r="AZ182" s="57" t="str">
        <f t="shared" si="32"/>
        <v/>
      </c>
      <c r="BA182" s="57" t="str">
        <f>IF(F182=1,IF(TableCosts[[#This Row],[TransferFrom]]=TableCosts[[#This Row],[TranferTo]],0,1),"")</f>
        <v/>
      </c>
      <c r="BB182" s="7">
        <f t="shared" si="33"/>
        <v>0</v>
      </c>
      <c r="BC182" s="7">
        <f t="shared" si="34"/>
        <v>0</v>
      </c>
    </row>
    <row r="183" spans="2:55" s="7" customFormat="1" ht="12.75" x14ac:dyDescent="0.2">
      <c r="B183" s="33"/>
      <c r="C183" s="31"/>
      <c r="D183" s="40"/>
      <c r="E183" s="6" t="str">
        <f>IF(F183=1,IF(ISERROR(TableCosts[[#This Row],[N_Tariff]]),Err_Message1,IF(TableCosts[[#This Row],[N_Tariff]]=0,Err_Message2,VLOOKUP(C183&amp;TableCosts[[#This Row],[Calc_N_Typ]],TRAN_STRITEMS_LABEL,5,FALSE))),"")</f>
        <v/>
      </c>
      <c r="F183" s="6">
        <f t="shared" si="38"/>
        <v>0</v>
      </c>
      <c r="G183" s="6" t="str">
        <f>IF(F183=1,IFERROR(VLOOKUP(E183,Tab_ErrMessage[],2,0),VLOOKUP(C183&amp;TableCosts[[#This Row],[Calc_N_Typ]],TRAN_STRITEMS_LABEL,4,FALSE)),"")</f>
        <v/>
      </c>
      <c r="H183" s="40"/>
      <c r="I183" s="40"/>
      <c r="J183" s="35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/>
      <c r="AK183" s="38">
        <f t="array" ref="AK183">IF(F183=1,SUM((ROW(M0)=ROW(AK183))*(M0+M1_+M2_+M3_+M4_+M5_+M6_+M7_+M8_+M9_+M10_+M11_+M12_+M13_+M14_+M15_+M16_+M17_+M18_+M19_+M20_+M21_+M22_+M23_+M24_+M25_)),0)</f>
        <v>0</v>
      </c>
      <c r="AL183" s="27">
        <f>TableCosts[[#This Row],[N_Direct]]</f>
        <v>0</v>
      </c>
      <c r="AN183" s="7" t="str">
        <f t="shared" ref="AN183:AN246" si="39">IF(F183=1,B183,"")</f>
        <v/>
      </c>
      <c r="AO183" s="7" t="str">
        <f t="shared" si="27"/>
        <v/>
      </c>
      <c r="AP183" s="7" t="str">
        <f t="shared" ref="AP183:AP246" si="40">IF(F183=1,E183,"")</f>
        <v/>
      </c>
      <c r="AQ183" s="7" t="str">
        <f t="shared" si="28"/>
        <v/>
      </c>
      <c r="AR183" s="7" t="str">
        <f t="shared" ref="AR183:AR246" si="41">IF(F183=1,G183,"")</f>
        <v/>
      </c>
      <c r="AS183" s="7">
        <f t="shared" si="29"/>
        <v>0</v>
      </c>
      <c r="AT183" s="17">
        <f>TableCosts[[#This Row],[N_Amount]]*TableCosts[[#This Row],[N_Tariff]]*TableCosts[[#This Row],[N_ItemsCount]]</f>
        <v>0</v>
      </c>
      <c r="AU183" s="17">
        <f>IF(F183=1,IF(TableCosts[[#This Row],[N_Kateg]]="interné práce",TableCosts[[#This Row],[N_Amount]]*8*PAR_SGA_PERHOUR,0),0)</f>
        <v>0</v>
      </c>
      <c r="AV183" s="17">
        <f>SUM(TableCosts[[#This Row],[N_Direct]:[N_SGA]])</f>
        <v>0</v>
      </c>
      <c r="AW183" s="7">
        <f>IF(F183=1,IF(D183="",NA(),VLOOKUP(C183&amp;TableCosts[[#This Row],[Calc_N_Typ]],TRAN_STRITEMS_LABEL,7,0)),0)</f>
        <v>0</v>
      </c>
      <c r="AX183" s="7">
        <f t="shared" si="30"/>
        <v>0</v>
      </c>
      <c r="AY183" s="57" t="str">
        <f t="shared" si="31"/>
        <v/>
      </c>
      <c r="AZ183" s="57" t="str">
        <f t="shared" si="32"/>
        <v/>
      </c>
      <c r="BA183" s="57" t="str">
        <f>IF(F183=1,IF(TableCosts[[#This Row],[TransferFrom]]=TableCosts[[#This Row],[TranferTo]],0,1),"")</f>
        <v/>
      </c>
      <c r="BB183" s="7">
        <f t="shared" si="33"/>
        <v>0</v>
      </c>
      <c r="BC183" s="7">
        <f t="shared" si="34"/>
        <v>0</v>
      </c>
    </row>
    <row r="184" spans="2:55" s="7" customFormat="1" ht="12.75" x14ac:dyDescent="0.2">
      <c r="B184" s="33"/>
      <c r="C184" s="31"/>
      <c r="D184" s="40"/>
      <c r="E184" s="6" t="str">
        <f>IF(F184=1,IF(ISERROR(TableCosts[[#This Row],[N_Tariff]]),Err_Message1,IF(TableCosts[[#This Row],[N_Tariff]]=0,Err_Message2,VLOOKUP(C184&amp;TableCosts[[#This Row],[Calc_N_Typ]],TRAN_STRITEMS_LABEL,5,FALSE))),"")</f>
        <v/>
      </c>
      <c r="F184" s="6">
        <f t="shared" si="38"/>
        <v>0</v>
      </c>
      <c r="G184" s="6" t="str">
        <f>IF(F184=1,IFERROR(VLOOKUP(E184,Tab_ErrMessage[],2,0),VLOOKUP(C184&amp;TableCosts[[#This Row],[Calc_N_Typ]],TRAN_STRITEMS_LABEL,4,FALSE)),"")</f>
        <v/>
      </c>
      <c r="H184" s="40"/>
      <c r="I184" s="40"/>
      <c r="J184" s="35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4"/>
      <c r="AK184" s="38">
        <f t="array" ref="AK184">IF(F184=1,SUM((ROW(M0)=ROW(AK184))*(M0+M1_+M2_+M3_+M4_+M5_+M6_+M7_+M8_+M9_+M10_+M11_+M12_+M13_+M14_+M15_+M16_+M17_+M18_+M19_+M20_+M21_+M22_+M23_+M24_+M25_)),0)</f>
        <v>0</v>
      </c>
      <c r="AL184" s="27">
        <f>TableCosts[[#This Row],[N_Direct]]</f>
        <v>0</v>
      </c>
      <c r="AN184" s="7" t="str">
        <f t="shared" si="39"/>
        <v/>
      </c>
      <c r="AO184" s="7" t="str">
        <f t="shared" si="27"/>
        <v/>
      </c>
      <c r="AP184" s="7" t="str">
        <f t="shared" si="40"/>
        <v/>
      </c>
      <c r="AQ184" s="7" t="str">
        <f t="shared" si="28"/>
        <v/>
      </c>
      <c r="AR184" s="7" t="str">
        <f t="shared" si="41"/>
        <v/>
      </c>
      <c r="AS184" s="7">
        <f t="shared" si="29"/>
        <v>0</v>
      </c>
      <c r="AT184" s="17">
        <f>TableCosts[[#This Row],[N_Amount]]*TableCosts[[#This Row],[N_Tariff]]*TableCosts[[#This Row],[N_ItemsCount]]</f>
        <v>0</v>
      </c>
      <c r="AU184" s="17">
        <f>IF(F184=1,IF(TableCosts[[#This Row],[N_Kateg]]="interné práce",TableCosts[[#This Row],[N_Amount]]*8*PAR_SGA_PERHOUR,0),0)</f>
        <v>0</v>
      </c>
      <c r="AV184" s="17">
        <f>SUM(TableCosts[[#This Row],[N_Direct]:[N_SGA]])</f>
        <v>0</v>
      </c>
      <c r="AW184" s="7">
        <f>IF(F184=1,IF(D184="",NA(),VLOOKUP(C184&amp;TableCosts[[#This Row],[Calc_N_Typ]],TRAN_STRITEMS_LABEL,7,0)),0)</f>
        <v>0</v>
      </c>
      <c r="AX184" s="7">
        <f t="shared" si="30"/>
        <v>0</v>
      </c>
      <c r="AY184" s="57" t="str">
        <f t="shared" si="31"/>
        <v/>
      </c>
      <c r="AZ184" s="57" t="str">
        <f t="shared" si="32"/>
        <v/>
      </c>
      <c r="BA184" s="57" t="str">
        <f>IF(F184=1,IF(TableCosts[[#This Row],[TransferFrom]]=TableCosts[[#This Row],[TranferTo]],0,1),"")</f>
        <v/>
      </c>
      <c r="BB184" s="7">
        <f t="shared" si="33"/>
        <v>0</v>
      </c>
      <c r="BC184" s="7">
        <f t="shared" si="34"/>
        <v>0</v>
      </c>
    </row>
    <row r="185" spans="2:55" s="7" customFormat="1" ht="12.75" x14ac:dyDescent="0.2">
      <c r="B185" s="33"/>
      <c r="C185" s="31"/>
      <c r="D185" s="40"/>
      <c r="E185" s="6" t="str">
        <f>IF(F185=1,IF(ISERROR(TableCosts[[#This Row],[N_Tariff]]),Err_Message1,IF(TableCosts[[#This Row],[N_Tariff]]=0,Err_Message2,VLOOKUP(C185&amp;TableCosts[[#This Row],[Calc_N_Typ]],TRAN_STRITEMS_LABEL,5,FALSE))),"")</f>
        <v/>
      </c>
      <c r="F185" s="6">
        <f t="shared" si="38"/>
        <v>0</v>
      </c>
      <c r="G185" s="6" t="str">
        <f>IF(F185=1,IFERROR(VLOOKUP(E185,Tab_ErrMessage[],2,0),VLOOKUP(C185&amp;TableCosts[[#This Row],[Calc_N_Typ]],TRAN_STRITEMS_LABEL,4,FALSE)),"")</f>
        <v/>
      </c>
      <c r="H185" s="40"/>
      <c r="I185" s="40"/>
      <c r="J185" s="35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/>
      <c r="AK185" s="38">
        <f t="array" ref="AK185">IF(F185=1,SUM((ROW(M0)=ROW(AK185))*(M0+M1_+M2_+M3_+M4_+M5_+M6_+M7_+M8_+M9_+M10_+M11_+M12_+M13_+M14_+M15_+M16_+M17_+M18_+M19_+M20_+M21_+M22_+M23_+M24_+M25_)),0)</f>
        <v>0</v>
      </c>
      <c r="AL185" s="27">
        <f>TableCosts[[#This Row],[N_Direct]]</f>
        <v>0</v>
      </c>
      <c r="AN185" s="7" t="str">
        <f t="shared" si="39"/>
        <v/>
      </c>
      <c r="AO185" s="7" t="str">
        <f t="shared" si="27"/>
        <v/>
      </c>
      <c r="AP185" s="7" t="str">
        <f t="shared" si="40"/>
        <v/>
      </c>
      <c r="AQ185" s="7" t="str">
        <f t="shared" si="28"/>
        <v/>
      </c>
      <c r="AR185" s="7" t="str">
        <f t="shared" si="41"/>
        <v/>
      </c>
      <c r="AS185" s="7">
        <f t="shared" si="29"/>
        <v>0</v>
      </c>
      <c r="AT185" s="17">
        <f>TableCosts[[#This Row],[N_Amount]]*TableCosts[[#This Row],[N_Tariff]]*TableCosts[[#This Row],[N_ItemsCount]]</f>
        <v>0</v>
      </c>
      <c r="AU185" s="17">
        <f>IF(F185=1,IF(TableCosts[[#This Row],[N_Kateg]]="interné práce",TableCosts[[#This Row],[N_Amount]]*8*PAR_SGA_PERHOUR,0),0)</f>
        <v>0</v>
      </c>
      <c r="AV185" s="17">
        <f>SUM(TableCosts[[#This Row],[N_Direct]:[N_SGA]])</f>
        <v>0</v>
      </c>
      <c r="AW185" s="7">
        <f>IF(F185=1,IF(D185="",NA(),VLOOKUP(C185&amp;TableCosts[[#This Row],[Calc_N_Typ]],TRAN_STRITEMS_LABEL,7,0)),0)</f>
        <v>0</v>
      </c>
      <c r="AX185" s="7">
        <f t="shared" si="30"/>
        <v>0</v>
      </c>
      <c r="AY185" s="57" t="str">
        <f t="shared" si="31"/>
        <v/>
      </c>
      <c r="AZ185" s="57" t="str">
        <f t="shared" si="32"/>
        <v/>
      </c>
      <c r="BA185" s="57" t="str">
        <f>IF(F185=1,IF(TableCosts[[#This Row],[TransferFrom]]=TableCosts[[#This Row],[TranferTo]],0,1),"")</f>
        <v/>
      </c>
      <c r="BB185" s="7">
        <f t="shared" si="33"/>
        <v>0</v>
      </c>
      <c r="BC185" s="7">
        <f t="shared" si="34"/>
        <v>0</v>
      </c>
    </row>
    <row r="186" spans="2:55" s="7" customFormat="1" ht="12.75" x14ac:dyDescent="0.2">
      <c r="B186" s="33"/>
      <c r="C186" s="31"/>
      <c r="D186" s="40"/>
      <c r="E186" s="6" t="str">
        <f>IF(F186=1,IF(ISERROR(TableCosts[[#This Row],[N_Tariff]]),Err_Message1,IF(TableCosts[[#This Row],[N_Tariff]]=0,Err_Message2,VLOOKUP(C186&amp;TableCosts[[#This Row],[Calc_N_Typ]],TRAN_STRITEMS_LABEL,5,FALSE))),"")</f>
        <v/>
      </c>
      <c r="F186" s="6">
        <f t="shared" si="38"/>
        <v>0</v>
      </c>
      <c r="G186" s="6" t="str">
        <f>IF(F186=1,IFERROR(VLOOKUP(E186,Tab_ErrMessage[],2,0),VLOOKUP(C186&amp;TableCosts[[#This Row],[Calc_N_Typ]],TRAN_STRITEMS_LABEL,4,FALSE)),"")</f>
        <v/>
      </c>
      <c r="H186" s="40"/>
      <c r="I186" s="40"/>
      <c r="J186" s="35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4"/>
      <c r="AI186" s="24"/>
      <c r="AJ186" s="24"/>
      <c r="AK186" s="38">
        <f t="array" ref="AK186">IF(F186=1,SUM((ROW(M0)=ROW(AK186))*(M0+M1_+M2_+M3_+M4_+M5_+M6_+M7_+M8_+M9_+M10_+M11_+M12_+M13_+M14_+M15_+M16_+M17_+M18_+M19_+M20_+M21_+M22_+M23_+M24_+M25_)),0)</f>
        <v>0</v>
      </c>
      <c r="AL186" s="27">
        <f>TableCosts[[#This Row],[N_Direct]]</f>
        <v>0</v>
      </c>
      <c r="AN186" s="7" t="str">
        <f t="shared" si="39"/>
        <v/>
      </c>
      <c r="AO186" s="7" t="str">
        <f t="shared" si="27"/>
        <v/>
      </c>
      <c r="AP186" s="7" t="str">
        <f t="shared" si="40"/>
        <v/>
      </c>
      <c r="AQ186" s="7" t="str">
        <f t="shared" si="28"/>
        <v/>
      </c>
      <c r="AR186" s="7" t="str">
        <f t="shared" si="41"/>
        <v/>
      </c>
      <c r="AS186" s="7">
        <f t="shared" si="29"/>
        <v>0</v>
      </c>
      <c r="AT186" s="17">
        <f>TableCosts[[#This Row],[N_Amount]]*TableCosts[[#This Row],[N_Tariff]]*TableCosts[[#This Row],[N_ItemsCount]]</f>
        <v>0</v>
      </c>
      <c r="AU186" s="17">
        <f>IF(F186=1,IF(TableCosts[[#This Row],[N_Kateg]]="interné práce",TableCosts[[#This Row],[N_Amount]]*8*PAR_SGA_PERHOUR,0),0)</f>
        <v>0</v>
      </c>
      <c r="AV186" s="17">
        <f>SUM(TableCosts[[#This Row],[N_Direct]:[N_SGA]])</f>
        <v>0</v>
      </c>
      <c r="AW186" s="7">
        <f>IF(F186=1,IF(D186="",NA(),VLOOKUP(C186&amp;TableCosts[[#This Row],[Calc_N_Typ]],TRAN_STRITEMS_LABEL,7,0)),0)</f>
        <v>0</v>
      </c>
      <c r="AX186" s="7">
        <f t="shared" si="30"/>
        <v>0</v>
      </c>
      <c r="AY186" s="57" t="str">
        <f t="shared" si="31"/>
        <v/>
      </c>
      <c r="AZ186" s="57" t="str">
        <f t="shared" si="32"/>
        <v/>
      </c>
      <c r="BA186" s="57" t="str">
        <f>IF(F186=1,IF(TableCosts[[#This Row],[TransferFrom]]=TableCosts[[#This Row],[TranferTo]],0,1),"")</f>
        <v/>
      </c>
      <c r="BB186" s="7">
        <f t="shared" si="33"/>
        <v>0</v>
      </c>
      <c r="BC186" s="7">
        <f t="shared" si="34"/>
        <v>0</v>
      </c>
    </row>
    <row r="187" spans="2:55" s="7" customFormat="1" ht="12.75" x14ac:dyDescent="0.2">
      <c r="B187" s="33"/>
      <c r="C187" s="31"/>
      <c r="D187" s="40"/>
      <c r="E187" s="6" t="str">
        <f>IF(F187=1,IF(ISERROR(TableCosts[[#This Row],[N_Tariff]]),Err_Message1,IF(TableCosts[[#This Row],[N_Tariff]]=0,Err_Message2,VLOOKUP(C187&amp;TableCosts[[#This Row],[Calc_N_Typ]],TRAN_STRITEMS_LABEL,5,FALSE))),"")</f>
        <v/>
      </c>
      <c r="F187" s="6">
        <f t="shared" si="38"/>
        <v>0</v>
      </c>
      <c r="G187" s="6" t="str">
        <f>IF(F187=1,IFERROR(VLOOKUP(E187,Tab_ErrMessage[],2,0),VLOOKUP(C187&amp;TableCosts[[#This Row],[Calc_N_Typ]],TRAN_STRITEMS_LABEL,4,FALSE)),"")</f>
        <v/>
      </c>
      <c r="H187" s="40"/>
      <c r="I187" s="40"/>
      <c r="J187" s="35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4"/>
      <c r="AI187" s="24"/>
      <c r="AJ187" s="24"/>
      <c r="AK187" s="38">
        <f t="array" ref="AK187">IF(F187=1,SUM((ROW(M0)=ROW(AK187))*(M0+M1_+M2_+M3_+M4_+M5_+M6_+M7_+M8_+M9_+M10_+M11_+M12_+M13_+M14_+M15_+M16_+M17_+M18_+M19_+M20_+M21_+M22_+M23_+M24_+M25_)),0)</f>
        <v>0</v>
      </c>
      <c r="AL187" s="27">
        <f>TableCosts[[#This Row],[N_Direct]]</f>
        <v>0</v>
      </c>
      <c r="AN187" s="7" t="str">
        <f t="shared" si="39"/>
        <v/>
      </c>
      <c r="AO187" s="7" t="str">
        <f t="shared" si="27"/>
        <v/>
      </c>
      <c r="AP187" s="7" t="str">
        <f t="shared" si="40"/>
        <v/>
      </c>
      <c r="AQ187" s="7" t="str">
        <f t="shared" si="28"/>
        <v/>
      </c>
      <c r="AR187" s="7" t="str">
        <f t="shared" si="41"/>
        <v/>
      </c>
      <c r="AS187" s="7">
        <f t="shared" si="29"/>
        <v>0</v>
      </c>
      <c r="AT187" s="17">
        <f>TableCosts[[#This Row],[N_Amount]]*TableCosts[[#This Row],[N_Tariff]]*TableCosts[[#This Row],[N_ItemsCount]]</f>
        <v>0</v>
      </c>
      <c r="AU187" s="17">
        <f>IF(F187=1,IF(TableCosts[[#This Row],[N_Kateg]]="interné práce",TableCosts[[#This Row],[N_Amount]]*8*PAR_SGA_PERHOUR,0),0)</f>
        <v>0</v>
      </c>
      <c r="AV187" s="17">
        <f>SUM(TableCosts[[#This Row],[N_Direct]:[N_SGA]])</f>
        <v>0</v>
      </c>
      <c r="AW187" s="7">
        <f>IF(F187=1,IF(D187="",NA(),VLOOKUP(C187&amp;TableCosts[[#This Row],[Calc_N_Typ]],TRAN_STRITEMS_LABEL,7,0)),0)</f>
        <v>0</v>
      </c>
      <c r="AX187" s="7">
        <f t="shared" si="30"/>
        <v>0</v>
      </c>
      <c r="AY187" s="57" t="str">
        <f t="shared" si="31"/>
        <v/>
      </c>
      <c r="AZ187" s="57" t="str">
        <f t="shared" si="32"/>
        <v/>
      </c>
      <c r="BA187" s="57" t="str">
        <f>IF(F187=1,IF(TableCosts[[#This Row],[TransferFrom]]=TableCosts[[#This Row],[TranferTo]],0,1),"")</f>
        <v/>
      </c>
      <c r="BB187" s="7">
        <f t="shared" si="33"/>
        <v>0</v>
      </c>
      <c r="BC187" s="7">
        <f t="shared" si="34"/>
        <v>0</v>
      </c>
    </row>
    <row r="188" spans="2:55" s="7" customFormat="1" ht="12.75" x14ac:dyDescent="0.2">
      <c r="B188" s="33"/>
      <c r="C188" s="31"/>
      <c r="D188" s="40"/>
      <c r="E188" s="6" t="str">
        <f>IF(F188=1,IF(ISERROR(TableCosts[[#This Row],[N_Tariff]]),Err_Message1,IF(TableCosts[[#This Row],[N_Tariff]]=0,Err_Message2,VLOOKUP(C188&amp;TableCosts[[#This Row],[Calc_N_Typ]],TRAN_STRITEMS_LABEL,5,FALSE))),"")</f>
        <v/>
      </c>
      <c r="F188" s="6">
        <f t="shared" si="38"/>
        <v>0</v>
      </c>
      <c r="G188" s="6" t="str">
        <f>IF(F188=1,IFERROR(VLOOKUP(E188,Tab_ErrMessage[],2,0),VLOOKUP(C188&amp;TableCosts[[#This Row],[Calc_N_Typ]],TRAN_STRITEMS_LABEL,4,FALSE)),"")</f>
        <v/>
      </c>
      <c r="H188" s="40"/>
      <c r="I188" s="40"/>
      <c r="J188" s="35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4"/>
      <c r="AI188" s="24"/>
      <c r="AJ188" s="24"/>
      <c r="AK188" s="38">
        <f t="array" ref="AK188">IF(F188=1,SUM((ROW(M0)=ROW(AK188))*(M0+M1_+M2_+M3_+M4_+M5_+M6_+M7_+M8_+M9_+M10_+M11_+M12_+M13_+M14_+M15_+M16_+M17_+M18_+M19_+M20_+M21_+M22_+M23_+M24_+M25_)),0)</f>
        <v>0</v>
      </c>
      <c r="AL188" s="27">
        <f>TableCosts[[#This Row],[N_Direct]]</f>
        <v>0</v>
      </c>
      <c r="AN188" s="7" t="str">
        <f t="shared" si="39"/>
        <v/>
      </c>
      <c r="AO188" s="7" t="str">
        <f t="shared" si="27"/>
        <v/>
      </c>
      <c r="AP188" s="7" t="str">
        <f t="shared" si="40"/>
        <v/>
      </c>
      <c r="AQ188" s="7" t="str">
        <f t="shared" si="28"/>
        <v/>
      </c>
      <c r="AR188" s="7" t="str">
        <f t="shared" si="41"/>
        <v/>
      </c>
      <c r="AS188" s="7">
        <f t="shared" si="29"/>
        <v>0</v>
      </c>
      <c r="AT188" s="17">
        <f>TableCosts[[#This Row],[N_Amount]]*TableCosts[[#This Row],[N_Tariff]]*TableCosts[[#This Row],[N_ItemsCount]]</f>
        <v>0</v>
      </c>
      <c r="AU188" s="17">
        <f>IF(F188=1,IF(TableCosts[[#This Row],[N_Kateg]]="interné práce",TableCosts[[#This Row],[N_Amount]]*8*PAR_SGA_PERHOUR,0),0)</f>
        <v>0</v>
      </c>
      <c r="AV188" s="17">
        <f>SUM(TableCosts[[#This Row],[N_Direct]:[N_SGA]])</f>
        <v>0</v>
      </c>
      <c r="AW188" s="7">
        <f>IF(F188=1,IF(D188="",NA(),VLOOKUP(C188&amp;TableCosts[[#This Row],[Calc_N_Typ]],TRAN_STRITEMS_LABEL,7,0)),0)</f>
        <v>0</v>
      </c>
      <c r="AX188" s="7">
        <f t="shared" si="30"/>
        <v>0</v>
      </c>
      <c r="AY188" s="57" t="str">
        <f t="shared" si="31"/>
        <v/>
      </c>
      <c r="AZ188" s="57" t="str">
        <f t="shared" si="32"/>
        <v/>
      </c>
      <c r="BA188" s="57" t="str">
        <f>IF(F188=1,IF(TableCosts[[#This Row],[TransferFrom]]=TableCosts[[#This Row],[TranferTo]],0,1),"")</f>
        <v/>
      </c>
      <c r="BB188" s="7">
        <f t="shared" si="33"/>
        <v>0</v>
      </c>
      <c r="BC188" s="7">
        <f t="shared" si="34"/>
        <v>0</v>
      </c>
    </row>
    <row r="189" spans="2:55" s="7" customFormat="1" ht="12.75" x14ac:dyDescent="0.2">
      <c r="B189" s="33"/>
      <c r="C189" s="31"/>
      <c r="D189" s="40"/>
      <c r="E189" s="6" t="str">
        <f>IF(F189=1,IF(ISERROR(TableCosts[[#This Row],[N_Tariff]]),Err_Message1,IF(TableCosts[[#This Row],[N_Tariff]]=0,Err_Message2,VLOOKUP(C189&amp;TableCosts[[#This Row],[Calc_N_Typ]],TRAN_STRITEMS_LABEL,5,FALSE))),"")</f>
        <v/>
      </c>
      <c r="F189" s="6">
        <f t="shared" si="38"/>
        <v>0</v>
      </c>
      <c r="G189" s="6" t="str">
        <f>IF(F189=1,IFERROR(VLOOKUP(E189,Tab_ErrMessage[],2,0),VLOOKUP(C189&amp;TableCosts[[#This Row],[Calc_N_Typ]],TRAN_STRITEMS_LABEL,4,FALSE)),"")</f>
        <v/>
      </c>
      <c r="H189" s="40"/>
      <c r="I189" s="40"/>
      <c r="J189" s="35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4"/>
      <c r="AI189" s="24"/>
      <c r="AJ189" s="24"/>
      <c r="AK189" s="38">
        <f t="array" ref="AK189">IF(F189=1,SUM((ROW(M0)=ROW(AK189))*(M0+M1_+M2_+M3_+M4_+M5_+M6_+M7_+M8_+M9_+M10_+M11_+M12_+M13_+M14_+M15_+M16_+M17_+M18_+M19_+M20_+M21_+M22_+M23_+M24_+M25_)),0)</f>
        <v>0</v>
      </c>
      <c r="AL189" s="27">
        <f>TableCosts[[#This Row],[N_Direct]]</f>
        <v>0</v>
      </c>
      <c r="AN189" s="7" t="str">
        <f t="shared" si="39"/>
        <v/>
      </c>
      <c r="AO189" s="7" t="str">
        <f t="shared" si="27"/>
        <v/>
      </c>
      <c r="AP189" s="7" t="str">
        <f t="shared" si="40"/>
        <v/>
      </c>
      <c r="AQ189" s="7" t="str">
        <f t="shared" si="28"/>
        <v/>
      </c>
      <c r="AR189" s="7" t="str">
        <f t="shared" si="41"/>
        <v/>
      </c>
      <c r="AS189" s="7">
        <f t="shared" si="29"/>
        <v>0</v>
      </c>
      <c r="AT189" s="17">
        <f>TableCosts[[#This Row],[N_Amount]]*TableCosts[[#This Row],[N_Tariff]]*TableCosts[[#This Row],[N_ItemsCount]]</f>
        <v>0</v>
      </c>
      <c r="AU189" s="17">
        <f>IF(F189=1,IF(TableCosts[[#This Row],[N_Kateg]]="interné práce",TableCosts[[#This Row],[N_Amount]]*8*PAR_SGA_PERHOUR,0),0)</f>
        <v>0</v>
      </c>
      <c r="AV189" s="17">
        <f>SUM(TableCosts[[#This Row],[N_Direct]:[N_SGA]])</f>
        <v>0</v>
      </c>
      <c r="AW189" s="7">
        <f>IF(F189=1,IF(D189="",NA(),VLOOKUP(C189&amp;TableCosts[[#This Row],[Calc_N_Typ]],TRAN_STRITEMS_LABEL,7,0)),0)</f>
        <v>0</v>
      </c>
      <c r="AX189" s="7">
        <f t="shared" si="30"/>
        <v>0</v>
      </c>
      <c r="AY189" s="57" t="str">
        <f t="shared" si="31"/>
        <v/>
      </c>
      <c r="AZ189" s="57" t="str">
        <f t="shared" si="32"/>
        <v/>
      </c>
      <c r="BA189" s="57" t="str">
        <f>IF(F189=1,IF(TableCosts[[#This Row],[TransferFrom]]=TableCosts[[#This Row],[TranferTo]],0,1),"")</f>
        <v/>
      </c>
      <c r="BB189" s="7">
        <f t="shared" si="33"/>
        <v>0</v>
      </c>
      <c r="BC189" s="7">
        <f t="shared" si="34"/>
        <v>0</v>
      </c>
    </row>
    <row r="190" spans="2:55" s="7" customFormat="1" ht="12.75" x14ac:dyDescent="0.2">
      <c r="B190" s="33"/>
      <c r="C190" s="31"/>
      <c r="D190" s="40"/>
      <c r="E190" s="6" t="str">
        <f>IF(F190=1,IF(ISERROR(TableCosts[[#This Row],[N_Tariff]]),Err_Message1,IF(TableCosts[[#This Row],[N_Tariff]]=0,Err_Message2,VLOOKUP(C190&amp;TableCosts[[#This Row],[Calc_N_Typ]],TRAN_STRITEMS_LABEL,5,FALSE))),"")</f>
        <v/>
      </c>
      <c r="F190" s="6">
        <f t="shared" si="38"/>
        <v>0</v>
      </c>
      <c r="G190" s="6" t="str">
        <f>IF(F190=1,IFERROR(VLOOKUP(E190,Tab_ErrMessage[],2,0),VLOOKUP(C190&amp;TableCosts[[#This Row],[Calc_N_Typ]],TRAN_STRITEMS_LABEL,4,FALSE)),"")</f>
        <v/>
      </c>
      <c r="H190" s="40"/>
      <c r="I190" s="40"/>
      <c r="J190" s="35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4"/>
      <c r="AI190" s="24"/>
      <c r="AJ190" s="24"/>
      <c r="AK190" s="38">
        <f t="array" ref="AK190">IF(F190=1,SUM((ROW(M0)=ROW(AK190))*(M0+M1_+M2_+M3_+M4_+M5_+M6_+M7_+M8_+M9_+M10_+M11_+M12_+M13_+M14_+M15_+M16_+M17_+M18_+M19_+M20_+M21_+M22_+M23_+M24_+M25_)),0)</f>
        <v>0</v>
      </c>
      <c r="AL190" s="27">
        <f>TableCosts[[#This Row],[N_Direct]]</f>
        <v>0</v>
      </c>
      <c r="AN190" s="7" t="str">
        <f t="shared" si="39"/>
        <v/>
      </c>
      <c r="AO190" s="7" t="str">
        <f t="shared" si="27"/>
        <v/>
      </c>
      <c r="AP190" s="7" t="str">
        <f t="shared" si="40"/>
        <v/>
      </c>
      <c r="AQ190" s="7" t="str">
        <f t="shared" si="28"/>
        <v/>
      </c>
      <c r="AR190" s="7" t="str">
        <f t="shared" si="41"/>
        <v/>
      </c>
      <c r="AS190" s="7">
        <f t="shared" si="29"/>
        <v>0</v>
      </c>
      <c r="AT190" s="17">
        <f>TableCosts[[#This Row],[N_Amount]]*TableCosts[[#This Row],[N_Tariff]]*TableCosts[[#This Row],[N_ItemsCount]]</f>
        <v>0</v>
      </c>
      <c r="AU190" s="17">
        <f>IF(F190=1,IF(TableCosts[[#This Row],[N_Kateg]]="interné práce",TableCosts[[#This Row],[N_Amount]]*8*PAR_SGA_PERHOUR,0),0)</f>
        <v>0</v>
      </c>
      <c r="AV190" s="17">
        <f>SUM(TableCosts[[#This Row],[N_Direct]:[N_SGA]])</f>
        <v>0</v>
      </c>
      <c r="AW190" s="7">
        <f>IF(F190=1,IF(D190="",NA(),VLOOKUP(C190&amp;TableCosts[[#This Row],[Calc_N_Typ]],TRAN_STRITEMS_LABEL,7,0)),0)</f>
        <v>0</v>
      </c>
      <c r="AX190" s="7">
        <f t="shared" si="30"/>
        <v>0</v>
      </c>
      <c r="AY190" s="57" t="str">
        <f t="shared" si="31"/>
        <v/>
      </c>
      <c r="AZ190" s="57" t="str">
        <f t="shared" si="32"/>
        <v/>
      </c>
      <c r="BA190" s="57" t="str">
        <f>IF(F190=1,IF(TableCosts[[#This Row],[TransferFrom]]=TableCosts[[#This Row],[TranferTo]],0,1),"")</f>
        <v/>
      </c>
      <c r="BB190" s="7">
        <f t="shared" si="33"/>
        <v>0</v>
      </c>
      <c r="BC190" s="7">
        <f t="shared" si="34"/>
        <v>0</v>
      </c>
    </row>
    <row r="191" spans="2:55" s="7" customFormat="1" ht="12.75" x14ac:dyDescent="0.2">
      <c r="B191" s="33"/>
      <c r="C191" s="31"/>
      <c r="D191" s="40"/>
      <c r="E191" s="6" t="str">
        <f>IF(F191=1,IF(ISERROR(TableCosts[[#This Row],[N_Tariff]]),Err_Message1,IF(TableCosts[[#This Row],[N_Tariff]]=0,Err_Message2,VLOOKUP(C191&amp;TableCosts[[#This Row],[Calc_N_Typ]],TRAN_STRITEMS_LABEL,5,FALSE))),"")</f>
        <v/>
      </c>
      <c r="F191" s="6">
        <f t="shared" si="38"/>
        <v>0</v>
      </c>
      <c r="G191" s="6" t="str">
        <f>IF(F191=1,IFERROR(VLOOKUP(E191,Tab_ErrMessage[],2,0),VLOOKUP(C191&amp;TableCosts[[#This Row],[Calc_N_Typ]],TRAN_STRITEMS_LABEL,4,FALSE)),"")</f>
        <v/>
      </c>
      <c r="H191" s="40"/>
      <c r="I191" s="40"/>
      <c r="J191" s="35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4"/>
      <c r="AI191" s="24"/>
      <c r="AJ191" s="24"/>
      <c r="AK191" s="38">
        <f t="array" ref="AK191">IF(F191=1,SUM((ROW(M0)=ROW(AK191))*(M0+M1_+M2_+M3_+M4_+M5_+M6_+M7_+M8_+M9_+M10_+M11_+M12_+M13_+M14_+M15_+M16_+M17_+M18_+M19_+M20_+M21_+M22_+M23_+M24_+M25_)),0)</f>
        <v>0</v>
      </c>
      <c r="AL191" s="27">
        <f>TableCosts[[#This Row],[N_Direct]]</f>
        <v>0</v>
      </c>
      <c r="AN191" s="7" t="str">
        <f t="shared" si="39"/>
        <v/>
      </c>
      <c r="AO191" s="7" t="str">
        <f t="shared" si="27"/>
        <v/>
      </c>
      <c r="AP191" s="7" t="str">
        <f t="shared" si="40"/>
        <v/>
      </c>
      <c r="AQ191" s="7" t="str">
        <f t="shared" si="28"/>
        <v/>
      </c>
      <c r="AR191" s="7" t="str">
        <f t="shared" si="41"/>
        <v/>
      </c>
      <c r="AS191" s="7">
        <f t="shared" si="29"/>
        <v>0</v>
      </c>
      <c r="AT191" s="17">
        <f>TableCosts[[#This Row],[N_Amount]]*TableCosts[[#This Row],[N_Tariff]]*TableCosts[[#This Row],[N_ItemsCount]]</f>
        <v>0</v>
      </c>
      <c r="AU191" s="17">
        <f>IF(F191=1,IF(TableCosts[[#This Row],[N_Kateg]]="interné práce",TableCosts[[#This Row],[N_Amount]]*8*PAR_SGA_PERHOUR,0),0)</f>
        <v>0</v>
      </c>
      <c r="AV191" s="17">
        <f>SUM(TableCosts[[#This Row],[N_Direct]:[N_SGA]])</f>
        <v>0</v>
      </c>
      <c r="AW191" s="7">
        <f>IF(F191=1,IF(D191="",NA(),VLOOKUP(C191&amp;TableCosts[[#This Row],[Calc_N_Typ]],TRAN_STRITEMS_LABEL,7,0)),0)</f>
        <v>0</v>
      </c>
      <c r="AX191" s="7">
        <f t="shared" si="30"/>
        <v>0</v>
      </c>
      <c r="AY191" s="57" t="str">
        <f t="shared" si="31"/>
        <v/>
      </c>
      <c r="AZ191" s="57" t="str">
        <f t="shared" si="32"/>
        <v/>
      </c>
      <c r="BA191" s="57" t="str">
        <f>IF(F191=1,IF(TableCosts[[#This Row],[TransferFrom]]=TableCosts[[#This Row],[TranferTo]],0,1),"")</f>
        <v/>
      </c>
      <c r="BB191" s="7">
        <f t="shared" si="33"/>
        <v>0</v>
      </c>
      <c r="BC191" s="7">
        <f t="shared" si="34"/>
        <v>0</v>
      </c>
    </row>
    <row r="192" spans="2:55" s="7" customFormat="1" ht="12.75" x14ac:dyDescent="0.2">
      <c r="B192" s="33"/>
      <c r="C192" s="31"/>
      <c r="D192" s="40"/>
      <c r="E192" s="6" t="str">
        <f>IF(F192=1,IF(ISERROR(TableCosts[[#This Row],[N_Tariff]]),Err_Message1,IF(TableCosts[[#This Row],[N_Tariff]]=0,Err_Message2,VLOOKUP(C192&amp;TableCosts[[#This Row],[Calc_N_Typ]],TRAN_STRITEMS_LABEL,5,FALSE))),"")</f>
        <v/>
      </c>
      <c r="F192" s="6">
        <f t="shared" si="38"/>
        <v>0</v>
      </c>
      <c r="G192" s="6" t="str">
        <f>IF(F192=1,IFERROR(VLOOKUP(E192,Tab_ErrMessage[],2,0),VLOOKUP(C192&amp;TableCosts[[#This Row],[Calc_N_Typ]],TRAN_STRITEMS_LABEL,4,FALSE)),"")</f>
        <v/>
      </c>
      <c r="H192" s="40"/>
      <c r="I192" s="40"/>
      <c r="J192" s="35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4"/>
      <c r="AI192" s="24"/>
      <c r="AJ192" s="24"/>
      <c r="AK192" s="38">
        <f t="array" ref="AK192">IF(F192=1,SUM((ROW(M0)=ROW(AK192))*(M0+M1_+M2_+M3_+M4_+M5_+M6_+M7_+M8_+M9_+M10_+M11_+M12_+M13_+M14_+M15_+M16_+M17_+M18_+M19_+M20_+M21_+M22_+M23_+M24_+M25_)),0)</f>
        <v>0</v>
      </c>
      <c r="AL192" s="27">
        <f>TableCosts[[#This Row],[N_Direct]]</f>
        <v>0</v>
      </c>
      <c r="AN192" s="7" t="str">
        <f t="shared" si="39"/>
        <v/>
      </c>
      <c r="AO192" s="7" t="str">
        <f t="shared" si="27"/>
        <v/>
      </c>
      <c r="AP192" s="7" t="str">
        <f t="shared" si="40"/>
        <v/>
      </c>
      <c r="AQ192" s="7" t="str">
        <f t="shared" si="28"/>
        <v/>
      </c>
      <c r="AR192" s="7" t="str">
        <f t="shared" si="41"/>
        <v/>
      </c>
      <c r="AS192" s="7">
        <f t="shared" si="29"/>
        <v>0</v>
      </c>
      <c r="AT192" s="17">
        <f>TableCosts[[#This Row],[N_Amount]]*TableCosts[[#This Row],[N_Tariff]]*TableCosts[[#This Row],[N_ItemsCount]]</f>
        <v>0</v>
      </c>
      <c r="AU192" s="17">
        <f>IF(F192=1,IF(TableCosts[[#This Row],[N_Kateg]]="interné práce",TableCosts[[#This Row],[N_Amount]]*8*PAR_SGA_PERHOUR,0),0)</f>
        <v>0</v>
      </c>
      <c r="AV192" s="17">
        <f>SUM(TableCosts[[#This Row],[N_Direct]:[N_SGA]])</f>
        <v>0</v>
      </c>
      <c r="AW192" s="7">
        <f>IF(F192=1,IF(D192="",NA(),VLOOKUP(C192&amp;TableCosts[[#This Row],[Calc_N_Typ]],TRAN_STRITEMS_LABEL,7,0)),0)</f>
        <v>0</v>
      </c>
      <c r="AX192" s="7">
        <f t="shared" si="30"/>
        <v>0</v>
      </c>
      <c r="AY192" s="57" t="str">
        <f t="shared" si="31"/>
        <v/>
      </c>
      <c r="AZ192" s="57" t="str">
        <f t="shared" si="32"/>
        <v/>
      </c>
      <c r="BA192" s="57" t="str">
        <f>IF(F192=1,IF(TableCosts[[#This Row],[TransferFrom]]=TableCosts[[#This Row],[TranferTo]],0,1),"")</f>
        <v/>
      </c>
      <c r="BB192" s="7">
        <f t="shared" si="33"/>
        <v>0</v>
      </c>
      <c r="BC192" s="7">
        <f t="shared" si="34"/>
        <v>0</v>
      </c>
    </row>
    <row r="193" spans="2:55" s="7" customFormat="1" ht="12.75" x14ac:dyDescent="0.2">
      <c r="B193" s="33"/>
      <c r="C193" s="31"/>
      <c r="D193" s="40"/>
      <c r="E193" s="6" t="str">
        <f>IF(F193=1,IF(ISERROR(TableCosts[[#This Row],[N_Tariff]]),Err_Message1,IF(TableCosts[[#This Row],[N_Tariff]]=0,Err_Message2,VLOOKUP(C193&amp;TableCosts[[#This Row],[Calc_N_Typ]],TRAN_STRITEMS_LABEL,5,FALSE))),"")</f>
        <v/>
      </c>
      <c r="F193" s="6">
        <f t="shared" si="38"/>
        <v>0</v>
      </c>
      <c r="G193" s="6" t="str">
        <f>IF(F193=1,IFERROR(VLOOKUP(E193,Tab_ErrMessage[],2,0),VLOOKUP(C193&amp;TableCosts[[#This Row],[Calc_N_Typ]],TRAN_STRITEMS_LABEL,4,FALSE)),"")</f>
        <v/>
      </c>
      <c r="H193" s="40"/>
      <c r="I193" s="40"/>
      <c r="J193" s="35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4"/>
      <c r="AI193" s="24"/>
      <c r="AJ193" s="24"/>
      <c r="AK193" s="38">
        <f t="array" ref="AK193">IF(F193=1,SUM((ROW(M0)=ROW(AK193))*(M0+M1_+M2_+M3_+M4_+M5_+M6_+M7_+M8_+M9_+M10_+M11_+M12_+M13_+M14_+M15_+M16_+M17_+M18_+M19_+M20_+M21_+M22_+M23_+M24_+M25_)),0)</f>
        <v>0</v>
      </c>
      <c r="AL193" s="27">
        <f>TableCosts[[#This Row],[N_Direct]]</f>
        <v>0</v>
      </c>
      <c r="AN193" s="7" t="str">
        <f t="shared" si="39"/>
        <v/>
      </c>
      <c r="AO193" s="7" t="str">
        <f t="shared" si="27"/>
        <v/>
      </c>
      <c r="AP193" s="7" t="str">
        <f t="shared" si="40"/>
        <v/>
      </c>
      <c r="AQ193" s="7" t="str">
        <f t="shared" si="28"/>
        <v/>
      </c>
      <c r="AR193" s="7" t="str">
        <f t="shared" si="41"/>
        <v/>
      </c>
      <c r="AS193" s="7">
        <f t="shared" si="29"/>
        <v>0</v>
      </c>
      <c r="AT193" s="17">
        <f>TableCosts[[#This Row],[N_Amount]]*TableCosts[[#This Row],[N_Tariff]]*TableCosts[[#This Row],[N_ItemsCount]]</f>
        <v>0</v>
      </c>
      <c r="AU193" s="17">
        <f>IF(F193=1,IF(TableCosts[[#This Row],[N_Kateg]]="interné práce",TableCosts[[#This Row],[N_Amount]]*8*PAR_SGA_PERHOUR,0),0)</f>
        <v>0</v>
      </c>
      <c r="AV193" s="17">
        <f>SUM(TableCosts[[#This Row],[N_Direct]:[N_SGA]])</f>
        <v>0</v>
      </c>
      <c r="AW193" s="7">
        <f>IF(F193=1,IF(D193="",NA(),VLOOKUP(C193&amp;TableCosts[[#This Row],[Calc_N_Typ]],TRAN_STRITEMS_LABEL,7,0)),0)</f>
        <v>0</v>
      </c>
      <c r="AX193" s="7">
        <f t="shared" si="30"/>
        <v>0</v>
      </c>
      <c r="AY193" s="57" t="str">
        <f t="shared" si="31"/>
        <v/>
      </c>
      <c r="AZ193" s="57" t="str">
        <f t="shared" si="32"/>
        <v/>
      </c>
      <c r="BA193" s="57" t="str">
        <f>IF(F193=1,IF(TableCosts[[#This Row],[TransferFrom]]=TableCosts[[#This Row],[TranferTo]],0,1),"")</f>
        <v/>
      </c>
      <c r="BB193" s="7">
        <f t="shared" si="33"/>
        <v>0</v>
      </c>
      <c r="BC193" s="7">
        <f t="shared" si="34"/>
        <v>0</v>
      </c>
    </row>
    <row r="194" spans="2:55" s="7" customFormat="1" ht="12.75" x14ac:dyDescent="0.2">
      <c r="B194" s="33"/>
      <c r="C194" s="31"/>
      <c r="D194" s="40"/>
      <c r="E194" s="6" t="str">
        <f>IF(F194=1,IF(ISERROR(TableCosts[[#This Row],[N_Tariff]]),Err_Message1,IF(TableCosts[[#This Row],[N_Tariff]]=0,Err_Message2,VLOOKUP(C194&amp;TableCosts[[#This Row],[Calc_N_Typ]],TRAN_STRITEMS_LABEL,5,FALSE))),"")</f>
        <v/>
      </c>
      <c r="F194" s="6">
        <f t="shared" si="38"/>
        <v>0</v>
      </c>
      <c r="G194" s="6" t="str">
        <f>IF(F194=1,IFERROR(VLOOKUP(E194,Tab_ErrMessage[],2,0),VLOOKUP(C194&amp;TableCosts[[#This Row],[Calc_N_Typ]],TRAN_STRITEMS_LABEL,4,FALSE)),"")</f>
        <v/>
      </c>
      <c r="H194" s="40"/>
      <c r="I194" s="40"/>
      <c r="J194" s="35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/>
      <c r="AK194" s="38">
        <f t="array" ref="AK194">IF(F194=1,SUM((ROW(M0)=ROW(AK194))*(M0+M1_+M2_+M3_+M4_+M5_+M6_+M7_+M8_+M9_+M10_+M11_+M12_+M13_+M14_+M15_+M16_+M17_+M18_+M19_+M20_+M21_+M22_+M23_+M24_+M25_)),0)</f>
        <v>0</v>
      </c>
      <c r="AL194" s="27">
        <f>TableCosts[[#This Row],[N_Direct]]</f>
        <v>0</v>
      </c>
      <c r="AN194" s="7" t="str">
        <f t="shared" si="39"/>
        <v/>
      </c>
      <c r="AO194" s="7" t="str">
        <f t="shared" si="27"/>
        <v/>
      </c>
      <c r="AP194" s="7" t="str">
        <f t="shared" si="40"/>
        <v/>
      </c>
      <c r="AQ194" s="7" t="str">
        <f t="shared" si="28"/>
        <v/>
      </c>
      <c r="AR194" s="7" t="str">
        <f t="shared" si="41"/>
        <v/>
      </c>
      <c r="AS194" s="7">
        <f t="shared" si="29"/>
        <v>0</v>
      </c>
      <c r="AT194" s="17">
        <f>TableCosts[[#This Row],[N_Amount]]*TableCosts[[#This Row],[N_Tariff]]*TableCosts[[#This Row],[N_ItemsCount]]</f>
        <v>0</v>
      </c>
      <c r="AU194" s="17">
        <f>IF(F194=1,IF(TableCosts[[#This Row],[N_Kateg]]="interné práce",TableCosts[[#This Row],[N_Amount]]*8*PAR_SGA_PERHOUR,0),0)</f>
        <v>0</v>
      </c>
      <c r="AV194" s="17">
        <f>SUM(TableCosts[[#This Row],[N_Direct]:[N_SGA]])</f>
        <v>0</v>
      </c>
      <c r="AW194" s="7">
        <f>IF(F194=1,IF(D194="",NA(),VLOOKUP(C194&amp;TableCosts[[#This Row],[Calc_N_Typ]],TRAN_STRITEMS_LABEL,7,0)),0)</f>
        <v>0</v>
      </c>
      <c r="AX194" s="7">
        <f t="shared" si="30"/>
        <v>0</v>
      </c>
      <c r="AY194" s="57" t="str">
        <f t="shared" si="31"/>
        <v/>
      </c>
      <c r="AZ194" s="57" t="str">
        <f t="shared" si="32"/>
        <v/>
      </c>
      <c r="BA194" s="57" t="str">
        <f>IF(F194=1,IF(TableCosts[[#This Row],[TransferFrom]]=TableCosts[[#This Row],[TranferTo]],0,1),"")</f>
        <v/>
      </c>
      <c r="BB194" s="7">
        <f t="shared" si="33"/>
        <v>0</v>
      </c>
      <c r="BC194" s="7">
        <f t="shared" si="34"/>
        <v>0</v>
      </c>
    </row>
    <row r="195" spans="2:55" s="7" customFormat="1" ht="12.75" x14ac:dyDescent="0.2">
      <c r="B195" s="33"/>
      <c r="C195" s="31"/>
      <c r="D195" s="40"/>
      <c r="E195" s="6" t="str">
        <f>IF(F195=1,IF(ISERROR(TableCosts[[#This Row],[N_Tariff]]),Err_Message1,IF(TableCosts[[#This Row],[N_Tariff]]=0,Err_Message2,VLOOKUP(C195&amp;TableCosts[[#This Row],[Calc_N_Typ]],TRAN_STRITEMS_LABEL,5,FALSE))),"")</f>
        <v/>
      </c>
      <c r="F195" s="6">
        <f t="shared" si="38"/>
        <v>0</v>
      </c>
      <c r="G195" s="6" t="str">
        <f>IF(F195=1,IFERROR(VLOOKUP(E195,Tab_ErrMessage[],2,0),VLOOKUP(C195&amp;TableCosts[[#This Row],[Calc_N_Typ]],TRAN_STRITEMS_LABEL,4,FALSE)),"")</f>
        <v/>
      </c>
      <c r="H195" s="40"/>
      <c r="I195" s="40"/>
      <c r="J195" s="35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4"/>
      <c r="AI195" s="24"/>
      <c r="AJ195" s="24"/>
      <c r="AK195" s="38">
        <f t="array" ref="AK195">IF(F195=1,SUM((ROW(M0)=ROW(AK195))*(M0+M1_+M2_+M3_+M4_+M5_+M6_+M7_+M8_+M9_+M10_+M11_+M12_+M13_+M14_+M15_+M16_+M17_+M18_+M19_+M20_+M21_+M22_+M23_+M24_+M25_)),0)</f>
        <v>0</v>
      </c>
      <c r="AL195" s="27">
        <f>TableCosts[[#This Row],[N_Direct]]</f>
        <v>0</v>
      </c>
      <c r="AN195" s="7" t="str">
        <f t="shared" si="39"/>
        <v/>
      </c>
      <c r="AO195" s="7" t="str">
        <f t="shared" si="27"/>
        <v/>
      </c>
      <c r="AP195" s="7" t="str">
        <f t="shared" si="40"/>
        <v/>
      </c>
      <c r="AQ195" s="7" t="str">
        <f t="shared" si="28"/>
        <v/>
      </c>
      <c r="AR195" s="7" t="str">
        <f t="shared" si="41"/>
        <v/>
      </c>
      <c r="AS195" s="7">
        <f t="shared" si="29"/>
        <v>0</v>
      </c>
      <c r="AT195" s="17">
        <f>TableCosts[[#This Row],[N_Amount]]*TableCosts[[#This Row],[N_Tariff]]*TableCosts[[#This Row],[N_ItemsCount]]</f>
        <v>0</v>
      </c>
      <c r="AU195" s="17">
        <f>IF(F195=1,IF(TableCosts[[#This Row],[N_Kateg]]="interné práce",TableCosts[[#This Row],[N_Amount]]*8*PAR_SGA_PERHOUR,0),0)</f>
        <v>0</v>
      </c>
      <c r="AV195" s="17">
        <f>SUM(TableCosts[[#This Row],[N_Direct]:[N_SGA]])</f>
        <v>0</v>
      </c>
      <c r="AW195" s="7">
        <f>IF(F195=1,IF(D195="",NA(),VLOOKUP(C195&amp;TableCosts[[#This Row],[Calc_N_Typ]],TRAN_STRITEMS_LABEL,7,0)),0)</f>
        <v>0</v>
      </c>
      <c r="AX195" s="7">
        <f t="shared" si="30"/>
        <v>0</v>
      </c>
      <c r="AY195" s="57" t="str">
        <f t="shared" si="31"/>
        <v/>
      </c>
      <c r="AZ195" s="57" t="str">
        <f t="shared" si="32"/>
        <v/>
      </c>
      <c r="BA195" s="57" t="str">
        <f>IF(F195=1,IF(TableCosts[[#This Row],[TransferFrom]]=TableCosts[[#This Row],[TranferTo]],0,1),"")</f>
        <v/>
      </c>
      <c r="BB195" s="7">
        <f t="shared" si="33"/>
        <v>0</v>
      </c>
      <c r="BC195" s="7">
        <f t="shared" si="34"/>
        <v>0</v>
      </c>
    </row>
    <row r="196" spans="2:55" s="7" customFormat="1" ht="12.75" x14ac:dyDescent="0.2">
      <c r="B196" s="33"/>
      <c r="C196" s="31"/>
      <c r="D196" s="40"/>
      <c r="E196" s="6" t="str">
        <f>IF(F196=1,IF(ISERROR(TableCosts[[#This Row],[N_Tariff]]),Err_Message1,IF(TableCosts[[#This Row],[N_Tariff]]=0,Err_Message2,VLOOKUP(C196&amp;TableCosts[[#This Row],[Calc_N_Typ]],TRAN_STRITEMS_LABEL,5,FALSE))),"")</f>
        <v/>
      </c>
      <c r="F196" s="6">
        <f t="shared" si="38"/>
        <v>0</v>
      </c>
      <c r="G196" s="6" t="str">
        <f>IF(F196=1,IFERROR(VLOOKUP(E196,Tab_ErrMessage[],2,0),VLOOKUP(C196&amp;TableCosts[[#This Row],[Calc_N_Typ]],TRAN_STRITEMS_LABEL,4,FALSE)),"")</f>
        <v/>
      </c>
      <c r="H196" s="40"/>
      <c r="I196" s="40"/>
      <c r="J196" s="35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4"/>
      <c r="AI196" s="24"/>
      <c r="AJ196" s="24"/>
      <c r="AK196" s="38">
        <f t="array" ref="AK196">IF(F196=1,SUM((ROW(M0)=ROW(AK196))*(M0+M1_+M2_+M3_+M4_+M5_+M6_+M7_+M8_+M9_+M10_+M11_+M12_+M13_+M14_+M15_+M16_+M17_+M18_+M19_+M20_+M21_+M22_+M23_+M24_+M25_)),0)</f>
        <v>0</v>
      </c>
      <c r="AL196" s="27">
        <f>TableCosts[[#This Row],[N_Direct]]</f>
        <v>0</v>
      </c>
      <c r="AN196" s="7" t="str">
        <f t="shared" si="39"/>
        <v/>
      </c>
      <c r="AO196" s="7" t="str">
        <f t="shared" si="27"/>
        <v/>
      </c>
      <c r="AP196" s="7" t="str">
        <f t="shared" si="40"/>
        <v/>
      </c>
      <c r="AQ196" s="7" t="str">
        <f t="shared" si="28"/>
        <v/>
      </c>
      <c r="AR196" s="7" t="str">
        <f t="shared" si="41"/>
        <v/>
      </c>
      <c r="AS196" s="7">
        <f t="shared" si="29"/>
        <v>0</v>
      </c>
      <c r="AT196" s="17">
        <f>TableCosts[[#This Row],[N_Amount]]*TableCosts[[#This Row],[N_Tariff]]*TableCosts[[#This Row],[N_ItemsCount]]</f>
        <v>0</v>
      </c>
      <c r="AU196" s="17">
        <f>IF(F196=1,IF(TableCosts[[#This Row],[N_Kateg]]="interné práce",TableCosts[[#This Row],[N_Amount]]*8*PAR_SGA_PERHOUR,0),0)</f>
        <v>0</v>
      </c>
      <c r="AV196" s="17">
        <f>SUM(TableCosts[[#This Row],[N_Direct]:[N_SGA]])</f>
        <v>0</v>
      </c>
      <c r="AW196" s="7">
        <f>IF(F196=1,IF(D196="",NA(),VLOOKUP(C196&amp;TableCosts[[#This Row],[Calc_N_Typ]],TRAN_STRITEMS_LABEL,7,0)),0)</f>
        <v>0</v>
      </c>
      <c r="AX196" s="7">
        <f t="shared" si="30"/>
        <v>0</v>
      </c>
      <c r="AY196" s="57" t="str">
        <f t="shared" si="31"/>
        <v/>
      </c>
      <c r="AZ196" s="57" t="str">
        <f t="shared" si="32"/>
        <v/>
      </c>
      <c r="BA196" s="57" t="str">
        <f>IF(F196=1,IF(TableCosts[[#This Row],[TransferFrom]]=TableCosts[[#This Row],[TranferTo]],0,1),"")</f>
        <v/>
      </c>
      <c r="BB196" s="7">
        <f t="shared" si="33"/>
        <v>0</v>
      </c>
      <c r="BC196" s="7">
        <f t="shared" si="34"/>
        <v>0</v>
      </c>
    </row>
    <row r="197" spans="2:55" s="7" customFormat="1" ht="12.75" x14ac:dyDescent="0.2">
      <c r="B197" s="33"/>
      <c r="C197" s="31"/>
      <c r="D197" s="40"/>
      <c r="E197" s="6" t="str">
        <f>IF(F197=1,IF(ISERROR(TableCosts[[#This Row],[N_Tariff]]),Err_Message1,IF(TableCosts[[#This Row],[N_Tariff]]=0,Err_Message2,VLOOKUP(C197&amp;TableCosts[[#This Row],[Calc_N_Typ]],TRAN_STRITEMS_LABEL,5,FALSE))),"")</f>
        <v/>
      </c>
      <c r="F197" s="6">
        <f t="shared" si="38"/>
        <v>0</v>
      </c>
      <c r="G197" s="6" t="str">
        <f>IF(F197=1,IFERROR(VLOOKUP(E197,Tab_ErrMessage[],2,0),VLOOKUP(C197&amp;TableCosts[[#This Row],[Calc_N_Typ]],TRAN_STRITEMS_LABEL,4,FALSE)),"")</f>
        <v/>
      </c>
      <c r="H197" s="40"/>
      <c r="I197" s="40"/>
      <c r="J197" s="35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4"/>
      <c r="AI197" s="24"/>
      <c r="AJ197" s="24"/>
      <c r="AK197" s="38">
        <f t="array" ref="AK197">IF(F197=1,SUM((ROW(M0)=ROW(AK197))*(M0+M1_+M2_+M3_+M4_+M5_+M6_+M7_+M8_+M9_+M10_+M11_+M12_+M13_+M14_+M15_+M16_+M17_+M18_+M19_+M20_+M21_+M22_+M23_+M24_+M25_)),0)</f>
        <v>0</v>
      </c>
      <c r="AL197" s="27">
        <f>TableCosts[[#This Row],[N_Direct]]</f>
        <v>0</v>
      </c>
      <c r="AN197" s="7" t="str">
        <f t="shared" si="39"/>
        <v/>
      </c>
      <c r="AO197" s="7" t="str">
        <f t="shared" si="27"/>
        <v/>
      </c>
      <c r="AP197" s="7" t="str">
        <f t="shared" si="40"/>
        <v/>
      </c>
      <c r="AQ197" s="7" t="str">
        <f t="shared" si="28"/>
        <v/>
      </c>
      <c r="AR197" s="7" t="str">
        <f t="shared" si="41"/>
        <v/>
      </c>
      <c r="AS197" s="7">
        <f t="shared" si="29"/>
        <v>0</v>
      </c>
      <c r="AT197" s="17">
        <f>TableCosts[[#This Row],[N_Amount]]*TableCosts[[#This Row],[N_Tariff]]*TableCosts[[#This Row],[N_ItemsCount]]</f>
        <v>0</v>
      </c>
      <c r="AU197" s="17">
        <f>IF(F197=1,IF(TableCosts[[#This Row],[N_Kateg]]="interné práce",TableCosts[[#This Row],[N_Amount]]*8*PAR_SGA_PERHOUR,0),0)</f>
        <v>0</v>
      </c>
      <c r="AV197" s="17">
        <f>SUM(TableCosts[[#This Row],[N_Direct]:[N_SGA]])</f>
        <v>0</v>
      </c>
      <c r="AW197" s="7">
        <f>IF(F197=1,IF(D197="",NA(),VLOOKUP(C197&amp;TableCosts[[#This Row],[Calc_N_Typ]],TRAN_STRITEMS_LABEL,7,0)),0)</f>
        <v>0</v>
      </c>
      <c r="AX197" s="7">
        <f t="shared" si="30"/>
        <v>0</v>
      </c>
      <c r="AY197" s="57" t="str">
        <f t="shared" si="31"/>
        <v/>
      </c>
      <c r="AZ197" s="57" t="str">
        <f t="shared" si="32"/>
        <v/>
      </c>
      <c r="BA197" s="57" t="str">
        <f>IF(F197=1,IF(TableCosts[[#This Row],[TransferFrom]]=TableCosts[[#This Row],[TranferTo]],0,1),"")</f>
        <v/>
      </c>
      <c r="BB197" s="7">
        <f t="shared" si="33"/>
        <v>0</v>
      </c>
      <c r="BC197" s="7">
        <f t="shared" si="34"/>
        <v>0</v>
      </c>
    </row>
    <row r="198" spans="2:55" s="7" customFormat="1" ht="12.75" x14ac:dyDescent="0.2">
      <c r="B198" s="33"/>
      <c r="C198" s="31"/>
      <c r="D198" s="40"/>
      <c r="E198" s="6" t="str">
        <f>IF(F198=1,IF(ISERROR(TableCosts[[#This Row],[N_Tariff]]),Err_Message1,IF(TableCosts[[#This Row],[N_Tariff]]=0,Err_Message2,VLOOKUP(C198&amp;TableCosts[[#This Row],[Calc_N_Typ]],TRAN_STRITEMS_LABEL,5,FALSE))),"")</f>
        <v/>
      </c>
      <c r="F198" s="6">
        <f t="shared" si="38"/>
        <v>0</v>
      </c>
      <c r="G198" s="6" t="str">
        <f>IF(F198=1,IFERROR(VLOOKUP(E198,Tab_ErrMessage[],2,0),VLOOKUP(C198&amp;TableCosts[[#This Row],[Calc_N_Typ]],TRAN_STRITEMS_LABEL,4,FALSE)),"")</f>
        <v/>
      </c>
      <c r="H198" s="40"/>
      <c r="I198" s="40"/>
      <c r="J198" s="35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4"/>
      <c r="AI198" s="24"/>
      <c r="AJ198" s="24"/>
      <c r="AK198" s="38">
        <f t="array" ref="AK198">IF(F198=1,SUM((ROW(M0)=ROW(AK198))*(M0+M1_+M2_+M3_+M4_+M5_+M6_+M7_+M8_+M9_+M10_+M11_+M12_+M13_+M14_+M15_+M16_+M17_+M18_+M19_+M20_+M21_+M22_+M23_+M24_+M25_)),0)</f>
        <v>0</v>
      </c>
      <c r="AL198" s="27">
        <f>TableCosts[[#This Row],[N_Direct]]</f>
        <v>0</v>
      </c>
      <c r="AN198" s="7" t="str">
        <f t="shared" si="39"/>
        <v/>
      </c>
      <c r="AO198" s="7" t="str">
        <f t="shared" si="27"/>
        <v/>
      </c>
      <c r="AP198" s="7" t="str">
        <f t="shared" si="40"/>
        <v/>
      </c>
      <c r="AQ198" s="7" t="str">
        <f t="shared" si="28"/>
        <v/>
      </c>
      <c r="AR198" s="7" t="str">
        <f t="shared" si="41"/>
        <v/>
      </c>
      <c r="AS198" s="7">
        <f t="shared" si="29"/>
        <v>0</v>
      </c>
      <c r="AT198" s="17">
        <f>TableCosts[[#This Row],[N_Amount]]*TableCosts[[#This Row],[N_Tariff]]*TableCosts[[#This Row],[N_ItemsCount]]</f>
        <v>0</v>
      </c>
      <c r="AU198" s="17">
        <f>IF(F198=1,IF(TableCosts[[#This Row],[N_Kateg]]="interné práce",TableCosts[[#This Row],[N_Amount]]*8*PAR_SGA_PERHOUR,0),0)</f>
        <v>0</v>
      </c>
      <c r="AV198" s="17">
        <f>SUM(TableCosts[[#This Row],[N_Direct]:[N_SGA]])</f>
        <v>0</v>
      </c>
      <c r="AW198" s="7">
        <f>IF(F198=1,IF(D198="",NA(),VLOOKUP(C198&amp;TableCosts[[#This Row],[Calc_N_Typ]],TRAN_STRITEMS_LABEL,7,0)),0)</f>
        <v>0</v>
      </c>
      <c r="AX198" s="7">
        <f t="shared" si="30"/>
        <v>0</v>
      </c>
      <c r="AY198" s="57" t="str">
        <f t="shared" si="31"/>
        <v/>
      </c>
      <c r="AZ198" s="57" t="str">
        <f t="shared" si="32"/>
        <v/>
      </c>
      <c r="BA198" s="57" t="str">
        <f>IF(F198=1,IF(TableCosts[[#This Row],[TransferFrom]]=TableCosts[[#This Row],[TranferTo]],0,1),"")</f>
        <v/>
      </c>
      <c r="BB198" s="7">
        <f t="shared" si="33"/>
        <v>0</v>
      </c>
      <c r="BC198" s="7">
        <f t="shared" si="34"/>
        <v>0</v>
      </c>
    </row>
    <row r="199" spans="2:55" s="7" customFormat="1" ht="12.75" x14ac:dyDescent="0.2">
      <c r="B199" s="33"/>
      <c r="C199" s="31"/>
      <c r="D199" s="40"/>
      <c r="E199" s="6" t="str">
        <f>IF(F199=1,IF(ISERROR(TableCosts[[#This Row],[N_Tariff]]),Err_Message1,IF(TableCosts[[#This Row],[N_Tariff]]=0,Err_Message2,VLOOKUP(C199&amp;TableCosts[[#This Row],[Calc_N_Typ]],TRAN_STRITEMS_LABEL,5,FALSE))),"")</f>
        <v/>
      </c>
      <c r="F199" s="6">
        <f t="shared" si="38"/>
        <v>0</v>
      </c>
      <c r="G199" s="6" t="str">
        <f>IF(F199=1,IFERROR(VLOOKUP(E199,Tab_ErrMessage[],2,0),VLOOKUP(C199&amp;TableCosts[[#This Row],[Calc_N_Typ]],TRAN_STRITEMS_LABEL,4,FALSE)),"")</f>
        <v/>
      </c>
      <c r="H199" s="40"/>
      <c r="I199" s="40"/>
      <c r="J199" s="35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4"/>
      <c r="AI199" s="24"/>
      <c r="AJ199" s="24"/>
      <c r="AK199" s="38">
        <f t="array" ref="AK199">IF(F199=1,SUM((ROW(M0)=ROW(AK199))*(M0+M1_+M2_+M3_+M4_+M5_+M6_+M7_+M8_+M9_+M10_+M11_+M12_+M13_+M14_+M15_+M16_+M17_+M18_+M19_+M20_+M21_+M22_+M23_+M24_+M25_)),0)</f>
        <v>0</v>
      </c>
      <c r="AL199" s="27">
        <f>TableCosts[[#This Row],[N_Direct]]</f>
        <v>0</v>
      </c>
      <c r="AN199" s="7" t="str">
        <f t="shared" si="39"/>
        <v/>
      </c>
      <c r="AO199" s="7" t="str">
        <f t="shared" ref="AO199:AO262" si="42">IF(F199=1,IF(C199="","",C199),"")</f>
        <v/>
      </c>
      <c r="AP199" s="7" t="str">
        <f t="shared" si="40"/>
        <v/>
      </c>
      <c r="AQ199" s="7" t="str">
        <f t="shared" ref="AQ199:AQ262" si="43">IF(F199=1,IF(OR(D199="realizácia",D199=""),"realizácia",D199),"")</f>
        <v/>
      </c>
      <c r="AR199" s="7" t="str">
        <f t="shared" si="41"/>
        <v/>
      </c>
      <c r="AS199" s="7">
        <f t="shared" ref="AS199:AS262" si="44">IF(F199=1,IF(G199="ks",ROUNDUP(AK199,0),AK199),0)</f>
        <v>0</v>
      </c>
      <c r="AT199" s="17">
        <f>TableCosts[[#This Row],[N_Amount]]*TableCosts[[#This Row],[N_Tariff]]*TableCosts[[#This Row],[N_ItemsCount]]</f>
        <v>0</v>
      </c>
      <c r="AU199" s="17">
        <f>IF(F199=1,IF(TableCosts[[#This Row],[N_Kateg]]="interné práce",TableCosts[[#This Row],[N_Amount]]*8*PAR_SGA_PERHOUR,0),0)</f>
        <v>0</v>
      </c>
      <c r="AV199" s="17">
        <f>SUM(TableCosts[[#This Row],[N_Direct]:[N_SGA]])</f>
        <v>0</v>
      </c>
      <c r="AW199" s="7">
        <f>IF(F199=1,IF(D199="",NA(),VLOOKUP(C199&amp;TableCosts[[#This Row],[Calc_N_Typ]],TRAN_STRITEMS_LABEL,7,0)),0)</f>
        <v>0</v>
      </c>
      <c r="AX199" s="7">
        <f t="shared" ref="AX199:AX262" si="45">IF(F199=1,IF(G199="čld.",8,1),0)</f>
        <v>0</v>
      </c>
      <c r="AY199" s="57" t="str">
        <f t="shared" ref="AY199:AY262" si="46">IF(F199=1,IFERROR(VLOOKUP(B199,IpsLicences,2,0),IF(C199="",Par_Center,C199)),"")</f>
        <v/>
      </c>
      <c r="AZ199" s="57" t="str">
        <f t="shared" ref="AZ199:AZ262" si="47">IF(F199=1,Par_Center,"")</f>
        <v/>
      </c>
      <c r="BA199" s="57" t="str">
        <f>IF(F199=1,IF(TableCosts[[#This Row],[TransferFrom]]=TableCosts[[#This Row],[TranferTo]],0,1),"")</f>
        <v/>
      </c>
      <c r="BB199" s="7">
        <f t="shared" ref="BB199:BB262" si="48">IF(RIGHT(B199,LEN(Par_LabelTravelTime))=Par_LabelTravelTime,LEFT(B199,LEN(B199)-LEN(Par_LabelTravelTime)),B199)</f>
        <v>0</v>
      </c>
      <c r="BC199" s="7">
        <f t="shared" ref="BC199:BC262" si="49">IF(RIGHT(B199,LEN(Par_LabelTravelTime))=Par_LabelTravelTime,1,0)</f>
        <v>0</v>
      </c>
    </row>
    <row r="200" spans="2:55" s="7" customFormat="1" ht="12.75" x14ac:dyDescent="0.2">
      <c r="B200" s="33"/>
      <c r="C200" s="31"/>
      <c r="D200" s="40"/>
      <c r="E200" s="6" t="str">
        <f>IF(F200=1,IF(ISERROR(TableCosts[[#This Row],[N_Tariff]]),Err_Message1,IF(TableCosts[[#This Row],[N_Tariff]]=0,Err_Message2,VLOOKUP(C200&amp;TableCosts[[#This Row],[Calc_N_Typ]],TRAN_STRITEMS_LABEL,5,FALSE))),"")</f>
        <v/>
      </c>
      <c r="F200" s="6">
        <f t="shared" si="38"/>
        <v>0</v>
      </c>
      <c r="G200" s="6" t="str">
        <f>IF(F200=1,IFERROR(VLOOKUP(E200,Tab_ErrMessage[],2,0),VLOOKUP(C200&amp;TableCosts[[#This Row],[Calc_N_Typ]],TRAN_STRITEMS_LABEL,4,FALSE)),"")</f>
        <v/>
      </c>
      <c r="H200" s="40"/>
      <c r="I200" s="40"/>
      <c r="J200" s="35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4"/>
      <c r="AI200" s="24"/>
      <c r="AJ200" s="24"/>
      <c r="AK200" s="38">
        <f t="array" ref="AK200">IF(F200=1,SUM((ROW(M0)=ROW(AK200))*(M0+M1_+M2_+M3_+M4_+M5_+M6_+M7_+M8_+M9_+M10_+M11_+M12_+M13_+M14_+M15_+M16_+M17_+M18_+M19_+M20_+M21_+M22_+M23_+M24_+M25_)),0)</f>
        <v>0</v>
      </c>
      <c r="AL200" s="27">
        <f>TableCosts[[#This Row],[N_Direct]]</f>
        <v>0</v>
      </c>
      <c r="AN200" s="7" t="str">
        <f t="shared" si="39"/>
        <v/>
      </c>
      <c r="AO200" s="7" t="str">
        <f t="shared" si="42"/>
        <v/>
      </c>
      <c r="AP200" s="7" t="str">
        <f t="shared" si="40"/>
        <v/>
      </c>
      <c r="AQ200" s="7" t="str">
        <f t="shared" si="43"/>
        <v/>
      </c>
      <c r="AR200" s="7" t="str">
        <f t="shared" si="41"/>
        <v/>
      </c>
      <c r="AS200" s="7">
        <f t="shared" si="44"/>
        <v>0</v>
      </c>
      <c r="AT200" s="17">
        <f>TableCosts[[#This Row],[N_Amount]]*TableCosts[[#This Row],[N_Tariff]]*TableCosts[[#This Row],[N_ItemsCount]]</f>
        <v>0</v>
      </c>
      <c r="AU200" s="17">
        <f>IF(F200=1,IF(TableCosts[[#This Row],[N_Kateg]]="interné práce",TableCosts[[#This Row],[N_Amount]]*8*PAR_SGA_PERHOUR,0),0)</f>
        <v>0</v>
      </c>
      <c r="AV200" s="17">
        <f>SUM(TableCosts[[#This Row],[N_Direct]:[N_SGA]])</f>
        <v>0</v>
      </c>
      <c r="AW200" s="7">
        <f>IF(F200=1,IF(D200="",NA(),VLOOKUP(C200&amp;TableCosts[[#This Row],[Calc_N_Typ]],TRAN_STRITEMS_LABEL,7,0)),0)</f>
        <v>0</v>
      </c>
      <c r="AX200" s="7">
        <f t="shared" si="45"/>
        <v>0</v>
      </c>
      <c r="AY200" s="57" t="str">
        <f t="shared" si="46"/>
        <v/>
      </c>
      <c r="AZ200" s="57" t="str">
        <f t="shared" si="47"/>
        <v/>
      </c>
      <c r="BA200" s="57" t="str">
        <f>IF(F200=1,IF(TableCosts[[#This Row],[TransferFrom]]=TableCosts[[#This Row],[TranferTo]],0,1),"")</f>
        <v/>
      </c>
      <c r="BB200" s="7">
        <f t="shared" si="48"/>
        <v>0</v>
      </c>
      <c r="BC200" s="7">
        <f t="shared" si="49"/>
        <v>0</v>
      </c>
    </row>
    <row r="201" spans="2:55" s="7" customFormat="1" ht="12.75" x14ac:dyDescent="0.2">
      <c r="B201" s="33"/>
      <c r="C201" s="31"/>
      <c r="D201" s="40"/>
      <c r="E201" s="6" t="str">
        <f>IF(F201=1,IF(ISERROR(TableCosts[[#This Row],[N_Tariff]]),Err_Message1,IF(TableCosts[[#This Row],[N_Tariff]]=0,Err_Message2,VLOOKUP(C201&amp;TableCosts[[#This Row],[Calc_N_Typ]],TRAN_STRITEMS_LABEL,5,FALSE))),"")</f>
        <v/>
      </c>
      <c r="F201" s="6">
        <f t="shared" ref="F201:F264" si="50">IF(B201="",0,IF(LEFT(B201,3)="***",-1,1))</f>
        <v>0</v>
      </c>
      <c r="G201" s="6" t="str">
        <f>IF(F201=1,IFERROR(VLOOKUP(E201,Tab_ErrMessage[],2,0),VLOOKUP(C201&amp;TableCosts[[#This Row],[Calc_N_Typ]],TRAN_STRITEMS_LABEL,4,FALSE)),"")</f>
        <v/>
      </c>
      <c r="H201" s="40"/>
      <c r="I201" s="40"/>
      <c r="J201" s="35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4"/>
      <c r="AI201" s="24"/>
      <c r="AJ201" s="24"/>
      <c r="AK201" s="38">
        <f t="array" ref="AK201">IF(F201=1,SUM((ROW(M0)=ROW(AK201))*(M0+M1_+M2_+M3_+M4_+M5_+M6_+M7_+M8_+M9_+M10_+M11_+M12_+M13_+M14_+M15_+M16_+M17_+M18_+M19_+M20_+M21_+M22_+M23_+M24_+M25_)),0)</f>
        <v>0</v>
      </c>
      <c r="AL201" s="27">
        <f>TableCosts[[#This Row],[N_Direct]]</f>
        <v>0</v>
      </c>
      <c r="AN201" s="7" t="str">
        <f t="shared" si="39"/>
        <v/>
      </c>
      <c r="AO201" s="7" t="str">
        <f t="shared" si="42"/>
        <v/>
      </c>
      <c r="AP201" s="7" t="str">
        <f t="shared" si="40"/>
        <v/>
      </c>
      <c r="AQ201" s="7" t="str">
        <f t="shared" si="43"/>
        <v/>
      </c>
      <c r="AR201" s="7" t="str">
        <f t="shared" si="41"/>
        <v/>
      </c>
      <c r="AS201" s="7">
        <f t="shared" si="44"/>
        <v>0</v>
      </c>
      <c r="AT201" s="17">
        <f>TableCosts[[#This Row],[N_Amount]]*TableCosts[[#This Row],[N_Tariff]]*TableCosts[[#This Row],[N_ItemsCount]]</f>
        <v>0</v>
      </c>
      <c r="AU201" s="17">
        <f>IF(F201=1,IF(TableCosts[[#This Row],[N_Kateg]]="interné práce",TableCosts[[#This Row],[N_Amount]]*8*PAR_SGA_PERHOUR,0),0)</f>
        <v>0</v>
      </c>
      <c r="AV201" s="17">
        <f>SUM(TableCosts[[#This Row],[N_Direct]:[N_SGA]])</f>
        <v>0</v>
      </c>
      <c r="AW201" s="7">
        <f>IF(F201=1,IF(D201="",NA(),VLOOKUP(C201&amp;TableCosts[[#This Row],[Calc_N_Typ]],TRAN_STRITEMS_LABEL,7,0)),0)</f>
        <v>0</v>
      </c>
      <c r="AX201" s="7">
        <f t="shared" si="45"/>
        <v>0</v>
      </c>
      <c r="AY201" s="57" t="str">
        <f t="shared" si="46"/>
        <v/>
      </c>
      <c r="AZ201" s="57" t="str">
        <f t="shared" si="47"/>
        <v/>
      </c>
      <c r="BA201" s="57" t="str">
        <f>IF(F201=1,IF(TableCosts[[#This Row],[TransferFrom]]=TableCosts[[#This Row],[TranferTo]],0,1),"")</f>
        <v/>
      </c>
      <c r="BB201" s="7">
        <f t="shared" si="48"/>
        <v>0</v>
      </c>
      <c r="BC201" s="7">
        <f t="shared" si="49"/>
        <v>0</v>
      </c>
    </row>
    <row r="202" spans="2:55" s="7" customFormat="1" ht="12.75" x14ac:dyDescent="0.2">
      <c r="B202" s="33"/>
      <c r="C202" s="31"/>
      <c r="D202" s="40"/>
      <c r="E202" s="6" t="str">
        <f>IF(F202=1,IF(ISERROR(TableCosts[[#This Row],[N_Tariff]]),Err_Message1,IF(TableCosts[[#This Row],[N_Tariff]]=0,Err_Message2,VLOOKUP(C202&amp;TableCosts[[#This Row],[Calc_N_Typ]],TRAN_STRITEMS_LABEL,5,FALSE))),"")</f>
        <v/>
      </c>
      <c r="F202" s="6">
        <f t="shared" si="50"/>
        <v>0</v>
      </c>
      <c r="G202" s="6" t="str">
        <f>IF(F202=1,IFERROR(VLOOKUP(E202,Tab_ErrMessage[],2,0),VLOOKUP(C202&amp;TableCosts[[#This Row],[Calc_N_Typ]],TRAN_STRITEMS_LABEL,4,FALSE)),"")</f>
        <v/>
      </c>
      <c r="H202" s="40"/>
      <c r="I202" s="40"/>
      <c r="J202" s="35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4"/>
      <c r="AI202" s="24"/>
      <c r="AJ202" s="24"/>
      <c r="AK202" s="38">
        <f t="array" ref="AK202">IF(F202=1,SUM((ROW(M0)=ROW(AK202))*(M0+M1_+M2_+M3_+M4_+M5_+M6_+M7_+M8_+M9_+M10_+M11_+M12_+M13_+M14_+M15_+M16_+M17_+M18_+M19_+M20_+M21_+M22_+M23_+M24_+M25_)),0)</f>
        <v>0</v>
      </c>
      <c r="AL202" s="27">
        <f>TableCosts[[#This Row],[N_Direct]]</f>
        <v>0</v>
      </c>
      <c r="AN202" s="7" t="str">
        <f t="shared" si="39"/>
        <v/>
      </c>
      <c r="AO202" s="7" t="str">
        <f t="shared" si="42"/>
        <v/>
      </c>
      <c r="AP202" s="7" t="str">
        <f t="shared" si="40"/>
        <v/>
      </c>
      <c r="AQ202" s="7" t="str">
        <f t="shared" si="43"/>
        <v/>
      </c>
      <c r="AR202" s="7" t="str">
        <f t="shared" si="41"/>
        <v/>
      </c>
      <c r="AS202" s="7">
        <f t="shared" si="44"/>
        <v>0</v>
      </c>
      <c r="AT202" s="17">
        <f>TableCosts[[#This Row],[N_Amount]]*TableCosts[[#This Row],[N_Tariff]]*TableCosts[[#This Row],[N_ItemsCount]]</f>
        <v>0</v>
      </c>
      <c r="AU202" s="17">
        <f>IF(F202=1,IF(TableCosts[[#This Row],[N_Kateg]]="interné práce",TableCosts[[#This Row],[N_Amount]]*8*PAR_SGA_PERHOUR,0),0)</f>
        <v>0</v>
      </c>
      <c r="AV202" s="17">
        <f>SUM(TableCosts[[#This Row],[N_Direct]:[N_SGA]])</f>
        <v>0</v>
      </c>
      <c r="AW202" s="7">
        <f>IF(F202=1,IF(D202="",NA(),VLOOKUP(C202&amp;TableCosts[[#This Row],[Calc_N_Typ]],TRAN_STRITEMS_LABEL,7,0)),0)</f>
        <v>0</v>
      </c>
      <c r="AX202" s="7">
        <f t="shared" si="45"/>
        <v>0</v>
      </c>
      <c r="AY202" s="57" t="str">
        <f t="shared" si="46"/>
        <v/>
      </c>
      <c r="AZ202" s="57" t="str">
        <f t="shared" si="47"/>
        <v/>
      </c>
      <c r="BA202" s="57" t="str">
        <f>IF(F202=1,IF(TableCosts[[#This Row],[TransferFrom]]=TableCosts[[#This Row],[TranferTo]],0,1),"")</f>
        <v/>
      </c>
      <c r="BB202" s="7">
        <f t="shared" si="48"/>
        <v>0</v>
      </c>
      <c r="BC202" s="7">
        <f t="shared" si="49"/>
        <v>0</v>
      </c>
    </row>
    <row r="203" spans="2:55" s="7" customFormat="1" ht="12.75" x14ac:dyDescent="0.2">
      <c r="B203" s="33"/>
      <c r="C203" s="31"/>
      <c r="D203" s="40"/>
      <c r="E203" s="6" t="str">
        <f>IF(F203=1,IF(ISERROR(TableCosts[[#This Row],[N_Tariff]]),Err_Message1,IF(TableCosts[[#This Row],[N_Tariff]]=0,Err_Message2,VLOOKUP(C203&amp;TableCosts[[#This Row],[Calc_N_Typ]],TRAN_STRITEMS_LABEL,5,FALSE))),"")</f>
        <v/>
      </c>
      <c r="F203" s="6">
        <f t="shared" si="50"/>
        <v>0</v>
      </c>
      <c r="G203" s="6" t="str">
        <f>IF(F203=1,IFERROR(VLOOKUP(E203,Tab_ErrMessage[],2,0),VLOOKUP(C203&amp;TableCosts[[#This Row],[Calc_N_Typ]],TRAN_STRITEMS_LABEL,4,FALSE)),"")</f>
        <v/>
      </c>
      <c r="H203" s="40"/>
      <c r="I203" s="40"/>
      <c r="J203" s="35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4"/>
      <c r="AI203" s="24"/>
      <c r="AJ203" s="24"/>
      <c r="AK203" s="38">
        <f t="array" ref="AK203">IF(F203=1,SUM((ROW(M0)=ROW(AK203))*(M0+M1_+M2_+M3_+M4_+M5_+M6_+M7_+M8_+M9_+M10_+M11_+M12_+M13_+M14_+M15_+M16_+M17_+M18_+M19_+M20_+M21_+M22_+M23_+M24_+M25_)),0)</f>
        <v>0</v>
      </c>
      <c r="AL203" s="27">
        <f>TableCosts[[#This Row],[N_Direct]]</f>
        <v>0</v>
      </c>
      <c r="AN203" s="7" t="str">
        <f t="shared" si="39"/>
        <v/>
      </c>
      <c r="AO203" s="7" t="str">
        <f t="shared" si="42"/>
        <v/>
      </c>
      <c r="AP203" s="7" t="str">
        <f t="shared" si="40"/>
        <v/>
      </c>
      <c r="AQ203" s="7" t="str">
        <f t="shared" si="43"/>
        <v/>
      </c>
      <c r="AR203" s="7" t="str">
        <f t="shared" si="41"/>
        <v/>
      </c>
      <c r="AS203" s="7">
        <f t="shared" si="44"/>
        <v>0</v>
      </c>
      <c r="AT203" s="17">
        <f>TableCosts[[#This Row],[N_Amount]]*TableCosts[[#This Row],[N_Tariff]]*TableCosts[[#This Row],[N_ItemsCount]]</f>
        <v>0</v>
      </c>
      <c r="AU203" s="17">
        <f>IF(F203=1,IF(TableCosts[[#This Row],[N_Kateg]]="interné práce",TableCosts[[#This Row],[N_Amount]]*8*PAR_SGA_PERHOUR,0),0)</f>
        <v>0</v>
      </c>
      <c r="AV203" s="17">
        <f>SUM(TableCosts[[#This Row],[N_Direct]:[N_SGA]])</f>
        <v>0</v>
      </c>
      <c r="AW203" s="7">
        <f>IF(F203=1,IF(D203="",NA(),VLOOKUP(C203&amp;TableCosts[[#This Row],[Calc_N_Typ]],TRAN_STRITEMS_LABEL,7,0)),0)</f>
        <v>0</v>
      </c>
      <c r="AX203" s="7">
        <f t="shared" si="45"/>
        <v>0</v>
      </c>
      <c r="AY203" s="57" t="str">
        <f t="shared" si="46"/>
        <v/>
      </c>
      <c r="AZ203" s="57" t="str">
        <f t="shared" si="47"/>
        <v/>
      </c>
      <c r="BA203" s="57" t="str">
        <f>IF(F203=1,IF(TableCosts[[#This Row],[TransferFrom]]=TableCosts[[#This Row],[TranferTo]],0,1),"")</f>
        <v/>
      </c>
      <c r="BB203" s="7">
        <f t="shared" si="48"/>
        <v>0</v>
      </c>
      <c r="BC203" s="7">
        <f t="shared" si="49"/>
        <v>0</v>
      </c>
    </row>
    <row r="204" spans="2:55" s="7" customFormat="1" ht="12.75" x14ac:dyDescent="0.2">
      <c r="B204" s="33"/>
      <c r="C204" s="31"/>
      <c r="D204" s="40"/>
      <c r="E204" s="6" t="str">
        <f>IF(F204=1,IF(ISERROR(TableCosts[[#This Row],[N_Tariff]]),Err_Message1,IF(TableCosts[[#This Row],[N_Tariff]]=0,Err_Message2,VLOOKUP(C204&amp;TableCosts[[#This Row],[Calc_N_Typ]],TRAN_STRITEMS_LABEL,5,FALSE))),"")</f>
        <v/>
      </c>
      <c r="F204" s="6">
        <f t="shared" si="50"/>
        <v>0</v>
      </c>
      <c r="G204" s="6" t="str">
        <f>IF(F204=1,IFERROR(VLOOKUP(E204,Tab_ErrMessage[],2,0),VLOOKUP(C204&amp;TableCosts[[#This Row],[Calc_N_Typ]],TRAN_STRITEMS_LABEL,4,FALSE)),"")</f>
        <v/>
      </c>
      <c r="H204" s="40"/>
      <c r="I204" s="40"/>
      <c r="J204" s="35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4"/>
      <c r="AI204" s="24"/>
      <c r="AJ204" s="24"/>
      <c r="AK204" s="38">
        <f t="array" ref="AK204">IF(F204=1,SUM((ROW(M0)=ROW(AK204))*(M0+M1_+M2_+M3_+M4_+M5_+M6_+M7_+M8_+M9_+M10_+M11_+M12_+M13_+M14_+M15_+M16_+M17_+M18_+M19_+M20_+M21_+M22_+M23_+M24_+M25_)),0)</f>
        <v>0</v>
      </c>
      <c r="AL204" s="27">
        <f>TableCosts[[#This Row],[N_Direct]]</f>
        <v>0</v>
      </c>
      <c r="AN204" s="7" t="str">
        <f t="shared" si="39"/>
        <v/>
      </c>
      <c r="AO204" s="7" t="str">
        <f t="shared" si="42"/>
        <v/>
      </c>
      <c r="AP204" s="7" t="str">
        <f t="shared" si="40"/>
        <v/>
      </c>
      <c r="AQ204" s="7" t="str">
        <f t="shared" si="43"/>
        <v/>
      </c>
      <c r="AR204" s="7" t="str">
        <f t="shared" si="41"/>
        <v/>
      </c>
      <c r="AS204" s="7">
        <f t="shared" si="44"/>
        <v>0</v>
      </c>
      <c r="AT204" s="17">
        <f>TableCosts[[#This Row],[N_Amount]]*TableCosts[[#This Row],[N_Tariff]]*TableCosts[[#This Row],[N_ItemsCount]]</f>
        <v>0</v>
      </c>
      <c r="AU204" s="17">
        <f>IF(F204=1,IF(TableCosts[[#This Row],[N_Kateg]]="interné práce",TableCosts[[#This Row],[N_Amount]]*8*PAR_SGA_PERHOUR,0),0)</f>
        <v>0</v>
      </c>
      <c r="AV204" s="17">
        <f>SUM(TableCosts[[#This Row],[N_Direct]:[N_SGA]])</f>
        <v>0</v>
      </c>
      <c r="AW204" s="7">
        <f>IF(F204=1,IF(D204="",NA(),VLOOKUP(C204&amp;TableCosts[[#This Row],[Calc_N_Typ]],TRAN_STRITEMS_LABEL,7,0)),0)</f>
        <v>0</v>
      </c>
      <c r="AX204" s="7">
        <f t="shared" si="45"/>
        <v>0</v>
      </c>
      <c r="AY204" s="57" t="str">
        <f t="shared" si="46"/>
        <v/>
      </c>
      <c r="AZ204" s="57" t="str">
        <f t="shared" si="47"/>
        <v/>
      </c>
      <c r="BA204" s="57" t="str">
        <f>IF(F204=1,IF(TableCosts[[#This Row],[TransferFrom]]=TableCosts[[#This Row],[TranferTo]],0,1),"")</f>
        <v/>
      </c>
      <c r="BB204" s="7">
        <f t="shared" si="48"/>
        <v>0</v>
      </c>
      <c r="BC204" s="7">
        <f t="shared" si="49"/>
        <v>0</v>
      </c>
    </row>
    <row r="205" spans="2:55" s="7" customFormat="1" ht="12.75" x14ac:dyDescent="0.2">
      <c r="B205" s="33"/>
      <c r="C205" s="31"/>
      <c r="D205" s="40"/>
      <c r="E205" s="6" t="str">
        <f>IF(F205=1,IF(ISERROR(TableCosts[[#This Row],[N_Tariff]]),Err_Message1,IF(TableCosts[[#This Row],[N_Tariff]]=0,Err_Message2,VLOOKUP(C205&amp;TableCosts[[#This Row],[Calc_N_Typ]],TRAN_STRITEMS_LABEL,5,FALSE))),"")</f>
        <v/>
      </c>
      <c r="F205" s="6">
        <f t="shared" si="50"/>
        <v>0</v>
      </c>
      <c r="G205" s="6" t="str">
        <f>IF(F205=1,IFERROR(VLOOKUP(E205,Tab_ErrMessage[],2,0),VLOOKUP(C205&amp;TableCosts[[#This Row],[Calc_N_Typ]],TRAN_STRITEMS_LABEL,4,FALSE)),"")</f>
        <v/>
      </c>
      <c r="H205" s="40"/>
      <c r="I205" s="40"/>
      <c r="J205" s="35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4"/>
      <c r="AI205" s="24"/>
      <c r="AJ205" s="24"/>
      <c r="AK205" s="38">
        <f t="array" ref="AK205">IF(F205=1,SUM((ROW(M0)=ROW(AK205))*(M0+M1_+M2_+M3_+M4_+M5_+M6_+M7_+M8_+M9_+M10_+M11_+M12_+M13_+M14_+M15_+M16_+M17_+M18_+M19_+M20_+M21_+M22_+M23_+M24_+M25_)),0)</f>
        <v>0</v>
      </c>
      <c r="AL205" s="27">
        <f>TableCosts[[#This Row],[N_Direct]]</f>
        <v>0</v>
      </c>
      <c r="AN205" s="7" t="str">
        <f t="shared" si="39"/>
        <v/>
      </c>
      <c r="AO205" s="7" t="str">
        <f t="shared" si="42"/>
        <v/>
      </c>
      <c r="AP205" s="7" t="str">
        <f t="shared" si="40"/>
        <v/>
      </c>
      <c r="AQ205" s="7" t="str">
        <f t="shared" si="43"/>
        <v/>
      </c>
      <c r="AR205" s="7" t="str">
        <f t="shared" si="41"/>
        <v/>
      </c>
      <c r="AS205" s="7">
        <f t="shared" si="44"/>
        <v>0</v>
      </c>
      <c r="AT205" s="17">
        <f>TableCosts[[#This Row],[N_Amount]]*TableCosts[[#This Row],[N_Tariff]]*TableCosts[[#This Row],[N_ItemsCount]]</f>
        <v>0</v>
      </c>
      <c r="AU205" s="17">
        <f>IF(F205=1,IF(TableCosts[[#This Row],[N_Kateg]]="interné práce",TableCosts[[#This Row],[N_Amount]]*8*PAR_SGA_PERHOUR,0),0)</f>
        <v>0</v>
      </c>
      <c r="AV205" s="17">
        <f>SUM(TableCosts[[#This Row],[N_Direct]:[N_SGA]])</f>
        <v>0</v>
      </c>
      <c r="AW205" s="7">
        <f>IF(F205=1,IF(D205="",NA(),VLOOKUP(C205&amp;TableCosts[[#This Row],[Calc_N_Typ]],TRAN_STRITEMS_LABEL,7,0)),0)</f>
        <v>0</v>
      </c>
      <c r="AX205" s="7">
        <f t="shared" si="45"/>
        <v>0</v>
      </c>
      <c r="AY205" s="57" t="str">
        <f t="shared" si="46"/>
        <v/>
      </c>
      <c r="AZ205" s="57" t="str">
        <f t="shared" si="47"/>
        <v/>
      </c>
      <c r="BA205" s="57" t="str">
        <f>IF(F205=1,IF(TableCosts[[#This Row],[TransferFrom]]=TableCosts[[#This Row],[TranferTo]],0,1),"")</f>
        <v/>
      </c>
      <c r="BB205" s="7">
        <f t="shared" si="48"/>
        <v>0</v>
      </c>
      <c r="BC205" s="7">
        <f t="shared" si="49"/>
        <v>0</v>
      </c>
    </row>
    <row r="206" spans="2:55" s="7" customFormat="1" ht="12.75" x14ac:dyDescent="0.2">
      <c r="B206" s="33"/>
      <c r="C206" s="31"/>
      <c r="D206" s="40"/>
      <c r="E206" s="6" t="str">
        <f>IF(F206=1,IF(ISERROR(TableCosts[[#This Row],[N_Tariff]]),Err_Message1,IF(TableCosts[[#This Row],[N_Tariff]]=0,Err_Message2,VLOOKUP(C206&amp;TableCosts[[#This Row],[Calc_N_Typ]],TRAN_STRITEMS_LABEL,5,FALSE))),"")</f>
        <v/>
      </c>
      <c r="F206" s="6">
        <f t="shared" si="50"/>
        <v>0</v>
      </c>
      <c r="G206" s="6" t="str">
        <f>IF(F206=1,IFERROR(VLOOKUP(E206,Tab_ErrMessage[],2,0),VLOOKUP(C206&amp;TableCosts[[#This Row],[Calc_N_Typ]],TRAN_STRITEMS_LABEL,4,FALSE)),"")</f>
        <v/>
      </c>
      <c r="H206" s="40"/>
      <c r="I206" s="40"/>
      <c r="J206" s="35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4"/>
      <c r="AI206" s="24"/>
      <c r="AJ206" s="24"/>
      <c r="AK206" s="38">
        <f t="array" ref="AK206">IF(F206=1,SUM((ROW(M0)=ROW(AK206))*(M0+M1_+M2_+M3_+M4_+M5_+M6_+M7_+M8_+M9_+M10_+M11_+M12_+M13_+M14_+M15_+M16_+M17_+M18_+M19_+M20_+M21_+M22_+M23_+M24_+M25_)),0)</f>
        <v>0</v>
      </c>
      <c r="AL206" s="27">
        <f>TableCosts[[#This Row],[N_Direct]]</f>
        <v>0</v>
      </c>
      <c r="AN206" s="7" t="str">
        <f t="shared" si="39"/>
        <v/>
      </c>
      <c r="AO206" s="7" t="str">
        <f t="shared" si="42"/>
        <v/>
      </c>
      <c r="AP206" s="7" t="str">
        <f t="shared" si="40"/>
        <v/>
      </c>
      <c r="AQ206" s="7" t="str">
        <f t="shared" si="43"/>
        <v/>
      </c>
      <c r="AR206" s="7" t="str">
        <f t="shared" si="41"/>
        <v/>
      </c>
      <c r="AS206" s="7">
        <f t="shared" si="44"/>
        <v>0</v>
      </c>
      <c r="AT206" s="17">
        <f>TableCosts[[#This Row],[N_Amount]]*TableCosts[[#This Row],[N_Tariff]]*TableCosts[[#This Row],[N_ItemsCount]]</f>
        <v>0</v>
      </c>
      <c r="AU206" s="17">
        <f>IF(F206=1,IF(TableCosts[[#This Row],[N_Kateg]]="interné práce",TableCosts[[#This Row],[N_Amount]]*8*PAR_SGA_PERHOUR,0),0)</f>
        <v>0</v>
      </c>
      <c r="AV206" s="17">
        <f>SUM(TableCosts[[#This Row],[N_Direct]:[N_SGA]])</f>
        <v>0</v>
      </c>
      <c r="AW206" s="7">
        <f>IF(F206=1,IF(D206="",NA(),VLOOKUP(C206&amp;TableCosts[[#This Row],[Calc_N_Typ]],TRAN_STRITEMS_LABEL,7,0)),0)</f>
        <v>0</v>
      </c>
      <c r="AX206" s="7">
        <f t="shared" si="45"/>
        <v>0</v>
      </c>
      <c r="AY206" s="57" t="str">
        <f t="shared" si="46"/>
        <v/>
      </c>
      <c r="AZ206" s="57" t="str">
        <f t="shared" si="47"/>
        <v/>
      </c>
      <c r="BA206" s="57" t="str">
        <f>IF(F206=1,IF(TableCosts[[#This Row],[TransferFrom]]=TableCosts[[#This Row],[TranferTo]],0,1),"")</f>
        <v/>
      </c>
      <c r="BB206" s="7">
        <f t="shared" si="48"/>
        <v>0</v>
      </c>
      <c r="BC206" s="7">
        <f t="shared" si="49"/>
        <v>0</v>
      </c>
    </row>
    <row r="207" spans="2:55" s="7" customFormat="1" ht="12.75" x14ac:dyDescent="0.2">
      <c r="B207" s="33"/>
      <c r="C207" s="31"/>
      <c r="D207" s="40"/>
      <c r="E207" s="6" t="str">
        <f>IF(F207=1,IF(ISERROR(TableCosts[[#This Row],[N_Tariff]]),Err_Message1,IF(TableCosts[[#This Row],[N_Tariff]]=0,Err_Message2,VLOOKUP(C207&amp;TableCosts[[#This Row],[Calc_N_Typ]],TRAN_STRITEMS_LABEL,5,FALSE))),"")</f>
        <v/>
      </c>
      <c r="F207" s="6">
        <f t="shared" si="50"/>
        <v>0</v>
      </c>
      <c r="G207" s="6" t="str">
        <f>IF(F207=1,IFERROR(VLOOKUP(E207,Tab_ErrMessage[],2,0),VLOOKUP(C207&amp;TableCosts[[#This Row],[Calc_N_Typ]],TRAN_STRITEMS_LABEL,4,FALSE)),"")</f>
        <v/>
      </c>
      <c r="H207" s="40"/>
      <c r="I207" s="40"/>
      <c r="J207" s="35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4"/>
      <c r="AI207" s="24"/>
      <c r="AJ207" s="24"/>
      <c r="AK207" s="38">
        <f t="array" ref="AK207">IF(F207=1,SUM((ROW(M0)=ROW(AK207))*(M0+M1_+M2_+M3_+M4_+M5_+M6_+M7_+M8_+M9_+M10_+M11_+M12_+M13_+M14_+M15_+M16_+M17_+M18_+M19_+M20_+M21_+M22_+M23_+M24_+M25_)),0)</f>
        <v>0</v>
      </c>
      <c r="AL207" s="27">
        <f>TableCosts[[#This Row],[N_Direct]]</f>
        <v>0</v>
      </c>
      <c r="AN207" s="7" t="str">
        <f t="shared" si="39"/>
        <v/>
      </c>
      <c r="AO207" s="7" t="str">
        <f t="shared" si="42"/>
        <v/>
      </c>
      <c r="AP207" s="7" t="str">
        <f t="shared" si="40"/>
        <v/>
      </c>
      <c r="AQ207" s="7" t="str">
        <f t="shared" si="43"/>
        <v/>
      </c>
      <c r="AR207" s="7" t="str">
        <f t="shared" si="41"/>
        <v/>
      </c>
      <c r="AS207" s="7">
        <f t="shared" si="44"/>
        <v>0</v>
      </c>
      <c r="AT207" s="17">
        <f>TableCosts[[#This Row],[N_Amount]]*TableCosts[[#This Row],[N_Tariff]]*TableCosts[[#This Row],[N_ItemsCount]]</f>
        <v>0</v>
      </c>
      <c r="AU207" s="17">
        <f>IF(F207=1,IF(TableCosts[[#This Row],[N_Kateg]]="interné práce",TableCosts[[#This Row],[N_Amount]]*8*PAR_SGA_PERHOUR,0),0)</f>
        <v>0</v>
      </c>
      <c r="AV207" s="17">
        <f>SUM(TableCosts[[#This Row],[N_Direct]:[N_SGA]])</f>
        <v>0</v>
      </c>
      <c r="AW207" s="7">
        <f>IF(F207=1,IF(D207="",NA(),VLOOKUP(C207&amp;TableCosts[[#This Row],[Calc_N_Typ]],TRAN_STRITEMS_LABEL,7,0)),0)</f>
        <v>0</v>
      </c>
      <c r="AX207" s="7">
        <f t="shared" si="45"/>
        <v>0</v>
      </c>
      <c r="AY207" s="57" t="str">
        <f t="shared" si="46"/>
        <v/>
      </c>
      <c r="AZ207" s="57" t="str">
        <f t="shared" si="47"/>
        <v/>
      </c>
      <c r="BA207" s="57" t="str">
        <f>IF(F207=1,IF(TableCosts[[#This Row],[TransferFrom]]=TableCosts[[#This Row],[TranferTo]],0,1),"")</f>
        <v/>
      </c>
      <c r="BB207" s="7">
        <f t="shared" si="48"/>
        <v>0</v>
      </c>
      <c r="BC207" s="7">
        <f t="shared" si="49"/>
        <v>0</v>
      </c>
    </row>
    <row r="208" spans="2:55" s="7" customFormat="1" ht="12.75" x14ac:dyDescent="0.2">
      <c r="B208" s="33"/>
      <c r="C208" s="31"/>
      <c r="D208" s="40"/>
      <c r="E208" s="6" t="str">
        <f>IF(F208=1,IF(ISERROR(TableCosts[[#This Row],[N_Tariff]]),Err_Message1,IF(TableCosts[[#This Row],[N_Tariff]]=0,Err_Message2,VLOOKUP(C208&amp;TableCosts[[#This Row],[Calc_N_Typ]],TRAN_STRITEMS_LABEL,5,FALSE))),"")</f>
        <v/>
      </c>
      <c r="F208" s="6">
        <f t="shared" si="50"/>
        <v>0</v>
      </c>
      <c r="G208" s="6" t="str">
        <f>IF(F208=1,IFERROR(VLOOKUP(E208,Tab_ErrMessage[],2,0),VLOOKUP(C208&amp;TableCosts[[#This Row],[Calc_N_Typ]],TRAN_STRITEMS_LABEL,4,FALSE)),"")</f>
        <v/>
      </c>
      <c r="H208" s="40"/>
      <c r="I208" s="40"/>
      <c r="J208" s="35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4"/>
      <c r="AI208" s="24"/>
      <c r="AJ208" s="24"/>
      <c r="AK208" s="38">
        <f t="array" ref="AK208">IF(F208=1,SUM((ROW(M0)=ROW(AK208))*(M0+M1_+M2_+M3_+M4_+M5_+M6_+M7_+M8_+M9_+M10_+M11_+M12_+M13_+M14_+M15_+M16_+M17_+M18_+M19_+M20_+M21_+M22_+M23_+M24_+M25_)),0)</f>
        <v>0</v>
      </c>
      <c r="AL208" s="27">
        <f>TableCosts[[#This Row],[N_Direct]]</f>
        <v>0</v>
      </c>
      <c r="AN208" s="7" t="str">
        <f t="shared" si="39"/>
        <v/>
      </c>
      <c r="AO208" s="7" t="str">
        <f t="shared" si="42"/>
        <v/>
      </c>
      <c r="AP208" s="7" t="str">
        <f t="shared" si="40"/>
        <v/>
      </c>
      <c r="AQ208" s="7" t="str">
        <f t="shared" si="43"/>
        <v/>
      </c>
      <c r="AR208" s="7" t="str">
        <f t="shared" si="41"/>
        <v/>
      </c>
      <c r="AS208" s="7">
        <f t="shared" si="44"/>
        <v>0</v>
      </c>
      <c r="AT208" s="17">
        <f>TableCosts[[#This Row],[N_Amount]]*TableCosts[[#This Row],[N_Tariff]]*TableCosts[[#This Row],[N_ItemsCount]]</f>
        <v>0</v>
      </c>
      <c r="AU208" s="17">
        <f>IF(F208=1,IF(TableCosts[[#This Row],[N_Kateg]]="interné práce",TableCosts[[#This Row],[N_Amount]]*8*PAR_SGA_PERHOUR,0),0)</f>
        <v>0</v>
      </c>
      <c r="AV208" s="17">
        <f>SUM(TableCosts[[#This Row],[N_Direct]:[N_SGA]])</f>
        <v>0</v>
      </c>
      <c r="AW208" s="7">
        <f>IF(F208=1,IF(D208="",NA(),VLOOKUP(C208&amp;TableCosts[[#This Row],[Calc_N_Typ]],TRAN_STRITEMS_LABEL,7,0)),0)</f>
        <v>0</v>
      </c>
      <c r="AX208" s="7">
        <f t="shared" si="45"/>
        <v>0</v>
      </c>
      <c r="AY208" s="57" t="str">
        <f t="shared" si="46"/>
        <v/>
      </c>
      <c r="AZ208" s="57" t="str">
        <f t="shared" si="47"/>
        <v/>
      </c>
      <c r="BA208" s="57" t="str">
        <f>IF(F208=1,IF(TableCosts[[#This Row],[TransferFrom]]=TableCosts[[#This Row],[TranferTo]],0,1),"")</f>
        <v/>
      </c>
      <c r="BB208" s="7">
        <f t="shared" si="48"/>
        <v>0</v>
      </c>
      <c r="BC208" s="7">
        <f t="shared" si="49"/>
        <v>0</v>
      </c>
    </row>
    <row r="209" spans="2:55" s="7" customFormat="1" ht="12.75" x14ac:dyDescent="0.2">
      <c r="B209" s="33"/>
      <c r="C209" s="31"/>
      <c r="D209" s="40"/>
      <c r="E209" s="6" t="str">
        <f>IF(F209=1,IF(ISERROR(TableCosts[[#This Row],[N_Tariff]]),Err_Message1,IF(TableCosts[[#This Row],[N_Tariff]]=0,Err_Message2,VLOOKUP(C209&amp;TableCosts[[#This Row],[Calc_N_Typ]],TRAN_STRITEMS_LABEL,5,FALSE))),"")</f>
        <v/>
      </c>
      <c r="F209" s="6">
        <f t="shared" si="50"/>
        <v>0</v>
      </c>
      <c r="G209" s="6" t="str">
        <f>IF(F209=1,IFERROR(VLOOKUP(E209,Tab_ErrMessage[],2,0),VLOOKUP(C209&amp;TableCosts[[#This Row],[Calc_N_Typ]],TRAN_STRITEMS_LABEL,4,FALSE)),"")</f>
        <v/>
      </c>
      <c r="H209" s="40"/>
      <c r="I209" s="40"/>
      <c r="J209" s="35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4"/>
      <c r="AI209" s="24"/>
      <c r="AJ209" s="24"/>
      <c r="AK209" s="38">
        <f t="array" ref="AK209">IF(F209=1,SUM((ROW(M0)=ROW(AK209))*(M0+M1_+M2_+M3_+M4_+M5_+M6_+M7_+M8_+M9_+M10_+M11_+M12_+M13_+M14_+M15_+M16_+M17_+M18_+M19_+M20_+M21_+M22_+M23_+M24_+M25_)),0)</f>
        <v>0</v>
      </c>
      <c r="AL209" s="27">
        <f>TableCosts[[#This Row],[N_Direct]]</f>
        <v>0</v>
      </c>
      <c r="AN209" s="7" t="str">
        <f t="shared" si="39"/>
        <v/>
      </c>
      <c r="AO209" s="7" t="str">
        <f t="shared" si="42"/>
        <v/>
      </c>
      <c r="AP209" s="7" t="str">
        <f t="shared" si="40"/>
        <v/>
      </c>
      <c r="AQ209" s="7" t="str">
        <f t="shared" si="43"/>
        <v/>
      </c>
      <c r="AR209" s="7" t="str">
        <f t="shared" si="41"/>
        <v/>
      </c>
      <c r="AS209" s="7">
        <f t="shared" si="44"/>
        <v>0</v>
      </c>
      <c r="AT209" s="17">
        <f>TableCosts[[#This Row],[N_Amount]]*TableCosts[[#This Row],[N_Tariff]]*TableCosts[[#This Row],[N_ItemsCount]]</f>
        <v>0</v>
      </c>
      <c r="AU209" s="17">
        <f>IF(F209=1,IF(TableCosts[[#This Row],[N_Kateg]]="interné práce",TableCosts[[#This Row],[N_Amount]]*8*PAR_SGA_PERHOUR,0),0)</f>
        <v>0</v>
      </c>
      <c r="AV209" s="17">
        <f>SUM(TableCosts[[#This Row],[N_Direct]:[N_SGA]])</f>
        <v>0</v>
      </c>
      <c r="AW209" s="7">
        <f>IF(F209=1,IF(D209="",NA(),VLOOKUP(C209&amp;TableCosts[[#This Row],[Calc_N_Typ]],TRAN_STRITEMS_LABEL,7,0)),0)</f>
        <v>0</v>
      </c>
      <c r="AX209" s="7">
        <f t="shared" si="45"/>
        <v>0</v>
      </c>
      <c r="AY209" s="57" t="str">
        <f t="shared" si="46"/>
        <v/>
      </c>
      <c r="AZ209" s="57" t="str">
        <f t="shared" si="47"/>
        <v/>
      </c>
      <c r="BA209" s="57" t="str">
        <f>IF(F209=1,IF(TableCosts[[#This Row],[TransferFrom]]=TableCosts[[#This Row],[TranferTo]],0,1),"")</f>
        <v/>
      </c>
      <c r="BB209" s="7">
        <f t="shared" si="48"/>
        <v>0</v>
      </c>
      <c r="BC209" s="7">
        <f t="shared" si="49"/>
        <v>0</v>
      </c>
    </row>
    <row r="210" spans="2:55" s="7" customFormat="1" ht="12.75" x14ac:dyDescent="0.2">
      <c r="B210" s="33"/>
      <c r="C210" s="31"/>
      <c r="D210" s="40"/>
      <c r="E210" s="6" t="str">
        <f>IF(F210=1,IF(ISERROR(TableCosts[[#This Row],[N_Tariff]]),Err_Message1,IF(TableCosts[[#This Row],[N_Tariff]]=0,Err_Message2,VLOOKUP(C210&amp;TableCosts[[#This Row],[Calc_N_Typ]],TRAN_STRITEMS_LABEL,5,FALSE))),"")</f>
        <v/>
      </c>
      <c r="F210" s="6">
        <f t="shared" si="50"/>
        <v>0</v>
      </c>
      <c r="G210" s="6" t="str">
        <f>IF(F210=1,IFERROR(VLOOKUP(E210,Tab_ErrMessage[],2,0),VLOOKUP(C210&amp;TableCosts[[#This Row],[Calc_N_Typ]],TRAN_STRITEMS_LABEL,4,FALSE)),"")</f>
        <v/>
      </c>
      <c r="H210" s="40"/>
      <c r="I210" s="40"/>
      <c r="J210" s="35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4"/>
      <c r="AI210" s="24"/>
      <c r="AJ210" s="24"/>
      <c r="AK210" s="38">
        <f t="array" ref="AK210">IF(F210=1,SUM((ROW(M0)=ROW(AK210))*(M0+M1_+M2_+M3_+M4_+M5_+M6_+M7_+M8_+M9_+M10_+M11_+M12_+M13_+M14_+M15_+M16_+M17_+M18_+M19_+M20_+M21_+M22_+M23_+M24_+M25_)),0)</f>
        <v>0</v>
      </c>
      <c r="AL210" s="27">
        <f>TableCosts[[#This Row],[N_Direct]]</f>
        <v>0</v>
      </c>
      <c r="AN210" s="7" t="str">
        <f t="shared" si="39"/>
        <v/>
      </c>
      <c r="AO210" s="7" t="str">
        <f t="shared" si="42"/>
        <v/>
      </c>
      <c r="AP210" s="7" t="str">
        <f t="shared" si="40"/>
        <v/>
      </c>
      <c r="AQ210" s="7" t="str">
        <f t="shared" si="43"/>
        <v/>
      </c>
      <c r="AR210" s="7" t="str">
        <f t="shared" si="41"/>
        <v/>
      </c>
      <c r="AS210" s="7">
        <f t="shared" si="44"/>
        <v>0</v>
      </c>
      <c r="AT210" s="17">
        <f>TableCosts[[#This Row],[N_Amount]]*TableCosts[[#This Row],[N_Tariff]]*TableCosts[[#This Row],[N_ItemsCount]]</f>
        <v>0</v>
      </c>
      <c r="AU210" s="17">
        <f>IF(F210=1,IF(TableCosts[[#This Row],[N_Kateg]]="interné práce",TableCosts[[#This Row],[N_Amount]]*8*PAR_SGA_PERHOUR,0),0)</f>
        <v>0</v>
      </c>
      <c r="AV210" s="17">
        <f>SUM(TableCosts[[#This Row],[N_Direct]:[N_SGA]])</f>
        <v>0</v>
      </c>
      <c r="AW210" s="7">
        <f>IF(F210=1,IF(D210="",NA(),VLOOKUP(C210&amp;TableCosts[[#This Row],[Calc_N_Typ]],TRAN_STRITEMS_LABEL,7,0)),0)</f>
        <v>0</v>
      </c>
      <c r="AX210" s="7">
        <f t="shared" si="45"/>
        <v>0</v>
      </c>
      <c r="AY210" s="57" t="str">
        <f t="shared" si="46"/>
        <v/>
      </c>
      <c r="AZ210" s="57" t="str">
        <f t="shared" si="47"/>
        <v/>
      </c>
      <c r="BA210" s="57" t="str">
        <f>IF(F210=1,IF(TableCosts[[#This Row],[TransferFrom]]=TableCosts[[#This Row],[TranferTo]],0,1),"")</f>
        <v/>
      </c>
      <c r="BB210" s="7">
        <f t="shared" si="48"/>
        <v>0</v>
      </c>
      <c r="BC210" s="7">
        <f t="shared" si="49"/>
        <v>0</v>
      </c>
    </row>
    <row r="211" spans="2:55" s="7" customFormat="1" ht="12.75" x14ac:dyDescent="0.2">
      <c r="B211" s="33"/>
      <c r="C211" s="31"/>
      <c r="D211" s="40"/>
      <c r="E211" s="6" t="str">
        <f>IF(F211=1,IF(ISERROR(TableCosts[[#This Row],[N_Tariff]]),Err_Message1,IF(TableCosts[[#This Row],[N_Tariff]]=0,Err_Message2,VLOOKUP(C211&amp;TableCosts[[#This Row],[Calc_N_Typ]],TRAN_STRITEMS_LABEL,5,FALSE))),"")</f>
        <v/>
      </c>
      <c r="F211" s="6">
        <f t="shared" si="50"/>
        <v>0</v>
      </c>
      <c r="G211" s="6" t="str">
        <f>IF(F211=1,IFERROR(VLOOKUP(E211,Tab_ErrMessage[],2,0),VLOOKUP(C211&amp;TableCosts[[#This Row],[Calc_N_Typ]],TRAN_STRITEMS_LABEL,4,FALSE)),"")</f>
        <v/>
      </c>
      <c r="H211" s="40"/>
      <c r="I211" s="40"/>
      <c r="J211" s="35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4"/>
      <c r="AI211" s="24"/>
      <c r="AJ211" s="24"/>
      <c r="AK211" s="38">
        <f t="array" ref="AK211">IF(F211=1,SUM((ROW(M0)=ROW(AK211))*(M0+M1_+M2_+M3_+M4_+M5_+M6_+M7_+M8_+M9_+M10_+M11_+M12_+M13_+M14_+M15_+M16_+M17_+M18_+M19_+M20_+M21_+M22_+M23_+M24_+M25_)),0)</f>
        <v>0</v>
      </c>
      <c r="AL211" s="27">
        <f>TableCosts[[#This Row],[N_Direct]]</f>
        <v>0</v>
      </c>
      <c r="AN211" s="7" t="str">
        <f t="shared" si="39"/>
        <v/>
      </c>
      <c r="AO211" s="7" t="str">
        <f t="shared" si="42"/>
        <v/>
      </c>
      <c r="AP211" s="7" t="str">
        <f t="shared" si="40"/>
        <v/>
      </c>
      <c r="AQ211" s="7" t="str">
        <f t="shared" si="43"/>
        <v/>
      </c>
      <c r="AR211" s="7" t="str">
        <f t="shared" si="41"/>
        <v/>
      </c>
      <c r="AS211" s="7">
        <f t="shared" si="44"/>
        <v>0</v>
      </c>
      <c r="AT211" s="17">
        <f>TableCosts[[#This Row],[N_Amount]]*TableCosts[[#This Row],[N_Tariff]]*TableCosts[[#This Row],[N_ItemsCount]]</f>
        <v>0</v>
      </c>
      <c r="AU211" s="17">
        <f>IF(F211=1,IF(TableCosts[[#This Row],[N_Kateg]]="interné práce",TableCosts[[#This Row],[N_Amount]]*8*PAR_SGA_PERHOUR,0),0)</f>
        <v>0</v>
      </c>
      <c r="AV211" s="17">
        <f>SUM(TableCosts[[#This Row],[N_Direct]:[N_SGA]])</f>
        <v>0</v>
      </c>
      <c r="AW211" s="7">
        <f>IF(F211=1,IF(D211="",NA(),VLOOKUP(C211&amp;TableCosts[[#This Row],[Calc_N_Typ]],TRAN_STRITEMS_LABEL,7,0)),0)</f>
        <v>0</v>
      </c>
      <c r="AX211" s="7">
        <f t="shared" si="45"/>
        <v>0</v>
      </c>
      <c r="AY211" s="57" t="str">
        <f t="shared" si="46"/>
        <v/>
      </c>
      <c r="AZ211" s="57" t="str">
        <f t="shared" si="47"/>
        <v/>
      </c>
      <c r="BA211" s="57" t="str">
        <f>IF(F211=1,IF(TableCosts[[#This Row],[TransferFrom]]=TableCosts[[#This Row],[TranferTo]],0,1),"")</f>
        <v/>
      </c>
      <c r="BB211" s="7">
        <f t="shared" si="48"/>
        <v>0</v>
      </c>
      <c r="BC211" s="7">
        <f t="shared" si="49"/>
        <v>0</v>
      </c>
    </row>
    <row r="212" spans="2:55" s="7" customFormat="1" ht="12.75" x14ac:dyDescent="0.2">
      <c r="B212" s="33"/>
      <c r="C212" s="31"/>
      <c r="D212" s="40"/>
      <c r="E212" s="6" t="str">
        <f>IF(F212=1,IF(ISERROR(TableCosts[[#This Row],[N_Tariff]]),Err_Message1,IF(TableCosts[[#This Row],[N_Tariff]]=0,Err_Message2,VLOOKUP(C212&amp;TableCosts[[#This Row],[Calc_N_Typ]],TRAN_STRITEMS_LABEL,5,FALSE))),"")</f>
        <v/>
      </c>
      <c r="F212" s="6">
        <f t="shared" si="50"/>
        <v>0</v>
      </c>
      <c r="G212" s="6" t="str">
        <f>IF(F212=1,IFERROR(VLOOKUP(E212,Tab_ErrMessage[],2,0),VLOOKUP(C212&amp;TableCosts[[#This Row],[Calc_N_Typ]],TRAN_STRITEMS_LABEL,4,FALSE)),"")</f>
        <v/>
      </c>
      <c r="H212" s="40"/>
      <c r="I212" s="40"/>
      <c r="J212" s="35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4"/>
      <c r="AI212" s="24"/>
      <c r="AJ212" s="24"/>
      <c r="AK212" s="38">
        <f t="array" ref="AK212">IF(F212=1,SUM((ROW(M0)=ROW(AK212))*(M0+M1_+M2_+M3_+M4_+M5_+M6_+M7_+M8_+M9_+M10_+M11_+M12_+M13_+M14_+M15_+M16_+M17_+M18_+M19_+M20_+M21_+M22_+M23_+M24_+M25_)),0)</f>
        <v>0</v>
      </c>
      <c r="AL212" s="27">
        <f>TableCosts[[#This Row],[N_Direct]]</f>
        <v>0</v>
      </c>
      <c r="AN212" s="7" t="str">
        <f t="shared" si="39"/>
        <v/>
      </c>
      <c r="AO212" s="7" t="str">
        <f t="shared" si="42"/>
        <v/>
      </c>
      <c r="AP212" s="7" t="str">
        <f t="shared" si="40"/>
        <v/>
      </c>
      <c r="AQ212" s="7" t="str">
        <f t="shared" si="43"/>
        <v/>
      </c>
      <c r="AR212" s="7" t="str">
        <f t="shared" si="41"/>
        <v/>
      </c>
      <c r="AS212" s="7">
        <f t="shared" si="44"/>
        <v>0</v>
      </c>
      <c r="AT212" s="17">
        <f>TableCosts[[#This Row],[N_Amount]]*TableCosts[[#This Row],[N_Tariff]]*TableCosts[[#This Row],[N_ItemsCount]]</f>
        <v>0</v>
      </c>
      <c r="AU212" s="17">
        <f>IF(F212=1,IF(TableCosts[[#This Row],[N_Kateg]]="interné práce",TableCosts[[#This Row],[N_Amount]]*8*PAR_SGA_PERHOUR,0),0)</f>
        <v>0</v>
      </c>
      <c r="AV212" s="17">
        <f>SUM(TableCosts[[#This Row],[N_Direct]:[N_SGA]])</f>
        <v>0</v>
      </c>
      <c r="AW212" s="7">
        <f>IF(F212=1,IF(D212="",NA(),VLOOKUP(C212&amp;TableCosts[[#This Row],[Calc_N_Typ]],TRAN_STRITEMS_LABEL,7,0)),0)</f>
        <v>0</v>
      </c>
      <c r="AX212" s="7">
        <f t="shared" si="45"/>
        <v>0</v>
      </c>
      <c r="AY212" s="57" t="str">
        <f t="shared" si="46"/>
        <v/>
      </c>
      <c r="AZ212" s="57" t="str">
        <f t="shared" si="47"/>
        <v/>
      </c>
      <c r="BA212" s="57" t="str">
        <f>IF(F212=1,IF(TableCosts[[#This Row],[TransferFrom]]=TableCosts[[#This Row],[TranferTo]],0,1),"")</f>
        <v/>
      </c>
      <c r="BB212" s="7">
        <f t="shared" si="48"/>
        <v>0</v>
      </c>
      <c r="BC212" s="7">
        <f t="shared" si="49"/>
        <v>0</v>
      </c>
    </row>
    <row r="213" spans="2:55" s="7" customFormat="1" ht="12.75" x14ac:dyDescent="0.2">
      <c r="B213" s="33"/>
      <c r="C213" s="31"/>
      <c r="D213" s="40"/>
      <c r="E213" s="6" t="str">
        <f>IF(F213=1,IF(ISERROR(TableCosts[[#This Row],[N_Tariff]]),Err_Message1,IF(TableCosts[[#This Row],[N_Tariff]]=0,Err_Message2,VLOOKUP(C213&amp;TableCosts[[#This Row],[Calc_N_Typ]],TRAN_STRITEMS_LABEL,5,FALSE))),"")</f>
        <v/>
      </c>
      <c r="F213" s="6">
        <f t="shared" si="50"/>
        <v>0</v>
      </c>
      <c r="G213" s="6" t="str">
        <f>IF(F213=1,IFERROR(VLOOKUP(E213,Tab_ErrMessage[],2,0),VLOOKUP(C213&amp;TableCosts[[#This Row],[Calc_N_Typ]],TRAN_STRITEMS_LABEL,4,FALSE)),"")</f>
        <v/>
      </c>
      <c r="H213" s="40"/>
      <c r="I213" s="40"/>
      <c r="J213" s="35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4"/>
      <c r="AI213" s="24"/>
      <c r="AJ213" s="24"/>
      <c r="AK213" s="38">
        <f t="array" ref="AK213">IF(F213=1,SUM((ROW(M0)=ROW(AK213))*(M0+M1_+M2_+M3_+M4_+M5_+M6_+M7_+M8_+M9_+M10_+M11_+M12_+M13_+M14_+M15_+M16_+M17_+M18_+M19_+M20_+M21_+M22_+M23_+M24_+M25_)),0)</f>
        <v>0</v>
      </c>
      <c r="AL213" s="27">
        <f>TableCosts[[#This Row],[N_Direct]]</f>
        <v>0</v>
      </c>
      <c r="AN213" s="7" t="str">
        <f t="shared" si="39"/>
        <v/>
      </c>
      <c r="AO213" s="7" t="str">
        <f t="shared" si="42"/>
        <v/>
      </c>
      <c r="AP213" s="7" t="str">
        <f t="shared" si="40"/>
        <v/>
      </c>
      <c r="AQ213" s="7" t="str">
        <f t="shared" si="43"/>
        <v/>
      </c>
      <c r="AR213" s="7" t="str">
        <f t="shared" si="41"/>
        <v/>
      </c>
      <c r="AS213" s="7">
        <f t="shared" si="44"/>
        <v>0</v>
      </c>
      <c r="AT213" s="17">
        <f>TableCosts[[#This Row],[N_Amount]]*TableCosts[[#This Row],[N_Tariff]]*TableCosts[[#This Row],[N_ItemsCount]]</f>
        <v>0</v>
      </c>
      <c r="AU213" s="17">
        <f>IF(F213=1,IF(TableCosts[[#This Row],[N_Kateg]]="interné práce",TableCosts[[#This Row],[N_Amount]]*8*PAR_SGA_PERHOUR,0),0)</f>
        <v>0</v>
      </c>
      <c r="AV213" s="17">
        <f>SUM(TableCosts[[#This Row],[N_Direct]:[N_SGA]])</f>
        <v>0</v>
      </c>
      <c r="AW213" s="7">
        <f>IF(F213=1,IF(D213="",NA(),VLOOKUP(C213&amp;TableCosts[[#This Row],[Calc_N_Typ]],TRAN_STRITEMS_LABEL,7,0)),0)</f>
        <v>0</v>
      </c>
      <c r="AX213" s="7">
        <f t="shared" si="45"/>
        <v>0</v>
      </c>
      <c r="AY213" s="57" t="str">
        <f t="shared" si="46"/>
        <v/>
      </c>
      <c r="AZ213" s="57" t="str">
        <f t="shared" si="47"/>
        <v/>
      </c>
      <c r="BA213" s="57" t="str">
        <f>IF(F213=1,IF(TableCosts[[#This Row],[TransferFrom]]=TableCosts[[#This Row],[TranferTo]],0,1),"")</f>
        <v/>
      </c>
      <c r="BB213" s="7">
        <f t="shared" si="48"/>
        <v>0</v>
      </c>
      <c r="BC213" s="7">
        <f t="shared" si="49"/>
        <v>0</v>
      </c>
    </row>
    <row r="214" spans="2:55" s="7" customFormat="1" ht="12.75" x14ac:dyDescent="0.2">
      <c r="B214" s="33"/>
      <c r="C214" s="31"/>
      <c r="D214" s="40"/>
      <c r="E214" s="6" t="str">
        <f>IF(F214=1,IF(ISERROR(TableCosts[[#This Row],[N_Tariff]]),Err_Message1,IF(TableCosts[[#This Row],[N_Tariff]]=0,Err_Message2,VLOOKUP(C214&amp;TableCosts[[#This Row],[Calc_N_Typ]],TRAN_STRITEMS_LABEL,5,FALSE))),"")</f>
        <v/>
      </c>
      <c r="F214" s="6">
        <f t="shared" si="50"/>
        <v>0</v>
      </c>
      <c r="G214" s="6" t="str">
        <f>IF(F214=1,IFERROR(VLOOKUP(E214,Tab_ErrMessage[],2,0),VLOOKUP(C214&amp;TableCosts[[#This Row],[Calc_N_Typ]],TRAN_STRITEMS_LABEL,4,FALSE)),"")</f>
        <v/>
      </c>
      <c r="H214" s="40"/>
      <c r="I214" s="40"/>
      <c r="J214" s="35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4"/>
      <c r="AI214" s="24"/>
      <c r="AJ214" s="24"/>
      <c r="AK214" s="38">
        <f t="array" ref="AK214">IF(F214=1,SUM((ROW(M0)=ROW(AK214))*(M0+M1_+M2_+M3_+M4_+M5_+M6_+M7_+M8_+M9_+M10_+M11_+M12_+M13_+M14_+M15_+M16_+M17_+M18_+M19_+M20_+M21_+M22_+M23_+M24_+M25_)),0)</f>
        <v>0</v>
      </c>
      <c r="AL214" s="27">
        <f>TableCosts[[#This Row],[N_Direct]]</f>
        <v>0</v>
      </c>
      <c r="AN214" s="7" t="str">
        <f t="shared" si="39"/>
        <v/>
      </c>
      <c r="AO214" s="7" t="str">
        <f t="shared" si="42"/>
        <v/>
      </c>
      <c r="AP214" s="7" t="str">
        <f t="shared" si="40"/>
        <v/>
      </c>
      <c r="AQ214" s="7" t="str">
        <f t="shared" si="43"/>
        <v/>
      </c>
      <c r="AR214" s="7" t="str">
        <f t="shared" si="41"/>
        <v/>
      </c>
      <c r="AS214" s="7">
        <f t="shared" si="44"/>
        <v>0</v>
      </c>
      <c r="AT214" s="17">
        <f>TableCosts[[#This Row],[N_Amount]]*TableCosts[[#This Row],[N_Tariff]]*TableCosts[[#This Row],[N_ItemsCount]]</f>
        <v>0</v>
      </c>
      <c r="AU214" s="17">
        <f>IF(F214=1,IF(TableCosts[[#This Row],[N_Kateg]]="interné práce",TableCosts[[#This Row],[N_Amount]]*8*PAR_SGA_PERHOUR,0),0)</f>
        <v>0</v>
      </c>
      <c r="AV214" s="17">
        <f>SUM(TableCosts[[#This Row],[N_Direct]:[N_SGA]])</f>
        <v>0</v>
      </c>
      <c r="AW214" s="7">
        <f>IF(F214=1,IF(D214="",NA(),VLOOKUP(C214&amp;TableCosts[[#This Row],[Calc_N_Typ]],TRAN_STRITEMS_LABEL,7,0)),0)</f>
        <v>0</v>
      </c>
      <c r="AX214" s="7">
        <f t="shared" si="45"/>
        <v>0</v>
      </c>
      <c r="AY214" s="57" t="str">
        <f t="shared" si="46"/>
        <v/>
      </c>
      <c r="AZ214" s="57" t="str">
        <f t="shared" si="47"/>
        <v/>
      </c>
      <c r="BA214" s="57" t="str">
        <f>IF(F214=1,IF(TableCosts[[#This Row],[TransferFrom]]=TableCosts[[#This Row],[TranferTo]],0,1),"")</f>
        <v/>
      </c>
      <c r="BB214" s="7">
        <f t="shared" si="48"/>
        <v>0</v>
      </c>
      <c r="BC214" s="7">
        <f t="shared" si="49"/>
        <v>0</v>
      </c>
    </row>
    <row r="215" spans="2:55" s="7" customFormat="1" ht="12.75" x14ac:dyDescent="0.2">
      <c r="B215" s="33"/>
      <c r="C215" s="31"/>
      <c r="D215" s="40"/>
      <c r="E215" s="6" t="str">
        <f>IF(F215=1,IF(ISERROR(TableCosts[[#This Row],[N_Tariff]]),Err_Message1,IF(TableCosts[[#This Row],[N_Tariff]]=0,Err_Message2,VLOOKUP(C215&amp;TableCosts[[#This Row],[Calc_N_Typ]],TRAN_STRITEMS_LABEL,5,FALSE))),"")</f>
        <v/>
      </c>
      <c r="F215" s="6">
        <f t="shared" si="50"/>
        <v>0</v>
      </c>
      <c r="G215" s="6" t="str">
        <f>IF(F215=1,IFERROR(VLOOKUP(E215,Tab_ErrMessage[],2,0),VLOOKUP(C215&amp;TableCosts[[#This Row],[Calc_N_Typ]],TRAN_STRITEMS_LABEL,4,FALSE)),"")</f>
        <v/>
      </c>
      <c r="H215" s="40"/>
      <c r="I215" s="40"/>
      <c r="J215" s="35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4"/>
      <c r="AI215" s="24"/>
      <c r="AJ215" s="24"/>
      <c r="AK215" s="38">
        <f t="array" ref="AK215">IF(F215=1,SUM((ROW(M0)=ROW(AK215))*(M0+M1_+M2_+M3_+M4_+M5_+M6_+M7_+M8_+M9_+M10_+M11_+M12_+M13_+M14_+M15_+M16_+M17_+M18_+M19_+M20_+M21_+M22_+M23_+M24_+M25_)),0)</f>
        <v>0</v>
      </c>
      <c r="AL215" s="27">
        <f>TableCosts[[#This Row],[N_Direct]]</f>
        <v>0</v>
      </c>
      <c r="AN215" s="7" t="str">
        <f t="shared" si="39"/>
        <v/>
      </c>
      <c r="AO215" s="7" t="str">
        <f t="shared" si="42"/>
        <v/>
      </c>
      <c r="AP215" s="7" t="str">
        <f t="shared" si="40"/>
        <v/>
      </c>
      <c r="AQ215" s="7" t="str">
        <f t="shared" si="43"/>
        <v/>
      </c>
      <c r="AR215" s="7" t="str">
        <f t="shared" si="41"/>
        <v/>
      </c>
      <c r="AS215" s="7">
        <f t="shared" si="44"/>
        <v>0</v>
      </c>
      <c r="AT215" s="17">
        <f>TableCosts[[#This Row],[N_Amount]]*TableCosts[[#This Row],[N_Tariff]]*TableCosts[[#This Row],[N_ItemsCount]]</f>
        <v>0</v>
      </c>
      <c r="AU215" s="17">
        <f>IF(F215=1,IF(TableCosts[[#This Row],[N_Kateg]]="interné práce",TableCosts[[#This Row],[N_Amount]]*8*PAR_SGA_PERHOUR,0),0)</f>
        <v>0</v>
      </c>
      <c r="AV215" s="17">
        <f>SUM(TableCosts[[#This Row],[N_Direct]:[N_SGA]])</f>
        <v>0</v>
      </c>
      <c r="AW215" s="7">
        <f>IF(F215=1,IF(D215="",NA(),VLOOKUP(C215&amp;TableCosts[[#This Row],[Calc_N_Typ]],TRAN_STRITEMS_LABEL,7,0)),0)</f>
        <v>0</v>
      </c>
      <c r="AX215" s="7">
        <f t="shared" si="45"/>
        <v>0</v>
      </c>
      <c r="AY215" s="57" t="str">
        <f t="shared" si="46"/>
        <v/>
      </c>
      <c r="AZ215" s="57" t="str">
        <f t="shared" si="47"/>
        <v/>
      </c>
      <c r="BA215" s="57" t="str">
        <f>IF(F215=1,IF(TableCosts[[#This Row],[TransferFrom]]=TableCosts[[#This Row],[TranferTo]],0,1),"")</f>
        <v/>
      </c>
      <c r="BB215" s="7">
        <f t="shared" si="48"/>
        <v>0</v>
      </c>
      <c r="BC215" s="7">
        <f t="shared" si="49"/>
        <v>0</v>
      </c>
    </row>
    <row r="216" spans="2:55" s="7" customFormat="1" ht="12.75" x14ac:dyDescent="0.2">
      <c r="B216" s="33"/>
      <c r="C216" s="31"/>
      <c r="D216" s="40"/>
      <c r="E216" s="6" t="str">
        <f>IF(F216=1,IF(ISERROR(TableCosts[[#This Row],[N_Tariff]]),Err_Message1,IF(TableCosts[[#This Row],[N_Tariff]]=0,Err_Message2,VLOOKUP(C216&amp;TableCosts[[#This Row],[Calc_N_Typ]],TRAN_STRITEMS_LABEL,5,FALSE))),"")</f>
        <v/>
      </c>
      <c r="F216" s="6">
        <f t="shared" si="50"/>
        <v>0</v>
      </c>
      <c r="G216" s="6" t="str">
        <f>IF(F216=1,IFERROR(VLOOKUP(E216,Tab_ErrMessage[],2,0),VLOOKUP(C216&amp;TableCosts[[#This Row],[Calc_N_Typ]],TRAN_STRITEMS_LABEL,4,FALSE)),"")</f>
        <v/>
      </c>
      <c r="H216" s="40"/>
      <c r="I216" s="40"/>
      <c r="J216" s="35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4"/>
      <c r="AI216" s="24"/>
      <c r="AJ216" s="24"/>
      <c r="AK216" s="38">
        <f t="array" ref="AK216">IF(F216=1,SUM((ROW(M0)=ROW(AK216))*(M0+M1_+M2_+M3_+M4_+M5_+M6_+M7_+M8_+M9_+M10_+M11_+M12_+M13_+M14_+M15_+M16_+M17_+M18_+M19_+M20_+M21_+M22_+M23_+M24_+M25_)),0)</f>
        <v>0</v>
      </c>
      <c r="AL216" s="27">
        <f>TableCosts[[#This Row],[N_Direct]]</f>
        <v>0</v>
      </c>
      <c r="AN216" s="7" t="str">
        <f t="shared" si="39"/>
        <v/>
      </c>
      <c r="AO216" s="7" t="str">
        <f t="shared" si="42"/>
        <v/>
      </c>
      <c r="AP216" s="7" t="str">
        <f t="shared" si="40"/>
        <v/>
      </c>
      <c r="AQ216" s="7" t="str">
        <f t="shared" si="43"/>
        <v/>
      </c>
      <c r="AR216" s="7" t="str">
        <f t="shared" si="41"/>
        <v/>
      </c>
      <c r="AS216" s="7">
        <f t="shared" si="44"/>
        <v>0</v>
      </c>
      <c r="AT216" s="17">
        <f>TableCosts[[#This Row],[N_Amount]]*TableCosts[[#This Row],[N_Tariff]]*TableCosts[[#This Row],[N_ItemsCount]]</f>
        <v>0</v>
      </c>
      <c r="AU216" s="17">
        <f>IF(F216=1,IF(TableCosts[[#This Row],[N_Kateg]]="interné práce",TableCosts[[#This Row],[N_Amount]]*8*PAR_SGA_PERHOUR,0),0)</f>
        <v>0</v>
      </c>
      <c r="AV216" s="17">
        <f>SUM(TableCosts[[#This Row],[N_Direct]:[N_SGA]])</f>
        <v>0</v>
      </c>
      <c r="AW216" s="7">
        <f>IF(F216=1,IF(D216="",NA(),VLOOKUP(C216&amp;TableCosts[[#This Row],[Calc_N_Typ]],TRAN_STRITEMS_LABEL,7,0)),0)</f>
        <v>0</v>
      </c>
      <c r="AX216" s="7">
        <f t="shared" si="45"/>
        <v>0</v>
      </c>
      <c r="AY216" s="57" t="str">
        <f t="shared" si="46"/>
        <v/>
      </c>
      <c r="AZ216" s="57" t="str">
        <f t="shared" si="47"/>
        <v/>
      </c>
      <c r="BA216" s="57" t="str">
        <f>IF(F216=1,IF(TableCosts[[#This Row],[TransferFrom]]=TableCosts[[#This Row],[TranferTo]],0,1),"")</f>
        <v/>
      </c>
      <c r="BB216" s="7">
        <f t="shared" si="48"/>
        <v>0</v>
      </c>
      <c r="BC216" s="7">
        <f t="shared" si="49"/>
        <v>0</v>
      </c>
    </row>
    <row r="217" spans="2:55" s="7" customFormat="1" ht="12.75" x14ac:dyDescent="0.2">
      <c r="B217" s="33"/>
      <c r="C217" s="31"/>
      <c r="D217" s="40"/>
      <c r="E217" s="6" t="str">
        <f>IF(F217=1,IF(ISERROR(TableCosts[[#This Row],[N_Tariff]]),Err_Message1,IF(TableCosts[[#This Row],[N_Tariff]]=0,Err_Message2,VLOOKUP(C217&amp;TableCosts[[#This Row],[Calc_N_Typ]],TRAN_STRITEMS_LABEL,5,FALSE))),"")</f>
        <v/>
      </c>
      <c r="F217" s="6">
        <f t="shared" si="50"/>
        <v>0</v>
      </c>
      <c r="G217" s="6" t="str">
        <f>IF(F217=1,IFERROR(VLOOKUP(E217,Tab_ErrMessage[],2,0),VLOOKUP(C217&amp;TableCosts[[#This Row],[Calc_N_Typ]],TRAN_STRITEMS_LABEL,4,FALSE)),"")</f>
        <v/>
      </c>
      <c r="H217" s="40"/>
      <c r="I217" s="40"/>
      <c r="J217" s="35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4"/>
      <c r="AI217" s="24"/>
      <c r="AJ217" s="24"/>
      <c r="AK217" s="38">
        <f t="array" ref="AK217">IF(F217=1,SUM((ROW(M0)=ROW(AK217))*(M0+M1_+M2_+M3_+M4_+M5_+M6_+M7_+M8_+M9_+M10_+M11_+M12_+M13_+M14_+M15_+M16_+M17_+M18_+M19_+M20_+M21_+M22_+M23_+M24_+M25_)),0)</f>
        <v>0</v>
      </c>
      <c r="AL217" s="27">
        <f>TableCosts[[#This Row],[N_Direct]]</f>
        <v>0</v>
      </c>
      <c r="AN217" s="7" t="str">
        <f t="shared" si="39"/>
        <v/>
      </c>
      <c r="AO217" s="7" t="str">
        <f t="shared" si="42"/>
        <v/>
      </c>
      <c r="AP217" s="7" t="str">
        <f t="shared" si="40"/>
        <v/>
      </c>
      <c r="AQ217" s="7" t="str">
        <f t="shared" si="43"/>
        <v/>
      </c>
      <c r="AR217" s="7" t="str">
        <f t="shared" si="41"/>
        <v/>
      </c>
      <c r="AS217" s="7">
        <f t="shared" si="44"/>
        <v>0</v>
      </c>
      <c r="AT217" s="17">
        <f>TableCosts[[#This Row],[N_Amount]]*TableCosts[[#This Row],[N_Tariff]]*TableCosts[[#This Row],[N_ItemsCount]]</f>
        <v>0</v>
      </c>
      <c r="AU217" s="17">
        <f>IF(F217=1,IF(TableCosts[[#This Row],[N_Kateg]]="interné práce",TableCosts[[#This Row],[N_Amount]]*8*PAR_SGA_PERHOUR,0),0)</f>
        <v>0</v>
      </c>
      <c r="AV217" s="17">
        <f>SUM(TableCosts[[#This Row],[N_Direct]:[N_SGA]])</f>
        <v>0</v>
      </c>
      <c r="AW217" s="7">
        <f>IF(F217=1,IF(D217="",NA(),VLOOKUP(C217&amp;TableCosts[[#This Row],[Calc_N_Typ]],TRAN_STRITEMS_LABEL,7,0)),0)</f>
        <v>0</v>
      </c>
      <c r="AX217" s="7">
        <f t="shared" si="45"/>
        <v>0</v>
      </c>
      <c r="AY217" s="57" t="str">
        <f t="shared" si="46"/>
        <v/>
      </c>
      <c r="AZ217" s="57" t="str">
        <f t="shared" si="47"/>
        <v/>
      </c>
      <c r="BA217" s="57" t="str">
        <f>IF(F217=1,IF(TableCosts[[#This Row],[TransferFrom]]=TableCosts[[#This Row],[TranferTo]],0,1),"")</f>
        <v/>
      </c>
      <c r="BB217" s="7">
        <f t="shared" si="48"/>
        <v>0</v>
      </c>
      <c r="BC217" s="7">
        <f t="shared" si="49"/>
        <v>0</v>
      </c>
    </row>
    <row r="218" spans="2:55" s="7" customFormat="1" ht="12.75" x14ac:dyDescent="0.2">
      <c r="B218" s="33"/>
      <c r="C218" s="31"/>
      <c r="D218" s="40"/>
      <c r="E218" s="6" t="str">
        <f>IF(F218=1,IF(ISERROR(TableCosts[[#This Row],[N_Tariff]]),Err_Message1,IF(TableCosts[[#This Row],[N_Tariff]]=0,Err_Message2,VLOOKUP(C218&amp;TableCosts[[#This Row],[Calc_N_Typ]],TRAN_STRITEMS_LABEL,5,FALSE))),"")</f>
        <v/>
      </c>
      <c r="F218" s="6">
        <f t="shared" si="50"/>
        <v>0</v>
      </c>
      <c r="G218" s="6" t="str">
        <f>IF(F218=1,IFERROR(VLOOKUP(E218,Tab_ErrMessage[],2,0),VLOOKUP(C218&amp;TableCosts[[#This Row],[Calc_N_Typ]],TRAN_STRITEMS_LABEL,4,FALSE)),"")</f>
        <v/>
      </c>
      <c r="H218" s="40"/>
      <c r="I218" s="40"/>
      <c r="J218" s="35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4"/>
      <c r="AI218" s="24"/>
      <c r="AJ218" s="24"/>
      <c r="AK218" s="38">
        <f t="array" ref="AK218">IF(F218=1,SUM((ROW(M0)=ROW(AK218))*(M0+M1_+M2_+M3_+M4_+M5_+M6_+M7_+M8_+M9_+M10_+M11_+M12_+M13_+M14_+M15_+M16_+M17_+M18_+M19_+M20_+M21_+M22_+M23_+M24_+M25_)),0)</f>
        <v>0</v>
      </c>
      <c r="AL218" s="27">
        <f>TableCosts[[#This Row],[N_Direct]]</f>
        <v>0</v>
      </c>
      <c r="AN218" s="7" t="str">
        <f t="shared" si="39"/>
        <v/>
      </c>
      <c r="AO218" s="7" t="str">
        <f t="shared" si="42"/>
        <v/>
      </c>
      <c r="AP218" s="7" t="str">
        <f t="shared" si="40"/>
        <v/>
      </c>
      <c r="AQ218" s="7" t="str">
        <f t="shared" si="43"/>
        <v/>
      </c>
      <c r="AR218" s="7" t="str">
        <f t="shared" si="41"/>
        <v/>
      </c>
      <c r="AS218" s="7">
        <f t="shared" si="44"/>
        <v>0</v>
      </c>
      <c r="AT218" s="17">
        <f>TableCosts[[#This Row],[N_Amount]]*TableCosts[[#This Row],[N_Tariff]]*TableCosts[[#This Row],[N_ItemsCount]]</f>
        <v>0</v>
      </c>
      <c r="AU218" s="17">
        <f>IF(F218=1,IF(TableCosts[[#This Row],[N_Kateg]]="interné práce",TableCosts[[#This Row],[N_Amount]]*8*PAR_SGA_PERHOUR,0),0)</f>
        <v>0</v>
      </c>
      <c r="AV218" s="17">
        <f>SUM(TableCosts[[#This Row],[N_Direct]:[N_SGA]])</f>
        <v>0</v>
      </c>
      <c r="AW218" s="7">
        <f>IF(F218=1,IF(D218="",NA(),VLOOKUP(C218&amp;TableCosts[[#This Row],[Calc_N_Typ]],TRAN_STRITEMS_LABEL,7,0)),0)</f>
        <v>0</v>
      </c>
      <c r="AX218" s="7">
        <f t="shared" si="45"/>
        <v>0</v>
      </c>
      <c r="AY218" s="57" t="str">
        <f t="shared" si="46"/>
        <v/>
      </c>
      <c r="AZ218" s="57" t="str">
        <f t="shared" si="47"/>
        <v/>
      </c>
      <c r="BA218" s="57" t="str">
        <f>IF(F218=1,IF(TableCosts[[#This Row],[TransferFrom]]=TableCosts[[#This Row],[TranferTo]],0,1),"")</f>
        <v/>
      </c>
      <c r="BB218" s="7">
        <f t="shared" si="48"/>
        <v>0</v>
      </c>
      <c r="BC218" s="7">
        <f t="shared" si="49"/>
        <v>0</v>
      </c>
    </row>
    <row r="219" spans="2:55" s="7" customFormat="1" ht="12.75" x14ac:dyDescent="0.2">
      <c r="B219" s="33"/>
      <c r="C219" s="31"/>
      <c r="D219" s="40"/>
      <c r="E219" s="6" t="str">
        <f>IF(F219=1,IF(ISERROR(TableCosts[[#This Row],[N_Tariff]]),Err_Message1,IF(TableCosts[[#This Row],[N_Tariff]]=0,Err_Message2,VLOOKUP(C219&amp;TableCosts[[#This Row],[Calc_N_Typ]],TRAN_STRITEMS_LABEL,5,FALSE))),"")</f>
        <v/>
      </c>
      <c r="F219" s="6">
        <f t="shared" si="50"/>
        <v>0</v>
      </c>
      <c r="G219" s="6" t="str">
        <f>IF(F219=1,IFERROR(VLOOKUP(E219,Tab_ErrMessage[],2,0),VLOOKUP(C219&amp;TableCosts[[#This Row],[Calc_N_Typ]],TRAN_STRITEMS_LABEL,4,FALSE)),"")</f>
        <v/>
      </c>
      <c r="H219" s="40"/>
      <c r="I219" s="40"/>
      <c r="J219" s="35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4"/>
      <c r="AI219" s="24"/>
      <c r="AJ219" s="24"/>
      <c r="AK219" s="38">
        <f t="array" ref="AK219">IF(F219=1,SUM((ROW(M0)=ROW(AK219))*(M0+M1_+M2_+M3_+M4_+M5_+M6_+M7_+M8_+M9_+M10_+M11_+M12_+M13_+M14_+M15_+M16_+M17_+M18_+M19_+M20_+M21_+M22_+M23_+M24_+M25_)),0)</f>
        <v>0</v>
      </c>
      <c r="AL219" s="27">
        <f>TableCosts[[#This Row],[N_Direct]]</f>
        <v>0</v>
      </c>
      <c r="AN219" s="7" t="str">
        <f t="shared" si="39"/>
        <v/>
      </c>
      <c r="AO219" s="7" t="str">
        <f t="shared" si="42"/>
        <v/>
      </c>
      <c r="AP219" s="7" t="str">
        <f t="shared" si="40"/>
        <v/>
      </c>
      <c r="AQ219" s="7" t="str">
        <f t="shared" si="43"/>
        <v/>
      </c>
      <c r="AR219" s="7" t="str">
        <f t="shared" si="41"/>
        <v/>
      </c>
      <c r="AS219" s="7">
        <f t="shared" si="44"/>
        <v>0</v>
      </c>
      <c r="AT219" s="17">
        <f>TableCosts[[#This Row],[N_Amount]]*TableCosts[[#This Row],[N_Tariff]]*TableCosts[[#This Row],[N_ItemsCount]]</f>
        <v>0</v>
      </c>
      <c r="AU219" s="17">
        <f>IF(F219=1,IF(TableCosts[[#This Row],[N_Kateg]]="interné práce",TableCosts[[#This Row],[N_Amount]]*8*PAR_SGA_PERHOUR,0),0)</f>
        <v>0</v>
      </c>
      <c r="AV219" s="17">
        <f>SUM(TableCosts[[#This Row],[N_Direct]:[N_SGA]])</f>
        <v>0</v>
      </c>
      <c r="AW219" s="7">
        <f>IF(F219=1,IF(D219="",NA(),VLOOKUP(C219&amp;TableCosts[[#This Row],[Calc_N_Typ]],TRAN_STRITEMS_LABEL,7,0)),0)</f>
        <v>0</v>
      </c>
      <c r="AX219" s="7">
        <f t="shared" si="45"/>
        <v>0</v>
      </c>
      <c r="AY219" s="57" t="str">
        <f t="shared" si="46"/>
        <v/>
      </c>
      <c r="AZ219" s="57" t="str">
        <f t="shared" si="47"/>
        <v/>
      </c>
      <c r="BA219" s="57" t="str">
        <f>IF(F219=1,IF(TableCosts[[#This Row],[TransferFrom]]=TableCosts[[#This Row],[TranferTo]],0,1),"")</f>
        <v/>
      </c>
      <c r="BB219" s="7">
        <f t="shared" si="48"/>
        <v>0</v>
      </c>
      <c r="BC219" s="7">
        <f t="shared" si="49"/>
        <v>0</v>
      </c>
    </row>
    <row r="220" spans="2:55" s="7" customFormat="1" ht="12.75" x14ac:dyDescent="0.2">
      <c r="B220" s="33"/>
      <c r="C220" s="31"/>
      <c r="D220" s="40"/>
      <c r="E220" s="6" t="str">
        <f>IF(F220=1,IF(ISERROR(TableCosts[[#This Row],[N_Tariff]]),Err_Message1,IF(TableCosts[[#This Row],[N_Tariff]]=0,Err_Message2,VLOOKUP(C220&amp;TableCosts[[#This Row],[Calc_N_Typ]],TRAN_STRITEMS_LABEL,5,FALSE))),"")</f>
        <v/>
      </c>
      <c r="F220" s="6">
        <f t="shared" si="50"/>
        <v>0</v>
      </c>
      <c r="G220" s="6" t="str">
        <f>IF(F220=1,IFERROR(VLOOKUP(E220,Tab_ErrMessage[],2,0),VLOOKUP(C220&amp;TableCosts[[#This Row],[Calc_N_Typ]],TRAN_STRITEMS_LABEL,4,FALSE)),"")</f>
        <v/>
      </c>
      <c r="H220" s="40"/>
      <c r="I220" s="40"/>
      <c r="J220" s="35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4"/>
      <c r="AI220" s="24"/>
      <c r="AJ220" s="24"/>
      <c r="AK220" s="38">
        <f t="array" ref="AK220">IF(F220=1,SUM((ROW(M0)=ROW(AK220))*(M0+M1_+M2_+M3_+M4_+M5_+M6_+M7_+M8_+M9_+M10_+M11_+M12_+M13_+M14_+M15_+M16_+M17_+M18_+M19_+M20_+M21_+M22_+M23_+M24_+M25_)),0)</f>
        <v>0</v>
      </c>
      <c r="AL220" s="27">
        <f>TableCosts[[#This Row],[N_Direct]]</f>
        <v>0</v>
      </c>
      <c r="AN220" s="7" t="str">
        <f t="shared" si="39"/>
        <v/>
      </c>
      <c r="AO220" s="7" t="str">
        <f t="shared" si="42"/>
        <v/>
      </c>
      <c r="AP220" s="7" t="str">
        <f t="shared" si="40"/>
        <v/>
      </c>
      <c r="AQ220" s="7" t="str">
        <f t="shared" si="43"/>
        <v/>
      </c>
      <c r="AR220" s="7" t="str">
        <f t="shared" si="41"/>
        <v/>
      </c>
      <c r="AS220" s="7">
        <f t="shared" si="44"/>
        <v>0</v>
      </c>
      <c r="AT220" s="17">
        <f>TableCosts[[#This Row],[N_Amount]]*TableCosts[[#This Row],[N_Tariff]]*TableCosts[[#This Row],[N_ItemsCount]]</f>
        <v>0</v>
      </c>
      <c r="AU220" s="17">
        <f>IF(F220=1,IF(TableCosts[[#This Row],[N_Kateg]]="interné práce",TableCosts[[#This Row],[N_Amount]]*8*PAR_SGA_PERHOUR,0),0)</f>
        <v>0</v>
      </c>
      <c r="AV220" s="17">
        <f>SUM(TableCosts[[#This Row],[N_Direct]:[N_SGA]])</f>
        <v>0</v>
      </c>
      <c r="AW220" s="7">
        <f>IF(F220=1,IF(D220="",NA(),VLOOKUP(C220&amp;TableCosts[[#This Row],[Calc_N_Typ]],TRAN_STRITEMS_LABEL,7,0)),0)</f>
        <v>0</v>
      </c>
      <c r="AX220" s="7">
        <f t="shared" si="45"/>
        <v>0</v>
      </c>
      <c r="AY220" s="57" t="str">
        <f t="shared" si="46"/>
        <v/>
      </c>
      <c r="AZ220" s="57" t="str">
        <f t="shared" si="47"/>
        <v/>
      </c>
      <c r="BA220" s="57" t="str">
        <f>IF(F220=1,IF(TableCosts[[#This Row],[TransferFrom]]=TableCosts[[#This Row],[TranferTo]],0,1),"")</f>
        <v/>
      </c>
      <c r="BB220" s="7">
        <f t="shared" si="48"/>
        <v>0</v>
      </c>
      <c r="BC220" s="7">
        <f t="shared" si="49"/>
        <v>0</v>
      </c>
    </row>
    <row r="221" spans="2:55" s="7" customFormat="1" ht="12.75" x14ac:dyDescent="0.2">
      <c r="B221" s="33"/>
      <c r="C221" s="31"/>
      <c r="D221" s="40"/>
      <c r="E221" s="6" t="str">
        <f>IF(F221=1,IF(ISERROR(TableCosts[[#This Row],[N_Tariff]]),Err_Message1,IF(TableCosts[[#This Row],[N_Tariff]]=0,Err_Message2,VLOOKUP(C221&amp;TableCosts[[#This Row],[Calc_N_Typ]],TRAN_STRITEMS_LABEL,5,FALSE))),"")</f>
        <v/>
      </c>
      <c r="F221" s="6">
        <f t="shared" si="50"/>
        <v>0</v>
      </c>
      <c r="G221" s="6" t="str">
        <f>IF(F221=1,IFERROR(VLOOKUP(E221,Tab_ErrMessage[],2,0),VLOOKUP(C221&amp;TableCosts[[#This Row],[Calc_N_Typ]],TRAN_STRITEMS_LABEL,4,FALSE)),"")</f>
        <v/>
      </c>
      <c r="H221" s="40"/>
      <c r="I221" s="40"/>
      <c r="J221" s="35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4"/>
      <c r="AI221" s="24"/>
      <c r="AJ221" s="24"/>
      <c r="AK221" s="38">
        <f t="array" ref="AK221">IF(F221=1,SUM((ROW(M0)=ROW(AK221))*(M0+M1_+M2_+M3_+M4_+M5_+M6_+M7_+M8_+M9_+M10_+M11_+M12_+M13_+M14_+M15_+M16_+M17_+M18_+M19_+M20_+M21_+M22_+M23_+M24_+M25_)),0)</f>
        <v>0</v>
      </c>
      <c r="AL221" s="27">
        <f>TableCosts[[#This Row],[N_Direct]]</f>
        <v>0</v>
      </c>
      <c r="AN221" s="7" t="str">
        <f t="shared" si="39"/>
        <v/>
      </c>
      <c r="AO221" s="7" t="str">
        <f t="shared" si="42"/>
        <v/>
      </c>
      <c r="AP221" s="7" t="str">
        <f t="shared" si="40"/>
        <v/>
      </c>
      <c r="AQ221" s="7" t="str">
        <f t="shared" si="43"/>
        <v/>
      </c>
      <c r="AR221" s="7" t="str">
        <f t="shared" si="41"/>
        <v/>
      </c>
      <c r="AS221" s="7">
        <f t="shared" si="44"/>
        <v>0</v>
      </c>
      <c r="AT221" s="17">
        <f>TableCosts[[#This Row],[N_Amount]]*TableCosts[[#This Row],[N_Tariff]]*TableCosts[[#This Row],[N_ItemsCount]]</f>
        <v>0</v>
      </c>
      <c r="AU221" s="17">
        <f>IF(F221=1,IF(TableCosts[[#This Row],[N_Kateg]]="interné práce",TableCosts[[#This Row],[N_Amount]]*8*PAR_SGA_PERHOUR,0),0)</f>
        <v>0</v>
      </c>
      <c r="AV221" s="17">
        <f>SUM(TableCosts[[#This Row],[N_Direct]:[N_SGA]])</f>
        <v>0</v>
      </c>
      <c r="AW221" s="7">
        <f>IF(F221=1,IF(D221="",NA(),VLOOKUP(C221&amp;TableCosts[[#This Row],[Calc_N_Typ]],TRAN_STRITEMS_LABEL,7,0)),0)</f>
        <v>0</v>
      </c>
      <c r="AX221" s="7">
        <f t="shared" si="45"/>
        <v>0</v>
      </c>
      <c r="AY221" s="57" t="str">
        <f t="shared" si="46"/>
        <v/>
      </c>
      <c r="AZ221" s="57" t="str">
        <f t="shared" si="47"/>
        <v/>
      </c>
      <c r="BA221" s="57" t="str">
        <f>IF(F221=1,IF(TableCosts[[#This Row],[TransferFrom]]=TableCosts[[#This Row],[TranferTo]],0,1),"")</f>
        <v/>
      </c>
      <c r="BB221" s="7">
        <f t="shared" si="48"/>
        <v>0</v>
      </c>
      <c r="BC221" s="7">
        <f t="shared" si="49"/>
        <v>0</v>
      </c>
    </row>
    <row r="222" spans="2:55" s="7" customFormat="1" ht="12.75" x14ac:dyDescent="0.2">
      <c r="B222" s="33"/>
      <c r="C222" s="31"/>
      <c r="D222" s="40"/>
      <c r="E222" s="6" t="str">
        <f>IF(F222=1,IF(ISERROR(TableCosts[[#This Row],[N_Tariff]]),Err_Message1,IF(TableCosts[[#This Row],[N_Tariff]]=0,Err_Message2,VLOOKUP(C222&amp;TableCosts[[#This Row],[Calc_N_Typ]],TRAN_STRITEMS_LABEL,5,FALSE))),"")</f>
        <v/>
      </c>
      <c r="F222" s="6">
        <f t="shared" si="50"/>
        <v>0</v>
      </c>
      <c r="G222" s="6" t="str">
        <f>IF(F222=1,IFERROR(VLOOKUP(E222,Tab_ErrMessage[],2,0),VLOOKUP(C222&amp;TableCosts[[#This Row],[Calc_N_Typ]],TRAN_STRITEMS_LABEL,4,FALSE)),"")</f>
        <v/>
      </c>
      <c r="H222" s="40"/>
      <c r="I222" s="40"/>
      <c r="J222" s="35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4"/>
      <c r="AI222" s="24"/>
      <c r="AJ222" s="24"/>
      <c r="AK222" s="38">
        <f t="array" ref="AK222">IF(F222=1,SUM((ROW(M0)=ROW(AK222))*(M0+M1_+M2_+M3_+M4_+M5_+M6_+M7_+M8_+M9_+M10_+M11_+M12_+M13_+M14_+M15_+M16_+M17_+M18_+M19_+M20_+M21_+M22_+M23_+M24_+M25_)),0)</f>
        <v>0</v>
      </c>
      <c r="AL222" s="27">
        <f>TableCosts[[#This Row],[N_Direct]]</f>
        <v>0</v>
      </c>
      <c r="AN222" s="7" t="str">
        <f t="shared" si="39"/>
        <v/>
      </c>
      <c r="AO222" s="7" t="str">
        <f t="shared" si="42"/>
        <v/>
      </c>
      <c r="AP222" s="7" t="str">
        <f t="shared" si="40"/>
        <v/>
      </c>
      <c r="AQ222" s="7" t="str">
        <f t="shared" si="43"/>
        <v/>
      </c>
      <c r="AR222" s="7" t="str">
        <f t="shared" si="41"/>
        <v/>
      </c>
      <c r="AS222" s="7">
        <f t="shared" si="44"/>
        <v>0</v>
      </c>
      <c r="AT222" s="17">
        <f>TableCosts[[#This Row],[N_Amount]]*TableCosts[[#This Row],[N_Tariff]]*TableCosts[[#This Row],[N_ItemsCount]]</f>
        <v>0</v>
      </c>
      <c r="AU222" s="17">
        <f>IF(F222=1,IF(TableCosts[[#This Row],[N_Kateg]]="interné práce",TableCosts[[#This Row],[N_Amount]]*8*PAR_SGA_PERHOUR,0),0)</f>
        <v>0</v>
      </c>
      <c r="AV222" s="17">
        <f>SUM(TableCosts[[#This Row],[N_Direct]:[N_SGA]])</f>
        <v>0</v>
      </c>
      <c r="AW222" s="7">
        <f>IF(F222=1,IF(D222="",NA(),VLOOKUP(C222&amp;TableCosts[[#This Row],[Calc_N_Typ]],TRAN_STRITEMS_LABEL,7,0)),0)</f>
        <v>0</v>
      </c>
      <c r="AX222" s="7">
        <f t="shared" si="45"/>
        <v>0</v>
      </c>
      <c r="AY222" s="57" t="str">
        <f t="shared" si="46"/>
        <v/>
      </c>
      <c r="AZ222" s="57" t="str">
        <f t="shared" si="47"/>
        <v/>
      </c>
      <c r="BA222" s="57" t="str">
        <f>IF(F222=1,IF(TableCosts[[#This Row],[TransferFrom]]=TableCosts[[#This Row],[TranferTo]],0,1),"")</f>
        <v/>
      </c>
      <c r="BB222" s="7">
        <f t="shared" si="48"/>
        <v>0</v>
      </c>
      <c r="BC222" s="7">
        <f t="shared" si="49"/>
        <v>0</v>
      </c>
    </row>
    <row r="223" spans="2:55" s="7" customFormat="1" ht="12.75" x14ac:dyDescent="0.2">
      <c r="B223" s="33"/>
      <c r="C223" s="31"/>
      <c r="D223" s="40"/>
      <c r="E223" s="6" t="str">
        <f>IF(F223=1,IF(ISERROR(TableCosts[[#This Row],[N_Tariff]]),Err_Message1,IF(TableCosts[[#This Row],[N_Tariff]]=0,Err_Message2,VLOOKUP(C223&amp;TableCosts[[#This Row],[Calc_N_Typ]],TRAN_STRITEMS_LABEL,5,FALSE))),"")</f>
        <v/>
      </c>
      <c r="F223" s="6">
        <f t="shared" si="50"/>
        <v>0</v>
      </c>
      <c r="G223" s="6" t="str">
        <f>IF(F223=1,IFERROR(VLOOKUP(E223,Tab_ErrMessage[],2,0),VLOOKUP(C223&amp;TableCosts[[#This Row],[Calc_N_Typ]],TRAN_STRITEMS_LABEL,4,FALSE)),"")</f>
        <v/>
      </c>
      <c r="H223" s="40"/>
      <c r="I223" s="40"/>
      <c r="J223" s="35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4"/>
      <c r="AI223" s="24"/>
      <c r="AJ223" s="24"/>
      <c r="AK223" s="38">
        <f t="array" ref="AK223">IF(F223=1,SUM((ROW(M0)=ROW(AK223))*(M0+M1_+M2_+M3_+M4_+M5_+M6_+M7_+M8_+M9_+M10_+M11_+M12_+M13_+M14_+M15_+M16_+M17_+M18_+M19_+M20_+M21_+M22_+M23_+M24_+M25_)),0)</f>
        <v>0</v>
      </c>
      <c r="AL223" s="27">
        <f>TableCosts[[#This Row],[N_Direct]]</f>
        <v>0</v>
      </c>
      <c r="AN223" s="7" t="str">
        <f t="shared" si="39"/>
        <v/>
      </c>
      <c r="AO223" s="7" t="str">
        <f t="shared" si="42"/>
        <v/>
      </c>
      <c r="AP223" s="7" t="str">
        <f t="shared" si="40"/>
        <v/>
      </c>
      <c r="AQ223" s="7" t="str">
        <f t="shared" si="43"/>
        <v/>
      </c>
      <c r="AR223" s="7" t="str">
        <f t="shared" si="41"/>
        <v/>
      </c>
      <c r="AS223" s="7">
        <f t="shared" si="44"/>
        <v>0</v>
      </c>
      <c r="AT223" s="17">
        <f>TableCosts[[#This Row],[N_Amount]]*TableCosts[[#This Row],[N_Tariff]]*TableCosts[[#This Row],[N_ItemsCount]]</f>
        <v>0</v>
      </c>
      <c r="AU223" s="17">
        <f>IF(F223=1,IF(TableCosts[[#This Row],[N_Kateg]]="interné práce",TableCosts[[#This Row],[N_Amount]]*8*PAR_SGA_PERHOUR,0),0)</f>
        <v>0</v>
      </c>
      <c r="AV223" s="17">
        <f>SUM(TableCosts[[#This Row],[N_Direct]:[N_SGA]])</f>
        <v>0</v>
      </c>
      <c r="AW223" s="7">
        <f>IF(F223=1,IF(D223="",NA(),VLOOKUP(C223&amp;TableCosts[[#This Row],[Calc_N_Typ]],TRAN_STRITEMS_LABEL,7,0)),0)</f>
        <v>0</v>
      </c>
      <c r="AX223" s="7">
        <f t="shared" si="45"/>
        <v>0</v>
      </c>
      <c r="AY223" s="57" t="str">
        <f t="shared" si="46"/>
        <v/>
      </c>
      <c r="AZ223" s="57" t="str">
        <f t="shared" si="47"/>
        <v/>
      </c>
      <c r="BA223" s="57" t="str">
        <f>IF(F223=1,IF(TableCosts[[#This Row],[TransferFrom]]=TableCosts[[#This Row],[TranferTo]],0,1),"")</f>
        <v/>
      </c>
      <c r="BB223" s="7">
        <f t="shared" si="48"/>
        <v>0</v>
      </c>
      <c r="BC223" s="7">
        <f t="shared" si="49"/>
        <v>0</v>
      </c>
    </row>
    <row r="224" spans="2:55" s="7" customFormat="1" ht="12.75" x14ac:dyDescent="0.2">
      <c r="B224" s="33"/>
      <c r="C224" s="31"/>
      <c r="D224" s="40"/>
      <c r="E224" s="6" t="str">
        <f>IF(F224=1,IF(ISERROR(TableCosts[[#This Row],[N_Tariff]]),Err_Message1,IF(TableCosts[[#This Row],[N_Tariff]]=0,Err_Message2,VLOOKUP(C224&amp;TableCosts[[#This Row],[Calc_N_Typ]],TRAN_STRITEMS_LABEL,5,FALSE))),"")</f>
        <v/>
      </c>
      <c r="F224" s="6">
        <f t="shared" si="50"/>
        <v>0</v>
      </c>
      <c r="G224" s="6" t="str">
        <f>IF(F224=1,IFERROR(VLOOKUP(E224,Tab_ErrMessage[],2,0),VLOOKUP(C224&amp;TableCosts[[#This Row],[Calc_N_Typ]],TRAN_STRITEMS_LABEL,4,FALSE)),"")</f>
        <v/>
      </c>
      <c r="H224" s="40"/>
      <c r="I224" s="40"/>
      <c r="J224" s="35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4"/>
      <c r="AI224" s="24"/>
      <c r="AJ224" s="24"/>
      <c r="AK224" s="38">
        <f t="array" ref="AK224">IF(F224=1,SUM((ROW(M0)=ROW(AK224))*(M0+M1_+M2_+M3_+M4_+M5_+M6_+M7_+M8_+M9_+M10_+M11_+M12_+M13_+M14_+M15_+M16_+M17_+M18_+M19_+M20_+M21_+M22_+M23_+M24_+M25_)),0)</f>
        <v>0</v>
      </c>
      <c r="AL224" s="27">
        <f>TableCosts[[#This Row],[N_Direct]]</f>
        <v>0</v>
      </c>
      <c r="AN224" s="7" t="str">
        <f t="shared" si="39"/>
        <v/>
      </c>
      <c r="AO224" s="7" t="str">
        <f t="shared" si="42"/>
        <v/>
      </c>
      <c r="AP224" s="7" t="str">
        <f t="shared" si="40"/>
        <v/>
      </c>
      <c r="AQ224" s="7" t="str">
        <f t="shared" si="43"/>
        <v/>
      </c>
      <c r="AR224" s="7" t="str">
        <f t="shared" si="41"/>
        <v/>
      </c>
      <c r="AS224" s="7">
        <f t="shared" si="44"/>
        <v>0</v>
      </c>
      <c r="AT224" s="17">
        <f>TableCosts[[#This Row],[N_Amount]]*TableCosts[[#This Row],[N_Tariff]]*TableCosts[[#This Row],[N_ItemsCount]]</f>
        <v>0</v>
      </c>
      <c r="AU224" s="17">
        <f>IF(F224=1,IF(TableCosts[[#This Row],[N_Kateg]]="interné práce",TableCosts[[#This Row],[N_Amount]]*8*PAR_SGA_PERHOUR,0),0)</f>
        <v>0</v>
      </c>
      <c r="AV224" s="17">
        <f>SUM(TableCosts[[#This Row],[N_Direct]:[N_SGA]])</f>
        <v>0</v>
      </c>
      <c r="AW224" s="7">
        <f>IF(F224=1,IF(D224="",NA(),VLOOKUP(C224&amp;TableCosts[[#This Row],[Calc_N_Typ]],TRAN_STRITEMS_LABEL,7,0)),0)</f>
        <v>0</v>
      </c>
      <c r="AX224" s="7">
        <f t="shared" si="45"/>
        <v>0</v>
      </c>
      <c r="AY224" s="57" t="str">
        <f t="shared" si="46"/>
        <v/>
      </c>
      <c r="AZ224" s="57" t="str">
        <f t="shared" si="47"/>
        <v/>
      </c>
      <c r="BA224" s="57" t="str">
        <f>IF(F224=1,IF(TableCosts[[#This Row],[TransferFrom]]=TableCosts[[#This Row],[TranferTo]],0,1),"")</f>
        <v/>
      </c>
      <c r="BB224" s="7">
        <f t="shared" si="48"/>
        <v>0</v>
      </c>
      <c r="BC224" s="7">
        <f t="shared" si="49"/>
        <v>0</v>
      </c>
    </row>
    <row r="225" spans="2:55" s="7" customFormat="1" ht="12.75" x14ac:dyDescent="0.2">
      <c r="B225" s="33"/>
      <c r="C225" s="31"/>
      <c r="D225" s="40"/>
      <c r="E225" s="6" t="str">
        <f>IF(F225=1,IF(ISERROR(TableCosts[[#This Row],[N_Tariff]]),Err_Message1,IF(TableCosts[[#This Row],[N_Tariff]]=0,Err_Message2,VLOOKUP(C225&amp;TableCosts[[#This Row],[Calc_N_Typ]],TRAN_STRITEMS_LABEL,5,FALSE))),"")</f>
        <v/>
      </c>
      <c r="F225" s="6">
        <f t="shared" si="50"/>
        <v>0</v>
      </c>
      <c r="G225" s="6" t="str">
        <f>IF(F225=1,IFERROR(VLOOKUP(E225,Tab_ErrMessage[],2,0),VLOOKUP(C225&amp;TableCosts[[#This Row],[Calc_N_Typ]],TRAN_STRITEMS_LABEL,4,FALSE)),"")</f>
        <v/>
      </c>
      <c r="H225" s="40"/>
      <c r="I225" s="40"/>
      <c r="J225" s="35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4"/>
      <c r="AI225" s="24"/>
      <c r="AJ225" s="24"/>
      <c r="AK225" s="38">
        <f t="array" ref="AK225">IF(F225=1,SUM((ROW(M0)=ROW(AK225))*(M0+M1_+M2_+M3_+M4_+M5_+M6_+M7_+M8_+M9_+M10_+M11_+M12_+M13_+M14_+M15_+M16_+M17_+M18_+M19_+M20_+M21_+M22_+M23_+M24_+M25_)),0)</f>
        <v>0</v>
      </c>
      <c r="AL225" s="27">
        <f>TableCosts[[#This Row],[N_Direct]]</f>
        <v>0</v>
      </c>
      <c r="AN225" s="7" t="str">
        <f t="shared" si="39"/>
        <v/>
      </c>
      <c r="AO225" s="7" t="str">
        <f t="shared" si="42"/>
        <v/>
      </c>
      <c r="AP225" s="7" t="str">
        <f t="shared" si="40"/>
        <v/>
      </c>
      <c r="AQ225" s="7" t="str">
        <f t="shared" si="43"/>
        <v/>
      </c>
      <c r="AR225" s="7" t="str">
        <f t="shared" si="41"/>
        <v/>
      </c>
      <c r="AS225" s="7">
        <f t="shared" si="44"/>
        <v>0</v>
      </c>
      <c r="AT225" s="17">
        <f>TableCosts[[#This Row],[N_Amount]]*TableCosts[[#This Row],[N_Tariff]]*TableCosts[[#This Row],[N_ItemsCount]]</f>
        <v>0</v>
      </c>
      <c r="AU225" s="17">
        <f>IF(F225=1,IF(TableCosts[[#This Row],[N_Kateg]]="interné práce",TableCosts[[#This Row],[N_Amount]]*8*PAR_SGA_PERHOUR,0),0)</f>
        <v>0</v>
      </c>
      <c r="AV225" s="17">
        <f>SUM(TableCosts[[#This Row],[N_Direct]:[N_SGA]])</f>
        <v>0</v>
      </c>
      <c r="AW225" s="7">
        <f>IF(F225=1,IF(D225="",NA(),VLOOKUP(C225&amp;TableCosts[[#This Row],[Calc_N_Typ]],TRAN_STRITEMS_LABEL,7,0)),0)</f>
        <v>0</v>
      </c>
      <c r="AX225" s="7">
        <f t="shared" si="45"/>
        <v>0</v>
      </c>
      <c r="AY225" s="57" t="str">
        <f t="shared" si="46"/>
        <v/>
      </c>
      <c r="AZ225" s="57" t="str">
        <f t="shared" si="47"/>
        <v/>
      </c>
      <c r="BA225" s="57" t="str">
        <f>IF(F225=1,IF(TableCosts[[#This Row],[TransferFrom]]=TableCosts[[#This Row],[TranferTo]],0,1),"")</f>
        <v/>
      </c>
      <c r="BB225" s="7">
        <f t="shared" si="48"/>
        <v>0</v>
      </c>
      <c r="BC225" s="7">
        <f t="shared" si="49"/>
        <v>0</v>
      </c>
    </row>
    <row r="226" spans="2:55" s="7" customFormat="1" ht="12.75" x14ac:dyDescent="0.2">
      <c r="B226" s="33"/>
      <c r="C226" s="31"/>
      <c r="D226" s="40"/>
      <c r="E226" s="6" t="str">
        <f>IF(F226=1,IF(ISERROR(TableCosts[[#This Row],[N_Tariff]]),Err_Message1,IF(TableCosts[[#This Row],[N_Tariff]]=0,Err_Message2,VLOOKUP(C226&amp;TableCosts[[#This Row],[Calc_N_Typ]],TRAN_STRITEMS_LABEL,5,FALSE))),"")</f>
        <v/>
      </c>
      <c r="F226" s="6">
        <f t="shared" si="50"/>
        <v>0</v>
      </c>
      <c r="G226" s="6" t="str">
        <f>IF(F226=1,IFERROR(VLOOKUP(E226,Tab_ErrMessage[],2,0),VLOOKUP(C226&amp;TableCosts[[#This Row],[Calc_N_Typ]],TRAN_STRITEMS_LABEL,4,FALSE)),"")</f>
        <v/>
      </c>
      <c r="H226" s="40"/>
      <c r="I226" s="40"/>
      <c r="J226" s="35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4"/>
      <c r="AI226" s="24"/>
      <c r="AJ226" s="24"/>
      <c r="AK226" s="38">
        <f t="array" ref="AK226">IF(F226=1,SUM((ROW(M0)=ROW(AK226))*(M0+M1_+M2_+M3_+M4_+M5_+M6_+M7_+M8_+M9_+M10_+M11_+M12_+M13_+M14_+M15_+M16_+M17_+M18_+M19_+M20_+M21_+M22_+M23_+M24_+M25_)),0)</f>
        <v>0</v>
      </c>
      <c r="AL226" s="27">
        <f>TableCosts[[#This Row],[N_Direct]]</f>
        <v>0</v>
      </c>
      <c r="AN226" s="7" t="str">
        <f t="shared" si="39"/>
        <v/>
      </c>
      <c r="AO226" s="7" t="str">
        <f t="shared" si="42"/>
        <v/>
      </c>
      <c r="AP226" s="7" t="str">
        <f t="shared" si="40"/>
        <v/>
      </c>
      <c r="AQ226" s="7" t="str">
        <f t="shared" si="43"/>
        <v/>
      </c>
      <c r="AR226" s="7" t="str">
        <f t="shared" si="41"/>
        <v/>
      </c>
      <c r="AS226" s="7">
        <f t="shared" si="44"/>
        <v>0</v>
      </c>
      <c r="AT226" s="17">
        <f>TableCosts[[#This Row],[N_Amount]]*TableCosts[[#This Row],[N_Tariff]]*TableCosts[[#This Row],[N_ItemsCount]]</f>
        <v>0</v>
      </c>
      <c r="AU226" s="17">
        <f>IF(F226=1,IF(TableCosts[[#This Row],[N_Kateg]]="interné práce",TableCosts[[#This Row],[N_Amount]]*8*PAR_SGA_PERHOUR,0),0)</f>
        <v>0</v>
      </c>
      <c r="AV226" s="17">
        <f>SUM(TableCosts[[#This Row],[N_Direct]:[N_SGA]])</f>
        <v>0</v>
      </c>
      <c r="AW226" s="7">
        <f>IF(F226=1,IF(D226="",NA(),VLOOKUP(C226&amp;TableCosts[[#This Row],[Calc_N_Typ]],TRAN_STRITEMS_LABEL,7,0)),0)</f>
        <v>0</v>
      </c>
      <c r="AX226" s="7">
        <f t="shared" si="45"/>
        <v>0</v>
      </c>
      <c r="AY226" s="57" t="str">
        <f t="shared" si="46"/>
        <v/>
      </c>
      <c r="AZ226" s="57" t="str">
        <f t="shared" si="47"/>
        <v/>
      </c>
      <c r="BA226" s="57" t="str">
        <f>IF(F226=1,IF(TableCosts[[#This Row],[TransferFrom]]=TableCosts[[#This Row],[TranferTo]],0,1),"")</f>
        <v/>
      </c>
      <c r="BB226" s="7">
        <f t="shared" si="48"/>
        <v>0</v>
      </c>
      <c r="BC226" s="7">
        <f t="shared" si="49"/>
        <v>0</v>
      </c>
    </row>
    <row r="227" spans="2:55" s="7" customFormat="1" ht="12.75" x14ac:dyDescent="0.2">
      <c r="B227" s="33"/>
      <c r="C227" s="31"/>
      <c r="D227" s="40"/>
      <c r="E227" s="6" t="str">
        <f>IF(F227=1,IF(ISERROR(TableCosts[[#This Row],[N_Tariff]]),Err_Message1,IF(TableCosts[[#This Row],[N_Tariff]]=0,Err_Message2,VLOOKUP(C227&amp;TableCosts[[#This Row],[Calc_N_Typ]],TRAN_STRITEMS_LABEL,5,FALSE))),"")</f>
        <v/>
      </c>
      <c r="F227" s="6">
        <f t="shared" si="50"/>
        <v>0</v>
      </c>
      <c r="G227" s="6" t="str">
        <f>IF(F227=1,IFERROR(VLOOKUP(E227,Tab_ErrMessage[],2,0),VLOOKUP(C227&amp;TableCosts[[#This Row],[Calc_N_Typ]],TRAN_STRITEMS_LABEL,4,FALSE)),"")</f>
        <v/>
      </c>
      <c r="H227" s="40"/>
      <c r="I227" s="40"/>
      <c r="J227" s="35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4"/>
      <c r="AI227" s="24"/>
      <c r="AJ227" s="24"/>
      <c r="AK227" s="38">
        <f t="array" ref="AK227">IF(F227=1,SUM((ROW(M0)=ROW(AK227))*(M0+M1_+M2_+M3_+M4_+M5_+M6_+M7_+M8_+M9_+M10_+M11_+M12_+M13_+M14_+M15_+M16_+M17_+M18_+M19_+M20_+M21_+M22_+M23_+M24_+M25_)),0)</f>
        <v>0</v>
      </c>
      <c r="AL227" s="27">
        <f>TableCosts[[#This Row],[N_Direct]]</f>
        <v>0</v>
      </c>
      <c r="AN227" s="7" t="str">
        <f t="shared" si="39"/>
        <v/>
      </c>
      <c r="AO227" s="7" t="str">
        <f t="shared" si="42"/>
        <v/>
      </c>
      <c r="AP227" s="7" t="str">
        <f t="shared" si="40"/>
        <v/>
      </c>
      <c r="AQ227" s="7" t="str">
        <f t="shared" si="43"/>
        <v/>
      </c>
      <c r="AR227" s="7" t="str">
        <f t="shared" si="41"/>
        <v/>
      </c>
      <c r="AS227" s="7">
        <f t="shared" si="44"/>
        <v>0</v>
      </c>
      <c r="AT227" s="17">
        <f>TableCosts[[#This Row],[N_Amount]]*TableCosts[[#This Row],[N_Tariff]]*TableCosts[[#This Row],[N_ItemsCount]]</f>
        <v>0</v>
      </c>
      <c r="AU227" s="17">
        <f>IF(F227=1,IF(TableCosts[[#This Row],[N_Kateg]]="interné práce",TableCosts[[#This Row],[N_Amount]]*8*PAR_SGA_PERHOUR,0),0)</f>
        <v>0</v>
      </c>
      <c r="AV227" s="17">
        <f>SUM(TableCosts[[#This Row],[N_Direct]:[N_SGA]])</f>
        <v>0</v>
      </c>
      <c r="AW227" s="7">
        <f>IF(F227=1,IF(D227="",NA(),VLOOKUP(C227&amp;TableCosts[[#This Row],[Calc_N_Typ]],TRAN_STRITEMS_LABEL,7,0)),0)</f>
        <v>0</v>
      </c>
      <c r="AX227" s="7">
        <f t="shared" si="45"/>
        <v>0</v>
      </c>
      <c r="AY227" s="57" t="str">
        <f t="shared" si="46"/>
        <v/>
      </c>
      <c r="AZ227" s="57" t="str">
        <f t="shared" si="47"/>
        <v/>
      </c>
      <c r="BA227" s="57" t="str">
        <f>IF(F227=1,IF(TableCosts[[#This Row],[TransferFrom]]=TableCosts[[#This Row],[TranferTo]],0,1),"")</f>
        <v/>
      </c>
      <c r="BB227" s="7">
        <f t="shared" si="48"/>
        <v>0</v>
      </c>
      <c r="BC227" s="7">
        <f t="shared" si="49"/>
        <v>0</v>
      </c>
    </row>
    <row r="228" spans="2:55" s="7" customFormat="1" ht="12.75" x14ac:dyDescent="0.2">
      <c r="B228" s="33"/>
      <c r="C228" s="31"/>
      <c r="D228" s="40"/>
      <c r="E228" s="6" t="str">
        <f>IF(F228=1,IF(ISERROR(TableCosts[[#This Row],[N_Tariff]]),Err_Message1,IF(TableCosts[[#This Row],[N_Tariff]]=0,Err_Message2,VLOOKUP(C228&amp;TableCosts[[#This Row],[Calc_N_Typ]],TRAN_STRITEMS_LABEL,5,FALSE))),"")</f>
        <v/>
      </c>
      <c r="F228" s="6">
        <f t="shared" si="50"/>
        <v>0</v>
      </c>
      <c r="G228" s="6" t="str">
        <f>IF(F228=1,IFERROR(VLOOKUP(E228,Tab_ErrMessage[],2,0),VLOOKUP(C228&amp;TableCosts[[#This Row],[Calc_N_Typ]],TRAN_STRITEMS_LABEL,4,FALSE)),"")</f>
        <v/>
      </c>
      <c r="H228" s="40"/>
      <c r="I228" s="40"/>
      <c r="J228" s="35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4"/>
      <c r="AI228" s="24"/>
      <c r="AJ228" s="24"/>
      <c r="AK228" s="38">
        <f t="array" ref="AK228">IF(F228=1,SUM((ROW(M0)=ROW(AK228))*(M0+M1_+M2_+M3_+M4_+M5_+M6_+M7_+M8_+M9_+M10_+M11_+M12_+M13_+M14_+M15_+M16_+M17_+M18_+M19_+M20_+M21_+M22_+M23_+M24_+M25_)),0)</f>
        <v>0</v>
      </c>
      <c r="AL228" s="27">
        <f>TableCosts[[#This Row],[N_Direct]]</f>
        <v>0</v>
      </c>
      <c r="AN228" s="7" t="str">
        <f t="shared" si="39"/>
        <v/>
      </c>
      <c r="AO228" s="7" t="str">
        <f t="shared" si="42"/>
        <v/>
      </c>
      <c r="AP228" s="7" t="str">
        <f t="shared" si="40"/>
        <v/>
      </c>
      <c r="AQ228" s="7" t="str">
        <f t="shared" si="43"/>
        <v/>
      </c>
      <c r="AR228" s="7" t="str">
        <f t="shared" si="41"/>
        <v/>
      </c>
      <c r="AS228" s="7">
        <f t="shared" si="44"/>
        <v>0</v>
      </c>
      <c r="AT228" s="17">
        <f>TableCosts[[#This Row],[N_Amount]]*TableCosts[[#This Row],[N_Tariff]]*TableCosts[[#This Row],[N_ItemsCount]]</f>
        <v>0</v>
      </c>
      <c r="AU228" s="17">
        <f>IF(F228=1,IF(TableCosts[[#This Row],[N_Kateg]]="interné práce",TableCosts[[#This Row],[N_Amount]]*8*PAR_SGA_PERHOUR,0),0)</f>
        <v>0</v>
      </c>
      <c r="AV228" s="17">
        <f>SUM(TableCosts[[#This Row],[N_Direct]:[N_SGA]])</f>
        <v>0</v>
      </c>
      <c r="AW228" s="7">
        <f>IF(F228=1,IF(D228="",NA(),VLOOKUP(C228&amp;TableCosts[[#This Row],[Calc_N_Typ]],TRAN_STRITEMS_LABEL,7,0)),0)</f>
        <v>0</v>
      </c>
      <c r="AX228" s="7">
        <f t="shared" si="45"/>
        <v>0</v>
      </c>
      <c r="AY228" s="57" t="str">
        <f t="shared" si="46"/>
        <v/>
      </c>
      <c r="AZ228" s="57" t="str">
        <f t="shared" si="47"/>
        <v/>
      </c>
      <c r="BA228" s="57" t="str">
        <f>IF(F228=1,IF(TableCosts[[#This Row],[TransferFrom]]=TableCosts[[#This Row],[TranferTo]],0,1),"")</f>
        <v/>
      </c>
      <c r="BB228" s="7">
        <f t="shared" si="48"/>
        <v>0</v>
      </c>
      <c r="BC228" s="7">
        <f t="shared" si="49"/>
        <v>0</v>
      </c>
    </row>
    <row r="229" spans="2:55" s="7" customFormat="1" ht="12.75" x14ac:dyDescent="0.2">
      <c r="B229" s="33"/>
      <c r="C229" s="31"/>
      <c r="D229" s="40"/>
      <c r="E229" s="6" t="str">
        <f>IF(F229=1,IF(ISERROR(TableCosts[[#This Row],[N_Tariff]]),Err_Message1,IF(TableCosts[[#This Row],[N_Tariff]]=0,Err_Message2,VLOOKUP(C229&amp;TableCosts[[#This Row],[Calc_N_Typ]],TRAN_STRITEMS_LABEL,5,FALSE))),"")</f>
        <v/>
      </c>
      <c r="F229" s="6">
        <f t="shared" si="50"/>
        <v>0</v>
      </c>
      <c r="G229" s="6" t="str">
        <f>IF(F229=1,IFERROR(VLOOKUP(E229,Tab_ErrMessage[],2,0),VLOOKUP(C229&amp;TableCosts[[#This Row],[Calc_N_Typ]],TRAN_STRITEMS_LABEL,4,FALSE)),"")</f>
        <v/>
      </c>
      <c r="H229" s="40"/>
      <c r="I229" s="40"/>
      <c r="J229" s="35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4"/>
      <c r="AI229" s="24"/>
      <c r="AJ229" s="24"/>
      <c r="AK229" s="38">
        <f t="array" ref="AK229">IF(F229=1,SUM((ROW(M0)=ROW(AK229))*(M0+M1_+M2_+M3_+M4_+M5_+M6_+M7_+M8_+M9_+M10_+M11_+M12_+M13_+M14_+M15_+M16_+M17_+M18_+M19_+M20_+M21_+M22_+M23_+M24_+M25_)),0)</f>
        <v>0</v>
      </c>
      <c r="AL229" s="27">
        <f>TableCosts[[#This Row],[N_Direct]]</f>
        <v>0</v>
      </c>
      <c r="AN229" s="7" t="str">
        <f t="shared" si="39"/>
        <v/>
      </c>
      <c r="AO229" s="7" t="str">
        <f t="shared" si="42"/>
        <v/>
      </c>
      <c r="AP229" s="7" t="str">
        <f t="shared" si="40"/>
        <v/>
      </c>
      <c r="AQ229" s="7" t="str">
        <f t="shared" si="43"/>
        <v/>
      </c>
      <c r="AR229" s="7" t="str">
        <f t="shared" si="41"/>
        <v/>
      </c>
      <c r="AS229" s="7">
        <f t="shared" si="44"/>
        <v>0</v>
      </c>
      <c r="AT229" s="17">
        <f>TableCosts[[#This Row],[N_Amount]]*TableCosts[[#This Row],[N_Tariff]]*TableCosts[[#This Row],[N_ItemsCount]]</f>
        <v>0</v>
      </c>
      <c r="AU229" s="17">
        <f>IF(F229=1,IF(TableCosts[[#This Row],[N_Kateg]]="interné práce",TableCosts[[#This Row],[N_Amount]]*8*PAR_SGA_PERHOUR,0),0)</f>
        <v>0</v>
      </c>
      <c r="AV229" s="17">
        <f>SUM(TableCosts[[#This Row],[N_Direct]:[N_SGA]])</f>
        <v>0</v>
      </c>
      <c r="AW229" s="7">
        <f>IF(F229=1,IF(D229="",NA(),VLOOKUP(C229&amp;TableCosts[[#This Row],[Calc_N_Typ]],TRAN_STRITEMS_LABEL,7,0)),0)</f>
        <v>0</v>
      </c>
      <c r="AX229" s="7">
        <f t="shared" si="45"/>
        <v>0</v>
      </c>
      <c r="AY229" s="57" t="str">
        <f t="shared" si="46"/>
        <v/>
      </c>
      <c r="AZ229" s="57" t="str">
        <f t="shared" si="47"/>
        <v/>
      </c>
      <c r="BA229" s="57" t="str">
        <f>IF(F229=1,IF(TableCosts[[#This Row],[TransferFrom]]=TableCosts[[#This Row],[TranferTo]],0,1),"")</f>
        <v/>
      </c>
      <c r="BB229" s="7">
        <f t="shared" si="48"/>
        <v>0</v>
      </c>
      <c r="BC229" s="7">
        <f t="shared" si="49"/>
        <v>0</v>
      </c>
    </row>
    <row r="230" spans="2:55" s="7" customFormat="1" ht="12.75" x14ac:dyDescent="0.2">
      <c r="B230" s="33"/>
      <c r="C230" s="31"/>
      <c r="D230" s="40"/>
      <c r="E230" s="6" t="str">
        <f>IF(F230=1,IF(ISERROR(TableCosts[[#This Row],[N_Tariff]]),Err_Message1,IF(TableCosts[[#This Row],[N_Tariff]]=0,Err_Message2,VLOOKUP(C230&amp;TableCosts[[#This Row],[Calc_N_Typ]],TRAN_STRITEMS_LABEL,5,FALSE))),"")</f>
        <v/>
      </c>
      <c r="F230" s="6">
        <f t="shared" si="50"/>
        <v>0</v>
      </c>
      <c r="G230" s="6" t="str">
        <f>IF(F230=1,IFERROR(VLOOKUP(E230,Tab_ErrMessage[],2,0),VLOOKUP(C230&amp;TableCosts[[#This Row],[Calc_N_Typ]],TRAN_STRITEMS_LABEL,4,FALSE)),"")</f>
        <v/>
      </c>
      <c r="H230" s="40"/>
      <c r="I230" s="40"/>
      <c r="J230" s="35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4"/>
      <c r="AI230" s="24"/>
      <c r="AJ230" s="24"/>
      <c r="AK230" s="38">
        <f t="array" ref="AK230">IF(F230=1,SUM((ROW(M0)=ROW(AK230))*(M0+M1_+M2_+M3_+M4_+M5_+M6_+M7_+M8_+M9_+M10_+M11_+M12_+M13_+M14_+M15_+M16_+M17_+M18_+M19_+M20_+M21_+M22_+M23_+M24_+M25_)),0)</f>
        <v>0</v>
      </c>
      <c r="AL230" s="27">
        <f>TableCosts[[#This Row],[N_Direct]]</f>
        <v>0</v>
      </c>
      <c r="AN230" s="7" t="str">
        <f t="shared" si="39"/>
        <v/>
      </c>
      <c r="AO230" s="7" t="str">
        <f t="shared" si="42"/>
        <v/>
      </c>
      <c r="AP230" s="7" t="str">
        <f t="shared" si="40"/>
        <v/>
      </c>
      <c r="AQ230" s="7" t="str">
        <f t="shared" si="43"/>
        <v/>
      </c>
      <c r="AR230" s="7" t="str">
        <f t="shared" si="41"/>
        <v/>
      </c>
      <c r="AS230" s="7">
        <f t="shared" si="44"/>
        <v>0</v>
      </c>
      <c r="AT230" s="17">
        <f>TableCosts[[#This Row],[N_Amount]]*TableCosts[[#This Row],[N_Tariff]]*TableCosts[[#This Row],[N_ItemsCount]]</f>
        <v>0</v>
      </c>
      <c r="AU230" s="17">
        <f>IF(F230=1,IF(TableCosts[[#This Row],[N_Kateg]]="interné práce",TableCosts[[#This Row],[N_Amount]]*8*PAR_SGA_PERHOUR,0),0)</f>
        <v>0</v>
      </c>
      <c r="AV230" s="17">
        <f>SUM(TableCosts[[#This Row],[N_Direct]:[N_SGA]])</f>
        <v>0</v>
      </c>
      <c r="AW230" s="7">
        <f>IF(F230=1,IF(D230="",NA(),VLOOKUP(C230&amp;TableCosts[[#This Row],[Calc_N_Typ]],TRAN_STRITEMS_LABEL,7,0)),0)</f>
        <v>0</v>
      </c>
      <c r="AX230" s="7">
        <f t="shared" si="45"/>
        <v>0</v>
      </c>
      <c r="AY230" s="57" t="str">
        <f t="shared" si="46"/>
        <v/>
      </c>
      <c r="AZ230" s="57" t="str">
        <f t="shared" si="47"/>
        <v/>
      </c>
      <c r="BA230" s="57" t="str">
        <f>IF(F230=1,IF(TableCosts[[#This Row],[TransferFrom]]=TableCosts[[#This Row],[TranferTo]],0,1),"")</f>
        <v/>
      </c>
      <c r="BB230" s="7">
        <f t="shared" si="48"/>
        <v>0</v>
      </c>
      <c r="BC230" s="7">
        <f t="shared" si="49"/>
        <v>0</v>
      </c>
    </row>
    <row r="231" spans="2:55" s="7" customFormat="1" ht="12.75" x14ac:dyDescent="0.2">
      <c r="B231" s="33"/>
      <c r="C231" s="31"/>
      <c r="D231" s="40"/>
      <c r="E231" s="6" t="str">
        <f>IF(F231=1,IF(ISERROR(TableCosts[[#This Row],[N_Tariff]]),Err_Message1,IF(TableCosts[[#This Row],[N_Tariff]]=0,Err_Message2,VLOOKUP(C231&amp;TableCosts[[#This Row],[Calc_N_Typ]],TRAN_STRITEMS_LABEL,5,FALSE))),"")</f>
        <v/>
      </c>
      <c r="F231" s="6">
        <f t="shared" si="50"/>
        <v>0</v>
      </c>
      <c r="G231" s="6" t="str">
        <f>IF(F231=1,IFERROR(VLOOKUP(E231,Tab_ErrMessage[],2,0),VLOOKUP(C231&amp;TableCosts[[#This Row],[Calc_N_Typ]],TRAN_STRITEMS_LABEL,4,FALSE)),"")</f>
        <v/>
      </c>
      <c r="H231" s="40"/>
      <c r="I231" s="40"/>
      <c r="J231" s="35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4"/>
      <c r="AI231" s="24"/>
      <c r="AJ231" s="24"/>
      <c r="AK231" s="38">
        <f t="array" ref="AK231">IF(F231=1,SUM((ROW(M0)=ROW(AK231))*(M0+M1_+M2_+M3_+M4_+M5_+M6_+M7_+M8_+M9_+M10_+M11_+M12_+M13_+M14_+M15_+M16_+M17_+M18_+M19_+M20_+M21_+M22_+M23_+M24_+M25_)),0)</f>
        <v>0</v>
      </c>
      <c r="AL231" s="27">
        <f>TableCosts[[#This Row],[N_Direct]]</f>
        <v>0</v>
      </c>
      <c r="AN231" s="7" t="str">
        <f t="shared" si="39"/>
        <v/>
      </c>
      <c r="AO231" s="7" t="str">
        <f t="shared" si="42"/>
        <v/>
      </c>
      <c r="AP231" s="7" t="str">
        <f t="shared" si="40"/>
        <v/>
      </c>
      <c r="AQ231" s="7" t="str">
        <f t="shared" si="43"/>
        <v/>
      </c>
      <c r="AR231" s="7" t="str">
        <f t="shared" si="41"/>
        <v/>
      </c>
      <c r="AS231" s="7">
        <f t="shared" si="44"/>
        <v>0</v>
      </c>
      <c r="AT231" s="17">
        <f>TableCosts[[#This Row],[N_Amount]]*TableCosts[[#This Row],[N_Tariff]]*TableCosts[[#This Row],[N_ItemsCount]]</f>
        <v>0</v>
      </c>
      <c r="AU231" s="17">
        <f>IF(F231=1,IF(TableCosts[[#This Row],[N_Kateg]]="interné práce",TableCosts[[#This Row],[N_Amount]]*8*PAR_SGA_PERHOUR,0),0)</f>
        <v>0</v>
      </c>
      <c r="AV231" s="17">
        <f>SUM(TableCosts[[#This Row],[N_Direct]:[N_SGA]])</f>
        <v>0</v>
      </c>
      <c r="AW231" s="7">
        <f>IF(F231=1,IF(D231="",NA(),VLOOKUP(C231&amp;TableCosts[[#This Row],[Calc_N_Typ]],TRAN_STRITEMS_LABEL,7,0)),0)</f>
        <v>0</v>
      </c>
      <c r="AX231" s="7">
        <f t="shared" si="45"/>
        <v>0</v>
      </c>
      <c r="AY231" s="57" t="str">
        <f t="shared" si="46"/>
        <v/>
      </c>
      <c r="AZ231" s="57" t="str">
        <f t="shared" si="47"/>
        <v/>
      </c>
      <c r="BA231" s="57" t="str">
        <f>IF(F231=1,IF(TableCosts[[#This Row],[TransferFrom]]=TableCosts[[#This Row],[TranferTo]],0,1),"")</f>
        <v/>
      </c>
      <c r="BB231" s="7">
        <f t="shared" si="48"/>
        <v>0</v>
      </c>
      <c r="BC231" s="7">
        <f t="shared" si="49"/>
        <v>0</v>
      </c>
    </row>
    <row r="232" spans="2:55" s="7" customFormat="1" ht="12.75" x14ac:dyDescent="0.2">
      <c r="B232" s="33"/>
      <c r="C232" s="31"/>
      <c r="D232" s="40"/>
      <c r="E232" s="6" t="str">
        <f>IF(F232=1,IF(ISERROR(TableCosts[[#This Row],[N_Tariff]]),Err_Message1,IF(TableCosts[[#This Row],[N_Tariff]]=0,Err_Message2,VLOOKUP(C232&amp;TableCosts[[#This Row],[Calc_N_Typ]],TRAN_STRITEMS_LABEL,5,FALSE))),"")</f>
        <v/>
      </c>
      <c r="F232" s="6">
        <f t="shared" si="50"/>
        <v>0</v>
      </c>
      <c r="G232" s="6" t="str">
        <f>IF(F232=1,IFERROR(VLOOKUP(E232,Tab_ErrMessage[],2,0),VLOOKUP(C232&amp;TableCosts[[#This Row],[Calc_N_Typ]],TRAN_STRITEMS_LABEL,4,FALSE)),"")</f>
        <v/>
      </c>
      <c r="H232" s="40"/>
      <c r="I232" s="40"/>
      <c r="J232" s="35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4"/>
      <c r="AI232" s="24"/>
      <c r="AJ232" s="24"/>
      <c r="AK232" s="38">
        <f t="array" ref="AK232">IF(F232=1,SUM((ROW(M0)=ROW(AK232))*(M0+M1_+M2_+M3_+M4_+M5_+M6_+M7_+M8_+M9_+M10_+M11_+M12_+M13_+M14_+M15_+M16_+M17_+M18_+M19_+M20_+M21_+M22_+M23_+M24_+M25_)),0)</f>
        <v>0</v>
      </c>
      <c r="AL232" s="27">
        <f>TableCosts[[#This Row],[N_Direct]]</f>
        <v>0</v>
      </c>
      <c r="AN232" s="7" t="str">
        <f t="shared" si="39"/>
        <v/>
      </c>
      <c r="AO232" s="7" t="str">
        <f t="shared" si="42"/>
        <v/>
      </c>
      <c r="AP232" s="7" t="str">
        <f t="shared" si="40"/>
        <v/>
      </c>
      <c r="AQ232" s="7" t="str">
        <f t="shared" si="43"/>
        <v/>
      </c>
      <c r="AR232" s="7" t="str">
        <f t="shared" si="41"/>
        <v/>
      </c>
      <c r="AS232" s="7">
        <f t="shared" si="44"/>
        <v>0</v>
      </c>
      <c r="AT232" s="17">
        <f>TableCosts[[#This Row],[N_Amount]]*TableCosts[[#This Row],[N_Tariff]]*TableCosts[[#This Row],[N_ItemsCount]]</f>
        <v>0</v>
      </c>
      <c r="AU232" s="17">
        <f>IF(F232=1,IF(TableCosts[[#This Row],[N_Kateg]]="interné práce",TableCosts[[#This Row],[N_Amount]]*8*PAR_SGA_PERHOUR,0),0)</f>
        <v>0</v>
      </c>
      <c r="AV232" s="17">
        <f>SUM(TableCosts[[#This Row],[N_Direct]:[N_SGA]])</f>
        <v>0</v>
      </c>
      <c r="AW232" s="7">
        <f>IF(F232=1,IF(D232="",NA(),VLOOKUP(C232&amp;TableCosts[[#This Row],[Calc_N_Typ]],TRAN_STRITEMS_LABEL,7,0)),0)</f>
        <v>0</v>
      </c>
      <c r="AX232" s="7">
        <f t="shared" si="45"/>
        <v>0</v>
      </c>
      <c r="AY232" s="57" t="str">
        <f t="shared" si="46"/>
        <v/>
      </c>
      <c r="AZ232" s="57" t="str">
        <f t="shared" si="47"/>
        <v/>
      </c>
      <c r="BA232" s="57" t="str">
        <f>IF(F232=1,IF(TableCosts[[#This Row],[TransferFrom]]=TableCosts[[#This Row],[TranferTo]],0,1),"")</f>
        <v/>
      </c>
      <c r="BB232" s="7">
        <f t="shared" si="48"/>
        <v>0</v>
      </c>
      <c r="BC232" s="7">
        <f t="shared" si="49"/>
        <v>0</v>
      </c>
    </row>
    <row r="233" spans="2:55" s="7" customFormat="1" ht="12.75" x14ac:dyDescent="0.2">
      <c r="B233" s="33"/>
      <c r="C233" s="31"/>
      <c r="D233" s="40"/>
      <c r="E233" s="6" t="str">
        <f>IF(F233=1,IF(ISERROR(TableCosts[[#This Row],[N_Tariff]]),Err_Message1,IF(TableCosts[[#This Row],[N_Tariff]]=0,Err_Message2,VLOOKUP(C233&amp;TableCosts[[#This Row],[Calc_N_Typ]],TRAN_STRITEMS_LABEL,5,FALSE))),"")</f>
        <v/>
      </c>
      <c r="F233" s="6">
        <f t="shared" si="50"/>
        <v>0</v>
      </c>
      <c r="G233" s="6" t="str">
        <f>IF(F233=1,IFERROR(VLOOKUP(E233,Tab_ErrMessage[],2,0),VLOOKUP(C233&amp;TableCosts[[#This Row],[Calc_N_Typ]],TRAN_STRITEMS_LABEL,4,FALSE)),"")</f>
        <v/>
      </c>
      <c r="H233" s="40"/>
      <c r="I233" s="40"/>
      <c r="J233" s="35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4"/>
      <c r="AI233" s="24"/>
      <c r="AJ233" s="24"/>
      <c r="AK233" s="38">
        <f t="array" ref="AK233">IF(F233=1,SUM((ROW(M0)=ROW(AK233))*(M0+M1_+M2_+M3_+M4_+M5_+M6_+M7_+M8_+M9_+M10_+M11_+M12_+M13_+M14_+M15_+M16_+M17_+M18_+M19_+M20_+M21_+M22_+M23_+M24_+M25_)),0)</f>
        <v>0</v>
      </c>
      <c r="AL233" s="27">
        <f>TableCosts[[#This Row],[N_Direct]]</f>
        <v>0</v>
      </c>
      <c r="AN233" s="7" t="str">
        <f t="shared" si="39"/>
        <v/>
      </c>
      <c r="AO233" s="7" t="str">
        <f t="shared" si="42"/>
        <v/>
      </c>
      <c r="AP233" s="7" t="str">
        <f t="shared" si="40"/>
        <v/>
      </c>
      <c r="AQ233" s="7" t="str">
        <f t="shared" si="43"/>
        <v/>
      </c>
      <c r="AR233" s="7" t="str">
        <f t="shared" si="41"/>
        <v/>
      </c>
      <c r="AS233" s="7">
        <f t="shared" si="44"/>
        <v>0</v>
      </c>
      <c r="AT233" s="17">
        <f>TableCosts[[#This Row],[N_Amount]]*TableCosts[[#This Row],[N_Tariff]]*TableCosts[[#This Row],[N_ItemsCount]]</f>
        <v>0</v>
      </c>
      <c r="AU233" s="17">
        <f>IF(F233=1,IF(TableCosts[[#This Row],[N_Kateg]]="interné práce",TableCosts[[#This Row],[N_Amount]]*8*PAR_SGA_PERHOUR,0),0)</f>
        <v>0</v>
      </c>
      <c r="AV233" s="17">
        <f>SUM(TableCosts[[#This Row],[N_Direct]:[N_SGA]])</f>
        <v>0</v>
      </c>
      <c r="AW233" s="7">
        <f>IF(F233=1,IF(D233="",NA(),VLOOKUP(C233&amp;TableCosts[[#This Row],[Calc_N_Typ]],TRAN_STRITEMS_LABEL,7,0)),0)</f>
        <v>0</v>
      </c>
      <c r="AX233" s="7">
        <f t="shared" si="45"/>
        <v>0</v>
      </c>
      <c r="AY233" s="57" t="str">
        <f t="shared" si="46"/>
        <v/>
      </c>
      <c r="AZ233" s="57" t="str">
        <f t="shared" si="47"/>
        <v/>
      </c>
      <c r="BA233" s="57" t="str">
        <f>IF(F233=1,IF(TableCosts[[#This Row],[TransferFrom]]=TableCosts[[#This Row],[TranferTo]],0,1),"")</f>
        <v/>
      </c>
      <c r="BB233" s="7">
        <f t="shared" si="48"/>
        <v>0</v>
      </c>
      <c r="BC233" s="7">
        <f t="shared" si="49"/>
        <v>0</v>
      </c>
    </row>
    <row r="234" spans="2:55" s="7" customFormat="1" ht="12.75" x14ac:dyDescent="0.2">
      <c r="B234" s="33"/>
      <c r="C234" s="31"/>
      <c r="D234" s="40"/>
      <c r="E234" s="6" t="str">
        <f>IF(F234=1,IF(ISERROR(TableCosts[[#This Row],[N_Tariff]]),Err_Message1,IF(TableCosts[[#This Row],[N_Tariff]]=0,Err_Message2,VLOOKUP(C234&amp;TableCosts[[#This Row],[Calc_N_Typ]],TRAN_STRITEMS_LABEL,5,FALSE))),"")</f>
        <v/>
      </c>
      <c r="F234" s="6">
        <f t="shared" si="50"/>
        <v>0</v>
      </c>
      <c r="G234" s="6" t="str">
        <f>IF(F234=1,IFERROR(VLOOKUP(E234,Tab_ErrMessage[],2,0),VLOOKUP(C234&amp;TableCosts[[#This Row],[Calc_N_Typ]],TRAN_STRITEMS_LABEL,4,FALSE)),"")</f>
        <v/>
      </c>
      <c r="H234" s="40"/>
      <c r="I234" s="40"/>
      <c r="J234" s="35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4"/>
      <c r="AI234" s="24"/>
      <c r="AJ234" s="24"/>
      <c r="AK234" s="38">
        <f t="array" ref="AK234">IF(F234=1,SUM((ROW(M0)=ROW(AK234))*(M0+M1_+M2_+M3_+M4_+M5_+M6_+M7_+M8_+M9_+M10_+M11_+M12_+M13_+M14_+M15_+M16_+M17_+M18_+M19_+M20_+M21_+M22_+M23_+M24_+M25_)),0)</f>
        <v>0</v>
      </c>
      <c r="AL234" s="27">
        <f>TableCosts[[#This Row],[N_Direct]]</f>
        <v>0</v>
      </c>
      <c r="AN234" s="7" t="str">
        <f t="shared" si="39"/>
        <v/>
      </c>
      <c r="AO234" s="7" t="str">
        <f t="shared" si="42"/>
        <v/>
      </c>
      <c r="AP234" s="7" t="str">
        <f t="shared" si="40"/>
        <v/>
      </c>
      <c r="AQ234" s="7" t="str">
        <f t="shared" si="43"/>
        <v/>
      </c>
      <c r="AR234" s="7" t="str">
        <f t="shared" si="41"/>
        <v/>
      </c>
      <c r="AS234" s="7">
        <f t="shared" si="44"/>
        <v>0</v>
      </c>
      <c r="AT234" s="17">
        <f>TableCosts[[#This Row],[N_Amount]]*TableCosts[[#This Row],[N_Tariff]]*TableCosts[[#This Row],[N_ItemsCount]]</f>
        <v>0</v>
      </c>
      <c r="AU234" s="17">
        <f>IF(F234=1,IF(TableCosts[[#This Row],[N_Kateg]]="interné práce",TableCosts[[#This Row],[N_Amount]]*8*PAR_SGA_PERHOUR,0),0)</f>
        <v>0</v>
      </c>
      <c r="AV234" s="17">
        <f>SUM(TableCosts[[#This Row],[N_Direct]:[N_SGA]])</f>
        <v>0</v>
      </c>
      <c r="AW234" s="7">
        <f>IF(F234=1,IF(D234="",NA(),VLOOKUP(C234&amp;TableCosts[[#This Row],[Calc_N_Typ]],TRAN_STRITEMS_LABEL,7,0)),0)</f>
        <v>0</v>
      </c>
      <c r="AX234" s="7">
        <f t="shared" si="45"/>
        <v>0</v>
      </c>
      <c r="AY234" s="57" t="str">
        <f t="shared" si="46"/>
        <v/>
      </c>
      <c r="AZ234" s="57" t="str">
        <f t="shared" si="47"/>
        <v/>
      </c>
      <c r="BA234" s="57" t="str">
        <f>IF(F234=1,IF(TableCosts[[#This Row],[TransferFrom]]=TableCosts[[#This Row],[TranferTo]],0,1),"")</f>
        <v/>
      </c>
      <c r="BB234" s="7">
        <f t="shared" si="48"/>
        <v>0</v>
      </c>
      <c r="BC234" s="7">
        <f t="shared" si="49"/>
        <v>0</v>
      </c>
    </row>
    <row r="235" spans="2:55" s="7" customFormat="1" ht="12.75" x14ac:dyDescent="0.2">
      <c r="B235" s="33"/>
      <c r="C235" s="31"/>
      <c r="D235" s="40"/>
      <c r="E235" s="6" t="str">
        <f>IF(F235=1,IF(ISERROR(TableCosts[[#This Row],[N_Tariff]]),Err_Message1,IF(TableCosts[[#This Row],[N_Tariff]]=0,Err_Message2,VLOOKUP(C235&amp;TableCosts[[#This Row],[Calc_N_Typ]],TRAN_STRITEMS_LABEL,5,FALSE))),"")</f>
        <v/>
      </c>
      <c r="F235" s="6">
        <f t="shared" si="50"/>
        <v>0</v>
      </c>
      <c r="G235" s="6" t="str">
        <f>IF(F235=1,IFERROR(VLOOKUP(E235,Tab_ErrMessage[],2,0),VLOOKUP(C235&amp;TableCosts[[#This Row],[Calc_N_Typ]],TRAN_STRITEMS_LABEL,4,FALSE)),"")</f>
        <v/>
      </c>
      <c r="H235" s="40"/>
      <c r="I235" s="40"/>
      <c r="J235" s="35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4"/>
      <c r="AI235" s="24"/>
      <c r="AJ235" s="24"/>
      <c r="AK235" s="38">
        <f t="array" ref="AK235">IF(F235=1,SUM((ROW(M0)=ROW(AK235))*(M0+M1_+M2_+M3_+M4_+M5_+M6_+M7_+M8_+M9_+M10_+M11_+M12_+M13_+M14_+M15_+M16_+M17_+M18_+M19_+M20_+M21_+M22_+M23_+M24_+M25_)),0)</f>
        <v>0</v>
      </c>
      <c r="AL235" s="27">
        <f>TableCosts[[#This Row],[N_Direct]]</f>
        <v>0</v>
      </c>
      <c r="AN235" s="7" t="str">
        <f t="shared" si="39"/>
        <v/>
      </c>
      <c r="AO235" s="7" t="str">
        <f t="shared" si="42"/>
        <v/>
      </c>
      <c r="AP235" s="7" t="str">
        <f t="shared" si="40"/>
        <v/>
      </c>
      <c r="AQ235" s="7" t="str">
        <f t="shared" si="43"/>
        <v/>
      </c>
      <c r="AR235" s="7" t="str">
        <f t="shared" si="41"/>
        <v/>
      </c>
      <c r="AS235" s="7">
        <f t="shared" si="44"/>
        <v>0</v>
      </c>
      <c r="AT235" s="17">
        <f>TableCosts[[#This Row],[N_Amount]]*TableCosts[[#This Row],[N_Tariff]]*TableCosts[[#This Row],[N_ItemsCount]]</f>
        <v>0</v>
      </c>
      <c r="AU235" s="17">
        <f>IF(F235=1,IF(TableCosts[[#This Row],[N_Kateg]]="interné práce",TableCosts[[#This Row],[N_Amount]]*8*PAR_SGA_PERHOUR,0),0)</f>
        <v>0</v>
      </c>
      <c r="AV235" s="17">
        <f>SUM(TableCosts[[#This Row],[N_Direct]:[N_SGA]])</f>
        <v>0</v>
      </c>
      <c r="AW235" s="7">
        <f>IF(F235=1,IF(D235="",NA(),VLOOKUP(C235&amp;TableCosts[[#This Row],[Calc_N_Typ]],TRAN_STRITEMS_LABEL,7,0)),0)</f>
        <v>0</v>
      </c>
      <c r="AX235" s="7">
        <f t="shared" si="45"/>
        <v>0</v>
      </c>
      <c r="AY235" s="57" t="str">
        <f t="shared" si="46"/>
        <v/>
      </c>
      <c r="AZ235" s="57" t="str">
        <f t="shared" si="47"/>
        <v/>
      </c>
      <c r="BA235" s="57" t="str">
        <f>IF(F235=1,IF(TableCosts[[#This Row],[TransferFrom]]=TableCosts[[#This Row],[TranferTo]],0,1),"")</f>
        <v/>
      </c>
      <c r="BB235" s="7">
        <f t="shared" si="48"/>
        <v>0</v>
      </c>
      <c r="BC235" s="7">
        <f t="shared" si="49"/>
        <v>0</v>
      </c>
    </row>
    <row r="236" spans="2:55" s="7" customFormat="1" ht="12.75" x14ac:dyDescent="0.2">
      <c r="B236" s="33"/>
      <c r="C236" s="31"/>
      <c r="D236" s="40"/>
      <c r="E236" s="6" t="str">
        <f>IF(F236=1,IF(ISERROR(TableCosts[[#This Row],[N_Tariff]]),Err_Message1,IF(TableCosts[[#This Row],[N_Tariff]]=0,Err_Message2,VLOOKUP(C236&amp;TableCosts[[#This Row],[Calc_N_Typ]],TRAN_STRITEMS_LABEL,5,FALSE))),"")</f>
        <v/>
      </c>
      <c r="F236" s="6">
        <f t="shared" si="50"/>
        <v>0</v>
      </c>
      <c r="G236" s="6" t="str">
        <f>IF(F236=1,IFERROR(VLOOKUP(E236,Tab_ErrMessage[],2,0),VLOOKUP(C236&amp;TableCosts[[#This Row],[Calc_N_Typ]],TRAN_STRITEMS_LABEL,4,FALSE)),"")</f>
        <v/>
      </c>
      <c r="H236" s="40"/>
      <c r="I236" s="40"/>
      <c r="J236" s="35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4"/>
      <c r="AI236" s="24"/>
      <c r="AJ236" s="24"/>
      <c r="AK236" s="38">
        <f t="array" ref="AK236">IF(F236=1,SUM((ROW(M0)=ROW(AK236))*(M0+M1_+M2_+M3_+M4_+M5_+M6_+M7_+M8_+M9_+M10_+M11_+M12_+M13_+M14_+M15_+M16_+M17_+M18_+M19_+M20_+M21_+M22_+M23_+M24_+M25_)),0)</f>
        <v>0</v>
      </c>
      <c r="AL236" s="27">
        <f>TableCosts[[#This Row],[N_Direct]]</f>
        <v>0</v>
      </c>
      <c r="AN236" s="7" t="str">
        <f t="shared" si="39"/>
        <v/>
      </c>
      <c r="AO236" s="7" t="str">
        <f t="shared" si="42"/>
        <v/>
      </c>
      <c r="AP236" s="7" t="str">
        <f t="shared" si="40"/>
        <v/>
      </c>
      <c r="AQ236" s="7" t="str">
        <f t="shared" si="43"/>
        <v/>
      </c>
      <c r="AR236" s="7" t="str">
        <f t="shared" si="41"/>
        <v/>
      </c>
      <c r="AS236" s="7">
        <f t="shared" si="44"/>
        <v>0</v>
      </c>
      <c r="AT236" s="17">
        <f>TableCosts[[#This Row],[N_Amount]]*TableCosts[[#This Row],[N_Tariff]]*TableCosts[[#This Row],[N_ItemsCount]]</f>
        <v>0</v>
      </c>
      <c r="AU236" s="17">
        <f>IF(F236=1,IF(TableCosts[[#This Row],[N_Kateg]]="interné práce",TableCosts[[#This Row],[N_Amount]]*8*PAR_SGA_PERHOUR,0),0)</f>
        <v>0</v>
      </c>
      <c r="AV236" s="17">
        <f>SUM(TableCosts[[#This Row],[N_Direct]:[N_SGA]])</f>
        <v>0</v>
      </c>
      <c r="AW236" s="7">
        <f>IF(F236=1,IF(D236="",NA(),VLOOKUP(C236&amp;TableCosts[[#This Row],[Calc_N_Typ]],TRAN_STRITEMS_LABEL,7,0)),0)</f>
        <v>0</v>
      </c>
      <c r="AX236" s="7">
        <f t="shared" si="45"/>
        <v>0</v>
      </c>
      <c r="AY236" s="57" t="str">
        <f t="shared" si="46"/>
        <v/>
      </c>
      <c r="AZ236" s="57" t="str">
        <f t="shared" si="47"/>
        <v/>
      </c>
      <c r="BA236" s="57" t="str">
        <f>IF(F236=1,IF(TableCosts[[#This Row],[TransferFrom]]=TableCosts[[#This Row],[TranferTo]],0,1),"")</f>
        <v/>
      </c>
      <c r="BB236" s="7">
        <f t="shared" si="48"/>
        <v>0</v>
      </c>
      <c r="BC236" s="7">
        <f t="shared" si="49"/>
        <v>0</v>
      </c>
    </row>
    <row r="237" spans="2:55" s="7" customFormat="1" ht="12.75" x14ac:dyDescent="0.2">
      <c r="B237" s="33"/>
      <c r="C237" s="31"/>
      <c r="D237" s="40"/>
      <c r="E237" s="6" t="str">
        <f>IF(F237=1,IF(ISERROR(TableCosts[[#This Row],[N_Tariff]]),Err_Message1,IF(TableCosts[[#This Row],[N_Tariff]]=0,Err_Message2,VLOOKUP(C237&amp;TableCosts[[#This Row],[Calc_N_Typ]],TRAN_STRITEMS_LABEL,5,FALSE))),"")</f>
        <v/>
      </c>
      <c r="F237" s="6">
        <f t="shared" si="50"/>
        <v>0</v>
      </c>
      <c r="G237" s="6" t="str">
        <f>IF(F237=1,IFERROR(VLOOKUP(E237,Tab_ErrMessage[],2,0),VLOOKUP(C237&amp;TableCosts[[#This Row],[Calc_N_Typ]],TRAN_STRITEMS_LABEL,4,FALSE)),"")</f>
        <v/>
      </c>
      <c r="H237" s="40"/>
      <c r="I237" s="40"/>
      <c r="J237" s="35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4"/>
      <c r="AI237" s="24"/>
      <c r="AJ237" s="24"/>
      <c r="AK237" s="38">
        <f t="array" ref="AK237">IF(F237=1,SUM((ROW(M0)=ROW(AK237))*(M0+M1_+M2_+M3_+M4_+M5_+M6_+M7_+M8_+M9_+M10_+M11_+M12_+M13_+M14_+M15_+M16_+M17_+M18_+M19_+M20_+M21_+M22_+M23_+M24_+M25_)),0)</f>
        <v>0</v>
      </c>
      <c r="AL237" s="27">
        <f>TableCosts[[#This Row],[N_Direct]]</f>
        <v>0</v>
      </c>
      <c r="AN237" s="7" t="str">
        <f t="shared" si="39"/>
        <v/>
      </c>
      <c r="AO237" s="7" t="str">
        <f t="shared" si="42"/>
        <v/>
      </c>
      <c r="AP237" s="7" t="str">
        <f t="shared" si="40"/>
        <v/>
      </c>
      <c r="AQ237" s="7" t="str">
        <f t="shared" si="43"/>
        <v/>
      </c>
      <c r="AR237" s="7" t="str">
        <f t="shared" si="41"/>
        <v/>
      </c>
      <c r="AS237" s="7">
        <f t="shared" si="44"/>
        <v>0</v>
      </c>
      <c r="AT237" s="17">
        <f>TableCosts[[#This Row],[N_Amount]]*TableCosts[[#This Row],[N_Tariff]]*TableCosts[[#This Row],[N_ItemsCount]]</f>
        <v>0</v>
      </c>
      <c r="AU237" s="17">
        <f>IF(F237=1,IF(TableCosts[[#This Row],[N_Kateg]]="interné práce",TableCosts[[#This Row],[N_Amount]]*8*PAR_SGA_PERHOUR,0),0)</f>
        <v>0</v>
      </c>
      <c r="AV237" s="17">
        <f>SUM(TableCosts[[#This Row],[N_Direct]:[N_SGA]])</f>
        <v>0</v>
      </c>
      <c r="AW237" s="7">
        <f>IF(F237=1,IF(D237="",NA(),VLOOKUP(C237&amp;TableCosts[[#This Row],[Calc_N_Typ]],TRAN_STRITEMS_LABEL,7,0)),0)</f>
        <v>0</v>
      </c>
      <c r="AX237" s="7">
        <f t="shared" si="45"/>
        <v>0</v>
      </c>
      <c r="AY237" s="57" t="str">
        <f t="shared" si="46"/>
        <v/>
      </c>
      <c r="AZ237" s="57" t="str">
        <f t="shared" si="47"/>
        <v/>
      </c>
      <c r="BA237" s="57" t="str">
        <f>IF(F237=1,IF(TableCosts[[#This Row],[TransferFrom]]=TableCosts[[#This Row],[TranferTo]],0,1),"")</f>
        <v/>
      </c>
      <c r="BB237" s="7">
        <f t="shared" si="48"/>
        <v>0</v>
      </c>
      <c r="BC237" s="7">
        <f t="shared" si="49"/>
        <v>0</v>
      </c>
    </row>
    <row r="238" spans="2:55" s="7" customFormat="1" ht="12.75" x14ac:dyDescent="0.2">
      <c r="B238" s="33"/>
      <c r="C238" s="31"/>
      <c r="D238" s="40"/>
      <c r="E238" s="6" t="str">
        <f>IF(F238=1,IF(ISERROR(TableCosts[[#This Row],[N_Tariff]]),Err_Message1,IF(TableCosts[[#This Row],[N_Tariff]]=0,Err_Message2,VLOOKUP(C238&amp;TableCosts[[#This Row],[Calc_N_Typ]],TRAN_STRITEMS_LABEL,5,FALSE))),"")</f>
        <v/>
      </c>
      <c r="F238" s="6">
        <f t="shared" si="50"/>
        <v>0</v>
      </c>
      <c r="G238" s="6" t="str">
        <f>IF(F238=1,IFERROR(VLOOKUP(E238,Tab_ErrMessage[],2,0),VLOOKUP(C238&amp;TableCosts[[#This Row],[Calc_N_Typ]],TRAN_STRITEMS_LABEL,4,FALSE)),"")</f>
        <v/>
      </c>
      <c r="H238" s="40"/>
      <c r="I238" s="40"/>
      <c r="J238" s="35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4"/>
      <c r="AI238" s="24"/>
      <c r="AJ238" s="24"/>
      <c r="AK238" s="38">
        <f t="array" ref="AK238">IF(F238=1,SUM((ROW(M0)=ROW(AK238))*(M0+M1_+M2_+M3_+M4_+M5_+M6_+M7_+M8_+M9_+M10_+M11_+M12_+M13_+M14_+M15_+M16_+M17_+M18_+M19_+M20_+M21_+M22_+M23_+M24_+M25_)),0)</f>
        <v>0</v>
      </c>
      <c r="AL238" s="27">
        <f>TableCosts[[#This Row],[N_Direct]]</f>
        <v>0</v>
      </c>
      <c r="AN238" s="7" t="str">
        <f t="shared" si="39"/>
        <v/>
      </c>
      <c r="AO238" s="7" t="str">
        <f t="shared" si="42"/>
        <v/>
      </c>
      <c r="AP238" s="7" t="str">
        <f t="shared" si="40"/>
        <v/>
      </c>
      <c r="AQ238" s="7" t="str">
        <f t="shared" si="43"/>
        <v/>
      </c>
      <c r="AR238" s="7" t="str">
        <f t="shared" si="41"/>
        <v/>
      </c>
      <c r="AS238" s="7">
        <f t="shared" si="44"/>
        <v>0</v>
      </c>
      <c r="AT238" s="17">
        <f>TableCosts[[#This Row],[N_Amount]]*TableCosts[[#This Row],[N_Tariff]]*TableCosts[[#This Row],[N_ItemsCount]]</f>
        <v>0</v>
      </c>
      <c r="AU238" s="17">
        <f>IF(F238=1,IF(TableCosts[[#This Row],[N_Kateg]]="interné práce",TableCosts[[#This Row],[N_Amount]]*8*PAR_SGA_PERHOUR,0),0)</f>
        <v>0</v>
      </c>
      <c r="AV238" s="17">
        <f>SUM(TableCosts[[#This Row],[N_Direct]:[N_SGA]])</f>
        <v>0</v>
      </c>
      <c r="AW238" s="7">
        <f>IF(F238=1,IF(D238="",NA(),VLOOKUP(C238&amp;TableCosts[[#This Row],[Calc_N_Typ]],TRAN_STRITEMS_LABEL,7,0)),0)</f>
        <v>0</v>
      </c>
      <c r="AX238" s="7">
        <f t="shared" si="45"/>
        <v>0</v>
      </c>
      <c r="AY238" s="57" t="str">
        <f t="shared" si="46"/>
        <v/>
      </c>
      <c r="AZ238" s="57" t="str">
        <f t="shared" si="47"/>
        <v/>
      </c>
      <c r="BA238" s="57" t="str">
        <f>IF(F238=1,IF(TableCosts[[#This Row],[TransferFrom]]=TableCosts[[#This Row],[TranferTo]],0,1),"")</f>
        <v/>
      </c>
      <c r="BB238" s="7">
        <f t="shared" si="48"/>
        <v>0</v>
      </c>
      <c r="BC238" s="7">
        <f t="shared" si="49"/>
        <v>0</v>
      </c>
    </row>
    <row r="239" spans="2:55" s="7" customFormat="1" ht="12.75" x14ac:dyDescent="0.2">
      <c r="B239" s="33"/>
      <c r="C239" s="31"/>
      <c r="D239" s="40"/>
      <c r="E239" s="6" t="str">
        <f>IF(F239=1,IF(ISERROR(TableCosts[[#This Row],[N_Tariff]]),Err_Message1,IF(TableCosts[[#This Row],[N_Tariff]]=0,Err_Message2,VLOOKUP(C239&amp;TableCosts[[#This Row],[Calc_N_Typ]],TRAN_STRITEMS_LABEL,5,FALSE))),"")</f>
        <v/>
      </c>
      <c r="F239" s="6">
        <f t="shared" si="50"/>
        <v>0</v>
      </c>
      <c r="G239" s="6" t="str">
        <f>IF(F239=1,IFERROR(VLOOKUP(E239,Tab_ErrMessage[],2,0),VLOOKUP(C239&amp;TableCosts[[#This Row],[Calc_N_Typ]],TRAN_STRITEMS_LABEL,4,FALSE)),"")</f>
        <v/>
      </c>
      <c r="H239" s="40"/>
      <c r="I239" s="40"/>
      <c r="J239" s="35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4"/>
      <c r="AI239" s="24"/>
      <c r="AJ239" s="24"/>
      <c r="AK239" s="38">
        <f t="array" ref="AK239">IF(F239=1,SUM((ROW(M0)=ROW(AK239))*(M0+M1_+M2_+M3_+M4_+M5_+M6_+M7_+M8_+M9_+M10_+M11_+M12_+M13_+M14_+M15_+M16_+M17_+M18_+M19_+M20_+M21_+M22_+M23_+M24_+M25_)),0)</f>
        <v>0</v>
      </c>
      <c r="AL239" s="27">
        <f>TableCosts[[#This Row],[N_Direct]]</f>
        <v>0</v>
      </c>
      <c r="AN239" s="7" t="str">
        <f t="shared" si="39"/>
        <v/>
      </c>
      <c r="AO239" s="7" t="str">
        <f t="shared" si="42"/>
        <v/>
      </c>
      <c r="AP239" s="7" t="str">
        <f t="shared" si="40"/>
        <v/>
      </c>
      <c r="AQ239" s="7" t="str">
        <f t="shared" si="43"/>
        <v/>
      </c>
      <c r="AR239" s="7" t="str">
        <f t="shared" si="41"/>
        <v/>
      </c>
      <c r="AS239" s="7">
        <f t="shared" si="44"/>
        <v>0</v>
      </c>
      <c r="AT239" s="17">
        <f>TableCosts[[#This Row],[N_Amount]]*TableCosts[[#This Row],[N_Tariff]]*TableCosts[[#This Row],[N_ItemsCount]]</f>
        <v>0</v>
      </c>
      <c r="AU239" s="17">
        <f>IF(F239=1,IF(TableCosts[[#This Row],[N_Kateg]]="interné práce",TableCosts[[#This Row],[N_Amount]]*8*PAR_SGA_PERHOUR,0),0)</f>
        <v>0</v>
      </c>
      <c r="AV239" s="17">
        <f>SUM(TableCosts[[#This Row],[N_Direct]:[N_SGA]])</f>
        <v>0</v>
      </c>
      <c r="AW239" s="7">
        <f>IF(F239=1,IF(D239="",NA(),VLOOKUP(C239&amp;TableCosts[[#This Row],[Calc_N_Typ]],TRAN_STRITEMS_LABEL,7,0)),0)</f>
        <v>0</v>
      </c>
      <c r="AX239" s="7">
        <f t="shared" si="45"/>
        <v>0</v>
      </c>
      <c r="AY239" s="57" t="str">
        <f t="shared" si="46"/>
        <v/>
      </c>
      <c r="AZ239" s="57" t="str">
        <f t="shared" si="47"/>
        <v/>
      </c>
      <c r="BA239" s="57" t="str">
        <f>IF(F239=1,IF(TableCosts[[#This Row],[TransferFrom]]=TableCosts[[#This Row],[TranferTo]],0,1),"")</f>
        <v/>
      </c>
      <c r="BB239" s="7">
        <f t="shared" si="48"/>
        <v>0</v>
      </c>
      <c r="BC239" s="7">
        <f t="shared" si="49"/>
        <v>0</v>
      </c>
    </row>
    <row r="240" spans="2:55" s="7" customFormat="1" ht="12.75" x14ac:dyDescent="0.2">
      <c r="B240" s="33"/>
      <c r="C240" s="31"/>
      <c r="D240" s="40"/>
      <c r="E240" s="6" t="str">
        <f>IF(F240=1,IF(ISERROR(TableCosts[[#This Row],[N_Tariff]]),Err_Message1,IF(TableCosts[[#This Row],[N_Tariff]]=0,Err_Message2,VLOOKUP(C240&amp;TableCosts[[#This Row],[Calc_N_Typ]],TRAN_STRITEMS_LABEL,5,FALSE))),"")</f>
        <v/>
      </c>
      <c r="F240" s="6">
        <f t="shared" si="50"/>
        <v>0</v>
      </c>
      <c r="G240" s="6" t="str">
        <f>IF(F240=1,IFERROR(VLOOKUP(E240,Tab_ErrMessage[],2,0),VLOOKUP(C240&amp;TableCosts[[#This Row],[Calc_N_Typ]],TRAN_STRITEMS_LABEL,4,FALSE)),"")</f>
        <v/>
      </c>
      <c r="H240" s="40"/>
      <c r="I240" s="40"/>
      <c r="J240" s="35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4"/>
      <c r="AI240" s="24"/>
      <c r="AJ240" s="24"/>
      <c r="AK240" s="38">
        <f t="array" ref="AK240">IF(F240=1,SUM((ROW(M0)=ROW(AK240))*(M0+M1_+M2_+M3_+M4_+M5_+M6_+M7_+M8_+M9_+M10_+M11_+M12_+M13_+M14_+M15_+M16_+M17_+M18_+M19_+M20_+M21_+M22_+M23_+M24_+M25_)),0)</f>
        <v>0</v>
      </c>
      <c r="AL240" s="27">
        <f>TableCosts[[#This Row],[N_Direct]]</f>
        <v>0</v>
      </c>
      <c r="AN240" s="7" t="str">
        <f t="shared" si="39"/>
        <v/>
      </c>
      <c r="AO240" s="7" t="str">
        <f t="shared" si="42"/>
        <v/>
      </c>
      <c r="AP240" s="7" t="str">
        <f t="shared" si="40"/>
        <v/>
      </c>
      <c r="AQ240" s="7" t="str">
        <f t="shared" si="43"/>
        <v/>
      </c>
      <c r="AR240" s="7" t="str">
        <f t="shared" si="41"/>
        <v/>
      </c>
      <c r="AS240" s="7">
        <f t="shared" si="44"/>
        <v>0</v>
      </c>
      <c r="AT240" s="17">
        <f>TableCosts[[#This Row],[N_Amount]]*TableCosts[[#This Row],[N_Tariff]]*TableCosts[[#This Row],[N_ItemsCount]]</f>
        <v>0</v>
      </c>
      <c r="AU240" s="17">
        <f>IF(F240=1,IF(TableCosts[[#This Row],[N_Kateg]]="interné práce",TableCosts[[#This Row],[N_Amount]]*8*PAR_SGA_PERHOUR,0),0)</f>
        <v>0</v>
      </c>
      <c r="AV240" s="17">
        <f>SUM(TableCosts[[#This Row],[N_Direct]:[N_SGA]])</f>
        <v>0</v>
      </c>
      <c r="AW240" s="7">
        <f>IF(F240=1,IF(D240="",NA(),VLOOKUP(C240&amp;TableCosts[[#This Row],[Calc_N_Typ]],TRAN_STRITEMS_LABEL,7,0)),0)</f>
        <v>0</v>
      </c>
      <c r="AX240" s="7">
        <f t="shared" si="45"/>
        <v>0</v>
      </c>
      <c r="AY240" s="57" t="str">
        <f t="shared" si="46"/>
        <v/>
      </c>
      <c r="AZ240" s="57" t="str">
        <f t="shared" si="47"/>
        <v/>
      </c>
      <c r="BA240" s="57" t="str">
        <f>IF(F240=1,IF(TableCosts[[#This Row],[TransferFrom]]=TableCosts[[#This Row],[TranferTo]],0,1),"")</f>
        <v/>
      </c>
      <c r="BB240" s="7">
        <f t="shared" si="48"/>
        <v>0</v>
      </c>
      <c r="BC240" s="7">
        <f t="shared" si="49"/>
        <v>0</v>
      </c>
    </row>
    <row r="241" spans="2:55" s="7" customFormat="1" ht="12.75" x14ac:dyDescent="0.2">
      <c r="B241" s="33"/>
      <c r="C241" s="31"/>
      <c r="D241" s="40"/>
      <c r="E241" s="6" t="str">
        <f>IF(F241=1,IF(ISERROR(TableCosts[[#This Row],[N_Tariff]]),Err_Message1,IF(TableCosts[[#This Row],[N_Tariff]]=0,Err_Message2,VLOOKUP(C241&amp;TableCosts[[#This Row],[Calc_N_Typ]],TRAN_STRITEMS_LABEL,5,FALSE))),"")</f>
        <v/>
      </c>
      <c r="F241" s="6">
        <f t="shared" si="50"/>
        <v>0</v>
      </c>
      <c r="G241" s="6" t="str">
        <f>IF(F241=1,IFERROR(VLOOKUP(E241,Tab_ErrMessage[],2,0),VLOOKUP(C241&amp;TableCosts[[#This Row],[Calc_N_Typ]],TRAN_STRITEMS_LABEL,4,FALSE)),"")</f>
        <v/>
      </c>
      <c r="H241" s="40"/>
      <c r="I241" s="40"/>
      <c r="J241" s="35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4"/>
      <c r="AI241" s="24"/>
      <c r="AJ241" s="24"/>
      <c r="AK241" s="38">
        <f t="array" ref="AK241">IF(F241=1,SUM((ROW(M0)=ROW(AK241))*(M0+M1_+M2_+M3_+M4_+M5_+M6_+M7_+M8_+M9_+M10_+M11_+M12_+M13_+M14_+M15_+M16_+M17_+M18_+M19_+M20_+M21_+M22_+M23_+M24_+M25_)),0)</f>
        <v>0</v>
      </c>
      <c r="AL241" s="27">
        <f>TableCosts[[#This Row],[N_Direct]]</f>
        <v>0</v>
      </c>
      <c r="AN241" s="7" t="str">
        <f t="shared" si="39"/>
        <v/>
      </c>
      <c r="AO241" s="7" t="str">
        <f t="shared" si="42"/>
        <v/>
      </c>
      <c r="AP241" s="7" t="str">
        <f t="shared" si="40"/>
        <v/>
      </c>
      <c r="AQ241" s="7" t="str">
        <f t="shared" si="43"/>
        <v/>
      </c>
      <c r="AR241" s="7" t="str">
        <f t="shared" si="41"/>
        <v/>
      </c>
      <c r="AS241" s="7">
        <f t="shared" si="44"/>
        <v>0</v>
      </c>
      <c r="AT241" s="17">
        <f>TableCosts[[#This Row],[N_Amount]]*TableCosts[[#This Row],[N_Tariff]]*TableCosts[[#This Row],[N_ItemsCount]]</f>
        <v>0</v>
      </c>
      <c r="AU241" s="17">
        <f>IF(F241=1,IF(TableCosts[[#This Row],[N_Kateg]]="interné práce",TableCosts[[#This Row],[N_Amount]]*8*PAR_SGA_PERHOUR,0),0)</f>
        <v>0</v>
      </c>
      <c r="AV241" s="17">
        <f>SUM(TableCosts[[#This Row],[N_Direct]:[N_SGA]])</f>
        <v>0</v>
      </c>
      <c r="AW241" s="7">
        <f>IF(F241=1,IF(D241="",NA(),VLOOKUP(C241&amp;TableCosts[[#This Row],[Calc_N_Typ]],TRAN_STRITEMS_LABEL,7,0)),0)</f>
        <v>0</v>
      </c>
      <c r="AX241" s="7">
        <f t="shared" si="45"/>
        <v>0</v>
      </c>
      <c r="AY241" s="57" t="str">
        <f t="shared" si="46"/>
        <v/>
      </c>
      <c r="AZ241" s="57" t="str">
        <f t="shared" si="47"/>
        <v/>
      </c>
      <c r="BA241" s="57" t="str">
        <f>IF(F241=1,IF(TableCosts[[#This Row],[TransferFrom]]=TableCosts[[#This Row],[TranferTo]],0,1),"")</f>
        <v/>
      </c>
      <c r="BB241" s="7">
        <f t="shared" si="48"/>
        <v>0</v>
      </c>
      <c r="BC241" s="7">
        <f t="shared" si="49"/>
        <v>0</v>
      </c>
    </row>
    <row r="242" spans="2:55" s="7" customFormat="1" ht="12.75" x14ac:dyDescent="0.2">
      <c r="B242" s="33"/>
      <c r="C242" s="31"/>
      <c r="D242" s="40"/>
      <c r="E242" s="6" t="str">
        <f>IF(F242=1,IF(ISERROR(TableCosts[[#This Row],[N_Tariff]]),Err_Message1,IF(TableCosts[[#This Row],[N_Tariff]]=0,Err_Message2,VLOOKUP(C242&amp;TableCosts[[#This Row],[Calc_N_Typ]],TRAN_STRITEMS_LABEL,5,FALSE))),"")</f>
        <v/>
      </c>
      <c r="F242" s="6">
        <f t="shared" si="50"/>
        <v>0</v>
      </c>
      <c r="G242" s="6" t="str">
        <f>IF(F242=1,IFERROR(VLOOKUP(E242,Tab_ErrMessage[],2,0),VLOOKUP(C242&amp;TableCosts[[#This Row],[Calc_N_Typ]],TRAN_STRITEMS_LABEL,4,FALSE)),"")</f>
        <v/>
      </c>
      <c r="H242" s="40"/>
      <c r="I242" s="40"/>
      <c r="J242" s="35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4"/>
      <c r="AI242" s="24"/>
      <c r="AJ242" s="24"/>
      <c r="AK242" s="38">
        <f t="array" ref="AK242">IF(F242=1,SUM((ROW(M0)=ROW(AK242))*(M0+M1_+M2_+M3_+M4_+M5_+M6_+M7_+M8_+M9_+M10_+M11_+M12_+M13_+M14_+M15_+M16_+M17_+M18_+M19_+M20_+M21_+M22_+M23_+M24_+M25_)),0)</f>
        <v>0</v>
      </c>
      <c r="AL242" s="27">
        <f>TableCosts[[#This Row],[N_Direct]]</f>
        <v>0</v>
      </c>
      <c r="AN242" s="7" t="str">
        <f t="shared" si="39"/>
        <v/>
      </c>
      <c r="AO242" s="7" t="str">
        <f t="shared" si="42"/>
        <v/>
      </c>
      <c r="AP242" s="7" t="str">
        <f t="shared" si="40"/>
        <v/>
      </c>
      <c r="AQ242" s="7" t="str">
        <f t="shared" si="43"/>
        <v/>
      </c>
      <c r="AR242" s="7" t="str">
        <f t="shared" si="41"/>
        <v/>
      </c>
      <c r="AS242" s="7">
        <f t="shared" si="44"/>
        <v>0</v>
      </c>
      <c r="AT242" s="17">
        <f>TableCosts[[#This Row],[N_Amount]]*TableCosts[[#This Row],[N_Tariff]]*TableCosts[[#This Row],[N_ItemsCount]]</f>
        <v>0</v>
      </c>
      <c r="AU242" s="17">
        <f>IF(F242=1,IF(TableCosts[[#This Row],[N_Kateg]]="interné práce",TableCosts[[#This Row],[N_Amount]]*8*PAR_SGA_PERHOUR,0),0)</f>
        <v>0</v>
      </c>
      <c r="AV242" s="17">
        <f>SUM(TableCosts[[#This Row],[N_Direct]:[N_SGA]])</f>
        <v>0</v>
      </c>
      <c r="AW242" s="7">
        <f>IF(F242=1,IF(D242="",NA(),VLOOKUP(C242&amp;TableCosts[[#This Row],[Calc_N_Typ]],TRAN_STRITEMS_LABEL,7,0)),0)</f>
        <v>0</v>
      </c>
      <c r="AX242" s="7">
        <f t="shared" si="45"/>
        <v>0</v>
      </c>
      <c r="AY242" s="57" t="str">
        <f t="shared" si="46"/>
        <v/>
      </c>
      <c r="AZ242" s="57" t="str">
        <f t="shared" si="47"/>
        <v/>
      </c>
      <c r="BA242" s="57" t="str">
        <f>IF(F242=1,IF(TableCosts[[#This Row],[TransferFrom]]=TableCosts[[#This Row],[TranferTo]],0,1),"")</f>
        <v/>
      </c>
      <c r="BB242" s="7">
        <f t="shared" si="48"/>
        <v>0</v>
      </c>
      <c r="BC242" s="7">
        <f t="shared" si="49"/>
        <v>0</v>
      </c>
    </row>
    <row r="243" spans="2:55" s="7" customFormat="1" ht="12.75" x14ac:dyDescent="0.2">
      <c r="B243" s="33"/>
      <c r="C243" s="31"/>
      <c r="D243" s="40"/>
      <c r="E243" s="6" t="str">
        <f>IF(F243=1,IF(ISERROR(TableCosts[[#This Row],[N_Tariff]]),Err_Message1,IF(TableCosts[[#This Row],[N_Tariff]]=0,Err_Message2,VLOOKUP(C243&amp;TableCosts[[#This Row],[Calc_N_Typ]],TRAN_STRITEMS_LABEL,5,FALSE))),"")</f>
        <v/>
      </c>
      <c r="F243" s="6">
        <f t="shared" si="50"/>
        <v>0</v>
      </c>
      <c r="G243" s="6" t="str">
        <f>IF(F243=1,IFERROR(VLOOKUP(E243,Tab_ErrMessage[],2,0),VLOOKUP(C243&amp;TableCosts[[#This Row],[Calc_N_Typ]],TRAN_STRITEMS_LABEL,4,FALSE)),"")</f>
        <v/>
      </c>
      <c r="H243" s="40"/>
      <c r="I243" s="40"/>
      <c r="J243" s="35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4"/>
      <c r="AI243" s="24"/>
      <c r="AJ243" s="24"/>
      <c r="AK243" s="38">
        <f t="array" ref="AK243">IF(F243=1,SUM((ROW(M0)=ROW(AK243))*(M0+M1_+M2_+M3_+M4_+M5_+M6_+M7_+M8_+M9_+M10_+M11_+M12_+M13_+M14_+M15_+M16_+M17_+M18_+M19_+M20_+M21_+M22_+M23_+M24_+M25_)),0)</f>
        <v>0</v>
      </c>
      <c r="AL243" s="27">
        <f>TableCosts[[#This Row],[N_Direct]]</f>
        <v>0</v>
      </c>
      <c r="AN243" s="7" t="str">
        <f t="shared" si="39"/>
        <v/>
      </c>
      <c r="AO243" s="7" t="str">
        <f t="shared" si="42"/>
        <v/>
      </c>
      <c r="AP243" s="7" t="str">
        <f t="shared" si="40"/>
        <v/>
      </c>
      <c r="AQ243" s="7" t="str">
        <f t="shared" si="43"/>
        <v/>
      </c>
      <c r="AR243" s="7" t="str">
        <f t="shared" si="41"/>
        <v/>
      </c>
      <c r="AS243" s="7">
        <f t="shared" si="44"/>
        <v>0</v>
      </c>
      <c r="AT243" s="17">
        <f>TableCosts[[#This Row],[N_Amount]]*TableCosts[[#This Row],[N_Tariff]]*TableCosts[[#This Row],[N_ItemsCount]]</f>
        <v>0</v>
      </c>
      <c r="AU243" s="17">
        <f>IF(F243=1,IF(TableCosts[[#This Row],[N_Kateg]]="interné práce",TableCosts[[#This Row],[N_Amount]]*8*PAR_SGA_PERHOUR,0),0)</f>
        <v>0</v>
      </c>
      <c r="AV243" s="17">
        <f>SUM(TableCosts[[#This Row],[N_Direct]:[N_SGA]])</f>
        <v>0</v>
      </c>
      <c r="AW243" s="7">
        <f>IF(F243=1,IF(D243="",NA(),VLOOKUP(C243&amp;TableCosts[[#This Row],[Calc_N_Typ]],TRAN_STRITEMS_LABEL,7,0)),0)</f>
        <v>0</v>
      </c>
      <c r="AX243" s="7">
        <f t="shared" si="45"/>
        <v>0</v>
      </c>
      <c r="AY243" s="57" t="str">
        <f t="shared" si="46"/>
        <v/>
      </c>
      <c r="AZ243" s="57" t="str">
        <f t="shared" si="47"/>
        <v/>
      </c>
      <c r="BA243" s="57" t="str">
        <f>IF(F243=1,IF(TableCosts[[#This Row],[TransferFrom]]=TableCosts[[#This Row],[TranferTo]],0,1),"")</f>
        <v/>
      </c>
      <c r="BB243" s="7">
        <f t="shared" si="48"/>
        <v>0</v>
      </c>
      <c r="BC243" s="7">
        <f t="shared" si="49"/>
        <v>0</v>
      </c>
    </row>
    <row r="244" spans="2:55" s="7" customFormat="1" ht="12.75" x14ac:dyDescent="0.2">
      <c r="B244" s="33"/>
      <c r="C244" s="31"/>
      <c r="D244" s="40"/>
      <c r="E244" s="6" t="str">
        <f>IF(F244=1,IF(ISERROR(TableCosts[[#This Row],[N_Tariff]]),Err_Message1,IF(TableCosts[[#This Row],[N_Tariff]]=0,Err_Message2,VLOOKUP(C244&amp;TableCosts[[#This Row],[Calc_N_Typ]],TRAN_STRITEMS_LABEL,5,FALSE))),"")</f>
        <v/>
      </c>
      <c r="F244" s="6">
        <f t="shared" si="50"/>
        <v>0</v>
      </c>
      <c r="G244" s="6" t="str">
        <f>IF(F244=1,IFERROR(VLOOKUP(E244,Tab_ErrMessage[],2,0),VLOOKUP(C244&amp;TableCosts[[#This Row],[Calc_N_Typ]],TRAN_STRITEMS_LABEL,4,FALSE)),"")</f>
        <v/>
      </c>
      <c r="H244" s="40"/>
      <c r="I244" s="40"/>
      <c r="J244" s="35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4"/>
      <c r="AI244" s="24"/>
      <c r="AJ244" s="24"/>
      <c r="AK244" s="38">
        <f t="array" ref="AK244">IF(F244=1,SUM((ROW(M0)=ROW(AK244))*(M0+M1_+M2_+M3_+M4_+M5_+M6_+M7_+M8_+M9_+M10_+M11_+M12_+M13_+M14_+M15_+M16_+M17_+M18_+M19_+M20_+M21_+M22_+M23_+M24_+M25_)),0)</f>
        <v>0</v>
      </c>
      <c r="AL244" s="27">
        <f>TableCosts[[#This Row],[N_Direct]]</f>
        <v>0</v>
      </c>
      <c r="AN244" s="7" t="str">
        <f t="shared" si="39"/>
        <v/>
      </c>
      <c r="AO244" s="7" t="str">
        <f t="shared" si="42"/>
        <v/>
      </c>
      <c r="AP244" s="7" t="str">
        <f t="shared" si="40"/>
        <v/>
      </c>
      <c r="AQ244" s="7" t="str">
        <f t="shared" si="43"/>
        <v/>
      </c>
      <c r="AR244" s="7" t="str">
        <f t="shared" si="41"/>
        <v/>
      </c>
      <c r="AS244" s="7">
        <f t="shared" si="44"/>
        <v>0</v>
      </c>
      <c r="AT244" s="17">
        <f>TableCosts[[#This Row],[N_Amount]]*TableCosts[[#This Row],[N_Tariff]]*TableCosts[[#This Row],[N_ItemsCount]]</f>
        <v>0</v>
      </c>
      <c r="AU244" s="17">
        <f>IF(F244=1,IF(TableCosts[[#This Row],[N_Kateg]]="interné práce",TableCosts[[#This Row],[N_Amount]]*8*PAR_SGA_PERHOUR,0),0)</f>
        <v>0</v>
      </c>
      <c r="AV244" s="17">
        <f>SUM(TableCosts[[#This Row],[N_Direct]:[N_SGA]])</f>
        <v>0</v>
      </c>
      <c r="AW244" s="7">
        <f>IF(F244=1,IF(D244="",NA(),VLOOKUP(C244&amp;TableCosts[[#This Row],[Calc_N_Typ]],TRAN_STRITEMS_LABEL,7,0)),0)</f>
        <v>0</v>
      </c>
      <c r="AX244" s="7">
        <f t="shared" si="45"/>
        <v>0</v>
      </c>
      <c r="AY244" s="57" t="str">
        <f t="shared" si="46"/>
        <v/>
      </c>
      <c r="AZ244" s="57" t="str">
        <f t="shared" si="47"/>
        <v/>
      </c>
      <c r="BA244" s="57" t="str">
        <f>IF(F244=1,IF(TableCosts[[#This Row],[TransferFrom]]=TableCosts[[#This Row],[TranferTo]],0,1),"")</f>
        <v/>
      </c>
      <c r="BB244" s="7">
        <f t="shared" si="48"/>
        <v>0</v>
      </c>
      <c r="BC244" s="7">
        <f t="shared" si="49"/>
        <v>0</v>
      </c>
    </row>
    <row r="245" spans="2:55" s="7" customFormat="1" ht="12.75" x14ac:dyDescent="0.2">
      <c r="B245" s="33"/>
      <c r="C245" s="31"/>
      <c r="D245" s="40"/>
      <c r="E245" s="6" t="str">
        <f>IF(F245=1,IF(ISERROR(TableCosts[[#This Row],[N_Tariff]]),Err_Message1,IF(TableCosts[[#This Row],[N_Tariff]]=0,Err_Message2,VLOOKUP(C245&amp;TableCosts[[#This Row],[Calc_N_Typ]],TRAN_STRITEMS_LABEL,5,FALSE))),"")</f>
        <v/>
      </c>
      <c r="F245" s="6">
        <f t="shared" si="50"/>
        <v>0</v>
      </c>
      <c r="G245" s="6" t="str">
        <f>IF(F245=1,IFERROR(VLOOKUP(E245,Tab_ErrMessage[],2,0),VLOOKUP(C245&amp;TableCosts[[#This Row],[Calc_N_Typ]],TRAN_STRITEMS_LABEL,4,FALSE)),"")</f>
        <v/>
      </c>
      <c r="H245" s="40"/>
      <c r="I245" s="40"/>
      <c r="J245" s="35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4"/>
      <c r="AI245" s="24"/>
      <c r="AJ245" s="24"/>
      <c r="AK245" s="38">
        <f t="array" ref="AK245">IF(F245=1,SUM((ROW(M0)=ROW(AK245))*(M0+M1_+M2_+M3_+M4_+M5_+M6_+M7_+M8_+M9_+M10_+M11_+M12_+M13_+M14_+M15_+M16_+M17_+M18_+M19_+M20_+M21_+M22_+M23_+M24_+M25_)),0)</f>
        <v>0</v>
      </c>
      <c r="AL245" s="27">
        <f>TableCosts[[#This Row],[N_Direct]]</f>
        <v>0</v>
      </c>
      <c r="AN245" s="7" t="str">
        <f t="shared" si="39"/>
        <v/>
      </c>
      <c r="AO245" s="7" t="str">
        <f t="shared" si="42"/>
        <v/>
      </c>
      <c r="AP245" s="7" t="str">
        <f t="shared" si="40"/>
        <v/>
      </c>
      <c r="AQ245" s="7" t="str">
        <f t="shared" si="43"/>
        <v/>
      </c>
      <c r="AR245" s="7" t="str">
        <f t="shared" si="41"/>
        <v/>
      </c>
      <c r="AS245" s="7">
        <f t="shared" si="44"/>
        <v>0</v>
      </c>
      <c r="AT245" s="17">
        <f>TableCosts[[#This Row],[N_Amount]]*TableCosts[[#This Row],[N_Tariff]]*TableCosts[[#This Row],[N_ItemsCount]]</f>
        <v>0</v>
      </c>
      <c r="AU245" s="17">
        <f>IF(F245=1,IF(TableCosts[[#This Row],[N_Kateg]]="interné práce",TableCosts[[#This Row],[N_Amount]]*8*PAR_SGA_PERHOUR,0),0)</f>
        <v>0</v>
      </c>
      <c r="AV245" s="17">
        <f>SUM(TableCosts[[#This Row],[N_Direct]:[N_SGA]])</f>
        <v>0</v>
      </c>
      <c r="AW245" s="7">
        <f>IF(F245=1,IF(D245="",NA(),VLOOKUP(C245&amp;TableCosts[[#This Row],[Calc_N_Typ]],TRAN_STRITEMS_LABEL,7,0)),0)</f>
        <v>0</v>
      </c>
      <c r="AX245" s="7">
        <f t="shared" si="45"/>
        <v>0</v>
      </c>
      <c r="AY245" s="57" t="str">
        <f t="shared" si="46"/>
        <v/>
      </c>
      <c r="AZ245" s="57" t="str">
        <f t="shared" si="47"/>
        <v/>
      </c>
      <c r="BA245" s="57" t="str">
        <f>IF(F245=1,IF(TableCosts[[#This Row],[TransferFrom]]=TableCosts[[#This Row],[TranferTo]],0,1),"")</f>
        <v/>
      </c>
      <c r="BB245" s="7">
        <f t="shared" si="48"/>
        <v>0</v>
      </c>
      <c r="BC245" s="7">
        <f t="shared" si="49"/>
        <v>0</v>
      </c>
    </row>
    <row r="246" spans="2:55" s="7" customFormat="1" ht="12.75" x14ac:dyDescent="0.2">
      <c r="B246" s="33"/>
      <c r="C246" s="31"/>
      <c r="D246" s="40"/>
      <c r="E246" s="6" t="str">
        <f>IF(F246=1,IF(ISERROR(TableCosts[[#This Row],[N_Tariff]]),Err_Message1,IF(TableCosts[[#This Row],[N_Tariff]]=0,Err_Message2,VLOOKUP(C246&amp;TableCosts[[#This Row],[Calc_N_Typ]],TRAN_STRITEMS_LABEL,5,FALSE))),"")</f>
        <v/>
      </c>
      <c r="F246" s="6">
        <f t="shared" si="50"/>
        <v>0</v>
      </c>
      <c r="G246" s="6" t="str">
        <f>IF(F246=1,IFERROR(VLOOKUP(E246,Tab_ErrMessage[],2,0),VLOOKUP(C246&amp;TableCosts[[#This Row],[Calc_N_Typ]],TRAN_STRITEMS_LABEL,4,FALSE)),"")</f>
        <v/>
      </c>
      <c r="H246" s="40"/>
      <c r="I246" s="40"/>
      <c r="J246" s="35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4"/>
      <c r="AI246" s="24"/>
      <c r="AJ246" s="24"/>
      <c r="AK246" s="38">
        <f t="array" ref="AK246">IF(F246=1,SUM((ROW(M0)=ROW(AK246))*(M0+M1_+M2_+M3_+M4_+M5_+M6_+M7_+M8_+M9_+M10_+M11_+M12_+M13_+M14_+M15_+M16_+M17_+M18_+M19_+M20_+M21_+M22_+M23_+M24_+M25_)),0)</f>
        <v>0</v>
      </c>
      <c r="AL246" s="27">
        <f>TableCosts[[#This Row],[N_Direct]]</f>
        <v>0</v>
      </c>
      <c r="AN246" s="7" t="str">
        <f t="shared" si="39"/>
        <v/>
      </c>
      <c r="AO246" s="7" t="str">
        <f t="shared" si="42"/>
        <v/>
      </c>
      <c r="AP246" s="7" t="str">
        <f t="shared" si="40"/>
        <v/>
      </c>
      <c r="AQ246" s="7" t="str">
        <f t="shared" si="43"/>
        <v/>
      </c>
      <c r="AR246" s="7" t="str">
        <f t="shared" si="41"/>
        <v/>
      </c>
      <c r="AS246" s="7">
        <f t="shared" si="44"/>
        <v>0</v>
      </c>
      <c r="AT246" s="17">
        <f>TableCosts[[#This Row],[N_Amount]]*TableCosts[[#This Row],[N_Tariff]]*TableCosts[[#This Row],[N_ItemsCount]]</f>
        <v>0</v>
      </c>
      <c r="AU246" s="17">
        <f>IF(F246=1,IF(TableCosts[[#This Row],[N_Kateg]]="interné práce",TableCosts[[#This Row],[N_Amount]]*8*PAR_SGA_PERHOUR,0),0)</f>
        <v>0</v>
      </c>
      <c r="AV246" s="17">
        <f>SUM(TableCosts[[#This Row],[N_Direct]:[N_SGA]])</f>
        <v>0</v>
      </c>
      <c r="AW246" s="7">
        <f>IF(F246=1,IF(D246="",NA(),VLOOKUP(C246&amp;TableCosts[[#This Row],[Calc_N_Typ]],TRAN_STRITEMS_LABEL,7,0)),0)</f>
        <v>0</v>
      </c>
      <c r="AX246" s="7">
        <f t="shared" si="45"/>
        <v>0</v>
      </c>
      <c r="AY246" s="57" t="str">
        <f t="shared" si="46"/>
        <v/>
      </c>
      <c r="AZ246" s="57" t="str">
        <f t="shared" si="47"/>
        <v/>
      </c>
      <c r="BA246" s="57" t="str">
        <f>IF(F246=1,IF(TableCosts[[#This Row],[TransferFrom]]=TableCosts[[#This Row],[TranferTo]],0,1),"")</f>
        <v/>
      </c>
      <c r="BB246" s="7">
        <f t="shared" si="48"/>
        <v>0</v>
      </c>
      <c r="BC246" s="7">
        <f t="shared" si="49"/>
        <v>0</v>
      </c>
    </row>
    <row r="247" spans="2:55" s="7" customFormat="1" ht="12.75" x14ac:dyDescent="0.2">
      <c r="B247" s="33"/>
      <c r="C247" s="31"/>
      <c r="D247" s="40"/>
      <c r="E247" s="6" t="str">
        <f>IF(F247=1,IF(ISERROR(TableCosts[[#This Row],[N_Tariff]]),Err_Message1,IF(TableCosts[[#This Row],[N_Tariff]]=0,Err_Message2,VLOOKUP(C247&amp;TableCosts[[#This Row],[Calc_N_Typ]],TRAN_STRITEMS_LABEL,5,FALSE))),"")</f>
        <v/>
      </c>
      <c r="F247" s="6">
        <f t="shared" si="50"/>
        <v>0</v>
      </c>
      <c r="G247" s="6" t="str">
        <f>IF(F247=1,IFERROR(VLOOKUP(E247,Tab_ErrMessage[],2,0),VLOOKUP(C247&amp;TableCosts[[#This Row],[Calc_N_Typ]],TRAN_STRITEMS_LABEL,4,FALSE)),"")</f>
        <v/>
      </c>
      <c r="H247" s="40"/>
      <c r="I247" s="40"/>
      <c r="J247" s="35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4"/>
      <c r="AI247" s="24"/>
      <c r="AJ247" s="24"/>
      <c r="AK247" s="38">
        <f t="array" ref="AK247">IF(F247=1,SUM((ROW(M0)=ROW(AK247))*(M0+M1_+M2_+M3_+M4_+M5_+M6_+M7_+M8_+M9_+M10_+M11_+M12_+M13_+M14_+M15_+M16_+M17_+M18_+M19_+M20_+M21_+M22_+M23_+M24_+M25_)),0)</f>
        <v>0</v>
      </c>
      <c r="AL247" s="27">
        <f>TableCosts[[#This Row],[N_Direct]]</f>
        <v>0</v>
      </c>
      <c r="AN247" s="7" t="str">
        <f t="shared" ref="AN247:AN310" si="51">IF(F247=1,B247,"")</f>
        <v/>
      </c>
      <c r="AO247" s="7" t="str">
        <f t="shared" si="42"/>
        <v/>
      </c>
      <c r="AP247" s="7" t="str">
        <f t="shared" ref="AP247:AP310" si="52">IF(F247=1,E247,"")</f>
        <v/>
      </c>
      <c r="AQ247" s="7" t="str">
        <f t="shared" si="43"/>
        <v/>
      </c>
      <c r="AR247" s="7" t="str">
        <f t="shared" ref="AR247:AR310" si="53">IF(F247=1,G247,"")</f>
        <v/>
      </c>
      <c r="AS247" s="7">
        <f t="shared" si="44"/>
        <v>0</v>
      </c>
      <c r="AT247" s="17">
        <f>TableCosts[[#This Row],[N_Amount]]*TableCosts[[#This Row],[N_Tariff]]*TableCosts[[#This Row],[N_ItemsCount]]</f>
        <v>0</v>
      </c>
      <c r="AU247" s="17">
        <f>IF(F247=1,IF(TableCosts[[#This Row],[N_Kateg]]="interné práce",TableCosts[[#This Row],[N_Amount]]*8*PAR_SGA_PERHOUR,0),0)</f>
        <v>0</v>
      </c>
      <c r="AV247" s="17">
        <f>SUM(TableCosts[[#This Row],[N_Direct]:[N_SGA]])</f>
        <v>0</v>
      </c>
      <c r="AW247" s="7">
        <f>IF(F247=1,IF(D247="",NA(),VLOOKUP(C247&amp;TableCosts[[#This Row],[Calc_N_Typ]],TRAN_STRITEMS_LABEL,7,0)),0)</f>
        <v>0</v>
      </c>
      <c r="AX247" s="7">
        <f t="shared" si="45"/>
        <v>0</v>
      </c>
      <c r="AY247" s="57" t="str">
        <f t="shared" si="46"/>
        <v/>
      </c>
      <c r="AZ247" s="57" t="str">
        <f t="shared" si="47"/>
        <v/>
      </c>
      <c r="BA247" s="57" t="str">
        <f>IF(F247=1,IF(TableCosts[[#This Row],[TransferFrom]]=TableCosts[[#This Row],[TranferTo]],0,1),"")</f>
        <v/>
      </c>
      <c r="BB247" s="7">
        <f t="shared" si="48"/>
        <v>0</v>
      </c>
      <c r="BC247" s="7">
        <f t="shared" si="49"/>
        <v>0</v>
      </c>
    </row>
    <row r="248" spans="2:55" s="7" customFormat="1" ht="12.75" x14ac:dyDescent="0.2">
      <c r="B248" s="33"/>
      <c r="C248" s="31"/>
      <c r="D248" s="40"/>
      <c r="E248" s="6" t="str">
        <f>IF(F248=1,IF(ISERROR(TableCosts[[#This Row],[N_Tariff]]),Err_Message1,IF(TableCosts[[#This Row],[N_Tariff]]=0,Err_Message2,VLOOKUP(C248&amp;TableCosts[[#This Row],[Calc_N_Typ]],TRAN_STRITEMS_LABEL,5,FALSE))),"")</f>
        <v/>
      </c>
      <c r="F248" s="6">
        <f t="shared" si="50"/>
        <v>0</v>
      </c>
      <c r="G248" s="6" t="str">
        <f>IF(F248=1,IFERROR(VLOOKUP(E248,Tab_ErrMessage[],2,0),VLOOKUP(C248&amp;TableCosts[[#This Row],[Calc_N_Typ]],TRAN_STRITEMS_LABEL,4,FALSE)),"")</f>
        <v/>
      </c>
      <c r="H248" s="40"/>
      <c r="I248" s="40"/>
      <c r="J248" s="35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4"/>
      <c r="AI248" s="24"/>
      <c r="AJ248" s="24"/>
      <c r="AK248" s="38">
        <f t="array" ref="AK248">IF(F248=1,SUM((ROW(M0)=ROW(AK248))*(M0+M1_+M2_+M3_+M4_+M5_+M6_+M7_+M8_+M9_+M10_+M11_+M12_+M13_+M14_+M15_+M16_+M17_+M18_+M19_+M20_+M21_+M22_+M23_+M24_+M25_)),0)</f>
        <v>0</v>
      </c>
      <c r="AL248" s="27">
        <f>TableCosts[[#This Row],[N_Direct]]</f>
        <v>0</v>
      </c>
      <c r="AN248" s="7" t="str">
        <f t="shared" si="51"/>
        <v/>
      </c>
      <c r="AO248" s="7" t="str">
        <f t="shared" si="42"/>
        <v/>
      </c>
      <c r="AP248" s="7" t="str">
        <f t="shared" si="52"/>
        <v/>
      </c>
      <c r="AQ248" s="7" t="str">
        <f t="shared" si="43"/>
        <v/>
      </c>
      <c r="AR248" s="7" t="str">
        <f t="shared" si="53"/>
        <v/>
      </c>
      <c r="AS248" s="7">
        <f t="shared" si="44"/>
        <v>0</v>
      </c>
      <c r="AT248" s="17">
        <f>TableCosts[[#This Row],[N_Amount]]*TableCosts[[#This Row],[N_Tariff]]*TableCosts[[#This Row],[N_ItemsCount]]</f>
        <v>0</v>
      </c>
      <c r="AU248" s="17">
        <f>IF(F248=1,IF(TableCosts[[#This Row],[N_Kateg]]="interné práce",TableCosts[[#This Row],[N_Amount]]*8*PAR_SGA_PERHOUR,0),0)</f>
        <v>0</v>
      </c>
      <c r="AV248" s="17">
        <f>SUM(TableCosts[[#This Row],[N_Direct]:[N_SGA]])</f>
        <v>0</v>
      </c>
      <c r="AW248" s="7">
        <f>IF(F248=1,IF(D248="",NA(),VLOOKUP(C248&amp;TableCosts[[#This Row],[Calc_N_Typ]],TRAN_STRITEMS_LABEL,7,0)),0)</f>
        <v>0</v>
      </c>
      <c r="AX248" s="7">
        <f t="shared" si="45"/>
        <v>0</v>
      </c>
      <c r="AY248" s="57" t="str">
        <f t="shared" si="46"/>
        <v/>
      </c>
      <c r="AZ248" s="57" t="str">
        <f t="shared" si="47"/>
        <v/>
      </c>
      <c r="BA248" s="57" t="str">
        <f>IF(F248=1,IF(TableCosts[[#This Row],[TransferFrom]]=TableCosts[[#This Row],[TranferTo]],0,1),"")</f>
        <v/>
      </c>
      <c r="BB248" s="7">
        <f t="shared" si="48"/>
        <v>0</v>
      </c>
      <c r="BC248" s="7">
        <f t="shared" si="49"/>
        <v>0</v>
      </c>
    </row>
    <row r="249" spans="2:55" s="7" customFormat="1" ht="12.75" x14ac:dyDescent="0.2">
      <c r="B249" s="33"/>
      <c r="C249" s="31"/>
      <c r="D249" s="40"/>
      <c r="E249" s="6" t="str">
        <f>IF(F249=1,IF(ISERROR(TableCosts[[#This Row],[N_Tariff]]),Err_Message1,IF(TableCosts[[#This Row],[N_Tariff]]=0,Err_Message2,VLOOKUP(C249&amp;TableCosts[[#This Row],[Calc_N_Typ]],TRAN_STRITEMS_LABEL,5,FALSE))),"")</f>
        <v/>
      </c>
      <c r="F249" s="6">
        <f t="shared" si="50"/>
        <v>0</v>
      </c>
      <c r="G249" s="6" t="str">
        <f>IF(F249=1,IFERROR(VLOOKUP(E249,Tab_ErrMessage[],2,0),VLOOKUP(C249&amp;TableCosts[[#This Row],[Calc_N_Typ]],TRAN_STRITEMS_LABEL,4,FALSE)),"")</f>
        <v/>
      </c>
      <c r="H249" s="40"/>
      <c r="I249" s="40"/>
      <c r="J249" s="35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4"/>
      <c r="AI249" s="24"/>
      <c r="AJ249" s="24"/>
      <c r="AK249" s="38">
        <f t="array" ref="AK249">IF(F249=1,SUM((ROW(M0)=ROW(AK249))*(M0+M1_+M2_+M3_+M4_+M5_+M6_+M7_+M8_+M9_+M10_+M11_+M12_+M13_+M14_+M15_+M16_+M17_+M18_+M19_+M20_+M21_+M22_+M23_+M24_+M25_)),0)</f>
        <v>0</v>
      </c>
      <c r="AL249" s="27">
        <f>TableCosts[[#This Row],[N_Direct]]</f>
        <v>0</v>
      </c>
      <c r="AN249" s="7" t="str">
        <f t="shared" si="51"/>
        <v/>
      </c>
      <c r="AO249" s="7" t="str">
        <f t="shared" si="42"/>
        <v/>
      </c>
      <c r="AP249" s="7" t="str">
        <f t="shared" si="52"/>
        <v/>
      </c>
      <c r="AQ249" s="7" t="str">
        <f t="shared" si="43"/>
        <v/>
      </c>
      <c r="AR249" s="7" t="str">
        <f t="shared" si="53"/>
        <v/>
      </c>
      <c r="AS249" s="7">
        <f t="shared" si="44"/>
        <v>0</v>
      </c>
      <c r="AT249" s="17">
        <f>TableCosts[[#This Row],[N_Amount]]*TableCosts[[#This Row],[N_Tariff]]*TableCosts[[#This Row],[N_ItemsCount]]</f>
        <v>0</v>
      </c>
      <c r="AU249" s="17">
        <f>IF(F249=1,IF(TableCosts[[#This Row],[N_Kateg]]="interné práce",TableCosts[[#This Row],[N_Amount]]*8*PAR_SGA_PERHOUR,0),0)</f>
        <v>0</v>
      </c>
      <c r="AV249" s="17">
        <f>SUM(TableCosts[[#This Row],[N_Direct]:[N_SGA]])</f>
        <v>0</v>
      </c>
      <c r="AW249" s="7">
        <f>IF(F249=1,IF(D249="",NA(),VLOOKUP(C249&amp;TableCosts[[#This Row],[Calc_N_Typ]],TRAN_STRITEMS_LABEL,7,0)),0)</f>
        <v>0</v>
      </c>
      <c r="AX249" s="7">
        <f t="shared" si="45"/>
        <v>0</v>
      </c>
      <c r="AY249" s="57" t="str">
        <f t="shared" si="46"/>
        <v/>
      </c>
      <c r="AZ249" s="57" t="str">
        <f t="shared" si="47"/>
        <v/>
      </c>
      <c r="BA249" s="57" t="str">
        <f>IF(F249=1,IF(TableCosts[[#This Row],[TransferFrom]]=TableCosts[[#This Row],[TranferTo]],0,1),"")</f>
        <v/>
      </c>
      <c r="BB249" s="7">
        <f t="shared" si="48"/>
        <v>0</v>
      </c>
      <c r="BC249" s="7">
        <f t="shared" si="49"/>
        <v>0</v>
      </c>
    </row>
    <row r="250" spans="2:55" s="7" customFormat="1" ht="12.75" x14ac:dyDescent="0.2">
      <c r="B250" s="33"/>
      <c r="C250" s="31"/>
      <c r="D250" s="40"/>
      <c r="E250" s="6" t="str">
        <f>IF(F250=1,IF(ISERROR(TableCosts[[#This Row],[N_Tariff]]),Err_Message1,IF(TableCosts[[#This Row],[N_Tariff]]=0,Err_Message2,VLOOKUP(C250&amp;TableCosts[[#This Row],[Calc_N_Typ]],TRAN_STRITEMS_LABEL,5,FALSE))),"")</f>
        <v/>
      </c>
      <c r="F250" s="6">
        <f t="shared" si="50"/>
        <v>0</v>
      </c>
      <c r="G250" s="6" t="str">
        <f>IF(F250=1,IFERROR(VLOOKUP(E250,Tab_ErrMessage[],2,0),VLOOKUP(C250&amp;TableCosts[[#This Row],[Calc_N_Typ]],TRAN_STRITEMS_LABEL,4,FALSE)),"")</f>
        <v/>
      </c>
      <c r="H250" s="40"/>
      <c r="I250" s="40"/>
      <c r="J250" s="35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4"/>
      <c r="AI250" s="24"/>
      <c r="AJ250" s="24"/>
      <c r="AK250" s="38">
        <f t="array" ref="AK250">IF(F250=1,SUM((ROW(M0)=ROW(AK250))*(M0+M1_+M2_+M3_+M4_+M5_+M6_+M7_+M8_+M9_+M10_+M11_+M12_+M13_+M14_+M15_+M16_+M17_+M18_+M19_+M20_+M21_+M22_+M23_+M24_+M25_)),0)</f>
        <v>0</v>
      </c>
      <c r="AL250" s="27">
        <f>TableCosts[[#This Row],[N_Direct]]</f>
        <v>0</v>
      </c>
      <c r="AN250" s="7" t="str">
        <f t="shared" si="51"/>
        <v/>
      </c>
      <c r="AO250" s="7" t="str">
        <f t="shared" si="42"/>
        <v/>
      </c>
      <c r="AP250" s="7" t="str">
        <f t="shared" si="52"/>
        <v/>
      </c>
      <c r="AQ250" s="7" t="str">
        <f t="shared" si="43"/>
        <v/>
      </c>
      <c r="AR250" s="7" t="str">
        <f t="shared" si="53"/>
        <v/>
      </c>
      <c r="AS250" s="7">
        <f t="shared" si="44"/>
        <v>0</v>
      </c>
      <c r="AT250" s="17">
        <f>TableCosts[[#This Row],[N_Amount]]*TableCosts[[#This Row],[N_Tariff]]*TableCosts[[#This Row],[N_ItemsCount]]</f>
        <v>0</v>
      </c>
      <c r="AU250" s="17">
        <f>IF(F250=1,IF(TableCosts[[#This Row],[N_Kateg]]="interné práce",TableCosts[[#This Row],[N_Amount]]*8*PAR_SGA_PERHOUR,0),0)</f>
        <v>0</v>
      </c>
      <c r="AV250" s="17">
        <f>SUM(TableCosts[[#This Row],[N_Direct]:[N_SGA]])</f>
        <v>0</v>
      </c>
      <c r="AW250" s="7">
        <f>IF(F250=1,IF(D250="",NA(),VLOOKUP(C250&amp;TableCosts[[#This Row],[Calc_N_Typ]],TRAN_STRITEMS_LABEL,7,0)),0)</f>
        <v>0</v>
      </c>
      <c r="AX250" s="7">
        <f t="shared" si="45"/>
        <v>0</v>
      </c>
      <c r="AY250" s="57" t="str">
        <f t="shared" si="46"/>
        <v/>
      </c>
      <c r="AZ250" s="57" t="str">
        <f t="shared" si="47"/>
        <v/>
      </c>
      <c r="BA250" s="57" t="str">
        <f>IF(F250=1,IF(TableCosts[[#This Row],[TransferFrom]]=TableCosts[[#This Row],[TranferTo]],0,1),"")</f>
        <v/>
      </c>
      <c r="BB250" s="7">
        <f t="shared" si="48"/>
        <v>0</v>
      </c>
      <c r="BC250" s="7">
        <f t="shared" si="49"/>
        <v>0</v>
      </c>
    </row>
    <row r="251" spans="2:55" s="7" customFormat="1" ht="12.75" x14ac:dyDescent="0.2">
      <c r="B251" s="33"/>
      <c r="C251" s="31"/>
      <c r="D251" s="40"/>
      <c r="E251" s="6" t="str">
        <f>IF(F251=1,IF(ISERROR(TableCosts[[#This Row],[N_Tariff]]),Err_Message1,IF(TableCosts[[#This Row],[N_Tariff]]=0,Err_Message2,VLOOKUP(C251&amp;TableCosts[[#This Row],[Calc_N_Typ]],TRAN_STRITEMS_LABEL,5,FALSE))),"")</f>
        <v/>
      </c>
      <c r="F251" s="6">
        <f t="shared" si="50"/>
        <v>0</v>
      </c>
      <c r="G251" s="6" t="str">
        <f>IF(F251=1,IFERROR(VLOOKUP(E251,Tab_ErrMessage[],2,0),VLOOKUP(C251&amp;TableCosts[[#This Row],[Calc_N_Typ]],TRAN_STRITEMS_LABEL,4,FALSE)),"")</f>
        <v/>
      </c>
      <c r="H251" s="40"/>
      <c r="I251" s="40"/>
      <c r="J251" s="35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4"/>
      <c r="AI251" s="24"/>
      <c r="AJ251" s="24"/>
      <c r="AK251" s="38">
        <f t="array" ref="AK251">IF(F251=1,SUM((ROW(M0)=ROW(AK251))*(M0+M1_+M2_+M3_+M4_+M5_+M6_+M7_+M8_+M9_+M10_+M11_+M12_+M13_+M14_+M15_+M16_+M17_+M18_+M19_+M20_+M21_+M22_+M23_+M24_+M25_)),0)</f>
        <v>0</v>
      </c>
      <c r="AL251" s="27">
        <f>TableCosts[[#This Row],[N_Direct]]</f>
        <v>0</v>
      </c>
      <c r="AN251" s="7" t="str">
        <f t="shared" si="51"/>
        <v/>
      </c>
      <c r="AO251" s="7" t="str">
        <f t="shared" si="42"/>
        <v/>
      </c>
      <c r="AP251" s="7" t="str">
        <f t="shared" si="52"/>
        <v/>
      </c>
      <c r="AQ251" s="7" t="str">
        <f t="shared" si="43"/>
        <v/>
      </c>
      <c r="AR251" s="7" t="str">
        <f t="shared" si="53"/>
        <v/>
      </c>
      <c r="AS251" s="7">
        <f t="shared" si="44"/>
        <v>0</v>
      </c>
      <c r="AT251" s="17">
        <f>TableCosts[[#This Row],[N_Amount]]*TableCosts[[#This Row],[N_Tariff]]*TableCosts[[#This Row],[N_ItemsCount]]</f>
        <v>0</v>
      </c>
      <c r="AU251" s="17">
        <f>IF(F251=1,IF(TableCosts[[#This Row],[N_Kateg]]="interné práce",TableCosts[[#This Row],[N_Amount]]*8*PAR_SGA_PERHOUR,0),0)</f>
        <v>0</v>
      </c>
      <c r="AV251" s="17">
        <f>SUM(TableCosts[[#This Row],[N_Direct]:[N_SGA]])</f>
        <v>0</v>
      </c>
      <c r="AW251" s="7">
        <f>IF(F251=1,IF(D251="",NA(),VLOOKUP(C251&amp;TableCosts[[#This Row],[Calc_N_Typ]],TRAN_STRITEMS_LABEL,7,0)),0)</f>
        <v>0</v>
      </c>
      <c r="AX251" s="7">
        <f t="shared" si="45"/>
        <v>0</v>
      </c>
      <c r="AY251" s="57" t="str">
        <f t="shared" si="46"/>
        <v/>
      </c>
      <c r="AZ251" s="57" t="str">
        <f t="shared" si="47"/>
        <v/>
      </c>
      <c r="BA251" s="57" t="str">
        <f>IF(F251=1,IF(TableCosts[[#This Row],[TransferFrom]]=TableCosts[[#This Row],[TranferTo]],0,1),"")</f>
        <v/>
      </c>
      <c r="BB251" s="7">
        <f t="shared" si="48"/>
        <v>0</v>
      </c>
      <c r="BC251" s="7">
        <f t="shared" si="49"/>
        <v>0</v>
      </c>
    </row>
    <row r="252" spans="2:55" s="7" customFormat="1" ht="12.75" x14ac:dyDescent="0.2">
      <c r="B252" s="33"/>
      <c r="C252" s="31"/>
      <c r="D252" s="40"/>
      <c r="E252" s="6" t="str">
        <f>IF(F252=1,IF(ISERROR(TableCosts[[#This Row],[N_Tariff]]),Err_Message1,IF(TableCosts[[#This Row],[N_Tariff]]=0,Err_Message2,VLOOKUP(C252&amp;TableCosts[[#This Row],[Calc_N_Typ]],TRAN_STRITEMS_LABEL,5,FALSE))),"")</f>
        <v/>
      </c>
      <c r="F252" s="6">
        <f t="shared" si="50"/>
        <v>0</v>
      </c>
      <c r="G252" s="6" t="str">
        <f>IF(F252=1,IFERROR(VLOOKUP(E252,Tab_ErrMessage[],2,0),VLOOKUP(C252&amp;TableCosts[[#This Row],[Calc_N_Typ]],TRAN_STRITEMS_LABEL,4,FALSE)),"")</f>
        <v/>
      </c>
      <c r="H252" s="40"/>
      <c r="I252" s="40"/>
      <c r="J252" s="35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4"/>
      <c r="AI252" s="24"/>
      <c r="AJ252" s="24"/>
      <c r="AK252" s="38">
        <f t="array" ref="AK252">IF(F252=1,SUM((ROW(M0)=ROW(AK252))*(M0+M1_+M2_+M3_+M4_+M5_+M6_+M7_+M8_+M9_+M10_+M11_+M12_+M13_+M14_+M15_+M16_+M17_+M18_+M19_+M20_+M21_+M22_+M23_+M24_+M25_)),0)</f>
        <v>0</v>
      </c>
      <c r="AL252" s="27">
        <f>TableCosts[[#This Row],[N_Direct]]</f>
        <v>0</v>
      </c>
      <c r="AN252" s="7" t="str">
        <f t="shared" si="51"/>
        <v/>
      </c>
      <c r="AO252" s="7" t="str">
        <f t="shared" si="42"/>
        <v/>
      </c>
      <c r="AP252" s="7" t="str">
        <f t="shared" si="52"/>
        <v/>
      </c>
      <c r="AQ252" s="7" t="str">
        <f t="shared" si="43"/>
        <v/>
      </c>
      <c r="AR252" s="7" t="str">
        <f t="shared" si="53"/>
        <v/>
      </c>
      <c r="AS252" s="7">
        <f t="shared" si="44"/>
        <v>0</v>
      </c>
      <c r="AT252" s="17">
        <f>TableCosts[[#This Row],[N_Amount]]*TableCosts[[#This Row],[N_Tariff]]*TableCosts[[#This Row],[N_ItemsCount]]</f>
        <v>0</v>
      </c>
      <c r="AU252" s="17">
        <f>IF(F252=1,IF(TableCosts[[#This Row],[N_Kateg]]="interné práce",TableCosts[[#This Row],[N_Amount]]*8*PAR_SGA_PERHOUR,0),0)</f>
        <v>0</v>
      </c>
      <c r="AV252" s="17">
        <f>SUM(TableCosts[[#This Row],[N_Direct]:[N_SGA]])</f>
        <v>0</v>
      </c>
      <c r="AW252" s="7">
        <f>IF(F252=1,IF(D252="",NA(),VLOOKUP(C252&amp;TableCosts[[#This Row],[Calc_N_Typ]],TRAN_STRITEMS_LABEL,7,0)),0)</f>
        <v>0</v>
      </c>
      <c r="AX252" s="7">
        <f t="shared" si="45"/>
        <v>0</v>
      </c>
      <c r="AY252" s="57" t="str">
        <f t="shared" si="46"/>
        <v/>
      </c>
      <c r="AZ252" s="57" t="str">
        <f t="shared" si="47"/>
        <v/>
      </c>
      <c r="BA252" s="57" t="str">
        <f>IF(F252=1,IF(TableCosts[[#This Row],[TransferFrom]]=TableCosts[[#This Row],[TranferTo]],0,1),"")</f>
        <v/>
      </c>
      <c r="BB252" s="7">
        <f t="shared" si="48"/>
        <v>0</v>
      </c>
      <c r="BC252" s="7">
        <f t="shared" si="49"/>
        <v>0</v>
      </c>
    </row>
    <row r="253" spans="2:55" s="7" customFormat="1" ht="12.75" x14ac:dyDescent="0.2">
      <c r="B253" s="33"/>
      <c r="C253" s="31"/>
      <c r="D253" s="40"/>
      <c r="E253" s="6" t="str">
        <f>IF(F253=1,IF(ISERROR(TableCosts[[#This Row],[N_Tariff]]),Err_Message1,IF(TableCosts[[#This Row],[N_Tariff]]=0,Err_Message2,VLOOKUP(C253&amp;TableCosts[[#This Row],[Calc_N_Typ]],TRAN_STRITEMS_LABEL,5,FALSE))),"")</f>
        <v/>
      </c>
      <c r="F253" s="6">
        <f t="shared" si="50"/>
        <v>0</v>
      </c>
      <c r="G253" s="6" t="str">
        <f>IF(F253=1,IFERROR(VLOOKUP(E253,Tab_ErrMessage[],2,0),VLOOKUP(C253&amp;TableCosts[[#This Row],[Calc_N_Typ]],TRAN_STRITEMS_LABEL,4,FALSE)),"")</f>
        <v/>
      </c>
      <c r="H253" s="40"/>
      <c r="I253" s="40"/>
      <c r="J253" s="35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4"/>
      <c r="AI253" s="24"/>
      <c r="AJ253" s="24"/>
      <c r="AK253" s="38">
        <f t="array" ref="AK253">IF(F253=1,SUM((ROW(M0)=ROW(AK253))*(M0+M1_+M2_+M3_+M4_+M5_+M6_+M7_+M8_+M9_+M10_+M11_+M12_+M13_+M14_+M15_+M16_+M17_+M18_+M19_+M20_+M21_+M22_+M23_+M24_+M25_)),0)</f>
        <v>0</v>
      </c>
      <c r="AL253" s="27">
        <f>TableCosts[[#This Row],[N_Direct]]</f>
        <v>0</v>
      </c>
      <c r="AN253" s="7" t="str">
        <f t="shared" si="51"/>
        <v/>
      </c>
      <c r="AO253" s="7" t="str">
        <f t="shared" si="42"/>
        <v/>
      </c>
      <c r="AP253" s="7" t="str">
        <f t="shared" si="52"/>
        <v/>
      </c>
      <c r="AQ253" s="7" t="str">
        <f t="shared" si="43"/>
        <v/>
      </c>
      <c r="AR253" s="7" t="str">
        <f t="shared" si="53"/>
        <v/>
      </c>
      <c r="AS253" s="7">
        <f t="shared" si="44"/>
        <v>0</v>
      </c>
      <c r="AT253" s="17">
        <f>TableCosts[[#This Row],[N_Amount]]*TableCosts[[#This Row],[N_Tariff]]*TableCosts[[#This Row],[N_ItemsCount]]</f>
        <v>0</v>
      </c>
      <c r="AU253" s="17">
        <f>IF(F253=1,IF(TableCosts[[#This Row],[N_Kateg]]="interné práce",TableCosts[[#This Row],[N_Amount]]*8*PAR_SGA_PERHOUR,0),0)</f>
        <v>0</v>
      </c>
      <c r="AV253" s="17">
        <f>SUM(TableCosts[[#This Row],[N_Direct]:[N_SGA]])</f>
        <v>0</v>
      </c>
      <c r="AW253" s="7">
        <f>IF(F253=1,IF(D253="",NA(),VLOOKUP(C253&amp;TableCosts[[#This Row],[Calc_N_Typ]],TRAN_STRITEMS_LABEL,7,0)),0)</f>
        <v>0</v>
      </c>
      <c r="AX253" s="7">
        <f t="shared" si="45"/>
        <v>0</v>
      </c>
      <c r="AY253" s="57" t="str">
        <f t="shared" si="46"/>
        <v/>
      </c>
      <c r="AZ253" s="57" t="str">
        <f t="shared" si="47"/>
        <v/>
      </c>
      <c r="BA253" s="57" t="str">
        <f>IF(F253=1,IF(TableCosts[[#This Row],[TransferFrom]]=TableCosts[[#This Row],[TranferTo]],0,1),"")</f>
        <v/>
      </c>
      <c r="BB253" s="7">
        <f t="shared" si="48"/>
        <v>0</v>
      </c>
      <c r="BC253" s="7">
        <f t="shared" si="49"/>
        <v>0</v>
      </c>
    </row>
    <row r="254" spans="2:55" s="7" customFormat="1" ht="12.75" x14ac:dyDescent="0.2">
      <c r="B254" s="33"/>
      <c r="C254" s="31"/>
      <c r="D254" s="40"/>
      <c r="E254" s="6" t="str">
        <f>IF(F254=1,IF(ISERROR(TableCosts[[#This Row],[N_Tariff]]),Err_Message1,IF(TableCosts[[#This Row],[N_Tariff]]=0,Err_Message2,VLOOKUP(C254&amp;TableCosts[[#This Row],[Calc_N_Typ]],TRAN_STRITEMS_LABEL,5,FALSE))),"")</f>
        <v/>
      </c>
      <c r="F254" s="6">
        <f t="shared" si="50"/>
        <v>0</v>
      </c>
      <c r="G254" s="6" t="str">
        <f>IF(F254=1,IFERROR(VLOOKUP(E254,Tab_ErrMessage[],2,0),VLOOKUP(C254&amp;TableCosts[[#This Row],[Calc_N_Typ]],TRAN_STRITEMS_LABEL,4,FALSE)),"")</f>
        <v/>
      </c>
      <c r="H254" s="40"/>
      <c r="I254" s="40"/>
      <c r="J254" s="35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4"/>
      <c r="AI254" s="24"/>
      <c r="AJ254" s="24"/>
      <c r="AK254" s="38">
        <f t="array" ref="AK254">IF(F254=1,SUM((ROW(M0)=ROW(AK254))*(M0+M1_+M2_+M3_+M4_+M5_+M6_+M7_+M8_+M9_+M10_+M11_+M12_+M13_+M14_+M15_+M16_+M17_+M18_+M19_+M20_+M21_+M22_+M23_+M24_+M25_)),0)</f>
        <v>0</v>
      </c>
      <c r="AL254" s="27">
        <f>TableCosts[[#This Row],[N_Direct]]</f>
        <v>0</v>
      </c>
      <c r="AN254" s="7" t="str">
        <f t="shared" si="51"/>
        <v/>
      </c>
      <c r="AO254" s="7" t="str">
        <f t="shared" si="42"/>
        <v/>
      </c>
      <c r="AP254" s="7" t="str">
        <f t="shared" si="52"/>
        <v/>
      </c>
      <c r="AQ254" s="7" t="str">
        <f t="shared" si="43"/>
        <v/>
      </c>
      <c r="AR254" s="7" t="str">
        <f t="shared" si="53"/>
        <v/>
      </c>
      <c r="AS254" s="7">
        <f t="shared" si="44"/>
        <v>0</v>
      </c>
      <c r="AT254" s="17">
        <f>TableCosts[[#This Row],[N_Amount]]*TableCosts[[#This Row],[N_Tariff]]*TableCosts[[#This Row],[N_ItemsCount]]</f>
        <v>0</v>
      </c>
      <c r="AU254" s="17">
        <f>IF(F254=1,IF(TableCosts[[#This Row],[N_Kateg]]="interné práce",TableCosts[[#This Row],[N_Amount]]*8*PAR_SGA_PERHOUR,0),0)</f>
        <v>0</v>
      </c>
      <c r="AV254" s="17">
        <f>SUM(TableCosts[[#This Row],[N_Direct]:[N_SGA]])</f>
        <v>0</v>
      </c>
      <c r="AW254" s="7">
        <f>IF(F254=1,IF(D254="",NA(),VLOOKUP(C254&amp;TableCosts[[#This Row],[Calc_N_Typ]],TRAN_STRITEMS_LABEL,7,0)),0)</f>
        <v>0</v>
      </c>
      <c r="AX254" s="7">
        <f t="shared" si="45"/>
        <v>0</v>
      </c>
      <c r="AY254" s="57" t="str">
        <f t="shared" si="46"/>
        <v/>
      </c>
      <c r="AZ254" s="57" t="str">
        <f t="shared" si="47"/>
        <v/>
      </c>
      <c r="BA254" s="57" t="str">
        <f>IF(F254=1,IF(TableCosts[[#This Row],[TransferFrom]]=TableCosts[[#This Row],[TranferTo]],0,1),"")</f>
        <v/>
      </c>
      <c r="BB254" s="7">
        <f t="shared" si="48"/>
        <v>0</v>
      </c>
      <c r="BC254" s="7">
        <f t="shared" si="49"/>
        <v>0</v>
      </c>
    </row>
    <row r="255" spans="2:55" s="7" customFormat="1" ht="12.75" x14ac:dyDescent="0.2">
      <c r="B255" s="33"/>
      <c r="C255" s="31"/>
      <c r="D255" s="40"/>
      <c r="E255" s="6" t="str">
        <f>IF(F255=1,IF(ISERROR(TableCosts[[#This Row],[N_Tariff]]),Err_Message1,IF(TableCosts[[#This Row],[N_Tariff]]=0,Err_Message2,VLOOKUP(C255&amp;TableCosts[[#This Row],[Calc_N_Typ]],TRAN_STRITEMS_LABEL,5,FALSE))),"")</f>
        <v/>
      </c>
      <c r="F255" s="6">
        <f t="shared" si="50"/>
        <v>0</v>
      </c>
      <c r="G255" s="6" t="str">
        <f>IF(F255=1,IFERROR(VLOOKUP(E255,Tab_ErrMessage[],2,0),VLOOKUP(C255&amp;TableCosts[[#This Row],[Calc_N_Typ]],TRAN_STRITEMS_LABEL,4,FALSE)),"")</f>
        <v/>
      </c>
      <c r="H255" s="40"/>
      <c r="I255" s="40"/>
      <c r="J255" s="35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4"/>
      <c r="AI255" s="24"/>
      <c r="AJ255" s="24"/>
      <c r="AK255" s="38">
        <f t="array" ref="AK255">IF(F255=1,SUM((ROW(M0)=ROW(AK255))*(M0+M1_+M2_+M3_+M4_+M5_+M6_+M7_+M8_+M9_+M10_+M11_+M12_+M13_+M14_+M15_+M16_+M17_+M18_+M19_+M20_+M21_+M22_+M23_+M24_+M25_)),0)</f>
        <v>0</v>
      </c>
      <c r="AL255" s="27">
        <f>TableCosts[[#This Row],[N_Direct]]</f>
        <v>0</v>
      </c>
      <c r="AN255" s="7" t="str">
        <f t="shared" si="51"/>
        <v/>
      </c>
      <c r="AO255" s="7" t="str">
        <f t="shared" si="42"/>
        <v/>
      </c>
      <c r="AP255" s="7" t="str">
        <f t="shared" si="52"/>
        <v/>
      </c>
      <c r="AQ255" s="7" t="str">
        <f t="shared" si="43"/>
        <v/>
      </c>
      <c r="AR255" s="7" t="str">
        <f t="shared" si="53"/>
        <v/>
      </c>
      <c r="AS255" s="7">
        <f t="shared" si="44"/>
        <v>0</v>
      </c>
      <c r="AT255" s="17">
        <f>TableCosts[[#This Row],[N_Amount]]*TableCosts[[#This Row],[N_Tariff]]*TableCosts[[#This Row],[N_ItemsCount]]</f>
        <v>0</v>
      </c>
      <c r="AU255" s="17">
        <f>IF(F255=1,IF(TableCosts[[#This Row],[N_Kateg]]="interné práce",TableCosts[[#This Row],[N_Amount]]*8*PAR_SGA_PERHOUR,0),0)</f>
        <v>0</v>
      </c>
      <c r="AV255" s="17">
        <f>SUM(TableCosts[[#This Row],[N_Direct]:[N_SGA]])</f>
        <v>0</v>
      </c>
      <c r="AW255" s="7">
        <f>IF(F255=1,IF(D255="",NA(),VLOOKUP(C255&amp;TableCosts[[#This Row],[Calc_N_Typ]],TRAN_STRITEMS_LABEL,7,0)),0)</f>
        <v>0</v>
      </c>
      <c r="AX255" s="7">
        <f t="shared" si="45"/>
        <v>0</v>
      </c>
      <c r="AY255" s="57" t="str">
        <f t="shared" si="46"/>
        <v/>
      </c>
      <c r="AZ255" s="57" t="str">
        <f t="shared" si="47"/>
        <v/>
      </c>
      <c r="BA255" s="57" t="str">
        <f>IF(F255=1,IF(TableCosts[[#This Row],[TransferFrom]]=TableCosts[[#This Row],[TranferTo]],0,1),"")</f>
        <v/>
      </c>
      <c r="BB255" s="7">
        <f t="shared" si="48"/>
        <v>0</v>
      </c>
      <c r="BC255" s="7">
        <f t="shared" si="49"/>
        <v>0</v>
      </c>
    </row>
    <row r="256" spans="2:55" s="7" customFormat="1" ht="12.75" x14ac:dyDescent="0.2">
      <c r="B256" s="33"/>
      <c r="C256" s="31"/>
      <c r="D256" s="40"/>
      <c r="E256" s="6" t="str">
        <f>IF(F256=1,IF(ISERROR(TableCosts[[#This Row],[N_Tariff]]),Err_Message1,IF(TableCosts[[#This Row],[N_Tariff]]=0,Err_Message2,VLOOKUP(C256&amp;TableCosts[[#This Row],[Calc_N_Typ]],TRAN_STRITEMS_LABEL,5,FALSE))),"")</f>
        <v/>
      </c>
      <c r="F256" s="6">
        <f t="shared" si="50"/>
        <v>0</v>
      </c>
      <c r="G256" s="6" t="str">
        <f>IF(F256=1,IFERROR(VLOOKUP(E256,Tab_ErrMessage[],2,0),VLOOKUP(C256&amp;TableCosts[[#This Row],[Calc_N_Typ]],TRAN_STRITEMS_LABEL,4,FALSE)),"")</f>
        <v/>
      </c>
      <c r="H256" s="40"/>
      <c r="I256" s="40"/>
      <c r="J256" s="35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4"/>
      <c r="AI256" s="24"/>
      <c r="AJ256" s="24"/>
      <c r="AK256" s="38">
        <f t="array" ref="AK256">IF(F256=1,SUM((ROW(M0)=ROW(AK256))*(M0+M1_+M2_+M3_+M4_+M5_+M6_+M7_+M8_+M9_+M10_+M11_+M12_+M13_+M14_+M15_+M16_+M17_+M18_+M19_+M20_+M21_+M22_+M23_+M24_+M25_)),0)</f>
        <v>0</v>
      </c>
      <c r="AL256" s="27">
        <f>TableCosts[[#This Row],[N_Direct]]</f>
        <v>0</v>
      </c>
      <c r="AN256" s="7" t="str">
        <f t="shared" si="51"/>
        <v/>
      </c>
      <c r="AO256" s="7" t="str">
        <f t="shared" si="42"/>
        <v/>
      </c>
      <c r="AP256" s="7" t="str">
        <f t="shared" si="52"/>
        <v/>
      </c>
      <c r="AQ256" s="7" t="str">
        <f t="shared" si="43"/>
        <v/>
      </c>
      <c r="AR256" s="7" t="str">
        <f t="shared" si="53"/>
        <v/>
      </c>
      <c r="AS256" s="7">
        <f t="shared" si="44"/>
        <v>0</v>
      </c>
      <c r="AT256" s="17">
        <f>TableCosts[[#This Row],[N_Amount]]*TableCosts[[#This Row],[N_Tariff]]*TableCosts[[#This Row],[N_ItemsCount]]</f>
        <v>0</v>
      </c>
      <c r="AU256" s="17">
        <f>IF(F256=1,IF(TableCosts[[#This Row],[N_Kateg]]="interné práce",TableCosts[[#This Row],[N_Amount]]*8*PAR_SGA_PERHOUR,0),0)</f>
        <v>0</v>
      </c>
      <c r="AV256" s="17">
        <f>SUM(TableCosts[[#This Row],[N_Direct]:[N_SGA]])</f>
        <v>0</v>
      </c>
      <c r="AW256" s="7">
        <f>IF(F256=1,IF(D256="",NA(),VLOOKUP(C256&amp;TableCosts[[#This Row],[Calc_N_Typ]],TRAN_STRITEMS_LABEL,7,0)),0)</f>
        <v>0</v>
      </c>
      <c r="AX256" s="7">
        <f t="shared" si="45"/>
        <v>0</v>
      </c>
      <c r="AY256" s="57" t="str">
        <f t="shared" si="46"/>
        <v/>
      </c>
      <c r="AZ256" s="57" t="str">
        <f t="shared" si="47"/>
        <v/>
      </c>
      <c r="BA256" s="57" t="str">
        <f>IF(F256=1,IF(TableCosts[[#This Row],[TransferFrom]]=TableCosts[[#This Row],[TranferTo]],0,1),"")</f>
        <v/>
      </c>
      <c r="BB256" s="7">
        <f t="shared" si="48"/>
        <v>0</v>
      </c>
      <c r="BC256" s="7">
        <f t="shared" si="49"/>
        <v>0</v>
      </c>
    </row>
    <row r="257" spans="2:55" s="7" customFormat="1" ht="12.75" x14ac:dyDescent="0.2">
      <c r="B257" s="33"/>
      <c r="C257" s="31"/>
      <c r="D257" s="40"/>
      <c r="E257" s="6" t="str">
        <f>IF(F257=1,IF(ISERROR(TableCosts[[#This Row],[N_Tariff]]),Err_Message1,IF(TableCosts[[#This Row],[N_Tariff]]=0,Err_Message2,VLOOKUP(C257&amp;TableCosts[[#This Row],[Calc_N_Typ]],TRAN_STRITEMS_LABEL,5,FALSE))),"")</f>
        <v/>
      </c>
      <c r="F257" s="6">
        <f t="shared" si="50"/>
        <v>0</v>
      </c>
      <c r="G257" s="6" t="str">
        <f>IF(F257=1,IFERROR(VLOOKUP(E257,Tab_ErrMessage[],2,0),VLOOKUP(C257&amp;TableCosts[[#This Row],[Calc_N_Typ]],TRAN_STRITEMS_LABEL,4,FALSE)),"")</f>
        <v/>
      </c>
      <c r="H257" s="40"/>
      <c r="I257" s="40"/>
      <c r="J257" s="35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4"/>
      <c r="AI257" s="24"/>
      <c r="AJ257" s="24"/>
      <c r="AK257" s="38">
        <f t="array" ref="AK257">IF(F257=1,SUM((ROW(M0)=ROW(AK257))*(M0+M1_+M2_+M3_+M4_+M5_+M6_+M7_+M8_+M9_+M10_+M11_+M12_+M13_+M14_+M15_+M16_+M17_+M18_+M19_+M20_+M21_+M22_+M23_+M24_+M25_)),0)</f>
        <v>0</v>
      </c>
      <c r="AL257" s="27">
        <f>TableCosts[[#This Row],[N_Direct]]</f>
        <v>0</v>
      </c>
      <c r="AN257" s="7" t="str">
        <f t="shared" si="51"/>
        <v/>
      </c>
      <c r="AO257" s="7" t="str">
        <f t="shared" si="42"/>
        <v/>
      </c>
      <c r="AP257" s="7" t="str">
        <f t="shared" si="52"/>
        <v/>
      </c>
      <c r="AQ257" s="7" t="str">
        <f t="shared" si="43"/>
        <v/>
      </c>
      <c r="AR257" s="7" t="str">
        <f t="shared" si="53"/>
        <v/>
      </c>
      <c r="AS257" s="7">
        <f t="shared" si="44"/>
        <v>0</v>
      </c>
      <c r="AT257" s="17">
        <f>TableCosts[[#This Row],[N_Amount]]*TableCosts[[#This Row],[N_Tariff]]*TableCosts[[#This Row],[N_ItemsCount]]</f>
        <v>0</v>
      </c>
      <c r="AU257" s="17">
        <f>IF(F257=1,IF(TableCosts[[#This Row],[N_Kateg]]="interné práce",TableCosts[[#This Row],[N_Amount]]*8*PAR_SGA_PERHOUR,0),0)</f>
        <v>0</v>
      </c>
      <c r="AV257" s="17">
        <f>SUM(TableCosts[[#This Row],[N_Direct]:[N_SGA]])</f>
        <v>0</v>
      </c>
      <c r="AW257" s="7">
        <f>IF(F257=1,IF(D257="",NA(),VLOOKUP(C257&amp;TableCosts[[#This Row],[Calc_N_Typ]],TRAN_STRITEMS_LABEL,7,0)),0)</f>
        <v>0</v>
      </c>
      <c r="AX257" s="7">
        <f t="shared" si="45"/>
        <v>0</v>
      </c>
      <c r="AY257" s="57" t="str">
        <f t="shared" si="46"/>
        <v/>
      </c>
      <c r="AZ257" s="57" t="str">
        <f t="shared" si="47"/>
        <v/>
      </c>
      <c r="BA257" s="57" t="str">
        <f>IF(F257=1,IF(TableCosts[[#This Row],[TransferFrom]]=TableCosts[[#This Row],[TranferTo]],0,1),"")</f>
        <v/>
      </c>
      <c r="BB257" s="7">
        <f t="shared" si="48"/>
        <v>0</v>
      </c>
      <c r="BC257" s="7">
        <f t="shared" si="49"/>
        <v>0</v>
      </c>
    </row>
    <row r="258" spans="2:55" s="7" customFormat="1" ht="12.75" x14ac:dyDescent="0.2">
      <c r="B258" s="33"/>
      <c r="C258" s="31"/>
      <c r="D258" s="40"/>
      <c r="E258" s="6" t="str">
        <f>IF(F258=1,IF(ISERROR(TableCosts[[#This Row],[N_Tariff]]),Err_Message1,IF(TableCosts[[#This Row],[N_Tariff]]=0,Err_Message2,VLOOKUP(C258&amp;TableCosts[[#This Row],[Calc_N_Typ]],TRAN_STRITEMS_LABEL,5,FALSE))),"")</f>
        <v/>
      </c>
      <c r="F258" s="6">
        <f t="shared" si="50"/>
        <v>0</v>
      </c>
      <c r="G258" s="6" t="str">
        <f>IF(F258=1,IFERROR(VLOOKUP(E258,Tab_ErrMessage[],2,0),VLOOKUP(C258&amp;TableCosts[[#This Row],[Calc_N_Typ]],TRAN_STRITEMS_LABEL,4,FALSE)),"")</f>
        <v/>
      </c>
      <c r="H258" s="40"/>
      <c r="I258" s="40"/>
      <c r="J258" s="35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4"/>
      <c r="AI258" s="24"/>
      <c r="AJ258" s="24"/>
      <c r="AK258" s="38">
        <f t="array" ref="AK258">IF(F258=1,SUM((ROW(M0)=ROW(AK258))*(M0+M1_+M2_+M3_+M4_+M5_+M6_+M7_+M8_+M9_+M10_+M11_+M12_+M13_+M14_+M15_+M16_+M17_+M18_+M19_+M20_+M21_+M22_+M23_+M24_+M25_)),0)</f>
        <v>0</v>
      </c>
      <c r="AL258" s="27">
        <f>TableCosts[[#This Row],[N_Direct]]</f>
        <v>0</v>
      </c>
      <c r="AN258" s="7" t="str">
        <f t="shared" si="51"/>
        <v/>
      </c>
      <c r="AO258" s="7" t="str">
        <f t="shared" si="42"/>
        <v/>
      </c>
      <c r="AP258" s="7" t="str">
        <f t="shared" si="52"/>
        <v/>
      </c>
      <c r="AQ258" s="7" t="str">
        <f t="shared" si="43"/>
        <v/>
      </c>
      <c r="AR258" s="7" t="str">
        <f t="shared" si="53"/>
        <v/>
      </c>
      <c r="AS258" s="7">
        <f t="shared" si="44"/>
        <v>0</v>
      </c>
      <c r="AT258" s="17">
        <f>TableCosts[[#This Row],[N_Amount]]*TableCosts[[#This Row],[N_Tariff]]*TableCosts[[#This Row],[N_ItemsCount]]</f>
        <v>0</v>
      </c>
      <c r="AU258" s="17">
        <f>IF(F258=1,IF(TableCosts[[#This Row],[N_Kateg]]="interné práce",TableCosts[[#This Row],[N_Amount]]*8*PAR_SGA_PERHOUR,0),0)</f>
        <v>0</v>
      </c>
      <c r="AV258" s="17">
        <f>SUM(TableCosts[[#This Row],[N_Direct]:[N_SGA]])</f>
        <v>0</v>
      </c>
      <c r="AW258" s="7">
        <f>IF(F258=1,IF(D258="",NA(),VLOOKUP(C258&amp;TableCosts[[#This Row],[Calc_N_Typ]],TRAN_STRITEMS_LABEL,7,0)),0)</f>
        <v>0</v>
      </c>
      <c r="AX258" s="7">
        <f t="shared" si="45"/>
        <v>0</v>
      </c>
      <c r="AY258" s="57" t="str">
        <f t="shared" si="46"/>
        <v/>
      </c>
      <c r="AZ258" s="57" t="str">
        <f t="shared" si="47"/>
        <v/>
      </c>
      <c r="BA258" s="57" t="str">
        <f>IF(F258=1,IF(TableCosts[[#This Row],[TransferFrom]]=TableCosts[[#This Row],[TranferTo]],0,1),"")</f>
        <v/>
      </c>
      <c r="BB258" s="7">
        <f t="shared" si="48"/>
        <v>0</v>
      </c>
      <c r="BC258" s="7">
        <f t="shared" si="49"/>
        <v>0</v>
      </c>
    </row>
    <row r="259" spans="2:55" s="7" customFormat="1" ht="12.75" x14ac:dyDescent="0.2">
      <c r="B259" s="33"/>
      <c r="C259" s="31"/>
      <c r="D259" s="40"/>
      <c r="E259" s="6" t="str">
        <f>IF(F259=1,IF(ISERROR(TableCosts[[#This Row],[N_Tariff]]),Err_Message1,IF(TableCosts[[#This Row],[N_Tariff]]=0,Err_Message2,VLOOKUP(C259&amp;TableCosts[[#This Row],[Calc_N_Typ]],TRAN_STRITEMS_LABEL,5,FALSE))),"")</f>
        <v/>
      </c>
      <c r="F259" s="6">
        <f t="shared" si="50"/>
        <v>0</v>
      </c>
      <c r="G259" s="6" t="str">
        <f>IF(F259=1,IFERROR(VLOOKUP(E259,Tab_ErrMessage[],2,0),VLOOKUP(C259&amp;TableCosts[[#This Row],[Calc_N_Typ]],TRAN_STRITEMS_LABEL,4,FALSE)),"")</f>
        <v/>
      </c>
      <c r="H259" s="40"/>
      <c r="I259" s="40"/>
      <c r="J259" s="35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4"/>
      <c r="AI259" s="24"/>
      <c r="AJ259" s="24"/>
      <c r="AK259" s="38">
        <f t="array" ref="AK259">IF(F259=1,SUM((ROW(M0)=ROW(AK259))*(M0+M1_+M2_+M3_+M4_+M5_+M6_+M7_+M8_+M9_+M10_+M11_+M12_+M13_+M14_+M15_+M16_+M17_+M18_+M19_+M20_+M21_+M22_+M23_+M24_+M25_)),0)</f>
        <v>0</v>
      </c>
      <c r="AL259" s="27">
        <f>TableCosts[[#This Row],[N_Direct]]</f>
        <v>0</v>
      </c>
      <c r="AN259" s="7" t="str">
        <f t="shared" si="51"/>
        <v/>
      </c>
      <c r="AO259" s="7" t="str">
        <f t="shared" si="42"/>
        <v/>
      </c>
      <c r="AP259" s="7" t="str">
        <f t="shared" si="52"/>
        <v/>
      </c>
      <c r="AQ259" s="7" t="str">
        <f t="shared" si="43"/>
        <v/>
      </c>
      <c r="AR259" s="7" t="str">
        <f t="shared" si="53"/>
        <v/>
      </c>
      <c r="AS259" s="7">
        <f t="shared" si="44"/>
        <v>0</v>
      </c>
      <c r="AT259" s="17">
        <f>TableCosts[[#This Row],[N_Amount]]*TableCosts[[#This Row],[N_Tariff]]*TableCosts[[#This Row],[N_ItemsCount]]</f>
        <v>0</v>
      </c>
      <c r="AU259" s="17">
        <f>IF(F259=1,IF(TableCosts[[#This Row],[N_Kateg]]="interné práce",TableCosts[[#This Row],[N_Amount]]*8*PAR_SGA_PERHOUR,0),0)</f>
        <v>0</v>
      </c>
      <c r="AV259" s="17">
        <f>SUM(TableCosts[[#This Row],[N_Direct]:[N_SGA]])</f>
        <v>0</v>
      </c>
      <c r="AW259" s="7">
        <f>IF(F259=1,IF(D259="",NA(),VLOOKUP(C259&amp;TableCosts[[#This Row],[Calc_N_Typ]],TRAN_STRITEMS_LABEL,7,0)),0)</f>
        <v>0</v>
      </c>
      <c r="AX259" s="7">
        <f t="shared" si="45"/>
        <v>0</v>
      </c>
      <c r="AY259" s="57" t="str">
        <f t="shared" si="46"/>
        <v/>
      </c>
      <c r="AZ259" s="57" t="str">
        <f t="shared" si="47"/>
        <v/>
      </c>
      <c r="BA259" s="57" t="str">
        <f>IF(F259=1,IF(TableCosts[[#This Row],[TransferFrom]]=TableCosts[[#This Row],[TranferTo]],0,1),"")</f>
        <v/>
      </c>
      <c r="BB259" s="7">
        <f t="shared" si="48"/>
        <v>0</v>
      </c>
      <c r="BC259" s="7">
        <f t="shared" si="49"/>
        <v>0</v>
      </c>
    </row>
    <row r="260" spans="2:55" s="7" customFormat="1" ht="12.75" x14ac:dyDescent="0.2">
      <c r="B260" s="33"/>
      <c r="C260" s="31"/>
      <c r="D260" s="40"/>
      <c r="E260" s="6" t="str">
        <f>IF(F260=1,IF(ISERROR(TableCosts[[#This Row],[N_Tariff]]),Err_Message1,IF(TableCosts[[#This Row],[N_Tariff]]=0,Err_Message2,VLOOKUP(C260&amp;TableCosts[[#This Row],[Calc_N_Typ]],TRAN_STRITEMS_LABEL,5,FALSE))),"")</f>
        <v/>
      </c>
      <c r="F260" s="6">
        <f t="shared" si="50"/>
        <v>0</v>
      </c>
      <c r="G260" s="6" t="str">
        <f>IF(F260=1,IFERROR(VLOOKUP(E260,Tab_ErrMessage[],2,0),VLOOKUP(C260&amp;TableCosts[[#This Row],[Calc_N_Typ]],TRAN_STRITEMS_LABEL,4,FALSE)),"")</f>
        <v/>
      </c>
      <c r="H260" s="40"/>
      <c r="I260" s="40"/>
      <c r="J260" s="35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4"/>
      <c r="AI260" s="24"/>
      <c r="AJ260" s="24"/>
      <c r="AK260" s="38">
        <f t="array" ref="AK260">IF(F260=1,SUM((ROW(M0)=ROW(AK260))*(M0+M1_+M2_+M3_+M4_+M5_+M6_+M7_+M8_+M9_+M10_+M11_+M12_+M13_+M14_+M15_+M16_+M17_+M18_+M19_+M20_+M21_+M22_+M23_+M24_+M25_)),0)</f>
        <v>0</v>
      </c>
      <c r="AL260" s="27">
        <f>TableCosts[[#This Row],[N_Direct]]</f>
        <v>0</v>
      </c>
      <c r="AN260" s="7" t="str">
        <f t="shared" si="51"/>
        <v/>
      </c>
      <c r="AO260" s="7" t="str">
        <f t="shared" si="42"/>
        <v/>
      </c>
      <c r="AP260" s="7" t="str">
        <f t="shared" si="52"/>
        <v/>
      </c>
      <c r="AQ260" s="7" t="str">
        <f t="shared" si="43"/>
        <v/>
      </c>
      <c r="AR260" s="7" t="str">
        <f t="shared" si="53"/>
        <v/>
      </c>
      <c r="AS260" s="7">
        <f t="shared" si="44"/>
        <v>0</v>
      </c>
      <c r="AT260" s="17">
        <f>TableCosts[[#This Row],[N_Amount]]*TableCosts[[#This Row],[N_Tariff]]*TableCosts[[#This Row],[N_ItemsCount]]</f>
        <v>0</v>
      </c>
      <c r="AU260" s="17">
        <f>IF(F260=1,IF(TableCosts[[#This Row],[N_Kateg]]="interné práce",TableCosts[[#This Row],[N_Amount]]*8*PAR_SGA_PERHOUR,0),0)</f>
        <v>0</v>
      </c>
      <c r="AV260" s="17">
        <f>SUM(TableCosts[[#This Row],[N_Direct]:[N_SGA]])</f>
        <v>0</v>
      </c>
      <c r="AW260" s="7">
        <f>IF(F260=1,IF(D260="",NA(),VLOOKUP(C260&amp;TableCosts[[#This Row],[Calc_N_Typ]],TRAN_STRITEMS_LABEL,7,0)),0)</f>
        <v>0</v>
      </c>
      <c r="AX260" s="7">
        <f t="shared" si="45"/>
        <v>0</v>
      </c>
      <c r="AY260" s="57" t="str">
        <f t="shared" si="46"/>
        <v/>
      </c>
      <c r="AZ260" s="57" t="str">
        <f t="shared" si="47"/>
        <v/>
      </c>
      <c r="BA260" s="57" t="str">
        <f>IF(F260=1,IF(TableCosts[[#This Row],[TransferFrom]]=TableCosts[[#This Row],[TranferTo]],0,1),"")</f>
        <v/>
      </c>
      <c r="BB260" s="7">
        <f t="shared" si="48"/>
        <v>0</v>
      </c>
      <c r="BC260" s="7">
        <f t="shared" si="49"/>
        <v>0</v>
      </c>
    </row>
    <row r="261" spans="2:55" s="7" customFormat="1" ht="12.75" x14ac:dyDescent="0.2">
      <c r="B261" s="33"/>
      <c r="C261" s="31"/>
      <c r="D261" s="40"/>
      <c r="E261" s="6" t="str">
        <f>IF(F261=1,IF(ISERROR(TableCosts[[#This Row],[N_Tariff]]),Err_Message1,IF(TableCosts[[#This Row],[N_Tariff]]=0,Err_Message2,VLOOKUP(C261&amp;TableCosts[[#This Row],[Calc_N_Typ]],TRAN_STRITEMS_LABEL,5,FALSE))),"")</f>
        <v/>
      </c>
      <c r="F261" s="6">
        <f t="shared" si="50"/>
        <v>0</v>
      </c>
      <c r="G261" s="6" t="str">
        <f>IF(F261=1,IFERROR(VLOOKUP(E261,Tab_ErrMessage[],2,0),VLOOKUP(C261&amp;TableCosts[[#This Row],[Calc_N_Typ]],TRAN_STRITEMS_LABEL,4,FALSE)),"")</f>
        <v/>
      </c>
      <c r="H261" s="40"/>
      <c r="I261" s="40"/>
      <c r="J261" s="35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4"/>
      <c r="AI261" s="24"/>
      <c r="AJ261" s="24"/>
      <c r="AK261" s="38">
        <f t="array" ref="AK261">IF(F261=1,SUM((ROW(M0)=ROW(AK261))*(M0+M1_+M2_+M3_+M4_+M5_+M6_+M7_+M8_+M9_+M10_+M11_+M12_+M13_+M14_+M15_+M16_+M17_+M18_+M19_+M20_+M21_+M22_+M23_+M24_+M25_)),0)</f>
        <v>0</v>
      </c>
      <c r="AL261" s="27">
        <f>TableCosts[[#This Row],[N_Direct]]</f>
        <v>0</v>
      </c>
      <c r="AN261" s="7" t="str">
        <f t="shared" si="51"/>
        <v/>
      </c>
      <c r="AO261" s="7" t="str">
        <f t="shared" si="42"/>
        <v/>
      </c>
      <c r="AP261" s="7" t="str">
        <f t="shared" si="52"/>
        <v/>
      </c>
      <c r="AQ261" s="7" t="str">
        <f t="shared" si="43"/>
        <v/>
      </c>
      <c r="AR261" s="7" t="str">
        <f t="shared" si="53"/>
        <v/>
      </c>
      <c r="AS261" s="7">
        <f t="shared" si="44"/>
        <v>0</v>
      </c>
      <c r="AT261" s="17">
        <f>TableCosts[[#This Row],[N_Amount]]*TableCosts[[#This Row],[N_Tariff]]*TableCosts[[#This Row],[N_ItemsCount]]</f>
        <v>0</v>
      </c>
      <c r="AU261" s="17">
        <f>IF(F261=1,IF(TableCosts[[#This Row],[N_Kateg]]="interné práce",TableCosts[[#This Row],[N_Amount]]*8*PAR_SGA_PERHOUR,0),0)</f>
        <v>0</v>
      </c>
      <c r="AV261" s="17">
        <f>SUM(TableCosts[[#This Row],[N_Direct]:[N_SGA]])</f>
        <v>0</v>
      </c>
      <c r="AW261" s="7">
        <f>IF(F261=1,IF(D261="",NA(),VLOOKUP(C261&amp;TableCosts[[#This Row],[Calc_N_Typ]],TRAN_STRITEMS_LABEL,7,0)),0)</f>
        <v>0</v>
      </c>
      <c r="AX261" s="7">
        <f t="shared" si="45"/>
        <v>0</v>
      </c>
      <c r="AY261" s="57" t="str">
        <f t="shared" si="46"/>
        <v/>
      </c>
      <c r="AZ261" s="57" t="str">
        <f t="shared" si="47"/>
        <v/>
      </c>
      <c r="BA261" s="57" t="str">
        <f>IF(F261=1,IF(TableCosts[[#This Row],[TransferFrom]]=TableCosts[[#This Row],[TranferTo]],0,1),"")</f>
        <v/>
      </c>
      <c r="BB261" s="7">
        <f t="shared" si="48"/>
        <v>0</v>
      </c>
      <c r="BC261" s="7">
        <f t="shared" si="49"/>
        <v>0</v>
      </c>
    </row>
    <row r="262" spans="2:55" s="7" customFormat="1" ht="12.75" x14ac:dyDescent="0.2">
      <c r="B262" s="33"/>
      <c r="C262" s="31"/>
      <c r="D262" s="40"/>
      <c r="E262" s="6" t="str">
        <f>IF(F262=1,IF(ISERROR(TableCosts[[#This Row],[N_Tariff]]),Err_Message1,IF(TableCosts[[#This Row],[N_Tariff]]=0,Err_Message2,VLOOKUP(C262&amp;TableCosts[[#This Row],[Calc_N_Typ]],TRAN_STRITEMS_LABEL,5,FALSE))),"")</f>
        <v/>
      </c>
      <c r="F262" s="6">
        <f t="shared" si="50"/>
        <v>0</v>
      </c>
      <c r="G262" s="6" t="str">
        <f>IF(F262=1,IFERROR(VLOOKUP(E262,Tab_ErrMessage[],2,0),VLOOKUP(C262&amp;TableCosts[[#This Row],[Calc_N_Typ]],TRAN_STRITEMS_LABEL,4,FALSE)),"")</f>
        <v/>
      </c>
      <c r="H262" s="40"/>
      <c r="I262" s="40"/>
      <c r="J262" s="35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4"/>
      <c r="AI262" s="24"/>
      <c r="AJ262" s="24"/>
      <c r="AK262" s="38">
        <f t="array" ref="AK262">IF(F262=1,SUM((ROW(M0)=ROW(AK262))*(M0+M1_+M2_+M3_+M4_+M5_+M6_+M7_+M8_+M9_+M10_+M11_+M12_+M13_+M14_+M15_+M16_+M17_+M18_+M19_+M20_+M21_+M22_+M23_+M24_+M25_)),0)</f>
        <v>0</v>
      </c>
      <c r="AL262" s="27">
        <f>TableCosts[[#This Row],[N_Direct]]</f>
        <v>0</v>
      </c>
      <c r="AN262" s="7" t="str">
        <f t="shared" si="51"/>
        <v/>
      </c>
      <c r="AO262" s="7" t="str">
        <f t="shared" si="42"/>
        <v/>
      </c>
      <c r="AP262" s="7" t="str">
        <f t="shared" si="52"/>
        <v/>
      </c>
      <c r="AQ262" s="7" t="str">
        <f t="shared" si="43"/>
        <v/>
      </c>
      <c r="AR262" s="7" t="str">
        <f t="shared" si="53"/>
        <v/>
      </c>
      <c r="AS262" s="7">
        <f t="shared" si="44"/>
        <v>0</v>
      </c>
      <c r="AT262" s="17">
        <f>TableCosts[[#This Row],[N_Amount]]*TableCosts[[#This Row],[N_Tariff]]*TableCosts[[#This Row],[N_ItemsCount]]</f>
        <v>0</v>
      </c>
      <c r="AU262" s="17">
        <f>IF(F262=1,IF(TableCosts[[#This Row],[N_Kateg]]="interné práce",TableCosts[[#This Row],[N_Amount]]*8*PAR_SGA_PERHOUR,0),0)</f>
        <v>0</v>
      </c>
      <c r="AV262" s="17">
        <f>SUM(TableCosts[[#This Row],[N_Direct]:[N_SGA]])</f>
        <v>0</v>
      </c>
      <c r="AW262" s="7">
        <f>IF(F262=1,IF(D262="",NA(),VLOOKUP(C262&amp;TableCosts[[#This Row],[Calc_N_Typ]],TRAN_STRITEMS_LABEL,7,0)),0)</f>
        <v>0</v>
      </c>
      <c r="AX262" s="7">
        <f t="shared" si="45"/>
        <v>0</v>
      </c>
      <c r="AY262" s="57" t="str">
        <f t="shared" si="46"/>
        <v/>
      </c>
      <c r="AZ262" s="57" t="str">
        <f t="shared" si="47"/>
        <v/>
      </c>
      <c r="BA262" s="57" t="str">
        <f>IF(F262=1,IF(TableCosts[[#This Row],[TransferFrom]]=TableCosts[[#This Row],[TranferTo]],0,1),"")</f>
        <v/>
      </c>
      <c r="BB262" s="7">
        <f t="shared" si="48"/>
        <v>0</v>
      </c>
      <c r="BC262" s="7">
        <f t="shared" si="49"/>
        <v>0</v>
      </c>
    </row>
    <row r="263" spans="2:55" s="7" customFormat="1" ht="12.75" x14ac:dyDescent="0.2">
      <c r="B263" s="33"/>
      <c r="C263" s="31"/>
      <c r="D263" s="40"/>
      <c r="E263" s="6" t="str">
        <f>IF(F263=1,IF(ISERROR(TableCosts[[#This Row],[N_Tariff]]),Err_Message1,IF(TableCosts[[#This Row],[N_Tariff]]=0,Err_Message2,VLOOKUP(C263&amp;TableCosts[[#This Row],[Calc_N_Typ]],TRAN_STRITEMS_LABEL,5,FALSE))),"")</f>
        <v/>
      </c>
      <c r="F263" s="6">
        <f t="shared" si="50"/>
        <v>0</v>
      </c>
      <c r="G263" s="6" t="str">
        <f>IF(F263=1,IFERROR(VLOOKUP(E263,Tab_ErrMessage[],2,0),VLOOKUP(C263&amp;TableCosts[[#This Row],[Calc_N_Typ]],TRAN_STRITEMS_LABEL,4,FALSE)),"")</f>
        <v/>
      </c>
      <c r="H263" s="40"/>
      <c r="I263" s="40"/>
      <c r="J263" s="35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4"/>
      <c r="AI263" s="24"/>
      <c r="AJ263" s="24"/>
      <c r="AK263" s="38">
        <f t="array" ref="AK263">IF(F263=1,SUM((ROW(M0)=ROW(AK263))*(M0+M1_+M2_+M3_+M4_+M5_+M6_+M7_+M8_+M9_+M10_+M11_+M12_+M13_+M14_+M15_+M16_+M17_+M18_+M19_+M20_+M21_+M22_+M23_+M24_+M25_)),0)</f>
        <v>0</v>
      </c>
      <c r="AL263" s="27">
        <f>TableCosts[[#This Row],[N_Direct]]</f>
        <v>0</v>
      </c>
      <c r="AN263" s="7" t="str">
        <f t="shared" si="51"/>
        <v/>
      </c>
      <c r="AO263" s="7" t="str">
        <f t="shared" ref="AO263:AO326" si="54">IF(F263=1,IF(C263="","",C263),"")</f>
        <v/>
      </c>
      <c r="AP263" s="7" t="str">
        <f t="shared" si="52"/>
        <v/>
      </c>
      <c r="AQ263" s="7" t="str">
        <f t="shared" ref="AQ263:AQ326" si="55">IF(F263=1,IF(OR(D263="realizácia",D263=""),"realizácia",D263),"")</f>
        <v/>
      </c>
      <c r="AR263" s="7" t="str">
        <f t="shared" si="53"/>
        <v/>
      </c>
      <c r="AS263" s="7">
        <f t="shared" ref="AS263:AS326" si="56">IF(F263=1,IF(G263="ks",ROUNDUP(AK263,0),AK263),0)</f>
        <v>0</v>
      </c>
      <c r="AT263" s="17">
        <f>TableCosts[[#This Row],[N_Amount]]*TableCosts[[#This Row],[N_Tariff]]*TableCosts[[#This Row],[N_ItemsCount]]</f>
        <v>0</v>
      </c>
      <c r="AU263" s="17">
        <f>IF(F263=1,IF(TableCosts[[#This Row],[N_Kateg]]="interné práce",TableCosts[[#This Row],[N_Amount]]*8*PAR_SGA_PERHOUR,0),0)</f>
        <v>0</v>
      </c>
      <c r="AV263" s="17">
        <f>SUM(TableCosts[[#This Row],[N_Direct]:[N_SGA]])</f>
        <v>0</v>
      </c>
      <c r="AW263" s="7">
        <f>IF(F263=1,IF(D263="",NA(),VLOOKUP(C263&amp;TableCosts[[#This Row],[Calc_N_Typ]],TRAN_STRITEMS_LABEL,7,0)),0)</f>
        <v>0</v>
      </c>
      <c r="AX263" s="7">
        <f t="shared" ref="AX263:AX326" si="57">IF(F263=1,IF(G263="čld.",8,1),0)</f>
        <v>0</v>
      </c>
      <c r="AY263" s="57" t="str">
        <f t="shared" ref="AY263:AY326" si="58">IF(F263=1,IFERROR(VLOOKUP(B263,IpsLicences,2,0),IF(C263="",Par_Center,C263)),"")</f>
        <v/>
      </c>
      <c r="AZ263" s="57" t="str">
        <f t="shared" ref="AZ263:AZ326" si="59">IF(F263=1,Par_Center,"")</f>
        <v/>
      </c>
      <c r="BA263" s="57" t="str">
        <f>IF(F263=1,IF(TableCosts[[#This Row],[TransferFrom]]=TableCosts[[#This Row],[TranferTo]],0,1),"")</f>
        <v/>
      </c>
      <c r="BB263" s="7">
        <f t="shared" ref="BB263:BB326" si="60">IF(RIGHT(B263,LEN(Par_LabelTravelTime))=Par_LabelTravelTime,LEFT(B263,LEN(B263)-LEN(Par_LabelTravelTime)),B263)</f>
        <v>0</v>
      </c>
      <c r="BC263" s="7">
        <f t="shared" ref="BC263:BC326" si="61">IF(RIGHT(B263,LEN(Par_LabelTravelTime))=Par_LabelTravelTime,1,0)</f>
        <v>0</v>
      </c>
    </row>
    <row r="264" spans="2:55" s="7" customFormat="1" ht="12.75" x14ac:dyDescent="0.2">
      <c r="B264" s="33"/>
      <c r="C264" s="31"/>
      <c r="D264" s="40"/>
      <c r="E264" s="6" t="str">
        <f>IF(F264=1,IF(ISERROR(TableCosts[[#This Row],[N_Tariff]]),Err_Message1,IF(TableCosts[[#This Row],[N_Tariff]]=0,Err_Message2,VLOOKUP(C264&amp;TableCosts[[#This Row],[Calc_N_Typ]],TRAN_STRITEMS_LABEL,5,FALSE))),"")</f>
        <v/>
      </c>
      <c r="F264" s="6">
        <f t="shared" si="50"/>
        <v>0</v>
      </c>
      <c r="G264" s="6" t="str">
        <f>IF(F264=1,IFERROR(VLOOKUP(E264,Tab_ErrMessage[],2,0),VLOOKUP(C264&amp;TableCosts[[#This Row],[Calc_N_Typ]],TRAN_STRITEMS_LABEL,4,FALSE)),"")</f>
        <v/>
      </c>
      <c r="H264" s="40"/>
      <c r="I264" s="40"/>
      <c r="J264" s="35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4"/>
      <c r="AI264" s="24"/>
      <c r="AJ264" s="24"/>
      <c r="AK264" s="38">
        <f t="array" ref="AK264">IF(F264=1,SUM((ROW(M0)=ROW(AK264))*(M0+M1_+M2_+M3_+M4_+M5_+M6_+M7_+M8_+M9_+M10_+M11_+M12_+M13_+M14_+M15_+M16_+M17_+M18_+M19_+M20_+M21_+M22_+M23_+M24_+M25_)),0)</f>
        <v>0</v>
      </c>
      <c r="AL264" s="27">
        <f>TableCosts[[#This Row],[N_Direct]]</f>
        <v>0</v>
      </c>
      <c r="AN264" s="7" t="str">
        <f t="shared" si="51"/>
        <v/>
      </c>
      <c r="AO264" s="7" t="str">
        <f t="shared" si="54"/>
        <v/>
      </c>
      <c r="AP264" s="7" t="str">
        <f t="shared" si="52"/>
        <v/>
      </c>
      <c r="AQ264" s="7" t="str">
        <f t="shared" si="55"/>
        <v/>
      </c>
      <c r="AR264" s="7" t="str">
        <f t="shared" si="53"/>
        <v/>
      </c>
      <c r="AS264" s="7">
        <f t="shared" si="56"/>
        <v>0</v>
      </c>
      <c r="AT264" s="17">
        <f>TableCosts[[#This Row],[N_Amount]]*TableCosts[[#This Row],[N_Tariff]]*TableCosts[[#This Row],[N_ItemsCount]]</f>
        <v>0</v>
      </c>
      <c r="AU264" s="17">
        <f>IF(F264=1,IF(TableCosts[[#This Row],[N_Kateg]]="interné práce",TableCosts[[#This Row],[N_Amount]]*8*PAR_SGA_PERHOUR,0),0)</f>
        <v>0</v>
      </c>
      <c r="AV264" s="17">
        <f>SUM(TableCosts[[#This Row],[N_Direct]:[N_SGA]])</f>
        <v>0</v>
      </c>
      <c r="AW264" s="7">
        <f>IF(F264=1,IF(D264="",NA(),VLOOKUP(C264&amp;TableCosts[[#This Row],[Calc_N_Typ]],TRAN_STRITEMS_LABEL,7,0)),0)</f>
        <v>0</v>
      </c>
      <c r="AX264" s="7">
        <f t="shared" si="57"/>
        <v>0</v>
      </c>
      <c r="AY264" s="57" t="str">
        <f t="shared" si="58"/>
        <v/>
      </c>
      <c r="AZ264" s="57" t="str">
        <f t="shared" si="59"/>
        <v/>
      </c>
      <c r="BA264" s="57" t="str">
        <f>IF(F264=1,IF(TableCosts[[#This Row],[TransferFrom]]=TableCosts[[#This Row],[TranferTo]],0,1),"")</f>
        <v/>
      </c>
      <c r="BB264" s="7">
        <f t="shared" si="60"/>
        <v>0</v>
      </c>
      <c r="BC264" s="7">
        <f t="shared" si="61"/>
        <v>0</v>
      </c>
    </row>
    <row r="265" spans="2:55" s="7" customFormat="1" ht="12.75" x14ac:dyDescent="0.2">
      <c r="B265" s="33"/>
      <c r="C265" s="31"/>
      <c r="D265" s="40"/>
      <c r="E265" s="6" t="str">
        <f>IF(F265=1,IF(ISERROR(TableCosts[[#This Row],[N_Tariff]]),Err_Message1,IF(TableCosts[[#This Row],[N_Tariff]]=0,Err_Message2,VLOOKUP(C265&amp;TableCosts[[#This Row],[Calc_N_Typ]],TRAN_STRITEMS_LABEL,5,FALSE))),"")</f>
        <v/>
      </c>
      <c r="F265" s="6">
        <f t="shared" ref="F265:F328" si="62">IF(B265="",0,IF(LEFT(B265,3)="***",-1,1))</f>
        <v>0</v>
      </c>
      <c r="G265" s="6" t="str">
        <f>IF(F265=1,IFERROR(VLOOKUP(E265,Tab_ErrMessage[],2,0),VLOOKUP(C265&amp;TableCosts[[#This Row],[Calc_N_Typ]],TRAN_STRITEMS_LABEL,4,FALSE)),"")</f>
        <v/>
      </c>
      <c r="H265" s="40"/>
      <c r="I265" s="40"/>
      <c r="J265" s="35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4"/>
      <c r="AI265" s="24"/>
      <c r="AJ265" s="24"/>
      <c r="AK265" s="38">
        <f t="array" ref="AK265">IF(F265=1,SUM((ROW(M0)=ROW(AK265))*(M0+M1_+M2_+M3_+M4_+M5_+M6_+M7_+M8_+M9_+M10_+M11_+M12_+M13_+M14_+M15_+M16_+M17_+M18_+M19_+M20_+M21_+M22_+M23_+M24_+M25_)),0)</f>
        <v>0</v>
      </c>
      <c r="AL265" s="27">
        <f>TableCosts[[#This Row],[N_Direct]]</f>
        <v>0</v>
      </c>
      <c r="AN265" s="7" t="str">
        <f t="shared" si="51"/>
        <v/>
      </c>
      <c r="AO265" s="7" t="str">
        <f t="shared" si="54"/>
        <v/>
      </c>
      <c r="AP265" s="7" t="str">
        <f t="shared" si="52"/>
        <v/>
      </c>
      <c r="AQ265" s="7" t="str">
        <f t="shared" si="55"/>
        <v/>
      </c>
      <c r="AR265" s="7" t="str">
        <f t="shared" si="53"/>
        <v/>
      </c>
      <c r="AS265" s="7">
        <f t="shared" si="56"/>
        <v>0</v>
      </c>
      <c r="AT265" s="17">
        <f>TableCosts[[#This Row],[N_Amount]]*TableCosts[[#This Row],[N_Tariff]]*TableCosts[[#This Row],[N_ItemsCount]]</f>
        <v>0</v>
      </c>
      <c r="AU265" s="17">
        <f>IF(F265=1,IF(TableCosts[[#This Row],[N_Kateg]]="interné práce",TableCosts[[#This Row],[N_Amount]]*8*PAR_SGA_PERHOUR,0),0)</f>
        <v>0</v>
      </c>
      <c r="AV265" s="17">
        <f>SUM(TableCosts[[#This Row],[N_Direct]:[N_SGA]])</f>
        <v>0</v>
      </c>
      <c r="AW265" s="7">
        <f>IF(F265=1,IF(D265="",NA(),VLOOKUP(C265&amp;TableCosts[[#This Row],[Calc_N_Typ]],TRAN_STRITEMS_LABEL,7,0)),0)</f>
        <v>0</v>
      </c>
      <c r="AX265" s="7">
        <f t="shared" si="57"/>
        <v>0</v>
      </c>
      <c r="AY265" s="57" t="str">
        <f t="shared" si="58"/>
        <v/>
      </c>
      <c r="AZ265" s="57" t="str">
        <f t="shared" si="59"/>
        <v/>
      </c>
      <c r="BA265" s="57" t="str">
        <f>IF(F265=1,IF(TableCosts[[#This Row],[TransferFrom]]=TableCosts[[#This Row],[TranferTo]],0,1),"")</f>
        <v/>
      </c>
      <c r="BB265" s="7">
        <f t="shared" si="60"/>
        <v>0</v>
      </c>
      <c r="BC265" s="7">
        <f t="shared" si="61"/>
        <v>0</v>
      </c>
    </row>
    <row r="266" spans="2:55" s="7" customFormat="1" ht="12.75" x14ac:dyDescent="0.2">
      <c r="B266" s="33"/>
      <c r="C266" s="31"/>
      <c r="D266" s="40"/>
      <c r="E266" s="6" t="str">
        <f>IF(F266=1,IF(ISERROR(TableCosts[[#This Row],[N_Tariff]]),Err_Message1,IF(TableCosts[[#This Row],[N_Tariff]]=0,Err_Message2,VLOOKUP(C266&amp;TableCosts[[#This Row],[Calc_N_Typ]],TRAN_STRITEMS_LABEL,5,FALSE))),"")</f>
        <v/>
      </c>
      <c r="F266" s="6">
        <f t="shared" si="62"/>
        <v>0</v>
      </c>
      <c r="G266" s="6" t="str">
        <f>IF(F266=1,IFERROR(VLOOKUP(E266,Tab_ErrMessage[],2,0),VLOOKUP(C266&amp;TableCosts[[#This Row],[Calc_N_Typ]],TRAN_STRITEMS_LABEL,4,FALSE)),"")</f>
        <v/>
      </c>
      <c r="H266" s="40"/>
      <c r="I266" s="40"/>
      <c r="J266" s="35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4"/>
      <c r="AI266" s="24"/>
      <c r="AJ266" s="24"/>
      <c r="AK266" s="38">
        <f t="array" ref="AK266">IF(F266=1,SUM((ROW(M0)=ROW(AK266))*(M0+M1_+M2_+M3_+M4_+M5_+M6_+M7_+M8_+M9_+M10_+M11_+M12_+M13_+M14_+M15_+M16_+M17_+M18_+M19_+M20_+M21_+M22_+M23_+M24_+M25_)),0)</f>
        <v>0</v>
      </c>
      <c r="AL266" s="27">
        <f>TableCosts[[#This Row],[N_Direct]]</f>
        <v>0</v>
      </c>
      <c r="AN266" s="7" t="str">
        <f t="shared" si="51"/>
        <v/>
      </c>
      <c r="AO266" s="7" t="str">
        <f t="shared" si="54"/>
        <v/>
      </c>
      <c r="AP266" s="7" t="str">
        <f t="shared" si="52"/>
        <v/>
      </c>
      <c r="AQ266" s="7" t="str">
        <f t="shared" si="55"/>
        <v/>
      </c>
      <c r="AR266" s="7" t="str">
        <f t="shared" si="53"/>
        <v/>
      </c>
      <c r="AS266" s="7">
        <f t="shared" si="56"/>
        <v>0</v>
      </c>
      <c r="AT266" s="17">
        <f>TableCosts[[#This Row],[N_Amount]]*TableCosts[[#This Row],[N_Tariff]]*TableCosts[[#This Row],[N_ItemsCount]]</f>
        <v>0</v>
      </c>
      <c r="AU266" s="17">
        <f>IF(F266=1,IF(TableCosts[[#This Row],[N_Kateg]]="interné práce",TableCosts[[#This Row],[N_Amount]]*8*PAR_SGA_PERHOUR,0),0)</f>
        <v>0</v>
      </c>
      <c r="AV266" s="17">
        <f>SUM(TableCosts[[#This Row],[N_Direct]:[N_SGA]])</f>
        <v>0</v>
      </c>
      <c r="AW266" s="7">
        <f>IF(F266=1,IF(D266="",NA(),VLOOKUP(C266&amp;TableCosts[[#This Row],[Calc_N_Typ]],TRAN_STRITEMS_LABEL,7,0)),0)</f>
        <v>0</v>
      </c>
      <c r="AX266" s="7">
        <f t="shared" si="57"/>
        <v>0</v>
      </c>
      <c r="AY266" s="57" t="str">
        <f t="shared" si="58"/>
        <v/>
      </c>
      <c r="AZ266" s="57" t="str">
        <f t="shared" si="59"/>
        <v/>
      </c>
      <c r="BA266" s="57" t="str">
        <f>IF(F266=1,IF(TableCosts[[#This Row],[TransferFrom]]=TableCosts[[#This Row],[TranferTo]],0,1),"")</f>
        <v/>
      </c>
      <c r="BB266" s="7">
        <f t="shared" si="60"/>
        <v>0</v>
      </c>
      <c r="BC266" s="7">
        <f t="shared" si="61"/>
        <v>0</v>
      </c>
    </row>
    <row r="267" spans="2:55" s="7" customFormat="1" ht="12.75" x14ac:dyDescent="0.2">
      <c r="B267" s="33"/>
      <c r="C267" s="31"/>
      <c r="D267" s="40"/>
      <c r="E267" s="6" t="str">
        <f>IF(F267=1,IF(ISERROR(TableCosts[[#This Row],[N_Tariff]]),Err_Message1,IF(TableCosts[[#This Row],[N_Tariff]]=0,Err_Message2,VLOOKUP(C267&amp;TableCosts[[#This Row],[Calc_N_Typ]],TRAN_STRITEMS_LABEL,5,FALSE))),"")</f>
        <v/>
      </c>
      <c r="F267" s="6">
        <f t="shared" si="62"/>
        <v>0</v>
      </c>
      <c r="G267" s="6" t="str">
        <f>IF(F267=1,IFERROR(VLOOKUP(E267,Tab_ErrMessage[],2,0),VLOOKUP(C267&amp;TableCosts[[#This Row],[Calc_N_Typ]],TRAN_STRITEMS_LABEL,4,FALSE)),"")</f>
        <v/>
      </c>
      <c r="H267" s="40"/>
      <c r="I267" s="40"/>
      <c r="J267" s="35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4"/>
      <c r="AI267" s="24"/>
      <c r="AJ267" s="24"/>
      <c r="AK267" s="38">
        <f t="array" ref="AK267">IF(F267=1,SUM((ROW(M0)=ROW(AK267))*(M0+M1_+M2_+M3_+M4_+M5_+M6_+M7_+M8_+M9_+M10_+M11_+M12_+M13_+M14_+M15_+M16_+M17_+M18_+M19_+M20_+M21_+M22_+M23_+M24_+M25_)),0)</f>
        <v>0</v>
      </c>
      <c r="AL267" s="27">
        <f>TableCosts[[#This Row],[N_Direct]]</f>
        <v>0</v>
      </c>
      <c r="AN267" s="7" t="str">
        <f t="shared" si="51"/>
        <v/>
      </c>
      <c r="AO267" s="7" t="str">
        <f t="shared" si="54"/>
        <v/>
      </c>
      <c r="AP267" s="7" t="str">
        <f t="shared" si="52"/>
        <v/>
      </c>
      <c r="AQ267" s="7" t="str">
        <f t="shared" si="55"/>
        <v/>
      </c>
      <c r="AR267" s="7" t="str">
        <f t="shared" si="53"/>
        <v/>
      </c>
      <c r="AS267" s="7">
        <f t="shared" si="56"/>
        <v>0</v>
      </c>
      <c r="AT267" s="17">
        <f>TableCosts[[#This Row],[N_Amount]]*TableCosts[[#This Row],[N_Tariff]]*TableCosts[[#This Row],[N_ItemsCount]]</f>
        <v>0</v>
      </c>
      <c r="AU267" s="17">
        <f>IF(F267=1,IF(TableCosts[[#This Row],[N_Kateg]]="interné práce",TableCosts[[#This Row],[N_Amount]]*8*PAR_SGA_PERHOUR,0),0)</f>
        <v>0</v>
      </c>
      <c r="AV267" s="17">
        <f>SUM(TableCosts[[#This Row],[N_Direct]:[N_SGA]])</f>
        <v>0</v>
      </c>
      <c r="AW267" s="7">
        <f>IF(F267=1,IF(D267="",NA(),VLOOKUP(C267&amp;TableCosts[[#This Row],[Calc_N_Typ]],TRAN_STRITEMS_LABEL,7,0)),0)</f>
        <v>0</v>
      </c>
      <c r="AX267" s="7">
        <f t="shared" si="57"/>
        <v>0</v>
      </c>
      <c r="AY267" s="57" t="str">
        <f t="shared" si="58"/>
        <v/>
      </c>
      <c r="AZ267" s="57" t="str">
        <f t="shared" si="59"/>
        <v/>
      </c>
      <c r="BA267" s="57" t="str">
        <f>IF(F267=1,IF(TableCosts[[#This Row],[TransferFrom]]=TableCosts[[#This Row],[TranferTo]],0,1),"")</f>
        <v/>
      </c>
      <c r="BB267" s="7">
        <f t="shared" si="60"/>
        <v>0</v>
      </c>
      <c r="BC267" s="7">
        <f t="shared" si="61"/>
        <v>0</v>
      </c>
    </row>
    <row r="268" spans="2:55" s="7" customFormat="1" ht="12.75" x14ac:dyDescent="0.2">
      <c r="B268" s="33"/>
      <c r="C268" s="31"/>
      <c r="D268" s="40"/>
      <c r="E268" s="6" t="str">
        <f>IF(F268=1,IF(ISERROR(TableCosts[[#This Row],[N_Tariff]]),Err_Message1,IF(TableCosts[[#This Row],[N_Tariff]]=0,Err_Message2,VLOOKUP(C268&amp;TableCosts[[#This Row],[Calc_N_Typ]],TRAN_STRITEMS_LABEL,5,FALSE))),"")</f>
        <v/>
      </c>
      <c r="F268" s="6">
        <f t="shared" si="62"/>
        <v>0</v>
      </c>
      <c r="G268" s="6" t="str">
        <f>IF(F268=1,IFERROR(VLOOKUP(E268,Tab_ErrMessage[],2,0),VLOOKUP(C268&amp;TableCosts[[#This Row],[Calc_N_Typ]],TRAN_STRITEMS_LABEL,4,FALSE)),"")</f>
        <v/>
      </c>
      <c r="H268" s="40"/>
      <c r="I268" s="40"/>
      <c r="J268" s="35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4"/>
      <c r="AI268" s="24"/>
      <c r="AJ268" s="24"/>
      <c r="AK268" s="38">
        <f t="array" ref="AK268">IF(F268=1,SUM((ROW(M0)=ROW(AK268))*(M0+M1_+M2_+M3_+M4_+M5_+M6_+M7_+M8_+M9_+M10_+M11_+M12_+M13_+M14_+M15_+M16_+M17_+M18_+M19_+M20_+M21_+M22_+M23_+M24_+M25_)),0)</f>
        <v>0</v>
      </c>
      <c r="AL268" s="27">
        <f>TableCosts[[#This Row],[N_Direct]]</f>
        <v>0</v>
      </c>
      <c r="AN268" s="7" t="str">
        <f t="shared" si="51"/>
        <v/>
      </c>
      <c r="AO268" s="7" t="str">
        <f t="shared" si="54"/>
        <v/>
      </c>
      <c r="AP268" s="7" t="str">
        <f t="shared" si="52"/>
        <v/>
      </c>
      <c r="AQ268" s="7" t="str">
        <f t="shared" si="55"/>
        <v/>
      </c>
      <c r="AR268" s="7" t="str">
        <f t="shared" si="53"/>
        <v/>
      </c>
      <c r="AS268" s="7">
        <f t="shared" si="56"/>
        <v>0</v>
      </c>
      <c r="AT268" s="17">
        <f>TableCosts[[#This Row],[N_Amount]]*TableCosts[[#This Row],[N_Tariff]]*TableCosts[[#This Row],[N_ItemsCount]]</f>
        <v>0</v>
      </c>
      <c r="AU268" s="17">
        <f>IF(F268=1,IF(TableCosts[[#This Row],[N_Kateg]]="interné práce",TableCosts[[#This Row],[N_Amount]]*8*PAR_SGA_PERHOUR,0),0)</f>
        <v>0</v>
      </c>
      <c r="AV268" s="17">
        <f>SUM(TableCosts[[#This Row],[N_Direct]:[N_SGA]])</f>
        <v>0</v>
      </c>
      <c r="AW268" s="7">
        <f>IF(F268=1,IF(D268="",NA(),VLOOKUP(C268&amp;TableCosts[[#This Row],[Calc_N_Typ]],TRAN_STRITEMS_LABEL,7,0)),0)</f>
        <v>0</v>
      </c>
      <c r="AX268" s="7">
        <f t="shared" si="57"/>
        <v>0</v>
      </c>
      <c r="AY268" s="57" t="str">
        <f t="shared" si="58"/>
        <v/>
      </c>
      <c r="AZ268" s="57" t="str">
        <f t="shared" si="59"/>
        <v/>
      </c>
      <c r="BA268" s="57" t="str">
        <f>IF(F268=1,IF(TableCosts[[#This Row],[TransferFrom]]=TableCosts[[#This Row],[TranferTo]],0,1),"")</f>
        <v/>
      </c>
      <c r="BB268" s="7">
        <f t="shared" si="60"/>
        <v>0</v>
      </c>
      <c r="BC268" s="7">
        <f t="shared" si="61"/>
        <v>0</v>
      </c>
    </row>
    <row r="269" spans="2:55" s="7" customFormat="1" ht="12.75" x14ac:dyDescent="0.2">
      <c r="B269" s="33"/>
      <c r="C269" s="31"/>
      <c r="D269" s="40"/>
      <c r="E269" s="6" t="str">
        <f>IF(F269=1,IF(ISERROR(TableCosts[[#This Row],[N_Tariff]]),Err_Message1,IF(TableCosts[[#This Row],[N_Tariff]]=0,Err_Message2,VLOOKUP(C269&amp;TableCosts[[#This Row],[Calc_N_Typ]],TRAN_STRITEMS_LABEL,5,FALSE))),"")</f>
        <v/>
      </c>
      <c r="F269" s="6">
        <f t="shared" si="62"/>
        <v>0</v>
      </c>
      <c r="G269" s="6" t="str">
        <f>IF(F269=1,IFERROR(VLOOKUP(E269,Tab_ErrMessage[],2,0),VLOOKUP(C269&amp;TableCosts[[#This Row],[Calc_N_Typ]],TRAN_STRITEMS_LABEL,4,FALSE)),"")</f>
        <v/>
      </c>
      <c r="H269" s="40"/>
      <c r="I269" s="40"/>
      <c r="J269" s="35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4"/>
      <c r="AI269" s="24"/>
      <c r="AJ269" s="24"/>
      <c r="AK269" s="38">
        <f t="array" ref="AK269">IF(F269=1,SUM((ROW(M0)=ROW(AK269))*(M0+M1_+M2_+M3_+M4_+M5_+M6_+M7_+M8_+M9_+M10_+M11_+M12_+M13_+M14_+M15_+M16_+M17_+M18_+M19_+M20_+M21_+M22_+M23_+M24_+M25_)),0)</f>
        <v>0</v>
      </c>
      <c r="AL269" s="27">
        <f>TableCosts[[#This Row],[N_Direct]]</f>
        <v>0</v>
      </c>
      <c r="AN269" s="7" t="str">
        <f t="shared" si="51"/>
        <v/>
      </c>
      <c r="AO269" s="7" t="str">
        <f t="shared" si="54"/>
        <v/>
      </c>
      <c r="AP269" s="7" t="str">
        <f t="shared" si="52"/>
        <v/>
      </c>
      <c r="AQ269" s="7" t="str">
        <f t="shared" si="55"/>
        <v/>
      </c>
      <c r="AR269" s="7" t="str">
        <f t="shared" si="53"/>
        <v/>
      </c>
      <c r="AS269" s="7">
        <f t="shared" si="56"/>
        <v>0</v>
      </c>
      <c r="AT269" s="17">
        <f>TableCosts[[#This Row],[N_Amount]]*TableCosts[[#This Row],[N_Tariff]]*TableCosts[[#This Row],[N_ItemsCount]]</f>
        <v>0</v>
      </c>
      <c r="AU269" s="17">
        <f>IF(F269=1,IF(TableCosts[[#This Row],[N_Kateg]]="interné práce",TableCosts[[#This Row],[N_Amount]]*8*PAR_SGA_PERHOUR,0),0)</f>
        <v>0</v>
      </c>
      <c r="AV269" s="17">
        <f>SUM(TableCosts[[#This Row],[N_Direct]:[N_SGA]])</f>
        <v>0</v>
      </c>
      <c r="AW269" s="7">
        <f>IF(F269=1,IF(D269="",NA(),VLOOKUP(C269&amp;TableCosts[[#This Row],[Calc_N_Typ]],TRAN_STRITEMS_LABEL,7,0)),0)</f>
        <v>0</v>
      </c>
      <c r="AX269" s="7">
        <f t="shared" si="57"/>
        <v>0</v>
      </c>
      <c r="AY269" s="57" t="str">
        <f t="shared" si="58"/>
        <v/>
      </c>
      <c r="AZ269" s="57" t="str">
        <f t="shared" si="59"/>
        <v/>
      </c>
      <c r="BA269" s="57" t="str">
        <f>IF(F269=1,IF(TableCosts[[#This Row],[TransferFrom]]=TableCosts[[#This Row],[TranferTo]],0,1),"")</f>
        <v/>
      </c>
      <c r="BB269" s="7">
        <f t="shared" si="60"/>
        <v>0</v>
      </c>
      <c r="BC269" s="7">
        <f t="shared" si="61"/>
        <v>0</v>
      </c>
    </row>
    <row r="270" spans="2:55" s="7" customFormat="1" ht="12.75" x14ac:dyDescent="0.2">
      <c r="B270" s="33"/>
      <c r="C270" s="31"/>
      <c r="D270" s="40"/>
      <c r="E270" s="6" t="str">
        <f>IF(F270=1,IF(ISERROR(TableCosts[[#This Row],[N_Tariff]]),Err_Message1,IF(TableCosts[[#This Row],[N_Tariff]]=0,Err_Message2,VLOOKUP(C270&amp;TableCosts[[#This Row],[Calc_N_Typ]],TRAN_STRITEMS_LABEL,5,FALSE))),"")</f>
        <v/>
      </c>
      <c r="F270" s="6">
        <f t="shared" si="62"/>
        <v>0</v>
      </c>
      <c r="G270" s="6" t="str">
        <f>IF(F270=1,IFERROR(VLOOKUP(E270,Tab_ErrMessage[],2,0),VLOOKUP(C270&amp;TableCosts[[#This Row],[Calc_N_Typ]],TRAN_STRITEMS_LABEL,4,FALSE)),"")</f>
        <v/>
      </c>
      <c r="H270" s="40"/>
      <c r="I270" s="40"/>
      <c r="J270" s="35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4"/>
      <c r="AI270" s="24"/>
      <c r="AJ270" s="24"/>
      <c r="AK270" s="38">
        <f t="array" ref="AK270">IF(F270=1,SUM((ROW(M0)=ROW(AK270))*(M0+M1_+M2_+M3_+M4_+M5_+M6_+M7_+M8_+M9_+M10_+M11_+M12_+M13_+M14_+M15_+M16_+M17_+M18_+M19_+M20_+M21_+M22_+M23_+M24_+M25_)),0)</f>
        <v>0</v>
      </c>
      <c r="AL270" s="27">
        <f>TableCosts[[#This Row],[N_Direct]]</f>
        <v>0</v>
      </c>
      <c r="AN270" s="7" t="str">
        <f t="shared" si="51"/>
        <v/>
      </c>
      <c r="AO270" s="7" t="str">
        <f t="shared" si="54"/>
        <v/>
      </c>
      <c r="AP270" s="7" t="str">
        <f t="shared" si="52"/>
        <v/>
      </c>
      <c r="AQ270" s="7" t="str">
        <f t="shared" si="55"/>
        <v/>
      </c>
      <c r="AR270" s="7" t="str">
        <f t="shared" si="53"/>
        <v/>
      </c>
      <c r="AS270" s="7">
        <f t="shared" si="56"/>
        <v>0</v>
      </c>
      <c r="AT270" s="17">
        <f>TableCosts[[#This Row],[N_Amount]]*TableCosts[[#This Row],[N_Tariff]]*TableCosts[[#This Row],[N_ItemsCount]]</f>
        <v>0</v>
      </c>
      <c r="AU270" s="17">
        <f>IF(F270=1,IF(TableCosts[[#This Row],[N_Kateg]]="interné práce",TableCosts[[#This Row],[N_Amount]]*8*PAR_SGA_PERHOUR,0),0)</f>
        <v>0</v>
      </c>
      <c r="AV270" s="17">
        <f>SUM(TableCosts[[#This Row],[N_Direct]:[N_SGA]])</f>
        <v>0</v>
      </c>
      <c r="AW270" s="7">
        <f>IF(F270=1,IF(D270="",NA(),VLOOKUP(C270&amp;TableCosts[[#This Row],[Calc_N_Typ]],TRAN_STRITEMS_LABEL,7,0)),0)</f>
        <v>0</v>
      </c>
      <c r="AX270" s="7">
        <f t="shared" si="57"/>
        <v>0</v>
      </c>
      <c r="AY270" s="57" t="str">
        <f t="shared" si="58"/>
        <v/>
      </c>
      <c r="AZ270" s="57" t="str">
        <f t="shared" si="59"/>
        <v/>
      </c>
      <c r="BA270" s="57" t="str">
        <f>IF(F270=1,IF(TableCosts[[#This Row],[TransferFrom]]=TableCosts[[#This Row],[TranferTo]],0,1),"")</f>
        <v/>
      </c>
      <c r="BB270" s="7">
        <f t="shared" si="60"/>
        <v>0</v>
      </c>
      <c r="BC270" s="7">
        <f t="shared" si="61"/>
        <v>0</v>
      </c>
    </row>
    <row r="271" spans="2:55" s="7" customFormat="1" ht="12.75" x14ac:dyDescent="0.2">
      <c r="B271" s="33"/>
      <c r="C271" s="31"/>
      <c r="D271" s="40"/>
      <c r="E271" s="6" t="str">
        <f>IF(F271=1,IF(ISERROR(TableCosts[[#This Row],[N_Tariff]]),Err_Message1,IF(TableCosts[[#This Row],[N_Tariff]]=0,Err_Message2,VLOOKUP(C271&amp;TableCosts[[#This Row],[Calc_N_Typ]],TRAN_STRITEMS_LABEL,5,FALSE))),"")</f>
        <v/>
      </c>
      <c r="F271" s="6">
        <f t="shared" si="62"/>
        <v>0</v>
      </c>
      <c r="G271" s="6" t="str">
        <f>IF(F271=1,IFERROR(VLOOKUP(E271,Tab_ErrMessage[],2,0),VLOOKUP(C271&amp;TableCosts[[#This Row],[Calc_N_Typ]],TRAN_STRITEMS_LABEL,4,FALSE)),"")</f>
        <v/>
      </c>
      <c r="H271" s="40"/>
      <c r="I271" s="40"/>
      <c r="J271" s="35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4"/>
      <c r="AI271" s="24"/>
      <c r="AJ271" s="24"/>
      <c r="AK271" s="38">
        <f t="array" ref="AK271">IF(F271=1,SUM((ROW(M0)=ROW(AK271))*(M0+M1_+M2_+M3_+M4_+M5_+M6_+M7_+M8_+M9_+M10_+M11_+M12_+M13_+M14_+M15_+M16_+M17_+M18_+M19_+M20_+M21_+M22_+M23_+M24_+M25_)),0)</f>
        <v>0</v>
      </c>
      <c r="AL271" s="27">
        <f>TableCosts[[#This Row],[N_Direct]]</f>
        <v>0</v>
      </c>
      <c r="AN271" s="7" t="str">
        <f t="shared" si="51"/>
        <v/>
      </c>
      <c r="AO271" s="7" t="str">
        <f t="shared" si="54"/>
        <v/>
      </c>
      <c r="AP271" s="7" t="str">
        <f t="shared" si="52"/>
        <v/>
      </c>
      <c r="AQ271" s="7" t="str">
        <f t="shared" si="55"/>
        <v/>
      </c>
      <c r="AR271" s="7" t="str">
        <f t="shared" si="53"/>
        <v/>
      </c>
      <c r="AS271" s="7">
        <f t="shared" si="56"/>
        <v>0</v>
      </c>
      <c r="AT271" s="17">
        <f>TableCosts[[#This Row],[N_Amount]]*TableCosts[[#This Row],[N_Tariff]]*TableCosts[[#This Row],[N_ItemsCount]]</f>
        <v>0</v>
      </c>
      <c r="AU271" s="17">
        <f>IF(F271=1,IF(TableCosts[[#This Row],[N_Kateg]]="interné práce",TableCosts[[#This Row],[N_Amount]]*8*PAR_SGA_PERHOUR,0),0)</f>
        <v>0</v>
      </c>
      <c r="AV271" s="17">
        <f>SUM(TableCosts[[#This Row],[N_Direct]:[N_SGA]])</f>
        <v>0</v>
      </c>
      <c r="AW271" s="7">
        <f>IF(F271=1,IF(D271="",NA(),VLOOKUP(C271&amp;TableCosts[[#This Row],[Calc_N_Typ]],TRAN_STRITEMS_LABEL,7,0)),0)</f>
        <v>0</v>
      </c>
      <c r="AX271" s="7">
        <f t="shared" si="57"/>
        <v>0</v>
      </c>
      <c r="AY271" s="57" t="str">
        <f t="shared" si="58"/>
        <v/>
      </c>
      <c r="AZ271" s="57" t="str">
        <f t="shared" si="59"/>
        <v/>
      </c>
      <c r="BA271" s="57" t="str">
        <f>IF(F271=1,IF(TableCosts[[#This Row],[TransferFrom]]=TableCosts[[#This Row],[TranferTo]],0,1),"")</f>
        <v/>
      </c>
      <c r="BB271" s="7">
        <f t="shared" si="60"/>
        <v>0</v>
      </c>
      <c r="BC271" s="7">
        <f t="shared" si="61"/>
        <v>0</v>
      </c>
    </row>
    <row r="272" spans="2:55" s="7" customFormat="1" ht="12.75" x14ac:dyDescent="0.2">
      <c r="B272" s="33"/>
      <c r="C272" s="31"/>
      <c r="D272" s="40"/>
      <c r="E272" s="6" t="str">
        <f>IF(F272=1,IF(ISERROR(TableCosts[[#This Row],[N_Tariff]]),Err_Message1,IF(TableCosts[[#This Row],[N_Tariff]]=0,Err_Message2,VLOOKUP(C272&amp;TableCosts[[#This Row],[Calc_N_Typ]],TRAN_STRITEMS_LABEL,5,FALSE))),"")</f>
        <v/>
      </c>
      <c r="F272" s="6">
        <f t="shared" si="62"/>
        <v>0</v>
      </c>
      <c r="G272" s="6" t="str">
        <f>IF(F272=1,IFERROR(VLOOKUP(E272,Tab_ErrMessage[],2,0),VLOOKUP(C272&amp;TableCosts[[#This Row],[Calc_N_Typ]],TRAN_STRITEMS_LABEL,4,FALSE)),"")</f>
        <v/>
      </c>
      <c r="H272" s="40"/>
      <c r="I272" s="40"/>
      <c r="J272" s="35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4"/>
      <c r="AI272" s="24"/>
      <c r="AJ272" s="24"/>
      <c r="AK272" s="38">
        <f t="array" ref="AK272">IF(F272=1,SUM((ROW(M0)=ROW(AK272))*(M0+M1_+M2_+M3_+M4_+M5_+M6_+M7_+M8_+M9_+M10_+M11_+M12_+M13_+M14_+M15_+M16_+M17_+M18_+M19_+M20_+M21_+M22_+M23_+M24_+M25_)),0)</f>
        <v>0</v>
      </c>
      <c r="AL272" s="27">
        <f>TableCosts[[#This Row],[N_Direct]]</f>
        <v>0</v>
      </c>
      <c r="AN272" s="7" t="str">
        <f t="shared" si="51"/>
        <v/>
      </c>
      <c r="AO272" s="7" t="str">
        <f t="shared" si="54"/>
        <v/>
      </c>
      <c r="AP272" s="7" t="str">
        <f t="shared" si="52"/>
        <v/>
      </c>
      <c r="AQ272" s="7" t="str">
        <f t="shared" si="55"/>
        <v/>
      </c>
      <c r="AR272" s="7" t="str">
        <f t="shared" si="53"/>
        <v/>
      </c>
      <c r="AS272" s="7">
        <f t="shared" si="56"/>
        <v>0</v>
      </c>
      <c r="AT272" s="17">
        <f>TableCosts[[#This Row],[N_Amount]]*TableCosts[[#This Row],[N_Tariff]]*TableCosts[[#This Row],[N_ItemsCount]]</f>
        <v>0</v>
      </c>
      <c r="AU272" s="17">
        <f>IF(F272=1,IF(TableCosts[[#This Row],[N_Kateg]]="interné práce",TableCosts[[#This Row],[N_Amount]]*8*PAR_SGA_PERHOUR,0),0)</f>
        <v>0</v>
      </c>
      <c r="AV272" s="17">
        <f>SUM(TableCosts[[#This Row],[N_Direct]:[N_SGA]])</f>
        <v>0</v>
      </c>
      <c r="AW272" s="7">
        <f>IF(F272=1,IF(D272="",NA(),VLOOKUP(C272&amp;TableCosts[[#This Row],[Calc_N_Typ]],TRAN_STRITEMS_LABEL,7,0)),0)</f>
        <v>0</v>
      </c>
      <c r="AX272" s="7">
        <f t="shared" si="57"/>
        <v>0</v>
      </c>
      <c r="AY272" s="57" t="str">
        <f t="shared" si="58"/>
        <v/>
      </c>
      <c r="AZ272" s="57" t="str">
        <f t="shared" si="59"/>
        <v/>
      </c>
      <c r="BA272" s="57" t="str">
        <f>IF(F272=1,IF(TableCosts[[#This Row],[TransferFrom]]=TableCosts[[#This Row],[TranferTo]],0,1),"")</f>
        <v/>
      </c>
      <c r="BB272" s="7">
        <f t="shared" si="60"/>
        <v>0</v>
      </c>
      <c r="BC272" s="7">
        <f t="shared" si="61"/>
        <v>0</v>
      </c>
    </row>
    <row r="273" spans="2:55" s="7" customFormat="1" ht="12.75" x14ac:dyDescent="0.2">
      <c r="B273" s="33"/>
      <c r="C273" s="31"/>
      <c r="D273" s="40"/>
      <c r="E273" s="6" t="str">
        <f>IF(F273=1,IF(ISERROR(TableCosts[[#This Row],[N_Tariff]]),Err_Message1,IF(TableCosts[[#This Row],[N_Tariff]]=0,Err_Message2,VLOOKUP(C273&amp;TableCosts[[#This Row],[Calc_N_Typ]],TRAN_STRITEMS_LABEL,5,FALSE))),"")</f>
        <v/>
      </c>
      <c r="F273" s="6">
        <f t="shared" si="62"/>
        <v>0</v>
      </c>
      <c r="G273" s="6" t="str">
        <f>IF(F273=1,IFERROR(VLOOKUP(E273,Tab_ErrMessage[],2,0),VLOOKUP(C273&amp;TableCosts[[#This Row],[Calc_N_Typ]],TRAN_STRITEMS_LABEL,4,FALSE)),"")</f>
        <v/>
      </c>
      <c r="H273" s="40"/>
      <c r="I273" s="40"/>
      <c r="J273" s="35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  <c r="AF273" s="24"/>
      <c r="AG273" s="24"/>
      <c r="AH273" s="24"/>
      <c r="AI273" s="24"/>
      <c r="AJ273" s="24"/>
      <c r="AK273" s="38">
        <f t="array" ref="AK273">IF(F273=1,SUM((ROW(M0)=ROW(AK273))*(M0+M1_+M2_+M3_+M4_+M5_+M6_+M7_+M8_+M9_+M10_+M11_+M12_+M13_+M14_+M15_+M16_+M17_+M18_+M19_+M20_+M21_+M22_+M23_+M24_+M25_)),0)</f>
        <v>0</v>
      </c>
      <c r="AL273" s="27">
        <f>TableCosts[[#This Row],[N_Direct]]</f>
        <v>0</v>
      </c>
      <c r="AN273" s="7" t="str">
        <f t="shared" si="51"/>
        <v/>
      </c>
      <c r="AO273" s="7" t="str">
        <f t="shared" si="54"/>
        <v/>
      </c>
      <c r="AP273" s="7" t="str">
        <f t="shared" si="52"/>
        <v/>
      </c>
      <c r="AQ273" s="7" t="str">
        <f t="shared" si="55"/>
        <v/>
      </c>
      <c r="AR273" s="7" t="str">
        <f t="shared" si="53"/>
        <v/>
      </c>
      <c r="AS273" s="7">
        <f t="shared" si="56"/>
        <v>0</v>
      </c>
      <c r="AT273" s="17">
        <f>TableCosts[[#This Row],[N_Amount]]*TableCosts[[#This Row],[N_Tariff]]*TableCosts[[#This Row],[N_ItemsCount]]</f>
        <v>0</v>
      </c>
      <c r="AU273" s="17">
        <f>IF(F273=1,IF(TableCosts[[#This Row],[N_Kateg]]="interné práce",TableCosts[[#This Row],[N_Amount]]*8*PAR_SGA_PERHOUR,0),0)</f>
        <v>0</v>
      </c>
      <c r="AV273" s="17">
        <f>SUM(TableCosts[[#This Row],[N_Direct]:[N_SGA]])</f>
        <v>0</v>
      </c>
      <c r="AW273" s="7">
        <f>IF(F273=1,IF(D273="",NA(),VLOOKUP(C273&amp;TableCosts[[#This Row],[Calc_N_Typ]],TRAN_STRITEMS_LABEL,7,0)),0)</f>
        <v>0</v>
      </c>
      <c r="AX273" s="7">
        <f t="shared" si="57"/>
        <v>0</v>
      </c>
      <c r="AY273" s="57" t="str">
        <f t="shared" si="58"/>
        <v/>
      </c>
      <c r="AZ273" s="57" t="str">
        <f t="shared" si="59"/>
        <v/>
      </c>
      <c r="BA273" s="57" t="str">
        <f>IF(F273=1,IF(TableCosts[[#This Row],[TransferFrom]]=TableCosts[[#This Row],[TranferTo]],0,1),"")</f>
        <v/>
      </c>
      <c r="BB273" s="7">
        <f t="shared" si="60"/>
        <v>0</v>
      </c>
      <c r="BC273" s="7">
        <f t="shared" si="61"/>
        <v>0</v>
      </c>
    </row>
    <row r="274" spans="2:55" s="7" customFormat="1" ht="12.75" x14ac:dyDescent="0.2">
      <c r="B274" s="33"/>
      <c r="C274" s="31"/>
      <c r="D274" s="40"/>
      <c r="E274" s="6" t="str">
        <f>IF(F274=1,IF(ISERROR(TableCosts[[#This Row],[N_Tariff]]),Err_Message1,IF(TableCosts[[#This Row],[N_Tariff]]=0,Err_Message2,VLOOKUP(C274&amp;TableCosts[[#This Row],[Calc_N_Typ]],TRAN_STRITEMS_LABEL,5,FALSE))),"")</f>
        <v/>
      </c>
      <c r="F274" s="6">
        <f t="shared" si="62"/>
        <v>0</v>
      </c>
      <c r="G274" s="6" t="str">
        <f>IF(F274=1,IFERROR(VLOOKUP(E274,Tab_ErrMessage[],2,0),VLOOKUP(C274&amp;TableCosts[[#This Row],[Calc_N_Typ]],TRAN_STRITEMS_LABEL,4,FALSE)),"")</f>
        <v/>
      </c>
      <c r="H274" s="40"/>
      <c r="I274" s="40"/>
      <c r="J274" s="35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4"/>
      <c r="AI274" s="24"/>
      <c r="AJ274" s="24"/>
      <c r="AK274" s="38">
        <f t="array" ref="AK274">IF(F274=1,SUM((ROW(M0)=ROW(AK274))*(M0+M1_+M2_+M3_+M4_+M5_+M6_+M7_+M8_+M9_+M10_+M11_+M12_+M13_+M14_+M15_+M16_+M17_+M18_+M19_+M20_+M21_+M22_+M23_+M24_+M25_)),0)</f>
        <v>0</v>
      </c>
      <c r="AL274" s="27">
        <f>TableCosts[[#This Row],[N_Direct]]</f>
        <v>0</v>
      </c>
      <c r="AN274" s="7" t="str">
        <f t="shared" si="51"/>
        <v/>
      </c>
      <c r="AO274" s="7" t="str">
        <f t="shared" si="54"/>
        <v/>
      </c>
      <c r="AP274" s="7" t="str">
        <f t="shared" si="52"/>
        <v/>
      </c>
      <c r="AQ274" s="7" t="str">
        <f t="shared" si="55"/>
        <v/>
      </c>
      <c r="AR274" s="7" t="str">
        <f t="shared" si="53"/>
        <v/>
      </c>
      <c r="AS274" s="7">
        <f t="shared" si="56"/>
        <v>0</v>
      </c>
      <c r="AT274" s="17">
        <f>TableCosts[[#This Row],[N_Amount]]*TableCosts[[#This Row],[N_Tariff]]*TableCosts[[#This Row],[N_ItemsCount]]</f>
        <v>0</v>
      </c>
      <c r="AU274" s="17">
        <f>IF(F274=1,IF(TableCosts[[#This Row],[N_Kateg]]="interné práce",TableCosts[[#This Row],[N_Amount]]*8*PAR_SGA_PERHOUR,0),0)</f>
        <v>0</v>
      </c>
      <c r="AV274" s="17">
        <f>SUM(TableCosts[[#This Row],[N_Direct]:[N_SGA]])</f>
        <v>0</v>
      </c>
      <c r="AW274" s="7">
        <f>IF(F274=1,IF(D274="",NA(),VLOOKUP(C274&amp;TableCosts[[#This Row],[Calc_N_Typ]],TRAN_STRITEMS_LABEL,7,0)),0)</f>
        <v>0</v>
      </c>
      <c r="AX274" s="7">
        <f t="shared" si="57"/>
        <v>0</v>
      </c>
      <c r="AY274" s="57" t="str">
        <f t="shared" si="58"/>
        <v/>
      </c>
      <c r="AZ274" s="57" t="str">
        <f t="shared" si="59"/>
        <v/>
      </c>
      <c r="BA274" s="57" t="str">
        <f>IF(F274=1,IF(TableCosts[[#This Row],[TransferFrom]]=TableCosts[[#This Row],[TranferTo]],0,1),"")</f>
        <v/>
      </c>
      <c r="BB274" s="7">
        <f t="shared" si="60"/>
        <v>0</v>
      </c>
      <c r="BC274" s="7">
        <f t="shared" si="61"/>
        <v>0</v>
      </c>
    </row>
    <row r="275" spans="2:55" s="7" customFormat="1" ht="12.75" x14ac:dyDescent="0.2">
      <c r="B275" s="33"/>
      <c r="C275" s="31"/>
      <c r="D275" s="40"/>
      <c r="E275" s="6" t="str">
        <f>IF(F275=1,IF(ISERROR(TableCosts[[#This Row],[N_Tariff]]),Err_Message1,IF(TableCosts[[#This Row],[N_Tariff]]=0,Err_Message2,VLOOKUP(C275&amp;TableCosts[[#This Row],[Calc_N_Typ]],TRAN_STRITEMS_LABEL,5,FALSE))),"")</f>
        <v/>
      </c>
      <c r="F275" s="6">
        <f t="shared" si="62"/>
        <v>0</v>
      </c>
      <c r="G275" s="6" t="str">
        <f>IF(F275=1,IFERROR(VLOOKUP(E275,Tab_ErrMessage[],2,0),VLOOKUP(C275&amp;TableCosts[[#This Row],[Calc_N_Typ]],TRAN_STRITEMS_LABEL,4,FALSE)),"")</f>
        <v/>
      </c>
      <c r="H275" s="40"/>
      <c r="I275" s="40"/>
      <c r="J275" s="35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4"/>
      <c r="AI275" s="24"/>
      <c r="AJ275" s="24"/>
      <c r="AK275" s="38">
        <f t="array" ref="AK275">IF(F275=1,SUM((ROW(M0)=ROW(AK275))*(M0+M1_+M2_+M3_+M4_+M5_+M6_+M7_+M8_+M9_+M10_+M11_+M12_+M13_+M14_+M15_+M16_+M17_+M18_+M19_+M20_+M21_+M22_+M23_+M24_+M25_)),0)</f>
        <v>0</v>
      </c>
      <c r="AL275" s="27">
        <f>TableCosts[[#This Row],[N_Direct]]</f>
        <v>0</v>
      </c>
      <c r="AN275" s="7" t="str">
        <f t="shared" si="51"/>
        <v/>
      </c>
      <c r="AO275" s="7" t="str">
        <f t="shared" si="54"/>
        <v/>
      </c>
      <c r="AP275" s="7" t="str">
        <f t="shared" si="52"/>
        <v/>
      </c>
      <c r="AQ275" s="7" t="str">
        <f t="shared" si="55"/>
        <v/>
      </c>
      <c r="AR275" s="7" t="str">
        <f t="shared" si="53"/>
        <v/>
      </c>
      <c r="AS275" s="7">
        <f t="shared" si="56"/>
        <v>0</v>
      </c>
      <c r="AT275" s="17">
        <f>TableCosts[[#This Row],[N_Amount]]*TableCosts[[#This Row],[N_Tariff]]*TableCosts[[#This Row],[N_ItemsCount]]</f>
        <v>0</v>
      </c>
      <c r="AU275" s="17">
        <f>IF(F275=1,IF(TableCosts[[#This Row],[N_Kateg]]="interné práce",TableCosts[[#This Row],[N_Amount]]*8*PAR_SGA_PERHOUR,0),0)</f>
        <v>0</v>
      </c>
      <c r="AV275" s="17">
        <f>SUM(TableCosts[[#This Row],[N_Direct]:[N_SGA]])</f>
        <v>0</v>
      </c>
      <c r="AW275" s="7">
        <f>IF(F275=1,IF(D275="",NA(),VLOOKUP(C275&amp;TableCosts[[#This Row],[Calc_N_Typ]],TRAN_STRITEMS_LABEL,7,0)),0)</f>
        <v>0</v>
      </c>
      <c r="AX275" s="7">
        <f t="shared" si="57"/>
        <v>0</v>
      </c>
      <c r="AY275" s="57" t="str">
        <f t="shared" si="58"/>
        <v/>
      </c>
      <c r="AZ275" s="57" t="str">
        <f t="shared" si="59"/>
        <v/>
      </c>
      <c r="BA275" s="57" t="str">
        <f>IF(F275=1,IF(TableCosts[[#This Row],[TransferFrom]]=TableCosts[[#This Row],[TranferTo]],0,1),"")</f>
        <v/>
      </c>
      <c r="BB275" s="7">
        <f t="shared" si="60"/>
        <v>0</v>
      </c>
      <c r="BC275" s="7">
        <f t="shared" si="61"/>
        <v>0</v>
      </c>
    </row>
    <row r="276" spans="2:55" s="7" customFormat="1" ht="12.75" x14ac:dyDescent="0.2">
      <c r="B276" s="33"/>
      <c r="C276" s="31"/>
      <c r="D276" s="40"/>
      <c r="E276" s="6" t="str">
        <f>IF(F276=1,IF(ISERROR(TableCosts[[#This Row],[N_Tariff]]),Err_Message1,IF(TableCosts[[#This Row],[N_Tariff]]=0,Err_Message2,VLOOKUP(C276&amp;TableCosts[[#This Row],[Calc_N_Typ]],TRAN_STRITEMS_LABEL,5,FALSE))),"")</f>
        <v/>
      </c>
      <c r="F276" s="6">
        <f t="shared" si="62"/>
        <v>0</v>
      </c>
      <c r="G276" s="6" t="str">
        <f>IF(F276=1,IFERROR(VLOOKUP(E276,Tab_ErrMessage[],2,0),VLOOKUP(C276&amp;TableCosts[[#This Row],[Calc_N_Typ]],TRAN_STRITEMS_LABEL,4,FALSE)),"")</f>
        <v/>
      </c>
      <c r="H276" s="40"/>
      <c r="I276" s="40"/>
      <c r="J276" s="35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4"/>
      <c r="AI276" s="24"/>
      <c r="AJ276" s="24"/>
      <c r="AK276" s="38">
        <f t="array" ref="AK276">IF(F276=1,SUM((ROW(M0)=ROW(AK276))*(M0+M1_+M2_+M3_+M4_+M5_+M6_+M7_+M8_+M9_+M10_+M11_+M12_+M13_+M14_+M15_+M16_+M17_+M18_+M19_+M20_+M21_+M22_+M23_+M24_+M25_)),0)</f>
        <v>0</v>
      </c>
      <c r="AL276" s="27">
        <f>TableCosts[[#This Row],[N_Direct]]</f>
        <v>0</v>
      </c>
      <c r="AN276" s="7" t="str">
        <f t="shared" si="51"/>
        <v/>
      </c>
      <c r="AO276" s="7" t="str">
        <f t="shared" si="54"/>
        <v/>
      </c>
      <c r="AP276" s="7" t="str">
        <f t="shared" si="52"/>
        <v/>
      </c>
      <c r="AQ276" s="7" t="str">
        <f t="shared" si="55"/>
        <v/>
      </c>
      <c r="AR276" s="7" t="str">
        <f t="shared" si="53"/>
        <v/>
      </c>
      <c r="AS276" s="7">
        <f t="shared" si="56"/>
        <v>0</v>
      </c>
      <c r="AT276" s="17">
        <f>TableCosts[[#This Row],[N_Amount]]*TableCosts[[#This Row],[N_Tariff]]*TableCosts[[#This Row],[N_ItemsCount]]</f>
        <v>0</v>
      </c>
      <c r="AU276" s="17">
        <f>IF(F276=1,IF(TableCosts[[#This Row],[N_Kateg]]="interné práce",TableCosts[[#This Row],[N_Amount]]*8*PAR_SGA_PERHOUR,0),0)</f>
        <v>0</v>
      </c>
      <c r="AV276" s="17">
        <f>SUM(TableCosts[[#This Row],[N_Direct]:[N_SGA]])</f>
        <v>0</v>
      </c>
      <c r="AW276" s="7">
        <f>IF(F276=1,IF(D276="",NA(),VLOOKUP(C276&amp;TableCosts[[#This Row],[Calc_N_Typ]],TRAN_STRITEMS_LABEL,7,0)),0)</f>
        <v>0</v>
      </c>
      <c r="AX276" s="7">
        <f t="shared" si="57"/>
        <v>0</v>
      </c>
      <c r="AY276" s="57" t="str">
        <f t="shared" si="58"/>
        <v/>
      </c>
      <c r="AZ276" s="57" t="str">
        <f t="shared" si="59"/>
        <v/>
      </c>
      <c r="BA276" s="57" t="str">
        <f>IF(F276=1,IF(TableCosts[[#This Row],[TransferFrom]]=TableCosts[[#This Row],[TranferTo]],0,1),"")</f>
        <v/>
      </c>
      <c r="BB276" s="7">
        <f t="shared" si="60"/>
        <v>0</v>
      </c>
      <c r="BC276" s="7">
        <f t="shared" si="61"/>
        <v>0</v>
      </c>
    </row>
    <row r="277" spans="2:55" s="7" customFormat="1" ht="12.75" x14ac:dyDescent="0.2">
      <c r="B277" s="33"/>
      <c r="C277" s="31"/>
      <c r="D277" s="40"/>
      <c r="E277" s="6" t="str">
        <f>IF(F277=1,IF(ISERROR(TableCosts[[#This Row],[N_Tariff]]),Err_Message1,IF(TableCosts[[#This Row],[N_Tariff]]=0,Err_Message2,VLOOKUP(C277&amp;TableCosts[[#This Row],[Calc_N_Typ]],TRAN_STRITEMS_LABEL,5,FALSE))),"")</f>
        <v/>
      </c>
      <c r="F277" s="6">
        <f t="shared" si="62"/>
        <v>0</v>
      </c>
      <c r="G277" s="6" t="str">
        <f>IF(F277=1,IFERROR(VLOOKUP(E277,Tab_ErrMessage[],2,0),VLOOKUP(C277&amp;TableCosts[[#This Row],[Calc_N_Typ]],TRAN_STRITEMS_LABEL,4,FALSE)),"")</f>
        <v/>
      </c>
      <c r="H277" s="40"/>
      <c r="I277" s="40"/>
      <c r="J277" s="35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4"/>
      <c r="AI277" s="24"/>
      <c r="AJ277" s="24"/>
      <c r="AK277" s="38">
        <f t="array" ref="AK277">IF(F277=1,SUM((ROW(M0)=ROW(AK277))*(M0+M1_+M2_+M3_+M4_+M5_+M6_+M7_+M8_+M9_+M10_+M11_+M12_+M13_+M14_+M15_+M16_+M17_+M18_+M19_+M20_+M21_+M22_+M23_+M24_+M25_)),0)</f>
        <v>0</v>
      </c>
      <c r="AL277" s="27">
        <f>TableCosts[[#This Row],[N_Direct]]</f>
        <v>0</v>
      </c>
      <c r="AN277" s="7" t="str">
        <f t="shared" si="51"/>
        <v/>
      </c>
      <c r="AO277" s="7" t="str">
        <f t="shared" si="54"/>
        <v/>
      </c>
      <c r="AP277" s="7" t="str">
        <f t="shared" si="52"/>
        <v/>
      </c>
      <c r="AQ277" s="7" t="str">
        <f t="shared" si="55"/>
        <v/>
      </c>
      <c r="AR277" s="7" t="str">
        <f t="shared" si="53"/>
        <v/>
      </c>
      <c r="AS277" s="7">
        <f t="shared" si="56"/>
        <v>0</v>
      </c>
      <c r="AT277" s="17">
        <f>TableCosts[[#This Row],[N_Amount]]*TableCosts[[#This Row],[N_Tariff]]*TableCosts[[#This Row],[N_ItemsCount]]</f>
        <v>0</v>
      </c>
      <c r="AU277" s="17">
        <f>IF(F277=1,IF(TableCosts[[#This Row],[N_Kateg]]="interné práce",TableCosts[[#This Row],[N_Amount]]*8*PAR_SGA_PERHOUR,0),0)</f>
        <v>0</v>
      </c>
      <c r="AV277" s="17">
        <f>SUM(TableCosts[[#This Row],[N_Direct]:[N_SGA]])</f>
        <v>0</v>
      </c>
      <c r="AW277" s="7">
        <f>IF(F277=1,IF(D277="",NA(),VLOOKUP(C277&amp;TableCosts[[#This Row],[Calc_N_Typ]],TRAN_STRITEMS_LABEL,7,0)),0)</f>
        <v>0</v>
      </c>
      <c r="AX277" s="7">
        <f t="shared" si="57"/>
        <v>0</v>
      </c>
      <c r="AY277" s="57" t="str">
        <f t="shared" si="58"/>
        <v/>
      </c>
      <c r="AZ277" s="57" t="str">
        <f t="shared" si="59"/>
        <v/>
      </c>
      <c r="BA277" s="57" t="str">
        <f>IF(F277=1,IF(TableCosts[[#This Row],[TransferFrom]]=TableCosts[[#This Row],[TranferTo]],0,1),"")</f>
        <v/>
      </c>
      <c r="BB277" s="7">
        <f t="shared" si="60"/>
        <v>0</v>
      </c>
      <c r="BC277" s="7">
        <f t="shared" si="61"/>
        <v>0</v>
      </c>
    </row>
    <row r="278" spans="2:55" s="7" customFormat="1" ht="12.75" x14ac:dyDescent="0.2">
      <c r="B278" s="33"/>
      <c r="C278" s="31"/>
      <c r="D278" s="40"/>
      <c r="E278" s="6" t="str">
        <f>IF(F278=1,IF(ISERROR(TableCosts[[#This Row],[N_Tariff]]),Err_Message1,IF(TableCosts[[#This Row],[N_Tariff]]=0,Err_Message2,VLOOKUP(C278&amp;TableCosts[[#This Row],[Calc_N_Typ]],TRAN_STRITEMS_LABEL,5,FALSE))),"")</f>
        <v/>
      </c>
      <c r="F278" s="6">
        <f t="shared" si="62"/>
        <v>0</v>
      </c>
      <c r="G278" s="6" t="str">
        <f>IF(F278=1,IFERROR(VLOOKUP(E278,Tab_ErrMessage[],2,0),VLOOKUP(C278&amp;TableCosts[[#This Row],[Calc_N_Typ]],TRAN_STRITEMS_LABEL,4,FALSE)),"")</f>
        <v/>
      </c>
      <c r="H278" s="40"/>
      <c r="I278" s="40"/>
      <c r="J278" s="35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4"/>
      <c r="AI278" s="24"/>
      <c r="AJ278" s="24"/>
      <c r="AK278" s="38">
        <f t="array" ref="AK278">IF(F278=1,SUM((ROW(M0)=ROW(AK278))*(M0+M1_+M2_+M3_+M4_+M5_+M6_+M7_+M8_+M9_+M10_+M11_+M12_+M13_+M14_+M15_+M16_+M17_+M18_+M19_+M20_+M21_+M22_+M23_+M24_+M25_)),0)</f>
        <v>0</v>
      </c>
      <c r="AL278" s="27">
        <f>TableCosts[[#This Row],[N_Direct]]</f>
        <v>0</v>
      </c>
      <c r="AN278" s="7" t="str">
        <f t="shared" si="51"/>
        <v/>
      </c>
      <c r="AO278" s="7" t="str">
        <f t="shared" si="54"/>
        <v/>
      </c>
      <c r="AP278" s="7" t="str">
        <f t="shared" si="52"/>
        <v/>
      </c>
      <c r="AQ278" s="7" t="str">
        <f t="shared" si="55"/>
        <v/>
      </c>
      <c r="AR278" s="7" t="str">
        <f t="shared" si="53"/>
        <v/>
      </c>
      <c r="AS278" s="7">
        <f t="shared" si="56"/>
        <v>0</v>
      </c>
      <c r="AT278" s="17">
        <f>TableCosts[[#This Row],[N_Amount]]*TableCosts[[#This Row],[N_Tariff]]*TableCosts[[#This Row],[N_ItemsCount]]</f>
        <v>0</v>
      </c>
      <c r="AU278" s="17">
        <f>IF(F278=1,IF(TableCosts[[#This Row],[N_Kateg]]="interné práce",TableCosts[[#This Row],[N_Amount]]*8*PAR_SGA_PERHOUR,0),0)</f>
        <v>0</v>
      </c>
      <c r="AV278" s="17">
        <f>SUM(TableCosts[[#This Row],[N_Direct]:[N_SGA]])</f>
        <v>0</v>
      </c>
      <c r="AW278" s="7">
        <f>IF(F278=1,IF(D278="",NA(),VLOOKUP(C278&amp;TableCosts[[#This Row],[Calc_N_Typ]],TRAN_STRITEMS_LABEL,7,0)),0)</f>
        <v>0</v>
      </c>
      <c r="AX278" s="7">
        <f t="shared" si="57"/>
        <v>0</v>
      </c>
      <c r="AY278" s="57" t="str">
        <f t="shared" si="58"/>
        <v/>
      </c>
      <c r="AZ278" s="57" t="str">
        <f t="shared" si="59"/>
        <v/>
      </c>
      <c r="BA278" s="57" t="str">
        <f>IF(F278=1,IF(TableCosts[[#This Row],[TransferFrom]]=TableCosts[[#This Row],[TranferTo]],0,1),"")</f>
        <v/>
      </c>
      <c r="BB278" s="7">
        <f t="shared" si="60"/>
        <v>0</v>
      </c>
      <c r="BC278" s="7">
        <f t="shared" si="61"/>
        <v>0</v>
      </c>
    </row>
    <row r="279" spans="2:55" s="7" customFormat="1" ht="12.75" x14ac:dyDescent="0.2">
      <c r="B279" s="33"/>
      <c r="C279" s="31"/>
      <c r="D279" s="40"/>
      <c r="E279" s="6" t="str">
        <f>IF(F279=1,IF(ISERROR(TableCosts[[#This Row],[N_Tariff]]),Err_Message1,IF(TableCosts[[#This Row],[N_Tariff]]=0,Err_Message2,VLOOKUP(C279&amp;TableCosts[[#This Row],[Calc_N_Typ]],TRAN_STRITEMS_LABEL,5,FALSE))),"")</f>
        <v/>
      </c>
      <c r="F279" s="6">
        <f t="shared" si="62"/>
        <v>0</v>
      </c>
      <c r="G279" s="6" t="str">
        <f>IF(F279=1,IFERROR(VLOOKUP(E279,Tab_ErrMessage[],2,0),VLOOKUP(C279&amp;TableCosts[[#This Row],[Calc_N_Typ]],TRAN_STRITEMS_LABEL,4,FALSE)),"")</f>
        <v/>
      </c>
      <c r="H279" s="40"/>
      <c r="I279" s="40"/>
      <c r="J279" s="35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4"/>
      <c r="AI279" s="24"/>
      <c r="AJ279" s="24"/>
      <c r="AK279" s="38">
        <f t="array" ref="AK279">IF(F279=1,SUM((ROW(M0)=ROW(AK279))*(M0+M1_+M2_+M3_+M4_+M5_+M6_+M7_+M8_+M9_+M10_+M11_+M12_+M13_+M14_+M15_+M16_+M17_+M18_+M19_+M20_+M21_+M22_+M23_+M24_+M25_)),0)</f>
        <v>0</v>
      </c>
      <c r="AL279" s="27">
        <f>TableCosts[[#This Row],[N_Direct]]</f>
        <v>0</v>
      </c>
      <c r="AN279" s="7" t="str">
        <f t="shared" si="51"/>
        <v/>
      </c>
      <c r="AO279" s="7" t="str">
        <f t="shared" si="54"/>
        <v/>
      </c>
      <c r="AP279" s="7" t="str">
        <f t="shared" si="52"/>
        <v/>
      </c>
      <c r="AQ279" s="7" t="str">
        <f t="shared" si="55"/>
        <v/>
      </c>
      <c r="AR279" s="7" t="str">
        <f t="shared" si="53"/>
        <v/>
      </c>
      <c r="AS279" s="7">
        <f t="shared" si="56"/>
        <v>0</v>
      </c>
      <c r="AT279" s="17">
        <f>TableCosts[[#This Row],[N_Amount]]*TableCosts[[#This Row],[N_Tariff]]*TableCosts[[#This Row],[N_ItemsCount]]</f>
        <v>0</v>
      </c>
      <c r="AU279" s="17">
        <f>IF(F279=1,IF(TableCosts[[#This Row],[N_Kateg]]="interné práce",TableCosts[[#This Row],[N_Amount]]*8*PAR_SGA_PERHOUR,0),0)</f>
        <v>0</v>
      </c>
      <c r="AV279" s="17">
        <f>SUM(TableCosts[[#This Row],[N_Direct]:[N_SGA]])</f>
        <v>0</v>
      </c>
      <c r="AW279" s="7">
        <f>IF(F279=1,IF(D279="",NA(),VLOOKUP(C279&amp;TableCosts[[#This Row],[Calc_N_Typ]],TRAN_STRITEMS_LABEL,7,0)),0)</f>
        <v>0</v>
      </c>
      <c r="AX279" s="7">
        <f t="shared" si="57"/>
        <v>0</v>
      </c>
      <c r="AY279" s="57" t="str">
        <f t="shared" si="58"/>
        <v/>
      </c>
      <c r="AZ279" s="57" t="str">
        <f t="shared" si="59"/>
        <v/>
      </c>
      <c r="BA279" s="57" t="str">
        <f>IF(F279=1,IF(TableCosts[[#This Row],[TransferFrom]]=TableCosts[[#This Row],[TranferTo]],0,1),"")</f>
        <v/>
      </c>
      <c r="BB279" s="7">
        <f t="shared" si="60"/>
        <v>0</v>
      </c>
      <c r="BC279" s="7">
        <f t="shared" si="61"/>
        <v>0</v>
      </c>
    </row>
    <row r="280" spans="2:55" s="7" customFormat="1" ht="12.75" x14ac:dyDescent="0.2">
      <c r="B280" s="33"/>
      <c r="C280" s="31"/>
      <c r="D280" s="40"/>
      <c r="E280" s="6" t="str">
        <f>IF(F280=1,IF(ISERROR(TableCosts[[#This Row],[N_Tariff]]),Err_Message1,IF(TableCosts[[#This Row],[N_Tariff]]=0,Err_Message2,VLOOKUP(C280&amp;TableCosts[[#This Row],[Calc_N_Typ]],TRAN_STRITEMS_LABEL,5,FALSE))),"")</f>
        <v/>
      </c>
      <c r="F280" s="6">
        <f t="shared" si="62"/>
        <v>0</v>
      </c>
      <c r="G280" s="6" t="str">
        <f>IF(F280=1,IFERROR(VLOOKUP(E280,Tab_ErrMessage[],2,0),VLOOKUP(C280&amp;TableCosts[[#This Row],[Calc_N_Typ]],TRAN_STRITEMS_LABEL,4,FALSE)),"")</f>
        <v/>
      </c>
      <c r="H280" s="40"/>
      <c r="I280" s="40"/>
      <c r="J280" s="35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4"/>
      <c r="AI280" s="24"/>
      <c r="AJ280" s="24"/>
      <c r="AK280" s="38">
        <f t="array" ref="AK280">IF(F280=1,SUM((ROW(M0)=ROW(AK280))*(M0+M1_+M2_+M3_+M4_+M5_+M6_+M7_+M8_+M9_+M10_+M11_+M12_+M13_+M14_+M15_+M16_+M17_+M18_+M19_+M20_+M21_+M22_+M23_+M24_+M25_)),0)</f>
        <v>0</v>
      </c>
      <c r="AL280" s="27">
        <f>TableCosts[[#This Row],[N_Direct]]</f>
        <v>0</v>
      </c>
      <c r="AN280" s="7" t="str">
        <f t="shared" si="51"/>
        <v/>
      </c>
      <c r="AO280" s="7" t="str">
        <f t="shared" si="54"/>
        <v/>
      </c>
      <c r="AP280" s="7" t="str">
        <f t="shared" si="52"/>
        <v/>
      </c>
      <c r="AQ280" s="7" t="str">
        <f t="shared" si="55"/>
        <v/>
      </c>
      <c r="AR280" s="7" t="str">
        <f t="shared" si="53"/>
        <v/>
      </c>
      <c r="AS280" s="7">
        <f t="shared" si="56"/>
        <v>0</v>
      </c>
      <c r="AT280" s="17">
        <f>TableCosts[[#This Row],[N_Amount]]*TableCosts[[#This Row],[N_Tariff]]*TableCosts[[#This Row],[N_ItemsCount]]</f>
        <v>0</v>
      </c>
      <c r="AU280" s="17">
        <f>IF(F280=1,IF(TableCosts[[#This Row],[N_Kateg]]="interné práce",TableCosts[[#This Row],[N_Amount]]*8*PAR_SGA_PERHOUR,0),0)</f>
        <v>0</v>
      </c>
      <c r="AV280" s="17">
        <f>SUM(TableCosts[[#This Row],[N_Direct]:[N_SGA]])</f>
        <v>0</v>
      </c>
      <c r="AW280" s="7">
        <f>IF(F280=1,IF(D280="",NA(),VLOOKUP(C280&amp;TableCosts[[#This Row],[Calc_N_Typ]],TRAN_STRITEMS_LABEL,7,0)),0)</f>
        <v>0</v>
      </c>
      <c r="AX280" s="7">
        <f t="shared" si="57"/>
        <v>0</v>
      </c>
      <c r="AY280" s="57" t="str">
        <f t="shared" si="58"/>
        <v/>
      </c>
      <c r="AZ280" s="57" t="str">
        <f t="shared" si="59"/>
        <v/>
      </c>
      <c r="BA280" s="57" t="str">
        <f>IF(F280=1,IF(TableCosts[[#This Row],[TransferFrom]]=TableCosts[[#This Row],[TranferTo]],0,1),"")</f>
        <v/>
      </c>
      <c r="BB280" s="7">
        <f t="shared" si="60"/>
        <v>0</v>
      </c>
      <c r="BC280" s="7">
        <f t="shared" si="61"/>
        <v>0</v>
      </c>
    </row>
    <row r="281" spans="2:55" s="7" customFormat="1" ht="12.75" x14ac:dyDescent="0.2">
      <c r="B281" s="33"/>
      <c r="C281" s="31"/>
      <c r="D281" s="40"/>
      <c r="E281" s="6" t="str">
        <f>IF(F281=1,IF(ISERROR(TableCosts[[#This Row],[N_Tariff]]),Err_Message1,IF(TableCosts[[#This Row],[N_Tariff]]=0,Err_Message2,VLOOKUP(C281&amp;TableCosts[[#This Row],[Calc_N_Typ]],TRAN_STRITEMS_LABEL,5,FALSE))),"")</f>
        <v/>
      </c>
      <c r="F281" s="6">
        <f t="shared" si="62"/>
        <v>0</v>
      </c>
      <c r="G281" s="6" t="str">
        <f>IF(F281=1,IFERROR(VLOOKUP(E281,Tab_ErrMessage[],2,0),VLOOKUP(C281&amp;TableCosts[[#This Row],[Calc_N_Typ]],TRAN_STRITEMS_LABEL,4,FALSE)),"")</f>
        <v/>
      </c>
      <c r="H281" s="40"/>
      <c r="I281" s="40"/>
      <c r="J281" s="35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4"/>
      <c r="AI281" s="24"/>
      <c r="AJ281" s="24"/>
      <c r="AK281" s="38">
        <f t="array" ref="AK281">IF(F281=1,SUM((ROW(M0)=ROW(AK281))*(M0+M1_+M2_+M3_+M4_+M5_+M6_+M7_+M8_+M9_+M10_+M11_+M12_+M13_+M14_+M15_+M16_+M17_+M18_+M19_+M20_+M21_+M22_+M23_+M24_+M25_)),0)</f>
        <v>0</v>
      </c>
      <c r="AL281" s="27">
        <f>TableCosts[[#This Row],[N_Direct]]</f>
        <v>0</v>
      </c>
      <c r="AN281" s="7" t="str">
        <f t="shared" si="51"/>
        <v/>
      </c>
      <c r="AO281" s="7" t="str">
        <f t="shared" si="54"/>
        <v/>
      </c>
      <c r="AP281" s="7" t="str">
        <f t="shared" si="52"/>
        <v/>
      </c>
      <c r="AQ281" s="7" t="str">
        <f t="shared" si="55"/>
        <v/>
      </c>
      <c r="AR281" s="7" t="str">
        <f t="shared" si="53"/>
        <v/>
      </c>
      <c r="AS281" s="7">
        <f t="shared" si="56"/>
        <v>0</v>
      </c>
      <c r="AT281" s="17">
        <f>TableCosts[[#This Row],[N_Amount]]*TableCosts[[#This Row],[N_Tariff]]*TableCosts[[#This Row],[N_ItemsCount]]</f>
        <v>0</v>
      </c>
      <c r="AU281" s="17">
        <f>IF(F281=1,IF(TableCosts[[#This Row],[N_Kateg]]="interné práce",TableCosts[[#This Row],[N_Amount]]*8*PAR_SGA_PERHOUR,0),0)</f>
        <v>0</v>
      </c>
      <c r="AV281" s="17">
        <f>SUM(TableCosts[[#This Row],[N_Direct]:[N_SGA]])</f>
        <v>0</v>
      </c>
      <c r="AW281" s="7">
        <f>IF(F281=1,IF(D281="",NA(),VLOOKUP(C281&amp;TableCosts[[#This Row],[Calc_N_Typ]],TRAN_STRITEMS_LABEL,7,0)),0)</f>
        <v>0</v>
      </c>
      <c r="AX281" s="7">
        <f t="shared" si="57"/>
        <v>0</v>
      </c>
      <c r="AY281" s="57" t="str">
        <f t="shared" si="58"/>
        <v/>
      </c>
      <c r="AZ281" s="57" t="str">
        <f t="shared" si="59"/>
        <v/>
      </c>
      <c r="BA281" s="57" t="str">
        <f>IF(F281=1,IF(TableCosts[[#This Row],[TransferFrom]]=TableCosts[[#This Row],[TranferTo]],0,1),"")</f>
        <v/>
      </c>
      <c r="BB281" s="7">
        <f t="shared" si="60"/>
        <v>0</v>
      </c>
      <c r="BC281" s="7">
        <f t="shared" si="61"/>
        <v>0</v>
      </c>
    </row>
    <row r="282" spans="2:55" s="7" customFormat="1" ht="12.75" x14ac:dyDescent="0.2">
      <c r="B282" s="33"/>
      <c r="C282" s="31"/>
      <c r="D282" s="40"/>
      <c r="E282" s="6" t="str">
        <f>IF(F282=1,IF(ISERROR(TableCosts[[#This Row],[N_Tariff]]),Err_Message1,IF(TableCosts[[#This Row],[N_Tariff]]=0,Err_Message2,VLOOKUP(C282&amp;TableCosts[[#This Row],[Calc_N_Typ]],TRAN_STRITEMS_LABEL,5,FALSE))),"")</f>
        <v/>
      </c>
      <c r="F282" s="6">
        <f t="shared" si="62"/>
        <v>0</v>
      </c>
      <c r="G282" s="6" t="str">
        <f>IF(F282=1,IFERROR(VLOOKUP(E282,Tab_ErrMessage[],2,0),VLOOKUP(C282&amp;TableCosts[[#This Row],[Calc_N_Typ]],TRAN_STRITEMS_LABEL,4,FALSE)),"")</f>
        <v/>
      </c>
      <c r="H282" s="40"/>
      <c r="I282" s="40"/>
      <c r="J282" s="35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4"/>
      <c r="AI282" s="24"/>
      <c r="AJ282" s="24"/>
      <c r="AK282" s="38">
        <f t="array" ref="AK282">IF(F282=1,SUM((ROW(M0)=ROW(AK282))*(M0+M1_+M2_+M3_+M4_+M5_+M6_+M7_+M8_+M9_+M10_+M11_+M12_+M13_+M14_+M15_+M16_+M17_+M18_+M19_+M20_+M21_+M22_+M23_+M24_+M25_)),0)</f>
        <v>0</v>
      </c>
      <c r="AL282" s="27">
        <f>TableCosts[[#This Row],[N_Direct]]</f>
        <v>0</v>
      </c>
      <c r="AN282" s="7" t="str">
        <f t="shared" si="51"/>
        <v/>
      </c>
      <c r="AO282" s="7" t="str">
        <f t="shared" si="54"/>
        <v/>
      </c>
      <c r="AP282" s="7" t="str">
        <f t="shared" si="52"/>
        <v/>
      </c>
      <c r="AQ282" s="7" t="str">
        <f t="shared" si="55"/>
        <v/>
      </c>
      <c r="AR282" s="7" t="str">
        <f t="shared" si="53"/>
        <v/>
      </c>
      <c r="AS282" s="7">
        <f t="shared" si="56"/>
        <v>0</v>
      </c>
      <c r="AT282" s="17">
        <f>TableCosts[[#This Row],[N_Amount]]*TableCosts[[#This Row],[N_Tariff]]*TableCosts[[#This Row],[N_ItemsCount]]</f>
        <v>0</v>
      </c>
      <c r="AU282" s="17">
        <f>IF(F282=1,IF(TableCosts[[#This Row],[N_Kateg]]="interné práce",TableCosts[[#This Row],[N_Amount]]*8*PAR_SGA_PERHOUR,0),0)</f>
        <v>0</v>
      </c>
      <c r="AV282" s="17">
        <f>SUM(TableCosts[[#This Row],[N_Direct]:[N_SGA]])</f>
        <v>0</v>
      </c>
      <c r="AW282" s="7">
        <f>IF(F282=1,IF(D282="",NA(),VLOOKUP(C282&amp;TableCosts[[#This Row],[Calc_N_Typ]],TRAN_STRITEMS_LABEL,7,0)),0)</f>
        <v>0</v>
      </c>
      <c r="AX282" s="7">
        <f t="shared" si="57"/>
        <v>0</v>
      </c>
      <c r="AY282" s="57" t="str">
        <f t="shared" si="58"/>
        <v/>
      </c>
      <c r="AZ282" s="57" t="str">
        <f t="shared" si="59"/>
        <v/>
      </c>
      <c r="BA282" s="57" t="str">
        <f>IF(F282=1,IF(TableCosts[[#This Row],[TransferFrom]]=TableCosts[[#This Row],[TranferTo]],0,1),"")</f>
        <v/>
      </c>
      <c r="BB282" s="7">
        <f t="shared" si="60"/>
        <v>0</v>
      </c>
      <c r="BC282" s="7">
        <f t="shared" si="61"/>
        <v>0</v>
      </c>
    </row>
    <row r="283" spans="2:55" s="7" customFormat="1" ht="12.75" x14ac:dyDescent="0.2">
      <c r="B283" s="33"/>
      <c r="C283" s="31"/>
      <c r="D283" s="40"/>
      <c r="E283" s="6" t="str">
        <f>IF(F283=1,IF(ISERROR(TableCosts[[#This Row],[N_Tariff]]),Err_Message1,IF(TableCosts[[#This Row],[N_Tariff]]=0,Err_Message2,VLOOKUP(C283&amp;TableCosts[[#This Row],[Calc_N_Typ]],TRAN_STRITEMS_LABEL,5,FALSE))),"")</f>
        <v/>
      </c>
      <c r="F283" s="6">
        <f t="shared" si="62"/>
        <v>0</v>
      </c>
      <c r="G283" s="6" t="str">
        <f>IF(F283=1,IFERROR(VLOOKUP(E283,Tab_ErrMessage[],2,0),VLOOKUP(C283&amp;TableCosts[[#This Row],[Calc_N_Typ]],TRAN_STRITEMS_LABEL,4,FALSE)),"")</f>
        <v/>
      </c>
      <c r="H283" s="40"/>
      <c r="I283" s="40"/>
      <c r="J283" s="35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4"/>
      <c r="AI283" s="24"/>
      <c r="AJ283" s="24"/>
      <c r="AK283" s="38">
        <f t="array" ref="AK283">IF(F283=1,SUM((ROW(M0)=ROW(AK283))*(M0+M1_+M2_+M3_+M4_+M5_+M6_+M7_+M8_+M9_+M10_+M11_+M12_+M13_+M14_+M15_+M16_+M17_+M18_+M19_+M20_+M21_+M22_+M23_+M24_+M25_)),0)</f>
        <v>0</v>
      </c>
      <c r="AL283" s="27">
        <f>TableCosts[[#This Row],[N_Direct]]</f>
        <v>0</v>
      </c>
      <c r="AN283" s="7" t="str">
        <f t="shared" si="51"/>
        <v/>
      </c>
      <c r="AO283" s="7" t="str">
        <f t="shared" si="54"/>
        <v/>
      </c>
      <c r="AP283" s="7" t="str">
        <f t="shared" si="52"/>
        <v/>
      </c>
      <c r="AQ283" s="7" t="str">
        <f t="shared" si="55"/>
        <v/>
      </c>
      <c r="AR283" s="7" t="str">
        <f t="shared" si="53"/>
        <v/>
      </c>
      <c r="AS283" s="7">
        <f t="shared" si="56"/>
        <v>0</v>
      </c>
      <c r="AT283" s="17">
        <f>TableCosts[[#This Row],[N_Amount]]*TableCosts[[#This Row],[N_Tariff]]*TableCosts[[#This Row],[N_ItemsCount]]</f>
        <v>0</v>
      </c>
      <c r="AU283" s="17">
        <f>IF(F283=1,IF(TableCosts[[#This Row],[N_Kateg]]="interné práce",TableCosts[[#This Row],[N_Amount]]*8*PAR_SGA_PERHOUR,0),0)</f>
        <v>0</v>
      </c>
      <c r="AV283" s="17">
        <f>SUM(TableCosts[[#This Row],[N_Direct]:[N_SGA]])</f>
        <v>0</v>
      </c>
      <c r="AW283" s="7">
        <f>IF(F283=1,IF(D283="",NA(),VLOOKUP(C283&amp;TableCosts[[#This Row],[Calc_N_Typ]],TRAN_STRITEMS_LABEL,7,0)),0)</f>
        <v>0</v>
      </c>
      <c r="AX283" s="7">
        <f t="shared" si="57"/>
        <v>0</v>
      </c>
      <c r="AY283" s="57" t="str">
        <f t="shared" si="58"/>
        <v/>
      </c>
      <c r="AZ283" s="57" t="str">
        <f t="shared" si="59"/>
        <v/>
      </c>
      <c r="BA283" s="57" t="str">
        <f>IF(F283=1,IF(TableCosts[[#This Row],[TransferFrom]]=TableCosts[[#This Row],[TranferTo]],0,1),"")</f>
        <v/>
      </c>
      <c r="BB283" s="7">
        <f t="shared" si="60"/>
        <v>0</v>
      </c>
      <c r="BC283" s="7">
        <f t="shared" si="61"/>
        <v>0</v>
      </c>
    </row>
    <row r="284" spans="2:55" s="7" customFormat="1" ht="12.75" x14ac:dyDescent="0.2">
      <c r="B284" s="33"/>
      <c r="C284" s="31"/>
      <c r="D284" s="40"/>
      <c r="E284" s="6" t="str">
        <f>IF(F284=1,IF(ISERROR(TableCosts[[#This Row],[N_Tariff]]),Err_Message1,IF(TableCosts[[#This Row],[N_Tariff]]=0,Err_Message2,VLOOKUP(C284&amp;TableCosts[[#This Row],[Calc_N_Typ]],TRAN_STRITEMS_LABEL,5,FALSE))),"")</f>
        <v/>
      </c>
      <c r="F284" s="6">
        <f t="shared" si="62"/>
        <v>0</v>
      </c>
      <c r="G284" s="6" t="str">
        <f>IF(F284=1,IFERROR(VLOOKUP(E284,Tab_ErrMessage[],2,0),VLOOKUP(C284&amp;TableCosts[[#This Row],[Calc_N_Typ]],TRAN_STRITEMS_LABEL,4,FALSE)),"")</f>
        <v/>
      </c>
      <c r="H284" s="40"/>
      <c r="I284" s="40"/>
      <c r="J284" s="35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4"/>
      <c r="AI284" s="24"/>
      <c r="AJ284" s="24"/>
      <c r="AK284" s="38">
        <f t="array" ref="AK284">IF(F284=1,SUM((ROW(M0)=ROW(AK284))*(M0+M1_+M2_+M3_+M4_+M5_+M6_+M7_+M8_+M9_+M10_+M11_+M12_+M13_+M14_+M15_+M16_+M17_+M18_+M19_+M20_+M21_+M22_+M23_+M24_+M25_)),0)</f>
        <v>0</v>
      </c>
      <c r="AL284" s="27">
        <f>TableCosts[[#This Row],[N_Direct]]</f>
        <v>0</v>
      </c>
      <c r="AN284" s="7" t="str">
        <f t="shared" si="51"/>
        <v/>
      </c>
      <c r="AO284" s="7" t="str">
        <f t="shared" si="54"/>
        <v/>
      </c>
      <c r="AP284" s="7" t="str">
        <f t="shared" si="52"/>
        <v/>
      </c>
      <c r="AQ284" s="7" t="str">
        <f t="shared" si="55"/>
        <v/>
      </c>
      <c r="AR284" s="7" t="str">
        <f t="shared" si="53"/>
        <v/>
      </c>
      <c r="AS284" s="7">
        <f t="shared" si="56"/>
        <v>0</v>
      </c>
      <c r="AT284" s="17">
        <f>TableCosts[[#This Row],[N_Amount]]*TableCosts[[#This Row],[N_Tariff]]*TableCosts[[#This Row],[N_ItemsCount]]</f>
        <v>0</v>
      </c>
      <c r="AU284" s="17">
        <f>IF(F284=1,IF(TableCosts[[#This Row],[N_Kateg]]="interné práce",TableCosts[[#This Row],[N_Amount]]*8*PAR_SGA_PERHOUR,0),0)</f>
        <v>0</v>
      </c>
      <c r="AV284" s="17">
        <f>SUM(TableCosts[[#This Row],[N_Direct]:[N_SGA]])</f>
        <v>0</v>
      </c>
      <c r="AW284" s="7">
        <f>IF(F284=1,IF(D284="",NA(),VLOOKUP(C284&amp;TableCosts[[#This Row],[Calc_N_Typ]],TRAN_STRITEMS_LABEL,7,0)),0)</f>
        <v>0</v>
      </c>
      <c r="AX284" s="7">
        <f t="shared" si="57"/>
        <v>0</v>
      </c>
      <c r="AY284" s="57" t="str">
        <f t="shared" si="58"/>
        <v/>
      </c>
      <c r="AZ284" s="57" t="str">
        <f t="shared" si="59"/>
        <v/>
      </c>
      <c r="BA284" s="57" t="str">
        <f>IF(F284=1,IF(TableCosts[[#This Row],[TransferFrom]]=TableCosts[[#This Row],[TranferTo]],0,1),"")</f>
        <v/>
      </c>
      <c r="BB284" s="7">
        <f t="shared" si="60"/>
        <v>0</v>
      </c>
      <c r="BC284" s="7">
        <f t="shared" si="61"/>
        <v>0</v>
      </c>
    </row>
    <row r="285" spans="2:55" s="7" customFormat="1" ht="12.75" x14ac:dyDescent="0.2">
      <c r="B285" s="33"/>
      <c r="C285" s="31"/>
      <c r="D285" s="40"/>
      <c r="E285" s="6" t="str">
        <f>IF(F285=1,IF(ISERROR(TableCosts[[#This Row],[N_Tariff]]),Err_Message1,IF(TableCosts[[#This Row],[N_Tariff]]=0,Err_Message2,VLOOKUP(C285&amp;TableCosts[[#This Row],[Calc_N_Typ]],TRAN_STRITEMS_LABEL,5,FALSE))),"")</f>
        <v/>
      </c>
      <c r="F285" s="6">
        <f t="shared" si="62"/>
        <v>0</v>
      </c>
      <c r="G285" s="6" t="str">
        <f>IF(F285=1,IFERROR(VLOOKUP(E285,Tab_ErrMessage[],2,0),VLOOKUP(C285&amp;TableCosts[[#This Row],[Calc_N_Typ]],TRAN_STRITEMS_LABEL,4,FALSE)),"")</f>
        <v/>
      </c>
      <c r="H285" s="40"/>
      <c r="I285" s="40"/>
      <c r="J285" s="35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4"/>
      <c r="AI285" s="24"/>
      <c r="AJ285" s="24"/>
      <c r="AK285" s="38">
        <f t="array" ref="AK285">IF(F285=1,SUM((ROW(M0)=ROW(AK285))*(M0+M1_+M2_+M3_+M4_+M5_+M6_+M7_+M8_+M9_+M10_+M11_+M12_+M13_+M14_+M15_+M16_+M17_+M18_+M19_+M20_+M21_+M22_+M23_+M24_+M25_)),0)</f>
        <v>0</v>
      </c>
      <c r="AL285" s="27">
        <f>TableCosts[[#This Row],[N_Direct]]</f>
        <v>0</v>
      </c>
      <c r="AN285" s="7" t="str">
        <f t="shared" si="51"/>
        <v/>
      </c>
      <c r="AO285" s="7" t="str">
        <f t="shared" si="54"/>
        <v/>
      </c>
      <c r="AP285" s="7" t="str">
        <f t="shared" si="52"/>
        <v/>
      </c>
      <c r="AQ285" s="7" t="str">
        <f t="shared" si="55"/>
        <v/>
      </c>
      <c r="AR285" s="7" t="str">
        <f t="shared" si="53"/>
        <v/>
      </c>
      <c r="AS285" s="7">
        <f t="shared" si="56"/>
        <v>0</v>
      </c>
      <c r="AT285" s="17">
        <f>TableCosts[[#This Row],[N_Amount]]*TableCosts[[#This Row],[N_Tariff]]*TableCosts[[#This Row],[N_ItemsCount]]</f>
        <v>0</v>
      </c>
      <c r="AU285" s="17">
        <f>IF(F285=1,IF(TableCosts[[#This Row],[N_Kateg]]="interné práce",TableCosts[[#This Row],[N_Amount]]*8*PAR_SGA_PERHOUR,0),0)</f>
        <v>0</v>
      </c>
      <c r="AV285" s="17">
        <f>SUM(TableCosts[[#This Row],[N_Direct]:[N_SGA]])</f>
        <v>0</v>
      </c>
      <c r="AW285" s="7">
        <f>IF(F285=1,IF(D285="",NA(),VLOOKUP(C285&amp;TableCosts[[#This Row],[Calc_N_Typ]],TRAN_STRITEMS_LABEL,7,0)),0)</f>
        <v>0</v>
      </c>
      <c r="AX285" s="7">
        <f t="shared" si="57"/>
        <v>0</v>
      </c>
      <c r="AY285" s="57" t="str">
        <f t="shared" si="58"/>
        <v/>
      </c>
      <c r="AZ285" s="57" t="str">
        <f t="shared" si="59"/>
        <v/>
      </c>
      <c r="BA285" s="57" t="str">
        <f>IF(F285=1,IF(TableCosts[[#This Row],[TransferFrom]]=TableCosts[[#This Row],[TranferTo]],0,1),"")</f>
        <v/>
      </c>
      <c r="BB285" s="7">
        <f t="shared" si="60"/>
        <v>0</v>
      </c>
      <c r="BC285" s="7">
        <f t="shared" si="61"/>
        <v>0</v>
      </c>
    </row>
    <row r="286" spans="2:55" s="7" customFormat="1" ht="12.75" x14ac:dyDescent="0.2">
      <c r="B286" s="33"/>
      <c r="C286" s="31"/>
      <c r="D286" s="40"/>
      <c r="E286" s="6" t="str">
        <f>IF(F286=1,IF(ISERROR(TableCosts[[#This Row],[N_Tariff]]),Err_Message1,IF(TableCosts[[#This Row],[N_Tariff]]=0,Err_Message2,VLOOKUP(C286&amp;TableCosts[[#This Row],[Calc_N_Typ]],TRAN_STRITEMS_LABEL,5,FALSE))),"")</f>
        <v/>
      </c>
      <c r="F286" s="6">
        <f t="shared" si="62"/>
        <v>0</v>
      </c>
      <c r="G286" s="6" t="str">
        <f>IF(F286=1,IFERROR(VLOOKUP(E286,Tab_ErrMessage[],2,0),VLOOKUP(C286&amp;TableCosts[[#This Row],[Calc_N_Typ]],TRAN_STRITEMS_LABEL,4,FALSE)),"")</f>
        <v/>
      </c>
      <c r="H286" s="40"/>
      <c r="I286" s="40"/>
      <c r="J286" s="35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4"/>
      <c r="AI286" s="24"/>
      <c r="AJ286" s="24"/>
      <c r="AK286" s="38">
        <f t="array" ref="AK286">IF(F286=1,SUM((ROW(M0)=ROW(AK286))*(M0+M1_+M2_+M3_+M4_+M5_+M6_+M7_+M8_+M9_+M10_+M11_+M12_+M13_+M14_+M15_+M16_+M17_+M18_+M19_+M20_+M21_+M22_+M23_+M24_+M25_)),0)</f>
        <v>0</v>
      </c>
      <c r="AL286" s="27">
        <f>TableCosts[[#This Row],[N_Direct]]</f>
        <v>0</v>
      </c>
      <c r="AN286" s="7" t="str">
        <f t="shared" si="51"/>
        <v/>
      </c>
      <c r="AO286" s="7" t="str">
        <f t="shared" si="54"/>
        <v/>
      </c>
      <c r="AP286" s="7" t="str">
        <f t="shared" si="52"/>
        <v/>
      </c>
      <c r="AQ286" s="7" t="str">
        <f t="shared" si="55"/>
        <v/>
      </c>
      <c r="AR286" s="7" t="str">
        <f t="shared" si="53"/>
        <v/>
      </c>
      <c r="AS286" s="7">
        <f t="shared" si="56"/>
        <v>0</v>
      </c>
      <c r="AT286" s="17">
        <f>TableCosts[[#This Row],[N_Amount]]*TableCosts[[#This Row],[N_Tariff]]*TableCosts[[#This Row],[N_ItemsCount]]</f>
        <v>0</v>
      </c>
      <c r="AU286" s="17">
        <f>IF(F286=1,IF(TableCosts[[#This Row],[N_Kateg]]="interné práce",TableCosts[[#This Row],[N_Amount]]*8*PAR_SGA_PERHOUR,0),0)</f>
        <v>0</v>
      </c>
      <c r="AV286" s="17">
        <f>SUM(TableCosts[[#This Row],[N_Direct]:[N_SGA]])</f>
        <v>0</v>
      </c>
      <c r="AW286" s="7">
        <f>IF(F286=1,IF(D286="",NA(),VLOOKUP(C286&amp;TableCosts[[#This Row],[Calc_N_Typ]],TRAN_STRITEMS_LABEL,7,0)),0)</f>
        <v>0</v>
      </c>
      <c r="AX286" s="7">
        <f t="shared" si="57"/>
        <v>0</v>
      </c>
      <c r="AY286" s="57" t="str">
        <f t="shared" si="58"/>
        <v/>
      </c>
      <c r="AZ286" s="57" t="str">
        <f t="shared" si="59"/>
        <v/>
      </c>
      <c r="BA286" s="57" t="str">
        <f>IF(F286=1,IF(TableCosts[[#This Row],[TransferFrom]]=TableCosts[[#This Row],[TranferTo]],0,1),"")</f>
        <v/>
      </c>
      <c r="BB286" s="7">
        <f t="shared" si="60"/>
        <v>0</v>
      </c>
      <c r="BC286" s="7">
        <f t="shared" si="61"/>
        <v>0</v>
      </c>
    </row>
    <row r="287" spans="2:55" s="7" customFormat="1" ht="12.75" x14ac:dyDescent="0.2">
      <c r="B287" s="33"/>
      <c r="C287" s="31"/>
      <c r="D287" s="40"/>
      <c r="E287" s="6" t="str">
        <f>IF(F287=1,IF(ISERROR(TableCosts[[#This Row],[N_Tariff]]),Err_Message1,IF(TableCosts[[#This Row],[N_Tariff]]=0,Err_Message2,VLOOKUP(C287&amp;TableCosts[[#This Row],[Calc_N_Typ]],TRAN_STRITEMS_LABEL,5,FALSE))),"")</f>
        <v/>
      </c>
      <c r="F287" s="6">
        <f t="shared" si="62"/>
        <v>0</v>
      </c>
      <c r="G287" s="6" t="str">
        <f>IF(F287=1,IFERROR(VLOOKUP(E287,Tab_ErrMessage[],2,0),VLOOKUP(C287&amp;TableCosts[[#This Row],[Calc_N_Typ]],TRAN_STRITEMS_LABEL,4,FALSE)),"")</f>
        <v/>
      </c>
      <c r="H287" s="40"/>
      <c r="I287" s="40"/>
      <c r="J287" s="35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4"/>
      <c r="AI287" s="24"/>
      <c r="AJ287" s="24"/>
      <c r="AK287" s="38">
        <f t="array" ref="AK287">IF(F287=1,SUM((ROW(M0)=ROW(AK287))*(M0+M1_+M2_+M3_+M4_+M5_+M6_+M7_+M8_+M9_+M10_+M11_+M12_+M13_+M14_+M15_+M16_+M17_+M18_+M19_+M20_+M21_+M22_+M23_+M24_+M25_)),0)</f>
        <v>0</v>
      </c>
      <c r="AL287" s="27">
        <f>TableCosts[[#This Row],[N_Direct]]</f>
        <v>0</v>
      </c>
      <c r="AN287" s="7" t="str">
        <f t="shared" si="51"/>
        <v/>
      </c>
      <c r="AO287" s="7" t="str">
        <f t="shared" si="54"/>
        <v/>
      </c>
      <c r="AP287" s="7" t="str">
        <f t="shared" si="52"/>
        <v/>
      </c>
      <c r="AQ287" s="7" t="str">
        <f t="shared" si="55"/>
        <v/>
      </c>
      <c r="AR287" s="7" t="str">
        <f t="shared" si="53"/>
        <v/>
      </c>
      <c r="AS287" s="7">
        <f t="shared" si="56"/>
        <v>0</v>
      </c>
      <c r="AT287" s="17">
        <f>TableCosts[[#This Row],[N_Amount]]*TableCosts[[#This Row],[N_Tariff]]*TableCosts[[#This Row],[N_ItemsCount]]</f>
        <v>0</v>
      </c>
      <c r="AU287" s="17">
        <f>IF(F287=1,IF(TableCosts[[#This Row],[N_Kateg]]="interné práce",TableCosts[[#This Row],[N_Amount]]*8*PAR_SGA_PERHOUR,0),0)</f>
        <v>0</v>
      </c>
      <c r="AV287" s="17">
        <f>SUM(TableCosts[[#This Row],[N_Direct]:[N_SGA]])</f>
        <v>0</v>
      </c>
      <c r="AW287" s="7">
        <f>IF(F287=1,IF(D287="",NA(),VLOOKUP(C287&amp;TableCosts[[#This Row],[Calc_N_Typ]],TRAN_STRITEMS_LABEL,7,0)),0)</f>
        <v>0</v>
      </c>
      <c r="AX287" s="7">
        <f t="shared" si="57"/>
        <v>0</v>
      </c>
      <c r="AY287" s="57" t="str">
        <f t="shared" si="58"/>
        <v/>
      </c>
      <c r="AZ287" s="57" t="str">
        <f t="shared" si="59"/>
        <v/>
      </c>
      <c r="BA287" s="57" t="str">
        <f>IF(F287=1,IF(TableCosts[[#This Row],[TransferFrom]]=TableCosts[[#This Row],[TranferTo]],0,1),"")</f>
        <v/>
      </c>
      <c r="BB287" s="7">
        <f t="shared" si="60"/>
        <v>0</v>
      </c>
      <c r="BC287" s="7">
        <f t="shared" si="61"/>
        <v>0</v>
      </c>
    </row>
    <row r="288" spans="2:55" s="7" customFormat="1" ht="12.75" x14ac:dyDescent="0.2">
      <c r="B288" s="33"/>
      <c r="C288" s="31"/>
      <c r="D288" s="40"/>
      <c r="E288" s="6" t="str">
        <f>IF(F288=1,IF(ISERROR(TableCosts[[#This Row],[N_Tariff]]),Err_Message1,IF(TableCosts[[#This Row],[N_Tariff]]=0,Err_Message2,VLOOKUP(C288&amp;TableCosts[[#This Row],[Calc_N_Typ]],TRAN_STRITEMS_LABEL,5,FALSE))),"")</f>
        <v/>
      </c>
      <c r="F288" s="6">
        <f t="shared" si="62"/>
        <v>0</v>
      </c>
      <c r="G288" s="6" t="str">
        <f>IF(F288=1,IFERROR(VLOOKUP(E288,Tab_ErrMessage[],2,0),VLOOKUP(C288&amp;TableCosts[[#This Row],[Calc_N_Typ]],TRAN_STRITEMS_LABEL,4,FALSE)),"")</f>
        <v/>
      </c>
      <c r="H288" s="40"/>
      <c r="I288" s="40"/>
      <c r="J288" s="35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4"/>
      <c r="AI288" s="24"/>
      <c r="AJ288" s="24"/>
      <c r="AK288" s="38">
        <f t="array" ref="AK288">IF(F288=1,SUM((ROW(M0)=ROW(AK288))*(M0+M1_+M2_+M3_+M4_+M5_+M6_+M7_+M8_+M9_+M10_+M11_+M12_+M13_+M14_+M15_+M16_+M17_+M18_+M19_+M20_+M21_+M22_+M23_+M24_+M25_)),0)</f>
        <v>0</v>
      </c>
      <c r="AL288" s="27">
        <f>TableCosts[[#This Row],[N_Direct]]</f>
        <v>0</v>
      </c>
      <c r="AN288" s="7" t="str">
        <f t="shared" si="51"/>
        <v/>
      </c>
      <c r="AO288" s="7" t="str">
        <f t="shared" si="54"/>
        <v/>
      </c>
      <c r="AP288" s="7" t="str">
        <f t="shared" si="52"/>
        <v/>
      </c>
      <c r="AQ288" s="7" t="str">
        <f t="shared" si="55"/>
        <v/>
      </c>
      <c r="AR288" s="7" t="str">
        <f t="shared" si="53"/>
        <v/>
      </c>
      <c r="AS288" s="7">
        <f t="shared" si="56"/>
        <v>0</v>
      </c>
      <c r="AT288" s="17">
        <f>TableCosts[[#This Row],[N_Amount]]*TableCosts[[#This Row],[N_Tariff]]*TableCosts[[#This Row],[N_ItemsCount]]</f>
        <v>0</v>
      </c>
      <c r="AU288" s="17">
        <f>IF(F288=1,IF(TableCosts[[#This Row],[N_Kateg]]="interné práce",TableCosts[[#This Row],[N_Amount]]*8*PAR_SGA_PERHOUR,0),0)</f>
        <v>0</v>
      </c>
      <c r="AV288" s="17">
        <f>SUM(TableCosts[[#This Row],[N_Direct]:[N_SGA]])</f>
        <v>0</v>
      </c>
      <c r="AW288" s="7">
        <f>IF(F288=1,IF(D288="",NA(),VLOOKUP(C288&amp;TableCosts[[#This Row],[Calc_N_Typ]],TRAN_STRITEMS_LABEL,7,0)),0)</f>
        <v>0</v>
      </c>
      <c r="AX288" s="7">
        <f t="shared" si="57"/>
        <v>0</v>
      </c>
      <c r="AY288" s="57" t="str">
        <f t="shared" si="58"/>
        <v/>
      </c>
      <c r="AZ288" s="57" t="str">
        <f t="shared" si="59"/>
        <v/>
      </c>
      <c r="BA288" s="57" t="str">
        <f>IF(F288=1,IF(TableCosts[[#This Row],[TransferFrom]]=TableCosts[[#This Row],[TranferTo]],0,1),"")</f>
        <v/>
      </c>
      <c r="BB288" s="7">
        <f t="shared" si="60"/>
        <v>0</v>
      </c>
      <c r="BC288" s="7">
        <f t="shared" si="61"/>
        <v>0</v>
      </c>
    </row>
    <row r="289" spans="2:55" s="7" customFormat="1" ht="12.75" x14ac:dyDescent="0.2">
      <c r="B289" s="33"/>
      <c r="C289" s="31"/>
      <c r="D289" s="40"/>
      <c r="E289" s="6" t="str">
        <f>IF(F289=1,IF(ISERROR(TableCosts[[#This Row],[N_Tariff]]),Err_Message1,IF(TableCosts[[#This Row],[N_Tariff]]=0,Err_Message2,VLOOKUP(C289&amp;TableCosts[[#This Row],[Calc_N_Typ]],TRAN_STRITEMS_LABEL,5,FALSE))),"")</f>
        <v/>
      </c>
      <c r="F289" s="6">
        <f t="shared" si="62"/>
        <v>0</v>
      </c>
      <c r="G289" s="6" t="str">
        <f>IF(F289=1,IFERROR(VLOOKUP(E289,Tab_ErrMessage[],2,0),VLOOKUP(C289&amp;TableCosts[[#This Row],[Calc_N_Typ]],TRAN_STRITEMS_LABEL,4,FALSE)),"")</f>
        <v/>
      </c>
      <c r="H289" s="40"/>
      <c r="I289" s="40"/>
      <c r="J289" s="35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4"/>
      <c r="AI289" s="24"/>
      <c r="AJ289" s="24"/>
      <c r="AK289" s="38">
        <f t="array" ref="AK289">IF(F289=1,SUM((ROW(M0)=ROW(AK289))*(M0+M1_+M2_+M3_+M4_+M5_+M6_+M7_+M8_+M9_+M10_+M11_+M12_+M13_+M14_+M15_+M16_+M17_+M18_+M19_+M20_+M21_+M22_+M23_+M24_+M25_)),0)</f>
        <v>0</v>
      </c>
      <c r="AL289" s="27">
        <f>TableCosts[[#This Row],[N_Direct]]</f>
        <v>0</v>
      </c>
      <c r="AN289" s="7" t="str">
        <f t="shared" si="51"/>
        <v/>
      </c>
      <c r="AO289" s="7" t="str">
        <f t="shared" si="54"/>
        <v/>
      </c>
      <c r="AP289" s="7" t="str">
        <f t="shared" si="52"/>
        <v/>
      </c>
      <c r="AQ289" s="7" t="str">
        <f t="shared" si="55"/>
        <v/>
      </c>
      <c r="AR289" s="7" t="str">
        <f t="shared" si="53"/>
        <v/>
      </c>
      <c r="AS289" s="7">
        <f t="shared" si="56"/>
        <v>0</v>
      </c>
      <c r="AT289" s="17">
        <f>TableCosts[[#This Row],[N_Amount]]*TableCosts[[#This Row],[N_Tariff]]*TableCosts[[#This Row],[N_ItemsCount]]</f>
        <v>0</v>
      </c>
      <c r="AU289" s="17">
        <f>IF(F289=1,IF(TableCosts[[#This Row],[N_Kateg]]="interné práce",TableCosts[[#This Row],[N_Amount]]*8*PAR_SGA_PERHOUR,0),0)</f>
        <v>0</v>
      </c>
      <c r="AV289" s="17">
        <f>SUM(TableCosts[[#This Row],[N_Direct]:[N_SGA]])</f>
        <v>0</v>
      </c>
      <c r="AW289" s="7">
        <f>IF(F289=1,IF(D289="",NA(),VLOOKUP(C289&amp;TableCosts[[#This Row],[Calc_N_Typ]],TRAN_STRITEMS_LABEL,7,0)),0)</f>
        <v>0</v>
      </c>
      <c r="AX289" s="7">
        <f t="shared" si="57"/>
        <v>0</v>
      </c>
      <c r="AY289" s="57" t="str">
        <f t="shared" si="58"/>
        <v/>
      </c>
      <c r="AZ289" s="57" t="str">
        <f t="shared" si="59"/>
        <v/>
      </c>
      <c r="BA289" s="57" t="str">
        <f>IF(F289=1,IF(TableCosts[[#This Row],[TransferFrom]]=TableCosts[[#This Row],[TranferTo]],0,1),"")</f>
        <v/>
      </c>
      <c r="BB289" s="7">
        <f t="shared" si="60"/>
        <v>0</v>
      </c>
      <c r="BC289" s="7">
        <f t="shared" si="61"/>
        <v>0</v>
      </c>
    </row>
    <row r="290" spans="2:55" s="7" customFormat="1" ht="12.75" x14ac:dyDescent="0.2">
      <c r="B290" s="33"/>
      <c r="C290" s="31"/>
      <c r="D290" s="40"/>
      <c r="E290" s="6" t="str">
        <f>IF(F290=1,IF(ISERROR(TableCosts[[#This Row],[N_Tariff]]),Err_Message1,IF(TableCosts[[#This Row],[N_Tariff]]=0,Err_Message2,VLOOKUP(C290&amp;TableCosts[[#This Row],[Calc_N_Typ]],TRAN_STRITEMS_LABEL,5,FALSE))),"")</f>
        <v/>
      </c>
      <c r="F290" s="6">
        <f t="shared" si="62"/>
        <v>0</v>
      </c>
      <c r="G290" s="6" t="str">
        <f>IF(F290=1,IFERROR(VLOOKUP(E290,Tab_ErrMessage[],2,0),VLOOKUP(C290&amp;TableCosts[[#This Row],[Calc_N_Typ]],TRAN_STRITEMS_LABEL,4,FALSE)),"")</f>
        <v/>
      </c>
      <c r="H290" s="40"/>
      <c r="I290" s="40"/>
      <c r="J290" s="35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4"/>
      <c r="AI290" s="24"/>
      <c r="AJ290" s="24"/>
      <c r="AK290" s="38">
        <f t="array" ref="AK290">IF(F290=1,SUM((ROW(M0)=ROW(AK290))*(M0+M1_+M2_+M3_+M4_+M5_+M6_+M7_+M8_+M9_+M10_+M11_+M12_+M13_+M14_+M15_+M16_+M17_+M18_+M19_+M20_+M21_+M22_+M23_+M24_+M25_)),0)</f>
        <v>0</v>
      </c>
      <c r="AL290" s="27">
        <f>TableCosts[[#This Row],[N_Direct]]</f>
        <v>0</v>
      </c>
      <c r="AN290" s="7" t="str">
        <f t="shared" si="51"/>
        <v/>
      </c>
      <c r="AO290" s="7" t="str">
        <f t="shared" si="54"/>
        <v/>
      </c>
      <c r="AP290" s="7" t="str">
        <f t="shared" si="52"/>
        <v/>
      </c>
      <c r="AQ290" s="7" t="str">
        <f t="shared" si="55"/>
        <v/>
      </c>
      <c r="AR290" s="7" t="str">
        <f t="shared" si="53"/>
        <v/>
      </c>
      <c r="AS290" s="7">
        <f t="shared" si="56"/>
        <v>0</v>
      </c>
      <c r="AT290" s="17">
        <f>TableCosts[[#This Row],[N_Amount]]*TableCosts[[#This Row],[N_Tariff]]*TableCosts[[#This Row],[N_ItemsCount]]</f>
        <v>0</v>
      </c>
      <c r="AU290" s="17">
        <f>IF(F290=1,IF(TableCosts[[#This Row],[N_Kateg]]="interné práce",TableCosts[[#This Row],[N_Amount]]*8*PAR_SGA_PERHOUR,0),0)</f>
        <v>0</v>
      </c>
      <c r="AV290" s="17">
        <f>SUM(TableCosts[[#This Row],[N_Direct]:[N_SGA]])</f>
        <v>0</v>
      </c>
      <c r="AW290" s="7">
        <f>IF(F290=1,IF(D290="",NA(),VLOOKUP(C290&amp;TableCosts[[#This Row],[Calc_N_Typ]],TRAN_STRITEMS_LABEL,7,0)),0)</f>
        <v>0</v>
      </c>
      <c r="AX290" s="7">
        <f t="shared" si="57"/>
        <v>0</v>
      </c>
      <c r="AY290" s="57" t="str">
        <f t="shared" si="58"/>
        <v/>
      </c>
      <c r="AZ290" s="57" t="str">
        <f t="shared" si="59"/>
        <v/>
      </c>
      <c r="BA290" s="57" t="str">
        <f>IF(F290=1,IF(TableCosts[[#This Row],[TransferFrom]]=TableCosts[[#This Row],[TranferTo]],0,1),"")</f>
        <v/>
      </c>
      <c r="BB290" s="7">
        <f t="shared" si="60"/>
        <v>0</v>
      </c>
      <c r="BC290" s="7">
        <f t="shared" si="61"/>
        <v>0</v>
      </c>
    </row>
    <row r="291" spans="2:55" s="7" customFormat="1" ht="12.75" x14ac:dyDescent="0.2">
      <c r="B291" s="33"/>
      <c r="C291" s="31"/>
      <c r="D291" s="40"/>
      <c r="E291" s="6" t="str">
        <f>IF(F291=1,IF(ISERROR(TableCosts[[#This Row],[N_Tariff]]),Err_Message1,IF(TableCosts[[#This Row],[N_Tariff]]=0,Err_Message2,VLOOKUP(C291&amp;TableCosts[[#This Row],[Calc_N_Typ]],TRAN_STRITEMS_LABEL,5,FALSE))),"")</f>
        <v/>
      </c>
      <c r="F291" s="6">
        <f t="shared" si="62"/>
        <v>0</v>
      </c>
      <c r="G291" s="6" t="str">
        <f>IF(F291=1,IFERROR(VLOOKUP(E291,Tab_ErrMessage[],2,0),VLOOKUP(C291&amp;TableCosts[[#This Row],[Calc_N_Typ]],TRAN_STRITEMS_LABEL,4,FALSE)),"")</f>
        <v/>
      </c>
      <c r="H291" s="40"/>
      <c r="I291" s="40"/>
      <c r="J291" s="35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4"/>
      <c r="AI291" s="24"/>
      <c r="AJ291" s="24"/>
      <c r="AK291" s="38">
        <f t="array" ref="AK291">IF(F291=1,SUM((ROW(M0)=ROW(AK291))*(M0+M1_+M2_+M3_+M4_+M5_+M6_+M7_+M8_+M9_+M10_+M11_+M12_+M13_+M14_+M15_+M16_+M17_+M18_+M19_+M20_+M21_+M22_+M23_+M24_+M25_)),0)</f>
        <v>0</v>
      </c>
      <c r="AL291" s="27">
        <f>TableCosts[[#This Row],[N_Direct]]</f>
        <v>0</v>
      </c>
      <c r="AN291" s="7" t="str">
        <f t="shared" si="51"/>
        <v/>
      </c>
      <c r="AO291" s="7" t="str">
        <f t="shared" si="54"/>
        <v/>
      </c>
      <c r="AP291" s="7" t="str">
        <f t="shared" si="52"/>
        <v/>
      </c>
      <c r="AQ291" s="7" t="str">
        <f t="shared" si="55"/>
        <v/>
      </c>
      <c r="AR291" s="7" t="str">
        <f t="shared" si="53"/>
        <v/>
      </c>
      <c r="AS291" s="7">
        <f t="shared" si="56"/>
        <v>0</v>
      </c>
      <c r="AT291" s="17">
        <f>TableCosts[[#This Row],[N_Amount]]*TableCosts[[#This Row],[N_Tariff]]*TableCosts[[#This Row],[N_ItemsCount]]</f>
        <v>0</v>
      </c>
      <c r="AU291" s="17">
        <f>IF(F291=1,IF(TableCosts[[#This Row],[N_Kateg]]="interné práce",TableCosts[[#This Row],[N_Amount]]*8*PAR_SGA_PERHOUR,0),0)</f>
        <v>0</v>
      </c>
      <c r="AV291" s="17">
        <f>SUM(TableCosts[[#This Row],[N_Direct]:[N_SGA]])</f>
        <v>0</v>
      </c>
      <c r="AW291" s="7">
        <f>IF(F291=1,IF(D291="",NA(),VLOOKUP(C291&amp;TableCosts[[#This Row],[Calc_N_Typ]],TRAN_STRITEMS_LABEL,7,0)),0)</f>
        <v>0</v>
      </c>
      <c r="AX291" s="7">
        <f t="shared" si="57"/>
        <v>0</v>
      </c>
      <c r="AY291" s="57" t="str">
        <f t="shared" si="58"/>
        <v/>
      </c>
      <c r="AZ291" s="57" t="str">
        <f t="shared" si="59"/>
        <v/>
      </c>
      <c r="BA291" s="57" t="str">
        <f>IF(F291=1,IF(TableCosts[[#This Row],[TransferFrom]]=TableCosts[[#This Row],[TranferTo]],0,1),"")</f>
        <v/>
      </c>
      <c r="BB291" s="7">
        <f t="shared" si="60"/>
        <v>0</v>
      </c>
      <c r="BC291" s="7">
        <f t="shared" si="61"/>
        <v>0</v>
      </c>
    </row>
    <row r="292" spans="2:55" s="7" customFormat="1" ht="12.75" x14ac:dyDescent="0.2">
      <c r="B292" s="33"/>
      <c r="C292" s="31"/>
      <c r="D292" s="40"/>
      <c r="E292" s="6" t="str">
        <f>IF(F292=1,IF(ISERROR(TableCosts[[#This Row],[N_Tariff]]),Err_Message1,IF(TableCosts[[#This Row],[N_Tariff]]=0,Err_Message2,VLOOKUP(C292&amp;TableCosts[[#This Row],[Calc_N_Typ]],TRAN_STRITEMS_LABEL,5,FALSE))),"")</f>
        <v/>
      </c>
      <c r="F292" s="6">
        <f t="shared" si="62"/>
        <v>0</v>
      </c>
      <c r="G292" s="6" t="str">
        <f>IF(F292=1,IFERROR(VLOOKUP(E292,Tab_ErrMessage[],2,0),VLOOKUP(C292&amp;TableCosts[[#This Row],[Calc_N_Typ]],TRAN_STRITEMS_LABEL,4,FALSE)),"")</f>
        <v/>
      </c>
      <c r="H292" s="40"/>
      <c r="I292" s="40"/>
      <c r="J292" s="35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4"/>
      <c r="AI292" s="24"/>
      <c r="AJ292" s="24"/>
      <c r="AK292" s="38">
        <f t="array" ref="AK292">IF(F292=1,SUM((ROW(M0)=ROW(AK292))*(M0+M1_+M2_+M3_+M4_+M5_+M6_+M7_+M8_+M9_+M10_+M11_+M12_+M13_+M14_+M15_+M16_+M17_+M18_+M19_+M20_+M21_+M22_+M23_+M24_+M25_)),0)</f>
        <v>0</v>
      </c>
      <c r="AL292" s="27">
        <f>TableCosts[[#This Row],[N_Direct]]</f>
        <v>0</v>
      </c>
      <c r="AN292" s="7" t="str">
        <f t="shared" si="51"/>
        <v/>
      </c>
      <c r="AO292" s="7" t="str">
        <f t="shared" si="54"/>
        <v/>
      </c>
      <c r="AP292" s="7" t="str">
        <f t="shared" si="52"/>
        <v/>
      </c>
      <c r="AQ292" s="7" t="str">
        <f t="shared" si="55"/>
        <v/>
      </c>
      <c r="AR292" s="7" t="str">
        <f t="shared" si="53"/>
        <v/>
      </c>
      <c r="AS292" s="7">
        <f t="shared" si="56"/>
        <v>0</v>
      </c>
      <c r="AT292" s="17">
        <f>TableCosts[[#This Row],[N_Amount]]*TableCosts[[#This Row],[N_Tariff]]*TableCosts[[#This Row],[N_ItemsCount]]</f>
        <v>0</v>
      </c>
      <c r="AU292" s="17">
        <f>IF(F292=1,IF(TableCosts[[#This Row],[N_Kateg]]="interné práce",TableCosts[[#This Row],[N_Amount]]*8*PAR_SGA_PERHOUR,0),0)</f>
        <v>0</v>
      </c>
      <c r="AV292" s="17">
        <f>SUM(TableCosts[[#This Row],[N_Direct]:[N_SGA]])</f>
        <v>0</v>
      </c>
      <c r="AW292" s="7">
        <f>IF(F292=1,IF(D292="",NA(),VLOOKUP(C292&amp;TableCosts[[#This Row],[Calc_N_Typ]],TRAN_STRITEMS_LABEL,7,0)),0)</f>
        <v>0</v>
      </c>
      <c r="AX292" s="7">
        <f t="shared" si="57"/>
        <v>0</v>
      </c>
      <c r="AY292" s="57" t="str">
        <f t="shared" si="58"/>
        <v/>
      </c>
      <c r="AZ292" s="57" t="str">
        <f t="shared" si="59"/>
        <v/>
      </c>
      <c r="BA292" s="57" t="str">
        <f>IF(F292=1,IF(TableCosts[[#This Row],[TransferFrom]]=TableCosts[[#This Row],[TranferTo]],0,1),"")</f>
        <v/>
      </c>
      <c r="BB292" s="7">
        <f t="shared" si="60"/>
        <v>0</v>
      </c>
      <c r="BC292" s="7">
        <f t="shared" si="61"/>
        <v>0</v>
      </c>
    </row>
    <row r="293" spans="2:55" s="7" customFormat="1" ht="12.75" x14ac:dyDescent="0.2">
      <c r="B293" s="33"/>
      <c r="C293" s="31"/>
      <c r="D293" s="40"/>
      <c r="E293" s="6" t="str">
        <f>IF(F293=1,IF(ISERROR(TableCosts[[#This Row],[N_Tariff]]),Err_Message1,IF(TableCosts[[#This Row],[N_Tariff]]=0,Err_Message2,VLOOKUP(C293&amp;TableCosts[[#This Row],[Calc_N_Typ]],TRAN_STRITEMS_LABEL,5,FALSE))),"")</f>
        <v/>
      </c>
      <c r="F293" s="6">
        <f t="shared" si="62"/>
        <v>0</v>
      </c>
      <c r="G293" s="6" t="str">
        <f>IF(F293=1,IFERROR(VLOOKUP(E293,Tab_ErrMessage[],2,0),VLOOKUP(C293&amp;TableCosts[[#This Row],[Calc_N_Typ]],TRAN_STRITEMS_LABEL,4,FALSE)),"")</f>
        <v/>
      </c>
      <c r="H293" s="40"/>
      <c r="I293" s="40"/>
      <c r="J293" s="35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4"/>
      <c r="AI293" s="24"/>
      <c r="AJ293" s="24"/>
      <c r="AK293" s="38">
        <f t="array" ref="AK293">IF(F293=1,SUM((ROW(M0)=ROW(AK293))*(M0+M1_+M2_+M3_+M4_+M5_+M6_+M7_+M8_+M9_+M10_+M11_+M12_+M13_+M14_+M15_+M16_+M17_+M18_+M19_+M20_+M21_+M22_+M23_+M24_+M25_)),0)</f>
        <v>0</v>
      </c>
      <c r="AL293" s="27">
        <f>TableCosts[[#This Row],[N_Direct]]</f>
        <v>0</v>
      </c>
      <c r="AN293" s="7" t="str">
        <f t="shared" si="51"/>
        <v/>
      </c>
      <c r="AO293" s="7" t="str">
        <f t="shared" si="54"/>
        <v/>
      </c>
      <c r="AP293" s="7" t="str">
        <f t="shared" si="52"/>
        <v/>
      </c>
      <c r="AQ293" s="7" t="str">
        <f t="shared" si="55"/>
        <v/>
      </c>
      <c r="AR293" s="7" t="str">
        <f t="shared" si="53"/>
        <v/>
      </c>
      <c r="AS293" s="7">
        <f t="shared" si="56"/>
        <v>0</v>
      </c>
      <c r="AT293" s="17">
        <f>TableCosts[[#This Row],[N_Amount]]*TableCosts[[#This Row],[N_Tariff]]*TableCosts[[#This Row],[N_ItemsCount]]</f>
        <v>0</v>
      </c>
      <c r="AU293" s="17">
        <f>IF(F293=1,IF(TableCosts[[#This Row],[N_Kateg]]="interné práce",TableCosts[[#This Row],[N_Amount]]*8*PAR_SGA_PERHOUR,0),0)</f>
        <v>0</v>
      </c>
      <c r="AV293" s="17">
        <f>SUM(TableCosts[[#This Row],[N_Direct]:[N_SGA]])</f>
        <v>0</v>
      </c>
      <c r="AW293" s="7">
        <f>IF(F293=1,IF(D293="",NA(),VLOOKUP(C293&amp;TableCosts[[#This Row],[Calc_N_Typ]],TRAN_STRITEMS_LABEL,7,0)),0)</f>
        <v>0</v>
      </c>
      <c r="AX293" s="7">
        <f t="shared" si="57"/>
        <v>0</v>
      </c>
      <c r="AY293" s="57" t="str">
        <f t="shared" si="58"/>
        <v/>
      </c>
      <c r="AZ293" s="57" t="str">
        <f t="shared" si="59"/>
        <v/>
      </c>
      <c r="BA293" s="57" t="str">
        <f>IF(F293=1,IF(TableCosts[[#This Row],[TransferFrom]]=TableCosts[[#This Row],[TranferTo]],0,1),"")</f>
        <v/>
      </c>
      <c r="BB293" s="7">
        <f t="shared" si="60"/>
        <v>0</v>
      </c>
      <c r="BC293" s="7">
        <f t="shared" si="61"/>
        <v>0</v>
      </c>
    </row>
    <row r="294" spans="2:55" s="7" customFormat="1" ht="12.75" x14ac:dyDescent="0.2">
      <c r="B294" s="33"/>
      <c r="C294" s="31"/>
      <c r="D294" s="40"/>
      <c r="E294" s="6" t="str">
        <f>IF(F294=1,IF(ISERROR(TableCosts[[#This Row],[N_Tariff]]),Err_Message1,IF(TableCosts[[#This Row],[N_Tariff]]=0,Err_Message2,VLOOKUP(C294&amp;TableCosts[[#This Row],[Calc_N_Typ]],TRAN_STRITEMS_LABEL,5,FALSE))),"")</f>
        <v/>
      </c>
      <c r="F294" s="6">
        <f t="shared" si="62"/>
        <v>0</v>
      </c>
      <c r="G294" s="6" t="str">
        <f>IF(F294=1,IFERROR(VLOOKUP(E294,Tab_ErrMessage[],2,0),VLOOKUP(C294&amp;TableCosts[[#This Row],[Calc_N_Typ]],TRAN_STRITEMS_LABEL,4,FALSE)),"")</f>
        <v/>
      </c>
      <c r="H294" s="40"/>
      <c r="I294" s="40"/>
      <c r="J294" s="35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4"/>
      <c r="AI294" s="24"/>
      <c r="AJ294" s="24"/>
      <c r="AK294" s="38">
        <f t="array" ref="AK294">IF(F294=1,SUM((ROW(M0)=ROW(AK294))*(M0+M1_+M2_+M3_+M4_+M5_+M6_+M7_+M8_+M9_+M10_+M11_+M12_+M13_+M14_+M15_+M16_+M17_+M18_+M19_+M20_+M21_+M22_+M23_+M24_+M25_)),0)</f>
        <v>0</v>
      </c>
      <c r="AL294" s="27">
        <f>TableCosts[[#This Row],[N_Direct]]</f>
        <v>0</v>
      </c>
      <c r="AN294" s="7" t="str">
        <f t="shared" si="51"/>
        <v/>
      </c>
      <c r="AO294" s="7" t="str">
        <f t="shared" si="54"/>
        <v/>
      </c>
      <c r="AP294" s="7" t="str">
        <f t="shared" si="52"/>
        <v/>
      </c>
      <c r="AQ294" s="7" t="str">
        <f t="shared" si="55"/>
        <v/>
      </c>
      <c r="AR294" s="7" t="str">
        <f t="shared" si="53"/>
        <v/>
      </c>
      <c r="AS294" s="7">
        <f t="shared" si="56"/>
        <v>0</v>
      </c>
      <c r="AT294" s="17">
        <f>TableCosts[[#This Row],[N_Amount]]*TableCosts[[#This Row],[N_Tariff]]*TableCosts[[#This Row],[N_ItemsCount]]</f>
        <v>0</v>
      </c>
      <c r="AU294" s="17">
        <f>IF(F294=1,IF(TableCosts[[#This Row],[N_Kateg]]="interné práce",TableCosts[[#This Row],[N_Amount]]*8*PAR_SGA_PERHOUR,0),0)</f>
        <v>0</v>
      </c>
      <c r="AV294" s="17">
        <f>SUM(TableCosts[[#This Row],[N_Direct]:[N_SGA]])</f>
        <v>0</v>
      </c>
      <c r="AW294" s="7">
        <f>IF(F294=1,IF(D294="",NA(),VLOOKUP(C294&amp;TableCosts[[#This Row],[Calc_N_Typ]],TRAN_STRITEMS_LABEL,7,0)),0)</f>
        <v>0</v>
      </c>
      <c r="AX294" s="7">
        <f t="shared" si="57"/>
        <v>0</v>
      </c>
      <c r="AY294" s="57" t="str">
        <f t="shared" si="58"/>
        <v/>
      </c>
      <c r="AZ294" s="57" t="str">
        <f t="shared" si="59"/>
        <v/>
      </c>
      <c r="BA294" s="57" t="str">
        <f>IF(F294=1,IF(TableCosts[[#This Row],[TransferFrom]]=TableCosts[[#This Row],[TranferTo]],0,1),"")</f>
        <v/>
      </c>
      <c r="BB294" s="7">
        <f t="shared" si="60"/>
        <v>0</v>
      </c>
      <c r="BC294" s="7">
        <f t="shared" si="61"/>
        <v>0</v>
      </c>
    </row>
    <row r="295" spans="2:55" s="7" customFormat="1" ht="12.75" x14ac:dyDescent="0.2">
      <c r="B295" s="33"/>
      <c r="C295" s="31"/>
      <c r="D295" s="40"/>
      <c r="E295" s="6" t="str">
        <f>IF(F295=1,IF(ISERROR(TableCosts[[#This Row],[N_Tariff]]),Err_Message1,IF(TableCosts[[#This Row],[N_Tariff]]=0,Err_Message2,VLOOKUP(C295&amp;TableCosts[[#This Row],[Calc_N_Typ]],TRAN_STRITEMS_LABEL,5,FALSE))),"")</f>
        <v/>
      </c>
      <c r="F295" s="6">
        <f t="shared" si="62"/>
        <v>0</v>
      </c>
      <c r="G295" s="6" t="str">
        <f>IF(F295=1,IFERROR(VLOOKUP(E295,Tab_ErrMessage[],2,0),VLOOKUP(C295&amp;TableCosts[[#This Row],[Calc_N_Typ]],TRAN_STRITEMS_LABEL,4,FALSE)),"")</f>
        <v/>
      </c>
      <c r="H295" s="40"/>
      <c r="I295" s="40"/>
      <c r="J295" s="35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4"/>
      <c r="AI295" s="24"/>
      <c r="AJ295" s="24"/>
      <c r="AK295" s="38">
        <f t="array" ref="AK295">IF(F295=1,SUM((ROW(M0)=ROW(AK295))*(M0+M1_+M2_+M3_+M4_+M5_+M6_+M7_+M8_+M9_+M10_+M11_+M12_+M13_+M14_+M15_+M16_+M17_+M18_+M19_+M20_+M21_+M22_+M23_+M24_+M25_)),0)</f>
        <v>0</v>
      </c>
      <c r="AL295" s="27">
        <f>TableCosts[[#This Row],[N_Direct]]</f>
        <v>0</v>
      </c>
      <c r="AN295" s="7" t="str">
        <f t="shared" si="51"/>
        <v/>
      </c>
      <c r="AO295" s="7" t="str">
        <f t="shared" si="54"/>
        <v/>
      </c>
      <c r="AP295" s="7" t="str">
        <f t="shared" si="52"/>
        <v/>
      </c>
      <c r="AQ295" s="7" t="str">
        <f t="shared" si="55"/>
        <v/>
      </c>
      <c r="AR295" s="7" t="str">
        <f t="shared" si="53"/>
        <v/>
      </c>
      <c r="AS295" s="7">
        <f t="shared" si="56"/>
        <v>0</v>
      </c>
      <c r="AT295" s="17">
        <f>TableCosts[[#This Row],[N_Amount]]*TableCosts[[#This Row],[N_Tariff]]*TableCosts[[#This Row],[N_ItemsCount]]</f>
        <v>0</v>
      </c>
      <c r="AU295" s="17">
        <f>IF(F295=1,IF(TableCosts[[#This Row],[N_Kateg]]="interné práce",TableCosts[[#This Row],[N_Amount]]*8*PAR_SGA_PERHOUR,0),0)</f>
        <v>0</v>
      </c>
      <c r="AV295" s="17">
        <f>SUM(TableCosts[[#This Row],[N_Direct]:[N_SGA]])</f>
        <v>0</v>
      </c>
      <c r="AW295" s="7">
        <f>IF(F295=1,IF(D295="",NA(),VLOOKUP(C295&amp;TableCosts[[#This Row],[Calc_N_Typ]],TRAN_STRITEMS_LABEL,7,0)),0)</f>
        <v>0</v>
      </c>
      <c r="AX295" s="7">
        <f t="shared" si="57"/>
        <v>0</v>
      </c>
      <c r="AY295" s="57" t="str">
        <f t="shared" si="58"/>
        <v/>
      </c>
      <c r="AZ295" s="57" t="str">
        <f t="shared" si="59"/>
        <v/>
      </c>
      <c r="BA295" s="57" t="str">
        <f>IF(F295=1,IF(TableCosts[[#This Row],[TransferFrom]]=TableCosts[[#This Row],[TranferTo]],0,1),"")</f>
        <v/>
      </c>
      <c r="BB295" s="7">
        <f t="shared" si="60"/>
        <v>0</v>
      </c>
      <c r="BC295" s="7">
        <f t="shared" si="61"/>
        <v>0</v>
      </c>
    </row>
    <row r="296" spans="2:55" s="7" customFormat="1" ht="12.75" x14ac:dyDescent="0.2">
      <c r="B296" s="33"/>
      <c r="C296" s="31"/>
      <c r="D296" s="40"/>
      <c r="E296" s="6" t="str">
        <f>IF(F296=1,IF(ISERROR(TableCosts[[#This Row],[N_Tariff]]),Err_Message1,IF(TableCosts[[#This Row],[N_Tariff]]=0,Err_Message2,VLOOKUP(C296&amp;TableCosts[[#This Row],[Calc_N_Typ]],TRAN_STRITEMS_LABEL,5,FALSE))),"")</f>
        <v/>
      </c>
      <c r="F296" s="6">
        <f t="shared" si="62"/>
        <v>0</v>
      </c>
      <c r="G296" s="6" t="str">
        <f>IF(F296=1,IFERROR(VLOOKUP(E296,Tab_ErrMessage[],2,0),VLOOKUP(C296&amp;TableCosts[[#This Row],[Calc_N_Typ]],TRAN_STRITEMS_LABEL,4,FALSE)),"")</f>
        <v/>
      </c>
      <c r="H296" s="40"/>
      <c r="I296" s="40"/>
      <c r="J296" s="35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4"/>
      <c r="AI296" s="24"/>
      <c r="AJ296" s="24"/>
      <c r="AK296" s="38">
        <f t="array" ref="AK296">IF(F296=1,SUM((ROW(M0)=ROW(AK296))*(M0+M1_+M2_+M3_+M4_+M5_+M6_+M7_+M8_+M9_+M10_+M11_+M12_+M13_+M14_+M15_+M16_+M17_+M18_+M19_+M20_+M21_+M22_+M23_+M24_+M25_)),0)</f>
        <v>0</v>
      </c>
      <c r="AL296" s="27">
        <f>TableCosts[[#This Row],[N_Direct]]</f>
        <v>0</v>
      </c>
      <c r="AN296" s="7" t="str">
        <f t="shared" si="51"/>
        <v/>
      </c>
      <c r="AO296" s="7" t="str">
        <f t="shared" si="54"/>
        <v/>
      </c>
      <c r="AP296" s="7" t="str">
        <f t="shared" si="52"/>
        <v/>
      </c>
      <c r="AQ296" s="7" t="str">
        <f t="shared" si="55"/>
        <v/>
      </c>
      <c r="AR296" s="7" t="str">
        <f t="shared" si="53"/>
        <v/>
      </c>
      <c r="AS296" s="7">
        <f t="shared" si="56"/>
        <v>0</v>
      </c>
      <c r="AT296" s="17">
        <f>TableCosts[[#This Row],[N_Amount]]*TableCosts[[#This Row],[N_Tariff]]*TableCosts[[#This Row],[N_ItemsCount]]</f>
        <v>0</v>
      </c>
      <c r="AU296" s="17">
        <f>IF(F296=1,IF(TableCosts[[#This Row],[N_Kateg]]="interné práce",TableCosts[[#This Row],[N_Amount]]*8*PAR_SGA_PERHOUR,0),0)</f>
        <v>0</v>
      </c>
      <c r="AV296" s="17">
        <f>SUM(TableCosts[[#This Row],[N_Direct]:[N_SGA]])</f>
        <v>0</v>
      </c>
      <c r="AW296" s="7">
        <f>IF(F296=1,IF(D296="",NA(),VLOOKUP(C296&amp;TableCosts[[#This Row],[Calc_N_Typ]],TRAN_STRITEMS_LABEL,7,0)),0)</f>
        <v>0</v>
      </c>
      <c r="AX296" s="7">
        <f t="shared" si="57"/>
        <v>0</v>
      </c>
      <c r="AY296" s="57" t="str">
        <f t="shared" si="58"/>
        <v/>
      </c>
      <c r="AZ296" s="57" t="str">
        <f t="shared" si="59"/>
        <v/>
      </c>
      <c r="BA296" s="57" t="str">
        <f>IF(F296=1,IF(TableCosts[[#This Row],[TransferFrom]]=TableCosts[[#This Row],[TranferTo]],0,1),"")</f>
        <v/>
      </c>
      <c r="BB296" s="7">
        <f t="shared" si="60"/>
        <v>0</v>
      </c>
      <c r="BC296" s="7">
        <f t="shared" si="61"/>
        <v>0</v>
      </c>
    </row>
    <row r="297" spans="2:55" s="7" customFormat="1" ht="12.75" x14ac:dyDescent="0.2">
      <c r="B297" s="33"/>
      <c r="C297" s="31"/>
      <c r="D297" s="40"/>
      <c r="E297" s="6" t="str">
        <f>IF(F297=1,IF(ISERROR(TableCosts[[#This Row],[N_Tariff]]),Err_Message1,IF(TableCosts[[#This Row],[N_Tariff]]=0,Err_Message2,VLOOKUP(C297&amp;TableCosts[[#This Row],[Calc_N_Typ]],TRAN_STRITEMS_LABEL,5,FALSE))),"")</f>
        <v/>
      </c>
      <c r="F297" s="6">
        <f t="shared" si="62"/>
        <v>0</v>
      </c>
      <c r="G297" s="6" t="str">
        <f>IF(F297=1,IFERROR(VLOOKUP(E297,Tab_ErrMessage[],2,0),VLOOKUP(C297&amp;TableCosts[[#This Row],[Calc_N_Typ]],TRAN_STRITEMS_LABEL,4,FALSE)),"")</f>
        <v/>
      </c>
      <c r="H297" s="40"/>
      <c r="I297" s="40"/>
      <c r="J297" s="35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4"/>
      <c r="AI297" s="24"/>
      <c r="AJ297" s="24"/>
      <c r="AK297" s="38">
        <f t="array" ref="AK297">IF(F297=1,SUM((ROW(M0)=ROW(AK297))*(M0+M1_+M2_+M3_+M4_+M5_+M6_+M7_+M8_+M9_+M10_+M11_+M12_+M13_+M14_+M15_+M16_+M17_+M18_+M19_+M20_+M21_+M22_+M23_+M24_+M25_)),0)</f>
        <v>0</v>
      </c>
      <c r="AL297" s="27">
        <f>TableCosts[[#This Row],[N_Direct]]</f>
        <v>0</v>
      </c>
      <c r="AN297" s="7" t="str">
        <f t="shared" si="51"/>
        <v/>
      </c>
      <c r="AO297" s="7" t="str">
        <f t="shared" si="54"/>
        <v/>
      </c>
      <c r="AP297" s="7" t="str">
        <f t="shared" si="52"/>
        <v/>
      </c>
      <c r="AQ297" s="7" t="str">
        <f t="shared" si="55"/>
        <v/>
      </c>
      <c r="AR297" s="7" t="str">
        <f t="shared" si="53"/>
        <v/>
      </c>
      <c r="AS297" s="7">
        <f t="shared" si="56"/>
        <v>0</v>
      </c>
      <c r="AT297" s="17">
        <f>TableCosts[[#This Row],[N_Amount]]*TableCosts[[#This Row],[N_Tariff]]*TableCosts[[#This Row],[N_ItemsCount]]</f>
        <v>0</v>
      </c>
      <c r="AU297" s="17">
        <f>IF(F297=1,IF(TableCosts[[#This Row],[N_Kateg]]="interné práce",TableCosts[[#This Row],[N_Amount]]*8*PAR_SGA_PERHOUR,0),0)</f>
        <v>0</v>
      </c>
      <c r="AV297" s="17">
        <f>SUM(TableCosts[[#This Row],[N_Direct]:[N_SGA]])</f>
        <v>0</v>
      </c>
      <c r="AW297" s="7">
        <f>IF(F297=1,IF(D297="",NA(),VLOOKUP(C297&amp;TableCosts[[#This Row],[Calc_N_Typ]],TRAN_STRITEMS_LABEL,7,0)),0)</f>
        <v>0</v>
      </c>
      <c r="AX297" s="7">
        <f t="shared" si="57"/>
        <v>0</v>
      </c>
      <c r="AY297" s="57" t="str">
        <f t="shared" si="58"/>
        <v/>
      </c>
      <c r="AZ297" s="57" t="str">
        <f t="shared" si="59"/>
        <v/>
      </c>
      <c r="BA297" s="57" t="str">
        <f>IF(F297=1,IF(TableCosts[[#This Row],[TransferFrom]]=TableCosts[[#This Row],[TranferTo]],0,1),"")</f>
        <v/>
      </c>
      <c r="BB297" s="7">
        <f t="shared" si="60"/>
        <v>0</v>
      </c>
      <c r="BC297" s="7">
        <f t="shared" si="61"/>
        <v>0</v>
      </c>
    </row>
    <row r="298" spans="2:55" s="7" customFormat="1" ht="12.75" x14ac:dyDescent="0.2">
      <c r="B298" s="33"/>
      <c r="C298" s="31"/>
      <c r="D298" s="40"/>
      <c r="E298" s="6" t="str">
        <f>IF(F298=1,IF(ISERROR(TableCosts[[#This Row],[N_Tariff]]),Err_Message1,IF(TableCosts[[#This Row],[N_Tariff]]=0,Err_Message2,VLOOKUP(C298&amp;TableCosts[[#This Row],[Calc_N_Typ]],TRAN_STRITEMS_LABEL,5,FALSE))),"")</f>
        <v/>
      </c>
      <c r="F298" s="6">
        <f t="shared" si="62"/>
        <v>0</v>
      </c>
      <c r="G298" s="6" t="str">
        <f>IF(F298=1,IFERROR(VLOOKUP(E298,Tab_ErrMessage[],2,0),VLOOKUP(C298&amp;TableCosts[[#This Row],[Calc_N_Typ]],TRAN_STRITEMS_LABEL,4,FALSE)),"")</f>
        <v/>
      </c>
      <c r="H298" s="40"/>
      <c r="I298" s="40"/>
      <c r="J298" s="35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24"/>
      <c r="AG298" s="24"/>
      <c r="AH298" s="24"/>
      <c r="AI298" s="24"/>
      <c r="AJ298" s="24"/>
      <c r="AK298" s="38">
        <f t="array" ref="AK298">IF(F298=1,SUM((ROW(M0)=ROW(AK298))*(M0+M1_+M2_+M3_+M4_+M5_+M6_+M7_+M8_+M9_+M10_+M11_+M12_+M13_+M14_+M15_+M16_+M17_+M18_+M19_+M20_+M21_+M22_+M23_+M24_+M25_)),0)</f>
        <v>0</v>
      </c>
      <c r="AL298" s="27">
        <f>TableCosts[[#This Row],[N_Direct]]</f>
        <v>0</v>
      </c>
      <c r="AN298" s="7" t="str">
        <f t="shared" si="51"/>
        <v/>
      </c>
      <c r="AO298" s="7" t="str">
        <f t="shared" si="54"/>
        <v/>
      </c>
      <c r="AP298" s="7" t="str">
        <f t="shared" si="52"/>
        <v/>
      </c>
      <c r="AQ298" s="7" t="str">
        <f t="shared" si="55"/>
        <v/>
      </c>
      <c r="AR298" s="7" t="str">
        <f t="shared" si="53"/>
        <v/>
      </c>
      <c r="AS298" s="7">
        <f t="shared" si="56"/>
        <v>0</v>
      </c>
      <c r="AT298" s="17">
        <f>TableCosts[[#This Row],[N_Amount]]*TableCosts[[#This Row],[N_Tariff]]*TableCosts[[#This Row],[N_ItemsCount]]</f>
        <v>0</v>
      </c>
      <c r="AU298" s="17">
        <f>IF(F298=1,IF(TableCosts[[#This Row],[N_Kateg]]="interné práce",TableCosts[[#This Row],[N_Amount]]*8*PAR_SGA_PERHOUR,0),0)</f>
        <v>0</v>
      </c>
      <c r="AV298" s="17">
        <f>SUM(TableCosts[[#This Row],[N_Direct]:[N_SGA]])</f>
        <v>0</v>
      </c>
      <c r="AW298" s="7">
        <f>IF(F298=1,IF(D298="",NA(),VLOOKUP(C298&amp;TableCosts[[#This Row],[Calc_N_Typ]],TRAN_STRITEMS_LABEL,7,0)),0)</f>
        <v>0</v>
      </c>
      <c r="AX298" s="7">
        <f t="shared" si="57"/>
        <v>0</v>
      </c>
      <c r="AY298" s="57" t="str">
        <f t="shared" si="58"/>
        <v/>
      </c>
      <c r="AZ298" s="57" t="str">
        <f t="shared" si="59"/>
        <v/>
      </c>
      <c r="BA298" s="57" t="str">
        <f>IF(F298=1,IF(TableCosts[[#This Row],[TransferFrom]]=TableCosts[[#This Row],[TranferTo]],0,1),"")</f>
        <v/>
      </c>
      <c r="BB298" s="7">
        <f t="shared" si="60"/>
        <v>0</v>
      </c>
      <c r="BC298" s="7">
        <f t="shared" si="61"/>
        <v>0</v>
      </c>
    </row>
    <row r="299" spans="2:55" s="7" customFormat="1" ht="12.75" x14ac:dyDescent="0.2">
      <c r="B299" s="33"/>
      <c r="C299" s="31"/>
      <c r="D299" s="40"/>
      <c r="E299" s="6" t="str">
        <f>IF(F299=1,IF(ISERROR(TableCosts[[#This Row],[N_Tariff]]),Err_Message1,IF(TableCosts[[#This Row],[N_Tariff]]=0,Err_Message2,VLOOKUP(C299&amp;TableCosts[[#This Row],[Calc_N_Typ]],TRAN_STRITEMS_LABEL,5,FALSE))),"")</f>
        <v/>
      </c>
      <c r="F299" s="6">
        <f t="shared" si="62"/>
        <v>0</v>
      </c>
      <c r="G299" s="6" t="str">
        <f>IF(F299=1,IFERROR(VLOOKUP(E299,Tab_ErrMessage[],2,0),VLOOKUP(C299&amp;TableCosts[[#This Row],[Calc_N_Typ]],TRAN_STRITEMS_LABEL,4,FALSE)),"")</f>
        <v/>
      </c>
      <c r="H299" s="40"/>
      <c r="I299" s="40"/>
      <c r="J299" s="35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4"/>
      <c r="AI299" s="24"/>
      <c r="AJ299" s="24"/>
      <c r="AK299" s="38">
        <f t="array" ref="AK299">IF(F299=1,SUM((ROW(M0)=ROW(AK299))*(M0+M1_+M2_+M3_+M4_+M5_+M6_+M7_+M8_+M9_+M10_+M11_+M12_+M13_+M14_+M15_+M16_+M17_+M18_+M19_+M20_+M21_+M22_+M23_+M24_+M25_)),0)</f>
        <v>0</v>
      </c>
      <c r="AL299" s="27">
        <f>TableCosts[[#This Row],[N_Direct]]</f>
        <v>0</v>
      </c>
      <c r="AN299" s="7" t="str">
        <f t="shared" si="51"/>
        <v/>
      </c>
      <c r="AO299" s="7" t="str">
        <f t="shared" si="54"/>
        <v/>
      </c>
      <c r="AP299" s="7" t="str">
        <f t="shared" si="52"/>
        <v/>
      </c>
      <c r="AQ299" s="7" t="str">
        <f t="shared" si="55"/>
        <v/>
      </c>
      <c r="AR299" s="7" t="str">
        <f t="shared" si="53"/>
        <v/>
      </c>
      <c r="AS299" s="7">
        <f t="shared" si="56"/>
        <v>0</v>
      </c>
      <c r="AT299" s="17">
        <f>TableCosts[[#This Row],[N_Amount]]*TableCosts[[#This Row],[N_Tariff]]*TableCosts[[#This Row],[N_ItemsCount]]</f>
        <v>0</v>
      </c>
      <c r="AU299" s="17">
        <f>IF(F299=1,IF(TableCosts[[#This Row],[N_Kateg]]="interné práce",TableCosts[[#This Row],[N_Amount]]*8*PAR_SGA_PERHOUR,0),0)</f>
        <v>0</v>
      </c>
      <c r="AV299" s="17">
        <f>SUM(TableCosts[[#This Row],[N_Direct]:[N_SGA]])</f>
        <v>0</v>
      </c>
      <c r="AW299" s="7">
        <f>IF(F299=1,IF(D299="",NA(),VLOOKUP(C299&amp;TableCosts[[#This Row],[Calc_N_Typ]],TRAN_STRITEMS_LABEL,7,0)),0)</f>
        <v>0</v>
      </c>
      <c r="AX299" s="7">
        <f t="shared" si="57"/>
        <v>0</v>
      </c>
      <c r="AY299" s="57" t="str">
        <f t="shared" si="58"/>
        <v/>
      </c>
      <c r="AZ299" s="57" t="str">
        <f t="shared" si="59"/>
        <v/>
      </c>
      <c r="BA299" s="57" t="str">
        <f>IF(F299=1,IF(TableCosts[[#This Row],[TransferFrom]]=TableCosts[[#This Row],[TranferTo]],0,1),"")</f>
        <v/>
      </c>
      <c r="BB299" s="7">
        <f t="shared" si="60"/>
        <v>0</v>
      </c>
      <c r="BC299" s="7">
        <f t="shared" si="61"/>
        <v>0</v>
      </c>
    </row>
    <row r="300" spans="2:55" s="7" customFormat="1" ht="12.75" x14ac:dyDescent="0.2">
      <c r="B300" s="33"/>
      <c r="C300" s="31"/>
      <c r="D300" s="40"/>
      <c r="E300" s="6" t="str">
        <f>IF(F300=1,IF(ISERROR(TableCosts[[#This Row],[N_Tariff]]),Err_Message1,IF(TableCosts[[#This Row],[N_Tariff]]=0,Err_Message2,VLOOKUP(C300&amp;TableCosts[[#This Row],[Calc_N_Typ]],TRAN_STRITEMS_LABEL,5,FALSE))),"")</f>
        <v/>
      </c>
      <c r="F300" s="6">
        <f t="shared" si="62"/>
        <v>0</v>
      </c>
      <c r="G300" s="6" t="str">
        <f>IF(F300=1,IFERROR(VLOOKUP(E300,Tab_ErrMessage[],2,0),VLOOKUP(C300&amp;TableCosts[[#This Row],[Calc_N_Typ]],TRAN_STRITEMS_LABEL,4,FALSE)),"")</f>
        <v/>
      </c>
      <c r="H300" s="40"/>
      <c r="I300" s="40"/>
      <c r="J300" s="35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4"/>
      <c r="AI300" s="24"/>
      <c r="AJ300" s="24"/>
      <c r="AK300" s="38">
        <f t="array" ref="AK300">IF(F300=1,SUM((ROW(M0)=ROW(AK300))*(M0+M1_+M2_+M3_+M4_+M5_+M6_+M7_+M8_+M9_+M10_+M11_+M12_+M13_+M14_+M15_+M16_+M17_+M18_+M19_+M20_+M21_+M22_+M23_+M24_+M25_)),0)</f>
        <v>0</v>
      </c>
      <c r="AL300" s="27">
        <f>TableCosts[[#This Row],[N_Direct]]</f>
        <v>0</v>
      </c>
      <c r="AN300" s="7" t="str">
        <f t="shared" si="51"/>
        <v/>
      </c>
      <c r="AO300" s="7" t="str">
        <f t="shared" si="54"/>
        <v/>
      </c>
      <c r="AP300" s="7" t="str">
        <f t="shared" si="52"/>
        <v/>
      </c>
      <c r="AQ300" s="7" t="str">
        <f t="shared" si="55"/>
        <v/>
      </c>
      <c r="AR300" s="7" t="str">
        <f t="shared" si="53"/>
        <v/>
      </c>
      <c r="AS300" s="7">
        <f t="shared" si="56"/>
        <v>0</v>
      </c>
      <c r="AT300" s="17">
        <f>TableCosts[[#This Row],[N_Amount]]*TableCosts[[#This Row],[N_Tariff]]*TableCosts[[#This Row],[N_ItemsCount]]</f>
        <v>0</v>
      </c>
      <c r="AU300" s="17">
        <f>IF(F300=1,IF(TableCosts[[#This Row],[N_Kateg]]="interné práce",TableCosts[[#This Row],[N_Amount]]*8*PAR_SGA_PERHOUR,0),0)</f>
        <v>0</v>
      </c>
      <c r="AV300" s="17">
        <f>SUM(TableCosts[[#This Row],[N_Direct]:[N_SGA]])</f>
        <v>0</v>
      </c>
      <c r="AW300" s="7">
        <f>IF(F300=1,IF(D300="",NA(),VLOOKUP(C300&amp;TableCosts[[#This Row],[Calc_N_Typ]],TRAN_STRITEMS_LABEL,7,0)),0)</f>
        <v>0</v>
      </c>
      <c r="AX300" s="7">
        <f t="shared" si="57"/>
        <v>0</v>
      </c>
      <c r="AY300" s="57" t="str">
        <f t="shared" si="58"/>
        <v/>
      </c>
      <c r="AZ300" s="57" t="str">
        <f t="shared" si="59"/>
        <v/>
      </c>
      <c r="BA300" s="57" t="str">
        <f>IF(F300=1,IF(TableCosts[[#This Row],[TransferFrom]]=TableCosts[[#This Row],[TranferTo]],0,1),"")</f>
        <v/>
      </c>
      <c r="BB300" s="7">
        <f t="shared" si="60"/>
        <v>0</v>
      </c>
      <c r="BC300" s="7">
        <f t="shared" si="61"/>
        <v>0</v>
      </c>
    </row>
    <row r="301" spans="2:55" s="7" customFormat="1" ht="12.75" x14ac:dyDescent="0.2">
      <c r="B301" s="33"/>
      <c r="C301" s="31"/>
      <c r="D301" s="40"/>
      <c r="E301" s="6" t="str">
        <f>IF(F301=1,IF(ISERROR(TableCosts[[#This Row],[N_Tariff]]),Err_Message1,IF(TableCosts[[#This Row],[N_Tariff]]=0,Err_Message2,VLOOKUP(C301&amp;TableCosts[[#This Row],[Calc_N_Typ]],TRAN_STRITEMS_LABEL,5,FALSE))),"")</f>
        <v/>
      </c>
      <c r="F301" s="6">
        <f t="shared" si="62"/>
        <v>0</v>
      </c>
      <c r="G301" s="6" t="str">
        <f>IF(F301=1,IFERROR(VLOOKUP(E301,Tab_ErrMessage[],2,0),VLOOKUP(C301&amp;TableCosts[[#This Row],[Calc_N_Typ]],TRAN_STRITEMS_LABEL,4,FALSE)),"")</f>
        <v/>
      </c>
      <c r="H301" s="40"/>
      <c r="I301" s="40"/>
      <c r="J301" s="35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4"/>
      <c r="AI301" s="24"/>
      <c r="AJ301" s="24"/>
      <c r="AK301" s="38">
        <f t="array" ref="AK301">IF(F301=1,SUM((ROW(M0)=ROW(AK301))*(M0+M1_+M2_+M3_+M4_+M5_+M6_+M7_+M8_+M9_+M10_+M11_+M12_+M13_+M14_+M15_+M16_+M17_+M18_+M19_+M20_+M21_+M22_+M23_+M24_+M25_)),0)</f>
        <v>0</v>
      </c>
      <c r="AL301" s="27">
        <f>TableCosts[[#This Row],[N_Direct]]</f>
        <v>0</v>
      </c>
      <c r="AN301" s="7" t="str">
        <f t="shared" si="51"/>
        <v/>
      </c>
      <c r="AO301" s="7" t="str">
        <f t="shared" si="54"/>
        <v/>
      </c>
      <c r="AP301" s="7" t="str">
        <f t="shared" si="52"/>
        <v/>
      </c>
      <c r="AQ301" s="7" t="str">
        <f t="shared" si="55"/>
        <v/>
      </c>
      <c r="AR301" s="7" t="str">
        <f t="shared" si="53"/>
        <v/>
      </c>
      <c r="AS301" s="7">
        <f t="shared" si="56"/>
        <v>0</v>
      </c>
      <c r="AT301" s="17">
        <f>TableCosts[[#This Row],[N_Amount]]*TableCosts[[#This Row],[N_Tariff]]*TableCosts[[#This Row],[N_ItemsCount]]</f>
        <v>0</v>
      </c>
      <c r="AU301" s="17">
        <f>IF(F301=1,IF(TableCosts[[#This Row],[N_Kateg]]="interné práce",TableCosts[[#This Row],[N_Amount]]*8*PAR_SGA_PERHOUR,0),0)</f>
        <v>0</v>
      </c>
      <c r="AV301" s="17">
        <f>SUM(TableCosts[[#This Row],[N_Direct]:[N_SGA]])</f>
        <v>0</v>
      </c>
      <c r="AW301" s="7">
        <f>IF(F301=1,IF(D301="",NA(),VLOOKUP(C301&amp;TableCosts[[#This Row],[Calc_N_Typ]],TRAN_STRITEMS_LABEL,7,0)),0)</f>
        <v>0</v>
      </c>
      <c r="AX301" s="7">
        <f t="shared" si="57"/>
        <v>0</v>
      </c>
      <c r="AY301" s="57" t="str">
        <f t="shared" si="58"/>
        <v/>
      </c>
      <c r="AZ301" s="57" t="str">
        <f t="shared" si="59"/>
        <v/>
      </c>
      <c r="BA301" s="57" t="str">
        <f>IF(F301=1,IF(TableCosts[[#This Row],[TransferFrom]]=TableCosts[[#This Row],[TranferTo]],0,1),"")</f>
        <v/>
      </c>
      <c r="BB301" s="7">
        <f t="shared" si="60"/>
        <v>0</v>
      </c>
      <c r="BC301" s="7">
        <f t="shared" si="61"/>
        <v>0</v>
      </c>
    </row>
    <row r="302" spans="2:55" s="7" customFormat="1" ht="12.75" x14ac:dyDescent="0.2">
      <c r="B302" s="33"/>
      <c r="C302" s="31"/>
      <c r="D302" s="40"/>
      <c r="E302" s="6" t="str">
        <f>IF(F302=1,IF(ISERROR(TableCosts[[#This Row],[N_Tariff]]),Err_Message1,IF(TableCosts[[#This Row],[N_Tariff]]=0,Err_Message2,VLOOKUP(C302&amp;TableCosts[[#This Row],[Calc_N_Typ]],TRAN_STRITEMS_LABEL,5,FALSE))),"")</f>
        <v/>
      </c>
      <c r="F302" s="6">
        <f t="shared" si="62"/>
        <v>0</v>
      </c>
      <c r="G302" s="6" t="str">
        <f>IF(F302=1,IFERROR(VLOOKUP(E302,Tab_ErrMessage[],2,0),VLOOKUP(C302&amp;TableCosts[[#This Row],[Calc_N_Typ]],TRAN_STRITEMS_LABEL,4,FALSE)),"")</f>
        <v/>
      </c>
      <c r="H302" s="40"/>
      <c r="I302" s="40"/>
      <c r="J302" s="35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4"/>
      <c r="AI302" s="24"/>
      <c r="AJ302" s="24"/>
      <c r="AK302" s="38">
        <f t="array" ref="AK302">IF(F302=1,SUM((ROW(M0)=ROW(AK302))*(M0+M1_+M2_+M3_+M4_+M5_+M6_+M7_+M8_+M9_+M10_+M11_+M12_+M13_+M14_+M15_+M16_+M17_+M18_+M19_+M20_+M21_+M22_+M23_+M24_+M25_)),0)</f>
        <v>0</v>
      </c>
      <c r="AL302" s="27">
        <f>TableCosts[[#This Row],[N_Direct]]</f>
        <v>0</v>
      </c>
      <c r="AN302" s="7" t="str">
        <f t="shared" si="51"/>
        <v/>
      </c>
      <c r="AO302" s="7" t="str">
        <f t="shared" si="54"/>
        <v/>
      </c>
      <c r="AP302" s="7" t="str">
        <f t="shared" si="52"/>
        <v/>
      </c>
      <c r="AQ302" s="7" t="str">
        <f t="shared" si="55"/>
        <v/>
      </c>
      <c r="AR302" s="7" t="str">
        <f t="shared" si="53"/>
        <v/>
      </c>
      <c r="AS302" s="7">
        <f t="shared" si="56"/>
        <v>0</v>
      </c>
      <c r="AT302" s="17">
        <f>TableCosts[[#This Row],[N_Amount]]*TableCosts[[#This Row],[N_Tariff]]*TableCosts[[#This Row],[N_ItemsCount]]</f>
        <v>0</v>
      </c>
      <c r="AU302" s="17">
        <f>IF(F302=1,IF(TableCosts[[#This Row],[N_Kateg]]="interné práce",TableCosts[[#This Row],[N_Amount]]*8*PAR_SGA_PERHOUR,0),0)</f>
        <v>0</v>
      </c>
      <c r="AV302" s="17">
        <f>SUM(TableCosts[[#This Row],[N_Direct]:[N_SGA]])</f>
        <v>0</v>
      </c>
      <c r="AW302" s="7">
        <f>IF(F302=1,IF(D302="",NA(),VLOOKUP(C302&amp;TableCosts[[#This Row],[Calc_N_Typ]],TRAN_STRITEMS_LABEL,7,0)),0)</f>
        <v>0</v>
      </c>
      <c r="AX302" s="7">
        <f t="shared" si="57"/>
        <v>0</v>
      </c>
      <c r="AY302" s="57" t="str">
        <f t="shared" si="58"/>
        <v/>
      </c>
      <c r="AZ302" s="57" t="str">
        <f t="shared" si="59"/>
        <v/>
      </c>
      <c r="BA302" s="57" t="str">
        <f>IF(F302=1,IF(TableCosts[[#This Row],[TransferFrom]]=TableCosts[[#This Row],[TranferTo]],0,1),"")</f>
        <v/>
      </c>
      <c r="BB302" s="7">
        <f t="shared" si="60"/>
        <v>0</v>
      </c>
      <c r="BC302" s="7">
        <f t="shared" si="61"/>
        <v>0</v>
      </c>
    </row>
    <row r="303" spans="2:55" s="7" customFormat="1" ht="12.75" x14ac:dyDescent="0.2">
      <c r="B303" s="33"/>
      <c r="C303" s="31"/>
      <c r="D303" s="40"/>
      <c r="E303" s="6" t="str">
        <f>IF(F303=1,IF(ISERROR(TableCosts[[#This Row],[N_Tariff]]),Err_Message1,IF(TableCosts[[#This Row],[N_Tariff]]=0,Err_Message2,VLOOKUP(C303&amp;TableCosts[[#This Row],[Calc_N_Typ]],TRAN_STRITEMS_LABEL,5,FALSE))),"")</f>
        <v/>
      </c>
      <c r="F303" s="6">
        <f t="shared" si="62"/>
        <v>0</v>
      </c>
      <c r="G303" s="6" t="str">
        <f>IF(F303=1,IFERROR(VLOOKUP(E303,Tab_ErrMessage[],2,0),VLOOKUP(C303&amp;TableCosts[[#This Row],[Calc_N_Typ]],TRAN_STRITEMS_LABEL,4,FALSE)),"")</f>
        <v/>
      </c>
      <c r="H303" s="40"/>
      <c r="I303" s="40"/>
      <c r="J303" s="35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4"/>
      <c r="AI303" s="24"/>
      <c r="AJ303" s="24"/>
      <c r="AK303" s="38">
        <f t="array" ref="AK303">IF(F303=1,SUM((ROW(M0)=ROW(AK303))*(M0+M1_+M2_+M3_+M4_+M5_+M6_+M7_+M8_+M9_+M10_+M11_+M12_+M13_+M14_+M15_+M16_+M17_+M18_+M19_+M20_+M21_+M22_+M23_+M24_+M25_)),0)</f>
        <v>0</v>
      </c>
      <c r="AL303" s="27">
        <f>TableCosts[[#This Row],[N_Direct]]</f>
        <v>0</v>
      </c>
      <c r="AN303" s="7" t="str">
        <f t="shared" si="51"/>
        <v/>
      </c>
      <c r="AO303" s="7" t="str">
        <f t="shared" si="54"/>
        <v/>
      </c>
      <c r="AP303" s="7" t="str">
        <f t="shared" si="52"/>
        <v/>
      </c>
      <c r="AQ303" s="7" t="str">
        <f t="shared" si="55"/>
        <v/>
      </c>
      <c r="AR303" s="7" t="str">
        <f t="shared" si="53"/>
        <v/>
      </c>
      <c r="AS303" s="7">
        <f t="shared" si="56"/>
        <v>0</v>
      </c>
      <c r="AT303" s="17">
        <f>TableCosts[[#This Row],[N_Amount]]*TableCosts[[#This Row],[N_Tariff]]*TableCosts[[#This Row],[N_ItemsCount]]</f>
        <v>0</v>
      </c>
      <c r="AU303" s="17">
        <f>IF(F303=1,IF(TableCosts[[#This Row],[N_Kateg]]="interné práce",TableCosts[[#This Row],[N_Amount]]*8*PAR_SGA_PERHOUR,0),0)</f>
        <v>0</v>
      </c>
      <c r="AV303" s="17">
        <f>SUM(TableCosts[[#This Row],[N_Direct]:[N_SGA]])</f>
        <v>0</v>
      </c>
      <c r="AW303" s="7">
        <f>IF(F303=1,IF(D303="",NA(),VLOOKUP(C303&amp;TableCosts[[#This Row],[Calc_N_Typ]],TRAN_STRITEMS_LABEL,7,0)),0)</f>
        <v>0</v>
      </c>
      <c r="AX303" s="7">
        <f t="shared" si="57"/>
        <v>0</v>
      </c>
      <c r="AY303" s="57" t="str">
        <f t="shared" si="58"/>
        <v/>
      </c>
      <c r="AZ303" s="57" t="str">
        <f t="shared" si="59"/>
        <v/>
      </c>
      <c r="BA303" s="57" t="str">
        <f>IF(F303=1,IF(TableCosts[[#This Row],[TransferFrom]]=TableCosts[[#This Row],[TranferTo]],0,1),"")</f>
        <v/>
      </c>
      <c r="BB303" s="7">
        <f t="shared" si="60"/>
        <v>0</v>
      </c>
      <c r="BC303" s="7">
        <f t="shared" si="61"/>
        <v>0</v>
      </c>
    </row>
    <row r="304" spans="2:55" s="7" customFormat="1" ht="12.75" x14ac:dyDescent="0.2">
      <c r="B304" s="33"/>
      <c r="C304" s="31"/>
      <c r="D304" s="40"/>
      <c r="E304" s="6" t="str">
        <f>IF(F304=1,IF(ISERROR(TableCosts[[#This Row],[N_Tariff]]),Err_Message1,IF(TableCosts[[#This Row],[N_Tariff]]=0,Err_Message2,VLOOKUP(C304&amp;TableCosts[[#This Row],[Calc_N_Typ]],TRAN_STRITEMS_LABEL,5,FALSE))),"")</f>
        <v/>
      </c>
      <c r="F304" s="6">
        <f t="shared" si="62"/>
        <v>0</v>
      </c>
      <c r="G304" s="6" t="str">
        <f>IF(F304=1,IFERROR(VLOOKUP(E304,Tab_ErrMessage[],2,0),VLOOKUP(C304&amp;TableCosts[[#This Row],[Calc_N_Typ]],TRAN_STRITEMS_LABEL,4,FALSE)),"")</f>
        <v/>
      </c>
      <c r="H304" s="40"/>
      <c r="I304" s="40"/>
      <c r="J304" s="35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4"/>
      <c r="AI304" s="24"/>
      <c r="AJ304" s="24"/>
      <c r="AK304" s="38">
        <f t="array" ref="AK304">IF(F304=1,SUM((ROW(M0)=ROW(AK304))*(M0+M1_+M2_+M3_+M4_+M5_+M6_+M7_+M8_+M9_+M10_+M11_+M12_+M13_+M14_+M15_+M16_+M17_+M18_+M19_+M20_+M21_+M22_+M23_+M24_+M25_)),0)</f>
        <v>0</v>
      </c>
      <c r="AL304" s="27">
        <f>TableCosts[[#This Row],[N_Direct]]</f>
        <v>0</v>
      </c>
      <c r="AN304" s="7" t="str">
        <f t="shared" si="51"/>
        <v/>
      </c>
      <c r="AO304" s="7" t="str">
        <f t="shared" si="54"/>
        <v/>
      </c>
      <c r="AP304" s="7" t="str">
        <f t="shared" si="52"/>
        <v/>
      </c>
      <c r="AQ304" s="7" t="str">
        <f t="shared" si="55"/>
        <v/>
      </c>
      <c r="AR304" s="7" t="str">
        <f t="shared" si="53"/>
        <v/>
      </c>
      <c r="AS304" s="7">
        <f t="shared" si="56"/>
        <v>0</v>
      </c>
      <c r="AT304" s="17">
        <f>TableCosts[[#This Row],[N_Amount]]*TableCosts[[#This Row],[N_Tariff]]*TableCosts[[#This Row],[N_ItemsCount]]</f>
        <v>0</v>
      </c>
      <c r="AU304" s="17">
        <f>IF(F304=1,IF(TableCosts[[#This Row],[N_Kateg]]="interné práce",TableCosts[[#This Row],[N_Amount]]*8*PAR_SGA_PERHOUR,0),0)</f>
        <v>0</v>
      </c>
      <c r="AV304" s="17">
        <f>SUM(TableCosts[[#This Row],[N_Direct]:[N_SGA]])</f>
        <v>0</v>
      </c>
      <c r="AW304" s="7">
        <f>IF(F304=1,IF(D304="",NA(),VLOOKUP(C304&amp;TableCosts[[#This Row],[Calc_N_Typ]],TRAN_STRITEMS_LABEL,7,0)),0)</f>
        <v>0</v>
      </c>
      <c r="AX304" s="7">
        <f t="shared" si="57"/>
        <v>0</v>
      </c>
      <c r="AY304" s="57" t="str">
        <f t="shared" si="58"/>
        <v/>
      </c>
      <c r="AZ304" s="57" t="str">
        <f t="shared" si="59"/>
        <v/>
      </c>
      <c r="BA304" s="57" t="str">
        <f>IF(F304=1,IF(TableCosts[[#This Row],[TransferFrom]]=TableCosts[[#This Row],[TranferTo]],0,1),"")</f>
        <v/>
      </c>
      <c r="BB304" s="7">
        <f t="shared" si="60"/>
        <v>0</v>
      </c>
      <c r="BC304" s="7">
        <f t="shared" si="61"/>
        <v>0</v>
      </c>
    </row>
    <row r="305" spans="2:55" s="7" customFormat="1" ht="12.75" x14ac:dyDescent="0.2">
      <c r="B305" s="33"/>
      <c r="C305" s="31"/>
      <c r="D305" s="40"/>
      <c r="E305" s="6" t="str">
        <f>IF(F305=1,IF(ISERROR(TableCosts[[#This Row],[N_Tariff]]),Err_Message1,IF(TableCosts[[#This Row],[N_Tariff]]=0,Err_Message2,VLOOKUP(C305&amp;TableCosts[[#This Row],[Calc_N_Typ]],TRAN_STRITEMS_LABEL,5,FALSE))),"")</f>
        <v/>
      </c>
      <c r="F305" s="6">
        <f t="shared" si="62"/>
        <v>0</v>
      </c>
      <c r="G305" s="6" t="str">
        <f>IF(F305=1,IFERROR(VLOOKUP(E305,Tab_ErrMessage[],2,0),VLOOKUP(C305&amp;TableCosts[[#This Row],[Calc_N_Typ]],TRAN_STRITEMS_LABEL,4,FALSE)),"")</f>
        <v/>
      </c>
      <c r="H305" s="40"/>
      <c r="I305" s="40"/>
      <c r="J305" s="35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4"/>
      <c r="AI305" s="24"/>
      <c r="AJ305" s="24"/>
      <c r="AK305" s="38">
        <f t="array" ref="AK305">IF(F305=1,SUM((ROW(M0)=ROW(AK305))*(M0+M1_+M2_+M3_+M4_+M5_+M6_+M7_+M8_+M9_+M10_+M11_+M12_+M13_+M14_+M15_+M16_+M17_+M18_+M19_+M20_+M21_+M22_+M23_+M24_+M25_)),0)</f>
        <v>0</v>
      </c>
      <c r="AL305" s="27">
        <f>TableCosts[[#This Row],[N_Direct]]</f>
        <v>0</v>
      </c>
      <c r="AN305" s="7" t="str">
        <f t="shared" si="51"/>
        <v/>
      </c>
      <c r="AO305" s="7" t="str">
        <f t="shared" si="54"/>
        <v/>
      </c>
      <c r="AP305" s="7" t="str">
        <f t="shared" si="52"/>
        <v/>
      </c>
      <c r="AQ305" s="7" t="str">
        <f t="shared" si="55"/>
        <v/>
      </c>
      <c r="AR305" s="7" t="str">
        <f t="shared" si="53"/>
        <v/>
      </c>
      <c r="AS305" s="7">
        <f t="shared" si="56"/>
        <v>0</v>
      </c>
      <c r="AT305" s="17">
        <f>TableCosts[[#This Row],[N_Amount]]*TableCosts[[#This Row],[N_Tariff]]*TableCosts[[#This Row],[N_ItemsCount]]</f>
        <v>0</v>
      </c>
      <c r="AU305" s="17">
        <f>IF(F305=1,IF(TableCosts[[#This Row],[N_Kateg]]="interné práce",TableCosts[[#This Row],[N_Amount]]*8*PAR_SGA_PERHOUR,0),0)</f>
        <v>0</v>
      </c>
      <c r="AV305" s="17">
        <f>SUM(TableCosts[[#This Row],[N_Direct]:[N_SGA]])</f>
        <v>0</v>
      </c>
      <c r="AW305" s="7">
        <f>IF(F305=1,IF(D305="",NA(),VLOOKUP(C305&amp;TableCosts[[#This Row],[Calc_N_Typ]],TRAN_STRITEMS_LABEL,7,0)),0)</f>
        <v>0</v>
      </c>
      <c r="AX305" s="7">
        <f t="shared" si="57"/>
        <v>0</v>
      </c>
      <c r="AY305" s="57" t="str">
        <f t="shared" si="58"/>
        <v/>
      </c>
      <c r="AZ305" s="57" t="str">
        <f t="shared" si="59"/>
        <v/>
      </c>
      <c r="BA305" s="57" t="str">
        <f>IF(F305=1,IF(TableCosts[[#This Row],[TransferFrom]]=TableCosts[[#This Row],[TranferTo]],0,1),"")</f>
        <v/>
      </c>
      <c r="BB305" s="7">
        <f t="shared" si="60"/>
        <v>0</v>
      </c>
      <c r="BC305" s="7">
        <f t="shared" si="61"/>
        <v>0</v>
      </c>
    </row>
    <row r="306" spans="2:55" s="7" customFormat="1" ht="12.75" x14ac:dyDescent="0.2">
      <c r="B306" s="33"/>
      <c r="C306" s="31"/>
      <c r="D306" s="40"/>
      <c r="E306" s="6" t="str">
        <f>IF(F306=1,IF(ISERROR(TableCosts[[#This Row],[N_Tariff]]),Err_Message1,IF(TableCosts[[#This Row],[N_Tariff]]=0,Err_Message2,VLOOKUP(C306&amp;TableCosts[[#This Row],[Calc_N_Typ]],TRAN_STRITEMS_LABEL,5,FALSE))),"")</f>
        <v/>
      </c>
      <c r="F306" s="6">
        <f t="shared" si="62"/>
        <v>0</v>
      </c>
      <c r="G306" s="6" t="str">
        <f>IF(F306=1,IFERROR(VLOOKUP(E306,Tab_ErrMessage[],2,0),VLOOKUP(C306&amp;TableCosts[[#This Row],[Calc_N_Typ]],TRAN_STRITEMS_LABEL,4,FALSE)),"")</f>
        <v/>
      </c>
      <c r="H306" s="40"/>
      <c r="I306" s="40"/>
      <c r="J306" s="35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4"/>
      <c r="AI306" s="24"/>
      <c r="AJ306" s="24"/>
      <c r="AK306" s="38">
        <f t="array" ref="AK306">IF(F306=1,SUM((ROW(M0)=ROW(AK306))*(M0+M1_+M2_+M3_+M4_+M5_+M6_+M7_+M8_+M9_+M10_+M11_+M12_+M13_+M14_+M15_+M16_+M17_+M18_+M19_+M20_+M21_+M22_+M23_+M24_+M25_)),0)</f>
        <v>0</v>
      </c>
      <c r="AL306" s="27">
        <f>TableCosts[[#This Row],[N_Direct]]</f>
        <v>0</v>
      </c>
      <c r="AN306" s="7" t="str">
        <f t="shared" si="51"/>
        <v/>
      </c>
      <c r="AO306" s="7" t="str">
        <f t="shared" si="54"/>
        <v/>
      </c>
      <c r="AP306" s="7" t="str">
        <f t="shared" si="52"/>
        <v/>
      </c>
      <c r="AQ306" s="7" t="str">
        <f t="shared" si="55"/>
        <v/>
      </c>
      <c r="AR306" s="7" t="str">
        <f t="shared" si="53"/>
        <v/>
      </c>
      <c r="AS306" s="7">
        <f t="shared" si="56"/>
        <v>0</v>
      </c>
      <c r="AT306" s="17">
        <f>TableCosts[[#This Row],[N_Amount]]*TableCosts[[#This Row],[N_Tariff]]*TableCosts[[#This Row],[N_ItemsCount]]</f>
        <v>0</v>
      </c>
      <c r="AU306" s="17">
        <f>IF(F306=1,IF(TableCosts[[#This Row],[N_Kateg]]="interné práce",TableCosts[[#This Row],[N_Amount]]*8*PAR_SGA_PERHOUR,0),0)</f>
        <v>0</v>
      </c>
      <c r="AV306" s="17">
        <f>SUM(TableCosts[[#This Row],[N_Direct]:[N_SGA]])</f>
        <v>0</v>
      </c>
      <c r="AW306" s="7">
        <f>IF(F306=1,IF(D306="",NA(),VLOOKUP(C306&amp;TableCosts[[#This Row],[Calc_N_Typ]],TRAN_STRITEMS_LABEL,7,0)),0)</f>
        <v>0</v>
      </c>
      <c r="AX306" s="7">
        <f t="shared" si="57"/>
        <v>0</v>
      </c>
      <c r="AY306" s="57" t="str">
        <f t="shared" si="58"/>
        <v/>
      </c>
      <c r="AZ306" s="57" t="str">
        <f t="shared" si="59"/>
        <v/>
      </c>
      <c r="BA306" s="57" t="str">
        <f>IF(F306=1,IF(TableCosts[[#This Row],[TransferFrom]]=TableCosts[[#This Row],[TranferTo]],0,1),"")</f>
        <v/>
      </c>
      <c r="BB306" s="7">
        <f t="shared" si="60"/>
        <v>0</v>
      </c>
      <c r="BC306" s="7">
        <f t="shared" si="61"/>
        <v>0</v>
      </c>
    </row>
    <row r="307" spans="2:55" s="7" customFormat="1" ht="12.75" x14ac:dyDescent="0.2">
      <c r="B307" s="33"/>
      <c r="C307" s="31"/>
      <c r="D307" s="40"/>
      <c r="E307" s="6" t="str">
        <f>IF(F307=1,IF(ISERROR(TableCosts[[#This Row],[N_Tariff]]),Err_Message1,IF(TableCosts[[#This Row],[N_Tariff]]=0,Err_Message2,VLOOKUP(C307&amp;TableCosts[[#This Row],[Calc_N_Typ]],TRAN_STRITEMS_LABEL,5,FALSE))),"")</f>
        <v/>
      </c>
      <c r="F307" s="6">
        <f t="shared" si="62"/>
        <v>0</v>
      </c>
      <c r="G307" s="6" t="str">
        <f>IF(F307=1,IFERROR(VLOOKUP(E307,Tab_ErrMessage[],2,0),VLOOKUP(C307&amp;TableCosts[[#This Row],[Calc_N_Typ]],TRAN_STRITEMS_LABEL,4,FALSE)),"")</f>
        <v/>
      </c>
      <c r="H307" s="40"/>
      <c r="I307" s="40"/>
      <c r="J307" s="35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4"/>
      <c r="AI307" s="24"/>
      <c r="AJ307" s="24"/>
      <c r="AK307" s="38">
        <f t="array" ref="AK307">IF(F307=1,SUM((ROW(M0)=ROW(AK307))*(M0+M1_+M2_+M3_+M4_+M5_+M6_+M7_+M8_+M9_+M10_+M11_+M12_+M13_+M14_+M15_+M16_+M17_+M18_+M19_+M20_+M21_+M22_+M23_+M24_+M25_)),0)</f>
        <v>0</v>
      </c>
      <c r="AL307" s="27">
        <f>TableCosts[[#This Row],[N_Direct]]</f>
        <v>0</v>
      </c>
      <c r="AN307" s="7" t="str">
        <f t="shared" si="51"/>
        <v/>
      </c>
      <c r="AO307" s="7" t="str">
        <f t="shared" si="54"/>
        <v/>
      </c>
      <c r="AP307" s="7" t="str">
        <f t="shared" si="52"/>
        <v/>
      </c>
      <c r="AQ307" s="7" t="str">
        <f t="shared" si="55"/>
        <v/>
      </c>
      <c r="AR307" s="7" t="str">
        <f t="shared" si="53"/>
        <v/>
      </c>
      <c r="AS307" s="7">
        <f t="shared" si="56"/>
        <v>0</v>
      </c>
      <c r="AT307" s="17">
        <f>TableCosts[[#This Row],[N_Amount]]*TableCosts[[#This Row],[N_Tariff]]*TableCosts[[#This Row],[N_ItemsCount]]</f>
        <v>0</v>
      </c>
      <c r="AU307" s="17">
        <f>IF(F307=1,IF(TableCosts[[#This Row],[N_Kateg]]="interné práce",TableCosts[[#This Row],[N_Amount]]*8*PAR_SGA_PERHOUR,0),0)</f>
        <v>0</v>
      </c>
      <c r="AV307" s="17">
        <f>SUM(TableCosts[[#This Row],[N_Direct]:[N_SGA]])</f>
        <v>0</v>
      </c>
      <c r="AW307" s="7">
        <f>IF(F307=1,IF(D307="",NA(),VLOOKUP(C307&amp;TableCosts[[#This Row],[Calc_N_Typ]],TRAN_STRITEMS_LABEL,7,0)),0)</f>
        <v>0</v>
      </c>
      <c r="AX307" s="7">
        <f t="shared" si="57"/>
        <v>0</v>
      </c>
      <c r="AY307" s="57" t="str">
        <f t="shared" si="58"/>
        <v/>
      </c>
      <c r="AZ307" s="57" t="str">
        <f t="shared" si="59"/>
        <v/>
      </c>
      <c r="BA307" s="57" t="str">
        <f>IF(F307=1,IF(TableCosts[[#This Row],[TransferFrom]]=TableCosts[[#This Row],[TranferTo]],0,1),"")</f>
        <v/>
      </c>
      <c r="BB307" s="7">
        <f t="shared" si="60"/>
        <v>0</v>
      </c>
      <c r="BC307" s="7">
        <f t="shared" si="61"/>
        <v>0</v>
      </c>
    </row>
    <row r="308" spans="2:55" s="7" customFormat="1" ht="12.75" x14ac:dyDescent="0.2">
      <c r="B308" s="33"/>
      <c r="C308" s="31"/>
      <c r="D308" s="40"/>
      <c r="E308" s="6" t="str">
        <f>IF(F308=1,IF(ISERROR(TableCosts[[#This Row],[N_Tariff]]),Err_Message1,IF(TableCosts[[#This Row],[N_Tariff]]=0,Err_Message2,VLOOKUP(C308&amp;TableCosts[[#This Row],[Calc_N_Typ]],TRAN_STRITEMS_LABEL,5,FALSE))),"")</f>
        <v/>
      </c>
      <c r="F308" s="6">
        <f t="shared" si="62"/>
        <v>0</v>
      </c>
      <c r="G308" s="6" t="str">
        <f>IF(F308=1,IFERROR(VLOOKUP(E308,Tab_ErrMessage[],2,0),VLOOKUP(C308&amp;TableCosts[[#This Row],[Calc_N_Typ]],TRAN_STRITEMS_LABEL,4,FALSE)),"")</f>
        <v/>
      </c>
      <c r="H308" s="40"/>
      <c r="I308" s="40"/>
      <c r="J308" s="35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4"/>
      <c r="AI308" s="24"/>
      <c r="AJ308" s="24"/>
      <c r="AK308" s="38">
        <f t="array" ref="AK308">IF(F308=1,SUM((ROW(M0)=ROW(AK308))*(M0+M1_+M2_+M3_+M4_+M5_+M6_+M7_+M8_+M9_+M10_+M11_+M12_+M13_+M14_+M15_+M16_+M17_+M18_+M19_+M20_+M21_+M22_+M23_+M24_+M25_)),0)</f>
        <v>0</v>
      </c>
      <c r="AL308" s="27">
        <f>TableCosts[[#This Row],[N_Direct]]</f>
        <v>0</v>
      </c>
      <c r="AN308" s="7" t="str">
        <f t="shared" si="51"/>
        <v/>
      </c>
      <c r="AO308" s="7" t="str">
        <f t="shared" si="54"/>
        <v/>
      </c>
      <c r="AP308" s="7" t="str">
        <f t="shared" si="52"/>
        <v/>
      </c>
      <c r="AQ308" s="7" t="str">
        <f t="shared" si="55"/>
        <v/>
      </c>
      <c r="AR308" s="7" t="str">
        <f t="shared" si="53"/>
        <v/>
      </c>
      <c r="AS308" s="7">
        <f t="shared" si="56"/>
        <v>0</v>
      </c>
      <c r="AT308" s="17">
        <f>TableCosts[[#This Row],[N_Amount]]*TableCosts[[#This Row],[N_Tariff]]*TableCosts[[#This Row],[N_ItemsCount]]</f>
        <v>0</v>
      </c>
      <c r="AU308" s="17">
        <f>IF(F308=1,IF(TableCosts[[#This Row],[N_Kateg]]="interné práce",TableCosts[[#This Row],[N_Amount]]*8*PAR_SGA_PERHOUR,0),0)</f>
        <v>0</v>
      </c>
      <c r="AV308" s="17">
        <f>SUM(TableCosts[[#This Row],[N_Direct]:[N_SGA]])</f>
        <v>0</v>
      </c>
      <c r="AW308" s="7">
        <f>IF(F308=1,IF(D308="",NA(),VLOOKUP(C308&amp;TableCosts[[#This Row],[Calc_N_Typ]],TRAN_STRITEMS_LABEL,7,0)),0)</f>
        <v>0</v>
      </c>
      <c r="AX308" s="7">
        <f t="shared" si="57"/>
        <v>0</v>
      </c>
      <c r="AY308" s="57" t="str">
        <f t="shared" si="58"/>
        <v/>
      </c>
      <c r="AZ308" s="57" t="str">
        <f t="shared" si="59"/>
        <v/>
      </c>
      <c r="BA308" s="57" t="str">
        <f>IF(F308=1,IF(TableCosts[[#This Row],[TransferFrom]]=TableCosts[[#This Row],[TranferTo]],0,1),"")</f>
        <v/>
      </c>
      <c r="BB308" s="7">
        <f t="shared" si="60"/>
        <v>0</v>
      </c>
      <c r="BC308" s="7">
        <f t="shared" si="61"/>
        <v>0</v>
      </c>
    </row>
    <row r="309" spans="2:55" s="7" customFormat="1" ht="12.75" x14ac:dyDescent="0.2">
      <c r="B309" s="33"/>
      <c r="C309" s="31"/>
      <c r="D309" s="40"/>
      <c r="E309" s="6" t="str">
        <f>IF(F309=1,IF(ISERROR(TableCosts[[#This Row],[N_Tariff]]),Err_Message1,IF(TableCosts[[#This Row],[N_Tariff]]=0,Err_Message2,VLOOKUP(C309&amp;TableCosts[[#This Row],[Calc_N_Typ]],TRAN_STRITEMS_LABEL,5,FALSE))),"")</f>
        <v/>
      </c>
      <c r="F309" s="6">
        <f t="shared" si="62"/>
        <v>0</v>
      </c>
      <c r="G309" s="6" t="str">
        <f>IF(F309=1,IFERROR(VLOOKUP(E309,Tab_ErrMessage[],2,0),VLOOKUP(C309&amp;TableCosts[[#This Row],[Calc_N_Typ]],TRAN_STRITEMS_LABEL,4,FALSE)),"")</f>
        <v/>
      </c>
      <c r="H309" s="40"/>
      <c r="I309" s="40"/>
      <c r="J309" s="35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4"/>
      <c r="AI309" s="24"/>
      <c r="AJ309" s="24"/>
      <c r="AK309" s="38">
        <f t="array" ref="AK309">IF(F309=1,SUM((ROW(M0)=ROW(AK309))*(M0+M1_+M2_+M3_+M4_+M5_+M6_+M7_+M8_+M9_+M10_+M11_+M12_+M13_+M14_+M15_+M16_+M17_+M18_+M19_+M20_+M21_+M22_+M23_+M24_+M25_)),0)</f>
        <v>0</v>
      </c>
      <c r="AL309" s="27">
        <f>TableCosts[[#This Row],[N_Direct]]</f>
        <v>0</v>
      </c>
      <c r="AN309" s="7" t="str">
        <f t="shared" si="51"/>
        <v/>
      </c>
      <c r="AO309" s="7" t="str">
        <f t="shared" si="54"/>
        <v/>
      </c>
      <c r="AP309" s="7" t="str">
        <f t="shared" si="52"/>
        <v/>
      </c>
      <c r="AQ309" s="7" t="str">
        <f t="shared" si="55"/>
        <v/>
      </c>
      <c r="AR309" s="7" t="str">
        <f t="shared" si="53"/>
        <v/>
      </c>
      <c r="AS309" s="7">
        <f t="shared" si="56"/>
        <v>0</v>
      </c>
      <c r="AT309" s="17">
        <f>TableCosts[[#This Row],[N_Amount]]*TableCosts[[#This Row],[N_Tariff]]*TableCosts[[#This Row],[N_ItemsCount]]</f>
        <v>0</v>
      </c>
      <c r="AU309" s="17">
        <f>IF(F309=1,IF(TableCosts[[#This Row],[N_Kateg]]="interné práce",TableCosts[[#This Row],[N_Amount]]*8*PAR_SGA_PERHOUR,0),0)</f>
        <v>0</v>
      </c>
      <c r="AV309" s="17">
        <f>SUM(TableCosts[[#This Row],[N_Direct]:[N_SGA]])</f>
        <v>0</v>
      </c>
      <c r="AW309" s="7">
        <f>IF(F309=1,IF(D309="",NA(),VLOOKUP(C309&amp;TableCosts[[#This Row],[Calc_N_Typ]],TRAN_STRITEMS_LABEL,7,0)),0)</f>
        <v>0</v>
      </c>
      <c r="AX309" s="7">
        <f t="shared" si="57"/>
        <v>0</v>
      </c>
      <c r="AY309" s="57" t="str">
        <f t="shared" si="58"/>
        <v/>
      </c>
      <c r="AZ309" s="57" t="str">
        <f t="shared" si="59"/>
        <v/>
      </c>
      <c r="BA309" s="57" t="str">
        <f>IF(F309=1,IF(TableCosts[[#This Row],[TransferFrom]]=TableCosts[[#This Row],[TranferTo]],0,1),"")</f>
        <v/>
      </c>
      <c r="BB309" s="7">
        <f t="shared" si="60"/>
        <v>0</v>
      </c>
      <c r="BC309" s="7">
        <f t="shared" si="61"/>
        <v>0</v>
      </c>
    </row>
    <row r="310" spans="2:55" s="7" customFormat="1" ht="12.75" x14ac:dyDescent="0.2">
      <c r="B310" s="33"/>
      <c r="C310" s="31"/>
      <c r="D310" s="40"/>
      <c r="E310" s="6" t="str">
        <f>IF(F310=1,IF(ISERROR(TableCosts[[#This Row],[N_Tariff]]),Err_Message1,IF(TableCosts[[#This Row],[N_Tariff]]=0,Err_Message2,VLOOKUP(C310&amp;TableCosts[[#This Row],[Calc_N_Typ]],TRAN_STRITEMS_LABEL,5,FALSE))),"")</f>
        <v/>
      </c>
      <c r="F310" s="6">
        <f t="shared" si="62"/>
        <v>0</v>
      </c>
      <c r="G310" s="6" t="str">
        <f>IF(F310=1,IFERROR(VLOOKUP(E310,Tab_ErrMessage[],2,0),VLOOKUP(C310&amp;TableCosts[[#This Row],[Calc_N_Typ]],TRAN_STRITEMS_LABEL,4,FALSE)),"")</f>
        <v/>
      </c>
      <c r="H310" s="40"/>
      <c r="I310" s="40"/>
      <c r="J310" s="35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4"/>
      <c r="AI310" s="24"/>
      <c r="AJ310" s="24"/>
      <c r="AK310" s="38">
        <f t="array" ref="AK310">IF(F310=1,SUM((ROW(M0)=ROW(AK310))*(M0+M1_+M2_+M3_+M4_+M5_+M6_+M7_+M8_+M9_+M10_+M11_+M12_+M13_+M14_+M15_+M16_+M17_+M18_+M19_+M20_+M21_+M22_+M23_+M24_+M25_)),0)</f>
        <v>0</v>
      </c>
      <c r="AL310" s="27">
        <f>TableCosts[[#This Row],[N_Direct]]</f>
        <v>0</v>
      </c>
      <c r="AN310" s="7" t="str">
        <f t="shared" si="51"/>
        <v/>
      </c>
      <c r="AO310" s="7" t="str">
        <f t="shared" si="54"/>
        <v/>
      </c>
      <c r="AP310" s="7" t="str">
        <f t="shared" si="52"/>
        <v/>
      </c>
      <c r="AQ310" s="7" t="str">
        <f t="shared" si="55"/>
        <v/>
      </c>
      <c r="AR310" s="7" t="str">
        <f t="shared" si="53"/>
        <v/>
      </c>
      <c r="AS310" s="7">
        <f t="shared" si="56"/>
        <v>0</v>
      </c>
      <c r="AT310" s="17">
        <f>TableCosts[[#This Row],[N_Amount]]*TableCosts[[#This Row],[N_Tariff]]*TableCosts[[#This Row],[N_ItemsCount]]</f>
        <v>0</v>
      </c>
      <c r="AU310" s="17">
        <f>IF(F310=1,IF(TableCosts[[#This Row],[N_Kateg]]="interné práce",TableCosts[[#This Row],[N_Amount]]*8*PAR_SGA_PERHOUR,0),0)</f>
        <v>0</v>
      </c>
      <c r="AV310" s="17">
        <f>SUM(TableCosts[[#This Row],[N_Direct]:[N_SGA]])</f>
        <v>0</v>
      </c>
      <c r="AW310" s="7">
        <f>IF(F310=1,IF(D310="",NA(),VLOOKUP(C310&amp;TableCosts[[#This Row],[Calc_N_Typ]],TRAN_STRITEMS_LABEL,7,0)),0)</f>
        <v>0</v>
      </c>
      <c r="AX310" s="7">
        <f t="shared" si="57"/>
        <v>0</v>
      </c>
      <c r="AY310" s="57" t="str">
        <f t="shared" si="58"/>
        <v/>
      </c>
      <c r="AZ310" s="57" t="str">
        <f t="shared" si="59"/>
        <v/>
      </c>
      <c r="BA310" s="57" t="str">
        <f>IF(F310=1,IF(TableCosts[[#This Row],[TransferFrom]]=TableCosts[[#This Row],[TranferTo]],0,1),"")</f>
        <v/>
      </c>
      <c r="BB310" s="7">
        <f t="shared" si="60"/>
        <v>0</v>
      </c>
      <c r="BC310" s="7">
        <f t="shared" si="61"/>
        <v>0</v>
      </c>
    </row>
    <row r="311" spans="2:55" s="7" customFormat="1" ht="12.75" x14ac:dyDescent="0.2">
      <c r="B311" s="33"/>
      <c r="C311" s="31"/>
      <c r="D311" s="40"/>
      <c r="E311" s="6" t="str">
        <f>IF(F311=1,IF(ISERROR(TableCosts[[#This Row],[N_Tariff]]),Err_Message1,IF(TableCosts[[#This Row],[N_Tariff]]=0,Err_Message2,VLOOKUP(C311&amp;TableCosts[[#This Row],[Calc_N_Typ]],TRAN_STRITEMS_LABEL,5,FALSE))),"")</f>
        <v/>
      </c>
      <c r="F311" s="6">
        <f t="shared" si="62"/>
        <v>0</v>
      </c>
      <c r="G311" s="6" t="str">
        <f>IF(F311=1,IFERROR(VLOOKUP(E311,Tab_ErrMessage[],2,0),VLOOKUP(C311&amp;TableCosts[[#This Row],[Calc_N_Typ]],TRAN_STRITEMS_LABEL,4,FALSE)),"")</f>
        <v/>
      </c>
      <c r="H311" s="40"/>
      <c r="I311" s="40"/>
      <c r="J311" s="35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4"/>
      <c r="AI311" s="24"/>
      <c r="AJ311" s="24"/>
      <c r="AK311" s="38">
        <f t="array" ref="AK311">IF(F311=1,SUM((ROW(M0)=ROW(AK311))*(M0+M1_+M2_+M3_+M4_+M5_+M6_+M7_+M8_+M9_+M10_+M11_+M12_+M13_+M14_+M15_+M16_+M17_+M18_+M19_+M20_+M21_+M22_+M23_+M24_+M25_)),0)</f>
        <v>0</v>
      </c>
      <c r="AL311" s="27">
        <f>TableCosts[[#This Row],[N_Direct]]</f>
        <v>0</v>
      </c>
      <c r="AN311" s="7" t="str">
        <f t="shared" ref="AN311:AN374" si="63">IF(F311=1,B311,"")</f>
        <v/>
      </c>
      <c r="AO311" s="7" t="str">
        <f t="shared" si="54"/>
        <v/>
      </c>
      <c r="AP311" s="7" t="str">
        <f t="shared" ref="AP311:AP374" si="64">IF(F311=1,E311,"")</f>
        <v/>
      </c>
      <c r="AQ311" s="7" t="str">
        <f t="shared" si="55"/>
        <v/>
      </c>
      <c r="AR311" s="7" t="str">
        <f t="shared" ref="AR311:AR374" si="65">IF(F311=1,G311,"")</f>
        <v/>
      </c>
      <c r="AS311" s="7">
        <f t="shared" si="56"/>
        <v>0</v>
      </c>
      <c r="AT311" s="17">
        <f>TableCosts[[#This Row],[N_Amount]]*TableCosts[[#This Row],[N_Tariff]]*TableCosts[[#This Row],[N_ItemsCount]]</f>
        <v>0</v>
      </c>
      <c r="AU311" s="17">
        <f>IF(F311=1,IF(TableCosts[[#This Row],[N_Kateg]]="interné práce",TableCosts[[#This Row],[N_Amount]]*8*PAR_SGA_PERHOUR,0),0)</f>
        <v>0</v>
      </c>
      <c r="AV311" s="17">
        <f>SUM(TableCosts[[#This Row],[N_Direct]:[N_SGA]])</f>
        <v>0</v>
      </c>
      <c r="AW311" s="7">
        <f>IF(F311=1,IF(D311="",NA(),VLOOKUP(C311&amp;TableCosts[[#This Row],[Calc_N_Typ]],TRAN_STRITEMS_LABEL,7,0)),0)</f>
        <v>0</v>
      </c>
      <c r="AX311" s="7">
        <f t="shared" si="57"/>
        <v>0</v>
      </c>
      <c r="AY311" s="57" t="str">
        <f t="shared" si="58"/>
        <v/>
      </c>
      <c r="AZ311" s="57" t="str">
        <f t="shared" si="59"/>
        <v/>
      </c>
      <c r="BA311" s="57" t="str">
        <f>IF(F311=1,IF(TableCosts[[#This Row],[TransferFrom]]=TableCosts[[#This Row],[TranferTo]],0,1),"")</f>
        <v/>
      </c>
      <c r="BB311" s="7">
        <f t="shared" si="60"/>
        <v>0</v>
      </c>
      <c r="BC311" s="7">
        <f t="shared" si="61"/>
        <v>0</v>
      </c>
    </row>
    <row r="312" spans="2:55" s="7" customFormat="1" ht="12.75" x14ac:dyDescent="0.2">
      <c r="B312" s="33"/>
      <c r="C312" s="31"/>
      <c r="D312" s="40"/>
      <c r="E312" s="6" t="str">
        <f>IF(F312=1,IF(ISERROR(TableCosts[[#This Row],[N_Tariff]]),Err_Message1,IF(TableCosts[[#This Row],[N_Tariff]]=0,Err_Message2,VLOOKUP(C312&amp;TableCosts[[#This Row],[Calc_N_Typ]],TRAN_STRITEMS_LABEL,5,FALSE))),"")</f>
        <v/>
      </c>
      <c r="F312" s="6">
        <f t="shared" si="62"/>
        <v>0</v>
      </c>
      <c r="G312" s="6" t="str">
        <f>IF(F312=1,IFERROR(VLOOKUP(E312,Tab_ErrMessage[],2,0),VLOOKUP(C312&amp;TableCosts[[#This Row],[Calc_N_Typ]],TRAN_STRITEMS_LABEL,4,FALSE)),"")</f>
        <v/>
      </c>
      <c r="H312" s="40"/>
      <c r="I312" s="40"/>
      <c r="J312" s="35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4"/>
      <c r="AI312" s="24"/>
      <c r="AJ312" s="24"/>
      <c r="AK312" s="38">
        <f t="array" ref="AK312">IF(F312=1,SUM((ROW(M0)=ROW(AK312))*(M0+M1_+M2_+M3_+M4_+M5_+M6_+M7_+M8_+M9_+M10_+M11_+M12_+M13_+M14_+M15_+M16_+M17_+M18_+M19_+M20_+M21_+M22_+M23_+M24_+M25_)),0)</f>
        <v>0</v>
      </c>
      <c r="AL312" s="27">
        <f>TableCosts[[#This Row],[N_Direct]]</f>
        <v>0</v>
      </c>
      <c r="AN312" s="7" t="str">
        <f t="shared" si="63"/>
        <v/>
      </c>
      <c r="AO312" s="7" t="str">
        <f t="shared" si="54"/>
        <v/>
      </c>
      <c r="AP312" s="7" t="str">
        <f t="shared" si="64"/>
        <v/>
      </c>
      <c r="AQ312" s="7" t="str">
        <f t="shared" si="55"/>
        <v/>
      </c>
      <c r="AR312" s="7" t="str">
        <f t="shared" si="65"/>
        <v/>
      </c>
      <c r="AS312" s="7">
        <f t="shared" si="56"/>
        <v>0</v>
      </c>
      <c r="AT312" s="17">
        <f>TableCosts[[#This Row],[N_Amount]]*TableCosts[[#This Row],[N_Tariff]]*TableCosts[[#This Row],[N_ItemsCount]]</f>
        <v>0</v>
      </c>
      <c r="AU312" s="17">
        <f>IF(F312=1,IF(TableCosts[[#This Row],[N_Kateg]]="interné práce",TableCosts[[#This Row],[N_Amount]]*8*PAR_SGA_PERHOUR,0),0)</f>
        <v>0</v>
      </c>
      <c r="AV312" s="17">
        <f>SUM(TableCosts[[#This Row],[N_Direct]:[N_SGA]])</f>
        <v>0</v>
      </c>
      <c r="AW312" s="7">
        <f>IF(F312=1,IF(D312="",NA(),VLOOKUP(C312&amp;TableCosts[[#This Row],[Calc_N_Typ]],TRAN_STRITEMS_LABEL,7,0)),0)</f>
        <v>0</v>
      </c>
      <c r="AX312" s="7">
        <f t="shared" si="57"/>
        <v>0</v>
      </c>
      <c r="AY312" s="57" t="str">
        <f t="shared" si="58"/>
        <v/>
      </c>
      <c r="AZ312" s="57" t="str">
        <f t="shared" si="59"/>
        <v/>
      </c>
      <c r="BA312" s="57" t="str">
        <f>IF(F312=1,IF(TableCosts[[#This Row],[TransferFrom]]=TableCosts[[#This Row],[TranferTo]],0,1),"")</f>
        <v/>
      </c>
      <c r="BB312" s="7">
        <f t="shared" si="60"/>
        <v>0</v>
      </c>
      <c r="BC312" s="7">
        <f t="shared" si="61"/>
        <v>0</v>
      </c>
    </row>
    <row r="313" spans="2:55" s="7" customFormat="1" ht="12.75" x14ac:dyDescent="0.2">
      <c r="B313" s="33"/>
      <c r="C313" s="31"/>
      <c r="D313" s="40"/>
      <c r="E313" s="6" t="str">
        <f>IF(F313=1,IF(ISERROR(TableCosts[[#This Row],[N_Tariff]]),Err_Message1,IF(TableCosts[[#This Row],[N_Tariff]]=0,Err_Message2,VLOOKUP(C313&amp;TableCosts[[#This Row],[Calc_N_Typ]],TRAN_STRITEMS_LABEL,5,FALSE))),"")</f>
        <v/>
      </c>
      <c r="F313" s="6">
        <f t="shared" si="62"/>
        <v>0</v>
      </c>
      <c r="G313" s="6" t="str">
        <f>IF(F313=1,IFERROR(VLOOKUP(E313,Tab_ErrMessage[],2,0),VLOOKUP(C313&amp;TableCosts[[#This Row],[Calc_N_Typ]],TRAN_STRITEMS_LABEL,4,FALSE)),"")</f>
        <v/>
      </c>
      <c r="H313" s="40"/>
      <c r="I313" s="40"/>
      <c r="J313" s="35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4"/>
      <c r="AI313" s="24"/>
      <c r="AJ313" s="24"/>
      <c r="AK313" s="38">
        <f t="array" ref="AK313">IF(F313=1,SUM((ROW(M0)=ROW(AK313))*(M0+M1_+M2_+M3_+M4_+M5_+M6_+M7_+M8_+M9_+M10_+M11_+M12_+M13_+M14_+M15_+M16_+M17_+M18_+M19_+M20_+M21_+M22_+M23_+M24_+M25_)),0)</f>
        <v>0</v>
      </c>
      <c r="AL313" s="27">
        <f>TableCosts[[#This Row],[N_Direct]]</f>
        <v>0</v>
      </c>
      <c r="AN313" s="7" t="str">
        <f t="shared" si="63"/>
        <v/>
      </c>
      <c r="AO313" s="7" t="str">
        <f t="shared" si="54"/>
        <v/>
      </c>
      <c r="AP313" s="7" t="str">
        <f t="shared" si="64"/>
        <v/>
      </c>
      <c r="AQ313" s="7" t="str">
        <f t="shared" si="55"/>
        <v/>
      </c>
      <c r="AR313" s="7" t="str">
        <f t="shared" si="65"/>
        <v/>
      </c>
      <c r="AS313" s="7">
        <f t="shared" si="56"/>
        <v>0</v>
      </c>
      <c r="AT313" s="17">
        <f>TableCosts[[#This Row],[N_Amount]]*TableCosts[[#This Row],[N_Tariff]]*TableCosts[[#This Row],[N_ItemsCount]]</f>
        <v>0</v>
      </c>
      <c r="AU313" s="17">
        <f>IF(F313=1,IF(TableCosts[[#This Row],[N_Kateg]]="interné práce",TableCosts[[#This Row],[N_Amount]]*8*PAR_SGA_PERHOUR,0),0)</f>
        <v>0</v>
      </c>
      <c r="AV313" s="17">
        <f>SUM(TableCosts[[#This Row],[N_Direct]:[N_SGA]])</f>
        <v>0</v>
      </c>
      <c r="AW313" s="7">
        <f>IF(F313=1,IF(D313="",NA(),VLOOKUP(C313&amp;TableCosts[[#This Row],[Calc_N_Typ]],TRAN_STRITEMS_LABEL,7,0)),0)</f>
        <v>0</v>
      </c>
      <c r="AX313" s="7">
        <f t="shared" si="57"/>
        <v>0</v>
      </c>
      <c r="AY313" s="57" t="str">
        <f t="shared" si="58"/>
        <v/>
      </c>
      <c r="AZ313" s="57" t="str">
        <f t="shared" si="59"/>
        <v/>
      </c>
      <c r="BA313" s="57" t="str">
        <f>IF(F313=1,IF(TableCosts[[#This Row],[TransferFrom]]=TableCosts[[#This Row],[TranferTo]],0,1),"")</f>
        <v/>
      </c>
      <c r="BB313" s="7">
        <f t="shared" si="60"/>
        <v>0</v>
      </c>
      <c r="BC313" s="7">
        <f t="shared" si="61"/>
        <v>0</v>
      </c>
    </row>
    <row r="314" spans="2:55" s="7" customFormat="1" ht="12.75" x14ac:dyDescent="0.2">
      <c r="B314" s="33"/>
      <c r="C314" s="31"/>
      <c r="D314" s="40"/>
      <c r="E314" s="6" t="str">
        <f>IF(F314=1,IF(ISERROR(TableCosts[[#This Row],[N_Tariff]]),Err_Message1,IF(TableCosts[[#This Row],[N_Tariff]]=0,Err_Message2,VLOOKUP(C314&amp;TableCosts[[#This Row],[Calc_N_Typ]],TRAN_STRITEMS_LABEL,5,FALSE))),"")</f>
        <v/>
      </c>
      <c r="F314" s="6">
        <f t="shared" si="62"/>
        <v>0</v>
      </c>
      <c r="G314" s="6" t="str">
        <f>IF(F314=1,IFERROR(VLOOKUP(E314,Tab_ErrMessage[],2,0),VLOOKUP(C314&amp;TableCosts[[#This Row],[Calc_N_Typ]],TRAN_STRITEMS_LABEL,4,FALSE)),"")</f>
        <v/>
      </c>
      <c r="H314" s="40"/>
      <c r="I314" s="40"/>
      <c r="J314" s="35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4"/>
      <c r="AI314" s="24"/>
      <c r="AJ314" s="24"/>
      <c r="AK314" s="38">
        <f t="array" ref="AK314">IF(F314=1,SUM((ROW(M0)=ROW(AK314))*(M0+M1_+M2_+M3_+M4_+M5_+M6_+M7_+M8_+M9_+M10_+M11_+M12_+M13_+M14_+M15_+M16_+M17_+M18_+M19_+M20_+M21_+M22_+M23_+M24_+M25_)),0)</f>
        <v>0</v>
      </c>
      <c r="AL314" s="27">
        <f>TableCosts[[#This Row],[N_Direct]]</f>
        <v>0</v>
      </c>
      <c r="AN314" s="7" t="str">
        <f t="shared" si="63"/>
        <v/>
      </c>
      <c r="AO314" s="7" t="str">
        <f t="shared" si="54"/>
        <v/>
      </c>
      <c r="AP314" s="7" t="str">
        <f t="shared" si="64"/>
        <v/>
      </c>
      <c r="AQ314" s="7" t="str">
        <f t="shared" si="55"/>
        <v/>
      </c>
      <c r="AR314" s="7" t="str">
        <f t="shared" si="65"/>
        <v/>
      </c>
      <c r="AS314" s="7">
        <f t="shared" si="56"/>
        <v>0</v>
      </c>
      <c r="AT314" s="17">
        <f>TableCosts[[#This Row],[N_Amount]]*TableCosts[[#This Row],[N_Tariff]]*TableCosts[[#This Row],[N_ItemsCount]]</f>
        <v>0</v>
      </c>
      <c r="AU314" s="17">
        <f>IF(F314=1,IF(TableCosts[[#This Row],[N_Kateg]]="interné práce",TableCosts[[#This Row],[N_Amount]]*8*PAR_SGA_PERHOUR,0),0)</f>
        <v>0</v>
      </c>
      <c r="AV314" s="17">
        <f>SUM(TableCosts[[#This Row],[N_Direct]:[N_SGA]])</f>
        <v>0</v>
      </c>
      <c r="AW314" s="7">
        <f>IF(F314=1,IF(D314="",NA(),VLOOKUP(C314&amp;TableCosts[[#This Row],[Calc_N_Typ]],TRAN_STRITEMS_LABEL,7,0)),0)</f>
        <v>0</v>
      </c>
      <c r="AX314" s="7">
        <f t="shared" si="57"/>
        <v>0</v>
      </c>
      <c r="AY314" s="57" t="str">
        <f t="shared" si="58"/>
        <v/>
      </c>
      <c r="AZ314" s="57" t="str">
        <f t="shared" si="59"/>
        <v/>
      </c>
      <c r="BA314" s="57" t="str">
        <f>IF(F314=1,IF(TableCosts[[#This Row],[TransferFrom]]=TableCosts[[#This Row],[TranferTo]],0,1),"")</f>
        <v/>
      </c>
      <c r="BB314" s="7">
        <f t="shared" si="60"/>
        <v>0</v>
      </c>
      <c r="BC314" s="7">
        <f t="shared" si="61"/>
        <v>0</v>
      </c>
    </row>
    <row r="315" spans="2:55" s="7" customFormat="1" ht="12.75" x14ac:dyDescent="0.2">
      <c r="B315" s="33"/>
      <c r="C315" s="31"/>
      <c r="D315" s="40"/>
      <c r="E315" s="6" t="str">
        <f>IF(F315=1,IF(ISERROR(TableCosts[[#This Row],[N_Tariff]]),Err_Message1,IF(TableCosts[[#This Row],[N_Tariff]]=0,Err_Message2,VLOOKUP(C315&amp;TableCosts[[#This Row],[Calc_N_Typ]],TRAN_STRITEMS_LABEL,5,FALSE))),"")</f>
        <v/>
      </c>
      <c r="F315" s="6">
        <f t="shared" si="62"/>
        <v>0</v>
      </c>
      <c r="G315" s="6" t="str">
        <f>IF(F315=1,IFERROR(VLOOKUP(E315,Tab_ErrMessage[],2,0),VLOOKUP(C315&amp;TableCosts[[#This Row],[Calc_N_Typ]],TRAN_STRITEMS_LABEL,4,FALSE)),"")</f>
        <v/>
      </c>
      <c r="H315" s="40"/>
      <c r="I315" s="40"/>
      <c r="J315" s="35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4"/>
      <c r="AI315" s="24"/>
      <c r="AJ315" s="24"/>
      <c r="AK315" s="38">
        <f t="array" ref="AK315">IF(F315=1,SUM((ROW(M0)=ROW(AK315))*(M0+M1_+M2_+M3_+M4_+M5_+M6_+M7_+M8_+M9_+M10_+M11_+M12_+M13_+M14_+M15_+M16_+M17_+M18_+M19_+M20_+M21_+M22_+M23_+M24_+M25_)),0)</f>
        <v>0</v>
      </c>
      <c r="AL315" s="27">
        <f>TableCosts[[#This Row],[N_Direct]]</f>
        <v>0</v>
      </c>
      <c r="AN315" s="7" t="str">
        <f t="shared" si="63"/>
        <v/>
      </c>
      <c r="AO315" s="7" t="str">
        <f t="shared" si="54"/>
        <v/>
      </c>
      <c r="AP315" s="7" t="str">
        <f t="shared" si="64"/>
        <v/>
      </c>
      <c r="AQ315" s="7" t="str">
        <f t="shared" si="55"/>
        <v/>
      </c>
      <c r="AR315" s="7" t="str">
        <f t="shared" si="65"/>
        <v/>
      </c>
      <c r="AS315" s="7">
        <f t="shared" si="56"/>
        <v>0</v>
      </c>
      <c r="AT315" s="17">
        <f>TableCosts[[#This Row],[N_Amount]]*TableCosts[[#This Row],[N_Tariff]]*TableCosts[[#This Row],[N_ItemsCount]]</f>
        <v>0</v>
      </c>
      <c r="AU315" s="17">
        <f>IF(F315=1,IF(TableCosts[[#This Row],[N_Kateg]]="interné práce",TableCosts[[#This Row],[N_Amount]]*8*PAR_SGA_PERHOUR,0),0)</f>
        <v>0</v>
      </c>
      <c r="AV315" s="17">
        <f>SUM(TableCosts[[#This Row],[N_Direct]:[N_SGA]])</f>
        <v>0</v>
      </c>
      <c r="AW315" s="7">
        <f>IF(F315=1,IF(D315="",NA(),VLOOKUP(C315&amp;TableCosts[[#This Row],[Calc_N_Typ]],TRAN_STRITEMS_LABEL,7,0)),0)</f>
        <v>0</v>
      </c>
      <c r="AX315" s="7">
        <f t="shared" si="57"/>
        <v>0</v>
      </c>
      <c r="AY315" s="57" t="str">
        <f t="shared" si="58"/>
        <v/>
      </c>
      <c r="AZ315" s="57" t="str">
        <f t="shared" si="59"/>
        <v/>
      </c>
      <c r="BA315" s="57" t="str">
        <f>IF(F315=1,IF(TableCosts[[#This Row],[TransferFrom]]=TableCosts[[#This Row],[TranferTo]],0,1),"")</f>
        <v/>
      </c>
      <c r="BB315" s="7">
        <f t="shared" si="60"/>
        <v>0</v>
      </c>
      <c r="BC315" s="7">
        <f t="shared" si="61"/>
        <v>0</v>
      </c>
    </row>
    <row r="316" spans="2:55" s="7" customFormat="1" ht="12.75" x14ac:dyDescent="0.2">
      <c r="B316" s="33"/>
      <c r="C316" s="31"/>
      <c r="D316" s="40"/>
      <c r="E316" s="6" t="str">
        <f>IF(F316=1,IF(ISERROR(TableCosts[[#This Row],[N_Tariff]]),Err_Message1,IF(TableCosts[[#This Row],[N_Tariff]]=0,Err_Message2,VLOOKUP(C316&amp;TableCosts[[#This Row],[Calc_N_Typ]],TRAN_STRITEMS_LABEL,5,FALSE))),"")</f>
        <v/>
      </c>
      <c r="F316" s="6">
        <f t="shared" si="62"/>
        <v>0</v>
      </c>
      <c r="G316" s="6" t="str">
        <f>IF(F316=1,IFERROR(VLOOKUP(E316,Tab_ErrMessage[],2,0),VLOOKUP(C316&amp;TableCosts[[#This Row],[Calc_N_Typ]],TRAN_STRITEMS_LABEL,4,FALSE)),"")</f>
        <v/>
      </c>
      <c r="H316" s="40"/>
      <c r="I316" s="40"/>
      <c r="J316" s="35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4"/>
      <c r="AI316" s="24"/>
      <c r="AJ316" s="24"/>
      <c r="AK316" s="38">
        <f t="array" ref="AK316">IF(F316=1,SUM((ROW(M0)=ROW(AK316))*(M0+M1_+M2_+M3_+M4_+M5_+M6_+M7_+M8_+M9_+M10_+M11_+M12_+M13_+M14_+M15_+M16_+M17_+M18_+M19_+M20_+M21_+M22_+M23_+M24_+M25_)),0)</f>
        <v>0</v>
      </c>
      <c r="AL316" s="27">
        <f>TableCosts[[#This Row],[N_Direct]]</f>
        <v>0</v>
      </c>
      <c r="AN316" s="7" t="str">
        <f t="shared" si="63"/>
        <v/>
      </c>
      <c r="AO316" s="7" t="str">
        <f t="shared" si="54"/>
        <v/>
      </c>
      <c r="AP316" s="7" t="str">
        <f t="shared" si="64"/>
        <v/>
      </c>
      <c r="AQ316" s="7" t="str">
        <f t="shared" si="55"/>
        <v/>
      </c>
      <c r="AR316" s="7" t="str">
        <f t="shared" si="65"/>
        <v/>
      </c>
      <c r="AS316" s="7">
        <f t="shared" si="56"/>
        <v>0</v>
      </c>
      <c r="AT316" s="17">
        <f>TableCosts[[#This Row],[N_Amount]]*TableCosts[[#This Row],[N_Tariff]]*TableCosts[[#This Row],[N_ItemsCount]]</f>
        <v>0</v>
      </c>
      <c r="AU316" s="17">
        <f>IF(F316=1,IF(TableCosts[[#This Row],[N_Kateg]]="interné práce",TableCosts[[#This Row],[N_Amount]]*8*PAR_SGA_PERHOUR,0),0)</f>
        <v>0</v>
      </c>
      <c r="AV316" s="17">
        <f>SUM(TableCosts[[#This Row],[N_Direct]:[N_SGA]])</f>
        <v>0</v>
      </c>
      <c r="AW316" s="7">
        <f>IF(F316=1,IF(D316="",NA(),VLOOKUP(C316&amp;TableCosts[[#This Row],[Calc_N_Typ]],TRAN_STRITEMS_LABEL,7,0)),0)</f>
        <v>0</v>
      </c>
      <c r="AX316" s="7">
        <f t="shared" si="57"/>
        <v>0</v>
      </c>
      <c r="AY316" s="57" t="str">
        <f t="shared" si="58"/>
        <v/>
      </c>
      <c r="AZ316" s="57" t="str">
        <f t="shared" si="59"/>
        <v/>
      </c>
      <c r="BA316" s="57" t="str">
        <f>IF(F316=1,IF(TableCosts[[#This Row],[TransferFrom]]=TableCosts[[#This Row],[TranferTo]],0,1),"")</f>
        <v/>
      </c>
      <c r="BB316" s="7">
        <f t="shared" si="60"/>
        <v>0</v>
      </c>
      <c r="BC316" s="7">
        <f t="shared" si="61"/>
        <v>0</v>
      </c>
    </row>
    <row r="317" spans="2:55" s="7" customFormat="1" ht="12.75" x14ac:dyDescent="0.2">
      <c r="B317" s="33"/>
      <c r="C317" s="31"/>
      <c r="D317" s="40"/>
      <c r="E317" s="6" t="str">
        <f>IF(F317=1,IF(ISERROR(TableCosts[[#This Row],[N_Tariff]]),Err_Message1,IF(TableCosts[[#This Row],[N_Tariff]]=0,Err_Message2,VLOOKUP(C317&amp;TableCosts[[#This Row],[Calc_N_Typ]],TRAN_STRITEMS_LABEL,5,FALSE))),"")</f>
        <v/>
      </c>
      <c r="F317" s="6">
        <f t="shared" si="62"/>
        <v>0</v>
      </c>
      <c r="G317" s="6" t="str">
        <f>IF(F317=1,IFERROR(VLOOKUP(E317,Tab_ErrMessage[],2,0),VLOOKUP(C317&amp;TableCosts[[#This Row],[Calc_N_Typ]],TRAN_STRITEMS_LABEL,4,FALSE)),"")</f>
        <v/>
      </c>
      <c r="H317" s="40"/>
      <c r="I317" s="40"/>
      <c r="J317" s="35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4"/>
      <c r="AI317" s="24"/>
      <c r="AJ317" s="24"/>
      <c r="AK317" s="38">
        <f t="array" ref="AK317">IF(F317=1,SUM((ROW(M0)=ROW(AK317))*(M0+M1_+M2_+M3_+M4_+M5_+M6_+M7_+M8_+M9_+M10_+M11_+M12_+M13_+M14_+M15_+M16_+M17_+M18_+M19_+M20_+M21_+M22_+M23_+M24_+M25_)),0)</f>
        <v>0</v>
      </c>
      <c r="AL317" s="27">
        <f>TableCosts[[#This Row],[N_Direct]]</f>
        <v>0</v>
      </c>
      <c r="AN317" s="7" t="str">
        <f t="shared" si="63"/>
        <v/>
      </c>
      <c r="AO317" s="7" t="str">
        <f t="shared" si="54"/>
        <v/>
      </c>
      <c r="AP317" s="7" t="str">
        <f t="shared" si="64"/>
        <v/>
      </c>
      <c r="AQ317" s="7" t="str">
        <f t="shared" si="55"/>
        <v/>
      </c>
      <c r="AR317" s="7" t="str">
        <f t="shared" si="65"/>
        <v/>
      </c>
      <c r="AS317" s="7">
        <f t="shared" si="56"/>
        <v>0</v>
      </c>
      <c r="AT317" s="17">
        <f>TableCosts[[#This Row],[N_Amount]]*TableCosts[[#This Row],[N_Tariff]]*TableCosts[[#This Row],[N_ItemsCount]]</f>
        <v>0</v>
      </c>
      <c r="AU317" s="17">
        <f>IF(F317=1,IF(TableCosts[[#This Row],[N_Kateg]]="interné práce",TableCosts[[#This Row],[N_Amount]]*8*PAR_SGA_PERHOUR,0),0)</f>
        <v>0</v>
      </c>
      <c r="AV317" s="17">
        <f>SUM(TableCosts[[#This Row],[N_Direct]:[N_SGA]])</f>
        <v>0</v>
      </c>
      <c r="AW317" s="7">
        <f>IF(F317=1,IF(D317="",NA(),VLOOKUP(C317&amp;TableCosts[[#This Row],[Calc_N_Typ]],TRAN_STRITEMS_LABEL,7,0)),0)</f>
        <v>0</v>
      </c>
      <c r="AX317" s="7">
        <f t="shared" si="57"/>
        <v>0</v>
      </c>
      <c r="AY317" s="57" t="str">
        <f t="shared" si="58"/>
        <v/>
      </c>
      <c r="AZ317" s="57" t="str">
        <f t="shared" si="59"/>
        <v/>
      </c>
      <c r="BA317" s="57" t="str">
        <f>IF(F317=1,IF(TableCosts[[#This Row],[TransferFrom]]=TableCosts[[#This Row],[TranferTo]],0,1),"")</f>
        <v/>
      </c>
      <c r="BB317" s="7">
        <f t="shared" si="60"/>
        <v>0</v>
      </c>
      <c r="BC317" s="7">
        <f t="shared" si="61"/>
        <v>0</v>
      </c>
    </row>
    <row r="318" spans="2:55" s="7" customFormat="1" ht="12.75" x14ac:dyDescent="0.2">
      <c r="B318" s="33"/>
      <c r="C318" s="31"/>
      <c r="D318" s="40"/>
      <c r="E318" s="6" t="str">
        <f>IF(F318=1,IF(ISERROR(TableCosts[[#This Row],[N_Tariff]]),Err_Message1,IF(TableCosts[[#This Row],[N_Tariff]]=0,Err_Message2,VLOOKUP(C318&amp;TableCosts[[#This Row],[Calc_N_Typ]],TRAN_STRITEMS_LABEL,5,FALSE))),"")</f>
        <v/>
      </c>
      <c r="F318" s="6">
        <f t="shared" si="62"/>
        <v>0</v>
      </c>
      <c r="G318" s="6" t="str">
        <f>IF(F318=1,IFERROR(VLOOKUP(E318,Tab_ErrMessage[],2,0),VLOOKUP(C318&amp;TableCosts[[#This Row],[Calc_N_Typ]],TRAN_STRITEMS_LABEL,4,FALSE)),"")</f>
        <v/>
      </c>
      <c r="H318" s="40"/>
      <c r="I318" s="40"/>
      <c r="J318" s="35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4"/>
      <c r="AI318" s="24"/>
      <c r="AJ318" s="24"/>
      <c r="AK318" s="38">
        <f t="array" ref="AK318">IF(F318=1,SUM((ROW(M0)=ROW(AK318))*(M0+M1_+M2_+M3_+M4_+M5_+M6_+M7_+M8_+M9_+M10_+M11_+M12_+M13_+M14_+M15_+M16_+M17_+M18_+M19_+M20_+M21_+M22_+M23_+M24_+M25_)),0)</f>
        <v>0</v>
      </c>
      <c r="AL318" s="27">
        <f>TableCosts[[#This Row],[N_Direct]]</f>
        <v>0</v>
      </c>
      <c r="AN318" s="7" t="str">
        <f t="shared" si="63"/>
        <v/>
      </c>
      <c r="AO318" s="7" t="str">
        <f t="shared" si="54"/>
        <v/>
      </c>
      <c r="AP318" s="7" t="str">
        <f t="shared" si="64"/>
        <v/>
      </c>
      <c r="AQ318" s="7" t="str">
        <f t="shared" si="55"/>
        <v/>
      </c>
      <c r="AR318" s="7" t="str">
        <f t="shared" si="65"/>
        <v/>
      </c>
      <c r="AS318" s="7">
        <f t="shared" si="56"/>
        <v>0</v>
      </c>
      <c r="AT318" s="17">
        <f>TableCosts[[#This Row],[N_Amount]]*TableCosts[[#This Row],[N_Tariff]]*TableCosts[[#This Row],[N_ItemsCount]]</f>
        <v>0</v>
      </c>
      <c r="AU318" s="17">
        <f>IF(F318=1,IF(TableCosts[[#This Row],[N_Kateg]]="interné práce",TableCosts[[#This Row],[N_Amount]]*8*PAR_SGA_PERHOUR,0),0)</f>
        <v>0</v>
      </c>
      <c r="AV318" s="17">
        <f>SUM(TableCosts[[#This Row],[N_Direct]:[N_SGA]])</f>
        <v>0</v>
      </c>
      <c r="AW318" s="7">
        <f>IF(F318=1,IF(D318="",NA(),VLOOKUP(C318&amp;TableCosts[[#This Row],[Calc_N_Typ]],TRAN_STRITEMS_LABEL,7,0)),0)</f>
        <v>0</v>
      </c>
      <c r="AX318" s="7">
        <f t="shared" si="57"/>
        <v>0</v>
      </c>
      <c r="AY318" s="57" t="str">
        <f t="shared" si="58"/>
        <v/>
      </c>
      <c r="AZ318" s="57" t="str">
        <f t="shared" si="59"/>
        <v/>
      </c>
      <c r="BA318" s="57" t="str">
        <f>IF(F318=1,IF(TableCosts[[#This Row],[TransferFrom]]=TableCosts[[#This Row],[TranferTo]],0,1),"")</f>
        <v/>
      </c>
      <c r="BB318" s="7">
        <f t="shared" si="60"/>
        <v>0</v>
      </c>
      <c r="BC318" s="7">
        <f t="shared" si="61"/>
        <v>0</v>
      </c>
    </row>
    <row r="319" spans="2:55" s="7" customFormat="1" ht="12.75" x14ac:dyDescent="0.2">
      <c r="B319" s="33"/>
      <c r="C319" s="31"/>
      <c r="D319" s="40"/>
      <c r="E319" s="6" t="str">
        <f>IF(F319=1,IF(ISERROR(TableCosts[[#This Row],[N_Tariff]]),Err_Message1,IF(TableCosts[[#This Row],[N_Tariff]]=0,Err_Message2,VLOOKUP(C319&amp;TableCosts[[#This Row],[Calc_N_Typ]],TRAN_STRITEMS_LABEL,5,FALSE))),"")</f>
        <v/>
      </c>
      <c r="F319" s="6">
        <f t="shared" si="62"/>
        <v>0</v>
      </c>
      <c r="G319" s="6" t="str">
        <f>IF(F319=1,IFERROR(VLOOKUP(E319,Tab_ErrMessage[],2,0),VLOOKUP(C319&amp;TableCosts[[#This Row],[Calc_N_Typ]],TRAN_STRITEMS_LABEL,4,FALSE)),"")</f>
        <v/>
      </c>
      <c r="H319" s="40"/>
      <c r="I319" s="40"/>
      <c r="J319" s="35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4"/>
      <c r="AI319" s="24"/>
      <c r="AJ319" s="24"/>
      <c r="AK319" s="38">
        <f t="array" ref="AK319">IF(F319=1,SUM((ROW(M0)=ROW(AK319))*(M0+M1_+M2_+M3_+M4_+M5_+M6_+M7_+M8_+M9_+M10_+M11_+M12_+M13_+M14_+M15_+M16_+M17_+M18_+M19_+M20_+M21_+M22_+M23_+M24_+M25_)),0)</f>
        <v>0</v>
      </c>
      <c r="AL319" s="27">
        <f>TableCosts[[#This Row],[N_Direct]]</f>
        <v>0</v>
      </c>
      <c r="AN319" s="7" t="str">
        <f t="shared" si="63"/>
        <v/>
      </c>
      <c r="AO319" s="7" t="str">
        <f t="shared" si="54"/>
        <v/>
      </c>
      <c r="AP319" s="7" t="str">
        <f t="shared" si="64"/>
        <v/>
      </c>
      <c r="AQ319" s="7" t="str">
        <f t="shared" si="55"/>
        <v/>
      </c>
      <c r="AR319" s="7" t="str">
        <f t="shared" si="65"/>
        <v/>
      </c>
      <c r="AS319" s="7">
        <f t="shared" si="56"/>
        <v>0</v>
      </c>
      <c r="AT319" s="17">
        <f>TableCosts[[#This Row],[N_Amount]]*TableCosts[[#This Row],[N_Tariff]]*TableCosts[[#This Row],[N_ItemsCount]]</f>
        <v>0</v>
      </c>
      <c r="AU319" s="17">
        <f>IF(F319=1,IF(TableCosts[[#This Row],[N_Kateg]]="interné práce",TableCosts[[#This Row],[N_Amount]]*8*PAR_SGA_PERHOUR,0),0)</f>
        <v>0</v>
      </c>
      <c r="AV319" s="17">
        <f>SUM(TableCosts[[#This Row],[N_Direct]:[N_SGA]])</f>
        <v>0</v>
      </c>
      <c r="AW319" s="7">
        <f>IF(F319=1,IF(D319="",NA(),VLOOKUP(C319&amp;TableCosts[[#This Row],[Calc_N_Typ]],TRAN_STRITEMS_LABEL,7,0)),0)</f>
        <v>0</v>
      </c>
      <c r="AX319" s="7">
        <f t="shared" si="57"/>
        <v>0</v>
      </c>
      <c r="AY319" s="57" t="str">
        <f t="shared" si="58"/>
        <v/>
      </c>
      <c r="AZ319" s="57" t="str">
        <f t="shared" si="59"/>
        <v/>
      </c>
      <c r="BA319" s="57" t="str">
        <f>IF(F319=1,IF(TableCosts[[#This Row],[TransferFrom]]=TableCosts[[#This Row],[TranferTo]],0,1),"")</f>
        <v/>
      </c>
      <c r="BB319" s="7">
        <f t="shared" si="60"/>
        <v>0</v>
      </c>
      <c r="BC319" s="7">
        <f t="shared" si="61"/>
        <v>0</v>
      </c>
    </row>
    <row r="320" spans="2:55" s="7" customFormat="1" ht="12.75" x14ac:dyDescent="0.2">
      <c r="B320" s="33"/>
      <c r="C320" s="31"/>
      <c r="D320" s="40"/>
      <c r="E320" s="6" t="str">
        <f>IF(F320=1,IF(ISERROR(TableCosts[[#This Row],[N_Tariff]]),Err_Message1,IF(TableCosts[[#This Row],[N_Tariff]]=0,Err_Message2,VLOOKUP(C320&amp;TableCosts[[#This Row],[Calc_N_Typ]],TRAN_STRITEMS_LABEL,5,FALSE))),"")</f>
        <v/>
      </c>
      <c r="F320" s="6">
        <f t="shared" si="62"/>
        <v>0</v>
      </c>
      <c r="G320" s="6" t="str">
        <f>IF(F320=1,IFERROR(VLOOKUP(E320,Tab_ErrMessage[],2,0),VLOOKUP(C320&amp;TableCosts[[#This Row],[Calc_N_Typ]],TRAN_STRITEMS_LABEL,4,FALSE)),"")</f>
        <v/>
      </c>
      <c r="H320" s="40"/>
      <c r="I320" s="40"/>
      <c r="J320" s="35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4"/>
      <c r="AI320" s="24"/>
      <c r="AJ320" s="24"/>
      <c r="AK320" s="38">
        <f t="array" ref="AK320">IF(F320=1,SUM((ROW(M0)=ROW(AK320))*(M0+M1_+M2_+M3_+M4_+M5_+M6_+M7_+M8_+M9_+M10_+M11_+M12_+M13_+M14_+M15_+M16_+M17_+M18_+M19_+M20_+M21_+M22_+M23_+M24_+M25_)),0)</f>
        <v>0</v>
      </c>
      <c r="AL320" s="27">
        <f>TableCosts[[#This Row],[N_Direct]]</f>
        <v>0</v>
      </c>
      <c r="AN320" s="7" t="str">
        <f t="shared" si="63"/>
        <v/>
      </c>
      <c r="AO320" s="7" t="str">
        <f t="shared" si="54"/>
        <v/>
      </c>
      <c r="AP320" s="7" t="str">
        <f t="shared" si="64"/>
        <v/>
      </c>
      <c r="AQ320" s="7" t="str">
        <f t="shared" si="55"/>
        <v/>
      </c>
      <c r="AR320" s="7" t="str">
        <f t="shared" si="65"/>
        <v/>
      </c>
      <c r="AS320" s="7">
        <f t="shared" si="56"/>
        <v>0</v>
      </c>
      <c r="AT320" s="17">
        <f>TableCosts[[#This Row],[N_Amount]]*TableCosts[[#This Row],[N_Tariff]]*TableCosts[[#This Row],[N_ItemsCount]]</f>
        <v>0</v>
      </c>
      <c r="AU320" s="17">
        <f>IF(F320=1,IF(TableCosts[[#This Row],[N_Kateg]]="interné práce",TableCosts[[#This Row],[N_Amount]]*8*PAR_SGA_PERHOUR,0),0)</f>
        <v>0</v>
      </c>
      <c r="AV320" s="17">
        <f>SUM(TableCosts[[#This Row],[N_Direct]:[N_SGA]])</f>
        <v>0</v>
      </c>
      <c r="AW320" s="7">
        <f>IF(F320=1,IF(D320="",NA(),VLOOKUP(C320&amp;TableCosts[[#This Row],[Calc_N_Typ]],TRAN_STRITEMS_LABEL,7,0)),0)</f>
        <v>0</v>
      </c>
      <c r="AX320" s="7">
        <f t="shared" si="57"/>
        <v>0</v>
      </c>
      <c r="AY320" s="57" t="str">
        <f t="shared" si="58"/>
        <v/>
      </c>
      <c r="AZ320" s="57" t="str">
        <f t="shared" si="59"/>
        <v/>
      </c>
      <c r="BA320" s="57" t="str">
        <f>IF(F320=1,IF(TableCosts[[#This Row],[TransferFrom]]=TableCosts[[#This Row],[TranferTo]],0,1),"")</f>
        <v/>
      </c>
      <c r="BB320" s="7">
        <f t="shared" si="60"/>
        <v>0</v>
      </c>
      <c r="BC320" s="7">
        <f t="shared" si="61"/>
        <v>0</v>
      </c>
    </row>
    <row r="321" spans="2:55" s="7" customFormat="1" ht="12.75" x14ac:dyDescent="0.2">
      <c r="B321" s="33"/>
      <c r="C321" s="31"/>
      <c r="D321" s="40"/>
      <c r="E321" s="6" t="str">
        <f>IF(F321=1,IF(ISERROR(TableCosts[[#This Row],[N_Tariff]]),Err_Message1,IF(TableCosts[[#This Row],[N_Tariff]]=0,Err_Message2,VLOOKUP(C321&amp;TableCosts[[#This Row],[Calc_N_Typ]],TRAN_STRITEMS_LABEL,5,FALSE))),"")</f>
        <v/>
      </c>
      <c r="F321" s="6">
        <f t="shared" si="62"/>
        <v>0</v>
      </c>
      <c r="G321" s="6" t="str">
        <f>IF(F321=1,IFERROR(VLOOKUP(E321,Tab_ErrMessage[],2,0),VLOOKUP(C321&amp;TableCosts[[#This Row],[Calc_N_Typ]],TRAN_STRITEMS_LABEL,4,FALSE)),"")</f>
        <v/>
      </c>
      <c r="H321" s="40"/>
      <c r="I321" s="40"/>
      <c r="J321" s="35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4"/>
      <c r="AI321" s="24"/>
      <c r="AJ321" s="24"/>
      <c r="AK321" s="38">
        <f t="array" ref="AK321">IF(F321=1,SUM((ROW(M0)=ROW(AK321))*(M0+M1_+M2_+M3_+M4_+M5_+M6_+M7_+M8_+M9_+M10_+M11_+M12_+M13_+M14_+M15_+M16_+M17_+M18_+M19_+M20_+M21_+M22_+M23_+M24_+M25_)),0)</f>
        <v>0</v>
      </c>
      <c r="AL321" s="27">
        <f>TableCosts[[#This Row],[N_Direct]]</f>
        <v>0</v>
      </c>
      <c r="AN321" s="7" t="str">
        <f t="shared" si="63"/>
        <v/>
      </c>
      <c r="AO321" s="7" t="str">
        <f t="shared" si="54"/>
        <v/>
      </c>
      <c r="AP321" s="7" t="str">
        <f t="shared" si="64"/>
        <v/>
      </c>
      <c r="AQ321" s="7" t="str">
        <f t="shared" si="55"/>
        <v/>
      </c>
      <c r="AR321" s="7" t="str">
        <f t="shared" si="65"/>
        <v/>
      </c>
      <c r="AS321" s="7">
        <f t="shared" si="56"/>
        <v>0</v>
      </c>
      <c r="AT321" s="17">
        <f>TableCosts[[#This Row],[N_Amount]]*TableCosts[[#This Row],[N_Tariff]]*TableCosts[[#This Row],[N_ItemsCount]]</f>
        <v>0</v>
      </c>
      <c r="AU321" s="17">
        <f>IF(F321=1,IF(TableCosts[[#This Row],[N_Kateg]]="interné práce",TableCosts[[#This Row],[N_Amount]]*8*PAR_SGA_PERHOUR,0),0)</f>
        <v>0</v>
      </c>
      <c r="AV321" s="17">
        <f>SUM(TableCosts[[#This Row],[N_Direct]:[N_SGA]])</f>
        <v>0</v>
      </c>
      <c r="AW321" s="7">
        <f>IF(F321=1,IF(D321="",NA(),VLOOKUP(C321&amp;TableCosts[[#This Row],[Calc_N_Typ]],TRAN_STRITEMS_LABEL,7,0)),0)</f>
        <v>0</v>
      </c>
      <c r="AX321" s="7">
        <f t="shared" si="57"/>
        <v>0</v>
      </c>
      <c r="AY321" s="57" t="str">
        <f t="shared" si="58"/>
        <v/>
      </c>
      <c r="AZ321" s="57" t="str">
        <f t="shared" si="59"/>
        <v/>
      </c>
      <c r="BA321" s="57" t="str">
        <f>IF(F321=1,IF(TableCosts[[#This Row],[TransferFrom]]=TableCosts[[#This Row],[TranferTo]],0,1),"")</f>
        <v/>
      </c>
      <c r="BB321" s="7">
        <f t="shared" si="60"/>
        <v>0</v>
      </c>
      <c r="BC321" s="7">
        <f t="shared" si="61"/>
        <v>0</v>
      </c>
    </row>
    <row r="322" spans="2:55" s="7" customFormat="1" ht="12.75" x14ac:dyDescent="0.2">
      <c r="B322" s="33"/>
      <c r="C322" s="31"/>
      <c r="D322" s="40"/>
      <c r="E322" s="6" t="str">
        <f>IF(F322=1,IF(ISERROR(TableCosts[[#This Row],[N_Tariff]]),Err_Message1,IF(TableCosts[[#This Row],[N_Tariff]]=0,Err_Message2,VLOOKUP(C322&amp;TableCosts[[#This Row],[Calc_N_Typ]],TRAN_STRITEMS_LABEL,5,FALSE))),"")</f>
        <v/>
      </c>
      <c r="F322" s="6">
        <f t="shared" si="62"/>
        <v>0</v>
      </c>
      <c r="G322" s="6" t="str">
        <f>IF(F322=1,IFERROR(VLOOKUP(E322,Tab_ErrMessage[],2,0),VLOOKUP(C322&amp;TableCosts[[#This Row],[Calc_N_Typ]],TRAN_STRITEMS_LABEL,4,FALSE)),"")</f>
        <v/>
      </c>
      <c r="H322" s="40"/>
      <c r="I322" s="40"/>
      <c r="J322" s="35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4"/>
      <c r="AI322" s="24"/>
      <c r="AJ322" s="24"/>
      <c r="AK322" s="38">
        <f t="array" ref="AK322">IF(F322=1,SUM((ROW(M0)=ROW(AK322))*(M0+M1_+M2_+M3_+M4_+M5_+M6_+M7_+M8_+M9_+M10_+M11_+M12_+M13_+M14_+M15_+M16_+M17_+M18_+M19_+M20_+M21_+M22_+M23_+M24_+M25_)),0)</f>
        <v>0</v>
      </c>
      <c r="AL322" s="27">
        <f>TableCosts[[#This Row],[N_Direct]]</f>
        <v>0</v>
      </c>
      <c r="AN322" s="7" t="str">
        <f t="shared" si="63"/>
        <v/>
      </c>
      <c r="AO322" s="7" t="str">
        <f t="shared" si="54"/>
        <v/>
      </c>
      <c r="AP322" s="7" t="str">
        <f t="shared" si="64"/>
        <v/>
      </c>
      <c r="AQ322" s="7" t="str">
        <f t="shared" si="55"/>
        <v/>
      </c>
      <c r="AR322" s="7" t="str">
        <f t="shared" si="65"/>
        <v/>
      </c>
      <c r="AS322" s="7">
        <f t="shared" si="56"/>
        <v>0</v>
      </c>
      <c r="AT322" s="17">
        <f>TableCosts[[#This Row],[N_Amount]]*TableCosts[[#This Row],[N_Tariff]]*TableCosts[[#This Row],[N_ItemsCount]]</f>
        <v>0</v>
      </c>
      <c r="AU322" s="17">
        <f>IF(F322=1,IF(TableCosts[[#This Row],[N_Kateg]]="interné práce",TableCosts[[#This Row],[N_Amount]]*8*PAR_SGA_PERHOUR,0),0)</f>
        <v>0</v>
      </c>
      <c r="AV322" s="17">
        <f>SUM(TableCosts[[#This Row],[N_Direct]:[N_SGA]])</f>
        <v>0</v>
      </c>
      <c r="AW322" s="7">
        <f>IF(F322=1,IF(D322="",NA(),VLOOKUP(C322&amp;TableCosts[[#This Row],[Calc_N_Typ]],TRAN_STRITEMS_LABEL,7,0)),0)</f>
        <v>0</v>
      </c>
      <c r="AX322" s="7">
        <f t="shared" si="57"/>
        <v>0</v>
      </c>
      <c r="AY322" s="57" t="str">
        <f t="shared" si="58"/>
        <v/>
      </c>
      <c r="AZ322" s="57" t="str">
        <f t="shared" si="59"/>
        <v/>
      </c>
      <c r="BA322" s="57" t="str">
        <f>IF(F322=1,IF(TableCosts[[#This Row],[TransferFrom]]=TableCosts[[#This Row],[TranferTo]],0,1),"")</f>
        <v/>
      </c>
      <c r="BB322" s="7">
        <f t="shared" si="60"/>
        <v>0</v>
      </c>
      <c r="BC322" s="7">
        <f t="shared" si="61"/>
        <v>0</v>
      </c>
    </row>
    <row r="323" spans="2:55" s="7" customFormat="1" ht="12.75" x14ac:dyDescent="0.2">
      <c r="B323" s="33"/>
      <c r="C323" s="31"/>
      <c r="D323" s="40"/>
      <c r="E323" s="6" t="str">
        <f>IF(F323=1,IF(ISERROR(TableCosts[[#This Row],[N_Tariff]]),Err_Message1,IF(TableCosts[[#This Row],[N_Tariff]]=0,Err_Message2,VLOOKUP(C323&amp;TableCosts[[#This Row],[Calc_N_Typ]],TRAN_STRITEMS_LABEL,5,FALSE))),"")</f>
        <v/>
      </c>
      <c r="F323" s="6">
        <f t="shared" si="62"/>
        <v>0</v>
      </c>
      <c r="G323" s="6" t="str">
        <f>IF(F323=1,IFERROR(VLOOKUP(E323,Tab_ErrMessage[],2,0),VLOOKUP(C323&amp;TableCosts[[#This Row],[Calc_N_Typ]],TRAN_STRITEMS_LABEL,4,FALSE)),"")</f>
        <v/>
      </c>
      <c r="H323" s="40"/>
      <c r="I323" s="40"/>
      <c r="J323" s="35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4"/>
      <c r="AI323" s="24"/>
      <c r="AJ323" s="24"/>
      <c r="AK323" s="38">
        <f t="array" ref="AK323">IF(F323=1,SUM((ROW(M0)=ROW(AK323))*(M0+M1_+M2_+M3_+M4_+M5_+M6_+M7_+M8_+M9_+M10_+M11_+M12_+M13_+M14_+M15_+M16_+M17_+M18_+M19_+M20_+M21_+M22_+M23_+M24_+M25_)),0)</f>
        <v>0</v>
      </c>
      <c r="AL323" s="27">
        <f>TableCosts[[#This Row],[N_Direct]]</f>
        <v>0</v>
      </c>
      <c r="AN323" s="7" t="str">
        <f t="shared" si="63"/>
        <v/>
      </c>
      <c r="AO323" s="7" t="str">
        <f t="shared" si="54"/>
        <v/>
      </c>
      <c r="AP323" s="7" t="str">
        <f t="shared" si="64"/>
        <v/>
      </c>
      <c r="AQ323" s="7" t="str">
        <f t="shared" si="55"/>
        <v/>
      </c>
      <c r="AR323" s="7" t="str">
        <f t="shared" si="65"/>
        <v/>
      </c>
      <c r="AS323" s="7">
        <f t="shared" si="56"/>
        <v>0</v>
      </c>
      <c r="AT323" s="17">
        <f>TableCosts[[#This Row],[N_Amount]]*TableCosts[[#This Row],[N_Tariff]]*TableCosts[[#This Row],[N_ItemsCount]]</f>
        <v>0</v>
      </c>
      <c r="AU323" s="17">
        <f>IF(F323=1,IF(TableCosts[[#This Row],[N_Kateg]]="interné práce",TableCosts[[#This Row],[N_Amount]]*8*PAR_SGA_PERHOUR,0),0)</f>
        <v>0</v>
      </c>
      <c r="AV323" s="17">
        <f>SUM(TableCosts[[#This Row],[N_Direct]:[N_SGA]])</f>
        <v>0</v>
      </c>
      <c r="AW323" s="7">
        <f>IF(F323=1,IF(D323="",NA(),VLOOKUP(C323&amp;TableCosts[[#This Row],[Calc_N_Typ]],TRAN_STRITEMS_LABEL,7,0)),0)</f>
        <v>0</v>
      </c>
      <c r="AX323" s="7">
        <f t="shared" si="57"/>
        <v>0</v>
      </c>
      <c r="AY323" s="57" t="str">
        <f t="shared" si="58"/>
        <v/>
      </c>
      <c r="AZ323" s="57" t="str">
        <f t="shared" si="59"/>
        <v/>
      </c>
      <c r="BA323" s="57" t="str">
        <f>IF(F323=1,IF(TableCosts[[#This Row],[TransferFrom]]=TableCosts[[#This Row],[TranferTo]],0,1),"")</f>
        <v/>
      </c>
      <c r="BB323" s="7">
        <f t="shared" si="60"/>
        <v>0</v>
      </c>
      <c r="BC323" s="7">
        <f t="shared" si="61"/>
        <v>0</v>
      </c>
    </row>
    <row r="324" spans="2:55" s="7" customFormat="1" ht="12.75" x14ac:dyDescent="0.2">
      <c r="B324" s="33"/>
      <c r="C324" s="31"/>
      <c r="D324" s="40"/>
      <c r="E324" s="6" t="str">
        <f>IF(F324=1,IF(ISERROR(TableCosts[[#This Row],[N_Tariff]]),Err_Message1,IF(TableCosts[[#This Row],[N_Tariff]]=0,Err_Message2,VLOOKUP(C324&amp;TableCosts[[#This Row],[Calc_N_Typ]],TRAN_STRITEMS_LABEL,5,FALSE))),"")</f>
        <v/>
      </c>
      <c r="F324" s="6">
        <f t="shared" si="62"/>
        <v>0</v>
      </c>
      <c r="G324" s="6" t="str">
        <f>IF(F324=1,IFERROR(VLOOKUP(E324,Tab_ErrMessage[],2,0),VLOOKUP(C324&amp;TableCosts[[#This Row],[Calc_N_Typ]],TRAN_STRITEMS_LABEL,4,FALSE)),"")</f>
        <v/>
      </c>
      <c r="H324" s="40"/>
      <c r="I324" s="40"/>
      <c r="J324" s="35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4"/>
      <c r="AI324" s="24"/>
      <c r="AJ324" s="24"/>
      <c r="AK324" s="38">
        <f t="array" ref="AK324">IF(F324=1,SUM((ROW(M0)=ROW(AK324))*(M0+M1_+M2_+M3_+M4_+M5_+M6_+M7_+M8_+M9_+M10_+M11_+M12_+M13_+M14_+M15_+M16_+M17_+M18_+M19_+M20_+M21_+M22_+M23_+M24_+M25_)),0)</f>
        <v>0</v>
      </c>
      <c r="AL324" s="27">
        <f>TableCosts[[#This Row],[N_Direct]]</f>
        <v>0</v>
      </c>
      <c r="AN324" s="7" t="str">
        <f t="shared" si="63"/>
        <v/>
      </c>
      <c r="AO324" s="7" t="str">
        <f t="shared" si="54"/>
        <v/>
      </c>
      <c r="AP324" s="7" t="str">
        <f t="shared" si="64"/>
        <v/>
      </c>
      <c r="AQ324" s="7" t="str">
        <f t="shared" si="55"/>
        <v/>
      </c>
      <c r="AR324" s="7" t="str">
        <f t="shared" si="65"/>
        <v/>
      </c>
      <c r="AS324" s="7">
        <f t="shared" si="56"/>
        <v>0</v>
      </c>
      <c r="AT324" s="17">
        <f>TableCosts[[#This Row],[N_Amount]]*TableCosts[[#This Row],[N_Tariff]]*TableCosts[[#This Row],[N_ItemsCount]]</f>
        <v>0</v>
      </c>
      <c r="AU324" s="17">
        <f>IF(F324=1,IF(TableCosts[[#This Row],[N_Kateg]]="interné práce",TableCosts[[#This Row],[N_Amount]]*8*PAR_SGA_PERHOUR,0),0)</f>
        <v>0</v>
      </c>
      <c r="AV324" s="17">
        <f>SUM(TableCosts[[#This Row],[N_Direct]:[N_SGA]])</f>
        <v>0</v>
      </c>
      <c r="AW324" s="7">
        <f>IF(F324=1,IF(D324="",NA(),VLOOKUP(C324&amp;TableCosts[[#This Row],[Calc_N_Typ]],TRAN_STRITEMS_LABEL,7,0)),0)</f>
        <v>0</v>
      </c>
      <c r="AX324" s="7">
        <f t="shared" si="57"/>
        <v>0</v>
      </c>
      <c r="AY324" s="57" t="str">
        <f t="shared" si="58"/>
        <v/>
      </c>
      <c r="AZ324" s="57" t="str">
        <f t="shared" si="59"/>
        <v/>
      </c>
      <c r="BA324" s="57" t="str">
        <f>IF(F324=1,IF(TableCosts[[#This Row],[TransferFrom]]=TableCosts[[#This Row],[TranferTo]],0,1),"")</f>
        <v/>
      </c>
      <c r="BB324" s="7">
        <f t="shared" si="60"/>
        <v>0</v>
      </c>
      <c r="BC324" s="7">
        <f t="shared" si="61"/>
        <v>0</v>
      </c>
    </row>
    <row r="325" spans="2:55" s="7" customFormat="1" ht="12.75" x14ac:dyDescent="0.2">
      <c r="B325" s="33"/>
      <c r="C325" s="31"/>
      <c r="D325" s="40"/>
      <c r="E325" s="6" t="str">
        <f>IF(F325=1,IF(ISERROR(TableCosts[[#This Row],[N_Tariff]]),Err_Message1,IF(TableCosts[[#This Row],[N_Tariff]]=0,Err_Message2,VLOOKUP(C325&amp;TableCosts[[#This Row],[Calc_N_Typ]],TRAN_STRITEMS_LABEL,5,FALSE))),"")</f>
        <v/>
      </c>
      <c r="F325" s="6">
        <f t="shared" si="62"/>
        <v>0</v>
      </c>
      <c r="G325" s="6" t="str">
        <f>IF(F325=1,IFERROR(VLOOKUP(E325,Tab_ErrMessage[],2,0),VLOOKUP(C325&amp;TableCosts[[#This Row],[Calc_N_Typ]],TRAN_STRITEMS_LABEL,4,FALSE)),"")</f>
        <v/>
      </c>
      <c r="H325" s="40"/>
      <c r="I325" s="40"/>
      <c r="J325" s="35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4"/>
      <c r="AI325" s="24"/>
      <c r="AJ325" s="24"/>
      <c r="AK325" s="38">
        <f t="array" ref="AK325">IF(F325=1,SUM((ROW(M0)=ROW(AK325))*(M0+M1_+M2_+M3_+M4_+M5_+M6_+M7_+M8_+M9_+M10_+M11_+M12_+M13_+M14_+M15_+M16_+M17_+M18_+M19_+M20_+M21_+M22_+M23_+M24_+M25_)),0)</f>
        <v>0</v>
      </c>
      <c r="AL325" s="27">
        <f>TableCosts[[#This Row],[N_Direct]]</f>
        <v>0</v>
      </c>
      <c r="AN325" s="7" t="str">
        <f t="shared" si="63"/>
        <v/>
      </c>
      <c r="AO325" s="7" t="str">
        <f t="shared" si="54"/>
        <v/>
      </c>
      <c r="AP325" s="7" t="str">
        <f t="shared" si="64"/>
        <v/>
      </c>
      <c r="AQ325" s="7" t="str">
        <f t="shared" si="55"/>
        <v/>
      </c>
      <c r="AR325" s="7" t="str">
        <f t="shared" si="65"/>
        <v/>
      </c>
      <c r="AS325" s="7">
        <f t="shared" si="56"/>
        <v>0</v>
      </c>
      <c r="AT325" s="17">
        <f>TableCosts[[#This Row],[N_Amount]]*TableCosts[[#This Row],[N_Tariff]]*TableCosts[[#This Row],[N_ItemsCount]]</f>
        <v>0</v>
      </c>
      <c r="AU325" s="17">
        <f>IF(F325=1,IF(TableCosts[[#This Row],[N_Kateg]]="interné práce",TableCosts[[#This Row],[N_Amount]]*8*PAR_SGA_PERHOUR,0),0)</f>
        <v>0</v>
      </c>
      <c r="AV325" s="17">
        <f>SUM(TableCosts[[#This Row],[N_Direct]:[N_SGA]])</f>
        <v>0</v>
      </c>
      <c r="AW325" s="7">
        <f>IF(F325=1,IF(D325="",NA(),VLOOKUP(C325&amp;TableCosts[[#This Row],[Calc_N_Typ]],TRAN_STRITEMS_LABEL,7,0)),0)</f>
        <v>0</v>
      </c>
      <c r="AX325" s="7">
        <f t="shared" si="57"/>
        <v>0</v>
      </c>
      <c r="AY325" s="57" t="str">
        <f t="shared" si="58"/>
        <v/>
      </c>
      <c r="AZ325" s="57" t="str">
        <f t="shared" si="59"/>
        <v/>
      </c>
      <c r="BA325" s="57" t="str">
        <f>IF(F325=1,IF(TableCosts[[#This Row],[TransferFrom]]=TableCosts[[#This Row],[TranferTo]],0,1),"")</f>
        <v/>
      </c>
      <c r="BB325" s="7">
        <f t="shared" si="60"/>
        <v>0</v>
      </c>
      <c r="BC325" s="7">
        <f t="shared" si="61"/>
        <v>0</v>
      </c>
    </row>
    <row r="326" spans="2:55" s="7" customFormat="1" ht="12.75" x14ac:dyDescent="0.2">
      <c r="B326" s="33"/>
      <c r="C326" s="31"/>
      <c r="D326" s="40"/>
      <c r="E326" s="6" t="str">
        <f>IF(F326=1,IF(ISERROR(TableCosts[[#This Row],[N_Tariff]]),Err_Message1,IF(TableCosts[[#This Row],[N_Tariff]]=0,Err_Message2,VLOOKUP(C326&amp;TableCosts[[#This Row],[Calc_N_Typ]],TRAN_STRITEMS_LABEL,5,FALSE))),"")</f>
        <v/>
      </c>
      <c r="F326" s="6">
        <f t="shared" si="62"/>
        <v>0</v>
      </c>
      <c r="G326" s="6" t="str">
        <f>IF(F326=1,IFERROR(VLOOKUP(E326,Tab_ErrMessage[],2,0),VLOOKUP(C326&amp;TableCosts[[#This Row],[Calc_N_Typ]],TRAN_STRITEMS_LABEL,4,FALSE)),"")</f>
        <v/>
      </c>
      <c r="H326" s="40"/>
      <c r="I326" s="40"/>
      <c r="J326" s="35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4"/>
      <c r="AI326" s="24"/>
      <c r="AJ326" s="24"/>
      <c r="AK326" s="38">
        <f t="array" ref="AK326">IF(F326=1,SUM((ROW(M0)=ROW(AK326))*(M0+M1_+M2_+M3_+M4_+M5_+M6_+M7_+M8_+M9_+M10_+M11_+M12_+M13_+M14_+M15_+M16_+M17_+M18_+M19_+M20_+M21_+M22_+M23_+M24_+M25_)),0)</f>
        <v>0</v>
      </c>
      <c r="AL326" s="27">
        <f>TableCosts[[#This Row],[N_Direct]]</f>
        <v>0</v>
      </c>
      <c r="AN326" s="7" t="str">
        <f t="shared" si="63"/>
        <v/>
      </c>
      <c r="AO326" s="7" t="str">
        <f t="shared" si="54"/>
        <v/>
      </c>
      <c r="AP326" s="7" t="str">
        <f t="shared" si="64"/>
        <v/>
      </c>
      <c r="AQ326" s="7" t="str">
        <f t="shared" si="55"/>
        <v/>
      </c>
      <c r="AR326" s="7" t="str">
        <f t="shared" si="65"/>
        <v/>
      </c>
      <c r="AS326" s="7">
        <f t="shared" si="56"/>
        <v>0</v>
      </c>
      <c r="AT326" s="17">
        <f>TableCosts[[#This Row],[N_Amount]]*TableCosts[[#This Row],[N_Tariff]]*TableCosts[[#This Row],[N_ItemsCount]]</f>
        <v>0</v>
      </c>
      <c r="AU326" s="17">
        <f>IF(F326=1,IF(TableCosts[[#This Row],[N_Kateg]]="interné práce",TableCosts[[#This Row],[N_Amount]]*8*PAR_SGA_PERHOUR,0),0)</f>
        <v>0</v>
      </c>
      <c r="AV326" s="17">
        <f>SUM(TableCosts[[#This Row],[N_Direct]:[N_SGA]])</f>
        <v>0</v>
      </c>
      <c r="AW326" s="7">
        <f>IF(F326=1,IF(D326="",NA(),VLOOKUP(C326&amp;TableCosts[[#This Row],[Calc_N_Typ]],TRAN_STRITEMS_LABEL,7,0)),0)</f>
        <v>0</v>
      </c>
      <c r="AX326" s="7">
        <f t="shared" si="57"/>
        <v>0</v>
      </c>
      <c r="AY326" s="57" t="str">
        <f t="shared" si="58"/>
        <v/>
      </c>
      <c r="AZ326" s="57" t="str">
        <f t="shared" si="59"/>
        <v/>
      </c>
      <c r="BA326" s="57" t="str">
        <f>IF(F326=1,IF(TableCosts[[#This Row],[TransferFrom]]=TableCosts[[#This Row],[TranferTo]],0,1),"")</f>
        <v/>
      </c>
      <c r="BB326" s="7">
        <f t="shared" si="60"/>
        <v>0</v>
      </c>
      <c r="BC326" s="7">
        <f t="shared" si="61"/>
        <v>0</v>
      </c>
    </row>
    <row r="327" spans="2:55" s="7" customFormat="1" ht="12.75" x14ac:dyDescent="0.2">
      <c r="B327" s="33"/>
      <c r="C327" s="31"/>
      <c r="D327" s="40"/>
      <c r="E327" s="6" t="str">
        <f>IF(F327=1,IF(ISERROR(TableCosts[[#This Row],[N_Tariff]]),Err_Message1,IF(TableCosts[[#This Row],[N_Tariff]]=0,Err_Message2,VLOOKUP(C327&amp;TableCosts[[#This Row],[Calc_N_Typ]],TRAN_STRITEMS_LABEL,5,FALSE))),"")</f>
        <v/>
      </c>
      <c r="F327" s="6">
        <f t="shared" si="62"/>
        <v>0</v>
      </c>
      <c r="G327" s="6" t="str">
        <f>IF(F327=1,IFERROR(VLOOKUP(E327,Tab_ErrMessage[],2,0),VLOOKUP(C327&amp;TableCosts[[#This Row],[Calc_N_Typ]],TRAN_STRITEMS_LABEL,4,FALSE)),"")</f>
        <v/>
      </c>
      <c r="H327" s="40"/>
      <c r="I327" s="40"/>
      <c r="J327" s="35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4"/>
      <c r="AI327" s="24"/>
      <c r="AJ327" s="24"/>
      <c r="AK327" s="38">
        <f t="array" ref="AK327">IF(F327=1,SUM((ROW(M0)=ROW(AK327))*(M0+M1_+M2_+M3_+M4_+M5_+M6_+M7_+M8_+M9_+M10_+M11_+M12_+M13_+M14_+M15_+M16_+M17_+M18_+M19_+M20_+M21_+M22_+M23_+M24_+M25_)),0)</f>
        <v>0</v>
      </c>
      <c r="AL327" s="27">
        <f>TableCosts[[#This Row],[N_Direct]]</f>
        <v>0</v>
      </c>
      <c r="AN327" s="7" t="str">
        <f t="shared" si="63"/>
        <v/>
      </c>
      <c r="AO327" s="7" t="str">
        <f t="shared" ref="AO327:AO390" si="66">IF(F327=1,IF(C327="","",C327),"")</f>
        <v/>
      </c>
      <c r="AP327" s="7" t="str">
        <f t="shared" si="64"/>
        <v/>
      </c>
      <c r="AQ327" s="7" t="str">
        <f t="shared" ref="AQ327:AQ390" si="67">IF(F327=1,IF(OR(D327="realizácia",D327=""),"realizácia",D327),"")</f>
        <v/>
      </c>
      <c r="AR327" s="7" t="str">
        <f t="shared" si="65"/>
        <v/>
      </c>
      <c r="AS327" s="7">
        <f t="shared" ref="AS327:AS390" si="68">IF(F327=1,IF(G327="ks",ROUNDUP(AK327,0),AK327),0)</f>
        <v>0</v>
      </c>
      <c r="AT327" s="17">
        <f>TableCosts[[#This Row],[N_Amount]]*TableCosts[[#This Row],[N_Tariff]]*TableCosts[[#This Row],[N_ItemsCount]]</f>
        <v>0</v>
      </c>
      <c r="AU327" s="17">
        <f>IF(F327=1,IF(TableCosts[[#This Row],[N_Kateg]]="interné práce",TableCosts[[#This Row],[N_Amount]]*8*PAR_SGA_PERHOUR,0),0)</f>
        <v>0</v>
      </c>
      <c r="AV327" s="17">
        <f>SUM(TableCosts[[#This Row],[N_Direct]:[N_SGA]])</f>
        <v>0</v>
      </c>
      <c r="AW327" s="7">
        <f>IF(F327=1,IF(D327="",NA(),VLOOKUP(C327&amp;TableCosts[[#This Row],[Calc_N_Typ]],TRAN_STRITEMS_LABEL,7,0)),0)</f>
        <v>0</v>
      </c>
      <c r="AX327" s="7">
        <f t="shared" ref="AX327:AX390" si="69">IF(F327=1,IF(G327="čld.",8,1),0)</f>
        <v>0</v>
      </c>
      <c r="AY327" s="57" t="str">
        <f t="shared" ref="AY327:AY390" si="70">IF(F327=1,IFERROR(VLOOKUP(B327,IpsLicences,2,0),IF(C327="",Par_Center,C327)),"")</f>
        <v/>
      </c>
      <c r="AZ327" s="57" t="str">
        <f t="shared" ref="AZ327:AZ390" si="71">IF(F327=1,Par_Center,"")</f>
        <v/>
      </c>
      <c r="BA327" s="57" t="str">
        <f>IF(F327=1,IF(TableCosts[[#This Row],[TransferFrom]]=TableCosts[[#This Row],[TranferTo]],0,1),"")</f>
        <v/>
      </c>
      <c r="BB327" s="7">
        <f t="shared" ref="BB327:BB390" si="72">IF(RIGHT(B327,LEN(Par_LabelTravelTime))=Par_LabelTravelTime,LEFT(B327,LEN(B327)-LEN(Par_LabelTravelTime)),B327)</f>
        <v>0</v>
      </c>
      <c r="BC327" s="7">
        <f t="shared" ref="BC327:BC390" si="73">IF(RIGHT(B327,LEN(Par_LabelTravelTime))=Par_LabelTravelTime,1,0)</f>
        <v>0</v>
      </c>
    </row>
    <row r="328" spans="2:55" s="7" customFormat="1" ht="12.75" x14ac:dyDescent="0.2">
      <c r="B328" s="33"/>
      <c r="C328" s="31"/>
      <c r="D328" s="40"/>
      <c r="E328" s="6" t="str">
        <f>IF(F328=1,IF(ISERROR(TableCosts[[#This Row],[N_Tariff]]),Err_Message1,IF(TableCosts[[#This Row],[N_Tariff]]=0,Err_Message2,VLOOKUP(C328&amp;TableCosts[[#This Row],[Calc_N_Typ]],TRAN_STRITEMS_LABEL,5,FALSE))),"")</f>
        <v/>
      </c>
      <c r="F328" s="6">
        <f t="shared" si="62"/>
        <v>0</v>
      </c>
      <c r="G328" s="6" t="str">
        <f>IF(F328=1,IFERROR(VLOOKUP(E328,Tab_ErrMessage[],2,0),VLOOKUP(C328&amp;TableCosts[[#This Row],[Calc_N_Typ]],TRAN_STRITEMS_LABEL,4,FALSE)),"")</f>
        <v/>
      </c>
      <c r="H328" s="40"/>
      <c r="I328" s="40"/>
      <c r="J328" s="35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4"/>
      <c r="AI328" s="24"/>
      <c r="AJ328" s="24"/>
      <c r="AK328" s="38">
        <f t="array" ref="AK328">IF(F328=1,SUM((ROW(M0)=ROW(AK328))*(M0+M1_+M2_+M3_+M4_+M5_+M6_+M7_+M8_+M9_+M10_+M11_+M12_+M13_+M14_+M15_+M16_+M17_+M18_+M19_+M20_+M21_+M22_+M23_+M24_+M25_)),0)</f>
        <v>0</v>
      </c>
      <c r="AL328" s="27">
        <f>TableCosts[[#This Row],[N_Direct]]</f>
        <v>0</v>
      </c>
      <c r="AN328" s="7" t="str">
        <f t="shared" si="63"/>
        <v/>
      </c>
      <c r="AO328" s="7" t="str">
        <f t="shared" si="66"/>
        <v/>
      </c>
      <c r="AP328" s="7" t="str">
        <f t="shared" si="64"/>
        <v/>
      </c>
      <c r="AQ328" s="7" t="str">
        <f t="shared" si="67"/>
        <v/>
      </c>
      <c r="AR328" s="7" t="str">
        <f t="shared" si="65"/>
        <v/>
      </c>
      <c r="AS328" s="7">
        <f t="shared" si="68"/>
        <v>0</v>
      </c>
      <c r="AT328" s="17">
        <f>TableCosts[[#This Row],[N_Amount]]*TableCosts[[#This Row],[N_Tariff]]*TableCosts[[#This Row],[N_ItemsCount]]</f>
        <v>0</v>
      </c>
      <c r="AU328" s="17">
        <f>IF(F328=1,IF(TableCosts[[#This Row],[N_Kateg]]="interné práce",TableCosts[[#This Row],[N_Amount]]*8*PAR_SGA_PERHOUR,0),0)</f>
        <v>0</v>
      </c>
      <c r="AV328" s="17">
        <f>SUM(TableCosts[[#This Row],[N_Direct]:[N_SGA]])</f>
        <v>0</v>
      </c>
      <c r="AW328" s="7">
        <f>IF(F328=1,IF(D328="",NA(),VLOOKUP(C328&amp;TableCosts[[#This Row],[Calc_N_Typ]],TRAN_STRITEMS_LABEL,7,0)),0)</f>
        <v>0</v>
      </c>
      <c r="AX328" s="7">
        <f t="shared" si="69"/>
        <v>0</v>
      </c>
      <c r="AY328" s="57" t="str">
        <f t="shared" si="70"/>
        <v/>
      </c>
      <c r="AZ328" s="57" t="str">
        <f t="shared" si="71"/>
        <v/>
      </c>
      <c r="BA328" s="57" t="str">
        <f>IF(F328=1,IF(TableCosts[[#This Row],[TransferFrom]]=TableCosts[[#This Row],[TranferTo]],0,1),"")</f>
        <v/>
      </c>
      <c r="BB328" s="7">
        <f t="shared" si="72"/>
        <v>0</v>
      </c>
      <c r="BC328" s="7">
        <f t="shared" si="73"/>
        <v>0</v>
      </c>
    </row>
    <row r="329" spans="2:55" s="7" customFormat="1" ht="12.75" x14ac:dyDescent="0.2">
      <c r="B329" s="33"/>
      <c r="C329" s="31"/>
      <c r="D329" s="40"/>
      <c r="E329" s="6" t="str">
        <f>IF(F329=1,IF(ISERROR(TableCosts[[#This Row],[N_Tariff]]),Err_Message1,IF(TableCosts[[#This Row],[N_Tariff]]=0,Err_Message2,VLOOKUP(C329&amp;TableCosts[[#This Row],[Calc_N_Typ]],TRAN_STRITEMS_LABEL,5,FALSE))),"")</f>
        <v/>
      </c>
      <c r="F329" s="6">
        <f t="shared" ref="F329:F392" si="74">IF(B329="",0,IF(LEFT(B329,3)="***",-1,1))</f>
        <v>0</v>
      </c>
      <c r="G329" s="6" t="str">
        <f>IF(F329=1,IFERROR(VLOOKUP(E329,Tab_ErrMessage[],2,0),VLOOKUP(C329&amp;TableCosts[[#This Row],[Calc_N_Typ]],TRAN_STRITEMS_LABEL,4,FALSE)),"")</f>
        <v/>
      </c>
      <c r="H329" s="40"/>
      <c r="I329" s="40"/>
      <c r="J329" s="35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4"/>
      <c r="AI329" s="24"/>
      <c r="AJ329" s="24"/>
      <c r="AK329" s="38">
        <f t="array" ref="AK329">IF(F329=1,SUM((ROW(M0)=ROW(AK329))*(M0+M1_+M2_+M3_+M4_+M5_+M6_+M7_+M8_+M9_+M10_+M11_+M12_+M13_+M14_+M15_+M16_+M17_+M18_+M19_+M20_+M21_+M22_+M23_+M24_+M25_)),0)</f>
        <v>0</v>
      </c>
      <c r="AL329" s="27">
        <f>TableCosts[[#This Row],[N_Direct]]</f>
        <v>0</v>
      </c>
      <c r="AN329" s="7" t="str">
        <f t="shared" si="63"/>
        <v/>
      </c>
      <c r="AO329" s="7" t="str">
        <f t="shared" si="66"/>
        <v/>
      </c>
      <c r="AP329" s="7" t="str">
        <f t="shared" si="64"/>
        <v/>
      </c>
      <c r="AQ329" s="7" t="str">
        <f t="shared" si="67"/>
        <v/>
      </c>
      <c r="AR329" s="7" t="str">
        <f t="shared" si="65"/>
        <v/>
      </c>
      <c r="AS329" s="7">
        <f t="shared" si="68"/>
        <v>0</v>
      </c>
      <c r="AT329" s="17">
        <f>TableCosts[[#This Row],[N_Amount]]*TableCosts[[#This Row],[N_Tariff]]*TableCosts[[#This Row],[N_ItemsCount]]</f>
        <v>0</v>
      </c>
      <c r="AU329" s="17">
        <f>IF(F329=1,IF(TableCosts[[#This Row],[N_Kateg]]="interné práce",TableCosts[[#This Row],[N_Amount]]*8*PAR_SGA_PERHOUR,0),0)</f>
        <v>0</v>
      </c>
      <c r="AV329" s="17">
        <f>SUM(TableCosts[[#This Row],[N_Direct]:[N_SGA]])</f>
        <v>0</v>
      </c>
      <c r="AW329" s="7">
        <f>IF(F329=1,IF(D329="",NA(),VLOOKUP(C329&amp;TableCosts[[#This Row],[Calc_N_Typ]],TRAN_STRITEMS_LABEL,7,0)),0)</f>
        <v>0</v>
      </c>
      <c r="AX329" s="7">
        <f t="shared" si="69"/>
        <v>0</v>
      </c>
      <c r="AY329" s="57" t="str">
        <f t="shared" si="70"/>
        <v/>
      </c>
      <c r="AZ329" s="57" t="str">
        <f t="shared" si="71"/>
        <v/>
      </c>
      <c r="BA329" s="57" t="str">
        <f>IF(F329=1,IF(TableCosts[[#This Row],[TransferFrom]]=TableCosts[[#This Row],[TranferTo]],0,1),"")</f>
        <v/>
      </c>
      <c r="BB329" s="7">
        <f t="shared" si="72"/>
        <v>0</v>
      </c>
      <c r="BC329" s="7">
        <f t="shared" si="73"/>
        <v>0</v>
      </c>
    </row>
    <row r="330" spans="2:55" s="7" customFormat="1" ht="12.75" x14ac:dyDescent="0.2">
      <c r="B330" s="33"/>
      <c r="C330" s="31"/>
      <c r="D330" s="40"/>
      <c r="E330" s="6" t="str">
        <f>IF(F330=1,IF(ISERROR(TableCosts[[#This Row],[N_Tariff]]),Err_Message1,IF(TableCosts[[#This Row],[N_Tariff]]=0,Err_Message2,VLOOKUP(C330&amp;TableCosts[[#This Row],[Calc_N_Typ]],TRAN_STRITEMS_LABEL,5,FALSE))),"")</f>
        <v/>
      </c>
      <c r="F330" s="6">
        <f t="shared" si="74"/>
        <v>0</v>
      </c>
      <c r="G330" s="6" t="str">
        <f>IF(F330=1,IFERROR(VLOOKUP(E330,Tab_ErrMessage[],2,0),VLOOKUP(C330&amp;TableCosts[[#This Row],[Calc_N_Typ]],TRAN_STRITEMS_LABEL,4,FALSE)),"")</f>
        <v/>
      </c>
      <c r="H330" s="40"/>
      <c r="I330" s="40"/>
      <c r="J330" s="35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4"/>
      <c r="AI330" s="24"/>
      <c r="AJ330" s="24"/>
      <c r="AK330" s="38">
        <f t="array" ref="AK330">IF(F330=1,SUM((ROW(M0)=ROW(AK330))*(M0+M1_+M2_+M3_+M4_+M5_+M6_+M7_+M8_+M9_+M10_+M11_+M12_+M13_+M14_+M15_+M16_+M17_+M18_+M19_+M20_+M21_+M22_+M23_+M24_+M25_)),0)</f>
        <v>0</v>
      </c>
      <c r="AL330" s="27">
        <f>TableCosts[[#This Row],[N_Direct]]</f>
        <v>0</v>
      </c>
      <c r="AN330" s="7" t="str">
        <f t="shared" si="63"/>
        <v/>
      </c>
      <c r="AO330" s="7" t="str">
        <f t="shared" si="66"/>
        <v/>
      </c>
      <c r="AP330" s="7" t="str">
        <f t="shared" si="64"/>
        <v/>
      </c>
      <c r="AQ330" s="7" t="str">
        <f t="shared" si="67"/>
        <v/>
      </c>
      <c r="AR330" s="7" t="str">
        <f t="shared" si="65"/>
        <v/>
      </c>
      <c r="AS330" s="7">
        <f t="shared" si="68"/>
        <v>0</v>
      </c>
      <c r="AT330" s="17">
        <f>TableCosts[[#This Row],[N_Amount]]*TableCosts[[#This Row],[N_Tariff]]*TableCosts[[#This Row],[N_ItemsCount]]</f>
        <v>0</v>
      </c>
      <c r="AU330" s="17">
        <f>IF(F330=1,IF(TableCosts[[#This Row],[N_Kateg]]="interné práce",TableCosts[[#This Row],[N_Amount]]*8*PAR_SGA_PERHOUR,0),0)</f>
        <v>0</v>
      </c>
      <c r="AV330" s="17">
        <f>SUM(TableCosts[[#This Row],[N_Direct]:[N_SGA]])</f>
        <v>0</v>
      </c>
      <c r="AW330" s="7">
        <f>IF(F330=1,IF(D330="",NA(),VLOOKUP(C330&amp;TableCosts[[#This Row],[Calc_N_Typ]],TRAN_STRITEMS_LABEL,7,0)),0)</f>
        <v>0</v>
      </c>
      <c r="AX330" s="7">
        <f t="shared" si="69"/>
        <v>0</v>
      </c>
      <c r="AY330" s="57" t="str">
        <f t="shared" si="70"/>
        <v/>
      </c>
      <c r="AZ330" s="57" t="str">
        <f t="shared" si="71"/>
        <v/>
      </c>
      <c r="BA330" s="57" t="str">
        <f>IF(F330=1,IF(TableCosts[[#This Row],[TransferFrom]]=TableCosts[[#This Row],[TranferTo]],0,1),"")</f>
        <v/>
      </c>
      <c r="BB330" s="7">
        <f t="shared" si="72"/>
        <v>0</v>
      </c>
      <c r="BC330" s="7">
        <f t="shared" si="73"/>
        <v>0</v>
      </c>
    </row>
    <row r="331" spans="2:55" s="7" customFormat="1" ht="12.75" x14ac:dyDescent="0.2">
      <c r="B331" s="33"/>
      <c r="C331" s="31"/>
      <c r="D331" s="40"/>
      <c r="E331" s="6" t="str">
        <f>IF(F331=1,IF(ISERROR(TableCosts[[#This Row],[N_Tariff]]),Err_Message1,IF(TableCosts[[#This Row],[N_Tariff]]=0,Err_Message2,VLOOKUP(C331&amp;TableCosts[[#This Row],[Calc_N_Typ]],TRAN_STRITEMS_LABEL,5,FALSE))),"")</f>
        <v/>
      </c>
      <c r="F331" s="6">
        <f t="shared" si="74"/>
        <v>0</v>
      </c>
      <c r="G331" s="6" t="str">
        <f>IF(F331=1,IFERROR(VLOOKUP(E331,Tab_ErrMessage[],2,0),VLOOKUP(C331&amp;TableCosts[[#This Row],[Calc_N_Typ]],TRAN_STRITEMS_LABEL,4,FALSE)),"")</f>
        <v/>
      </c>
      <c r="H331" s="40"/>
      <c r="I331" s="40"/>
      <c r="J331" s="35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4"/>
      <c r="AI331" s="24"/>
      <c r="AJ331" s="24"/>
      <c r="AK331" s="38">
        <f t="array" ref="AK331">IF(F331=1,SUM((ROW(M0)=ROW(AK331))*(M0+M1_+M2_+M3_+M4_+M5_+M6_+M7_+M8_+M9_+M10_+M11_+M12_+M13_+M14_+M15_+M16_+M17_+M18_+M19_+M20_+M21_+M22_+M23_+M24_+M25_)),0)</f>
        <v>0</v>
      </c>
      <c r="AL331" s="27">
        <f>TableCosts[[#This Row],[N_Direct]]</f>
        <v>0</v>
      </c>
      <c r="AN331" s="7" t="str">
        <f t="shared" si="63"/>
        <v/>
      </c>
      <c r="AO331" s="7" t="str">
        <f t="shared" si="66"/>
        <v/>
      </c>
      <c r="AP331" s="7" t="str">
        <f t="shared" si="64"/>
        <v/>
      </c>
      <c r="AQ331" s="7" t="str">
        <f t="shared" si="67"/>
        <v/>
      </c>
      <c r="AR331" s="7" t="str">
        <f t="shared" si="65"/>
        <v/>
      </c>
      <c r="AS331" s="7">
        <f t="shared" si="68"/>
        <v>0</v>
      </c>
      <c r="AT331" s="17">
        <f>TableCosts[[#This Row],[N_Amount]]*TableCosts[[#This Row],[N_Tariff]]*TableCosts[[#This Row],[N_ItemsCount]]</f>
        <v>0</v>
      </c>
      <c r="AU331" s="17">
        <f>IF(F331=1,IF(TableCosts[[#This Row],[N_Kateg]]="interné práce",TableCosts[[#This Row],[N_Amount]]*8*PAR_SGA_PERHOUR,0),0)</f>
        <v>0</v>
      </c>
      <c r="AV331" s="17">
        <f>SUM(TableCosts[[#This Row],[N_Direct]:[N_SGA]])</f>
        <v>0</v>
      </c>
      <c r="AW331" s="7">
        <f>IF(F331=1,IF(D331="",NA(),VLOOKUP(C331&amp;TableCosts[[#This Row],[Calc_N_Typ]],TRAN_STRITEMS_LABEL,7,0)),0)</f>
        <v>0</v>
      </c>
      <c r="AX331" s="7">
        <f t="shared" si="69"/>
        <v>0</v>
      </c>
      <c r="AY331" s="57" t="str">
        <f t="shared" si="70"/>
        <v/>
      </c>
      <c r="AZ331" s="57" t="str">
        <f t="shared" si="71"/>
        <v/>
      </c>
      <c r="BA331" s="57" t="str">
        <f>IF(F331=1,IF(TableCosts[[#This Row],[TransferFrom]]=TableCosts[[#This Row],[TranferTo]],0,1),"")</f>
        <v/>
      </c>
      <c r="BB331" s="7">
        <f t="shared" si="72"/>
        <v>0</v>
      </c>
      <c r="BC331" s="7">
        <f t="shared" si="73"/>
        <v>0</v>
      </c>
    </row>
    <row r="332" spans="2:55" s="7" customFormat="1" ht="12.75" x14ac:dyDescent="0.2">
      <c r="B332" s="33"/>
      <c r="C332" s="31"/>
      <c r="D332" s="40"/>
      <c r="E332" s="6" t="str">
        <f>IF(F332=1,IF(ISERROR(TableCosts[[#This Row],[N_Tariff]]),Err_Message1,IF(TableCosts[[#This Row],[N_Tariff]]=0,Err_Message2,VLOOKUP(C332&amp;TableCosts[[#This Row],[Calc_N_Typ]],TRAN_STRITEMS_LABEL,5,FALSE))),"")</f>
        <v/>
      </c>
      <c r="F332" s="6">
        <f t="shared" si="74"/>
        <v>0</v>
      </c>
      <c r="G332" s="6" t="str">
        <f>IF(F332=1,IFERROR(VLOOKUP(E332,Tab_ErrMessage[],2,0),VLOOKUP(C332&amp;TableCosts[[#This Row],[Calc_N_Typ]],TRAN_STRITEMS_LABEL,4,FALSE)),"")</f>
        <v/>
      </c>
      <c r="H332" s="40"/>
      <c r="I332" s="40"/>
      <c r="J332" s="35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24"/>
      <c r="AG332" s="24"/>
      <c r="AH332" s="24"/>
      <c r="AI332" s="24"/>
      <c r="AJ332" s="24"/>
      <c r="AK332" s="38">
        <f t="array" ref="AK332">IF(F332=1,SUM((ROW(M0)=ROW(AK332))*(M0+M1_+M2_+M3_+M4_+M5_+M6_+M7_+M8_+M9_+M10_+M11_+M12_+M13_+M14_+M15_+M16_+M17_+M18_+M19_+M20_+M21_+M22_+M23_+M24_+M25_)),0)</f>
        <v>0</v>
      </c>
      <c r="AL332" s="27">
        <f>TableCosts[[#This Row],[N_Direct]]</f>
        <v>0</v>
      </c>
      <c r="AN332" s="7" t="str">
        <f t="shared" si="63"/>
        <v/>
      </c>
      <c r="AO332" s="7" t="str">
        <f t="shared" si="66"/>
        <v/>
      </c>
      <c r="AP332" s="7" t="str">
        <f t="shared" si="64"/>
        <v/>
      </c>
      <c r="AQ332" s="7" t="str">
        <f t="shared" si="67"/>
        <v/>
      </c>
      <c r="AR332" s="7" t="str">
        <f t="shared" si="65"/>
        <v/>
      </c>
      <c r="AS332" s="7">
        <f t="shared" si="68"/>
        <v>0</v>
      </c>
      <c r="AT332" s="17">
        <f>TableCosts[[#This Row],[N_Amount]]*TableCosts[[#This Row],[N_Tariff]]*TableCosts[[#This Row],[N_ItemsCount]]</f>
        <v>0</v>
      </c>
      <c r="AU332" s="17">
        <f>IF(F332=1,IF(TableCosts[[#This Row],[N_Kateg]]="interné práce",TableCosts[[#This Row],[N_Amount]]*8*PAR_SGA_PERHOUR,0),0)</f>
        <v>0</v>
      </c>
      <c r="AV332" s="17">
        <f>SUM(TableCosts[[#This Row],[N_Direct]:[N_SGA]])</f>
        <v>0</v>
      </c>
      <c r="AW332" s="7">
        <f>IF(F332=1,IF(D332="",NA(),VLOOKUP(C332&amp;TableCosts[[#This Row],[Calc_N_Typ]],TRAN_STRITEMS_LABEL,7,0)),0)</f>
        <v>0</v>
      </c>
      <c r="AX332" s="7">
        <f t="shared" si="69"/>
        <v>0</v>
      </c>
      <c r="AY332" s="57" t="str">
        <f t="shared" si="70"/>
        <v/>
      </c>
      <c r="AZ332" s="57" t="str">
        <f t="shared" si="71"/>
        <v/>
      </c>
      <c r="BA332" s="57" t="str">
        <f>IF(F332=1,IF(TableCosts[[#This Row],[TransferFrom]]=TableCosts[[#This Row],[TranferTo]],0,1),"")</f>
        <v/>
      </c>
      <c r="BB332" s="7">
        <f t="shared" si="72"/>
        <v>0</v>
      </c>
      <c r="BC332" s="7">
        <f t="shared" si="73"/>
        <v>0</v>
      </c>
    </row>
    <row r="333" spans="2:55" s="7" customFormat="1" ht="12.75" x14ac:dyDescent="0.2">
      <c r="B333" s="33"/>
      <c r="C333" s="31"/>
      <c r="D333" s="40"/>
      <c r="E333" s="6" t="str">
        <f>IF(F333=1,IF(ISERROR(TableCosts[[#This Row],[N_Tariff]]),Err_Message1,IF(TableCosts[[#This Row],[N_Tariff]]=0,Err_Message2,VLOOKUP(C333&amp;TableCosts[[#This Row],[Calc_N_Typ]],TRAN_STRITEMS_LABEL,5,FALSE))),"")</f>
        <v/>
      </c>
      <c r="F333" s="6">
        <f t="shared" si="74"/>
        <v>0</v>
      </c>
      <c r="G333" s="6" t="str">
        <f>IF(F333=1,IFERROR(VLOOKUP(E333,Tab_ErrMessage[],2,0),VLOOKUP(C333&amp;TableCosts[[#This Row],[Calc_N_Typ]],TRAN_STRITEMS_LABEL,4,FALSE)),"")</f>
        <v/>
      </c>
      <c r="H333" s="40"/>
      <c r="I333" s="40"/>
      <c r="J333" s="35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4"/>
      <c r="AI333" s="24"/>
      <c r="AJ333" s="24"/>
      <c r="AK333" s="38">
        <f t="array" ref="AK333">IF(F333=1,SUM((ROW(M0)=ROW(AK333))*(M0+M1_+M2_+M3_+M4_+M5_+M6_+M7_+M8_+M9_+M10_+M11_+M12_+M13_+M14_+M15_+M16_+M17_+M18_+M19_+M20_+M21_+M22_+M23_+M24_+M25_)),0)</f>
        <v>0</v>
      </c>
      <c r="AL333" s="27">
        <f>TableCosts[[#This Row],[N_Direct]]</f>
        <v>0</v>
      </c>
      <c r="AN333" s="7" t="str">
        <f t="shared" si="63"/>
        <v/>
      </c>
      <c r="AO333" s="7" t="str">
        <f t="shared" si="66"/>
        <v/>
      </c>
      <c r="AP333" s="7" t="str">
        <f t="shared" si="64"/>
        <v/>
      </c>
      <c r="AQ333" s="7" t="str">
        <f t="shared" si="67"/>
        <v/>
      </c>
      <c r="AR333" s="7" t="str">
        <f t="shared" si="65"/>
        <v/>
      </c>
      <c r="AS333" s="7">
        <f t="shared" si="68"/>
        <v>0</v>
      </c>
      <c r="AT333" s="17">
        <f>TableCosts[[#This Row],[N_Amount]]*TableCosts[[#This Row],[N_Tariff]]*TableCosts[[#This Row],[N_ItemsCount]]</f>
        <v>0</v>
      </c>
      <c r="AU333" s="17">
        <f>IF(F333=1,IF(TableCosts[[#This Row],[N_Kateg]]="interné práce",TableCosts[[#This Row],[N_Amount]]*8*PAR_SGA_PERHOUR,0),0)</f>
        <v>0</v>
      </c>
      <c r="AV333" s="17">
        <f>SUM(TableCosts[[#This Row],[N_Direct]:[N_SGA]])</f>
        <v>0</v>
      </c>
      <c r="AW333" s="7">
        <f>IF(F333=1,IF(D333="",NA(),VLOOKUP(C333&amp;TableCosts[[#This Row],[Calc_N_Typ]],TRAN_STRITEMS_LABEL,7,0)),0)</f>
        <v>0</v>
      </c>
      <c r="AX333" s="7">
        <f t="shared" si="69"/>
        <v>0</v>
      </c>
      <c r="AY333" s="57" t="str">
        <f t="shared" si="70"/>
        <v/>
      </c>
      <c r="AZ333" s="57" t="str">
        <f t="shared" si="71"/>
        <v/>
      </c>
      <c r="BA333" s="57" t="str">
        <f>IF(F333=1,IF(TableCosts[[#This Row],[TransferFrom]]=TableCosts[[#This Row],[TranferTo]],0,1),"")</f>
        <v/>
      </c>
      <c r="BB333" s="7">
        <f t="shared" si="72"/>
        <v>0</v>
      </c>
      <c r="BC333" s="7">
        <f t="shared" si="73"/>
        <v>0</v>
      </c>
    </row>
    <row r="334" spans="2:55" s="7" customFormat="1" ht="12.75" x14ac:dyDescent="0.2">
      <c r="B334" s="33"/>
      <c r="C334" s="31"/>
      <c r="D334" s="40"/>
      <c r="E334" s="6" t="str">
        <f>IF(F334=1,IF(ISERROR(TableCosts[[#This Row],[N_Tariff]]),Err_Message1,IF(TableCosts[[#This Row],[N_Tariff]]=0,Err_Message2,VLOOKUP(C334&amp;TableCosts[[#This Row],[Calc_N_Typ]],TRAN_STRITEMS_LABEL,5,FALSE))),"")</f>
        <v/>
      </c>
      <c r="F334" s="6">
        <f t="shared" si="74"/>
        <v>0</v>
      </c>
      <c r="G334" s="6" t="str">
        <f>IF(F334=1,IFERROR(VLOOKUP(E334,Tab_ErrMessage[],2,0),VLOOKUP(C334&amp;TableCosts[[#This Row],[Calc_N_Typ]],TRAN_STRITEMS_LABEL,4,FALSE)),"")</f>
        <v/>
      </c>
      <c r="H334" s="40"/>
      <c r="I334" s="40"/>
      <c r="J334" s="35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4"/>
      <c r="AI334" s="24"/>
      <c r="AJ334" s="24"/>
      <c r="AK334" s="38">
        <f t="array" ref="AK334">IF(F334=1,SUM((ROW(M0)=ROW(AK334))*(M0+M1_+M2_+M3_+M4_+M5_+M6_+M7_+M8_+M9_+M10_+M11_+M12_+M13_+M14_+M15_+M16_+M17_+M18_+M19_+M20_+M21_+M22_+M23_+M24_+M25_)),0)</f>
        <v>0</v>
      </c>
      <c r="AL334" s="27">
        <f>TableCosts[[#This Row],[N_Direct]]</f>
        <v>0</v>
      </c>
      <c r="AN334" s="7" t="str">
        <f t="shared" si="63"/>
        <v/>
      </c>
      <c r="AO334" s="7" t="str">
        <f t="shared" si="66"/>
        <v/>
      </c>
      <c r="AP334" s="7" t="str">
        <f t="shared" si="64"/>
        <v/>
      </c>
      <c r="AQ334" s="7" t="str">
        <f t="shared" si="67"/>
        <v/>
      </c>
      <c r="AR334" s="7" t="str">
        <f t="shared" si="65"/>
        <v/>
      </c>
      <c r="AS334" s="7">
        <f t="shared" si="68"/>
        <v>0</v>
      </c>
      <c r="AT334" s="17">
        <f>TableCosts[[#This Row],[N_Amount]]*TableCosts[[#This Row],[N_Tariff]]*TableCosts[[#This Row],[N_ItemsCount]]</f>
        <v>0</v>
      </c>
      <c r="AU334" s="17">
        <f>IF(F334=1,IF(TableCosts[[#This Row],[N_Kateg]]="interné práce",TableCosts[[#This Row],[N_Amount]]*8*PAR_SGA_PERHOUR,0),0)</f>
        <v>0</v>
      </c>
      <c r="AV334" s="17">
        <f>SUM(TableCosts[[#This Row],[N_Direct]:[N_SGA]])</f>
        <v>0</v>
      </c>
      <c r="AW334" s="7">
        <f>IF(F334=1,IF(D334="",NA(),VLOOKUP(C334&amp;TableCosts[[#This Row],[Calc_N_Typ]],TRAN_STRITEMS_LABEL,7,0)),0)</f>
        <v>0</v>
      </c>
      <c r="AX334" s="7">
        <f t="shared" si="69"/>
        <v>0</v>
      </c>
      <c r="AY334" s="57" t="str">
        <f t="shared" si="70"/>
        <v/>
      </c>
      <c r="AZ334" s="57" t="str">
        <f t="shared" si="71"/>
        <v/>
      </c>
      <c r="BA334" s="57" t="str">
        <f>IF(F334=1,IF(TableCosts[[#This Row],[TransferFrom]]=TableCosts[[#This Row],[TranferTo]],0,1),"")</f>
        <v/>
      </c>
      <c r="BB334" s="7">
        <f t="shared" si="72"/>
        <v>0</v>
      </c>
      <c r="BC334" s="7">
        <f t="shared" si="73"/>
        <v>0</v>
      </c>
    </row>
    <row r="335" spans="2:55" s="7" customFormat="1" ht="12.75" x14ac:dyDescent="0.2">
      <c r="B335" s="33"/>
      <c r="C335" s="31"/>
      <c r="D335" s="40"/>
      <c r="E335" s="6" t="str">
        <f>IF(F335=1,IF(ISERROR(TableCosts[[#This Row],[N_Tariff]]),Err_Message1,IF(TableCosts[[#This Row],[N_Tariff]]=0,Err_Message2,VLOOKUP(C335&amp;TableCosts[[#This Row],[Calc_N_Typ]],TRAN_STRITEMS_LABEL,5,FALSE))),"")</f>
        <v/>
      </c>
      <c r="F335" s="6">
        <f t="shared" si="74"/>
        <v>0</v>
      </c>
      <c r="G335" s="6" t="str">
        <f>IF(F335=1,IFERROR(VLOOKUP(E335,Tab_ErrMessage[],2,0),VLOOKUP(C335&amp;TableCosts[[#This Row],[Calc_N_Typ]],TRAN_STRITEMS_LABEL,4,FALSE)),"")</f>
        <v/>
      </c>
      <c r="H335" s="40"/>
      <c r="I335" s="40"/>
      <c r="J335" s="35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4"/>
      <c r="AI335" s="24"/>
      <c r="AJ335" s="24"/>
      <c r="AK335" s="38">
        <f t="array" ref="AK335">IF(F335=1,SUM((ROW(M0)=ROW(AK335))*(M0+M1_+M2_+M3_+M4_+M5_+M6_+M7_+M8_+M9_+M10_+M11_+M12_+M13_+M14_+M15_+M16_+M17_+M18_+M19_+M20_+M21_+M22_+M23_+M24_+M25_)),0)</f>
        <v>0</v>
      </c>
      <c r="AL335" s="27">
        <f>TableCosts[[#This Row],[N_Direct]]</f>
        <v>0</v>
      </c>
      <c r="AN335" s="7" t="str">
        <f t="shared" si="63"/>
        <v/>
      </c>
      <c r="AO335" s="7" t="str">
        <f t="shared" si="66"/>
        <v/>
      </c>
      <c r="AP335" s="7" t="str">
        <f t="shared" si="64"/>
        <v/>
      </c>
      <c r="AQ335" s="7" t="str">
        <f t="shared" si="67"/>
        <v/>
      </c>
      <c r="AR335" s="7" t="str">
        <f t="shared" si="65"/>
        <v/>
      </c>
      <c r="AS335" s="7">
        <f t="shared" si="68"/>
        <v>0</v>
      </c>
      <c r="AT335" s="17">
        <f>TableCosts[[#This Row],[N_Amount]]*TableCosts[[#This Row],[N_Tariff]]*TableCosts[[#This Row],[N_ItemsCount]]</f>
        <v>0</v>
      </c>
      <c r="AU335" s="17">
        <f>IF(F335=1,IF(TableCosts[[#This Row],[N_Kateg]]="interné práce",TableCosts[[#This Row],[N_Amount]]*8*PAR_SGA_PERHOUR,0),0)</f>
        <v>0</v>
      </c>
      <c r="AV335" s="17">
        <f>SUM(TableCosts[[#This Row],[N_Direct]:[N_SGA]])</f>
        <v>0</v>
      </c>
      <c r="AW335" s="7">
        <f>IF(F335=1,IF(D335="",NA(),VLOOKUP(C335&amp;TableCosts[[#This Row],[Calc_N_Typ]],TRAN_STRITEMS_LABEL,7,0)),0)</f>
        <v>0</v>
      </c>
      <c r="AX335" s="7">
        <f t="shared" si="69"/>
        <v>0</v>
      </c>
      <c r="AY335" s="57" t="str">
        <f t="shared" si="70"/>
        <v/>
      </c>
      <c r="AZ335" s="57" t="str">
        <f t="shared" si="71"/>
        <v/>
      </c>
      <c r="BA335" s="57" t="str">
        <f>IF(F335=1,IF(TableCosts[[#This Row],[TransferFrom]]=TableCosts[[#This Row],[TranferTo]],0,1),"")</f>
        <v/>
      </c>
      <c r="BB335" s="7">
        <f t="shared" si="72"/>
        <v>0</v>
      </c>
      <c r="BC335" s="7">
        <f t="shared" si="73"/>
        <v>0</v>
      </c>
    </row>
    <row r="336" spans="2:55" s="7" customFormat="1" ht="12.75" x14ac:dyDescent="0.2">
      <c r="B336" s="33"/>
      <c r="C336" s="31"/>
      <c r="D336" s="40"/>
      <c r="E336" s="6" t="str">
        <f>IF(F336=1,IF(ISERROR(TableCosts[[#This Row],[N_Tariff]]),Err_Message1,IF(TableCosts[[#This Row],[N_Tariff]]=0,Err_Message2,VLOOKUP(C336&amp;TableCosts[[#This Row],[Calc_N_Typ]],TRAN_STRITEMS_LABEL,5,FALSE))),"")</f>
        <v/>
      </c>
      <c r="F336" s="6">
        <f t="shared" si="74"/>
        <v>0</v>
      </c>
      <c r="G336" s="6" t="str">
        <f>IF(F336=1,IFERROR(VLOOKUP(E336,Tab_ErrMessage[],2,0),VLOOKUP(C336&amp;TableCosts[[#This Row],[Calc_N_Typ]],TRAN_STRITEMS_LABEL,4,FALSE)),"")</f>
        <v/>
      </c>
      <c r="H336" s="40"/>
      <c r="I336" s="40"/>
      <c r="J336" s="35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4"/>
      <c r="AI336" s="24"/>
      <c r="AJ336" s="24"/>
      <c r="AK336" s="38">
        <f t="array" ref="AK336">IF(F336=1,SUM((ROW(M0)=ROW(AK336))*(M0+M1_+M2_+M3_+M4_+M5_+M6_+M7_+M8_+M9_+M10_+M11_+M12_+M13_+M14_+M15_+M16_+M17_+M18_+M19_+M20_+M21_+M22_+M23_+M24_+M25_)),0)</f>
        <v>0</v>
      </c>
      <c r="AL336" s="27">
        <f>TableCosts[[#This Row],[N_Direct]]</f>
        <v>0</v>
      </c>
      <c r="AN336" s="7" t="str">
        <f t="shared" si="63"/>
        <v/>
      </c>
      <c r="AO336" s="7" t="str">
        <f t="shared" si="66"/>
        <v/>
      </c>
      <c r="AP336" s="7" t="str">
        <f t="shared" si="64"/>
        <v/>
      </c>
      <c r="AQ336" s="7" t="str">
        <f t="shared" si="67"/>
        <v/>
      </c>
      <c r="AR336" s="7" t="str">
        <f t="shared" si="65"/>
        <v/>
      </c>
      <c r="AS336" s="7">
        <f t="shared" si="68"/>
        <v>0</v>
      </c>
      <c r="AT336" s="17">
        <f>TableCosts[[#This Row],[N_Amount]]*TableCosts[[#This Row],[N_Tariff]]*TableCosts[[#This Row],[N_ItemsCount]]</f>
        <v>0</v>
      </c>
      <c r="AU336" s="17">
        <f>IF(F336=1,IF(TableCosts[[#This Row],[N_Kateg]]="interné práce",TableCosts[[#This Row],[N_Amount]]*8*PAR_SGA_PERHOUR,0),0)</f>
        <v>0</v>
      </c>
      <c r="AV336" s="17">
        <f>SUM(TableCosts[[#This Row],[N_Direct]:[N_SGA]])</f>
        <v>0</v>
      </c>
      <c r="AW336" s="7">
        <f>IF(F336=1,IF(D336="",NA(),VLOOKUP(C336&amp;TableCosts[[#This Row],[Calc_N_Typ]],TRAN_STRITEMS_LABEL,7,0)),0)</f>
        <v>0</v>
      </c>
      <c r="AX336" s="7">
        <f t="shared" si="69"/>
        <v>0</v>
      </c>
      <c r="AY336" s="57" t="str">
        <f t="shared" si="70"/>
        <v/>
      </c>
      <c r="AZ336" s="57" t="str">
        <f t="shared" si="71"/>
        <v/>
      </c>
      <c r="BA336" s="57" t="str">
        <f>IF(F336=1,IF(TableCosts[[#This Row],[TransferFrom]]=TableCosts[[#This Row],[TranferTo]],0,1),"")</f>
        <v/>
      </c>
      <c r="BB336" s="7">
        <f t="shared" si="72"/>
        <v>0</v>
      </c>
      <c r="BC336" s="7">
        <f t="shared" si="73"/>
        <v>0</v>
      </c>
    </row>
    <row r="337" spans="2:55" s="7" customFormat="1" ht="12.75" x14ac:dyDescent="0.2">
      <c r="B337" s="33"/>
      <c r="C337" s="31"/>
      <c r="D337" s="40"/>
      <c r="E337" s="6" t="str">
        <f>IF(F337=1,IF(ISERROR(TableCosts[[#This Row],[N_Tariff]]),Err_Message1,IF(TableCosts[[#This Row],[N_Tariff]]=0,Err_Message2,VLOOKUP(C337&amp;TableCosts[[#This Row],[Calc_N_Typ]],TRAN_STRITEMS_LABEL,5,FALSE))),"")</f>
        <v/>
      </c>
      <c r="F337" s="6">
        <f t="shared" si="74"/>
        <v>0</v>
      </c>
      <c r="G337" s="6" t="str">
        <f>IF(F337=1,IFERROR(VLOOKUP(E337,Tab_ErrMessage[],2,0),VLOOKUP(C337&amp;TableCosts[[#This Row],[Calc_N_Typ]],TRAN_STRITEMS_LABEL,4,FALSE)),"")</f>
        <v/>
      </c>
      <c r="H337" s="40"/>
      <c r="I337" s="40"/>
      <c r="J337" s="35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4"/>
      <c r="AI337" s="24"/>
      <c r="AJ337" s="24"/>
      <c r="AK337" s="38">
        <f t="array" ref="AK337">IF(F337=1,SUM((ROW(M0)=ROW(AK337))*(M0+M1_+M2_+M3_+M4_+M5_+M6_+M7_+M8_+M9_+M10_+M11_+M12_+M13_+M14_+M15_+M16_+M17_+M18_+M19_+M20_+M21_+M22_+M23_+M24_+M25_)),0)</f>
        <v>0</v>
      </c>
      <c r="AL337" s="27">
        <f>TableCosts[[#This Row],[N_Direct]]</f>
        <v>0</v>
      </c>
      <c r="AN337" s="7" t="str">
        <f t="shared" si="63"/>
        <v/>
      </c>
      <c r="AO337" s="7" t="str">
        <f t="shared" si="66"/>
        <v/>
      </c>
      <c r="AP337" s="7" t="str">
        <f t="shared" si="64"/>
        <v/>
      </c>
      <c r="AQ337" s="7" t="str">
        <f t="shared" si="67"/>
        <v/>
      </c>
      <c r="AR337" s="7" t="str">
        <f t="shared" si="65"/>
        <v/>
      </c>
      <c r="AS337" s="7">
        <f t="shared" si="68"/>
        <v>0</v>
      </c>
      <c r="AT337" s="17">
        <f>TableCosts[[#This Row],[N_Amount]]*TableCosts[[#This Row],[N_Tariff]]*TableCosts[[#This Row],[N_ItemsCount]]</f>
        <v>0</v>
      </c>
      <c r="AU337" s="17">
        <f>IF(F337=1,IF(TableCosts[[#This Row],[N_Kateg]]="interné práce",TableCosts[[#This Row],[N_Amount]]*8*PAR_SGA_PERHOUR,0),0)</f>
        <v>0</v>
      </c>
      <c r="AV337" s="17">
        <f>SUM(TableCosts[[#This Row],[N_Direct]:[N_SGA]])</f>
        <v>0</v>
      </c>
      <c r="AW337" s="7">
        <f>IF(F337=1,IF(D337="",NA(),VLOOKUP(C337&amp;TableCosts[[#This Row],[Calc_N_Typ]],TRAN_STRITEMS_LABEL,7,0)),0)</f>
        <v>0</v>
      </c>
      <c r="AX337" s="7">
        <f t="shared" si="69"/>
        <v>0</v>
      </c>
      <c r="AY337" s="57" t="str">
        <f t="shared" si="70"/>
        <v/>
      </c>
      <c r="AZ337" s="57" t="str">
        <f t="shared" si="71"/>
        <v/>
      </c>
      <c r="BA337" s="57" t="str">
        <f>IF(F337=1,IF(TableCosts[[#This Row],[TransferFrom]]=TableCosts[[#This Row],[TranferTo]],0,1),"")</f>
        <v/>
      </c>
      <c r="BB337" s="7">
        <f t="shared" si="72"/>
        <v>0</v>
      </c>
      <c r="BC337" s="7">
        <f t="shared" si="73"/>
        <v>0</v>
      </c>
    </row>
    <row r="338" spans="2:55" s="7" customFormat="1" ht="12.75" x14ac:dyDescent="0.2">
      <c r="B338" s="33"/>
      <c r="C338" s="31"/>
      <c r="D338" s="40"/>
      <c r="E338" s="6" t="str">
        <f>IF(F338=1,IF(ISERROR(TableCosts[[#This Row],[N_Tariff]]),Err_Message1,IF(TableCosts[[#This Row],[N_Tariff]]=0,Err_Message2,VLOOKUP(C338&amp;TableCosts[[#This Row],[Calc_N_Typ]],TRAN_STRITEMS_LABEL,5,FALSE))),"")</f>
        <v/>
      </c>
      <c r="F338" s="6">
        <f t="shared" si="74"/>
        <v>0</v>
      </c>
      <c r="G338" s="6" t="str">
        <f>IF(F338=1,IFERROR(VLOOKUP(E338,Tab_ErrMessage[],2,0),VLOOKUP(C338&amp;TableCosts[[#This Row],[Calc_N_Typ]],TRAN_STRITEMS_LABEL,4,FALSE)),"")</f>
        <v/>
      </c>
      <c r="H338" s="40"/>
      <c r="I338" s="40"/>
      <c r="J338" s="35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4"/>
      <c r="AI338" s="24"/>
      <c r="AJ338" s="24"/>
      <c r="AK338" s="38">
        <f t="array" ref="AK338">IF(F338=1,SUM((ROW(M0)=ROW(AK338))*(M0+M1_+M2_+M3_+M4_+M5_+M6_+M7_+M8_+M9_+M10_+M11_+M12_+M13_+M14_+M15_+M16_+M17_+M18_+M19_+M20_+M21_+M22_+M23_+M24_+M25_)),0)</f>
        <v>0</v>
      </c>
      <c r="AL338" s="27">
        <f>TableCosts[[#This Row],[N_Direct]]</f>
        <v>0</v>
      </c>
      <c r="AN338" s="7" t="str">
        <f t="shared" si="63"/>
        <v/>
      </c>
      <c r="AO338" s="7" t="str">
        <f t="shared" si="66"/>
        <v/>
      </c>
      <c r="AP338" s="7" t="str">
        <f t="shared" si="64"/>
        <v/>
      </c>
      <c r="AQ338" s="7" t="str">
        <f t="shared" si="67"/>
        <v/>
      </c>
      <c r="AR338" s="7" t="str">
        <f t="shared" si="65"/>
        <v/>
      </c>
      <c r="AS338" s="7">
        <f t="shared" si="68"/>
        <v>0</v>
      </c>
      <c r="AT338" s="17">
        <f>TableCosts[[#This Row],[N_Amount]]*TableCosts[[#This Row],[N_Tariff]]*TableCosts[[#This Row],[N_ItemsCount]]</f>
        <v>0</v>
      </c>
      <c r="AU338" s="17">
        <f>IF(F338=1,IF(TableCosts[[#This Row],[N_Kateg]]="interné práce",TableCosts[[#This Row],[N_Amount]]*8*PAR_SGA_PERHOUR,0),0)</f>
        <v>0</v>
      </c>
      <c r="AV338" s="17">
        <f>SUM(TableCosts[[#This Row],[N_Direct]:[N_SGA]])</f>
        <v>0</v>
      </c>
      <c r="AW338" s="7">
        <f>IF(F338=1,IF(D338="",NA(),VLOOKUP(C338&amp;TableCosts[[#This Row],[Calc_N_Typ]],TRAN_STRITEMS_LABEL,7,0)),0)</f>
        <v>0</v>
      </c>
      <c r="AX338" s="7">
        <f t="shared" si="69"/>
        <v>0</v>
      </c>
      <c r="AY338" s="57" t="str">
        <f t="shared" si="70"/>
        <v/>
      </c>
      <c r="AZ338" s="57" t="str">
        <f t="shared" si="71"/>
        <v/>
      </c>
      <c r="BA338" s="57" t="str">
        <f>IF(F338=1,IF(TableCosts[[#This Row],[TransferFrom]]=TableCosts[[#This Row],[TranferTo]],0,1),"")</f>
        <v/>
      </c>
      <c r="BB338" s="7">
        <f t="shared" si="72"/>
        <v>0</v>
      </c>
      <c r="BC338" s="7">
        <f t="shared" si="73"/>
        <v>0</v>
      </c>
    </row>
    <row r="339" spans="2:55" s="7" customFormat="1" ht="12.75" x14ac:dyDescent="0.2">
      <c r="B339" s="33"/>
      <c r="C339" s="31"/>
      <c r="D339" s="40"/>
      <c r="E339" s="6" t="str">
        <f>IF(F339=1,IF(ISERROR(TableCosts[[#This Row],[N_Tariff]]),Err_Message1,IF(TableCosts[[#This Row],[N_Tariff]]=0,Err_Message2,VLOOKUP(C339&amp;TableCosts[[#This Row],[Calc_N_Typ]],TRAN_STRITEMS_LABEL,5,FALSE))),"")</f>
        <v/>
      </c>
      <c r="F339" s="6">
        <f t="shared" si="74"/>
        <v>0</v>
      </c>
      <c r="G339" s="6" t="str">
        <f>IF(F339=1,IFERROR(VLOOKUP(E339,Tab_ErrMessage[],2,0),VLOOKUP(C339&amp;TableCosts[[#This Row],[Calc_N_Typ]],TRAN_STRITEMS_LABEL,4,FALSE)),"")</f>
        <v/>
      </c>
      <c r="H339" s="40"/>
      <c r="I339" s="40"/>
      <c r="J339" s="35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4"/>
      <c r="AI339" s="24"/>
      <c r="AJ339" s="24"/>
      <c r="AK339" s="38">
        <f t="array" ref="AK339">IF(F339=1,SUM((ROW(M0)=ROW(AK339))*(M0+M1_+M2_+M3_+M4_+M5_+M6_+M7_+M8_+M9_+M10_+M11_+M12_+M13_+M14_+M15_+M16_+M17_+M18_+M19_+M20_+M21_+M22_+M23_+M24_+M25_)),0)</f>
        <v>0</v>
      </c>
      <c r="AL339" s="27">
        <f>TableCosts[[#This Row],[N_Direct]]</f>
        <v>0</v>
      </c>
      <c r="AN339" s="7" t="str">
        <f t="shared" si="63"/>
        <v/>
      </c>
      <c r="AO339" s="7" t="str">
        <f t="shared" si="66"/>
        <v/>
      </c>
      <c r="AP339" s="7" t="str">
        <f t="shared" si="64"/>
        <v/>
      </c>
      <c r="AQ339" s="7" t="str">
        <f t="shared" si="67"/>
        <v/>
      </c>
      <c r="AR339" s="7" t="str">
        <f t="shared" si="65"/>
        <v/>
      </c>
      <c r="AS339" s="7">
        <f t="shared" si="68"/>
        <v>0</v>
      </c>
      <c r="AT339" s="17">
        <f>TableCosts[[#This Row],[N_Amount]]*TableCosts[[#This Row],[N_Tariff]]*TableCosts[[#This Row],[N_ItemsCount]]</f>
        <v>0</v>
      </c>
      <c r="AU339" s="17">
        <f>IF(F339=1,IF(TableCosts[[#This Row],[N_Kateg]]="interné práce",TableCosts[[#This Row],[N_Amount]]*8*PAR_SGA_PERHOUR,0),0)</f>
        <v>0</v>
      </c>
      <c r="AV339" s="17">
        <f>SUM(TableCosts[[#This Row],[N_Direct]:[N_SGA]])</f>
        <v>0</v>
      </c>
      <c r="AW339" s="7">
        <f>IF(F339=1,IF(D339="",NA(),VLOOKUP(C339&amp;TableCosts[[#This Row],[Calc_N_Typ]],TRAN_STRITEMS_LABEL,7,0)),0)</f>
        <v>0</v>
      </c>
      <c r="AX339" s="7">
        <f t="shared" si="69"/>
        <v>0</v>
      </c>
      <c r="AY339" s="57" t="str">
        <f t="shared" si="70"/>
        <v/>
      </c>
      <c r="AZ339" s="57" t="str">
        <f t="shared" si="71"/>
        <v/>
      </c>
      <c r="BA339" s="57" t="str">
        <f>IF(F339=1,IF(TableCosts[[#This Row],[TransferFrom]]=TableCosts[[#This Row],[TranferTo]],0,1),"")</f>
        <v/>
      </c>
      <c r="BB339" s="7">
        <f t="shared" si="72"/>
        <v>0</v>
      </c>
      <c r="BC339" s="7">
        <f t="shared" si="73"/>
        <v>0</v>
      </c>
    </row>
    <row r="340" spans="2:55" s="7" customFormat="1" ht="12.75" x14ac:dyDescent="0.2">
      <c r="B340" s="33"/>
      <c r="C340" s="31"/>
      <c r="D340" s="40"/>
      <c r="E340" s="6" t="str">
        <f>IF(F340=1,IF(ISERROR(TableCosts[[#This Row],[N_Tariff]]),Err_Message1,IF(TableCosts[[#This Row],[N_Tariff]]=0,Err_Message2,VLOOKUP(C340&amp;TableCosts[[#This Row],[Calc_N_Typ]],TRAN_STRITEMS_LABEL,5,FALSE))),"")</f>
        <v/>
      </c>
      <c r="F340" s="6">
        <f t="shared" si="74"/>
        <v>0</v>
      </c>
      <c r="G340" s="6" t="str">
        <f>IF(F340=1,IFERROR(VLOOKUP(E340,Tab_ErrMessage[],2,0),VLOOKUP(C340&amp;TableCosts[[#This Row],[Calc_N_Typ]],TRAN_STRITEMS_LABEL,4,FALSE)),"")</f>
        <v/>
      </c>
      <c r="H340" s="40"/>
      <c r="I340" s="40"/>
      <c r="J340" s="35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4"/>
      <c r="AI340" s="24"/>
      <c r="AJ340" s="24"/>
      <c r="AK340" s="38">
        <f t="array" ref="AK340">IF(F340=1,SUM((ROW(M0)=ROW(AK340))*(M0+M1_+M2_+M3_+M4_+M5_+M6_+M7_+M8_+M9_+M10_+M11_+M12_+M13_+M14_+M15_+M16_+M17_+M18_+M19_+M20_+M21_+M22_+M23_+M24_+M25_)),0)</f>
        <v>0</v>
      </c>
      <c r="AL340" s="27">
        <f>TableCosts[[#This Row],[N_Direct]]</f>
        <v>0</v>
      </c>
      <c r="AN340" s="7" t="str">
        <f t="shared" si="63"/>
        <v/>
      </c>
      <c r="AO340" s="7" t="str">
        <f t="shared" si="66"/>
        <v/>
      </c>
      <c r="AP340" s="7" t="str">
        <f t="shared" si="64"/>
        <v/>
      </c>
      <c r="AQ340" s="7" t="str">
        <f t="shared" si="67"/>
        <v/>
      </c>
      <c r="AR340" s="7" t="str">
        <f t="shared" si="65"/>
        <v/>
      </c>
      <c r="AS340" s="7">
        <f t="shared" si="68"/>
        <v>0</v>
      </c>
      <c r="AT340" s="17">
        <f>TableCosts[[#This Row],[N_Amount]]*TableCosts[[#This Row],[N_Tariff]]*TableCosts[[#This Row],[N_ItemsCount]]</f>
        <v>0</v>
      </c>
      <c r="AU340" s="17">
        <f>IF(F340=1,IF(TableCosts[[#This Row],[N_Kateg]]="interné práce",TableCosts[[#This Row],[N_Amount]]*8*PAR_SGA_PERHOUR,0),0)</f>
        <v>0</v>
      </c>
      <c r="AV340" s="17">
        <f>SUM(TableCosts[[#This Row],[N_Direct]:[N_SGA]])</f>
        <v>0</v>
      </c>
      <c r="AW340" s="7">
        <f>IF(F340=1,IF(D340="",NA(),VLOOKUP(C340&amp;TableCosts[[#This Row],[Calc_N_Typ]],TRAN_STRITEMS_LABEL,7,0)),0)</f>
        <v>0</v>
      </c>
      <c r="AX340" s="7">
        <f t="shared" si="69"/>
        <v>0</v>
      </c>
      <c r="AY340" s="57" t="str">
        <f t="shared" si="70"/>
        <v/>
      </c>
      <c r="AZ340" s="57" t="str">
        <f t="shared" si="71"/>
        <v/>
      </c>
      <c r="BA340" s="57" t="str">
        <f>IF(F340=1,IF(TableCosts[[#This Row],[TransferFrom]]=TableCosts[[#This Row],[TranferTo]],0,1),"")</f>
        <v/>
      </c>
      <c r="BB340" s="7">
        <f t="shared" si="72"/>
        <v>0</v>
      </c>
      <c r="BC340" s="7">
        <f t="shared" si="73"/>
        <v>0</v>
      </c>
    </row>
    <row r="341" spans="2:55" s="7" customFormat="1" ht="12.75" x14ac:dyDescent="0.2">
      <c r="B341" s="33"/>
      <c r="C341" s="31"/>
      <c r="D341" s="40"/>
      <c r="E341" s="6" t="str">
        <f>IF(F341=1,IF(ISERROR(TableCosts[[#This Row],[N_Tariff]]),Err_Message1,IF(TableCosts[[#This Row],[N_Tariff]]=0,Err_Message2,VLOOKUP(C341&amp;TableCosts[[#This Row],[Calc_N_Typ]],TRAN_STRITEMS_LABEL,5,FALSE))),"")</f>
        <v/>
      </c>
      <c r="F341" s="6">
        <f t="shared" si="74"/>
        <v>0</v>
      </c>
      <c r="G341" s="6" t="str">
        <f>IF(F341=1,IFERROR(VLOOKUP(E341,Tab_ErrMessage[],2,0),VLOOKUP(C341&amp;TableCosts[[#This Row],[Calc_N_Typ]],TRAN_STRITEMS_LABEL,4,FALSE)),"")</f>
        <v/>
      </c>
      <c r="H341" s="40"/>
      <c r="I341" s="40"/>
      <c r="J341" s="35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4"/>
      <c r="AI341" s="24"/>
      <c r="AJ341" s="24"/>
      <c r="AK341" s="38">
        <f t="array" ref="AK341">IF(F341=1,SUM((ROW(M0)=ROW(AK341))*(M0+M1_+M2_+M3_+M4_+M5_+M6_+M7_+M8_+M9_+M10_+M11_+M12_+M13_+M14_+M15_+M16_+M17_+M18_+M19_+M20_+M21_+M22_+M23_+M24_+M25_)),0)</f>
        <v>0</v>
      </c>
      <c r="AL341" s="27">
        <f>TableCosts[[#This Row],[N_Direct]]</f>
        <v>0</v>
      </c>
      <c r="AN341" s="7" t="str">
        <f t="shared" si="63"/>
        <v/>
      </c>
      <c r="AO341" s="7" t="str">
        <f t="shared" si="66"/>
        <v/>
      </c>
      <c r="AP341" s="7" t="str">
        <f t="shared" si="64"/>
        <v/>
      </c>
      <c r="AQ341" s="7" t="str">
        <f t="shared" si="67"/>
        <v/>
      </c>
      <c r="AR341" s="7" t="str">
        <f t="shared" si="65"/>
        <v/>
      </c>
      <c r="AS341" s="7">
        <f t="shared" si="68"/>
        <v>0</v>
      </c>
      <c r="AT341" s="17">
        <f>TableCosts[[#This Row],[N_Amount]]*TableCosts[[#This Row],[N_Tariff]]*TableCosts[[#This Row],[N_ItemsCount]]</f>
        <v>0</v>
      </c>
      <c r="AU341" s="17">
        <f>IF(F341=1,IF(TableCosts[[#This Row],[N_Kateg]]="interné práce",TableCosts[[#This Row],[N_Amount]]*8*PAR_SGA_PERHOUR,0),0)</f>
        <v>0</v>
      </c>
      <c r="AV341" s="17">
        <f>SUM(TableCosts[[#This Row],[N_Direct]:[N_SGA]])</f>
        <v>0</v>
      </c>
      <c r="AW341" s="7">
        <f>IF(F341=1,IF(D341="",NA(),VLOOKUP(C341&amp;TableCosts[[#This Row],[Calc_N_Typ]],TRAN_STRITEMS_LABEL,7,0)),0)</f>
        <v>0</v>
      </c>
      <c r="AX341" s="7">
        <f t="shared" si="69"/>
        <v>0</v>
      </c>
      <c r="AY341" s="57" t="str">
        <f t="shared" si="70"/>
        <v/>
      </c>
      <c r="AZ341" s="57" t="str">
        <f t="shared" si="71"/>
        <v/>
      </c>
      <c r="BA341" s="57" t="str">
        <f>IF(F341=1,IF(TableCosts[[#This Row],[TransferFrom]]=TableCosts[[#This Row],[TranferTo]],0,1),"")</f>
        <v/>
      </c>
      <c r="BB341" s="7">
        <f t="shared" si="72"/>
        <v>0</v>
      </c>
      <c r="BC341" s="7">
        <f t="shared" si="73"/>
        <v>0</v>
      </c>
    </row>
    <row r="342" spans="2:55" s="7" customFormat="1" ht="12.75" x14ac:dyDescent="0.2">
      <c r="B342" s="33"/>
      <c r="C342" s="31"/>
      <c r="D342" s="40"/>
      <c r="E342" s="6" t="str">
        <f>IF(F342=1,IF(ISERROR(TableCosts[[#This Row],[N_Tariff]]),Err_Message1,IF(TableCosts[[#This Row],[N_Tariff]]=0,Err_Message2,VLOOKUP(C342&amp;TableCosts[[#This Row],[Calc_N_Typ]],TRAN_STRITEMS_LABEL,5,FALSE))),"")</f>
        <v/>
      </c>
      <c r="F342" s="6">
        <f t="shared" si="74"/>
        <v>0</v>
      </c>
      <c r="G342" s="6" t="str">
        <f>IF(F342=1,IFERROR(VLOOKUP(E342,Tab_ErrMessage[],2,0),VLOOKUP(C342&amp;TableCosts[[#This Row],[Calc_N_Typ]],TRAN_STRITEMS_LABEL,4,FALSE)),"")</f>
        <v/>
      </c>
      <c r="H342" s="40"/>
      <c r="I342" s="40"/>
      <c r="J342" s="35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4"/>
      <c r="AI342" s="24"/>
      <c r="AJ342" s="24"/>
      <c r="AK342" s="38">
        <f t="array" ref="AK342">IF(F342=1,SUM((ROW(M0)=ROW(AK342))*(M0+M1_+M2_+M3_+M4_+M5_+M6_+M7_+M8_+M9_+M10_+M11_+M12_+M13_+M14_+M15_+M16_+M17_+M18_+M19_+M20_+M21_+M22_+M23_+M24_+M25_)),0)</f>
        <v>0</v>
      </c>
      <c r="AL342" s="27">
        <f>TableCosts[[#This Row],[N_Direct]]</f>
        <v>0</v>
      </c>
      <c r="AN342" s="7" t="str">
        <f t="shared" si="63"/>
        <v/>
      </c>
      <c r="AO342" s="7" t="str">
        <f t="shared" si="66"/>
        <v/>
      </c>
      <c r="AP342" s="7" t="str">
        <f t="shared" si="64"/>
        <v/>
      </c>
      <c r="AQ342" s="7" t="str">
        <f t="shared" si="67"/>
        <v/>
      </c>
      <c r="AR342" s="7" t="str">
        <f t="shared" si="65"/>
        <v/>
      </c>
      <c r="AS342" s="7">
        <f t="shared" si="68"/>
        <v>0</v>
      </c>
      <c r="AT342" s="17">
        <f>TableCosts[[#This Row],[N_Amount]]*TableCosts[[#This Row],[N_Tariff]]*TableCosts[[#This Row],[N_ItemsCount]]</f>
        <v>0</v>
      </c>
      <c r="AU342" s="17">
        <f>IF(F342=1,IF(TableCosts[[#This Row],[N_Kateg]]="interné práce",TableCosts[[#This Row],[N_Amount]]*8*PAR_SGA_PERHOUR,0),0)</f>
        <v>0</v>
      </c>
      <c r="AV342" s="17">
        <f>SUM(TableCosts[[#This Row],[N_Direct]:[N_SGA]])</f>
        <v>0</v>
      </c>
      <c r="AW342" s="7">
        <f>IF(F342=1,IF(D342="",NA(),VLOOKUP(C342&amp;TableCosts[[#This Row],[Calc_N_Typ]],TRAN_STRITEMS_LABEL,7,0)),0)</f>
        <v>0</v>
      </c>
      <c r="AX342" s="7">
        <f t="shared" si="69"/>
        <v>0</v>
      </c>
      <c r="AY342" s="57" t="str">
        <f t="shared" si="70"/>
        <v/>
      </c>
      <c r="AZ342" s="57" t="str">
        <f t="shared" si="71"/>
        <v/>
      </c>
      <c r="BA342" s="57" t="str">
        <f>IF(F342=1,IF(TableCosts[[#This Row],[TransferFrom]]=TableCosts[[#This Row],[TranferTo]],0,1),"")</f>
        <v/>
      </c>
      <c r="BB342" s="7">
        <f t="shared" si="72"/>
        <v>0</v>
      </c>
      <c r="BC342" s="7">
        <f t="shared" si="73"/>
        <v>0</v>
      </c>
    </row>
    <row r="343" spans="2:55" s="7" customFormat="1" ht="12.75" x14ac:dyDescent="0.2">
      <c r="B343" s="33"/>
      <c r="C343" s="31"/>
      <c r="D343" s="40"/>
      <c r="E343" s="6" t="str">
        <f>IF(F343=1,IF(ISERROR(TableCosts[[#This Row],[N_Tariff]]),Err_Message1,IF(TableCosts[[#This Row],[N_Tariff]]=0,Err_Message2,VLOOKUP(C343&amp;TableCosts[[#This Row],[Calc_N_Typ]],TRAN_STRITEMS_LABEL,5,FALSE))),"")</f>
        <v/>
      </c>
      <c r="F343" s="6">
        <f t="shared" si="74"/>
        <v>0</v>
      </c>
      <c r="G343" s="6" t="str">
        <f>IF(F343=1,IFERROR(VLOOKUP(E343,Tab_ErrMessage[],2,0),VLOOKUP(C343&amp;TableCosts[[#This Row],[Calc_N_Typ]],TRAN_STRITEMS_LABEL,4,FALSE)),"")</f>
        <v/>
      </c>
      <c r="H343" s="40"/>
      <c r="I343" s="40"/>
      <c r="J343" s="35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4"/>
      <c r="AI343" s="24"/>
      <c r="AJ343" s="24"/>
      <c r="AK343" s="38">
        <f t="array" ref="AK343">IF(F343=1,SUM((ROW(M0)=ROW(AK343))*(M0+M1_+M2_+M3_+M4_+M5_+M6_+M7_+M8_+M9_+M10_+M11_+M12_+M13_+M14_+M15_+M16_+M17_+M18_+M19_+M20_+M21_+M22_+M23_+M24_+M25_)),0)</f>
        <v>0</v>
      </c>
      <c r="AL343" s="27">
        <f>TableCosts[[#This Row],[N_Direct]]</f>
        <v>0</v>
      </c>
      <c r="AN343" s="7" t="str">
        <f t="shared" si="63"/>
        <v/>
      </c>
      <c r="AO343" s="7" t="str">
        <f t="shared" si="66"/>
        <v/>
      </c>
      <c r="AP343" s="7" t="str">
        <f t="shared" si="64"/>
        <v/>
      </c>
      <c r="AQ343" s="7" t="str">
        <f t="shared" si="67"/>
        <v/>
      </c>
      <c r="AR343" s="7" t="str">
        <f t="shared" si="65"/>
        <v/>
      </c>
      <c r="AS343" s="7">
        <f t="shared" si="68"/>
        <v>0</v>
      </c>
      <c r="AT343" s="17">
        <f>TableCosts[[#This Row],[N_Amount]]*TableCosts[[#This Row],[N_Tariff]]*TableCosts[[#This Row],[N_ItemsCount]]</f>
        <v>0</v>
      </c>
      <c r="AU343" s="17">
        <f>IF(F343=1,IF(TableCosts[[#This Row],[N_Kateg]]="interné práce",TableCosts[[#This Row],[N_Amount]]*8*PAR_SGA_PERHOUR,0),0)</f>
        <v>0</v>
      </c>
      <c r="AV343" s="17">
        <f>SUM(TableCosts[[#This Row],[N_Direct]:[N_SGA]])</f>
        <v>0</v>
      </c>
      <c r="AW343" s="7">
        <f>IF(F343=1,IF(D343="",NA(),VLOOKUP(C343&amp;TableCosts[[#This Row],[Calc_N_Typ]],TRAN_STRITEMS_LABEL,7,0)),0)</f>
        <v>0</v>
      </c>
      <c r="AX343" s="7">
        <f t="shared" si="69"/>
        <v>0</v>
      </c>
      <c r="AY343" s="57" t="str">
        <f t="shared" si="70"/>
        <v/>
      </c>
      <c r="AZ343" s="57" t="str">
        <f t="shared" si="71"/>
        <v/>
      </c>
      <c r="BA343" s="57" t="str">
        <f>IF(F343=1,IF(TableCosts[[#This Row],[TransferFrom]]=TableCosts[[#This Row],[TranferTo]],0,1),"")</f>
        <v/>
      </c>
      <c r="BB343" s="7">
        <f t="shared" si="72"/>
        <v>0</v>
      </c>
      <c r="BC343" s="7">
        <f t="shared" si="73"/>
        <v>0</v>
      </c>
    </row>
    <row r="344" spans="2:55" s="7" customFormat="1" ht="12.75" x14ac:dyDescent="0.2">
      <c r="B344" s="33"/>
      <c r="C344" s="31"/>
      <c r="D344" s="40"/>
      <c r="E344" s="6" t="str">
        <f>IF(F344=1,IF(ISERROR(TableCosts[[#This Row],[N_Tariff]]),Err_Message1,IF(TableCosts[[#This Row],[N_Tariff]]=0,Err_Message2,VLOOKUP(C344&amp;TableCosts[[#This Row],[Calc_N_Typ]],TRAN_STRITEMS_LABEL,5,FALSE))),"")</f>
        <v/>
      </c>
      <c r="F344" s="6">
        <f t="shared" si="74"/>
        <v>0</v>
      </c>
      <c r="G344" s="6" t="str">
        <f>IF(F344=1,IFERROR(VLOOKUP(E344,Tab_ErrMessage[],2,0),VLOOKUP(C344&amp;TableCosts[[#This Row],[Calc_N_Typ]],TRAN_STRITEMS_LABEL,4,FALSE)),"")</f>
        <v/>
      </c>
      <c r="H344" s="40"/>
      <c r="I344" s="40"/>
      <c r="J344" s="35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4"/>
      <c r="AI344" s="24"/>
      <c r="AJ344" s="24"/>
      <c r="AK344" s="38">
        <f t="array" ref="AK344">IF(F344=1,SUM((ROW(M0)=ROW(AK344))*(M0+M1_+M2_+M3_+M4_+M5_+M6_+M7_+M8_+M9_+M10_+M11_+M12_+M13_+M14_+M15_+M16_+M17_+M18_+M19_+M20_+M21_+M22_+M23_+M24_+M25_)),0)</f>
        <v>0</v>
      </c>
      <c r="AL344" s="27">
        <f>TableCosts[[#This Row],[N_Direct]]</f>
        <v>0</v>
      </c>
      <c r="AN344" s="7" t="str">
        <f t="shared" si="63"/>
        <v/>
      </c>
      <c r="AO344" s="7" t="str">
        <f t="shared" si="66"/>
        <v/>
      </c>
      <c r="AP344" s="7" t="str">
        <f t="shared" si="64"/>
        <v/>
      </c>
      <c r="AQ344" s="7" t="str">
        <f t="shared" si="67"/>
        <v/>
      </c>
      <c r="AR344" s="7" t="str">
        <f t="shared" si="65"/>
        <v/>
      </c>
      <c r="AS344" s="7">
        <f t="shared" si="68"/>
        <v>0</v>
      </c>
      <c r="AT344" s="17">
        <f>TableCosts[[#This Row],[N_Amount]]*TableCosts[[#This Row],[N_Tariff]]*TableCosts[[#This Row],[N_ItemsCount]]</f>
        <v>0</v>
      </c>
      <c r="AU344" s="17">
        <f>IF(F344=1,IF(TableCosts[[#This Row],[N_Kateg]]="interné práce",TableCosts[[#This Row],[N_Amount]]*8*PAR_SGA_PERHOUR,0),0)</f>
        <v>0</v>
      </c>
      <c r="AV344" s="17">
        <f>SUM(TableCosts[[#This Row],[N_Direct]:[N_SGA]])</f>
        <v>0</v>
      </c>
      <c r="AW344" s="7">
        <f>IF(F344=1,IF(D344="",NA(),VLOOKUP(C344&amp;TableCosts[[#This Row],[Calc_N_Typ]],TRAN_STRITEMS_LABEL,7,0)),0)</f>
        <v>0</v>
      </c>
      <c r="AX344" s="7">
        <f t="shared" si="69"/>
        <v>0</v>
      </c>
      <c r="AY344" s="57" t="str">
        <f t="shared" si="70"/>
        <v/>
      </c>
      <c r="AZ344" s="57" t="str">
        <f t="shared" si="71"/>
        <v/>
      </c>
      <c r="BA344" s="57" t="str">
        <f>IF(F344=1,IF(TableCosts[[#This Row],[TransferFrom]]=TableCosts[[#This Row],[TranferTo]],0,1),"")</f>
        <v/>
      </c>
      <c r="BB344" s="7">
        <f t="shared" si="72"/>
        <v>0</v>
      </c>
      <c r="BC344" s="7">
        <f t="shared" si="73"/>
        <v>0</v>
      </c>
    </row>
    <row r="345" spans="2:55" s="7" customFormat="1" ht="12.75" x14ac:dyDescent="0.2">
      <c r="B345" s="33"/>
      <c r="C345" s="31"/>
      <c r="D345" s="40"/>
      <c r="E345" s="6" t="str">
        <f>IF(F345=1,IF(ISERROR(TableCosts[[#This Row],[N_Tariff]]),Err_Message1,IF(TableCosts[[#This Row],[N_Tariff]]=0,Err_Message2,VLOOKUP(C345&amp;TableCosts[[#This Row],[Calc_N_Typ]],TRAN_STRITEMS_LABEL,5,FALSE))),"")</f>
        <v/>
      </c>
      <c r="F345" s="6">
        <f t="shared" si="74"/>
        <v>0</v>
      </c>
      <c r="G345" s="6" t="str">
        <f>IF(F345=1,IFERROR(VLOOKUP(E345,Tab_ErrMessage[],2,0),VLOOKUP(C345&amp;TableCosts[[#This Row],[Calc_N_Typ]],TRAN_STRITEMS_LABEL,4,FALSE)),"")</f>
        <v/>
      </c>
      <c r="H345" s="40"/>
      <c r="I345" s="40"/>
      <c r="J345" s="35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4"/>
      <c r="AI345" s="24"/>
      <c r="AJ345" s="24"/>
      <c r="AK345" s="38">
        <f t="array" ref="AK345">IF(F345=1,SUM((ROW(M0)=ROW(AK345))*(M0+M1_+M2_+M3_+M4_+M5_+M6_+M7_+M8_+M9_+M10_+M11_+M12_+M13_+M14_+M15_+M16_+M17_+M18_+M19_+M20_+M21_+M22_+M23_+M24_+M25_)),0)</f>
        <v>0</v>
      </c>
      <c r="AL345" s="27">
        <f>TableCosts[[#This Row],[N_Direct]]</f>
        <v>0</v>
      </c>
      <c r="AN345" s="7" t="str">
        <f t="shared" si="63"/>
        <v/>
      </c>
      <c r="AO345" s="7" t="str">
        <f t="shared" si="66"/>
        <v/>
      </c>
      <c r="AP345" s="7" t="str">
        <f t="shared" si="64"/>
        <v/>
      </c>
      <c r="AQ345" s="7" t="str">
        <f t="shared" si="67"/>
        <v/>
      </c>
      <c r="AR345" s="7" t="str">
        <f t="shared" si="65"/>
        <v/>
      </c>
      <c r="AS345" s="7">
        <f t="shared" si="68"/>
        <v>0</v>
      </c>
      <c r="AT345" s="17">
        <f>TableCosts[[#This Row],[N_Amount]]*TableCosts[[#This Row],[N_Tariff]]*TableCosts[[#This Row],[N_ItemsCount]]</f>
        <v>0</v>
      </c>
      <c r="AU345" s="17">
        <f>IF(F345=1,IF(TableCosts[[#This Row],[N_Kateg]]="interné práce",TableCosts[[#This Row],[N_Amount]]*8*PAR_SGA_PERHOUR,0),0)</f>
        <v>0</v>
      </c>
      <c r="AV345" s="17">
        <f>SUM(TableCosts[[#This Row],[N_Direct]:[N_SGA]])</f>
        <v>0</v>
      </c>
      <c r="AW345" s="7">
        <f>IF(F345=1,IF(D345="",NA(),VLOOKUP(C345&amp;TableCosts[[#This Row],[Calc_N_Typ]],TRAN_STRITEMS_LABEL,7,0)),0)</f>
        <v>0</v>
      </c>
      <c r="AX345" s="7">
        <f t="shared" si="69"/>
        <v>0</v>
      </c>
      <c r="AY345" s="57" t="str">
        <f t="shared" si="70"/>
        <v/>
      </c>
      <c r="AZ345" s="57" t="str">
        <f t="shared" si="71"/>
        <v/>
      </c>
      <c r="BA345" s="57" t="str">
        <f>IF(F345=1,IF(TableCosts[[#This Row],[TransferFrom]]=TableCosts[[#This Row],[TranferTo]],0,1),"")</f>
        <v/>
      </c>
      <c r="BB345" s="7">
        <f t="shared" si="72"/>
        <v>0</v>
      </c>
      <c r="BC345" s="7">
        <f t="shared" si="73"/>
        <v>0</v>
      </c>
    </row>
    <row r="346" spans="2:55" s="7" customFormat="1" ht="12.75" x14ac:dyDescent="0.2">
      <c r="B346" s="33"/>
      <c r="C346" s="31"/>
      <c r="D346" s="40"/>
      <c r="E346" s="6" t="str">
        <f>IF(F346=1,IF(ISERROR(TableCosts[[#This Row],[N_Tariff]]),Err_Message1,IF(TableCosts[[#This Row],[N_Tariff]]=0,Err_Message2,VLOOKUP(C346&amp;TableCosts[[#This Row],[Calc_N_Typ]],TRAN_STRITEMS_LABEL,5,FALSE))),"")</f>
        <v/>
      </c>
      <c r="F346" s="6">
        <f t="shared" si="74"/>
        <v>0</v>
      </c>
      <c r="G346" s="6" t="str">
        <f>IF(F346=1,IFERROR(VLOOKUP(E346,Tab_ErrMessage[],2,0),VLOOKUP(C346&amp;TableCosts[[#This Row],[Calc_N_Typ]],TRAN_STRITEMS_LABEL,4,FALSE)),"")</f>
        <v/>
      </c>
      <c r="H346" s="40"/>
      <c r="I346" s="40"/>
      <c r="J346" s="35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4"/>
      <c r="AI346" s="24"/>
      <c r="AJ346" s="24"/>
      <c r="AK346" s="38">
        <f t="array" ref="AK346">IF(F346=1,SUM((ROW(M0)=ROW(AK346))*(M0+M1_+M2_+M3_+M4_+M5_+M6_+M7_+M8_+M9_+M10_+M11_+M12_+M13_+M14_+M15_+M16_+M17_+M18_+M19_+M20_+M21_+M22_+M23_+M24_+M25_)),0)</f>
        <v>0</v>
      </c>
      <c r="AL346" s="27">
        <f>TableCosts[[#This Row],[N_Direct]]</f>
        <v>0</v>
      </c>
      <c r="AN346" s="7" t="str">
        <f t="shared" si="63"/>
        <v/>
      </c>
      <c r="AO346" s="7" t="str">
        <f t="shared" si="66"/>
        <v/>
      </c>
      <c r="AP346" s="7" t="str">
        <f t="shared" si="64"/>
        <v/>
      </c>
      <c r="AQ346" s="7" t="str">
        <f t="shared" si="67"/>
        <v/>
      </c>
      <c r="AR346" s="7" t="str">
        <f t="shared" si="65"/>
        <v/>
      </c>
      <c r="AS346" s="7">
        <f t="shared" si="68"/>
        <v>0</v>
      </c>
      <c r="AT346" s="17">
        <f>TableCosts[[#This Row],[N_Amount]]*TableCosts[[#This Row],[N_Tariff]]*TableCosts[[#This Row],[N_ItemsCount]]</f>
        <v>0</v>
      </c>
      <c r="AU346" s="17">
        <f>IF(F346=1,IF(TableCosts[[#This Row],[N_Kateg]]="interné práce",TableCosts[[#This Row],[N_Amount]]*8*PAR_SGA_PERHOUR,0),0)</f>
        <v>0</v>
      </c>
      <c r="AV346" s="17">
        <f>SUM(TableCosts[[#This Row],[N_Direct]:[N_SGA]])</f>
        <v>0</v>
      </c>
      <c r="AW346" s="7">
        <f>IF(F346=1,IF(D346="",NA(),VLOOKUP(C346&amp;TableCosts[[#This Row],[Calc_N_Typ]],TRAN_STRITEMS_LABEL,7,0)),0)</f>
        <v>0</v>
      </c>
      <c r="AX346" s="7">
        <f t="shared" si="69"/>
        <v>0</v>
      </c>
      <c r="AY346" s="57" t="str">
        <f t="shared" si="70"/>
        <v/>
      </c>
      <c r="AZ346" s="57" t="str">
        <f t="shared" si="71"/>
        <v/>
      </c>
      <c r="BA346" s="57" t="str">
        <f>IF(F346=1,IF(TableCosts[[#This Row],[TransferFrom]]=TableCosts[[#This Row],[TranferTo]],0,1),"")</f>
        <v/>
      </c>
      <c r="BB346" s="7">
        <f t="shared" si="72"/>
        <v>0</v>
      </c>
      <c r="BC346" s="7">
        <f t="shared" si="73"/>
        <v>0</v>
      </c>
    </row>
    <row r="347" spans="2:55" s="7" customFormat="1" ht="12.75" x14ac:dyDescent="0.2">
      <c r="B347" s="33"/>
      <c r="C347" s="31"/>
      <c r="D347" s="40"/>
      <c r="E347" s="6" t="str">
        <f>IF(F347=1,IF(ISERROR(TableCosts[[#This Row],[N_Tariff]]),Err_Message1,IF(TableCosts[[#This Row],[N_Tariff]]=0,Err_Message2,VLOOKUP(C347&amp;TableCosts[[#This Row],[Calc_N_Typ]],TRAN_STRITEMS_LABEL,5,FALSE))),"")</f>
        <v/>
      </c>
      <c r="F347" s="6">
        <f t="shared" si="74"/>
        <v>0</v>
      </c>
      <c r="G347" s="6" t="str">
        <f>IF(F347=1,IFERROR(VLOOKUP(E347,Tab_ErrMessage[],2,0),VLOOKUP(C347&amp;TableCosts[[#This Row],[Calc_N_Typ]],TRAN_STRITEMS_LABEL,4,FALSE)),"")</f>
        <v/>
      </c>
      <c r="H347" s="40"/>
      <c r="I347" s="40"/>
      <c r="J347" s="35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4"/>
      <c r="AI347" s="24"/>
      <c r="AJ347" s="24"/>
      <c r="AK347" s="38">
        <f t="array" ref="AK347">IF(F347=1,SUM((ROW(M0)=ROW(AK347))*(M0+M1_+M2_+M3_+M4_+M5_+M6_+M7_+M8_+M9_+M10_+M11_+M12_+M13_+M14_+M15_+M16_+M17_+M18_+M19_+M20_+M21_+M22_+M23_+M24_+M25_)),0)</f>
        <v>0</v>
      </c>
      <c r="AL347" s="27">
        <f>TableCosts[[#This Row],[N_Direct]]</f>
        <v>0</v>
      </c>
      <c r="AN347" s="7" t="str">
        <f t="shared" si="63"/>
        <v/>
      </c>
      <c r="AO347" s="7" t="str">
        <f t="shared" si="66"/>
        <v/>
      </c>
      <c r="AP347" s="7" t="str">
        <f t="shared" si="64"/>
        <v/>
      </c>
      <c r="AQ347" s="7" t="str">
        <f t="shared" si="67"/>
        <v/>
      </c>
      <c r="AR347" s="7" t="str">
        <f t="shared" si="65"/>
        <v/>
      </c>
      <c r="AS347" s="7">
        <f t="shared" si="68"/>
        <v>0</v>
      </c>
      <c r="AT347" s="17">
        <f>TableCosts[[#This Row],[N_Amount]]*TableCosts[[#This Row],[N_Tariff]]*TableCosts[[#This Row],[N_ItemsCount]]</f>
        <v>0</v>
      </c>
      <c r="AU347" s="17">
        <f>IF(F347=1,IF(TableCosts[[#This Row],[N_Kateg]]="interné práce",TableCosts[[#This Row],[N_Amount]]*8*PAR_SGA_PERHOUR,0),0)</f>
        <v>0</v>
      </c>
      <c r="AV347" s="17">
        <f>SUM(TableCosts[[#This Row],[N_Direct]:[N_SGA]])</f>
        <v>0</v>
      </c>
      <c r="AW347" s="7">
        <f>IF(F347=1,IF(D347="",NA(),VLOOKUP(C347&amp;TableCosts[[#This Row],[Calc_N_Typ]],TRAN_STRITEMS_LABEL,7,0)),0)</f>
        <v>0</v>
      </c>
      <c r="AX347" s="7">
        <f t="shared" si="69"/>
        <v>0</v>
      </c>
      <c r="AY347" s="57" t="str">
        <f t="shared" si="70"/>
        <v/>
      </c>
      <c r="AZ347" s="57" t="str">
        <f t="shared" si="71"/>
        <v/>
      </c>
      <c r="BA347" s="57" t="str">
        <f>IF(F347=1,IF(TableCosts[[#This Row],[TransferFrom]]=TableCosts[[#This Row],[TranferTo]],0,1),"")</f>
        <v/>
      </c>
      <c r="BB347" s="7">
        <f t="shared" si="72"/>
        <v>0</v>
      </c>
      <c r="BC347" s="7">
        <f t="shared" si="73"/>
        <v>0</v>
      </c>
    </row>
    <row r="348" spans="2:55" s="7" customFormat="1" ht="12.75" x14ac:dyDescent="0.2">
      <c r="B348" s="33"/>
      <c r="C348" s="31"/>
      <c r="D348" s="40"/>
      <c r="E348" s="6" t="str">
        <f>IF(F348=1,IF(ISERROR(TableCosts[[#This Row],[N_Tariff]]),Err_Message1,IF(TableCosts[[#This Row],[N_Tariff]]=0,Err_Message2,VLOOKUP(C348&amp;TableCosts[[#This Row],[Calc_N_Typ]],TRAN_STRITEMS_LABEL,5,FALSE))),"")</f>
        <v/>
      </c>
      <c r="F348" s="6">
        <f t="shared" si="74"/>
        <v>0</v>
      </c>
      <c r="G348" s="6" t="str">
        <f>IF(F348=1,IFERROR(VLOOKUP(E348,Tab_ErrMessage[],2,0),VLOOKUP(C348&amp;TableCosts[[#This Row],[Calc_N_Typ]],TRAN_STRITEMS_LABEL,4,FALSE)),"")</f>
        <v/>
      </c>
      <c r="H348" s="40"/>
      <c r="I348" s="40"/>
      <c r="J348" s="35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4"/>
      <c r="AI348" s="24"/>
      <c r="AJ348" s="24"/>
      <c r="AK348" s="38">
        <f t="array" ref="AK348">IF(F348=1,SUM((ROW(M0)=ROW(AK348))*(M0+M1_+M2_+M3_+M4_+M5_+M6_+M7_+M8_+M9_+M10_+M11_+M12_+M13_+M14_+M15_+M16_+M17_+M18_+M19_+M20_+M21_+M22_+M23_+M24_+M25_)),0)</f>
        <v>0</v>
      </c>
      <c r="AL348" s="27">
        <f>TableCosts[[#This Row],[N_Direct]]</f>
        <v>0</v>
      </c>
      <c r="AN348" s="7" t="str">
        <f t="shared" si="63"/>
        <v/>
      </c>
      <c r="AO348" s="7" t="str">
        <f t="shared" si="66"/>
        <v/>
      </c>
      <c r="AP348" s="7" t="str">
        <f t="shared" si="64"/>
        <v/>
      </c>
      <c r="AQ348" s="7" t="str">
        <f t="shared" si="67"/>
        <v/>
      </c>
      <c r="AR348" s="7" t="str">
        <f t="shared" si="65"/>
        <v/>
      </c>
      <c r="AS348" s="7">
        <f t="shared" si="68"/>
        <v>0</v>
      </c>
      <c r="AT348" s="17">
        <f>TableCosts[[#This Row],[N_Amount]]*TableCosts[[#This Row],[N_Tariff]]*TableCosts[[#This Row],[N_ItemsCount]]</f>
        <v>0</v>
      </c>
      <c r="AU348" s="17">
        <f>IF(F348=1,IF(TableCosts[[#This Row],[N_Kateg]]="interné práce",TableCosts[[#This Row],[N_Amount]]*8*PAR_SGA_PERHOUR,0),0)</f>
        <v>0</v>
      </c>
      <c r="AV348" s="17">
        <f>SUM(TableCosts[[#This Row],[N_Direct]:[N_SGA]])</f>
        <v>0</v>
      </c>
      <c r="AW348" s="7">
        <f>IF(F348=1,IF(D348="",NA(),VLOOKUP(C348&amp;TableCosts[[#This Row],[Calc_N_Typ]],TRAN_STRITEMS_LABEL,7,0)),0)</f>
        <v>0</v>
      </c>
      <c r="AX348" s="7">
        <f t="shared" si="69"/>
        <v>0</v>
      </c>
      <c r="AY348" s="57" t="str">
        <f t="shared" si="70"/>
        <v/>
      </c>
      <c r="AZ348" s="57" t="str">
        <f t="shared" si="71"/>
        <v/>
      </c>
      <c r="BA348" s="57" t="str">
        <f>IF(F348=1,IF(TableCosts[[#This Row],[TransferFrom]]=TableCosts[[#This Row],[TranferTo]],0,1),"")</f>
        <v/>
      </c>
      <c r="BB348" s="7">
        <f t="shared" si="72"/>
        <v>0</v>
      </c>
      <c r="BC348" s="7">
        <f t="shared" si="73"/>
        <v>0</v>
      </c>
    </row>
    <row r="349" spans="2:55" s="7" customFormat="1" ht="12.75" x14ac:dyDescent="0.2">
      <c r="B349" s="33"/>
      <c r="C349" s="31"/>
      <c r="D349" s="40"/>
      <c r="E349" s="6" t="str">
        <f>IF(F349=1,IF(ISERROR(TableCosts[[#This Row],[N_Tariff]]),Err_Message1,IF(TableCosts[[#This Row],[N_Tariff]]=0,Err_Message2,VLOOKUP(C349&amp;TableCosts[[#This Row],[Calc_N_Typ]],TRAN_STRITEMS_LABEL,5,FALSE))),"")</f>
        <v/>
      </c>
      <c r="F349" s="6">
        <f t="shared" si="74"/>
        <v>0</v>
      </c>
      <c r="G349" s="6" t="str">
        <f>IF(F349=1,IFERROR(VLOOKUP(E349,Tab_ErrMessage[],2,0),VLOOKUP(C349&amp;TableCosts[[#This Row],[Calc_N_Typ]],TRAN_STRITEMS_LABEL,4,FALSE)),"")</f>
        <v/>
      </c>
      <c r="H349" s="40"/>
      <c r="I349" s="40"/>
      <c r="J349" s="35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4"/>
      <c r="AI349" s="24"/>
      <c r="AJ349" s="24"/>
      <c r="AK349" s="38">
        <f t="array" ref="AK349">IF(F349=1,SUM((ROW(M0)=ROW(AK349))*(M0+M1_+M2_+M3_+M4_+M5_+M6_+M7_+M8_+M9_+M10_+M11_+M12_+M13_+M14_+M15_+M16_+M17_+M18_+M19_+M20_+M21_+M22_+M23_+M24_+M25_)),0)</f>
        <v>0</v>
      </c>
      <c r="AL349" s="27">
        <f>TableCosts[[#This Row],[N_Direct]]</f>
        <v>0</v>
      </c>
      <c r="AN349" s="7" t="str">
        <f t="shared" si="63"/>
        <v/>
      </c>
      <c r="AO349" s="7" t="str">
        <f t="shared" si="66"/>
        <v/>
      </c>
      <c r="AP349" s="7" t="str">
        <f t="shared" si="64"/>
        <v/>
      </c>
      <c r="AQ349" s="7" t="str">
        <f t="shared" si="67"/>
        <v/>
      </c>
      <c r="AR349" s="7" t="str">
        <f t="shared" si="65"/>
        <v/>
      </c>
      <c r="AS349" s="7">
        <f t="shared" si="68"/>
        <v>0</v>
      </c>
      <c r="AT349" s="17">
        <f>TableCosts[[#This Row],[N_Amount]]*TableCosts[[#This Row],[N_Tariff]]*TableCosts[[#This Row],[N_ItemsCount]]</f>
        <v>0</v>
      </c>
      <c r="AU349" s="17">
        <f>IF(F349=1,IF(TableCosts[[#This Row],[N_Kateg]]="interné práce",TableCosts[[#This Row],[N_Amount]]*8*PAR_SGA_PERHOUR,0),0)</f>
        <v>0</v>
      </c>
      <c r="AV349" s="17">
        <f>SUM(TableCosts[[#This Row],[N_Direct]:[N_SGA]])</f>
        <v>0</v>
      </c>
      <c r="AW349" s="7">
        <f>IF(F349=1,IF(D349="",NA(),VLOOKUP(C349&amp;TableCosts[[#This Row],[Calc_N_Typ]],TRAN_STRITEMS_LABEL,7,0)),0)</f>
        <v>0</v>
      </c>
      <c r="AX349" s="7">
        <f t="shared" si="69"/>
        <v>0</v>
      </c>
      <c r="AY349" s="57" t="str">
        <f t="shared" si="70"/>
        <v/>
      </c>
      <c r="AZ349" s="57" t="str">
        <f t="shared" si="71"/>
        <v/>
      </c>
      <c r="BA349" s="57" t="str">
        <f>IF(F349=1,IF(TableCosts[[#This Row],[TransferFrom]]=TableCosts[[#This Row],[TranferTo]],0,1),"")</f>
        <v/>
      </c>
      <c r="BB349" s="7">
        <f t="shared" si="72"/>
        <v>0</v>
      </c>
      <c r="BC349" s="7">
        <f t="shared" si="73"/>
        <v>0</v>
      </c>
    </row>
    <row r="350" spans="2:55" s="7" customFormat="1" ht="12.75" x14ac:dyDescent="0.2">
      <c r="B350" s="33"/>
      <c r="C350" s="31"/>
      <c r="D350" s="40"/>
      <c r="E350" s="6" t="str">
        <f>IF(F350=1,IF(ISERROR(TableCosts[[#This Row],[N_Tariff]]),Err_Message1,IF(TableCosts[[#This Row],[N_Tariff]]=0,Err_Message2,VLOOKUP(C350&amp;TableCosts[[#This Row],[Calc_N_Typ]],TRAN_STRITEMS_LABEL,5,FALSE))),"")</f>
        <v/>
      </c>
      <c r="F350" s="6">
        <f t="shared" si="74"/>
        <v>0</v>
      </c>
      <c r="G350" s="6" t="str">
        <f>IF(F350=1,IFERROR(VLOOKUP(E350,Tab_ErrMessage[],2,0),VLOOKUP(C350&amp;TableCosts[[#This Row],[Calc_N_Typ]],TRAN_STRITEMS_LABEL,4,FALSE)),"")</f>
        <v/>
      </c>
      <c r="H350" s="40"/>
      <c r="I350" s="40"/>
      <c r="J350" s="35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4"/>
      <c r="AI350" s="24"/>
      <c r="AJ350" s="24"/>
      <c r="AK350" s="38">
        <f t="array" ref="AK350">IF(F350=1,SUM((ROW(M0)=ROW(AK350))*(M0+M1_+M2_+M3_+M4_+M5_+M6_+M7_+M8_+M9_+M10_+M11_+M12_+M13_+M14_+M15_+M16_+M17_+M18_+M19_+M20_+M21_+M22_+M23_+M24_+M25_)),0)</f>
        <v>0</v>
      </c>
      <c r="AL350" s="27">
        <f>TableCosts[[#This Row],[N_Direct]]</f>
        <v>0</v>
      </c>
      <c r="AN350" s="7" t="str">
        <f t="shared" si="63"/>
        <v/>
      </c>
      <c r="AO350" s="7" t="str">
        <f t="shared" si="66"/>
        <v/>
      </c>
      <c r="AP350" s="7" t="str">
        <f t="shared" si="64"/>
        <v/>
      </c>
      <c r="AQ350" s="7" t="str">
        <f t="shared" si="67"/>
        <v/>
      </c>
      <c r="AR350" s="7" t="str">
        <f t="shared" si="65"/>
        <v/>
      </c>
      <c r="AS350" s="7">
        <f t="shared" si="68"/>
        <v>0</v>
      </c>
      <c r="AT350" s="17">
        <f>TableCosts[[#This Row],[N_Amount]]*TableCosts[[#This Row],[N_Tariff]]*TableCosts[[#This Row],[N_ItemsCount]]</f>
        <v>0</v>
      </c>
      <c r="AU350" s="17">
        <f>IF(F350=1,IF(TableCosts[[#This Row],[N_Kateg]]="interné práce",TableCosts[[#This Row],[N_Amount]]*8*PAR_SGA_PERHOUR,0),0)</f>
        <v>0</v>
      </c>
      <c r="AV350" s="17">
        <f>SUM(TableCosts[[#This Row],[N_Direct]:[N_SGA]])</f>
        <v>0</v>
      </c>
      <c r="AW350" s="7">
        <f>IF(F350=1,IF(D350="",NA(),VLOOKUP(C350&amp;TableCosts[[#This Row],[Calc_N_Typ]],TRAN_STRITEMS_LABEL,7,0)),0)</f>
        <v>0</v>
      </c>
      <c r="AX350" s="7">
        <f t="shared" si="69"/>
        <v>0</v>
      </c>
      <c r="AY350" s="57" t="str">
        <f t="shared" si="70"/>
        <v/>
      </c>
      <c r="AZ350" s="57" t="str">
        <f t="shared" si="71"/>
        <v/>
      </c>
      <c r="BA350" s="57" t="str">
        <f>IF(F350=1,IF(TableCosts[[#This Row],[TransferFrom]]=TableCosts[[#This Row],[TranferTo]],0,1),"")</f>
        <v/>
      </c>
      <c r="BB350" s="7">
        <f t="shared" si="72"/>
        <v>0</v>
      </c>
      <c r="BC350" s="7">
        <f t="shared" si="73"/>
        <v>0</v>
      </c>
    </row>
    <row r="351" spans="2:55" s="7" customFormat="1" ht="12.75" x14ac:dyDescent="0.2">
      <c r="B351" s="33"/>
      <c r="C351" s="31"/>
      <c r="D351" s="40"/>
      <c r="E351" s="6" t="str">
        <f>IF(F351=1,IF(ISERROR(TableCosts[[#This Row],[N_Tariff]]),Err_Message1,IF(TableCosts[[#This Row],[N_Tariff]]=0,Err_Message2,VLOOKUP(C351&amp;TableCosts[[#This Row],[Calc_N_Typ]],TRAN_STRITEMS_LABEL,5,FALSE))),"")</f>
        <v/>
      </c>
      <c r="F351" s="6">
        <f t="shared" si="74"/>
        <v>0</v>
      </c>
      <c r="G351" s="6" t="str">
        <f>IF(F351=1,IFERROR(VLOOKUP(E351,Tab_ErrMessage[],2,0),VLOOKUP(C351&amp;TableCosts[[#This Row],[Calc_N_Typ]],TRAN_STRITEMS_LABEL,4,FALSE)),"")</f>
        <v/>
      </c>
      <c r="H351" s="40"/>
      <c r="I351" s="40"/>
      <c r="J351" s="35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4"/>
      <c r="AI351" s="24"/>
      <c r="AJ351" s="24"/>
      <c r="AK351" s="38">
        <f t="array" ref="AK351">IF(F351=1,SUM((ROW(M0)=ROW(AK351))*(M0+M1_+M2_+M3_+M4_+M5_+M6_+M7_+M8_+M9_+M10_+M11_+M12_+M13_+M14_+M15_+M16_+M17_+M18_+M19_+M20_+M21_+M22_+M23_+M24_+M25_)),0)</f>
        <v>0</v>
      </c>
      <c r="AL351" s="27">
        <f>TableCosts[[#This Row],[N_Direct]]</f>
        <v>0</v>
      </c>
      <c r="AN351" s="7" t="str">
        <f t="shared" si="63"/>
        <v/>
      </c>
      <c r="AO351" s="7" t="str">
        <f t="shared" si="66"/>
        <v/>
      </c>
      <c r="AP351" s="7" t="str">
        <f t="shared" si="64"/>
        <v/>
      </c>
      <c r="AQ351" s="7" t="str">
        <f t="shared" si="67"/>
        <v/>
      </c>
      <c r="AR351" s="7" t="str">
        <f t="shared" si="65"/>
        <v/>
      </c>
      <c r="AS351" s="7">
        <f t="shared" si="68"/>
        <v>0</v>
      </c>
      <c r="AT351" s="17">
        <f>TableCosts[[#This Row],[N_Amount]]*TableCosts[[#This Row],[N_Tariff]]*TableCosts[[#This Row],[N_ItemsCount]]</f>
        <v>0</v>
      </c>
      <c r="AU351" s="17">
        <f>IF(F351=1,IF(TableCosts[[#This Row],[N_Kateg]]="interné práce",TableCosts[[#This Row],[N_Amount]]*8*PAR_SGA_PERHOUR,0),0)</f>
        <v>0</v>
      </c>
      <c r="AV351" s="17">
        <f>SUM(TableCosts[[#This Row],[N_Direct]:[N_SGA]])</f>
        <v>0</v>
      </c>
      <c r="AW351" s="7">
        <f>IF(F351=1,IF(D351="",NA(),VLOOKUP(C351&amp;TableCosts[[#This Row],[Calc_N_Typ]],TRAN_STRITEMS_LABEL,7,0)),0)</f>
        <v>0</v>
      </c>
      <c r="AX351" s="7">
        <f t="shared" si="69"/>
        <v>0</v>
      </c>
      <c r="AY351" s="57" t="str">
        <f t="shared" si="70"/>
        <v/>
      </c>
      <c r="AZ351" s="57" t="str">
        <f t="shared" si="71"/>
        <v/>
      </c>
      <c r="BA351" s="57" t="str">
        <f>IF(F351=1,IF(TableCosts[[#This Row],[TransferFrom]]=TableCosts[[#This Row],[TranferTo]],0,1),"")</f>
        <v/>
      </c>
      <c r="BB351" s="7">
        <f t="shared" si="72"/>
        <v>0</v>
      </c>
      <c r="BC351" s="7">
        <f t="shared" si="73"/>
        <v>0</v>
      </c>
    </row>
    <row r="352" spans="2:55" s="7" customFormat="1" ht="12.75" x14ac:dyDescent="0.2">
      <c r="B352" s="33"/>
      <c r="C352" s="31"/>
      <c r="D352" s="40"/>
      <c r="E352" s="6" t="str">
        <f>IF(F352=1,IF(ISERROR(TableCosts[[#This Row],[N_Tariff]]),Err_Message1,IF(TableCosts[[#This Row],[N_Tariff]]=0,Err_Message2,VLOOKUP(C352&amp;TableCosts[[#This Row],[Calc_N_Typ]],TRAN_STRITEMS_LABEL,5,FALSE))),"")</f>
        <v/>
      </c>
      <c r="F352" s="6">
        <f t="shared" si="74"/>
        <v>0</v>
      </c>
      <c r="G352" s="6" t="str">
        <f>IF(F352=1,IFERROR(VLOOKUP(E352,Tab_ErrMessage[],2,0),VLOOKUP(C352&amp;TableCosts[[#This Row],[Calc_N_Typ]],TRAN_STRITEMS_LABEL,4,FALSE)),"")</f>
        <v/>
      </c>
      <c r="H352" s="40"/>
      <c r="I352" s="40"/>
      <c r="J352" s="35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4"/>
      <c r="AI352" s="24"/>
      <c r="AJ352" s="24"/>
      <c r="AK352" s="38">
        <f t="array" ref="AK352">IF(F352=1,SUM((ROW(M0)=ROW(AK352))*(M0+M1_+M2_+M3_+M4_+M5_+M6_+M7_+M8_+M9_+M10_+M11_+M12_+M13_+M14_+M15_+M16_+M17_+M18_+M19_+M20_+M21_+M22_+M23_+M24_+M25_)),0)</f>
        <v>0</v>
      </c>
      <c r="AL352" s="27">
        <f>TableCosts[[#This Row],[N_Direct]]</f>
        <v>0</v>
      </c>
      <c r="AN352" s="7" t="str">
        <f t="shared" si="63"/>
        <v/>
      </c>
      <c r="AO352" s="7" t="str">
        <f t="shared" si="66"/>
        <v/>
      </c>
      <c r="AP352" s="7" t="str">
        <f t="shared" si="64"/>
        <v/>
      </c>
      <c r="AQ352" s="7" t="str">
        <f t="shared" si="67"/>
        <v/>
      </c>
      <c r="AR352" s="7" t="str">
        <f t="shared" si="65"/>
        <v/>
      </c>
      <c r="AS352" s="7">
        <f t="shared" si="68"/>
        <v>0</v>
      </c>
      <c r="AT352" s="17">
        <f>TableCosts[[#This Row],[N_Amount]]*TableCosts[[#This Row],[N_Tariff]]*TableCosts[[#This Row],[N_ItemsCount]]</f>
        <v>0</v>
      </c>
      <c r="AU352" s="17">
        <f>IF(F352=1,IF(TableCosts[[#This Row],[N_Kateg]]="interné práce",TableCosts[[#This Row],[N_Amount]]*8*PAR_SGA_PERHOUR,0),0)</f>
        <v>0</v>
      </c>
      <c r="AV352" s="17">
        <f>SUM(TableCosts[[#This Row],[N_Direct]:[N_SGA]])</f>
        <v>0</v>
      </c>
      <c r="AW352" s="7">
        <f>IF(F352=1,IF(D352="",NA(),VLOOKUP(C352&amp;TableCosts[[#This Row],[Calc_N_Typ]],TRAN_STRITEMS_LABEL,7,0)),0)</f>
        <v>0</v>
      </c>
      <c r="AX352" s="7">
        <f t="shared" si="69"/>
        <v>0</v>
      </c>
      <c r="AY352" s="57" t="str">
        <f t="shared" si="70"/>
        <v/>
      </c>
      <c r="AZ352" s="57" t="str">
        <f t="shared" si="71"/>
        <v/>
      </c>
      <c r="BA352" s="57" t="str">
        <f>IF(F352=1,IF(TableCosts[[#This Row],[TransferFrom]]=TableCosts[[#This Row],[TranferTo]],0,1),"")</f>
        <v/>
      </c>
      <c r="BB352" s="7">
        <f t="shared" si="72"/>
        <v>0</v>
      </c>
      <c r="BC352" s="7">
        <f t="shared" si="73"/>
        <v>0</v>
      </c>
    </row>
    <row r="353" spans="2:55" s="7" customFormat="1" ht="12.75" x14ac:dyDescent="0.2">
      <c r="B353" s="33"/>
      <c r="C353" s="31"/>
      <c r="D353" s="40"/>
      <c r="E353" s="6" t="str">
        <f>IF(F353=1,IF(ISERROR(TableCosts[[#This Row],[N_Tariff]]),Err_Message1,IF(TableCosts[[#This Row],[N_Tariff]]=0,Err_Message2,VLOOKUP(C353&amp;TableCosts[[#This Row],[Calc_N_Typ]],TRAN_STRITEMS_LABEL,5,FALSE))),"")</f>
        <v/>
      </c>
      <c r="F353" s="6">
        <f t="shared" si="74"/>
        <v>0</v>
      </c>
      <c r="G353" s="6" t="str">
        <f>IF(F353=1,IFERROR(VLOOKUP(E353,Tab_ErrMessage[],2,0),VLOOKUP(C353&amp;TableCosts[[#This Row],[Calc_N_Typ]],TRAN_STRITEMS_LABEL,4,FALSE)),"")</f>
        <v/>
      </c>
      <c r="H353" s="40"/>
      <c r="I353" s="40"/>
      <c r="J353" s="35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4"/>
      <c r="AI353" s="24"/>
      <c r="AJ353" s="24"/>
      <c r="AK353" s="38">
        <f t="array" ref="AK353">IF(F353=1,SUM((ROW(M0)=ROW(AK353))*(M0+M1_+M2_+M3_+M4_+M5_+M6_+M7_+M8_+M9_+M10_+M11_+M12_+M13_+M14_+M15_+M16_+M17_+M18_+M19_+M20_+M21_+M22_+M23_+M24_+M25_)),0)</f>
        <v>0</v>
      </c>
      <c r="AL353" s="27">
        <f>TableCosts[[#This Row],[N_Direct]]</f>
        <v>0</v>
      </c>
      <c r="AN353" s="7" t="str">
        <f t="shared" si="63"/>
        <v/>
      </c>
      <c r="AO353" s="7" t="str">
        <f t="shared" si="66"/>
        <v/>
      </c>
      <c r="AP353" s="7" t="str">
        <f t="shared" si="64"/>
        <v/>
      </c>
      <c r="AQ353" s="7" t="str">
        <f t="shared" si="67"/>
        <v/>
      </c>
      <c r="AR353" s="7" t="str">
        <f t="shared" si="65"/>
        <v/>
      </c>
      <c r="AS353" s="7">
        <f t="shared" si="68"/>
        <v>0</v>
      </c>
      <c r="AT353" s="17">
        <f>TableCosts[[#This Row],[N_Amount]]*TableCosts[[#This Row],[N_Tariff]]*TableCosts[[#This Row],[N_ItemsCount]]</f>
        <v>0</v>
      </c>
      <c r="AU353" s="17">
        <f>IF(F353=1,IF(TableCosts[[#This Row],[N_Kateg]]="interné práce",TableCosts[[#This Row],[N_Amount]]*8*PAR_SGA_PERHOUR,0),0)</f>
        <v>0</v>
      </c>
      <c r="AV353" s="17">
        <f>SUM(TableCosts[[#This Row],[N_Direct]:[N_SGA]])</f>
        <v>0</v>
      </c>
      <c r="AW353" s="7">
        <f>IF(F353=1,IF(D353="",NA(),VLOOKUP(C353&amp;TableCosts[[#This Row],[Calc_N_Typ]],TRAN_STRITEMS_LABEL,7,0)),0)</f>
        <v>0</v>
      </c>
      <c r="AX353" s="7">
        <f t="shared" si="69"/>
        <v>0</v>
      </c>
      <c r="AY353" s="57" t="str">
        <f t="shared" si="70"/>
        <v/>
      </c>
      <c r="AZ353" s="57" t="str">
        <f t="shared" si="71"/>
        <v/>
      </c>
      <c r="BA353" s="57" t="str">
        <f>IF(F353=1,IF(TableCosts[[#This Row],[TransferFrom]]=TableCosts[[#This Row],[TranferTo]],0,1),"")</f>
        <v/>
      </c>
      <c r="BB353" s="7">
        <f t="shared" si="72"/>
        <v>0</v>
      </c>
      <c r="BC353" s="7">
        <f t="shared" si="73"/>
        <v>0</v>
      </c>
    </row>
    <row r="354" spans="2:55" s="7" customFormat="1" ht="12.75" x14ac:dyDescent="0.2">
      <c r="B354" s="33"/>
      <c r="C354" s="31"/>
      <c r="D354" s="40"/>
      <c r="E354" s="6" t="str">
        <f>IF(F354=1,IF(ISERROR(TableCosts[[#This Row],[N_Tariff]]),Err_Message1,IF(TableCosts[[#This Row],[N_Tariff]]=0,Err_Message2,VLOOKUP(C354&amp;TableCosts[[#This Row],[Calc_N_Typ]],TRAN_STRITEMS_LABEL,5,FALSE))),"")</f>
        <v/>
      </c>
      <c r="F354" s="6">
        <f t="shared" si="74"/>
        <v>0</v>
      </c>
      <c r="G354" s="6" t="str">
        <f>IF(F354=1,IFERROR(VLOOKUP(E354,Tab_ErrMessage[],2,0),VLOOKUP(C354&amp;TableCosts[[#This Row],[Calc_N_Typ]],TRAN_STRITEMS_LABEL,4,FALSE)),"")</f>
        <v/>
      </c>
      <c r="H354" s="40"/>
      <c r="I354" s="40"/>
      <c r="J354" s="35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  <c r="AG354" s="24"/>
      <c r="AH354" s="24"/>
      <c r="AI354" s="24"/>
      <c r="AJ354" s="24"/>
      <c r="AK354" s="38">
        <f t="array" ref="AK354">IF(F354=1,SUM((ROW(M0)=ROW(AK354))*(M0+M1_+M2_+M3_+M4_+M5_+M6_+M7_+M8_+M9_+M10_+M11_+M12_+M13_+M14_+M15_+M16_+M17_+M18_+M19_+M20_+M21_+M22_+M23_+M24_+M25_)),0)</f>
        <v>0</v>
      </c>
      <c r="AL354" s="27">
        <f>TableCosts[[#This Row],[N_Direct]]</f>
        <v>0</v>
      </c>
      <c r="AN354" s="7" t="str">
        <f t="shared" si="63"/>
        <v/>
      </c>
      <c r="AO354" s="7" t="str">
        <f t="shared" si="66"/>
        <v/>
      </c>
      <c r="AP354" s="7" t="str">
        <f t="shared" si="64"/>
        <v/>
      </c>
      <c r="AQ354" s="7" t="str">
        <f t="shared" si="67"/>
        <v/>
      </c>
      <c r="AR354" s="7" t="str">
        <f t="shared" si="65"/>
        <v/>
      </c>
      <c r="AS354" s="7">
        <f t="shared" si="68"/>
        <v>0</v>
      </c>
      <c r="AT354" s="17">
        <f>TableCosts[[#This Row],[N_Amount]]*TableCosts[[#This Row],[N_Tariff]]*TableCosts[[#This Row],[N_ItemsCount]]</f>
        <v>0</v>
      </c>
      <c r="AU354" s="17">
        <f>IF(F354=1,IF(TableCosts[[#This Row],[N_Kateg]]="interné práce",TableCosts[[#This Row],[N_Amount]]*8*PAR_SGA_PERHOUR,0),0)</f>
        <v>0</v>
      </c>
      <c r="AV354" s="17">
        <f>SUM(TableCosts[[#This Row],[N_Direct]:[N_SGA]])</f>
        <v>0</v>
      </c>
      <c r="AW354" s="7">
        <f>IF(F354=1,IF(D354="",NA(),VLOOKUP(C354&amp;TableCosts[[#This Row],[Calc_N_Typ]],TRAN_STRITEMS_LABEL,7,0)),0)</f>
        <v>0</v>
      </c>
      <c r="AX354" s="7">
        <f t="shared" si="69"/>
        <v>0</v>
      </c>
      <c r="AY354" s="57" t="str">
        <f t="shared" si="70"/>
        <v/>
      </c>
      <c r="AZ354" s="57" t="str">
        <f t="shared" si="71"/>
        <v/>
      </c>
      <c r="BA354" s="57" t="str">
        <f>IF(F354=1,IF(TableCosts[[#This Row],[TransferFrom]]=TableCosts[[#This Row],[TranferTo]],0,1),"")</f>
        <v/>
      </c>
      <c r="BB354" s="7">
        <f t="shared" si="72"/>
        <v>0</v>
      </c>
      <c r="BC354" s="7">
        <f t="shared" si="73"/>
        <v>0</v>
      </c>
    </row>
    <row r="355" spans="2:55" s="7" customFormat="1" ht="12.75" x14ac:dyDescent="0.2">
      <c r="B355" s="33"/>
      <c r="C355" s="31"/>
      <c r="D355" s="40"/>
      <c r="E355" s="6" t="str">
        <f>IF(F355=1,IF(ISERROR(TableCosts[[#This Row],[N_Tariff]]),Err_Message1,IF(TableCosts[[#This Row],[N_Tariff]]=0,Err_Message2,VLOOKUP(C355&amp;TableCosts[[#This Row],[Calc_N_Typ]],TRAN_STRITEMS_LABEL,5,FALSE))),"")</f>
        <v/>
      </c>
      <c r="F355" s="6">
        <f t="shared" si="74"/>
        <v>0</v>
      </c>
      <c r="G355" s="6" t="str">
        <f>IF(F355=1,IFERROR(VLOOKUP(E355,Tab_ErrMessage[],2,0),VLOOKUP(C355&amp;TableCosts[[#This Row],[Calc_N_Typ]],TRAN_STRITEMS_LABEL,4,FALSE)),"")</f>
        <v/>
      </c>
      <c r="H355" s="40"/>
      <c r="I355" s="40"/>
      <c r="J355" s="35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4"/>
      <c r="AI355" s="24"/>
      <c r="AJ355" s="24"/>
      <c r="AK355" s="38">
        <f t="array" ref="AK355">IF(F355=1,SUM((ROW(M0)=ROW(AK355))*(M0+M1_+M2_+M3_+M4_+M5_+M6_+M7_+M8_+M9_+M10_+M11_+M12_+M13_+M14_+M15_+M16_+M17_+M18_+M19_+M20_+M21_+M22_+M23_+M24_+M25_)),0)</f>
        <v>0</v>
      </c>
      <c r="AL355" s="27">
        <f>TableCosts[[#This Row],[N_Direct]]</f>
        <v>0</v>
      </c>
      <c r="AN355" s="7" t="str">
        <f t="shared" si="63"/>
        <v/>
      </c>
      <c r="AO355" s="7" t="str">
        <f t="shared" si="66"/>
        <v/>
      </c>
      <c r="AP355" s="7" t="str">
        <f t="shared" si="64"/>
        <v/>
      </c>
      <c r="AQ355" s="7" t="str">
        <f t="shared" si="67"/>
        <v/>
      </c>
      <c r="AR355" s="7" t="str">
        <f t="shared" si="65"/>
        <v/>
      </c>
      <c r="AS355" s="7">
        <f t="shared" si="68"/>
        <v>0</v>
      </c>
      <c r="AT355" s="17">
        <f>TableCosts[[#This Row],[N_Amount]]*TableCosts[[#This Row],[N_Tariff]]*TableCosts[[#This Row],[N_ItemsCount]]</f>
        <v>0</v>
      </c>
      <c r="AU355" s="17">
        <f>IF(F355=1,IF(TableCosts[[#This Row],[N_Kateg]]="interné práce",TableCosts[[#This Row],[N_Amount]]*8*PAR_SGA_PERHOUR,0),0)</f>
        <v>0</v>
      </c>
      <c r="AV355" s="17">
        <f>SUM(TableCosts[[#This Row],[N_Direct]:[N_SGA]])</f>
        <v>0</v>
      </c>
      <c r="AW355" s="7">
        <f>IF(F355=1,IF(D355="",NA(),VLOOKUP(C355&amp;TableCosts[[#This Row],[Calc_N_Typ]],TRAN_STRITEMS_LABEL,7,0)),0)</f>
        <v>0</v>
      </c>
      <c r="AX355" s="7">
        <f t="shared" si="69"/>
        <v>0</v>
      </c>
      <c r="AY355" s="57" t="str">
        <f t="shared" si="70"/>
        <v/>
      </c>
      <c r="AZ355" s="57" t="str">
        <f t="shared" si="71"/>
        <v/>
      </c>
      <c r="BA355" s="57" t="str">
        <f>IF(F355=1,IF(TableCosts[[#This Row],[TransferFrom]]=TableCosts[[#This Row],[TranferTo]],0,1),"")</f>
        <v/>
      </c>
      <c r="BB355" s="7">
        <f t="shared" si="72"/>
        <v>0</v>
      </c>
      <c r="BC355" s="7">
        <f t="shared" si="73"/>
        <v>0</v>
      </c>
    </row>
    <row r="356" spans="2:55" s="7" customFormat="1" ht="12.75" x14ac:dyDescent="0.2">
      <c r="B356" s="33"/>
      <c r="C356" s="31"/>
      <c r="D356" s="40"/>
      <c r="E356" s="6" t="str">
        <f>IF(F356=1,IF(ISERROR(TableCosts[[#This Row],[N_Tariff]]),Err_Message1,IF(TableCosts[[#This Row],[N_Tariff]]=0,Err_Message2,VLOOKUP(C356&amp;TableCosts[[#This Row],[Calc_N_Typ]],TRAN_STRITEMS_LABEL,5,FALSE))),"")</f>
        <v/>
      </c>
      <c r="F356" s="6">
        <f t="shared" si="74"/>
        <v>0</v>
      </c>
      <c r="G356" s="6" t="str">
        <f>IF(F356=1,IFERROR(VLOOKUP(E356,Tab_ErrMessage[],2,0),VLOOKUP(C356&amp;TableCosts[[#This Row],[Calc_N_Typ]],TRAN_STRITEMS_LABEL,4,FALSE)),"")</f>
        <v/>
      </c>
      <c r="H356" s="40"/>
      <c r="I356" s="40"/>
      <c r="J356" s="35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  <c r="AF356" s="24"/>
      <c r="AG356" s="24"/>
      <c r="AH356" s="24"/>
      <c r="AI356" s="24"/>
      <c r="AJ356" s="24"/>
      <c r="AK356" s="38">
        <f t="array" ref="AK356">IF(F356=1,SUM((ROW(M0)=ROW(AK356))*(M0+M1_+M2_+M3_+M4_+M5_+M6_+M7_+M8_+M9_+M10_+M11_+M12_+M13_+M14_+M15_+M16_+M17_+M18_+M19_+M20_+M21_+M22_+M23_+M24_+M25_)),0)</f>
        <v>0</v>
      </c>
      <c r="AL356" s="27">
        <f>TableCosts[[#This Row],[N_Direct]]</f>
        <v>0</v>
      </c>
      <c r="AN356" s="7" t="str">
        <f t="shared" si="63"/>
        <v/>
      </c>
      <c r="AO356" s="7" t="str">
        <f t="shared" si="66"/>
        <v/>
      </c>
      <c r="AP356" s="7" t="str">
        <f t="shared" si="64"/>
        <v/>
      </c>
      <c r="AQ356" s="7" t="str">
        <f t="shared" si="67"/>
        <v/>
      </c>
      <c r="AR356" s="7" t="str">
        <f t="shared" si="65"/>
        <v/>
      </c>
      <c r="AS356" s="7">
        <f t="shared" si="68"/>
        <v>0</v>
      </c>
      <c r="AT356" s="17">
        <f>TableCosts[[#This Row],[N_Amount]]*TableCosts[[#This Row],[N_Tariff]]*TableCosts[[#This Row],[N_ItemsCount]]</f>
        <v>0</v>
      </c>
      <c r="AU356" s="17">
        <f>IF(F356=1,IF(TableCosts[[#This Row],[N_Kateg]]="interné práce",TableCosts[[#This Row],[N_Amount]]*8*PAR_SGA_PERHOUR,0),0)</f>
        <v>0</v>
      </c>
      <c r="AV356" s="17">
        <f>SUM(TableCosts[[#This Row],[N_Direct]:[N_SGA]])</f>
        <v>0</v>
      </c>
      <c r="AW356" s="7">
        <f>IF(F356=1,IF(D356="",NA(),VLOOKUP(C356&amp;TableCosts[[#This Row],[Calc_N_Typ]],TRAN_STRITEMS_LABEL,7,0)),0)</f>
        <v>0</v>
      </c>
      <c r="AX356" s="7">
        <f t="shared" si="69"/>
        <v>0</v>
      </c>
      <c r="AY356" s="57" t="str">
        <f t="shared" si="70"/>
        <v/>
      </c>
      <c r="AZ356" s="57" t="str">
        <f t="shared" si="71"/>
        <v/>
      </c>
      <c r="BA356" s="57" t="str">
        <f>IF(F356=1,IF(TableCosts[[#This Row],[TransferFrom]]=TableCosts[[#This Row],[TranferTo]],0,1),"")</f>
        <v/>
      </c>
      <c r="BB356" s="7">
        <f t="shared" si="72"/>
        <v>0</v>
      </c>
      <c r="BC356" s="7">
        <f t="shared" si="73"/>
        <v>0</v>
      </c>
    </row>
    <row r="357" spans="2:55" s="7" customFormat="1" ht="12.75" x14ac:dyDescent="0.2">
      <c r="B357" s="33"/>
      <c r="C357" s="31"/>
      <c r="D357" s="40"/>
      <c r="E357" s="6" t="str">
        <f>IF(F357=1,IF(ISERROR(TableCosts[[#This Row],[N_Tariff]]),Err_Message1,IF(TableCosts[[#This Row],[N_Tariff]]=0,Err_Message2,VLOOKUP(C357&amp;TableCosts[[#This Row],[Calc_N_Typ]],TRAN_STRITEMS_LABEL,5,FALSE))),"")</f>
        <v/>
      </c>
      <c r="F357" s="6">
        <f t="shared" si="74"/>
        <v>0</v>
      </c>
      <c r="G357" s="6" t="str">
        <f>IF(F357=1,IFERROR(VLOOKUP(E357,Tab_ErrMessage[],2,0),VLOOKUP(C357&amp;TableCosts[[#This Row],[Calc_N_Typ]],TRAN_STRITEMS_LABEL,4,FALSE)),"")</f>
        <v/>
      </c>
      <c r="H357" s="40"/>
      <c r="I357" s="40"/>
      <c r="J357" s="35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  <c r="AD357" s="24"/>
      <c r="AE357" s="24"/>
      <c r="AF357" s="24"/>
      <c r="AG357" s="24"/>
      <c r="AH357" s="24"/>
      <c r="AI357" s="24"/>
      <c r="AJ357" s="24"/>
      <c r="AK357" s="38">
        <f t="array" ref="AK357">IF(F357=1,SUM((ROW(M0)=ROW(AK357))*(M0+M1_+M2_+M3_+M4_+M5_+M6_+M7_+M8_+M9_+M10_+M11_+M12_+M13_+M14_+M15_+M16_+M17_+M18_+M19_+M20_+M21_+M22_+M23_+M24_+M25_)),0)</f>
        <v>0</v>
      </c>
      <c r="AL357" s="27">
        <f>TableCosts[[#This Row],[N_Direct]]</f>
        <v>0</v>
      </c>
      <c r="AN357" s="7" t="str">
        <f t="shared" si="63"/>
        <v/>
      </c>
      <c r="AO357" s="7" t="str">
        <f t="shared" si="66"/>
        <v/>
      </c>
      <c r="AP357" s="7" t="str">
        <f t="shared" si="64"/>
        <v/>
      </c>
      <c r="AQ357" s="7" t="str">
        <f t="shared" si="67"/>
        <v/>
      </c>
      <c r="AR357" s="7" t="str">
        <f t="shared" si="65"/>
        <v/>
      </c>
      <c r="AS357" s="7">
        <f t="shared" si="68"/>
        <v>0</v>
      </c>
      <c r="AT357" s="17">
        <f>TableCosts[[#This Row],[N_Amount]]*TableCosts[[#This Row],[N_Tariff]]*TableCosts[[#This Row],[N_ItemsCount]]</f>
        <v>0</v>
      </c>
      <c r="AU357" s="17">
        <f>IF(F357=1,IF(TableCosts[[#This Row],[N_Kateg]]="interné práce",TableCosts[[#This Row],[N_Amount]]*8*PAR_SGA_PERHOUR,0),0)</f>
        <v>0</v>
      </c>
      <c r="AV357" s="17">
        <f>SUM(TableCosts[[#This Row],[N_Direct]:[N_SGA]])</f>
        <v>0</v>
      </c>
      <c r="AW357" s="7">
        <f>IF(F357=1,IF(D357="",NA(),VLOOKUP(C357&amp;TableCosts[[#This Row],[Calc_N_Typ]],TRAN_STRITEMS_LABEL,7,0)),0)</f>
        <v>0</v>
      </c>
      <c r="AX357" s="7">
        <f t="shared" si="69"/>
        <v>0</v>
      </c>
      <c r="AY357" s="57" t="str">
        <f t="shared" si="70"/>
        <v/>
      </c>
      <c r="AZ357" s="57" t="str">
        <f t="shared" si="71"/>
        <v/>
      </c>
      <c r="BA357" s="57" t="str">
        <f>IF(F357=1,IF(TableCosts[[#This Row],[TransferFrom]]=TableCosts[[#This Row],[TranferTo]],0,1),"")</f>
        <v/>
      </c>
      <c r="BB357" s="7">
        <f t="shared" si="72"/>
        <v>0</v>
      </c>
      <c r="BC357" s="7">
        <f t="shared" si="73"/>
        <v>0</v>
      </c>
    </row>
    <row r="358" spans="2:55" s="7" customFormat="1" ht="12.75" x14ac:dyDescent="0.2">
      <c r="B358" s="33"/>
      <c r="C358" s="31"/>
      <c r="D358" s="40"/>
      <c r="E358" s="6" t="str">
        <f>IF(F358=1,IF(ISERROR(TableCosts[[#This Row],[N_Tariff]]),Err_Message1,IF(TableCosts[[#This Row],[N_Tariff]]=0,Err_Message2,VLOOKUP(C358&amp;TableCosts[[#This Row],[Calc_N_Typ]],TRAN_STRITEMS_LABEL,5,FALSE))),"")</f>
        <v/>
      </c>
      <c r="F358" s="6">
        <f t="shared" si="74"/>
        <v>0</v>
      </c>
      <c r="G358" s="6" t="str">
        <f>IF(F358=1,IFERROR(VLOOKUP(E358,Tab_ErrMessage[],2,0),VLOOKUP(C358&amp;TableCosts[[#This Row],[Calc_N_Typ]],TRAN_STRITEMS_LABEL,4,FALSE)),"")</f>
        <v/>
      </c>
      <c r="H358" s="40"/>
      <c r="I358" s="40"/>
      <c r="J358" s="35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  <c r="AD358" s="24"/>
      <c r="AE358" s="24"/>
      <c r="AF358" s="24"/>
      <c r="AG358" s="24"/>
      <c r="AH358" s="24"/>
      <c r="AI358" s="24"/>
      <c r="AJ358" s="24"/>
      <c r="AK358" s="38">
        <f t="array" ref="AK358">IF(F358=1,SUM((ROW(M0)=ROW(AK358))*(M0+M1_+M2_+M3_+M4_+M5_+M6_+M7_+M8_+M9_+M10_+M11_+M12_+M13_+M14_+M15_+M16_+M17_+M18_+M19_+M20_+M21_+M22_+M23_+M24_+M25_)),0)</f>
        <v>0</v>
      </c>
      <c r="AL358" s="27">
        <f>TableCosts[[#This Row],[N_Direct]]</f>
        <v>0</v>
      </c>
      <c r="AN358" s="7" t="str">
        <f t="shared" si="63"/>
        <v/>
      </c>
      <c r="AO358" s="7" t="str">
        <f t="shared" si="66"/>
        <v/>
      </c>
      <c r="AP358" s="7" t="str">
        <f t="shared" si="64"/>
        <v/>
      </c>
      <c r="AQ358" s="7" t="str">
        <f t="shared" si="67"/>
        <v/>
      </c>
      <c r="AR358" s="7" t="str">
        <f t="shared" si="65"/>
        <v/>
      </c>
      <c r="AS358" s="7">
        <f t="shared" si="68"/>
        <v>0</v>
      </c>
      <c r="AT358" s="17">
        <f>TableCosts[[#This Row],[N_Amount]]*TableCosts[[#This Row],[N_Tariff]]*TableCosts[[#This Row],[N_ItemsCount]]</f>
        <v>0</v>
      </c>
      <c r="AU358" s="17">
        <f>IF(F358=1,IF(TableCosts[[#This Row],[N_Kateg]]="interné práce",TableCosts[[#This Row],[N_Amount]]*8*PAR_SGA_PERHOUR,0),0)</f>
        <v>0</v>
      </c>
      <c r="AV358" s="17">
        <f>SUM(TableCosts[[#This Row],[N_Direct]:[N_SGA]])</f>
        <v>0</v>
      </c>
      <c r="AW358" s="7">
        <f>IF(F358=1,IF(D358="",NA(),VLOOKUP(C358&amp;TableCosts[[#This Row],[Calc_N_Typ]],TRAN_STRITEMS_LABEL,7,0)),0)</f>
        <v>0</v>
      </c>
      <c r="AX358" s="7">
        <f t="shared" si="69"/>
        <v>0</v>
      </c>
      <c r="AY358" s="57" t="str">
        <f t="shared" si="70"/>
        <v/>
      </c>
      <c r="AZ358" s="57" t="str">
        <f t="shared" si="71"/>
        <v/>
      </c>
      <c r="BA358" s="57" t="str">
        <f>IF(F358=1,IF(TableCosts[[#This Row],[TransferFrom]]=TableCosts[[#This Row],[TranferTo]],0,1),"")</f>
        <v/>
      </c>
      <c r="BB358" s="7">
        <f t="shared" si="72"/>
        <v>0</v>
      </c>
      <c r="BC358" s="7">
        <f t="shared" si="73"/>
        <v>0</v>
      </c>
    </row>
    <row r="359" spans="2:55" s="7" customFormat="1" ht="12.75" x14ac:dyDescent="0.2">
      <c r="B359" s="33"/>
      <c r="C359" s="31"/>
      <c r="D359" s="40"/>
      <c r="E359" s="6" t="str">
        <f>IF(F359=1,IF(ISERROR(TableCosts[[#This Row],[N_Tariff]]),Err_Message1,IF(TableCosts[[#This Row],[N_Tariff]]=0,Err_Message2,VLOOKUP(C359&amp;TableCosts[[#This Row],[Calc_N_Typ]],TRAN_STRITEMS_LABEL,5,FALSE))),"")</f>
        <v/>
      </c>
      <c r="F359" s="6">
        <f t="shared" si="74"/>
        <v>0</v>
      </c>
      <c r="G359" s="6" t="str">
        <f>IF(F359=1,IFERROR(VLOOKUP(E359,Tab_ErrMessage[],2,0),VLOOKUP(C359&amp;TableCosts[[#This Row],[Calc_N_Typ]],TRAN_STRITEMS_LABEL,4,FALSE)),"")</f>
        <v/>
      </c>
      <c r="H359" s="40"/>
      <c r="I359" s="40"/>
      <c r="J359" s="35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  <c r="AD359" s="24"/>
      <c r="AE359" s="24"/>
      <c r="AF359" s="24"/>
      <c r="AG359" s="24"/>
      <c r="AH359" s="24"/>
      <c r="AI359" s="24"/>
      <c r="AJ359" s="24"/>
      <c r="AK359" s="38">
        <f t="array" ref="AK359">IF(F359=1,SUM((ROW(M0)=ROW(AK359))*(M0+M1_+M2_+M3_+M4_+M5_+M6_+M7_+M8_+M9_+M10_+M11_+M12_+M13_+M14_+M15_+M16_+M17_+M18_+M19_+M20_+M21_+M22_+M23_+M24_+M25_)),0)</f>
        <v>0</v>
      </c>
      <c r="AL359" s="27">
        <f>TableCosts[[#This Row],[N_Direct]]</f>
        <v>0</v>
      </c>
      <c r="AN359" s="7" t="str">
        <f t="shared" si="63"/>
        <v/>
      </c>
      <c r="AO359" s="7" t="str">
        <f t="shared" si="66"/>
        <v/>
      </c>
      <c r="AP359" s="7" t="str">
        <f t="shared" si="64"/>
        <v/>
      </c>
      <c r="AQ359" s="7" t="str">
        <f t="shared" si="67"/>
        <v/>
      </c>
      <c r="AR359" s="7" t="str">
        <f t="shared" si="65"/>
        <v/>
      </c>
      <c r="AS359" s="7">
        <f t="shared" si="68"/>
        <v>0</v>
      </c>
      <c r="AT359" s="17">
        <f>TableCosts[[#This Row],[N_Amount]]*TableCosts[[#This Row],[N_Tariff]]*TableCosts[[#This Row],[N_ItemsCount]]</f>
        <v>0</v>
      </c>
      <c r="AU359" s="17">
        <f>IF(F359=1,IF(TableCosts[[#This Row],[N_Kateg]]="interné práce",TableCosts[[#This Row],[N_Amount]]*8*PAR_SGA_PERHOUR,0),0)</f>
        <v>0</v>
      </c>
      <c r="AV359" s="17">
        <f>SUM(TableCosts[[#This Row],[N_Direct]:[N_SGA]])</f>
        <v>0</v>
      </c>
      <c r="AW359" s="7">
        <f>IF(F359=1,IF(D359="",NA(),VLOOKUP(C359&amp;TableCosts[[#This Row],[Calc_N_Typ]],TRAN_STRITEMS_LABEL,7,0)),0)</f>
        <v>0</v>
      </c>
      <c r="AX359" s="7">
        <f t="shared" si="69"/>
        <v>0</v>
      </c>
      <c r="AY359" s="57" t="str">
        <f t="shared" si="70"/>
        <v/>
      </c>
      <c r="AZ359" s="57" t="str">
        <f t="shared" si="71"/>
        <v/>
      </c>
      <c r="BA359" s="57" t="str">
        <f>IF(F359=1,IF(TableCosts[[#This Row],[TransferFrom]]=TableCosts[[#This Row],[TranferTo]],0,1),"")</f>
        <v/>
      </c>
      <c r="BB359" s="7">
        <f t="shared" si="72"/>
        <v>0</v>
      </c>
      <c r="BC359" s="7">
        <f t="shared" si="73"/>
        <v>0</v>
      </c>
    </row>
    <row r="360" spans="2:55" s="7" customFormat="1" ht="12.75" x14ac:dyDescent="0.2">
      <c r="B360" s="33"/>
      <c r="C360" s="31"/>
      <c r="D360" s="40"/>
      <c r="E360" s="6" t="str">
        <f>IF(F360=1,IF(ISERROR(TableCosts[[#This Row],[N_Tariff]]),Err_Message1,IF(TableCosts[[#This Row],[N_Tariff]]=0,Err_Message2,VLOOKUP(C360&amp;TableCosts[[#This Row],[Calc_N_Typ]],TRAN_STRITEMS_LABEL,5,FALSE))),"")</f>
        <v/>
      </c>
      <c r="F360" s="6">
        <f t="shared" si="74"/>
        <v>0</v>
      </c>
      <c r="G360" s="6" t="str">
        <f>IF(F360=1,IFERROR(VLOOKUP(E360,Tab_ErrMessage[],2,0),VLOOKUP(C360&amp;TableCosts[[#This Row],[Calc_N_Typ]],TRAN_STRITEMS_LABEL,4,FALSE)),"")</f>
        <v/>
      </c>
      <c r="H360" s="40"/>
      <c r="I360" s="40"/>
      <c r="J360" s="35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  <c r="AD360" s="24"/>
      <c r="AE360" s="24"/>
      <c r="AF360" s="24"/>
      <c r="AG360" s="24"/>
      <c r="AH360" s="24"/>
      <c r="AI360" s="24"/>
      <c r="AJ360" s="24"/>
      <c r="AK360" s="38">
        <f t="array" ref="AK360">IF(F360=1,SUM((ROW(M0)=ROW(AK360))*(M0+M1_+M2_+M3_+M4_+M5_+M6_+M7_+M8_+M9_+M10_+M11_+M12_+M13_+M14_+M15_+M16_+M17_+M18_+M19_+M20_+M21_+M22_+M23_+M24_+M25_)),0)</f>
        <v>0</v>
      </c>
      <c r="AL360" s="27">
        <f>TableCosts[[#This Row],[N_Direct]]</f>
        <v>0</v>
      </c>
      <c r="AN360" s="7" t="str">
        <f t="shared" si="63"/>
        <v/>
      </c>
      <c r="AO360" s="7" t="str">
        <f t="shared" si="66"/>
        <v/>
      </c>
      <c r="AP360" s="7" t="str">
        <f t="shared" si="64"/>
        <v/>
      </c>
      <c r="AQ360" s="7" t="str">
        <f t="shared" si="67"/>
        <v/>
      </c>
      <c r="AR360" s="7" t="str">
        <f t="shared" si="65"/>
        <v/>
      </c>
      <c r="AS360" s="7">
        <f t="shared" si="68"/>
        <v>0</v>
      </c>
      <c r="AT360" s="17">
        <f>TableCosts[[#This Row],[N_Amount]]*TableCosts[[#This Row],[N_Tariff]]*TableCosts[[#This Row],[N_ItemsCount]]</f>
        <v>0</v>
      </c>
      <c r="AU360" s="17">
        <f>IF(F360=1,IF(TableCosts[[#This Row],[N_Kateg]]="interné práce",TableCosts[[#This Row],[N_Amount]]*8*PAR_SGA_PERHOUR,0),0)</f>
        <v>0</v>
      </c>
      <c r="AV360" s="17">
        <f>SUM(TableCosts[[#This Row],[N_Direct]:[N_SGA]])</f>
        <v>0</v>
      </c>
      <c r="AW360" s="7">
        <f>IF(F360=1,IF(D360="",NA(),VLOOKUP(C360&amp;TableCosts[[#This Row],[Calc_N_Typ]],TRAN_STRITEMS_LABEL,7,0)),0)</f>
        <v>0</v>
      </c>
      <c r="AX360" s="7">
        <f t="shared" si="69"/>
        <v>0</v>
      </c>
      <c r="AY360" s="57" t="str">
        <f t="shared" si="70"/>
        <v/>
      </c>
      <c r="AZ360" s="57" t="str">
        <f t="shared" si="71"/>
        <v/>
      </c>
      <c r="BA360" s="57" t="str">
        <f>IF(F360=1,IF(TableCosts[[#This Row],[TransferFrom]]=TableCosts[[#This Row],[TranferTo]],0,1),"")</f>
        <v/>
      </c>
      <c r="BB360" s="7">
        <f t="shared" si="72"/>
        <v>0</v>
      </c>
      <c r="BC360" s="7">
        <f t="shared" si="73"/>
        <v>0</v>
      </c>
    </row>
    <row r="361" spans="2:55" s="7" customFormat="1" ht="12.75" x14ac:dyDescent="0.2">
      <c r="B361" s="33"/>
      <c r="C361" s="31"/>
      <c r="D361" s="40"/>
      <c r="E361" s="6" t="str">
        <f>IF(F361=1,IF(ISERROR(TableCosts[[#This Row],[N_Tariff]]),Err_Message1,IF(TableCosts[[#This Row],[N_Tariff]]=0,Err_Message2,VLOOKUP(C361&amp;TableCosts[[#This Row],[Calc_N_Typ]],TRAN_STRITEMS_LABEL,5,FALSE))),"")</f>
        <v/>
      </c>
      <c r="F361" s="6">
        <f t="shared" si="74"/>
        <v>0</v>
      </c>
      <c r="G361" s="6" t="str">
        <f>IF(F361=1,IFERROR(VLOOKUP(E361,Tab_ErrMessage[],2,0),VLOOKUP(C361&amp;TableCosts[[#This Row],[Calc_N_Typ]],TRAN_STRITEMS_LABEL,4,FALSE)),"")</f>
        <v/>
      </c>
      <c r="H361" s="40"/>
      <c r="I361" s="40"/>
      <c r="J361" s="35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  <c r="AD361" s="24"/>
      <c r="AE361" s="24"/>
      <c r="AF361" s="24"/>
      <c r="AG361" s="24"/>
      <c r="AH361" s="24"/>
      <c r="AI361" s="24"/>
      <c r="AJ361" s="24"/>
      <c r="AK361" s="38">
        <f t="array" ref="AK361">IF(F361=1,SUM((ROW(M0)=ROW(AK361))*(M0+M1_+M2_+M3_+M4_+M5_+M6_+M7_+M8_+M9_+M10_+M11_+M12_+M13_+M14_+M15_+M16_+M17_+M18_+M19_+M20_+M21_+M22_+M23_+M24_+M25_)),0)</f>
        <v>0</v>
      </c>
      <c r="AL361" s="27">
        <f>TableCosts[[#This Row],[N_Direct]]</f>
        <v>0</v>
      </c>
      <c r="AN361" s="7" t="str">
        <f t="shared" si="63"/>
        <v/>
      </c>
      <c r="AO361" s="7" t="str">
        <f t="shared" si="66"/>
        <v/>
      </c>
      <c r="AP361" s="7" t="str">
        <f t="shared" si="64"/>
        <v/>
      </c>
      <c r="AQ361" s="7" t="str">
        <f t="shared" si="67"/>
        <v/>
      </c>
      <c r="AR361" s="7" t="str">
        <f t="shared" si="65"/>
        <v/>
      </c>
      <c r="AS361" s="7">
        <f t="shared" si="68"/>
        <v>0</v>
      </c>
      <c r="AT361" s="17">
        <f>TableCosts[[#This Row],[N_Amount]]*TableCosts[[#This Row],[N_Tariff]]*TableCosts[[#This Row],[N_ItemsCount]]</f>
        <v>0</v>
      </c>
      <c r="AU361" s="17">
        <f>IF(F361=1,IF(TableCosts[[#This Row],[N_Kateg]]="interné práce",TableCosts[[#This Row],[N_Amount]]*8*PAR_SGA_PERHOUR,0),0)</f>
        <v>0</v>
      </c>
      <c r="AV361" s="17">
        <f>SUM(TableCosts[[#This Row],[N_Direct]:[N_SGA]])</f>
        <v>0</v>
      </c>
      <c r="AW361" s="7">
        <f>IF(F361=1,IF(D361="",NA(),VLOOKUP(C361&amp;TableCosts[[#This Row],[Calc_N_Typ]],TRAN_STRITEMS_LABEL,7,0)),0)</f>
        <v>0</v>
      </c>
      <c r="AX361" s="7">
        <f t="shared" si="69"/>
        <v>0</v>
      </c>
      <c r="AY361" s="57" t="str">
        <f t="shared" si="70"/>
        <v/>
      </c>
      <c r="AZ361" s="57" t="str">
        <f t="shared" si="71"/>
        <v/>
      </c>
      <c r="BA361" s="57" t="str">
        <f>IF(F361=1,IF(TableCosts[[#This Row],[TransferFrom]]=TableCosts[[#This Row],[TranferTo]],0,1),"")</f>
        <v/>
      </c>
      <c r="BB361" s="7">
        <f t="shared" si="72"/>
        <v>0</v>
      </c>
      <c r="BC361" s="7">
        <f t="shared" si="73"/>
        <v>0</v>
      </c>
    </row>
    <row r="362" spans="2:55" s="7" customFormat="1" ht="12.75" x14ac:dyDescent="0.2">
      <c r="B362" s="33"/>
      <c r="C362" s="31"/>
      <c r="D362" s="40"/>
      <c r="E362" s="6" t="str">
        <f>IF(F362=1,IF(ISERROR(TableCosts[[#This Row],[N_Tariff]]),Err_Message1,IF(TableCosts[[#This Row],[N_Tariff]]=0,Err_Message2,VLOOKUP(C362&amp;TableCosts[[#This Row],[Calc_N_Typ]],TRAN_STRITEMS_LABEL,5,FALSE))),"")</f>
        <v/>
      </c>
      <c r="F362" s="6">
        <f t="shared" si="74"/>
        <v>0</v>
      </c>
      <c r="G362" s="6" t="str">
        <f>IF(F362=1,IFERROR(VLOOKUP(E362,Tab_ErrMessage[],2,0),VLOOKUP(C362&amp;TableCosts[[#This Row],[Calc_N_Typ]],TRAN_STRITEMS_LABEL,4,FALSE)),"")</f>
        <v/>
      </c>
      <c r="H362" s="40"/>
      <c r="I362" s="40"/>
      <c r="J362" s="35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  <c r="AD362" s="24"/>
      <c r="AE362" s="24"/>
      <c r="AF362" s="24"/>
      <c r="AG362" s="24"/>
      <c r="AH362" s="24"/>
      <c r="AI362" s="24"/>
      <c r="AJ362" s="24"/>
      <c r="AK362" s="38">
        <f t="array" ref="AK362">IF(F362=1,SUM((ROW(M0)=ROW(AK362))*(M0+M1_+M2_+M3_+M4_+M5_+M6_+M7_+M8_+M9_+M10_+M11_+M12_+M13_+M14_+M15_+M16_+M17_+M18_+M19_+M20_+M21_+M22_+M23_+M24_+M25_)),0)</f>
        <v>0</v>
      </c>
      <c r="AL362" s="27">
        <f>TableCosts[[#This Row],[N_Direct]]</f>
        <v>0</v>
      </c>
      <c r="AN362" s="7" t="str">
        <f t="shared" si="63"/>
        <v/>
      </c>
      <c r="AO362" s="7" t="str">
        <f t="shared" si="66"/>
        <v/>
      </c>
      <c r="AP362" s="7" t="str">
        <f t="shared" si="64"/>
        <v/>
      </c>
      <c r="AQ362" s="7" t="str">
        <f t="shared" si="67"/>
        <v/>
      </c>
      <c r="AR362" s="7" t="str">
        <f t="shared" si="65"/>
        <v/>
      </c>
      <c r="AS362" s="7">
        <f t="shared" si="68"/>
        <v>0</v>
      </c>
      <c r="AT362" s="17">
        <f>TableCosts[[#This Row],[N_Amount]]*TableCosts[[#This Row],[N_Tariff]]*TableCosts[[#This Row],[N_ItemsCount]]</f>
        <v>0</v>
      </c>
      <c r="AU362" s="17">
        <f>IF(F362=1,IF(TableCosts[[#This Row],[N_Kateg]]="interné práce",TableCosts[[#This Row],[N_Amount]]*8*PAR_SGA_PERHOUR,0),0)</f>
        <v>0</v>
      </c>
      <c r="AV362" s="17">
        <f>SUM(TableCosts[[#This Row],[N_Direct]:[N_SGA]])</f>
        <v>0</v>
      </c>
      <c r="AW362" s="7">
        <f>IF(F362=1,IF(D362="",NA(),VLOOKUP(C362&amp;TableCosts[[#This Row],[Calc_N_Typ]],TRAN_STRITEMS_LABEL,7,0)),0)</f>
        <v>0</v>
      </c>
      <c r="AX362" s="7">
        <f t="shared" si="69"/>
        <v>0</v>
      </c>
      <c r="AY362" s="57" t="str">
        <f t="shared" si="70"/>
        <v/>
      </c>
      <c r="AZ362" s="57" t="str">
        <f t="shared" si="71"/>
        <v/>
      </c>
      <c r="BA362" s="57" t="str">
        <f>IF(F362=1,IF(TableCosts[[#This Row],[TransferFrom]]=TableCosts[[#This Row],[TranferTo]],0,1),"")</f>
        <v/>
      </c>
      <c r="BB362" s="7">
        <f t="shared" si="72"/>
        <v>0</v>
      </c>
      <c r="BC362" s="7">
        <f t="shared" si="73"/>
        <v>0</v>
      </c>
    </row>
    <row r="363" spans="2:55" s="7" customFormat="1" ht="12.75" x14ac:dyDescent="0.2">
      <c r="B363" s="33"/>
      <c r="C363" s="31"/>
      <c r="D363" s="40"/>
      <c r="E363" s="6" t="str">
        <f>IF(F363=1,IF(ISERROR(TableCosts[[#This Row],[N_Tariff]]),Err_Message1,IF(TableCosts[[#This Row],[N_Tariff]]=0,Err_Message2,VLOOKUP(C363&amp;TableCosts[[#This Row],[Calc_N_Typ]],TRAN_STRITEMS_LABEL,5,FALSE))),"")</f>
        <v/>
      </c>
      <c r="F363" s="6">
        <f t="shared" si="74"/>
        <v>0</v>
      </c>
      <c r="G363" s="6" t="str">
        <f>IF(F363=1,IFERROR(VLOOKUP(E363,Tab_ErrMessage[],2,0),VLOOKUP(C363&amp;TableCosts[[#This Row],[Calc_N_Typ]],TRAN_STRITEMS_LABEL,4,FALSE)),"")</f>
        <v/>
      </c>
      <c r="H363" s="40"/>
      <c r="I363" s="40"/>
      <c r="J363" s="35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  <c r="AD363" s="24"/>
      <c r="AE363" s="24"/>
      <c r="AF363" s="24"/>
      <c r="AG363" s="24"/>
      <c r="AH363" s="24"/>
      <c r="AI363" s="24"/>
      <c r="AJ363" s="24"/>
      <c r="AK363" s="38">
        <f t="array" ref="AK363">IF(F363=1,SUM((ROW(M0)=ROW(AK363))*(M0+M1_+M2_+M3_+M4_+M5_+M6_+M7_+M8_+M9_+M10_+M11_+M12_+M13_+M14_+M15_+M16_+M17_+M18_+M19_+M20_+M21_+M22_+M23_+M24_+M25_)),0)</f>
        <v>0</v>
      </c>
      <c r="AL363" s="27">
        <f>TableCosts[[#This Row],[N_Direct]]</f>
        <v>0</v>
      </c>
      <c r="AN363" s="7" t="str">
        <f t="shared" si="63"/>
        <v/>
      </c>
      <c r="AO363" s="7" t="str">
        <f t="shared" si="66"/>
        <v/>
      </c>
      <c r="AP363" s="7" t="str">
        <f t="shared" si="64"/>
        <v/>
      </c>
      <c r="AQ363" s="7" t="str">
        <f t="shared" si="67"/>
        <v/>
      </c>
      <c r="AR363" s="7" t="str">
        <f t="shared" si="65"/>
        <v/>
      </c>
      <c r="AS363" s="7">
        <f t="shared" si="68"/>
        <v>0</v>
      </c>
      <c r="AT363" s="17">
        <f>TableCosts[[#This Row],[N_Amount]]*TableCosts[[#This Row],[N_Tariff]]*TableCosts[[#This Row],[N_ItemsCount]]</f>
        <v>0</v>
      </c>
      <c r="AU363" s="17">
        <f>IF(F363=1,IF(TableCosts[[#This Row],[N_Kateg]]="interné práce",TableCosts[[#This Row],[N_Amount]]*8*PAR_SGA_PERHOUR,0),0)</f>
        <v>0</v>
      </c>
      <c r="AV363" s="17">
        <f>SUM(TableCosts[[#This Row],[N_Direct]:[N_SGA]])</f>
        <v>0</v>
      </c>
      <c r="AW363" s="7">
        <f>IF(F363=1,IF(D363="",NA(),VLOOKUP(C363&amp;TableCosts[[#This Row],[Calc_N_Typ]],TRAN_STRITEMS_LABEL,7,0)),0)</f>
        <v>0</v>
      </c>
      <c r="AX363" s="7">
        <f t="shared" si="69"/>
        <v>0</v>
      </c>
      <c r="AY363" s="57" t="str">
        <f t="shared" si="70"/>
        <v/>
      </c>
      <c r="AZ363" s="57" t="str">
        <f t="shared" si="71"/>
        <v/>
      </c>
      <c r="BA363" s="57" t="str">
        <f>IF(F363=1,IF(TableCosts[[#This Row],[TransferFrom]]=TableCosts[[#This Row],[TranferTo]],0,1),"")</f>
        <v/>
      </c>
      <c r="BB363" s="7">
        <f t="shared" si="72"/>
        <v>0</v>
      </c>
      <c r="BC363" s="7">
        <f t="shared" si="73"/>
        <v>0</v>
      </c>
    </row>
    <row r="364" spans="2:55" s="7" customFormat="1" ht="12.75" x14ac:dyDescent="0.2">
      <c r="B364" s="33"/>
      <c r="C364" s="31"/>
      <c r="D364" s="40"/>
      <c r="E364" s="6" t="str">
        <f>IF(F364=1,IF(ISERROR(TableCosts[[#This Row],[N_Tariff]]),Err_Message1,IF(TableCosts[[#This Row],[N_Tariff]]=0,Err_Message2,VLOOKUP(C364&amp;TableCosts[[#This Row],[Calc_N_Typ]],TRAN_STRITEMS_LABEL,5,FALSE))),"")</f>
        <v/>
      </c>
      <c r="F364" s="6">
        <f t="shared" si="74"/>
        <v>0</v>
      </c>
      <c r="G364" s="6" t="str">
        <f>IF(F364=1,IFERROR(VLOOKUP(E364,Tab_ErrMessage[],2,0),VLOOKUP(C364&amp;TableCosts[[#This Row],[Calc_N_Typ]],TRAN_STRITEMS_LABEL,4,FALSE)),"")</f>
        <v/>
      </c>
      <c r="H364" s="40"/>
      <c r="I364" s="40"/>
      <c r="J364" s="35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  <c r="AD364" s="24"/>
      <c r="AE364" s="24"/>
      <c r="AF364" s="24"/>
      <c r="AG364" s="24"/>
      <c r="AH364" s="24"/>
      <c r="AI364" s="24"/>
      <c r="AJ364" s="24"/>
      <c r="AK364" s="38">
        <f t="array" ref="AK364">IF(F364=1,SUM((ROW(M0)=ROW(AK364))*(M0+M1_+M2_+M3_+M4_+M5_+M6_+M7_+M8_+M9_+M10_+M11_+M12_+M13_+M14_+M15_+M16_+M17_+M18_+M19_+M20_+M21_+M22_+M23_+M24_+M25_)),0)</f>
        <v>0</v>
      </c>
      <c r="AL364" s="27">
        <f>TableCosts[[#This Row],[N_Direct]]</f>
        <v>0</v>
      </c>
      <c r="AN364" s="7" t="str">
        <f t="shared" si="63"/>
        <v/>
      </c>
      <c r="AO364" s="7" t="str">
        <f t="shared" si="66"/>
        <v/>
      </c>
      <c r="AP364" s="7" t="str">
        <f t="shared" si="64"/>
        <v/>
      </c>
      <c r="AQ364" s="7" t="str">
        <f t="shared" si="67"/>
        <v/>
      </c>
      <c r="AR364" s="7" t="str">
        <f t="shared" si="65"/>
        <v/>
      </c>
      <c r="AS364" s="7">
        <f t="shared" si="68"/>
        <v>0</v>
      </c>
      <c r="AT364" s="17">
        <f>TableCosts[[#This Row],[N_Amount]]*TableCosts[[#This Row],[N_Tariff]]*TableCosts[[#This Row],[N_ItemsCount]]</f>
        <v>0</v>
      </c>
      <c r="AU364" s="17">
        <f>IF(F364=1,IF(TableCosts[[#This Row],[N_Kateg]]="interné práce",TableCosts[[#This Row],[N_Amount]]*8*PAR_SGA_PERHOUR,0),0)</f>
        <v>0</v>
      </c>
      <c r="AV364" s="17">
        <f>SUM(TableCosts[[#This Row],[N_Direct]:[N_SGA]])</f>
        <v>0</v>
      </c>
      <c r="AW364" s="7">
        <f>IF(F364=1,IF(D364="",NA(),VLOOKUP(C364&amp;TableCosts[[#This Row],[Calc_N_Typ]],TRAN_STRITEMS_LABEL,7,0)),0)</f>
        <v>0</v>
      </c>
      <c r="AX364" s="7">
        <f t="shared" si="69"/>
        <v>0</v>
      </c>
      <c r="AY364" s="57" t="str">
        <f t="shared" si="70"/>
        <v/>
      </c>
      <c r="AZ364" s="57" t="str">
        <f t="shared" si="71"/>
        <v/>
      </c>
      <c r="BA364" s="57" t="str">
        <f>IF(F364=1,IF(TableCosts[[#This Row],[TransferFrom]]=TableCosts[[#This Row],[TranferTo]],0,1),"")</f>
        <v/>
      </c>
      <c r="BB364" s="7">
        <f t="shared" si="72"/>
        <v>0</v>
      </c>
      <c r="BC364" s="7">
        <f t="shared" si="73"/>
        <v>0</v>
      </c>
    </row>
    <row r="365" spans="2:55" s="7" customFormat="1" ht="12.75" x14ac:dyDescent="0.2">
      <c r="B365" s="33"/>
      <c r="C365" s="31"/>
      <c r="D365" s="40"/>
      <c r="E365" s="6" t="str">
        <f>IF(F365=1,IF(ISERROR(TableCosts[[#This Row],[N_Tariff]]),Err_Message1,IF(TableCosts[[#This Row],[N_Tariff]]=0,Err_Message2,VLOOKUP(C365&amp;TableCosts[[#This Row],[Calc_N_Typ]],TRAN_STRITEMS_LABEL,5,FALSE))),"")</f>
        <v/>
      </c>
      <c r="F365" s="6">
        <f t="shared" si="74"/>
        <v>0</v>
      </c>
      <c r="G365" s="6" t="str">
        <f>IF(F365=1,IFERROR(VLOOKUP(E365,Tab_ErrMessage[],2,0),VLOOKUP(C365&amp;TableCosts[[#This Row],[Calc_N_Typ]],TRAN_STRITEMS_LABEL,4,FALSE)),"")</f>
        <v/>
      </c>
      <c r="H365" s="40"/>
      <c r="I365" s="40"/>
      <c r="J365" s="35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  <c r="AD365" s="24"/>
      <c r="AE365" s="24"/>
      <c r="AF365" s="24"/>
      <c r="AG365" s="24"/>
      <c r="AH365" s="24"/>
      <c r="AI365" s="24"/>
      <c r="AJ365" s="24"/>
      <c r="AK365" s="38">
        <f t="array" ref="AK365">IF(F365=1,SUM((ROW(M0)=ROW(AK365))*(M0+M1_+M2_+M3_+M4_+M5_+M6_+M7_+M8_+M9_+M10_+M11_+M12_+M13_+M14_+M15_+M16_+M17_+M18_+M19_+M20_+M21_+M22_+M23_+M24_+M25_)),0)</f>
        <v>0</v>
      </c>
      <c r="AL365" s="27">
        <f>TableCosts[[#This Row],[N_Direct]]</f>
        <v>0</v>
      </c>
      <c r="AN365" s="7" t="str">
        <f t="shared" si="63"/>
        <v/>
      </c>
      <c r="AO365" s="7" t="str">
        <f t="shared" si="66"/>
        <v/>
      </c>
      <c r="AP365" s="7" t="str">
        <f t="shared" si="64"/>
        <v/>
      </c>
      <c r="AQ365" s="7" t="str">
        <f t="shared" si="67"/>
        <v/>
      </c>
      <c r="AR365" s="7" t="str">
        <f t="shared" si="65"/>
        <v/>
      </c>
      <c r="AS365" s="7">
        <f t="shared" si="68"/>
        <v>0</v>
      </c>
      <c r="AT365" s="17">
        <f>TableCosts[[#This Row],[N_Amount]]*TableCosts[[#This Row],[N_Tariff]]*TableCosts[[#This Row],[N_ItemsCount]]</f>
        <v>0</v>
      </c>
      <c r="AU365" s="17">
        <f>IF(F365=1,IF(TableCosts[[#This Row],[N_Kateg]]="interné práce",TableCosts[[#This Row],[N_Amount]]*8*PAR_SGA_PERHOUR,0),0)</f>
        <v>0</v>
      </c>
      <c r="AV365" s="17">
        <f>SUM(TableCosts[[#This Row],[N_Direct]:[N_SGA]])</f>
        <v>0</v>
      </c>
      <c r="AW365" s="7">
        <f>IF(F365=1,IF(D365="",NA(),VLOOKUP(C365&amp;TableCosts[[#This Row],[Calc_N_Typ]],TRAN_STRITEMS_LABEL,7,0)),0)</f>
        <v>0</v>
      </c>
      <c r="AX365" s="7">
        <f t="shared" si="69"/>
        <v>0</v>
      </c>
      <c r="AY365" s="57" t="str">
        <f t="shared" si="70"/>
        <v/>
      </c>
      <c r="AZ365" s="57" t="str">
        <f t="shared" si="71"/>
        <v/>
      </c>
      <c r="BA365" s="57" t="str">
        <f>IF(F365=1,IF(TableCosts[[#This Row],[TransferFrom]]=TableCosts[[#This Row],[TranferTo]],0,1),"")</f>
        <v/>
      </c>
      <c r="BB365" s="7">
        <f t="shared" si="72"/>
        <v>0</v>
      </c>
      <c r="BC365" s="7">
        <f t="shared" si="73"/>
        <v>0</v>
      </c>
    </row>
    <row r="366" spans="2:55" s="7" customFormat="1" ht="12.75" x14ac:dyDescent="0.2">
      <c r="B366" s="33"/>
      <c r="C366" s="31"/>
      <c r="D366" s="40"/>
      <c r="E366" s="6" t="str">
        <f>IF(F366=1,IF(ISERROR(TableCosts[[#This Row],[N_Tariff]]),Err_Message1,IF(TableCosts[[#This Row],[N_Tariff]]=0,Err_Message2,VLOOKUP(C366&amp;TableCosts[[#This Row],[Calc_N_Typ]],TRAN_STRITEMS_LABEL,5,FALSE))),"")</f>
        <v/>
      </c>
      <c r="F366" s="6">
        <f t="shared" si="74"/>
        <v>0</v>
      </c>
      <c r="G366" s="6" t="str">
        <f>IF(F366=1,IFERROR(VLOOKUP(E366,Tab_ErrMessage[],2,0),VLOOKUP(C366&amp;TableCosts[[#This Row],[Calc_N_Typ]],TRAN_STRITEMS_LABEL,4,FALSE)),"")</f>
        <v/>
      </c>
      <c r="H366" s="40"/>
      <c r="I366" s="40"/>
      <c r="J366" s="35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  <c r="AD366" s="24"/>
      <c r="AE366" s="24"/>
      <c r="AF366" s="24"/>
      <c r="AG366" s="24"/>
      <c r="AH366" s="24"/>
      <c r="AI366" s="24"/>
      <c r="AJ366" s="24"/>
      <c r="AK366" s="38">
        <f t="array" ref="AK366">IF(F366=1,SUM((ROW(M0)=ROW(AK366))*(M0+M1_+M2_+M3_+M4_+M5_+M6_+M7_+M8_+M9_+M10_+M11_+M12_+M13_+M14_+M15_+M16_+M17_+M18_+M19_+M20_+M21_+M22_+M23_+M24_+M25_)),0)</f>
        <v>0</v>
      </c>
      <c r="AL366" s="27">
        <f>TableCosts[[#This Row],[N_Direct]]</f>
        <v>0</v>
      </c>
      <c r="AN366" s="7" t="str">
        <f t="shared" si="63"/>
        <v/>
      </c>
      <c r="AO366" s="7" t="str">
        <f t="shared" si="66"/>
        <v/>
      </c>
      <c r="AP366" s="7" t="str">
        <f t="shared" si="64"/>
        <v/>
      </c>
      <c r="AQ366" s="7" t="str">
        <f t="shared" si="67"/>
        <v/>
      </c>
      <c r="AR366" s="7" t="str">
        <f t="shared" si="65"/>
        <v/>
      </c>
      <c r="AS366" s="7">
        <f t="shared" si="68"/>
        <v>0</v>
      </c>
      <c r="AT366" s="17">
        <f>TableCosts[[#This Row],[N_Amount]]*TableCosts[[#This Row],[N_Tariff]]*TableCosts[[#This Row],[N_ItemsCount]]</f>
        <v>0</v>
      </c>
      <c r="AU366" s="17">
        <f>IF(F366=1,IF(TableCosts[[#This Row],[N_Kateg]]="interné práce",TableCosts[[#This Row],[N_Amount]]*8*PAR_SGA_PERHOUR,0),0)</f>
        <v>0</v>
      </c>
      <c r="AV366" s="17">
        <f>SUM(TableCosts[[#This Row],[N_Direct]:[N_SGA]])</f>
        <v>0</v>
      </c>
      <c r="AW366" s="7">
        <f>IF(F366=1,IF(D366="",NA(),VLOOKUP(C366&amp;TableCosts[[#This Row],[Calc_N_Typ]],TRAN_STRITEMS_LABEL,7,0)),0)</f>
        <v>0</v>
      </c>
      <c r="AX366" s="7">
        <f t="shared" si="69"/>
        <v>0</v>
      </c>
      <c r="AY366" s="57" t="str">
        <f t="shared" si="70"/>
        <v/>
      </c>
      <c r="AZ366" s="57" t="str">
        <f t="shared" si="71"/>
        <v/>
      </c>
      <c r="BA366" s="57" t="str">
        <f>IF(F366=1,IF(TableCosts[[#This Row],[TransferFrom]]=TableCosts[[#This Row],[TranferTo]],0,1),"")</f>
        <v/>
      </c>
      <c r="BB366" s="7">
        <f t="shared" si="72"/>
        <v>0</v>
      </c>
      <c r="BC366" s="7">
        <f t="shared" si="73"/>
        <v>0</v>
      </c>
    </row>
    <row r="367" spans="2:55" s="7" customFormat="1" ht="12.75" x14ac:dyDescent="0.2">
      <c r="B367" s="33"/>
      <c r="C367" s="31"/>
      <c r="D367" s="40"/>
      <c r="E367" s="6" t="str">
        <f>IF(F367=1,IF(ISERROR(TableCosts[[#This Row],[N_Tariff]]),Err_Message1,IF(TableCosts[[#This Row],[N_Tariff]]=0,Err_Message2,VLOOKUP(C367&amp;TableCosts[[#This Row],[Calc_N_Typ]],TRAN_STRITEMS_LABEL,5,FALSE))),"")</f>
        <v/>
      </c>
      <c r="F367" s="6">
        <f t="shared" si="74"/>
        <v>0</v>
      </c>
      <c r="G367" s="6" t="str">
        <f>IF(F367=1,IFERROR(VLOOKUP(E367,Tab_ErrMessage[],2,0),VLOOKUP(C367&amp;TableCosts[[#This Row],[Calc_N_Typ]],TRAN_STRITEMS_LABEL,4,FALSE)),"")</f>
        <v/>
      </c>
      <c r="H367" s="40"/>
      <c r="I367" s="40"/>
      <c r="J367" s="35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  <c r="AD367" s="24"/>
      <c r="AE367" s="24"/>
      <c r="AF367" s="24"/>
      <c r="AG367" s="24"/>
      <c r="AH367" s="24"/>
      <c r="AI367" s="24"/>
      <c r="AJ367" s="24"/>
      <c r="AK367" s="38">
        <f t="array" ref="AK367">IF(F367=1,SUM((ROW(M0)=ROW(AK367))*(M0+M1_+M2_+M3_+M4_+M5_+M6_+M7_+M8_+M9_+M10_+M11_+M12_+M13_+M14_+M15_+M16_+M17_+M18_+M19_+M20_+M21_+M22_+M23_+M24_+M25_)),0)</f>
        <v>0</v>
      </c>
      <c r="AL367" s="27">
        <f>TableCosts[[#This Row],[N_Direct]]</f>
        <v>0</v>
      </c>
      <c r="AN367" s="7" t="str">
        <f t="shared" si="63"/>
        <v/>
      </c>
      <c r="AO367" s="7" t="str">
        <f t="shared" si="66"/>
        <v/>
      </c>
      <c r="AP367" s="7" t="str">
        <f t="shared" si="64"/>
        <v/>
      </c>
      <c r="AQ367" s="7" t="str">
        <f t="shared" si="67"/>
        <v/>
      </c>
      <c r="AR367" s="7" t="str">
        <f t="shared" si="65"/>
        <v/>
      </c>
      <c r="AS367" s="7">
        <f t="shared" si="68"/>
        <v>0</v>
      </c>
      <c r="AT367" s="17">
        <f>TableCosts[[#This Row],[N_Amount]]*TableCosts[[#This Row],[N_Tariff]]*TableCosts[[#This Row],[N_ItemsCount]]</f>
        <v>0</v>
      </c>
      <c r="AU367" s="17">
        <f>IF(F367=1,IF(TableCosts[[#This Row],[N_Kateg]]="interné práce",TableCosts[[#This Row],[N_Amount]]*8*PAR_SGA_PERHOUR,0),0)</f>
        <v>0</v>
      </c>
      <c r="AV367" s="17">
        <f>SUM(TableCosts[[#This Row],[N_Direct]:[N_SGA]])</f>
        <v>0</v>
      </c>
      <c r="AW367" s="7">
        <f>IF(F367=1,IF(D367="",NA(),VLOOKUP(C367&amp;TableCosts[[#This Row],[Calc_N_Typ]],TRAN_STRITEMS_LABEL,7,0)),0)</f>
        <v>0</v>
      </c>
      <c r="AX367" s="7">
        <f t="shared" si="69"/>
        <v>0</v>
      </c>
      <c r="AY367" s="57" t="str">
        <f t="shared" si="70"/>
        <v/>
      </c>
      <c r="AZ367" s="57" t="str">
        <f t="shared" si="71"/>
        <v/>
      </c>
      <c r="BA367" s="57" t="str">
        <f>IF(F367=1,IF(TableCosts[[#This Row],[TransferFrom]]=TableCosts[[#This Row],[TranferTo]],0,1),"")</f>
        <v/>
      </c>
      <c r="BB367" s="7">
        <f t="shared" si="72"/>
        <v>0</v>
      </c>
      <c r="BC367" s="7">
        <f t="shared" si="73"/>
        <v>0</v>
      </c>
    </row>
    <row r="368" spans="2:55" s="7" customFormat="1" ht="12.75" x14ac:dyDescent="0.2">
      <c r="B368" s="33"/>
      <c r="C368" s="31"/>
      <c r="D368" s="40"/>
      <c r="E368" s="6" t="str">
        <f>IF(F368=1,IF(ISERROR(TableCosts[[#This Row],[N_Tariff]]),Err_Message1,IF(TableCosts[[#This Row],[N_Tariff]]=0,Err_Message2,VLOOKUP(C368&amp;TableCosts[[#This Row],[Calc_N_Typ]],TRAN_STRITEMS_LABEL,5,FALSE))),"")</f>
        <v/>
      </c>
      <c r="F368" s="6">
        <f t="shared" si="74"/>
        <v>0</v>
      </c>
      <c r="G368" s="6" t="str">
        <f>IF(F368=1,IFERROR(VLOOKUP(E368,Tab_ErrMessage[],2,0),VLOOKUP(C368&amp;TableCosts[[#This Row],[Calc_N_Typ]],TRAN_STRITEMS_LABEL,4,FALSE)),"")</f>
        <v/>
      </c>
      <c r="H368" s="40"/>
      <c r="I368" s="40"/>
      <c r="J368" s="35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  <c r="AD368" s="24"/>
      <c r="AE368" s="24"/>
      <c r="AF368" s="24"/>
      <c r="AG368" s="24"/>
      <c r="AH368" s="24"/>
      <c r="AI368" s="24"/>
      <c r="AJ368" s="24"/>
      <c r="AK368" s="38">
        <f t="array" ref="AK368">IF(F368=1,SUM((ROW(M0)=ROW(AK368))*(M0+M1_+M2_+M3_+M4_+M5_+M6_+M7_+M8_+M9_+M10_+M11_+M12_+M13_+M14_+M15_+M16_+M17_+M18_+M19_+M20_+M21_+M22_+M23_+M24_+M25_)),0)</f>
        <v>0</v>
      </c>
      <c r="AL368" s="27">
        <f>TableCosts[[#This Row],[N_Direct]]</f>
        <v>0</v>
      </c>
      <c r="AN368" s="7" t="str">
        <f t="shared" si="63"/>
        <v/>
      </c>
      <c r="AO368" s="7" t="str">
        <f t="shared" si="66"/>
        <v/>
      </c>
      <c r="AP368" s="7" t="str">
        <f t="shared" si="64"/>
        <v/>
      </c>
      <c r="AQ368" s="7" t="str">
        <f t="shared" si="67"/>
        <v/>
      </c>
      <c r="AR368" s="7" t="str">
        <f t="shared" si="65"/>
        <v/>
      </c>
      <c r="AS368" s="7">
        <f t="shared" si="68"/>
        <v>0</v>
      </c>
      <c r="AT368" s="17">
        <f>TableCosts[[#This Row],[N_Amount]]*TableCosts[[#This Row],[N_Tariff]]*TableCosts[[#This Row],[N_ItemsCount]]</f>
        <v>0</v>
      </c>
      <c r="AU368" s="17">
        <f>IF(F368=1,IF(TableCosts[[#This Row],[N_Kateg]]="interné práce",TableCosts[[#This Row],[N_Amount]]*8*PAR_SGA_PERHOUR,0),0)</f>
        <v>0</v>
      </c>
      <c r="AV368" s="17">
        <f>SUM(TableCosts[[#This Row],[N_Direct]:[N_SGA]])</f>
        <v>0</v>
      </c>
      <c r="AW368" s="7">
        <f>IF(F368=1,IF(D368="",NA(),VLOOKUP(C368&amp;TableCosts[[#This Row],[Calc_N_Typ]],TRAN_STRITEMS_LABEL,7,0)),0)</f>
        <v>0</v>
      </c>
      <c r="AX368" s="7">
        <f t="shared" si="69"/>
        <v>0</v>
      </c>
      <c r="AY368" s="57" t="str">
        <f t="shared" si="70"/>
        <v/>
      </c>
      <c r="AZ368" s="57" t="str">
        <f t="shared" si="71"/>
        <v/>
      </c>
      <c r="BA368" s="57" t="str">
        <f>IF(F368=1,IF(TableCosts[[#This Row],[TransferFrom]]=TableCosts[[#This Row],[TranferTo]],0,1),"")</f>
        <v/>
      </c>
      <c r="BB368" s="7">
        <f t="shared" si="72"/>
        <v>0</v>
      </c>
      <c r="BC368" s="7">
        <f t="shared" si="73"/>
        <v>0</v>
      </c>
    </row>
    <row r="369" spans="2:55" s="7" customFormat="1" ht="12.75" x14ac:dyDescent="0.2">
      <c r="B369" s="33"/>
      <c r="C369" s="31"/>
      <c r="D369" s="40"/>
      <c r="E369" s="6" t="str">
        <f>IF(F369=1,IF(ISERROR(TableCosts[[#This Row],[N_Tariff]]),Err_Message1,IF(TableCosts[[#This Row],[N_Tariff]]=0,Err_Message2,VLOOKUP(C369&amp;TableCosts[[#This Row],[Calc_N_Typ]],TRAN_STRITEMS_LABEL,5,FALSE))),"")</f>
        <v/>
      </c>
      <c r="F369" s="6">
        <f t="shared" si="74"/>
        <v>0</v>
      </c>
      <c r="G369" s="6" t="str">
        <f>IF(F369=1,IFERROR(VLOOKUP(E369,Tab_ErrMessage[],2,0),VLOOKUP(C369&amp;TableCosts[[#This Row],[Calc_N_Typ]],TRAN_STRITEMS_LABEL,4,FALSE)),"")</f>
        <v/>
      </c>
      <c r="H369" s="40"/>
      <c r="I369" s="40"/>
      <c r="J369" s="35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  <c r="AD369" s="24"/>
      <c r="AE369" s="24"/>
      <c r="AF369" s="24"/>
      <c r="AG369" s="24"/>
      <c r="AH369" s="24"/>
      <c r="AI369" s="24"/>
      <c r="AJ369" s="24"/>
      <c r="AK369" s="38">
        <f t="array" ref="AK369">IF(F369=1,SUM((ROW(M0)=ROW(AK369))*(M0+M1_+M2_+M3_+M4_+M5_+M6_+M7_+M8_+M9_+M10_+M11_+M12_+M13_+M14_+M15_+M16_+M17_+M18_+M19_+M20_+M21_+M22_+M23_+M24_+M25_)),0)</f>
        <v>0</v>
      </c>
      <c r="AL369" s="27">
        <f>TableCosts[[#This Row],[N_Direct]]</f>
        <v>0</v>
      </c>
      <c r="AN369" s="7" t="str">
        <f t="shared" si="63"/>
        <v/>
      </c>
      <c r="AO369" s="7" t="str">
        <f t="shared" si="66"/>
        <v/>
      </c>
      <c r="AP369" s="7" t="str">
        <f t="shared" si="64"/>
        <v/>
      </c>
      <c r="AQ369" s="7" t="str">
        <f t="shared" si="67"/>
        <v/>
      </c>
      <c r="AR369" s="7" t="str">
        <f t="shared" si="65"/>
        <v/>
      </c>
      <c r="AS369" s="7">
        <f t="shared" si="68"/>
        <v>0</v>
      </c>
      <c r="AT369" s="17">
        <f>TableCosts[[#This Row],[N_Amount]]*TableCosts[[#This Row],[N_Tariff]]*TableCosts[[#This Row],[N_ItemsCount]]</f>
        <v>0</v>
      </c>
      <c r="AU369" s="17">
        <f>IF(F369=1,IF(TableCosts[[#This Row],[N_Kateg]]="interné práce",TableCosts[[#This Row],[N_Amount]]*8*PAR_SGA_PERHOUR,0),0)</f>
        <v>0</v>
      </c>
      <c r="AV369" s="17">
        <f>SUM(TableCosts[[#This Row],[N_Direct]:[N_SGA]])</f>
        <v>0</v>
      </c>
      <c r="AW369" s="7">
        <f>IF(F369=1,IF(D369="",NA(),VLOOKUP(C369&amp;TableCosts[[#This Row],[Calc_N_Typ]],TRAN_STRITEMS_LABEL,7,0)),0)</f>
        <v>0</v>
      </c>
      <c r="AX369" s="7">
        <f t="shared" si="69"/>
        <v>0</v>
      </c>
      <c r="AY369" s="57" t="str">
        <f t="shared" si="70"/>
        <v/>
      </c>
      <c r="AZ369" s="57" t="str">
        <f t="shared" si="71"/>
        <v/>
      </c>
      <c r="BA369" s="57" t="str">
        <f>IF(F369=1,IF(TableCosts[[#This Row],[TransferFrom]]=TableCosts[[#This Row],[TranferTo]],0,1),"")</f>
        <v/>
      </c>
      <c r="BB369" s="7">
        <f t="shared" si="72"/>
        <v>0</v>
      </c>
      <c r="BC369" s="7">
        <f t="shared" si="73"/>
        <v>0</v>
      </c>
    </row>
    <row r="370" spans="2:55" s="7" customFormat="1" ht="12.75" x14ac:dyDescent="0.2">
      <c r="B370" s="33"/>
      <c r="C370" s="31"/>
      <c r="D370" s="40"/>
      <c r="E370" s="6" t="str">
        <f>IF(F370=1,IF(ISERROR(TableCosts[[#This Row],[N_Tariff]]),Err_Message1,IF(TableCosts[[#This Row],[N_Tariff]]=0,Err_Message2,VLOOKUP(C370&amp;TableCosts[[#This Row],[Calc_N_Typ]],TRAN_STRITEMS_LABEL,5,FALSE))),"")</f>
        <v/>
      </c>
      <c r="F370" s="6">
        <f t="shared" si="74"/>
        <v>0</v>
      </c>
      <c r="G370" s="6" t="str">
        <f>IF(F370=1,IFERROR(VLOOKUP(E370,Tab_ErrMessage[],2,0),VLOOKUP(C370&amp;TableCosts[[#This Row],[Calc_N_Typ]],TRAN_STRITEMS_LABEL,4,FALSE)),"")</f>
        <v/>
      </c>
      <c r="H370" s="40"/>
      <c r="I370" s="40"/>
      <c r="J370" s="35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  <c r="AD370" s="24"/>
      <c r="AE370" s="24"/>
      <c r="AF370" s="24"/>
      <c r="AG370" s="24"/>
      <c r="AH370" s="24"/>
      <c r="AI370" s="24"/>
      <c r="AJ370" s="24"/>
      <c r="AK370" s="38">
        <f t="array" ref="AK370">IF(F370=1,SUM((ROW(M0)=ROW(AK370))*(M0+M1_+M2_+M3_+M4_+M5_+M6_+M7_+M8_+M9_+M10_+M11_+M12_+M13_+M14_+M15_+M16_+M17_+M18_+M19_+M20_+M21_+M22_+M23_+M24_+M25_)),0)</f>
        <v>0</v>
      </c>
      <c r="AL370" s="27">
        <f>TableCosts[[#This Row],[N_Direct]]</f>
        <v>0</v>
      </c>
      <c r="AN370" s="7" t="str">
        <f t="shared" si="63"/>
        <v/>
      </c>
      <c r="AO370" s="7" t="str">
        <f t="shared" si="66"/>
        <v/>
      </c>
      <c r="AP370" s="7" t="str">
        <f t="shared" si="64"/>
        <v/>
      </c>
      <c r="AQ370" s="7" t="str">
        <f t="shared" si="67"/>
        <v/>
      </c>
      <c r="AR370" s="7" t="str">
        <f t="shared" si="65"/>
        <v/>
      </c>
      <c r="AS370" s="7">
        <f t="shared" si="68"/>
        <v>0</v>
      </c>
      <c r="AT370" s="17">
        <f>TableCosts[[#This Row],[N_Amount]]*TableCosts[[#This Row],[N_Tariff]]*TableCosts[[#This Row],[N_ItemsCount]]</f>
        <v>0</v>
      </c>
      <c r="AU370" s="17">
        <f>IF(F370=1,IF(TableCosts[[#This Row],[N_Kateg]]="interné práce",TableCosts[[#This Row],[N_Amount]]*8*PAR_SGA_PERHOUR,0),0)</f>
        <v>0</v>
      </c>
      <c r="AV370" s="17">
        <f>SUM(TableCosts[[#This Row],[N_Direct]:[N_SGA]])</f>
        <v>0</v>
      </c>
      <c r="AW370" s="7">
        <f>IF(F370=1,IF(D370="",NA(),VLOOKUP(C370&amp;TableCosts[[#This Row],[Calc_N_Typ]],TRAN_STRITEMS_LABEL,7,0)),0)</f>
        <v>0</v>
      </c>
      <c r="AX370" s="7">
        <f t="shared" si="69"/>
        <v>0</v>
      </c>
      <c r="AY370" s="57" t="str">
        <f t="shared" si="70"/>
        <v/>
      </c>
      <c r="AZ370" s="57" t="str">
        <f t="shared" si="71"/>
        <v/>
      </c>
      <c r="BA370" s="57" t="str">
        <f>IF(F370=1,IF(TableCosts[[#This Row],[TransferFrom]]=TableCosts[[#This Row],[TranferTo]],0,1),"")</f>
        <v/>
      </c>
      <c r="BB370" s="7">
        <f t="shared" si="72"/>
        <v>0</v>
      </c>
      <c r="BC370" s="7">
        <f t="shared" si="73"/>
        <v>0</v>
      </c>
    </row>
    <row r="371" spans="2:55" s="7" customFormat="1" ht="12.75" x14ac:dyDescent="0.2">
      <c r="B371" s="33"/>
      <c r="C371" s="31"/>
      <c r="D371" s="40"/>
      <c r="E371" s="6" t="str">
        <f>IF(F371=1,IF(ISERROR(TableCosts[[#This Row],[N_Tariff]]),Err_Message1,IF(TableCosts[[#This Row],[N_Tariff]]=0,Err_Message2,VLOOKUP(C371&amp;TableCosts[[#This Row],[Calc_N_Typ]],TRAN_STRITEMS_LABEL,5,FALSE))),"")</f>
        <v/>
      </c>
      <c r="F371" s="6">
        <f t="shared" si="74"/>
        <v>0</v>
      </c>
      <c r="G371" s="6" t="str">
        <f>IF(F371=1,IFERROR(VLOOKUP(E371,Tab_ErrMessage[],2,0),VLOOKUP(C371&amp;TableCosts[[#This Row],[Calc_N_Typ]],TRAN_STRITEMS_LABEL,4,FALSE)),"")</f>
        <v/>
      </c>
      <c r="H371" s="40"/>
      <c r="I371" s="40"/>
      <c r="J371" s="35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  <c r="AD371" s="24"/>
      <c r="AE371" s="24"/>
      <c r="AF371" s="24"/>
      <c r="AG371" s="24"/>
      <c r="AH371" s="24"/>
      <c r="AI371" s="24"/>
      <c r="AJ371" s="24"/>
      <c r="AK371" s="38">
        <f t="array" ref="AK371">IF(F371=1,SUM((ROW(M0)=ROW(AK371))*(M0+M1_+M2_+M3_+M4_+M5_+M6_+M7_+M8_+M9_+M10_+M11_+M12_+M13_+M14_+M15_+M16_+M17_+M18_+M19_+M20_+M21_+M22_+M23_+M24_+M25_)),0)</f>
        <v>0</v>
      </c>
      <c r="AL371" s="27">
        <f>TableCosts[[#This Row],[N_Direct]]</f>
        <v>0</v>
      </c>
      <c r="AN371" s="7" t="str">
        <f t="shared" si="63"/>
        <v/>
      </c>
      <c r="AO371" s="7" t="str">
        <f t="shared" si="66"/>
        <v/>
      </c>
      <c r="AP371" s="7" t="str">
        <f t="shared" si="64"/>
        <v/>
      </c>
      <c r="AQ371" s="7" t="str">
        <f t="shared" si="67"/>
        <v/>
      </c>
      <c r="AR371" s="7" t="str">
        <f t="shared" si="65"/>
        <v/>
      </c>
      <c r="AS371" s="7">
        <f t="shared" si="68"/>
        <v>0</v>
      </c>
      <c r="AT371" s="17">
        <f>TableCosts[[#This Row],[N_Amount]]*TableCosts[[#This Row],[N_Tariff]]*TableCosts[[#This Row],[N_ItemsCount]]</f>
        <v>0</v>
      </c>
      <c r="AU371" s="17">
        <f>IF(F371=1,IF(TableCosts[[#This Row],[N_Kateg]]="interné práce",TableCosts[[#This Row],[N_Amount]]*8*PAR_SGA_PERHOUR,0),0)</f>
        <v>0</v>
      </c>
      <c r="AV371" s="17">
        <f>SUM(TableCosts[[#This Row],[N_Direct]:[N_SGA]])</f>
        <v>0</v>
      </c>
      <c r="AW371" s="7">
        <f>IF(F371=1,IF(D371="",NA(),VLOOKUP(C371&amp;TableCosts[[#This Row],[Calc_N_Typ]],TRAN_STRITEMS_LABEL,7,0)),0)</f>
        <v>0</v>
      </c>
      <c r="AX371" s="7">
        <f t="shared" si="69"/>
        <v>0</v>
      </c>
      <c r="AY371" s="57" t="str">
        <f t="shared" si="70"/>
        <v/>
      </c>
      <c r="AZ371" s="57" t="str">
        <f t="shared" si="71"/>
        <v/>
      </c>
      <c r="BA371" s="57" t="str">
        <f>IF(F371=1,IF(TableCosts[[#This Row],[TransferFrom]]=TableCosts[[#This Row],[TranferTo]],0,1),"")</f>
        <v/>
      </c>
      <c r="BB371" s="7">
        <f t="shared" si="72"/>
        <v>0</v>
      </c>
      <c r="BC371" s="7">
        <f t="shared" si="73"/>
        <v>0</v>
      </c>
    </row>
    <row r="372" spans="2:55" s="7" customFormat="1" ht="12.75" x14ac:dyDescent="0.2">
      <c r="B372" s="33"/>
      <c r="C372" s="31"/>
      <c r="D372" s="40"/>
      <c r="E372" s="6" t="str">
        <f>IF(F372=1,IF(ISERROR(TableCosts[[#This Row],[N_Tariff]]),Err_Message1,IF(TableCosts[[#This Row],[N_Tariff]]=0,Err_Message2,VLOOKUP(C372&amp;TableCosts[[#This Row],[Calc_N_Typ]],TRAN_STRITEMS_LABEL,5,FALSE))),"")</f>
        <v/>
      </c>
      <c r="F372" s="6">
        <f t="shared" si="74"/>
        <v>0</v>
      </c>
      <c r="G372" s="6" t="str">
        <f>IF(F372=1,IFERROR(VLOOKUP(E372,Tab_ErrMessage[],2,0),VLOOKUP(C372&amp;TableCosts[[#This Row],[Calc_N_Typ]],TRAN_STRITEMS_LABEL,4,FALSE)),"")</f>
        <v/>
      </c>
      <c r="H372" s="40"/>
      <c r="I372" s="40"/>
      <c r="J372" s="35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  <c r="AD372" s="24"/>
      <c r="AE372" s="24"/>
      <c r="AF372" s="24"/>
      <c r="AG372" s="24"/>
      <c r="AH372" s="24"/>
      <c r="AI372" s="24"/>
      <c r="AJ372" s="24"/>
      <c r="AK372" s="38">
        <f t="array" ref="AK372">IF(F372=1,SUM((ROW(M0)=ROW(AK372))*(M0+M1_+M2_+M3_+M4_+M5_+M6_+M7_+M8_+M9_+M10_+M11_+M12_+M13_+M14_+M15_+M16_+M17_+M18_+M19_+M20_+M21_+M22_+M23_+M24_+M25_)),0)</f>
        <v>0</v>
      </c>
      <c r="AL372" s="27">
        <f>TableCosts[[#This Row],[N_Direct]]</f>
        <v>0</v>
      </c>
      <c r="AN372" s="7" t="str">
        <f t="shared" si="63"/>
        <v/>
      </c>
      <c r="AO372" s="7" t="str">
        <f t="shared" si="66"/>
        <v/>
      </c>
      <c r="AP372" s="7" t="str">
        <f t="shared" si="64"/>
        <v/>
      </c>
      <c r="AQ372" s="7" t="str">
        <f t="shared" si="67"/>
        <v/>
      </c>
      <c r="AR372" s="7" t="str">
        <f t="shared" si="65"/>
        <v/>
      </c>
      <c r="AS372" s="7">
        <f t="shared" si="68"/>
        <v>0</v>
      </c>
      <c r="AT372" s="17">
        <f>TableCosts[[#This Row],[N_Amount]]*TableCosts[[#This Row],[N_Tariff]]*TableCosts[[#This Row],[N_ItemsCount]]</f>
        <v>0</v>
      </c>
      <c r="AU372" s="17">
        <f>IF(F372=1,IF(TableCosts[[#This Row],[N_Kateg]]="interné práce",TableCosts[[#This Row],[N_Amount]]*8*PAR_SGA_PERHOUR,0),0)</f>
        <v>0</v>
      </c>
      <c r="AV372" s="17">
        <f>SUM(TableCosts[[#This Row],[N_Direct]:[N_SGA]])</f>
        <v>0</v>
      </c>
      <c r="AW372" s="7">
        <f>IF(F372=1,IF(D372="",NA(),VLOOKUP(C372&amp;TableCosts[[#This Row],[Calc_N_Typ]],TRAN_STRITEMS_LABEL,7,0)),0)</f>
        <v>0</v>
      </c>
      <c r="AX372" s="7">
        <f t="shared" si="69"/>
        <v>0</v>
      </c>
      <c r="AY372" s="57" t="str">
        <f t="shared" si="70"/>
        <v/>
      </c>
      <c r="AZ372" s="57" t="str">
        <f t="shared" si="71"/>
        <v/>
      </c>
      <c r="BA372" s="57" t="str">
        <f>IF(F372=1,IF(TableCosts[[#This Row],[TransferFrom]]=TableCosts[[#This Row],[TranferTo]],0,1),"")</f>
        <v/>
      </c>
      <c r="BB372" s="7">
        <f t="shared" si="72"/>
        <v>0</v>
      </c>
      <c r="BC372" s="7">
        <f t="shared" si="73"/>
        <v>0</v>
      </c>
    </row>
    <row r="373" spans="2:55" s="7" customFormat="1" ht="12.75" x14ac:dyDescent="0.2">
      <c r="B373" s="33"/>
      <c r="C373" s="31"/>
      <c r="D373" s="40"/>
      <c r="E373" s="6" t="str">
        <f>IF(F373=1,IF(ISERROR(TableCosts[[#This Row],[N_Tariff]]),Err_Message1,IF(TableCosts[[#This Row],[N_Tariff]]=0,Err_Message2,VLOOKUP(C373&amp;TableCosts[[#This Row],[Calc_N_Typ]],TRAN_STRITEMS_LABEL,5,FALSE))),"")</f>
        <v/>
      </c>
      <c r="F373" s="6">
        <f t="shared" si="74"/>
        <v>0</v>
      </c>
      <c r="G373" s="6" t="str">
        <f>IF(F373=1,IFERROR(VLOOKUP(E373,Tab_ErrMessage[],2,0),VLOOKUP(C373&amp;TableCosts[[#This Row],[Calc_N_Typ]],TRAN_STRITEMS_LABEL,4,FALSE)),"")</f>
        <v/>
      </c>
      <c r="H373" s="40"/>
      <c r="I373" s="40"/>
      <c r="J373" s="35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  <c r="AD373" s="24"/>
      <c r="AE373" s="24"/>
      <c r="AF373" s="24"/>
      <c r="AG373" s="24"/>
      <c r="AH373" s="24"/>
      <c r="AI373" s="24"/>
      <c r="AJ373" s="24"/>
      <c r="AK373" s="38">
        <f t="array" ref="AK373">IF(F373=1,SUM((ROW(M0)=ROW(AK373))*(M0+M1_+M2_+M3_+M4_+M5_+M6_+M7_+M8_+M9_+M10_+M11_+M12_+M13_+M14_+M15_+M16_+M17_+M18_+M19_+M20_+M21_+M22_+M23_+M24_+M25_)),0)</f>
        <v>0</v>
      </c>
      <c r="AL373" s="27">
        <f>TableCosts[[#This Row],[N_Direct]]</f>
        <v>0</v>
      </c>
      <c r="AN373" s="7" t="str">
        <f t="shared" si="63"/>
        <v/>
      </c>
      <c r="AO373" s="7" t="str">
        <f t="shared" si="66"/>
        <v/>
      </c>
      <c r="AP373" s="7" t="str">
        <f t="shared" si="64"/>
        <v/>
      </c>
      <c r="AQ373" s="7" t="str">
        <f t="shared" si="67"/>
        <v/>
      </c>
      <c r="AR373" s="7" t="str">
        <f t="shared" si="65"/>
        <v/>
      </c>
      <c r="AS373" s="7">
        <f t="shared" si="68"/>
        <v>0</v>
      </c>
      <c r="AT373" s="17">
        <f>TableCosts[[#This Row],[N_Amount]]*TableCosts[[#This Row],[N_Tariff]]*TableCosts[[#This Row],[N_ItemsCount]]</f>
        <v>0</v>
      </c>
      <c r="AU373" s="17">
        <f>IF(F373=1,IF(TableCosts[[#This Row],[N_Kateg]]="interné práce",TableCosts[[#This Row],[N_Amount]]*8*PAR_SGA_PERHOUR,0),0)</f>
        <v>0</v>
      </c>
      <c r="AV373" s="17">
        <f>SUM(TableCosts[[#This Row],[N_Direct]:[N_SGA]])</f>
        <v>0</v>
      </c>
      <c r="AW373" s="7">
        <f>IF(F373=1,IF(D373="",NA(),VLOOKUP(C373&amp;TableCosts[[#This Row],[Calc_N_Typ]],TRAN_STRITEMS_LABEL,7,0)),0)</f>
        <v>0</v>
      </c>
      <c r="AX373" s="7">
        <f t="shared" si="69"/>
        <v>0</v>
      </c>
      <c r="AY373" s="57" t="str">
        <f t="shared" si="70"/>
        <v/>
      </c>
      <c r="AZ373" s="57" t="str">
        <f t="shared" si="71"/>
        <v/>
      </c>
      <c r="BA373" s="57" t="str">
        <f>IF(F373=1,IF(TableCosts[[#This Row],[TransferFrom]]=TableCosts[[#This Row],[TranferTo]],0,1),"")</f>
        <v/>
      </c>
      <c r="BB373" s="7">
        <f t="shared" si="72"/>
        <v>0</v>
      </c>
      <c r="BC373" s="7">
        <f t="shared" si="73"/>
        <v>0</v>
      </c>
    </row>
    <row r="374" spans="2:55" s="7" customFormat="1" ht="12.75" x14ac:dyDescent="0.2">
      <c r="B374" s="33"/>
      <c r="C374" s="31"/>
      <c r="D374" s="40"/>
      <c r="E374" s="6" t="str">
        <f>IF(F374=1,IF(ISERROR(TableCosts[[#This Row],[N_Tariff]]),Err_Message1,IF(TableCosts[[#This Row],[N_Tariff]]=0,Err_Message2,VLOOKUP(C374&amp;TableCosts[[#This Row],[Calc_N_Typ]],TRAN_STRITEMS_LABEL,5,FALSE))),"")</f>
        <v/>
      </c>
      <c r="F374" s="6">
        <f t="shared" si="74"/>
        <v>0</v>
      </c>
      <c r="G374" s="6" t="str">
        <f>IF(F374=1,IFERROR(VLOOKUP(E374,Tab_ErrMessage[],2,0),VLOOKUP(C374&amp;TableCosts[[#This Row],[Calc_N_Typ]],TRAN_STRITEMS_LABEL,4,FALSE)),"")</f>
        <v/>
      </c>
      <c r="H374" s="40"/>
      <c r="I374" s="40"/>
      <c r="J374" s="35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  <c r="AD374" s="24"/>
      <c r="AE374" s="24"/>
      <c r="AF374" s="24"/>
      <c r="AG374" s="24"/>
      <c r="AH374" s="24"/>
      <c r="AI374" s="24"/>
      <c r="AJ374" s="24"/>
      <c r="AK374" s="38">
        <f t="array" ref="AK374">IF(F374=1,SUM((ROW(M0)=ROW(AK374))*(M0+M1_+M2_+M3_+M4_+M5_+M6_+M7_+M8_+M9_+M10_+M11_+M12_+M13_+M14_+M15_+M16_+M17_+M18_+M19_+M20_+M21_+M22_+M23_+M24_+M25_)),0)</f>
        <v>0</v>
      </c>
      <c r="AL374" s="27">
        <f>TableCosts[[#This Row],[N_Direct]]</f>
        <v>0</v>
      </c>
      <c r="AN374" s="7" t="str">
        <f t="shared" si="63"/>
        <v/>
      </c>
      <c r="AO374" s="7" t="str">
        <f t="shared" si="66"/>
        <v/>
      </c>
      <c r="AP374" s="7" t="str">
        <f t="shared" si="64"/>
        <v/>
      </c>
      <c r="AQ374" s="7" t="str">
        <f t="shared" si="67"/>
        <v/>
      </c>
      <c r="AR374" s="7" t="str">
        <f t="shared" si="65"/>
        <v/>
      </c>
      <c r="AS374" s="7">
        <f t="shared" si="68"/>
        <v>0</v>
      </c>
      <c r="AT374" s="17">
        <f>TableCosts[[#This Row],[N_Amount]]*TableCosts[[#This Row],[N_Tariff]]*TableCosts[[#This Row],[N_ItemsCount]]</f>
        <v>0</v>
      </c>
      <c r="AU374" s="17">
        <f>IF(F374=1,IF(TableCosts[[#This Row],[N_Kateg]]="interné práce",TableCosts[[#This Row],[N_Amount]]*8*PAR_SGA_PERHOUR,0),0)</f>
        <v>0</v>
      </c>
      <c r="AV374" s="17">
        <f>SUM(TableCosts[[#This Row],[N_Direct]:[N_SGA]])</f>
        <v>0</v>
      </c>
      <c r="AW374" s="7">
        <f>IF(F374=1,IF(D374="",NA(),VLOOKUP(C374&amp;TableCosts[[#This Row],[Calc_N_Typ]],TRAN_STRITEMS_LABEL,7,0)),0)</f>
        <v>0</v>
      </c>
      <c r="AX374" s="7">
        <f t="shared" si="69"/>
        <v>0</v>
      </c>
      <c r="AY374" s="57" t="str">
        <f t="shared" si="70"/>
        <v/>
      </c>
      <c r="AZ374" s="57" t="str">
        <f t="shared" si="71"/>
        <v/>
      </c>
      <c r="BA374" s="57" t="str">
        <f>IF(F374=1,IF(TableCosts[[#This Row],[TransferFrom]]=TableCosts[[#This Row],[TranferTo]],0,1),"")</f>
        <v/>
      </c>
      <c r="BB374" s="7">
        <f t="shared" si="72"/>
        <v>0</v>
      </c>
      <c r="BC374" s="7">
        <f t="shared" si="73"/>
        <v>0</v>
      </c>
    </row>
    <row r="375" spans="2:55" s="7" customFormat="1" ht="12.75" x14ac:dyDescent="0.2">
      <c r="B375" s="33"/>
      <c r="C375" s="31"/>
      <c r="D375" s="40"/>
      <c r="E375" s="6" t="str">
        <f>IF(F375=1,IF(ISERROR(TableCosts[[#This Row],[N_Tariff]]),Err_Message1,IF(TableCosts[[#This Row],[N_Tariff]]=0,Err_Message2,VLOOKUP(C375&amp;TableCosts[[#This Row],[Calc_N_Typ]],TRAN_STRITEMS_LABEL,5,FALSE))),"")</f>
        <v/>
      </c>
      <c r="F375" s="6">
        <f t="shared" si="74"/>
        <v>0</v>
      </c>
      <c r="G375" s="6" t="str">
        <f>IF(F375=1,IFERROR(VLOOKUP(E375,Tab_ErrMessage[],2,0),VLOOKUP(C375&amp;TableCosts[[#This Row],[Calc_N_Typ]],TRAN_STRITEMS_LABEL,4,FALSE)),"")</f>
        <v/>
      </c>
      <c r="H375" s="40"/>
      <c r="I375" s="40"/>
      <c r="J375" s="35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  <c r="AD375" s="24"/>
      <c r="AE375" s="24"/>
      <c r="AF375" s="24"/>
      <c r="AG375" s="24"/>
      <c r="AH375" s="24"/>
      <c r="AI375" s="24"/>
      <c r="AJ375" s="24"/>
      <c r="AK375" s="38">
        <f t="array" ref="AK375">IF(F375=1,SUM((ROW(M0)=ROW(AK375))*(M0+M1_+M2_+M3_+M4_+M5_+M6_+M7_+M8_+M9_+M10_+M11_+M12_+M13_+M14_+M15_+M16_+M17_+M18_+M19_+M20_+M21_+M22_+M23_+M24_+M25_)),0)</f>
        <v>0</v>
      </c>
      <c r="AL375" s="27">
        <f>TableCosts[[#This Row],[N_Direct]]</f>
        <v>0</v>
      </c>
      <c r="AN375" s="7" t="str">
        <f t="shared" ref="AN375:AN438" si="75">IF(F375=1,B375,"")</f>
        <v/>
      </c>
      <c r="AO375" s="7" t="str">
        <f t="shared" si="66"/>
        <v/>
      </c>
      <c r="AP375" s="7" t="str">
        <f t="shared" ref="AP375:AP438" si="76">IF(F375=1,E375,"")</f>
        <v/>
      </c>
      <c r="AQ375" s="7" t="str">
        <f t="shared" si="67"/>
        <v/>
      </c>
      <c r="AR375" s="7" t="str">
        <f t="shared" ref="AR375:AR438" si="77">IF(F375=1,G375,"")</f>
        <v/>
      </c>
      <c r="AS375" s="7">
        <f t="shared" si="68"/>
        <v>0</v>
      </c>
      <c r="AT375" s="17">
        <f>TableCosts[[#This Row],[N_Amount]]*TableCosts[[#This Row],[N_Tariff]]*TableCosts[[#This Row],[N_ItemsCount]]</f>
        <v>0</v>
      </c>
      <c r="AU375" s="17">
        <f>IF(F375=1,IF(TableCosts[[#This Row],[N_Kateg]]="interné práce",TableCosts[[#This Row],[N_Amount]]*8*PAR_SGA_PERHOUR,0),0)</f>
        <v>0</v>
      </c>
      <c r="AV375" s="17">
        <f>SUM(TableCosts[[#This Row],[N_Direct]:[N_SGA]])</f>
        <v>0</v>
      </c>
      <c r="AW375" s="7">
        <f>IF(F375=1,IF(D375="",NA(),VLOOKUP(C375&amp;TableCosts[[#This Row],[Calc_N_Typ]],TRAN_STRITEMS_LABEL,7,0)),0)</f>
        <v>0</v>
      </c>
      <c r="AX375" s="7">
        <f t="shared" si="69"/>
        <v>0</v>
      </c>
      <c r="AY375" s="57" t="str">
        <f t="shared" si="70"/>
        <v/>
      </c>
      <c r="AZ375" s="57" t="str">
        <f t="shared" si="71"/>
        <v/>
      </c>
      <c r="BA375" s="57" t="str">
        <f>IF(F375=1,IF(TableCosts[[#This Row],[TransferFrom]]=TableCosts[[#This Row],[TranferTo]],0,1),"")</f>
        <v/>
      </c>
      <c r="BB375" s="7">
        <f t="shared" si="72"/>
        <v>0</v>
      </c>
      <c r="BC375" s="7">
        <f t="shared" si="73"/>
        <v>0</v>
      </c>
    </row>
    <row r="376" spans="2:55" s="7" customFormat="1" ht="12.75" x14ac:dyDescent="0.2">
      <c r="B376" s="33"/>
      <c r="C376" s="31"/>
      <c r="D376" s="40"/>
      <c r="E376" s="6" t="str">
        <f>IF(F376=1,IF(ISERROR(TableCosts[[#This Row],[N_Tariff]]),Err_Message1,IF(TableCosts[[#This Row],[N_Tariff]]=0,Err_Message2,VLOOKUP(C376&amp;TableCosts[[#This Row],[Calc_N_Typ]],TRAN_STRITEMS_LABEL,5,FALSE))),"")</f>
        <v/>
      </c>
      <c r="F376" s="6">
        <f t="shared" si="74"/>
        <v>0</v>
      </c>
      <c r="G376" s="6" t="str">
        <f>IF(F376=1,IFERROR(VLOOKUP(E376,Tab_ErrMessage[],2,0),VLOOKUP(C376&amp;TableCosts[[#This Row],[Calc_N_Typ]],TRAN_STRITEMS_LABEL,4,FALSE)),"")</f>
        <v/>
      </c>
      <c r="H376" s="40"/>
      <c r="I376" s="40"/>
      <c r="J376" s="35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24"/>
      <c r="AG376" s="24"/>
      <c r="AH376" s="24"/>
      <c r="AI376" s="24"/>
      <c r="AJ376" s="24"/>
      <c r="AK376" s="38">
        <f t="array" ref="AK376">IF(F376=1,SUM((ROW(M0)=ROW(AK376))*(M0+M1_+M2_+M3_+M4_+M5_+M6_+M7_+M8_+M9_+M10_+M11_+M12_+M13_+M14_+M15_+M16_+M17_+M18_+M19_+M20_+M21_+M22_+M23_+M24_+M25_)),0)</f>
        <v>0</v>
      </c>
      <c r="AL376" s="27">
        <f>TableCosts[[#This Row],[N_Direct]]</f>
        <v>0</v>
      </c>
      <c r="AN376" s="7" t="str">
        <f t="shared" si="75"/>
        <v/>
      </c>
      <c r="AO376" s="7" t="str">
        <f t="shared" si="66"/>
        <v/>
      </c>
      <c r="AP376" s="7" t="str">
        <f t="shared" si="76"/>
        <v/>
      </c>
      <c r="AQ376" s="7" t="str">
        <f t="shared" si="67"/>
        <v/>
      </c>
      <c r="AR376" s="7" t="str">
        <f t="shared" si="77"/>
        <v/>
      </c>
      <c r="AS376" s="7">
        <f t="shared" si="68"/>
        <v>0</v>
      </c>
      <c r="AT376" s="17">
        <f>TableCosts[[#This Row],[N_Amount]]*TableCosts[[#This Row],[N_Tariff]]*TableCosts[[#This Row],[N_ItemsCount]]</f>
        <v>0</v>
      </c>
      <c r="AU376" s="17">
        <f>IF(F376=1,IF(TableCosts[[#This Row],[N_Kateg]]="interné práce",TableCosts[[#This Row],[N_Amount]]*8*PAR_SGA_PERHOUR,0),0)</f>
        <v>0</v>
      </c>
      <c r="AV376" s="17">
        <f>SUM(TableCosts[[#This Row],[N_Direct]:[N_SGA]])</f>
        <v>0</v>
      </c>
      <c r="AW376" s="7">
        <f>IF(F376=1,IF(D376="",NA(),VLOOKUP(C376&amp;TableCosts[[#This Row],[Calc_N_Typ]],TRAN_STRITEMS_LABEL,7,0)),0)</f>
        <v>0</v>
      </c>
      <c r="AX376" s="7">
        <f t="shared" si="69"/>
        <v>0</v>
      </c>
      <c r="AY376" s="57" t="str">
        <f t="shared" si="70"/>
        <v/>
      </c>
      <c r="AZ376" s="57" t="str">
        <f t="shared" si="71"/>
        <v/>
      </c>
      <c r="BA376" s="57" t="str">
        <f>IF(F376=1,IF(TableCosts[[#This Row],[TransferFrom]]=TableCosts[[#This Row],[TranferTo]],0,1),"")</f>
        <v/>
      </c>
      <c r="BB376" s="7">
        <f t="shared" si="72"/>
        <v>0</v>
      </c>
      <c r="BC376" s="7">
        <f t="shared" si="73"/>
        <v>0</v>
      </c>
    </row>
    <row r="377" spans="2:55" s="7" customFormat="1" ht="12.75" x14ac:dyDescent="0.2">
      <c r="B377" s="33"/>
      <c r="C377" s="31"/>
      <c r="D377" s="40"/>
      <c r="E377" s="6" t="str">
        <f>IF(F377=1,IF(ISERROR(TableCosts[[#This Row],[N_Tariff]]),Err_Message1,IF(TableCosts[[#This Row],[N_Tariff]]=0,Err_Message2,VLOOKUP(C377&amp;TableCosts[[#This Row],[Calc_N_Typ]],TRAN_STRITEMS_LABEL,5,FALSE))),"")</f>
        <v/>
      </c>
      <c r="F377" s="6">
        <f t="shared" si="74"/>
        <v>0</v>
      </c>
      <c r="G377" s="6" t="str">
        <f>IF(F377=1,IFERROR(VLOOKUP(E377,Tab_ErrMessage[],2,0),VLOOKUP(C377&amp;TableCosts[[#This Row],[Calc_N_Typ]],TRAN_STRITEMS_LABEL,4,FALSE)),"")</f>
        <v/>
      </c>
      <c r="H377" s="40"/>
      <c r="I377" s="40"/>
      <c r="J377" s="35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  <c r="AD377" s="24"/>
      <c r="AE377" s="24"/>
      <c r="AF377" s="24"/>
      <c r="AG377" s="24"/>
      <c r="AH377" s="24"/>
      <c r="AI377" s="24"/>
      <c r="AJ377" s="24"/>
      <c r="AK377" s="38">
        <f t="array" ref="AK377">IF(F377=1,SUM((ROW(M0)=ROW(AK377))*(M0+M1_+M2_+M3_+M4_+M5_+M6_+M7_+M8_+M9_+M10_+M11_+M12_+M13_+M14_+M15_+M16_+M17_+M18_+M19_+M20_+M21_+M22_+M23_+M24_+M25_)),0)</f>
        <v>0</v>
      </c>
      <c r="AL377" s="27">
        <f>TableCosts[[#This Row],[N_Direct]]</f>
        <v>0</v>
      </c>
      <c r="AN377" s="7" t="str">
        <f t="shared" si="75"/>
        <v/>
      </c>
      <c r="AO377" s="7" t="str">
        <f t="shared" si="66"/>
        <v/>
      </c>
      <c r="AP377" s="7" t="str">
        <f t="shared" si="76"/>
        <v/>
      </c>
      <c r="AQ377" s="7" t="str">
        <f t="shared" si="67"/>
        <v/>
      </c>
      <c r="AR377" s="7" t="str">
        <f t="shared" si="77"/>
        <v/>
      </c>
      <c r="AS377" s="7">
        <f t="shared" si="68"/>
        <v>0</v>
      </c>
      <c r="AT377" s="17">
        <f>TableCosts[[#This Row],[N_Amount]]*TableCosts[[#This Row],[N_Tariff]]*TableCosts[[#This Row],[N_ItemsCount]]</f>
        <v>0</v>
      </c>
      <c r="AU377" s="17">
        <f>IF(F377=1,IF(TableCosts[[#This Row],[N_Kateg]]="interné práce",TableCosts[[#This Row],[N_Amount]]*8*PAR_SGA_PERHOUR,0),0)</f>
        <v>0</v>
      </c>
      <c r="AV377" s="17">
        <f>SUM(TableCosts[[#This Row],[N_Direct]:[N_SGA]])</f>
        <v>0</v>
      </c>
      <c r="AW377" s="7">
        <f>IF(F377=1,IF(D377="",NA(),VLOOKUP(C377&amp;TableCosts[[#This Row],[Calc_N_Typ]],TRAN_STRITEMS_LABEL,7,0)),0)</f>
        <v>0</v>
      </c>
      <c r="AX377" s="7">
        <f t="shared" si="69"/>
        <v>0</v>
      </c>
      <c r="AY377" s="57" t="str">
        <f t="shared" si="70"/>
        <v/>
      </c>
      <c r="AZ377" s="57" t="str">
        <f t="shared" si="71"/>
        <v/>
      </c>
      <c r="BA377" s="57" t="str">
        <f>IF(F377=1,IF(TableCosts[[#This Row],[TransferFrom]]=TableCosts[[#This Row],[TranferTo]],0,1),"")</f>
        <v/>
      </c>
      <c r="BB377" s="7">
        <f t="shared" si="72"/>
        <v>0</v>
      </c>
      <c r="BC377" s="7">
        <f t="shared" si="73"/>
        <v>0</v>
      </c>
    </row>
    <row r="378" spans="2:55" s="7" customFormat="1" ht="12.75" x14ac:dyDescent="0.2">
      <c r="B378" s="33"/>
      <c r="C378" s="31"/>
      <c r="D378" s="40"/>
      <c r="E378" s="6" t="str">
        <f>IF(F378=1,IF(ISERROR(TableCosts[[#This Row],[N_Tariff]]),Err_Message1,IF(TableCosts[[#This Row],[N_Tariff]]=0,Err_Message2,VLOOKUP(C378&amp;TableCosts[[#This Row],[Calc_N_Typ]],TRAN_STRITEMS_LABEL,5,FALSE))),"")</f>
        <v/>
      </c>
      <c r="F378" s="6">
        <f t="shared" si="74"/>
        <v>0</v>
      </c>
      <c r="G378" s="6" t="str">
        <f>IF(F378=1,IFERROR(VLOOKUP(E378,Tab_ErrMessage[],2,0),VLOOKUP(C378&amp;TableCosts[[#This Row],[Calc_N_Typ]],TRAN_STRITEMS_LABEL,4,FALSE)),"")</f>
        <v/>
      </c>
      <c r="H378" s="40"/>
      <c r="I378" s="40"/>
      <c r="J378" s="35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  <c r="AD378" s="24"/>
      <c r="AE378" s="24"/>
      <c r="AF378" s="24"/>
      <c r="AG378" s="24"/>
      <c r="AH378" s="24"/>
      <c r="AI378" s="24"/>
      <c r="AJ378" s="24"/>
      <c r="AK378" s="38">
        <f t="array" ref="AK378">IF(F378=1,SUM((ROW(M0)=ROW(AK378))*(M0+M1_+M2_+M3_+M4_+M5_+M6_+M7_+M8_+M9_+M10_+M11_+M12_+M13_+M14_+M15_+M16_+M17_+M18_+M19_+M20_+M21_+M22_+M23_+M24_+M25_)),0)</f>
        <v>0</v>
      </c>
      <c r="AL378" s="27">
        <f>TableCosts[[#This Row],[N_Direct]]</f>
        <v>0</v>
      </c>
      <c r="AN378" s="7" t="str">
        <f t="shared" si="75"/>
        <v/>
      </c>
      <c r="AO378" s="7" t="str">
        <f t="shared" si="66"/>
        <v/>
      </c>
      <c r="AP378" s="7" t="str">
        <f t="shared" si="76"/>
        <v/>
      </c>
      <c r="AQ378" s="7" t="str">
        <f t="shared" si="67"/>
        <v/>
      </c>
      <c r="AR378" s="7" t="str">
        <f t="shared" si="77"/>
        <v/>
      </c>
      <c r="AS378" s="7">
        <f t="shared" si="68"/>
        <v>0</v>
      </c>
      <c r="AT378" s="17">
        <f>TableCosts[[#This Row],[N_Amount]]*TableCosts[[#This Row],[N_Tariff]]*TableCosts[[#This Row],[N_ItemsCount]]</f>
        <v>0</v>
      </c>
      <c r="AU378" s="17">
        <f>IF(F378=1,IF(TableCosts[[#This Row],[N_Kateg]]="interné práce",TableCosts[[#This Row],[N_Amount]]*8*PAR_SGA_PERHOUR,0),0)</f>
        <v>0</v>
      </c>
      <c r="AV378" s="17">
        <f>SUM(TableCosts[[#This Row],[N_Direct]:[N_SGA]])</f>
        <v>0</v>
      </c>
      <c r="AW378" s="7">
        <f>IF(F378=1,IF(D378="",NA(),VLOOKUP(C378&amp;TableCosts[[#This Row],[Calc_N_Typ]],TRAN_STRITEMS_LABEL,7,0)),0)</f>
        <v>0</v>
      </c>
      <c r="AX378" s="7">
        <f t="shared" si="69"/>
        <v>0</v>
      </c>
      <c r="AY378" s="57" t="str">
        <f t="shared" si="70"/>
        <v/>
      </c>
      <c r="AZ378" s="57" t="str">
        <f t="shared" si="71"/>
        <v/>
      </c>
      <c r="BA378" s="57" t="str">
        <f>IF(F378=1,IF(TableCosts[[#This Row],[TransferFrom]]=TableCosts[[#This Row],[TranferTo]],0,1),"")</f>
        <v/>
      </c>
      <c r="BB378" s="7">
        <f t="shared" si="72"/>
        <v>0</v>
      </c>
      <c r="BC378" s="7">
        <f t="shared" si="73"/>
        <v>0</v>
      </c>
    </row>
    <row r="379" spans="2:55" s="7" customFormat="1" ht="12.75" x14ac:dyDescent="0.2">
      <c r="B379" s="33"/>
      <c r="C379" s="31"/>
      <c r="D379" s="40"/>
      <c r="E379" s="6" t="str">
        <f>IF(F379=1,IF(ISERROR(TableCosts[[#This Row],[N_Tariff]]),Err_Message1,IF(TableCosts[[#This Row],[N_Tariff]]=0,Err_Message2,VLOOKUP(C379&amp;TableCosts[[#This Row],[Calc_N_Typ]],TRAN_STRITEMS_LABEL,5,FALSE))),"")</f>
        <v/>
      </c>
      <c r="F379" s="6">
        <f t="shared" si="74"/>
        <v>0</v>
      </c>
      <c r="G379" s="6" t="str">
        <f>IF(F379=1,IFERROR(VLOOKUP(E379,Tab_ErrMessage[],2,0),VLOOKUP(C379&amp;TableCosts[[#This Row],[Calc_N_Typ]],TRAN_STRITEMS_LABEL,4,FALSE)),"")</f>
        <v/>
      </c>
      <c r="H379" s="40"/>
      <c r="I379" s="40"/>
      <c r="J379" s="35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  <c r="AD379" s="24"/>
      <c r="AE379" s="24"/>
      <c r="AF379" s="24"/>
      <c r="AG379" s="24"/>
      <c r="AH379" s="24"/>
      <c r="AI379" s="24"/>
      <c r="AJ379" s="24"/>
      <c r="AK379" s="38">
        <f t="array" ref="AK379">IF(F379=1,SUM((ROW(M0)=ROW(AK379))*(M0+M1_+M2_+M3_+M4_+M5_+M6_+M7_+M8_+M9_+M10_+M11_+M12_+M13_+M14_+M15_+M16_+M17_+M18_+M19_+M20_+M21_+M22_+M23_+M24_+M25_)),0)</f>
        <v>0</v>
      </c>
      <c r="AL379" s="27">
        <f>TableCosts[[#This Row],[N_Direct]]</f>
        <v>0</v>
      </c>
      <c r="AN379" s="7" t="str">
        <f t="shared" si="75"/>
        <v/>
      </c>
      <c r="AO379" s="7" t="str">
        <f t="shared" si="66"/>
        <v/>
      </c>
      <c r="AP379" s="7" t="str">
        <f t="shared" si="76"/>
        <v/>
      </c>
      <c r="AQ379" s="7" t="str">
        <f t="shared" si="67"/>
        <v/>
      </c>
      <c r="AR379" s="7" t="str">
        <f t="shared" si="77"/>
        <v/>
      </c>
      <c r="AS379" s="7">
        <f t="shared" si="68"/>
        <v>0</v>
      </c>
      <c r="AT379" s="17">
        <f>TableCosts[[#This Row],[N_Amount]]*TableCosts[[#This Row],[N_Tariff]]*TableCosts[[#This Row],[N_ItemsCount]]</f>
        <v>0</v>
      </c>
      <c r="AU379" s="17">
        <f>IF(F379=1,IF(TableCosts[[#This Row],[N_Kateg]]="interné práce",TableCosts[[#This Row],[N_Amount]]*8*PAR_SGA_PERHOUR,0),0)</f>
        <v>0</v>
      </c>
      <c r="AV379" s="17">
        <f>SUM(TableCosts[[#This Row],[N_Direct]:[N_SGA]])</f>
        <v>0</v>
      </c>
      <c r="AW379" s="7">
        <f>IF(F379=1,IF(D379="",NA(),VLOOKUP(C379&amp;TableCosts[[#This Row],[Calc_N_Typ]],TRAN_STRITEMS_LABEL,7,0)),0)</f>
        <v>0</v>
      </c>
      <c r="AX379" s="7">
        <f t="shared" si="69"/>
        <v>0</v>
      </c>
      <c r="AY379" s="57" t="str">
        <f t="shared" si="70"/>
        <v/>
      </c>
      <c r="AZ379" s="57" t="str">
        <f t="shared" si="71"/>
        <v/>
      </c>
      <c r="BA379" s="57" t="str">
        <f>IF(F379=1,IF(TableCosts[[#This Row],[TransferFrom]]=TableCosts[[#This Row],[TranferTo]],0,1),"")</f>
        <v/>
      </c>
      <c r="BB379" s="7">
        <f t="shared" si="72"/>
        <v>0</v>
      </c>
      <c r="BC379" s="7">
        <f t="shared" si="73"/>
        <v>0</v>
      </c>
    </row>
    <row r="380" spans="2:55" s="7" customFormat="1" ht="12.75" x14ac:dyDescent="0.2">
      <c r="B380" s="33"/>
      <c r="C380" s="31"/>
      <c r="D380" s="40"/>
      <c r="E380" s="6" t="str">
        <f>IF(F380=1,IF(ISERROR(TableCosts[[#This Row],[N_Tariff]]),Err_Message1,IF(TableCosts[[#This Row],[N_Tariff]]=0,Err_Message2,VLOOKUP(C380&amp;TableCosts[[#This Row],[Calc_N_Typ]],TRAN_STRITEMS_LABEL,5,FALSE))),"")</f>
        <v/>
      </c>
      <c r="F380" s="6">
        <f t="shared" si="74"/>
        <v>0</v>
      </c>
      <c r="G380" s="6" t="str">
        <f>IF(F380=1,IFERROR(VLOOKUP(E380,Tab_ErrMessage[],2,0),VLOOKUP(C380&amp;TableCosts[[#This Row],[Calc_N_Typ]],TRAN_STRITEMS_LABEL,4,FALSE)),"")</f>
        <v/>
      </c>
      <c r="H380" s="40"/>
      <c r="I380" s="40"/>
      <c r="J380" s="35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  <c r="AD380" s="24"/>
      <c r="AE380" s="24"/>
      <c r="AF380" s="24"/>
      <c r="AG380" s="24"/>
      <c r="AH380" s="24"/>
      <c r="AI380" s="24"/>
      <c r="AJ380" s="24"/>
      <c r="AK380" s="38">
        <f t="array" ref="AK380">IF(F380=1,SUM((ROW(M0)=ROW(AK380))*(M0+M1_+M2_+M3_+M4_+M5_+M6_+M7_+M8_+M9_+M10_+M11_+M12_+M13_+M14_+M15_+M16_+M17_+M18_+M19_+M20_+M21_+M22_+M23_+M24_+M25_)),0)</f>
        <v>0</v>
      </c>
      <c r="AL380" s="27">
        <f>TableCosts[[#This Row],[N_Direct]]</f>
        <v>0</v>
      </c>
      <c r="AN380" s="7" t="str">
        <f t="shared" si="75"/>
        <v/>
      </c>
      <c r="AO380" s="7" t="str">
        <f t="shared" si="66"/>
        <v/>
      </c>
      <c r="AP380" s="7" t="str">
        <f t="shared" si="76"/>
        <v/>
      </c>
      <c r="AQ380" s="7" t="str">
        <f t="shared" si="67"/>
        <v/>
      </c>
      <c r="AR380" s="7" t="str">
        <f t="shared" si="77"/>
        <v/>
      </c>
      <c r="AS380" s="7">
        <f t="shared" si="68"/>
        <v>0</v>
      </c>
      <c r="AT380" s="17">
        <f>TableCosts[[#This Row],[N_Amount]]*TableCosts[[#This Row],[N_Tariff]]*TableCosts[[#This Row],[N_ItemsCount]]</f>
        <v>0</v>
      </c>
      <c r="AU380" s="17">
        <f>IF(F380=1,IF(TableCosts[[#This Row],[N_Kateg]]="interné práce",TableCosts[[#This Row],[N_Amount]]*8*PAR_SGA_PERHOUR,0),0)</f>
        <v>0</v>
      </c>
      <c r="AV380" s="17">
        <f>SUM(TableCosts[[#This Row],[N_Direct]:[N_SGA]])</f>
        <v>0</v>
      </c>
      <c r="AW380" s="7">
        <f>IF(F380=1,IF(D380="",NA(),VLOOKUP(C380&amp;TableCosts[[#This Row],[Calc_N_Typ]],TRAN_STRITEMS_LABEL,7,0)),0)</f>
        <v>0</v>
      </c>
      <c r="AX380" s="7">
        <f t="shared" si="69"/>
        <v>0</v>
      </c>
      <c r="AY380" s="57" t="str">
        <f t="shared" si="70"/>
        <v/>
      </c>
      <c r="AZ380" s="57" t="str">
        <f t="shared" si="71"/>
        <v/>
      </c>
      <c r="BA380" s="57" t="str">
        <f>IF(F380=1,IF(TableCosts[[#This Row],[TransferFrom]]=TableCosts[[#This Row],[TranferTo]],0,1),"")</f>
        <v/>
      </c>
      <c r="BB380" s="7">
        <f t="shared" si="72"/>
        <v>0</v>
      </c>
      <c r="BC380" s="7">
        <f t="shared" si="73"/>
        <v>0</v>
      </c>
    </row>
    <row r="381" spans="2:55" s="7" customFormat="1" ht="12.75" x14ac:dyDescent="0.2">
      <c r="B381" s="33"/>
      <c r="C381" s="31"/>
      <c r="D381" s="40"/>
      <c r="E381" s="6" t="str">
        <f>IF(F381=1,IF(ISERROR(TableCosts[[#This Row],[N_Tariff]]),Err_Message1,IF(TableCosts[[#This Row],[N_Tariff]]=0,Err_Message2,VLOOKUP(C381&amp;TableCosts[[#This Row],[Calc_N_Typ]],TRAN_STRITEMS_LABEL,5,FALSE))),"")</f>
        <v/>
      </c>
      <c r="F381" s="6">
        <f t="shared" si="74"/>
        <v>0</v>
      </c>
      <c r="G381" s="6" t="str">
        <f>IF(F381=1,IFERROR(VLOOKUP(E381,Tab_ErrMessage[],2,0),VLOOKUP(C381&amp;TableCosts[[#This Row],[Calc_N_Typ]],TRAN_STRITEMS_LABEL,4,FALSE)),"")</f>
        <v/>
      </c>
      <c r="H381" s="40"/>
      <c r="I381" s="40"/>
      <c r="J381" s="35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  <c r="AD381" s="24"/>
      <c r="AE381" s="24"/>
      <c r="AF381" s="24"/>
      <c r="AG381" s="24"/>
      <c r="AH381" s="24"/>
      <c r="AI381" s="24"/>
      <c r="AJ381" s="24"/>
      <c r="AK381" s="38">
        <f t="array" ref="AK381">IF(F381=1,SUM((ROW(M0)=ROW(AK381))*(M0+M1_+M2_+M3_+M4_+M5_+M6_+M7_+M8_+M9_+M10_+M11_+M12_+M13_+M14_+M15_+M16_+M17_+M18_+M19_+M20_+M21_+M22_+M23_+M24_+M25_)),0)</f>
        <v>0</v>
      </c>
      <c r="AL381" s="27">
        <f>TableCosts[[#This Row],[N_Direct]]</f>
        <v>0</v>
      </c>
      <c r="AN381" s="7" t="str">
        <f t="shared" si="75"/>
        <v/>
      </c>
      <c r="AO381" s="7" t="str">
        <f t="shared" si="66"/>
        <v/>
      </c>
      <c r="AP381" s="7" t="str">
        <f t="shared" si="76"/>
        <v/>
      </c>
      <c r="AQ381" s="7" t="str">
        <f t="shared" si="67"/>
        <v/>
      </c>
      <c r="AR381" s="7" t="str">
        <f t="shared" si="77"/>
        <v/>
      </c>
      <c r="AS381" s="7">
        <f t="shared" si="68"/>
        <v>0</v>
      </c>
      <c r="AT381" s="17">
        <f>TableCosts[[#This Row],[N_Amount]]*TableCosts[[#This Row],[N_Tariff]]*TableCosts[[#This Row],[N_ItemsCount]]</f>
        <v>0</v>
      </c>
      <c r="AU381" s="17">
        <f>IF(F381=1,IF(TableCosts[[#This Row],[N_Kateg]]="interné práce",TableCosts[[#This Row],[N_Amount]]*8*PAR_SGA_PERHOUR,0),0)</f>
        <v>0</v>
      </c>
      <c r="AV381" s="17">
        <f>SUM(TableCosts[[#This Row],[N_Direct]:[N_SGA]])</f>
        <v>0</v>
      </c>
      <c r="AW381" s="7">
        <f>IF(F381=1,IF(D381="",NA(),VLOOKUP(C381&amp;TableCosts[[#This Row],[Calc_N_Typ]],TRAN_STRITEMS_LABEL,7,0)),0)</f>
        <v>0</v>
      </c>
      <c r="AX381" s="7">
        <f t="shared" si="69"/>
        <v>0</v>
      </c>
      <c r="AY381" s="57" t="str">
        <f t="shared" si="70"/>
        <v/>
      </c>
      <c r="AZ381" s="57" t="str">
        <f t="shared" si="71"/>
        <v/>
      </c>
      <c r="BA381" s="57" t="str">
        <f>IF(F381=1,IF(TableCosts[[#This Row],[TransferFrom]]=TableCosts[[#This Row],[TranferTo]],0,1),"")</f>
        <v/>
      </c>
      <c r="BB381" s="7">
        <f t="shared" si="72"/>
        <v>0</v>
      </c>
      <c r="BC381" s="7">
        <f t="shared" si="73"/>
        <v>0</v>
      </c>
    </row>
    <row r="382" spans="2:55" s="7" customFormat="1" ht="12.75" x14ac:dyDescent="0.2">
      <c r="B382" s="33"/>
      <c r="C382" s="31"/>
      <c r="D382" s="40"/>
      <c r="E382" s="6" t="str">
        <f>IF(F382=1,IF(ISERROR(TableCosts[[#This Row],[N_Tariff]]),Err_Message1,IF(TableCosts[[#This Row],[N_Tariff]]=0,Err_Message2,VLOOKUP(C382&amp;TableCosts[[#This Row],[Calc_N_Typ]],TRAN_STRITEMS_LABEL,5,FALSE))),"")</f>
        <v/>
      </c>
      <c r="F382" s="6">
        <f t="shared" si="74"/>
        <v>0</v>
      </c>
      <c r="G382" s="6" t="str">
        <f>IF(F382=1,IFERROR(VLOOKUP(E382,Tab_ErrMessage[],2,0),VLOOKUP(C382&amp;TableCosts[[#This Row],[Calc_N_Typ]],TRAN_STRITEMS_LABEL,4,FALSE)),"")</f>
        <v/>
      </c>
      <c r="H382" s="40"/>
      <c r="I382" s="40"/>
      <c r="J382" s="35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  <c r="AD382" s="24"/>
      <c r="AE382" s="24"/>
      <c r="AF382" s="24"/>
      <c r="AG382" s="24"/>
      <c r="AH382" s="24"/>
      <c r="AI382" s="24"/>
      <c r="AJ382" s="24"/>
      <c r="AK382" s="38">
        <f t="array" ref="AK382">IF(F382=1,SUM((ROW(M0)=ROW(AK382))*(M0+M1_+M2_+M3_+M4_+M5_+M6_+M7_+M8_+M9_+M10_+M11_+M12_+M13_+M14_+M15_+M16_+M17_+M18_+M19_+M20_+M21_+M22_+M23_+M24_+M25_)),0)</f>
        <v>0</v>
      </c>
      <c r="AL382" s="27">
        <f>TableCosts[[#This Row],[N_Direct]]</f>
        <v>0</v>
      </c>
      <c r="AN382" s="7" t="str">
        <f t="shared" si="75"/>
        <v/>
      </c>
      <c r="AO382" s="7" t="str">
        <f t="shared" si="66"/>
        <v/>
      </c>
      <c r="AP382" s="7" t="str">
        <f t="shared" si="76"/>
        <v/>
      </c>
      <c r="AQ382" s="7" t="str">
        <f t="shared" si="67"/>
        <v/>
      </c>
      <c r="AR382" s="7" t="str">
        <f t="shared" si="77"/>
        <v/>
      </c>
      <c r="AS382" s="7">
        <f t="shared" si="68"/>
        <v>0</v>
      </c>
      <c r="AT382" s="17">
        <f>TableCosts[[#This Row],[N_Amount]]*TableCosts[[#This Row],[N_Tariff]]*TableCosts[[#This Row],[N_ItemsCount]]</f>
        <v>0</v>
      </c>
      <c r="AU382" s="17">
        <f>IF(F382=1,IF(TableCosts[[#This Row],[N_Kateg]]="interné práce",TableCosts[[#This Row],[N_Amount]]*8*PAR_SGA_PERHOUR,0),0)</f>
        <v>0</v>
      </c>
      <c r="AV382" s="17">
        <f>SUM(TableCosts[[#This Row],[N_Direct]:[N_SGA]])</f>
        <v>0</v>
      </c>
      <c r="AW382" s="7">
        <f>IF(F382=1,IF(D382="",NA(),VLOOKUP(C382&amp;TableCosts[[#This Row],[Calc_N_Typ]],TRAN_STRITEMS_LABEL,7,0)),0)</f>
        <v>0</v>
      </c>
      <c r="AX382" s="7">
        <f t="shared" si="69"/>
        <v>0</v>
      </c>
      <c r="AY382" s="57" t="str">
        <f t="shared" si="70"/>
        <v/>
      </c>
      <c r="AZ382" s="57" t="str">
        <f t="shared" si="71"/>
        <v/>
      </c>
      <c r="BA382" s="57" t="str">
        <f>IF(F382=1,IF(TableCosts[[#This Row],[TransferFrom]]=TableCosts[[#This Row],[TranferTo]],0,1),"")</f>
        <v/>
      </c>
      <c r="BB382" s="7">
        <f t="shared" si="72"/>
        <v>0</v>
      </c>
      <c r="BC382" s="7">
        <f t="shared" si="73"/>
        <v>0</v>
      </c>
    </row>
    <row r="383" spans="2:55" s="7" customFormat="1" ht="12.75" x14ac:dyDescent="0.2">
      <c r="B383" s="33"/>
      <c r="C383" s="31"/>
      <c r="D383" s="40"/>
      <c r="E383" s="6" t="str">
        <f>IF(F383=1,IF(ISERROR(TableCosts[[#This Row],[N_Tariff]]),Err_Message1,IF(TableCosts[[#This Row],[N_Tariff]]=0,Err_Message2,VLOOKUP(C383&amp;TableCosts[[#This Row],[Calc_N_Typ]],TRAN_STRITEMS_LABEL,5,FALSE))),"")</f>
        <v/>
      </c>
      <c r="F383" s="6">
        <f t="shared" si="74"/>
        <v>0</v>
      </c>
      <c r="G383" s="6" t="str">
        <f>IF(F383=1,IFERROR(VLOOKUP(E383,Tab_ErrMessage[],2,0),VLOOKUP(C383&amp;TableCosts[[#This Row],[Calc_N_Typ]],TRAN_STRITEMS_LABEL,4,FALSE)),"")</f>
        <v/>
      </c>
      <c r="H383" s="40"/>
      <c r="I383" s="40"/>
      <c r="J383" s="35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  <c r="AD383" s="24"/>
      <c r="AE383" s="24"/>
      <c r="AF383" s="24"/>
      <c r="AG383" s="24"/>
      <c r="AH383" s="24"/>
      <c r="AI383" s="24"/>
      <c r="AJ383" s="24"/>
      <c r="AK383" s="38">
        <f t="array" ref="AK383">IF(F383=1,SUM((ROW(M0)=ROW(AK383))*(M0+M1_+M2_+M3_+M4_+M5_+M6_+M7_+M8_+M9_+M10_+M11_+M12_+M13_+M14_+M15_+M16_+M17_+M18_+M19_+M20_+M21_+M22_+M23_+M24_+M25_)),0)</f>
        <v>0</v>
      </c>
      <c r="AL383" s="27">
        <f>TableCosts[[#This Row],[N_Direct]]</f>
        <v>0</v>
      </c>
      <c r="AN383" s="7" t="str">
        <f t="shared" si="75"/>
        <v/>
      </c>
      <c r="AO383" s="7" t="str">
        <f t="shared" si="66"/>
        <v/>
      </c>
      <c r="AP383" s="7" t="str">
        <f t="shared" si="76"/>
        <v/>
      </c>
      <c r="AQ383" s="7" t="str">
        <f t="shared" si="67"/>
        <v/>
      </c>
      <c r="AR383" s="7" t="str">
        <f t="shared" si="77"/>
        <v/>
      </c>
      <c r="AS383" s="7">
        <f t="shared" si="68"/>
        <v>0</v>
      </c>
      <c r="AT383" s="17">
        <f>TableCosts[[#This Row],[N_Amount]]*TableCosts[[#This Row],[N_Tariff]]*TableCosts[[#This Row],[N_ItemsCount]]</f>
        <v>0</v>
      </c>
      <c r="AU383" s="17">
        <f>IF(F383=1,IF(TableCosts[[#This Row],[N_Kateg]]="interné práce",TableCosts[[#This Row],[N_Amount]]*8*PAR_SGA_PERHOUR,0),0)</f>
        <v>0</v>
      </c>
      <c r="AV383" s="17">
        <f>SUM(TableCosts[[#This Row],[N_Direct]:[N_SGA]])</f>
        <v>0</v>
      </c>
      <c r="AW383" s="7">
        <f>IF(F383=1,IF(D383="",NA(),VLOOKUP(C383&amp;TableCosts[[#This Row],[Calc_N_Typ]],TRAN_STRITEMS_LABEL,7,0)),0)</f>
        <v>0</v>
      </c>
      <c r="AX383" s="7">
        <f t="shared" si="69"/>
        <v>0</v>
      </c>
      <c r="AY383" s="57" t="str">
        <f t="shared" si="70"/>
        <v/>
      </c>
      <c r="AZ383" s="57" t="str">
        <f t="shared" si="71"/>
        <v/>
      </c>
      <c r="BA383" s="57" t="str">
        <f>IF(F383=1,IF(TableCosts[[#This Row],[TransferFrom]]=TableCosts[[#This Row],[TranferTo]],0,1),"")</f>
        <v/>
      </c>
      <c r="BB383" s="7">
        <f t="shared" si="72"/>
        <v>0</v>
      </c>
      <c r="BC383" s="7">
        <f t="shared" si="73"/>
        <v>0</v>
      </c>
    </row>
    <row r="384" spans="2:55" s="7" customFormat="1" ht="12.75" x14ac:dyDescent="0.2">
      <c r="B384" s="33"/>
      <c r="C384" s="31"/>
      <c r="D384" s="40"/>
      <c r="E384" s="6" t="str">
        <f>IF(F384=1,IF(ISERROR(TableCosts[[#This Row],[N_Tariff]]),Err_Message1,IF(TableCosts[[#This Row],[N_Tariff]]=0,Err_Message2,VLOOKUP(C384&amp;TableCosts[[#This Row],[Calc_N_Typ]],TRAN_STRITEMS_LABEL,5,FALSE))),"")</f>
        <v/>
      </c>
      <c r="F384" s="6">
        <f t="shared" si="74"/>
        <v>0</v>
      </c>
      <c r="G384" s="6" t="str">
        <f>IF(F384=1,IFERROR(VLOOKUP(E384,Tab_ErrMessage[],2,0),VLOOKUP(C384&amp;TableCosts[[#This Row],[Calc_N_Typ]],TRAN_STRITEMS_LABEL,4,FALSE)),"")</f>
        <v/>
      </c>
      <c r="H384" s="40"/>
      <c r="I384" s="40"/>
      <c r="J384" s="35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  <c r="AD384" s="24"/>
      <c r="AE384" s="24"/>
      <c r="AF384" s="24"/>
      <c r="AG384" s="24"/>
      <c r="AH384" s="24"/>
      <c r="AI384" s="24"/>
      <c r="AJ384" s="24"/>
      <c r="AK384" s="38">
        <f t="array" ref="AK384">IF(F384=1,SUM((ROW(M0)=ROW(AK384))*(M0+M1_+M2_+M3_+M4_+M5_+M6_+M7_+M8_+M9_+M10_+M11_+M12_+M13_+M14_+M15_+M16_+M17_+M18_+M19_+M20_+M21_+M22_+M23_+M24_+M25_)),0)</f>
        <v>0</v>
      </c>
      <c r="AL384" s="27">
        <f>TableCosts[[#This Row],[N_Direct]]</f>
        <v>0</v>
      </c>
      <c r="AN384" s="7" t="str">
        <f t="shared" si="75"/>
        <v/>
      </c>
      <c r="AO384" s="7" t="str">
        <f t="shared" si="66"/>
        <v/>
      </c>
      <c r="AP384" s="7" t="str">
        <f t="shared" si="76"/>
        <v/>
      </c>
      <c r="AQ384" s="7" t="str">
        <f t="shared" si="67"/>
        <v/>
      </c>
      <c r="AR384" s="7" t="str">
        <f t="shared" si="77"/>
        <v/>
      </c>
      <c r="AS384" s="7">
        <f t="shared" si="68"/>
        <v>0</v>
      </c>
      <c r="AT384" s="17">
        <f>TableCosts[[#This Row],[N_Amount]]*TableCosts[[#This Row],[N_Tariff]]*TableCosts[[#This Row],[N_ItemsCount]]</f>
        <v>0</v>
      </c>
      <c r="AU384" s="17">
        <f>IF(F384=1,IF(TableCosts[[#This Row],[N_Kateg]]="interné práce",TableCosts[[#This Row],[N_Amount]]*8*PAR_SGA_PERHOUR,0),0)</f>
        <v>0</v>
      </c>
      <c r="AV384" s="17">
        <f>SUM(TableCosts[[#This Row],[N_Direct]:[N_SGA]])</f>
        <v>0</v>
      </c>
      <c r="AW384" s="7">
        <f>IF(F384=1,IF(D384="",NA(),VLOOKUP(C384&amp;TableCosts[[#This Row],[Calc_N_Typ]],TRAN_STRITEMS_LABEL,7,0)),0)</f>
        <v>0</v>
      </c>
      <c r="AX384" s="7">
        <f t="shared" si="69"/>
        <v>0</v>
      </c>
      <c r="AY384" s="57" t="str">
        <f t="shared" si="70"/>
        <v/>
      </c>
      <c r="AZ384" s="57" t="str">
        <f t="shared" si="71"/>
        <v/>
      </c>
      <c r="BA384" s="57" t="str">
        <f>IF(F384=1,IF(TableCosts[[#This Row],[TransferFrom]]=TableCosts[[#This Row],[TranferTo]],0,1),"")</f>
        <v/>
      </c>
      <c r="BB384" s="7">
        <f t="shared" si="72"/>
        <v>0</v>
      </c>
      <c r="BC384" s="7">
        <f t="shared" si="73"/>
        <v>0</v>
      </c>
    </row>
    <row r="385" spans="2:55" s="7" customFormat="1" ht="12.75" x14ac:dyDescent="0.2">
      <c r="B385" s="33"/>
      <c r="C385" s="31"/>
      <c r="D385" s="40"/>
      <c r="E385" s="6" t="str">
        <f>IF(F385=1,IF(ISERROR(TableCosts[[#This Row],[N_Tariff]]),Err_Message1,IF(TableCosts[[#This Row],[N_Tariff]]=0,Err_Message2,VLOOKUP(C385&amp;TableCosts[[#This Row],[Calc_N_Typ]],TRAN_STRITEMS_LABEL,5,FALSE))),"")</f>
        <v/>
      </c>
      <c r="F385" s="6">
        <f t="shared" si="74"/>
        <v>0</v>
      </c>
      <c r="G385" s="6" t="str">
        <f>IF(F385=1,IFERROR(VLOOKUP(E385,Tab_ErrMessage[],2,0),VLOOKUP(C385&amp;TableCosts[[#This Row],[Calc_N_Typ]],TRAN_STRITEMS_LABEL,4,FALSE)),"")</f>
        <v/>
      </c>
      <c r="H385" s="40"/>
      <c r="I385" s="40"/>
      <c r="J385" s="35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  <c r="AD385" s="24"/>
      <c r="AE385" s="24"/>
      <c r="AF385" s="24"/>
      <c r="AG385" s="24"/>
      <c r="AH385" s="24"/>
      <c r="AI385" s="24"/>
      <c r="AJ385" s="24"/>
      <c r="AK385" s="38">
        <f t="array" ref="AK385">IF(F385=1,SUM((ROW(M0)=ROW(AK385))*(M0+M1_+M2_+M3_+M4_+M5_+M6_+M7_+M8_+M9_+M10_+M11_+M12_+M13_+M14_+M15_+M16_+M17_+M18_+M19_+M20_+M21_+M22_+M23_+M24_+M25_)),0)</f>
        <v>0</v>
      </c>
      <c r="AL385" s="27">
        <f>TableCosts[[#This Row],[N_Direct]]</f>
        <v>0</v>
      </c>
      <c r="AN385" s="7" t="str">
        <f t="shared" si="75"/>
        <v/>
      </c>
      <c r="AO385" s="7" t="str">
        <f t="shared" si="66"/>
        <v/>
      </c>
      <c r="AP385" s="7" t="str">
        <f t="shared" si="76"/>
        <v/>
      </c>
      <c r="AQ385" s="7" t="str">
        <f t="shared" si="67"/>
        <v/>
      </c>
      <c r="AR385" s="7" t="str">
        <f t="shared" si="77"/>
        <v/>
      </c>
      <c r="AS385" s="7">
        <f t="shared" si="68"/>
        <v>0</v>
      </c>
      <c r="AT385" s="17">
        <f>TableCosts[[#This Row],[N_Amount]]*TableCosts[[#This Row],[N_Tariff]]*TableCosts[[#This Row],[N_ItemsCount]]</f>
        <v>0</v>
      </c>
      <c r="AU385" s="17">
        <f>IF(F385=1,IF(TableCosts[[#This Row],[N_Kateg]]="interné práce",TableCosts[[#This Row],[N_Amount]]*8*PAR_SGA_PERHOUR,0),0)</f>
        <v>0</v>
      </c>
      <c r="AV385" s="17">
        <f>SUM(TableCosts[[#This Row],[N_Direct]:[N_SGA]])</f>
        <v>0</v>
      </c>
      <c r="AW385" s="7">
        <f>IF(F385=1,IF(D385="",NA(),VLOOKUP(C385&amp;TableCosts[[#This Row],[Calc_N_Typ]],TRAN_STRITEMS_LABEL,7,0)),0)</f>
        <v>0</v>
      </c>
      <c r="AX385" s="7">
        <f t="shared" si="69"/>
        <v>0</v>
      </c>
      <c r="AY385" s="57" t="str">
        <f t="shared" si="70"/>
        <v/>
      </c>
      <c r="AZ385" s="57" t="str">
        <f t="shared" si="71"/>
        <v/>
      </c>
      <c r="BA385" s="57" t="str">
        <f>IF(F385=1,IF(TableCosts[[#This Row],[TransferFrom]]=TableCosts[[#This Row],[TranferTo]],0,1),"")</f>
        <v/>
      </c>
      <c r="BB385" s="7">
        <f t="shared" si="72"/>
        <v>0</v>
      </c>
      <c r="BC385" s="7">
        <f t="shared" si="73"/>
        <v>0</v>
      </c>
    </row>
    <row r="386" spans="2:55" s="7" customFormat="1" ht="12.75" x14ac:dyDescent="0.2">
      <c r="B386" s="33"/>
      <c r="C386" s="31"/>
      <c r="D386" s="40"/>
      <c r="E386" s="6" t="str">
        <f>IF(F386=1,IF(ISERROR(TableCosts[[#This Row],[N_Tariff]]),Err_Message1,IF(TableCosts[[#This Row],[N_Tariff]]=0,Err_Message2,VLOOKUP(C386&amp;TableCosts[[#This Row],[Calc_N_Typ]],TRAN_STRITEMS_LABEL,5,FALSE))),"")</f>
        <v/>
      </c>
      <c r="F386" s="6">
        <f t="shared" si="74"/>
        <v>0</v>
      </c>
      <c r="G386" s="6" t="str">
        <f>IF(F386=1,IFERROR(VLOOKUP(E386,Tab_ErrMessage[],2,0),VLOOKUP(C386&amp;TableCosts[[#This Row],[Calc_N_Typ]],TRAN_STRITEMS_LABEL,4,FALSE)),"")</f>
        <v/>
      </c>
      <c r="H386" s="40"/>
      <c r="I386" s="40"/>
      <c r="J386" s="35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  <c r="AD386" s="24"/>
      <c r="AE386" s="24"/>
      <c r="AF386" s="24"/>
      <c r="AG386" s="24"/>
      <c r="AH386" s="24"/>
      <c r="AI386" s="24"/>
      <c r="AJ386" s="24"/>
      <c r="AK386" s="38">
        <f t="array" ref="AK386">IF(F386=1,SUM((ROW(M0)=ROW(AK386))*(M0+M1_+M2_+M3_+M4_+M5_+M6_+M7_+M8_+M9_+M10_+M11_+M12_+M13_+M14_+M15_+M16_+M17_+M18_+M19_+M20_+M21_+M22_+M23_+M24_+M25_)),0)</f>
        <v>0</v>
      </c>
      <c r="AL386" s="27">
        <f>TableCosts[[#This Row],[N_Direct]]</f>
        <v>0</v>
      </c>
      <c r="AN386" s="7" t="str">
        <f t="shared" si="75"/>
        <v/>
      </c>
      <c r="AO386" s="7" t="str">
        <f t="shared" si="66"/>
        <v/>
      </c>
      <c r="AP386" s="7" t="str">
        <f t="shared" si="76"/>
        <v/>
      </c>
      <c r="AQ386" s="7" t="str">
        <f t="shared" si="67"/>
        <v/>
      </c>
      <c r="AR386" s="7" t="str">
        <f t="shared" si="77"/>
        <v/>
      </c>
      <c r="AS386" s="7">
        <f t="shared" si="68"/>
        <v>0</v>
      </c>
      <c r="AT386" s="17">
        <f>TableCosts[[#This Row],[N_Amount]]*TableCosts[[#This Row],[N_Tariff]]*TableCosts[[#This Row],[N_ItemsCount]]</f>
        <v>0</v>
      </c>
      <c r="AU386" s="17">
        <f>IF(F386=1,IF(TableCosts[[#This Row],[N_Kateg]]="interné práce",TableCosts[[#This Row],[N_Amount]]*8*PAR_SGA_PERHOUR,0),0)</f>
        <v>0</v>
      </c>
      <c r="AV386" s="17">
        <f>SUM(TableCosts[[#This Row],[N_Direct]:[N_SGA]])</f>
        <v>0</v>
      </c>
      <c r="AW386" s="7">
        <f>IF(F386=1,IF(D386="",NA(),VLOOKUP(C386&amp;TableCosts[[#This Row],[Calc_N_Typ]],TRAN_STRITEMS_LABEL,7,0)),0)</f>
        <v>0</v>
      </c>
      <c r="AX386" s="7">
        <f t="shared" si="69"/>
        <v>0</v>
      </c>
      <c r="AY386" s="57" t="str">
        <f t="shared" si="70"/>
        <v/>
      </c>
      <c r="AZ386" s="57" t="str">
        <f t="shared" si="71"/>
        <v/>
      </c>
      <c r="BA386" s="57" t="str">
        <f>IF(F386=1,IF(TableCosts[[#This Row],[TransferFrom]]=TableCosts[[#This Row],[TranferTo]],0,1),"")</f>
        <v/>
      </c>
      <c r="BB386" s="7">
        <f t="shared" si="72"/>
        <v>0</v>
      </c>
      <c r="BC386" s="7">
        <f t="shared" si="73"/>
        <v>0</v>
      </c>
    </row>
    <row r="387" spans="2:55" s="7" customFormat="1" ht="12.75" x14ac:dyDescent="0.2">
      <c r="B387" s="33"/>
      <c r="C387" s="31"/>
      <c r="D387" s="40"/>
      <c r="E387" s="6" t="str">
        <f>IF(F387=1,IF(ISERROR(TableCosts[[#This Row],[N_Tariff]]),Err_Message1,IF(TableCosts[[#This Row],[N_Tariff]]=0,Err_Message2,VLOOKUP(C387&amp;TableCosts[[#This Row],[Calc_N_Typ]],TRAN_STRITEMS_LABEL,5,FALSE))),"")</f>
        <v/>
      </c>
      <c r="F387" s="6">
        <f t="shared" si="74"/>
        <v>0</v>
      </c>
      <c r="G387" s="6" t="str">
        <f>IF(F387=1,IFERROR(VLOOKUP(E387,Tab_ErrMessage[],2,0),VLOOKUP(C387&amp;TableCosts[[#This Row],[Calc_N_Typ]],TRAN_STRITEMS_LABEL,4,FALSE)),"")</f>
        <v/>
      </c>
      <c r="H387" s="40"/>
      <c r="I387" s="40"/>
      <c r="J387" s="35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  <c r="AD387" s="24"/>
      <c r="AE387" s="24"/>
      <c r="AF387" s="24"/>
      <c r="AG387" s="24"/>
      <c r="AH387" s="24"/>
      <c r="AI387" s="24"/>
      <c r="AJ387" s="24"/>
      <c r="AK387" s="38">
        <f t="array" ref="AK387">IF(F387=1,SUM((ROW(M0)=ROW(AK387))*(M0+M1_+M2_+M3_+M4_+M5_+M6_+M7_+M8_+M9_+M10_+M11_+M12_+M13_+M14_+M15_+M16_+M17_+M18_+M19_+M20_+M21_+M22_+M23_+M24_+M25_)),0)</f>
        <v>0</v>
      </c>
      <c r="AL387" s="27">
        <f>TableCosts[[#This Row],[N_Direct]]</f>
        <v>0</v>
      </c>
      <c r="AN387" s="7" t="str">
        <f t="shared" si="75"/>
        <v/>
      </c>
      <c r="AO387" s="7" t="str">
        <f t="shared" si="66"/>
        <v/>
      </c>
      <c r="AP387" s="7" t="str">
        <f t="shared" si="76"/>
        <v/>
      </c>
      <c r="AQ387" s="7" t="str">
        <f t="shared" si="67"/>
        <v/>
      </c>
      <c r="AR387" s="7" t="str">
        <f t="shared" si="77"/>
        <v/>
      </c>
      <c r="AS387" s="7">
        <f t="shared" si="68"/>
        <v>0</v>
      </c>
      <c r="AT387" s="17">
        <f>TableCosts[[#This Row],[N_Amount]]*TableCosts[[#This Row],[N_Tariff]]*TableCosts[[#This Row],[N_ItemsCount]]</f>
        <v>0</v>
      </c>
      <c r="AU387" s="17">
        <f>IF(F387=1,IF(TableCosts[[#This Row],[N_Kateg]]="interné práce",TableCosts[[#This Row],[N_Amount]]*8*PAR_SGA_PERHOUR,0),0)</f>
        <v>0</v>
      </c>
      <c r="AV387" s="17">
        <f>SUM(TableCosts[[#This Row],[N_Direct]:[N_SGA]])</f>
        <v>0</v>
      </c>
      <c r="AW387" s="7">
        <f>IF(F387=1,IF(D387="",NA(),VLOOKUP(C387&amp;TableCosts[[#This Row],[Calc_N_Typ]],TRAN_STRITEMS_LABEL,7,0)),0)</f>
        <v>0</v>
      </c>
      <c r="AX387" s="7">
        <f t="shared" si="69"/>
        <v>0</v>
      </c>
      <c r="AY387" s="57" t="str">
        <f t="shared" si="70"/>
        <v/>
      </c>
      <c r="AZ387" s="57" t="str">
        <f t="shared" si="71"/>
        <v/>
      </c>
      <c r="BA387" s="57" t="str">
        <f>IF(F387=1,IF(TableCosts[[#This Row],[TransferFrom]]=TableCosts[[#This Row],[TranferTo]],0,1),"")</f>
        <v/>
      </c>
      <c r="BB387" s="7">
        <f t="shared" si="72"/>
        <v>0</v>
      </c>
      <c r="BC387" s="7">
        <f t="shared" si="73"/>
        <v>0</v>
      </c>
    </row>
    <row r="388" spans="2:55" s="7" customFormat="1" ht="12.75" x14ac:dyDescent="0.2">
      <c r="B388" s="33"/>
      <c r="C388" s="31"/>
      <c r="D388" s="40"/>
      <c r="E388" s="6" t="str">
        <f>IF(F388=1,IF(ISERROR(TableCosts[[#This Row],[N_Tariff]]),Err_Message1,IF(TableCosts[[#This Row],[N_Tariff]]=0,Err_Message2,VLOOKUP(C388&amp;TableCosts[[#This Row],[Calc_N_Typ]],TRAN_STRITEMS_LABEL,5,FALSE))),"")</f>
        <v/>
      </c>
      <c r="F388" s="6">
        <f t="shared" si="74"/>
        <v>0</v>
      </c>
      <c r="G388" s="6" t="str">
        <f>IF(F388=1,IFERROR(VLOOKUP(E388,Tab_ErrMessage[],2,0),VLOOKUP(C388&amp;TableCosts[[#This Row],[Calc_N_Typ]],TRAN_STRITEMS_LABEL,4,FALSE)),"")</f>
        <v/>
      </c>
      <c r="H388" s="40"/>
      <c r="I388" s="40"/>
      <c r="J388" s="35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  <c r="AD388" s="24"/>
      <c r="AE388" s="24"/>
      <c r="AF388" s="24"/>
      <c r="AG388" s="24"/>
      <c r="AH388" s="24"/>
      <c r="AI388" s="24"/>
      <c r="AJ388" s="24"/>
      <c r="AK388" s="38">
        <f t="array" ref="AK388">IF(F388=1,SUM((ROW(M0)=ROW(AK388))*(M0+M1_+M2_+M3_+M4_+M5_+M6_+M7_+M8_+M9_+M10_+M11_+M12_+M13_+M14_+M15_+M16_+M17_+M18_+M19_+M20_+M21_+M22_+M23_+M24_+M25_)),0)</f>
        <v>0</v>
      </c>
      <c r="AL388" s="27">
        <f>TableCosts[[#This Row],[N_Direct]]</f>
        <v>0</v>
      </c>
      <c r="AN388" s="7" t="str">
        <f t="shared" si="75"/>
        <v/>
      </c>
      <c r="AO388" s="7" t="str">
        <f t="shared" si="66"/>
        <v/>
      </c>
      <c r="AP388" s="7" t="str">
        <f t="shared" si="76"/>
        <v/>
      </c>
      <c r="AQ388" s="7" t="str">
        <f t="shared" si="67"/>
        <v/>
      </c>
      <c r="AR388" s="7" t="str">
        <f t="shared" si="77"/>
        <v/>
      </c>
      <c r="AS388" s="7">
        <f t="shared" si="68"/>
        <v>0</v>
      </c>
      <c r="AT388" s="17">
        <f>TableCosts[[#This Row],[N_Amount]]*TableCosts[[#This Row],[N_Tariff]]*TableCosts[[#This Row],[N_ItemsCount]]</f>
        <v>0</v>
      </c>
      <c r="AU388" s="17">
        <f>IF(F388=1,IF(TableCosts[[#This Row],[N_Kateg]]="interné práce",TableCosts[[#This Row],[N_Amount]]*8*PAR_SGA_PERHOUR,0),0)</f>
        <v>0</v>
      </c>
      <c r="AV388" s="17">
        <f>SUM(TableCosts[[#This Row],[N_Direct]:[N_SGA]])</f>
        <v>0</v>
      </c>
      <c r="AW388" s="7">
        <f>IF(F388=1,IF(D388="",NA(),VLOOKUP(C388&amp;TableCosts[[#This Row],[Calc_N_Typ]],TRAN_STRITEMS_LABEL,7,0)),0)</f>
        <v>0</v>
      </c>
      <c r="AX388" s="7">
        <f t="shared" si="69"/>
        <v>0</v>
      </c>
      <c r="AY388" s="57" t="str">
        <f t="shared" si="70"/>
        <v/>
      </c>
      <c r="AZ388" s="57" t="str">
        <f t="shared" si="71"/>
        <v/>
      </c>
      <c r="BA388" s="57" t="str">
        <f>IF(F388=1,IF(TableCosts[[#This Row],[TransferFrom]]=TableCosts[[#This Row],[TranferTo]],0,1),"")</f>
        <v/>
      </c>
      <c r="BB388" s="7">
        <f t="shared" si="72"/>
        <v>0</v>
      </c>
      <c r="BC388" s="7">
        <f t="shared" si="73"/>
        <v>0</v>
      </c>
    </row>
    <row r="389" spans="2:55" s="7" customFormat="1" ht="12.75" x14ac:dyDescent="0.2">
      <c r="B389" s="33"/>
      <c r="C389" s="31"/>
      <c r="D389" s="40"/>
      <c r="E389" s="6" t="str">
        <f>IF(F389=1,IF(ISERROR(TableCosts[[#This Row],[N_Tariff]]),Err_Message1,IF(TableCosts[[#This Row],[N_Tariff]]=0,Err_Message2,VLOOKUP(C389&amp;TableCosts[[#This Row],[Calc_N_Typ]],TRAN_STRITEMS_LABEL,5,FALSE))),"")</f>
        <v/>
      </c>
      <c r="F389" s="6">
        <f t="shared" si="74"/>
        <v>0</v>
      </c>
      <c r="G389" s="6" t="str">
        <f>IF(F389=1,IFERROR(VLOOKUP(E389,Tab_ErrMessage[],2,0),VLOOKUP(C389&amp;TableCosts[[#This Row],[Calc_N_Typ]],TRAN_STRITEMS_LABEL,4,FALSE)),"")</f>
        <v/>
      </c>
      <c r="H389" s="40"/>
      <c r="I389" s="40"/>
      <c r="J389" s="35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  <c r="AD389" s="24"/>
      <c r="AE389" s="24"/>
      <c r="AF389" s="24"/>
      <c r="AG389" s="24"/>
      <c r="AH389" s="24"/>
      <c r="AI389" s="24"/>
      <c r="AJ389" s="24"/>
      <c r="AK389" s="38">
        <f t="array" ref="AK389">IF(F389=1,SUM((ROW(M0)=ROW(AK389))*(M0+M1_+M2_+M3_+M4_+M5_+M6_+M7_+M8_+M9_+M10_+M11_+M12_+M13_+M14_+M15_+M16_+M17_+M18_+M19_+M20_+M21_+M22_+M23_+M24_+M25_)),0)</f>
        <v>0</v>
      </c>
      <c r="AL389" s="27">
        <f>TableCosts[[#This Row],[N_Direct]]</f>
        <v>0</v>
      </c>
      <c r="AN389" s="7" t="str">
        <f t="shared" si="75"/>
        <v/>
      </c>
      <c r="AO389" s="7" t="str">
        <f t="shared" si="66"/>
        <v/>
      </c>
      <c r="AP389" s="7" t="str">
        <f t="shared" si="76"/>
        <v/>
      </c>
      <c r="AQ389" s="7" t="str">
        <f t="shared" si="67"/>
        <v/>
      </c>
      <c r="AR389" s="7" t="str">
        <f t="shared" si="77"/>
        <v/>
      </c>
      <c r="AS389" s="7">
        <f t="shared" si="68"/>
        <v>0</v>
      </c>
      <c r="AT389" s="17">
        <f>TableCosts[[#This Row],[N_Amount]]*TableCosts[[#This Row],[N_Tariff]]*TableCosts[[#This Row],[N_ItemsCount]]</f>
        <v>0</v>
      </c>
      <c r="AU389" s="17">
        <f>IF(F389=1,IF(TableCosts[[#This Row],[N_Kateg]]="interné práce",TableCosts[[#This Row],[N_Amount]]*8*PAR_SGA_PERHOUR,0),0)</f>
        <v>0</v>
      </c>
      <c r="AV389" s="17">
        <f>SUM(TableCosts[[#This Row],[N_Direct]:[N_SGA]])</f>
        <v>0</v>
      </c>
      <c r="AW389" s="7">
        <f>IF(F389=1,IF(D389="",NA(),VLOOKUP(C389&amp;TableCosts[[#This Row],[Calc_N_Typ]],TRAN_STRITEMS_LABEL,7,0)),0)</f>
        <v>0</v>
      </c>
      <c r="AX389" s="7">
        <f t="shared" si="69"/>
        <v>0</v>
      </c>
      <c r="AY389" s="57" t="str">
        <f t="shared" si="70"/>
        <v/>
      </c>
      <c r="AZ389" s="57" t="str">
        <f t="shared" si="71"/>
        <v/>
      </c>
      <c r="BA389" s="57" t="str">
        <f>IF(F389=1,IF(TableCosts[[#This Row],[TransferFrom]]=TableCosts[[#This Row],[TranferTo]],0,1),"")</f>
        <v/>
      </c>
      <c r="BB389" s="7">
        <f t="shared" si="72"/>
        <v>0</v>
      </c>
      <c r="BC389" s="7">
        <f t="shared" si="73"/>
        <v>0</v>
      </c>
    </row>
    <row r="390" spans="2:55" s="7" customFormat="1" ht="12.75" x14ac:dyDescent="0.2">
      <c r="B390" s="33"/>
      <c r="C390" s="31"/>
      <c r="D390" s="40"/>
      <c r="E390" s="6" t="str">
        <f>IF(F390=1,IF(ISERROR(TableCosts[[#This Row],[N_Tariff]]),Err_Message1,IF(TableCosts[[#This Row],[N_Tariff]]=0,Err_Message2,VLOOKUP(C390&amp;TableCosts[[#This Row],[Calc_N_Typ]],TRAN_STRITEMS_LABEL,5,FALSE))),"")</f>
        <v/>
      </c>
      <c r="F390" s="6">
        <f t="shared" si="74"/>
        <v>0</v>
      </c>
      <c r="G390" s="6" t="str">
        <f>IF(F390=1,IFERROR(VLOOKUP(E390,Tab_ErrMessage[],2,0),VLOOKUP(C390&amp;TableCosts[[#This Row],[Calc_N_Typ]],TRAN_STRITEMS_LABEL,4,FALSE)),"")</f>
        <v/>
      </c>
      <c r="H390" s="40"/>
      <c r="I390" s="40"/>
      <c r="J390" s="35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  <c r="AD390" s="24"/>
      <c r="AE390" s="24"/>
      <c r="AF390" s="24"/>
      <c r="AG390" s="24"/>
      <c r="AH390" s="24"/>
      <c r="AI390" s="24"/>
      <c r="AJ390" s="24"/>
      <c r="AK390" s="38">
        <f t="array" ref="AK390">IF(F390=1,SUM((ROW(M0)=ROW(AK390))*(M0+M1_+M2_+M3_+M4_+M5_+M6_+M7_+M8_+M9_+M10_+M11_+M12_+M13_+M14_+M15_+M16_+M17_+M18_+M19_+M20_+M21_+M22_+M23_+M24_+M25_)),0)</f>
        <v>0</v>
      </c>
      <c r="AL390" s="27">
        <f>TableCosts[[#This Row],[N_Direct]]</f>
        <v>0</v>
      </c>
      <c r="AN390" s="7" t="str">
        <f t="shared" si="75"/>
        <v/>
      </c>
      <c r="AO390" s="7" t="str">
        <f t="shared" si="66"/>
        <v/>
      </c>
      <c r="AP390" s="7" t="str">
        <f t="shared" si="76"/>
        <v/>
      </c>
      <c r="AQ390" s="7" t="str">
        <f t="shared" si="67"/>
        <v/>
      </c>
      <c r="AR390" s="7" t="str">
        <f t="shared" si="77"/>
        <v/>
      </c>
      <c r="AS390" s="7">
        <f t="shared" si="68"/>
        <v>0</v>
      </c>
      <c r="AT390" s="17">
        <f>TableCosts[[#This Row],[N_Amount]]*TableCosts[[#This Row],[N_Tariff]]*TableCosts[[#This Row],[N_ItemsCount]]</f>
        <v>0</v>
      </c>
      <c r="AU390" s="17">
        <f>IF(F390=1,IF(TableCosts[[#This Row],[N_Kateg]]="interné práce",TableCosts[[#This Row],[N_Amount]]*8*PAR_SGA_PERHOUR,0),0)</f>
        <v>0</v>
      </c>
      <c r="AV390" s="17">
        <f>SUM(TableCosts[[#This Row],[N_Direct]:[N_SGA]])</f>
        <v>0</v>
      </c>
      <c r="AW390" s="7">
        <f>IF(F390=1,IF(D390="",NA(),VLOOKUP(C390&amp;TableCosts[[#This Row],[Calc_N_Typ]],TRAN_STRITEMS_LABEL,7,0)),0)</f>
        <v>0</v>
      </c>
      <c r="AX390" s="7">
        <f t="shared" si="69"/>
        <v>0</v>
      </c>
      <c r="AY390" s="57" t="str">
        <f t="shared" si="70"/>
        <v/>
      </c>
      <c r="AZ390" s="57" t="str">
        <f t="shared" si="71"/>
        <v/>
      </c>
      <c r="BA390" s="57" t="str">
        <f>IF(F390=1,IF(TableCosts[[#This Row],[TransferFrom]]=TableCosts[[#This Row],[TranferTo]],0,1),"")</f>
        <v/>
      </c>
      <c r="BB390" s="7">
        <f t="shared" si="72"/>
        <v>0</v>
      </c>
      <c r="BC390" s="7">
        <f t="shared" si="73"/>
        <v>0</v>
      </c>
    </row>
    <row r="391" spans="2:55" s="7" customFormat="1" ht="12.75" x14ac:dyDescent="0.2">
      <c r="B391" s="33"/>
      <c r="C391" s="31"/>
      <c r="D391" s="40"/>
      <c r="E391" s="6" t="str">
        <f>IF(F391=1,IF(ISERROR(TableCosts[[#This Row],[N_Tariff]]),Err_Message1,IF(TableCosts[[#This Row],[N_Tariff]]=0,Err_Message2,VLOOKUP(C391&amp;TableCosts[[#This Row],[Calc_N_Typ]],TRAN_STRITEMS_LABEL,5,FALSE))),"")</f>
        <v/>
      </c>
      <c r="F391" s="6">
        <f t="shared" si="74"/>
        <v>0</v>
      </c>
      <c r="G391" s="6" t="str">
        <f>IF(F391=1,IFERROR(VLOOKUP(E391,Tab_ErrMessage[],2,0),VLOOKUP(C391&amp;TableCosts[[#This Row],[Calc_N_Typ]],TRAN_STRITEMS_LABEL,4,FALSE)),"")</f>
        <v/>
      </c>
      <c r="H391" s="40"/>
      <c r="I391" s="40"/>
      <c r="J391" s="35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  <c r="AD391" s="24"/>
      <c r="AE391" s="24"/>
      <c r="AF391" s="24"/>
      <c r="AG391" s="24"/>
      <c r="AH391" s="24"/>
      <c r="AI391" s="24"/>
      <c r="AJ391" s="24"/>
      <c r="AK391" s="38">
        <f t="array" ref="AK391">IF(F391=1,SUM((ROW(M0)=ROW(AK391))*(M0+M1_+M2_+M3_+M4_+M5_+M6_+M7_+M8_+M9_+M10_+M11_+M12_+M13_+M14_+M15_+M16_+M17_+M18_+M19_+M20_+M21_+M22_+M23_+M24_+M25_)),0)</f>
        <v>0</v>
      </c>
      <c r="AL391" s="27">
        <f>TableCosts[[#This Row],[N_Direct]]</f>
        <v>0</v>
      </c>
      <c r="AN391" s="7" t="str">
        <f t="shared" si="75"/>
        <v/>
      </c>
      <c r="AO391" s="7" t="str">
        <f t="shared" ref="AO391:AO454" si="78">IF(F391=1,IF(C391="","",C391),"")</f>
        <v/>
      </c>
      <c r="AP391" s="7" t="str">
        <f t="shared" si="76"/>
        <v/>
      </c>
      <c r="AQ391" s="7" t="str">
        <f t="shared" ref="AQ391:AQ454" si="79">IF(F391=1,IF(OR(D391="realizácia",D391=""),"realizácia",D391),"")</f>
        <v/>
      </c>
      <c r="AR391" s="7" t="str">
        <f t="shared" si="77"/>
        <v/>
      </c>
      <c r="AS391" s="7">
        <f t="shared" ref="AS391:AS454" si="80">IF(F391=1,IF(G391="ks",ROUNDUP(AK391,0),AK391),0)</f>
        <v>0</v>
      </c>
      <c r="AT391" s="17">
        <f>TableCosts[[#This Row],[N_Amount]]*TableCosts[[#This Row],[N_Tariff]]*TableCosts[[#This Row],[N_ItemsCount]]</f>
        <v>0</v>
      </c>
      <c r="AU391" s="17">
        <f>IF(F391=1,IF(TableCosts[[#This Row],[N_Kateg]]="interné práce",TableCosts[[#This Row],[N_Amount]]*8*PAR_SGA_PERHOUR,0),0)</f>
        <v>0</v>
      </c>
      <c r="AV391" s="17">
        <f>SUM(TableCosts[[#This Row],[N_Direct]:[N_SGA]])</f>
        <v>0</v>
      </c>
      <c r="AW391" s="7">
        <f>IF(F391=1,IF(D391="",NA(),VLOOKUP(C391&amp;TableCosts[[#This Row],[Calc_N_Typ]],TRAN_STRITEMS_LABEL,7,0)),0)</f>
        <v>0</v>
      </c>
      <c r="AX391" s="7">
        <f t="shared" ref="AX391:AX454" si="81">IF(F391=1,IF(G391="čld.",8,1),0)</f>
        <v>0</v>
      </c>
      <c r="AY391" s="57" t="str">
        <f t="shared" ref="AY391:AY454" si="82">IF(F391=1,IFERROR(VLOOKUP(B391,IpsLicences,2,0),IF(C391="",Par_Center,C391)),"")</f>
        <v/>
      </c>
      <c r="AZ391" s="57" t="str">
        <f t="shared" ref="AZ391:AZ454" si="83">IF(F391=1,Par_Center,"")</f>
        <v/>
      </c>
      <c r="BA391" s="57" t="str">
        <f>IF(F391=1,IF(TableCosts[[#This Row],[TransferFrom]]=TableCosts[[#This Row],[TranferTo]],0,1),"")</f>
        <v/>
      </c>
      <c r="BB391" s="7">
        <f t="shared" ref="BB391:BB454" si="84">IF(RIGHT(B391,LEN(Par_LabelTravelTime))=Par_LabelTravelTime,LEFT(B391,LEN(B391)-LEN(Par_LabelTravelTime)),B391)</f>
        <v>0</v>
      </c>
      <c r="BC391" s="7">
        <f t="shared" ref="BC391:BC454" si="85">IF(RIGHT(B391,LEN(Par_LabelTravelTime))=Par_LabelTravelTime,1,0)</f>
        <v>0</v>
      </c>
    </row>
    <row r="392" spans="2:55" s="7" customFormat="1" ht="12.75" x14ac:dyDescent="0.2">
      <c r="B392" s="33"/>
      <c r="C392" s="31"/>
      <c r="D392" s="40"/>
      <c r="E392" s="6" t="str">
        <f>IF(F392=1,IF(ISERROR(TableCosts[[#This Row],[N_Tariff]]),Err_Message1,IF(TableCosts[[#This Row],[N_Tariff]]=0,Err_Message2,VLOOKUP(C392&amp;TableCosts[[#This Row],[Calc_N_Typ]],TRAN_STRITEMS_LABEL,5,FALSE))),"")</f>
        <v/>
      </c>
      <c r="F392" s="6">
        <f t="shared" si="74"/>
        <v>0</v>
      </c>
      <c r="G392" s="6" t="str">
        <f>IF(F392=1,IFERROR(VLOOKUP(E392,Tab_ErrMessage[],2,0),VLOOKUP(C392&amp;TableCosts[[#This Row],[Calc_N_Typ]],TRAN_STRITEMS_LABEL,4,FALSE)),"")</f>
        <v/>
      </c>
      <c r="H392" s="40"/>
      <c r="I392" s="40"/>
      <c r="J392" s="35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  <c r="AD392" s="24"/>
      <c r="AE392" s="24"/>
      <c r="AF392" s="24"/>
      <c r="AG392" s="24"/>
      <c r="AH392" s="24"/>
      <c r="AI392" s="24"/>
      <c r="AJ392" s="24"/>
      <c r="AK392" s="38">
        <f t="array" ref="AK392">IF(F392=1,SUM((ROW(M0)=ROW(AK392))*(M0+M1_+M2_+M3_+M4_+M5_+M6_+M7_+M8_+M9_+M10_+M11_+M12_+M13_+M14_+M15_+M16_+M17_+M18_+M19_+M20_+M21_+M22_+M23_+M24_+M25_)),0)</f>
        <v>0</v>
      </c>
      <c r="AL392" s="27">
        <f>TableCosts[[#This Row],[N_Direct]]</f>
        <v>0</v>
      </c>
      <c r="AN392" s="7" t="str">
        <f t="shared" si="75"/>
        <v/>
      </c>
      <c r="AO392" s="7" t="str">
        <f t="shared" si="78"/>
        <v/>
      </c>
      <c r="AP392" s="7" t="str">
        <f t="shared" si="76"/>
        <v/>
      </c>
      <c r="AQ392" s="7" t="str">
        <f t="shared" si="79"/>
        <v/>
      </c>
      <c r="AR392" s="7" t="str">
        <f t="shared" si="77"/>
        <v/>
      </c>
      <c r="AS392" s="7">
        <f t="shared" si="80"/>
        <v>0</v>
      </c>
      <c r="AT392" s="17">
        <f>TableCosts[[#This Row],[N_Amount]]*TableCosts[[#This Row],[N_Tariff]]*TableCosts[[#This Row],[N_ItemsCount]]</f>
        <v>0</v>
      </c>
      <c r="AU392" s="17">
        <f>IF(F392=1,IF(TableCosts[[#This Row],[N_Kateg]]="interné práce",TableCosts[[#This Row],[N_Amount]]*8*PAR_SGA_PERHOUR,0),0)</f>
        <v>0</v>
      </c>
      <c r="AV392" s="17">
        <f>SUM(TableCosts[[#This Row],[N_Direct]:[N_SGA]])</f>
        <v>0</v>
      </c>
      <c r="AW392" s="7">
        <f>IF(F392=1,IF(D392="",NA(),VLOOKUP(C392&amp;TableCosts[[#This Row],[Calc_N_Typ]],TRAN_STRITEMS_LABEL,7,0)),0)</f>
        <v>0</v>
      </c>
      <c r="AX392" s="7">
        <f t="shared" si="81"/>
        <v>0</v>
      </c>
      <c r="AY392" s="57" t="str">
        <f t="shared" si="82"/>
        <v/>
      </c>
      <c r="AZ392" s="57" t="str">
        <f t="shared" si="83"/>
        <v/>
      </c>
      <c r="BA392" s="57" t="str">
        <f>IF(F392=1,IF(TableCosts[[#This Row],[TransferFrom]]=TableCosts[[#This Row],[TranferTo]],0,1),"")</f>
        <v/>
      </c>
      <c r="BB392" s="7">
        <f t="shared" si="84"/>
        <v>0</v>
      </c>
      <c r="BC392" s="7">
        <f t="shared" si="85"/>
        <v>0</v>
      </c>
    </row>
    <row r="393" spans="2:55" s="7" customFormat="1" ht="12.75" x14ac:dyDescent="0.2">
      <c r="B393" s="33"/>
      <c r="C393" s="31"/>
      <c r="D393" s="40"/>
      <c r="E393" s="6" t="str">
        <f>IF(F393=1,IF(ISERROR(TableCosts[[#This Row],[N_Tariff]]),Err_Message1,IF(TableCosts[[#This Row],[N_Tariff]]=0,Err_Message2,VLOOKUP(C393&amp;TableCosts[[#This Row],[Calc_N_Typ]],TRAN_STRITEMS_LABEL,5,FALSE))),"")</f>
        <v/>
      </c>
      <c r="F393" s="6">
        <f t="shared" ref="F393:F456" si="86">IF(B393="",0,IF(LEFT(B393,3)="***",-1,1))</f>
        <v>0</v>
      </c>
      <c r="G393" s="6" t="str">
        <f>IF(F393=1,IFERROR(VLOOKUP(E393,Tab_ErrMessage[],2,0),VLOOKUP(C393&amp;TableCosts[[#This Row],[Calc_N_Typ]],TRAN_STRITEMS_LABEL,4,FALSE)),"")</f>
        <v/>
      </c>
      <c r="H393" s="40"/>
      <c r="I393" s="40"/>
      <c r="J393" s="35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  <c r="AD393" s="24"/>
      <c r="AE393" s="24"/>
      <c r="AF393" s="24"/>
      <c r="AG393" s="24"/>
      <c r="AH393" s="24"/>
      <c r="AI393" s="24"/>
      <c r="AJ393" s="24"/>
      <c r="AK393" s="38">
        <f t="array" ref="AK393">IF(F393=1,SUM((ROW(M0)=ROW(AK393))*(M0+M1_+M2_+M3_+M4_+M5_+M6_+M7_+M8_+M9_+M10_+M11_+M12_+M13_+M14_+M15_+M16_+M17_+M18_+M19_+M20_+M21_+M22_+M23_+M24_+M25_)),0)</f>
        <v>0</v>
      </c>
      <c r="AL393" s="27">
        <f>TableCosts[[#This Row],[N_Direct]]</f>
        <v>0</v>
      </c>
      <c r="AN393" s="7" t="str">
        <f t="shared" si="75"/>
        <v/>
      </c>
      <c r="AO393" s="7" t="str">
        <f t="shared" si="78"/>
        <v/>
      </c>
      <c r="AP393" s="7" t="str">
        <f t="shared" si="76"/>
        <v/>
      </c>
      <c r="AQ393" s="7" t="str">
        <f t="shared" si="79"/>
        <v/>
      </c>
      <c r="AR393" s="7" t="str">
        <f t="shared" si="77"/>
        <v/>
      </c>
      <c r="AS393" s="7">
        <f t="shared" si="80"/>
        <v>0</v>
      </c>
      <c r="AT393" s="17">
        <f>TableCosts[[#This Row],[N_Amount]]*TableCosts[[#This Row],[N_Tariff]]*TableCosts[[#This Row],[N_ItemsCount]]</f>
        <v>0</v>
      </c>
      <c r="AU393" s="17">
        <f>IF(F393=1,IF(TableCosts[[#This Row],[N_Kateg]]="interné práce",TableCosts[[#This Row],[N_Amount]]*8*PAR_SGA_PERHOUR,0),0)</f>
        <v>0</v>
      </c>
      <c r="AV393" s="17">
        <f>SUM(TableCosts[[#This Row],[N_Direct]:[N_SGA]])</f>
        <v>0</v>
      </c>
      <c r="AW393" s="7">
        <f>IF(F393=1,IF(D393="",NA(),VLOOKUP(C393&amp;TableCosts[[#This Row],[Calc_N_Typ]],TRAN_STRITEMS_LABEL,7,0)),0)</f>
        <v>0</v>
      </c>
      <c r="AX393" s="7">
        <f t="shared" si="81"/>
        <v>0</v>
      </c>
      <c r="AY393" s="57" t="str">
        <f t="shared" si="82"/>
        <v/>
      </c>
      <c r="AZ393" s="57" t="str">
        <f t="shared" si="83"/>
        <v/>
      </c>
      <c r="BA393" s="57" t="str">
        <f>IF(F393=1,IF(TableCosts[[#This Row],[TransferFrom]]=TableCosts[[#This Row],[TranferTo]],0,1),"")</f>
        <v/>
      </c>
      <c r="BB393" s="7">
        <f t="shared" si="84"/>
        <v>0</v>
      </c>
      <c r="BC393" s="7">
        <f t="shared" si="85"/>
        <v>0</v>
      </c>
    </row>
    <row r="394" spans="2:55" s="7" customFormat="1" ht="12.75" x14ac:dyDescent="0.2">
      <c r="B394" s="33"/>
      <c r="C394" s="31"/>
      <c r="D394" s="40"/>
      <c r="E394" s="6" t="str">
        <f>IF(F394=1,IF(ISERROR(TableCosts[[#This Row],[N_Tariff]]),Err_Message1,IF(TableCosts[[#This Row],[N_Tariff]]=0,Err_Message2,VLOOKUP(C394&amp;TableCosts[[#This Row],[Calc_N_Typ]],TRAN_STRITEMS_LABEL,5,FALSE))),"")</f>
        <v/>
      </c>
      <c r="F394" s="6">
        <f t="shared" si="86"/>
        <v>0</v>
      </c>
      <c r="G394" s="6" t="str">
        <f>IF(F394=1,IFERROR(VLOOKUP(E394,Tab_ErrMessage[],2,0),VLOOKUP(C394&amp;TableCosts[[#This Row],[Calc_N_Typ]],TRAN_STRITEMS_LABEL,4,FALSE)),"")</f>
        <v/>
      </c>
      <c r="H394" s="40"/>
      <c r="I394" s="40"/>
      <c r="J394" s="35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  <c r="AD394" s="24"/>
      <c r="AE394" s="24"/>
      <c r="AF394" s="24"/>
      <c r="AG394" s="24"/>
      <c r="AH394" s="24"/>
      <c r="AI394" s="24"/>
      <c r="AJ394" s="24"/>
      <c r="AK394" s="38">
        <f t="array" ref="AK394">IF(F394=1,SUM((ROW(M0)=ROW(AK394))*(M0+M1_+M2_+M3_+M4_+M5_+M6_+M7_+M8_+M9_+M10_+M11_+M12_+M13_+M14_+M15_+M16_+M17_+M18_+M19_+M20_+M21_+M22_+M23_+M24_+M25_)),0)</f>
        <v>0</v>
      </c>
      <c r="AL394" s="27">
        <f>TableCosts[[#This Row],[N_Direct]]</f>
        <v>0</v>
      </c>
      <c r="AN394" s="7" t="str">
        <f t="shared" si="75"/>
        <v/>
      </c>
      <c r="AO394" s="7" t="str">
        <f t="shared" si="78"/>
        <v/>
      </c>
      <c r="AP394" s="7" t="str">
        <f t="shared" si="76"/>
        <v/>
      </c>
      <c r="AQ394" s="7" t="str">
        <f t="shared" si="79"/>
        <v/>
      </c>
      <c r="AR394" s="7" t="str">
        <f t="shared" si="77"/>
        <v/>
      </c>
      <c r="AS394" s="7">
        <f t="shared" si="80"/>
        <v>0</v>
      </c>
      <c r="AT394" s="17">
        <f>TableCosts[[#This Row],[N_Amount]]*TableCosts[[#This Row],[N_Tariff]]*TableCosts[[#This Row],[N_ItemsCount]]</f>
        <v>0</v>
      </c>
      <c r="AU394" s="17">
        <f>IF(F394=1,IF(TableCosts[[#This Row],[N_Kateg]]="interné práce",TableCosts[[#This Row],[N_Amount]]*8*PAR_SGA_PERHOUR,0),0)</f>
        <v>0</v>
      </c>
      <c r="AV394" s="17">
        <f>SUM(TableCosts[[#This Row],[N_Direct]:[N_SGA]])</f>
        <v>0</v>
      </c>
      <c r="AW394" s="7">
        <f>IF(F394=1,IF(D394="",NA(),VLOOKUP(C394&amp;TableCosts[[#This Row],[Calc_N_Typ]],TRAN_STRITEMS_LABEL,7,0)),0)</f>
        <v>0</v>
      </c>
      <c r="AX394" s="7">
        <f t="shared" si="81"/>
        <v>0</v>
      </c>
      <c r="AY394" s="57" t="str">
        <f t="shared" si="82"/>
        <v/>
      </c>
      <c r="AZ394" s="57" t="str">
        <f t="shared" si="83"/>
        <v/>
      </c>
      <c r="BA394" s="57" t="str">
        <f>IF(F394=1,IF(TableCosts[[#This Row],[TransferFrom]]=TableCosts[[#This Row],[TranferTo]],0,1),"")</f>
        <v/>
      </c>
      <c r="BB394" s="7">
        <f t="shared" si="84"/>
        <v>0</v>
      </c>
      <c r="BC394" s="7">
        <f t="shared" si="85"/>
        <v>0</v>
      </c>
    </row>
    <row r="395" spans="2:55" s="7" customFormat="1" ht="12.75" x14ac:dyDescent="0.2">
      <c r="B395" s="33"/>
      <c r="C395" s="31"/>
      <c r="D395" s="40"/>
      <c r="E395" s="6" t="str">
        <f>IF(F395=1,IF(ISERROR(TableCosts[[#This Row],[N_Tariff]]),Err_Message1,IF(TableCosts[[#This Row],[N_Tariff]]=0,Err_Message2,VLOOKUP(C395&amp;TableCosts[[#This Row],[Calc_N_Typ]],TRAN_STRITEMS_LABEL,5,FALSE))),"")</f>
        <v/>
      </c>
      <c r="F395" s="6">
        <f t="shared" si="86"/>
        <v>0</v>
      </c>
      <c r="G395" s="6" t="str">
        <f>IF(F395=1,IFERROR(VLOOKUP(E395,Tab_ErrMessage[],2,0),VLOOKUP(C395&amp;TableCosts[[#This Row],[Calc_N_Typ]],TRAN_STRITEMS_LABEL,4,FALSE)),"")</f>
        <v/>
      </c>
      <c r="H395" s="40"/>
      <c r="I395" s="40"/>
      <c r="J395" s="35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  <c r="AD395" s="24"/>
      <c r="AE395" s="24"/>
      <c r="AF395" s="24"/>
      <c r="AG395" s="24"/>
      <c r="AH395" s="24"/>
      <c r="AI395" s="24"/>
      <c r="AJ395" s="24"/>
      <c r="AK395" s="38">
        <f t="array" ref="AK395">IF(F395=1,SUM((ROW(M0)=ROW(AK395))*(M0+M1_+M2_+M3_+M4_+M5_+M6_+M7_+M8_+M9_+M10_+M11_+M12_+M13_+M14_+M15_+M16_+M17_+M18_+M19_+M20_+M21_+M22_+M23_+M24_+M25_)),0)</f>
        <v>0</v>
      </c>
      <c r="AL395" s="27">
        <f>TableCosts[[#This Row],[N_Direct]]</f>
        <v>0</v>
      </c>
      <c r="AN395" s="7" t="str">
        <f t="shared" si="75"/>
        <v/>
      </c>
      <c r="AO395" s="7" t="str">
        <f t="shared" si="78"/>
        <v/>
      </c>
      <c r="AP395" s="7" t="str">
        <f t="shared" si="76"/>
        <v/>
      </c>
      <c r="AQ395" s="7" t="str">
        <f t="shared" si="79"/>
        <v/>
      </c>
      <c r="AR395" s="7" t="str">
        <f t="shared" si="77"/>
        <v/>
      </c>
      <c r="AS395" s="7">
        <f t="shared" si="80"/>
        <v>0</v>
      </c>
      <c r="AT395" s="17">
        <f>TableCosts[[#This Row],[N_Amount]]*TableCosts[[#This Row],[N_Tariff]]*TableCosts[[#This Row],[N_ItemsCount]]</f>
        <v>0</v>
      </c>
      <c r="AU395" s="17">
        <f>IF(F395=1,IF(TableCosts[[#This Row],[N_Kateg]]="interné práce",TableCosts[[#This Row],[N_Amount]]*8*PAR_SGA_PERHOUR,0),0)</f>
        <v>0</v>
      </c>
      <c r="AV395" s="17">
        <f>SUM(TableCosts[[#This Row],[N_Direct]:[N_SGA]])</f>
        <v>0</v>
      </c>
      <c r="AW395" s="7">
        <f>IF(F395=1,IF(D395="",NA(),VLOOKUP(C395&amp;TableCosts[[#This Row],[Calc_N_Typ]],TRAN_STRITEMS_LABEL,7,0)),0)</f>
        <v>0</v>
      </c>
      <c r="AX395" s="7">
        <f t="shared" si="81"/>
        <v>0</v>
      </c>
      <c r="AY395" s="57" t="str">
        <f t="shared" si="82"/>
        <v/>
      </c>
      <c r="AZ395" s="57" t="str">
        <f t="shared" si="83"/>
        <v/>
      </c>
      <c r="BA395" s="57" t="str">
        <f>IF(F395=1,IF(TableCosts[[#This Row],[TransferFrom]]=TableCosts[[#This Row],[TranferTo]],0,1),"")</f>
        <v/>
      </c>
      <c r="BB395" s="7">
        <f t="shared" si="84"/>
        <v>0</v>
      </c>
      <c r="BC395" s="7">
        <f t="shared" si="85"/>
        <v>0</v>
      </c>
    </row>
    <row r="396" spans="2:55" s="7" customFormat="1" ht="12.75" x14ac:dyDescent="0.2">
      <c r="B396" s="33"/>
      <c r="C396" s="31"/>
      <c r="D396" s="40"/>
      <c r="E396" s="6" t="str">
        <f>IF(F396=1,IF(ISERROR(TableCosts[[#This Row],[N_Tariff]]),Err_Message1,IF(TableCosts[[#This Row],[N_Tariff]]=0,Err_Message2,VLOOKUP(C396&amp;TableCosts[[#This Row],[Calc_N_Typ]],TRAN_STRITEMS_LABEL,5,FALSE))),"")</f>
        <v/>
      </c>
      <c r="F396" s="6">
        <f t="shared" si="86"/>
        <v>0</v>
      </c>
      <c r="G396" s="6" t="str">
        <f>IF(F396=1,IFERROR(VLOOKUP(E396,Tab_ErrMessage[],2,0),VLOOKUP(C396&amp;TableCosts[[#This Row],[Calc_N_Typ]],TRAN_STRITEMS_LABEL,4,FALSE)),"")</f>
        <v/>
      </c>
      <c r="H396" s="40"/>
      <c r="I396" s="40"/>
      <c r="J396" s="35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  <c r="AD396" s="24"/>
      <c r="AE396" s="24"/>
      <c r="AF396" s="24"/>
      <c r="AG396" s="24"/>
      <c r="AH396" s="24"/>
      <c r="AI396" s="24"/>
      <c r="AJ396" s="24"/>
      <c r="AK396" s="38">
        <f t="array" ref="AK396">IF(F396=1,SUM((ROW(M0)=ROW(AK396))*(M0+M1_+M2_+M3_+M4_+M5_+M6_+M7_+M8_+M9_+M10_+M11_+M12_+M13_+M14_+M15_+M16_+M17_+M18_+M19_+M20_+M21_+M22_+M23_+M24_+M25_)),0)</f>
        <v>0</v>
      </c>
      <c r="AL396" s="27">
        <f>TableCosts[[#This Row],[N_Direct]]</f>
        <v>0</v>
      </c>
      <c r="AN396" s="7" t="str">
        <f t="shared" si="75"/>
        <v/>
      </c>
      <c r="AO396" s="7" t="str">
        <f t="shared" si="78"/>
        <v/>
      </c>
      <c r="AP396" s="7" t="str">
        <f t="shared" si="76"/>
        <v/>
      </c>
      <c r="AQ396" s="7" t="str">
        <f t="shared" si="79"/>
        <v/>
      </c>
      <c r="AR396" s="7" t="str">
        <f t="shared" si="77"/>
        <v/>
      </c>
      <c r="AS396" s="7">
        <f t="shared" si="80"/>
        <v>0</v>
      </c>
      <c r="AT396" s="17">
        <f>TableCosts[[#This Row],[N_Amount]]*TableCosts[[#This Row],[N_Tariff]]*TableCosts[[#This Row],[N_ItemsCount]]</f>
        <v>0</v>
      </c>
      <c r="AU396" s="17">
        <f>IF(F396=1,IF(TableCosts[[#This Row],[N_Kateg]]="interné práce",TableCosts[[#This Row],[N_Amount]]*8*PAR_SGA_PERHOUR,0),0)</f>
        <v>0</v>
      </c>
      <c r="AV396" s="17">
        <f>SUM(TableCosts[[#This Row],[N_Direct]:[N_SGA]])</f>
        <v>0</v>
      </c>
      <c r="AW396" s="7">
        <f>IF(F396=1,IF(D396="",NA(),VLOOKUP(C396&amp;TableCosts[[#This Row],[Calc_N_Typ]],TRAN_STRITEMS_LABEL,7,0)),0)</f>
        <v>0</v>
      </c>
      <c r="AX396" s="7">
        <f t="shared" si="81"/>
        <v>0</v>
      </c>
      <c r="AY396" s="57" t="str">
        <f t="shared" si="82"/>
        <v/>
      </c>
      <c r="AZ396" s="57" t="str">
        <f t="shared" si="83"/>
        <v/>
      </c>
      <c r="BA396" s="57" t="str">
        <f>IF(F396=1,IF(TableCosts[[#This Row],[TransferFrom]]=TableCosts[[#This Row],[TranferTo]],0,1),"")</f>
        <v/>
      </c>
      <c r="BB396" s="7">
        <f t="shared" si="84"/>
        <v>0</v>
      </c>
      <c r="BC396" s="7">
        <f t="shared" si="85"/>
        <v>0</v>
      </c>
    </row>
    <row r="397" spans="2:55" s="7" customFormat="1" ht="12.75" x14ac:dyDescent="0.2">
      <c r="B397" s="33"/>
      <c r="C397" s="31"/>
      <c r="D397" s="40"/>
      <c r="E397" s="6" t="str">
        <f>IF(F397=1,IF(ISERROR(TableCosts[[#This Row],[N_Tariff]]),Err_Message1,IF(TableCosts[[#This Row],[N_Tariff]]=0,Err_Message2,VLOOKUP(C397&amp;TableCosts[[#This Row],[Calc_N_Typ]],TRAN_STRITEMS_LABEL,5,FALSE))),"")</f>
        <v/>
      </c>
      <c r="F397" s="6">
        <f t="shared" si="86"/>
        <v>0</v>
      </c>
      <c r="G397" s="6" t="str">
        <f>IF(F397=1,IFERROR(VLOOKUP(E397,Tab_ErrMessage[],2,0),VLOOKUP(C397&amp;TableCosts[[#This Row],[Calc_N_Typ]],TRAN_STRITEMS_LABEL,4,FALSE)),"")</f>
        <v/>
      </c>
      <c r="H397" s="40"/>
      <c r="I397" s="40"/>
      <c r="J397" s="35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  <c r="AD397" s="24"/>
      <c r="AE397" s="24"/>
      <c r="AF397" s="24"/>
      <c r="AG397" s="24"/>
      <c r="AH397" s="24"/>
      <c r="AI397" s="24"/>
      <c r="AJ397" s="24"/>
      <c r="AK397" s="38">
        <f t="array" ref="AK397">IF(F397=1,SUM((ROW(M0)=ROW(AK397))*(M0+M1_+M2_+M3_+M4_+M5_+M6_+M7_+M8_+M9_+M10_+M11_+M12_+M13_+M14_+M15_+M16_+M17_+M18_+M19_+M20_+M21_+M22_+M23_+M24_+M25_)),0)</f>
        <v>0</v>
      </c>
      <c r="AL397" s="27">
        <f>TableCosts[[#This Row],[N_Direct]]</f>
        <v>0</v>
      </c>
      <c r="AN397" s="7" t="str">
        <f t="shared" si="75"/>
        <v/>
      </c>
      <c r="AO397" s="7" t="str">
        <f t="shared" si="78"/>
        <v/>
      </c>
      <c r="AP397" s="7" t="str">
        <f t="shared" si="76"/>
        <v/>
      </c>
      <c r="AQ397" s="7" t="str">
        <f t="shared" si="79"/>
        <v/>
      </c>
      <c r="AR397" s="7" t="str">
        <f t="shared" si="77"/>
        <v/>
      </c>
      <c r="AS397" s="7">
        <f t="shared" si="80"/>
        <v>0</v>
      </c>
      <c r="AT397" s="17">
        <f>TableCosts[[#This Row],[N_Amount]]*TableCosts[[#This Row],[N_Tariff]]*TableCosts[[#This Row],[N_ItemsCount]]</f>
        <v>0</v>
      </c>
      <c r="AU397" s="17">
        <f>IF(F397=1,IF(TableCosts[[#This Row],[N_Kateg]]="interné práce",TableCosts[[#This Row],[N_Amount]]*8*PAR_SGA_PERHOUR,0),0)</f>
        <v>0</v>
      </c>
      <c r="AV397" s="17">
        <f>SUM(TableCosts[[#This Row],[N_Direct]:[N_SGA]])</f>
        <v>0</v>
      </c>
      <c r="AW397" s="7">
        <f>IF(F397=1,IF(D397="",NA(),VLOOKUP(C397&amp;TableCosts[[#This Row],[Calc_N_Typ]],TRAN_STRITEMS_LABEL,7,0)),0)</f>
        <v>0</v>
      </c>
      <c r="AX397" s="7">
        <f t="shared" si="81"/>
        <v>0</v>
      </c>
      <c r="AY397" s="57" t="str">
        <f t="shared" si="82"/>
        <v/>
      </c>
      <c r="AZ397" s="57" t="str">
        <f t="shared" si="83"/>
        <v/>
      </c>
      <c r="BA397" s="57" t="str">
        <f>IF(F397=1,IF(TableCosts[[#This Row],[TransferFrom]]=TableCosts[[#This Row],[TranferTo]],0,1),"")</f>
        <v/>
      </c>
      <c r="BB397" s="7">
        <f t="shared" si="84"/>
        <v>0</v>
      </c>
      <c r="BC397" s="7">
        <f t="shared" si="85"/>
        <v>0</v>
      </c>
    </row>
    <row r="398" spans="2:55" s="7" customFormat="1" ht="12.75" x14ac:dyDescent="0.2">
      <c r="B398" s="33"/>
      <c r="C398" s="31"/>
      <c r="D398" s="40"/>
      <c r="E398" s="6" t="str">
        <f>IF(F398=1,IF(ISERROR(TableCosts[[#This Row],[N_Tariff]]),Err_Message1,IF(TableCosts[[#This Row],[N_Tariff]]=0,Err_Message2,VLOOKUP(C398&amp;TableCosts[[#This Row],[Calc_N_Typ]],TRAN_STRITEMS_LABEL,5,FALSE))),"")</f>
        <v/>
      </c>
      <c r="F398" s="6">
        <f t="shared" si="86"/>
        <v>0</v>
      </c>
      <c r="G398" s="6" t="str">
        <f>IF(F398=1,IFERROR(VLOOKUP(E398,Tab_ErrMessage[],2,0),VLOOKUP(C398&amp;TableCosts[[#This Row],[Calc_N_Typ]],TRAN_STRITEMS_LABEL,4,FALSE)),"")</f>
        <v/>
      </c>
      <c r="H398" s="40"/>
      <c r="I398" s="40"/>
      <c r="J398" s="35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  <c r="AD398" s="24"/>
      <c r="AE398" s="24"/>
      <c r="AF398" s="24"/>
      <c r="AG398" s="24"/>
      <c r="AH398" s="24"/>
      <c r="AI398" s="24"/>
      <c r="AJ398" s="24"/>
      <c r="AK398" s="38">
        <f t="array" ref="AK398">IF(F398=1,SUM((ROW(M0)=ROW(AK398))*(M0+M1_+M2_+M3_+M4_+M5_+M6_+M7_+M8_+M9_+M10_+M11_+M12_+M13_+M14_+M15_+M16_+M17_+M18_+M19_+M20_+M21_+M22_+M23_+M24_+M25_)),0)</f>
        <v>0</v>
      </c>
      <c r="AL398" s="27">
        <f>TableCosts[[#This Row],[N_Direct]]</f>
        <v>0</v>
      </c>
      <c r="AN398" s="7" t="str">
        <f t="shared" si="75"/>
        <v/>
      </c>
      <c r="AO398" s="7" t="str">
        <f t="shared" si="78"/>
        <v/>
      </c>
      <c r="AP398" s="7" t="str">
        <f t="shared" si="76"/>
        <v/>
      </c>
      <c r="AQ398" s="7" t="str">
        <f t="shared" si="79"/>
        <v/>
      </c>
      <c r="AR398" s="7" t="str">
        <f t="shared" si="77"/>
        <v/>
      </c>
      <c r="AS398" s="7">
        <f t="shared" si="80"/>
        <v>0</v>
      </c>
      <c r="AT398" s="17">
        <f>TableCosts[[#This Row],[N_Amount]]*TableCosts[[#This Row],[N_Tariff]]*TableCosts[[#This Row],[N_ItemsCount]]</f>
        <v>0</v>
      </c>
      <c r="AU398" s="17">
        <f>IF(F398=1,IF(TableCosts[[#This Row],[N_Kateg]]="interné práce",TableCosts[[#This Row],[N_Amount]]*8*PAR_SGA_PERHOUR,0),0)</f>
        <v>0</v>
      </c>
      <c r="AV398" s="17">
        <f>SUM(TableCosts[[#This Row],[N_Direct]:[N_SGA]])</f>
        <v>0</v>
      </c>
      <c r="AW398" s="7">
        <f>IF(F398=1,IF(D398="",NA(),VLOOKUP(C398&amp;TableCosts[[#This Row],[Calc_N_Typ]],TRAN_STRITEMS_LABEL,7,0)),0)</f>
        <v>0</v>
      </c>
      <c r="AX398" s="7">
        <f t="shared" si="81"/>
        <v>0</v>
      </c>
      <c r="AY398" s="57" t="str">
        <f t="shared" si="82"/>
        <v/>
      </c>
      <c r="AZ398" s="57" t="str">
        <f t="shared" si="83"/>
        <v/>
      </c>
      <c r="BA398" s="57" t="str">
        <f>IF(F398=1,IF(TableCosts[[#This Row],[TransferFrom]]=TableCosts[[#This Row],[TranferTo]],0,1),"")</f>
        <v/>
      </c>
      <c r="BB398" s="7">
        <f t="shared" si="84"/>
        <v>0</v>
      </c>
      <c r="BC398" s="7">
        <f t="shared" si="85"/>
        <v>0</v>
      </c>
    </row>
    <row r="399" spans="2:55" s="7" customFormat="1" ht="12.75" x14ac:dyDescent="0.2">
      <c r="B399" s="33"/>
      <c r="C399" s="31"/>
      <c r="D399" s="40"/>
      <c r="E399" s="6" t="str">
        <f>IF(F399=1,IF(ISERROR(TableCosts[[#This Row],[N_Tariff]]),Err_Message1,IF(TableCosts[[#This Row],[N_Tariff]]=0,Err_Message2,VLOOKUP(C399&amp;TableCosts[[#This Row],[Calc_N_Typ]],TRAN_STRITEMS_LABEL,5,FALSE))),"")</f>
        <v/>
      </c>
      <c r="F399" s="6">
        <f t="shared" si="86"/>
        <v>0</v>
      </c>
      <c r="G399" s="6" t="str">
        <f>IF(F399=1,IFERROR(VLOOKUP(E399,Tab_ErrMessage[],2,0),VLOOKUP(C399&amp;TableCosts[[#This Row],[Calc_N_Typ]],TRAN_STRITEMS_LABEL,4,FALSE)),"")</f>
        <v/>
      </c>
      <c r="H399" s="40"/>
      <c r="I399" s="40"/>
      <c r="J399" s="35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  <c r="AD399" s="24"/>
      <c r="AE399" s="24"/>
      <c r="AF399" s="24"/>
      <c r="AG399" s="24"/>
      <c r="AH399" s="24"/>
      <c r="AI399" s="24"/>
      <c r="AJ399" s="24"/>
      <c r="AK399" s="38">
        <f t="array" ref="AK399">IF(F399=1,SUM((ROW(M0)=ROW(AK399))*(M0+M1_+M2_+M3_+M4_+M5_+M6_+M7_+M8_+M9_+M10_+M11_+M12_+M13_+M14_+M15_+M16_+M17_+M18_+M19_+M20_+M21_+M22_+M23_+M24_+M25_)),0)</f>
        <v>0</v>
      </c>
      <c r="AL399" s="27">
        <f>TableCosts[[#This Row],[N_Direct]]</f>
        <v>0</v>
      </c>
      <c r="AN399" s="7" t="str">
        <f t="shared" si="75"/>
        <v/>
      </c>
      <c r="AO399" s="7" t="str">
        <f t="shared" si="78"/>
        <v/>
      </c>
      <c r="AP399" s="7" t="str">
        <f t="shared" si="76"/>
        <v/>
      </c>
      <c r="AQ399" s="7" t="str">
        <f t="shared" si="79"/>
        <v/>
      </c>
      <c r="AR399" s="7" t="str">
        <f t="shared" si="77"/>
        <v/>
      </c>
      <c r="AS399" s="7">
        <f t="shared" si="80"/>
        <v>0</v>
      </c>
      <c r="AT399" s="17">
        <f>TableCosts[[#This Row],[N_Amount]]*TableCosts[[#This Row],[N_Tariff]]*TableCosts[[#This Row],[N_ItemsCount]]</f>
        <v>0</v>
      </c>
      <c r="AU399" s="17">
        <f>IF(F399=1,IF(TableCosts[[#This Row],[N_Kateg]]="interné práce",TableCosts[[#This Row],[N_Amount]]*8*PAR_SGA_PERHOUR,0),0)</f>
        <v>0</v>
      </c>
      <c r="AV399" s="17">
        <f>SUM(TableCosts[[#This Row],[N_Direct]:[N_SGA]])</f>
        <v>0</v>
      </c>
      <c r="AW399" s="7">
        <f>IF(F399=1,IF(D399="",NA(),VLOOKUP(C399&amp;TableCosts[[#This Row],[Calc_N_Typ]],TRAN_STRITEMS_LABEL,7,0)),0)</f>
        <v>0</v>
      </c>
      <c r="AX399" s="7">
        <f t="shared" si="81"/>
        <v>0</v>
      </c>
      <c r="AY399" s="57" t="str">
        <f t="shared" si="82"/>
        <v/>
      </c>
      <c r="AZ399" s="57" t="str">
        <f t="shared" si="83"/>
        <v/>
      </c>
      <c r="BA399" s="57" t="str">
        <f>IF(F399=1,IF(TableCosts[[#This Row],[TransferFrom]]=TableCosts[[#This Row],[TranferTo]],0,1),"")</f>
        <v/>
      </c>
      <c r="BB399" s="7">
        <f t="shared" si="84"/>
        <v>0</v>
      </c>
      <c r="BC399" s="7">
        <f t="shared" si="85"/>
        <v>0</v>
      </c>
    </row>
    <row r="400" spans="2:55" s="7" customFormat="1" ht="12.75" x14ac:dyDescent="0.2">
      <c r="B400" s="33"/>
      <c r="C400" s="31"/>
      <c r="D400" s="40"/>
      <c r="E400" s="6" t="str">
        <f>IF(F400=1,IF(ISERROR(TableCosts[[#This Row],[N_Tariff]]),Err_Message1,IF(TableCosts[[#This Row],[N_Tariff]]=0,Err_Message2,VLOOKUP(C400&amp;TableCosts[[#This Row],[Calc_N_Typ]],TRAN_STRITEMS_LABEL,5,FALSE))),"")</f>
        <v/>
      </c>
      <c r="F400" s="6">
        <f t="shared" si="86"/>
        <v>0</v>
      </c>
      <c r="G400" s="6" t="str">
        <f>IF(F400=1,IFERROR(VLOOKUP(E400,Tab_ErrMessage[],2,0),VLOOKUP(C400&amp;TableCosts[[#This Row],[Calc_N_Typ]],TRAN_STRITEMS_LABEL,4,FALSE)),"")</f>
        <v/>
      </c>
      <c r="H400" s="40"/>
      <c r="I400" s="40"/>
      <c r="J400" s="35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  <c r="AD400" s="24"/>
      <c r="AE400" s="24"/>
      <c r="AF400" s="24"/>
      <c r="AG400" s="24"/>
      <c r="AH400" s="24"/>
      <c r="AI400" s="24"/>
      <c r="AJ400" s="24"/>
      <c r="AK400" s="38">
        <f t="array" ref="AK400">IF(F400=1,SUM((ROW(M0)=ROW(AK400))*(M0+M1_+M2_+M3_+M4_+M5_+M6_+M7_+M8_+M9_+M10_+M11_+M12_+M13_+M14_+M15_+M16_+M17_+M18_+M19_+M20_+M21_+M22_+M23_+M24_+M25_)),0)</f>
        <v>0</v>
      </c>
      <c r="AL400" s="27">
        <f>TableCosts[[#This Row],[N_Direct]]</f>
        <v>0</v>
      </c>
      <c r="AN400" s="7" t="str">
        <f t="shared" si="75"/>
        <v/>
      </c>
      <c r="AO400" s="7" t="str">
        <f t="shared" si="78"/>
        <v/>
      </c>
      <c r="AP400" s="7" t="str">
        <f t="shared" si="76"/>
        <v/>
      </c>
      <c r="AQ400" s="7" t="str">
        <f t="shared" si="79"/>
        <v/>
      </c>
      <c r="AR400" s="7" t="str">
        <f t="shared" si="77"/>
        <v/>
      </c>
      <c r="AS400" s="7">
        <f t="shared" si="80"/>
        <v>0</v>
      </c>
      <c r="AT400" s="17">
        <f>TableCosts[[#This Row],[N_Amount]]*TableCosts[[#This Row],[N_Tariff]]*TableCosts[[#This Row],[N_ItemsCount]]</f>
        <v>0</v>
      </c>
      <c r="AU400" s="17">
        <f>IF(F400=1,IF(TableCosts[[#This Row],[N_Kateg]]="interné práce",TableCosts[[#This Row],[N_Amount]]*8*PAR_SGA_PERHOUR,0),0)</f>
        <v>0</v>
      </c>
      <c r="AV400" s="17">
        <f>SUM(TableCosts[[#This Row],[N_Direct]:[N_SGA]])</f>
        <v>0</v>
      </c>
      <c r="AW400" s="7">
        <f>IF(F400=1,IF(D400="",NA(),VLOOKUP(C400&amp;TableCosts[[#This Row],[Calc_N_Typ]],TRAN_STRITEMS_LABEL,7,0)),0)</f>
        <v>0</v>
      </c>
      <c r="AX400" s="7">
        <f t="shared" si="81"/>
        <v>0</v>
      </c>
      <c r="AY400" s="57" t="str">
        <f t="shared" si="82"/>
        <v/>
      </c>
      <c r="AZ400" s="57" t="str">
        <f t="shared" si="83"/>
        <v/>
      </c>
      <c r="BA400" s="57" t="str">
        <f>IF(F400=1,IF(TableCosts[[#This Row],[TransferFrom]]=TableCosts[[#This Row],[TranferTo]],0,1),"")</f>
        <v/>
      </c>
      <c r="BB400" s="7">
        <f t="shared" si="84"/>
        <v>0</v>
      </c>
      <c r="BC400" s="7">
        <f t="shared" si="85"/>
        <v>0</v>
      </c>
    </row>
    <row r="401" spans="2:55" s="7" customFormat="1" ht="12.75" x14ac:dyDescent="0.2">
      <c r="B401" s="33"/>
      <c r="C401" s="31"/>
      <c r="D401" s="40"/>
      <c r="E401" s="6" t="str">
        <f>IF(F401=1,IF(ISERROR(TableCosts[[#This Row],[N_Tariff]]),Err_Message1,IF(TableCosts[[#This Row],[N_Tariff]]=0,Err_Message2,VLOOKUP(C401&amp;TableCosts[[#This Row],[Calc_N_Typ]],TRAN_STRITEMS_LABEL,5,FALSE))),"")</f>
        <v/>
      </c>
      <c r="F401" s="6">
        <f t="shared" si="86"/>
        <v>0</v>
      </c>
      <c r="G401" s="6" t="str">
        <f>IF(F401=1,IFERROR(VLOOKUP(E401,Tab_ErrMessage[],2,0),VLOOKUP(C401&amp;TableCosts[[#This Row],[Calc_N_Typ]],TRAN_STRITEMS_LABEL,4,FALSE)),"")</f>
        <v/>
      </c>
      <c r="H401" s="40"/>
      <c r="I401" s="40"/>
      <c r="J401" s="35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  <c r="AD401" s="24"/>
      <c r="AE401" s="24"/>
      <c r="AF401" s="24"/>
      <c r="AG401" s="24"/>
      <c r="AH401" s="24"/>
      <c r="AI401" s="24"/>
      <c r="AJ401" s="24"/>
      <c r="AK401" s="38">
        <f t="array" ref="AK401">IF(F401=1,SUM((ROW(M0)=ROW(AK401))*(M0+M1_+M2_+M3_+M4_+M5_+M6_+M7_+M8_+M9_+M10_+M11_+M12_+M13_+M14_+M15_+M16_+M17_+M18_+M19_+M20_+M21_+M22_+M23_+M24_+M25_)),0)</f>
        <v>0</v>
      </c>
      <c r="AL401" s="27">
        <f>TableCosts[[#This Row],[N_Direct]]</f>
        <v>0</v>
      </c>
      <c r="AN401" s="7" t="str">
        <f t="shared" si="75"/>
        <v/>
      </c>
      <c r="AO401" s="7" t="str">
        <f t="shared" si="78"/>
        <v/>
      </c>
      <c r="AP401" s="7" t="str">
        <f t="shared" si="76"/>
        <v/>
      </c>
      <c r="AQ401" s="7" t="str">
        <f t="shared" si="79"/>
        <v/>
      </c>
      <c r="AR401" s="7" t="str">
        <f t="shared" si="77"/>
        <v/>
      </c>
      <c r="AS401" s="7">
        <f t="shared" si="80"/>
        <v>0</v>
      </c>
      <c r="AT401" s="17">
        <f>TableCosts[[#This Row],[N_Amount]]*TableCosts[[#This Row],[N_Tariff]]*TableCosts[[#This Row],[N_ItemsCount]]</f>
        <v>0</v>
      </c>
      <c r="AU401" s="17">
        <f>IF(F401=1,IF(TableCosts[[#This Row],[N_Kateg]]="interné práce",TableCosts[[#This Row],[N_Amount]]*8*PAR_SGA_PERHOUR,0),0)</f>
        <v>0</v>
      </c>
      <c r="AV401" s="17">
        <f>SUM(TableCosts[[#This Row],[N_Direct]:[N_SGA]])</f>
        <v>0</v>
      </c>
      <c r="AW401" s="7">
        <f>IF(F401=1,IF(D401="",NA(),VLOOKUP(C401&amp;TableCosts[[#This Row],[Calc_N_Typ]],TRAN_STRITEMS_LABEL,7,0)),0)</f>
        <v>0</v>
      </c>
      <c r="AX401" s="7">
        <f t="shared" si="81"/>
        <v>0</v>
      </c>
      <c r="AY401" s="57" t="str">
        <f t="shared" si="82"/>
        <v/>
      </c>
      <c r="AZ401" s="57" t="str">
        <f t="shared" si="83"/>
        <v/>
      </c>
      <c r="BA401" s="57" t="str">
        <f>IF(F401=1,IF(TableCosts[[#This Row],[TransferFrom]]=TableCosts[[#This Row],[TranferTo]],0,1),"")</f>
        <v/>
      </c>
      <c r="BB401" s="7">
        <f t="shared" si="84"/>
        <v>0</v>
      </c>
      <c r="BC401" s="7">
        <f t="shared" si="85"/>
        <v>0</v>
      </c>
    </row>
    <row r="402" spans="2:55" s="7" customFormat="1" ht="12.75" x14ac:dyDescent="0.2">
      <c r="B402" s="33"/>
      <c r="C402" s="31"/>
      <c r="D402" s="40"/>
      <c r="E402" s="6" t="str">
        <f>IF(F402=1,IF(ISERROR(TableCosts[[#This Row],[N_Tariff]]),Err_Message1,IF(TableCosts[[#This Row],[N_Tariff]]=0,Err_Message2,VLOOKUP(C402&amp;TableCosts[[#This Row],[Calc_N_Typ]],TRAN_STRITEMS_LABEL,5,FALSE))),"")</f>
        <v/>
      </c>
      <c r="F402" s="6">
        <f t="shared" si="86"/>
        <v>0</v>
      </c>
      <c r="G402" s="6" t="str">
        <f>IF(F402=1,IFERROR(VLOOKUP(E402,Tab_ErrMessage[],2,0),VLOOKUP(C402&amp;TableCosts[[#This Row],[Calc_N_Typ]],TRAN_STRITEMS_LABEL,4,FALSE)),"")</f>
        <v/>
      </c>
      <c r="H402" s="40"/>
      <c r="I402" s="40"/>
      <c r="J402" s="35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  <c r="AD402" s="24"/>
      <c r="AE402" s="24"/>
      <c r="AF402" s="24"/>
      <c r="AG402" s="24"/>
      <c r="AH402" s="24"/>
      <c r="AI402" s="24"/>
      <c r="AJ402" s="24"/>
      <c r="AK402" s="38">
        <f t="array" ref="AK402">IF(F402=1,SUM((ROW(M0)=ROW(AK402))*(M0+M1_+M2_+M3_+M4_+M5_+M6_+M7_+M8_+M9_+M10_+M11_+M12_+M13_+M14_+M15_+M16_+M17_+M18_+M19_+M20_+M21_+M22_+M23_+M24_+M25_)),0)</f>
        <v>0</v>
      </c>
      <c r="AL402" s="27">
        <f>TableCosts[[#This Row],[N_Direct]]</f>
        <v>0</v>
      </c>
      <c r="AN402" s="7" t="str">
        <f t="shared" si="75"/>
        <v/>
      </c>
      <c r="AO402" s="7" t="str">
        <f t="shared" si="78"/>
        <v/>
      </c>
      <c r="AP402" s="7" t="str">
        <f t="shared" si="76"/>
        <v/>
      </c>
      <c r="AQ402" s="7" t="str">
        <f t="shared" si="79"/>
        <v/>
      </c>
      <c r="AR402" s="7" t="str">
        <f t="shared" si="77"/>
        <v/>
      </c>
      <c r="AS402" s="7">
        <f t="shared" si="80"/>
        <v>0</v>
      </c>
      <c r="AT402" s="17">
        <f>TableCosts[[#This Row],[N_Amount]]*TableCosts[[#This Row],[N_Tariff]]*TableCosts[[#This Row],[N_ItemsCount]]</f>
        <v>0</v>
      </c>
      <c r="AU402" s="17">
        <f>IF(F402=1,IF(TableCosts[[#This Row],[N_Kateg]]="interné práce",TableCosts[[#This Row],[N_Amount]]*8*PAR_SGA_PERHOUR,0),0)</f>
        <v>0</v>
      </c>
      <c r="AV402" s="17">
        <f>SUM(TableCosts[[#This Row],[N_Direct]:[N_SGA]])</f>
        <v>0</v>
      </c>
      <c r="AW402" s="7">
        <f>IF(F402=1,IF(D402="",NA(),VLOOKUP(C402&amp;TableCosts[[#This Row],[Calc_N_Typ]],TRAN_STRITEMS_LABEL,7,0)),0)</f>
        <v>0</v>
      </c>
      <c r="AX402" s="7">
        <f t="shared" si="81"/>
        <v>0</v>
      </c>
      <c r="AY402" s="57" t="str">
        <f t="shared" si="82"/>
        <v/>
      </c>
      <c r="AZ402" s="57" t="str">
        <f t="shared" si="83"/>
        <v/>
      </c>
      <c r="BA402" s="57" t="str">
        <f>IF(F402=1,IF(TableCosts[[#This Row],[TransferFrom]]=TableCosts[[#This Row],[TranferTo]],0,1),"")</f>
        <v/>
      </c>
      <c r="BB402" s="7">
        <f t="shared" si="84"/>
        <v>0</v>
      </c>
      <c r="BC402" s="7">
        <f t="shared" si="85"/>
        <v>0</v>
      </c>
    </row>
    <row r="403" spans="2:55" s="7" customFormat="1" ht="12.75" x14ac:dyDescent="0.2">
      <c r="B403" s="33"/>
      <c r="C403" s="31"/>
      <c r="D403" s="40"/>
      <c r="E403" s="6" t="str">
        <f>IF(F403=1,IF(ISERROR(TableCosts[[#This Row],[N_Tariff]]),Err_Message1,IF(TableCosts[[#This Row],[N_Tariff]]=0,Err_Message2,VLOOKUP(C403&amp;TableCosts[[#This Row],[Calc_N_Typ]],TRAN_STRITEMS_LABEL,5,FALSE))),"")</f>
        <v/>
      </c>
      <c r="F403" s="6">
        <f t="shared" si="86"/>
        <v>0</v>
      </c>
      <c r="G403" s="6" t="str">
        <f>IF(F403=1,IFERROR(VLOOKUP(E403,Tab_ErrMessage[],2,0),VLOOKUP(C403&amp;TableCosts[[#This Row],[Calc_N_Typ]],TRAN_STRITEMS_LABEL,4,FALSE)),"")</f>
        <v/>
      </c>
      <c r="H403" s="40"/>
      <c r="I403" s="40"/>
      <c r="J403" s="35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  <c r="AD403" s="24"/>
      <c r="AE403" s="24"/>
      <c r="AF403" s="24"/>
      <c r="AG403" s="24"/>
      <c r="AH403" s="24"/>
      <c r="AI403" s="24"/>
      <c r="AJ403" s="24"/>
      <c r="AK403" s="38">
        <f t="array" ref="AK403">IF(F403=1,SUM((ROW(M0)=ROW(AK403))*(M0+M1_+M2_+M3_+M4_+M5_+M6_+M7_+M8_+M9_+M10_+M11_+M12_+M13_+M14_+M15_+M16_+M17_+M18_+M19_+M20_+M21_+M22_+M23_+M24_+M25_)),0)</f>
        <v>0</v>
      </c>
      <c r="AL403" s="27">
        <f>TableCosts[[#This Row],[N_Direct]]</f>
        <v>0</v>
      </c>
      <c r="AN403" s="7" t="str">
        <f t="shared" si="75"/>
        <v/>
      </c>
      <c r="AO403" s="7" t="str">
        <f t="shared" si="78"/>
        <v/>
      </c>
      <c r="AP403" s="7" t="str">
        <f t="shared" si="76"/>
        <v/>
      </c>
      <c r="AQ403" s="7" t="str">
        <f t="shared" si="79"/>
        <v/>
      </c>
      <c r="AR403" s="7" t="str">
        <f t="shared" si="77"/>
        <v/>
      </c>
      <c r="AS403" s="7">
        <f t="shared" si="80"/>
        <v>0</v>
      </c>
      <c r="AT403" s="17">
        <f>TableCosts[[#This Row],[N_Amount]]*TableCosts[[#This Row],[N_Tariff]]*TableCosts[[#This Row],[N_ItemsCount]]</f>
        <v>0</v>
      </c>
      <c r="AU403" s="17">
        <f>IF(F403=1,IF(TableCosts[[#This Row],[N_Kateg]]="interné práce",TableCosts[[#This Row],[N_Amount]]*8*PAR_SGA_PERHOUR,0),0)</f>
        <v>0</v>
      </c>
      <c r="AV403" s="17">
        <f>SUM(TableCosts[[#This Row],[N_Direct]:[N_SGA]])</f>
        <v>0</v>
      </c>
      <c r="AW403" s="7">
        <f>IF(F403=1,IF(D403="",NA(),VLOOKUP(C403&amp;TableCosts[[#This Row],[Calc_N_Typ]],TRAN_STRITEMS_LABEL,7,0)),0)</f>
        <v>0</v>
      </c>
      <c r="AX403" s="7">
        <f t="shared" si="81"/>
        <v>0</v>
      </c>
      <c r="AY403" s="57" t="str">
        <f t="shared" si="82"/>
        <v/>
      </c>
      <c r="AZ403" s="57" t="str">
        <f t="shared" si="83"/>
        <v/>
      </c>
      <c r="BA403" s="57" t="str">
        <f>IF(F403=1,IF(TableCosts[[#This Row],[TransferFrom]]=TableCosts[[#This Row],[TranferTo]],0,1),"")</f>
        <v/>
      </c>
      <c r="BB403" s="7">
        <f t="shared" si="84"/>
        <v>0</v>
      </c>
      <c r="BC403" s="7">
        <f t="shared" si="85"/>
        <v>0</v>
      </c>
    </row>
    <row r="404" spans="2:55" s="7" customFormat="1" ht="12.75" x14ac:dyDescent="0.2">
      <c r="B404" s="33"/>
      <c r="C404" s="31"/>
      <c r="D404" s="40"/>
      <c r="E404" s="6" t="str">
        <f>IF(F404=1,IF(ISERROR(TableCosts[[#This Row],[N_Tariff]]),Err_Message1,IF(TableCosts[[#This Row],[N_Tariff]]=0,Err_Message2,VLOOKUP(C404&amp;TableCosts[[#This Row],[Calc_N_Typ]],TRAN_STRITEMS_LABEL,5,FALSE))),"")</f>
        <v/>
      </c>
      <c r="F404" s="6">
        <f t="shared" si="86"/>
        <v>0</v>
      </c>
      <c r="G404" s="6" t="str">
        <f>IF(F404=1,IFERROR(VLOOKUP(E404,Tab_ErrMessage[],2,0),VLOOKUP(C404&amp;TableCosts[[#This Row],[Calc_N_Typ]],TRAN_STRITEMS_LABEL,4,FALSE)),"")</f>
        <v/>
      </c>
      <c r="H404" s="40"/>
      <c r="I404" s="40"/>
      <c r="J404" s="35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  <c r="AD404" s="24"/>
      <c r="AE404" s="24"/>
      <c r="AF404" s="24"/>
      <c r="AG404" s="24"/>
      <c r="AH404" s="24"/>
      <c r="AI404" s="24"/>
      <c r="AJ404" s="24"/>
      <c r="AK404" s="38">
        <f t="array" ref="AK404">IF(F404=1,SUM((ROW(M0)=ROW(AK404))*(M0+M1_+M2_+M3_+M4_+M5_+M6_+M7_+M8_+M9_+M10_+M11_+M12_+M13_+M14_+M15_+M16_+M17_+M18_+M19_+M20_+M21_+M22_+M23_+M24_+M25_)),0)</f>
        <v>0</v>
      </c>
      <c r="AL404" s="27">
        <f>TableCosts[[#This Row],[N_Direct]]</f>
        <v>0</v>
      </c>
      <c r="AN404" s="7" t="str">
        <f t="shared" si="75"/>
        <v/>
      </c>
      <c r="AO404" s="7" t="str">
        <f t="shared" si="78"/>
        <v/>
      </c>
      <c r="AP404" s="7" t="str">
        <f t="shared" si="76"/>
        <v/>
      </c>
      <c r="AQ404" s="7" t="str">
        <f t="shared" si="79"/>
        <v/>
      </c>
      <c r="AR404" s="7" t="str">
        <f t="shared" si="77"/>
        <v/>
      </c>
      <c r="AS404" s="7">
        <f t="shared" si="80"/>
        <v>0</v>
      </c>
      <c r="AT404" s="17">
        <f>TableCosts[[#This Row],[N_Amount]]*TableCosts[[#This Row],[N_Tariff]]*TableCosts[[#This Row],[N_ItemsCount]]</f>
        <v>0</v>
      </c>
      <c r="AU404" s="17">
        <f>IF(F404=1,IF(TableCosts[[#This Row],[N_Kateg]]="interné práce",TableCosts[[#This Row],[N_Amount]]*8*PAR_SGA_PERHOUR,0),0)</f>
        <v>0</v>
      </c>
      <c r="AV404" s="17">
        <f>SUM(TableCosts[[#This Row],[N_Direct]:[N_SGA]])</f>
        <v>0</v>
      </c>
      <c r="AW404" s="7">
        <f>IF(F404=1,IF(D404="",NA(),VLOOKUP(C404&amp;TableCosts[[#This Row],[Calc_N_Typ]],TRAN_STRITEMS_LABEL,7,0)),0)</f>
        <v>0</v>
      </c>
      <c r="AX404" s="7">
        <f t="shared" si="81"/>
        <v>0</v>
      </c>
      <c r="AY404" s="57" t="str">
        <f t="shared" si="82"/>
        <v/>
      </c>
      <c r="AZ404" s="57" t="str">
        <f t="shared" si="83"/>
        <v/>
      </c>
      <c r="BA404" s="57" t="str">
        <f>IF(F404=1,IF(TableCosts[[#This Row],[TransferFrom]]=TableCosts[[#This Row],[TranferTo]],0,1),"")</f>
        <v/>
      </c>
      <c r="BB404" s="7">
        <f t="shared" si="84"/>
        <v>0</v>
      </c>
      <c r="BC404" s="7">
        <f t="shared" si="85"/>
        <v>0</v>
      </c>
    </row>
    <row r="405" spans="2:55" s="7" customFormat="1" ht="12.75" x14ac:dyDescent="0.2">
      <c r="B405" s="33"/>
      <c r="C405" s="31"/>
      <c r="D405" s="40"/>
      <c r="E405" s="6" t="str">
        <f>IF(F405=1,IF(ISERROR(TableCosts[[#This Row],[N_Tariff]]),Err_Message1,IF(TableCosts[[#This Row],[N_Tariff]]=0,Err_Message2,VLOOKUP(C405&amp;TableCosts[[#This Row],[Calc_N_Typ]],TRAN_STRITEMS_LABEL,5,FALSE))),"")</f>
        <v/>
      </c>
      <c r="F405" s="6">
        <f t="shared" si="86"/>
        <v>0</v>
      </c>
      <c r="G405" s="6" t="str">
        <f>IF(F405=1,IFERROR(VLOOKUP(E405,Tab_ErrMessage[],2,0),VLOOKUP(C405&amp;TableCosts[[#This Row],[Calc_N_Typ]],TRAN_STRITEMS_LABEL,4,FALSE)),"")</f>
        <v/>
      </c>
      <c r="H405" s="40"/>
      <c r="I405" s="40"/>
      <c r="J405" s="35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  <c r="AD405" s="24"/>
      <c r="AE405" s="24"/>
      <c r="AF405" s="24"/>
      <c r="AG405" s="24"/>
      <c r="AH405" s="24"/>
      <c r="AI405" s="24"/>
      <c r="AJ405" s="24"/>
      <c r="AK405" s="38">
        <f t="array" ref="AK405">IF(F405=1,SUM((ROW(M0)=ROW(AK405))*(M0+M1_+M2_+M3_+M4_+M5_+M6_+M7_+M8_+M9_+M10_+M11_+M12_+M13_+M14_+M15_+M16_+M17_+M18_+M19_+M20_+M21_+M22_+M23_+M24_+M25_)),0)</f>
        <v>0</v>
      </c>
      <c r="AL405" s="27">
        <f>TableCosts[[#This Row],[N_Direct]]</f>
        <v>0</v>
      </c>
      <c r="AN405" s="7" t="str">
        <f t="shared" si="75"/>
        <v/>
      </c>
      <c r="AO405" s="7" t="str">
        <f t="shared" si="78"/>
        <v/>
      </c>
      <c r="AP405" s="7" t="str">
        <f t="shared" si="76"/>
        <v/>
      </c>
      <c r="AQ405" s="7" t="str">
        <f t="shared" si="79"/>
        <v/>
      </c>
      <c r="AR405" s="7" t="str">
        <f t="shared" si="77"/>
        <v/>
      </c>
      <c r="AS405" s="7">
        <f t="shared" si="80"/>
        <v>0</v>
      </c>
      <c r="AT405" s="17">
        <f>TableCosts[[#This Row],[N_Amount]]*TableCosts[[#This Row],[N_Tariff]]*TableCosts[[#This Row],[N_ItemsCount]]</f>
        <v>0</v>
      </c>
      <c r="AU405" s="17">
        <f>IF(F405=1,IF(TableCosts[[#This Row],[N_Kateg]]="interné práce",TableCosts[[#This Row],[N_Amount]]*8*PAR_SGA_PERHOUR,0),0)</f>
        <v>0</v>
      </c>
      <c r="AV405" s="17">
        <f>SUM(TableCosts[[#This Row],[N_Direct]:[N_SGA]])</f>
        <v>0</v>
      </c>
      <c r="AW405" s="7">
        <f>IF(F405=1,IF(D405="",NA(),VLOOKUP(C405&amp;TableCosts[[#This Row],[Calc_N_Typ]],TRAN_STRITEMS_LABEL,7,0)),0)</f>
        <v>0</v>
      </c>
      <c r="AX405" s="7">
        <f t="shared" si="81"/>
        <v>0</v>
      </c>
      <c r="AY405" s="57" t="str">
        <f t="shared" si="82"/>
        <v/>
      </c>
      <c r="AZ405" s="57" t="str">
        <f t="shared" si="83"/>
        <v/>
      </c>
      <c r="BA405" s="57" t="str">
        <f>IF(F405=1,IF(TableCosts[[#This Row],[TransferFrom]]=TableCosts[[#This Row],[TranferTo]],0,1),"")</f>
        <v/>
      </c>
      <c r="BB405" s="7">
        <f t="shared" si="84"/>
        <v>0</v>
      </c>
      <c r="BC405" s="7">
        <f t="shared" si="85"/>
        <v>0</v>
      </c>
    </row>
    <row r="406" spans="2:55" s="7" customFormat="1" ht="12.75" x14ac:dyDescent="0.2">
      <c r="B406" s="33"/>
      <c r="C406" s="31"/>
      <c r="D406" s="40"/>
      <c r="E406" s="6" t="str">
        <f>IF(F406=1,IF(ISERROR(TableCosts[[#This Row],[N_Tariff]]),Err_Message1,IF(TableCosts[[#This Row],[N_Tariff]]=0,Err_Message2,VLOOKUP(C406&amp;TableCosts[[#This Row],[Calc_N_Typ]],TRAN_STRITEMS_LABEL,5,FALSE))),"")</f>
        <v/>
      </c>
      <c r="F406" s="6">
        <f t="shared" si="86"/>
        <v>0</v>
      </c>
      <c r="G406" s="6" t="str">
        <f>IF(F406=1,IFERROR(VLOOKUP(E406,Tab_ErrMessage[],2,0),VLOOKUP(C406&amp;TableCosts[[#This Row],[Calc_N_Typ]],TRAN_STRITEMS_LABEL,4,FALSE)),"")</f>
        <v/>
      </c>
      <c r="H406" s="40"/>
      <c r="I406" s="40"/>
      <c r="J406" s="35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  <c r="AD406" s="24"/>
      <c r="AE406" s="24"/>
      <c r="AF406" s="24"/>
      <c r="AG406" s="24"/>
      <c r="AH406" s="24"/>
      <c r="AI406" s="24"/>
      <c r="AJ406" s="24"/>
      <c r="AK406" s="38">
        <f t="array" ref="AK406">IF(F406=1,SUM((ROW(M0)=ROW(AK406))*(M0+M1_+M2_+M3_+M4_+M5_+M6_+M7_+M8_+M9_+M10_+M11_+M12_+M13_+M14_+M15_+M16_+M17_+M18_+M19_+M20_+M21_+M22_+M23_+M24_+M25_)),0)</f>
        <v>0</v>
      </c>
      <c r="AL406" s="27">
        <f>TableCosts[[#This Row],[N_Direct]]</f>
        <v>0</v>
      </c>
      <c r="AN406" s="7" t="str">
        <f t="shared" si="75"/>
        <v/>
      </c>
      <c r="AO406" s="7" t="str">
        <f t="shared" si="78"/>
        <v/>
      </c>
      <c r="AP406" s="7" t="str">
        <f t="shared" si="76"/>
        <v/>
      </c>
      <c r="AQ406" s="7" t="str">
        <f t="shared" si="79"/>
        <v/>
      </c>
      <c r="AR406" s="7" t="str">
        <f t="shared" si="77"/>
        <v/>
      </c>
      <c r="AS406" s="7">
        <f t="shared" si="80"/>
        <v>0</v>
      </c>
      <c r="AT406" s="17">
        <f>TableCosts[[#This Row],[N_Amount]]*TableCosts[[#This Row],[N_Tariff]]*TableCosts[[#This Row],[N_ItemsCount]]</f>
        <v>0</v>
      </c>
      <c r="AU406" s="17">
        <f>IF(F406=1,IF(TableCosts[[#This Row],[N_Kateg]]="interné práce",TableCosts[[#This Row],[N_Amount]]*8*PAR_SGA_PERHOUR,0),0)</f>
        <v>0</v>
      </c>
      <c r="AV406" s="17">
        <f>SUM(TableCosts[[#This Row],[N_Direct]:[N_SGA]])</f>
        <v>0</v>
      </c>
      <c r="AW406" s="7">
        <f>IF(F406=1,IF(D406="",NA(),VLOOKUP(C406&amp;TableCosts[[#This Row],[Calc_N_Typ]],TRAN_STRITEMS_LABEL,7,0)),0)</f>
        <v>0</v>
      </c>
      <c r="AX406" s="7">
        <f t="shared" si="81"/>
        <v>0</v>
      </c>
      <c r="AY406" s="57" t="str">
        <f t="shared" si="82"/>
        <v/>
      </c>
      <c r="AZ406" s="57" t="str">
        <f t="shared" si="83"/>
        <v/>
      </c>
      <c r="BA406" s="57" t="str">
        <f>IF(F406=1,IF(TableCosts[[#This Row],[TransferFrom]]=TableCosts[[#This Row],[TranferTo]],0,1),"")</f>
        <v/>
      </c>
      <c r="BB406" s="7">
        <f t="shared" si="84"/>
        <v>0</v>
      </c>
      <c r="BC406" s="7">
        <f t="shared" si="85"/>
        <v>0</v>
      </c>
    </row>
    <row r="407" spans="2:55" s="7" customFormat="1" ht="12.75" x14ac:dyDescent="0.2">
      <c r="B407" s="33"/>
      <c r="C407" s="31"/>
      <c r="D407" s="40"/>
      <c r="E407" s="6" t="str">
        <f>IF(F407=1,IF(ISERROR(TableCosts[[#This Row],[N_Tariff]]),Err_Message1,IF(TableCosts[[#This Row],[N_Tariff]]=0,Err_Message2,VLOOKUP(C407&amp;TableCosts[[#This Row],[Calc_N_Typ]],TRAN_STRITEMS_LABEL,5,FALSE))),"")</f>
        <v/>
      </c>
      <c r="F407" s="6">
        <f t="shared" si="86"/>
        <v>0</v>
      </c>
      <c r="G407" s="6" t="str">
        <f>IF(F407=1,IFERROR(VLOOKUP(E407,Tab_ErrMessage[],2,0),VLOOKUP(C407&amp;TableCosts[[#This Row],[Calc_N_Typ]],TRAN_STRITEMS_LABEL,4,FALSE)),"")</f>
        <v/>
      </c>
      <c r="H407" s="40"/>
      <c r="I407" s="40"/>
      <c r="J407" s="35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  <c r="AD407" s="24"/>
      <c r="AE407" s="24"/>
      <c r="AF407" s="24"/>
      <c r="AG407" s="24"/>
      <c r="AH407" s="24"/>
      <c r="AI407" s="24"/>
      <c r="AJ407" s="24"/>
      <c r="AK407" s="38">
        <f t="array" ref="AK407">IF(F407=1,SUM((ROW(M0)=ROW(AK407))*(M0+M1_+M2_+M3_+M4_+M5_+M6_+M7_+M8_+M9_+M10_+M11_+M12_+M13_+M14_+M15_+M16_+M17_+M18_+M19_+M20_+M21_+M22_+M23_+M24_+M25_)),0)</f>
        <v>0</v>
      </c>
      <c r="AL407" s="27">
        <f>TableCosts[[#This Row],[N_Direct]]</f>
        <v>0</v>
      </c>
      <c r="AN407" s="7" t="str">
        <f t="shared" si="75"/>
        <v/>
      </c>
      <c r="AO407" s="7" t="str">
        <f t="shared" si="78"/>
        <v/>
      </c>
      <c r="AP407" s="7" t="str">
        <f t="shared" si="76"/>
        <v/>
      </c>
      <c r="AQ407" s="7" t="str">
        <f t="shared" si="79"/>
        <v/>
      </c>
      <c r="AR407" s="7" t="str">
        <f t="shared" si="77"/>
        <v/>
      </c>
      <c r="AS407" s="7">
        <f t="shared" si="80"/>
        <v>0</v>
      </c>
      <c r="AT407" s="17">
        <f>TableCosts[[#This Row],[N_Amount]]*TableCosts[[#This Row],[N_Tariff]]*TableCosts[[#This Row],[N_ItemsCount]]</f>
        <v>0</v>
      </c>
      <c r="AU407" s="17">
        <f>IF(F407=1,IF(TableCosts[[#This Row],[N_Kateg]]="interné práce",TableCosts[[#This Row],[N_Amount]]*8*PAR_SGA_PERHOUR,0),0)</f>
        <v>0</v>
      </c>
      <c r="AV407" s="17">
        <f>SUM(TableCosts[[#This Row],[N_Direct]:[N_SGA]])</f>
        <v>0</v>
      </c>
      <c r="AW407" s="7">
        <f>IF(F407=1,IF(D407="",NA(),VLOOKUP(C407&amp;TableCosts[[#This Row],[Calc_N_Typ]],TRAN_STRITEMS_LABEL,7,0)),0)</f>
        <v>0</v>
      </c>
      <c r="AX407" s="7">
        <f t="shared" si="81"/>
        <v>0</v>
      </c>
      <c r="AY407" s="57" t="str">
        <f t="shared" si="82"/>
        <v/>
      </c>
      <c r="AZ407" s="57" t="str">
        <f t="shared" si="83"/>
        <v/>
      </c>
      <c r="BA407" s="57" t="str">
        <f>IF(F407=1,IF(TableCosts[[#This Row],[TransferFrom]]=TableCosts[[#This Row],[TranferTo]],0,1),"")</f>
        <v/>
      </c>
      <c r="BB407" s="7">
        <f t="shared" si="84"/>
        <v>0</v>
      </c>
      <c r="BC407" s="7">
        <f t="shared" si="85"/>
        <v>0</v>
      </c>
    </row>
    <row r="408" spans="2:55" s="7" customFormat="1" ht="12.75" x14ac:dyDescent="0.2">
      <c r="B408" s="33"/>
      <c r="C408" s="31"/>
      <c r="D408" s="40"/>
      <c r="E408" s="6" t="str">
        <f>IF(F408=1,IF(ISERROR(TableCosts[[#This Row],[N_Tariff]]),Err_Message1,IF(TableCosts[[#This Row],[N_Tariff]]=0,Err_Message2,VLOOKUP(C408&amp;TableCosts[[#This Row],[Calc_N_Typ]],TRAN_STRITEMS_LABEL,5,FALSE))),"")</f>
        <v/>
      </c>
      <c r="F408" s="6">
        <f t="shared" si="86"/>
        <v>0</v>
      </c>
      <c r="G408" s="6" t="str">
        <f>IF(F408=1,IFERROR(VLOOKUP(E408,Tab_ErrMessage[],2,0),VLOOKUP(C408&amp;TableCosts[[#This Row],[Calc_N_Typ]],TRAN_STRITEMS_LABEL,4,FALSE)),"")</f>
        <v/>
      </c>
      <c r="H408" s="40"/>
      <c r="I408" s="40"/>
      <c r="J408" s="35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  <c r="AD408" s="24"/>
      <c r="AE408" s="24"/>
      <c r="AF408" s="24"/>
      <c r="AG408" s="24"/>
      <c r="AH408" s="24"/>
      <c r="AI408" s="24"/>
      <c r="AJ408" s="24"/>
      <c r="AK408" s="38">
        <f t="array" ref="AK408">IF(F408=1,SUM((ROW(M0)=ROW(AK408))*(M0+M1_+M2_+M3_+M4_+M5_+M6_+M7_+M8_+M9_+M10_+M11_+M12_+M13_+M14_+M15_+M16_+M17_+M18_+M19_+M20_+M21_+M22_+M23_+M24_+M25_)),0)</f>
        <v>0</v>
      </c>
      <c r="AL408" s="27">
        <f>TableCosts[[#This Row],[N_Direct]]</f>
        <v>0</v>
      </c>
      <c r="AN408" s="7" t="str">
        <f t="shared" si="75"/>
        <v/>
      </c>
      <c r="AO408" s="7" t="str">
        <f t="shared" si="78"/>
        <v/>
      </c>
      <c r="AP408" s="7" t="str">
        <f t="shared" si="76"/>
        <v/>
      </c>
      <c r="AQ408" s="7" t="str">
        <f t="shared" si="79"/>
        <v/>
      </c>
      <c r="AR408" s="7" t="str">
        <f t="shared" si="77"/>
        <v/>
      </c>
      <c r="AS408" s="7">
        <f t="shared" si="80"/>
        <v>0</v>
      </c>
      <c r="AT408" s="17">
        <f>TableCosts[[#This Row],[N_Amount]]*TableCosts[[#This Row],[N_Tariff]]*TableCosts[[#This Row],[N_ItemsCount]]</f>
        <v>0</v>
      </c>
      <c r="AU408" s="17">
        <f>IF(F408=1,IF(TableCosts[[#This Row],[N_Kateg]]="interné práce",TableCosts[[#This Row],[N_Amount]]*8*PAR_SGA_PERHOUR,0),0)</f>
        <v>0</v>
      </c>
      <c r="AV408" s="17">
        <f>SUM(TableCosts[[#This Row],[N_Direct]:[N_SGA]])</f>
        <v>0</v>
      </c>
      <c r="AW408" s="7">
        <f>IF(F408=1,IF(D408="",NA(),VLOOKUP(C408&amp;TableCosts[[#This Row],[Calc_N_Typ]],TRAN_STRITEMS_LABEL,7,0)),0)</f>
        <v>0</v>
      </c>
      <c r="AX408" s="7">
        <f t="shared" si="81"/>
        <v>0</v>
      </c>
      <c r="AY408" s="57" t="str">
        <f t="shared" si="82"/>
        <v/>
      </c>
      <c r="AZ408" s="57" t="str">
        <f t="shared" si="83"/>
        <v/>
      </c>
      <c r="BA408" s="57" t="str">
        <f>IF(F408=1,IF(TableCosts[[#This Row],[TransferFrom]]=TableCosts[[#This Row],[TranferTo]],0,1),"")</f>
        <v/>
      </c>
      <c r="BB408" s="7">
        <f t="shared" si="84"/>
        <v>0</v>
      </c>
      <c r="BC408" s="7">
        <f t="shared" si="85"/>
        <v>0</v>
      </c>
    </row>
    <row r="409" spans="2:55" s="7" customFormat="1" ht="12.75" x14ac:dyDescent="0.2">
      <c r="B409" s="33"/>
      <c r="C409" s="31"/>
      <c r="D409" s="40"/>
      <c r="E409" s="6" t="str">
        <f>IF(F409=1,IF(ISERROR(TableCosts[[#This Row],[N_Tariff]]),Err_Message1,IF(TableCosts[[#This Row],[N_Tariff]]=0,Err_Message2,VLOOKUP(C409&amp;TableCosts[[#This Row],[Calc_N_Typ]],TRAN_STRITEMS_LABEL,5,FALSE))),"")</f>
        <v/>
      </c>
      <c r="F409" s="6">
        <f t="shared" si="86"/>
        <v>0</v>
      </c>
      <c r="G409" s="6" t="str">
        <f>IF(F409=1,IFERROR(VLOOKUP(E409,Tab_ErrMessage[],2,0),VLOOKUP(C409&amp;TableCosts[[#This Row],[Calc_N_Typ]],TRAN_STRITEMS_LABEL,4,FALSE)),"")</f>
        <v/>
      </c>
      <c r="H409" s="40"/>
      <c r="I409" s="40"/>
      <c r="J409" s="35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  <c r="AD409" s="24"/>
      <c r="AE409" s="24"/>
      <c r="AF409" s="24"/>
      <c r="AG409" s="24"/>
      <c r="AH409" s="24"/>
      <c r="AI409" s="24"/>
      <c r="AJ409" s="24"/>
      <c r="AK409" s="38">
        <f t="array" ref="AK409">IF(F409=1,SUM((ROW(M0)=ROW(AK409))*(M0+M1_+M2_+M3_+M4_+M5_+M6_+M7_+M8_+M9_+M10_+M11_+M12_+M13_+M14_+M15_+M16_+M17_+M18_+M19_+M20_+M21_+M22_+M23_+M24_+M25_)),0)</f>
        <v>0</v>
      </c>
      <c r="AL409" s="27">
        <f>TableCosts[[#This Row],[N_Direct]]</f>
        <v>0</v>
      </c>
      <c r="AN409" s="7" t="str">
        <f t="shared" si="75"/>
        <v/>
      </c>
      <c r="AO409" s="7" t="str">
        <f t="shared" si="78"/>
        <v/>
      </c>
      <c r="AP409" s="7" t="str">
        <f t="shared" si="76"/>
        <v/>
      </c>
      <c r="AQ409" s="7" t="str">
        <f t="shared" si="79"/>
        <v/>
      </c>
      <c r="AR409" s="7" t="str">
        <f t="shared" si="77"/>
        <v/>
      </c>
      <c r="AS409" s="7">
        <f t="shared" si="80"/>
        <v>0</v>
      </c>
      <c r="AT409" s="17">
        <f>TableCosts[[#This Row],[N_Amount]]*TableCosts[[#This Row],[N_Tariff]]*TableCosts[[#This Row],[N_ItemsCount]]</f>
        <v>0</v>
      </c>
      <c r="AU409" s="17">
        <f>IF(F409=1,IF(TableCosts[[#This Row],[N_Kateg]]="interné práce",TableCosts[[#This Row],[N_Amount]]*8*PAR_SGA_PERHOUR,0),0)</f>
        <v>0</v>
      </c>
      <c r="AV409" s="17">
        <f>SUM(TableCosts[[#This Row],[N_Direct]:[N_SGA]])</f>
        <v>0</v>
      </c>
      <c r="AW409" s="7">
        <f>IF(F409=1,IF(D409="",NA(),VLOOKUP(C409&amp;TableCosts[[#This Row],[Calc_N_Typ]],TRAN_STRITEMS_LABEL,7,0)),0)</f>
        <v>0</v>
      </c>
      <c r="AX409" s="7">
        <f t="shared" si="81"/>
        <v>0</v>
      </c>
      <c r="AY409" s="57" t="str">
        <f t="shared" si="82"/>
        <v/>
      </c>
      <c r="AZ409" s="57" t="str">
        <f t="shared" si="83"/>
        <v/>
      </c>
      <c r="BA409" s="57" t="str">
        <f>IF(F409=1,IF(TableCosts[[#This Row],[TransferFrom]]=TableCosts[[#This Row],[TranferTo]],0,1),"")</f>
        <v/>
      </c>
      <c r="BB409" s="7">
        <f t="shared" si="84"/>
        <v>0</v>
      </c>
      <c r="BC409" s="7">
        <f t="shared" si="85"/>
        <v>0</v>
      </c>
    </row>
    <row r="410" spans="2:55" s="7" customFormat="1" ht="12.75" x14ac:dyDescent="0.2">
      <c r="B410" s="33"/>
      <c r="C410" s="31"/>
      <c r="D410" s="40"/>
      <c r="E410" s="6" t="str">
        <f>IF(F410=1,IF(ISERROR(TableCosts[[#This Row],[N_Tariff]]),Err_Message1,IF(TableCosts[[#This Row],[N_Tariff]]=0,Err_Message2,VLOOKUP(C410&amp;TableCosts[[#This Row],[Calc_N_Typ]],TRAN_STRITEMS_LABEL,5,FALSE))),"")</f>
        <v/>
      </c>
      <c r="F410" s="6">
        <f t="shared" si="86"/>
        <v>0</v>
      </c>
      <c r="G410" s="6" t="str">
        <f>IF(F410=1,IFERROR(VLOOKUP(E410,Tab_ErrMessage[],2,0),VLOOKUP(C410&amp;TableCosts[[#This Row],[Calc_N_Typ]],TRAN_STRITEMS_LABEL,4,FALSE)),"")</f>
        <v/>
      </c>
      <c r="H410" s="40"/>
      <c r="I410" s="40"/>
      <c r="J410" s="35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  <c r="AD410" s="24"/>
      <c r="AE410" s="24"/>
      <c r="AF410" s="24"/>
      <c r="AG410" s="24"/>
      <c r="AH410" s="24"/>
      <c r="AI410" s="24"/>
      <c r="AJ410" s="24"/>
      <c r="AK410" s="38">
        <f t="array" ref="AK410">IF(F410=1,SUM((ROW(M0)=ROW(AK410))*(M0+M1_+M2_+M3_+M4_+M5_+M6_+M7_+M8_+M9_+M10_+M11_+M12_+M13_+M14_+M15_+M16_+M17_+M18_+M19_+M20_+M21_+M22_+M23_+M24_+M25_)),0)</f>
        <v>0</v>
      </c>
      <c r="AL410" s="27">
        <f>TableCosts[[#This Row],[N_Direct]]</f>
        <v>0</v>
      </c>
      <c r="AN410" s="7" t="str">
        <f t="shared" si="75"/>
        <v/>
      </c>
      <c r="AO410" s="7" t="str">
        <f t="shared" si="78"/>
        <v/>
      </c>
      <c r="AP410" s="7" t="str">
        <f t="shared" si="76"/>
        <v/>
      </c>
      <c r="AQ410" s="7" t="str">
        <f t="shared" si="79"/>
        <v/>
      </c>
      <c r="AR410" s="7" t="str">
        <f t="shared" si="77"/>
        <v/>
      </c>
      <c r="AS410" s="7">
        <f t="shared" si="80"/>
        <v>0</v>
      </c>
      <c r="AT410" s="17">
        <f>TableCosts[[#This Row],[N_Amount]]*TableCosts[[#This Row],[N_Tariff]]*TableCosts[[#This Row],[N_ItemsCount]]</f>
        <v>0</v>
      </c>
      <c r="AU410" s="17">
        <f>IF(F410=1,IF(TableCosts[[#This Row],[N_Kateg]]="interné práce",TableCosts[[#This Row],[N_Amount]]*8*PAR_SGA_PERHOUR,0),0)</f>
        <v>0</v>
      </c>
      <c r="AV410" s="17">
        <f>SUM(TableCosts[[#This Row],[N_Direct]:[N_SGA]])</f>
        <v>0</v>
      </c>
      <c r="AW410" s="7">
        <f>IF(F410=1,IF(D410="",NA(),VLOOKUP(C410&amp;TableCosts[[#This Row],[Calc_N_Typ]],TRAN_STRITEMS_LABEL,7,0)),0)</f>
        <v>0</v>
      </c>
      <c r="AX410" s="7">
        <f t="shared" si="81"/>
        <v>0</v>
      </c>
      <c r="AY410" s="57" t="str">
        <f t="shared" si="82"/>
        <v/>
      </c>
      <c r="AZ410" s="57" t="str">
        <f t="shared" si="83"/>
        <v/>
      </c>
      <c r="BA410" s="57" t="str">
        <f>IF(F410=1,IF(TableCosts[[#This Row],[TransferFrom]]=TableCosts[[#This Row],[TranferTo]],0,1),"")</f>
        <v/>
      </c>
      <c r="BB410" s="7">
        <f t="shared" si="84"/>
        <v>0</v>
      </c>
      <c r="BC410" s="7">
        <f t="shared" si="85"/>
        <v>0</v>
      </c>
    </row>
    <row r="411" spans="2:55" s="7" customFormat="1" ht="12.75" x14ac:dyDescent="0.2">
      <c r="B411" s="33"/>
      <c r="C411" s="31"/>
      <c r="D411" s="40"/>
      <c r="E411" s="6" t="str">
        <f>IF(F411=1,IF(ISERROR(TableCosts[[#This Row],[N_Tariff]]),Err_Message1,IF(TableCosts[[#This Row],[N_Tariff]]=0,Err_Message2,VLOOKUP(C411&amp;TableCosts[[#This Row],[Calc_N_Typ]],TRAN_STRITEMS_LABEL,5,FALSE))),"")</f>
        <v/>
      </c>
      <c r="F411" s="6">
        <f t="shared" si="86"/>
        <v>0</v>
      </c>
      <c r="G411" s="6" t="str">
        <f>IF(F411=1,IFERROR(VLOOKUP(E411,Tab_ErrMessage[],2,0),VLOOKUP(C411&amp;TableCosts[[#This Row],[Calc_N_Typ]],TRAN_STRITEMS_LABEL,4,FALSE)),"")</f>
        <v/>
      </c>
      <c r="H411" s="40"/>
      <c r="I411" s="40"/>
      <c r="J411" s="35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  <c r="AD411" s="24"/>
      <c r="AE411" s="24"/>
      <c r="AF411" s="24"/>
      <c r="AG411" s="24"/>
      <c r="AH411" s="24"/>
      <c r="AI411" s="24"/>
      <c r="AJ411" s="24"/>
      <c r="AK411" s="38">
        <f t="array" ref="AK411">IF(F411=1,SUM((ROW(M0)=ROW(AK411))*(M0+M1_+M2_+M3_+M4_+M5_+M6_+M7_+M8_+M9_+M10_+M11_+M12_+M13_+M14_+M15_+M16_+M17_+M18_+M19_+M20_+M21_+M22_+M23_+M24_+M25_)),0)</f>
        <v>0</v>
      </c>
      <c r="AL411" s="27">
        <f>TableCosts[[#This Row],[N_Direct]]</f>
        <v>0</v>
      </c>
      <c r="AN411" s="7" t="str">
        <f t="shared" si="75"/>
        <v/>
      </c>
      <c r="AO411" s="7" t="str">
        <f t="shared" si="78"/>
        <v/>
      </c>
      <c r="AP411" s="7" t="str">
        <f t="shared" si="76"/>
        <v/>
      </c>
      <c r="AQ411" s="7" t="str">
        <f t="shared" si="79"/>
        <v/>
      </c>
      <c r="AR411" s="7" t="str">
        <f t="shared" si="77"/>
        <v/>
      </c>
      <c r="AS411" s="7">
        <f t="shared" si="80"/>
        <v>0</v>
      </c>
      <c r="AT411" s="17">
        <f>TableCosts[[#This Row],[N_Amount]]*TableCosts[[#This Row],[N_Tariff]]*TableCosts[[#This Row],[N_ItemsCount]]</f>
        <v>0</v>
      </c>
      <c r="AU411" s="17">
        <f>IF(F411=1,IF(TableCosts[[#This Row],[N_Kateg]]="interné práce",TableCosts[[#This Row],[N_Amount]]*8*PAR_SGA_PERHOUR,0),0)</f>
        <v>0</v>
      </c>
      <c r="AV411" s="17">
        <f>SUM(TableCosts[[#This Row],[N_Direct]:[N_SGA]])</f>
        <v>0</v>
      </c>
      <c r="AW411" s="7">
        <f>IF(F411=1,IF(D411="",NA(),VLOOKUP(C411&amp;TableCosts[[#This Row],[Calc_N_Typ]],TRAN_STRITEMS_LABEL,7,0)),0)</f>
        <v>0</v>
      </c>
      <c r="AX411" s="7">
        <f t="shared" si="81"/>
        <v>0</v>
      </c>
      <c r="AY411" s="57" t="str">
        <f t="shared" si="82"/>
        <v/>
      </c>
      <c r="AZ411" s="57" t="str">
        <f t="shared" si="83"/>
        <v/>
      </c>
      <c r="BA411" s="57" t="str">
        <f>IF(F411=1,IF(TableCosts[[#This Row],[TransferFrom]]=TableCosts[[#This Row],[TranferTo]],0,1),"")</f>
        <v/>
      </c>
      <c r="BB411" s="7">
        <f t="shared" si="84"/>
        <v>0</v>
      </c>
      <c r="BC411" s="7">
        <f t="shared" si="85"/>
        <v>0</v>
      </c>
    </row>
    <row r="412" spans="2:55" s="7" customFormat="1" ht="12.75" x14ac:dyDescent="0.2">
      <c r="B412" s="33"/>
      <c r="C412" s="31"/>
      <c r="D412" s="40"/>
      <c r="E412" s="6" t="str">
        <f>IF(F412=1,IF(ISERROR(TableCosts[[#This Row],[N_Tariff]]),Err_Message1,IF(TableCosts[[#This Row],[N_Tariff]]=0,Err_Message2,VLOOKUP(C412&amp;TableCosts[[#This Row],[Calc_N_Typ]],TRAN_STRITEMS_LABEL,5,FALSE))),"")</f>
        <v/>
      </c>
      <c r="F412" s="6">
        <f t="shared" si="86"/>
        <v>0</v>
      </c>
      <c r="G412" s="6" t="str">
        <f>IF(F412=1,IFERROR(VLOOKUP(E412,Tab_ErrMessage[],2,0),VLOOKUP(C412&amp;TableCosts[[#This Row],[Calc_N_Typ]],TRAN_STRITEMS_LABEL,4,FALSE)),"")</f>
        <v/>
      </c>
      <c r="H412" s="40"/>
      <c r="I412" s="40"/>
      <c r="J412" s="35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  <c r="AD412" s="24"/>
      <c r="AE412" s="24"/>
      <c r="AF412" s="24"/>
      <c r="AG412" s="24"/>
      <c r="AH412" s="24"/>
      <c r="AI412" s="24"/>
      <c r="AJ412" s="24"/>
      <c r="AK412" s="38">
        <f t="array" ref="AK412">IF(F412=1,SUM((ROW(M0)=ROW(AK412))*(M0+M1_+M2_+M3_+M4_+M5_+M6_+M7_+M8_+M9_+M10_+M11_+M12_+M13_+M14_+M15_+M16_+M17_+M18_+M19_+M20_+M21_+M22_+M23_+M24_+M25_)),0)</f>
        <v>0</v>
      </c>
      <c r="AL412" s="27">
        <f>TableCosts[[#This Row],[N_Direct]]</f>
        <v>0</v>
      </c>
      <c r="AN412" s="7" t="str">
        <f t="shared" si="75"/>
        <v/>
      </c>
      <c r="AO412" s="7" t="str">
        <f t="shared" si="78"/>
        <v/>
      </c>
      <c r="AP412" s="7" t="str">
        <f t="shared" si="76"/>
        <v/>
      </c>
      <c r="AQ412" s="7" t="str">
        <f t="shared" si="79"/>
        <v/>
      </c>
      <c r="AR412" s="7" t="str">
        <f t="shared" si="77"/>
        <v/>
      </c>
      <c r="AS412" s="7">
        <f t="shared" si="80"/>
        <v>0</v>
      </c>
      <c r="AT412" s="17">
        <f>TableCosts[[#This Row],[N_Amount]]*TableCosts[[#This Row],[N_Tariff]]*TableCosts[[#This Row],[N_ItemsCount]]</f>
        <v>0</v>
      </c>
      <c r="AU412" s="17">
        <f>IF(F412=1,IF(TableCosts[[#This Row],[N_Kateg]]="interné práce",TableCosts[[#This Row],[N_Amount]]*8*PAR_SGA_PERHOUR,0),0)</f>
        <v>0</v>
      </c>
      <c r="AV412" s="17">
        <f>SUM(TableCosts[[#This Row],[N_Direct]:[N_SGA]])</f>
        <v>0</v>
      </c>
      <c r="AW412" s="7">
        <f>IF(F412=1,IF(D412="",NA(),VLOOKUP(C412&amp;TableCosts[[#This Row],[Calc_N_Typ]],TRAN_STRITEMS_LABEL,7,0)),0)</f>
        <v>0</v>
      </c>
      <c r="AX412" s="7">
        <f t="shared" si="81"/>
        <v>0</v>
      </c>
      <c r="AY412" s="57" t="str">
        <f t="shared" si="82"/>
        <v/>
      </c>
      <c r="AZ412" s="57" t="str">
        <f t="shared" si="83"/>
        <v/>
      </c>
      <c r="BA412" s="57" t="str">
        <f>IF(F412=1,IF(TableCosts[[#This Row],[TransferFrom]]=TableCosts[[#This Row],[TranferTo]],0,1),"")</f>
        <v/>
      </c>
      <c r="BB412" s="7">
        <f t="shared" si="84"/>
        <v>0</v>
      </c>
      <c r="BC412" s="7">
        <f t="shared" si="85"/>
        <v>0</v>
      </c>
    </row>
    <row r="413" spans="2:55" s="7" customFormat="1" ht="12.75" x14ac:dyDescent="0.2">
      <c r="B413" s="33"/>
      <c r="C413" s="31"/>
      <c r="D413" s="40"/>
      <c r="E413" s="6" t="str">
        <f>IF(F413=1,IF(ISERROR(TableCosts[[#This Row],[N_Tariff]]),Err_Message1,IF(TableCosts[[#This Row],[N_Tariff]]=0,Err_Message2,VLOOKUP(C413&amp;TableCosts[[#This Row],[Calc_N_Typ]],TRAN_STRITEMS_LABEL,5,FALSE))),"")</f>
        <v/>
      </c>
      <c r="F413" s="6">
        <f t="shared" si="86"/>
        <v>0</v>
      </c>
      <c r="G413" s="6" t="str">
        <f>IF(F413=1,IFERROR(VLOOKUP(E413,Tab_ErrMessage[],2,0),VLOOKUP(C413&amp;TableCosts[[#This Row],[Calc_N_Typ]],TRAN_STRITEMS_LABEL,4,FALSE)),"")</f>
        <v/>
      </c>
      <c r="H413" s="40"/>
      <c r="I413" s="40"/>
      <c r="J413" s="35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  <c r="AD413" s="24"/>
      <c r="AE413" s="24"/>
      <c r="AF413" s="24"/>
      <c r="AG413" s="24"/>
      <c r="AH413" s="24"/>
      <c r="AI413" s="24"/>
      <c r="AJ413" s="24"/>
      <c r="AK413" s="38">
        <f t="array" ref="AK413">IF(F413=1,SUM((ROW(M0)=ROW(AK413))*(M0+M1_+M2_+M3_+M4_+M5_+M6_+M7_+M8_+M9_+M10_+M11_+M12_+M13_+M14_+M15_+M16_+M17_+M18_+M19_+M20_+M21_+M22_+M23_+M24_+M25_)),0)</f>
        <v>0</v>
      </c>
      <c r="AL413" s="27">
        <f>TableCosts[[#This Row],[N_Direct]]</f>
        <v>0</v>
      </c>
      <c r="AN413" s="7" t="str">
        <f t="shared" si="75"/>
        <v/>
      </c>
      <c r="AO413" s="7" t="str">
        <f t="shared" si="78"/>
        <v/>
      </c>
      <c r="AP413" s="7" t="str">
        <f t="shared" si="76"/>
        <v/>
      </c>
      <c r="AQ413" s="7" t="str">
        <f t="shared" si="79"/>
        <v/>
      </c>
      <c r="AR413" s="7" t="str">
        <f t="shared" si="77"/>
        <v/>
      </c>
      <c r="AS413" s="7">
        <f t="shared" si="80"/>
        <v>0</v>
      </c>
      <c r="AT413" s="17">
        <f>TableCosts[[#This Row],[N_Amount]]*TableCosts[[#This Row],[N_Tariff]]*TableCosts[[#This Row],[N_ItemsCount]]</f>
        <v>0</v>
      </c>
      <c r="AU413" s="17">
        <f>IF(F413=1,IF(TableCosts[[#This Row],[N_Kateg]]="interné práce",TableCosts[[#This Row],[N_Amount]]*8*PAR_SGA_PERHOUR,0),0)</f>
        <v>0</v>
      </c>
      <c r="AV413" s="17">
        <f>SUM(TableCosts[[#This Row],[N_Direct]:[N_SGA]])</f>
        <v>0</v>
      </c>
      <c r="AW413" s="7">
        <f>IF(F413=1,IF(D413="",NA(),VLOOKUP(C413&amp;TableCosts[[#This Row],[Calc_N_Typ]],TRAN_STRITEMS_LABEL,7,0)),0)</f>
        <v>0</v>
      </c>
      <c r="AX413" s="7">
        <f t="shared" si="81"/>
        <v>0</v>
      </c>
      <c r="AY413" s="57" t="str">
        <f t="shared" si="82"/>
        <v/>
      </c>
      <c r="AZ413" s="57" t="str">
        <f t="shared" si="83"/>
        <v/>
      </c>
      <c r="BA413" s="57" t="str">
        <f>IF(F413=1,IF(TableCosts[[#This Row],[TransferFrom]]=TableCosts[[#This Row],[TranferTo]],0,1),"")</f>
        <v/>
      </c>
      <c r="BB413" s="7">
        <f t="shared" si="84"/>
        <v>0</v>
      </c>
      <c r="BC413" s="7">
        <f t="shared" si="85"/>
        <v>0</v>
      </c>
    </row>
    <row r="414" spans="2:55" s="7" customFormat="1" ht="12.75" x14ac:dyDescent="0.2">
      <c r="B414" s="33"/>
      <c r="C414" s="31"/>
      <c r="D414" s="40"/>
      <c r="E414" s="6" t="str">
        <f>IF(F414=1,IF(ISERROR(TableCosts[[#This Row],[N_Tariff]]),Err_Message1,IF(TableCosts[[#This Row],[N_Tariff]]=0,Err_Message2,VLOOKUP(C414&amp;TableCosts[[#This Row],[Calc_N_Typ]],TRAN_STRITEMS_LABEL,5,FALSE))),"")</f>
        <v/>
      </c>
      <c r="F414" s="6">
        <f t="shared" si="86"/>
        <v>0</v>
      </c>
      <c r="G414" s="6" t="str">
        <f>IF(F414=1,IFERROR(VLOOKUP(E414,Tab_ErrMessage[],2,0),VLOOKUP(C414&amp;TableCosts[[#This Row],[Calc_N_Typ]],TRAN_STRITEMS_LABEL,4,FALSE)),"")</f>
        <v/>
      </c>
      <c r="H414" s="40"/>
      <c r="I414" s="40"/>
      <c r="J414" s="35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  <c r="AD414" s="24"/>
      <c r="AE414" s="24"/>
      <c r="AF414" s="24"/>
      <c r="AG414" s="24"/>
      <c r="AH414" s="24"/>
      <c r="AI414" s="24"/>
      <c r="AJ414" s="24"/>
      <c r="AK414" s="38">
        <f t="array" ref="AK414">IF(F414=1,SUM((ROW(M0)=ROW(AK414))*(M0+M1_+M2_+M3_+M4_+M5_+M6_+M7_+M8_+M9_+M10_+M11_+M12_+M13_+M14_+M15_+M16_+M17_+M18_+M19_+M20_+M21_+M22_+M23_+M24_+M25_)),0)</f>
        <v>0</v>
      </c>
      <c r="AL414" s="27">
        <f>TableCosts[[#This Row],[N_Direct]]</f>
        <v>0</v>
      </c>
      <c r="AN414" s="7" t="str">
        <f t="shared" si="75"/>
        <v/>
      </c>
      <c r="AO414" s="7" t="str">
        <f t="shared" si="78"/>
        <v/>
      </c>
      <c r="AP414" s="7" t="str">
        <f t="shared" si="76"/>
        <v/>
      </c>
      <c r="AQ414" s="7" t="str">
        <f t="shared" si="79"/>
        <v/>
      </c>
      <c r="AR414" s="7" t="str">
        <f t="shared" si="77"/>
        <v/>
      </c>
      <c r="AS414" s="7">
        <f t="shared" si="80"/>
        <v>0</v>
      </c>
      <c r="AT414" s="17">
        <f>TableCosts[[#This Row],[N_Amount]]*TableCosts[[#This Row],[N_Tariff]]*TableCosts[[#This Row],[N_ItemsCount]]</f>
        <v>0</v>
      </c>
      <c r="AU414" s="17">
        <f>IF(F414=1,IF(TableCosts[[#This Row],[N_Kateg]]="interné práce",TableCosts[[#This Row],[N_Amount]]*8*PAR_SGA_PERHOUR,0),0)</f>
        <v>0</v>
      </c>
      <c r="AV414" s="17">
        <f>SUM(TableCosts[[#This Row],[N_Direct]:[N_SGA]])</f>
        <v>0</v>
      </c>
      <c r="AW414" s="7">
        <f>IF(F414=1,IF(D414="",NA(),VLOOKUP(C414&amp;TableCosts[[#This Row],[Calc_N_Typ]],TRAN_STRITEMS_LABEL,7,0)),0)</f>
        <v>0</v>
      </c>
      <c r="AX414" s="7">
        <f t="shared" si="81"/>
        <v>0</v>
      </c>
      <c r="AY414" s="57" t="str">
        <f t="shared" si="82"/>
        <v/>
      </c>
      <c r="AZ414" s="57" t="str">
        <f t="shared" si="83"/>
        <v/>
      </c>
      <c r="BA414" s="57" t="str">
        <f>IF(F414=1,IF(TableCosts[[#This Row],[TransferFrom]]=TableCosts[[#This Row],[TranferTo]],0,1),"")</f>
        <v/>
      </c>
      <c r="BB414" s="7">
        <f t="shared" si="84"/>
        <v>0</v>
      </c>
      <c r="BC414" s="7">
        <f t="shared" si="85"/>
        <v>0</v>
      </c>
    </row>
    <row r="415" spans="2:55" s="7" customFormat="1" ht="12.75" x14ac:dyDescent="0.2">
      <c r="B415" s="33"/>
      <c r="C415" s="31"/>
      <c r="D415" s="40"/>
      <c r="E415" s="6" t="str">
        <f>IF(F415=1,IF(ISERROR(TableCosts[[#This Row],[N_Tariff]]),Err_Message1,IF(TableCosts[[#This Row],[N_Tariff]]=0,Err_Message2,VLOOKUP(C415&amp;TableCosts[[#This Row],[Calc_N_Typ]],TRAN_STRITEMS_LABEL,5,FALSE))),"")</f>
        <v/>
      </c>
      <c r="F415" s="6">
        <f t="shared" si="86"/>
        <v>0</v>
      </c>
      <c r="G415" s="6" t="str">
        <f>IF(F415=1,IFERROR(VLOOKUP(E415,Tab_ErrMessage[],2,0),VLOOKUP(C415&amp;TableCosts[[#This Row],[Calc_N_Typ]],TRAN_STRITEMS_LABEL,4,FALSE)),"")</f>
        <v/>
      </c>
      <c r="H415" s="40"/>
      <c r="I415" s="40"/>
      <c r="J415" s="35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  <c r="AD415" s="24"/>
      <c r="AE415" s="24"/>
      <c r="AF415" s="24"/>
      <c r="AG415" s="24"/>
      <c r="AH415" s="24"/>
      <c r="AI415" s="24"/>
      <c r="AJ415" s="24"/>
      <c r="AK415" s="38">
        <f t="array" ref="AK415">IF(F415=1,SUM((ROW(M0)=ROW(AK415))*(M0+M1_+M2_+M3_+M4_+M5_+M6_+M7_+M8_+M9_+M10_+M11_+M12_+M13_+M14_+M15_+M16_+M17_+M18_+M19_+M20_+M21_+M22_+M23_+M24_+M25_)),0)</f>
        <v>0</v>
      </c>
      <c r="AL415" s="27">
        <f>TableCosts[[#This Row],[N_Direct]]</f>
        <v>0</v>
      </c>
      <c r="AN415" s="7" t="str">
        <f t="shared" si="75"/>
        <v/>
      </c>
      <c r="AO415" s="7" t="str">
        <f t="shared" si="78"/>
        <v/>
      </c>
      <c r="AP415" s="7" t="str">
        <f t="shared" si="76"/>
        <v/>
      </c>
      <c r="AQ415" s="7" t="str">
        <f t="shared" si="79"/>
        <v/>
      </c>
      <c r="AR415" s="7" t="str">
        <f t="shared" si="77"/>
        <v/>
      </c>
      <c r="AS415" s="7">
        <f t="shared" si="80"/>
        <v>0</v>
      </c>
      <c r="AT415" s="17">
        <f>TableCosts[[#This Row],[N_Amount]]*TableCosts[[#This Row],[N_Tariff]]*TableCosts[[#This Row],[N_ItemsCount]]</f>
        <v>0</v>
      </c>
      <c r="AU415" s="17">
        <f>IF(F415=1,IF(TableCosts[[#This Row],[N_Kateg]]="interné práce",TableCosts[[#This Row],[N_Amount]]*8*PAR_SGA_PERHOUR,0),0)</f>
        <v>0</v>
      </c>
      <c r="AV415" s="17">
        <f>SUM(TableCosts[[#This Row],[N_Direct]:[N_SGA]])</f>
        <v>0</v>
      </c>
      <c r="AW415" s="7">
        <f>IF(F415=1,IF(D415="",NA(),VLOOKUP(C415&amp;TableCosts[[#This Row],[Calc_N_Typ]],TRAN_STRITEMS_LABEL,7,0)),0)</f>
        <v>0</v>
      </c>
      <c r="AX415" s="7">
        <f t="shared" si="81"/>
        <v>0</v>
      </c>
      <c r="AY415" s="57" t="str">
        <f t="shared" si="82"/>
        <v/>
      </c>
      <c r="AZ415" s="57" t="str">
        <f t="shared" si="83"/>
        <v/>
      </c>
      <c r="BA415" s="57" t="str">
        <f>IF(F415=1,IF(TableCosts[[#This Row],[TransferFrom]]=TableCosts[[#This Row],[TranferTo]],0,1),"")</f>
        <v/>
      </c>
      <c r="BB415" s="7">
        <f t="shared" si="84"/>
        <v>0</v>
      </c>
      <c r="BC415" s="7">
        <f t="shared" si="85"/>
        <v>0</v>
      </c>
    </row>
    <row r="416" spans="2:55" s="7" customFormat="1" ht="12.75" x14ac:dyDescent="0.2">
      <c r="B416" s="33"/>
      <c r="C416" s="31"/>
      <c r="D416" s="40"/>
      <c r="E416" s="6" t="str">
        <f>IF(F416=1,IF(ISERROR(TableCosts[[#This Row],[N_Tariff]]),Err_Message1,IF(TableCosts[[#This Row],[N_Tariff]]=0,Err_Message2,VLOOKUP(C416&amp;TableCosts[[#This Row],[Calc_N_Typ]],TRAN_STRITEMS_LABEL,5,FALSE))),"")</f>
        <v/>
      </c>
      <c r="F416" s="6">
        <f t="shared" si="86"/>
        <v>0</v>
      </c>
      <c r="G416" s="6" t="str">
        <f>IF(F416=1,IFERROR(VLOOKUP(E416,Tab_ErrMessage[],2,0),VLOOKUP(C416&amp;TableCosts[[#This Row],[Calc_N_Typ]],TRAN_STRITEMS_LABEL,4,FALSE)),"")</f>
        <v/>
      </c>
      <c r="H416" s="40"/>
      <c r="I416" s="40"/>
      <c r="J416" s="35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  <c r="AD416" s="24"/>
      <c r="AE416" s="24"/>
      <c r="AF416" s="24"/>
      <c r="AG416" s="24"/>
      <c r="AH416" s="24"/>
      <c r="AI416" s="24"/>
      <c r="AJ416" s="24"/>
      <c r="AK416" s="38">
        <f t="array" ref="AK416">IF(F416=1,SUM((ROW(M0)=ROW(AK416))*(M0+M1_+M2_+M3_+M4_+M5_+M6_+M7_+M8_+M9_+M10_+M11_+M12_+M13_+M14_+M15_+M16_+M17_+M18_+M19_+M20_+M21_+M22_+M23_+M24_+M25_)),0)</f>
        <v>0</v>
      </c>
      <c r="AL416" s="27">
        <f>TableCosts[[#This Row],[N_Direct]]</f>
        <v>0</v>
      </c>
      <c r="AN416" s="7" t="str">
        <f t="shared" si="75"/>
        <v/>
      </c>
      <c r="AO416" s="7" t="str">
        <f t="shared" si="78"/>
        <v/>
      </c>
      <c r="AP416" s="7" t="str">
        <f t="shared" si="76"/>
        <v/>
      </c>
      <c r="AQ416" s="7" t="str">
        <f t="shared" si="79"/>
        <v/>
      </c>
      <c r="AR416" s="7" t="str">
        <f t="shared" si="77"/>
        <v/>
      </c>
      <c r="AS416" s="7">
        <f t="shared" si="80"/>
        <v>0</v>
      </c>
      <c r="AT416" s="17">
        <f>TableCosts[[#This Row],[N_Amount]]*TableCosts[[#This Row],[N_Tariff]]*TableCosts[[#This Row],[N_ItemsCount]]</f>
        <v>0</v>
      </c>
      <c r="AU416" s="17">
        <f>IF(F416=1,IF(TableCosts[[#This Row],[N_Kateg]]="interné práce",TableCosts[[#This Row],[N_Amount]]*8*PAR_SGA_PERHOUR,0),0)</f>
        <v>0</v>
      </c>
      <c r="AV416" s="17">
        <f>SUM(TableCosts[[#This Row],[N_Direct]:[N_SGA]])</f>
        <v>0</v>
      </c>
      <c r="AW416" s="7">
        <f>IF(F416=1,IF(D416="",NA(),VLOOKUP(C416&amp;TableCosts[[#This Row],[Calc_N_Typ]],TRAN_STRITEMS_LABEL,7,0)),0)</f>
        <v>0</v>
      </c>
      <c r="AX416" s="7">
        <f t="shared" si="81"/>
        <v>0</v>
      </c>
      <c r="AY416" s="57" t="str">
        <f t="shared" si="82"/>
        <v/>
      </c>
      <c r="AZ416" s="57" t="str">
        <f t="shared" si="83"/>
        <v/>
      </c>
      <c r="BA416" s="57" t="str">
        <f>IF(F416=1,IF(TableCosts[[#This Row],[TransferFrom]]=TableCosts[[#This Row],[TranferTo]],0,1),"")</f>
        <v/>
      </c>
      <c r="BB416" s="7">
        <f t="shared" si="84"/>
        <v>0</v>
      </c>
      <c r="BC416" s="7">
        <f t="shared" si="85"/>
        <v>0</v>
      </c>
    </row>
    <row r="417" spans="2:55" s="7" customFormat="1" ht="12.75" x14ac:dyDescent="0.2">
      <c r="B417" s="33"/>
      <c r="C417" s="31"/>
      <c r="D417" s="40"/>
      <c r="E417" s="6" t="str">
        <f>IF(F417=1,IF(ISERROR(TableCosts[[#This Row],[N_Tariff]]),Err_Message1,IF(TableCosts[[#This Row],[N_Tariff]]=0,Err_Message2,VLOOKUP(C417&amp;TableCosts[[#This Row],[Calc_N_Typ]],TRAN_STRITEMS_LABEL,5,FALSE))),"")</f>
        <v/>
      </c>
      <c r="F417" s="6">
        <f t="shared" si="86"/>
        <v>0</v>
      </c>
      <c r="G417" s="6" t="str">
        <f>IF(F417=1,IFERROR(VLOOKUP(E417,Tab_ErrMessage[],2,0),VLOOKUP(C417&amp;TableCosts[[#This Row],[Calc_N_Typ]],TRAN_STRITEMS_LABEL,4,FALSE)),"")</f>
        <v/>
      </c>
      <c r="H417" s="40"/>
      <c r="I417" s="40"/>
      <c r="J417" s="35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  <c r="AD417" s="24"/>
      <c r="AE417" s="24"/>
      <c r="AF417" s="24"/>
      <c r="AG417" s="24"/>
      <c r="AH417" s="24"/>
      <c r="AI417" s="24"/>
      <c r="AJ417" s="24"/>
      <c r="AK417" s="38">
        <f t="array" ref="AK417">IF(F417=1,SUM((ROW(M0)=ROW(AK417))*(M0+M1_+M2_+M3_+M4_+M5_+M6_+M7_+M8_+M9_+M10_+M11_+M12_+M13_+M14_+M15_+M16_+M17_+M18_+M19_+M20_+M21_+M22_+M23_+M24_+M25_)),0)</f>
        <v>0</v>
      </c>
      <c r="AL417" s="27">
        <f>TableCosts[[#This Row],[N_Direct]]</f>
        <v>0</v>
      </c>
      <c r="AN417" s="7" t="str">
        <f t="shared" si="75"/>
        <v/>
      </c>
      <c r="AO417" s="7" t="str">
        <f t="shared" si="78"/>
        <v/>
      </c>
      <c r="AP417" s="7" t="str">
        <f t="shared" si="76"/>
        <v/>
      </c>
      <c r="AQ417" s="7" t="str">
        <f t="shared" si="79"/>
        <v/>
      </c>
      <c r="AR417" s="7" t="str">
        <f t="shared" si="77"/>
        <v/>
      </c>
      <c r="AS417" s="7">
        <f t="shared" si="80"/>
        <v>0</v>
      </c>
      <c r="AT417" s="17">
        <f>TableCosts[[#This Row],[N_Amount]]*TableCosts[[#This Row],[N_Tariff]]*TableCosts[[#This Row],[N_ItemsCount]]</f>
        <v>0</v>
      </c>
      <c r="AU417" s="17">
        <f>IF(F417=1,IF(TableCosts[[#This Row],[N_Kateg]]="interné práce",TableCosts[[#This Row],[N_Amount]]*8*PAR_SGA_PERHOUR,0),0)</f>
        <v>0</v>
      </c>
      <c r="AV417" s="17">
        <f>SUM(TableCosts[[#This Row],[N_Direct]:[N_SGA]])</f>
        <v>0</v>
      </c>
      <c r="AW417" s="7">
        <f>IF(F417=1,IF(D417="",NA(),VLOOKUP(C417&amp;TableCosts[[#This Row],[Calc_N_Typ]],TRAN_STRITEMS_LABEL,7,0)),0)</f>
        <v>0</v>
      </c>
      <c r="AX417" s="7">
        <f t="shared" si="81"/>
        <v>0</v>
      </c>
      <c r="AY417" s="57" t="str">
        <f t="shared" si="82"/>
        <v/>
      </c>
      <c r="AZ417" s="57" t="str">
        <f t="shared" si="83"/>
        <v/>
      </c>
      <c r="BA417" s="57" t="str">
        <f>IF(F417=1,IF(TableCosts[[#This Row],[TransferFrom]]=TableCosts[[#This Row],[TranferTo]],0,1),"")</f>
        <v/>
      </c>
      <c r="BB417" s="7">
        <f t="shared" si="84"/>
        <v>0</v>
      </c>
      <c r="BC417" s="7">
        <f t="shared" si="85"/>
        <v>0</v>
      </c>
    </row>
    <row r="418" spans="2:55" s="7" customFormat="1" ht="12.75" x14ac:dyDescent="0.2">
      <c r="B418" s="33"/>
      <c r="C418" s="31"/>
      <c r="D418" s="40"/>
      <c r="E418" s="6" t="str">
        <f>IF(F418=1,IF(ISERROR(TableCosts[[#This Row],[N_Tariff]]),Err_Message1,IF(TableCosts[[#This Row],[N_Tariff]]=0,Err_Message2,VLOOKUP(C418&amp;TableCosts[[#This Row],[Calc_N_Typ]],TRAN_STRITEMS_LABEL,5,FALSE))),"")</f>
        <v/>
      </c>
      <c r="F418" s="6">
        <f t="shared" si="86"/>
        <v>0</v>
      </c>
      <c r="G418" s="6" t="str">
        <f>IF(F418=1,IFERROR(VLOOKUP(E418,Tab_ErrMessage[],2,0),VLOOKUP(C418&amp;TableCosts[[#This Row],[Calc_N_Typ]],TRAN_STRITEMS_LABEL,4,FALSE)),"")</f>
        <v/>
      </c>
      <c r="H418" s="40"/>
      <c r="I418" s="40"/>
      <c r="J418" s="35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  <c r="AD418" s="24"/>
      <c r="AE418" s="24"/>
      <c r="AF418" s="24"/>
      <c r="AG418" s="24"/>
      <c r="AH418" s="24"/>
      <c r="AI418" s="24"/>
      <c r="AJ418" s="24"/>
      <c r="AK418" s="38">
        <f t="array" ref="AK418">IF(F418=1,SUM((ROW(M0)=ROW(AK418))*(M0+M1_+M2_+M3_+M4_+M5_+M6_+M7_+M8_+M9_+M10_+M11_+M12_+M13_+M14_+M15_+M16_+M17_+M18_+M19_+M20_+M21_+M22_+M23_+M24_+M25_)),0)</f>
        <v>0</v>
      </c>
      <c r="AL418" s="27">
        <f>TableCosts[[#This Row],[N_Direct]]</f>
        <v>0</v>
      </c>
      <c r="AN418" s="7" t="str">
        <f t="shared" si="75"/>
        <v/>
      </c>
      <c r="AO418" s="7" t="str">
        <f t="shared" si="78"/>
        <v/>
      </c>
      <c r="AP418" s="7" t="str">
        <f t="shared" si="76"/>
        <v/>
      </c>
      <c r="AQ418" s="7" t="str">
        <f t="shared" si="79"/>
        <v/>
      </c>
      <c r="AR418" s="7" t="str">
        <f t="shared" si="77"/>
        <v/>
      </c>
      <c r="AS418" s="7">
        <f t="shared" si="80"/>
        <v>0</v>
      </c>
      <c r="AT418" s="17">
        <f>TableCosts[[#This Row],[N_Amount]]*TableCosts[[#This Row],[N_Tariff]]*TableCosts[[#This Row],[N_ItemsCount]]</f>
        <v>0</v>
      </c>
      <c r="AU418" s="17">
        <f>IF(F418=1,IF(TableCosts[[#This Row],[N_Kateg]]="interné práce",TableCosts[[#This Row],[N_Amount]]*8*PAR_SGA_PERHOUR,0),0)</f>
        <v>0</v>
      </c>
      <c r="AV418" s="17">
        <f>SUM(TableCosts[[#This Row],[N_Direct]:[N_SGA]])</f>
        <v>0</v>
      </c>
      <c r="AW418" s="7">
        <f>IF(F418=1,IF(D418="",NA(),VLOOKUP(C418&amp;TableCosts[[#This Row],[Calc_N_Typ]],TRAN_STRITEMS_LABEL,7,0)),0)</f>
        <v>0</v>
      </c>
      <c r="AX418" s="7">
        <f t="shared" si="81"/>
        <v>0</v>
      </c>
      <c r="AY418" s="57" t="str">
        <f t="shared" si="82"/>
        <v/>
      </c>
      <c r="AZ418" s="57" t="str">
        <f t="shared" si="83"/>
        <v/>
      </c>
      <c r="BA418" s="57" t="str">
        <f>IF(F418=1,IF(TableCosts[[#This Row],[TransferFrom]]=TableCosts[[#This Row],[TranferTo]],0,1),"")</f>
        <v/>
      </c>
      <c r="BB418" s="7">
        <f t="shared" si="84"/>
        <v>0</v>
      </c>
      <c r="BC418" s="7">
        <f t="shared" si="85"/>
        <v>0</v>
      </c>
    </row>
    <row r="419" spans="2:55" s="7" customFormat="1" ht="12.75" x14ac:dyDescent="0.2">
      <c r="B419" s="33"/>
      <c r="C419" s="31"/>
      <c r="D419" s="40"/>
      <c r="E419" s="6" t="str">
        <f>IF(F419=1,IF(ISERROR(TableCosts[[#This Row],[N_Tariff]]),Err_Message1,IF(TableCosts[[#This Row],[N_Tariff]]=0,Err_Message2,VLOOKUP(C419&amp;TableCosts[[#This Row],[Calc_N_Typ]],TRAN_STRITEMS_LABEL,5,FALSE))),"")</f>
        <v/>
      </c>
      <c r="F419" s="6">
        <f t="shared" si="86"/>
        <v>0</v>
      </c>
      <c r="G419" s="6" t="str">
        <f>IF(F419=1,IFERROR(VLOOKUP(E419,Tab_ErrMessage[],2,0),VLOOKUP(C419&amp;TableCosts[[#This Row],[Calc_N_Typ]],TRAN_STRITEMS_LABEL,4,FALSE)),"")</f>
        <v/>
      </c>
      <c r="H419" s="40"/>
      <c r="I419" s="40"/>
      <c r="J419" s="35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  <c r="AD419" s="24"/>
      <c r="AE419" s="24"/>
      <c r="AF419" s="24"/>
      <c r="AG419" s="24"/>
      <c r="AH419" s="24"/>
      <c r="AI419" s="24"/>
      <c r="AJ419" s="24"/>
      <c r="AK419" s="38">
        <f t="array" ref="AK419">IF(F419=1,SUM((ROW(M0)=ROW(AK419))*(M0+M1_+M2_+M3_+M4_+M5_+M6_+M7_+M8_+M9_+M10_+M11_+M12_+M13_+M14_+M15_+M16_+M17_+M18_+M19_+M20_+M21_+M22_+M23_+M24_+M25_)),0)</f>
        <v>0</v>
      </c>
      <c r="AL419" s="27">
        <f>TableCosts[[#This Row],[N_Direct]]</f>
        <v>0</v>
      </c>
      <c r="AN419" s="7" t="str">
        <f t="shared" si="75"/>
        <v/>
      </c>
      <c r="AO419" s="7" t="str">
        <f t="shared" si="78"/>
        <v/>
      </c>
      <c r="AP419" s="7" t="str">
        <f t="shared" si="76"/>
        <v/>
      </c>
      <c r="AQ419" s="7" t="str">
        <f t="shared" si="79"/>
        <v/>
      </c>
      <c r="AR419" s="7" t="str">
        <f t="shared" si="77"/>
        <v/>
      </c>
      <c r="AS419" s="7">
        <f t="shared" si="80"/>
        <v>0</v>
      </c>
      <c r="AT419" s="17">
        <f>TableCosts[[#This Row],[N_Amount]]*TableCosts[[#This Row],[N_Tariff]]*TableCosts[[#This Row],[N_ItemsCount]]</f>
        <v>0</v>
      </c>
      <c r="AU419" s="17">
        <f>IF(F419=1,IF(TableCosts[[#This Row],[N_Kateg]]="interné práce",TableCosts[[#This Row],[N_Amount]]*8*PAR_SGA_PERHOUR,0),0)</f>
        <v>0</v>
      </c>
      <c r="AV419" s="17">
        <f>SUM(TableCosts[[#This Row],[N_Direct]:[N_SGA]])</f>
        <v>0</v>
      </c>
      <c r="AW419" s="7">
        <f>IF(F419=1,IF(D419="",NA(),VLOOKUP(C419&amp;TableCosts[[#This Row],[Calc_N_Typ]],TRAN_STRITEMS_LABEL,7,0)),0)</f>
        <v>0</v>
      </c>
      <c r="AX419" s="7">
        <f t="shared" si="81"/>
        <v>0</v>
      </c>
      <c r="AY419" s="57" t="str">
        <f t="shared" si="82"/>
        <v/>
      </c>
      <c r="AZ419" s="57" t="str">
        <f t="shared" si="83"/>
        <v/>
      </c>
      <c r="BA419" s="57" t="str">
        <f>IF(F419=1,IF(TableCosts[[#This Row],[TransferFrom]]=TableCosts[[#This Row],[TranferTo]],0,1),"")</f>
        <v/>
      </c>
      <c r="BB419" s="7">
        <f t="shared" si="84"/>
        <v>0</v>
      </c>
      <c r="BC419" s="7">
        <f t="shared" si="85"/>
        <v>0</v>
      </c>
    </row>
    <row r="420" spans="2:55" s="7" customFormat="1" ht="12.75" x14ac:dyDescent="0.2">
      <c r="B420" s="33"/>
      <c r="C420" s="31"/>
      <c r="D420" s="40"/>
      <c r="E420" s="6" t="str">
        <f>IF(F420=1,IF(ISERROR(TableCosts[[#This Row],[N_Tariff]]),Err_Message1,IF(TableCosts[[#This Row],[N_Tariff]]=0,Err_Message2,VLOOKUP(C420&amp;TableCosts[[#This Row],[Calc_N_Typ]],TRAN_STRITEMS_LABEL,5,FALSE))),"")</f>
        <v/>
      </c>
      <c r="F420" s="6">
        <f t="shared" si="86"/>
        <v>0</v>
      </c>
      <c r="G420" s="6" t="str">
        <f>IF(F420=1,IFERROR(VLOOKUP(E420,Tab_ErrMessage[],2,0),VLOOKUP(C420&amp;TableCosts[[#This Row],[Calc_N_Typ]],TRAN_STRITEMS_LABEL,4,FALSE)),"")</f>
        <v/>
      </c>
      <c r="H420" s="40"/>
      <c r="I420" s="40"/>
      <c r="J420" s="35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  <c r="AD420" s="24"/>
      <c r="AE420" s="24"/>
      <c r="AF420" s="24"/>
      <c r="AG420" s="24"/>
      <c r="AH420" s="24"/>
      <c r="AI420" s="24"/>
      <c r="AJ420" s="24"/>
      <c r="AK420" s="38">
        <f t="array" ref="AK420">IF(F420=1,SUM((ROW(M0)=ROW(AK420))*(M0+M1_+M2_+M3_+M4_+M5_+M6_+M7_+M8_+M9_+M10_+M11_+M12_+M13_+M14_+M15_+M16_+M17_+M18_+M19_+M20_+M21_+M22_+M23_+M24_+M25_)),0)</f>
        <v>0</v>
      </c>
      <c r="AL420" s="27">
        <f>TableCosts[[#This Row],[N_Direct]]</f>
        <v>0</v>
      </c>
      <c r="AN420" s="7" t="str">
        <f t="shared" si="75"/>
        <v/>
      </c>
      <c r="AO420" s="7" t="str">
        <f t="shared" si="78"/>
        <v/>
      </c>
      <c r="AP420" s="7" t="str">
        <f t="shared" si="76"/>
        <v/>
      </c>
      <c r="AQ420" s="7" t="str">
        <f t="shared" si="79"/>
        <v/>
      </c>
      <c r="AR420" s="7" t="str">
        <f t="shared" si="77"/>
        <v/>
      </c>
      <c r="AS420" s="7">
        <f t="shared" si="80"/>
        <v>0</v>
      </c>
      <c r="AT420" s="17">
        <f>TableCosts[[#This Row],[N_Amount]]*TableCosts[[#This Row],[N_Tariff]]*TableCosts[[#This Row],[N_ItemsCount]]</f>
        <v>0</v>
      </c>
      <c r="AU420" s="17">
        <f>IF(F420=1,IF(TableCosts[[#This Row],[N_Kateg]]="interné práce",TableCosts[[#This Row],[N_Amount]]*8*PAR_SGA_PERHOUR,0),0)</f>
        <v>0</v>
      </c>
      <c r="AV420" s="17">
        <f>SUM(TableCosts[[#This Row],[N_Direct]:[N_SGA]])</f>
        <v>0</v>
      </c>
      <c r="AW420" s="7">
        <f>IF(F420=1,IF(D420="",NA(),VLOOKUP(C420&amp;TableCosts[[#This Row],[Calc_N_Typ]],TRAN_STRITEMS_LABEL,7,0)),0)</f>
        <v>0</v>
      </c>
      <c r="AX420" s="7">
        <f t="shared" si="81"/>
        <v>0</v>
      </c>
      <c r="AY420" s="57" t="str">
        <f t="shared" si="82"/>
        <v/>
      </c>
      <c r="AZ420" s="57" t="str">
        <f t="shared" si="83"/>
        <v/>
      </c>
      <c r="BA420" s="57" t="str">
        <f>IF(F420=1,IF(TableCosts[[#This Row],[TransferFrom]]=TableCosts[[#This Row],[TranferTo]],0,1),"")</f>
        <v/>
      </c>
      <c r="BB420" s="7">
        <f t="shared" si="84"/>
        <v>0</v>
      </c>
      <c r="BC420" s="7">
        <f t="shared" si="85"/>
        <v>0</v>
      </c>
    </row>
    <row r="421" spans="2:55" s="7" customFormat="1" ht="12.75" x14ac:dyDescent="0.2">
      <c r="B421" s="33"/>
      <c r="C421" s="31"/>
      <c r="D421" s="40"/>
      <c r="E421" s="6" t="str">
        <f>IF(F421=1,IF(ISERROR(TableCosts[[#This Row],[N_Tariff]]),Err_Message1,IF(TableCosts[[#This Row],[N_Tariff]]=0,Err_Message2,VLOOKUP(C421&amp;TableCosts[[#This Row],[Calc_N_Typ]],TRAN_STRITEMS_LABEL,5,FALSE))),"")</f>
        <v/>
      </c>
      <c r="F421" s="6">
        <f t="shared" si="86"/>
        <v>0</v>
      </c>
      <c r="G421" s="6" t="str">
        <f>IF(F421=1,IFERROR(VLOOKUP(E421,Tab_ErrMessage[],2,0),VLOOKUP(C421&amp;TableCosts[[#This Row],[Calc_N_Typ]],TRAN_STRITEMS_LABEL,4,FALSE)),"")</f>
        <v/>
      </c>
      <c r="H421" s="40"/>
      <c r="I421" s="40"/>
      <c r="J421" s="35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  <c r="AD421" s="24"/>
      <c r="AE421" s="24"/>
      <c r="AF421" s="24"/>
      <c r="AG421" s="24"/>
      <c r="AH421" s="24"/>
      <c r="AI421" s="24"/>
      <c r="AJ421" s="24"/>
      <c r="AK421" s="38">
        <f t="array" ref="AK421">IF(F421=1,SUM((ROW(M0)=ROW(AK421))*(M0+M1_+M2_+M3_+M4_+M5_+M6_+M7_+M8_+M9_+M10_+M11_+M12_+M13_+M14_+M15_+M16_+M17_+M18_+M19_+M20_+M21_+M22_+M23_+M24_+M25_)),0)</f>
        <v>0</v>
      </c>
      <c r="AL421" s="27">
        <f>TableCosts[[#This Row],[N_Direct]]</f>
        <v>0</v>
      </c>
      <c r="AN421" s="7" t="str">
        <f t="shared" si="75"/>
        <v/>
      </c>
      <c r="AO421" s="7" t="str">
        <f t="shared" si="78"/>
        <v/>
      </c>
      <c r="AP421" s="7" t="str">
        <f t="shared" si="76"/>
        <v/>
      </c>
      <c r="AQ421" s="7" t="str">
        <f t="shared" si="79"/>
        <v/>
      </c>
      <c r="AR421" s="7" t="str">
        <f t="shared" si="77"/>
        <v/>
      </c>
      <c r="AS421" s="7">
        <f t="shared" si="80"/>
        <v>0</v>
      </c>
      <c r="AT421" s="17">
        <f>TableCosts[[#This Row],[N_Amount]]*TableCosts[[#This Row],[N_Tariff]]*TableCosts[[#This Row],[N_ItemsCount]]</f>
        <v>0</v>
      </c>
      <c r="AU421" s="17">
        <f>IF(F421=1,IF(TableCosts[[#This Row],[N_Kateg]]="interné práce",TableCosts[[#This Row],[N_Amount]]*8*PAR_SGA_PERHOUR,0),0)</f>
        <v>0</v>
      </c>
      <c r="AV421" s="17">
        <f>SUM(TableCosts[[#This Row],[N_Direct]:[N_SGA]])</f>
        <v>0</v>
      </c>
      <c r="AW421" s="7">
        <f>IF(F421=1,IF(D421="",NA(),VLOOKUP(C421&amp;TableCosts[[#This Row],[Calc_N_Typ]],TRAN_STRITEMS_LABEL,7,0)),0)</f>
        <v>0</v>
      </c>
      <c r="AX421" s="7">
        <f t="shared" si="81"/>
        <v>0</v>
      </c>
      <c r="AY421" s="57" t="str">
        <f t="shared" si="82"/>
        <v/>
      </c>
      <c r="AZ421" s="57" t="str">
        <f t="shared" si="83"/>
        <v/>
      </c>
      <c r="BA421" s="57" t="str">
        <f>IF(F421=1,IF(TableCosts[[#This Row],[TransferFrom]]=TableCosts[[#This Row],[TranferTo]],0,1),"")</f>
        <v/>
      </c>
      <c r="BB421" s="7">
        <f t="shared" si="84"/>
        <v>0</v>
      </c>
      <c r="BC421" s="7">
        <f t="shared" si="85"/>
        <v>0</v>
      </c>
    </row>
    <row r="422" spans="2:55" s="7" customFormat="1" ht="12.75" x14ac:dyDescent="0.2">
      <c r="B422" s="33"/>
      <c r="C422" s="31"/>
      <c r="D422" s="40"/>
      <c r="E422" s="6" t="str">
        <f>IF(F422=1,IF(ISERROR(TableCosts[[#This Row],[N_Tariff]]),Err_Message1,IF(TableCosts[[#This Row],[N_Tariff]]=0,Err_Message2,VLOOKUP(C422&amp;TableCosts[[#This Row],[Calc_N_Typ]],TRAN_STRITEMS_LABEL,5,FALSE))),"")</f>
        <v/>
      </c>
      <c r="F422" s="6">
        <f t="shared" si="86"/>
        <v>0</v>
      </c>
      <c r="G422" s="6" t="str">
        <f>IF(F422=1,IFERROR(VLOOKUP(E422,Tab_ErrMessage[],2,0),VLOOKUP(C422&amp;TableCosts[[#This Row],[Calc_N_Typ]],TRAN_STRITEMS_LABEL,4,FALSE)),"")</f>
        <v/>
      </c>
      <c r="H422" s="40"/>
      <c r="I422" s="40"/>
      <c r="J422" s="35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  <c r="AD422" s="24"/>
      <c r="AE422" s="24"/>
      <c r="AF422" s="24"/>
      <c r="AG422" s="24"/>
      <c r="AH422" s="24"/>
      <c r="AI422" s="24"/>
      <c r="AJ422" s="24"/>
      <c r="AK422" s="38">
        <f t="array" ref="AK422">IF(F422=1,SUM((ROW(M0)=ROW(AK422))*(M0+M1_+M2_+M3_+M4_+M5_+M6_+M7_+M8_+M9_+M10_+M11_+M12_+M13_+M14_+M15_+M16_+M17_+M18_+M19_+M20_+M21_+M22_+M23_+M24_+M25_)),0)</f>
        <v>0</v>
      </c>
      <c r="AL422" s="27">
        <f>TableCosts[[#This Row],[N_Direct]]</f>
        <v>0</v>
      </c>
      <c r="AN422" s="7" t="str">
        <f t="shared" si="75"/>
        <v/>
      </c>
      <c r="AO422" s="7" t="str">
        <f t="shared" si="78"/>
        <v/>
      </c>
      <c r="AP422" s="7" t="str">
        <f t="shared" si="76"/>
        <v/>
      </c>
      <c r="AQ422" s="7" t="str">
        <f t="shared" si="79"/>
        <v/>
      </c>
      <c r="AR422" s="7" t="str">
        <f t="shared" si="77"/>
        <v/>
      </c>
      <c r="AS422" s="7">
        <f t="shared" si="80"/>
        <v>0</v>
      </c>
      <c r="AT422" s="17">
        <f>TableCosts[[#This Row],[N_Amount]]*TableCosts[[#This Row],[N_Tariff]]*TableCosts[[#This Row],[N_ItemsCount]]</f>
        <v>0</v>
      </c>
      <c r="AU422" s="17">
        <f>IF(F422=1,IF(TableCosts[[#This Row],[N_Kateg]]="interné práce",TableCosts[[#This Row],[N_Amount]]*8*PAR_SGA_PERHOUR,0),0)</f>
        <v>0</v>
      </c>
      <c r="AV422" s="17">
        <f>SUM(TableCosts[[#This Row],[N_Direct]:[N_SGA]])</f>
        <v>0</v>
      </c>
      <c r="AW422" s="7">
        <f>IF(F422=1,IF(D422="",NA(),VLOOKUP(C422&amp;TableCosts[[#This Row],[Calc_N_Typ]],TRAN_STRITEMS_LABEL,7,0)),0)</f>
        <v>0</v>
      </c>
      <c r="AX422" s="7">
        <f t="shared" si="81"/>
        <v>0</v>
      </c>
      <c r="AY422" s="57" t="str">
        <f t="shared" si="82"/>
        <v/>
      </c>
      <c r="AZ422" s="57" t="str">
        <f t="shared" si="83"/>
        <v/>
      </c>
      <c r="BA422" s="57" t="str">
        <f>IF(F422=1,IF(TableCosts[[#This Row],[TransferFrom]]=TableCosts[[#This Row],[TranferTo]],0,1),"")</f>
        <v/>
      </c>
      <c r="BB422" s="7">
        <f t="shared" si="84"/>
        <v>0</v>
      </c>
      <c r="BC422" s="7">
        <f t="shared" si="85"/>
        <v>0</v>
      </c>
    </row>
    <row r="423" spans="2:55" s="7" customFormat="1" ht="12.75" x14ac:dyDescent="0.2">
      <c r="B423" s="33"/>
      <c r="C423" s="31"/>
      <c r="D423" s="40"/>
      <c r="E423" s="6" t="str">
        <f>IF(F423=1,IF(ISERROR(TableCosts[[#This Row],[N_Tariff]]),Err_Message1,IF(TableCosts[[#This Row],[N_Tariff]]=0,Err_Message2,VLOOKUP(C423&amp;TableCosts[[#This Row],[Calc_N_Typ]],TRAN_STRITEMS_LABEL,5,FALSE))),"")</f>
        <v/>
      </c>
      <c r="F423" s="6">
        <f t="shared" si="86"/>
        <v>0</v>
      </c>
      <c r="G423" s="6" t="str">
        <f>IF(F423=1,IFERROR(VLOOKUP(E423,Tab_ErrMessage[],2,0),VLOOKUP(C423&amp;TableCosts[[#This Row],[Calc_N_Typ]],TRAN_STRITEMS_LABEL,4,FALSE)),"")</f>
        <v/>
      </c>
      <c r="H423" s="40"/>
      <c r="I423" s="40"/>
      <c r="J423" s="35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  <c r="AD423" s="24"/>
      <c r="AE423" s="24"/>
      <c r="AF423" s="24"/>
      <c r="AG423" s="24"/>
      <c r="AH423" s="24"/>
      <c r="AI423" s="24"/>
      <c r="AJ423" s="24"/>
      <c r="AK423" s="38">
        <f t="array" ref="AK423">IF(F423=1,SUM((ROW(M0)=ROW(AK423))*(M0+M1_+M2_+M3_+M4_+M5_+M6_+M7_+M8_+M9_+M10_+M11_+M12_+M13_+M14_+M15_+M16_+M17_+M18_+M19_+M20_+M21_+M22_+M23_+M24_+M25_)),0)</f>
        <v>0</v>
      </c>
      <c r="AL423" s="27">
        <f>TableCosts[[#This Row],[N_Direct]]</f>
        <v>0</v>
      </c>
      <c r="AN423" s="7" t="str">
        <f t="shared" si="75"/>
        <v/>
      </c>
      <c r="AO423" s="7" t="str">
        <f t="shared" si="78"/>
        <v/>
      </c>
      <c r="AP423" s="7" t="str">
        <f t="shared" si="76"/>
        <v/>
      </c>
      <c r="AQ423" s="7" t="str">
        <f t="shared" si="79"/>
        <v/>
      </c>
      <c r="AR423" s="7" t="str">
        <f t="shared" si="77"/>
        <v/>
      </c>
      <c r="AS423" s="7">
        <f t="shared" si="80"/>
        <v>0</v>
      </c>
      <c r="AT423" s="17">
        <f>TableCosts[[#This Row],[N_Amount]]*TableCosts[[#This Row],[N_Tariff]]*TableCosts[[#This Row],[N_ItemsCount]]</f>
        <v>0</v>
      </c>
      <c r="AU423" s="17">
        <f>IF(F423=1,IF(TableCosts[[#This Row],[N_Kateg]]="interné práce",TableCosts[[#This Row],[N_Amount]]*8*PAR_SGA_PERHOUR,0),0)</f>
        <v>0</v>
      </c>
      <c r="AV423" s="17">
        <f>SUM(TableCosts[[#This Row],[N_Direct]:[N_SGA]])</f>
        <v>0</v>
      </c>
      <c r="AW423" s="7">
        <f>IF(F423=1,IF(D423="",NA(),VLOOKUP(C423&amp;TableCosts[[#This Row],[Calc_N_Typ]],TRAN_STRITEMS_LABEL,7,0)),0)</f>
        <v>0</v>
      </c>
      <c r="AX423" s="7">
        <f t="shared" si="81"/>
        <v>0</v>
      </c>
      <c r="AY423" s="57" t="str">
        <f t="shared" si="82"/>
        <v/>
      </c>
      <c r="AZ423" s="57" t="str">
        <f t="shared" si="83"/>
        <v/>
      </c>
      <c r="BA423" s="57" t="str">
        <f>IF(F423=1,IF(TableCosts[[#This Row],[TransferFrom]]=TableCosts[[#This Row],[TranferTo]],0,1),"")</f>
        <v/>
      </c>
      <c r="BB423" s="7">
        <f t="shared" si="84"/>
        <v>0</v>
      </c>
      <c r="BC423" s="7">
        <f t="shared" si="85"/>
        <v>0</v>
      </c>
    </row>
    <row r="424" spans="2:55" s="7" customFormat="1" ht="12.75" x14ac:dyDescent="0.2">
      <c r="B424" s="33"/>
      <c r="C424" s="31"/>
      <c r="D424" s="40"/>
      <c r="E424" s="6" t="str">
        <f>IF(F424=1,IF(ISERROR(TableCosts[[#This Row],[N_Tariff]]),Err_Message1,IF(TableCosts[[#This Row],[N_Tariff]]=0,Err_Message2,VLOOKUP(C424&amp;TableCosts[[#This Row],[Calc_N_Typ]],TRAN_STRITEMS_LABEL,5,FALSE))),"")</f>
        <v/>
      </c>
      <c r="F424" s="6">
        <f t="shared" si="86"/>
        <v>0</v>
      </c>
      <c r="G424" s="6" t="str">
        <f>IF(F424=1,IFERROR(VLOOKUP(E424,Tab_ErrMessage[],2,0),VLOOKUP(C424&amp;TableCosts[[#This Row],[Calc_N_Typ]],TRAN_STRITEMS_LABEL,4,FALSE)),"")</f>
        <v/>
      </c>
      <c r="H424" s="40"/>
      <c r="I424" s="40"/>
      <c r="J424" s="35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  <c r="AD424" s="24"/>
      <c r="AE424" s="24"/>
      <c r="AF424" s="24"/>
      <c r="AG424" s="24"/>
      <c r="AH424" s="24"/>
      <c r="AI424" s="24"/>
      <c r="AJ424" s="24"/>
      <c r="AK424" s="38">
        <f t="array" ref="AK424">IF(F424=1,SUM((ROW(M0)=ROW(AK424))*(M0+M1_+M2_+M3_+M4_+M5_+M6_+M7_+M8_+M9_+M10_+M11_+M12_+M13_+M14_+M15_+M16_+M17_+M18_+M19_+M20_+M21_+M22_+M23_+M24_+M25_)),0)</f>
        <v>0</v>
      </c>
      <c r="AL424" s="27">
        <f>TableCosts[[#This Row],[N_Direct]]</f>
        <v>0</v>
      </c>
      <c r="AN424" s="7" t="str">
        <f t="shared" si="75"/>
        <v/>
      </c>
      <c r="AO424" s="7" t="str">
        <f t="shared" si="78"/>
        <v/>
      </c>
      <c r="AP424" s="7" t="str">
        <f t="shared" si="76"/>
        <v/>
      </c>
      <c r="AQ424" s="7" t="str">
        <f t="shared" si="79"/>
        <v/>
      </c>
      <c r="AR424" s="7" t="str">
        <f t="shared" si="77"/>
        <v/>
      </c>
      <c r="AS424" s="7">
        <f t="shared" si="80"/>
        <v>0</v>
      </c>
      <c r="AT424" s="17">
        <f>TableCosts[[#This Row],[N_Amount]]*TableCosts[[#This Row],[N_Tariff]]*TableCosts[[#This Row],[N_ItemsCount]]</f>
        <v>0</v>
      </c>
      <c r="AU424" s="17">
        <f>IF(F424=1,IF(TableCosts[[#This Row],[N_Kateg]]="interné práce",TableCosts[[#This Row],[N_Amount]]*8*PAR_SGA_PERHOUR,0),0)</f>
        <v>0</v>
      </c>
      <c r="AV424" s="17">
        <f>SUM(TableCosts[[#This Row],[N_Direct]:[N_SGA]])</f>
        <v>0</v>
      </c>
      <c r="AW424" s="7">
        <f>IF(F424=1,IF(D424="",NA(),VLOOKUP(C424&amp;TableCosts[[#This Row],[Calc_N_Typ]],TRAN_STRITEMS_LABEL,7,0)),0)</f>
        <v>0</v>
      </c>
      <c r="AX424" s="7">
        <f t="shared" si="81"/>
        <v>0</v>
      </c>
      <c r="AY424" s="57" t="str">
        <f t="shared" si="82"/>
        <v/>
      </c>
      <c r="AZ424" s="57" t="str">
        <f t="shared" si="83"/>
        <v/>
      </c>
      <c r="BA424" s="57" t="str">
        <f>IF(F424=1,IF(TableCosts[[#This Row],[TransferFrom]]=TableCosts[[#This Row],[TranferTo]],0,1),"")</f>
        <v/>
      </c>
      <c r="BB424" s="7">
        <f t="shared" si="84"/>
        <v>0</v>
      </c>
      <c r="BC424" s="7">
        <f t="shared" si="85"/>
        <v>0</v>
      </c>
    </row>
    <row r="425" spans="2:55" s="7" customFormat="1" ht="12.75" x14ac:dyDescent="0.2">
      <c r="B425" s="33"/>
      <c r="C425" s="31"/>
      <c r="D425" s="40"/>
      <c r="E425" s="6" t="str">
        <f>IF(F425=1,IF(ISERROR(TableCosts[[#This Row],[N_Tariff]]),Err_Message1,IF(TableCosts[[#This Row],[N_Tariff]]=0,Err_Message2,VLOOKUP(C425&amp;TableCosts[[#This Row],[Calc_N_Typ]],TRAN_STRITEMS_LABEL,5,FALSE))),"")</f>
        <v/>
      </c>
      <c r="F425" s="6">
        <f t="shared" si="86"/>
        <v>0</v>
      </c>
      <c r="G425" s="6" t="str">
        <f>IF(F425=1,IFERROR(VLOOKUP(E425,Tab_ErrMessage[],2,0),VLOOKUP(C425&amp;TableCosts[[#This Row],[Calc_N_Typ]],TRAN_STRITEMS_LABEL,4,FALSE)),"")</f>
        <v/>
      </c>
      <c r="H425" s="40"/>
      <c r="I425" s="40"/>
      <c r="J425" s="35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  <c r="AD425" s="24"/>
      <c r="AE425" s="24"/>
      <c r="AF425" s="24"/>
      <c r="AG425" s="24"/>
      <c r="AH425" s="24"/>
      <c r="AI425" s="24"/>
      <c r="AJ425" s="24"/>
      <c r="AK425" s="38">
        <f t="array" ref="AK425">IF(F425=1,SUM((ROW(M0)=ROW(AK425))*(M0+M1_+M2_+M3_+M4_+M5_+M6_+M7_+M8_+M9_+M10_+M11_+M12_+M13_+M14_+M15_+M16_+M17_+M18_+M19_+M20_+M21_+M22_+M23_+M24_+M25_)),0)</f>
        <v>0</v>
      </c>
      <c r="AL425" s="27">
        <f>TableCosts[[#This Row],[N_Direct]]</f>
        <v>0</v>
      </c>
      <c r="AN425" s="7" t="str">
        <f t="shared" si="75"/>
        <v/>
      </c>
      <c r="AO425" s="7" t="str">
        <f t="shared" si="78"/>
        <v/>
      </c>
      <c r="AP425" s="7" t="str">
        <f t="shared" si="76"/>
        <v/>
      </c>
      <c r="AQ425" s="7" t="str">
        <f t="shared" si="79"/>
        <v/>
      </c>
      <c r="AR425" s="7" t="str">
        <f t="shared" si="77"/>
        <v/>
      </c>
      <c r="AS425" s="7">
        <f t="shared" si="80"/>
        <v>0</v>
      </c>
      <c r="AT425" s="17">
        <f>TableCosts[[#This Row],[N_Amount]]*TableCosts[[#This Row],[N_Tariff]]*TableCosts[[#This Row],[N_ItemsCount]]</f>
        <v>0</v>
      </c>
      <c r="AU425" s="17">
        <f>IF(F425=1,IF(TableCosts[[#This Row],[N_Kateg]]="interné práce",TableCosts[[#This Row],[N_Amount]]*8*PAR_SGA_PERHOUR,0),0)</f>
        <v>0</v>
      </c>
      <c r="AV425" s="17">
        <f>SUM(TableCosts[[#This Row],[N_Direct]:[N_SGA]])</f>
        <v>0</v>
      </c>
      <c r="AW425" s="7">
        <f>IF(F425=1,IF(D425="",NA(),VLOOKUP(C425&amp;TableCosts[[#This Row],[Calc_N_Typ]],TRAN_STRITEMS_LABEL,7,0)),0)</f>
        <v>0</v>
      </c>
      <c r="AX425" s="7">
        <f t="shared" si="81"/>
        <v>0</v>
      </c>
      <c r="AY425" s="57" t="str">
        <f t="shared" si="82"/>
        <v/>
      </c>
      <c r="AZ425" s="57" t="str">
        <f t="shared" si="83"/>
        <v/>
      </c>
      <c r="BA425" s="57" t="str">
        <f>IF(F425=1,IF(TableCosts[[#This Row],[TransferFrom]]=TableCosts[[#This Row],[TranferTo]],0,1),"")</f>
        <v/>
      </c>
      <c r="BB425" s="7">
        <f t="shared" si="84"/>
        <v>0</v>
      </c>
      <c r="BC425" s="7">
        <f t="shared" si="85"/>
        <v>0</v>
      </c>
    </row>
    <row r="426" spans="2:55" s="7" customFormat="1" ht="12.75" x14ac:dyDescent="0.2">
      <c r="B426" s="33"/>
      <c r="C426" s="31"/>
      <c r="D426" s="40"/>
      <c r="E426" s="6" t="str">
        <f>IF(F426=1,IF(ISERROR(TableCosts[[#This Row],[N_Tariff]]),Err_Message1,IF(TableCosts[[#This Row],[N_Tariff]]=0,Err_Message2,VLOOKUP(C426&amp;TableCosts[[#This Row],[Calc_N_Typ]],TRAN_STRITEMS_LABEL,5,FALSE))),"")</f>
        <v/>
      </c>
      <c r="F426" s="6">
        <f t="shared" si="86"/>
        <v>0</v>
      </c>
      <c r="G426" s="6" t="str">
        <f>IF(F426=1,IFERROR(VLOOKUP(E426,Tab_ErrMessage[],2,0),VLOOKUP(C426&amp;TableCosts[[#This Row],[Calc_N_Typ]],TRAN_STRITEMS_LABEL,4,FALSE)),"")</f>
        <v/>
      </c>
      <c r="H426" s="40"/>
      <c r="I426" s="40"/>
      <c r="J426" s="35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  <c r="AD426" s="24"/>
      <c r="AE426" s="24"/>
      <c r="AF426" s="24"/>
      <c r="AG426" s="24"/>
      <c r="AH426" s="24"/>
      <c r="AI426" s="24"/>
      <c r="AJ426" s="24"/>
      <c r="AK426" s="38">
        <f t="array" ref="AK426">IF(F426=1,SUM((ROW(M0)=ROW(AK426))*(M0+M1_+M2_+M3_+M4_+M5_+M6_+M7_+M8_+M9_+M10_+M11_+M12_+M13_+M14_+M15_+M16_+M17_+M18_+M19_+M20_+M21_+M22_+M23_+M24_+M25_)),0)</f>
        <v>0</v>
      </c>
      <c r="AL426" s="27">
        <f>TableCosts[[#This Row],[N_Direct]]</f>
        <v>0</v>
      </c>
      <c r="AN426" s="7" t="str">
        <f t="shared" si="75"/>
        <v/>
      </c>
      <c r="AO426" s="7" t="str">
        <f t="shared" si="78"/>
        <v/>
      </c>
      <c r="AP426" s="7" t="str">
        <f t="shared" si="76"/>
        <v/>
      </c>
      <c r="AQ426" s="7" t="str">
        <f t="shared" si="79"/>
        <v/>
      </c>
      <c r="AR426" s="7" t="str">
        <f t="shared" si="77"/>
        <v/>
      </c>
      <c r="AS426" s="7">
        <f t="shared" si="80"/>
        <v>0</v>
      </c>
      <c r="AT426" s="17">
        <f>TableCosts[[#This Row],[N_Amount]]*TableCosts[[#This Row],[N_Tariff]]*TableCosts[[#This Row],[N_ItemsCount]]</f>
        <v>0</v>
      </c>
      <c r="AU426" s="17">
        <f>IF(F426=1,IF(TableCosts[[#This Row],[N_Kateg]]="interné práce",TableCosts[[#This Row],[N_Amount]]*8*PAR_SGA_PERHOUR,0),0)</f>
        <v>0</v>
      </c>
      <c r="AV426" s="17">
        <f>SUM(TableCosts[[#This Row],[N_Direct]:[N_SGA]])</f>
        <v>0</v>
      </c>
      <c r="AW426" s="7">
        <f>IF(F426=1,IF(D426="",NA(),VLOOKUP(C426&amp;TableCosts[[#This Row],[Calc_N_Typ]],TRAN_STRITEMS_LABEL,7,0)),0)</f>
        <v>0</v>
      </c>
      <c r="AX426" s="7">
        <f t="shared" si="81"/>
        <v>0</v>
      </c>
      <c r="AY426" s="57" t="str">
        <f t="shared" si="82"/>
        <v/>
      </c>
      <c r="AZ426" s="57" t="str">
        <f t="shared" si="83"/>
        <v/>
      </c>
      <c r="BA426" s="57" t="str">
        <f>IF(F426=1,IF(TableCosts[[#This Row],[TransferFrom]]=TableCosts[[#This Row],[TranferTo]],0,1),"")</f>
        <v/>
      </c>
      <c r="BB426" s="7">
        <f t="shared" si="84"/>
        <v>0</v>
      </c>
      <c r="BC426" s="7">
        <f t="shared" si="85"/>
        <v>0</v>
      </c>
    </row>
    <row r="427" spans="2:55" s="7" customFormat="1" ht="12.75" x14ac:dyDescent="0.2">
      <c r="B427" s="33"/>
      <c r="C427" s="31"/>
      <c r="D427" s="40"/>
      <c r="E427" s="6" t="str">
        <f>IF(F427=1,IF(ISERROR(TableCosts[[#This Row],[N_Tariff]]),Err_Message1,IF(TableCosts[[#This Row],[N_Tariff]]=0,Err_Message2,VLOOKUP(C427&amp;TableCosts[[#This Row],[Calc_N_Typ]],TRAN_STRITEMS_LABEL,5,FALSE))),"")</f>
        <v/>
      </c>
      <c r="F427" s="6">
        <f t="shared" si="86"/>
        <v>0</v>
      </c>
      <c r="G427" s="6" t="str">
        <f>IF(F427=1,IFERROR(VLOOKUP(E427,Tab_ErrMessage[],2,0),VLOOKUP(C427&amp;TableCosts[[#This Row],[Calc_N_Typ]],TRAN_STRITEMS_LABEL,4,FALSE)),"")</f>
        <v/>
      </c>
      <c r="H427" s="40"/>
      <c r="I427" s="40"/>
      <c r="J427" s="35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  <c r="AD427" s="24"/>
      <c r="AE427" s="24"/>
      <c r="AF427" s="24"/>
      <c r="AG427" s="24"/>
      <c r="AH427" s="24"/>
      <c r="AI427" s="24"/>
      <c r="AJ427" s="24"/>
      <c r="AK427" s="38">
        <f t="array" ref="AK427">IF(F427=1,SUM((ROW(M0)=ROW(AK427))*(M0+M1_+M2_+M3_+M4_+M5_+M6_+M7_+M8_+M9_+M10_+M11_+M12_+M13_+M14_+M15_+M16_+M17_+M18_+M19_+M20_+M21_+M22_+M23_+M24_+M25_)),0)</f>
        <v>0</v>
      </c>
      <c r="AL427" s="27">
        <f>TableCosts[[#This Row],[N_Direct]]</f>
        <v>0</v>
      </c>
      <c r="AN427" s="7" t="str">
        <f t="shared" si="75"/>
        <v/>
      </c>
      <c r="AO427" s="7" t="str">
        <f t="shared" si="78"/>
        <v/>
      </c>
      <c r="AP427" s="7" t="str">
        <f t="shared" si="76"/>
        <v/>
      </c>
      <c r="AQ427" s="7" t="str">
        <f t="shared" si="79"/>
        <v/>
      </c>
      <c r="AR427" s="7" t="str">
        <f t="shared" si="77"/>
        <v/>
      </c>
      <c r="AS427" s="7">
        <f t="shared" si="80"/>
        <v>0</v>
      </c>
      <c r="AT427" s="17">
        <f>TableCosts[[#This Row],[N_Amount]]*TableCosts[[#This Row],[N_Tariff]]*TableCosts[[#This Row],[N_ItemsCount]]</f>
        <v>0</v>
      </c>
      <c r="AU427" s="17">
        <f>IF(F427=1,IF(TableCosts[[#This Row],[N_Kateg]]="interné práce",TableCosts[[#This Row],[N_Amount]]*8*PAR_SGA_PERHOUR,0),0)</f>
        <v>0</v>
      </c>
      <c r="AV427" s="17">
        <f>SUM(TableCosts[[#This Row],[N_Direct]:[N_SGA]])</f>
        <v>0</v>
      </c>
      <c r="AW427" s="7">
        <f>IF(F427=1,IF(D427="",NA(),VLOOKUP(C427&amp;TableCosts[[#This Row],[Calc_N_Typ]],TRAN_STRITEMS_LABEL,7,0)),0)</f>
        <v>0</v>
      </c>
      <c r="AX427" s="7">
        <f t="shared" si="81"/>
        <v>0</v>
      </c>
      <c r="AY427" s="57" t="str">
        <f t="shared" si="82"/>
        <v/>
      </c>
      <c r="AZ427" s="57" t="str">
        <f t="shared" si="83"/>
        <v/>
      </c>
      <c r="BA427" s="57" t="str">
        <f>IF(F427=1,IF(TableCosts[[#This Row],[TransferFrom]]=TableCosts[[#This Row],[TranferTo]],0,1),"")</f>
        <v/>
      </c>
      <c r="BB427" s="7">
        <f t="shared" si="84"/>
        <v>0</v>
      </c>
      <c r="BC427" s="7">
        <f t="shared" si="85"/>
        <v>0</v>
      </c>
    </row>
    <row r="428" spans="2:55" s="7" customFormat="1" ht="12.75" x14ac:dyDescent="0.2">
      <c r="B428" s="33"/>
      <c r="C428" s="31"/>
      <c r="D428" s="40"/>
      <c r="E428" s="6" t="str">
        <f>IF(F428=1,IF(ISERROR(TableCosts[[#This Row],[N_Tariff]]),Err_Message1,IF(TableCosts[[#This Row],[N_Tariff]]=0,Err_Message2,VLOOKUP(C428&amp;TableCosts[[#This Row],[Calc_N_Typ]],TRAN_STRITEMS_LABEL,5,FALSE))),"")</f>
        <v/>
      </c>
      <c r="F428" s="6">
        <f t="shared" si="86"/>
        <v>0</v>
      </c>
      <c r="G428" s="6" t="str">
        <f>IF(F428=1,IFERROR(VLOOKUP(E428,Tab_ErrMessage[],2,0),VLOOKUP(C428&amp;TableCosts[[#This Row],[Calc_N_Typ]],TRAN_STRITEMS_LABEL,4,FALSE)),"")</f>
        <v/>
      </c>
      <c r="H428" s="40"/>
      <c r="I428" s="40"/>
      <c r="J428" s="35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  <c r="AD428" s="24"/>
      <c r="AE428" s="24"/>
      <c r="AF428" s="24"/>
      <c r="AG428" s="24"/>
      <c r="AH428" s="24"/>
      <c r="AI428" s="24"/>
      <c r="AJ428" s="24"/>
      <c r="AK428" s="38">
        <f t="array" ref="AK428">IF(F428=1,SUM((ROW(M0)=ROW(AK428))*(M0+M1_+M2_+M3_+M4_+M5_+M6_+M7_+M8_+M9_+M10_+M11_+M12_+M13_+M14_+M15_+M16_+M17_+M18_+M19_+M20_+M21_+M22_+M23_+M24_+M25_)),0)</f>
        <v>0</v>
      </c>
      <c r="AL428" s="27">
        <f>TableCosts[[#This Row],[N_Direct]]</f>
        <v>0</v>
      </c>
      <c r="AN428" s="7" t="str">
        <f t="shared" si="75"/>
        <v/>
      </c>
      <c r="AO428" s="7" t="str">
        <f t="shared" si="78"/>
        <v/>
      </c>
      <c r="AP428" s="7" t="str">
        <f t="shared" si="76"/>
        <v/>
      </c>
      <c r="AQ428" s="7" t="str">
        <f t="shared" si="79"/>
        <v/>
      </c>
      <c r="AR428" s="7" t="str">
        <f t="shared" si="77"/>
        <v/>
      </c>
      <c r="AS428" s="7">
        <f t="shared" si="80"/>
        <v>0</v>
      </c>
      <c r="AT428" s="17">
        <f>TableCosts[[#This Row],[N_Amount]]*TableCosts[[#This Row],[N_Tariff]]*TableCosts[[#This Row],[N_ItemsCount]]</f>
        <v>0</v>
      </c>
      <c r="AU428" s="17">
        <f>IF(F428=1,IF(TableCosts[[#This Row],[N_Kateg]]="interné práce",TableCosts[[#This Row],[N_Amount]]*8*PAR_SGA_PERHOUR,0),0)</f>
        <v>0</v>
      </c>
      <c r="AV428" s="17">
        <f>SUM(TableCosts[[#This Row],[N_Direct]:[N_SGA]])</f>
        <v>0</v>
      </c>
      <c r="AW428" s="7">
        <f>IF(F428=1,IF(D428="",NA(),VLOOKUP(C428&amp;TableCosts[[#This Row],[Calc_N_Typ]],TRAN_STRITEMS_LABEL,7,0)),0)</f>
        <v>0</v>
      </c>
      <c r="AX428" s="7">
        <f t="shared" si="81"/>
        <v>0</v>
      </c>
      <c r="AY428" s="57" t="str">
        <f t="shared" si="82"/>
        <v/>
      </c>
      <c r="AZ428" s="57" t="str">
        <f t="shared" si="83"/>
        <v/>
      </c>
      <c r="BA428" s="57" t="str">
        <f>IF(F428=1,IF(TableCosts[[#This Row],[TransferFrom]]=TableCosts[[#This Row],[TranferTo]],0,1),"")</f>
        <v/>
      </c>
      <c r="BB428" s="7">
        <f t="shared" si="84"/>
        <v>0</v>
      </c>
      <c r="BC428" s="7">
        <f t="shared" si="85"/>
        <v>0</v>
      </c>
    </row>
    <row r="429" spans="2:55" s="7" customFormat="1" ht="12.75" x14ac:dyDescent="0.2">
      <c r="B429" s="33"/>
      <c r="C429" s="31"/>
      <c r="D429" s="40"/>
      <c r="E429" s="6" t="str">
        <f>IF(F429=1,IF(ISERROR(TableCosts[[#This Row],[N_Tariff]]),Err_Message1,IF(TableCosts[[#This Row],[N_Tariff]]=0,Err_Message2,VLOOKUP(C429&amp;TableCosts[[#This Row],[Calc_N_Typ]],TRAN_STRITEMS_LABEL,5,FALSE))),"")</f>
        <v/>
      </c>
      <c r="F429" s="6">
        <f t="shared" si="86"/>
        <v>0</v>
      </c>
      <c r="G429" s="6" t="str">
        <f>IF(F429=1,IFERROR(VLOOKUP(E429,Tab_ErrMessage[],2,0),VLOOKUP(C429&amp;TableCosts[[#This Row],[Calc_N_Typ]],TRAN_STRITEMS_LABEL,4,FALSE)),"")</f>
        <v/>
      </c>
      <c r="H429" s="40"/>
      <c r="I429" s="40"/>
      <c r="J429" s="35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  <c r="AD429" s="24"/>
      <c r="AE429" s="24"/>
      <c r="AF429" s="24"/>
      <c r="AG429" s="24"/>
      <c r="AH429" s="24"/>
      <c r="AI429" s="24"/>
      <c r="AJ429" s="24"/>
      <c r="AK429" s="38">
        <f t="array" ref="AK429">IF(F429=1,SUM((ROW(M0)=ROW(AK429))*(M0+M1_+M2_+M3_+M4_+M5_+M6_+M7_+M8_+M9_+M10_+M11_+M12_+M13_+M14_+M15_+M16_+M17_+M18_+M19_+M20_+M21_+M22_+M23_+M24_+M25_)),0)</f>
        <v>0</v>
      </c>
      <c r="AL429" s="27">
        <f>TableCosts[[#This Row],[N_Direct]]</f>
        <v>0</v>
      </c>
      <c r="AN429" s="7" t="str">
        <f t="shared" si="75"/>
        <v/>
      </c>
      <c r="AO429" s="7" t="str">
        <f t="shared" si="78"/>
        <v/>
      </c>
      <c r="AP429" s="7" t="str">
        <f t="shared" si="76"/>
        <v/>
      </c>
      <c r="AQ429" s="7" t="str">
        <f t="shared" si="79"/>
        <v/>
      </c>
      <c r="AR429" s="7" t="str">
        <f t="shared" si="77"/>
        <v/>
      </c>
      <c r="AS429" s="7">
        <f t="shared" si="80"/>
        <v>0</v>
      </c>
      <c r="AT429" s="17">
        <f>TableCosts[[#This Row],[N_Amount]]*TableCosts[[#This Row],[N_Tariff]]*TableCosts[[#This Row],[N_ItemsCount]]</f>
        <v>0</v>
      </c>
      <c r="AU429" s="17">
        <f>IF(F429=1,IF(TableCosts[[#This Row],[N_Kateg]]="interné práce",TableCosts[[#This Row],[N_Amount]]*8*PAR_SGA_PERHOUR,0),0)</f>
        <v>0</v>
      </c>
      <c r="AV429" s="17">
        <f>SUM(TableCosts[[#This Row],[N_Direct]:[N_SGA]])</f>
        <v>0</v>
      </c>
      <c r="AW429" s="7">
        <f>IF(F429=1,IF(D429="",NA(),VLOOKUP(C429&amp;TableCosts[[#This Row],[Calc_N_Typ]],TRAN_STRITEMS_LABEL,7,0)),0)</f>
        <v>0</v>
      </c>
      <c r="AX429" s="7">
        <f t="shared" si="81"/>
        <v>0</v>
      </c>
      <c r="AY429" s="57" t="str">
        <f t="shared" si="82"/>
        <v/>
      </c>
      <c r="AZ429" s="57" t="str">
        <f t="shared" si="83"/>
        <v/>
      </c>
      <c r="BA429" s="57" t="str">
        <f>IF(F429=1,IF(TableCosts[[#This Row],[TransferFrom]]=TableCosts[[#This Row],[TranferTo]],0,1),"")</f>
        <v/>
      </c>
      <c r="BB429" s="7">
        <f t="shared" si="84"/>
        <v>0</v>
      </c>
      <c r="BC429" s="7">
        <f t="shared" si="85"/>
        <v>0</v>
      </c>
    </row>
    <row r="430" spans="2:55" s="7" customFormat="1" ht="12.75" x14ac:dyDescent="0.2">
      <c r="B430" s="33"/>
      <c r="C430" s="31"/>
      <c r="D430" s="40"/>
      <c r="E430" s="6" t="str">
        <f>IF(F430=1,IF(ISERROR(TableCosts[[#This Row],[N_Tariff]]),Err_Message1,IF(TableCosts[[#This Row],[N_Tariff]]=0,Err_Message2,VLOOKUP(C430&amp;TableCosts[[#This Row],[Calc_N_Typ]],TRAN_STRITEMS_LABEL,5,FALSE))),"")</f>
        <v/>
      </c>
      <c r="F430" s="6">
        <f t="shared" si="86"/>
        <v>0</v>
      </c>
      <c r="G430" s="6" t="str">
        <f>IF(F430=1,IFERROR(VLOOKUP(E430,Tab_ErrMessage[],2,0),VLOOKUP(C430&amp;TableCosts[[#This Row],[Calc_N_Typ]],TRAN_STRITEMS_LABEL,4,FALSE)),"")</f>
        <v/>
      </c>
      <c r="H430" s="40"/>
      <c r="I430" s="40"/>
      <c r="J430" s="35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  <c r="AD430" s="24"/>
      <c r="AE430" s="24"/>
      <c r="AF430" s="24"/>
      <c r="AG430" s="24"/>
      <c r="AH430" s="24"/>
      <c r="AI430" s="24"/>
      <c r="AJ430" s="24"/>
      <c r="AK430" s="38">
        <f t="array" ref="AK430">IF(F430=1,SUM((ROW(M0)=ROW(AK430))*(M0+M1_+M2_+M3_+M4_+M5_+M6_+M7_+M8_+M9_+M10_+M11_+M12_+M13_+M14_+M15_+M16_+M17_+M18_+M19_+M20_+M21_+M22_+M23_+M24_+M25_)),0)</f>
        <v>0</v>
      </c>
      <c r="AL430" s="27">
        <f>TableCosts[[#This Row],[N_Direct]]</f>
        <v>0</v>
      </c>
      <c r="AN430" s="7" t="str">
        <f t="shared" si="75"/>
        <v/>
      </c>
      <c r="AO430" s="7" t="str">
        <f t="shared" si="78"/>
        <v/>
      </c>
      <c r="AP430" s="7" t="str">
        <f t="shared" si="76"/>
        <v/>
      </c>
      <c r="AQ430" s="7" t="str">
        <f t="shared" si="79"/>
        <v/>
      </c>
      <c r="AR430" s="7" t="str">
        <f t="shared" si="77"/>
        <v/>
      </c>
      <c r="AS430" s="7">
        <f t="shared" si="80"/>
        <v>0</v>
      </c>
      <c r="AT430" s="17">
        <f>TableCosts[[#This Row],[N_Amount]]*TableCosts[[#This Row],[N_Tariff]]*TableCosts[[#This Row],[N_ItemsCount]]</f>
        <v>0</v>
      </c>
      <c r="AU430" s="17">
        <f>IF(F430=1,IF(TableCosts[[#This Row],[N_Kateg]]="interné práce",TableCosts[[#This Row],[N_Amount]]*8*PAR_SGA_PERHOUR,0),0)</f>
        <v>0</v>
      </c>
      <c r="AV430" s="17">
        <f>SUM(TableCosts[[#This Row],[N_Direct]:[N_SGA]])</f>
        <v>0</v>
      </c>
      <c r="AW430" s="7">
        <f>IF(F430=1,IF(D430="",NA(),VLOOKUP(C430&amp;TableCosts[[#This Row],[Calc_N_Typ]],TRAN_STRITEMS_LABEL,7,0)),0)</f>
        <v>0</v>
      </c>
      <c r="AX430" s="7">
        <f t="shared" si="81"/>
        <v>0</v>
      </c>
      <c r="AY430" s="57" t="str">
        <f t="shared" si="82"/>
        <v/>
      </c>
      <c r="AZ430" s="57" t="str">
        <f t="shared" si="83"/>
        <v/>
      </c>
      <c r="BA430" s="57" t="str">
        <f>IF(F430=1,IF(TableCosts[[#This Row],[TransferFrom]]=TableCosts[[#This Row],[TranferTo]],0,1),"")</f>
        <v/>
      </c>
      <c r="BB430" s="7">
        <f t="shared" si="84"/>
        <v>0</v>
      </c>
      <c r="BC430" s="7">
        <f t="shared" si="85"/>
        <v>0</v>
      </c>
    </row>
    <row r="431" spans="2:55" s="7" customFormat="1" ht="12.75" x14ac:dyDescent="0.2">
      <c r="B431" s="33"/>
      <c r="C431" s="31"/>
      <c r="D431" s="40"/>
      <c r="E431" s="6" t="str">
        <f>IF(F431=1,IF(ISERROR(TableCosts[[#This Row],[N_Tariff]]),Err_Message1,IF(TableCosts[[#This Row],[N_Tariff]]=0,Err_Message2,VLOOKUP(C431&amp;TableCosts[[#This Row],[Calc_N_Typ]],TRAN_STRITEMS_LABEL,5,FALSE))),"")</f>
        <v/>
      </c>
      <c r="F431" s="6">
        <f t="shared" si="86"/>
        <v>0</v>
      </c>
      <c r="G431" s="6" t="str">
        <f>IF(F431=1,IFERROR(VLOOKUP(E431,Tab_ErrMessage[],2,0),VLOOKUP(C431&amp;TableCosts[[#This Row],[Calc_N_Typ]],TRAN_STRITEMS_LABEL,4,FALSE)),"")</f>
        <v/>
      </c>
      <c r="H431" s="40"/>
      <c r="I431" s="40"/>
      <c r="J431" s="35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  <c r="AD431" s="24"/>
      <c r="AE431" s="24"/>
      <c r="AF431" s="24"/>
      <c r="AG431" s="24"/>
      <c r="AH431" s="24"/>
      <c r="AI431" s="24"/>
      <c r="AJ431" s="24"/>
      <c r="AK431" s="38">
        <f t="array" ref="AK431">IF(F431=1,SUM((ROW(M0)=ROW(AK431))*(M0+M1_+M2_+M3_+M4_+M5_+M6_+M7_+M8_+M9_+M10_+M11_+M12_+M13_+M14_+M15_+M16_+M17_+M18_+M19_+M20_+M21_+M22_+M23_+M24_+M25_)),0)</f>
        <v>0</v>
      </c>
      <c r="AL431" s="27">
        <f>TableCosts[[#This Row],[N_Direct]]</f>
        <v>0</v>
      </c>
      <c r="AN431" s="7" t="str">
        <f t="shared" si="75"/>
        <v/>
      </c>
      <c r="AO431" s="7" t="str">
        <f t="shared" si="78"/>
        <v/>
      </c>
      <c r="AP431" s="7" t="str">
        <f t="shared" si="76"/>
        <v/>
      </c>
      <c r="AQ431" s="7" t="str">
        <f t="shared" si="79"/>
        <v/>
      </c>
      <c r="AR431" s="7" t="str">
        <f t="shared" si="77"/>
        <v/>
      </c>
      <c r="AS431" s="7">
        <f t="shared" si="80"/>
        <v>0</v>
      </c>
      <c r="AT431" s="17">
        <f>TableCosts[[#This Row],[N_Amount]]*TableCosts[[#This Row],[N_Tariff]]*TableCosts[[#This Row],[N_ItemsCount]]</f>
        <v>0</v>
      </c>
      <c r="AU431" s="17">
        <f>IF(F431=1,IF(TableCosts[[#This Row],[N_Kateg]]="interné práce",TableCosts[[#This Row],[N_Amount]]*8*PAR_SGA_PERHOUR,0),0)</f>
        <v>0</v>
      </c>
      <c r="AV431" s="17">
        <f>SUM(TableCosts[[#This Row],[N_Direct]:[N_SGA]])</f>
        <v>0</v>
      </c>
      <c r="AW431" s="7">
        <f>IF(F431=1,IF(D431="",NA(),VLOOKUP(C431&amp;TableCosts[[#This Row],[Calc_N_Typ]],TRAN_STRITEMS_LABEL,7,0)),0)</f>
        <v>0</v>
      </c>
      <c r="AX431" s="7">
        <f t="shared" si="81"/>
        <v>0</v>
      </c>
      <c r="AY431" s="57" t="str">
        <f t="shared" si="82"/>
        <v/>
      </c>
      <c r="AZ431" s="57" t="str">
        <f t="shared" si="83"/>
        <v/>
      </c>
      <c r="BA431" s="57" t="str">
        <f>IF(F431=1,IF(TableCosts[[#This Row],[TransferFrom]]=TableCosts[[#This Row],[TranferTo]],0,1),"")</f>
        <v/>
      </c>
      <c r="BB431" s="7">
        <f t="shared" si="84"/>
        <v>0</v>
      </c>
      <c r="BC431" s="7">
        <f t="shared" si="85"/>
        <v>0</v>
      </c>
    </row>
    <row r="432" spans="2:55" s="7" customFormat="1" ht="12.75" x14ac:dyDescent="0.2">
      <c r="B432" s="33"/>
      <c r="C432" s="31"/>
      <c r="D432" s="40"/>
      <c r="E432" s="6" t="str">
        <f>IF(F432=1,IF(ISERROR(TableCosts[[#This Row],[N_Tariff]]),Err_Message1,IF(TableCosts[[#This Row],[N_Tariff]]=0,Err_Message2,VLOOKUP(C432&amp;TableCosts[[#This Row],[Calc_N_Typ]],TRAN_STRITEMS_LABEL,5,FALSE))),"")</f>
        <v/>
      </c>
      <c r="F432" s="6">
        <f t="shared" si="86"/>
        <v>0</v>
      </c>
      <c r="G432" s="6" t="str">
        <f>IF(F432=1,IFERROR(VLOOKUP(E432,Tab_ErrMessage[],2,0),VLOOKUP(C432&amp;TableCosts[[#This Row],[Calc_N_Typ]],TRAN_STRITEMS_LABEL,4,FALSE)),"")</f>
        <v/>
      </c>
      <c r="H432" s="40"/>
      <c r="I432" s="40"/>
      <c r="J432" s="35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  <c r="AD432" s="24"/>
      <c r="AE432" s="24"/>
      <c r="AF432" s="24"/>
      <c r="AG432" s="24"/>
      <c r="AH432" s="24"/>
      <c r="AI432" s="24"/>
      <c r="AJ432" s="24"/>
      <c r="AK432" s="38">
        <f t="array" ref="AK432">IF(F432=1,SUM((ROW(M0)=ROW(AK432))*(M0+M1_+M2_+M3_+M4_+M5_+M6_+M7_+M8_+M9_+M10_+M11_+M12_+M13_+M14_+M15_+M16_+M17_+M18_+M19_+M20_+M21_+M22_+M23_+M24_+M25_)),0)</f>
        <v>0</v>
      </c>
      <c r="AL432" s="27">
        <f>TableCosts[[#This Row],[N_Direct]]</f>
        <v>0</v>
      </c>
      <c r="AN432" s="7" t="str">
        <f t="shared" si="75"/>
        <v/>
      </c>
      <c r="AO432" s="7" t="str">
        <f t="shared" si="78"/>
        <v/>
      </c>
      <c r="AP432" s="7" t="str">
        <f t="shared" si="76"/>
        <v/>
      </c>
      <c r="AQ432" s="7" t="str">
        <f t="shared" si="79"/>
        <v/>
      </c>
      <c r="AR432" s="7" t="str">
        <f t="shared" si="77"/>
        <v/>
      </c>
      <c r="AS432" s="7">
        <f t="shared" si="80"/>
        <v>0</v>
      </c>
      <c r="AT432" s="17">
        <f>TableCosts[[#This Row],[N_Amount]]*TableCosts[[#This Row],[N_Tariff]]*TableCosts[[#This Row],[N_ItemsCount]]</f>
        <v>0</v>
      </c>
      <c r="AU432" s="17">
        <f>IF(F432=1,IF(TableCosts[[#This Row],[N_Kateg]]="interné práce",TableCosts[[#This Row],[N_Amount]]*8*PAR_SGA_PERHOUR,0),0)</f>
        <v>0</v>
      </c>
      <c r="AV432" s="17">
        <f>SUM(TableCosts[[#This Row],[N_Direct]:[N_SGA]])</f>
        <v>0</v>
      </c>
      <c r="AW432" s="7">
        <f>IF(F432=1,IF(D432="",NA(),VLOOKUP(C432&amp;TableCosts[[#This Row],[Calc_N_Typ]],TRAN_STRITEMS_LABEL,7,0)),0)</f>
        <v>0</v>
      </c>
      <c r="AX432" s="7">
        <f t="shared" si="81"/>
        <v>0</v>
      </c>
      <c r="AY432" s="57" t="str">
        <f t="shared" si="82"/>
        <v/>
      </c>
      <c r="AZ432" s="57" t="str">
        <f t="shared" si="83"/>
        <v/>
      </c>
      <c r="BA432" s="57" t="str">
        <f>IF(F432=1,IF(TableCosts[[#This Row],[TransferFrom]]=TableCosts[[#This Row],[TranferTo]],0,1),"")</f>
        <v/>
      </c>
      <c r="BB432" s="7">
        <f t="shared" si="84"/>
        <v>0</v>
      </c>
      <c r="BC432" s="7">
        <f t="shared" si="85"/>
        <v>0</v>
      </c>
    </row>
    <row r="433" spans="2:55" s="7" customFormat="1" ht="12.75" x14ac:dyDescent="0.2">
      <c r="B433" s="33"/>
      <c r="C433" s="31"/>
      <c r="D433" s="40"/>
      <c r="E433" s="6" t="str">
        <f>IF(F433=1,IF(ISERROR(TableCosts[[#This Row],[N_Tariff]]),Err_Message1,IF(TableCosts[[#This Row],[N_Tariff]]=0,Err_Message2,VLOOKUP(C433&amp;TableCosts[[#This Row],[Calc_N_Typ]],TRAN_STRITEMS_LABEL,5,FALSE))),"")</f>
        <v/>
      </c>
      <c r="F433" s="6">
        <f t="shared" si="86"/>
        <v>0</v>
      </c>
      <c r="G433" s="6" t="str">
        <f>IF(F433=1,IFERROR(VLOOKUP(E433,Tab_ErrMessage[],2,0),VLOOKUP(C433&amp;TableCosts[[#This Row],[Calc_N_Typ]],TRAN_STRITEMS_LABEL,4,FALSE)),"")</f>
        <v/>
      </c>
      <c r="H433" s="40"/>
      <c r="I433" s="40"/>
      <c r="J433" s="35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  <c r="AD433" s="24"/>
      <c r="AE433" s="24"/>
      <c r="AF433" s="24"/>
      <c r="AG433" s="24"/>
      <c r="AH433" s="24"/>
      <c r="AI433" s="24"/>
      <c r="AJ433" s="24"/>
      <c r="AK433" s="38">
        <f t="array" ref="AK433">IF(F433=1,SUM((ROW(M0)=ROW(AK433))*(M0+M1_+M2_+M3_+M4_+M5_+M6_+M7_+M8_+M9_+M10_+M11_+M12_+M13_+M14_+M15_+M16_+M17_+M18_+M19_+M20_+M21_+M22_+M23_+M24_+M25_)),0)</f>
        <v>0</v>
      </c>
      <c r="AL433" s="27">
        <f>TableCosts[[#This Row],[N_Direct]]</f>
        <v>0</v>
      </c>
      <c r="AN433" s="7" t="str">
        <f t="shared" si="75"/>
        <v/>
      </c>
      <c r="AO433" s="7" t="str">
        <f t="shared" si="78"/>
        <v/>
      </c>
      <c r="AP433" s="7" t="str">
        <f t="shared" si="76"/>
        <v/>
      </c>
      <c r="AQ433" s="7" t="str">
        <f t="shared" si="79"/>
        <v/>
      </c>
      <c r="AR433" s="7" t="str">
        <f t="shared" si="77"/>
        <v/>
      </c>
      <c r="AS433" s="7">
        <f t="shared" si="80"/>
        <v>0</v>
      </c>
      <c r="AT433" s="17">
        <f>TableCosts[[#This Row],[N_Amount]]*TableCosts[[#This Row],[N_Tariff]]*TableCosts[[#This Row],[N_ItemsCount]]</f>
        <v>0</v>
      </c>
      <c r="AU433" s="17">
        <f>IF(F433=1,IF(TableCosts[[#This Row],[N_Kateg]]="interné práce",TableCosts[[#This Row],[N_Amount]]*8*PAR_SGA_PERHOUR,0),0)</f>
        <v>0</v>
      </c>
      <c r="AV433" s="17">
        <f>SUM(TableCosts[[#This Row],[N_Direct]:[N_SGA]])</f>
        <v>0</v>
      </c>
      <c r="AW433" s="7">
        <f>IF(F433=1,IF(D433="",NA(),VLOOKUP(C433&amp;TableCosts[[#This Row],[Calc_N_Typ]],TRAN_STRITEMS_LABEL,7,0)),0)</f>
        <v>0</v>
      </c>
      <c r="AX433" s="7">
        <f t="shared" si="81"/>
        <v>0</v>
      </c>
      <c r="AY433" s="57" t="str">
        <f t="shared" si="82"/>
        <v/>
      </c>
      <c r="AZ433" s="57" t="str">
        <f t="shared" si="83"/>
        <v/>
      </c>
      <c r="BA433" s="57" t="str">
        <f>IF(F433=1,IF(TableCosts[[#This Row],[TransferFrom]]=TableCosts[[#This Row],[TranferTo]],0,1),"")</f>
        <v/>
      </c>
      <c r="BB433" s="7">
        <f t="shared" si="84"/>
        <v>0</v>
      </c>
      <c r="BC433" s="7">
        <f t="shared" si="85"/>
        <v>0</v>
      </c>
    </row>
    <row r="434" spans="2:55" s="7" customFormat="1" ht="12.75" x14ac:dyDescent="0.2">
      <c r="B434" s="33"/>
      <c r="C434" s="31"/>
      <c r="D434" s="40"/>
      <c r="E434" s="6" t="str">
        <f>IF(F434=1,IF(ISERROR(TableCosts[[#This Row],[N_Tariff]]),Err_Message1,IF(TableCosts[[#This Row],[N_Tariff]]=0,Err_Message2,VLOOKUP(C434&amp;TableCosts[[#This Row],[Calc_N_Typ]],TRAN_STRITEMS_LABEL,5,FALSE))),"")</f>
        <v/>
      </c>
      <c r="F434" s="6">
        <f t="shared" si="86"/>
        <v>0</v>
      </c>
      <c r="G434" s="6" t="str">
        <f>IF(F434=1,IFERROR(VLOOKUP(E434,Tab_ErrMessage[],2,0),VLOOKUP(C434&amp;TableCosts[[#This Row],[Calc_N_Typ]],TRAN_STRITEMS_LABEL,4,FALSE)),"")</f>
        <v/>
      </c>
      <c r="H434" s="40"/>
      <c r="I434" s="40"/>
      <c r="J434" s="35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  <c r="AD434" s="24"/>
      <c r="AE434" s="24"/>
      <c r="AF434" s="24"/>
      <c r="AG434" s="24"/>
      <c r="AH434" s="24"/>
      <c r="AI434" s="24"/>
      <c r="AJ434" s="24"/>
      <c r="AK434" s="38">
        <f t="array" ref="AK434">IF(F434=1,SUM((ROW(M0)=ROW(AK434))*(M0+M1_+M2_+M3_+M4_+M5_+M6_+M7_+M8_+M9_+M10_+M11_+M12_+M13_+M14_+M15_+M16_+M17_+M18_+M19_+M20_+M21_+M22_+M23_+M24_+M25_)),0)</f>
        <v>0</v>
      </c>
      <c r="AL434" s="27">
        <f>TableCosts[[#This Row],[N_Direct]]</f>
        <v>0</v>
      </c>
      <c r="AN434" s="7" t="str">
        <f t="shared" si="75"/>
        <v/>
      </c>
      <c r="AO434" s="7" t="str">
        <f t="shared" si="78"/>
        <v/>
      </c>
      <c r="AP434" s="7" t="str">
        <f t="shared" si="76"/>
        <v/>
      </c>
      <c r="AQ434" s="7" t="str">
        <f t="shared" si="79"/>
        <v/>
      </c>
      <c r="AR434" s="7" t="str">
        <f t="shared" si="77"/>
        <v/>
      </c>
      <c r="AS434" s="7">
        <f t="shared" si="80"/>
        <v>0</v>
      </c>
      <c r="AT434" s="17">
        <f>TableCosts[[#This Row],[N_Amount]]*TableCosts[[#This Row],[N_Tariff]]*TableCosts[[#This Row],[N_ItemsCount]]</f>
        <v>0</v>
      </c>
      <c r="AU434" s="17">
        <f>IF(F434=1,IF(TableCosts[[#This Row],[N_Kateg]]="interné práce",TableCosts[[#This Row],[N_Amount]]*8*PAR_SGA_PERHOUR,0),0)</f>
        <v>0</v>
      </c>
      <c r="AV434" s="17">
        <f>SUM(TableCosts[[#This Row],[N_Direct]:[N_SGA]])</f>
        <v>0</v>
      </c>
      <c r="AW434" s="7">
        <f>IF(F434=1,IF(D434="",NA(),VLOOKUP(C434&amp;TableCosts[[#This Row],[Calc_N_Typ]],TRAN_STRITEMS_LABEL,7,0)),0)</f>
        <v>0</v>
      </c>
      <c r="AX434" s="7">
        <f t="shared" si="81"/>
        <v>0</v>
      </c>
      <c r="AY434" s="57" t="str">
        <f t="shared" si="82"/>
        <v/>
      </c>
      <c r="AZ434" s="57" t="str">
        <f t="shared" si="83"/>
        <v/>
      </c>
      <c r="BA434" s="57" t="str">
        <f>IF(F434=1,IF(TableCosts[[#This Row],[TransferFrom]]=TableCosts[[#This Row],[TranferTo]],0,1),"")</f>
        <v/>
      </c>
      <c r="BB434" s="7">
        <f t="shared" si="84"/>
        <v>0</v>
      </c>
      <c r="BC434" s="7">
        <f t="shared" si="85"/>
        <v>0</v>
      </c>
    </row>
    <row r="435" spans="2:55" s="7" customFormat="1" ht="12.75" x14ac:dyDescent="0.2">
      <c r="B435" s="33"/>
      <c r="C435" s="31"/>
      <c r="D435" s="40"/>
      <c r="E435" s="6" t="str">
        <f>IF(F435=1,IF(ISERROR(TableCosts[[#This Row],[N_Tariff]]),Err_Message1,IF(TableCosts[[#This Row],[N_Tariff]]=0,Err_Message2,VLOOKUP(C435&amp;TableCosts[[#This Row],[Calc_N_Typ]],TRAN_STRITEMS_LABEL,5,FALSE))),"")</f>
        <v/>
      </c>
      <c r="F435" s="6">
        <f t="shared" si="86"/>
        <v>0</v>
      </c>
      <c r="G435" s="6" t="str">
        <f>IF(F435=1,IFERROR(VLOOKUP(E435,Tab_ErrMessage[],2,0),VLOOKUP(C435&amp;TableCosts[[#This Row],[Calc_N_Typ]],TRAN_STRITEMS_LABEL,4,FALSE)),"")</f>
        <v/>
      </c>
      <c r="H435" s="40"/>
      <c r="I435" s="40"/>
      <c r="J435" s="35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  <c r="AD435" s="24"/>
      <c r="AE435" s="24"/>
      <c r="AF435" s="24"/>
      <c r="AG435" s="24"/>
      <c r="AH435" s="24"/>
      <c r="AI435" s="24"/>
      <c r="AJ435" s="24"/>
      <c r="AK435" s="38">
        <f t="array" ref="AK435">IF(F435=1,SUM((ROW(M0)=ROW(AK435))*(M0+M1_+M2_+M3_+M4_+M5_+M6_+M7_+M8_+M9_+M10_+M11_+M12_+M13_+M14_+M15_+M16_+M17_+M18_+M19_+M20_+M21_+M22_+M23_+M24_+M25_)),0)</f>
        <v>0</v>
      </c>
      <c r="AL435" s="27">
        <f>TableCosts[[#This Row],[N_Direct]]</f>
        <v>0</v>
      </c>
      <c r="AN435" s="7" t="str">
        <f t="shared" si="75"/>
        <v/>
      </c>
      <c r="AO435" s="7" t="str">
        <f t="shared" si="78"/>
        <v/>
      </c>
      <c r="AP435" s="7" t="str">
        <f t="shared" si="76"/>
        <v/>
      </c>
      <c r="AQ435" s="7" t="str">
        <f t="shared" si="79"/>
        <v/>
      </c>
      <c r="AR435" s="7" t="str">
        <f t="shared" si="77"/>
        <v/>
      </c>
      <c r="AS435" s="7">
        <f t="shared" si="80"/>
        <v>0</v>
      </c>
      <c r="AT435" s="17">
        <f>TableCosts[[#This Row],[N_Amount]]*TableCosts[[#This Row],[N_Tariff]]*TableCosts[[#This Row],[N_ItemsCount]]</f>
        <v>0</v>
      </c>
      <c r="AU435" s="17">
        <f>IF(F435=1,IF(TableCosts[[#This Row],[N_Kateg]]="interné práce",TableCosts[[#This Row],[N_Amount]]*8*PAR_SGA_PERHOUR,0),0)</f>
        <v>0</v>
      </c>
      <c r="AV435" s="17">
        <f>SUM(TableCosts[[#This Row],[N_Direct]:[N_SGA]])</f>
        <v>0</v>
      </c>
      <c r="AW435" s="7">
        <f>IF(F435=1,IF(D435="",NA(),VLOOKUP(C435&amp;TableCosts[[#This Row],[Calc_N_Typ]],TRAN_STRITEMS_LABEL,7,0)),0)</f>
        <v>0</v>
      </c>
      <c r="AX435" s="7">
        <f t="shared" si="81"/>
        <v>0</v>
      </c>
      <c r="AY435" s="57" t="str">
        <f t="shared" si="82"/>
        <v/>
      </c>
      <c r="AZ435" s="57" t="str">
        <f t="shared" si="83"/>
        <v/>
      </c>
      <c r="BA435" s="57" t="str">
        <f>IF(F435=1,IF(TableCosts[[#This Row],[TransferFrom]]=TableCosts[[#This Row],[TranferTo]],0,1),"")</f>
        <v/>
      </c>
      <c r="BB435" s="7">
        <f t="shared" si="84"/>
        <v>0</v>
      </c>
      <c r="BC435" s="7">
        <f t="shared" si="85"/>
        <v>0</v>
      </c>
    </row>
    <row r="436" spans="2:55" s="7" customFormat="1" ht="12.75" x14ac:dyDescent="0.2">
      <c r="B436" s="33"/>
      <c r="C436" s="31"/>
      <c r="D436" s="40"/>
      <c r="E436" s="6" t="str">
        <f>IF(F436=1,IF(ISERROR(TableCosts[[#This Row],[N_Tariff]]),Err_Message1,IF(TableCosts[[#This Row],[N_Tariff]]=0,Err_Message2,VLOOKUP(C436&amp;TableCosts[[#This Row],[Calc_N_Typ]],TRAN_STRITEMS_LABEL,5,FALSE))),"")</f>
        <v/>
      </c>
      <c r="F436" s="6">
        <f t="shared" si="86"/>
        <v>0</v>
      </c>
      <c r="G436" s="6" t="str">
        <f>IF(F436=1,IFERROR(VLOOKUP(E436,Tab_ErrMessage[],2,0),VLOOKUP(C436&amp;TableCosts[[#This Row],[Calc_N_Typ]],TRAN_STRITEMS_LABEL,4,FALSE)),"")</f>
        <v/>
      </c>
      <c r="H436" s="40"/>
      <c r="I436" s="40"/>
      <c r="J436" s="35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  <c r="AD436" s="24"/>
      <c r="AE436" s="24"/>
      <c r="AF436" s="24"/>
      <c r="AG436" s="24"/>
      <c r="AH436" s="24"/>
      <c r="AI436" s="24"/>
      <c r="AJ436" s="24"/>
      <c r="AK436" s="38">
        <f t="array" ref="AK436">IF(F436=1,SUM((ROW(M0)=ROW(AK436))*(M0+M1_+M2_+M3_+M4_+M5_+M6_+M7_+M8_+M9_+M10_+M11_+M12_+M13_+M14_+M15_+M16_+M17_+M18_+M19_+M20_+M21_+M22_+M23_+M24_+M25_)),0)</f>
        <v>0</v>
      </c>
      <c r="AL436" s="27">
        <f>TableCosts[[#This Row],[N_Direct]]</f>
        <v>0</v>
      </c>
      <c r="AN436" s="7" t="str">
        <f t="shared" si="75"/>
        <v/>
      </c>
      <c r="AO436" s="7" t="str">
        <f t="shared" si="78"/>
        <v/>
      </c>
      <c r="AP436" s="7" t="str">
        <f t="shared" si="76"/>
        <v/>
      </c>
      <c r="AQ436" s="7" t="str">
        <f t="shared" si="79"/>
        <v/>
      </c>
      <c r="AR436" s="7" t="str">
        <f t="shared" si="77"/>
        <v/>
      </c>
      <c r="AS436" s="7">
        <f t="shared" si="80"/>
        <v>0</v>
      </c>
      <c r="AT436" s="17">
        <f>TableCosts[[#This Row],[N_Amount]]*TableCosts[[#This Row],[N_Tariff]]*TableCosts[[#This Row],[N_ItemsCount]]</f>
        <v>0</v>
      </c>
      <c r="AU436" s="17">
        <f>IF(F436=1,IF(TableCosts[[#This Row],[N_Kateg]]="interné práce",TableCosts[[#This Row],[N_Amount]]*8*PAR_SGA_PERHOUR,0),0)</f>
        <v>0</v>
      </c>
      <c r="AV436" s="17">
        <f>SUM(TableCosts[[#This Row],[N_Direct]:[N_SGA]])</f>
        <v>0</v>
      </c>
      <c r="AW436" s="7">
        <f>IF(F436=1,IF(D436="",NA(),VLOOKUP(C436&amp;TableCosts[[#This Row],[Calc_N_Typ]],TRAN_STRITEMS_LABEL,7,0)),0)</f>
        <v>0</v>
      </c>
      <c r="AX436" s="7">
        <f t="shared" si="81"/>
        <v>0</v>
      </c>
      <c r="AY436" s="57" t="str">
        <f t="shared" si="82"/>
        <v/>
      </c>
      <c r="AZ436" s="57" t="str">
        <f t="shared" si="83"/>
        <v/>
      </c>
      <c r="BA436" s="57" t="str">
        <f>IF(F436=1,IF(TableCosts[[#This Row],[TransferFrom]]=TableCosts[[#This Row],[TranferTo]],0,1),"")</f>
        <v/>
      </c>
      <c r="BB436" s="7">
        <f t="shared" si="84"/>
        <v>0</v>
      </c>
      <c r="BC436" s="7">
        <f t="shared" si="85"/>
        <v>0</v>
      </c>
    </row>
    <row r="437" spans="2:55" s="7" customFormat="1" ht="12.75" x14ac:dyDescent="0.2">
      <c r="B437" s="33"/>
      <c r="C437" s="31"/>
      <c r="D437" s="40"/>
      <c r="E437" s="6" t="str">
        <f>IF(F437=1,IF(ISERROR(TableCosts[[#This Row],[N_Tariff]]),Err_Message1,IF(TableCosts[[#This Row],[N_Tariff]]=0,Err_Message2,VLOOKUP(C437&amp;TableCosts[[#This Row],[Calc_N_Typ]],TRAN_STRITEMS_LABEL,5,FALSE))),"")</f>
        <v/>
      </c>
      <c r="F437" s="6">
        <f t="shared" si="86"/>
        <v>0</v>
      </c>
      <c r="G437" s="6" t="str">
        <f>IF(F437=1,IFERROR(VLOOKUP(E437,Tab_ErrMessage[],2,0),VLOOKUP(C437&amp;TableCosts[[#This Row],[Calc_N_Typ]],TRAN_STRITEMS_LABEL,4,FALSE)),"")</f>
        <v/>
      </c>
      <c r="H437" s="40"/>
      <c r="I437" s="40"/>
      <c r="J437" s="35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  <c r="AD437" s="24"/>
      <c r="AE437" s="24"/>
      <c r="AF437" s="24"/>
      <c r="AG437" s="24"/>
      <c r="AH437" s="24"/>
      <c r="AI437" s="24"/>
      <c r="AJ437" s="24"/>
      <c r="AK437" s="38">
        <f t="array" ref="AK437">IF(F437=1,SUM((ROW(M0)=ROW(AK437))*(M0+M1_+M2_+M3_+M4_+M5_+M6_+M7_+M8_+M9_+M10_+M11_+M12_+M13_+M14_+M15_+M16_+M17_+M18_+M19_+M20_+M21_+M22_+M23_+M24_+M25_)),0)</f>
        <v>0</v>
      </c>
      <c r="AL437" s="27">
        <f>TableCosts[[#This Row],[N_Direct]]</f>
        <v>0</v>
      </c>
      <c r="AN437" s="7" t="str">
        <f t="shared" si="75"/>
        <v/>
      </c>
      <c r="AO437" s="7" t="str">
        <f t="shared" si="78"/>
        <v/>
      </c>
      <c r="AP437" s="7" t="str">
        <f t="shared" si="76"/>
        <v/>
      </c>
      <c r="AQ437" s="7" t="str">
        <f t="shared" si="79"/>
        <v/>
      </c>
      <c r="AR437" s="7" t="str">
        <f t="shared" si="77"/>
        <v/>
      </c>
      <c r="AS437" s="7">
        <f t="shared" si="80"/>
        <v>0</v>
      </c>
      <c r="AT437" s="17">
        <f>TableCosts[[#This Row],[N_Amount]]*TableCosts[[#This Row],[N_Tariff]]*TableCosts[[#This Row],[N_ItemsCount]]</f>
        <v>0</v>
      </c>
      <c r="AU437" s="17">
        <f>IF(F437=1,IF(TableCosts[[#This Row],[N_Kateg]]="interné práce",TableCosts[[#This Row],[N_Amount]]*8*PAR_SGA_PERHOUR,0),0)</f>
        <v>0</v>
      </c>
      <c r="AV437" s="17">
        <f>SUM(TableCosts[[#This Row],[N_Direct]:[N_SGA]])</f>
        <v>0</v>
      </c>
      <c r="AW437" s="7">
        <f>IF(F437=1,IF(D437="",NA(),VLOOKUP(C437&amp;TableCosts[[#This Row],[Calc_N_Typ]],TRAN_STRITEMS_LABEL,7,0)),0)</f>
        <v>0</v>
      </c>
      <c r="AX437" s="7">
        <f t="shared" si="81"/>
        <v>0</v>
      </c>
      <c r="AY437" s="57" t="str">
        <f t="shared" si="82"/>
        <v/>
      </c>
      <c r="AZ437" s="57" t="str">
        <f t="shared" si="83"/>
        <v/>
      </c>
      <c r="BA437" s="57" t="str">
        <f>IF(F437=1,IF(TableCosts[[#This Row],[TransferFrom]]=TableCosts[[#This Row],[TranferTo]],0,1),"")</f>
        <v/>
      </c>
      <c r="BB437" s="7">
        <f t="shared" si="84"/>
        <v>0</v>
      </c>
      <c r="BC437" s="7">
        <f t="shared" si="85"/>
        <v>0</v>
      </c>
    </row>
    <row r="438" spans="2:55" s="7" customFormat="1" ht="12.75" x14ac:dyDescent="0.2">
      <c r="B438" s="33"/>
      <c r="C438" s="31"/>
      <c r="D438" s="40"/>
      <c r="E438" s="6" t="str">
        <f>IF(F438=1,IF(ISERROR(TableCosts[[#This Row],[N_Tariff]]),Err_Message1,IF(TableCosts[[#This Row],[N_Tariff]]=0,Err_Message2,VLOOKUP(C438&amp;TableCosts[[#This Row],[Calc_N_Typ]],TRAN_STRITEMS_LABEL,5,FALSE))),"")</f>
        <v/>
      </c>
      <c r="F438" s="6">
        <f t="shared" si="86"/>
        <v>0</v>
      </c>
      <c r="G438" s="6" t="str">
        <f>IF(F438=1,IFERROR(VLOOKUP(E438,Tab_ErrMessage[],2,0),VLOOKUP(C438&amp;TableCosts[[#This Row],[Calc_N_Typ]],TRAN_STRITEMS_LABEL,4,FALSE)),"")</f>
        <v/>
      </c>
      <c r="H438" s="40"/>
      <c r="I438" s="40"/>
      <c r="J438" s="35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  <c r="AD438" s="24"/>
      <c r="AE438" s="24"/>
      <c r="AF438" s="24"/>
      <c r="AG438" s="24"/>
      <c r="AH438" s="24"/>
      <c r="AI438" s="24"/>
      <c r="AJ438" s="24"/>
      <c r="AK438" s="38">
        <f t="array" ref="AK438">IF(F438=1,SUM((ROW(M0)=ROW(AK438))*(M0+M1_+M2_+M3_+M4_+M5_+M6_+M7_+M8_+M9_+M10_+M11_+M12_+M13_+M14_+M15_+M16_+M17_+M18_+M19_+M20_+M21_+M22_+M23_+M24_+M25_)),0)</f>
        <v>0</v>
      </c>
      <c r="AL438" s="27">
        <f>TableCosts[[#This Row],[N_Direct]]</f>
        <v>0</v>
      </c>
      <c r="AN438" s="7" t="str">
        <f t="shared" si="75"/>
        <v/>
      </c>
      <c r="AO438" s="7" t="str">
        <f t="shared" si="78"/>
        <v/>
      </c>
      <c r="AP438" s="7" t="str">
        <f t="shared" si="76"/>
        <v/>
      </c>
      <c r="AQ438" s="7" t="str">
        <f t="shared" si="79"/>
        <v/>
      </c>
      <c r="AR438" s="7" t="str">
        <f t="shared" si="77"/>
        <v/>
      </c>
      <c r="AS438" s="7">
        <f t="shared" si="80"/>
        <v>0</v>
      </c>
      <c r="AT438" s="17">
        <f>TableCosts[[#This Row],[N_Amount]]*TableCosts[[#This Row],[N_Tariff]]*TableCosts[[#This Row],[N_ItemsCount]]</f>
        <v>0</v>
      </c>
      <c r="AU438" s="17">
        <f>IF(F438=1,IF(TableCosts[[#This Row],[N_Kateg]]="interné práce",TableCosts[[#This Row],[N_Amount]]*8*PAR_SGA_PERHOUR,0),0)</f>
        <v>0</v>
      </c>
      <c r="AV438" s="17">
        <f>SUM(TableCosts[[#This Row],[N_Direct]:[N_SGA]])</f>
        <v>0</v>
      </c>
      <c r="AW438" s="7">
        <f>IF(F438=1,IF(D438="",NA(),VLOOKUP(C438&amp;TableCosts[[#This Row],[Calc_N_Typ]],TRAN_STRITEMS_LABEL,7,0)),0)</f>
        <v>0</v>
      </c>
      <c r="AX438" s="7">
        <f t="shared" si="81"/>
        <v>0</v>
      </c>
      <c r="AY438" s="57" t="str">
        <f t="shared" si="82"/>
        <v/>
      </c>
      <c r="AZ438" s="57" t="str">
        <f t="shared" si="83"/>
        <v/>
      </c>
      <c r="BA438" s="57" t="str">
        <f>IF(F438=1,IF(TableCosts[[#This Row],[TransferFrom]]=TableCosts[[#This Row],[TranferTo]],0,1),"")</f>
        <v/>
      </c>
      <c r="BB438" s="7">
        <f t="shared" si="84"/>
        <v>0</v>
      </c>
      <c r="BC438" s="7">
        <f t="shared" si="85"/>
        <v>0</v>
      </c>
    </row>
    <row r="439" spans="2:55" s="7" customFormat="1" ht="12.75" x14ac:dyDescent="0.2">
      <c r="B439" s="33"/>
      <c r="C439" s="31"/>
      <c r="D439" s="40"/>
      <c r="E439" s="6" t="str">
        <f>IF(F439=1,IF(ISERROR(TableCosts[[#This Row],[N_Tariff]]),Err_Message1,IF(TableCosts[[#This Row],[N_Tariff]]=0,Err_Message2,VLOOKUP(C439&amp;TableCosts[[#This Row],[Calc_N_Typ]],TRAN_STRITEMS_LABEL,5,FALSE))),"")</f>
        <v/>
      </c>
      <c r="F439" s="6">
        <f t="shared" si="86"/>
        <v>0</v>
      </c>
      <c r="G439" s="6" t="str">
        <f>IF(F439=1,IFERROR(VLOOKUP(E439,Tab_ErrMessage[],2,0),VLOOKUP(C439&amp;TableCosts[[#This Row],[Calc_N_Typ]],TRAN_STRITEMS_LABEL,4,FALSE)),"")</f>
        <v/>
      </c>
      <c r="H439" s="40"/>
      <c r="I439" s="40"/>
      <c r="J439" s="35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  <c r="AD439" s="24"/>
      <c r="AE439" s="24"/>
      <c r="AF439" s="24"/>
      <c r="AG439" s="24"/>
      <c r="AH439" s="24"/>
      <c r="AI439" s="24"/>
      <c r="AJ439" s="24"/>
      <c r="AK439" s="38">
        <f t="array" ref="AK439">IF(F439=1,SUM((ROW(M0)=ROW(AK439))*(M0+M1_+M2_+M3_+M4_+M5_+M6_+M7_+M8_+M9_+M10_+M11_+M12_+M13_+M14_+M15_+M16_+M17_+M18_+M19_+M20_+M21_+M22_+M23_+M24_+M25_)),0)</f>
        <v>0</v>
      </c>
      <c r="AL439" s="27">
        <f>TableCosts[[#This Row],[N_Direct]]</f>
        <v>0</v>
      </c>
      <c r="AN439" s="7" t="str">
        <f t="shared" ref="AN439:AN502" si="87">IF(F439=1,B439,"")</f>
        <v/>
      </c>
      <c r="AO439" s="7" t="str">
        <f t="shared" si="78"/>
        <v/>
      </c>
      <c r="AP439" s="7" t="str">
        <f t="shared" ref="AP439:AP502" si="88">IF(F439=1,E439,"")</f>
        <v/>
      </c>
      <c r="AQ439" s="7" t="str">
        <f t="shared" si="79"/>
        <v/>
      </c>
      <c r="AR439" s="7" t="str">
        <f t="shared" ref="AR439:AR502" si="89">IF(F439=1,G439,"")</f>
        <v/>
      </c>
      <c r="AS439" s="7">
        <f t="shared" si="80"/>
        <v>0</v>
      </c>
      <c r="AT439" s="17">
        <f>TableCosts[[#This Row],[N_Amount]]*TableCosts[[#This Row],[N_Tariff]]*TableCosts[[#This Row],[N_ItemsCount]]</f>
        <v>0</v>
      </c>
      <c r="AU439" s="17">
        <f>IF(F439=1,IF(TableCosts[[#This Row],[N_Kateg]]="interné práce",TableCosts[[#This Row],[N_Amount]]*8*PAR_SGA_PERHOUR,0),0)</f>
        <v>0</v>
      </c>
      <c r="AV439" s="17">
        <f>SUM(TableCosts[[#This Row],[N_Direct]:[N_SGA]])</f>
        <v>0</v>
      </c>
      <c r="AW439" s="7">
        <f>IF(F439=1,IF(D439="",NA(),VLOOKUP(C439&amp;TableCosts[[#This Row],[Calc_N_Typ]],TRAN_STRITEMS_LABEL,7,0)),0)</f>
        <v>0</v>
      </c>
      <c r="AX439" s="7">
        <f t="shared" si="81"/>
        <v>0</v>
      </c>
      <c r="AY439" s="57" t="str">
        <f t="shared" si="82"/>
        <v/>
      </c>
      <c r="AZ439" s="57" t="str">
        <f t="shared" si="83"/>
        <v/>
      </c>
      <c r="BA439" s="57" t="str">
        <f>IF(F439=1,IF(TableCosts[[#This Row],[TransferFrom]]=TableCosts[[#This Row],[TranferTo]],0,1),"")</f>
        <v/>
      </c>
      <c r="BB439" s="7">
        <f t="shared" si="84"/>
        <v>0</v>
      </c>
      <c r="BC439" s="7">
        <f t="shared" si="85"/>
        <v>0</v>
      </c>
    </row>
    <row r="440" spans="2:55" s="7" customFormat="1" ht="12.75" x14ac:dyDescent="0.2">
      <c r="B440" s="33"/>
      <c r="C440" s="31"/>
      <c r="D440" s="40"/>
      <c r="E440" s="6" t="str">
        <f>IF(F440=1,IF(ISERROR(TableCosts[[#This Row],[N_Tariff]]),Err_Message1,IF(TableCosts[[#This Row],[N_Tariff]]=0,Err_Message2,VLOOKUP(C440&amp;TableCosts[[#This Row],[Calc_N_Typ]],TRAN_STRITEMS_LABEL,5,FALSE))),"")</f>
        <v/>
      </c>
      <c r="F440" s="6">
        <f t="shared" si="86"/>
        <v>0</v>
      </c>
      <c r="G440" s="6" t="str">
        <f>IF(F440=1,IFERROR(VLOOKUP(E440,Tab_ErrMessage[],2,0),VLOOKUP(C440&amp;TableCosts[[#This Row],[Calc_N_Typ]],TRAN_STRITEMS_LABEL,4,FALSE)),"")</f>
        <v/>
      </c>
      <c r="H440" s="40"/>
      <c r="I440" s="40"/>
      <c r="J440" s="35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  <c r="AD440" s="24"/>
      <c r="AE440" s="24"/>
      <c r="AF440" s="24"/>
      <c r="AG440" s="24"/>
      <c r="AH440" s="24"/>
      <c r="AI440" s="24"/>
      <c r="AJ440" s="24"/>
      <c r="AK440" s="38">
        <f t="array" ref="AK440">IF(F440=1,SUM((ROW(M0)=ROW(AK440))*(M0+M1_+M2_+M3_+M4_+M5_+M6_+M7_+M8_+M9_+M10_+M11_+M12_+M13_+M14_+M15_+M16_+M17_+M18_+M19_+M20_+M21_+M22_+M23_+M24_+M25_)),0)</f>
        <v>0</v>
      </c>
      <c r="AL440" s="27">
        <f>TableCosts[[#This Row],[N_Direct]]</f>
        <v>0</v>
      </c>
      <c r="AN440" s="7" t="str">
        <f t="shared" si="87"/>
        <v/>
      </c>
      <c r="AO440" s="7" t="str">
        <f t="shared" si="78"/>
        <v/>
      </c>
      <c r="AP440" s="7" t="str">
        <f t="shared" si="88"/>
        <v/>
      </c>
      <c r="AQ440" s="7" t="str">
        <f t="shared" si="79"/>
        <v/>
      </c>
      <c r="AR440" s="7" t="str">
        <f t="shared" si="89"/>
        <v/>
      </c>
      <c r="AS440" s="7">
        <f t="shared" si="80"/>
        <v>0</v>
      </c>
      <c r="AT440" s="17">
        <f>TableCosts[[#This Row],[N_Amount]]*TableCosts[[#This Row],[N_Tariff]]*TableCosts[[#This Row],[N_ItemsCount]]</f>
        <v>0</v>
      </c>
      <c r="AU440" s="17">
        <f>IF(F440=1,IF(TableCosts[[#This Row],[N_Kateg]]="interné práce",TableCosts[[#This Row],[N_Amount]]*8*PAR_SGA_PERHOUR,0),0)</f>
        <v>0</v>
      </c>
      <c r="AV440" s="17">
        <f>SUM(TableCosts[[#This Row],[N_Direct]:[N_SGA]])</f>
        <v>0</v>
      </c>
      <c r="AW440" s="7">
        <f>IF(F440=1,IF(D440="",NA(),VLOOKUP(C440&amp;TableCosts[[#This Row],[Calc_N_Typ]],TRAN_STRITEMS_LABEL,7,0)),0)</f>
        <v>0</v>
      </c>
      <c r="AX440" s="7">
        <f t="shared" si="81"/>
        <v>0</v>
      </c>
      <c r="AY440" s="57" t="str">
        <f t="shared" si="82"/>
        <v/>
      </c>
      <c r="AZ440" s="57" t="str">
        <f t="shared" si="83"/>
        <v/>
      </c>
      <c r="BA440" s="57" t="str">
        <f>IF(F440=1,IF(TableCosts[[#This Row],[TransferFrom]]=TableCosts[[#This Row],[TranferTo]],0,1),"")</f>
        <v/>
      </c>
      <c r="BB440" s="7">
        <f t="shared" si="84"/>
        <v>0</v>
      </c>
      <c r="BC440" s="7">
        <f t="shared" si="85"/>
        <v>0</v>
      </c>
    </row>
    <row r="441" spans="2:55" s="7" customFormat="1" ht="12.75" x14ac:dyDescent="0.2">
      <c r="B441" s="33"/>
      <c r="C441" s="31"/>
      <c r="D441" s="40"/>
      <c r="E441" s="6" t="str">
        <f>IF(F441=1,IF(ISERROR(TableCosts[[#This Row],[N_Tariff]]),Err_Message1,IF(TableCosts[[#This Row],[N_Tariff]]=0,Err_Message2,VLOOKUP(C441&amp;TableCosts[[#This Row],[Calc_N_Typ]],TRAN_STRITEMS_LABEL,5,FALSE))),"")</f>
        <v/>
      </c>
      <c r="F441" s="6">
        <f t="shared" si="86"/>
        <v>0</v>
      </c>
      <c r="G441" s="6" t="str">
        <f>IF(F441=1,IFERROR(VLOOKUP(E441,Tab_ErrMessage[],2,0),VLOOKUP(C441&amp;TableCosts[[#This Row],[Calc_N_Typ]],TRAN_STRITEMS_LABEL,4,FALSE)),"")</f>
        <v/>
      </c>
      <c r="H441" s="40"/>
      <c r="I441" s="40"/>
      <c r="J441" s="35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  <c r="AD441" s="24"/>
      <c r="AE441" s="24"/>
      <c r="AF441" s="24"/>
      <c r="AG441" s="24"/>
      <c r="AH441" s="24"/>
      <c r="AI441" s="24"/>
      <c r="AJ441" s="24"/>
      <c r="AK441" s="38">
        <f t="array" ref="AK441">IF(F441=1,SUM((ROW(M0)=ROW(AK441))*(M0+M1_+M2_+M3_+M4_+M5_+M6_+M7_+M8_+M9_+M10_+M11_+M12_+M13_+M14_+M15_+M16_+M17_+M18_+M19_+M20_+M21_+M22_+M23_+M24_+M25_)),0)</f>
        <v>0</v>
      </c>
      <c r="AL441" s="27">
        <f>TableCosts[[#This Row],[N_Direct]]</f>
        <v>0</v>
      </c>
      <c r="AN441" s="7" t="str">
        <f t="shared" si="87"/>
        <v/>
      </c>
      <c r="AO441" s="7" t="str">
        <f t="shared" si="78"/>
        <v/>
      </c>
      <c r="AP441" s="7" t="str">
        <f t="shared" si="88"/>
        <v/>
      </c>
      <c r="AQ441" s="7" t="str">
        <f t="shared" si="79"/>
        <v/>
      </c>
      <c r="AR441" s="7" t="str">
        <f t="shared" si="89"/>
        <v/>
      </c>
      <c r="AS441" s="7">
        <f t="shared" si="80"/>
        <v>0</v>
      </c>
      <c r="AT441" s="17">
        <f>TableCosts[[#This Row],[N_Amount]]*TableCosts[[#This Row],[N_Tariff]]*TableCosts[[#This Row],[N_ItemsCount]]</f>
        <v>0</v>
      </c>
      <c r="AU441" s="17">
        <f>IF(F441=1,IF(TableCosts[[#This Row],[N_Kateg]]="interné práce",TableCosts[[#This Row],[N_Amount]]*8*PAR_SGA_PERHOUR,0),0)</f>
        <v>0</v>
      </c>
      <c r="AV441" s="17">
        <f>SUM(TableCosts[[#This Row],[N_Direct]:[N_SGA]])</f>
        <v>0</v>
      </c>
      <c r="AW441" s="7">
        <f>IF(F441=1,IF(D441="",NA(),VLOOKUP(C441&amp;TableCosts[[#This Row],[Calc_N_Typ]],TRAN_STRITEMS_LABEL,7,0)),0)</f>
        <v>0</v>
      </c>
      <c r="AX441" s="7">
        <f t="shared" si="81"/>
        <v>0</v>
      </c>
      <c r="AY441" s="57" t="str">
        <f t="shared" si="82"/>
        <v/>
      </c>
      <c r="AZ441" s="57" t="str">
        <f t="shared" si="83"/>
        <v/>
      </c>
      <c r="BA441" s="57" t="str">
        <f>IF(F441=1,IF(TableCosts[[#This Row],[TransferFrom]]=TableCosts[[#This Row],[TranferTo]],0,1),"")</f>
        <v/>
      </c>
      <c r="BB441" s="7">
        <f t="shared" si="84"/>
        <v>0</v>
      </c>
      <c r="BC441" s="7">
        <f t="shared" si="85"/>
        <v>0</v>
      </c>
    </row>
    <row r="442" spans="2:55" s="7" customFormat="1" ht="12.75" x14ac:dyDescent="0.2">
      <c r="B442" s="33"/>
      <c r="C442" s="31"/>
      <c r="D442" s="40"/>
      <c r="E442" s="6" t="str">
        <f>IF(F442=1,IF(ISERROR(TableCosts[[#This Row],[N_Tariff]]),Err_Message1,IF(TableCosts[[#This Row],[N_Tariff]]=0,Err_Message2,VLOOKUP(C442&amp;TableCosts[[#This Row],[Calc_N_Typ]],TRAN_STRITEMS_LABEL,5,FALSE))),"")</f>
        <v/>
      </c>
      <c r="F442" s="6">
        <f t="shared" si="86"/>
        <v>0</v>
      </c>
      <c r="G442" s="6" t="str">
        <f>IF(F442=1,IFERROR(VLOOKUP(E442,Tab_ErrMessage[],2,0),VLOOKUP(C442&amp;TableCosts[[#This Row],[Calc_N_Typ]],TRAN_STRITEMS_LABEL,4,FALSE)),"")</f>
        <v/>
      </c>
      <c r="H442" s="40"/>
      <c r="I442" s="40"/>
      <c r="J442" s="35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  <c r="AD442" s="24"/>
      <c r="AE442" s="24"/>
      <c r="AF442" s="24"/>
      <c r="AG442" s="24"/>
      <c r="AH442" s="24"/>
      <c r="AI442" s="24"/>
      <c r="AJ442" s="24"/>
      <c r="AK442" s="38">
        <f t="array" ref="AK442">IF(F442=1,SUM((ROW(M0)=ROW(AK442))*(M0+M1_+M2_+M3_+M4_+M5_+M6_+M7_+M8_+M9_+M10_+M11_+M12_+M13_+M14_+M15_+M16_+M17_+M18_+M19_+M20_+M21_+M22_+M23_+M24_+M25_)),0)</f>
        <v>0</v>
      </c>
      <c r="AL442" s="27">
        <f>TableCosts[[#This Row],[N_Direct]]</f>
        <v>0</v>
      </c>
      <c r="AN442" s="7" t="str">
        <f t="shared" si="87"/>
        <v/>
      </c>
      <c r="AO442" s="7" t="str">
        <f t="shared" si="78"/>
        <v/>
      </c>
      <c r="AP442" s="7" t="str">
        <f t="shared" si="88"/>
        <v/>
      </c>
      <c r="AQ442" s="7" t="str">
        <f t="shared" si="79"/>
        <v/>
      </c>
      <c r="AR442" s="7" t="str">
        <f t="shared" si="89"/>
        <v/>
      </c>
      <c r="AS442" s="7">
        <f t="shared" si="80"/>
        <v>0</v>
      </c>
      <c r="AT442" s="17">
        <f>TableCosts[[#This Row],[N_Amount]]*TableCosts[[#This Row],[N_Tariff]]*TableCosts[[#This Row],[N_ItemsCount]]</f>
        <v>0</v>
      </c>
      <c r="AU442" s="17">
        <f>IF(F442=1,IF(TableCosts[[#This Row],[N_Kateg]]="interné práce",TableCosts[[#This Row],[N_Amount]]*8*PAR_SGA_PERHOUR,0),0)</f>
        <v>0</v>
      </c>
      <c r="AV442" s="17">
        <f>SUM(TableCosts[[#This Row],[N_Direct]:[N_SGA]])</f>
        <v>0</v>
      </c>
      <c r="AW442" s="7">
        <f>IF(F442=1,IF(D442="",NA(),VLOOKUP(C442&amp;TableCosts[[#This Row],[Calc_N_Typ]],TRAN_STRITEMS_LABEL,7,0)),0)</f>
        <v>0</v>
      </c>
      <c r="AX442" s="7">
        <f t="shared" si="81"/>
        <v>0</v>
      </c>
      <c r="AY442" s="57" t="str">
        <f t="shared" si="82"/>
        <v/>
      </c>
      <c r="AZ442" s="57" t="str">
        <f t="shared" si="83"/>
        <v/>
      </c>
      <c r="BA442" s="57" t="str">
        <f>IF(F442=1,IF(TableCosts[[#This Row],[TransferFrom]]=TableCosts[[#This Row],[TranferTo]],0,1),"")</f>
        <v/>
      </c>
      <c r="BB442" s="7">
        <f t="shared" si="84"/>
        <v>0</v>
      </c>
      <c r="BC442" s="7">
        <f t="shared" si="85"/>
        <v>0</v>
      </c>
    </row>
    <row r="443" spans="2:55" s="7" customFormat="1" ht="12.75" x14ac:dyDescent="0.2">
      <c r="B443" s="33"/>
      <c r="C443" s="31"/>
      <c r="D443" s="40"/>
      <c r="E443" s="6" t="str">
        <f>IF(F443=1,IF(ISERROR(TableCosts[[#This Row],[N_Tariff]]),Err_Message1,IF(TableCosts[[#This Row],[N_Tariff]]=0,Err_Message2,VLOOKUP(C443&amp;TableCosts[[#This Row],[Calc_N_Typ]],TRAN_STRITEMS_LABEL,5,FALSE))),"")</f>
        <v/>
      </c>
      <c r="F443" s="6">
        <f t="shared" si="86"/>
        <v>0</v>
      </c>
      <c r="G443" s="6" t="str">
        <f>IF(F443=1,IFERROR(VLOOKUP(E443,Tab_ErrMessage[],2,0),VLOOKUP(C443&amp;TableCosts[[#This Row],[Calc_N_Typ]],TRAN_STRITEMS_LABEL,4,FALSE)),"")</f>
        <v/>
      </c>
      <c r="H443" s="40"/>
      <c r="I443" s="40"/>
      <c r="J443" s="35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  <c r="AD443" s="24"/>
      <c r="AE443" s="24"/>
      <c r="AF443" s="24"/>
      <c r="AG443" s="24"/>
      <c r="AH443" s="24"/>
      <c r="AI443" s="24"/>
      <c r="AJ443" s="24"/>
      <c r="AK443" s="38">
        <f t="array" ref="AK443">IF(F443=1,SUM((ROW(M0)=ROW(AK443))*(M0+M1_+M2_+M3_+M4_+M5_+M6_+M7_+M8_+M9_+M10_+M11_+M12_+M13_+M14_+M15_+M16_+M17_+M18_+M19_+M20_+M21_+M22_+M23_+M24_+M25_)),0)</f>
        <v>0</v>
      </c>
      <c r="AL443" s="27">
        <f>TableCosts[[#This Row],[N_Direct]]</f>
        <v>0</v>
      </c>
      <c r="AN443" s="7" t="str">
        <f t="shared" si="87"/>
        <v/>
      </c>
      <c r="AO443" s="7" t="str">
        <f t="shared" si="78"/>
        <v/>
      </c>
      <c r="AP443" s="7" t="str">
        <f t="shared" si="88"/>
        <v/>
      </c>
      <c r="AQ443" s="7" t="str">
        <f t="shared" si="79"/>
        <v/>
      </c>
      <c r="AR443" s="7" t="str">
        <f t="shared" si="89"/>
        <v/>
      </c>
      <c r="AS443" s="7">
        <f t="shared" si="80"/>
        <v>0</v>
      </c>
      <c r="AT443" s="17">
        <f>TableCosts[[#This Row],[N_Amount]]*TableCosts[[#This Row],[N_Tariff]]*TableCosts[[#This Row],[N_ItemsCount]]</f>
        <v>0</v>
      </c>
      <c r="AU443" s="17">
        <f>IF(F443=1,IF(TableCosts[[#This Row],[N_Kateg]]="interné práce",TableCosts[[#This Row],[N_Amount]]*8*PAR_SGA_PERHOUR,0),0)</f>
        <v>0</v>
      </c>
      <c r="AV443" s="17">
        <f>SUM(TableCosts[[#This Row],[N_Direct]:[N_SGA]])</f>
        <v>0</v>
      </c>
      <c r="AW443" s="7">
        <f>IF(F443=1,IF(D443="",NA(),VLOOKUP(C443&amp;TableCosts[[#This Row],[Calc_N_Typ]],TRAN_STRITEMS_LABEL,7,0)),0)</f>
        <v>0</v>
      </c>
      <c r="AX443" s="7">
        <f t="shared" si="81"/>
        <v>0</v>
      </c>
      <c r="AY443" s="57" t="str">
        <f t="shared" si="82"/>
        <v/>
      </c>
      <c r="AZ443" s="57" t="str">
        <f t="shared" si="83"/>
        <v/>
      </c>
      <c r="BA443" s="57" t="str">
        <f>IF(F443=1,IF(TableCosts[[#This Row],[TransferFrom]]=TableCosts[[#This Row],[TranferTo]],0,1),"")</f>
        <v/>
      </c>
      <c r="BB443" s="7">
        <f t="shared" si="84"/>
        <v>0</v>
      </c>
      <c r="BC443" s="7">
        <f t="shared" si="85"/>
        <v>0</v>
      </c>
    </row>
    <row r="444" spans="2:55" s="7" customFormat="1" ht="12.75" x14ac:dyDescent="0.2">
      <c r="B444" s="33"/>
      <c r="C444" s="31"/>
      <c r="D444" s="40"/>
      <c r="E444" s="6" t="str">
        <f>IF(F444=1,IF(ISERROR(TableCosts[[#This Row],[N_Tariff]]),Err_Message1,IF(TableCosts[[#This Row],[N_Tariff]]=0,Err_Message2,VLOOKUP(C444&amp;TableCosts[[#This Row],[Calc_N_Typ]],TRAN_STRITEMS_LABEL,5,FALSE))),"")</f>
        <v/>
      </c>
      <c r="F444" s="6">
        <f t="shared" si="86"/>
        <v>0</v>
      </c>
      <c r="G444" s="6" t="str">
        <f>IF(F444=1,IFERROR(VLOOKUP(E444,Tab_ErrMessage[],2,0),VLOOKUP(C444&amp;TableCosts[[#This Row],[Calc_N_Typ]],TRAN_STRITEMS_LABEL,4,FALSE)),"")</f>
        <v/>
      </c>
      <c r="H444" s="40"/>
      <c r="I444" s="40"/>
      <c r="J444" s="35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  <c r="AD444" s="24"/>
      <c r="AE444" s="24"/>
      <c r="AF444" s="24"/>
      <c r="AG444" s="24"/>
      <c r="AH444" s="24"/>
      <c r="AI444" s="24"/>
      <c r="AJ444" s="24"/>
      <c r="AK444" s="38">
        <f t="array" ref="AK444">IF(F444=1,SUM((ROW(M0)=ROW(AK444))*(M0+M1_+M2_+M3_+M4_+M5_+M6_+M7_+M8_+M9_+M10_+M11_+M12_+M13_+M14_+M15_+M16_+M17_+M18_+M19_+M20_+M21_+M22_+M23_+M24_+M25_)),0)</f>
        <v>0</v>
      </c>
      <c r="AL444" s="27">
        <f>TableCosts[[#This Row],[N_Direct]]</f>
        <v>0</v>
      </c>
      <c r="AN444" s="7" t="str">
        <f t="shared" si="87"/>
        <v/>
      </c>
      <c r="AO444" s="7" t="str">
        <f t="shared" si="78"/>
        <v/>
      </c>
      <c r="AP444" s="7" t="str">
        <f t="shared" si="88"/>
        <v/>
      </c>
      <c r="AQ444" s="7" t="str">
        <f t="shared" si="79"/>
        <v/>
      </c>
      <c r="AR444" s="7" t="str">
        <f t="shared" si="89"/>
        <v/>
      </c>
      <c r="AS444" s="7">
        <f t="shared" si="80"/>
        <v>0</v>
      </c>
      <c r="AT444" s="17">
        <f>TableCosts[[#This Row],[N_Amount]]*TableCosts[[#This Row],[N_Tariff]]*TableCosts[[#This Row],[N_ItemsCount]]</f>
        <v>0</v>
      </c>
      <c r="AU444" s="17">
        <f>IF(F444=1,IF(TableCosts[[#This Row],[N_Kateg]]="interné práce",TableCosts[[#This Row],[N_Amount]]*8*PAR_SGA_PERHOUR,0),0)</f>
        <v>0</v>
      </c>
      <c r="AV444" s="17">
        <f>SUM(TableCosts[[#This Row],[N_Direct]:[N_SGA]])</f>
        <v>0</v>
      </c>
      <c r="AW444" s="7">
        <f>IF(F444=1,IF(D444="",NA(),VLOOKUP(C444&amp;TableCosts[[#This Row],[Calc_N_Typ]],TRAN_STRITEMS_LABEL,7,0)),0)</f>
        <v>0</v>
      </c>
      <c r="AX444" s="7">
        <f t="shared" si="81"/>
        <v>0</v>
      </c>
      <c r="AY444" s="57" t="str">
        <f t="shared" si="82"/>
        <v/>
      </c>
      <c r="AZ444" s="57" t="str">
        <f t="shared" si="83"/>
        <v/>
      </c>
      <c r="BA444" s="57" t="str">
        <f>IF(F444=1,IF(TableCosts[[#This Row],[TransferFrom]]=TableCosts[[#This Row],[TranferTo]],0,1),"")</f>
        <v/>
      </c>
      <c r="BB444" s="7">
        <f t="shared" si="84"/>
        <v>0</v>
      </c>
      <c r="BC444" s="7">
        <f t="shared" si="85"/>
        <v>0</v>
      </c>
    </row>
    <row r="445" spans="2:55" s="7" customFormat="1" ht="12.75" x14ac:dyDescent="0.2">
      <c r="B445" s="33"/>
      <c r="C445" s="31"/>
      <c r="D445" s="40"/>
      <c r="E445" s="6" t="str">
        <f>IF(F445=1,IF(ISERROR(TableCosts[[#This Row],[N_Tariff]]),Err_Message1,IF(TableCosts[[#This Row],[N_Tariff]]=0,Err_Message2,VLOOKUP(C445&amp;TableCosts[[#This Row],[Calc_N_Typ]],TRAN_STRITEMS_LABEL,5,FALSE))),"")</f>
        <v/>
      </c>
      <c r="F445" s="6">
        <f t="shared" si="86"/>
        <v>0</v>
      </c>
      <c r="G445" s="6" t="str">
        <f>IF(F445=1,IFERROR(VLOOKUP(E445,Tab_ErrMessage[],2,0),VLOOKUP(C445&amp;TableCosts[[#This Row],[Calc_N_Typ]],TRAN_STRITEMS_LABEL,4,FALSE)),"")</f>
        <v/>
      </c>
      <c r="H445" s="40"/>
      <c r="I445" s="40"/>
      <c r="J445" s="35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  <c r="AD445" s="24"/>
      <c r="AE445" s="24"/>
      <c r="AF445" s="24"/>
      <c r="AG445" s="24"/>
      <c r="AH445" s="24"/>
      <c r="AI445" s="24"/>
      <c r="AJ445" s="24"/>
      <c r="AK445" s="38">
        <f t="array" ref="AK445">IF(F445=1,SUM((ROW(M0)=ROW(AK445))*(M0+M1_+M2_+M3_+M4_+M5_+M6_+M7_+M8_+M9_+M10_+M11_+M12_+M13_+M14_+M15_+M16_+M17_+M18_+M19_+M20_+M21_+M22_+M23_+M24_+M25_)),0)</f>
        <v>0</v>
      </c>
      <c r="AL445" s="27">
        <f>TableCosts[[#This Row],[N_Direct]]</f>
        <v>0</v>
      </c>
      <c r="AN445" s="7" t="str">
        <f t="shared" si="87"/>
        <v/>
      </c>
      <c r="AO445" s="7" t="str">
        <f t="shared" si="78"/>
        <v/>
      </c>
      <c r="AP445" s="7" t="str">
        <f t="shared" si="88"/>
        <v/>
      </c>
      <c r="AQ445" s="7" t="str">
        <f t="shared" si="79"/>
        <v/>
      </c>
      <c r="AR445" s="7" t="str">
        <f t="shared" si="89"/>
        <v/>
      </c>
      <c r="AS445" s="7">
        <f t="shared" si="80"/>
        <v>0</v>
      </c>
      <c r="AT445" s="17">
        <f>TableCosts[[#This Row],[N_Amount]]*TableCosts[[#This Row],[N_Tariff]]*TableCosts[[#This Row],[N_ItemsCount]]</f>
        <v>0</v>
      </c>
      <c r="AU445" s="17">
        <f>IF(F445=1,IF(TableCosts[[#This Row],[N_Kateg]]="interné práce",TableCosts[[#This Row],[N_Amount]]*8*PAR_SGA_PERHOUR,0),0)</f>
        <v>0</v>
      </c>
      <c r="AV445" s="17">
        <f>SUM(TableCosts[[#This Row],[N_Direct]:[N_SGA]])</f>
        <v>0</v>
      </c>
      <c r="AW445" s="7">
        <f>IF(F445=1,IF(D445="",NA(),VLOOKUP(C445&amp;TableCosts[[#This Row],[Calc_N_Typ]],TRAN_STRITEMS_LABEL,7,0)),0)</f>
        <v>0</v>
      </c>
      <c r="AX445" s="7">
        <f t="shared" si="81"/>
        <v>0</v>
      </c>
      <c r="AY445" s="57" t="str">
        <f t="shared" si="82"/>
        <v/>
      </c>
      <c r="AZ445" s="57" t="str">
        <f t="shared" si="83"/>
        <v/>
      </c>
      <c r="BA445" s="57" t="str">
        <f>IF(F445=1,IF(TableCosts[[#This Row],[TransferFrom]]=TableCosts[[#This Row],[TranferTo]],0,1),"")</f>
        <v/>
      </c>
      <c r="BB445" s="7">
        <f t="shared" si="84"/>
        <v>0</v>
      </c>
      <c r="BC445" s="7">
        <f t="shared" si="85"/>
        <v>0</v>
      </c>
    </row>
    <row r="446" spans="2:55" s="7" customFormat="1" ht="12.75" x14ac:dyDescent="0.2">
      <c r="B446" s="33"/>
      <c r="C446" s="31"/>
      <c r="D446" s="40"/>
      <c r="E446" s="6" t="str">
        <f>IF(F446=1,IF(ISERROR(TableCosts[[#This Row],[N_Tariff]]),Err_Message1,IF(TableCosts[[#This Row],[N_Tariff]]=0,Err_Message2,VLOOKUP(C446&amp;TableCosts[[#This Row],[Calc_N_Typ]],TRAN_STRITEMS_LABEL,5,FALSE))),"")</f>
        <v/>
      </c>
      <c r="F446" s="6">
        <f t="shared" si="86"/>
        <v>0</v>
      </c>
      <c r="G446" s="6" t="str">
        <f>IF(F446=1,IFERROR(VLOOKUP(E446,Tab_ErrMessage[],2,0),VLOOKUP(C446&amp;TableCosts[[#This Row],[Calc_N_Typ]],TRAN_STRITEMS_LABEL,4,FALSE)),"")</f>
        <v/>
      </c>
      <c r="H446" s="40"/>
      <c r="I446" s="40"/>
      <c r="J446" s="35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  <c r="AD446" s="24"/>
      <c r="AE446" s="24"/>
      <c r="AF446" s="24"/>
      <c r="AG446" s="24"/>
      <c r="AH446" s="24"/>
      <c r="AI446" s="24"/>
      <c r="AJ446" s="24"/>
      <c r="AK446" s="38">
        <f t="array" ref="AK446">IF(F446=1,SUM((ROW(M0)=ROW(AK446))*(M0+M1_+M2_+M3_+M4_+M5_+M6_+M7_+M8_+M9_+M10_+M11_+M12_+M13_+M14_+M15_+M16_+M17_+M18_+M19_+M20_+M21_+M22_+M23_+M24_+M25_)),0)</f>
        <v>0</v>
      </c>
      <c r="AL446" s="27">
        <f>TableCosts[[#This Row],[N_Direct]]</f>
        <v>0</v>
      </c>
      <c r="AN446" s="7" t="str">
        <f t="shared" si="87"/>
        <v/>
      </c>
      <c r="AO446" s="7" t="str">
        <f t="shared" si="78"/>
        <v/>
      </c>
      <c r="AP446" s="7" t="str">
        <f t="shared" si="88"/>
        <v/>
      </c>
      <c r="AQ446" s="7" t="str">
        <f t="shared" si="79"/>
        <v/>
      </c>
      <c r="AR446" s="7" t="str">
        <f t="shared" si="89"/>
        <v/>
      </c>
      <c r="AS446" s="7">
        <f t="shared" si="80"/>
        <v>0</v>
      </c>
      <c r="AT446" s="17">
        <f>TableCosts[[#This Row],[N_Amount]]*TableCosts[[#This Row],[N_Tariff]]*TableCosts[[#This Row],[N_ItemsCount]]</f>
        <v>0</v>
      </c>
      <c r="AU446" s="17">
        <f>IF(F446=1,IF(TableCosts[[#This Row],[N_Kateg]]="interné práce",TableCosts[[#This Row],[N_Amount]]*8*PAR_SGA_PERHOUR,0),0)</f>
        <v>0</v>
      </c>
      <c r="AV446" s="17">
        <f>SUM(TableCosts[[#This Row],[N_Direct]:[N_SGA]])</f>
        <v>0</v>
      </c>
      <c r="AW446" s="7">
        <f>IF(F446=1,IF(D446="",NA(),VLOOKUP(C446&amp;TableCosts[[#This Row],[Calc_N_Typ]],TRAN_STRITEMS_LABEL,7,0)),0)</f>
        <v>0</v>
      </c>
      <c r="AX446" s="7">
        <f t="shared" si="81"/>
        <v>0</v>
      </c>
      <c r="AY446" s="57" t="str">
        <f t="shared" si="82"/>
        <v/>
      </c>
      <c r="AZ446" s="57" t="str">
        <f t="shared" si="83"/>
        <v/>
      </c>
      <c r="BA446" s="57" t="str">
        <f>IF(F446=1,IF(TableCosts[[#This Row],[TransferFrom]]=TableCosts[[#This Row],[TranferTo]],0,1),"")</f>
        <v/>
      </c>
      <c r="BB446" s="7">
        <f t="shared" si="84"/>
        <v>0</v>
      </c>
      <c r="BC446" s="7">
        <f t="shared" si="85"/>
        <v>0</v>
      </c>
    </row>
    <row r="447" spans="2:55" s="7" customFormat="1" ht="12.75" x14ac:dyDescent="0.2">
      <c r="B447" s="33"/>
      <c r="C447" s="31"/>
      <c r="D447" s="40"/>
      <c r="E447" s="6" t="str">
        <f>IF(F447=1,IF(ISERROR(TableCosts[[#This Row],[N_Tariff]]),Err_Message1,IF(TableCosts[[#This Row],[N_Tariff]]=0,Err_Message2,VLOOKUP(C447&amp;TableCosts[[#This Row],[Calc_N_Typ]],TRAN_STRITEMS_LABEL,5,FALSE))),"")</f>
        <v/>
      </c>
      <c r="F447" s="6">
        <f t="shared" si="86"/>
        <v>0</v>
      </c>
      <c r="G447" s="6" t="str">
        <f>IF(F447=1,IFERROR(VLOOKUP(E447,Tab_ErrMessage[],2,0),VLOOKUP(C447&amp;TableCosts[[#This Row],[Calc_N_Typ]],TRAN_STRITEMS_LABEL,4,FALSE)),"")</f>
        <v/>
      </c>
      <c r="H447" s="40"/>
      <c r="I447" s="40"/>
      <c r="J447" s="35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  <c r="AD447" s="24"/>
      <c r="AE447" s="24"/>
      <c r="AF447" s="24"/>
      <c r="AG447" s="24"/>
      <c r="AH447" s="24"/>
      <c r="AI447" s="24"/>
      <c r="AJ447" s="24"/>
      <c r="AK447" s="38">
        <f t="array" ref="AK447">IF(F447=1,SUM((ROW(M0)=ROW(AK447))*(M0+M1_+M2_+M3_+M4_+M5_+M6_+M7_+M8_+M9_+M10_+M11_+M12_+M13_+M14_+M15_+M16_+M17_+M18_+M19_+M20_+M21_+M22_+M23_+M24_+M25_)),0)</f>
        <v>0</v>
      </c>
      <c r="AL447" s="27">
        <f>TableCosts[[#This Row],[N_Direct]]</f>
        <v>0</v>
      </c>
      <c r="AN447" s="7" t="str">
        <f t="shared" si="87"/>
        <v/>
      </c>
      <c r="AO447" s="7" t="str">
        <f t="shared" si="78"/>
        <v/>
      </c>
      <c r="AP447" s="7" t="str">
        <f t="shared" si="88"/>
        <v/>
      </c>
      <c r="AQ447" s="7" t="str">
        <f t="shared" si="79"/>
        <v/>
      </c>
      <c r="AR447" s="7" t="str">
        <f t="shared" si="89"/>
        <v/>
      </c>
      <c r="AS447" s="7">
        <f t="shared" si="80"/>
        <v>0</v>
      </c>
      <c r="AT447" s="17">
        <f>TableCosts[[#This Row],[N_Amount]]*TableCosts[[#This Row],[N_Tariff]]*TableCosts[[#This Row],[N_ItemsCount]]</f>
        <v>0</v>
      </c>
      <c r="AU447" s="17">
        <f>IF(F447=1,IF(TableCosts[[#This Row],[N_Kateg]]="interné práce",TableCosts[[#This Row],[N_Amount]]*8*PAR_SGA_PERHOUR,0),0)</f>
        <v>0</v>
      </c>
      <c r="AV447" s="17">
        <f>SUM(TableCosts[[#This Row],[N_Direct]:[N_SGA]])</f>
        <v>0</v>
      </c>
      <c r="AW447" s="7">
        <f>IF(F447=1,IF(D447="",NA(),VLOOKUP(C447&amp;TableCosts[[#This Row],[Calc_N_Typ]],TRAN_STRITEMS_LABEL,7,0)),0)</f>
        <v>0</v>
      </c>
      <c r="AX447" s="7">
        <f t="shared" si="81"/>
        <v>0</v>
      </c>
      <c r="AY447" s="57" t="str">
        <f t="shared" si="82"/>
        <v/>
      </c>
      <c r="AZ447" s="57" t="str">
        <f t="shared" si="83"/>
        <v/>
      </c>
      <c r="BA447" s="57" t="str">
        <f>IF(F447=1,IF(TableCosts[[#This Row],[TransferFrom]]=TableCosts[[#This Row],[TranferTo]],0,1),"")</f>
        <v/>
      </c>
      <c r="BB447" s="7">
        <f t="shared" si="84"/>
        <v>0</v>
      </c>
      <c r="BC447" s="7">
        <f t="shared" si="85"/>
        <v>0</v>
      </c>
    </row>
    <row r="448" spans="2:55" s="7" customFormat="1" ht="12.75" x14ac:dyDescent="0.2">
      <c r="B448" s="33"/>
      <c r="C448" s="31"/>
      <c r="D448" s="40"/>
      <c r="E448" s="6" t="str">
        <f>IF(F448=1,IF(ISERROR(TableCosts[[#This Row],[N_Tariff]]),Err_Message1,IF(TableCosts[[#This Row],[N_Tariff]]=0,Err_Message2,VLOOKUP(C448&amp;TableCosts[[#This Row],[Calc_N_Typ]],TRAN_STRITEMS_LABEL,5,FALSE))),"")</f>
        <v/>
      </c>
      <c r="F448" s="6">
        <f t="shared" si="86"/>
        <v>0</v>
      </c>
      <c r="G448" s="6" t="str">
        <f>IF(F448=1,IFERROR(VLOOKUP(E448,Tab_ErrMessage[],2,0),VLOOKUP(C448&amp;TableCosts[[#This Row],[Calc_N_Typ]],TRAN_STRITEMS_LABEL,4,FALSE)),"")</f>
        <v/>
      </c>
      <c r="H448" s="40"/>
      <c r="I448" s="40"/>
      <c r="J448" s="35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  <c r="AD448" s="24"/>
      <c r="AE448" s="24"/>
      <c r="AF448" s="24"/>
      <c r="AG448" s="24"/>
      <c r="AH448" s="24"/>
      <c r="AI448" s="24"/>
      <c r="AJ448" s="24"/>
      <c r="AK448" s="38">
        <f t="array" ref="AK448">IF(F448=1,SUM((ROW(M0)=ROW(AK448))*(M0+M1_+M2_+M3_+M4_+M5_+M6_+M7_+M8_+M9_+M10_+M11_+M12_+M13_+M14_+M15_+M16_+M17_+M18_+M19_+M20_+M21_+M22_+M23_+M24_+M25_)),0)</f>
        <v>0</v>
      </c>
      <c r="AL448" s="27">
        <f>TableCosts[[#This Row],[N_Direct]]</f>
        <v>0</v>
      </c>
      <c r="AN448" s="7" t="str">
        <f t="shared" si="87"/>
        <v/>
      </c>
      <c r="AO448" s="7" t="str">
        <f t="shared" si="78"/>
        <v/>
      </c>
      <c r="AP448" s="7" t="str">
        <f t="shared" si="88"/>
        <v/>
      </c>
      <c r="AQ448" s="7" t="str">
        <f t="shared" si="79"/>
        <v/>
      </c>
      <c r="AR448" s="7" t="str">
        <f t="shared" si="89"/>
        <v/>
      </c>
      <c r="AS448" s="7">
        <f t="shared" si="80"/>
        <v>0</v>
      </c>
      <c r="AT448" s="17">
        <f>TableCosts[[#This Row],[N_Amount]]*TableCosts[[#This Row],[N_Tariff]]*TableCosts[[#This Row],[N_ItemsCount]]</f>
        <v>0</v>
      </c>
      <c r="AU448" s="17">
        <f>IF(F448=1,IF(TableCosts[[#This Row],[N_Kateg]]="interné práce",TableCosts[[#This Row],[N_Amount]]*8*PAR_SGA_PERHOUR,0),0)</f>
        <v>0</v>
      </c>
      <c r="AV448" s="17">
        <f>SUM(TableCosts[[#This Row],[N_Direct]:[N_SGA]])</f>
        <v>0</v>
      </c>
      <c r="AW448" s="7">
        <f>IF(F448=1,IF(D448="",NA(),VLOOKUP(C448&amp;TableCosts[[#This Row],[Calc_N_Typ]],TRAN_STRITEMS_LABEL,7,0)),0)</f>
        <v>0</v>
      </c>
      <c r="AX448" s="7">
        <f t="shared" si="81"/>
        <v>0</v>
      </c>
      <c r="AY448" s="57" t="str">
        <f t="shared" si="82"/>
        <v/>
      </c>
      <c r="AZ448" s="57" t="str">
        <f t="shared" si="83"/>
        <v/>
      </c>
      <c r="BA448" s="57" t="str">
        <f>IF(F448=1,IF(TableCosts[[#This Row],[TransferFrom]]=TableCosts[[#This Row],[TranferTo]],0,1),"")</f>
        <v/>
      </c>
      <c r="BB448" s="7">
        <f t="shared" si="84"/>
        <v>0</v>
      </c>
      <c r="BC448" s="7">
        <f t="shared" si="85"/>
        <v>0</v>
      </c>
    </row>
    <row r="449" spans="2:55" s="7" customFormat="1" ht="12.75" x14ac:dyDescent="0.2">
      <c r="B449" s="33"/>
      <c r="C449" s="31"/>
      <c r="D449" s="40"/>
      <c r="E449" s="6" t="str">
        <f>IF(F449=1,IF(ISERROR(TableCosts[[#This Row],[N_Tariff]]),Err_Message1,IF(TableCosts[[#This Row],[N_Tariff]]=0,Err_Message2,VLOOKUP(C449&amp;TableCosts[[#This Row],[Calc_N_Typ]],TRAN_STRITEMS_LABEL,5,FALSE))),"")</f>
        <v/>
      </c>
      <c r="F449" s="6">
        <f t="shared" si="86"/>
        <v>0</v>
      </c>
      <c r="G449" s="6" t="str">
        <f>IF(F449=1,IFERROR(VLOOKUP(E449,Tab_ErrMessage[],2,0),VLOOKUP(C449&amp;TableCosts[[#This Row],[Calc_N_Typ]],TRAN_STRITEMS_LABEL,4,FALSE)),"")</f>
        <v/>
      </c>
      <c r="H449" s="40"/>
      <c r="I449" s="40"/>
      <c r="J449" s="35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  <c r="AD449" s="24"/>
      <c r="AE449" s="24"/>
      <c r="AF449" s="24"/>
      <c r="AG449" s="24"/>
      <c r="AH449" s="24"/>
      <c r="AI449" s="24"/>
      <c r="AJ449" s="24"/>
      <c r="AK449" s="38">
        <f t="array" ref="AK449">IF(F449=1,SUM((ROW(M0)=ROW(AK449))*(M0+M1_+M2_+M3_+M4_+M5_+M6_+M7_+M8_+M9_+M10_+M11_+M12_+M13_+M14_+M15_+M16_+M17_+M18_+M19_+M20_+M21_+M22_+M23_+M24_+M25_)),0)</f>
        <v>0</v>
      </c>
      <c r="AL449" s="27">
        <f>TableCosts[[#This Row],[N_Direct]]</f>
        <v>0</v>
      </c>
      <c r="AN449" s="7" t="str">
        <f t="shared" si="87"/>
        <v/>
      </c>
      <c r="AO449" s="7" t="str">
        <f t="shared" si="78"/>
        <v/>
      </c>
      <c r="AP449" s="7" t="str">
        <f t="shared" si="88"/>
        <v/>
      </c>
      <c r="AQ449" s="7" t="str">
        <f t="shared" si="79"/>
        <v/>
      </c>
      <c r="AR449" s="7" t="str">
        <f t="shared" si="89"/>
        <v/>
      </c>
      <c r="AS449" s="7">
        <f t="shared" si="80"/>
        <v>0</v>
      </c>
      <c r="AT449" s="17">
        <f>TableCosts[[#This Row],[N_Amount]]*TableCosts[[#This Row],[N_Tariff]]*TableCosts[[#This Row],[N_ItemsCount]]</f>
        <v>0</v>
      </c>
      <c r="AU449" s="17">
        <f>IF(F449=1,IF(TableCosts[[#This Row],[N_Kateg]]="interné práce",TableCosts[[#This Row],[N_Amount]]*8*PAR_SGA_PERHOUR,0),0)</f>
        <v>0</v>
      </c>
      <c r="AV449" s="17">
        <f>SUM(TableCosts[[#This Row],[N_Direct]:[N_SGA]])</f>
        <v>0</v>
      </c>
      <c r="AW449" s="7">
        <f>IF(F449=1,IF(D449="",NA(),VLOOKUP(C449&amp;TableCosts[[#This Row],[Calc_N_Typ]],TRAN_STRITEMS_LABEL,7,0)),0)</f>
        <v>0</v>
      </c>
      <c r="AX449" s="7">
        <f t="shared" si="81"/>
        <v>0</v>
      </c>
      <c r="AY449" s="57" t="str">
        <f t="shared" si="82"/>
        <v/>
      </c>
      <c r="AZ449" s="57" t="str">
        <f t="shared" si="83"/>
        <v/>
      </c>
      <c r="BA449" s="57" t="str">
        <f>IF(F449=1,IF(TableCosts[[#This Row],[TransferFrom]]=TableCosts[[#This Row],[TranferTo]],0,1),"")</f>
        <v/>
      </c>
      <c r="BB449" s="7">
        <f t="shared" si="84"/>
        <v>0</v>
      </c>
      <c r="BC449" s="7">
        <f t="shared" si="85"/>
        <v>0</v>
      </c>
    </row>
    <row r="450" spans="2:55" s="7" customFormat="1" ht="12.75" x14ac:dyDescent="0.2">
      <c r="B450" s="33"/>
      <c r="C450" s="31"/>
      <c r="D450" s="40"/>
      <c r="E450" s="6" t="str">
        <f>IF(F450=1,IF(ISERROR(TableCosts[[#This Row],[N_Tariff]]),Err_Message1,IF(TableCosts[[#This Row],[N_Tariff]]=0,Err_Message2,VLOOKUP(C450&amp;TableCosts[[#This Row],[Calc_N_Typ]],TRAN_STRITEMS_LABEL,5,FALSE))),"")</f>
        <v/>
      </c>
      <c r="F450" s="6">
        <f t="shared" si="86"/>
        <v>0</v>
      </c>
      <c r="G450" s="6" t="str">
        <f>IF(F450=1,IFERROR(VLOOKUP(E450,Tab_ErrMessage[],2,0),VLOOKUP(C450&amp;TableCosts[[#This Row],[Calc_N_Typ]],TRAN_STRITEMS_LABEL,4,FALSE)),"")</f>
        <v/>
      </c>
      <c r="H450" s="40"/>
      <c r="I450" s="40"/>
      <c r="J450" s="35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  <c r="AD450" s="24"/>
      <c r="AE450" s="24"/>
      <c r="AF450" s="24"/>
      <c r="AG450" s="24"/>
      <c r="AH450" s="24"/>
      <c r="AI450" s="24"/>
      <c r="AJ450" s="24"/>
      <c r="AK450" s="38">
        <f t="array" ref="AK450">IF(F450=1,SUM((ROW(M0)=ROW(AK450))*(M0+M1_+M2_+M3_+M4_+M5_+M6_+M7_+M8_+M9_+M10_+M11_+M12_+M13_+M14_+M15_+M16_+M17_+M18_+M19_+M20_+M21_+M22_+M23_+M24_+M25_)),0)</f>
        <v>0</v>
      </c>
      <c r="AL450" s="27">
        <f>TableCosts[[#This Row],[N_Direct]]</f>
        <v>0</v>
      </c>
      <c r="AN450" s="7" t="str">
        <f t="shared" si="87"/>
        <v/>
      </c>
      <c r="AO450" s="7" t="str">
        <f t="shared" si="78"/>
        <v/>
      </c>
      <c r="AP450" s="7" t="str">
        <f t="shared" si="88"/>
        <v/>
      </c>
      <c r="AQ450" s="7" t="str">
        <f t="shared" si="79"/>
        <v/>
      </c>
      <c r="AR450" s="7" t="str">
        <f t="shared" si="89"/>
        <v/>
      </c>
      <c r="AS450" s="7">
        <f t="shared" si="80"/>
        <v>0</v>
      </c>
      <c r="AT450" s="17">
        <f>TableCosts[[#This Row],[N_Amount]]*TableCosts[[#This Row],[N_Tariff]]*TableCosts[[#This Row],[N_ItemsCount]]</f>
        <v>0</v>
      </c>
      <c r="AU450" s="17">
        <f>IF(F450=1,IF(TableCosts[[#This Row],[N_Kateg]]="interné práce",TableCosts[[#This Row],[N_Amount]]*8*PAR_SGA_PERHOUR,0),0)</f>
        <v>0</v>
      </c>
      <c r="AV450" s="17">
        <f>SUM(TableCosts[[#This Row],[N_Direct]:[N_SGA]])</f>
        <v>0</v>
      </c>
      <c r="AW450" s="7">
        <f>IF(F450=1,IF(D450="",NA(),VLOOKUP(C450&amp;TableCosts[[#This Row],[Calc_N_Typ]],TRAN_STRITEMS_LABEL,7,0)),0)</f>
        <v>0</v>
      </c>
      <c r="AX450" s="7">
        <f t="shared" si="81"/>
        <v>0</v>
      </c>
      <c r="AY450" s="57" t="str">
        <f t="shared" si="82"/>
        <v/>
      </c>
      <c r="AZ450" s="57" t="str">
        <f t="shared" si="83"/>
        <v/>
      </c>
      <c r="BA450" s="57" t="str">
        <f>IF(F450=1,IF(TableCosts[[#This Row],[TransferFrom]]=TableCosts[[#This Row],[TranferTo]],0,1),"")</f>
        <v/>
      </c>
      <c r="BB450" s="7">
        <f t="shared" si="84"/>
        <v>0</v>
      </c>
      <c r="BC450" s="7">
        <f t="shared" si="85"/>
        <v>0</v>
      </c>
    </row>
    <row r="451" spans="2:55" s="7" customFormat="1" ht="12.75" x14ac:dyDescent="0.2">
      <c r="B451" s="33"/>
      <c r="C451" s="31"/>
      <c r="D451" s="40"/>
      <c r="E451" s="6" t="str">
        <f>IF(F451=1,IF(ISERROR(TableCosts[[#This Row],[N_Tariff]]),Err_Message1,IF(TableCosts[[#This Row],[N_Tariff]]=0,Err_Message2,VLOOKUP(C451&amp;TableCosts[[#This Row],[Calc_N_Typ]],TRAN_STRITEMS_LABEL,5,FALSE))),"")</f>
        <v/>
      </c>
      <c r="F451" s="6">
        <f t="shared" si="86"/>
        <v>0</v>
      </c>
      <c r="G451" s="6" t="str">
        <f>IF(F451=1,IFERROR(VLOOKUP(E451,Tab_ErrMessage[],2,0),VLOOKUP(C451&amp;TableCosts[[#This Row],[Calc_N_Typ]],TRAN_STRITEMS_LABEL,4,FALSE)),"")</f>
        <v/>
      </c>
      <c r="H451" s="40"/>
      <c r="I451" s="40"/>
      <c r="J451" s="35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  <c r="AD451" s="24"/>
      <c r="AE451" s="24"/>
      <c r="AF451" s="24"/>
      <c r="AG451" s="24"/>
      <c r="AH451" s="24"/>
      <c r="AI451" s="24"/>
      <c r="AJ451" s="24"/>
      <c r="AK451" s="38">
        <f t="array" ref="AK451">IF(F451=1,SUM((ROW(M0)=ROW(AK451))*(M0+M1_+M2_+M3_+M4_+M5_+M6_+M7_+M8_+M9_+M10_+M11_+M12_+M13_+M14_+M15_+M16_+M17_+M18_+M19_+M20_+M21_+M22_+M23_+M24_+M25_)),0)</f>
        <v>0</v>
      </c>
      <c r="AL451" s="27">
        <f>TableCosts[[#This Row],[N_Direct]]</f>
        <v>0</v>
      </c>
      <c r="AN451" s="7" t="str">
        <f t="shared" si="87"/>
        <v/>
      </c>
      <c r="AO451" s="7" t="str">
        <f t="shared" si="78"/>
        <v/>
      </c>
      <c r="AP451" s="7" t="str">
        <f t="shared" si="88"/>
        <v/>
      </c>
      <c r="AQ451" s="7" t="str">
        <f t="shared" si="79"/>
        <v/>
      </c>
      <c r="AR451" s="7" t="str">
        <f t="shared" si="89"/>
        <v/>
      </c>
      <c r="AS451" s="7">
        <f t="shared" si="80"/>
        <v>0</v>
      </c>
      <c r="AT451" s="17">
        <f>TableCosts[[#This Row],[N_Amount]]*TableCosts[[#This Row],[N_Tariff]]*TableCosts[[#This Row],[N_ItemsCount]]</f>
        <v>0</v>
      </c>
      <c r="AU451" s="17">
        <f>IF(F451=1,IF(TableCosts[[#This Row],[N_Kateg]]="interné práce",TableCosts[[#This Row],[N_Amount]]*8*PAR_SGA_PERHOUR,0),0)</f>
        <v>0</v>
      </c>
      <c r="AV451" s="17">
        <f>SUM(TableCosts[[#This Row],[N_Direct]:[N_SGA]])</f>
        <v>0</v>
      </c>
      <c r="AW451" s="7">
        <f>IF(F451=1,IF(D451="",NA(),VLOOKUP(C451&amp;TableCosts[[#This Row],[Calc_N_Typ]],TRAN_STRITEMS_LABEL,7,0)),0)</f>
        <v>0</v>
      </c>
      <c r="AX451" s="7">
        <f t="shared" si="81"/>
        <v>0</v>
      </c>
      <c r="AY451" s="57" t="str">
        <f t="shared" si="82"/>
        <v/>
      </c>
      <c r="AZ451" s="57" t="str">
        <f t="shared" si="83"/>
        <v/>
      </c>
      <c r="BA451" s="57" t="str">
        <f>IF(F451=1,IF(TableCosts[[#This Row],[TransferFrom]]=TableCosts[[#This Row],[TranferTo]],0,1),"")</f>
        <v/>
      </c>
      <c r="BB451" s="7">
        <f t="shared" si="84"/>
        <v>0</v>
      </c>
      <c r="BC451" s="7">
        <f t="shared" si="85"/>
        <v>0</v>
      </c>
    </row>
    <row r="452" spans="2:55" s="7" customFormat="1" ht="12.75" x14ac:dyDescent="0.2">
      <c r="B452" s="33"/>
      <c r="C452" s="31"/>
      <c r="D452" s="40"/>
      <c r="E452" s="6" t="str">
        <f>IF(F452=1,IF(ISERROR(TableCosts[[#This Row],[N_Tariff]]),Err_Message1,IF(TableCosts[[#This Row],[N_Tariff]]=0,Err_Message2,VLOOKUP(C452&amp;TableCosts[[#This Row],[Calc_N_Typ]],TRAN_STRITEMS_LABEL,5,FALSE))),"")</f>
        <v/>
      </c>
      <c r="F452" s="6">
        <f t="shared" si="86"/>
        <v>0</v>
      </c>
      <c r="G452" s="6" t="str">
        <f>IF(F452=1,IFERROR(VLOOKUP(E452,Tab_ErrMessage[],2,0),VLOOKUP(C452&amp;TableCosts[[#This Row],[Calc_N_Typ]],TRAN_STRITEMS_LABEL,4,FALSE)),"")</f>
        <v/>
      </c>
      <c r="H452" s="40"/>
      <c r="I452" s="40"/>
      <c r="J452" s="35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  <c r="AD452" s="24"/>
      <c r="AE452" s="24"/>
      <c r="AF452" s="24"/>
      <c r="AG452" s="24"/>
      <c r="AH452" s="24"/>
      <c r="AI452" s="24"/>
      <c r="AJ452" s="24"/>
      <c r="AK452" s="38">
        <f t="array" ref="AK452">IF(F452=1,SUM((ROW(M0)=ROW(AK452))*(M0+M1_+M2_+M3_+M4_+M5_+M6_+M7_+M8_+M9_+M10_+M11_+M12_+M13_+M14_+M15_+M16_+M17_+M18_+M19_+M20_+M21_+M22_+M23_+M24_+M25_)),0)</f>
        <v>0</v>
      </c>
      <c r="AL452" s="27">
        <f>TableCosts[[#This Row],[N_Direct]]</f>
        <v>0</v>
      </c>
      <c r="AN452" s="7" t="str">
        <f t="shared" si="87"/>
        <v/>
      </c>
      <c r="AO452" s="7" t="str">
        <f t="shared" si="78"/>
        <v/>
      </c>
      <c r="AP452" s="7" t="str">
        <f t="shared" si="88"/>
        <v/>
      </c>
      <c r="AQ452" s="7" t="str">
        <f t="shared" si="79"/>
        <v/>
      </c>
      <c r="AR452" s="7" t="str">
        <f t="shared" si="89"/>
        <v/>
      </c>
      <c r="AS452" s="7">
        <f t="shared" si="80"/>
        <v>0</v>
      </c>
      <c r="AT452" s="17">
        <f>TableCosts[[#This Row],[N_Amount]]*TableCosts[[#This Row],[N_Tariff]]*TableCosts[[#This Row],[N_ItemsCount]]</f>
        <v>0</v>
      </c>
      <c r="AU452" s="17">
        <f>IF(F452=1,IF(TableCosts[[#This Row],[N_Kateg]]="interné práce",TableCosts[[#This Row],[N_Amount]]*8*PAR_SGA_PERHOUR,0),0)</f>
        <v>0</v>
      </c>
      <c r="AV452" s="17">
        <f>SUM(TableCosts[[#This Row],[N_Direct]:[N_SGA]])</f>
        <v>0</v>
      </c>
      <c r="AW452" s="7">
        <f>IF(F452=1,IF(D452="",NA(),VLOOKUP(C452&amp;TableCosts[[#This Row],[Calc_N_Typ]],TRAN_STRITEMS_LABEL,7,0)),0)</f>
        <v>0</v>
      </c>
      <c r="AX452" s="7">
        <f t="shared" si="81"/>
        <v>0</v>
      </c>
      <c r="AY452" s="57" t="str">
        <f t="shared" si="82"/>
        <v/>
      </c>
      <c r="AZ452" s="57" t="str">
        <f t="shared" si="83"/>
        <v/>
      </c>
      <c r="BA452" s="57" t="str">
        <f>IF(F452=1,IF(TableCosts[[#This Row],[TransferFrom]]=TableCosts[[#This Row],[TranferTo]],0,1),"")</f>
        <v/>
      </c>
      <c r="BB452" s="7">
        <f t="shared" si="84"/>
        <v>0</v>
      </c>
      <c r="BC452" s="7">
        <f t="shared" si="85"/>
        <v>0</v>
      </c>
    </row>
    <row r="453" spans="2:55" s="7" customFormat="1" ht="12.75" x14ac:dyDescent="0.2">
      <c r="B453" s="33"/>
      <c r="C453" s="31"/>
      <c r="D453" s="40"/>
      <c r="E453" s="6" t="str">
        <f>IF(F453=1,IF(ISERROR(TableCosts[[#This Row],[N_Tariff]]),Err_Message1,IF(TableCosts[[#This Row],[N_Tariff]]=0,Err_Message2,VLOOKUP(C453&amp;TableCosts[[#This Row],[Calc_N_Typ]],TRAN_STRITEMS_LABEL,5,FALSE))),"")</f>
        <v/>
      </c>
      <c r="F453" s="6">
        <f t="shared" si="86"/>
        <v>0</v>
      </c>
      <c r="G453" s="6" t="str">
        <f>IF(F453=1,IFERROR(VLOOKUP(E453,Tab_ErrMessage[],2,0),VLOOKUP(C453&amp;TableCosts[[#This Row],[Calc_N_Typ]],TRAN_STRITEMS_LABEL,4,FALSE)),"")</f>
        <v/>
      </c>
      <c r="H453" s="40"/>
      <c r="I453" s="40"/>
      <c r="J453" s="35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  <c r="AD453" s="24"/>
      <c r="AE453" s="24"/>
      <c r="AF453" s="24"/>
      <c r="AG453" s="24"/>
      <c r="AH453" s="24"/>
      <c r="AI453" s="24"/>
      <c r="AJ453" s="24"/>
      <c r="AK453" s="38">
        <f t="array" ref="AK453">IF(F453=1,SUM((ROW(M0)=ROW(AK453))*(M0+M1_+M2_+M3_+M4_+M5_+M6_+M7_+M8_+M9_+M10_+M11_+M12_+M13_+M14_+M15_+M16_+M17_+M18_+M19_+M20_+M21_+M22_+M23_+M24_+M25_)),0)</f>
        <v>0</v>
      </c>
      <c r="AL453" s="27">
        <f>TableCosts[[#This Row],[N_Direct]]</f>
        <v>0</v>
      </c>
      <c r="AN453" s="7" t="str">
        <f t="shared" si="87"/>
        <v/>
      </c>
      <c r="AO453" s="7" t="str">
        <f t="shared" si="78"/>
        <v/>
      </c>
      <c r="AP453" s="7" t="str">
        <f t="shared" si="88"/>
        <v/>
      </c>
      <c r="AQ453" s="7" t="str">
        <f t="shared" si="79"/>
        <v/>
      </c>
      <c r="AR453" s="7" t="str">
        <f t="shared" si="89"/>
        <v/>
      </c>
      <c r="AS453" s="7">
        <f t="shared" si="80"/>
        <v>0</v>
      </c>
      <c r="AT453" s="17">
        <f>TableCosts[[#This Row],[N_Amount]]*TableCosts[[#This Row],[N_Tariff]]*TableCosts[[#This Row],[N_ItemsCount]]</f>
        <v>0</v>
      </c>
      <c r="AU453" s="17">
        <f>IF(F453=1,IF(TableCosts[[#This Row],[N_Kateg]]="interné práce",TableCosts[[#This Row],[N_Amount]]*8*PAR_SGA_PERHOUR,0),0)</f>
        <v>0</v>
      </c>
      <c r="AV453" s="17">
        <f>SUM(TableCosts[[#This Row],[N_Direct]:[N_SGA]])</f>
        <v>0</v>
      </c>
      <c r="AW453" s="7">
        <f>IF(F453=1,IF(D453="",NA(),VLOOKUP(C453&amp;TableCosts[[#This Row],[Calc_N_Typ]],TRAN_STRITEMS_LABEL,7,0)),0)</f>
        <v>0</v>
      </c>
      <c r="AX453" s="7">
        <f t="shared" si="81"/>
        <v>0</v>
      </c>
      <c r="AY453" s="57" t="str">
        <f t="shared" si="82"/>
        <v/>
      </c>
      <c r="AZ453" s="57" t="str">
        <f t="shared" si="83"/>
        <v/>
      </c>
      <c r="BA453" s="57" t="str">
        <f>IF(F453=1,IF(TableCosts[[#This Row],[TransferFrom]]=TableCosts[[#This Row],[TranferTo]],0,1),"")</f>
        <v/>
      </c>
      <c r="BB453" s="7">
        <f t="shared" si="84"/>
        <v>0</v>
      </c>
      <c r="BC453" s="7">
        <f t="shared" si="85"/>
        <v>0</v>
      </c>
    </row>
    <row r="454" spans="2:55" s="7" customFormat="1" ht="12.75" x14ac:dyDescent="0.2">
      <c r="B454" s="33"/>
      <c r="C454" s="31"/>
      <c r="D454" s="40"/>
      <c r="E454" s="6" t="str">
        <f>IF(F454=1,IF(ISERROR(TableCosts[[#This Row],[N_Tariff]]),Err_Message1,IF(TableCosts[[#This Row],[N_Tariff]]=0,Err_Message2,VLOOKUP(C454&amp;TableCosts[[#This Row],[Calc_N_Typ]],TRAN_STRITEMS_LABEL,5,FALSE))),"")</f>
        <v/>
      </c>
      <c r="F454" s="6">
        <f t="shared" si="86"/>
        <v>0</v>
      </c>
      <c r="G454" s="6" t="str">
        <f>IF(F454=1,IFERROR(VLOOKUP(E454,Tab_ErrMessage[],2,0),VLOOKUP(C454&amp;TableCosts[[#This Row],[Calc_N_Typ]],TRAN_STRITEMS_LABEL,4,FALSE)),"")</f>
        <v/>
      </c>
      <c r="H454" s="40"/>
      <c r="I454" s="40"/>
      <c r="J454" s="35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  <c r="AD454" s="24"/>
      <c r="AE454" s="24"/>
      <c r="AF454" s="24"/>
      <c r="AG454" s="24"/>
      <c r="AH454" s="24"/>
      <c r="AI454" s="24"/>
      <c r="AJ454" s="24"/>
      <c r="AK454" s="38">
        <f t="array" ref="AK454">IF(F454=1,SUM((ROW(M0)=ROW(AK454))*(M0+M1_+M2_+M3_+M4_+M5_+M6_+M7_+M8_+M9_+M10_+M11_+M12_+M13_+M14_+M15_+M16_+M17_+M18_+M19_+M20_+M21_+M22_+M23_+M24_+M25_)),0)</f>
        <v>0</v>
      </c>
      <c r="AL454" s="27">
        <f>TableCosts[[#This Row],[N_Direct]]</f>
        <v>0</v>
      </c>
      <c r="AN454" s="7" t="str">
        <f t="shared" si="87"/>
        <v/>
      </c>
      <c r="AO454" s="7" t="str">
        <f t="shared" si="78"/>
        <v/>
      </c>
      <c r="AP454" s="7" t="str">
        <f t="shared" si="88"/>
        <v/>
      </c>
      <c r="AQ454" s="7" t="str">
        <f t="shared" si="79"/>
        <v/>
      </c>
      <c r="AR454" s="7" t="str">
        <f t="shared" si="89"/>
        <v/>
      </c>
      <c r="AS454" s="7">
        <f t="shared" si="80"/>
        <v>0</v>
      </c>
      <c r="AT454" s="17">
        <f>TableCosts[[#This Row],[N_Amount]]*TableCosts[[#This Row],[N_Tariff]]*TableCosts[[#This Row],[N_ItemsCount]]</f>
        <v>0</v>
      </c>
      <c r="AU454" s="17">
        <f>IF(F454=1,IF(TableCosts[[#This Row],[N_Kateg]]="interné práce",TableCosts[[#This Row],[N_Amount]]*8*PAR_SGA_PERHOUR,0),0)</f>
        <v>0</v>
      </c>
      <c r="AV454" s="17">
        <f>SUM(TableCosts[[#This Row],[N_Direct]:[N_SGA]])</f>
        <v>0</v>
      </c>
      <c r="AW454" s="7">
        <f>IF(F454=1,IF(D454="",NA(),VLOOKUP(C454&amp;TableCosts[[#This Row],[Calc_N_Typ]],TRAN_STRITEMS_LABEL,7,0)),0)</f>
        <v>0</v>
      </c>
      <c r="AX454" s="7">
        <f t="shared" si="81"/>
        <v>0</v>
      </c>
      <c r="AY454" s="57" t="str">
        <f t="shared" si="82"/>
        <v/>
      </c>
      <c r="AZ454" s="57" t="str">
        <f t="shared" si="83"/>
        <v/>
      </c>
      <c r="BA454" s="57" t="str">
        <f>IF(F454=1,IF(TableCosts[[#This Row],[TransferFrom]]=TableCosts[[#This Row],[TranferTo]],0,1),"")</f>
        <v/>
      </c>
      <c r="BB454" s="7">
        <f t="shared" si="84"/>
        <v>0</v>
      </c>
      <c r="BC454" s="7">
        <f t="shared" si="85"/>
        <v>0</v>
      </c>
    </row>
    <row r="455" spans="2:55" s="7" customFormat="1" ht="12.75" x14ac:dyDescent="0.2">
      <c r="B455" s="33"/>
      <c r="C455" s="31"/>
      <c r="D455" s="40"/>
      <c r="E455" s="6" t="str">
        <f>IF(F455=1,IF(ISERROR(TableCosts[[#This Row],[N_Tariff]]),Err_Message1,IF(TableCosts[[#This Row],[N_Tariff]]=0,Err_Message2,VLOOKUP(C455&amp;TableCosts[[#This Row],[Calc_N_Typ]],TRAN_STRITEMS_LABEL,5,FALSE))),"")</f>
        <v/>
      </c>
      <c r="F455" s="6">
        <f t="shared" si="86"/>
        <v>0</v>
      </c>
      <c r="G455" s="6" t="str">
        <f>IF(F455=1,IFERROR(VLOOKUP(E455,Tab_ErrMessage[],2,0),VLOOKUP(C455&amp;TableCosts[[#This Row],[Calc_N_Typ]],TRAN_STRITEMS_LABEL,4,FALSE)),"")</f>
        <v/>
      </c>
      <c r="H455" s="40"/>
      <c r="I455" s="40"/>
      <c r="J455" s="35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  <c r="AD455" s="24"/>
      <c r="AE455" s="24"/>
      <c r="AF455" s="24"/>
      <c r="AG455" s="24"/>
      <c r="AH455" s="24"/>
      <c r="AI455" s="24"/>
      <c r="AJ455" s="24"/>
      <c r="AK455" s="38">
        <f t="array" ref="AK455">IF(F455=1,SUM((ROW(M0)=ROW(AK455))*(M0+M1_+M2_+M3_+M4_+M5_+M6_+M7_+M8_+M9_+M10_+M11_+M12_+M13_+M14_+M15_+M16_+M17_+M18_+M19_+M20_+M21_+M22_+M23_+M24_+M25_)),0)</f>
        <v>0</v>
      </c>
      <c r="AL455" s="27">
        <f>TableCosts[[#This Row],[N_Direct]]</f>
        <v>0</v>
      </c>
      <c r="AN455" s="7" t="str">
        <f t="shared" si="87"/>
        <v/>
      </c>
      <c r="AO455" s="7" t="str">
        <f t="shared" ref="AO455:AO518" si="90">IF(F455=1,IF(C455="","",C455),"")</f>
        <v/>
      </c>
      <c r="AP455" s="7" t="str">
        <f t="shared" si="88"/>
        <v/>
      </c>
      <c r="AQ455" s="7" t="str">
        <f t="shared" ref="AQ455:AQ518" si="91">IF(F455=1,IF(OR(D455="realizácia",D455=""),"realizácia",D455),"")</f>
        <v/>
      </c>
      <c r="AR455" s="7" t="str">
        <f t="shared" si="89"/>
        <v/>
      </c>
      <c r="AS455" s="7">
        <f t="shared" ref="AS455:AS518" si="92">IF(F455=1,IF(G455="ks",ROUNDUP(AK455,0),AK455),0)</f>
        <v>0</v>
      </c>
      <c r="AT455" s="17">
        <f>TableCosts[[#This Row],[N_Amount]]*TableCosts[[#This Row],[N_Tariff]]*TableCosts[[#This Row],[N_ItemsCount]]</f>
        <v>0</v>
      </c>
      <c r="AU455" s="17">
        <f>IF(F455=1,IF(TableCosts[[#This Row],[N_Kateg]]="interné práce",TableCosts[[#This Row],[N_Amount]]*8*PAR_SGA_PERHOUR,0),0)</f>
        <v>0</v>
      </c>
      <c r="AV455" s="17">
        <f>SUM(TableCosts[[#This Row],[N_Direct]:[N_SGA]])</f>
        <v>0</v>
      </c>
      <c r="AW455" s="7">
        <f>IF(F455=1,IF(D455="",NA(),VLOOKUP(C455&amp;TableCosts[[#This Row],[Calc_N_Typ]],TRAN_STRITEMS_LABEL,7,0)),0)</f>
        <v>0</v>
      </c>
      <c r="AX455" s="7">
        <f t="shared" ref="AX455:AX518" si="93">IF(F455=1,IF(G455="čld.",8,1),0)</f>
        <v>0</v>
      </c>
      <c r="AY455" s="57" t="str">
        <f t="shared" ref="AY455:AY518" si="94">IF(F455=1,IFERROR(VLOOKUP(B455,IpsLicences,2,0),IF(C455="",Par_Center,C455)),"")</f>
        <v/>
      </c>
      <c r="AZ455" s="57" t="str">
        <f t="shared" ref="AZ455:AZ518" si="95">IF(F455=1,Par_Center,"")</f>
        <v/>
      </c>
      <c r="BA455" s="57" t="str">
        <f>IF(F455=1,IF(TableCosts[[#This Row],[TransferFrom]]=TableCosts[[#This Row],[TranferTo]],0,1),"")</f>
        <v/>
      </c>
      <c r="BB455" s="7">
        <f t="shared" ref="BB455:BB518" si="96">IF(RIGHT(B455,LEN(Par_LabelTravelTime))=Par_LabelTravelTime,LEFT(B455,LEN(B455)-LEN(Par_LabelTravelTime)),B455)</f>
        <v>0</v>
      </c>
      <c r="BC455" s="7">
        <f t="shared" ref="BC455:BC518" si="97">IF(RIGHT(B455,LEN(Par_LabelTravelTime))=Par_LabelTravelTime,1,0)</f>
        <v>0</v>
      </c>
    </row>
    <row r="456" spans="2:55" s="7" customFormat="1" ht="12.75" x14ac:dyDescent="0.2">
      <c r="B456" s="33"/>
      <c r="C456" s="31"/>
      <c r="D456" s="40"/>
      <c r="E456" s="6" t="str">
        <f>IF(F456=1,IF(ISERROR(TableCosts[[#This Row],[N_Tariff]]),Err_Message1,IF(TableCosts[[#This Row],[N_Tariff]]=0,Err_Message2,VLOOKUP(C456&amp;TableCosts[[#This Row],[Calc_N_Typ]],TRAN_STRITEMS_LABEL,5,FALSE))),"")</f>
        <v/>
      </c>
      <c r="F456" s="6">
        <f t="shared" si="86"/>
        <v>0</v>
      </c>
      <c r="G456" s="6" t="str">
        <f>IF(F456=1,IFERROR(VLOOKUP(E456,Tab_ErrMessage[],2,0),VLOOKUP(C456&amp;TableCosts[[#This Row],[Calc_N_Typ]],TRAN_STRITEMS_LABEL,4,FALSE)),"")</f>
        <v/>
      </c>
      <c r="H456" s="40"/>
      <c r="I456" s="40"/>
      <c r="J456" s="35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  <c r="AD456" s="24"/>
      <c r="AE456" s="24"/>
      <c r="AF456" s="24"/>
      <c r="AG456" s="24"/>
      <c r="AH456" s="24"/>
      <c r="AI456" s="24"/>
      <c r="AJ456" s="24"/>
      <c r="AK456" s="38">
        <f t="array" ref="AK456">IF(F456=1,SUM((ROW(M0)=ROW(AK456))*(M0+M1_+M2_+M3_+M4_+M5_+M6_+M7_+M8_+M9_+M10_+M11_+M12_+M13_+M14_+M15_+M16_+M17_+M18_+M19_+M20_+M21_+M22_+M23_+M24_+M25_)),0)</f>
        <v>0</v>
      </c>
      <c r="AL456" s="27">
        <f>TableCosts[[#This Row],[N_Direct]]</f>
        <v>0</v>
      </c>
      <c r="AN456" s="7" t="str">
        <f t="shared" si="87"/>
        <v/>
      </c>
      <c r="AO456" s="7" t="str">
        <f t="shared" si="90"/>
        <v/>
      </c>
      <c r="AP456" s="7" t="str">
        <f t="shared" si="88"/>
        <v/>
      </c>
      <c r="AQ456" s="7" t="str">
        <f t="shared" si="91"/>
        <v/>
      </c>
      <c r="AR456" s="7" t="str">
        <f t="shared" si="89"/>
        <v/>
      </c>
      <c r="AS456" s="7">
        <f t="shared" si="92"/>
        <v>0</v>
      </c>
      <c r="AT456" s="17">
        <f>TableCosts[[#This Row],[N_Amount]]*TableCosts[[#This Row],[N_Tariff]]*TableCosts[[#This Row],[N_ItemsCount]]</f>
        <v>0</v>
      </c>
      <c r="AU456" s="17">
        <f>IF(F456=1,IF(TableCosts[[#This Row],[N_Kateg]]="interné práce",TableCosts[[#This Row],[N_Amount]]*8*PAR_SGA_PERHOUR,0),0)</f>
        <v>0</v>
      </c>
      <c r="AV456" s="17">
        <f>SUM(TableCosts[[#This Row],[N_Direct]:[N_SGA]])</f>
        <v>0</v>
      </c>
      <c r="AW456" s="7">
        <f>IF(F456=1,IF(D456="",NA(),VLOOKUP(C456&amp;TableCosts[[#This Row],[Calc_N_Typ]],TRAN_STRITEMS_LABEL,7,0)),0)</f>
        <v>0</v>
      </c>
      <c r="AX456" s="7">
        <f t="shared" si="93"/>
        <v>0</v>
      </c>
      <c r="AY456" s="57" t="str">
        <f t="shared" si="94"/>
        <v/>
      </c>
      <c r="AZ456" s="57" t="str">
        <f t="shared" si="95"/>
        <v/>
      </c>
      <c r="BA456" s="57" t="str">
        <f>IF(F456=1,IF(TableCosts[[#This Row],[TransferFrom]]=TableCosts[[#This Row],[TranferTo]],0,1),"")</f>
        <v/>
      </c>
      <c r="BB456" s="7">
        <f t="shared" si="96"/>
        <v>0</v>
      </c>
      <c r="BC456" s="7">
        <f t="shared" si="97"/>
        <v>0</v>
      </c>
    </row>
    <row r="457" spans="2:55" s="7" customFormat="1" ht="12.75" x14ac:dyDescent="0.2">
      <c r="B457" s="33"/>
      <c r="C457" s="31"/>
      <c r="D457" s="40"/>
      <c r="E457" s="6" t="str">
        <f>IF(F457=1,IF(ISERROR(TableCosts[[#This Row],[N_Tariff]]),Err_Message1,IF(TableCosts[[#This Row],[N_Tariff]]=0,Err_Message2,VLOOKUP(C457&amp;TableCosts[[#This Row],[Calc_N_Typ]],TRAN_STRITEMS_LABEL,5,FALSE))),"")</f>
        <v/>
      </c>
      <c r="F457" s="6">
        <f t="shared" ref="F457:F520" si="98">IF(B457="",0,IF(LEFT(B457,3)="***",-1,1))</f>
        <v>0</v>
      </c>
      <c r="G457" s="6" t="str">
        <f>IF(F457=1,IFERROR(VLOOKUP(E457,Tab_ErrMessage[],2,0),VLOOKUP(C457&amp;TableCosts[[#This Row],[Calc_N_Typ]],TRAN_STRITEMS_LABEL,4,FALSE)),"")</f>
        <v/>
      </c>
      <c r="H457" s="40"/>
      <c r="I457" s="40"/>
      <c r="J457" s="35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  <c r="AD457" s="24"/>
      <c r="AE457" s="24"/>
      <c r="AF457" s="24"/>
      <c r="AG457" s="24"/>
      <c r="AH457" s="24"/>
      <c r="AI457" s="24"/>
      <c r="AJ457" s="24"/>
      <c r="AK457" s="38">
        <f t="array" ref="AK457">IF(F457=1,SUM((ROW(M0)=ROW(AK457))*(M0+M1_+M2_+M3_+M4_+M5_+M6_+M7_+M8_+M9_+M10_+M11_+M12_+M13_+M14_+M15_+M16_+M17_+M18_+M19_+M20_+M21_+M22_+M23_+M24_+M25_)),0)</f>
        <v>0</v>
      </c>
      <c r="AL457" s="27">
        <f>TableCosts[[#This Row],[N_Direct]]</f>
        <v>0</v>
      </c>
      <c r="AN457" s="7" t="str">
        <f t="shared" si="87"/>
        <v/>
      </c>
      <c r="AO457" s="7" t="str">
        <f t="shared" si="90"/>
        <v/>
      </c>
      <c r="AP457" s="7" t="str">
        <f t="shared" si="88"/>
        <v/>
      </c>
      <c r="AQ457" s="7" t="str">
        <f t="shared" si="91"/>
        <v/>
      </c>
      <c r="AR457" s="7" t="str">
        <f t="shared" si="89"/>
        <v/>
      </c>
      <c r="AS457" s="7">
        <f t="shared" si="92"/>
        <v>0</v>
      </c>
      <c r="AT457" s="17">
        <f>TableCosts[[#This Row],[N_Amount]]*TableCosts[[#This Row],[N_Tariff]]*TableCosts[[#This Row],[N_ItemsCount]]</f>
        <v>0</v>
      </c>
      <c r="AU457" s="17">
        <f>IF(F457=1,IF(TableCosts[[#This Row],[N_Kateg]]="interné práce",TableCosts[[#This Row],[N_Amount]]*8*PAR_SGA_PERHOUR,0),0)</f>
        <v>0</v>
      </c>
      <c r="AV457" s="17">
        <f>SUM(TableCosts[[#This Row],[N_Direct]:[N_SGA]])</f>
        <v>0</v>
      </c>
      <c r="AW457" s="7">
        <f>IF(F457=1,IF(D457="",NA(),VLOOKUP(C457&amp;TableCosts[[#This Row],[Calc_N_Typ]],TRAN_STRITEMS_LABEL,7,0)),0)</f>
        <v>0</v>
      </c>
      <c r="AX457" s="7">
        <f t="shared" si="93"/>
        <v>0</v>
      </c>
      <c r="AY457" s="57" t="str">
        <f t="shared" si="94"/>
        <v/>
      </c>
      <c r="AZ457" s="57" t="str">
        <f t="shared" si="95"/>
        <v/>
      </c>
      <c r="BA457" s="57" t="str">
        <f>IF(F457=1,IF(TableCosts[[#This Row],[TransferFrom]]=TableCosts[[#This Row],[TranferTo]],0,1),"")</f>
        <v/>
      </c>
      <c r="BB457" s="7">
        <f t="shared" si="96"/>
        <v>0</v>
      </c>
      <c r="BC457" s="7">
        <f t="shared" si="97"/>
        <v>0</v>
      </c>
    </row>
    <row r="458" spans="2:55" s="7" customFormat="1" ht="12.75" x14ac:dyDescent="0.2">
      <c r="B458" s="33"/>
      <c r="C458" s="31"/>
      <c r="D458" s="40"/>
      <c r="E458" s="6" t="str">
        <f>IF(F458=1,IF(ISERROR(TableCosts[[#This Row],[N_Tariff]]),Err_Message1,IF(TableCosts[[#This Row],[N_Tariff]]=0,Err_Message2,VLOOKUP(C458&amp;TableCosts[[#This Row],[Calc_N_Typ]],TRAN_STRITEMS_LABEL,5,FALSE))),"")</f>
        <v/>
      </c>
      <c r="F458" s="6">
        <f t="shared" si="98"/>
        <v>0</v>
      </c>
      <c r="G458" s="6" t="str">
        <f>IF(F458=1,IFERROR(VLOOKUP(E458,Tab_ErrMessage[],2,0),VLOOKUP(C458&amp;TableCosts[[#This Row],[Calc_N_Typ]],TRAN_STRITEMS_LABEL,4,FALSE)),"")</f>
        <v/>
      </c>
      <c r="H458" s="40"/>
      <c r="I458" s="40"/>
      <c r="J458" s="35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  <c r="AD458" s="24"/>
      <c r="AE458" s="24"/>
      <c r="AF458" s="24"/>
      <c r="AG458" s="24"/>
      <c r="AH458" s="24"/>
      <c r="AI458" s="24"/>
      <c r="AJ458" s="24"/>
      <c r="AK458" s="38">
        <f t="array" ref="AK458">IF(F458=1,SUM((ROW(M0)=ROW(AK458))*(M0+M1_+M2_+M3_+M4_+M5_+M6_+M7_+M8_+M9_+M10_+M11_+M12_+M13_+M14_+M15_+M16_+M17_+M18_+M19_+M20_+M21_+M22_+M23_+M24_+M25_)),0)</f>
        <v>0</v>
      </c>
      <c r="AL458" s="27">
        <f>TableCosts[[#This Row],[N_Direct]]</f>
        <v>0</v>
      </c>
      <c r="AN458" s="7" t="str">
        <f t="shared" si="87"/>
        <v/>
      </c>
      <c r="AO458" s="7" t="str">
        <f t="shared" si="90"/>
        <v/>
      </c>
      <c r="AP458" s="7" t="str">
        <f t="shared" si="88"/>
        <v/>
      </c>
      <c r="AQ458" s="7" t="str">
        <f t="shared" si="91"/>
        <v/>
      </c>
      <c r="AR458" s="7" t="str">
        <f t="shared" si="89"/>
        <v/>
      </c>
      <c r="AS458" s="7">
        <f t="shared" si="92"/>
        <v>0</v>
      </c>
      <c r="AT458" s="17">
        <f>TableCosts[[#This Row],[N_Amount]]*TableCosts[[#This Row],[N_Tariff]]*TableCosts[[#This Row],[N_ItemsCount]]</f>
        <v>0</v>
      </c>
      <c r="AU458" s="17">
        <f>IF(F458=1,IF(TableCosts[[#This Row],[N_Kateg]]="interné práce",TableCosts[[#This Row],[N_Amount]]*8*PAR_SGA_PERHOUR,0),0)</f>
        <v>0</v>
      </c>
      <c r="AV458" s="17">
        <f>SUM(TableCosts[[#This Row],[N_Direct]:[N_SGA]])</f>
        <v>0</v>
      </c>
      <c r="AW458" s="7">
        <f>IF(F458=1,IF(D458="",NA(),VLOOKUP(C458&amp;TableCosts[[#This Row],[Calc_N_Typ]],TRAN_STRITEMS_LABEL,7,0)),0)</f>
        <v>0</v>
      </c>
      <c r="AX458" s="7">
        <f t="shared" si="93"/>
        <v>0</v>
      </c>
      <c r="AY458" s="57" t="str">
        <f t="shared" si="94"/>
        <v/>
      </c>
      <c r="AZ458" s="57" t="str">
        <f t="shared" si="95"/>
        <v/>
      </c>
      <c r="BA458" s="57" t="str">
        <f>IF(F458=1,IF(TableCosts[[#This Row],[TransferFrom]]=TableCosts[[#This Row],[TranferTo]],0,1),"")</f>
        <v/>
      </c>
      <c r="BB458" s="7">
        <f t="shared" si="96"/>
        <v>0</v>
      </c>
      <c r="BC458" s="7">
        <f t="shared" si="97"/>
        <v>0</v>
      </c>
    </row>
    <row r="459" spans="2:55" s="7" customFormat="1" ht="12.75" x14ac:dyDescent="0.2">
      <c r="B459" s="33"/>
      <c r="C459" s="31"/>
      <c r="D459" s="40"/>
      <c r="E459" s="6" t="str">
        <f>IF(F459=1,IF(ISERROR(TableCosts[[#This Row],[N_Tariff]]),Err_Message1,IF(TableCosts[[#This Row],[N_Tariff]]=0,Err_Message2,VLOOKUP(C459&amp;TableCosts[[#This Row],[Calc_N_Typ]],TRAN_STRITEMS_LABEL,5,FALSE))),"")</f>
        <v/>
      </c>
      <c r="F459" s="6">
        <f t="shared" si="98"/>
        <v>0</v>
      </c>
      <c r="G459" s="6" t="str">
        <f>IF(F459=1,IFERROR(VLOOKUP(E459,Tab_ErrMessage[],2,0),VLOOKUP(C459&amp;TableCosts[[#This Row],[Calc_N_Typ]],TRAN_STRITEMS_LABEL,4,FALSE)),"")</f>
        <v/>
      </c>
      <c r="H459" s="40"/>
      <c r="I459" s="40"/>
      <c r="J459" s="35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  <c r="AD459" s="24"/>
      <c r="AE459" s="24"/>
      <c r="AF459" s="24"/>
      <c r="AG459" s="24"/>
      <c r="AH459" s="24"/>
      <c r="AI459" s="24"/>
      <c r="AJ459" s="24"/>
      <c r="AK459" s="38">
        <f t="array" ref="AK459">IF(F459=1,SUM((ROW(M0)=ROW(AK459))*(M0+M1_+M2_+M3_+M4_+M5_+M6_+M7_+M8_+M9_+M10_+M11_+M12_+M13_+M14_+M15_+M16_+M17_+M18_+M19_+M20_+M21_+M22_+M23_+M24_+M25_)),0)</f>
        <v>0</v>
      </c>
      <c r="AL459" s="27">
        <f>TableCosts[[#This Row],[N_Direct]]</f>
        <v>0</v>
      </c>
      <c r="AN459" s="7" t="str">
        <f t="shared" si="87"/>
        <v/>
      </c>
      <c r="AO459" s="7" t="str">
        <f t="shared" si="90"/>
        <v/>
      </c>
      <c r="AP459" s="7" t="str">
        <f t="shared" si="88"/>
        <v/>
      </c>
      <c r="AQ459" s="7" t="str">
        <f t="shared" si="91"/>
        <v/>
      </c>
      <c r="AR459" s="7" t="str">
        <f t="shared" si="89"/>
        <v/>
      </c>
      <c r="AS459" s="7">
        <f t="shared" si="92"/>
        <v>0</v>
      </c>
      <c r="AT459" s="17">
        <f>TableCosts[[#This Row],[N_Amount]]*TableCosts[[#This Row],[N_Tariff]]*TableCosts[[#This Row],[N_ItemsCount]]</f>
        <v>0</v>
      </c>
      <c r="AU459" s="17">
        <f>IF(F459=1,IF(TableCosts[[#This Row],[N_Kateg]]="interné práce",TableCosts[[#This Row],[N_Amount]]*8*PAR_SGA_PERHOUR,0),0)</f>
        <v>0</v>
      </c>
      <c r="AV459" s="17">
        <f>SUM(TableCosts[[#This Row],[N_Direct]:[N_SGA]])</f>
        <v>0</v>
      </c>
      <c r="AW459" s="7">
        <f>IF(F459=1,IF(D459="",NA(),VLOOKUP(C459&amp;TableCosts[[#This Row],[Calc_N_Typ]],TRAN_STRITEMS_LABEL,7,0)),0)</f>
        <v>0</v>
      </c>
      <c r="AX459" s="7">
        <f t="shared" si="93"/>
        <v>0</v>
      </c>
      <c r="AY459" s="57" t="str">
        <f t="shared" si="94"/>
        <v/>
      </c>
      <c r="AZ459" s="57" t="str">
        <f t="shared" si="95"/>
        <v/>
      </c>
      <c r="BA459" s="57" t="str">
        <f>IF(F459=1,IF(TableCosts[[#This Row],[TransferFrom]]=TableCosts[[#This Row],[TranferTo]],0,1),"")</f>
        <v/>
      </c>
      <c r="BB459" s="7">
        <f t="shared" si="96"/>
        <v>0</v>
      </c>
      <c r="BC459" s="7">
        <f t="shared" si="97"/>
        <v>0</v>
      </c>
    </row>
    <row r="460" spans="2:55" s="7" customFormat="1" ht="12.75" x14ac:dyDescent="0.2">
      <c r="B460" s="33"/>
      <c r="C460" s="31"/>
      <c r="D460" s="40"/>
      <c r="E460" s="6" t="str">
        <f>IF(F460=1,IF(ISERROR(TableCosts[[#This Row],[N_Tariff]]),Err_Message1,IF(TableCosts[[#This Row],[N_Tariff]]=0,Err_Message2,VLOOKUP(C460&amp;TableCosts[[#This Row],[Calc_N_Typ]],TRAN_STRITEMS_LABEL,5,FALSE))),"")</f>
        <v/>
      </c>
      <c r="F460" s="6">
        <f t="shared" si="98"/>
        <v>0</v>
      </c>
      <c r="G460" s="6" t="str">
        <f>IF(F460=1,IFERROR(VLOOKUP(E460,Tab_ErrMessage[],2,0),VLOOKUP(C460&amp;TableCosts[[#This Row],[Calc_N_Typ]],TRAN_STRITEMS_LABEL,4,FALSE)),"")</f>
        <v/>
      </c>
      <c r="H460" s="40"/>
      <c r="I460" s="40"/>
      <c r="J460" s="35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  <c r="AD460" s="24"/>
      <c r="AE460" s="24"/>
      <c r="AF460" s="24"/>
      <c r="AG460" s="24"/>
      <c r="AH460" s="24"/>
      <c r="AI460" s="24"/>
      <c r="AJ460" s="24"/>
      <c r="AK460" s="38">
        <f t="array" ref="AK460">IF(F460=1,SUM((ROW(M0)=ROW(AK460))*(M0+M1_+M2_+M3_+M4_+M5_+M6_+M7_+M8_+M9_+M10_+M11_+M12_+M13_+M14_+M15_+M16_+M17_+M18_+M19_+M20_+M21_+M22_+M23_+M24_+M25_)),0)</f>
        <v>0</v>
      </c>
      <c r="AL460" s="27">
        <f>TableCosts[[#This Row],[N_Direct]]</f>
        <v>0</v>
      </c>
      <c r="AN460" s="7" t="str">
        <f t="shared" si="87"/>
        <v/>
      </c>
      <c r="AO460" s="7" t="str">
        <f t="shared" si="90"/>
        <v/>
      </c>
      <c r="AP460" s="7" t="str">
        <f t="shared" si="88"/>
        <v/>
      </c>
      <c r="AQ460" s="7" t="str">
        <f t="shared" si="91"/>
        <v/>
      </c>
      <c r="AR460" s="7" t="str">
        <f t="shared" si="89"/>
        <v/>
      </c>
      <c r="AS460" s="7">
        <f t="shared" si="92"/>
        <v>0</v>
      </c>
      <c r="AT460" s="17">
        <f>TableCosts[[#This Row],[N_Amount]]*TableCosts[[#This Row],[N_Tariff]]*TableCosts[[#This Row],[N_ItemsCount]]</f>
        <v>0</v>
      </c>
      <c r="AU460" s="17">
        <f>IF(F460=1,IF(TableCosts[[#This Row],[N_Kateg]]="interné práce",TableCosts[[#This Row],[N_Amount]]*8*PAR_SGA_PERHOUR,0),0)</f>
        <v>0</v>
      </c>
      <c r="AV460" s="17">
        <f>SUM(TableCosts[[#This Row],[N_Direct]:[N_SGA]])</f>
        <v>0</v>
      </c>
      <c r="AW460" s="7">
        <f>IF(F460=1,IF(D460="",NA(),VLOOKUP(C460&amp;TableCosts[[#This Row],[Calc_N_Typ]],TRAN_STRITEMS_LABEL,7,0)),0)</f>
        <v>0</v>
      </c>
      <c r="AX460" s="7">
        <f t="shared" si="93"/>
        <v>0</v>
      </c>
      <c r="AY460" s="57" t="str">
        <f t="shared" si="94"/>
        <v/>
      </c>
      <c r="AZ460" s="57" t="str">
        <f t="shared" si="95"/>
        <v/>
      </c>
      <c r="BA460" s="57" t="str">
        <f>IF(F460=1,IF(TableCosts[[#This Row],[TransferFrom]]=TableCosts[[#This Row],[TranferTo]],0,1),"")</f>
        <v/>
      </c>
      <c r="BB460" s="7">
        <f t="shared" si="96"/>
        <v>0</v>
      </c>
      <c r="BC460" s="7">
        <f t="shared" si="97"/>
        <v>0</v>
      </c>
    </row>
    <row r="461" spans="2:55" s="7" customFormat="1" ht="12.75" x14ac:dyDescent="0.2">
      <c r="B461" s="33"/>
      <c r="C461" s="31"/>
      <c r="D461" s="40"/>
      <c r="E461" s="6" t="str">
        <f>IF(F461=1,IF(ISERROR(TableCosts[[#This Row],[N_Tariff]]),Err_Message1,IF(TableCosts[[#This Row],[N_Tariff]]=0,Err_Message2,VLOOKUP(C461&amp;TableCosts[[#This Row],[Calc_N_Typ]],TRAN_STRITEMS_LABEL,5,FALSE))),"")</f>
        <v/>
      </c>
      <c r="F461" s="6">
        <f t="shared" si="98"/>
        <v>0</v>
      </c>
      <c r="G461" s="6" t="str">
        <f>IF(F461=1,IFERROR(VLOOKUP(E461,Tab_ErrMessage[],2,0),VLOOKUP(C461&amp;TableCosts[[#This Row],[Calc_N_Typ]],TRAN_STRITEMS_LABEL,4,FALSE)),"")</f>
        <v/>
      </c>
      <c r="H461" s="40"/>
      <c r="I461" s="40"/>
      <c r="J461" s="35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  <c r="AD461" s="24"/>
      <c r="AE461" s="24"/>
      <c r="AF461" s="24"/>
      <c r="AG461" s="24"/>
      <c r="AH461" s="24"/>
      <c r="AI461" s="24"/>
      <c r="AJ461" s="24"/>
      <c r="AK461" s="38">
        <f t="array" ref="AK461">IF(F461=1,SUM((ROW(M0)=ROW(AK461))*(M0+M1_+M2_+M3_+M4_+M5_+M6_+M7_+M8_+M9_+M10_+M11_+M12_+M13_+M14_+M15_+M16_+M17_+M18_+M19_+M20_+M21_+M22_+M23_+M24_+M25_)),0)</f>
        <v>0</v>
      </c>
      <c r="AL461" s="27">
        <f>TableCosts[[#This Row],[N_Direct]]</f>
        <v>0</v>
      </c>
      <c r="AN461" s="7" t="str">
        <f t="shared" si="87"/>
        <v/>
      </c>
      <c r="AO461" s="7" t="str">
        <f t="shared" si="90"/>
        <v/>
      </c>
      <c r="AP461" s="7" t="str">
        <f t="shared" si="88"/>
        <v/>
      </c>
      <c r="AQ461" s="7" t="str">
        <f t="shared" si="91"/>
        <v/>
      </c>
      <c r="AR461" s="7" t="str">
        <f t="shared" si="89"/>
        <v/>
      </c>
      <c r="AS461" s="7">
        <f t="shared" si="92"/>
        <v>0</v>
      </c>
      <c r="AT461" s="17">
        <f>TableCosts[[#This Row],[N_Amount]]*TableCosts[[#This Row],[N_Tariff]]*TableCosts[[#This Row],[N_ItemsCount]]</f>
        <v>0</v>
      </c>
      <c r="AU461" s="17">
        <f>IF(F461=1,IF(TableCosts[[#This Row],[N_Kateg]]="interné práce",TableCosts[[#This Row],[N_Amount]]*8*PAR_SGA_PERHOUR,0),0)</f>
        <v>0</v>
      </c>
      <c r="AV461" s="17">
        <f>SUM(TableCosts[[#This Row],[N_Direct]:[N_SGA]])</f>
        <v>0</v>
      </c>
      <c r="AW461" s="7">
        <f>IF(F461=1,IF(D461="",NA(),VLOOKUP(C461&amp;TableCosts[[#This Row],[Calc_N_Typ]],TRAN_STRITEMS_LABEL,7,0)),0)</f>
        <v>0</v>
      </c>
      <c r="AX461" s="7">
        <f t="shared" si="93"/>
        <v>0</v>
      </c>
      <c r="AY461" s="57" t="str">
        <f t="shared" si="94"/>
        <v/>
      </c>
      <c r="AZ461" s="57" t="str">
        <f t="shared" si="95"/>
        <v/>
      </c>
      <c r="BA461" s="57" t="str">
        <f>IF(F461=1,IF(TableCosts[[#This Row],[TransferFrom]]=TableCosts[[#This Row],[TranferTo]],0,1),"")</f>
        <v/>
      </c>
      <c r="BB461" s="7">
        <f t="shared" si="96"/>
        <v>0</v>
      </c>
      <c r="BC461" s="7">
        <f t="shared" si="97"/>
        <v>0</v>
      </c>
    </row>
    <row r="462" spans="2:55" s="7" customFormat="1" ht="12.75" x14ac:dyDescent="0.2">
      <c r="B462" s="33"/>
      <c r="C462" s="31"/>
      <c r="D462" s="40"/>
      <c r="E462" s="6" t="str">
        <f>IF(F462=1,IF(ISERROR(TableCosts[[#This Row],[N_Tariff]]),Err_Message1,IF(TableCosts[[#This Row],[N_Tariff]]=0,Err_Message2,VLOOKUP(C462&amp;TableCosts[[#This Row],[Calc_N_Typ]],TRAN_STRITEMS_LABEL,5,FALSE))),"")</f>
        <v/>
      </c>
      <c r="F462" s="6">
        <f t="shared" si="98"/>
        <v>0</v>
      </c>
      <c r="G462" s="6" t="str">
        <f>IF(F462=1,IFERROR(VLOOKUP(E462,Tab_ErrMessage[],2,0),VLOOKUP(C462&amp;TableCosts[[#This Row],[Calc_N_Typ]],TRAN_STRITEMS_LABEL,4,FALSE)),"")</f>
        <v/>
      </c>
      <c r="H462" s="40"/>
      <c r="I462" s="40"/>
      <c r="J462" s="35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  <c r="AD462" s="24"/>
      <c r="AE462" s="24"/>
      <c r="AF462" s="24"/>
      <c r="AG462" s="24"/>
      <c r="AH462" s="24"/>
      <c r="AI462" s="24"/>
      <c r="AJ462" s="24"/>
      <c r="AK462" s="38">
        <f t="array" ref="AK462">IF(F462=1,SUM((ROW(M0)=ROW(AK462))*(M0+M1_+M2_+M3_+M4_+M5_+M6_+M7_+M8_+M9_+M10_+M11_+M12_+M13_+M14_+M15_+M16_+M17_+M18_+M19_+M20_+M21_+M22_+M23_+M24_+M25_)),0)</f>
        <v>0</v>
      </c>
      <c r="AL462" s="27">
        <f>TableCosts[[#This Row],[N_Direct]]</f>
        <v>0</v>
      </c>
      <c r="AN462" s="7" t="str">
        <f t="shared" si="87"/>
        <v/>
      </c>
      <c r="AO462" s="7" t="str">
        <f t="shared" si="90"/>
        <v/>
      </c>
      <c r="AP462" s="7" t="str">
        <f t="shared" si="88"/>
        <v/>
      </c>
      <c r="AQ462" s="7" t="str">
        <f t="shared" si="91"/>
        <v/>
      </c>
      <c r="AR462" s="7" t="str">
        <f t="shared" si="89"/>
        <v/>
      </c>
      <c r="AS462" s="7">
        <f t="shared" si="92"/>
        <v>0</v>
      </c>
      <c r="AT462" s="17">
        <f>TableCosts[[#This Row],[N_Amount]]*TableCosts[[#This Row],[N_Tariff]]*TableCosts[[#This Row],[N_ItemsCount]]</f>
        <v>0</v>
      </c>
      <c r="AU462" s="17">
        <f>IF(F462=1,IF(TableCosts[[#This Row],[N_Kateg]]="interné práce",TableCosts[[#This Row],[N_Amount]]*8*PAR_SGA_PERHOUR,0),0)</f>
        <v>0</v>
      </c>
      <c r="AV462" s="17">
        <f>SUM(TableCosts[[#This Row],[N_Direct]:[N_SGA]])</f>
        <v>0</v>
      </c>
      <c r="AW462" s="7">
        <f>IF(F462=1,IF(D462="",NA(),VLOOKUP(C462&amp;TableCosts[[#This Row],[Calc_N_Typ]],TRAN_STRITEMS_LABEL,7,0)),0)</f>
        <v>0</v>
      </c>
      <c r="AX462" s="7">
        <f t="shared" si="93"/>
        <v>0</v>
      </c>
      <c r="AY462" s="57" t="str">
        <f t="shared" si="94"/>
        <v/>
      </c>
      <c r="AZ462" s="57" t="str">
        <f t="shared" si="95"/>
        <v/>
      </c>
      <c r="BA462" s="57" t="str">
        <f>IF(F462=1,IF(TableCosts[[#This Row],[TransferFrom]]=TableCosts[[#This Row],[TranferTo]],0,1),"")</f>
        <v/>
      </c>
      <c r="BB462" s="7">
        <f t="shared" si="96"/>
        <v>0</v>
      </c>
      <c r="BC462" s="7">
        <f t="shared" si="97"/>
        <v>0</v>
      </c>
    </row>
    <row r="463" spans="2:55" s="7" customFormat="1" ht="12.75" x14ac:dyDescent="0.2">
      <c r="B463" s="33"/>
      <c r="C463" s="31"/>
      <c r="D463" s="40"/>
      <c r="E463" s="6" t="str">
        <f>IF(F463=1,IF(ISERROR(TableCosts[[#This Row],[N_Tariff]]),Err_Message1,IF(TableCosts[[#This Row],[N_Tariff]]=0,Err_Message2,VLOOKUP(C463&amp;TableCosts[[#This Row],[Calc_N_Typ]],TRAN_STRITEMS_LABEL,5,FALSE))),"")</f>
        <v/>
      </c>
      <c r="F463" s="6">
        <f t="shared" si="98"/>
        <v>0</v>
      </c>
      <c r="G463" s="6" t="str">
        <f>IF(F463=1,IFERROR(VLOOKUP(E463,Tab_ErrMessage[],2,0),VLOOKUP(C463&amp;TableCosts[[#This Row],[Calc_N_Typ]],TRAN_STRITEMS_LABEL,4,FALSE)),"")</f>
        <v/>
      </c>
      <c r="H463" s="40"/>
      <c r="I463" s="40"/>
      <c r="J463" s="35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  <c r="AD463" s="24"/>
      <c r="AE463" s="24"/>
      <c r="AF463" s="24"/>
      <c r="AG463" s="24"/>
      <c r="AH463" s="24"/>
      <c r="AI463" s="24"/>
      <c r="AJ463" s="24"/>
      <c r="AK463" s="38">
        <f t="array" ref="AK463">IF(F463=1,SUM((ROW(M0)=ROW(AK463))*(M0+M1_+M2_+M3_+M4_+M5_+M6_+M7_+M8_+M9_+M10_+M11_+M12_+M13_+M14_+M15_+M16_+M17_+M18_+M19_+M20_+M21_+M22_+M23_+M24_+M25_)),0)</f>
        <v>0</v>
      </c>
      <c r="AL463" s="27">
        <f>TableCosts[[#This Row],[N_Direct]]</f>
        <v>0</v>
      </c>
      <c r="AN463" s="7" t="str">
        <f t="shared" si="87"/>
        <v/>
      </c>
      <c r="AO463" s="7" t="str">
        <f t="shared" si="90"/>
        <v/>
      </c>
      <c r="AP463" s="7" t="str">
        <f t="shared" si="88"/>
        <v/>
      </c>
      <c r="AQ463" s="7" t="str">
        <f t="shared" si="91"/>
        <v/>
      </c>
      <c r="AR463" s="7" t="str">
        <f t="shared" si="89"/>
        <v/>
      </c>
      <c r="AS463" s="7">
        <f t="shared" si="92"/>
        <v>0</v>
      </c>
      <c r="AT463" s="17">
        <f>TableCosts[[#This Row],[N_Amount]]*TableCosts[[#This Row],[N_Tariff]]*TableCosts[[#This Row],[N_ItemsCount]]</f>
        <v>0</v>
      </c>
      <c r="AU463" s="17">
        <f>IF(F463=1,IF(TableCosts[[#This Row],[N_Kateg]]="interné práce",TableCosts[[#This Row],[N_Amount]]*8*PAR_SGA_PERHOUR,0),0)</f>
        <v>0</v>
      </c>
      <c r="AV463" s="17">
        <f>SUM(TableCosts[[#This Row],[N_Direct]:[N_SGA]])</f>
        <v>0</v>
      </c>
      <c r="AW463" s="7">
        <f>IF(F463=1,IF(D463="",NA(),VLOOKUP(C463&amp;TableCosts[[#This Row],[Calc_N_Typ]],TRAN_STRITEMS_LABEL,7,0)),0)</f>
        <v>0</v>
      </c>
      <c r="AX463" s="7">
        <f t="shared" si="93"/>
        <v>0</v>
      </c>
      <c r="AY463" s="57" t="str">
        <f t="shared" si="94"/>
        <v/>
      </c>
      <c r="AZ463" s="57" t="str">
        <f t="shared" si="95"/>
        <v/>
      </c>
      <c r="BA463" s="57" t="str">
        <f>IF(F463=1,IF(TableCosts[[#This Row],[TransferFrom]]=TableCosts[[#This Row],[TranferTo]],0,1),"")</f>
        <v/>
      </c>
      <c r="BB463" s="7">
        <f t="shared" si="96"/>
        <v>0</v>
      </c>
      <c r="BC463" s="7">
        <f t="shared" si="97"/>
        <v>0</v>
      </c>
    </row>
    <row r="464" spans="2:55" s="7" customFormat="1" ht="12.75" x14ac:dyDescent="0.2">
      <c r="B464" s="33"/>
      <c r="C464" s="31"/>
      <c r="D464" s="40"/>
      <c r="E464" s="6" t="str">
        <f>IF(F464=1,IF(ISERROR(TableCosts[[#This Row],[N_Tariff]]),Err_Message1,IF(TableCosts[[#This Row],[N_Tariff]]=0,Err_Message2,VLOOKUP(C464&amp;TableCosts[[#This Row],[Calc_N_Typ]],TRAN_STRITEMS_LABEL,5,FALSE))),"")</f>
        <v/>
      </c>
      <c r="F464" s="6">
        <f t="shared" si="98"/>
        <v>0</v>
      </c>
      <c r="G464" s="6" t="str">
        <f>IF(F464=1,IFERROR(VLOOKUP(E464,Tab_ErrMessage[],2,0),VLOOKUP(C464&amp;TableCosts[[#This Row],[Calc_N_Typ]],TRAN_STRITEMS_LABEL,4,FALSE)),"")</f>
        <v/>
      </c>
      <c r="H464" s="40"/>
      <c r="I464" s="40"/>
      <c r="J464" s="35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  <c r="AD464" s="24"/>
      <c r="AE464" s="24"/>
      <c r="AF464" s="24"/>
      <c r="AG464" s="24"/>
      <c r="AH464" s="24"/>
      <c r="AI464" s="24"/>
      <c r="AJ464" s="24"/>
      <c r="AK464" s="38">
        <f t="array" ref="AK464">IF(F464=1,SUM((ROW(M0)=ROW(AK464))*(M0+M1_+M2_+M3_+M4_+M5_+M6_+M7_+M8_+M9_+M10_+M11_+M12_+M13_+M14_+M15_+M16_+M17_+M18_+M19_+M20_+M21_+M22_+M23_+M24_+M25_)),0)</f>
        <v>0</v>
      </c>
      <c r="AL464" s="27">
        <f>TableCosts[[#This Row],[N_Direct]]</f>
        <v>0</v>
      </c>
      <c r="AN464" s="7" t="str">
        <f t="shared" si="87"/>
        <v/>
      </c>
      <c r="AO464" s="7" t="str">
        <f t="shared" si="90"/>
        <v/>
      </c>
      <c r="AP464" s="7" t="str">
        <f t="shared" si="88"/>
        <v/>
      </c>
      <c r="AQ464" s="7" t="str">
        <f t="shared" si="91"/>
        <v/>
      </c>
      <c r="AR464" s="7" t="str">
        <f t="shared" si="89"/>
        <v/>
      </c>
      <c r="AS464" s="7">
        <f t="shared" si="92"/>
        <v>0</v>
      </c>
      <c r="AT464" s="17">
        <f>TableCosts[[#This Row],[N_Amount]]*TableCosts[[#This Row],[N_Tariff]]*TableCosts[[#This Row],[N_ItemsCount]]</f>
        <v>0</v>
      </c>
      <c r="AU464" s="17">
        <f>IF(F464=1,IF(TableCosts[[#This Row],[N_Kateg]]="interné práce",TableCosts[[#This Row],[N_Amount]]*8*PAR_SGA_PERHOUR,0),0)</f>
        <v>0</v>
      </c>
      <c r="AV464" s="17">
        <f>SUM(TableCosts[[#This Row],[N_Direct]:[N_SGA]])</f>
        <v>0</v>
      </c>
      <c r="AW464" s="7">
        <f>IF(F464=1,IF(D464="",NA(),VLOOKUP(C464&amp;TableCosts[[#This Row],[Calc_N_Typ]],TRAN_STRITEMS_LABEL,7,0)),0)</f>
        <v>0</v>
      </c>
      <c r="AX464" s="7">
        <f t="shared" si="93"/>
        <v>0</v>
      </c>
      <c r="AY464" s="57" t="str">
        <f t="shared" si="94"/>
        <v/>
      </c>
      <c r="AZ464" s="57" t="str">
        <f t="shared" si="95"/>
        <v/>
      </c>
      <c r="BA464" s="57" t="str">
        <f>IF(F464=1,IF(TableCosts[[#This Row],[TransferFrom]]=TableCosts[[#This Row],[TranferTo]],0,1),"")</f>
        <v/>
      </c>
      <c r="BB464" s="7">
        <f t="shared" si="96"/>
        <v>0</v>
      </c>
      <c r="BC464" s="7">
        <f t="shared" si="97"/>
        <v>0</v>
      </c>
    </row>
    <row r="465" spans="2:55" s="7" customFormat="1" ht="12.75" x14ac:dyDescent="0.2">
      <c r="B465" s="33"/>
      <c r="C465" s="31"/>
      <c r="D465" s="40"/>
      <c r="E465" s="6" t="str">
        <f>IF(F465=1,IF(ISERROR(TableCosts[[#This Row],[N_Tariff]]),Err_Message1,IF(TableCosts[[#This Row],[N_Tariff]]=0,Err_Message2,VLOOKUP(C465&amp;TableCosts[[#This Row],[Calc_N_Typ]],TRAN_STRITEMS_LABEL,5,FALSE))),"")</f>
        <v/>
      </c>
      <c r="F465" s="6">
        <f t="shared" si="98"/>
        <v>0</v>
      </c>
      <c r="G465" s="6" t="str">
        <f>IF(F465=1,IFERROR(VLOOKUP(E465,Tab_ErrMessage[],2,0),VLOOKUP(C465&amp;TableCosts[[#This Row],[Calc_N_Typ]],TRAN_STRITEMS_LABEL,4,FALSE)),"")</f>
        <v/>
      </c>
      <c r="H465" s="40"/>
      <c r="I465" s="40"/>
      <c r="J465" s="35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  <c r="AD465" s="24"/>
      <c r="AE465" s="24"/>
      <c r="AF465" s="24"/>
      <c r="AG465" s="24"/>
      <c r="AH465" s="24"/>
      <c r="AI465" s="24"/>
      <c r="AJ465" s="24"/>
      <c r="AK465" s="38">
        <f t="array" ref="AK465">IF(F465=1,SUM((ROW(M0)=ROW(AK465))*(M0+M1_+M2_+M3_+M4_+M5_+M6_+M7_+M8_+M9_+M10_+M11_+M12_+M13_+M14_+M15_+M16_+M17_+M18_+M19_+M20_+M21_+M22_+M23_+M24_+M25_)),0)</f>
        <v>0</v>
      </c>
      <c r="AL465" s="27">
        <f>TableCosts[[#This Row],[N_Direct]]</f>
        <v>0</v>
      </c>
      <c r="AN465" s="7" t="str">
        <f t="shared" si="87"/>
        <v/>
      </c>
      <c r="AO465" s="7" t="str">
        <f t="shared" si="90"/>
        <v/>
      </c>
      <c r="AP465" s="7" t="str">
        <f t="shared" si="88"/>
        <v/>
      </c>
      <c r="AQ465" s="7" t="str">
        <f t="shared" si="91"/>
        <v/>
      </c>
      <c r="AR465" s="7" t="str">
        <f t="shared" si="89"/>
        <v/>
      </c>
      <c r="AS465" s="7">
        <f t="shared" si="92"/>
        <v>0</v>
      </c>
      <c r="AT465" s="17">
        <f>TableCosts[[#This Row],[N_Amount]]*TableCosts[[#This Row],[N_Tariff]]*TableCosts[[#This Row],[N_ItemsCount]]</f>
        <v>0</v>
      </c>
      <c r="AU465" s="17">
        <f>IF(F465=1,IF(TableCosts[[#This Row],[N_Kateg]]="interné práce",TableCosts[[#This Row],[N_Amount]]*8*PAR_SGA_PERHOUR,0),0)</f>
        <v>0</v>
      </c>
      <c r="AV465" s="17">
        <f>SUM(TableCosts[[#This Row],[N_Direct]:[N_SGA]])</f>
        <v>0</v>
      </c>
      <c r="AW465" s="7">
        <f>IF(F465=1,IF(D465="",NA(),VLOOKUP(C465&amp;TableCosts[[#This Row],[Calc_N_Typ]],TRAN_STRITEMS_LABEL,7,0)),0)</f>
        <v>0</v>
      </c>
      <c r="AX465" s="7">
        <f t="shared" si="93"/>
        <v>0</v>
      </c>
      <c r="AY465" s="57" t="str">
        <f t="shared" si="94"/>
        <v/>
      </c>
      <c r="AZ465" s="57" t="str">
        <f t="shared" si="95"/>
        <v/>
      </c>
      <c r="BA465" s="57" t="str">
        <f>IF(F465=1,IF(TableCosts[[#This Row],[TransferFrom]]=TableCosts[[#This Row],[TranferTo]],0,1),"")</f>
        <v/>
      </c>
      <c r="BB465" s="7">
        <f t="shared" si="96"/>
        <v>0</v>
      </c>
      <c r="BC465" s="7">
        <f t="shared" si="97"/>
        <v>0</v>
      </c>
    </row>
    <row r="466" spans="2:55" s="7" customFormat="1" ht="12.75" x14ac:dyDescent="0.2">
      <c r="B466" s="33"/>
      <c r="C466" s="31"/>
      <c r="D466" s="40"/>
      <c r="E466" s="6" t="str">
        <f>IF(F466=1,IF(ISERROR(TableCosts[[#This Row],[N_Tariff]]),Err_Message1,IF(TableCosts[[#This Row],[N_Tariff]]=0,Err_Message2,VLOOKUP(C466&amp;TableCosts[[#This Row],[Calc_N_Typ]],TRAN_STRITEMS_LABEL,5,FALSE))),"")</f>
        <v/>
      </c>
      <c r="F466" s="6">
        <f t="shared" si="98"/>
        <v>0</v>
      </c>
      <c r="G466" s="6" t="str">
        <f>IF(F466=1,IFERROR(VLOOKUP(E466,Tab_ErrMessage[],2,0),VLOOKUP(C466&amp;TableCosts[[#This Row],[Calc_N_Typ]],TRAN_STRITEMS_LABEL,4,FALSE)),"")</f>
        <v/>
      </c>
      <c r="H466" s="40"/>
      <c r="I466" s="40"/>
      <c r="J466" s="35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  <c r="AD466" s="24"/>
      <c r="AE466" s="24"/>
      <c r="AF466" s="24"/>
      <c r="AG466" s="24"/>
      <c r="AH466" s="24"/>
      <c r="AI466" s="24"/>
      <c r="AJ466" s="24"/>
      <c r="AK466" s="38">
        <f t="array" ref="AK466">IF(F466=1,SUM((ROW(M0)=ROW(AK466))*(M0+M1_+M2_+M3_+M4_+M5_+M6_+M7_+M8_+M9_+M10_+M11_+M12_+M13_+M14_+M15_+M16_+M17_+M18_+M19_+M20_+M21_+M22_+M23_+M24_+M25_)),0)</f>
        <v>0</v>
      </c>
      <c r="AL466" s="27">
        <f>TableCosts[[#This Row],[N_Direct]]</f>
        <v>0</v>
      </c>
      <c r="AN466" s="7" t="str">
        <f t="shared" si="87"/>
        <v/>
      </c>
      <c r="AO466" s="7" t="str">
        <f t="shared" si="90"/>
        <v/>
      </c>
      <c r="AP466" s="7" t="str">
        <f t="shared" si="88"/>
        <v/>
      </c>
      <c r="AQ466" s="7" t="str">
        <f t="shared" si="91"/>
        <v/>
      </c>
      <c r="AR466" s="7" t="str">
        <f t="shared" si="89"/>
        <v/>
      </c>
      <c r="AS466" s="7">
        <f t="shared" si="92"/>
        <v>0</v>
      </c>
      <c r="AT466" s="17">
        <f>TableCosts[[#This Row],[N_Amount]]*TableCosts[[#This Row],[N_Tariff]]*TableCosts[[#This Row],[N_ItemsCount]]</f>
        <v>0</v>
      </c>
      <c r="AU466" s="17">
        <f>IF(F466=1,IF(TableCosts[[#This Row],[N_Kateg]]="interné práce",TableCosts[[#This Row],[N_Amount]]*8*PAR_SGA_PERHOUR,0),0)</f>
        <v>0</v>
      </c>
      <c r="AV466" s="17">
        <f>SUM(TableCosts[[#This Row],[N_Direct]:[N_SGA]])</f>
        <v>0</v>
      </c>
      <c r="AW466" s="7">
        <f>IF(F466=1,IF(D466="",NA(),VLOOKUP(C466&amp;TableCosts[[#This Row],[Calc_N_Typ]],TRAN_STRITEMS_LABEL,7,0)),0)</f>
        <v>0</v>
      </c>
      <c r="AX466" s="7">
        <f t="shared" si="93"/>
        <v>0</v>
      </c>
      <c r="AY466" s="57" t="str">
        <f t="shared" si="94"/>
        <v/>
      </c>
      <c r="AZ466" s="57" t="str">
        <f t="shared" si="95"/>
        <v/>
      </c>
      <c r="BA466" s="57" t="str">
        <f>IF(F466=1,IF(TableCosts[[#This Row],[TransferFrom]]=TableCosts[[#This Row],[TranferTo]],0,1),"")</f>
        <v/>
      </c>
      <c r="BB466" s="7">
        <f t="shared" si="96"/>
        <v>0</v>
      </c>
      <c r="BC466" s="7">
        <f t="shared" si="97"/>
        <v>0</v>
      </c>
    </row>
    <row r="467" spans="2:55" s="7" customFormat="1" ht="12.75" x14ac:dyDescent="0.2">
      <c r="B467" s="33"/>
      <c r="C467" s="31"/>
      <c r="D467" s="40"/>
      <c r="E467" s="6" t="str">
        <f>IF(F467=1,IF(ISERROR(TableCosts[[#This Row],[N_Tariff]]),Err_Message1,IF(TableCosts[[#This Row],[N_Tariff]]=0,Err_Message2,VLOOKUP(C467&amp;TableCosts[[#This Row],[Calc_N_Typ]],TRAN_STRITEMS_LABEL,5,FALSE))),"")</f>
        <v/>
      </c>
      <c r="F467" s="6">
        <f t="shared" si="98"/>
        <v>0</v>
      </c>
      <c r="G467" s="6" t="str">
        <f>IF(F467=1,IFERROR(VLOOKUP(E467,Tab_ErrMessage[],2,0),VLOOKUP(C467&amp;TableCosts[[#This Row],[Calc_N_Typ]],TRAN_STRITEMS_LABEL,4,FALSE)),"")</f>
        <v/>
      </c>
      <c r="H467" s="40"/>
      <c r="I467" s="40"/>
      <c r="J467" s="35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  <c r="AD467" s="24"/>
      <c r="AE467" s="24"/>
      <c r="AF467" s="24"/>
      <c r="AG467" s="24"/>
      <c r="AH467" s="24"/>
      <c r="AI467" s="24"/>
      <c r="AJ467" s="24"/>
      <c r="AK467" s="38">
        <f t="array" ref="AK467">IF(F467=1,SUM((ROW(M0)=ROW(AK467))*(M0+M1_+M2_+M3_+M4_+M5_+M6_+M7_+M8_+M9_+M10_+M11_+M12_+M13_+M14_+M15_+M16_+M17_+M18_+M19_+M20_+M21_+M22_+M23_+M24_+M25_)),0)</f>
        <v>0</v>
      </c>
      <c r="AL467" s="27">
        <f>TableCosts[[#This Row],[N_Direct]]</f>
        <v>0</v>
      </c>
      <c r="AN467" s="7" t="str">
        <f t="shared" si="87"/>
        <v/>
      </c>
      <c r="AO467" s="7" t="str">
        <f t="shared" si="90"/>
        <v/>
      </c>
      <c r="AP467" s="7" t="str">
        <f t="shared" si="88"/>
        <v/>
      </c>
      <c r="AQ467" s="7" t="str">
        <f t="shared" si="91"/>
        <v/>
      </c>
      <c r="AR467" s="7" t="str">
        <f t="shared" si="89"/>
        <v/>
      </c>
      <c r="AS467" s="7">
        <f t="shared" si="92"/>
        <v>0</v>
      </c>
      <c r="AT467" s="17">
        <f>TableCosts[[#This Row],[N_Amount]]*TableCosts[[#This Row],[N_Tariff]]*TableCosts[[#This Row],[N_ItemsCount]]</f>
        <v>0</v>
      </c>
      <c r="AU467" s="17">
        <f>IF(F467=1,IF(TableCosts[[#This Row],[N_Kateg]]="interné práce",TableCosts[[#This Row],[N_Amount]]*8*PAR_SGA_PERHOUR,0),0)</f>
        <v>0</v>
      </c>
      <c r="AV467" s="17">
        <f>SUM(TableCosts[[#This Row],[N_Direct]:[N_SGA]])</f>
        <v>0</v>
      </c>
      <c r="AW467" s="7">
        <f>IF(F467=1,IF(D467="",NA(),VLOOKUP(C467&amp;TableCosts[[#This Row],[Calc_N_Typ]],TRAN_STRITEMS_LABEL,7,0)),0)</f>
        <v>0</v>
      </c>
      <c r="AX467" s="7">
        <f t="shared" si="93"/>
        <v>0</v>
      </c>
      <c r="AY467" s="57" t="str">
        <f t="shared" si="94"/>
        <v/>
      </c>
      <c r="AZ467" s="57" t="str">
        <f t="shared" si="95"/>
        <v/>
      </c>
      <c r="BA467" s="57" t="str">
        <f>IF(F467=1,IF(TableCosts[[#This Row],[TransferFrom]]=TableCosts[[#This Row],[TranferTo]],0,1),"")</f>
        <v/>
      </c>
      <c r="BB467" s="7">
        <f t="shared" si="96"/>
        <v>0</v>
      </c>
      <c r="BC467" s="7">
        <f t="shared" si="97"/>
        <v>0</v>
      </c>
    </row>
    <row r="468" spans="2:55" s="7" customFormat="1" ht="12.75" x14ac:dyDescent="0.2">
      <c r="B468" s="33"/>
      <c r="C468" s="31"/>
      <c r="D468" s="40"/>
      <c r="E468" s="6" t="str">
        <f>IF(F468=1,IF(ISERROR(TableCosts[[#This Row],[N_Tariff]]),Err_Message1,IF(TableCosts[[#This Row],[N_Tariff]]=0,Err_Message2,VLOOKUP(C468&amp;TableCosts[[#This Row],[Calc_N_Typ]],TRAN_STRITEMS_LABEL,5,FALSE))),"")</f>
        <v/>
      </c>
      <c r="F468" s="6">
        <f t="shared" si="98"/>
        <v>0</v>
      </c>
      <c r="G468" s="6" t="str">
        <f>IF(F468=1,IFERROR(VLOOKUP(E468,Tab_ErrMessage[],2,0),VLOOKUP(C468&amp;TableCosts[[#This Row],[Calc_N_Typ]],TRAN_STRITEMS_LABEL,4,FALSE)),"")</f>
        <v/>
      </c>
      <c r="H468" s="40"/>
      <c r="I468" s="40"/>
      <c r="J468" s="35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  <c r="AD468" s="24"/>
      <c r="AE468" s="24"/>
      <c r="AF468" s="24"/>
      <c r="AG468" s="24"/>
      <c r="AH468" s="24"/>
      <c r="AI468" s="24"/>
      <c r="AJ468" s="24"/>
      <c r="AK468" s="38">
        <f t="array" ref="AK468">IF(F468=1,SUM((ROW(M0)=ROW(AK468))*(M0+M1_+M2_+M3_+M4_+M5_+M6_+M7_+M8_+M9_+M10_+M11_+M12_+M13_+M14_+M15_+M16_+M17_+M18_+M19_+M20_+M21_+M22_+M23_+M24_+M25_)),0)</f>
        <v>0</v>
      </c>
      <c r="AL468" s="27">
        <f>TableCosts[[#This Row],[N_Direct]]</f>
        <v>0</v>
      </c>
      <c r="AN468" s="7" t="str">
        <f t="shared" si="87"/>
        <v/>
      </c>
      <c r="AO468" s="7" t="str">
        <f t="shared" si="90"/>
        <v/>
      </c>
      <c r="AP468" s="7" t="str">
        <f t="shared" si="88"/>
        <v/>
      </c>
      <c r="AQ468" s="7" t="str">
        <f t="shared" si="91"/>
        <v/>
      </c>
      <c r="AR468" s="7" t="str">
        <f t="shared" si="89"/>
        <v/>
      </c>
      <c r="AS468" s="7">
        <f t="shared" si="92"/>
        <v>0</v>
      </c>
      <c r="AT468" s="17">
        <f>TableCosts[[#This Row],[N_Amount]]*TableCosts[[#This Row],[N_Tariff]]*TableCosts[[#This Row],[N_ItemsCount]]</f>
        <v>0</v>
      </c>
      <c r="AU468" s="17">
        <f>IF(F468=1,IF(TableCosts[[#This Row],[N_Kateg]]="interné práce",TableCosts[[#This Row],[N_Amount]]*8*PAR_SGA_PERHOUR,0),0)</f>
        <v>0</v>
      </c>
      <c r="AV468" s="17">
        <f>SUM(TableCosts[[#This Row],[N_Direct]:[N_SGA]])</f>
        <v>0</v>
      </c>
      <c r="AW468" s="7">
        <f>IF(F468=1,IF(D468="",NA(),VLOOKUP(C468&amp;TableCosts[[#This Row],[Calc_N_Typ]],TRAN_STRITEMS_LABEL,7,0)),0)</f>
        <v>0</v>
      </c>
      <c r="AX468" s="7">
        <f t="shared" si="93"/>
        <v>0</v>
      </c>
      <c r="AY468" s="57" t="str">
        <f t="shared" si="94"/>
        <v/>
      </c>
      <c r="AZ468" s="57" t="str">
        <f t="shared" si="95"/>
        <v/>
      </c>
      <c r="BA468" s="57" t="str">
        <f>IF(F468=1,IF(TableCosts[[#This Row],[TransferFrom]]=TableCosts[[#This Row],[TranferTo]],0,1),"")</f>
        <v/>
      </c>
      <c r="BB468" s="7">
        <f t="shared" si="96"/>
        <v>0</v>
      </c>
      <c r="BC468" s="7">
        <f t="shared" si="97"/>
        <v>0</v>
      </c>
    </row>
    <row r="469" spans="2:55" s="7" customFormat="1" ht="12.75" x14ac:dyDescent="0.2">
      <c r="B469" s="33"/>
      <c r="C469" s="31"/>
      <c r="D469" s="40"/>
      <c r="E469" s="6" t="str">
        <f>IF(F469=1,IF(ISERROR(TableCosts[[#This Row],[N_Tariff]]),Err_Message1,IF(TableCosts[[#This Row],[N_Tariff]]=0,Err_Message2,VLOOKUP(C469&amp;TableCosts[[#This Row],[Calc_N_Typ]],TRAN_STRITEMS_LABEL,5,FALSE))),"")</f>
        <v/>
      </c>
      <c r="F469" s="6">
        <f t="shared" si="98"/>
        <v>0</v>
      </c>
      <c r="G469" s="6" t="str">
        <f>IF(F469=1,IFERROR(VLOOKUP(E469,Tab_ErrMessage[],2,0),VLOOKUP(C469&amp;TableCosts[[#This Row],[Calc_N_Typ]],TRAN_STRITEMS_LABEL,4,FALSE)),"")</f>
        <v/>
      </c>
      <c r="H469" s="40"/>
      <c r="I469" s="40"/>
      <c r="J469" s="35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  <c r="AD469" s="24"/>
      <c r="AE469" s="24"/>
      <c r="AF469" s="24"/>
      <c r="AG469" s="24"/>
      <c r="AH469" s="24"/>
      <c r="AI469" s="24"/>
      <c r="AJ469" s="24"/>
      <c r="AK469" s="38">
        <f t="array" ref="AK469">IF(F469=1,SUM((ROW(M0)=ROW(AK469))*(M0+M1_+M2_+M3_+M4_+M5_+M6_+M7_+M8_+M9_+M10_+M11_+M12_+M13_+M14_+M15_+M16_+M17_+M18_+M19_+M20_+M21_+M22_+M23_+M24_+M25_)),0)</f>
        <v>0</v>
      </c>
      <c r="AL469" s="27">
        <f>TableCosts[[#This Row],[N_Direct]]</f>
        <v>0</v>
      </c>
      <c r="AN469" s="7" t="str">
        <f t="shared" si="87"/>
        <v/>
      </c>
      <c r="AO469" s="7" t="str">
        <f t="shared" si="90"/>
        <v/>
      </c>
      <c r="AP469" s="7" t="str">
        <f t="shared" si="88"/>
        <v/>
      </c>
      <c r="AQ469" s="7" t="str">
        <f t="shared" si="91"/>
        <v/>
      </c>
      <c r="AR469" s="7" t="str">
        <f t="shared" si="89"/>
        <v/>
      </c>
      <c r="AS469" s="7">
        <f t="shared" si="92"/>
        <v>0</v>
      </c>
      <c r="AT469" s="17">
        <f>TableCosts[[#This Row],[N_Amount]]*TableCosts[[#This Row],[N_Tariff]]*TableCosts[[#This Row],[N_ItemsCount]]</f>
        <v>0</v>
      </c>
      <c r="AU469" s="17">
        <f>IF(F469=1,IF(TableCosts[[#This Row],[N_Kateg]]="interné práce",TableCosts[[#This Row],[N_Amount]]*8*PAR_SGA_PERHOUR,0),0)</f>
        <v>0</v>
      </c>
      <c r="AV469" s="17">
        <f>SUM(TableCosts[[#This Row],[N_Direct]:[N_SGA]])</f>
        <v>0</v>
      </c>
      <c r="AW469" s="7">
        <f>IF(F469=1,IF(D469="",NA(),VLOOKUP(C469&amp;TableCosts[[#This Row],[Calc_N_Typ]],TRAN_STRITEMS_LABEL,7,0)),0)</f>
        <v>0</v>
      </c>
      <c r="AX469" s="7">
        <f t="shared" si="93"/>
        <v>0</v>
      </c>
      <c r="AY469" s="57" t="str">
        <f t="shared" si="94"/>
        <v/>
      </c>
      <c r="AZ469" s="57" t="str">
        <f t="shared" si="95"/>
        <v/>
      </c>
      <c r="BA469" s="57" t="str">
        <f>IF(F469=1,IF(TableCosts[[#This Row],[TransferFrom]]=TableCosts[[#This Row],[TranferTo]],0,1),"")</f>
        <v/>
      </c>
      <c r="BB469" s="7">
        <f t="shared" si="96"/>
        <v>0</v>
      </c>
      <c r="BC469" s="7">
        <f t="shared" si="97"/>
        <v>0</v>
      </c>
    </row>
    <row r="470" spans="2:55" s="7" customFormat="1" ht="12.75" x14ac:dyDescent="0.2">
      <c r="B470" s="33"/>
      <c r="C470" s="31"/>
      <c r="D470" s="40"/>
      <c r="E470" s="6" t="str">
        <f>IF(F470=1,IF(ISERROR(TableCosts[[#This Row],[N_Tariff]]),Err_Message1,IF(TableCosts[[#This Row],[N_Tariff]]=0,Err_Message2,VLOOKUP(C470&amp;TableCosts[[#This Row],[Calc_N_Typ]],TRAN_STRITEMS_LABEL,5,FALSE))),"")</f>
        <v/>
      </c>
      <c r="F470" s="6">
        <f t="shared" si="98"/>
        <v>0</v>
      </c>
      <c r="G470" s="6" t="str">
        <f>IF(F470=1,IFERROR(VLOOKUP(E470,Tab_ErrMessage[],2,0),VLOOKUP(C470&amp;TableCosts[[#This Row],[Calc_N_Typ]],TRAN_STRITEMS_LABEL,4,FALSE)),"")</f>
        <v/>
      </c>
      <c r="H470" s="40"/>
      <c r="I470" s="40"/>
      <c r="J470" s="35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  <c r="AD470" s="24"/>
      <c r="AE470" s="24"/>
      <c r="AF470" s="24"/>
      <c r="AG470" s="24"/>
      <c r="AH470" s="24"/>
      <c r="AI470" s="24"/>
      <c r="AJ470" s="24"/>
      <c r="AK470" s="38">
        <f t="array" ref="AK470">IF(F470=1,SUM((ROW(M0)=ROW(AK470))*(M0+M1_+M2_+M3_+M4_+M5_+M6_+M7_+M8_+M9_+M10_+M11_+M12_+M13_+M14_+M15_+M16_+M17_+M18_+M19_+M20_+M21_+M22_+M23_+M24_+M25_)),0)</f>
        <v>0</v>
      </c>
      <c r="AL470" s="27">
        <f>TableCosts[[#This Row],[N_Direct]]</f>
        <v>0</v>
      </c>
      <c r="AN470" s="7" t="str">
        <f t="shared" si="87"/>
        <v/>
      </c>
      <c r="AO470" s="7" t="str">
        <f t="shared" si="90"/>
        <v/>
      </c>
      <c r="AP470" s="7" t="str">
        <f t="shared" si="88"/>
        <v/>
      </c>
      <c r="AQ470" s="7" t="str">
        <f t="shared" si="91"/>
        <v/>
      </c>
      <c r="AR470" s="7" t="str">
        <f t="shared" si="89"/>
        <v/>
      </c>
      <c r="AS470" s="7">
        <f t="shared" si="92"/>
        <v>0</v>
      </c>
      <c r="AT470" s="17">
        <f>TableCosts[[#This Row],[N_Amount]]*TableCosts[[#This Row],[N_Tariff]]*TableCosts[[#This Row],[N_ItemsCount]]</f>
        <v>0</v>
      </c>
      <c r="AU470" s="17">
        <f>IF(F470=1,IF(TableCosts[[#This Row],[N_Kateg]]="interné práce",TableCosts[[#This Row],[N_Amount]]*8*PAR_SGA_PERHOUR,0),0)</f>
        <v>0</v>
      </c>
      <c r="AV470" s="17">
        <f>SUM(TableCosts[[#This Row],[N_Direct]:[N_SGA]])</f>
        <v>0</v>
      </c>
      <c r="AW470" s="7">
        <f>IF(F470=1,IF(D470="",NA(),VLOOKUP(C470&amp;TableCosts[[#This Row],[Calc_N_Typ]],TRAN_STRITEMS_LABEL,7,0)),0)</f>
        <v>0</v>
      </c>
      <c r="AX470" s="7">
        <f t="shared" si="93"/>
        <v>0</v>
      </c>
      <c r="AY470" s="57" t="str">
        <f t="shared" si="94"/>
        <v/>
      </c>
      <c r="AZ470" s="57" t="str">
        <f t="shared" si="95"/>
        <v/>
      </c>
      <c r="BA470" s="57" t="str">
        <f>IF(F470=1,IF(TableCosts[[#This Row],[TransferFrom]]=TableCosts[[#This Row],[TranferTo]],0,1),"")</f>
        <v/>
      </c>
      <c r="BB470" s="7">
        <f t="shared" si="96"/>
        <v>0</v>
      </c>
      <c r="BC470" s="7">
        <f t="shared" si="97"/>
        <v>0</v>
      </c>
    </row>
    <row r="471" spans="2:55" s="7" customFormat="1" ht="12.75" x14ac:dyDescent="0.2">
      <c r="B471" s="33"/>
      <c r="C471" s="31"/>
      <c r="D471" s="40"/>
      <c r="E471" s="6" t="str">
        <f>IF(F471=1,IF(ISERROR(TableCosts[[#This Row],[N_Tariff]]),Err_Message1,IF(TableCosts[[#This Row],[N_Tariff]]=0,Err_Message2,VLOOKUP(C471&amp;TableCosts[[#This Row],[Calc_N_Typ]],TRAN_STRITEMS_LABEL,5,FALSE))),"")</f>
        <v/>
      </c>
      <c r="F471" s="6">
        <f t="shared" si="98"/>
        <v>0</v>
      </c>
      <c r="G471" s="6" t="str">
        <f>IF(F471=1,IFERROR(VLOOKUP(E471,Tab_ErrMessage[],2,0),VLOOKUP(C471&amp;TableCosts[[#This Row],[Calc_N_Typ]],TRAN_STRITEMS_LABEL,4,FALSE)),"")</f>
        <v/>
      </c>
      <c r="H471" s="40"/>
      <c r="I471" s="40"/>
      <c r="J471" s="35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  <c r="AD471" s="24"/>
      <c r="AE471" s="24"/>
      <c r="AF471" s="24"/>
      <c r="AG471" s="24"/>
      <c r="AH471" s="24"/>
      <c r="AI471" s="24"/>
      <c r="AJ471" s="24"/>
      <c r="AK471" s="38">
        <f t="array" ref="AK471">IF(F471=1,SUM((ROW(M0)=ROW(AK471))*(M0+M1_+M2_+M3_+M4_+M5_+M6_+M7_+M8_+M9_+M10_+M11_+M12_+M13_+M14_+M15_+M16_+M17_+M18_+M19_+M20_+M21_+M22_+M23_+M24_+M25_)),0)</f>
        <v>0</v>
      </c>
      <c r="AL471" s="27">
        <f>TableCosts[[#This Row],[N_Direct]]</f>
        <v>0</v>
      </c>
      <c r="AN471" s="7" t="str">
        <f t="shared" si="87"/>
        <v/>
      </c>
      <c r="AO471" s="7" t="str">
        <f t="shared" si="90"/>
        <v/>
      </c>
      <c r="AP471" s="7" t="str">
        <f t="shared" si="88"/>
        <v/>
      </c>
      <c r="AQ471" s="7" t="str">
        <f t="shared" si="91"/>
        <v/>
      </c>
      <c r="AR471" s="7" t="str">
        <f t="shared" si="89"/>
        <v/>
      </c>
      <c r="AS471" s="7">
        <f t="shared" si="92"/>
        <v>0</v>
      </c>
      <c r="AT471" s="17">
        <f>TableCosts[[#This Row],[N_Amount]]*TableCosts[[#This Row],[N_Tariff]]*TableCosts[[#This Row],[N_ItemsCount]]</f>
        <v>0</v>
      </c>
      <c r="AU471" s="17">
        <f>IF(F471=1,IF(TableCosts[[#This Row],[N_Kateg]]="interné práce",TableCosts[[#This Row],[N_Amount]]*8*PAR_SGA_PERHOUR,0),0)</f>
        <v>0</v>
      </c>
      <c r="AV471" s="17">
        <f>SUM(TableCosts[[#This Row],[N_Direct]:[N_SGA]])</f>
        <v>0</v>
      </c>
      <c r="AW471" s="7">
        <f>IF(F471=1,IF(D471="",NA(),VLOOKUP(C471&amp;TableCosts[[#This Row],[Calc_N_Typ]],TRAN_STRITEMS_LABEL,7,0)),0)</f>
        <v>0</v>
      </c>
      <c r="AX471" s="7">
        <f t="shared" si="93"/>
        <v>0</v>
      </c>
      <c r="AY471" s="57" t="str">
        <f t="shared" si="94"/>
        <v/>
      </c>
      <c r="AZ471" s="57" t="str">
        <f t="shared" si="95"/>
        <v/>
      </c>
      <c r="BA471" s="57" t="str">
        <f>IF(F471=1,IF(TableCosts[[#This Row],[TransferFrom]]=TableCosts[[#This Row],[TranferTo]],0,1),"")</f>
        <v/>
      </c>
      <c r="BB471" s="7">
        <f t="shared" si="96"/>
        <v>0</v>
      </c>
      <c r="BC471" s="7">
        <f t="shared" si="97"/>
        <v>0</v>
      </c>
    </row>
    <row r="472" spans="2:55" s="7" customFormat="1" ht="12.75" x14ac:dyDescent="0.2">
      <c r="B472" s="33"/>
      <c r="C472" s="31"/>
      <c r="D472" s="40"/>
      <c r="E472" s="6" t="str">
        <f>IF(F472=1,IF(ISERROR(TableCosts[[#This Row],[N_Tariff]]),Err_Message1,IF(TableCosts[[#This Row],[N_Tariff]]=0,Err_Message2,VLOOKUP(C472&amp;TableCosts[[#This Row],[Calc_N_Typ]],TRAN_STRITEMS_LABEL,5,FALSE))),"")</f>
        <v/>
      </c>
      <c r="F472" s="6">
        <f t="shared" si="98"/>
        <v>0</v>
      </c>
      <c r="G472" s="6" t="str">
        <f>IF(F472=1,IFERROR(VLOOKUP(E472,Tab_ErrMessage[],2,0),VLOOKUP(C472&amp;TableCosts[[#This Row],[Calc_N_Typ]],TRAN_STRITEMS_LABEL,4,FALSE)),"")</f>
        <v/>
      </c>
      <c r="H472" s="40"/>
      <c r="I472" s="40"/>
      <c r="J472" s="35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  <c r="AD472" s="24"/>
      <c r="AE472" s="24"/>
      <c r="AF472" s="24"/>
      <c r="AG472" s="24"/>
      <c r="AH472" s="24"/>
      <c r="AI472" s="24"/>
      <c r="AJ472" s="24"/>
      <c r="AK472" s="38">
        <f t="array" ref="AK472">IF(F472=1,SUM((ROW(M0)=ROW(AK472))*(M0+M1_+M2_+M3_+M4_+M5_+M6_+M7_+M8_+M9_+M10_+M11_+M12_+M13_+M14_+M15_+M16_+M17_+M18_+M19_+M20_+M21_+M22_+M23_+M24_+M25_)),0)</f>
        <v>0</v>
      </c>
      <c r="AL472" s="27">
        <f>TableCosts[[#This Row],[N_Direct]]</f>
        <v>0</v>
      </c>
      <c r="AN472" s="7" t="str">
        <f t="shared" si="87"/>
        <v/>
      </c>
      <c r="AO472" s="7" t="str">
        <f t="shared" si="90"/>
        <v/>
      </c>
      <c r="AP472" s="7" t="str">
        <f t="shared" si="88"/>
        <v/>
      </c>
      <c r="AQ472" s="7" t="str">
        <f t="shared" si="91"/>
        <v/>
      </c>
      <c r="AR472" s="7" t="str">
        <f t="shared" si="89"/>
        <v/>
      </c>
      <c r="AS472" s="7">
        <f t="shared" si="92"/>
        <v>0</v>
      </c>
      <c r="AT472" s="17">
        <f>TableCosts[[#This Row],[N_Amount]]*TableCosts[[#This Row],[N_Tariff]]*TableCosts[[#This Row],[N_ItemsCount]]</f>
        <v>0</v>
      </c>
      <c r="AU472" s="17">
        <f>IF(F472=1,IF(TableCosts[[#This Row],[N_Kateg]]="interné práce",TableCosts[[#This Row],[N_Amount]]*8*PAR_SGA_PERHOUR,0),0)</f>
        <v>0</v>
      </c>
      <c r="AV472" s="17">
        <f>SUM(TableCosts[[#This Row],[N_Direct]:[N_SGA]])</f>
        <v>0</v>
      </c>
      <c r="AW472" s="7">
        <f>IF(F472=1,IF(D472="",NA(),VLOOKUP(C472&amp;TableCosts[[#This Row],[Calc_N_Typ]],TRAN_STRITEMS_LABEL,7,0)),0)</f>
        <v>0</v>
      </c>
      <c r="AX472" s="7">
        <f t="shared" si="93"/>
        <v>0</v>
      </c>
      <c r="AY472" s="57" t="str">
        <f t="shared" si="94"/>
        <v/>
      </c>
      <c r="AZ472" s="57" t="str">
        <f t="shared" si="95"/>
        <v/>
      </c>
      <c r="BA472" s="57" t="str">
        <f>IF(F472=1,IF(TableCosts[[#This Row],[TransferFrom]]=TableCosts[[#This Row],[TranferTo]],0,1),"")</f>
        <v/>
      </c>
      <c r="BB472" s="7">
        <f t="shared" si="96"/>
        <v>0</v>
      </c>
      <c r="BC472" s="7">
        <f t="shared" si="97"/>
        <v>0</v>
      </c>
    </row>
    <row r="473" spans="2:55" s="7" customFormat="1" ht="12.75" x14ac:dyDescent="0.2">
      <c r="B473" s="33"/>
      <c r="C473" s="31"/>
      <c r="D473" s="40"/>
      <c r="E473" s="6" t="str">
        <f>IF(F473=1,IF(ISERROR(TableCosts[[#This Row],[N_Tariff]]),Err_Message1,IF(TableCosts[[#This Row],[N_Tariff]]=0,Err_Message2,VLOOKUP(C473&amp;TableCosts[[#This Row],[Calc_N_Typ]],TRAN_STRITEMS_LABEL,5,FALSE))),"")</f>
        <v/>
      </c>
      <c r="F473" s="6">
        <f t="shared" si="98"/>
        <v>0</v>
      </c>
      <c r="G473" s="6" t="str">
        <f>IF(F473=1,IFERROR(VLOOKUP(E473,Tab_ErrMessage[],2,0),VLOOKUP(C473&amp;TableCosts[[#This Row],[Calc_N_Typ]],TRAN_STRITEMS_LABEL,4,FALSE)),"")</f>
        <v/>
      </c>
      <c r="H473" s="40"/>
      <c r="I473" s="40"/>
      <c r="J473" s="35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  <c r="AD473" s="24"/>
      <c r="AE473" s="24"/>
      <c r="AF473" s="24"/>
      <c r="AG473" s="24"/>
      <c r="AH473" s="24"/>
      <c r="AI473" s="24"/>
      <c r="AJ473" s="24"/>
      <c r="AK473" s="38">
        <f t="array" ref="AK473">IF(F473=1,SUM((ROW(M0)=ROW(AK473))*(M0+M1_+M2_+M3_+M4_+M5_+M6_+M7_+M8_+M9_+M10_+M11_+M12_+M13_+M14_+M15_+M16_+M17_+M18_+M19_+M20_+M21_+M22_+M23_+M24_+M25_)),0)</f>
        <v>0</v>
      </c>
      <c r="AL473" s="27">
        <f>TableCosts[[#This Row],[N_Direct]]</f>
        <v>0</v>
      </c>
      <c r="AN473" s="7" t="str">
        <f t="shared" si="87"/>
        <v/>
      </c>
      <c r="AO473" s="7" t="str">
        <f t="shared" si="90"/>
        <v/>
      </c>
      <c r="AP473" s="7" t="str">
        <f t="shared" si="88"/>
        <v/>
      </c>
      <c r="AQ473" s="7" t="str">
        <f t="shared" si="91"/>
        <v/>
      </c>
      <c r="AR473" s="7" t="str">
        <f t="shared" si="89"/>
        <v/>
      </c>
      <c r="AS473" s="7">
        <f t="shared" si="92"/>
        <v>0</v>
      </c>
      <c r="AT473" s="17">
        <f>TableCosts[[#This Row],[N_Amount]]*TableCosts[[#This Row],[N_Tariff]]*TableCosts[[#This Row],[N_ItemsCount]]</f>
        <v>0</v>
      </c>
      <c r="AU473" s="17">
        <f>IF(F473=1,IF(TableCosts[[#This Row],[N_Kateg]]="interné práce",TableCosts[[#This Row],[N_Amount]]*8*PAR_SGA_PERHOUR,0),0)</f>
        <v>0</v>
      </c>
      <c r="AV473" s="17">
        <f>SUM(TableCosts[[#This Row],[N_Direct]:[N_SGA]])</f>
        <v>0</v>
      </c>
      <c r="AW473" s="7">
        <f>IF(F473=1,IF(D473="",NA(),VLOOKUP(C473&amp;TableCosts[[#This Row],[Calc_N_Typ]],TRAN_STRITEMS_LABEL,7,0)),0)</f>
        <v>0</v>
      </c>
      <c r="AX473" s="7">
        <f t="shared" si="93"/>
        <v>0</v>
      </c>
      <c r="AY473" s="57" t="str">
        <f t="shared" si="94"/>
        <v/>
      </c>
      <c r="AZ473" s="57" t="str">
        <f t="shared" si="95"/>
        <v/>
      </c>
      <c r="BA473" s="57" t="str">
        <f>IF(F473=1,IF(TableCosts[[#This Row],[TransferFrom]]=TableCosts[[#This Row],[TranferTo]],0,1),"")</f>
        <v/>
      </c>
      <c r="BB473" s="7">
        <f t="shared" si="96"/>
        <v>0</v>
      </c>
      <c r="BC473" s="7">
        <f t="shared" si="97"/>
        <v>0</v>
      </c>
    </row>
    <row r="474" spans="2:55" s="7" customFormat="1" ht="12.75" x14ac:dyDescent="0.2">
      <c r="B474" s="33"/>
      <c r="C474" s="31"/>
      <c r="D474" s="40"/>
      <c r="E474" s="6" t="str">
        <f>IF(F474=1,IF(ISERROR(TableCosts[[#This Row],[N_Tariff]]),Err_Message1,IF(TableCosts[[#This Row],[N_Tariff]]=0,Err_Message2,VLOOKUP(C474&amp;TableCosts[[#This Row],[Calc_N_Typ]],TRAN_STRITEMS_LABEL,5,FALSE))),"")</f>
        <v/>
      </c>
      <c r="F474" s="6">
        <f t="shared" si="98"/>
        <v>0</v>
      </c>
      <c r="G474" s="6" t="str">
        <f>IF(F474=1,IFERROR(VLOOKUP(E474,Tab_ErrMessage[],2,0),VLOOKUP(C474&amp;TableCosts[[#This Row],[Calc_N_Typ]],TRAN_STRITEMS_LABEL,4,FALSE)),"")</f>
        <v/>
      </c>
      <c r="H474" s="40"/>
      <c r="I474" s="40"/>
      <c r="J474" s="35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  <c r="AD474" s="24"/>
      <c r="AE474" s="24"/>
      <c r="AF474" s="24"/>
      <c r="AG474" s="24"/>
      <c r="AH474" s="24"/>
      <c r="AI474" s="24"/>
      <c r="AJ474" s="24"/>
      <c r="AK474" s="38">
        <f t="array" ref="AK474">IF(F474=1,SUM((ROW(M0)=ROW(AK474))*(M0+M1_+M2_+M3_+M4_+M5_+M6_+M7_+M8_+M9_+M10_+M11_+M12_+M13_+M14_+M15_+M16_+M17_+M18_+M19_+M20_+M21_+M22_+M23_+M24_+M25_)),0)</f>
        <v>0</v>
      </c>
      <c r="AL474" s="27">
        <f>TableCosts[[#This Row],[N_Direct]]</f>
        <v>0</v>
      </c>
      <c r="AN474" s="7" t="str">
        <f t="shared" si="87"/>
        <v/>
      </c>
      <c r="AO474" s="7" t="str">
        <f t="shared" si="90"/>
        <v/>
      </c>
      <c r="AP474" s="7" t="str">
        <f t="shared" si="88"/>
        <v/>
      </c>
      <c r="AQ474" s="7" t="str">
        <f t="shared" si="91"/>
        <v/>
      </c>
      <c r="AR474" s="7" t="str">
        <f t="shared" si="89"/>
        <v/>
      </c>
      <c r="AS474" s="7">
        <f t="shared" si="92"/>
        <v>0</v>
      </c>
      <c r="AT474" s="17">
        <f>TableCosts[[#This Row],[N_Amount]]*TableCosts[[#This Row],[N_Tariff]]*TableCosts[[#This Row],[N_ItemsCount]]</f>
        <v>0</v>
      </c>
      <c r="AU474" s="17">
        <f>IF(F474=1,IF(TableCosts[[#This Row],[N_Kateg]]="interné práce",TableCosts[[#This Row],[N_Amount]]*8*PAR_SGA_PERHOUR,0),0)</f>
        <v>0</v>
      </c>
      <c r="AV474" s="17">
        <f>SUM(TableCosts[[#This Row],[N_Direct]:[N_SGA]])</f>
        <v>0</v>
      </c>
      <c r="AW474" s="7">
        <f>IF(F474=1,IF(D474="",NA(),VLOOKUP(C474&amp;TableCosts[[#This Row],[Calc_N_Typ]],TRAN_STRITEMS_LABEL,7,0)),0)</f>
        <v>0</v>
      </c>
      <c r="AX474" s="7">
        <f t="shared" si="93"/>
        <v>0</v>
      </c>
      <c r="AY474" s="57" t="str">
        <f t="shared" si="94"/>
        <v/>
      </c>
      <c r="AZ474" s="57" t="str">
        <f t="shared" si="95"/>
        <v/>
      </c>
      <c r="BA474" s="57" t="str">
        <f>IF(F474=1,IF(TableCosts[[#This Row],[TransferFrom]]=TableCosts[[#This Row],[TranferTo]],0,1),"")</f>
        <v/>
      </c>
      <c r="BB474" s="7">
        <f t="shared" si="96"/>
        <v>0</v>
      </c>
      <c r="BC474" s="7">
        <f t="shared" si="97"/>
        <v>0</v>
      </c>
    </row>
    <row r="475" spans="2:55" s="7" customFormat="1" ht="12.75" x14ac:dyDescent="0.2">
      <c r="B475" s="33"/>
      <c r="C475" s="31"/>
      <c r="D475" s="40"/>
      <c r="E475" s="6" t="str">
        <f>IF(F475=1,IF(ISERROR(TableCosts[[#This Row],[N_Tariff]]),Err_Message1,IF(TableCosts[[#This Row],[N_Tariff]]=0,Err_Message2,VLOOKUP(C475&amp;TableCosts[[#This Row],[Calc_N_Typ]],TRAN_STRITEMS_LABEL,5,FALSE))),"")</f>
        <v/>
      </c>
      <c r="F475" s="6">
        <f t="shared" si="98"/>
        <v>0</v>
      </c>
      <c r="G475" s="6" t="str">
        <f>IF(F475=1,IFERROR(VLOOKUP(E475,Tab_ErrMessage[],2,0),VLOOKUP(C475&amp;TableCosts[[#This Row],[Calc_N_Typ]],TRAN_STRITEMS_LABEL,4,FALSE)),"")</f>
        <v/>
      </c>
      <c r="H475" s="40"/>
      <c r="I475" s="40"/>
      <c r="J475" s="35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  <c r="AD475" s="24"/>
      <c r="AE475" s="24"/>
      <c r="AF475" s="24"/>
      <c r="AG475" s="24"/>
      <c r="AH475" s="24"/>
      <c r="AI475" s="24"/>
      <c r="AJ475" s="24"/>
      <c r="AK475" s="38">
        <f t="array" ref="AK475">IF(F475=1,SUM((ROW(M0)=ROW(AK475))*(M0+M1_+M2_+M3_+M4_+M5_+M6_+M7_+M8_+M9_+M10_+M11_+M12_+M13_+M14_+M15_+M16_+M17_+M18_+M19_+M20_+M21_+M22_+M23_+M24_+M25_)),0)</f>
        <v>0</v>
      </c>
      <c r="AL475" s="27">
        <f>TableCosts[[#This Row],[N_Direct]]</f>
        <v>0</v>
      </c>
      <c r="AN475" s="7" t="str">
        <f t="shared" si="87"/>
        <v/>
      </c>
      <c r="AO475" s="7" t="str">
        <f t="shared" si="90"/>
        <v/>
      </c>
      <c r="AP475" s="7" t="str">
        <f t="shared" si="88"/>
        <v/>
      </c>
      <c r="AQ475" s="7" t="str">
        <f t="shared" si="91"/>
        <v/>
      </c>
      <c r="AR475" s="7" t="str">
        <f t="shared" si="89"/>
        <v/>
      </c>
      <c r="AS475" s="7">
        <f t="shared" si="92"/>
        <v>0</v>
      </c>
      <c r="AT475" s="17">
        <f>TableCosts[[#This Row],[N_Amount]]*TableCosts[[#This Row],[N_Tariff]]*TableCosts[[#This Row],[N_ItemsCount]]</f>
        <v>0</v>
      </c>
      <c r="AU475" s="17">
        <f>IF(F475=1,IF(TableCosts[[#This Row],[N_Kateg]]="interné práce",TableCosts[[#This Row],[N_Amount]]*8*PAR_SGA_PERHOUR,0),0)</f>
        <v>0</v>
      </c>
      <c r="AV475" s="17">
        <f>SUM(TableCosts[[#This Row],[N_Direct]:[N_SGA]])</f>
        <v>0</v>
      </c>
      <c r="AW475" s="7">
        <f>IF(F475=1,IF(D475="",NA(),VLOOKUP(C475&amp;TableCosts[[#This Row],[Calc_N_Typ]],TRAN_STRITEMS_LABEL,7,0)),0)</f>
        <v>0</v>
      </c>
      <c r="AX475" s="7">
        <f t="shared" si="93"/>
        <v>0</v>
      </c>
      <c r="AY475" s="57" t="str">
        <f t="shared" si="94"/>
        <v/>
      </c>
      <c r="AZ475" s="57" t="str">
        <f t="shared" si="95"/>
        <v/>
      </c>
      <c r="BA475" s="57" t="str">
        <f>IF(F475=1,IF(TableCosts[[#This Row],[TransferFrom]]=TableCosts[[#This Row],[TranferTo]],0,1),"")</f>
        <v/>
      </c>
      <c r="BB475" s="7">
        <f t="shared" si="96"/>
        <v>0</v>
      </c>
      <c r="BC475" s="7">
        <f t="shared" si="97"/>
        <v>0</v>
      </c>
    </row>
    <row r="476" spans="2:55" s="7" customFormat="1" ht="12.75" x14ac:dyDescent="0.2">
      <c r="B476" s="33"/>
      <c r="C476" s="31"/>
      <c r="D476" s="40"/>
      <c r="E476" s="6" t="str">
        <f>IF(F476=1,IF(ISERROR(TableCosts[[#This Row],[N_Tariff]]),Err_Message1,IF(TableCosts[[#This Row],[N_Tariff]]=0,Err_Message2,VLOOKUP(C476&amp;TableCosts[[#This Row],[Calc_N_Typ]],TRAN_STRITEMS_LABEL,5,FALSE))),"")</f>
        <v/>
      </c>
      <c r="F476" s="6">
        <f t="shared" si="98"/>
        <v>0</v>
      </c>
      <c r="G476" s="6" t="str">
        <f>IF(F476=1,IFERROR(VLOOKUP(E476,Tab_ErrMessage[],2,0),VLOOKUP(C476&amp;TableCosts[[#This Row],[Calc_N_Typ]],TRAN_STRITEMS_LABEL,4,FALSE)),"")</f>
        <v/>
      </c>
      <c r="H476" s="40"/>
      <c r="I476" s="40"/>
      <c r="J476" s="35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  <c r="AD476" s="24"/>
      <c r="AE476" s="24"/>
      <c r="AF476" s="24"/>
      <c r="AG476" s="24"/>
      <c r="AH476" s="24"/>
      <c r="AI476" s="24"/>
      <c r="AJ476" s="24"/>
      <c r="AK476" s="38">
        <f t="array" ref="AK476">IF(F476=1,SUM((ROW(M0)=ROW(AK476))*(M0+M1_+M2_+M3_+M4_+M5_+M6_+M7_+M8_+M9_+M10_+M11_+M12_+M13_+M14_+M15_+M16_+M17_+M18_+M19_+M20_+M21_+M22_+M23_+M24_+M25_)),0)</f>
        <v>0</v>
      </c>
      <c r="AL476" s="27">
        <f>TableCosts[[#This Row],[N_Direct]]</f>
        <v>0</v>
      </c>
      <c r="AN476" s="7" t="str">
        <f t="shared" si="87"/>
        <v/>
      </c>
      <c r="AO476" s="7" t="str">
        <f t="shared" si="90"/>
        <v/>
      </c>
      <c r="AP476" s="7" t="str">
        <f t="shared" si="88"/>
        <v/>
      </c>
      <c r="AQ476" s="7" t="str">
        <f t="shared" si="91"/>
        <v/>
      </c>
      <c r="AR476" s="7" t="str">
        <f t="shared" si="89"/>
        <v/>
      </c>
      <c r="AS476" s="7">
        <f t="shared" si="92"/>
        <v>0</v>
      </c>
      <c r="AT476" s="17">
        <f>TableCosts[[#This Row],[N_Amount]]*TableCosts[[#This Row],[N_Tariff]]*TableCosts[[#This Row],[N_ItemsCount]]</f>
        <v>0</v>
      </c>
      <c r="AU476" s="17">
        <f>IF(F476=1,IF(TableCosts[[#This Row],[N_Kateg]]="interné práce",TableCosts[[#This Row],[N_Amount]]*8*PAR_SGA_PERHOUR,0),0)</f>
        <v>0</v>
      </c>
      <c r="AV476" s="17">
        <f>SUM(TableCosts[[#This Row],[N_Direct]:[N_SGA]])</f>
        <v>0</v>
      </c>
      <c r="AW476" s="7">
        <f>IF(F476=1,IF(D476="",NA(),VLOOKUP(C476&amp;TableCosts[[#This Row],[Calc_N_Typ]],TRAN_STRITEMS_LABEL,7,0)),0)</f>
        <v>0</v>
      </c>
      <c r="AX476" s="7">
        <f t="shared" si="93"/>
        <v>0</v>
      </c>
      <c r="AY476" s="57" t="str">
        <f t="shared" si="94"/>
        <v/>
      </c>
      <c r="AZ476" s="57" t="str">
        <f t="shared" si="95"/>
        <v/>
      </c>
      <c r="BA476" s="57" t="str">
        <f>IF(F476=1,IF(TableCosts[[#This Row],[TransferFrom]]=TableCosts[[#This Row],[TranferTo]],0,1),"")</f>
        <v/>
      </c>
      <c r="BB476" s="7">
        <f t="shared" si="96"/>
        <v>0</v>
      </c>
      <c r="BC476" s="7">
        <f t="shared" si="97"/>
        <v>0</v>
      </c>
    </row>
    <row r="477" spans="2:55" s="7" customFormat="1" ht="12.75" x14ac:dyDescent="0.2">
      <c r="B477" s="33"/>
      <c r="C477" s="31"/>
      <c r="D477" s="40"/>
      <c r="E477" s="6" t="str">
        <f>IF(F477=1,IF(ISERROR(TableCosts[[#This Row],[N_Tariff]]),Err_Message1,IF(TableCosts[[#This Row],[N_Tariff]]=0,Err_Message2,VLOOKUP(C477&amp;TableCosts[[#This Row],[Calc_N_Typ]],TRAN_STRITEMS_LABEL,5,FALSE))),"")</f>
        <v/>
      </c>
      <c r="F477" s="6">
        <f t="shared" si="98"/>
        <v>0</v>
      </c>
      <c r="G477" s="6" t="str">
        <f>IF(F477=1,IFERROR(VLOOKUP(E477,Tab_ErrMessage[],2,0),VLOOKUP(C477&amp;TableCosts[[#This Row],[Calc_N_Typ]],TRAN_STRITEMS_LABEL,4,FALSE)),"")</f>
        <v/>
      </c>
      <c r="H477" s="40"/>
      <c r="I477" s="40"/>
      <c r="J477" s="35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  <c r="AD477" s="24"/>
      <c r="AE477" s="24"/>
      <c r="AF477" s="24"/>
      <c r="AG477" s="24"/>
      <c r="AH477" s="24"/>
      <c r="AI477" s="24"/>
      <c r="AJ477" s="24"/>
      <c r="AK477" s="38">
        <f t="array" ref="AK477">IF(F477=1,SUM((ROW(M0)=ROW(AK477))*(M0+M1_+M2_+M3_+M4_+M5_+M6_+M7_+M8_+M9_+M10_+M11_+M12_+M13_+M14_+M15_+M16_+M17_+M18_+M19_+M20_+M21_+M22_+M23_+M24_+M25_)),0)</f>
        <v>0</v>
      </c>
      <c r="AL477" s="27">
        <f>TableCosts[[#This Row],[N_Direct]]</f>
        <v>0</v>
      </c>
      <c r="AN477" s="7" t="str">
        <f t="shared" si="87"/>
        <v/>
      </c>
      <c r="AO477" s="7" t="str">
        <f t="shared" si="90"/>
        <v/>
      </c>
      <c r="AP477" s="7" t="str">
        <f t="shared" si="88"/>
        <v/>
      </c>
      <c r="AQ477" s="7" t="str">
        <f t="shared" si="91"/>
        <v/>
      </c>
      <c r="AR477" s="7" t="str">
        <f t="shared" si="89"/>
        <v/>
      </c>
      <c r="AS477" s="7">
        <f t="shared" si="92"/>
        <v>0</v>
      </c>
      <c r="AT477" s="17">
        <f>TableCosts[[#This Row],[N_Amount]]*TableCosts[[#This Row],[N_Tariff]]*TableCosts[[#This Row],[N_ItemsCount]]</f>
        <v>0</v>
      </c>
      <c r="AU477" s="17">
        <f>IF(F477=1,IF(TableCosts[[#This Row],[N_Kateg]]="interné práce",TableCosts[[#This Row],[N_Amount]]*8*PAR_SGA_PERHOUR,0),0)</f>
        <v>0</v>
      </c>
      <c r="AV477" s="17">
        <f>SUM(TableCosts[[#This Row],[N_Direct]:[N_SGA]])</f>
        <v>0</v>
      </c>
      <c r="AW477" s="7">
        <f>IF(F477=1,IF(D477="",NA(),VLOOKUP(C477&amp;TableCosts[[#This Row],[Calc_N_Typ]],TRAN_STRITEMS_LABEL,7,0)),0)</f>
        <v>0</v>
      </c>
      <c r="AX477" s="7">
        <f t="shared" si="93"/>
        <v>0</v>
      </c>
      <c r="AY477" s="57" t="str">
        <f t="shared" si="94"/>
        <v/>
      </c>
      <c r="AZ477" s="57" t="str">
        <f t="shared" si="95"/>
        <v/>
      </c>
      <c r="BA477" s="57" t="str">
        <f>IF(F477=1,IF(TableCosts[[#This Row],[TransferFrom]]=TableCosts[[#This Row],[TranferTo]],0,1),"")</f>
        <v/>
      </c>
      <c r="BB477" s="7">
        <f t="shared" si="96"/>
        <v>0</v>
      </c>
      <c r="BC477" s="7">
        <f t="shared" si="97"/>
        <v>0</v>
      </c>
    </row>
    <row r="478" spans="2:55" s="7" customFormat="1" ht="12.75" x14ac:dyDescent="0.2">
      <c r="B478" s="33"/>
      <c r="C478" s="31"/>
      <c r="D478" s="40"/>
      <c r="E478" s="6" t="str">
        <f>IF(F478=1,IF(ISERROR(TableCosts[[#This Row],[N_Tariff]]),Err_Message1,IF(TableCosts[[#This Row],[N_Tariff]]=0,Err_Message2,VLOOKUP(C478&amp;TableCosts[[#This Row],[Calc_N_Typ]],TRAN_STRITEMS_LABEL,5,FALSE))),"")</f>
        <v/>
      </c>
      <c r="F478" s="6">
        <f t="shared" si="98"/>
        <v>0</v>
      </c>
      <c r="G478" s="6" t="str">
        <f>IF(F478=1,IFERROR(VLOOKUP(E478,Tab_ErrMessage[],2,0),VLOOKUP(C478&amp;TableCosts[[#This Row],[Calc_N_Typ]],TRAN_STRITEMS_LABEL,4,FALSE)),"")</f>
        <v/>
      </c>
      <c r="H478" s="40"/>
      <c r="I478" s="40"/>
      <c r="J478" s="35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  <c r="AD478" s="24"/>
      <c r="AE478" s="24"/>
      <c r="AF478" s="24"/>
      <c r="AG478" s="24"/>
      <c r="AH478" s="24"/>
      <c r="AI478" s="24"/>
      <c r="AJ478" s="24"/>
      <c r="AK478" s="38">
        <f t="array" ref="AK478">IF(F478=1,SUM((ROW(M0)=ROW(AK478))*(M0+M1_+M2_+M3_+M4_+M5_+M6_+M7_+M8_+M9_+M10_+M11_+M12_+M13_+M14_+M15_+M16_+M17_+M18_+M19_+M20_+M21_+M22_+M23_+M24_+M25_)),0)</f>
        <v>0</v>
      </c>
      <c r="AL478" s="27">
        <f>TableCosts[[#This Row],[N_Direct]]</f>
        <v>0</v>
      </c>
      <c r="AN478" s="7" t="str">
        <f t="shared" si="87"/>
        <v/>
      </c>
      <c r="AO478" s="7" t="str">
        <f t="shared" si="90"/>
        <v/>
      </c>
      <c r="AP478" s="7" t="str">
        <f t="shared" si="88"/>
        <v/>
      </c>
      <c r="AQ478" s="7" t="str">
        <f t="shared" si="91"/>
        <v/>
      </c>
      <c r="AR478" s="7" t="str">
        <f t="shared" si="89"/>
        <v/>
      </c>
      <c r="AS478" s="7">
        <f t="shared" si="92"/>
        <v>0</v>
      </c>
      <c r="AT478" s="17">
        <f>TableCosts[[#This Row],[N_Amount]]*TableCosts[[#This Row],[N_Tariff]]*TableCosts[[#This Row],[N_ItemsCount]]</f>
        <v>0</v>
      </c>
      <c r="AU478" s="17">
        <f>IF(F478=1,IF(TableCosts[[#This Row],[N_Kateg]]="interné práce",TableCosts[[#This Row],[N_Amount]]*8*PAR_SGA_PERHOUR,0),0)</f>
        <v>0</v>
      </c>
      <c r="AV478" s="17">
        <f>SUM(TableCosts[[#This Row],[N_Direct]:[N_SGA]])</f>
        <v>0</v>
      </c>
      <c r="AW478" s="7">
        <f>IF(F478=1,IF(D478="",NA(),VLOOKUP(C478&amp;TableCosts[[#This Row],[Calc_N_Typ]],TRAN_STRITEMS_LABEL,7,0)),0)</f>
        <v>0</v>
      </c>
      <c r="AX478" s="7">
        <f t="shared" si="93"/>
        <v>0</v>
      </c>
      <c r="AY478" s="57" t="str">
        <f t="shared" si="94"/>
        <v/>
      </c>
      <c r="AZ478" s="57" t="str">
        <f t="shared" si="95"/>
        <v/>
      </c>
      <c r="BA478" s="57" t="str">
        <f>IF(F478=1,IF(TableCosts[[#This Row],[TransferFrom]]=TableCosts[[#This Row],[TranferTo]],0,1),"")</f>
        <v/>
      </c>
      <c r="BB478" s="7">
        <f t="shared" si="96"/>
        <v>0</v>
      </c>
      <c r="BC478" s="7">
        <f t="shared" si="97"/>
        <v>0</v>
      </c>
    </row>
    <row r="479" spans="2:55" s="7" customFormat="1" ht="12.75" x14ac:dyDescent="0.2">
      <c r="B479" s="33"/>
      <c r="C479" s="31"/>
      <c r="D479" s="40"/>
      <c r="E479" s="6" t="str">
        <f>IF(F479=1,IF(ISERROR(TableCosts[[#This Row],[N_Tariff]]),Err_Message1,IF(TableCosts[[#This Row],[N_Tariff]]=0,Err_Message2,VLOOKUP(C479&amp;TableCosts[[#This Row],[Calc_N_Typ]],TRAN_STRITEMS_LABEL,5,FALSE))),"")</f>
        <v/>
      </c>
      <c r="F479" s="6">
        <f t="shared" si="98"/>
        <v>0</v>
      </c>
      <c r="G479" s="6" t="str">
        <f>IF(F479=1,IFERROR(VLOOKUP(E479,Tab_ErrMessage[],2,0),VLOOKUP(C479&amp;TableCosts[[#This Row],[Calc_N_Typ]],TRAN_STRITEMS_LABEL,4,FALSE)),"")</f>
        <v/>
      </c>
      <c r="H479" s="40"/>
      <c r="I479" s="40"/>
      <c r="J479" s="35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  <c r="AD479" s="24"/>
      <c r="AE479" s="24"/>
      <c r="AF479" s="24"/>
      <c r="AG479" s="24"/>
      <c r="AH479" s="24"/>
      <c r="AI479" s="24"/>
      <c r="AJ479" s="24"/>
      <c r="AK479" s="38">
        <f t="array" ref="AK479">IF(F479=1,SUM((ROW(M0)=ROW(AK479))*(M0+M1_+M2_+M3_+M4_+M5_+M6_+M7_+M8_+M9_+M10_+M11_+M12_+M13_+M14_+M15_+M16_+M17_+M18_+M19_+M20_+M21_+M22_+M23_+M24_+M25_)),0)</f>
        <v>0</v>
      </c>
      <c r="AL479" s="27">
        <f>TableCosts[[#This Row],[N_Direct]]</f>
        <v>0</v>
      </c>
      <c r="AN479" s="7" t="str">
        <f t="shared" si="87"/>
        <v/>
      </c>
      <c r="AO479" s="7" t="str">
        <f t="shared" si="90"/>
        <v/>
      </c>
      <c r="AP479" s="7" t="str">
        <f t="shared" si="88"/>
        <v/>
      </c>
      <c r="AQ479" s="7" t="str">
        <f t="shared" si="91"/>
        <v/>
      </c>
      <c r="AR479" s="7" t="str">
        <f t="shared" si="89"/>
        <v/>
      </c>
      <c r="AS479" s="7">
        <f t="shared" si="92"/>
        <v>0</v>
      </c>
      <c r="AT479" s="17">
        <f>TableCosts[[#This Row],[N_Amount]]*TableCosts[[#This Row],[N_Tariff]]*TableCosts[[#This Row],[N_ItemsCount]]</f>
        <v>0</v>
      </c>
      <c r="AU479" s="17">
        <f>IF(F479=1,IF(TableCosts[[#This Row],[N_Kateg]]="interné práce",TableCosts[[#This Row],[N_Amount]]*8*PAR_SGA_PERHOUR,0),0)</f>
        <v>0</v>
      </c>
      <c r="AV479" s="17">
        <f>SUM(TableCosts[[#This Row],[N_Direct]:[N_SGA]])</f>
        <v>0</v>
      </c>
      <c r="AW479" s="7">
        <f>IF(F479=1,IF(D479="",NA(),VLOOKUP(C479&amp;TableCosts[[#This Row],[Calc_N_Typ]],TRAN_STRITEMS_LABEL,7,0)),0)</f>
        <v>0</v>
      </c>
      <c r="AX479" s="7">
        <f t="shared" si="93"/>
        <v>0</v>
      </c>
      <c r="AY479" s="57" t="str">
        <f t="shared" si="94"/>
        <v/>
      </c>
      <c r="AZ479" s="57" t="str">
        <f t="shared" si="95"/>
        <v/>
      </c>
      <c r="BA479" s="57" t="str">
        <f>IF(F479=1,IF(TableCosts[[#This Row],[TransferFrom]]=TableCosts[[#This Row],[TranferTo]],0,1),"")</f>
        <v/>
      </c>
      <c r="BB479" s="7">
        <f t="shared" si="96"/>
        <v>0</v>
      </c>
      <c r="BC479" s="7">
        <f t="shared" si="97"/>
        <v>0</v>
      </c>
    </row>
    <row r="480" spans="2:55" s="7" customFormat="1" ht="12.75" x14ac:dyDescent="0.2">
      <c r="B480" s="33"/>
      <c r="C480" s="31"/>
      <c r="D480" s="40"/>
      <c r="E480" s="6" t="str">
        <f>IF(F480=1,IF(ISERROR(TableCosts[[#This Row],[N_Tariff]]),Err_Message1,IF(TableCosts[[#This Row],[N_Tariff]]=0,Err_Message2,VLOOKUP(C480&amp;TableCosts[[#This Row],[Calc_N_Typ]],TRAN_STRITEMS_LABEL,5,FALSE))),"")</f>
        <v/>
      </c>
      <c r="F480" s="6">
        <f t="shared" si="98"/>
        <v>0</v>
      </c>
      <c r="G480" s="6" t="str">
        <f>IF(F480=1,IFERROR(VLOOKUP(E480,Tab_ErrMessage[],2,0),VLOOKUP(C480&amp;TableCosts[[#This Row],[Calc_N_Typ]],TRAN_STRITEMS_LABEL,4,FALSE)),"")</f>
        <v/>
      </c>
      <c r="H480" s="40"/>
      <c r="I480" s="40"/>
      <c r="J480" s="35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  <c r="AD480" s="24"/>
      <c r="AE480" s="24"/>
      <c r="AF480" s="24"/>
      <c r="AG480" s="24"/>
      <c r="AH480" s="24"/>
      <c r="AI480" s="24"/>
      <c r="AJ480" s="24"/>
      <c r="AK480" s="38">
        <f t="array" ref="AK480">IF(F480=1,SUM((ROW(M0)=ROW(AK480))*(M0+M1_+M2_+M3_+M4_+M5_+M6_+M7_+M8_+M9_+M10_+M11_+M12_+M13_+M14_+M15_+M16_+M17_+M18_+M19_+M20_+M21_+M22_+M23_+M24_+M25_)),0)</f>
        <v>0</v>
      </c>
      <c r="AL480" s="27">
        <f>TableCosts[[#This Row],[N_Direct]]</f>
        <v>0</v>
      </c>
      <c r="AN480" s="7" t="str">
        <f t="shared" si="87"/>
        <v/>
      </c>
      <c r="AO480" s="7" t="str">
        <f t="shared" si="90"/>
        <v/>
      </c>
      <c r="AP480" s="7" t="str">
        <f t="shared" si="88"/>
        <v/>
      </c>
      <c r="AQ480" s="7" t="str">
        <f t="shared" si="91"/>
        <v/>
      </c>
      <c r="AR480" s="7" t="str">
        <f t="shared" si="89"/>
        <v/>
      </c>
      <c r="AS480" s="7">
        <f t="shared" si="92"/>
        <v>0</v>
      </c>
      <c r="AT480" s="17">
        <f>TableCosts[[#This Row],[N_Amount]]*TableCosts[[#This Row],[N_Tariff]]*TableCosts[[#This Row],[N_ItemsCount]]</f>
        <v>0</v>
      </c>
      <c r="AU480" s="17">
        <f>IF(F480=1,IF(TableCosts[[#This Row],[N_Kateg]]="interné práce",TableCosts[[#This Row],[N_Amount]]*8*PAR_SGA_PERHOUR,0),0)</f>
        <v>0</v>
      </c>
      <c r="AV480" s="17">
        <f>SUM(TableCosts[[#This Row],[N_Direct]:[N_SGA]])</f>
        <v>0</v>
      </c>
      <c r="AW480" s="7">
        <f>IF(F480=1,IF(D480="",NA(),VLOOKUP(C480&amp;TableCosts[[#This Row],[Calc_N_Typ]],TRAN_STRITEMS_LABEL,7,0)),0)</f>
        <v>0</v>
      </c>
      <c r="AX480" s="7">
        <f t="shared" si="93"/>
        <v>0</v>
      </c>
      <c r="AY480" s="57" t="str">
        <f t="shared" si="94"/>
        <v/>
      </c>
      <c r="AZ480" s="57" t="str">
        <f t="shared" si="95"/>
        <v/>
      </c>
      <c r="BA480" s="57" t="str">
        <f>IF(F480=1,IF(TableCosts[[#This Row],[TransferFrom]]=TableCosts[[#This Row],[TranferTo]],0,1),"")</f>
        <v/>
      </c>
      <c r="BB480" s="7">
        <f t="shared" si="96"/>
        <v>0</v>
      </c>
      <c r="BC480" s="7">
        <f t="shared" si="97"/>
        <v>0</v>
      </c>
    </row>
    <row r="481" spans="2:55" s="7" customFormat="1" ht="12.75" x14ac:dyDescent="0.2">
      <c r="B481" s="33"/>
      <c r="C481" s="31"/>
      <c r="D481" s="40"/>
      <c r="E481" s="6" t="str">
        <f>IF(F481=1,IF(ISERROR(TableCosts[[#This Row],[N_Tariff]]),Err_Message1,IF(TableCosts[[#This Row],[N_Tariff]]=0,Err_Message2,VLOOKUP(C481&amp;TableCosts[[#This Row],[Calc_N_Typ]],TRAN_STRITEMS_LABEL,5,FALSE))),"")</f>
        <v/>
      </c>
      <c r="F481" s="6">
        <f t="shared" si="98"/>
        <v>0</v>
      </c>
      <c r="G481" s="6" t="str">
        <f>IF(F481=1,IFERROR(VLOOKUP(E481,Tab_ErrMessage[],2,0),VLOOKUP(C481&amp;TableCosts[[#This Row],[Calc_N_Typ]],TRAN_STRITEMS_LABEL,4,FALSE)),"")</f>
        <v/>
      </c>
      <c r="H481" s="40"/>
      <c r="I481" s="40"/>
      <c r="J481" s="35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  <c r="AD481" s="24"/>
      <c r="AE481" s="24"/>
      <c r="AF481" s="24"/>
      <c r="AG481" s="24"/>
      <c r="AH481" s="24"/>
      <c r="AI481" s="24"/>
      <c r="AJ481" s="24"/>
      <c r="AK481" s="38">
        <f t="array" ref="AK481">IF(F481=1,SUM((ROW(M0)=ROW(AK481))*(M0+M1_+M2_+M3_+M4_+M5_+M6_+M7_+M8_+M9_+M10_+M11_+M12_+M13_+M14_+M15_+M16_+M17_+M18_+M19_+M20_+M21_+M22_+M23_+M24_+M25_)),0)</f>
        <v>0</v>
      </c>
      <c r="AL481" s="27">
        <f>TableCosts[[#This Row],[N_Direct]]</f>
        <v>0</v>
      </c>
      <c r="AN481" s="7" t="str">
        <f t="shared" si="87"/>
        <v/>
      </c>
      <c r="AO481" s="7" t="str">
        <f t="shared" si="90"/>
        <v/>
      </c>
      <c r="AP481" s="7" t="str">
        <f t="shared" si="88"/>
        <v/>
      </c>
      <c r="AQ481" s="7" t="str">
        <f t="shared" si="91"/>
        <v/>
      </c>
      <c r="AR481" s="7" t="str">
        <f t="shared" si="89"/>
        <v/>
      </c>
      <c r="AS481" s="7">
        <f t="shared" si="92"/>
        <v>0</v>
      </c>
      <c r="AT481" s="17">
        <f>TableCosts[[#This Row],[N_Amount]]*TableCosts[[#This Row],[N_Tariff]]*TableCosts[[#This Row],[N_ItemsCount]]</f>
        <v>0</v>
      </c>
      <c r="AU481" s="17">
        <f>IF(F481=1,IF(TableCosts[[#This Row],[N_Kateg]]="interné práce",TableCosts[[#This Row],[N_Amount]]*8*PAR_SGA_PERHOUR,0),0)</f>
        <v>0</v>
      </c>
      <c r="AV481" s="17">
        <f>SUM(TableCosts[[#This Row],[N_Direct]:[N_SGA]])</f>
        <v>0</v>
      </c>
      <c r="AW481" s="7">
        <f>IF(F481=1,IF(D481="",NA(),VLOOKUP(C481&amp;TableCosts[[#This Row],[Calc_N_Typ]],TRAN_STRITEMS_LABEL,7,0)),0)</f>
        <v>0</v>
      </c>
      <c r="AX481" s="7">
        <f t="shared" si="93"/>
        <v>0</v>
      </c>
      <c r="AY481" s="57" t="str">
        <f t="shared" si="94"/>
        <v/>
      </c>
      <c r="AZ481" s="57" t="str">
        <f t="shared" si="95"/>
        <v/>
      </c>
      <c r="BA481" s="57" t="str">
        <f>IF(F481=1,IF(TableCosts[[#This Row],[TransferFrom]]=TableCosts[[#This Row],[TranferTo]],0,1),"")</f>
        <v/>
      </c>
      <c r="BB481" s="7">
        <f t="shared" si="96"/>
        <v>0</v>
      </c>
      <c r="BC481" s="7">
        <f t="shared" si="97"/>
        <v>0</v>
      </c>
    </row>
    <row r="482" spans="2:55" s="7" customFormat="1" ht="12.75" x14ac:dyDescent="0.2">
      <c r="B482" s="33"/>
      <c r="C482" s="31"/>
      <c r="D482" s="40"/>
      <c r="E482" s="6" t="str">
        <f>IF(F482=1,IF(ISERROR(TableCosts[[#This Row],[N_Tariff]]),Err_Message1,IF(TableCosts[[#This Row],[N_Tariff]]=0,Err_Message2,VLOOKUP(C482&amp;TableCosts[[#This Row],[Calc_N_Typ]],TRAN_STRITEMS_LABEL,5,FALSE))),"")</f>
        <v/>
      </c>
      <c r="F482" s="6">
        <f t="shared" si="98"/>
        <v>0</v>
      </c>
      <c r="G482" s="6" t="str">
        <f>IF(F482=1,IFERROR(VLOOKUP(E482,Tab_ErrMessage[],2,0),VLOOKUP(C482&amp;TableCosts[[#This Row],[Calc_N_Typ]],TRAN_STRITEMS_LABEL,4,FALSE)),"")</f>
        <v/>
      </c>
      <c r="H482" s="40"/>
      <c r="I482" s="40"/>
      <c r="J482" s="35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  <c r="AD482" s="24"/>
      <c r="AE482" s="24"/>
      <c r="AF482" s="24"/>
      <c r="AG482" s="24"/>
      <c r="AH482" s="24"/>
      <c r="AI482" s="24"/>
      <c r="AJ482" s="24"/>
      <c r="AK482" s="38">
        <f t="array" ref="AK482">IF(F482=1,SUM((ROW(M0)=ROW(AK482))*(M0+M1_+M2_+M3_+M4_+M5_+M6_+M7_+M8_+M9_+M10_+M11_+M12_+M13_+M14_+M15_+M16_+M17_+M18_+M19_+M20_+M21_+M22_+M23_+M24_+M25_)),0)</f>
        <v>0</v>
      </c>
      <c r="AL482" s="27">
        <f>TableCosts[[#This Row],[N_Direct]]</f>
        <v>0</v>
      </c>
      <c r="AN482" s="7" t="str">
        <f t="shared" si="87"/>
        <v/>
      </c>
      <c r="AO482" s="7" t="str">
        <f t="shared" si="90"/>
        <v/>
      </c>
      <c r="AP482" s="7" t="str">
        <f t="shared" si="88"/>
        <v/>
      </c>
      <c r="AQ482" s="7" t="str">
        <f t="shared" si="91"/>
        <v/>
      </c>
      <c r="AR482" s="7" t="str">
        <f t="shared" si="89"/>
        <v/>
      </c>
      <c r="AS482" s="7">
        <f t="shared" si="92"/>
        <v>0</v>
      </c>
      <c r="AT482" s="17">
        <f>TableCosts[[#This Row],[N_Amount]]*TableCosts[[#This Row],[N_Tariff]]*TableCosts[[#This Row],[N_ItemsCount]]</f>
        <v>0</v>
      </c>
      <c r="AU482" s="17">
        <f>IF(F482=1,IF(TableCosts[[#This Row],[N_Kateg]]="interné práce",TableCosts[[#This Row],[N_Amount]]*8*PAR_SGA_PERHOUR,0),0)</f>
        <v>0</v>
      </c>
      <c r="AV482" s="17">
        <f>SUM(TableCosts[[#This Row],[N_Direct]:[N_SGA]])</f>
        <v>0</v>
      </c>
      <c r="AW482" s="7">
        <f>IF(F482=1,IF(D482="",NA(),VLOOKUP(C482&amp;TableCosts[[#This Row],[Calc_N_Typ]],TRAN_STRITEMS_LABEL,7,0)),0)</f>
        <v>0</v>
      </c>
      <c r="AX482" s="7">
        <f t="shared" si="93"/>
        <v>0</v>
      </c>
      <c r="AY482" s="57" t="str">
        <f t="shared" si="94"/>
        <v/>
      </c>
      <c r="AZ482" s="57" t="str">
        <f t="shared" si="95"/>
        <v/>
      </c>
      <c r="BA482" s="57" t="str">
        <f>IF(F482=1,IF(TableCosts[[#This Row],[TransferFrom]]=TableCosts[[#This Row],[TranferTo]],0,1),"")</f>
        <v/>
      </c>
      <c r="BB482" s="7">
        <f t="shared" si="96"/>
        <v>0</v>
      </c>
      <c r="BC482" s="7">
        <f t="shared" si="97"/>
        <v>0</v>
      </c>
    </row>
    <row r="483" spans="2:55" s="7" customFormat="1" ht="12.75" x14ac:dyDescent="0.2">
      <c r="B483" s="33"/>
      <c r="C483" s="31"/>
      <c r="D483" s="40"/>
      <c r="E483" s="6" t="str">
        <f>IF(F483=1,IF(ISERROR(TableCosts[[#This Row],[N_Tariff]]),Err_Message1,IF(TableCosts[[#This Row],[N_Tariff]]=0,Err_Message2,VLOOKUP(C483&amp;TableCosts[[#This Row],[Calc_N_Typ]],TRAN_STRITEMS_LABEL,5,FALSE))),"")</f>
        <v/>
      </c>
      <c r="F483" s="6">
        <f t="shared" si="98"/>
        <v>0</v>
      </c>
      <c r="G483" s="6" t="str">
        <f>IF(F483=1,IFERROR(VLOOKUP(E483,Tab_ErrMessage[],2,0),VLOOKUP(C483&amp;TableCosts[[#This Row],[Calc_N_Typ]],TRAN_STRITEMS_LABEL,4,FALSE)),"")</f>
        <v/>
      </c>
      <c r="H483" s="40"/>
      <c r="I483" s="40"/>
      <c r="J483" s="35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  <c r="AD483" s="24"/>
      <c r="AE483" s="24"/>
      <c r="AF483" s="24"/>
      <c r="AG483" s="24"/>
      <c r="AH483" s="24"/>
      <c r="AI483" s="24"/>
      <c r="AJ483" s="24"/>
      <c r="AK483" s="38">
        <f t="array" ref="AK483">IF(F483=1,SUM((ROW(M0)=ROW(AK483))*(M0+M1_+M2_+M3_+M4_+M5_+M6_+M7_+M8_+M9_+M10_+M11_+M12_+M13_+M14_+M15_+M16_+M17_+M18_+M19_+M20_+M21_+M22_+M23_+M24_+M25_)),0)</f>
        <v>0</v>
      </c>
      <c r="AL483" s="27">
        <f>TableCosts[[#This Row],[N_Direct]]</f>
        <v>0</v>
      </c>
      <c r="AN483" s="7" t="str">
        <f t="shared" si="87"/>
        <v/>
      </c>
      <c r="AO483" s="7" t="str">
        <f t="shared" si="90"/>
        <v/>
      </c>
      <c r="AP483" s="7" t="str">
        <f t="shared" si="88"/>
        <v/>
      </c>
      <c r="AQ483" s="7" t="str">
        <f t="shared" si="91"/>
        <v/>
      </c>
      <c r="AR483" s="7" t="str">
        <f t="shared" si="89"/>
        <v/>
      </c>
      <c r="AS483" s="7">
        <f t="shared" si="92"/>
        <v>0</v>
      </c>
      <c r="AT483" s="17">
        <f>TableCosts[[#This Row],[N_Amount]]*TableCosts[[#This Row],[N_Tariff]]*TableCosts[[#This Row],[N_ItemsCount]]</f>
        <v>0</v>
      </c>
      <c r="AU483" s="17">
        <f>IF(F483=1,IF(TableCosts[[#This Row],[N_Kateg]]="interné práce",TableCosts[[#This Row],[N_Amount]]*8*PAR_SGA_PERHOUR,0),0)</f>
        <v>0</v>
      </c>
      <c r="AV483" s="17">
        <f>SUM(TableCosts[[#This Row],[N_Direct]:[N_SGA]])</f>
        <v>0</v>
      </c>
      <c r="AW483" s="7">
        <f>IF(F483=1,IF(D483="",NA(),VLOOKUP(C483&amp;TableCosts[[#This Row],[Calc_N_Typ]],TRAN_STRITEMS_LABEL,7,0)),0)</f>
        <v>0</v>
      </c>
      <c r="AX483" s="7">
        <f t="shared" si="93"/>
        <v>0</v>
      </c>
      <c r="AY483" s="57" t="str">
        <f t="shared" si="94"/>
        <v/>
      </c>
      <c r="AZ483" s="57" t="str">
        <f t="shared" si="95"/>
        <v/>
      </c>
      <c r="BA483" s="57" t="str">
        <f>IF(F483=1,IF(TableCosts[[#This Row],[TransferFrom]]=TableCosts[[#This Row],[TranferTo]],0,1),"")</f>
        <v/>
      </c>
      <c r="BB483" s="7">
        <f t="shared" si="96"/>
        <v>0</v>
      </c>
      <c r="BC483" s="7">
        <f t="shared" si="97"/>
        <v>0</v>
      </c>
    </row>
    <row r="484" spans="2:55" s="7" customFormat="1" ht="12.75" x14ac:dyDescent="0.2">
      <c r="B484" s="33"/>
      <c r="C484" s="31"/>
      <c r="D484" s="40"/>
      <c r="E484" s="6" t="str">
        <f>IF(F484=1,IF(ISERROR(TableCosts[[#This Row],[N_Tariff]]),Err_Message1,IF(TableCosts[[#This Row],[N_Tariff]]=0,Err_Message2,VLOOKUP(C484&amp;TableCosts[[#This Row],[Calc_N_Typ]],TRAN_STRITEMS_LABEL,5,FALSE))),"")</f>
        <v/>
      </c>
      <c r="F484" s="6">
        <f t="shared" si="98"/>
        <v>0</v>
      </c>
      <c r="G484" s="6" t="str">
        <f>IF(F484=1,IFERROR(VLOOKUP(E484,Tab_ErrMessage[],2,0),VLOOKUP(C484&amp;TableCosts[[#This Row],[Calc_N_Typ]],TRAN_STRITEMS_LABEL,4,FALSE)),"")</f>
        <v/>
      </c>
      <c r="H484" s="40"/>
      <c r="I484" s="40"/>
      <c r="J484" s="35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  <c r="AD484" s="24"/>
      <c r="AE484" s="24"/>
      <c r="AF484" s="24"/>
      <c r="AG484" s="24"/>
      <c r="AH484" s="24"/>
      <c r="AI484" s="24"/>
      <c r="AJ484" s="24"/>
      <c r="AK484" s="38">
        <f t="array" ref="AK484">IF(F484=1,SUM((ROW(M0)=ROW(AK484))*(M0+M1_+M2_+M3_+M4_+M5_+M6_+M7_+M8_+M9_+M10_+M11_+M12_+M13_+M14_+M15_+M16_+M17_+M18_+M19_+M20_+M21_+M22_+M23_+M24_+M25_)),0)</f>
        <v>0</v>
      </c>
      <c r="AL484" s="27">
        <f>TableCosts[[#This Row],[N_Direct]]</f>
        <v>0</v>
      </c>
      <c r="AN484" s="7" t="str">
        <f t="shared" si="87"/>
        <v/>
      </c>
      <c r="AO484" s="7" t="str">
        <f t="shared" si="90"/>
        <v/>
      </c>
      <c r="AP484" s="7" t="str">
        <f t="shared" si="88"/>
        <v/>
      </c>
      <c r="AQ484" s="7" t="str">
        <f t="shared" si="91"/>
        <v/>
      </c>
      <c r="AR484" s="7" t="str">
        <f t="shared" si="89"/>
        <v/>
      </c>
      <c r="AS484" s="7">
        <f t="shared" si="92"/>
        <v>0</v>
      </c>
      <c r="AT484" s="17">
        <f>TableCosts[[#This Row],[N_Amount]]*TableCosts[[#This Row],[N_Tariff]]*TableCosts[[#This Row],[N_ItemsCount]]</f>
        <v>0</v>
      </c>
      <c r="AU484" s="17">
        <f>IF(F484=1,IF(TableCosts[[#This Row],[N_Kateg]]="interné práce",TableCosts[[#This Row],[N_Amount]]*8*PAR_SGA_PERHOUR,0),0)</f>
        <v>0</v>
      </c>
      <c r="AV484" s="17">
        <f>SUM(TableCosts[[#This Row],[N_Direct]:[N_SGA]])</f>
        <v>0</v>
      </c>
      <c r="AW484" s="7">
        <f>IF(F484=1,IF(D484="",NA(),VLOOKUP(C484&amp;TableCosts[[#This Row],[Calc_N_Typ]],TRAN_STRITEMS_LABEL,7,0)),0)</f>
        <v>0</v>
      </c>
      <c r="AX484" s="7">
        <f t="shared" si="93"/>
        <v>0</v>
      </c>
      <c r="AY484" s="57" t="str">
        <f t="shared" si="94"/>
        <v/>
      </c>
      <c r="AZ484" s="57" t="str">
        <f t="shared" si="95"/>
        <v/>
      </c>
      <c r="BA484" s="57" t="str">
        <f>IF(F484=1,IF(TableCosts[[#This Row],[TransferFrom]]=TableCosts[[#This Row],[TranferTo]],0,1),"")</f>
        <v/>
      </c>
      <c r="BB484" s="7">
        <f t="shared" si="96"/>
        <v>0</v>
      </c>
      <c r="BC484" s="7">
        <f t="shared" si="97"/>
        <v>0</v>
      </c>
    </row>
    <row r="485" spans="2:55" s="7" customFormat="1" ht="12.75" x14ac:dyDescent="0.2">
      <c r="B485" s="33"/>
      <c r="C485" s="31"/>
      <c r="D485" s="40"/>
      <c r="E485" s="6" t="str">
        <f>IF(F485=1,IF(ISERROR(TableCosts[[#This Row],[N_Tariff]]),Err_Message1,IF(TableCosts[[#This Row],[N_Tariff]]=0,Err_Message2,VLOOKUP(C485&amp;TableCosts[[#This Row],[Calc_N_Typ]],TRAN_STRITEMS_LABEL,5,FALSE))),"")</f>
        <v/>
      </c>
      <c r="F485" s="6">
        <f t="shared" si="98"/>
        <v>0</v>
      </c>
      <c r="G485" s="6" t="str">
        <f>IF(F485=1,IFERROR(VLOOKUP(E485,Tab_ErrMessage[],2,0),VLOOKUP(C485&amp;TableCosts[[#This Row],[Calc_N_Typ]],TRAN_STRITEMS_LABEL,4,FALSE)),"")</f>
        <v/>
      </c>
      <c r="H485" s="40"/>
      <c r="I485" s="40"/>
      <c r="J485" s="35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  <c r="AD485" s="24"/>
      <c r="AE485" s="24"/>
      <c r="AF485" s="24"/>
      <c r="AG485" s="24"/>
      <c r="AH485" s="24"/>
      <c r="AI485" s="24"/>
      <c r="AJ485" s="24"/>
      <c r="AK485" s="38">
        <f t="array" ref="AK485">IF(F485=1,SUM((ROW(M0)=ROW(AK485))*(M0+M1_+M2_+M3_+M4_+M5_+M6_+M7_+M8_+M9_+M10_+M11_+M12_+M13_+M14_+M15_+M16_+M17_+M18_+M19_+M20_+M21_+M22_+M23_+M24_+M25_)),0)</f>
        <v>0</v>
      </c>
      <c r="AL485" s="27">
        <f>TableCosts[[#This Row],[N_Direct]]</f>
        <v>0</v>
      </c>
      <c r="AN485" s="7" t="str">
        <f t="shared" si="87"/>
        <v/>
      </c>
      <c r="AO485" s="7" t="str">
        <f t="shared" si="90"/>
        <v/>
      </c>
      <c r="AP485" s="7" t="str">
        <f t="shared" si="88"/>
        <v/>
      </c>
      <c r="AQ485" s="7" t="str">
        <f t="shared" si="91"/>
        <v/>
      </c>
      <c r="AR485" s="7" t="str">
        <f t="shared" si="89"/>
        <v/>
      </c>
      <c r="AS485" s="7">
        <f t="shared" si="92"/>
        <v>0</v>
      </c>
      <c r="AT485" s="17">
        <f>TableCosts[[#This Row],[N_Amount]]*TableCosts[[#This Row],[N_Tariff]]*TableCosts[[#This Row],[N_ItemsCount]]</f>
        <v>0</v>
      </c>
      <c r="AU485" s="17">
        <f>IF(F485=1,IF(TableCosts[[#This Row],[N_Kateg]]="interné práce",TableCosts[[#This Row],[N_Amount]]*8*PAR_SGA_PERHOUR,0),0)</f>
        <v>0</v>
      </c>
      <c r="AV485" s="17">
        <f>SUM(TableCosts[[#This Row],[N_Direct]:[N_SGA]])</f>
        <v>0</v>
      </c>
      <c r="AW485" s="7">
        <f>IF(F485=1,IF(D485="",NA(),VLOOKUP(C485&amp;TableCosts[[#This Row],[Calc_N_Typ]],TRAN_STRITEMS_LABEL,7,0)),0)</f>
        <v>0</v>
      </c>
      <c r="AX485" s="7">
        <f t="shared" si="93"/>
        <v>0</v>
      </c>
      <c r="AY485" s="57" t="str">
        <f t="shared" si="94"/>
        <v/>
      </c>
      <c r="AZ485" s="57" t="str">
        <f t="shared" si="95"/>
        <v/>
      </c>
      <c r="BA485" s="57" t="str">
        <f>IF(F485=1,IF(TableCosts[[#This Row],[TransferFrom]]=TableCosts[[#This Row],[TranferTo]],0,1),"")</f>
        <v/>
      </c>
      <c r="BB485" s="7">
        <f t="shared" si="96"/>
        <v>0</v>
      </c>
      <c r="BC485" s="7">
        <f t="shared" si="97"/>
        <v>0</v>
      </c>
    </row>
    <row r="486" spans="2:55" s="7" customFormat="1" ht="12.75" x14ac:dyDescent="0.2">
      <c r="B486" s="33"/>
      <c r="C486" s="31"/>
      <c r="D486" s="40"/>
      <c r="E486" s="6" t="str">
        <f>IF(F486=1,IF(ISERROR(TableCosts[[#This Row],[N_Tariff]]),Err_Message1,IF(TableCosts[[#This Row],[N_Tariff]]=0,Err_Message2,VLOOKUP(C486&amp;TableCosts[[#This Row],[Calc_N_Typ]],TRAN_STRITEMS_LABEL,5,FALSE))),"")</f>
        <v/>
      </c>
      <c r="F486" s="6">
        <f t="shared" si="98"/>
        <v>0</v>
      </c>
      <c r="G486" s="6" t="str">
        <f>IF(F486=1,IFERROR(VLOOKUP(E486,Tab_ErrMessage[],2,0),VLOOKUP(C486&amp;TableCosts[[#This Row],[Calc_N_Typ]],TRAN_STRITEMS_LABEL,4,FALSE)),"")</f>
        <v/>
      </c>
      <c r="H486" s="40"/>
      <c r="I486" s="40"/>
      <c r="J486" s="35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  <c r="AD486" s="24"/>
      <c r="AE486" s="24"/>
      <c r="AF486" s="24"/>
      <c r="AG486" s="24"/>
      <c r="AH486" s="24"/>
      <c r="AI486" s="24"/>
      <c r="AJ486" s="24"/>
      <c r="AK486" s="38">
        <f t="array" ref="AK486">IF(F486=1,SUM((ROW(M0)=ROW(AK486))*(M0+M1_+M2_+M3_+M4_+M5_+M6_+M7_+M8_+M9_+M10_+M11_+M12_+M13_+M14_+M15_+M16_+M17_+M18_+M19_+M20_+M21_+M22_+M23_+M24_+M25_)),0)</f>
        <v>0</v>
      </c>
      <c r="AL486" s="27">
        <f>TableCosts[[#This Row],[N_Direct]]</f>
        <v>0</v>
      </c>
      <c r="AN486" s="7" t="str">
        <f t="shared" si="87"/>
        <v/>
      </c>
      <c r="AO486" s="7" t="str">
        <f t="shared" si="90"/>
        <v/>
      </c>
      <c r="AP486" s="7" t="str">
        <f t="shared" si="88"/>
        <v/>
      </c>
      <c r="AQ486" s="7" t="str">
        <f t="shared" si="91"/>
        <v/>
      </c>
      <c r="AR486" s="7" t="str">
        <f t="shared" si="89"/>
        <v/>
      </c>
      <c r="AS486" s="7">
        <f t="shared" si="92"/>
        <v>0</v>
      </c>
      <c r="AT486" s="17">
        <f>TableCosts[[#This Row],[N_Amount]]*TableCosts[[#This Row],[N_Tariff]]*TableCosts[[#This Row],[N_ItemsCount]]</f>
        <v>0</v>
      </c>
      <c r="AU486" s="17">
        <f>IF(F486=1,IF(TableCosts[[#This Row],[N_Kateg]]="interné práce",TableCosts[[#This Row],[N_Amount]]*8*PAR_SGA_PERHOUR,0),0)</f>
        <v>0</v>
      </c>
      <c r="AV486" s="17">
        <f>SUM(TableCosts[[#This Row],[N_Direct]:[N_SGA]])</f>
        <v>0</v>
      </c>
      <c r="AW486" s="7">
        <f>IF(F486=1,IF(D486="",NA(),VLOOKUP(C486&amp;TableCosts[[#This Row],[Calc_N_Typ]],TRAN_STRITEMS_LABEL,7,0)),0)</f>
        <v>0</v>
      </c>
      <c r="AX486" s="7">
        <f t="shared" si="93"/>
        <v>0</v>
      </c>
      <c r="AY486" s="57" t="str">
        <f t="shared" si="94"/>
        <v/>
      </c>
      <c r="AZ486" s="57" t="str">
        <f t="shared" si="95"/>
        <v/>
      </c>
      <c r="BA486" s="57" t="str">
        <f>IF(F486=1,IF(TableCosts[[#This Row],[TransferFrom]]=TableCosts[[#This Row],[TranferTo]],0,1),"")</f>
        <v/>
      </c>
      <c r="BB486" s="7">
        <f t="shared" si="96"/>
        <v>0</v>
      </c>
      <c r="BC486" s="7">
        <f t="shared" si="97"/>
        <v>0</v>
      </c>
    </row>
    <row r="487" spans="2:55" s="7" customFormat="1" ht="12.75" x14ac:dyDescent="0.2">
      <c r="B487" s="33"/>
      <c r="C487" s="31"/>
      <c r="D487" s="40"/>
      <c r="E487" s="6" t="str">
        <f>IF(F487=1,IF(ISERROR(TableCosts[[#This Row],[N_Tariff]]),Err_Message1,IF(TableCosts[[#This Row],[N_Tariff]]=0,Err_Message2,VLOOKUP(C487&amp;TableCosts[[#This Row],[Calc_N_Typ]],TRAN_STRITEMS_LABEL,5,FALSE))),"")</f>
        <v/>
      </c>
      <c r="F487" s="6">
        <f t="shared" si="98"/>
        <v>0</v>
      </c>
      <c r="G487" s="6" t="str">
        <f>IF(F487=1,IFERROR(VLOOKUP(E487,Tab_ErrMessage[],2,0),VLOOKUP(C487&amp;TableCosts[[#This Row],[Calc_N_Typ]],TRAN_STRITEMS_LABEL,4,FALSE)),"")</f>
        <v/>
      </c>
      <c r="H487" s="40"/>
      <c r="I487" s="40"/>
      <c r="J487" s="35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  <c r="AD487" s="24"/>
      <c r="AE487" s="24"/>
      <c r="AF487" s="24"/>
      <c r="AG487" s="24"/>
      <c r="AH487" s="24"/>
      <c r="AI487" s="24"/>
      <c r="AJ487" s="24"/>
      <c r="AK487" s="38">
        <f t="array" ref="AK487">IF(F487=1,SUM((ROW(M0)=ROW(AK487))*(M0+M1_+M2_+M3_+M4_+M5_+M6_+M7_+M8_+M9_+M10_+M11_+M12_+M13_+M14_+M15_+M16_+M17_+M18_+M19_+M20_+M21_+M22_+M23_+M24_+M25_)),0)</f>
        <v>0</v>
      </c>
      <c r="AL487" s="27">
        <f>TableCosts[[#This Row],[N_Direct]]</f>
        <v>0</v>
      </c>
      <c r="AN487" s="7" t="str">
        <f t="shared" si="87"/>
        <v/>
      </c>
      <c r="AO487" s="7" t="str">
        <f t="shared" si="90"/>
        <v/>
      </c>
      <c r="AP487" s="7" t="str">
        <f t="shared" si="88"/>
        <v/>
      </c>
      <c r="AQ487" s="7" t="str">
        <f t="shared" si="91"/>
        <v/>
      </c>
      <c r="AR487" s="7" t="str">
        <f t="shared" si="89"/>
        <v/>
      </c>
      <c r="AS487" s="7">
        <f t="shared" si="92"/>
        <v>0</v>
      </c>
      <c r="AT487" s="17">
        <f>TableCosts[[#This Row],[N_Amount]]*TableCosts[[#This Row],[N_Tariff]]*TableCosts[[#This Row],[N_ItemsCount]]</f>
        <v>0</v>
      </c>
      <c r="AU487" s="17">
        <f>IF(F487=1,IF(TableCosts[[#This Row],[N_Kateg]]="interné práce",TableCosts[[#This Row],[N_Amount]]*8*PAR_SGA_PERHOUR,0),0)</f>
        <v>0</v>
      </c>
      <c r="AV487" s="17">
        <f>SUM(TableCosts[[#This Row],[N_Direct]:[N_SGA]])</f>
        <v>0</v>
      </c>
      <c r="AW487" s="7">
        <f>IF(F487=1,IF(D487="",NA(),VLOOKUP(C487&amp;TableCosts[[#This Row],[Calc_N_Typ]],TRAN_STRITEMS_LABEL,7,0)),0)</f>
        <v>0</v>
      </c>
      <c r="AX487" s="7">
        <f t="shared" si="93"/>
        <v>0</v>
      </c>
      <c r="AY487" s="57" t="str">
        <f t="shared" si="94"/>
        <v/>
      </c>
      <c r="AZ487" s="57" t="str">
        <f t="shared" si="95"/>
        <v/>
      </c>
      <c r="BA487" s="57" t="str">
        <f>IF(F487=1,IF(TableCosts[[#This Row],[TransferFrom]]=TableCosts[[#This Row],[TranferTo]],0,1),"")</f>
        <v/>
      </c>
      <c r="BB487" s="7">
        <f t="shared" si="96"/>
        <v>0</v>
      </c>
      <c r="BC487" s="7">
        <f t="shared" si="97"/>
        <v>0</v>
      </c>
    </row>
    <row r="488" spans="2:55" s="7" customFormat="1" ht="12.75" x14ac:dyDescent="0.2">
      <c r="B488" s="33"/>
      <c r="C488" s="31"/>
      <c r="D488" s="40"/>
      <c r="E488" s="6" t="str">
        <f>IF(F488=1,IF(ISERROR(TableCosts[[#This Row],[N_Tariff]]),Err_Message1,IF(TableCosts[[#This Row],[N_Tariff]]=0,Err_Message2,VLOOKUP(C488&amp;TableCosts[[#This Row],[Calc_N_Typ]],TRAN_STRITEMS_LABEL,5,FALSE))),"")</f>
        <v/>
      </c>
      <c r="F488" s="6">
        <f t="shared" si="98"/>
        <v>0</v>
      </c>
      <c r="G488" s="6" t="str">
        <f>IF(F488=1,IFERROR(VLOOKUP(E488,Tab_ErrMessage[],2,0),VLOOKUP(C488&amp;TableCosts[[#This Row],[Calc_N_Typ]],TRAN_STRITEMS_LABEL,4,FALSE)),"")</f>
        <v/>
      </c>
      <c r="H488" s="40"/>
      <c r="I488" s="40"/>
      <c r="J488" s="35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  <c r="AD488" s="24"/>
      <c r="AE488" s="24"/>
      <c r="AF488" s="24"/>
      <c r="AG488" s="24"/>
      <c r="AH488" s="24"/>
      <c r="AI488" s="24"/>
      <c r="AJ488" s="24"/>
      <c r="AK488" s="38">
        <f t="array" ref="AK488">IF(F488=1,SUM((ROW(M0)=ROW(AK488))*(M0+M1_+M2_+M3_+M4_+M5_+M6_+M7_+M8_+M9_+M10_+M11_+M12_+M13_+M14_+M15_+M16_+M17_+M18_+M19_+M20_+M21_+M22_+M23_+M24_+M25_)),0)</f>
        <v>0</v>
      </c>
      <c r="AL488" s="27">
        <f>TableCosts[[#This Row],[N_Direct]]</f>
        <v>0</v>
      </c>
      <c r="AN488" s="7" t="str">
        <f t="shared" si="87"/>
        <v/>
      </c>
      <c r="AO488" s="7" t="str">
        <f t="shared" si="90"/>
        <v/>
      </c>
      <c r="AP488" s="7" t="str">
        <f t="shared" si="88"/>
        <v/>
      </c>
      <c r="AQ488" s="7" t="str">
        <f t="shared" si="91"/>
        <v/>
      </c>
      <c r="AR488" s="7" t="str">
        <f t="shared" si="89"/>
        <v/>
      </c>
      <c r="AS488" s="7">
        <f t="shared" si="92"/>
        <v>0</v>
      </c>
      <c r="AT488" s="17">
        <f>TableCosts[[#This Row],[N_Amount]]*TableCosts[[#This Row],[N_Tariff]]*TableCosts[[#This Row],[N_ItemsCount]]</f>
        <v>0</v>
      </c>
      <c r="AU488" s="17">
        <f>IF(F488=1,IF(TableCosts[[#This Row],[N_Kateg]]="interné práce",TableCosts[[#This Row],[N_Amount]]*8*PAR_SGA_PERHOUR,0),0)</f>
        <v>0</v>
      </c>
      <c r="AV488" s="17">
        <f>SUM(TableCosts[[#This Row],[N_Direct]:[N_SGA]])</f>
        <v>0</v>
      </c>
      <c r="AW488" s="7">
        <f>IF(F488=1,IF(D488="",NA(),VLOOKUP(C488&amp;TableCosts[[#This Row],[Calc_N_Typ]],TRAN_STRITEMS_LABEL,7,0)),0)</f>
        <v>0</v>
      </c>
      <c r="AX488" s="7">
        <f t="shared" si="93"/>
        <v>0</v>
      </c>
      <c r="AY488" s="57" t="str">
        <f t="shared" si="94"/>
        <v/>
      </c>
      <c r="AZ488" s="57" t="str">
        <f t="shared" si="95"/>
        <v/>
      </c>
      <c r="BA488" s="57" t="str">
        <f>IF(F488=1,IF(TableCosts[[#This Row],[TransferFrom]]=TableCosts[[#This Row],[TranferTo]],0,1),"")</f>
        <v/>
      </c>
      <c r="BB488" s="7">
        <f t="shared" si="96"/>
        <v>0</v>
      </c>
      <c r="BC488" s="7">
        <f t="shared" si="97"/>
        <v>0</v>
      </c>
    </row>
    <row r="489" spans="2:55" s="7" customFormat="1" ht="12.75" x14ac:dyDescent="0.2">
      <c r="B489" s="33"/>
      <c r="C489" s="31"/>
      <c r="D489" s="40"/>
      <c r="E489" s="6" t="str">
        <f>IF(F489=1,IF(ISERROR(TableCosts[[#This Row],[N_Tariff]]),Err_Message1,IF(TableCosts[[#This Row],[N_Tariff]]=0,Err_Message2,VLOOKUP(C489&amp;TableCosts[[#This Row],[Calc_N_Typ]],TRAN_STRITEMS_LABEL,5,FALSE))),"")</f>
        <v/>
      </c>
      <c r="F489" s="6">
        <f t="shared" si="98"/>
        <v>0</v>
      </c>
      <c r="G489" s="6" t="str">
        <f>IF(F489=1,IFERROR(VLOOKUP(E489,Tab_ErrMessage[],2,0),VLOOKUP(C489&amp;TableCosts[[#This Row],[Calc_N_Typ]],TRAN_STRITEMS_LABEL,4,FALSE)),"")</f>
        <v/>
      </c>
      <c r="H489" s="40"/>
      <c r="I489" s="40"/>
      <c r="J489" s="35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  <c r="AD489" s="24"/>
      <c r="AE489" s="24"/>
      <c r="AF489" s="24"/>
      <c r="AG489" s="24"/>
      <c r="AH489" s="24"/>
      <c r="AI489" s="24"/>
      <c r="AJ489" s="24"/>
      <c r="AK489" s="38">
        <f t="array" ref="AK489">IF(F489=1,SUM((ROW(M0)=ROW(AK489))*(M0+M1_+M2_+M3_+M4_+M5_+M6_+M7_+M8_+M9_+M10_+M11_+M12_+M13_+M14_+M15_+M16_+M17_+M18_+M19_+M20_+M21_+M22_+M23_+M24_+M25_)),0)</f>
        <v>0</v>
      </c>
      <c r="AL489" s="27">
        <f>TableCosts[[#This Row],[N_Direct]]</f>
        <v>0</v>
      </c>
      <c r="AN489" s="7" t="str">
        <f t="shared" si="87"/>
        <v/>
      </c>
      <c r="AO489" s="7" t="str">
        <f t="shared" si="90"/>
        <v/>
      </c>
      <c r="AP489" s="7" t="str">
        <f t="shared" si="88"/>
        <v/>
      </c>
      <c r="AQ489" s="7" t="str">
        <f t="shared" si="91"/>
        <v/>
      </c>
      <c r="AR489" s="7" t="str">
        <f t="shared" si="89"/>
        <v/>
      </c>
      <c r="AS489" s="7">
        <f t="shared" si="92"/>
        <v>0</v>
      </c>
      <c r="AT489" s="17">
        <f>TableCosts[[#This Row],[N_Amount]]*TableCosts[[#This Row],[N_Tariff]]*TableCosts[[#This Row],[N_ItemsCount]]</f>
        <v>0</v>
      </c>
      <c r="AU489" s="17">
        <f>IF(F489=1,IF(TableCosts[[#This Row],[N_Kateg]]="interné práce",TableCosts[[#This Row],[N_Amount]]*8*PAR_SGA_PERHOUR,0),0)</f>
        <v>0</v>
      </c>
      <c r="AV489" s="17">
        <f>SUM(TableCosts[[#This Row],[N_Direct]:[N_SGA]])</f>
        <v>0</v>
      </c>
      <c r="AW489" s="7">
        <f>IF(F489=1,IF(D489="",NA(),VLOOKUP(C489&amp;TableCosts[[#This Row],[Calc_N_Typ]],TRAN_STRITEMS_LABEL,7,0)),0)</f>
        <v>0</v>
      </c>
      <c r="AX489" s="7">
        <f t="shared" si="93"/>
        <v>0</v>
      </c>
      <c r="AY489" s="57" t="str">
        <f t="shared" si="94"/>
        <v/>
      </c>
      <c r="AZ489" s="57" t="str">
        <f t="shared" si="95"/>
        <v/>
      </c>
      <c r="BA489" s="57" t="str">
        <f>IF(F489=1,IF(TableCosts[[#This Row],[TransferFrom]]=TableCosts[[#This Row],[TranferTo]],0,1),"")</f>
        <v/>
      </c>
      <c r="BB489" s="7">
        <f t="shared" si="96"/>
        <v>0</v>
      </c>
      <c r="BC489" s="7">
        <f t="shared" si="97"/>
        <v>0</v>
      </c>
    </row>
    <row r="490" spans="2:55" s="7" customFormat="1" ht="12.75" x14ac:dyDescent="0.2">
      <c r="B490" s="33"/>
      <c r="C490" s="31"/>
      <c r="D490" s="40"/>
      <c r="E490" s="6" t="str">
        <f>IF(F490=1,IF(ISERROR(TableCosts[[#This Row],[N_Tariff]]),Err_Message1,IF(TableCosts[[#This Row],[N_Tariff]]=0,Err_Message2,VLOOKUP(C490&amp;TableCosts[[#This Row],[Calc_N_Typ]],TRAN_STRITEMS_LABEL,5,FALSE))),"")</f>
        <v/>
      </c>
      <c r="F490" s="6">
        <f t="shared" si="98"/>
        <v>0</v>
      </c>
      <c r="G490" s="6" t="str">
        <f>IF(F490=1,IFERROR(VLOOKUP(E490,Tab_ErrMessage[],2,0),VLOOKUP(C490&amp;TableCosts[[#This Row],[Calc_N_Typ]],TRAN_STRITEMS_LABEL,4,FALSE)),"")</f>
        <v/>
      </c>
      <c r="H490" s="40"/>
      <c r="I490" s="40"/>
      <c r="J490" s="35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  <c r="AD490" s="24"/>
      <c r="AE490" s="24"/>
      <c r="AF490" s="24"/>
      <c r="AG490" s="24"/>
      <c r="AH490" s="24"/>
      <c r="AI490" s="24"/>
      <c r="AJ490" s="24"/>
      <c r="AK490" s="38">
        <f t="array" ref="AK490">IF(F490=1,SUM((ROW(M0)=ROW(AK490))*(M0+M1_+M2_+M3_+M4_+M5_+M6_+M7_+M8_+M9_+M10_+M11_+M12_+M13_+M14_+M15_+M16_+M17_+M18_+M19_+M20_+M21_+M22_+M23_+M24_+M25_)),0)</f>
        <v>0</v>
      </c>
      <c r="AL490" s="27">
        <f>TableCosts[[#This Row],[N_Direct]]</f>
        <v>0</v>
      </c>
      <c r="AN490" s="7" t="str">
        <f t="shared" si="87"/>
        <v/>
      </c>
      <c r="AO490" s="7" t="str">
        <f t="shared" si="90"/>
        <v/>
      </c>
      <c r="AP490" s="7" t="str">
        <f t="shared" si="88"/>
        <v/>
      </c>
      <c r="AQ490" s="7" t="str">
        <f t="shared" si="91"/>
        <v/>
      </c>
      <c r="AR490" s="7" t="str">
        <f t="shared" si="89"/>
        <v/>
      </c>
      <c r="AS490" s="7">
        <f t="shared" si="92"/>
        <v>0</v>
      </c>
      <c r="AT490" s="17">
        <f>TableCosts[[#This Row],[N_Amount]]*TableCosts[[#This Row],[N_Tariff]]*TableCosts[[#This Row],[N_ItemsCount]]</f>
        <v>0</v>
      </c>
      <c r="AU490" s="17">
        <f>IF(F490=1,IF(TableCosts[[#This Row],[N_Kateg]]="interné práce",TableCosts[[#This Row],[N_Amount]]*8*PAR_SGA_PERHOUR,0),0)</f>
        <v>0</v>
      </c>
      <c r="AV490" s="17">
        <f>SUM(TableCosts[[#This Row],[N_Direct]:[N_SGA]])</f>
        <v>0</v>
      </c>
      <c r="AW490" s="7">
        <f>IF(F490=1,IF(D490="",NA(),VLOOKUP(C490&amp;TableCosts[[#This Row],[Calc_N_Typ]],TRAN_STRITEMS_LABEL,7,0)),0)</f>
        <v>0</v>
      </c>
      <c r="AX490" s="7">
        <f t="shared" si="93"/>
        <v>0</v>
      </c>
      <c r="AY490" s="57" t="str">
        <f t="shared" si="94"/>
        <v/>
      </c>
      <c r="AZ490" s="57" t="str">
        <f t="shared" si="95"/>
        <v/>
      </c>
      <c r="BA490" s="57" t="str">
        <f>IF(F490=1,IF(TableCosts[[#This Row],[TransferFrom]]=TableCosts[[#This Row],[TranferTo]],0,1),"")</f>
        <v/>
      </c>
      <c r="BB490" s="7">
        <f t="shared" si="96"/>
        <v>0</v>
      </c>
      <c r="BC490" s="7">
        <f t="shared" si="97"/>
        <v>0</v>
      </c>
    </row>
    <row r="491" spans="2:55" s="7" customFormat="1" ht="12.75" x14ac:dyDescent="0.2">
      <c r="B491" s="33"/>
      <c r="C491" s="31"/>
      <c r="D491" s="40"/>
      <c r="E491" s="6" t="str">
        <f>IF(F491=1,IF(ISERROR(TableCosts[[#This Row],[N_Tariff]]),Err_Message1,IF(TableCosts[[#This Row],[N_Tariff]]=0,Err_Message2,VLOOKUP(C491&amp;TableCosts[[#This Row],[Calc_N_Typ]],TRAN_STRITEMS_LABEL,5,FALSE))),"")</f>
        <v/>
      </c>
      <c r="F491" s="6">
        <f t="shared" si="98"/>
        <v>0</v>
      </c>
      <c r="G491" s="6" t="str">
        <f>IF(F491=1,IFERROR(VLOOKUP(E491,Tab_ErrMessage[],2,0),VLOOKUP(C491&amp;TableCosts[[#This Row],[Calc_N_Typ]],TRAN_STRITEMS_LABEL,4,FALSE)),"")</f>
        <v/>
      </c>
      <c r="H491" s="40"/>
      <c r="I491" s="40"/>
      <c r="J491" s="35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  <c r="AD491" s="24"/>
      <c r="AE491" s="24"/>
      <c r="AF491" s="24"/>
      <c r="AG491" s="24"/>
      <c r="AH491" s="24"/>
      <c r="AI491" s="24"/>
      <c r="AJ491" s="24"/>
      <c r="AK491" s="38">
        <f t="array" ref="AK491">IF(F491=1,SUM((ROW(M0)=ROW(AK491))*(M0+M1_+M2_+M3_+M4_+M5_+M6_+M7_+M8_+M9_+M10_+M11_+M12_+M13_+M14_+M15_+M16_+M17_+M18_+M19_+M20_+M21_+M22_+M23_+M24_+M25_)),0)</f>
        <v>0</v>
      </c>
      <c r="AL491" s="27">
        <f>TableCosts[[#This Row],[N_Direct]]</f>
        <v>0</v>
      </c>
      <c r="AN491" s="7" t="str">
        <f t="shared" si="87"/>
        <v/>
      </c>
      <c r="AO491" s="7" t="str">
        <f t="shared" si="90"/>
        <v/>
      </c>
      <c r="AP491" s="7" t="str">
        <f t="shared" si="88"/>
        <v/>
      </c>
      <c r="AQ491" s="7" t="str">
        <f t="shared" si="91"/>
        <v/>
      </c>
      <c r="AR491" s="7" t="str">
        <f t="shared" si="89"/>
        <v/>
      </c>
      <c r="AS491" s="7">
        <f t="shared" si="92"/>
        <v>0</v>
      </c>
      <c r="AT491" s="17">
        <f>TableCosts[[#This Row],[N_Amount]]*TableCosts[[#This Row],[N_Tariff]]*TableCosts[[#This Row],[N_ItemsCount]]</f>
        <v>0</v>
      </c>
      <c r="AU491" s="17">
        <f>IF(F491=1,IF(TableCosts[[#This Row],[N_Kateg]]="interné práce",TableCosts[[#This Row],[N_Amount]]*8*PAR_SGA_PERHOUR,0),0)</f>
        <v>0</v>
      </c>
      <c r="AV491" s="17">
        <f>SUM(TableCosts[[#This Row],[N_Direct]:[N_SGA]])</f>
        <v>0</v>
      </c>
      <c r="AW491" s="7">
        <f>IF(F491=1,IF(D491="",NA(),VLOOKUP(C491&amp;TableCosts[[#This Row],[Calc_N_Typ]],TRAN_STRITEMS_LABEL,7,0)),0)</f>
        <v>0</v>
      </c>
      <c r="AX491" s="7">
        <f t="shared" si="93"/>
        <v>0</v>
      </c>
      <c r="AY491" s="57" t="str">
        <f t="shared" si="94"/>
        <v/>
      </c>
      <c r="AZ491" s="57" t="str">
        <f t="shared" si="95"/>
        <v/>
      </c>
      <c r="BA491" s="57" t="str">
        <f>IF(F491=1,IF(TableCosts[[#This Row],[TransferFrom]]=TableCosts[[#This Row],[TranferTo]],0,1),"")</f>
        <v/>
      </c>
      <c r="BB491" s="7">
        <f t="shared" si="96"/>
        <v>0</v>
      </c>
      <c r="BC491" s="7">
        <f t="shared" si="97"/>
        <v>0</v>
      </c>
    </row>
    <row r="492" spans="2:55" s="7" customFormat="1" ht="12.75" x14ac:dyDescent="0.2">
      <c r="B492" s="33"/>
      <c r="C492" s="31"/>
      <c r="D492" s="40"/>
      <c r="E492" s="6" t="str">
        <f>IF(F492=1,IF(ISERROR(TableCosts[[#This Row],[N_Tariff]]),Err_Message1,IF(TableCosts[[#This Row],[N_Tariff]]=0,Err_Message2,VLOOKUP(C492&amp;TableCosts[[#This Row],[Calc_N_Typ]],TRAN_STRITEMS_LABEL,5,FALSE))),"")</f>
        <v/>
      </c>
      <c r="F492" s="6">
        <f t="shared" si="98"/>
        <v>0</v>
      </c>
      <c r="G492" s="6" t="str">
        <f>IF(F492=1,IFERROR(VLOOKUP(E492,Tab_ErrMessage[],2,0),VLOOKUP(C492&amp;TableCosts[[#This Row],[Calc_N_Typ]],TRAN_STRITEMS_LABEL,4,FALSE)),"")</f>
        <v/>
      </c>
      <c r="H492" s="40"/>
      <c r="I492" s="40"/>
      <c r="J492" s="35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  <c r="AD492" s="24"/>
      <c r="AE492" s="24"/>
      <c r="AF492" s="24"/>
      <c r="AG492" s="24"/>
      <c r="AH492" s="24"/>
      <c r="AI492" s="24"/>
      <c r="AJ492" s="24"/>
      <c r="AK492" s="38">
        <f t="array" ref="AK492">IF(F492=1,SUM((ROW(M0)=ROW(AK492))*(M0+M1_+M2_+M3_+M4_+M5_+M6_+M7_+M8_+M9_+M10_+M11_+M12_+M13_+M14_+M15_+M16_+M17_+M18_+M19_+M20_+M21_+M22_+M23_+M24_+M25_)),0)</f>
        <v>0</v>
      </c>
      <c r="AL492" s="27">
        <f>TableCosts[[#This Row],[N_Direct]]</f>
        <v>0</v>
      </c>
      <c r="AN492" s="7" t="str">
        <f t="shared" si="87"/>
        <v/>
      </c>
      <c r="AO492" s="7" t="str">
        <f t="shared" si="90"/>
        <v/>
      </c>
      <c r="AP492" s="7" t="str">
        <f t="shared" si="88"/>
        <v/>
      </c>
      <c r="AQ492" s="7" t="str">
        <f t="shared" si="91"/>
        <v/>
      </c>
      <c r="AR492" s="7" t="str">
        <f t="shared" si="89"/>
        <v/>
      </c>
      <c r="AS492" s="7">
        <f t="shared" si="92"/>
        <v>0</v>
      </c>
      <c r="AT492" s="17">
        <f>TableCosts[[#This Row],[N_Amount]]*TableCosts[[#This Row],[N_Tariff]]*TableCosts[[#This Row],[N_ItemsCount]]</f>
        <v>0</v>
      </c>
      <c r="AU492" s="17">
        <f>IF(F492=1,IF(TableCosts[[#This Row],[N_Kateg]]="interné práce",TableCosts[[#This Row],[N_Amount]]*8*PAR_SGA_PERHOUR,0),0)</f>
        <v>0</v>
      </c>
      <c r="AV492" s="17">
        <f>SUM(TableCosts[[#This Row],[N_Direct]:[N_SGA]])</f>
        <v>0</v>
      </c>
      <c r="AW492" s="7">
        <f>IF(F492=1,IF(D492="",NA(),VLOOKUP(C492&amp;TableCosts[[#This Row],[Calc_N_Typ]],TRAN_STRITEMS_LABEL,7,0)),0)</f>
        <v>0</v>
      </c>
      <c r="AX492" s="7">
        <f t="shared" si="93"/>
        <v>0</v>
      </c>
      <c r="AY492" s="57" t="str">
        <f t="shared" si="94"/>
        <v/>
      </c>
      <c r="AZ492" s="57" t="str">
        <f t="shared" si="95"/>
        <v/>
      </c>
      <c r="BA492" s="57" t="str">
        <f>IF(F492=1,IF(TableCosts[[#This Row],[TransferFrom]]=TableCosts[[#This Row],[TranferTo]],0,1),"")</f>
        <v/>
      </c>
      <c r="BB492" s="7">
        <f t="shared" si="96"/>
        <v>0</v>
      </c>
      <c r="BC492" s="7">
        <f t="shared" si="97"/>
        <v>0</v>
      </c>
    </row>
    <row r="493" spans="2:55" s="7" customFormat="1" ht="12.75" x14ac:dyDescent="0.2">
      <c r="B493" s="33"/>
      <c r="C493" s="31"/>
      <c r="D493" s="40"/>
      <c r="E493" s="6" t="str">
        <f>IF(F493=1,IF(ISERROR(TableCosts[[#This Row],[N_Tariff]]),Err_Message1,IF(TableCosts[[#This Row],[N_Tariff]]=0,Err_Message2,VLOOKUP(C493&amp;TableCosts[[#This Row],[Calc_N_Typ]],TRAN_STRITEMS_LABEL,5,FALSE))),"")</f>
        <v/>
      </c>
      <c r="F493" s="6">
        <f t="shared" si="98"/>
        <v>0</v>
      </c>
      <c r="G493" s="6" t="str">
        <f>IF(F493=1,IFERROR(VLOOKUP(E493,Tab_ErrMessage[],2,0),VLOOKUP(C493&amp;TableCosts[[#This Row],[Calc_N_Typ]],TRAN_STRITEMS_LABEL,4,FALSE)),"")</f>
        <v/>
      </c>
      <c r="H493" s="40"/>
      <c r="I493" s="40"/>
      <c r="J493" s="35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  <c r="AD493" s="24"/>
      <c r="AE493" s="24"/>
      <c r="AF493" s="24"/>
      <c r="AG493" s="24"/>
      <c r="AH493" s="24"/>
      <c r="AI493" s="24"/>
      <c r="AJ493" s="24"/>
      <c r="AK493" s="38">
        <f t="array" ref="AK493">IF(F493=1,SUM((ROW(M0)=ROW(AK493))*(M0+M1_+M2_+M3_+M4_+M5_+M6_+M7_+M8_+M9_+M10_+M11_+M12_+M13_+M14_+M15_+M16_+M17_+M18_+M19_+M20_+M21_+M22_+M23_+M24_+M25_)),0)</f>
        <v>0</v>
      </c>
      <c r="AL493" s="27">
        <f>TableCosts[[#This Row],[N_Direct]]</f>
        <v>0</v>
      </c>
      <c r="AN493" s="7" t="str">
        <f t="shared" si="87"/>
        <v/>
      </c>
      <c r="AO493" s="7" t="str">
        <f t="shared" si="90"/>
        <v/>
      </c>
      <c r="AP493" s="7" t="str">
        <f t="shared" si="88"/>
        <v/>
      </c>
      <c r="AQ493" s="7" t="str">
        <f t="shared" si="91"/>
        <v/>
      </c>
      <c r="AR493" s="7" t="str">
        <f t="shared" si="89"/>
        <v/>
      </c>
      <c r="AS493" s="7">
        <f t="shared" si="92"/>
        <v>0</v>
      </c>
      <c r="AT493" s="17">
        <f>TableCosts[[#This Row],[N_Amount]]*TableCosts[[#This Row],[N_Tariff]]*TableCosts[[#This Row],[N_ItemsCount]]</f>
        <v>0</v>
      </c>
      <c r="AU493" s="17">
        <f>IF(F493=1,IF(TableCosts[[#This Row],[N_Kateg]]="interné práce",TableCosts[[#This Row],[N_Amount]]*8*PAR_SGA_PERHOUR,0),0)</f>
        <v>0</v>
      </c>
      <c r="AV493" s="17">
        <f>SUM(TableCosts[[#This Row],[N_Direct]:[N_SGA]])</f>
        <v>0</v>
      </c>
      <c r="AW493" s="7">
        <f>IF(F493=1,IF(D493="",NA(),VLOOKUP(C493&amp;TableCosts[[#This Row],[Calc_N_Typ]],TRAN_STRITEMS_LABEL,7,0)),0)</f>
        <v>0</v>
      </c>
      <c r="AX493" s="7">
        <f t="shared" si="93"/>
        <v>0</v>
      </c>
      <c r="AY493" s="57" t="str">
        <f t="shared" si="94"/>
        <v/>
      </c>
      <c r="AZ493" s="57" t="str">
        <f t="shared" si="95"/>
        <v/>
      </c>
      <c r="BA493" s="57" t="str">
        <f>IF(F493=1,IF(TableCosts[[#This Row],[TransferFrom]]=TableCosts[[#This Row],[TranferTo]],0,1),"")</f>
        <v/>
      </c>
      <c r="BB493" s="7">
        <f t="shared" si="96"/>
        <v>0</v>
      </c>
      <c r="BC493" s="7">
        <f t="shared" si="97"/>
        <v>0</v>
      </c>
    </row>
    <row r="494" spans="2:55" s="7" customFormat="1" ht="12.75" x14ac:dyDescent="0.2">
      <c r="B494" s="33"/>
      <c r="C494" s="31"/>
      <c r="D494" s="40"/>
      <c r="E494" s="6" t="str">
        <f>IF(F494=1,IF(ISERROR(TableCosts[[#This Row],[N_Tariff]]),Err_Message1,IF(TableCosts[[#This Row],[N_Tariff]]=0,Err_Message2,VLOOKUP(C494&amp;TableCosts[[#This Row],[Calc_N_Typ]],TRAN_STRITEMS_LABEL,5,FALSE))),"")</f>
        <v/>
      </c>
      <c r="F494" s="6">
        <f t="shared" si="98"/>
        <v>0</v>
      </c>
      <c r="G494" s="6" t="str">
        <f>IF(F494=1,IFERROR(VLOOKUP(E494,Tab_ErrMessage[],2,0),VLOOKUP(C494&amp;TableCosts[[#This Row],[Calc_N_Typ]],TRAN_STRITEMS_LABEL,4,FALSE)),"")</f>
        <v/>
      </c>
      <c r="H494" s="40"/>
      <c r="I494" s="40"/>
      <c r="J494" s="35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  <c r="AD494" s="24"/>
      <c r="AE494" s="24"/>
      <c r="AF494" s="24"/>
      <c r="AG494" s="24"/>
      <c r="AH494" s="24"/>
      <c r="AI494" s="24"/>
      <c r="AJ494" s="24"/>
      <c r="AK494" s="38">
        <f t="array" ref="AK494">IF(F494=1,SUM((ROW(M0)=ROW(AK494))*(M0+M1_+M2_+M3_+M4_+M5_+M6_+M7_+M8_+M9_+M10_+M11_+M12_+M13_+M14_+M15_+M16_+M17_+M18_+M19_+M20_+M21_+M22_+M23_+M24_+M25_)),0)</f>
        <v>0</v>
      </c>
      <c r="AL494" s="27">
        <f>TableCosts[[#This Row],[N_Direct]]</f>
        <v>0</v>
      </c>
      <c r="AN494" s="7" t="str">
        <f t="shared" si="87"/>
        <v/>
      </c>
      <c r="AO494" s="7" t="str">
        <f t="shared" si="90"/>
        <v/>
      </c>
      <c r="AP494" s="7" t="str">
        <f t="shared" si="88"/>
        <v/>
      </c>
      <c r="AQ494" s="7" t="str">
        <f t="shared" si="91"/>
        <v/>
      </c>
      <c r="AR494" s="7" t="str">
        <f t="shared" si="89"/>
        <v/>
      </c>
      <c r="AS494" s="7">
        <f t="shared" si="92"/>
        <v>0</v>
      </c>
      <c r="AT494" s="17">
        <f>TableCosts[[#This Row],[N_Amount]]*TableCosts[[#This Row],[N_Tariff]]*TableCosts[[#This Row],[N_ItemsCount]]</f>
        <v>0</v>
      </c>
      <c r="AU494" s="17">
        <f>IF(F494=1,IF(TableCosts[[#This Row],[N_Kateg]]="interné práce",TableCosts[[#This Row],[N_Amount]]*8*PAR_SGA_PERHOUR,0),0)</f>
        <v>0</v>
      </c>
      <c r="AV494" s="17">
        <f>SUM(TableCosts[[#This Row],[N_Direct]:[N_SGA]])</f>
        <v>0</v>
      </c>
      <c r="AW494" s="7">
        <f>IF(F494=1,IF(D494="",NA(),VLOOKUP(C494&amp;TableCosts[[#This Row],[Calc_N_Typ]],TRAN_STRITEMS_LABEL,7,0)),0)</f>
        <v>0</v>
      </c>
      <c r="AX494" s="7">
        <f t="shared" si="93"/>
        <v>0</v>
      </c>
      <c r="AY494" s="57" t="str">
        <f t="shared" si="94"/>
        <v/>
      </c>
      <c r="AZ494" s="57" t="str">
        <f t="shared" si="95"/>
        <v/>
      </c>
      <c r="BA494" s="57" t="str">
        <f>IF(F494=1,IF(TableCosts[[#This Row],[TransferFrom]]=TableCosts[[#This Row],[TranferTo]],0,1),"")</f>
        <v/>
      </c>
      <c r="BB494" s="7">
        <f t="shared" si="96"/>
        <v>0</v>
      </c>
      <c r="BC494" s="7">
        <f t="shared" si="97"/>
        <v>0</v>
      </c>
    </row>
    <row r="495" spans="2:55" s="7" customFormat="1" ht="12.75" x14ac:dyDescent="0.2">
      <c r="B495" s="33"/>
      <c r="C495" s="31"/>
      <c r="D495" s="40"/>
      <c r="E495" s="6" t="str">
        <f>IF(F495=1,IF(ISERROR(TableCosts[[#This Row],[N_Tariff]]),Err_Message1,IF(TableCosts[[#This Row],[N_Tariff]]=0,Err_Message2,VLOOKUP(C495&amp;TableCosts[[#This Row],[Calc_N_Typ]],TRAN_STRITEMS_LABEL,5,FALSE))),"")</f>
        <v/>
      </c>
      <c r="F495" s="6">
        <f t="shared" si="98"/>
        <v>0</v>
      </c>
      <c r="G495" s="6" t="str">
        <f>IF(F495=1,IFERROR(VLOOKUP(E495,Tab_ErrMessage[],2,0),VLOOKUP(C495&amp;TableCosts[[#This Row],[Calc_N_Typ]],TRAN_STRITEMS_LABEL,4,FALSE)),"")</f>
        <v/>
      </c>
      <c r="H495" s="40"/>
      <c r="I495" s="40"/>
      <c r="J495" s="35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  <c r="AD495" s="24"/>
      <c r="AE495" s="24"/>
      <c r="AF495" s="24"/>
      <c r="AG495" s="24"/>
      <c r="AH495" s="24"/>
      <c r="AI495" s="24"/>
      <c r="AJ495" s="24"/>
      <c r="AK495" s="38">
        <f t="array" ref="AK495">IF(F495=1,SUM((ROW(M0)=ROW(AK495))*(M0+M1_+M2_+M3_+M4_+M5_+M6_+M7_+M8_+M9_+M10_+M11_+M12_+M13_+M14_+M15_+M16_+M17_+M18_+M19_+M20_+M21_+M22_+M23_+M24_+M25_)),0)</f>
        <v>0</v>
      </c>
      <c r="AL495" s="27">
        <f>TableCosts[[#This Row],[N_Direct]]</f>
        <v>0</v>
      </c>
      <c r="AN495" s="7" t="str">
        <f t="shared" si="87"/>
        <v/>
      </c>
      <c r="AO495" s="7" t="str">
        <f t="shared" si="90"/>
        <v/>
      </c>
      <c r="AP495" s="7" t="str">
        <f t="shared" si="88"/>
        <v/>
      </c>
      <c r="AQ495" s="7" t="str">
        <f t="shared" si="91"/>
        <v/>
      </c>
      <c r="AR495" s="7" t="str">
        <f t="shared" si="89"/>
        <v/>
      </c>
      <c r="AS495" s="7">
        <f t="shared" si="92"/>
        <v>0</v>
      </c>
      <c r="AT495" s="17">
        <f>TableCosts[[#This Row],[N_Amount]]*TableCosts[[#This Row],[N_Tariff]]*TableCosts[[#This Row],[N_ItemsCount]]</f>
        <v>0</v>
      </c>
      <c r="AU495" s="17">
        <f>IF(F495=1,IF(TableCosts[[#This Row],[N_Kateg]]="interné práce",TableCosts[[#This Row],[N_Amount]]*8*PAR_SGA_PERHOUR,0),0)</f>
        <v>0</v>
      </c>
      <c r="AV495" s="17">
        <f>SUM(TableCosts[[#This Row],[N_Direct]:[N_SGA]])</f>
        <v>0</v>
      </c>
      <c r="AW495" s="7">
        <f>IF(F495=1,IF(D495="",NA(),VLOOKUP(C495&amp;TableCosts[[#This Row],[Calc_N_Typ]],TRAN_STRITEMS_LABEL,7,0)),0)</f>
        <v>0</v>
      </c>
      <c r="AX495" s="7">
        <f t="shared" si="93"/>
        <v>0</v>
      </c>
      <c r="AY495" s="57" t="str">
        <f t="shared" si="94"/>
        <v/>
      </c>
      <c r="AZ495" s="57" t="str">
        <f t="shared" si="95"/>
        <v/>
      </c>
      <c r="BA495" s="57" t="str">
        <f>IF(F495=1,IF(TableCosts[[#This Row],[TransferFrom]]=TableCosts[[#This Row],[TranferTo]],0,1),"")</f>
        <v/>
      </c>
      <c r="BB495" s="7">
        <f t="shared" si="96"/>
        <v>0</v>
      </c>
      <c r="BC495" s="7">
        <f t="shared" si="97"/>
        <v>0</v>
      </c>
    </row>
    <row r="496" spans="2:55" s="7" customFormat="1" ht="12.75" x14ac:dyDescent="0.2">
      <c r="B496" s="33"/>
      <c r="C496" s="31"/>
      <c r="D496" s="40"/>
      <c r="E496" s="6" t="str">
        <f>IF(F496=1,IF(ISERROR(TableCosts[[#This Row],[N_Tariff]]),Err_Message1,IF(TableCosts[[#This Row],[N_Tariff]]=0,Err_Message2,VLOOKUP(C496&amp;TableCosts[[#This Row],[Calc_N_Typ]],TRAN_STRITEMS_LABEL,5,FALSE))),"")</f>
        <v/>
      </c>
      <c r="F496" s="6">
        <f t="shared" si="98"/>
        <v>0</v>
      </c>
      <c r="G496" s="6" t="str">
        <f>IF(F496=1,IFERROR(VLOOKUP(E496,Tab_ErrMessage[],2,0),VLOOKUP(C496&amp;TableCosts[[#This Row],[Calc_N_Typ]],TRAN_STRITEMS_LABEL,4,FALSE)),"")</f>
        <v/>
      </c>
      <c r="H496" s="40"/>
      <c r="I496" s="40"/>
      <c r="J496" s="35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  <c r="AD496" s="24"/>
      <c r="AE496" s="24"/>
      <c r="AF496" s="24"/>
      <c r="AG496" s="24"/>
      <c r="AH496" s="24"/>
      <c r="AI496" s="24"/>
      <c r="AJ496" s="24"/>
      <c r="AK496" s="38">
        <f t="array" ref="AK496">IF(F496=1,SUM((ROW(M0)=ROW(AK496))*(M0+M1_+M2_+M3_+M4_+M5_+M6_+M7_+M8_+M9_+M10_+M11_+M12_+M13_+M14_+M15_+M16_+M17_+M18_+M19_+M20_+M21_+M22_+M23_+M24_+M25_)),0)</f>
        <v>0</v>
      </c>
      <c r="AL496" s="27">
        <f>TableCosts[[#This Row],[N_Direct]]</f>
        <v>0</v>
      </c>
      <c r="AN496" s="7" t="str">
        <f t="shared" si="87"/>
        <v/>
      </c>
      <c r="AO496" s="7" t="str">
        <f t="shared" si="90"/>
        <v/>
      </c>
      <c r="AP496" s="7" t="str">
        <f t="shared" si="88"/>
        <v/>
      </c>
      <c r="AQ496" s="7" t="str">
        <f t="shared" si="91"/>
        <v/>
      </c>
      <c r="AR496" s="7" t="str">
        <f t="shared" si="89"/>
        <v/>
      </c>
      <c r="AS496" s="7">
        <f t="shared" si="92"/>
        <v>0</v>
      </c>
      <c r="AT496" s="17">
        <f>TableCosts[[#This Row],[N_Amount]]*TableCosts[[#This Row],[N_Tariff]]*TableCosts[[#This Row],[N_ItemsCount]]</f>
        <v>0</v>
      </c>
      <c r="AU496" s="17">
        <f>IF(F496=1,IF(TableCosts[[#This Row],[N_Kateg]]="interné práce",TableCosts[[#This Row],[N_Amount]]*8*PAR_SGA_PERHOUR,0),0)</f>
        <v>0</v>
      </c>
      <c r="AV496" s="17">
        <f>SUM(TableCosts[[#This Row],[N_Direct]:[N_SGA]])</f>
        <v>0</v>
      </c>
      <c r="AW496" s="7">
        <f>IF(F496=1,IF(D496="",NA(),VLOOKUP(C496&amp;TableCosts[[#This Row],[Calc_N_Typ]],TRAN_STRITEMS_LABEL,7,0)),0)</f>
        <v>0</v>
      </c>
      <c r="AX496" s="7">
        <f t="shared" si="93"/>
        <v>0</v>
      </c>
      <c r="AY496" s="57" t="str">
        <f t="shared" si="94"/>
        <v/>
      </c>
      <c r="AZ496" s="57" t="str">
        <f t="shared" si="95"/>
        <v/>
      </c>
      <c r="BA496" s="57" t="str">
        <f>IF(F496=1,IF(TableCosts[[#This Row],[TransferFrom]]=TableCosts[[#This Row],[TranferTo]],0,1),"")</f>
        <v/>
      </c>
      <c r="BB496" s="7">
        <f t="shared" si="96"/>
        <v>0</v>
      </c>
      <c r="BC496" s="7">
        <f t="shared" si="97"/>
        <v>0</v>
      </c>
    </row>
    <row r="497" spans="2:55" s="7" customFormat="1" ht="12.75" x14ac:dyDescent="0.2">
      <c r="B497" s="33"/>
      <c r="C497" s="31"/>
      <c r="D497" s="40"/>
      <c r="E497" s="6" t="str">
        <f>IF(F497=1,IF(ISERROR(TableCosts[[#This Row],[N_Tariff]]),Err_Message1,IF(TableCosts[[#This Row],[N_Tariff]]=0,Err_Message2,VLOOKUP(C497&amp;TableCosts[[#This Row],[Calc_N_Typ]],TRAN_STRITEMS_LABEL,5,FALSE))),"")</f>
        <v/>
      </c>
      <c r="F497" s="6">
        <f t="shared" si="98"/>
        <v>0</v>
      </c>
      <c r="G497" s="6" t="str">
        <f>IF(F497=1,IFERROR(VLOOKUP(E497,Tab_ErrMessage[],2,0),VLOOKUP(C497&amp;TableCosts[[#This Row],[Calc_N_Typ]],TRAN_STRITEMS_LABEL,4,FALSE)),"")</f>
        <v/>
      </c>
      <c r="H497" s="40"/>
      <c r="I497" s="40"/>
      <c r="J497" s="35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  <c r="AD497" s="24"/>
      <c r="AE497" s="24"/>
      <c r="AF497" s="24"/>
      <c r="AG497" s="24"/>
      <c r="AH497" s="24"/>
      <c r="AI497" s="24"/>
      <c r="AJ497" s="24"/>
      <c r="AK497" s="38">
        <f t="array" ref="AK497">IF(F497=1,SUM((ROW(M0)=ROW(AK497))*(M0+M1_+M2_+M3_+M4_+M5_+M6_+M7_+M8_+M9_+M10_+M11_+M12_+M13_+M14_+M15_+M16_+M17_+M18_+M19_+M20_+M21_+M22_+M23_+M24_+M25_)),0)</f>
        <v>0</v>
      </c>
      <c r="AL497" s="27">
        <f>TableCosts[[#This Row],[N_Direct]]</f>
        <v>0</v>
      </c>
      <c r="AN497" s="7" t="str">
        <f t="shared" si="87"/>
        <v/>
      </c>
      <c r="AO497" s="7" t="str">
        <f t="shared" si="90"/>
        <v/>
      </c>
      <c r="AP497" s="7" t="str">
        <f t="shared" si="88"/>
        <v/>
      </c>
      <c r="AQ497" s="7" t="str">
        <f t="shared" si="91"/>
        <v/>
      </c>
      <c r="AR497" s="7" t="str">
        <f t="shared" si="89"/>
        <v/>
      </c>
      <c r="AS497" s="7">
        <f t="shared" si="92"/>
        <v>0</v>
      </c>
      <c r="AT497" s="17">
        <f>TableCosts[[#This Row],[N_Amount]]*TableCosts[[#This Row],[N_Tariff]]*TableCosts[[#This Row],[N_ItemsCount]]</f>
        <v>0</v>
      </c>
      <c r="AU497" s="17">
        <f>IF(F497=1,IF(TableCosts[[#This Row],[N_Kateg]]="interné práce",TableCosts[[#This Row],[N_Amount]]*8*PAR_SGA_PERHOUR,0),0)</f>
        <v>0</v>
      </c>
      <c r="AV497" s="17">
        <f>SUM(TableCosts[[#This Row],[N_Direct]:[N_SGA]])</f>
        <v>0</v>
      </c>
      <c r="AW497" s="7">
        <f>IF(F497=1,IF(D497="",NA(),VLOOKUP(C497&amp;TableCosts[[#This Row],[Calc_N_Typ]],TRAN_STRITEMS_LABEL,7,0)),0)</f>
        <v>0</v>
      </c>
      <c r="AX497" s="7">
        <f t="shared" si="93"/>
        <v>0</v>
      </c>
      <c r="AY497" s="57" t="str">
        <f t="shared" si="94"/>
        <v/>
      </c>
      <c r="AZ497" s="57" t="str">
        <f t="shared" si="95"/>
        <v/>
      </c>
      <c r="BA497" s="57" t="str">
        <f>IF(F497=1,IF(TableCosts[[#This Row],[TransferFrom]]=TableCosts[[#This Row],[TranferTo]],0,1),"")</f>
        <v/>
      </c>
      <c r="BB497" s="7">
        <f t="shared" si="96"/>
        <v>0</v>
      </c>
      <c r="BC497" s="7">
        <f t="shared" si="97"/>
        <v>0</v>
      </c>
    </row>
    <row r="498" spans="2:55" s="7" customFormat="1" ht="12.75" x14ac:dyDescent="0.2">
      <c r="B498" s="33"/>
      <c r="C498" s="31"/>
      <c r="D498" s="40"/>
      <c r="E498" s="6" t="str">
        <f>IF(F498=1,IF(ISERROR(TableCosts[[#This Row],[N_Tariff]]),Err_Message1,IF(TableCosts[[#This Row],[N_Tariff]]=0,Err_Message2,VLOOKUP(C498&amp;TableCosts[[#This Row],[Calc_N_Typ]],TRAN_STRITEMS_LABEL,5,FALSE))),"")</f>
        <v/>
      </c>
      <c r="F498" s="6">
        <f t="shared" si="98"/>
        <v>0</v>
      </c>
      <c r="G498" s="6" t="str">
        <f>IF(F498=1,IFERROR(VLOOKUP(E498,Tab_ErrMessage[],2,0),VLOOKUP(C498&amp;TableCosts[[#This Row],[Calc_N_Typ]],TRAN_STRITEMS_LABEL,4,FALSE)),"")</f>
        <v/>
      </c>
      <c r="H498" s="40"/>
      <c r="I498" s="40"/>
      <c r="J498" s="35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  <c r="AD498" s="24"/>
      <c r="AE498" s="24"/>
      <c r="AF498" s="24"/>
      <c r="AG498" s="24"/>
      <c r="AH498" s="24"/>
      <c r="AI498" s="24"/>
      <c r="AJ498" s="24"/>
      <c r="AK498" s="38">
        <f t="array" ref="AK498">IF(F498=1,SUM((ROW(M0)=ROW(AK498))*(M0+M1_+M2_+M3_+M4_+M5_+M6_+M7_+M8_+M9_+M10_+M11_+M12_+M13_+M14_+M15_+M16_+M17_+M18_+M19_+M20_+M21_+M22_+M23_+M24_+M25_)),0)</f>
        <v>0</v>
      </c>
      <c r="AL498" s="27">
        <f>TableCosts[[#This Row],[N_Direct]]</f>
        <v>0</v>
      </c>
      <c r="AN498" s="7" t="str">
        <f t="shared" si="87"/>
        <v/>
      </c>
      <c r="AO498" s="7" t="str">
        <f t="shared" si="90"/>
        <v/>
      </c>
      <c r="AP498" s="7" t="str">
        <f t="shared" si="88"/>
        <v/>
      </c>
      <c r="AQ498" s="7" t="str">
        <f t="shared" si="91"/>
        <v/>
      </c>
      <c r="AR498" s="7" t="str">
        <f t="shared" si="89"/>
        <v/>
      </c>
      <c r="AS498" s="7">
        <f t="shared" si="92"/>
        <v>0</v>
      </c>
      <c r="AT498" s="17">
        <f>TableCosts[[#This Row],[N_Amount]]*TableCosts[[#This Row],[N_Tariff]]*TableCosts[[#This Row],[N_ItemsCount]]</f>
        <v>0</v>
      </c>
      <c r="AU498" s="17">
        <f>IF(F498=1,IF(TableCosts[[#This Row],[N_Kateg]]="interné práce",TableCosts[[#This Row],[N_Amount]]*8*PAR_SGA_PERHOUR,0),0)</f>
        <v>0</v>
      </c>
      <c r="AV498" s="17">
        <f>SUM(TableCosts[[#This Row],[N_Direct]:[N_SGA]])</f>
        <v>0</v>
      </c>
      <c r="AW498" s="7">
        <f>IF(F498=1,IF(D498="",NA(),VLOOKUP(C498&amp;TableCosts[[#This Row],[Calc_N_Typ]],TRAN_STRITEMS_LABEL,7,0)),0)</f>
        <v>0</v>
      </c>
      <c r="AX498" s="7">
        <f t="shared" si="93"/>
        <v>0</v>
      </c>
      <c r="AY498" s="57" t="str">
        <f t="shared" si="94"/>
        <v/>
      </c>
      <c r="AZ498" s="57" t="str">
        <f t="shared" si="95"/>
        <v/>
      </c>
      <c r="BA498" s="57" t="str">
        <f>IF(F498=1,IF(TableCosts[[#This Row],[TransferFrom]]=TableCosts[[#This Row],[TranferTo]],0,1),"")</f>
        <v/>
      </c>
      <c r="BB498" s="7">
        <f t="shared" si="96"/>
        <v>0</v>
      </c>
      <c r="BC498" s="7">
        <f t="shared" si="97"/>
        <v>0</v>
      </c>
    </row>
    <row r="499" spans="2:55" s="7" customFormat="1" ht="12.75" x14ac:dyDescent="0.2">
      <c r="B499" s="33"/>
      <c r="C499" s="31"/>
      <c r="D499" s="40"/>
      <c r="E499" s="6" t="str">
        <f>IF(F499=1,IF(ISERROR(TableCosts[[#This Row],[N_Tariff]]),Err_Message1,IF(TableCosts[[#This Row],[N_Tariff]]=0,Err_Message2,VLOOKUP(C499&amp;TableCosts[[#This Row],[Calc_N_Typ]],TRAN_STRITEMS_LABEL,5,FALSE))),"")</f>
        <v/>
      </c>
      <c r="F499" s="6">
        <f t="shared" si="98"/>
        <v>0</v>
      </c>
      <c r="G499" s="6" t="str">
        <f>IF(F499=1,IFERROR(VLOOKUP(E499,Tab_ErrMessage[],2,0),VLOOKUP(C499&amp;TableCosts[[#This Row],[Calc_N_Typ]],TRAN_STRITEMS_LABEL,4,FALSE)),"")</f>
        <v/>
      </c>
      <c r="H499" s="40"/>
      <c r="I499" s="40"/>
      <c r="J499" s="35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  <c r="AD499" s="24"/>
      <c r="AE499" s="24"/>
      <c r="AF499" s="24"/>
      <c r="AG499" s="24"/>
      <c r="AH499" s="24"/>
      <c r="AI499" s="24"/>
      <c r="AJ499" s="24"/>
      <c r="AK499" s="38">
        <f t="array" ref="AK499">IF(F499=1,SUM((ROW(M0)=ROW(AK499))*(M0+M1_+M2_+M3_+M4_+M5_+M6_+M7_+M8_+M9_+M10_+M11_+M12_+M13_+M14_+M15_+M16_+M17_+M18_+M19_+M20_+M21_+M22_+M23_+M24_+M25_)),0)</f>
        <v>0</v>
      </c>
      <c r="AL499" s="27">
        <f>TableCosts[[#This Row],[N_Direct]]</f>
        <v>0</v>
      </c>
      <c r="AN499" s="7" t="str">
        <f t="shared" si="87"/>
        <v/>
      </c>
      <c r="AO499" s="7" t="str">
        <f t="shared" si="90"/>
        <v/>
      </c>
      <c r="AP499" s="7" t="str">
        <f t="shared" si="88"/>
        <v/>
      </c>
      <c r="AQ499" s="7" t="str">
        <f t="shared" si="91"/>
        <v/>
      </c>
      <c r="AR499" s="7" t="str">
        <f t="shared" si="89"/>
        <v/>
      </c>
      <c r="AS499" s="7">
        <f t="shared" si="92"/>
        <v>0</v>
      </c>
      <c r="AT499" s="17">
        <f>TableCosts[[#This Row],[N_Amount]]*TableCosts[[#This Row],[N_Tariff]]*TableCosts[[#This Row],[N_ItemsCount]]</f>
        <v>0</v>
      </c>
      <c r="AU499" s="17">
        <f>IF(F499=1,IF(TableCosts[[#This Row],[N_Kateg]]="interné práce",TableCosts[[#This Row],[N_Amount]]*8*PAR_SGA_PERHOUR,0),0)</f>
        <v>0</v>
      </c>
      <c r="AV499" s="17">
        <f>SUM(TableCosts[[#This Row],[N_Direct]:[N_SGA]])</f>
        <v>0</v>
      </c>
      <c r="AW499" s="7">
        <f>IF(F499=1,IF(D499="",NA(),VLOOKUP(C499&amp;TableCosts[[#This Row],[Calc_N_Typ]],TRAN_STRITEMS_LABEL,7,0)),0)</f>
        <v>0</v>
      </c>
      <c r="AX499" s="7">
        <f t="shared" si="93"/>
        <v>0</v>
      </c>
      <c r="AY499" s="57" t="str">
        <f t="shared" si="94"/>
        <v/>
      </c>
      <c r="AZ499" s="57" t="str">
        <f t="shared" si="95"/>
        <v/>
      </c>
      <c r="BA499" s="57" t="str">
        <f>IF(F499=1,IF(TableCosts[[#This Row],[TransferFrom]]=TableCosts[[#This Row],[TranferTo]],0,1),"")</f>
        <v/>
      </c>
      <c r="BB499" s="7">
        <f t="shared" si="96"/>
        <v>0</v>
      </c>
      <c r="BC499" s="7">
        <f t="shared" si="97"/>
        <v>0</v>
      </c>
    </row>
    <row r="500" spans="2:55" s="7" customFormat="1" ht="12.75" x14ac:dyDescent="0.2">
      <c r="B500" s="33"/>
      <c r="C500" s="31"/>
      <c r="D500" s="40"/>
      <c r="E500" s="6" t="str">
        <f>IF(F500=1,IF(ISERROR(TableCosts[[#This Row],[N_Tariff]]),Err_Message1,IF(TableCosts[[#This Row],[N_Tariff]]=0,Err_Message2,VLOOKUP(C500&amp;TableCosts[[#This Row],[Calc_N_Typ]],TRAN_STRITEMS_LABEL,5,FALSE))),"")</f>
        <v/>
      </c>
      <c r="F500" s="6">
        <f t="shared" si="98"/>
        <v>0</v>
      </c>
      <c r="G500" s="6" t="str">
        <f>IF(F500=1,IFERROR(VLOOKUP(E500,Tab_ErrMessage[],2,0),VLOOKUP(C500&amp;TableCosts[[#This Row],[Calc_N_Typ]],TRAN_STRITEMS_LABEL,4,FALSE)),"")</f>
        <v/>
      </c>
      <c r="H500" s="40"/>
      <c r="I500" s="40"/>
      <c r="J500" s="35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  <c r="AD500" s="24"/>
      <c r="AE500" s="24"/>
      <c r="AF500" s="24"/>
      <c r="AG500" s="24"/>
      <c r="AH500" s="24"/>
      <c r="AI500" s="24"/>
      <c r="AJ500" s="24"/>
      <c r="AK500" s="38">
        <f t="array" ref="AK500">IF(F500=1,SUM((ROW(M0)=ROW(AK500))*(M0+M1_+M2_+M3_+M4_+M5_+M6_+M7_+M8_+M9_+M10_+M11_+M12_+M13_+M14_+M15_+M16_+M17_+M18_+M19_+M20_+M21_+M22_+M23_+M24_+M25_)),0)</f>
        <v>0</v>
      </c>
      <c r="AL500" s="27">
        <f>TableCosts[[#This Row],[N_Direct]]</f>
        <v>0</v>
      </c>
      <c r="AN500" s="7" t="str">
        <f t="shared" si="87"/>
        <v/>
      </c>
      <c r="AO500" s="7" t="str">
        <f t="shared" si="90"/>
        <v/>
      </c>
      <c r="AP500" s="7" t="str">
        <f t="shared" si="88"/>
        <v/>
      </c>
      <c r="AQ500" s="7" t="str">
        <f t="shared" si="91"/>
        <v/>
      </c>
      <c r="AR500" s="7" t="str">
        <f t="shared" si="89"/>
        <v/>
      </c>
      <c r="AS500" s="7">
        <f t="shared" si="92"/>
        <v>0</v>
      </c>
      <c r="AT500" s="17">
        <f>TableCosts[[#This Row],[N_Amount]]*TableCosts[[#This Row],[N_Tariff]]*TableCosts[[#This Row],[N_ItemsCount]]</f>
        <v>0</v>
      </c>
      <c r="AU500" s="17">
        <f>IF(F500=1,IF(TableCosts[[#This Row],[N_Kateg]]="interné práce",TableCosts[[#This Row],[N_Amount]]*8*PAR_SGA_PERHOUR,0),0)</f>
        <v>0</v>
      </c>
      <c r="AV500" s="17">
        <f>SUM(TableCosts[[#This Row],[N_Direct]:[N_SGA]])</f>
        <v>0</v>
      </c>
      <c r="AW500" s="7">
        <f>IF(F500=1,IF(D500="",NA(),VLOOKUP(C500&amp;TableCosts[[#This Row],[Calc_N_Typ]],TRAN_STRITEMS_LABEL,7,0)),0)</f>
        <v>0</v>
      </c>
      <c r="AX500" s="7">
        <f t="shared" si="93"/>
        <v>0</v>
      </c>
      <c r="AY500" s="57" t="str">
        <f t="shared" si="94"/>
        <v/>
      </c>
      <c r="AZ500" s="57" t="str">
        <f t="shared" si="95"/>
        <v/>
      </c>
      <c r="BA500" s="57" t="str">
        <f>IF(F500=1,IF(TableCosts[[#This Row],[TransferFrom]]=TableCosts[[#This Row],[TranferTo]],0,1),"")</f>
        <v/>
      </c>
      <c r="BB500" s="7">
        <f t="shared" si="96"/>
        <v>0</v>
      </c>
      <c r="BC500" s="7">
        <f t="shared" si="97"/>
        <v>0</v>
      </c>
    </row>
    <row r="501" spans="2:55" s="7" customFormat="1" ht="12.75" x14ac:dyDescent="0.2">
      <c r="B501" s="33"/>
      <c r="C501" s="31"/>
      <c r="D501" s="40"/>
      <c r="E501" s="6" t="str">
        <f>IF(F501=1,IF(ISERROR(TableCosts[[#This Row],[N_Tariff]]),Err_Message1,IF(TableCosts[[#This Row],[N_Tariff]]=0,Err_Message2,VLOOKUP(C501&amp;TableCosts[[#This Row],[Calc_N_Typ]],TRAN_STRITEMS_LABEL,5,FALSE))),"")</f>
        <v/>
      </c>
      <c r="F501" s="6">
        <f t="shared" si="98"/>
        <v>0</v>
      </c>
      <c r="G501" s="6" t="str">
        <f>IF(F501=1,IFERROR(VLOOKUP(E501,Tab_ErrMessage[],2,0),VLOOKUP(C501&amp;TableCosts[[#This Row],[Calc_N_Typ]],TRAN_STRITEMS_LABEL,4,FALSE)),"")</f>
        <v/>
      </c>
      <c r="H501" s="40"/>
      <c r="I501" s="40"/>
      <c r="J501" s="35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  <c r="AD501" s="24"/>
      <c r="AE501" s="24"/>
      <c r="AF501" s="24"/>
      <c r="AG501" s="24"/>
      <c r="AH501" s="24"/>
      <c r="AI501" s="24"/>
      <c r="AJ501" s="24"/>
      <c r="AK501" s="38">
        <f t="array" ref="AK501">IF(F501=1,SUM((ROW(M0)=ROW(AK501))*(M0+M1_+M2_+M3_+M4_+M5_+M6_+M7_+M8_+M9_+M10_+M11_+M12_+M13_+M14_+M15_+M16_+M17_+M18_+M19_+M20_+M21_+M22_+M23_+M24_+M25_)),0)</f>
        <v>0</v>
      </c>
      <c r="AL501" s="27">
        <f>TableCosts[[#This Row],[N_Direct]]</f>
        <v>0</v>
      </c>
      <c r="AN501" s="7" t="str">
        <f t="shared" si="87"/>
        <v/>
      </c>
      <c r="AO501" s="7" t="str">
        <f t="shared" si="90"/>
        <v/>
      </c>
      <c r="AP501" s="7" t="str">
        <f t="shared" si="88"/>
        <v/>
      </c>
      <c r="AQ501" s="7" t="str">
        <f t="shared" si="91"/>
        <v/>
      </c>
      <c r="AR501" s="7" t="str">
        <f t="shared" si="89"/>
        <v/>
      </c>
      <c r="AS501" s="7">
        <f t="shared" si="92"/>
        <v>0</v>
      </c>
      <c r="AT501" s="17">
        <f>TableCosts[[#This Row],[N_Amount]]*TableCosts[[#This Row],[N_Tariff]]*TableCosts[[#This Row],[N_ItemsCount]]</f>
        <v>0</v>
      </c>
      <c r="AU501" s="17">
        <f>IF(F501=1,IF(TableCosts[[#This Row],[N_Kateg]]="interné práce",TableCosts[[#This Row],[N_Amount]]*8*PAR_SGA_PERHOUR,0),0)</f>
        <v>0</v>
      </c>
      <c r="AV501" s="17">
        <f>SUM(TableCosts[[#This Row],[N_Direct]:[N_SGA]])</f>
        <v>0</v>
      </c>
      <c r="AW501" s="7">
        <f>IF(F501=1,IF(D501="",NA(),VLOOKUP(C501&amp;TableCosts[[#This Row],[Calc_N_Typ]],TRAN_STRITEMS_LABEL,7,0)),0)</f>
        <v>0</v>
      </c>
      <c r="AX501" s="7">
        <f t="shared" si="93"/>
        <v>0</v>
      </c>
      <c r="AY501" s="57" t="str">
        <f t="shared" si="94"/>
        <v/>
      </c>
      <c r="AZ501" s="57" t="str">
        <f t="shared" si="95"/>
        <v/>
      </c>
      <c r="BA501" s="57" t="str">
        <f>IF(F501=1,IF(TableCosts[[#This Row],[TransferFrom]]=TableCosts[[#This Row],[TranferTo]],0,1),"")</f>
        <v/>
      </c>
      <c r="BB501" s="7">
        <f t="shared" si="96"/>
        <v>0</v>
      </c>
      <c r="BC501" s="7">
        <f t="shared" si="97"/>
        <v>0</v>
      </c>
    </row>
    <row r="502" spans="2:55" s="7" customFormat="1" ht="12.75" x14ac:dyDescent="0.2">
      <c r="B502" s="33"/>
      <c r="C502" s="31"/>
      <c r="D502" s="40"/>
      <c r="E502" s="6" t="str">
        <f>IF(F502=1,IF(ISERROR(TableCosts[[#This Row],[N_Tariff]]),Err_Message1,IF(TableCosts[[#This Row],[N_Tariff]]=0,Err_Message2,VLOOKUP(C502&amp;TableCosts[[#This Row],[Calc_N_Typ]],TRAN_STRITEMS_LABEL,5,FALSE))),"")</f>
        <v/>
      </c>
      <c r="F502" s="6">
        <f t="shared" si="98"/>
        <v>0</v>
      </c>
      <c r="G502" s="6" t="str">
        <f>IF(F502=1,IFERROR(VLOOKUP(E502,Tab_ErrMessage[],2,0),VLOOKUP(C502&amp;TableCosts[[#This Row],[Calc_N_Typ]],TRAN_STRITEMS_LABEL,4,FALSE)),"")</f>
        <v/>
      </c>
      <c r="H502" s="40"/>
      <c r="I502" s="40"/>
      <c r="J502" s="35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  <c r="AD502" s="24"/>
      <c r="AE502" s="24"/>
      <c r="AF502" s="24"/>
      <c r="AG502" s="24"/>
      <c r="AH502" s="24"/>
      <c r="AI502" s="24"/>
      <c r="AJ502" s="24"/>
      <c r="AK502" s="38">
        <f t="array" ref="AK502">IF(F502=1,SUM((ROW(M0)=ROW(AK502))*(M0+M1_+M2_+M3_+M4_+M5_+M6_+M7_+M8_+M9_+M10_+M11_+M12_+M13_+M14_+M15_+M16_+M17_+M18_+M19_+M20_+M21_+M22_+M23_+M24_+M25_)),0)</f>
        <v>0</v>
      </c>
      <c r="AL502" s="27">
        <f>TableCosts[[#This Row],[N_Direct]]</f>
        <v>0</v>
      </c>
      <c r="AN502" s="7" t="str">
        <f t="shared" si="87"/>
        <v/>
      </c>
      <c r="AO502" s="7" t="str">
        <f t="shared" si="90"/>
        <v/>
      </c>
      <c r="AP502" s="7" t="str">
        <f t="shared" si="88"/>
        <v/>
      </c>
      <c r="AQ502" s="7" t="str">
        <f t="shared" si="91"/>
        <v/>
      </c>
      <c r="AR502" s="7" t="str">
        <f t="shared" si="89"/>
        <v/>
      </c>
      <c r="AS502" s="7">
        <f t="shared" si="92"/>
        <v>0</v>
      </c>
      <c r="AT502" s="17">
        <f>TableCosts[[#This Row],[N_Amount]]*TableCosts[[#This Row],[N_Tariff]]*TableCosts[[#This Row],[N_ItemsCount]]</f>
        <v>0</v>
      </c>
      <c r="AU502" s="17">
        <f>IF(F502=1,IF(TableCosts[[#This Row],[N_Kateg]]="interné práce",TableCosts[[#This Row],[N_Amount]]*8*PAR_SGA_PERHOUR,0),0)</f>
        <v>0</v>
      </c>
      <c r="AV502" s="17">
        <f>SUM(TableCosts[[#This Row],[N_Direct]:[N_SGA]])</f>
        <v>0</v>
      </c>
      <c r="AW502" s="7">
        <f>IF(F502=1,IF(D502="",NA(),VLOOKUP(C502&amp;TableCosts[[#This Row],[Calc_N_Typ]],TRAN_STRITEMS_LABEL,7,0)),0)</f>
        <v>0</v>
      </c>
      <c r="AX502" s="7">
        <f t="shared" si="93"/>
        <v>0</v>
      </c>
      <c r="AY502" s="57" t="str">
        <f t="shared" si="94"/>
        <v/>
      </c>
      <c r="AZ502" s="57" t="str">
        <f t="shared" si="95"/>
        <v/>
      </c>
      <c r="BA502" s="57" t="str">
        <f>IF(F502=1,IF(TableCosts[[#This Row],[TransferFrom]]=TableCosts[[#This Row],[TranferTo]],0,1),"")</f>
        <v/>
      </c>
      <c r="BB502" s="7">
        <f t="shared" si="96"/>
        <v>0</v>
      </c>
      <c r="BC502" s="7">
        <f t="shared" si="97"/>
        <v>0</v>
      </c>
    </row>
    <row r="503" spans="2:55" s="7" customFormat="1" ht="12.75" x14ac:dyDescent="0.2">
      <c r="B503" s="33"/>
      <c r="C503" s="31"/>
      <c r="D503" s="40"/>
      <c r="E503" s="6" t="str">
        <f>IF(F503=1,IF(ISERROR(TableCosts[[#This Row],[N_Tariff]]),Err_Message1,IF(TableCosts[[#This Row],[N_Tariff]]=0,Err_Message2,VLOOKUP(C503&amp;TableCosts[[#This Row],[Calc_N_Typ]],TRAN_STRITEMS_LABEL,5,FALSE))),"")</f>
        <v/>
      </c>
      <c r="F503" s="6">
        <f t="shared" si="98"/>
        <v>0</v>
      </c>
      <c r="G503" s="6" t="str">
        <f>IF(F503=1,IFERROR(VLOOKUP(E503,Tab_ErrMessage[],2,0),VLOOKUP(C503&amp;TableCosts[[#This Row],[Calc_N_Typ]],TRAN_STRITEMS_LABEL,4,FALSE)),"")</f>
        <v/>
      </c>
      <c r="H503" s="40"/>
      <c r="I503" s="40"/>
      <c r="J503" s="35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  <c r="AD503" s="24"/>
      <c r="AE503" s="24"/>
      <c r="AF503" s="24"/>
      <c r="AG503" s="24"/>
      <c r="AH503" s="24"/>
      <c r="AI503" s="24"/>
      <c r="AJ503" s="24"/>
      <c r="AK503" s="38">
        <f t="array" ref="AK503">IF(F503=1,SUM((ROW(M0)=ROW(AK503))*(M0+M1_+M2_+M3_+M4_+M5_+M6_+M7_+M8_+M9_+M10_+M11_+M12_+M13_+M14_+M15_+M16_+M17_+M18_+M19_+M20_+M21_+M22_+M23_+M24_+M25_)),0)</f>
        <v>0</v>
      </c>
      <c r="AL503" s="27">
        <f>TableCosts[[#This Row],[N_Direct]]</f>
        <v>0</v>
      </c>
      <c r="AN503" s="7" t="str">
        <f t="shared" ref="AN503:AN566" si="99">IF(F503=1,B503,"")</f>
        <v/>
      </c>
      <c r="AO503" s="7" t="str">
        <f t="shared" si="90"/>
        <v/>
      </c>
      <c r="AP503" s="7" t="str">
        <f t="shared" ref="AP503:AP566" si="100">IF(F503=1,E503,"")</f>
        <v/>
      </c>
      <c r="AQ503" s="7" t="str">
        <f t="shared" si="91"/>
        <v/>
      </c>
      <c r="AR503" s="7" t="str">
        <f t="shared" ref="AR503:AR566" si="101">IF(F503=1,G503,"")</f>
        <v/>
      </c>
      <c r="AS503" s="7">
        <f t="shared" si="92"/>
        <v>0</v>
      </c>
      <c r="AT503" s="17">
        <f>TableCosts[[#This Row],[N_Amount]]*TableCosts[[#This Row],[N_Tariff]]*TableCosts[[#This Row],[N_ItemsCount]]</f>
        <v>0</v>
      </c>
      <c r="AU503" s="17">
        <f>IF(F503=1,IF(TableCosts[[#This Row],[N_Kateg]]="interné práce",TableCosts[[#This Row],[N_Amount]]*8*PAR_SGA_PERHOUR,0),0)</f>
        <v>0</v>
      </c>
      <c r="AV503" s="17">
        <f>SUM(TableCosts[[#This Row],[N_Direct]:[N_SGA]])</f>
        <v>0</v>
      </c>
      <c r="AW503" s="7">
        <f>IF(F503=1,IF(D503="",NA(),VLOOKUP(C503&amp;TableCosts[[#This Row],[Calc_N_Typ]],TRAN_STRITEMS_LABEL,7,0)),0)</f>
        <v>0</v>
      </c>
      <c r="AX503" s="7">
        <f t="shared" si="93"/>
        <v>0</v>
      </c>
      <c r="AY503" s="57" t="str">
        <f t="shared" si="94"/>
        <v/>
      </c>
      <c r="AZ503" s="57" t="str">
        <f t="shared" si="95"/>
        <v/>
      </c>
      <c r="BA503" s="57" t="str">
        <f>IF(F503=1,IF(TableCosts[[#This Row],[TransferFrom]]=TableCosts[[#This Row],[TranferTo]],0,1),"")</f>
        <v/>
      </c>
      <c r="BB503" s="7">
        <f t="shared" si="96"/>
        <v>0</v>
      </c>
      <c r="BC503" s="7">
        <f t="shared" si="97"/>
        <v>0</v>
      </c>
    </row>
    <row r="504" spans="2:55" s="7" customFormat="1" ht="12.75" x14ac:dyDescent="0.2">
      <c r="B504" s="33"/>
      <c r="C504" s="31"/>
      <c r="D504" s="40"/>
      <c r="E504" s="6" t="str">
        <f>IF(F504=1,IF(ISERROR(TableCosts[[#This Row],[N_Tariff]]),Err_Message1,IF(TableCosts[[#This Row],[N_Tariff]]=0,Err_Message2,VLOOKUP(C504&amp;TableCosts[[#This Row],[Calc_N_Typ]],TRAN_STRITEMS_LABEL,5,FALSE))),"")</f>
        <v/>
      </c>
      <c r="F504" s="6">
        <f t="shared" si="98"/>
        <v>0</v>
      </c>
      <c r="G504" s="6" t="str">
        <f>IF(F504=1,IFERROR(VLOOKUP(E504,Tab_ErrMessage[],2,0),VLOOKUP(C504&amp;TableCosts[[#This Row],[Calc_N_Typ]],TRAN_STRITEMS_LABEL,4,FALSE)),"")</f>
        <v/>
      </c>
      <c r="H504" s="40"/>
      <c r="I504" s="40"/>
      <c r="J504" s="35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  <c r="AD504" s="24"/>
      <c r="AE504" s="24"/>
      <c r="AF504" s="24"/>
      <c r="AG504" s="24"/>
      <c r="AH504" s="24"/>
      <c r="AI504" s="24"/>
      <c r="AJ504" s="24"/>
      <c r="AK504" s="38">
        <f t="array" ref="AK504">IF(F504=1,SUM((ROW(M0)=ROW(AK504))*(M0+M1_+M2_+M3_+M4_+M5_+M6_+M7_+M8_+M9_+M10_+M11_+M12_+M13_+M14_+M15_+M16_+M17_+M18_+M19_+M20_+M21_+M22_+M23_+M24_+M25_)),0)</f>
        <v>0</v>
      </c>
      <c r="AL504" s="27">
        <f>TableCosts[[#This Row],[N_Direct]]</f>
        <v>0</v>
      </c>
      <c r="AN504" s="7" t="str">
        <f t="shared" si="99"/>
        <v/>
      </c>
      <c r="AO504" s="7" t="str">
        <f t="shared" si="90"/>
        <v/>
      </c>
      <c r="AP504" s="7" t="str">
        <f t="shared" si="100"/>
        <v/>
      </c>
      <c r="AQ504" s="7" t="str">
        <f t="shared" si="91"/>
        <v/>
      </c>
      <c r="AR504" s="7" t="str">
        <f t="shared" si="101"/>
        <v/>
      </c>
      <c r="AS504" s="7">
        <f t="shared" si="92"/>
        <v>0</v>
      </c>
      <c r="AT504" s="17">
        <f>TableCosts[[#This Row],[N_Amount]]*TableCosts[[#This Row],[N_Tariff]]*TableCosts[[#This Row],[N_ItemsCount]]</f>
        <v>0</v>
      </c>
      <c r="AU504" s="17">
        <f>IF(F504=1,IF(TableCosts[[#This Row],[N_Kateg]]="interné práce",TableCosts[[#This Row],[N_Amount]]*8*PAR_SGA_PERHOUR,0),0)</f>
        <v>0</v>
      </c>
      <c r="AV504" s="17">
        <f>SUM(TableCosts[[#This Row],[N_Direct]:[N_SGA]])</f>
        <v>0</v>
      </c>
      <c r="AW504" s="7">
        <f>IF(F504=1,IF(D504="",NA(),VLOOKUP(C504&amp;TableCosts[[#This Row],[Calc_N_Typ]],TRAN_STRITEMS_LABEL,7,0)),0)</f>
        <v>0</v>
      </c>
      <c r="AX504" s="7">
        <f t="shared" si="93"/>
        <v>0</v>
      </c>
      <c r="AY504" s="57" t="str">
        <f t="shared" si="94"/>
        <v/>
      </c>
      <c r="AZ504" s="57" t="str">
        <f t="shared" si="95"/>
        <v/>
      </c>
      <c r="BA504" s="57" t="str">
        <f>IF(F504=1,IF(TableCosts[[#This Row],[TransferFrom]]=TableCosts[[#This Row],[TranferTo]],0,1),"")</f>
        <v/>
      </c>
      <c r="BB504" s="7">
        <f t="shared" si="96"/>
        <v>0</v>
      </c>
      <c r="BC504" s="7">
        <f t="shared" si="97"/>
        <v>0</v>
      </c>
    </row>
    <row r="505" spans="2:55" s="7" customFormat="1" ht="12.75" x14ac:dyDescent="0.2">
      <c r="B505" s="33"/>
      <c r="C505" s="31"/>
      <c r="D505" s="40"/>
      <c r="E505" s="6" t="str">
        <f>IF(F505=1,IF(ISERROR(TableCosts[[#This Row],[N_Tariff]]),Err_Message1,IF(TableCosts[[#This Row],[N_Tariff]]=0,Err_Message2,VLOOKUP(C505&amp;TableCosts[[#This Row],[Calc_N_Typ]],TRAN_STRITEMS_LABEL,5,FALSE))),"")</f>
        <v/>
      </c>
      <c r="F505" s="6">
        <f t="shared" si="98"/>
        <v>0</v>
      </c>
      <c r="G505" s="6" t="str">
        <f>IF(F505=1,IFERROR(VLOOKUP(E505,Tab_ErrMessage[],2,0),VLOOKUP(C505&amp;TableCosts[[#This Row],[Calc_N_Typ]],TRAN_STRITEMS_LABEL,4,FALSE)),"")</f>
        <v/>
      </c>
      <c r="H505" s="40"/>
      <c r="I505" s="40"/>
      <c r="J505" s="35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  <c r="AD505" s="24"/>
      <c r="AE505" s="24"/>
      <c r="AF505" s="24"/>
      <c r="AG505" s="24"/>
      <c r="AH505" s="24"/>
      <c r="AI505" s="24"/>
      <c r="AJ505" s="24"/>
      <c r="AK505" s="38">
        <f t="array" ref="AK505">IF(F505=1,SUM((ROW(M0)=ROW(AK505))*(M0+M1_+M2_+M3_+M4_+M5_+M6_+M7_+M8_+M9_+M10_+M11_+M12_+M13_+M14_+M15_+M16_+M17_+M18_+M19_+M20_+M21_+M22_+M23_+M24_+M25_)),0)</f>
        <v>0</v>
      </c>
      <c r="AL505" s="27">
        <f>TableCosts[[#This Row],[N_Direct]]</f>
        <v>0</v>
      </c>
      <c r="AN505" s="7" t="str">
        <f t="shared" si="99"/>
        <v/>
      </c>
      <c r="AO505" s="7" t="str">
        <f t="shared" si="90"/>
        <v/>
      </c>
      <c r="AP505" s="7" t="str">
        <f t="shared" si="100"/>
        <v/>
      </c>
      <c r="AQ505" s="7" t="str">
        <f t="shared" si="91"/>
        <v/>
      </c>
      <c r="AR505" s="7" t="str">
        <f t="shared" si="101"/>
        <v/>
      </c>
      <c r="AS505" s="7">
        <f t="shared" si="92"/>
        <v>0</v>
      </c>
      <c r="AT505" s="17">
        <f>TableCosts[[#This Row],[N_Amount]]*TableCosts[[#This Row],[N_Tariff]]*TableCosts[[#This Row],[N_ItemsCount]]</f>
        <v>0</v>
      </c>
      <c r="AU505" s="17">
        <f>IF(F505=1,IF(TableCosts[[#This Row],[N_Kateg]]="interné práce",TableCosts[[#This Row],[N_Amount]]*8*PAR_SGA_PERHOUR,0),0)</f>
        <v>0</v>
      </c>
      <c r="AV505" s="17">
        <f>SUM(TableCosts[[#This Row],[N_Direct]:[N_SGA]])</f>
        <v>0</v>
      </c>
      <c r="AW505" s="7">
        <f>IF(F505=1,IF(D505="",NA(),VLOOKUP(C505&amp;TableCosts[[#This Row],[Calc_N_Typ]],TRAN_STRITEMS_LABEL,7,0)),0)</f>
        <v>0</v>
      </c>
      <c r="AX505" s="7">
        <f t="shared" si="93"/>
        <v>0</v>
      </c>
      <c r="AY505" s="57" t="str">
        <f t="shared" si="94"/>
        <v/>
      </c>
      <c r="AZ505" s="57" t="str">
        <f t="shared" si="95"/>
        <v/>
      </c>
      <c r="BA505" s="57" t="str">
        <f>IF(F505=1,IF(TableCosts[[#This Row],[TransferFrom]]=TableCosts[[#This Row],[TranferTo]],0,1),"")</f>
        <v/>
      </c>
      <c r="BB505" s="7">
        <f t="shared" si="96"/>
        <v>0</v>
      </c>
      <c r="BC505" s="7">
        <f t="shared" si="97"/>
        <v>0</v>
      </c>
    </row>
    <row r="506" spans="2:55" s="7" customFormat="1" ht="12.75" x14ac:dyDescent="0.2">
      <c r="B506" s="33"/>
      <c r="C506" s="31"/>
      <c r="D506" s="40"/>
      <c r="E506" s="6" t="str">
        <f>IF(F506=1,IF(ISERROR(TableCosts[[#This Row],[N_Tariff]]),Err_Message1,IF(TableCosts[[#This Row],[N_Tariff]]=0,Err_Message2,VLOOKUP(C506&amp;TableCosts[[#This Row],[Calc_N_Typ]],TRAN_STRITEMS_LABEL,5,FALSE))),"")</f>
        <v/>
      </c>
      <c r="F506" s="6">
        <f t="shared" si="98"/>
        <v>0</v>
      </c>
      <c r="G506" s="6" t="str">
        <f>IF(F506=1,IFERROR(VLOOKUP(E506,Tab_ErrMessage[],2,0),VLOOKUP(C506&amp;TableCosts[[#This Row],[Calc_N_Typ]],TRAN_STRITEMS_LABEL,4,FALSE)),"")</f>
        <v/>
      </c>
      <c r="H506" s="40"/>
      <c r="I506" s="40"/>
      <c r="J506" s="35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  <c r="AD506" s="24"/>
      <c r="AE506" s="24"/>
      <c r="AF506" s="24"/>
      <c r="AG506" s="24"/>
      <c r="AH506" s="24"/>
      <c r="AI506" s="24"/>
      <c r="AJ506" s="24"/>
      <c r="AK506" s="38">
        <f t="array" ref="AK506">IF(F506=1,SUM((ROW(M0)=ROW(AK506))*(M0+M1_+M2_+M3_+M4_+M5_+M6_+M7_+M8_+M9_+M10_+M11_+M12_+M13_+M14_+M15_+M16_+M17_+M18_+M19_+M20_+M21_+M22_+M23_+M24_+M25_)),0)</f>
        <v>0</v>
      </c>
      <c r="AL506" s="27">
        <f>TableCosts[[#This Row],[N_Direct]]</f>
        <v>0</v>
      </c>
      <c r="AN506" s="7" t="str">
        <f t="shared" si="99"/>
        <v/>
      </c>
      <c r="AO506" s="7" t="str">
        <f t="shared" si="90"/>
        <v/>
      </c>
      <c r="AP506" s="7" t="str">
        <f t="shared" si="100"/>
        <v/>
      </c>
      <c r="AQ506" s="7" t="str">
        <f t="shared" si="91"/>
        <v/>
      </c>
      <c r="AR506" s="7" t="str">
        <f t="shared" si="101"/>
        <v/>
      </c>
      <c r="AS506" s="7">
        <f t="shared" si="92"/>
        <v>0</v>
      </c>
      <c r="AT506" s="17">
        <f>TableCosts[[#This Row],[N_Amount]]*TableCosts[[#This Row],[N_Tariff]]*TableCosts[[#This Row],[N_ItemsCount]]</f>
        <v>0</v>
      </c>
      <c r="AU506" s="17">
        <f>IF(F506=1,IF(TableCosts[[#This Row],[N_Kateg]]="interné práce",TableCosts[[#This Row],[N_Amount]]*8*PAR_SGA_PERHOUR,0),0)</f>
        <v>0</v>
      </c>
      <c r="AV506" s="17">
        <f>SUM(TableCosts[[#This Row],[N_Direct]:[N_SGA]])</f>
        <v>0</v>
      </c>
      <c r="AW506" s="7">
        <f>IF(F506=1,IF(D506="",NA(),VLOOKUP(C506&amp;TableCosts[[#This Row],[Calc_N_Typ]],TRAN_STRITEMS_LABEL,7,0)),0)</f>
        <v>0</v>
      </c>
      <c r="AX506" s="7">
        <f t="shared" si="93"/>
        <v>0</v>
      </c>
      <c r="AY506" s="57" t="str">
        <f t="shared" si="94"/>
        <v/>
      </c>
      <c r="AZ506" s="57" t="str">
        <f t="shared" si="95"/>
        <v/>
      </c>
      <c r="BA506" s="57" t="str">
        <f>IF(F506=1,IF(TableCosts[[#This Row],[TransferFrom]]=TableCosts[[#This Row],[TranferTo]],0,1),"")</f>
        <v/>
      </c>
      <c r="BB506" s="7">
        <f t="shared" si="96"/>
        <v>0</v>
      </c>
      <c r="BC506" s="7">
        <f t="shared" si="97"/>
        <v>0</v>
      </c>
    </row>
    <row r="507" spans="2:55" s="7" customFormat="1" ht="12.75" x14ac:dyDescent="0.2">
      <c r="B507" s="33"/>
      <c r="C507" s="31"/>
      <c r="D507" s="40"/>
      <c r="E507" s="6" t="str">
        <f>IF(F507=1,IF(ISERROR(TableCosts[[#This Row],[N_Tariff]]),Err_Message1,IF(TableCosts[[#This Row],[N_Tariff]]=0,Err_Message2,VLOOKUP(C507&amp;TableCosts[[#This Row],[Calc_N_Typ]],TRAN_STRITEMS_LABEL,5,FALSE))),"")</f>
        <v/>
      </c>
      <c r="F507" s="6">
        <f t="shared" si="98"/>
        <v>0</v>
      </c>
      <c r="G507" s="6" t="str">
        <f>IF(F507=1,IFERROR(VLOOKUP(E507,Tab_ErrMessage[],2,0),VLOOKUP(C507&amp;TableCosts[[#This Row],[Calc_N_Typ]],TRAN_STRITEMS_LABEL,4,FALSE)),"")</f>
        <v/>
      </c>
      <c r="H507" s="40"/>
      <c r="I507" s="40"/>
      <c r="J507" s="35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  <c r="AD507" s="24"/>
      <c r="AE507" s="24"/>
      <c r="AF507" s="24"/>
      <c r="AG507" s="24"/>
      <c r="AH507" s="24"/>
      <c r="AI507" s="24"/>
      <c r="AJ507" s="24"/>
      <c r="AK507" s="38">
        <f t="array" ref="AK507">IF(F507=1,SUM((ROW(M0)=ROW(AK507))*(M0+M1_+M2_+M3_+M4_+M5_+M6_+M7_+M8_+M9_+M10_+M11_+M12_+M13_+M14_+M15_+M16_+M17_+M18_+M19_+M20_+M21_+M22_+M23_+M24_+M25_)),0)</f>
        <v>0</v>
      </c>
      <c r="AL507" s="27">
        <f>TableCosts[[#This Row],[N_Direct]]</f>
        <v>0</v>
      </c>
      <c r="AN507" s="7" t="str">
        <f t="shared" si="99"/>
        <v/>
      </c>
      <c r="AO507" s="7" t="str">
        <f t="shared" si="90"/>
        <v/>
      </c>
      <c r="AP507" s="7" t="str">
        <f t="shared" si="100"/>
        <v/>
      </c>
      <c r="AQ507" s="7" t="str">
        <f t="shared" si="91"/>
        <v/>
      </c>
      <c r="AR507" s="7" t="str">
        <f t="shared" si="101"/>
        <v/>
      </c>
      <c r="AS507" s="7">
        <f t="shared" si="92"/>
        <v>0</v>
      </c>
      <c r="AT507" s="17">
        <f>TableCosts[[#This Row],[N_Amount]]*TableCosts[[#This Row],[N_Tariff]]*TableCosts[[#This Row],[N_ItemsCount]]</f>
        <v>0</v>
      </c>
      <c r="AU507" s="17">
        <f>IF(F507=1,IF(TableCosts[[#This Row],[N_Kateg]]="interné práce",TableCosts[[#This Row],[N_Amount]]*8*PAR_SGA_PERHOUR,0),0)</f>
        <v>0</v>
      </c>
      <c r="AV507" s="17">
        <f>SUM(TableCosts[[#This Row],[N_Direct]:[N_SGA]])</f>
        <v>0</v>
      </c>
      <c r="AW507" s="7">
        <f>IF(F507=1,IF(D507="",NA(),VLOOKUP(C507&amp;TableCosts[[#This Row],[Calc_N_Typ]],TRAN_STRITEMS_LABEL,7,0)),0)</f>
        <v>0</v>
      </c>
      <c r="AX507" s="7">
        <f t="shared" si="93"/>
        <v>0</v>
      </c>
      <c r="AY507" s="57" t="str">
        <f t="shared" si="94"/>
        <v/>
      </c>
      <c r="AZ507" s="57" t="str">
        <f t="shared" si="95"/>
        <v/>
      </c>
      <c r="BA507" s="57" t="str">
        <f>IF(F507=1,IF(TableCosts[[#This Row],[TransferFrom]]=TableCosts[[#This Row],[TranferTo]],0,1),"")</f>
        <v/>
      </c>
      <c r="BB507" s="7">
        <f t="shared" si="96"/>
        <v>0</v>
      </c>
      <c r="BC507" s="7">
        <f t="shared" si="97"/>
        <v>0</v>
      </c>
    </row>
    <row r="508" spans="2:55" s="7" customFormat="1" ht="12.75" x14ac:dyDescent="0.2">
      <c r="B508" s="33"/>
      <c r="C508" s="31"/>
      <c r="D508" s="40"/>
      <c r="E508" s="6" t="str">
        <f>IF(F508=1,IF(ISERROR(TableCosts[[#This Row],[N_Tariff]]),Err_Message1,IF(TableCosts[[#This Row],[N_Tariff]]=0,Err_Message2,VLOOKUP(C508&amp;TableCosts[[#This Row],[Calc_N_Typ]],TRAN_STRITEMS_LABEL,5,FALSE))),"")</f>
        <v/>
      </c>
      <c r="F508" s="6">
        <f t="shared" si="98"/>
        <v>0</v>
      </c>
      <c r="G508" s="6" t="str">
        <f>IF(F508=1,IFERROR(VLOOKUP(E508,Tab_ErrMessage[],2,0),VLOOKUP(C508&amp;TableCosts[[#This Row],[Calc_N_Typ]],TRAN_STRITEMS_LABEL,4,FALSE)),"")</f>
        <v/>
      </c>
      <c r="H508" s="40"/>
      <c r="I508" s="40"/>
      <c r="J508" s="35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  <c r="AD508" s="24"/>
      <c r="AE508" s="24"/>
      <c r="AF508" s="24"/>
      <c r="AG508" s="24"/>
      <c r="AH508" s="24"/>
      <c r="AI508" s="24"/>
      <c r="AJ508" s="24"/>
      <c r="AK508" s="38">
        <f t="array" ref="AK508">IF(F508=1,SUM((ROW(M0)=ROW(AK508))*(M0+M1_+M2_+M3_+M4_+M5_+M6_+M7_+M8_+M9_+M10_+M11_+M12_+M13_+M14_+M15_+M16_+M17_+M18_+M19_+M20_+M21_+M22_+M23_+M24_+M25_)),0)</f>
        <v>0</v>
      </c>
      <c r="AL508" s="27">
        <f>TableCosts[[#This Row],[N_Direct]]</f>
        <v>0</v>
      </c>
      <c r="AN508" s="7" t="str">
        <f t="shared" si="99"/>
        <v/>
      </c>
      <c r="AO508" s="7" t="str">
        <f t="shared" si="90"/>
        <v/>
      </c>
      <c r="AP508" s="7" t="str">
        <f t="shared" si="100"/>
        <v/>
      </c>
      <c r="AQ508" s="7" t="str">
        <f t="shared" si="91"/>
        <v/>
      </c>
      <c r="AR508" s="7" t="str">
        <f t="shared" si="101"/>
        <v/>
      </c>
      <c r="AS508" s="7">
        <f t="shared" si="92"/>
        <v>0</v>
      </c>
      <c r="AT508" s="17">
        <f>TableCosts[[#This Row],[N_Amount]]*TableCosts[[#This Row],[N_Tariff]]*TableCosts[[#This Row],[N_ItemsCount]]</f>
        <v>0</v>
      </c>
      <c r="AU508" s="17">
        <f>IF(F508=1,IF(TableCosts[[#This Row],[N_Kateg]]="interné práce",TableCosts[[#This Row],[N_Amount]]*8*PAR_SGA_PERHOUR,0),0)</f>
        <v>0</v>
      </c>
      <c r="AV508" s="17">
        <f>SUM(TableCosts[[#This Row],[N_Direct]:[N_SGA]])</f>
        <v>0</v>
      </c>
      <c r="AW508" s="7">
        <f>IF(F508=1,IF(D508="",NA(),VLOOKUP(C508&amp;TableCosts[[#This Row],[Calc_N_Typ]],TRAN_STRITEMS_LABEL,7,0)),0)</f>
        <v>0</v>
      </c>
      <c r="AX508" s="7">
        <f t="shared" si="93"/>
        <v>0</v>
      </c>
      <c r="AY508" s="57" t="str">
        <f t="shared" si="94"/>
        <v/>
      </c>
      <c r="AZ508" s="57" t="str">
        <f t="shared" si="95"/>
        <v/>
      </c>
      <c r="BA508" s="57" t="str">
        <f>IF(F508=1,IF(TableCosts[[#This Row],[TransferFrom]]=TableCosts[[#This Row],[TranferTo]],0,1),"")</f>
        <v/>
      </c>
      <c r="BB508" s="7">
        <f t="shared" si="96"/>
        <v>0</v>
      </c>
      <c r="BC508" s="7">
        <f t="shared" si="97"/>
        <v>0</v>
      </c>
    </row>
    <row r="509" spans="2:55" s="7" customFormat="1" ht="12.75" x14ac:dyDescent="0.2">
      <c r="B509" s="33"/>
      <c r="C509" s="31"/>
      <c r="D509" s="40"/>
      <c r="E509" s="6" t="str">
        <f>IF(F509=1,IF(ISERROR(TableCosts[[#This Row],[N_Tariff]]),Err_Message1,IF(TableCosts[[#This Row],[N_Tariff]]=0,Err_Message2,VLOOKUP(C509&amp;TableCosts[[#This Row],[Calc_N_Typ]],TRAN_STRITEMS_LABEL,5,FALSE))),"")</f>
        <v/>
      </c>
      <c r="F509" s="6">
        <f t="shared" si="98"/>
        <v>0</v>
      </c>
      <c r="G509" s="6" t="str">
        <f>IF(F509=1,IFERROR(VLOOKUP(E509,Tab_ErrMessage[],2,0),VLOOKUP(C509&amp;TableCosts[[#This Row],[Calc_N_Typ]],TRAN_STRITEMS_LABEL,4,FALSE)),"")</f>
        <v/>
      </c>
      <c r="H509" s="40"/>
      <c r="I509" s="40"/>
      <c r="J509" s="35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  <c r="AD509" s="24"/>
      <c r="AE509" s="24"/>
      <c r="AF509" s="24"/>
      <c r="AG509" s="24"/>
      <c r="AH509" s="24"/>
      <c r="AI509" s="24"/>
      <c r="AJ509" s="24"/>
      <c r="AK509" s="38">
        <f t="array" ref="AK509">IF(F509=1,SUM((ROW(M0)=ROW(AK509))*(M0+M1_+M2_+M3_+M4_+M5_+M6_+M7_+M8_+M9_+M10_+M11_+M12_+M13_+M14_+M15_+M16_+M17_+M18_+M19_+M20_+M21_+M22_+M23_+M24_+M25_)),0)</f>
        <v>0</v>
      </c>
      <c r="AL509" s="27">
        <f>TableCosts[[#This Row],[N_Direct]]</f>
        <v>0</v>
      </c>
      <c r="AN509" s="7" t="str">
        <f t="shared" si="99"/>
        <v/>
      </c>
      <c r="AO509" s="7" t="str">
        <f t="shared" si="90"/>
        <v/>
      </c>
      <c r="AP509" s="7" t="str">
        <f t="shared" si="100"/>
        <v/>
      </c>
      <c r="AQ509" s="7" t="str">
        <f t="shared" si="91"/>
        <v/>
      </c>
      <c r="AR509" s="7" t="str">
        <f t="shared" si="101"/>
        <v/>
      </c>
      <c r="AS509" s="7">
        <f t="shared" si="92"/>
        <v>0</v>
      </c>
      <c r="AT509" s="17">
        <f>TableCosts[[#This Row],[N_Amount]]*TableCosts[[#This Row],[N_Tariff]]*TableCosts[[#This Row],[N_ItemsCount]]</f>
        <v>0</v>
      </c>
      <c r="AU509" s="17">
        <f>IF(F509=1,IF(TableCosts[[#This Row],[N_Kateg]]="interné práce",TableCosts[[#This Row],[N_Amount]]*8*PAR_SGA_PERHOUR,0),0)</f>
        <v>0</v>
      </c>
      <c r="AV509" s="17">
        <f>SUM(TableCosts[[#This Row],[N_Direct]:[N_SGA]])</f>
        <v>0</v>
      </c>
      <c r="AW509" s="7">
        <f>IF(F509=1,IF(D509="",NA(),VLOOKUP(C509&amp;TableCosts[[#This Row],[Calc_N_Typ]],TRAN_STRITEMS_LABEL,7,0)),0)</f>
        <v>0</v>
      </c>
      <c r="AX509" s="7">
        <f t="shared" si="93"/>
        <v>0</v>
      </c>
      <c r="AY509" s="57" t="str">
        <f t="shared" si="94"/>
        <v/>
      </c>
      <c r="AZ509" s="57" t="str">
        <f t="shared" si="95"/>
        <v/>
      </c>
      <c r="BA509" s="57" t="str">
        <f>IF(F509=1,IF(TableCosts[[#This Row],[TransferFrom]]=TableCosts[[#This Row],[TranferTo]],0,1),"")</f>
        <v/>
      </c>
      <c r="BB509" s="7">
        <f t="shared" si="96"/>
        <v>0</v>
      </c>
      <c r="BC509" s="7">
        <f t="shared" si="97"/>
        <v>0</v>
      </c>
    </row>
    <row r="510" spans="2:55" s="7" customFormat="1" ht="12.75" x14ac:dyDescent="0.2">
      <c r="B510" s="33"/>
      <c r="C510" s="31"/>
      <c r="D510" s="40"/>
      <c r="E510" s="6" t="str">
        <f>IF(F510=1,IF(ISERROR(TableCosts[[#This Row],[N_Tariff]]),Err_Message1,IF(TableCosts[[#This Row],[N_Tariff]]=0,Err_Message2,VLOOKUP(C510&amp;TableCosts[[#This Row],[Calc_N_Typ]],TRAN_STRITEMS_LABEL,5,FALSE))),"")</f>
        <v/>
      </c>
      <c r="F510" s="6">
        <f t="shared" si="98"/>
        <v>0</v>
      </c>
      <c r="G510" s="6" t="str">
        <f>IF(F510=1,IFERROR(VLOOKUP(E510,Tab_ErrMessage[],2,0),VLOOKUP(C510&amp;TableCosts[[#This Row],[Calc_N_Typ]],TRAN_STRITEMS_LABEL,4,FALSE)),"")</f>
        <v/>
      </c>
      <c r="H510" s="40"/>
      <c r="I510" s="40"/>
      <c r="J510" s="35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  <c r="AD510" s="24"/>
      <c r="AE510" s="24"/>
      <c r="AF510" s="24"/>
      <c r="AG510" s="24"/>
      <c r="AH510" s="24"/>
      <c r="AI510" s="24"/>
      <c r="AJ510" s="24"/>
      <c r="AK510" s="38">
        <f t="array" ref="AK510">IF(F510=1,SUM((ROW(M0)=ROW(AK510))*(M0+M1_+M2_+M3_+M4_+M5_+M6_+M7_+M8_+M9_+M10_+M11_+M12_+M13_+M14_+M15_+M16_+M17_+M18_+M19_+M20_+M21_+M22_+M23_+M24_+M25_)),0)</f>
        <v>0</v>
      </c>
      <c r="AL510" s="27">
        <f>TableCosts[[#This Row],[N_Direct]]</f>
        <v>0</v>
      </c>
      <c r="AN510" s="7" t="str">
        <f t="shared" si="99"/>
        <v/>
      </c>
      <c r="AO510" s="7" t="str">
        <f t="shared" si="90"/>
        <v/>
      </c>
      <c r="AP510" s="7" t="str">
        <f t="shared" si="100"/>
        <v/>
      </c>
      <c r="AQ510" s="7" t="str">
        <f t="shared" si="91"/>
        <v/>
      </c>
      <c r="AR510" s="7" t="str">
        <f t="shared" si="101"/>
        <v/>
      </c>
      <c r="AS510" s="7">
        <f t="shared" si="92"/>
        <v>0</v>
      </c>
      <c r="AT510" s="17">
        <f>TableCosts[[#This Row],[N_Amount]]*TableCosts[[#This Row],[N_Tariff]]*TableCosts[[#This Row],[N_ItemsCount]]</f>
        <v>0</v>
      </c>
      <c r="AU510" s="17">
        <f>IF(F510=1,IF(TableCosts[[#This Row],[N_Kateg]]="interné práce",TableCosts[[#This Row],[N_Amount]]*8*PAR_SGA_PERHOUR,0),0)</f>
        <v>0</v>
      </c>
      <c r="AV510" s="17">
        <f>SUM(TableCosts[[#This Row],[N_Direct]:[N_SGA]])</f>
        <v>0</v>
      </c>
      <c r="AW510" s="7">
        <f>IF(F510=1,IF(D510="",NA(),VLOOKUP(C510&amp;TableCosts[[#This Row],[Calc_N_Typ]],TRAN_STRITEMS_LABEL,7,0)),0)</f>
        <v>0</v>
      </c>
      <c r="AX510" s="7">
        <f t="shared" si="93"/>
        <v>0</v>
      </c>
      <c r="AY510" s="57" t="str">
        <f t="shared" si="94"/>
        <v/>
      </c>
      <c r="AZ510" s="57" t="str">
        <f t="shared" si="95"/>
        <v/>
      </c>
      <c r="BA510" s="57" t="str">
        <f>IF(F510=1,IF(TableCosts[[#This Row],[TransferFrom]]=TableCosts[[#This Row],[TranferTo]],0,1),"")</f>
        <v/>
      </c>
      <c r="BB510" s="7">
        <f t="shared" si="96"/>
        <v>0</v>
      </c>
      <c r="BC510" s="7">
        <f t="shared" si="97"/>
        <v>0</v>
      </c>
    </row>
    <row r="511" spans="2:55" s="7" customFormat="1" ht="12.75" x14ac:dyDescent="0.2">
      <c r="B511" s="33"/>
      <c r="C511" s="31"/>
      <c r="D511" s="40"/>
      <c r="E511" s="6" t="str">
        <f>IF(F511=1,IF(ISERROR(TableCosts[[#This Row],[N_Tariff]]),Err_Message1,IF(TableCosts[[#This Row],[N_Tariff]]=0,Err_Message2,VLOOKUP(C511&amp;TableCosts[[#This Row],[Calc_N_Typ]],TRAN_STRITEMS_LABEL,5,FALSE))),"")</f>
        <v/>
      </c>
      <c r="F511" s="6">
        <f t="shared" si="98"/>
        <v>0</v>
      </c>
      <c r="G511" s="6" t="str">
        <f>IF(F511=1,IFERROR(VLOOKUP(E511,Tab_ErrMessage[],2,0),VLOOKUP(C511&amp;TableCosts[[#This Row],[Calc_N_Typ]],TRAN_STRITEMS_LABEL,4,FALSE)),"")</f>
        <v/>
      </c>
      <c r="H511" s="40"/>
      <c r="I511" s="40"/>
      <c r="J511" s="35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  <c r="AD511" s="24"/>
      <c r="AE511" s="24"/>
      <c r="AF511" s="24"/>
      <c r="AG511" s="24"/>
      <c r="AH511" s="24"/>
      <c r="AI511" s="24"/>
      <c r="AJ511" s="24"/>
      <c r="AK511" s="38">
        <f t="array" ref="AK511">IF(F511=1,SUM((ROW(M0)=ROW(AK511))*(M0+M1_+M2_+M3_+M4_+M5_+M6_+M7_+M8_+M9_+M10_+M11_+M12_+M13_+M14_+M15_+M16_+M17_+M18_+M19_+M20_+M21_+M22_+M23_+M24_+M25_)),0)</f>
        <v>0</v>
      </c>
      <c r="AL511" s="27">
        <f>TableCosts[[#This Row],[N_Direct]]</f>
        <v>0</v>
      </c>
      <c r="AN511" s="7" t="str">
        <f t="shared" si="99"/>
        <v/>
      </c>
      <c r="AO511" s="7" t="str">
        <f t="shared" si="90"/>
        <v/>
      </c>
      <c r="AP511" s="7" t="str">
        <f t="shared" si="100"/>
        <v/>
      </c>
      <c r="AQ511" s="7" t="str">
        <f t="shared" si="91"/>
        <v/>
      </c>
      <c r="AR511" s="7" t="str">
        <f t="shared" si="101"/>
        <v/>
      </c>
      <c r="AS511" s="7">
        <f t="shared" si="92"/>
        <v>0</v>
      </c>
      <c r="AT511" s="17">
        <f>TableCosts[[#This Row],[N_Amount]]*TableCosts[[#This Row],[N_Tariff]]*TableCosts[[#This Row],[N_ItemsCount]]</f>
        <v>0</v>
      </c>
      <c r="AU511" s="17">
        <f>IF(F511=1,IF(TableCosts[[#This Row],[N_Kateg]]="interné práce",TableCosts[[#This Row],[N_Amount]]*8*PAR_SGA_PERHOUR,0),0)</f>
        <v>0</v>
      </c>
      <c r="AV511" s="17">
        <f>SUM(TableCosts[[#This Row],[N_Direct]:[N_SGA]])</f>
        <v>0</v>
      </c>
      <c r="AW511" s="7">
        <f>IF(F511=1,IF(D511="",NA(),VLOOKUP(C511&amp;TableCosts[[#This Row],[Calc_N_Typ]],TRAN_STRITEMS_LABEL,7,0)),0)</f>
        <v>0</v>
      </c>
      <c r="AX511" s="7">
        <f t="shared" si="93"/>
        <v>0</v>
      </c>
      <c r="AY511" s="57" t="str">
        <f t="shared" si="94"/>
        <v/>
      </c>
      <c r="AZ511" s="57" t="str">
        <f t="shared" si="95"/>
        <v/>
      </c>
      <c r="BA511" s="57" t="str">
        <f>IF(F511=1,IF(TableCosts[[#This Row],[TransferFrom]]=TableCosts[[#This Row],[TranferTo]],0,1),"")</f>
        <v/>
      </c>
      <c r="BB511" s="7">
        <f t="shared" si="96"/>
        <v>0</v>
      </c>
      <c r="BC511" s="7">
        <f t="shared" si="97"/>
        <v>0</v>
      </c>
    </row>
    <row r="512" spans="2:55" s="7" customFormat="1" ht="12.75" x14ac:dyDescent="0.2">
      <c r="B512" s="33"/>
      <c r="C512" s="31"/>
      <c r="D512" s="40"/>
      <c r="E512" s="6" t="str">
        <f>IF(F512=1,IF(ISERROR(TableCosts[[#This Row],[N_Tariff]]),Err_Message1,IF(TableCosts[[#This Row],[N_Tariff]]=0,Err_Message2,VLOOKUP(C512&amp;TableCosts[[#This Row],[Calc_N_Typ]],TRAN_STRITEMS_LABEL,5,FALSE))),"")</f>
        <v/>
      </c>
      <c r="F512" s="6">
        <f t="shared" si="98"/>
        <v>0</v>
      </c>
      <c r="G512" s="6" t="str">
        <f>IF(F512=1,IFERROR(VLOOKUP(E512,Tab_ErrMessage[],2,0),VLOOKUP(C512&amp;TableCosts[[#This Row],[Calc_N_Typ]],TRAN_STRITEMS_LABEL,4,FALSE)),"")</f>
        <v/>
      </c>
      <c r="H512" s="40"/>
      <c r="I512" s="40"/>
      <c r="J512" s="35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  <c r="AD512" s="24"/>
      <c r="AE512" s="24"/>
      <c r="AF512" s="24"/>
      <c r="AG512" s="24"/>
      <c r="AH512" s="24"/>
      <c r="AI512" s="24"/>
      <c r="AJ512" s="24"/>
      <c r="AK512" s="38">
        <f t="array" ref="AK512">IF(F512=1,SUM((ROW(M0)=ROW(AK512))*(M0+M1_+M2_+M3_+M4_+M5_+M6_+M7_+M8_+M9_+M10_+M11_+M12_+M13_+M14_+M15_+M16_+M17_+M18_+M19_+M20_+M21_+M22_+M23_+M24_+M25_)),0)</f>
        <v>0</v>
      </c>
      <c r="AL512" s="27">
        <f>TableCosts[[#This Row],[N_Direct]]</f>
        <v>0</v>
      </c>
      <c r="AN512" s="7" t="str">
        <f t="shared" si="99"/>
        <v/>
      </c>
      <c r="AO512" s="7" t="str">
        <f t="shared" si="90"/>
        <v/>
      </c>
      <c r="AP512" s="7" t="str">
        <f t="shared" si="100"/>
        <v/>
      </c>
      <c r="AQ512" s="7" t="str">
        <f t="shared" si="91"/>
        <v/>
      </c>
      <c r="AR512" s="7" t="str">
        <f t="shared" si="101"/>
        <v/>
      </c>
      <c r="AS512" s="7">
        <f t="shared" si="92"/>
        <v>0</v>
      </c>
      <c r="AT512" s="17">
        <f>TableCosts[[#This Row],[N_Amount]]*TableCosts[[#This Row],[N_Tariff]]*TableCosts[[#This Row],[N_ItemsCount]]</f>
        <v>0</v>
      </c>
      <c r="AU512" s="17">
        <f>IF(F512=1,IF(TableCosts[[#This Row],[N_Kateg]]="interné práce",TableCosts[[#This Row],[N_Amount]]*8*PAR_SGA_PERHOUR,0),0)</f>
        <v>0</v>
      </c>
      <c r="AV512" s="17">
        <f>SUM(TableCosts[[#This Row],[N_Direct]:[N_SGA]])</f>
        <v>0</v>
      </c>
      <c r="AW512" s="7">
        <f>IF(F512=1,IF(D512="",NA(),VLOOKUP(C512&amp;TableCosts[[#This Row],[Calc_N_Typ]],TRAN_STRITEMS_LABEL,7,0)),0)</f>
        <v>0</v>
      </c>
      <c r="AX512" s="7">
        <f t="shared" si="93"/>
        <v>0</v>
      </c>
      <c r="AY512" s="57" t="str">
        <f t="shared" si="94"/>
        <v/>
      </c>
      <c r="AZ512" s="57" t="str">
        <f t="shared" si="95"/>
        <v/>
      </c>
      <c r="BA512" s="57" t="str">
        <f>IF(F512=1,IF(TableCosts[[#This Row],[TransferFrom]]=TableCosts[[#This Row],[TranferTo]],0,1),"")</f>
        <v/>
      </c>
      <c r="BB512" s="7">
        <f t="shared" si="96"/>
        <v>0</v>
      </c>
      <c r="BC512" s="7">
        <f t="shared" si="97"/>
        <v>0</v>
      </c>
    </row>
    <row r="513" spans="2:55" s="7" customFormat="1" ht="12.75" x14ac:dyDescent="0.2">
      <c r="B513" s="33"/>
      <c r="C513" s="31"/>
      <c r="D513" s="40"/>
      <c r="E513" s="6" t="str">
        <f>IF(F513=1,IF(ISERROR(TableCosts[[#This Row],[N_Tariff]]),Err_Message1,IF(TableCosts[[#This Row],[N_Tariff]]=0,Err_Message2,VLOOKUP(C513&amp;TableCosts[[#This Row],[Calc_N_Typ]],TRAN_STRITEMS_LABEL,5,FALSE))),"")</f>
        <v/>
      </c>
      <c r="F513" s="6">
        <f t="shared" si="98"/>
        <v>0</v>
      </c>
      <c r="G513" s="6" t="str">
        <f>IF(F513=1,IFERROR(VLOOKUP(E513,Tab_ErrMessage[],2,0),VLOOKUP(C513&amp;TableCosts[[#This Row],[Calc_N_Typ]],TRAN_STRITEMS_LABEL,4,FALSE)),"")</f>
        <v/>
      </c>
      <c r="H513" s="40"/>
      <c r="I513" s="40"/>
      <c r="J513" s="35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  <c r="AD513" s="24"/>
      <c r="AE513" s="24"/>
      <c r="AF513" s="24"/>
      <c r="AG513" s="24"/>
      <c r="AH513" s="24"/>
      <c r="AI513" s="24"/>
      <c r="AJ513" s="24"/>
      <c r="AK513" s="38">
        <f t="array" ref="AK513">IF(F513=1,SUM((ROW(M0)=ROW(AK513))*(M0+M1_+M2_+M3_+M4_+M5_+M6_+M7_+M8_+M9_+M10_+M11_+M12_+M13_+M14_+M15_+M16_+M17_+M18_+M19_+M20_+M21_+M22_+M23_+M24_+M25_)),0)</f>
        <v>0</v>
      </c>
      <c r="AL513" s="27">
        <f>TableCosts[[#This Row],[N_Direct]]</f>
        <v>0</v>
      </c>
      <c r="AN513" s="7" t="str">
        <f t="shared" si="99"/>
        <v/>
      </c>
      <c r="AO513" s="7" t="str">
        <f t="shared" si="90"/>
        <v/>
      </c>
      <c r="AP513" s="7" t="str">
        <f t="shared" si="100"/>
        <v/>
      </c>
      <c r="AQ513" s="7" t="str">
        <f t="shared" si="91"/>
        <v/>
      </c>
      <c r="AR513" s="7" t="str">
        <f t="shared" si="101"/>
        <v/>
      </c>
      <c r="AS513" s="7">
        <f t="shared" si="92"/>
        <v>0</v>
      </c>
      <c r="AT513" s="17">
        <f>TableCosts[[#This Row],[N_Amount]]*TableCosts[[#This Row],[N_Tariff]]*TableCosts[[#This Row],[N_ItemsCount]]</f>
        <v>0</v>
      </c>
      <c r="AU513" s="17">
        <f>IF(F513=1,IF(TableCosts[[#This Row],[N_Kateg]]="interné práce",TableCosts[[#This Row],[N_Amount]]*8*PAR_SGA_PERHOUR,0),0)</f>
        <v>0</v>
      </c>
      <c r="AV513" s="17">
        <f>SUM(TableCosts[[#This Row],[N_Direct]:[N_SGA]])</f>
        <v>0</v>
      </c>
      <c r="AW513" s="7">
        <f>IF(F513=1,IF(D513="",NA(),VLOOKUP(C513&amp;TableCosts[[#This Row],[Calc_N_Typ]],TRAN_STRITEMS_LABEL,7,0)),0)</f>
        <v>0</v>
      </c>
      <c r="AX513" s="7">
        <f t="shared" si="93"/>
        <v>0</v>
      </c>
      <c r="AY513" s="57" t="str">
        <f t="shared" si="94"/>
        <v/>
      </c>
      <c r="AZ513" s="57" t="str">
        <f t="shared" si="95"/>
        <v/>
      </c>
      <c r="BA513" s="57" t="str">
        <f>IF(F513=1,IF(TableCosts[[#This Row],[TransferFrom]]=TableCosts[[#This Row],[TranferTo]],0,1),"")</f>
        <v/>
      </c>
      <c r="BB513" s="7">
        <f t="shared" si="96"/>
        <v>0</v>
      </c>
      <c r="BC513" s="7">
        <f t="shared" si="97"/>
        <v>0</v>
      </c>
    </row>
    <row r="514" spans="2:55" s="7" customFormat="1" ht="12.75" x14ac:dyDescent="0.2">
      <c r="B514" s="33"/>
      <c r="C514" s="31"/>
      <c r="D514" s="40"/>
      <c r="E514" s="6" t="str">
        <f>IF(F514=1,IF(ISERROR(TableCosts[[#This Row],[N_Tariff]]),Err_Message1,IF(TableCosts[[#This Row],[N_Tariff]]=0,Err_Message2,VLOOKUP(C514&amp;TableCosts[[#This Row],[Calc_N_Typ]],TRAN_STRITEMS_LABEL,5,FALSE))),"")</f>
        <v/>
      </c>
      <c r="F514" s="6">
        <f t="shared" si="98"/>
        <v>0</v>
      </c>
      <c r="G514" s="6" t="str">
        <f>IF(F514=1,IFERROR(VLOOKUP(E514,Tab_ErrMessage[],2,0),VLOOKUP(C514&amp;TableCosts[[#This Row],[Calc_N_Typ]],TRAN_STRITEMS_LABEL,4,FALSE)),"")</f>
        <v/>
      </c>
      <c r="H514" s="40"/>
      <c r="I514" s="40"/>
      <c r="J514" s="35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  <c r="AD514" s="24"/>
      <c r="AE514" s="24"/>
      <c r="AF514" s="24"/>
      <c r="AG514" s="24"/>
      <c r="AH514" s="24"/>
      <c r="AI514" s="24"/>
      <c r="AJ514" s="24"/>
      <c r="AK514" s="38">
        <f t="array" ref="AK514">IF(F514=1,SUM((ROW(M0)=ROW(AK514))*(M0+M1_+M2_+M3_+M4_+M5_+M6_+M7_+M8_+M9_+M10_+M11_+M12_+M13_+M14_+M15_+M16_+M17_+M18_+M19_+M20_+M21_+M22_+M23_+M24_+M25_)),0)</f>
        <v>0</v>
      </c>
      <c r="AL514" s="27">
        <f>TableCosts[[#This Row],[N_Direct]]</f>
        <v>0</v>
      </c>
      <c r="AN514" s="7" t="str">
        <f t="shared" si="99"/>
        <v/>
      </c>
      <c r="AO514" s="7" t="str">
        <f t="shared" si="90"/>
        <v/>
      </c>
      <c r="AP514" s="7" t="str">
        <f t="shared" si="100"/>
        <v/>
      </c>
      <c r="AQ514" s="7" t="str">
        <f t="shared" si="91"/>
        <v/>
      </c>
      <c r="AR514" s="7" t="str">
        <f t="shared" si="101"/>
        <v/>
      </c>
      <c r="AS514" s="7">
        <f t="shared" si="92"/>
        <v>0</v>
      </c>
      <c r="AT514" s="17">
        <f>TableCosts[[#This Row],[N_Amount]]*TableCosts[[#This Row],[N_Tariff]]*TableCosts[[#This Row],[N_ItemsCount]]</f>
        <v>0</v>
      </c>
      <c r="AU514" s="17">
        <f>IF(F514=1,IF(TableCosts[[#This Row],[N_Kateg]]="interné práce",TableCosts[[#This Row],[N_Amount]]*8*PAR_SGA_PERHOUR,0),0)</f>
        <v>0</v>
      </c>
      <c r="AV514" s="17">
        <f>SUM(TableCosts[[#This Row],[N_Direct]:[N_SGA]])</f>
        <v>0</v>
      </c>
      <c r="AW514" s="7">
        <f>IF(F514=1,IF(D514="",NA(),VLOOKUP(C514&amp;TableCosts[[#This Row],[Calc_N_Typ]],TRAN_STRITEMS_LABEL,7,0)),0)</f>
        <v>0</v>
      </c>
      <c r="AX514" s="7">
        <f t="shared" si="93"/>
        <v>0</v>
      </c>
      <c r="AY514" s="57" t="str">
        <f t="shared" si="94"/>
        <v/>
      </c>
      <c r="AZ514" s="57" t="str">
        <f t="shared" si="95"/>
        <v/>
      </c>
      <c r="BA514" s="57" t="str">
        <f>IF(F514=1,IF(TableCosts[[#This Row],[TransferFrom]]=TableCosts[[#This Row],[TranferTo]],0,1),"")</f>
        <v/>
      </c>
      <c r="BB514" s="7">
        <f t="shared" si="96"/>
        <v>0</v>
      </c>
      <c r="BC514" s="7">
        <f t="shared" si="97"/>
        <v>0</v>
      </c>
    </row>
    <row r="515" spans="2:55" s="7" customFormat="1" ht="12.75" x14ac:dyDescent="0.2">
      <c r="B515" s="33"/>
      <c r="C515" s="31"/>
      <c r="D515" s="40"/>
      <c r="E515" s="6" t="str">
        <f>IF(F515=1,IF(ISERROR(TableCosts[[#This Row],[N_Tariff]]),Err_Message1,IF(TableCosts[[#This Row],[N_Tariff]]=0,Err_Message2,VLOOKUP(C515&amp;TableCosts[[#This Row],[Calc_N_Typ]],TRAN_STRITEMS_LABEL,5,FALSE))),"")</f>
        <v/>
      </c>
      <c r="F515" s="6">
        <f t="shared" si="98"/>
        <v>0</v>
      </c>
      <c r="G515" s="6" t="str">
        <f>IF(F515=1,IFERROR(VLOOKUP(E515,Tab_ErrMessage[],2,0),VLOOKUP(C515&amp;TableCosts[[#This Row],[Calc_N_Typ]],TRAN_STRITEMS_LABEL,4,FALSE)),"")</f>
        <v/>
      </c>
      <c r="H515" s="40"/>
      <c r="I515" s="40"/>
      <c r="J515" s="35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  <c r="AD515" s="24"/>
      <c r="AE515" s="24"/>
      <c r="AF515" s="24"/>
      <c r="AG515" s="24"/>
      <c r="AH515" s="24"/>
      <c r="AI515" s="24"/>
      <c r="AJ515" s="24"/>
      <c r="AK515" s="38">
        <f t="array" ref="AK515">IF(F515=1,SUM((ROW(M0)=ROW(AK515))*(M0+M1_+M2_+M3_+M4_+M5_+M6_+M7_+M8_+M9_+M10_+M11_+M12_+M13_+M14_+M15_+M16_+M17_+M18_+M19_+M20_+M21_+M22_+M23_+M24_+M25_)),0)</f>
        <v>0</v>
      </c>
      <c r="AL515" s="27">
        <f>TableCosts[[#This Row],[N_Direct]]</f>
        <v>0</v>
      </c>
      <c r="AN515" s="7" t="str">
        <f t="shared" si="99"/>
        <v/>
      </c>
      <c r="AO515" s="7" t="str">
        <f t="shared" si="90"/>
        <v/>
      </c>
      <c r="AP515" s="7" t="str">
        <f t="shared" si="100"/>
        <v/>
      </c>
      <c r="AQ515" s="7" t="str">
        <f t="shared" si="91"/>
        <v/>
      </c>
      <c r="AR515" s="7" t="str">
        <f t="shared" si="101"/>
        <v/>
      </c>
      <c r="AS515" s="7">
        <f t="shared" si="92"/>
        <v>0</v>
      </c>
      <c r="AT515" s="17">
        <f>TableCosts[[#This Row],[N_Amount]]*TableCosts[[#This Row],[N_Tariff]]*TableCosts[[#This Row],[N_ItemsCount]]</f>
        <v>0</v>
      </c>
      <c r="AU515" s="17">
        <f>IF(F515=1,IF(TableCosts[[#This Row],[N_Kateg]]="interné práce",TableCosts[[#This Row],[N_Amount]]*8*PAR_SGA_PERHOUR,0),0)</f>
        <v>0</v>
      </c>
      <c r="AV515" s="17">
        <f>SUM(TableCosts[[#This Row],[N_Direct]:[N_SGA]])</f>
        <v>0</v>
      </c>
      <c r="AW515" s="7">
        <f>IF(F515=1,IF(D515="",NA(),VLOOKUP(C515&amp;TableCosts[[#This Row],[Calc_N_Typ]],TRAN_STRITEMS_LABEL,7,0)),0)</f>
        <v>0</v>
      </c>
      <c r="AX515" s="7">
        <f t="shared" si="93"/>
        <v>0</v>
      </c>
      <c r="AY515" s="57" t="str">
        <f t="shared" si="94"/>
        <v/>
      </c>
      <c r="AZ515" s="57" t="str">
        <f t="shared" si="95"/>
        <v/>
      </c>
      <c r="BA515" s="57" t="str">
        <f>IF(F515=1,IF(TableCosts[[#This Row],[TransferFrom]]=TableCosts[[#This Row],[TranferTo]],0,1),"")</f>
        <v/>
      </c>
      <c r="BB515" s="7">
        <f t="shared" si="96"/>
        <v>0</v>
      </c>
      <c r="BC515" s="7">
        <f t="shared" si="97"/>
        <v>0</v>
      </c>
    </row>
    <row r="516" spans="2:55" s="7" customFormat="1" ht="12.75" x14ac:dyDescent="0.2">
      <c r="B516" s="33"/>
      <c r="C516" s="31"/>
      <c r="D516" s="40"/>
      <c r="E516" s="6" t="str">
        <f>IF(F516=1,IF(ISERROR(TableCosts[[#This Row],[N_Tariff]]),Err_Message1,IF(TableCosts[[#This Row],[N_Tariff]]=0,Err_Message2,VLOOKUP(C516&amp;TableCosts[[#This Row],[Calc_N_Typ]],TRAN_STRITEMS_LABEL,5,FALSE))),"")</f>
        <v/>
      </c>
      <c r="F516" s="6">
        <f t="shared" si="98"/>
        <v>0</v>
      </c>
      <c r="G516" s="6" t="str">
        <f>IF(F516=1,IFERROR(VLOOKUP(E516,Tab_ErrMessage[],2,0),VLOOKUP(C516&amp;TableCosts[[#This Row],[Calc_N_Typ]],TRAN_STRITEMS_LABEL,4,FALSE)),"")</f>
        <v/>
      </c>
      <c r="H516" s="40"/>
      <c r="I516" s="40"/>
      <c r="J516" s="35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  <c r="AD516" s="24"/>
      <c r="AE516" s="24"/>
      <c r="AF516" s="24"/>
      <c r="AG516" s="24"/>
      <c r="AH516" s="24"/>
      <c r="AI516" s="24"/>
      <c r="AJ516" s="24"/>
      <c r="AK516" s="38">
        <f t="array" ref="AK516">IF(F516=1,SUM((ROW(M0)=ROW(AK516))*(M0+M1_+M2_+M3_+M4_+M5_+M6_+M7_+M8_+M9_+M10_+M11_+M12_+M13_+M14_+M15_+M16_+M17_+M18_+M19_+M20_+M21_+M22_+M23_+M24_+M25_)),0)</f>
        <v>0</v>
      </c>
      <c r="AL516" s="27">
        <f>TableCosts[[#This Row],[N_Direct]]</f>
        <v>0</v>
      </c>
      <c r="AN516" s="7" t="str">
        <f t="shared" si="99"/>
        <v/>
      </c>
      <c r="AO516" s="7" t="str">
        <f t="shared" si="90"/>
        <v/>
      </c>
      <c r="AP516" s="7" t="str">
        <f t="shared" si="100"/>
        <v/>
      </c>
      <c r="AQ516" s="7" t="str">
        <f t="shared" si="91"/>
        <v/>
      </c>
      <c r="AR516" s="7" t="str">
        <f t="shared" si="101"/>
        <v/>
      </c>
      <c r="AS516" s="7">
        <f t="shared" si="92"/>
        <v>0</v>
      </c>
      <c r="AT516" s="17">
        <f>TableCosts[[#This Row],[N_Amount]]*TableCosts[[#This Row],[N_Tariff]]*TableCosts[[#This Row],[N_ItemsCount]]</f>
        <v>0</v>
      </c>
      <c r="AU516" s="17">
        <f>IF(F516=1,IF(TableCosts[[#This Row],[N_Kateg]]="interné práce",TableCosts[[#This Row],[N_Amount]]*8*PAR_SGA_PERHOUR,0),0)</f>
        <v>0</v>
      </c>
      <c r="AV516" s="17">
        <f>SUM(TableCosts[[#This Row],[N_Direct]:[N_SGA]])</f>
        <v>0</v>
      </c>
      <c r="AW516" s="7">
        <f>IF(F516=1,IF(D516="",NA(),VLOOKUP(C516&amp;TableCosts[[#This Row],[Calc_N_Typ]],TRAN_STRITEMS_LABEL,7,0)),0)</f>
        <v>0</v>
      </c>
      <c r="AX516" s="7">
        <f t="shared" si="93"/>
        <v>0</v>
      </c>
      <c r="AY516" s="57" t="str">
        <f t="shared" si="94"/>
        <v/>
      </c>
      <c r="AZ516" s="57" t="str">
        <f t="shared" si="95"/>
        <v/>
      </c>
      <c r="BA516" s="57" t="str">
        <f>IF(F516=1,IF(TableCosts[[#This Row],[TransferFrom]]=TableCosts[[#This Row],[TranferTo]],0,1),"")</f>
        <v/>
      </c>
      <c r="BB516" s="7">
        <f t="shared" si="96"/>
        <v>0</v>
      </c>
      <c r="BC516" s="7">
        <f t="shared" si="97"/>
        <v>0</v>
      </c>
    </row>
    <row r="517" spans="2:55" s="7" customFormat="1" ht="12.75" x14ac:dyDescent="0.2">
      <c r="B517" s="33"/>
      <c r="C517" s="31"/>
      <c r="D517" s="40"/>
      <c r="E517" s="6" t="str">
        <f>IF(F517=1,IF(ISERROR(TableCosts[[#This Row],[N_Tariff]]),Err_Message1,IF(TableCosts[[#This Row],[N_Tariff]]=0,Err_Message2,VLOOKUP(C517&amp;TableCosts[[#This Row],[Calc_N_Typ]],TRAN_STRITEMS_LABEL,5,FALSE))),"")</f>
        <v/>
      </c>
      <c r="F517" s="6">
        <f t="shared" si="98"/>
        <v>0</v>
      </c>
      <c r="G517" s="6" t="str">
        <f>IF(F517=1,IFERROR(VLOOKUP(E517,Tab_ErrMessage[],2,0),VLOOKUP(C517&amp;TableCosts[[#This Row],[Calc_N_Typ]],TRAN_STRITEMS_LABEL,4,FALSE)),"")</f>
        <v/>
      </c>
      <c r="H517" s="40"/>
      <c r="I517" s="40"/>
      <c r="J517" s="35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  <c r="AD517" s="24"/>
      <c r="AE517" s="24"/>
      <c r="AF517" s="24"/>
      <c r="AG517" s="24"/>
      <c r="AH517" s="24"/>
      <c r="AI517" s="24"/>
      <c r="AJ517" s="24"/>
      <c r="AK517" s="38">
        <f t="array" ref="AK517">IF(F517=1,SUM((ROW(M0)=ROW(AK517))*(M0+M1_+M2_+M3_+M4_+M5_+M6_+M7_+M8_+M9_+M10_+M11_+M12_+M13_+M14_+M15_+M16_+M17_+M18_+M19_+M20_+M21_+M22_+M23_+M24_+M25_)),0)</f>
        <v>0</v>
      </c>
      <c r="AL517" s="27">
        <f>TableCosts[[#This Row],[N_Direct]]</f>
        <v>0</v>
      </c>
      <c r="AN517" s="7" t="str">
        <f t="shared" si="99"/>
        <v/>
      </c>
      <c r="AO517" s="7" t="str">
        <f t="shared" si="90"/>
        <v/>
      </c>
      <c r="AP517" s="7" t="str">
        <f t="shared" si="100"/>
        <v/>
      </c>
      <c r="AQ517" s="7" t="str">
        <f t="shared" si="91"/>
        <v/>
      </c>
      <c r="AR517" s="7" t="str">
        <f t="shared" si="101"/>
        <v/>
      </c>
      <c r="AS517" s="7">
        <f t="shared" si="92"/>
        <v>0</v>
      </c>
      <c r="AT517" s="17">
        <f>TableCosts[[#This Row],[N_Amount]]*TableCosts[[#This Row],[N_Tariff]]*TableCosts[[#This Row],[N_ItemsCount]]</f>
        <v>0</v>
      </c>
      <c r="AU517" s="17">
        <f>IF(F517=1,IF(TableCosts[[#This Row],[N_Kateg]]="interné práce",TableCosts[[#This Row],[N_Amount]]*8*PAR_SGA_PERHOUR,0),0)</f>
        <v>0</v>
      </c>
      <c r="AV517" s="17">
        <f>SUM(TableCosts[[#This Row],[N_Direct]:[N_SGA]])</f>
        <v>0</v>
      </c>
      <c r="AW517" s="7">
        <f>IF(F517=1,IF(D517="",NA(),VLOOKUP(C517&amp;TableCosts[[#This Row],[Calc_N_Typ]],TRAN_STRITEMS_LABEL,7,0)),0)</f>
        <v>0</v>
      </c>
      <c r="AX517" s="7">
        <f t="shared" si="93"/>
        <v>0</v>
      </c>
      <c r="AY517" s="57" t="str">
        <f t="shared" si="94"/>
        <v/>
      </c>
      <c r="AZ517" s="57" t="str">
        <f t="shared" si="95"/>
        <v/>
      </c>
      <c r="BA517" s="57" t="str">
        <f>IF(F517=1,IF(TableCosts[[#This Row],[TransferFrom]]=TableCosts[[#This Row],[TranferTo]],0,1),"")</f>
        <v/>
      </c>
      <c r="BB517" s="7">
        <f t="shared" si="96"/>
        <v>0</v>
      </c>
      <c r="BC517" s="7">
        <f t="shared" si="97"/>
        <v>0</v>
      </c>
    </row>
    <row r="518" spans="2:55" s="7" customFormat="1" ht="12.75" x14ac:dyDescent="0.2">
      <c r="B518" s="33"/>
      <c r="C518" s="31"/>
      <c r="D518" s="40"/>
      <c r="E518" s="6" t="str">
        <f>IF(F518=1,IF(ISERROR(TableCosts[[#This Row],[N_Tariff]]),Err_Message1,IF(TableCosts[[#This Row],[N_Tariff]]=0,Err_Message2,VLOOKUP(C518&amp;TableCosts[[#This Row],[Calc_N_Typ]],TRAN_STRITEMS_LABEL,5,FALSE))),"")</f>
        <v/>
      </c>
      <c r="F518" s="6">
        <f t="shared" si="98"/>
        <v>0</v>
      </c>
      <c r="G518" s="6" t="str">
        <f>IF(F518=1,IFERROR(VLOOKUP(E518,Tab_ErrMessage[],2,0),VLOOKUP(C518&amp;TableCosts[[#This Row],[Calc_N_Typ]],TRAN_STRITEMS_LABEL,4,FALSE)),"")</f>
        <v/>
      </c>
      <c r="H518" s="40"/>
      <c r="I518" s="40"/>
      <c r="J518" s="35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  <c r="AD518" s="24"/>
      <c r="AE518" s="24"/>
      <c r="AF518" s="24"/>
      <c r="AG518" s="24"/>
      <c r="AH518" s="24"/>
      <c r="AI518" s="24"/>
      <c r="AJ518" s="24"/>
      <c r="AK518" s="38">
        <f t="array" ref="AK518">IF(F518=1,SUM((ROW(M0)=ROW(AK518))*(M0+M1_+M2_+M3_+M4_+M5_+M6_+M7_+M8_+M9_+M10_+M11_+M12_+M13_+M14_+M15_+M16_+M17_+M18_+M19_+M20_+M21_+M22_+M23_+M24_+M25_)),0)</f>
        <v>0</v>
      </c>
      <c r="AL518" s="27">
        <f>TableCosts[[#This Row],[N_Direct]]</f>
        <v>0</v>
      </c>
      <c r="AN518" s="7" t="str">
        <f t="shared" si="99"/>
        <v/>
      </c>
      <c r="AO518" s="7" t="str">
        <f t="shared" si="90"/>
        <v/>
      </c>
      <c r="AP518" s="7" t="str">
        <f t="shared" si="100"/>
        <v/>
      </c>
      <c r="AQ518" s="7" t="str">
        <f t="shared" si="91"/>
        <v/>
      </c>
      <c r="AR518" s="7" t="str">
        <f t="shared" si="101"/>
        <v/>
      </c>
      <c r="AS518" s="7">
        <f t="shared" si="92"/>
        <v>0</v>
      </c>
      <c r="AT518" s="17">
        <f>TableCosts[[#This Row],[N_Amount]]*TableCosts[[#This Row],[N_Tariff]]*TableCosts[[#This Row],[N_ItemsCount]]</f>
        <v>0</v>
      </c>
      <c r="AU518" s="17">
        <f>IF(F518=1,IF(TableCosts[[#This Row],[N_Kateg]]="interné práce",TableCosts[[#This Row],[N_Amount]]*8*PAR_SGA_PERHOUR,0),0)</f>
        <v>0</v>
      </c>
      <c r="AV518" s="17">
        <f>SUM(TableCosts[[#This Row],[N_Direct]:[N_SGA]])</f>
        <v>0</v>
      </c>
      <c r="AW518" s="7">
        <f>IF(F518=1,IF(D518="",NA(),VLOOKUP(C518&amp;TableCosts[[#This Row],[Calc_N_Typ]],TRAN_STRITEMS_LABEL,7,0)),0)</f>
        <v>0</v>
      </c>
      <c r="AX518" s="7">
        <f t="shared" si="93"/>
        <v>0</v>
      </c>
      <c r="AY518" s="57" t="str">
        <f t="shared" si="94"/>
        <v/>
      </c>
      <c r="AZ518" s="57" t="str">
        <f t="shared" si="95"/>
        <v/>
      </c>
      <c r="BA518" s="57" t="str">
        <f>IF(F518=1,IF(TableCosts[[#This Row],[TransferFrom]]=TableCosts[[#This Row],[TranferTo]],0,1),"")</f>
        <v/>
      </c>
      <c r="BB518" s="7">
        <f t="shared" si="96"/>
        <v>0</v>
      </c>
      <c r="BC518" s="7">
        <f t="shared" si="97"/>
        <v>0</v>
      </c>
    </row>
    <row r="519" spans="2:55" s="7" customFormat="1" ht="12.75" x14ac:dyDescent="0.2">
      <c r="B519" s="33"/>
      <c r="C519" s="31"/>
      <c r="D519" s="40"/>
      <c r="E519" s="6" t="str">
        <f>IF(F519=1,IF(ISERROR(TableCosts[[#This Row],[N_Tariff]]),Err_Message1,IF(TableCosts[[#This Row],[N_Tariff]]=0,Err_Message2,VLOOKUP(C519&amp;TableCosts[[#This Row],[Calc_N_Typ]],TRAN_STRITEMS_LABEL,5,FALSE))),"")</f>
        <v/>
      </c>
      <c r="F519" s="6">
        <f t="shared" si="98"/>
        <v>0</v>
      </c>
      <c r="G519" s="6" t="str">
        <f>IF(F519=1,IFERROR(VLOOKUP(E519,Tab_ErrMessage[],2,0),VLOOKUP(C519&amp;TableCosts[[#This Row],[Calc_N_Typ]],TRAN_STRITEMS_LABEL,4,FALSE)),"")</f>
        <v/>
      </c>
      <c r="H519" s="40"/>
      <c r="I519" s="40"/>
      <c r="J519" s="35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  <c r="AD519" s="24"/>
      <c r="AE519" s="24"/>
      <c r="AF519" s="24"/>
      <c r="AG519" s="24"/>
      <c r="AH519" s="24"/>
      <c r="AI519" s="24"/>
      <c r="AJ519" s="24"/>
      <c r="AK519" s="38">
        <f t="array" ref="AK519">IF(F519=1,SUM((ROW(M0)=ROW(AK519))*(M0+M1_+M2_+M3_+M4_+M5_+M6_+M7_+M8_+M9_+M10_+M11_+M12_+M13_+M14_+M15_+M16_+M17_+M18_+M19_+M20_+M21_+M22_+M23_+M24_+M25_)),0)</f>
        <v>0</v>
      </c>
      <c r="AL519" s="27">
        <f>TableCosts[[#This Row],[N_Direct]]</f>
        <v>0</v>
      </c>
      <c r="AN519" s="7" t="str">
        <f t="shared" si="99"/>
        <v/>
      </c>
      <c r="AO519" s="7" t="str">
        <f t="shared" ref="AO519:AO582" si="102">IF(F519=1,IF(C519="","",C519),"")</f>
        <v/>
      </c>
      <c r="AP519" s="7" t="str">
        <f t="shared" si="100"/>
        <v/>
      </c>
      <c r="AQ519" s="7" t="str">
        <f t="shared" ref="AQ519:AQ582" si="103">IF(F519=1,IF(OR(D519="realizácia",D519=""),"realizácia",D519),"")</f>
        <v/>
      </c>
      <c r="AR519" s="7" t="str">
        <f t="shared" si="101"/>
        <v/>
      </c>
      <c r="AS519" s="7">
        <f t="shared" ref="AS519:AS582" si="104">IF(F519=1,IF(G519="ks",ROUNDUP(AK519,0),AK519),0)</f>
        <v>0</v>
      </c>
      <c r="AT519" s="17">
        <f>TableCosts[[#This Row],[N_Amount]]*TableCosts[[#This Row],[N_Tariff]]*TableCosts[[#This Row],[N_ItemsCount]]</f>
        <v>0</v>
      </c>
      <c r="AU519" s="17">
        <f>IF(F519=1,IF(TableCosts[[#This Row],[N_Kateg]]="interné práce",TableCosts[[#This Row],[N_Amount]]*8*PAR_SGA_PERHOUR,0),0)</f>
        <v>0</v>
      </c>
      <c r="AV519" s="17">
        <f>SUM(TableCosts[[#This Row],[N_Direct]:[N_SGA]])</f>
        <v>0</v>
      </c>
      <c r="AW519" s="7">
        <f>IF(F519=1,IF(D519="",NA(),VLOOKUP(C519&amp;TableCosts[[#This Row],[Calc_N_Typ]],TRAN_STRITEMS_LABEL,7,0)),0)</f>
        <v>0</v>
      </c>
      <c r="AX519" s="7">
        <f t="shared" ref="AX519:AX582" si="105">IF(F519=1,IF(G519="čld.",8,1),0)</f>
        <v>0</v>
      </c>
      <c r="AY519" s="57" t="str">
        <f t="shared" ref="AY519:AY582" si="106">IF(F519=1,IFERROR(VLOOKUP(B519,IpsLicences,2,0),IF(C519="",Par_Center,C519)),"")</f>
        <v/>
      </c>
      <c r="AZ519" s="57" t="str">
        <f t="shared" ref="AZ519:AZ582" si="107">IF(F519=1,Par_Center,"")</f>
        <v/>
      </c>
      <c r="BA519" s="57" t="str">
        <f>IF(F519=1,IF(TableCosts[[#This Row],[TransferFrom]]=TableCosts[[#This Row],[TranferTo]],0,1),"")</f>
        <v/>
      </c>
      <c r="BB519" s="7">
        <f t="shared" ref="BB519:BB582" si="108">IF(RIGHT(B519,LEN(Par_LabelTravelTime))=Par_LabelTravelTime,LEFT(B519,LEN(B519)-LEN(Par_LabelTravelTime)),B519)</f>
        <v>0</v>
      </c>
      <c r="BC519" s="7">
        <f t="shared" ref="BC519:BC582" si="109">IF(RIGHT(B519,LEN(Par_LabelTravelTime))=Par_LabelTravelTime,1,0)</f>
        <v>0</v>
      </c>
    </row>
    <row r="520" spans="2:55" s="7" customFormat="1" ht="12.75" x14ac:dyDescent="0.2">
      <c r="B520" s="33"/>
      <c r="C520" s="31"/>
      <c r="D520" s="40"/>
      <c r="E520" s="6" t="str">
        <f>IF(F520=1,IF(ISERROR(TableCosts[[#This Row],[N_Tariff]]),Err_Message1,IF(TableCosts[[#This Row],[N_Tariff]]=0,Err_Message2,VLOOKUP(C520&amp;TableCosts[[#This Row],[Calc_N_Typ]],TRAN_STRITEMS_LABEL,5,FALSE))),"")</f>
        <v/>
      </c>
      <c r="F520" s="6">
        <f t="shared" si="98"/>
        <v>0</v>
      </c>
      <c r="G520" s="6" t="str">
        <f>IF(F520=1,IFERROR(VLOOKUP(E520,Tab_ErrMessage[],2,0),VLOOKUP(C520&amp;TableCosts[[#This Row],[Calc_N_Typ]],TRAN_STRITEMS_LABEL,4,FALSE)),"")</f>
        <v/>
      </c>
      <c r="H520" s="40"/>
      <c r="I520" s="40"/>
      <c r="J520" s="35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  <c r="AD520" s="24"/>
      <c r="AE520" s="24"/>
      <c r="AF520" s="24"/>
      <c r="AG520" s="24"/>
      <c r="AH520" s="24"/>
      <c r="AI520" s="24"/>
      <c r="AJ520" s="24"/>
      <c r="AK520" s="38">
        <f t="array" ref="AK520">IF(F520=1,SUM((ROW(M0)=ROW(AK520))*(M0+M1_+M2_+M3_+M4_+M5_+M6_+M7_+M8_+M9_+M10_+M11_+M12_+M13_+M14_+M15_+M16_+M17_+M18_+M19_+M20_+M21_+M22_+M23_+M24_+M25_)),0)</f>
        <v>0</v>
      </c>
      <c r="AL520" s="27">
        <f>TableCosts[[#This Row],[N_Direct]]</f>
        <v>0</v>
      </c>
      <c r="AN520" s="7" t="str">
        <f t="shared" si="99"/>
        <v/>
      </c>
      <c r="AO520" s="7" t="str">
        <f t="shared" si="102"/>
        <v/>
      </c>
      <c r="AP520" s="7" t="str">
        <f t="shared" si="100"/>
        <v/>
      </c>
      <c r="AQ520" s="7" t="str">
        <f t="shared" si="103"/>
        <v/>
      </c>
      <c r="AR520" s="7" t="str">
        <f t="shared" si="101"/>
        <v/>
      </c>
      <c r="AS520" s="7">
        <f t="shared" si="104"/>
        <v>0</v>
      </c>
      <c r="AT520" s="17">
        <f>TableCosts[[#This Row],[N_Amount]]*TableCosts[[#This Row],[N_Tariff]]*TableCosts[[#This Row],[N_ItemsCount]]</f>
        <v>0</v>
      </c>
      <c r="AU520" s="17">
        <f>IF(F520=1,IF(TableCosts[[#This Row],[N_Kateg]]="interné práce",TableCosts[[#This Row],[N_Amount]]*8*PAR_SGA_PERHOUR,0),0)</f>
        <v>0</v>
      </c>
      <c r="AV520" s="17">
        <f>SUM(TableCosts[[#This Row],[N_Direct]:[N_SGA]])</f>
        <v>0</v>
      </c>
      <c r="AW520" s="7">
        <f>IF(F520=1,IF(D520="",NA(),VLOOKUP(C520&amp;TableCosts[[#This Row],[Calc_N_Typ]],TRAN_STRITEMS_LABEL,7,0)),0)</f>
        <v>0</v>
      </c>
      <c r="AX520" s="7">
        <f t="shared" si="105"/>
        <v>0</v>
      </c>
      <c r="AY520" s="57" t="str">
        <f t="shared" si="106"/>
        <v/>
      </c>
      <c r="AZ520" s="57" t="str">
        <f t="shared" si="107"/>
        <v/>
      </c>
      <c r="BA520" s="57" t="str">
        <f>IF(F520=1,IF(TableCosts[[#This Row],[TransferFrom]]=TableCosts[[#This Row],[TranferTo]],0,1),"")</f>
        <v/>
      </c>
      <c r="BB520" s="7">
        <f t="shared" si="108"/>
        <v>0</v>
      </c>
      <c r="BC520" s="7">
        <f t="shared" si="109"/>
        <v>0</v>
      </c>
    </row>
    <row r="521" spans="2:55" s="7" customFormat="1" ht="12.75" x14ac:dyDescent="0.2">
      <c r="B521" s="33"/>
      <c r="C521" s="31"/>
      <c r="D521" s="40"/>
      <c r="E521" s="6" t="str">
        <f>IF(F521=1,IF(ISERROR(TableCosts[[#This Row],[N_Tariff]]),Err_Message1,IF(TableCosts[[#This Row],[N_Tariff]]=0,Err_Message2,VLOOKUP(C521&amp;TableCosts[[#This Row],[Calc_N_Typ]],TRAN_STRITEMS_LABEL,5,FALSE))),"")</f>
        <v/>
      </c>
      <c r="F521" s="6">
        <f t="shared" ref="F521:F584" si="110">IF(B521="",0,IF(LEFT(B521,3)="***",-1,1))</f>
        <v>0</v>
      </c>
      <c r="G521" s="6" t="str">
        <f>IF(F521=1,IFERROR(VLOOKUP(E521,Tab_ErrMessage[],2,0),VLOOKUP(C521&amp;TableCosts[[#This Row],[Calc_N_Typ]],TRAN_STRITEMS_LABEL,4,FALSE)),"")</f>
        <v/>
      </c>
      <c r="H521" s="40"/>
      <c r="I521" s="40"/>
      <c r="J521" s="35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  <c r="AD521" s="24"/>
      <c r="AE521" s="24"/>
      <c r="AF521" s="24"/>
      <c r="AG521" s="24"/>
      <c r="AH521" s="24"/>
      <c r="AI521" s="24"/>
      <c r="AJ521" s="24"/>
      <c r="AK521" s="38">
        <f t="array" ref="AK521">IF(F521=1,SUM((ROW(M0)=ROW(AK521))*(M0+M1_+M2_+M3_+M4_+M5_+M6_+M7_+M8_+M9_+M10_+M11_+M12_+M13_+M14_+M15_+M16_+M17_+M18_+M19_+M20_+M21_+M22_+M23_+M24_+M25_)),0)</f>
        <v>0</v>
      </c>
      <c r="AL521" s="27">
        <f>TableCosts[[#This Row],[N_Direct]]</f>
        <v>0</v>
      </c>
      <c r="AN521" s="7" t="str">
        <f t="shared" si="99"/>
        <v/>
      </c>
      <c r="AO521" s="7" t="str">
        <f t="shared" si="102"/>
        <v/>
      </c>
      <c r="AP521" s="7" t="str">
        <f t="shared" si="100"/>
        <v/>
      </c>
      <c r="AQ521" s="7" t="str">
        <f t="shared" si="103"/>
        <v/>
      </c>
      <c r="AR521" s="7" t="str">
        <f t="shared" si="101"/>
        <v/>
      </c>
      <c r="AS521" s="7">
        <f t="shared" si="104"/>
        <v>0</v>
      </c>
      <c r="AT521" s="17">
        <f>TableCosts[[#This Row],[N_Amount]]*TableCosts[[#This Row],[N_Tariff]]*TableCosts[[#This Row],[N_ItemsCount]]</f>
        <v>0</v>
      </c>
      <c r="AU521" s="17">
        <f>IF(F521=1,IF(TableCosts[[#This Row],[N_Kateg]]="interné práce",TableCosts[[#This Row],[N_Amount]]*8*PAR_SGA_PERHOUR,0),0)</f>
        <v>0</v>
      </c>
      <c r="AV521" s="17">
        <f>SUM(TableCosts[[#This Row],[N_Direct]:[N_SGA]])</f>
        <v>0</v>
      </c>
      <c r="AW521" s="7">
        <f>IF(F521=1,IF(D521="",NA(),VLOOKUP(C521&amp;TableCosts[[#This Row],[Calc_N_Typ]],TRAN_STRITEMS_LABEL,7,0)),0)</f>
        <v>0</v>
      </c>
      <c r="AX521" s="7">
        <f t="shared" si="105"/>
        <v>0</v>
      </c>
      <c r="AY521" s="57" t="str">
        <f t="shared" si="106"/>
        <v/>
      </c>
      <c r="AZ521" s="57" t="str">
        <f t="shared" si="107"/>
        <v/>
      </c>
      <c r="BA521" s="57" t="str">
        <f>IF(F521=1,IF(TableCosts[[#This Row],[TransferFrom]]=TableCosts[[#This Row],[TranferTo]],0,1),"")</f>
        <v/>
      </c>
      <c r="BB521" s="7">
        <f t="shared" si="108"/>
        <v>0</v>
      </c>
      <c r="BC521" s="7">
        <f t="shared" si="109"/>
        <v>0</v>
      </c>
    </row>
    <row r="522" spans="2:55" s="7" customFormat="1" ht="12.75" x14ac:dyDescent="0.2">
      <c r="B522" s="33"/>
      <c r="C522" s="31"/>
      <c r="D522" s="40"/>
      <c r="E522" s="6" t="str">
        <f>IF(F522=1,IF(ISERROR(TableCosts[[#This Row],[N_Tariff]]),Err_Message1,IF(TableCosts[[#This Row],[N_Tariff]]=0,Err_Message2,VLOOKUP(C522&amp;TableCosts[[#This Row],[Calc_N_Typ]],TRAN_STRITEMS_LABEL,5,FALSE))),"")</f>
        <v/>
      </c>
      <c r="F522" s="6">
        <f t="shared" si="110"/>
        <v>0</v>
      </c>
      <c r="G522" s="6" t="str">
        <f>IF(F522=1,IFERROR(VLOOKUP(E522,Tab_ErrMessage[],2,0),VLOOKUP(C522&amp;TableCosts[[#This Row],[Calc_N_Typ]],TRAN_STRITEMS_LABEL,4,FALSE)),"")</f>
        <v/>
      </c>
      <c r="H522" s="40"/>
      <c r="I522" s="40"/>
      <c r="J522" s="35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  <c r="AD522" s="24"/>
      <c r="AE522" s="24"/>
      <c r="AF522" s="24"/>
      <c r="AG522" s="24"/>
      <c r="AH522" s="24"/>
      <c r="AI522" s="24"/>
      <c r="AJ522" s="24"/>
      <c r="AK522" s="38">
        <f t="array" ref="AK522">IF(F522=1,SUM((ROW(M0)=ROW(AK522))*(M0+M1_+M2_+M3_+M4_+M5_+M6_+M7_+M8_+M9_+M10_+M11_+M12_+M13_+M14_+M15_+M16_+M17_+M18_+M19_+M20_+M21_+M22_+M23_+M24_+M25_)),0)</f>
        <v>0</v>
      </c>
      <c r="AL522" s="27">
        <f>TableCosts[[#This Row],[N_Direct]]</f>
        <v>0</v>
      </c>
      <c r="AN522" s="7" t="str">
        <f t="shared" si="99"/>
        <v/>
      </c>
      <c r="AO522" s="7" t="str">
        <f t="shared" si="102"/>
        <v/>
      </c>
      <c r="AP522" s="7" t="str">
        <f t="shared" si="100"/>
        <v/>
      </c>
      <c r="AQ522" s="7" t="str">
        <f t="shared" si="103"/>
        <v/>
      </c>
      <c r="AR522" s="7" t="str">
        <f t="shared" si="101"/>
        <v/>
      </c>
      <c r="AS522" s="7">
        <f t="shared" si="104"/>
        <v>0</v>
      </c>
      <c r="AT522" s="17">
        <f>TableCosts[[#This Row],[N_Amount]]*TableCosts[[#This Row],[N_Tariff]]*TableCosts[[#This Row],[N_ItemsCount]]</f>
        <v>0</v>
      </c>
      <c r="AU522" s="17">
        <f>IF(F522=1,IF(TableCosts[[#This Row],[N_Kateg]]="interné práce",TableCosts[[#This Row],[N_Amount]]*8*PAR_SGA_PERHOUR,0),0)</f>
        <v>0</v>
      </c>
      <c r="AV522" s="17">
        <f>SUM(TableCosts[[#This Row],[N_Direct]:[N_SGA]])</f>
        <v>0</v>
      </c>
      <c r="AW522" s="7">
        <f>IF(F522=1,IF(D522="",NA(),VLOOKUP(C522&amp;TableCosts[[#This Row],[Calc_N_Typ]],TRAN_STRITEMS_LABEL,7,0)),0)</f>
        <v>0</v>
      </c>
      <c r="AX522" s="7">
        <f t="shared" si="105"/>
        <v>0</v>
      </c>
      <c r="AY522" s="57" t="str">
        <f t="shared" si="106"/>
        <v/>
      </c>
      <c r="AZ522" s="57" t="str">
        <f t="shared" si="107"/>
        <v/>
      </c>
      <c r="BA522" s="57" t="str">
        <f>IF(F522=1,IF(TableCosts[[#This Row],[TransferFrom]]=TableCosts[[#This Row],[TranferTo]],0,1),"")</f>
        <v/>
      </c>
      <c r="BB522" s="7">
        <f t="shared" si="108"/>
        <v>0</v>
      </c>
      <c r="BC522" s="7">
        <f t="shared" si="109"/>
        <v>0</v>
      </c>
    </row>
    <row r="523" spans="2:55" s="7" customFormat="1" ht="12.75" x14ac:dyDescent="0.2">
      <c r="B523" s="33"/>
      <c r="C523" s="31"/>
      <c r="D523" s="40"/>
      <c r="E523" s="6" t="str">
        <f>IF(F523=1,IF(ISERROR(TableCosts[[#This Row],[N_Tariff]]),Err_Message1,IF(TableCosts[[#This Row],[N_Tariff]]=0,Err_Message2,VLOOKUP(C523&amp;TableCosts[[#This Row],[Calc_N_Typ]],TRAN_STRITEMS_LABEL,5,FALSE))),"")</f>
        <v/>
      </c>
      <c r="F523" s="6">
        <f t="shared" si="110"/>
        <v>0</v>
      </c>
      <c r="G523" s="6" t="str">
        <f>IF(F523=1,IFERROR(VLOOKUP(E523,Tab_ErrMessage[],2,0),VLOOKUP(C523&amp;TableCosts[[#This Row],[Calc_N_Typ]],TRAN_STRITEMS_LABEL,4,FALSE)),"")</f>
        <v/>
      </c>
      <c r="H523" s="40"/>
      <c r="I523" s="40"/>
      <c r="J523" s="35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  <c r="AD523" s="24"/>
      <c r="AE523" s="24"/>
      <c r="AF523" s="24"/>
      <c r="AG523" s="24"/>
      <c r="AH523" s="24"/>
      <c r="AI523" s="24"/>
      <c r="AJ523" s="24"/>
      <c r="AK523" s="38">
        <f t="array" ref="AK523">IF(F523=1,SUM((ROW(M0)=ROW(AK523))*(M0+M1_+M2_+M3_+M4_+M5_+M6_+M7_+M8_+M9_+M10_+M11_+M12_+M13_+M14_+M15_+M16_+M17_+M18_+M19_+M20_+M21_+M22_+M23_+M24_+M25_)),0)</f>
        <v>0</v>
      </c>
      <c r="AL523" s="27">
        <f>TableCosts[[#This Row],[N_Direct]]</f>
        <v>0</v>
      </c>
      <c r="AN523" s="7" t="str">
        <f t="shared" si="99"/>
        <v/>
      </c>
      <c r="AO523" s="7" t="str">
        <f t="shared" si="102"/>
        <v/>
      </c>
      <c r="AP523" s="7" t="str">
        <f t="shared" si="100"/>
        <v/>
      </c>
      <c r="AQ523" s="7" t="str">
        <f t="shared" si="103"/>
        <v/>
      </c>
      <c r="AR523" s="7" t="str">
        <f t="shared" si="101"/>
        <v/>
      </c>
      <c r="AS523" s="7">
        <f t="shared" si="104"/>
        <v>0</v>
      </c>
      <c r="AT523" s="17">
        <f>TableCosts[[#This Row],[N_Amount]]*TableCosts[[#This Row],[N_Tariff]]*TableCosts[[#This Row],[N_ItemsCount]]</f>
        <v>0</v>
      </c>
      <c r="AU523" s="17">
        <f>IF(F523=1,IF(TableCosts[[#This Row],[N_Kateg]]="interné práce",TableCosts[[#This Row],[N_Amount]]*8*PAR_SGA_PERHOUR,0),0)</f>
        <v>0</v>
      </c>
      <c r="AV523" s="17">
        <f>SUM(TableCosts[[#This Row],[N_Direct]:[N_SGA]])</f>
        <v>0</v>
      </c>
      <c r="AW523" s="7">
        <f>IF(F523=1,IF(D523="",NA(),VLOOKUP(C523&amp;TableCosts[[#This Row],[Calc_N_Typ]],TRAN_STRITEMS_LABEL,7,0)),0)</f>
        <v>0</v>
      </c>
      <c r="AX523" s="7">
        <f t="shared" si="105"/>
        <v>0</v>
      </c>
      <c r="AY523" s="57" t="str">
        <f t="shared" si="106"/>
        <v/>
      </c>
      <c r="AZ523" s="57" t="str">
        <f t="shared" si="107"/>
        <v/>
      </c>
      <c r="BA523" s="57" t="str">
        <f>IF(F523=1,IF(TableCosts[[#This Row],[TransferFrom]]=TableCosts[[#This Row],[TranferTo]],0,1),"")</f>
        <v/>
      </c>
      <c r="BB523" s="7">
        <f t="shared" si="108"/>
        <v>0</v>
      </c>
      <c r="BC523" s="7">
        <f t="shared" si="109"/>
        <v>0</v>
      </c>
    </row>
    <row r="524" spans="2:55" s="7" customFormat="1" ht="12.75" x14ac:dyDescent="0.2">
      <c r="B524" s="33"/>
      <c r="C524" s="31"/>
      <c r="D524" s="40"/>
      <c r="E524" s="6" t="str">
        <f>IF(F524=1,IF(ISERROR(TableCosts[[#This Row],[N_Tariff]]),Err_Message1,IF(TableCosts[[#This Row],[N_Tariff]]=0,Err_Message2,VLOOKUP(C524&amp;TableCosts[[#This Row],[Calc_N_Typ]],TRAN_STRITEMS_LABEL,5,FALSE))),"")</f>
        <v/>
      </c>
      <c r="F524" s="6">
        <f t="shared" si="110"/>
        <v>0</v>
      </c>
      <c r="G524" s="6" t="str">
        <f>IF(F524=1,IFERROR(VLOOKUP(E524,Tab_ErrMessage[],2,0),VLOOKUP(C524&amp;TableCosts[[#This Row],[Calc_N_Typ]],TRAN_STRITEMS_LABEL,4,FALSE)),"")</f>
        <v/>
      </c>
      <c r="H524" s="40"/>
      <c r="I524" s="40"/>
      <c r="J524" s="35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  <c r="AD524" s="24"/>
      <c r="AE524" s="24"/>
      <c r="AF524" s="24"/>
      <c r="AG524" s="24"/>
      <c r="AH524" s="24"/>
      <c r="AI524" s="24"/>
      <c r="AJ524" s="24"/>
      <c r="AK524" s="38">
        <f t="array" ref="AK524">IF(F524=1,SUM((ROW(M0)=ROW(AK524))*(M0+M1_+M2_+M3_+M4_+M5_+M6_+M7_+M8_+M9_+M10_+M11_+M12_+M13_+M14_+M15_+M16_+M17_+M18_+M19_+M20_+M21_+M22_+M23_+M24_+M25_)),0)</f>
        <v>0</v>
      </c>
      <c r="AL524" s="27">
        <f>TableCosts[[#This Row],[N_Direct]]</f>
        <v>0</v>
      </c>
      <c r="AN524" s="7" t="str">
        <f t="shared" si="99"/>
        <v/>
      </c>
      <c r="AO524" s="7" t="str">
        <f t="shared" si="102"/>
        <v/>
      </c>
      <c r="AP524" s="7" t="str">
        <f t="shared" si="100"/>
        <v/>
      </c>
      <c r="AQ524" s="7" t="str">
        <f t="shared" si="103"/>
        <v/>
      </c>
      <c r="AR524" s="7" t="str">
        <f t="shared" si="101"/>
        <v/>
      </c>
      <c r="AS524" s="7">
        <f t="shared" si="104"/>
        <v>0</v>
      </c>
      <c r="AT524" s="17">
        <f>TableCosts[[#This Row],[N_Amount]]*TableCosts[[#This Row],[N_Tariff]]*TableCosts[[#This Row],[N_ItemsCount]]</f>
        <v>0</v>
      </c>
      <c r="AU524" s="17">
        <f>IF(F524=1,IF(TableCosts[[#This Row],[N_Kateg]]="interné práce",TableCosts[[#This Row],[N_Amount]]*8*PAR_SGA_PERHOUR,0),0)</f>
        <v>0</v>
      </c>
      <c r="AV524" s="17">
        <f>SUM(TableCosts[[#This Row],[N_Direct]:[N_SGA]])</f>
        <v>0</v>
      </c>
      <c r="AW524" s="7">
        <f>IF(F524=1,IF(D524="",NA(),VLOOKUP(C524&amp;TableCosts[[#This Row],[Calc_N_Typ]],TRAN_STRITEMS_LABEL,7,0)),0)</f>
        <v>0</v>
      </c>
      <c r="AX524" s="7">
        <f t="shared" si="105"/>
        <v>0</v>
      </c>
      <c r="AY524" s="57" t="str">
        <f t="shared" si="106"/>
        <v/>
      </c>
      <c r="AZ524" s="57" t="str">
        <f t="shared" si="107"/>
        <v/>
      </c>
      <c r="BA524" s="57" t="str">
        <f>IF(F524=1,IF(TableCosts[[#This Row],[TransferFrom]]=TableCosts[[#This Row],[TranferTo]],0,1),"")</f>
        <v/>
      </c>
      <c r="BB524" s="7">
        <f t="shared" si="108"/>
        <v>0</v>
      </c>
      <c r="BC524" s="7">
        <f t="shared" si="109"/>
        <v>0</v>
      </c>
    </row>
    <row r="525" spans="2:55" s="7" customFormat="1" ht="12.75" x14ac:dyDescent="0.2">
      <c r="B525" s="33"/>
      <c r="C525" s="31"/>
      <c r="D525" s="40"/>
      <c r="E525" s="6" t="str">
        <f>IF(F525=1,IF(ISERROR(TableCosts[[#This Row],[N_Tariff]]),Err_Message1,IF(TableCosts[[#This Row],[N_Tariff]]=0,Err_Message2,VLOOKUP(C525&amp;TableCosts[[#This Row],[Calc_N_Typ]],TRAN_STRITEMS_LABEL,5,FALSE))),"")</f>
        <v/>
      </c>
      <c r="F525" s="6">
        <f t="shared" si="110"/>
        <v>0</v>
      </c>
      <c r="G525" s="6" t="str">
        <f>IF(F525=1,IFERROR(VLOOKUP(E525,Tab_ErrMessage[],2,0),VLOOKUP(C525&amp;TableCosts[[#This Row],[Calc_N_Typ]],TRAN_STRITEMS_LABEL,4,FALSE)),"")</f>
        <v/>
      </c>
      <c r="H525" s="40"/>
      <c r="I525" s="40"/>
      <c r="J525" s="35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  <c r="AD525" s="24"/>
      <c r="AE525" s="24"/>
      <c r="AF525" s="24"/>
      <c r="AG525" s="24"/>
      <c r="AH525" s="24"/>
      <c r="AI525" s="24"/>
      <c r="AJ525" s="24"/>
      <c r="AK525" s="38">
        <f t="array" ref="AK525">IF(F525=1,SUM((ROW(M0)=ROW(AK525))*(M0+M1_+M2_+M3_+M4_+M5_+M6_+M7_+M8_+M9_+M10_+M11_+M12_+M13_+M14_+M15_+M16_+M17_+M18_+M19_+M20_+M21_+M22_+M23_+M24_+M25_)),0)</f>
        <v>0</v>
      </c>
      <c r="AL525" s="27">
        <f>TableCosts[[#This Row],[N_Direct]]</f>
        <v>0</v>
      </c>
      <c r="AN525" s="7" t="str">
        <f t="shared" si="99"/>
        <v/>
      </c>
      <c r="AO525" s="7" t="str">
        <f t="shared" si="102"/>
        <v/>
      </c>
      <c r="AP525" s="7" t="str">
        <f t="shared" si="100"/>
        <v/>
      </c>
      <c r="AQ525" s="7" t="str">
        <f t="shared" si="103"/>
        <v/>
      </c>
      <c r="AR525" s="7" t="str">
        <f t="shared" si="101"/>
        <v/>
      </c>
      <c r="AS525" s="7">
        <f t="shared" si="104"/>
        <v>0</v>
      </c>
      <c r="AT525" s="17">
        <f>TableCosts[[#This Row],[N_Amount]]*TableCosts[[#This Row],[N_Tariff]]*TableCosts[[#This Row],[N_ItemsCount]]</f>
        <v>0</v>
      </c>
      <c r="AU525" s="17">
        <f>IF(F525=1,IF(TableCosts[[#This Row],[N_Kateg]]="interné práce",TableCosts[[#This Row],[N_Amount]]*8*PAR_SGA_PERHOUR,0),0)</f>
        <v>0</v>
      </c>
      <c r="AV525" s="17">
        <f>SUM(TableCosts[[#This Row],[N_Direct]:[N_SGA]])</f>
        <v>0</v>
      </c>
      <c r="AW525" s="7">
        <f>IF(F525=1,IF(D525="",NA(),VLOOKUP(C525&amp;TableCosts[[#This Row],[Calc_N_Typ]],TRAN_STRITEMS_LABEL,7,0)),0)</f>
        <v>0</v>
      </c>
      <c r="AX525" s="7">
        <f t="shared" si="105"/>
        <v>0</v>
      </c>
      <c r="AY525" s="57" t="str">
        <f t="shared" si="106"/>
        <v/>
      </c>
      <c r="AZ525" s="57" t="str">
        <f t="shared" si="107"/>
        <v/>
      </c>
      <c r="BA525" s="57" t="str">
        <f>IF(F525=1,IF(TableCosts[[#This Row],[TransferFrom]]=TableCosts[[#This Row],[TranferTo]],0,1),"")</f>
        <v/>
      </c>
      <c r="BB525" s="7">
        <f t="shared" si="108"/>
        <v>0</v>
      </c>
      <c r="BC525" s="7">
        <f t="shared" si="109"/>
        <v>0</v>
      </c>
    </row>
    <row r="526" spans="2:55" s="7" customFormat="1" ht="12.75" x14ac:dyDescent="0.2">
      <c r="B526" s="33"/>
      <c r="C526" s="31"/>
      <c r="D526" s="40"/>
      <c r="E526" s="6" t="str">
        <f>IF(F526=1,IF(ISERROR(TableCosts[[#This Row],[N_Tariff]]),Err_Message1,IF(TableCosts[[#This Row],[N_Tariff]]=0,Err_Message2,VLOOKUP(C526&amp;TableCosts[[#This Row],[Calc_N_Typ]],TRAN_STRITEMS_LABEL,5,FALSE))),"")</f>
        <v/>
      </c>
      <c r="F526" s="6">
        <f t="shared" si="110"/>
        <v>0</v>
      </c>
      <c r="G526" s="6" t="str">
        <f>IF(F526=1,IFERROR(VLOOKUP(E526,Tab_ErrMessage[],2,0),VLOOKUP(C526&amp;TableCosts[[#This Row],[Calc_N_Typ]],TRAN_STRITEMS_LABEL,4,FALSE)),"")</f>
        <v/>
      </c>
      <c r="H526" s="40"/>
      <c r="I526" s="40"/>
      <c r="J526" s="35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  <c r="AD526" s="24"/>
      <c r="AE526" s="24"/>
      <c r="AF526" s="24"/>
      <c r="AG526" s="24"/>
      <c r="AH526" s="24"/>
      <c r="AI526" s="24"/>
      <c r="AJ526" s="24"/>
      <c r="AK526" s="38">
        <f t="array" ref="AK526">IF(F526=1,SUM((ROW(M0)=ROW(AK526))*(M0+M1_+M2_+M3_+M4_+M5_+M6_+M7_+M8_+M9_+M10_+M11_+M12_+M13_+M14_+M15_+M16_+M17_+M18_+M19_+M20_+M21_+M22_+M23_+M24_+M25_)),0)</f>
        <v>0</v>
      </c>
      <c r="AL526" s="27">
        <f>TableCosts[[#This Row],[N_Direct]]</f>
        <v>0</v>
      </c>
      <c r="AN526" s="7" t="str">
        <f t="shared" si="99"/>
        <v/>
      </c>
      <c r="AO526" s="7" t="str">
        <f t="shared" si="102"/>
        <v/>
      </c>
      <c r="AP526" s="7" t="str">
        <f t="shared" si="100"/>
        <v/>
      </c>
      <c r="AQ526" s="7" t="str">
        <f t="shared" si="103"/>
        <v/>
      </c>
      <c r="AR526" s="7" t="str">
        <f t="shared" si="101"/>
        <v/>
      </c>
      <c r="AS526" s="7">
        <f t="shared" si="104"/>
        <v>0</v>
      </c>
      <c r="AT526" s="17">
        <f>TableCosts[[#This Row],[N_Amount]]*TableCosts[[#This Row],[N_Tariff]]*TableCosts[[#This Row],[N_ItemsCount]]</f>
        <v>0</v>
      </c>
      <c r="AU526" s="17">
        <f>IF(F526=1,IF(TableCosts[[#This Row],[N_Kateg]]="interné práce",TableCosts[[#This Row],[N_Amount]]*8*PAR_SGA_PERHOUR,0),0)</f>
        <v>0</v>
      </c>
      <c r="AV526" s="17">
        <f>SUM(TableCosts[[#This Row],[N_Direct]:[N_SGA]])</f>
        <v>0</v>
      </c>
      <c r="AW526" s="7">
        <f>IF(F526=1,IF(D526="",NA(),VLOOKUP(C526&amp;TableCosts[[#This Row],[Calc_N_Typ]],TRAN_STRITEMS_LABEL,7,0)),0)</f>
        <v>0</v>
      </c>
      <c r="AX526" s="7">
        <f t="shared" si="105"/>
        <v>0</v>
      </c>
      <c r="AY526" s="57" t="str">
        <f t="shared" si="106"/>
        <v/>
      </c>
      <c r="AZ526" s="57" t="str">
        <f t="shared" si="107"/>
        <v/>
      </c>
      <c r="BA526" s="57" t="str">
        <f>IF(F526=1,IF(TableCosts[[#This Row],[TransferFrom]]=TableCosts[[#This Row],[TranferTo]],0,1),"")</f>
        <v/>
      </c>
      <c r="BB526" s="7">
        <f t="shared" si="108"/>
        <v>0</v>
      </c>
      <c r="BC526" s="7">
        <f t="shared" si="109"/>
        <v>0</v>
      </c>
    </row>
    <row r="527" spans="2:55" s="7" customFormat="1" ht="12.75" x14ac:dyDescent="0.2">
      <c r="B527" s="33"/>
      <c r="C527" s="31"/>
      <c r="D527" s="40"/>
      <c r="E527" s="6" t="str">
        <f>IF(F527=1,IF(ISERROR(TableCosts[[#This Row],[N_Tariff]]),Err_Message1,IF(TableCosts[[#This Row],[N_Tariff]]=0,Err_Message2,VLOOKUP(C527&amp;TableCosts[[#This Row],[Calc_N_Typ]],TRAN_STRITEMS_LABEL,5,FALSE))),"")</f>
        <v/>
      </c>
      <c r="F527" s="6">
        <f t="shared" si="110"/>
        <v>0</v>
      </c>
      <c r="G527" s="6" t="str">
        <f>IF(F527=1,IFERROR(VLOOKUP(E527,Tab_ErrMessage[],2,0),VLOOKUP(C527&amp;TableCosts[[#This Row],[Calc_N_Typ]],TRAN_STRITEMS_LABEL,4,FALSE)),"")</f>
        <v/>
      </c>
      <c r="H527" s="40"/>
      <c r="I527" s="40"/>
      <c r="J527" s="35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  <c r="AD527" s="24"/>
      <c r="AE527" s="24"/>
      <c r="AF527" s="24"/>
      <c r="AG527" s="24"/>
      <c r="AH527" s="24"/>
      <c r="AI527" s="24"/>
      <c r="AJ527" s="24"/>
      <c r="AK527" s="38">
        <f t="array" ref="AK527">IF(F527=1,SUM((ROW(M0)=ROW(AK527))*(M0+M1_+M2_+M3_+M4_+M5_+M6_+M7_+M8_+M9_+M10_+M11_+M12_+M13_+M14_+M15_+M16_+M17_+M18_+M19_+M20_+M21_+M22_+M23_+M24_+M25_)),0)</f>
        <v>0</v>
      </c>
      <c r="AL527" s="27">
        <f>TableCosts[[#This Row],[N_Direct]]</f>
        <v>0</v>
      </c>
      <c r="AN527" s="7" t="str">
        <f t="shared" si="99"/>
        <v/>
      </c>
      <c r="AO527" s="7" t="str">
        <f t="shared" si="102"/>
        <v/>
      </c>
      <c r="AP527" s="7" t="str">
        <f t="shared" si="100"/>
        <v/>
      </c>
      <c r="AQ527" s="7" t="str">
        <f t="shared" si="103"/>
        <v/>
      </c>
      <c r="AR527" s="7" t="str">
        <f t="shared" si="101"/>
        <v/>
      </c>
      <c r="AS527" s="7">
        <f t="shared" si="104"/>
        <v>0</v>
      </c>
      <c r="AT527" s="17">
        <f>TableCosts[[#This Row],[N_Amount]]*TableCosts[[#This Row],[N_Tariff]]*TableCosts[[#This Row],[N_ItemsCount]]</f>
        <v>0</v>
      </c>
      <c r="AU527" s="17">
        <f>IF(F527=1,IF(TableCosts[[#This Row],[N_Kateg]]="interné práce",TableCosts[[#This Row],[N_Amount]]*8*PAR_SGA_PERHOUR,0),0)</f>
        <v>0</v>
      </c>
      <c r="AV527" s="17">
        <f>SUM(TableCosts[[#This Row],[N_Direct]:[N_SGA]])</f>
        <v>0</v>
      </c>
      <c r="AW527" s="7">
        <f>IF(F527=1,IF(D527="",NA(),VLOOKUP(C527&amp;TableCosts[[#This Row],[Calc_N_Typ]],TRAN_STRITEMS_LABEL,7,0)),0)</f>
        <v>0</v>
      </c>
      <c r="AX527" s="7">
        <f t="shared" si="105"/>
        <v>0</v>
      </c>
      <c r="AY527" s="57" t="str">
        <f t="shared" si="106"/>
        <v/>
      </c>
      <c r="AZ527" s="57" t="str">
        <f t="shared" si="107"/>
        <v/>
      </c>
      <c r="BA527" s="57" t="str">
        <f>IF(F527=1,IF(TableCosts[[#This Row],[TransferFrom]]=TableCosts[[#This Row],[TranferTo]],0,1),"")</f>
        <v/>
      </c>
      <c r="BB527" s="7">
        <f t="shared" si="108"/>
        <v>0</v>
      </c>
      <c r="BC527" s="7">
        <f t="shared" si="109"/>
        <v>0</v>
      </c>
    </row>
    <row r="528" spans="2:55" s="7" customFormat="1" ht="12.75" x14ac:dyDescent="0.2">
      <c r="B528" s="33"/>
      <c r="C528" s="31"/>
      <c r="D528" s="40"/>
      <c r="E528" s="6" t="str">
        <f>IF(F528=1,IF(ISERROR(TableCosts[[#This Row],[N_Tariff]]),Err_Message1,IF(TableCosts[[#This Row],[N_Tariff]]=0,Err_Message2,VLOOKUP(C528&amp;TableCosts[[#This Row],[Calc_N_Typ]],TRAN_STRITEMS_LABEL,5,FALSE))),"")</f>
        <v/>
      </c>
      <c r="F528" s="6">
        <f t="shared" si="110"/>
        <v>0</v>
      </c>
      <c r="G528" s="6" t="str">
        <f>IF(F528=1,IFERROR(VLOOKUP(E528,Tab_ErrMessage[],2,0),VLOOKUP(C528&amp;TableCosts[[#This Row],[Calc_N_Typ]],TRAN_STRITEMS_LABEL,4,FALSE)),"")</f>
        <v/>
      </c>
      <c r="H528" s="40"/>
      <c r="I528" s="40"/>
      <c r="J528" s="35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  <c r="AD528" s="24"/>
      <c r="AE528" s="24"/>
      <c r="AF528" s="24"/>
      <c r="AG528" s="24"/>
      <c r="AH528" s="24"/>
      <c r="AI528" s="24"/>
      <c r="AJ528" s="24"/>
      <c r="AK528" s="38">
        <f t="array" ref="AK528">IF(F528=1,SUM((ROW(M0)=ROW(AK528))*(M0+M1_+M2_+M3_+M4_+M5_+M6_+M7_+M8_+M9_+M10_+M11_+M12_+M13_+M14_+M15_+M16_+M17_+M18_+M19_+M20_+M21_+M22_+M23_+M24_+M25_)),0)</f>
        <v>0</v>
      </c>
      <c r="AL528" s="27">
        <f>TableCosts[[#This Row],[N_Direct]]</f>
        <v>0</v>
      </c>
      <c r="AN528" s="7" t="str">
        <f t="shared" si="99"/>
        <v/>
      </c>
      <c r="AO528" s="7" t="str">
        <f t="shared" si="102"/>
        <v/>
      </c>
      <c r="AP528" s="7" t="str">
        <f t="shared" si="100"/>
        <v/>
      </c>
      <c r="AQ528" s="7" t="str">
        <f t="shared" si="103"/>
        <v/>
      </c>
      <c r="AR528" s="7" t="str">
        <f t="shared" si="101"/>
        <v/>
      </c>
      <c r="AS528" s="7">
        <f t="shared" si="104"/>
        <v>0</v>
      </c>
      <c r="AT528" s="17">
        <f>TableCosts[[#This Row],[N_Amount]]*TableCosts[[#This Row],[N_Tariff]]*TableCosts[[#This Row],[N_ItemsCount]]</f>
        <v>0</v>
      </c>
      <c r="AU528" s="17">
        <f>IF(F528=1,IF(TableCosts[[#This Row],[N_Kateg]]="interné práce",TableCosts[[#This Row],[N_Amount]]*8*PAR_SGA_PERHOUR,0),0)</f>
        <v>0</v>
      </c>
      <c r="AV528" s="17">
        <f>SUM(TableCosts[[#This Row],[N_Direct]:[N_SGA]])</f>
        <v>0</v>
      </c>
      <c r="AW528" s="7">
        <f>IF(F528=1,IF(D528="",NA(),VLOOKUP(C528&amp;TableCosts[[#This Row],[Calc_N_Typ]],TRAN_STRITEMS_LABEL,7,0)),0)</f>
        <v>0</v>
      </c>
      <c r="AX528" s="7">
        <f t="shared" si="105"/>
        <v>0</v>
      </c>
      <c r="AY528" s="57" t="str">
        <f t="shared" si="106"/>
        <v/>
      </c>
      <c r="AZ528" s="57" t="str">
        <f t="shared" si="107"/>
        <v/>
      </c>
      <c r="BA528" s="57" t="str">
        <f>IF(F528=1,IF(TableCosts[[#This Row],[TransferFrom]]=TableCosts[[#This Row],[TranferTo]],0,1),"")</f>
        <v/>
      </c>
      <c r="BB528" s="7">
        <f t="shared" si="108"/>
        <v>0</v>
      </c>
      <c r="BC528" s="7">
        <f t="shared" si="109"/>
        <v>0</v>
      </c>
    </row>
    <row r="529" spans="2:55" s="7" customFormat="1" ht="12.75" x14ac:dyDescent="0.2">
      <c r="B529" s="33"/>
      <c r="C529" s="31"/>
      <c r="D529" s="40"/>
      <c r="E529" s="6" t="str">
        <f>IF(F529=1,IF(ISERROR(TableCosts[[#This Row],[N_Tariff]]),Err_Message1,IF(TableCosts[[#This Row],[N_Tariff]]=0,Err_Message2,VLOOKUP(C529&amp;TableCosts[[#This Row],[Calc_N_Typ]],TRAN_STRITEMS_LABEL,5,FALSE))),"")</f>
        <v/>
      </c>
      <c r="F529" s="6">
        <f t="shared" si="110"/>
        <v>0</v>
      </c>
      <c r="G529" s="6" t="str">
        <f>IF(F529=1,IFERROR(VLOOKUP(E529,Tab_ErrMessage[],2,0),VLOOKUP(C529&amp;TableCosts[[#This Row],[Calc_N_Typ]],TRAN_STRITEMS_LABEL,4,FALSE)),"")</f>
        <v/>
      </c>
      <c r="H529" s="40"/>
      <c r="I529" s="40"/>
      <c r="J529" s="35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  <c r="AD529" s="24"/>
      <c r="AE529" s="24"/>
      <c r="AF529" s="24"/>
      <c r="AG529" s="24"/>
      <c r="AH529" s="24"/>
      <c r="AI529" s="24"/>
      <c r="AJ529" s="24"/>
      <c r="AK529" s="38">
        <f t="array" ref="AK529">IF(F529=1,SUM((ROW(M0)=ROW(AK529))*(M0+M1_+M2_+M3_+M4_+M5_+M6_+M7_+M8_+M9_+M10_+M11_+M12_+M13_+M14_+M15_+M16_+M17_+M18_+M19_+M20_+M21_+M22_+M23_+M24_+M25_)),0)</f>
        <v>0</v>
      </c>
      <c r="AL529" s="27">
        <f>TableCosts[[#This Row],[N_Direct]]</f>
        <v>0</v>
      </c>
      <c r="AN529" s="7" t="str">
        <f t="shared" si="99"/>
        <v/>
      </c>
      <c r="AO529" s="7" t="str">
        <f t="shared" si="102"/>
        <v/>
      </c>
      <c r="AP529" s="7" t="str">
        <f t="shared" si="100"/>
        <v/>
      </c>
      <c r="AQ529" s="7" t="str">
        <f t="shared" si="103"/>
        <v/>
      </c>
      <c r="AR529" s="7" t="str">
        <f t="shared" si="101"/>
        <v/>
      </c>
      <c r="AS529" s="7">
        <f t="shared" si="104"/>
        <v>0</v>
      </c>
      <c r="AT529" s="17">
        <f>TableCosts[[#This Row],[N_Amount]]*TableCosts[[#This Row],[N_Tariff]]*TableCosts[[#This Row],[N_ItemsCount]]</f>
        <v>0</v>
      </c>
      <c r="AU529" s="17">
        <f>IF(F529=1,IF(TableCosts[[#This Row],[N_Kateg]]="interné práce",TableCosts[[#This Row],[N_Amount]]*8*PAR_SGA_PERHOUR,0),0)</f>
        <v>0</v>
      </c>
      <c r="AV529" s="17">
        <f>SUM(TableCosts[[#This Row],[N_Direct]:[N_SGA]])</f>
        <v>0</v>
      </c>
      <c r="AW529" s="7">
        <f>IF(F529=1,IF(D529="",NA(),VLOOKUP(C529&amp;TableCosts[[#This Row],[Calc_N_Typ]],TRAN_STRITEMS_LABEL,7,0)),0)</f>
        <v>0</v>
      </c>
      <c r="AX529" s="7">
        <f t="shared" si="105"/>
        <v>0</v>
      </c>
      <c r="AY529" s="57" t="str">
        <f t="shared" si="106"/>
        <v/>
      </c>
      <c r="AZ529" s="57" t="str">
        <f t="shared" si="107"/>
        <v/>
      </c>
      <c r="BA529" s="57" t="str">
        <f>IF(F529=1,IF(TableCosts[[#This Row],[TransferFrom]]=TableCosts[[#This Row],[TranferTo]],0,1),"")</f>
        <v/>
      </c>
      <c r="BB529" s="7">
        <f t="shared" si="108"/>
        <v>0</v>
      </c>
      <c r="BC529" s="7">
        <f t="shared" si="109"/>
        <v>0</v>
      </c>
    </row>
    <row r="530" spans="2:55" s="7" customFormat="1" ht="12.75" x14ac:dyDescent="0.2">
      <c r="B530" s="33"/>
      <c r="C530" s="31"/>
      <c r="D530" s="40"/>
      <c r="E530" s="6" t="str">
        <f>IF(F530=1,IF(ISERROR(TableCosts[[#This Row],[N_Tariff]]),Err_Message1,IF(TableCosts[[#This Row],[N_Tariff]]=0,Err_Message2,VLOOKUP(C530&amp;TableCosts[[#This Row],[Calc_N_Typ]],TRAN_STRITEMS_LABEL,5,FALSE))),"")</f>
        <v/>
      </c>
      <c r="F530" s="6">
        <f t="shared" si="110"/>
        <v>0</v>
      </c>
      <c r="G530" s="6" t="str">
        <f>IF(F530=1,IFERROR(VLOOKUP(E530,Tab_ErrMessage[],2,0),VLOOKUP(C530&amp;TableCosts[[#This Row],[Calc_N_Typ]],TRAN_STRITEMS_LABEL,4,FALSE)),"")</f>
        <v/>
      </c>
      <c r="H530" s="40"/>
      <c r="I530" s="40"/>
      <c r="J530" s="35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  <c r="AD530" s="24"/>
      <c r="AE530" s="24"/>
      <c r="AF530" s="24"/>
      <c r="AG530" s="24"/>
      <c r="AH530" s="24"/>
      <c r="AI530" s="24"/>
      <c r="AJ530" s="24"/>
      <c r="AK530" s="38">
        <f t="array" ref="AK530">IF(F530=1,SUM((ROW(M0)=ROW(AK530))*(M0+M1_+M2_+M3_+M4_+M5_+M6_+M7_+M8_+M9_+M10_+M11_+M12_+M13_+M14_+M15_+M16_+M17_+M18_+M19_+M20_+M21_+M22_+M23_+M24_+M25_)),0)</f>
        <v>0</v>
      </c>
      <c r="AL530" s="27">
        <f>TableCosts[[#This Row],[N_Direct]]</f>
        <v>0</v>
      </c>
      <c r="AN530" s="7" t="str">
        <f t="shared" si="99"/>
        <v/>
      </c>
      <c r="AO530" s="7" t="str">
        <f t="shared" si="102"/>
        <v/>
      </c>
      <c r="AP530" s="7" t="str">
        <f t="shared" si="100"/>
        <v/>
      </c>
      <c r="AQ530" s="7" t="str">
        <f t="shared" si="103"/>
        <v/>
      </c>
      <c r="AR530" s="7" t="str">
        <f t="shared" si="101"/>
        <v/>
      </c>
      <c r="AS530" s="7">
        <f t="shared" si="104"/>
        <v>0</v>
      </c>
      <c r="AT530" s="17">
        <f>TableCosts[[#This Row],[N_Amount]]*TableCosts[[#This Row],[N_Tariff]]*TableCosts[[#This Row],[N_ItemsCount]]</f>
        <v>0</v>
      </c>
      <c r="AU530" s="17">
        <f>IF(F530=1,IF(TableCosts[[#This Row],[N_Kateg]]="interné práce",TableCosts[[#This Row],[N_Amount]]*8*PAR_SGA_PERHOUR,0),0)</f>
        <v>0</v>
      </c>
      <c r="AV530" s="17">
        <f>SUM(TableCosts[[#This Row],[N_Direct]:[N_SGA]])</f>
        <v>0</v>
      </c>
      <c r="AW530" s="7">
        <f>IF(F530=1,IF(D530="",NA(),VLOOKUP(C530&amp;TableCosts[[#This Row],[Calc_N_Typ]],TRAN_STRITEMS_LABEL,7,0)),0)</f>
        <v>0</v>
      </c>
      <c r="AX530" s="7">
        <f t="shared" si="105"/>
        <v>0</v>
      </c>
      <c r="AY530" s="57" t="str">
        <f t="shared" si="106"/>
        <v/>
      </c>
      <c r="AZ530" s="57" t="str">
        <f t="shared" si="107"/>
        <v/>
      </c>
      <c r="BA530" s="57" t="str">
        <f>IF(F530=1,IF(TableCosts[[#This Row],[TransferFrom]]=TableCosts[[#This Row],[TranferTo]],0,1),"")</f>
        <v/>
      </c>
      <c r="BB530" s="7">
        <f t="shared" si="108"/>
        <v>0</v>
      </c>
      <c r="BC530" s="7">
        <f t="shared" si="109"/>
        <v>0</v>
      </c>
    </row>
    <row r="531" spans="2:55" s="7" customFormat="1" ht="12.75" x14ac:dyDescent="0.2">
      <c r="B531" s="33"/>
      <c r="C531" s="31"/>
      <c r="D531" s="40"/>
      <c r="E531" s="6" t="str">
        <f>IF(F531=1,IF(ISERROR(TableCosts[[#This Row],[N_Tariff]]),Err_Message1,IF(TableCosts[[#This Row],[N_Tariff]]=0,Err_Message2,VLOOKUP(C531&amp;TableCosts[[#This Row],[Calc_N_Typ]],TRAN_STRITEMS_LABEL,5,FALSE))),"")</f>
        <v/>
      </c>
      <c r="F531" s="6">
        <f t="shared" si="110"/>
        <v>0</v>
      </c>
      <c r="G531" s="6" t="str">
        <f>IF(F531=1,IFERROR(VLOOKUP(E531,Tab_ErrMessage[],2,0),VLOOKUP(C531&amp;TableCosts[[#This Row],[Calc_N_Typ]],TRAN_STRITEMS_LABEL,4,FALSE)),"")</f>
        <v/>
      </c>
      <c r="H531" s="40"/>
      <c r="I531" s="40"/>
      <c r="J531" s="35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  <c r="AD531" s="24"/>
      <c r="AE531" s="24"/>
      <c r="AF531" s="24"/>
      <c r="AG531" s="24"/>
      <c r="AH531" s="24"/>
      <c r="AI531" s="24"/>
      <c r="AJ531" s="24"/>
      <c r="AK531" s="38">
        <f t="array" ref="AK531">IF(F531=1,SUM((ROW(M0)=ROW(AK531))*(M0+M1_+M2_+M3_+M4_+M5_+M6_+M7_+M8_+M9_+M10_+M11_+M12_+M13_+M14_+M15_+M16_+M17_+M18_+M19_+M20_+M21_+M22_+M23_+M24_+M25_)),0)</f>
        <v>0</v>
      </c>
      <c r="AL531" s="27">
        <f>TableCosts[[#This Row],[N_Direct]]</f>
        <v>0</v>
      </c>
      <c r="AN531" s="7" t="str">
        <f t="shared" si="99"/>
        <v/>
      </c>
      <c r="AO531" s="7" t="str">
        <f t="shared" si="102"/>
        <v/>
      </c>
      <c r="AP531" s="7" t="str">
        <f t="shared" si="100"/>
        <v/>
      </c>
      <c r="AQ531" s="7" t="str">
        <f t="shared" si="103"/>
        <v/>
      </c>
      <c r="AR531" s="7" t="str">
        <f t="shared" si="101"/>
        <v/>
      </c>
      <c r="AS531" s="7">
        <f t="shared" si="104"/>
        <v>0</v>
      </c>
      <c r="AT531" s="17">
        <f>TableCosts[[#This Row],[N_Amount]]*TableCosts[[#This Row],[N_Tariff]]*TableCosts[[#This Row],[N_ItemsCount]]</f>
        <v>0</v>
      </c>
      <c r="AU531" s="17">
        <f>IF(F531=1,IF(TableCosts[[#This Row],[N_Kateg]]="interné práce",TableCosts[[#This Row],[N_Amount]]*8*PAR_SGA_PERHOUR,0),0)</f>
        <v>0</v>
      </c>
      <c r="AV531" s="17">
        <f>SUM(TableCosts[[#This Row],[N_Direct]:[N_SGA]])</f>
        <v>0</v>
      </c>
      <c r="AW531" s="7">
        <f>IF(F531=1,IF(D531="",NA(),VLOOKUP(C531&amp;TableCosts[[#This Row],[Calc_N_Typ]],TRAN_STRITEMS_LABEL,7,0)),0)</f>
        <v>0</v>
      </c>
      <c r="AX531" s="7">
        <f t="shared" si="105"/>
        <v>0</v>
      </c>
      <c r="AY531" s="57" t="str">
        <f t="shared" si="106"/>
        <v/>
      </c>
      <c r="AZ531" s="57" t="str">
        <f t="shared" si="107"/>
        <v/>
      </c>
      <c r="BA531" s="57" t="str">
        <f>IF(F531=1,IF(TableCosts[[#This Row],[TransferFrom]]=TableCosts[[#This Row],[TranferTo]],0,1),"")</f>
        <v/>
      </c>
      <c r="BB531" s="7">
        <f t="shared" si="108"/>
        <v>0</v>
      </c>
      <c r="BC531" s="7">
        <f t="shared" si="109"/>
        <v>0</v>
      </c>
    </row>
    <row r="532" spans="2:55" s="7" customFormat="1" ht="12.75" x14ac:dyDescent="0.2">
      <c r="B532" s="33"/>
      <c r="C532" s="31"/>
      <c r="D532" s="40"/>
      <c r="E532" s="6" t="str">
        <f>IF(F532=1,IF(ISERROR(TableCosts[[#This Row],[N_Tariff]]),Err_Message1,IF(TableCosts[[#This Row],[N_Tariff]]=0,Err_Message2,VLOOKUP(C532&amp;TableCosts[[#This Row],[Calc_N_Typ]],TRAN_STRITEMS_LABEL,5,FALSE))),"")</f>
        <v/>
      </c>
      <c r="F532" s="6">
        <f t="shared" si="110"/>
        <v>0</v>
      </c>
      <c r="G532" s="6" t="str">
        <f>IF(F532=1,IFERROR(VLOOKUP(E532,Tab_ErrMessage[],2,0),VLOOKUP(C532&amp;TableCosts[[#This Row],[Calc_N_Typ]],TRAN_STRITEMS_LABEL,4,FALSE)),"")</f>
        <v/>
      </c>
      <c r="H532" s="40"/>
      <c r="I532" s="40"/>
      <c r="J532" s="35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  <c r="AD532" s="24"/>
      <c r="AE532" s="24"/>
      <c r="AF532" s="24"/>
      <c r="AG532" s="24"/>
      <c r="AH532" s="24"/>
      <c r="AI532" s="24"/>
      <c r="AJ532" s="24"/>
      <c r="AK532" s="38">
        <f t="array" ref="AK532">IF(F532=1,SUM((ROW(M0)=ROW(AK532))*(M0+M1_+M2_+M3_+M4_+M5_+M6_+M7_+M8_+M9_+M10_+M11_+M12_+M13_+M14_+M15_+M16_+M17_+M18_+M19_+M20_+M21_+M22_+M23_+M24_+M25_)),0)</f>
        <v>0</v>
      </c>
      <c r="AL532" s="27">
        <f>TableCosts[[#This Row],[N_Direct]]</f>
        <v>0</v>
      </c>
      <c r="AN532" s="7" t="str">
        <f t="shared" si="99"/>
        <v/>
      </c>
      <c r="AO532" s="7" t="str">
        <f t="shared" si="102"/>
        <v/>
      </c>
      <c r="AP532" s="7" t="str">
        <f t="shared" si="100"/>
        <v/>
      </c>
      <c r="AQ532" s="7" t="str">
        <f t="shared" si="103"/>
        <v/>
      </c>
      <c r="AR532" s="7" t="str">
        <f t="shared" si="101"/>
        <v/>
      </c>
      <c r="AS532" s="7">
        <f t="shared" si="104"/>
        <v>0</v>
      </c>
      <c r="AT532" s="17">
        <f>TableCosts[[#This Row],[N_Amount]]*TableCosts[[#This Row],[N_Tariff]]*TableCosts[[#This Row],[N_ItemsCount]]</f>
        <v>0</v>
      </c>
      <c r="AU532" s="17">
        <f>IF(F532=1,IF(TableCosts[[#This Row],[N_Kateg]]="interné práce",TableCosts[[#This Row],[N_Amount]]*8*PAR_SGA_PERHOUR,0),0)</f>
        <v>0</v>
      </c>
      <c r="AV532" s="17">
        <f>SUM(TableCosts[[#This Row],[N_Direct]:[N_SGA]])</f>
        <v>0</v>
      </c>
      <c r="AW532" s="7">
        <f>IF(F532=1,IF(D532="",NA(),VLOOKUP(C532&amp;TableCosts[[#This Row],[Calc_N_Typ]],TRAN_STRITEMS_LABEL,7,0)),0)</f>
        <v>0</v>
      </c>
      <c r="AX532" s="7">
        <f t="shared" si="105"/>
        <v>0</v>
      </c>
      <c r="AY532" s="57" t="str">
        <f t="shared" si="106"/>
        <v/>
      </c>
      <c r="AZ532" s="57" t="str">
        <f t="shared" si="107"/>
        <v/>
      </c>
      <c r="BA532" s="57" t="str">
        <f>IF(F532=1,IF(TableCosts[[#This Row],[TransferFrom]]=TableCosts[[#This Row],[TranferTo]],0,1),"")</f>
        <v/>
      </c>
      <c r="BB532" s="7">
        <f t="shared" si="108"/>
        <v>0</v>
      </c>
      <c r="BC532" s="7">
        <f t="shared" si="109"/>
        <v>0</v>
      </c>
    </row>
    <row r="533" spans="2:55" s="7" customFormat="1" ht="12.75" x14ac:dyDescent="0.2">
      <c r="B533" s="33"/>
      <c r="C533" s="31"/>
      <c r="D533" s="40"/>
      <c r="E533" s="6" t="str">
        <f>IF(F533=1,IF(ISERROR(TableCosts[[#This Row],[N_Tariff]]),Err_Message1,IF(TableCosts[[#This Row],[N_Tariff]]=0,Err_Message2,VLOOKUP(C533&amp;TableCosts[[#This Row],[Calc_N_Typ]],TRAN_STRITEMS_LABEL,5,FALSE))),"")</f>
        <v/>
      </c>
      <c r="F533" s="6">
        <f t="shared" si="110"/>
        <v>0</v>
      </c>
      <c r="G533" s="6" t="str">
        <f>IF(F533=1,IFERROR(VLOOKUP(E533,Tab_ErrMessage[],2,0),VLOOKUP(C533&amp;TableCosts[[#This Row],[Calc_N_Typ]],TRAN_STRITEMS_LABEL,4,FALSE)),"")</f>
        <v/>
      </c>
      <c r="H533" s="40"/>
      <c r="I533" s="40"/>
      <c r="J533" s="35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  <c r="AD533" s="24"/>
      <c r="AE533" s="24"/>
      <c r="AF533" s="24"/>
      <c r="AG533" s="24"/>
      <c r="AH533" s="24"/>
      <c r="AI533" s="24"/>
      <c r="AJ533" s="24"/>
      <c r="AK533" s="38">
        <f t="array" ref="AK533">IF(F533=1,SUM((ROW(M0)=ROW(AK533))*(M0+M1_+M2_+M3_+M4_+M5_+M6_+M7_+M8_+M9_+M10_+M11_+M12_+M13_+M14_+M15_+M16_+M17_+M18_+M19_+M20_+M21_+M22_+M23_+M24_+M25_)),0)</f>
        <v>0</v>
      </c>
      <c r="AL533" s="27">
        <f>TableCosts[[#This Row],[N_Direct]]</f>
        <v>0</v>
      </c>
      <c r="AN533" s="7" t="str">
        <f t="shared" si="99"/>
        <v/>
      </c>
      <c r="AO533" s="7" t="str">
        <f t="shared" si="102"/>
        <v/>
      </c>
      <c r="AP533" s="7" t="str">
        <f t="shared" si="100"/>
        <v/>
      </c>
      <c r="AQ533" s="7" t="str">
        <f t="shared" si="103"/>
        <v/>
      </c>
      <c r="AR533" s="7" t="str">
        <f t="shared" si="101"/>
        <v/>
      </c>
      <c r="AS533" s="7">
        <f t="shared" si="104"/>
        <v>0</v>
      </c>
      <c r="AT533" s="17">
        <f>TableCosts[[#This Row],[N_Amount]]*TableCosts[[#This Row],[N_Tariff]]*TableCosts[[#This Row],[N_ItemsCount]]</f>
        <v>0</v>
      </c>
      <c r="AU533" s="17">
        <f>IF(F533=1,IF(TableCosts[[#This Row],[N_Kateg]]="interné práce",TableCosts[[#This Row],[N_Amount]]*8*PAR_SGA_PERHOUR,0),0)</f>
        <v>0</v>
      </c>
      <c r="AV533" s="17">
        <f>SUM(TableCosts[[#This Row],[N_Direct]:[N_SGA]])</f>
        <v>0</v>
      </c>
      <c r="AW533" s="7">
        <f>IF(F533=1,IF(D533="",NA(),VLOOKUP(C533&amp;TableCosts[[#This Row],[Calc_N_Typ]],TRAN_STRITEMS_LABEL,7,0)),0)</f>
        <v>0</v>
      </c>
      <c r="AX533" s="7">
        <f t="shared" si="105"/>
        <v>0</v>
      </c>
      <c r="AY533" s="57" t="str">
        <f t="shared" si="106"/>
        <v/>
      </c>
      <c r="AZ533" s="57" t="str">
        <f t="shared" si="107"/>
        <v/>
      </c>
      <c r="BA533" s="57" t="str">
        <f>IF(F533=1,IF(TableCosts[[#This Row],[TransferFrom]]=TableCosts[[#This Row],[TranferTo]],0,1),"")</f>
        <v/>
      </c>
      <c r="BB533" s="7">
        <f t="shared" si="108"/>
        <v>0</v>
      </c>
      <c r="BC533" s="7">
        <f t="shared" si="109"/>
        <v>0</v>
      </c>
    </row>
    <row r="534" spans="2:55" s="7" customFormat="1" ht="12.75" x14ac:dyDescent="0.2">
      <c r="B534" s="33"/>
      <c r="C534" s="31"/>
      <c r="D534" s="40"/>
      <c r="E534" s="6" t="str">
        <f>IF(F534=1,IF(ISERROR(TableCosts[[#This Row],[N_Tariff]]),Err_Message1,IF(TableCosts[[#This Row],[N_Tariff]]=0,Err_Message2,VLOOKUP(C534&amp;TableCosts[[#This Row],[Calc_N_Typ]],TRAN_STRITEMS_LABEL,5,FALSE))),"")</f>
        <v/>
      </c>
      <c r="F534" s="6">
        <f t="shared" si="110"/>
        <v>0</v>
      </c>
      <c r="G534" s="6" t="str">
        <f>IF(F534=1,IFERROR(VLOOKUP(E534,Tab_ErrMessage[],2,0),VLOOKUP(C534&amp;TableCosts[[#This Row],[Calc_N_Typ]],TRAN_STRITEMS_LABEL,4,FALSE)),"")</f>
        <v/>
      </c>
      <c r="H534" s="40"/>
      <c r="I534" s="40"/>
      <c r="J534" s="35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  <c r="AD534" s="24"/>
      <c r="AE534" s="24"/>
      <c r="AF534" s="24"/>
      <c r="AG534" s="24"/>
      <c r="AH534" s="24"/>
      <c r="AI534" s="24"/>
      <c r="AJ534" s="24"/>
      <c r="AK534" s="38">
        <f t="array" ref="AK534">IF(F534=1,SUM((ROW(M0)=ROW(AK534))*(M0+M1_+M2_+M3_+M4_+M5_+M6_+M7_+M8_+M9_+M10_+M11_+M12_+M13_+M14_+M15_+M16_+M17_+M18_+M19_+M20_+M21_+M22_+M23_+M24_+M25_)),0)</f>
        <v>0</v>
      </c>
      <c r="AL534" s="27">
        <f>TableCosts[[#This Row],[N_Direct]]</f>
        <v>0</v>
      </c>
      <c r="AN534" s="7" t="str">
        <f t="shared" si="99"/>
        <v/>
      </c>
      <c r="AO534" s="7" t="str">
        <f t="shared" si="102"/>
        <v/>
      </c>
      <c r="AP534" s="7" t="str">
        <f t="shared" si="100"/>
        <v/>
      </c>
      <c r="AQ534" s="7" t="str">
        <f t="shared" si="103"/>
        <v/>
      </c>
      <c r="AR534" s="7" t="str">
        <f t="shared" si="101"/>
        <v/>
      </c>
      <c r="AS534" s="7">
        <f t="shared" si="104"/>
        <v>0</v>
      </c>
      <c r="AT534" s="17">
        <f>TableCosts[[#This Row],[N_Amount]]*TableCosts[[#This Row],[N_Tariff]]*TableCosts[[#This Row],[N_ItemsCount]]</f>
        <v>0</v>
      </c>
      <c r="AU534" s="17">
        <f>IF(F534=1,IF(TableCosts[[#This Row],[N_Kateg]]="interné práce",TableCosts[[#This Row],[N_Amount]]*8*PAR_SGA_PERHOUR,0),0)</f>
        <v>0</v>
      </c>
      <c r="AV534" s="17">
        <f>SUM(TableCosts[[#This Row],[N_Direct]:[N_SGA]])</f>
        <v>0</v>
      </c>
      <c r="AW534" s="7">
        <f>IF(F534=1,IF(D534="",NA(),VLOOKUP(C534&amp;TableCosts[[#This Row],[Calc_N_Typ]],TRAN_STRITEMS_LABEL,7,0)),0)</f>
        <v>0</v>
      </c>
      <c r="AX534" s="7">
        <f t="shared" si="105"/>
        <v>0</v>
      </c>
      <c r="AY534" s="57" t="str">
        <f t="shared" si="106"/>
        <v/>
      </c>
      <c r="AZ534" s="57" t="str">
        <f t="shared" si="107"/>
        <v/>
      </c>
      <c r="BA534" s="57" t="str">
        <f>IF(F534=1,IF(TableCosts[[#This Row],[TransferFrom]]=TableCosts[[#This Row],[TranferTo]],0,1),"")</f>
        <v/>
      </c>
      <c r="BB534" s="7">
        <f t="shared" si="108"/>
        <v>0</v>
      </c>
      <c r="BC534" s="7">
        <f t="shared" si="109"/>
        <v>0</v>
      </c>
    </row>
    <row r="535" spans="2:55" s="7" customFormat="1" ht="12.75" x14ac:dyDescent="0.2">
      <c r="B535" s="33"/>
      <c r="C535" s="31"/>
      <c r="D535" s="40"/>
      <c r="E535" s="6" t="str">
        <f>IF(F535=1,IF(ISERROR(TableCosts[[#This Row],[N_Tariff]]),Err_Message1,IF(TableCosts[[#This Row],[N_Tariff]]=0,Err_Message2,VLOOKUP(C535&amp;TableCosts[[#This Row],[Calc_N_Typ]],TRAN_STRITEMS_LABEL,5,FALSE))),"")</f>
        <v/>
      </c>
      <c r="F535" s="6">
        <f t="shared" si="110"/>
        <v>0</v>
      </c>
      <c r="G535" s="6" t="str">
        <f>IF(F535=1,IFERROR(VLOOKUP(E535,Tab_ErrMessage[],2,0),VLOOKUP(C535&amp;TableCosts[[#This Row],[Calc_N_Typ]],TRAN_STRITEMS_LABEL,4,FALSE)),"")</f>
        <v/>
      </c>
      <c r="H535" s="40"/>
      <c r="I535" s="40"/>
      <c r="J535" s="35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  <c r="AD535" s="24"/>
      <c r="AE535" s="24"/>
      <c r="AF535" s="24"/>
      <c r="AG535" s="24"/>
      <c r="AH535" s="24"/>
      <c r="AI535" s="24"/>
      <c r="AJ535" s="24"/>
      <c r="AK535" s="38">
        <f t="array" ref="AK535">IF(F535=1,SUM((ROW(M0)=ROW(AK535))*(M0+M1_+M2_+M3_+M4_+M5_+M6_+M7_+M8_+M9_+M10_+M11_+M12_+M13_+M14_+M15_+M16_+M17_+M18_+M19_+M20_+M21_+M22_+M23_+M24_+M25_)),0)</f>
        <v>0</v>
      </c>
      <c r="AL535" s="27">
        <f>TableCosts[[#This Row],[N_Direct]]</f>
        <v>0</v>
      </c>
      <c r="AN535" s="7" t="str">
        <f t="shared" si="99"/>
        <v/>
      </c>
      <c r="AO535" s="7" t="str">
        <f t="shared" si="102"/>
        <v/>
      </c>
      <c r="AP535" s="7" t="str">
        <f t="shared" si="100"/>
        <v/>
      </c>
      <c r="AQ535" s="7" t="str">
        <f t="shared" si="103"/>
        <v/>
      </c>
      <c r="AR535" s="7" t="str">
        <f t="shared" si="101"/>
        <v/>
      </c>
      <c r="AS535" s="7">
        <f t="shared" si="104"/>
        <v>0</v>
      </c>
      <c r="AT535" s="17">
        <f>TableCosts[[#This Row],[N_Amount]]*TableCosts[[#This Row],[N_Tariff]]*TableCosts[[#This Row],[N_ItemsCount]]</f>
        <v>0</v>
      </c>
      <c r="AU535" s="17">
        <f>IF(F535=1,IF(TableCosts[[#This Row],[N_Kateg]]="interné práce",TableCosts[[#This Row],[N_Amount]]*8*PAR_SGA_PERHOUR,0),0)</f>
        <v>0</v>
      </c>
      <c r="AV535" s="17">
        <f>SUM(TableCosts[[#This Row],[N_Direct]:[N_SGA]])</f>
        <v>0</v>
      </c>
      <c r="AW535" s="7">
        <f>IF(F535=1,IF(D535="",NA(),VLOOKUP(C535&amp;TableCosts[[#This Row],[Calc_N_Typ]],TRAN_STRITEMS_LABEL,7,0)),0)</f>
        <v>0</v>
      </c>
      <c r="AX535" s="7">
        <f t="shared" si="105"/>
        <v>0</v>
      </c>
      <c r="AY535" s="57" t="str">
        <f t="shared" si="106"/>
        <v/>
      </c>
      <c r="AZ535" s="57" t="str">
        <f t="shared" si="107"/>
        <v/>
      </c>
      <c r="BA535" s="57" t="str">
        <f>IF(F535=1,IF(TableCosts[[#This Row],[TransferFrom]]=TableCosts[[#This Row],[TranferTo]],0,1),"")</f>
        <v/>
      </c>
      <c r="BB535" s="7">
        <f t="shared" si="108"/>
        <v>0</v>
      </c>
      <c r="BC535" s="7">
        <f t="shared" si="109"/>
        <v>0</v>
      </c>
    </row>
    <row r="536" spans="2:55" s="7" customFormat="1" ht="12.75" x14ac:dyDescent="0.2">
      <c r="B536" s="33"/>
      <c r="C536" s="31"/>
      <c r="D536" s="40"/>
      <c r="E536" s="6" t="str">
        <f>IF(F536=1,IF(ISERROR(TableCosts[[#This Row],[N_Tariff]]),Err_Message1,IF(TableCosts[[#This Row],[N_Tariff]]=0,Err_Message2,VLOOKUP(C536&amp;TableCosts[[#This Row],[Calc_N_Typ]],TRAN_STRITEMS_LABEL,5,FALSE))),"")</f>
        <v/>
      </c>
      <c r="F536" s="6">
        <f t="shared" si="110"/>
        <v>0</v>
      </c>
      <c r="G536" s="6" t="str">
        <f>IF(F536=1,IFERROR(VLOOKUP(E536,Tab_ErrMessage[],2,0),VLOOKUP(C536&amp;TableCosts[[#This Row],[Calc_N_Typ]],TRAN_STRITEMS_LABEL,4,FALSE)),"")</f>
        <v/>
      </c>
      <c r="H536" s="40"/>
      <c r="I536" s="40"/>
      <c r="J536" s="35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  <c r="AD536" s="24"/>
      <c r="AE536" s="24"/>
      <c r="AF536" s="24"/>
      <c r="AG536" s="24"/>
      <c r="AH536" s="24"/>
      <c r="AI536" s="24"/>
      <c r="AJ536" s="24"/>
      <c r="AK536" s="38">
        <f t="array" ref="AK536">IF(F536=1,SUM((ROW(M0)=ROW(AK536))*(M0+M1_+M2_+M3_+M4_+M5_+M6_+M7_+M8_+M9_+M10_+M11_+M12_+M13_+M14_+M15_+M16_+M17_+M18_+M19_+M20_+M21_+M22_+M23_+M24_+M25_)),0)</f>
        <v>0</v>
      </c>
      <c r="AL536" s="27">
        <f>TableCosts[[#This Row],[N_Direct]]</f>
        <v>0</v>
      </c>
      <c r="AN536" s="7" t="str">
        <f t="shared" si="99"/>
        <v/>
      </c>
      <c r="AO536" s="7" t="str">
        <f t="shared" si="102"/>
        <v/>
      </c>
      <c r="AP536" s="7" t="str">
        <f t="shared" si="100"/>
        <v/>
      </c>
      <c r="AQ536" s="7" t="str">
        <f t="shared" si="103"/>
        <v/>
      </c>
      <c r="AR536" s="7" t="str">
        <f t="shared" si="101"/>
        <v/>
      </c>
      <c r="AS536" s="7">
        <f t="shared" si="104"/>
        <v>0</v>
      </c>
      <c r="AT536" s="17">
        <f>TableCosts[[#This Row],[N_Amount]]*TableCosts[[#This Row],[N_Tariff]]*TableCosts[[#This Row],[N_ItemsCount]]</f>
        <v>0</v>
      </c>
      <c r="AU536" s="17">
        <f>IF(F536=1,IF(TableCosts[[#This Row],[N_Kateg]]="interné práce",TableCosts[[#This Row],[N_Amount]]*8*PAR_SGA_PERHOUR,0),0)</f>
        <v>0</v>
      </c>
      <c r="AV536" s="17">
        <f>SUM(TableCosts[[#This Row],[N_Direct]:[N_SGA]])</f>
        <v>0</v>
      </c>
      <c r="AW536" s="7">
        <f>IF(F536=1,IF(D536="",NA(),VLOOKUP(C536&amp;TableCosts[[#This Row],[Calc_N_Typ]],TRAN_STRITEMS_LABEL,7,0)),0)</f>
        <v>0</v>
      </c>
      <c r="AX536" s="7">
        <f t="shared" si="105"/>
        <v>0</v>
      </c>
      <c r="AY536" s="57" t="str">
        <f t="shared" si="106"/>
        <v/>
      </c>
      <c r="AZ536" s="57" t="str">
        <f t="shared" si="107"/>
        <v/>
      </c>
      <c r="BA536" s="57" t="str">
        <f>IF(F536=1,IF(TableCosts[[#This Row],[TransferFrom]]=TableCosts[[#This Row],[TranferTo]],0,1),"")</f>
        <v/>
      </c>
      <c r="BB536" s="7">
        <f t="shared" si="108"/>
        <v>0</v>
      </c>
      <c r="BC536" s="7">
        <f t="shared" si="109"/>
        <v>0</v>
      </c>
    </row>
    <row r="537" spans="2:55" s="7" customFormat="1" ht="12.75" x14ac:dyDescent="0.2">
      <c r="B537" s="33"/>
      <c r="C537" s="31"/>
      <c r="D537" s="40"/>
      <c r="E537" s="6" t="str">
        <f>IF(F537=1,IF(ISERROR(TableCosts[[#This Row],[N_Tariff]]),Err_Message1,IF(TableCosts[[#This Row],[N_Tariff]]=0,Err_Message2,VLOOKUP(C537&amp;TableCosts[[#This Row],[Calc_N_Typ]],TRAN_STRITEMS_LABEL,5,FALSE))),"")</f>
        <v/>
      </c>
      <c r="F537" s="6">
        <f t="shared" si="110"/>
        <v>0</v>
      </c>
      <c r="G537" s="6" t="str">
        <f>IF(F537=1,IFERROR(VLOOKUP(E537,Tab_ErrMessage[],2,0),VLOOKUP(C537&amp;TableCosts[[#This Row],[Calc_N_Typ]],TRAN_STRITEMS_LABEL,4,FALSE)),"")</f>
        <v/>
      </c>
      <c r="H537" s="40"/>
      <c r="I537" s="40"/>
      <c r="J537" s="35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  <c r="AD537" s="24"/>
      <c r="AE537" s="24"/>
      <c r="AF537" s="24"/>
      <c r="AG537" s="24"/>
      <c r="AH537" s="24"/>
      <c r="AI537" s="24"/>
      <c r="AJ537" s="24"/>
      <c r="AK537" s="38">
        <f t="array" ref="AK537">IF(F537=1,SUM((ROW(M0)=ROW(AK537))*(M0+M1_+M2_+M3_+M4_+M5_+M6_+M7_+M8_+M9_+M10_+M11_+M12_+M13_+M14_+M15_+M16_+M17_+M18_+M19_+M20_+M21_+M22_+M23_+M24_+M25_)),0)</f>
        <v>0</v>
      </c>
      <c r="AL537" s="27">
        <f>TableCosts[[#This Row],[N_Direct]]</f>
        <v>0</v>
      </c>
      <c r="AN537" s="7" t="str">
        <f t="shared" si="99"/>
        <v/>
      </c>
      <c r="AO537" s="7" t="str">
        <f t="shared" si="102"/>
        <v/>
      </c>
      <c r="AP537" s="7" t="str">
        <f t="shared" si="100"/>
        <v/>
      </c>
      <c r="AQ537" s="7" t="str">
        <f t="shared" si="103"/>
        <v/>
      </c>
      <c r="AR537" s="7" t="str">
        <f t="shared" si="101"/>
        <v/>
      </c>
      <c r="AS537" s="7">
        <f t="shared" si="104"/>
        <v>0</v>
      </c>
      <c r="AT537" s="17">
        <f>TableCosts[[#This Row],[N_Amount]]*TableCosts[[#This Row],[N_Tariff]]*TableCosts[[#This Row],[N_ItemsCount]]</f>
        <v>0</v>
      </c>
      <c r="AU537" s="17">
        <f>IF(F537=1,IF(TableCosts[[#This Row],[N_Kateg]]="interné práce",TableCosts[[#This Row],[N_Amount]]*8*PAR_SGA_PERHOUR,0),0)</f>
        <v>0</v>
      </c>
      <c r="AV537" s="17">
        <f>SUM(TableCosts[[#This Row],[N_Direct]:[N_SGA]])</f>
        <v>0</v>
      </c>
      <c r="AW537" s="7">
        <f>IF(F537=1,IF(D537="",NA(),VLOOKUP(C537&amp;TableCosts[[#This Row],[Calc_N_Typ]],TRAN_STRITEMS_LABEL,7,0)),0)</f>
        <v>0</v>
      </c>
      <c r="AX537" s="7">
        <f t="shared" si="105"/>
        <v>0</v>
      </c>
      <c r="AY537" s="57" t="str">
        <f t="shared" si="106"/>
        <v/>
      </c>
      <c r="AZ537" s="57" t="str">
        <f t="shared" si="107"/>
        <v/>
      </c>
      <c r="BA537" s="57" t="str">
        <f>IF(F537=1,IF(TableCosts[[#This Row],[TransferFrom]]=TableCosts[[#This Row],[TranferTo]],0,1),"")</f>
        <v/>
      </c>
      <c r="BB537" s="7">
        <f t="shared" si="108"/>
        <v>0</v>
      </c>
      <c r="BC537" s="7">
        <f t="shared" si="109"/>
        <v>0</v>
      </c>
    </row>
    <row r="538" spans="2:55" s="7" customFormat="1" ht="12.75" x14ac:dyDescent="0.2">
      <c r="B538" s="33"/>
      <c r="C538" s="31"/>
      <c r="D538" s="40"/>
      <c r="E538" s="6" t="str">
        <f>IF(F538=1,IF(ISERROR(TableCosts[[#This Row],[N_Tariff]]),Err_Message1,IF(TableCosts[[#This Row],[N_Tariff]]=0,Err_Message2,VLOOKUP(C538&amp;TableCosts[[#This Row],[Calc_N_Typ]],TRAN_STRITEMS_LABEL,5,FALSE))),"")</f>
        <v/>
      </c>
      <c r="F538" s="6">
        <f t="shared" si="110"/>
        <v>0</v>
      </c>
      <c r="G538" s="6" t="str">
        <f>IF(F538=1,IFERROR(VLOOKUP(E538,Tab_ErrMessage[],2,0),VLOOKUP(C538&amp;TableCosts[[#This Row],[Calc_N_Typ]],TRAN_STRITEMS_LABEL,4,FALSE)),"")</f>
        <v/>
      </c>
      <c r="H538" s="40"/>
      <c r="I538" s="40"/>
      <c r="J538" s="35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  <c r="AD538" s="24"/>
      <c r="AE538" s="24"/>
      <c r="AF538" s="24"/>
      <c r="AG538" s="24"/>
      <c r="AH538" s="24"/>
      <c r="AI538" s="24"/>
      <c r="AJ538" s="24"/>
      <c r="AK538" s="38">
        <f t="array" ref="AK538">IF(F538=1,SUM((ROW(M0)=ROW(AK538))*(M0+M1_+M2_+M3_+M4_+M5_+M6_+M7_+M8_+M9_+M10_+M11_+M12_+M13_+M14_+M15_+M16_+M17_+M18_+M19_+M20_+M21_+M22_+M23_+M24_+M25_)),0)</f>
        <v>0</v>
      </c>
      <c r="AL538" s="27">
        <f>TableCosts[[#This Row],[N_Direct]]</f>
        <v>0</v>
      </c>
      <c r="AN538" s="7" t="str">
        <f t="shared" si="99"/>
        <v/>
      </c>
      <c r="AO538" s="7" t="str">
        <f t="shared" si="102"/>
        <v/>
      </c>
      <c r="AP538" s="7" t="str">
        <f t="shared" si="100"/>
        <v/>
      </c>
      <c r="AQ538" s="7" t="str">
        <f t="shared" si="103"/>
        <v/>
      </c>
      <c r="AR538" s="7" t="str">
        <f t="shared" si="101"/>
        <v/>
      </c>
      <c r="AS538" s="7">
        <f t="shared" si="104"/>
        <v>0</v>
      </c>
      <c r="AT538" s="17">
        <f>TableCosts[[#This Row],[N_Amount]]*TableCosts[[#This Row],[N_Tariff]]*TableCosts[[#This Row],[N_ItemsCount]]</f>
        <v>0</v>
      </c>
      <c r="AU538" s="17">
        <f>IF(F538=1,IF(TableCosts[[#This Row],[N_Kateg]]="interné práce",TableCosts[[#This Row],[N_Amount]]*8*PAR_SGA_PERHOUR,0),0)</f>
        <v>0</v>
      </c>
      <c r="AV538" s="17">
        <f>SUM(TableCosts[[#This Row],[N_Direct]:[N_SGA]])</f>
        <v>0</v>
      </c>
      <c r="AW538" s="7">
        <f>IF(F538=1,IF(D538="",NA(),VLOOKUP(C538&amp;TableCosts[[#This Row],[Calc_N_Typ]],TRAN_STRITEMS_LABEL,7,0)),0)</f>
        <v>0</v>
      </c>
      <c r="AX538" s="7">
        <f t="shared" si="105"/>
        <v>0</v>
      </c>
      <c r="AY538" s="57" t="str">
        <f t="shared" si="106"/>
        <v/>
      </c>
      <c r="AZ538" s="57" t="str">
        <f t="shared" si="107"/>
        <v/>
      </c>
      <c r="BA538" s="57" t="str">
        <f>IF(F538=1,IF(TableCosts[[#This Row],[TransferFrom]]=TableCosts[[#This Row],[TranferTo]],0,1),"")</f>
        <v/>
      </c>
      <c r="BB538" s="7">
        <f t="shared" si="108"/>
        <v>0</v>
      </c>
      <c r="BC538" s="7">
        <f t="shared" si="109"/>
        <v>0</v>
      </c>
    </row>
    <row r="539" spans="2:55" s="7" customFormat="1" ht="12.75" x14ac:dyDescent="0.2">
      <c r="B539" s="33"/>
      <c r="C539" s="31"/>
      <c r="D539" s="40"/>
      <c r="E539" s="6" t="str">
        <f>IF(F539=1,IF(ISERROR(TableCosts[[#This Row],[N_Tariff]]),Err_Message1,IF(TableCosts[[#This Row],[N_Tariff]]=0,Err_Message2,VLOOKUP(C539&amp;TableCosts[[#This Row],[Calc_N_Typ]],TRAN_STRITEMS_LABEL,5,FALSE))),"")</f>
        <v/>
      </c>
      <c r="F539" s="6">
        <f t="shared" si="110"/>
        <v>0</v>
      </c>
      <c r="G539" s="6" t="str">
        <f>IF(F539=1,IFERROR(VLOOKUP(E539,Tab_ErrMessage[],2,0),VLOOKUP(C539&amp;TableCosts[[#This Row],[Calc_N_Typ]],TRAN_STRITEMS_LABEL,4,FALSE)),"")</f>
        <v/>
      </c>
      <c r="H539" s="40"/>
      <c r="I539" s="40"/>
      <c r="J539" s="35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  <c r="AD539" s="24"/>
      <c r="AE539" s="24"/>
      <c r="AF539" s="24"/>
      <c r="AG539" s="24"/>
      <c r="AH539" s="24"/>
      <c r="AI539" s="24"/>
      <c r="AJ539" s="24"/>
      <c r="AK539" s="38">
        <f t="array" ref="AK539">IF(F539=1,SUM((ROW(M0)=ROW(AK539))*(M0+M1_+M2_+M3_+M4_+M5_+M6_+M7_+M8_+M9_+M10_+M11_+M12_+M13_+M14_+M15_+M16_+M17_+M18_+M19_+M20_+M21_+M22_+M23_+M24_+M25_)),0)</f>
        <v>0</v>
      </c>
      <c r="AL539" s="27">
        <f>TableCosts[[#This Row],[N_Direct]]</f>
        <v>0</v>
      </c>
      <c r="AN539" s="7" t="str">
        <f t="shared" si="99"/>
        <v/>
      </c>
      <c r="AO539" s="7" t="str">
        <f t="shared" si="102"/>
        <v/>
      </c>
      <c r="AP539" s="7" t="str">
        <f t="shared" si="100"/>
        <v/>
      </c>
      <c r="AQ539" s="7" t="str">
        <f t="shared" si="103"/>
        <v/>
      </c>
      <c r="AR539" s="7" t="str">
        <f t="shared" si="101"/>
        <v/>
      </c>
      <c r="AS539" s="7">
        <f t="shared" si="104"/>
        <v>0</v>
      </c>
      <c r="AT539" s="17">
        <f>TableCosts[[#This Row],[N_Amount]]*TableCosts[[#This Row],[N_Tariff]]*TableCosts[[#This Row],[N_ItemsCount]]</f>
        <v>0</v>
      </c>
      <c r="AU539" s="17">
        <f>IF(F539=1,IF(TableCosts[[#This Row],[N_Kateg]]="interné práce",TableCosts[[#This Row],[N_Amount]]*8*PAR_SGA_PERHOUR,0),0)</f>
        <v>0</v>
      </c>
      <c r="AV539" s="17">
        <f>SUM(TableCosts[[#This Row],[N_Direct]:[N_SGA]])</f>
        <v>0</v>
      </c>
      <c r="AW539" s="7">
        <f>IF(F539=1,IF(D539="",NA(),VLOOKUP(C539&amp;TableCosts[[#This Row],[Calc_N_Typ]],TRAN_STRITEMS_LABEL,7,0)),0)</f>
        <v>0</v>
      </c>
      <c r="AX539" s="7">
        <f t="shared" si="105"/>
        <v>0</v>
      </c>
      <c r="AY539" s="57" t="str">
        <f t="shared" si="106"/>
        <v/>
      </c>
      <c r="AZ539" s="57" t="str">
        <f t="shared" si="107"/>
        <v/>
      </c>
      <c r="BA539" s="57" t="str">
        <f>IF(F539=1,IF(TableCosts[[#This Row],[TransferFrom]]=TableCosts[[#This Row],[TranferTo]],0,1),"")</f>
        <v/>
      </c>
      <c r="BB539" s="7">
        <f t="shared" si="108"/>
        <v>0</v>
      </c>
      <c r="BC539" s="7">
        <f t="shared" si="109"/>
        <v>0</v>
      </c>
    </row>
    <row r="540" spans="2:55" s="7" customFormat="1" ht="12.75" x14ac:dyDescent="0.2">
      <c r="B540" s="33"/>
      <c r="C540" s="31"/>
      <c r="D540" s="40"/>
      <c r="E540" s="6" t="str">
        <f>IF(F540=1,IF(ISERROR(TableCosts[[#This Row],[N_Tariff]]),Err_Message1,IF(TableCosts[[#This Row],[N_Tariff]]=0,Err_Message2,VLOOKUP(C540&amp;TableCosts[[#This Row],[Calc_N_Typ]],TRAN_STRITEMS_LABEL,5,FALSE))),"")</f>
        <v/>
      </c>
      <c r="F540" s="6">
        <f t="shared" si="110"/>
        <v>0</v>
      </c>
      <c r="G540" s="6" t="str">
        <f>IF(F540=1,IFERROR(VLOOKUP(E540,Tab_ErrMessage[],2,0),VLOOKUP(C540&amp;TableCosts[[#This Row],[Calc_N_Typ]],TRAN_STRITEMS_LABEL,4,FALSE)),"")</f>
        <v/>
      </c>
      <c r="H540" s="40"/>
      <c r="I540" s="40"/>
      <c r="J540" s="35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  <c r="AD540" s="24"/>
      <c r="AE540" s="24"/>
      <c r="AF540" s="24"/>
      <c r="AG540" s="24"/>
      <c r="AH540" s="24"/>
      <c r="AI540" s="24"/>
      <c r="AJ540" s="24"/>
      <c r="AK540" s="38">
        <f t="array" ref="AK540">IF(F540=1,SUM((ROW(M0)=ROW(AK540))*(M0+M1_+M2_+M3_+M4_+M5_+M6_+M7_+M8_+M9_+M10_+M11_+M12_+M13_+M14_+M15_+M16_+M17_+M18_+M19_+M20_+M21_+M22_+M23_+M24_+M25_)),0)</f>
        <v>0</v>
      </c>
      <c r="AL540" s="27">
        <f>TableCosts[[#This Row],[N_Direct]]</f>
        <v>0</v>
      </c>
      <c r="AN540" s="7" t="str">
        <f t="shared" si="99"/>
        <v/>
      </c>
      <c r="AO540" s="7" t="str">
        <f t="shared" si="102"/>
        <v/>
      </c>
      <c r="AP540" s="7" t="str">
        <f t="shared" si="100"/>
        <v/>
      </c>
      <c r="AQ540" s="7" t="str">
        <f t="shared" si="103"/>
        <v/>
      </c>
      <c r="AR540" s="7" t="str">
        <f t="shared" si="101"/>
        <v/>
      </c>
      <c r="AS540" s="7">
        <f t="shared" si="104"/>
        <v>0</v>
      </c>
      <c r="AT540" s="17">
        <f>TableCosts[[#This Row],[N_Amount]]*TableCosts[[#This Row],[N_Tariff]]*TableCosts[[#This Row],[N_ItemsCount]]</f>
        <v>0</v>
      </c>
      <c r="AU540" s="17">
        <f>IF(F540=1,IF(TableCosts[[#This Row],[N_Kateg]]="interné práce",TableCosts[[#This Row],[N_Amount]]*8*PAR_SGA_PERHOUR,0),0)</f>
        <v>0</v>
      </c>
      <c r="AV540" s="17">
        <f>SUM(TableCosts[[#This Row],[N_Direct]:[N_SGA]])</f>
        <v>0</v>
      </c>
      <c r="AW540" s="7">
        <f>IF(F540=1,IF(D540="",NA(),VLOOKUP(C540&amp;TableCosts[[#This Row],[Calc_N_Typ]],TRAN_STRITEMS_LABEL,7,0)),0)</f>
        <v>0</v>
      </c>
      <c r="AX540" s="7">
        <f t="shared" si="105"/>
        <v>0</v>
      </c>
      <c r="AY540" s="57" t="str">
        <f t="shared" si="106"/>
        <v/>
      </c>
      <c r="AZ540" s="57" t="str">
        <f t="shared" si="107"/>
        <v/>
      </c>
      <c r="BA540" s="57" t="str">
        <f>IF(F540=1,IF(TableCosts[[#This Row],[TransferFrom]]=TableCosts[[#This Row],[TranferTo]],0,1),"")</f>
        <v/>
      </c>
      <c r="BB540" s="7">
        <f t="shared" si="108"/>
        <v>0</v>
      </c>
      <c r="BC540" s="7">
        <f t="shared" si="109"/>
        <v>0</v>
      </c>
    </row>
    <row r="541" spans="2:55" s="7" customFormat="1" ht="12.75" x14ac:dyDescent="0.2">
      <c r="B541" s="33"/>
      <c r="C541" s="31"/>
      <c r="D541" s="40"/>
      <c r="E541" s="6" t="str">
        <f>IF(F541=1,IF(ISERROR(TableCosts[[#This Row],[N_Tariff]]),Err_Message1,IF(TableCosts[[#This Row],[N_Tariff]]=0,Err_Message2,VLOOKUP(C541&amp;TableCosts[[#This Row],[Calc_N_Typ]],TRAN_STRITEMS_LABEL,5,FALSE))),"")</f>
        <v/>
      </c>
      <c r="F541" s="6">
        <f t="shared" si="110"/>
        <v>0</v>
      </c>
      <c r="G541" s="6" t="str">
        <f>IF(F541=1,IFERROR(VLOOKUP(E541,Tab_ErrMessage[],2,0),VLOOKUP(C541&amp;TableCosts[[#This Row],[Calc_N_Typ]],TRAN_STRITEMS_LABEL,4,FALSE)),"")</f>
        <v/>
      </c>
      <c r="H541" s="40"/>
      <c r="I541" s="40"/>
      <c r="J541" s="35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  <c r="AD541" s="24"/>
      <c r="AE541" s="24"/>
      <c r="AF541" s="24"/>
      <c r="AG541" s="24"/>
      <c r="AH541" s="24"/>
      <c r="AI541" s="24"/>
      <c r="AJ541" s="24"/>
      <c r="AK541" s="38">
        <f t="array" ref="AK541">IF(F541=1,SUM((ROW(M0)=ROW(AK541))*(M0+M1_+M2_+M3_+M4_+M5_+M6_+M7_+M8_+M9_+M10_+M11_+M12_+M13_+M14_+M15_+M16_+M17_+M18_+M19_+M20_+M21_+M22_+M23_+M24_+M25_)),0)</f>
        <v>0</v>
      </c>
      <c r="AL541" s="27">
        <f>TableCosts[[#This Row],[N_Direct]]</f>
        <v>0</v>
      </c>
      <c r="AN541" s="7" t="str">
        <f t="shared" si="99"/>
        <v/>
      </c>
      <c r="AO541" s="7" t="str">
        <f t="shared" si="102"/>
        <v/>
      </c>
      <c r="AP541" s="7" t="str">
        <f t="shared" si="100"/>
        <v/>
      </c>
      <c r="AQ541" s="7" t="str">
        <f t="shared" si="103"/>
        <v/>
      </c>
      <c r="AR541" s="7" t="str">
        <f t="shared" si="101"/>
        <v/>
      </c>
      <c r="AS541" s="7">
        <f t="shared" si="104"/>
        <v>0</v>
      </c>
      <c r="AT541" s="17">
        <f>TableCosts[[#This Row],[N_Amount]]*TableCosts[[#This Row],[N_Tariff]]*TableCosts[[#This Row],[N_ItemsCount]]</f>
        <v>0</v>
      </c>
      <c r="AU541" s="17">
        <f>IF(F541=1,IF(TableCosts[[#This Row],[N_Kateg]]="interné práce",TableCosts[[#This Row],[N_Amount]]*8*PAR_SGA_PERHOUR,0),0)</f>
        <v>0</v>
      </c>
      <c r="AV541" s="17">
        <f>SUM(TableCosts[[#This Row],[N_Direct]:[N_SGA]])</f>
        <v>0</v>
      </c>
      <c r="AW541" s="7">
        <f>IF(F541=1,IF(D541="",NA(),VLOOKUP(C541&amp;TableCosts[[#This Row],[Calc_N_Typ]],TRAN_STRITEMS_LABEL,7,0)),0)</f>
        <v>0</v>
      </c>
      <c r="AX541" s="7">
        <f t="shared" si="105"/>
        <v>0</v>
      </c>
      <c r="AY541" s="57" t="str">
        <f t="shared" si="106"/>
        <v/>
      </c>
      <c r="AZ541" s="57" t="str">
        <f t="shared" si="107"/>
        <v/>
      </c>
      <c r="BA541" s="57" t="str">
        <f>IF(F541=1,IF(TableCosts[[#This Row],[TransferFrom]]=TableCosts[[#This Row],[TranferTo]],0,1),"")</f>
        <v/>
      </c>
      <c r="BB541" s="7">
        <f t="shared" si="108"/>
        <v>0</v>
      </c>
      <c r="BC541" s="7">
        <f t="shared" si="109"/>
        <v>0</v>
      </c>
    </row>
    <row r="542" spans="2:55" s="7" customFormat="1" ht="12.75" x14ac:dyDescent="0.2">
      <c r="B542" s="33"/>
      <c r="C542" s="31"/>
      <c r="D542" s="40"/>
      <c r="E542" s="6" t="str">
        <f>IF(F542=1,IF(ISERROR(TableCosts[[#This Row],[N_Tariff]]),Err_Message1,IF(TableCosts[[#This Row],[N_Tariff]]=0,Err_Message2,VLOOKUP(C542&amp;TableCosts[[#This Row],[Calc_N_Typ]],TRAN_STRITEMS_LABEL,5,FALSE))),"")</f>
        <v/>
      </c>
      <c r="F542" s="6">
        <f t="shared" si="110"/>
        <v>0</v>
      </c>
      <c r="G542" s="6" t="str">
        <f>IF(F542=1,IFERROR(VLOOKUP(E542,Tab_ErrMessage[],2,0),VLOOKUP(C542&amp;TableCosts[[#This Row],[Calc_N_Typ]],TRAN_STRITEMS_LABEL,4,FALSE)),"")</f>
        <v/>
      </c>
      <c r="H542" s="40"/>
      <c r="I542" s="40"/>
      <c r="J542" s="35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  <c r="AD542" s="24"/>
      <c r="AE542" s="24"/>
      <c r="AF542" s="24"/>
      <c r="AG542" s="24"/>
      <c r="AH542" s="24"/>
      <c r="AI542" s="24"/>
      <c r="AJ542" s="24"/>
      <c r="AK542" s="38">
        <f t="array" ref="AK542">IF(F542=1,SUM((ROW(M0)=ROW(AK542))*(M0+M1_+M2_+M3_+M4_+M5_+M6_+M7_+M8_+M9_+M10_+M11_+M12_+M13_+M14_+M15_+M16_+M17_+M18_+M19_+M20_+M21_+M22_+M23_+M24_+M25_)),0)</f>
        <v>0</v>
      </c>
      <c r="AL542" s="27">
        <f>TableCosts[[#This Row],[N_Direct]]</f>
        <v>0</v>
      </c>
      <c r="AN542" s="7" t="str">
        <f t="shared" si="99"/>
        <v/>
      </c>
      <c r="AO542" s="7" t="str">
        <f t="shared" si="102"/>
        <v/>
      </c>
      <c r="AP542" s="7" t="str">
        <f t="shared" si="100"/>
        <v/>
      </c>
      <c r="AQ542" s="7" t="str">
        <f t="shared" si="103"/>
        <v/>
      </c>
      <c r="AR542" s="7" t="str">
        <f t="shared" si="101"/>
        <v/>
      </c>
      <c r="AS542" s="7">
        <f t="shared" si="104"/>
        <v>0</v>
      </c>
      <c r="AT542" s="17">
        <f>TableCosts[[#This Row],[N_Amount]]*TableCosts[[#This Row],[N_Tariff]]*TableCosts[[#This Row],[N_ItemsCount]]</f>
        <v>0</v>
      </c>
      <c r="AU542" s="17">
        <f>IF(F542=1,IF(TableCosts[[#This Row],[N_Kateg]]="interné práce",TableCosts[[#This Row],[N_Amount]]*8*PAR_SGA_PERHOUR,0),0)</f>
        <v>0</v>
      </c>
      <c r="AV542" s="17">
        <f>SUM(TableCosts[[#This Row],[N_Direct]:[N_SGA]])</f>
        <v>0</v>
      </c>
      <c r="AW542" s="7">
        <f>IF(F542=1,IF(D542="",NA(),VLOOKUP(C542&amp;TableCosts[[#This Row],[Calc_N_Typ]],TRAN_STRITEMS_LABEL,7,0)),0)</f>
        <v>0</v>
      </c>
      <c r="AX542" s="7">
        <f t="shared" si="105"/>
        <v>0</v>
      </c>
      <c r="AY542" s="57" t="str">
        <f t="shared" si="106"/>
        <v/>
      </c>
      <c r="AZ542" s="57" t="str">
        <f t="shared" si="107"/>
        <v/>
      </c>
      <c r="BA542" s="57" t="str">
        <f>IF(F542=1,IF(TableCosts[[#This Row],[TransferFrom]]=TableCosts[[#This Row],[TranferTo]],0,1),"")</f>
        <v/>
      </c>
      <c r="BB542" s="7">
        <f t="shared" si="108"/>
        <v>0</v>
      </c>
      <c r="BC542" s="7">
        <f t="shared" si="109"/>
        <v>0</v>
      </c>
    </row>
    <row r="543" spans="2:55" s="7" customFormat="1" ht="12.75" x14ac:dyDescent="0.2">
      <c r="B543" s="33"/>
      <c r="C543" s="31"/>
      <c r="D543" s="40"/>
      <c r="E543" s="6" t="str">
        <f>IF(F543=1,IF(ISERROR(TableCosts[[#This Row],[N_Tariff]]),Err_Message1,IF(TableCosts[[#This Row],[N_Tariff]]=0,Err_Message2,VLOOKUP(C543&amp;TableCosts[[#This Row],[Calc_N_Typ]],TRAN_STRITEMS_LABEL,5,FALSE))),"")</f>
        <v/>
      </c>
      <c r="F543" s="6">
        <f t="shared" si="110"/>
        <v>0</v>
      </c>
      <c r="G543" s="6" t="str">
        <f>IF(F543=1,IFERROR(VLOOKUP(E543,Tab_ErrMessage[],2,0),VLOOKUP(C543&amp;TableCosts[[#This Row],[Calc_N_Typ]],TRAN_STRITEMS_LABEL,4,FALSE)),"")</f>
        <v/>
      </c>
      <c r="H543" s="40"/>
      <c r="I543" s="40"/>
      <c r="J543" s="35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  <c r="AD543" s="24"/>
      <c r="AE543" s="24"/>
      <c r="AF543" s="24"/>
      <c r="AG543" s="24"/>
      <c r="AH543" s="24"/>
      <c r="AI543" s="24"/>
      <c r="AJ543" s="24"/>
      <c r="AK543" s="38">
        <f t="array" ref="AK543">IF(F543=1,SUM((ROW(M0)=ROW(AK543))*(M0+M1_+M2_+M3_+M4_+M5_+M6_+M7_+M8_+M9_+M10_+M11_+M12_+M13_+M14_+M15_+M16_+M17_+M18_+M19_+M20_+M21_+M22_+M23_+M24_+M25_)),0)</f>
        <v>0</v>
      </c>
      <c r="AL543" s="27">
        <f>TableCosts[[#This Row],[N_Direct]]</f>
        <v>0</v>
      </c>
      <c r="AN543" s="7" t="str">
        <f t="shared" si="99"/>
        <v/>
      </c>
      <c r="AO543" s="7" t="str">
        <f t="shared" si="102"/>
        <v/>
      </c>
      <c r="AP543" s="7" t="str">
        <f t="shared" si="100"/>
        <v/>
      </c>
      <c r="AQ543" s="7" t="str">
        <f t="shared" si="103"/>
        <v/>
      </c>
      <c r="AR543" s="7" t="str">
        <f t="shared" si="101"/>
        <v/>
      </c>
      <c r="AS543" s="7">
        <f t="shared" si="104"/>
        <v>0</v>
      </c>
      <c r="AT543" s="17">
        <f>TableCosts[[#This Row],[N_Amount]]*TableCosts[[#This Row],[N_Tariff]]*TableCosts[[#This Row],[N_ItemsCount]]</f>
        <v>0</v>
      </c>
      <c r="AU543" s="17">
        <f>IF(F543=1,IF(TableCosts[[#This Row],[N_Kateg]]="interné práce",TableCosts[[#This Row],[N_Amount]]*8*PAR_SGA_PERHOUR,0),0)</f>
        <v>0</v>
      </c>
      <c r="AV543" s="17">
        <f>SUM(TableCosts[[#This Row],[N_Direct]:[N_SGA]])</f>
        <v>0</v>
      </c>
      <c r="AW543" s="7">
        <f>IF(F543=1,IF(D543="",NA(),VLOOKUP(C543&amp;TableCosts[[#This Row],[Calc_N_Typ]],TRAN_STRITEMS_LABEL,7,0)),0)</f>
        <v>0</v>
      </c>
      <c r="AX543" s="7">
        <f t="shared" si="105"/>
        <v>0</v>
      </c>
      <c r="AY543" s="57" t="str">
        <f t="shared" si="106"/>
        <v/>
      </c>
      <c r="AZ543" s="57" t="str">
        <f t="shared" si="107"/>
        <v/>
      </c>
      <c r="BA543" s="57" t="str">
        <f>IF(F543=1,IF(TableCosts[[#This Row],[TransferFrom]]=TableCosts[[#This Row],[TranferTo]],0,1),"")</f>
        <v/>
      </c>
      <c r="BB543" s="7">
        <f t="shared" si="108"/>
        <v>0</v>
      </c>
      <c r="BC543" s="7">
        <f t="shared" si="109"/>
        <v>0</v>
      </c>
    </row>
    <row r="544" spans="2:55" s="7" customFormat="1" ht="12.75" x14ac:dyDescent="0.2">
      <c r="B544" s="33"/>
      <c r="C544" s="31"/>
      <c r="D544" s="40"/>
      <c r="E544" s="6" t="str">
        <f>IF(F544=1,IF(ISERROR(TableCosts[[#This Row],[N_Tariff]]),Err_Message1,IF(TableCosts[[#This Row],[N_Tariff]]=0,Err_Message2,VLOOKUP(C544&amp;TableCosts[[#This Row],[Calc_N_Typ]],TRAN_STRITEMS_LABEL,5,FALSE))),"")</f>
        <v/>
      </c>
      <c r="F544" s="6">
        <f t="shared" si="110"/>
        <v>0</v>
      </c>
      <c r="G544" s="6" t="str">
        <f>IF(F544=1,IFERROR(VLOOKUP(E544,Tab_ErrMessage[],2,0),VLOOKUP(C544&amp;TableCosts[[#This Row],[Calc_N_Typ]],TRAN_STRITEMS_LABEL,4,FALSE)),"")</f>
        <v/>
      </c>
      <c r="H544" s="40"/>
      <c r="I544" s="40"/>
      <c r="J544" s="35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  <c r="AD544" s="24"/>
      <c r="AE544" s="24"/>
      <c r="AF544" s="24"/>
      <c r="AG544" s="24"/>
      <c r="AH544" s="24"/>
      <c r="AI544" s="24"/>
      <c r="AJ544" s="24"/>
      <c r="AK544" s="38">
        <f t="array" ref="AK544">IF(F544=1,SUM((ROW(M0)=ROW(AK544))*(M0+M1_+M2_+M3_+M4_+M5_+M6_+M7_+M8_+M9_+M10_+M11_+M12_+M13_+M14_+M15_+M16_+M17_+M18_+M19_+M20_+M21_+M22_+M23_+M24_+M25_)),0)</f>
        <v>0</v>
      </c>
      <c r="AL544" s="27">
        <f>TableCosts[[#This Row],[N_Direct]]</f>
        <v>0</v>
      </c>
      <c r="AN544" s="7" t="str">
        <f t="shared" si="99"/>
        <v/>
      </c>
      <c r="AO544" s="7" t="str">
        <f t="shared" si="102"/>
        <v/>
      </c>
      <c r="AP544" s="7" t="str">
        <f t="shared" si="100"/>
        <v/>
      </c>
      <c r="AQ544" s="7" t="str">
        <f t="shared" si="103"/>
        <v/>
      </c>
      <c r="AR544" s="7" t="str">
        <f t="shared" si="101"/>
        <v/>
      </c>
      <c r="AS544" s="7">
        <f t="shared" si="104"/>
        <v>0</v>
      </c>
      <c r="AT544" s="17">
        <f>TableCosts[[#This Row],[N_Amount]]*TableCosts[[#This Row],[N_Tariff]]*TableCosts[[#This Row],[N_ItemsCount]]</f>
        <v>0</v>
      </c>
      <c r="AU544" s="17">
        <f>IF(F544=1,IF(TableCosts[[#This Row],[N_Kateg]]="interné práce",TableCosts[[#This Row],[N_Amount]]*8*PAR_SGA_PERHOUR,0),0)</f>
        <v>0</v>
      </c>
      <c r="AV544" s="17">
        <f>SUM(TableCosts[[#This Row],[N_Direct]:[N_SGA]])</f>
        <v>0</v>
      </c>
      <c r="AW544" s="7">
        <f>IF(F544=1,IF(D544="",NA(),VLOOKUP(C544&amp;TableCosts[[#This Row],[Calc_N_Typ]],TRAN_STRITEMS_LABEL,7,0)),0)</f>
        <v>0</v>
      </c>
      <c r="AX544" s="7">
        <f t="shared" si="105"/>
        <v>0</v>
      </c>
      <c r="AY544" s="57" t="str">
        <f t="shared" si="106"/>
        <v/>
      </c>
      <c r="AZ544" s="57" t="str">
        <f t="shared" si="107"/>
        <v/>
      </c>
      <c r="BA544" s="57" t="str">
        <f>IF(F544=1,IF(TableCosts[[#This Row],[TransferFrom]]=TableCosts[[#This Row],[TranferTo]],0,1),"")</f>
        <v/>
      </c>
      <c r="BB544" s="7">
        <f t="shared" si="108"/>
        <v>0</v>
      </c>
      <c r="BC544" s="7">
        <f t="shared" si="109"/>
        <v>0</v>
      </c>
    </row>
    <row r="545" spans="2:55" s="7" customFormat="1" ht="12.75" x14ac:dyDescent="0.2">
      <c r="B545" s="33"/>
      <c r="C545" s="31"/>
      <c r="D545" s="40"/>
      <c r="E545" s="6" t="str">
        <f>IF(F545=1,IF(ISERROR(TableCosts[[#This Row],[N_Tariff]]),Err_Message1,IF(TableCosts[[#This Row],[N_Tariff]]=0,Err_Message2,VLOOKUP(C545&amp;TableCosts[[#This Row],[Calc_N_Typ]],TRAN_STRITEMS_LABEL,5,FALSE))),"")</f>
        <v/>
      </c>
      <c r="F545" s="6">
        <f t="shared" si="110"/>
        <v>0</v>
      </c>
      <c r="G545" s="6" t="str">
        <f>IF(F545=1,IFERROR(VLOOKUP(E545,Tab_ErrMessage[],2,0),VLOOKUP(C545&amp;TableCosts[[#This Row],[Calc_N_Typ]],TRAN_STRITEMS_LABEL,4,FALSE)),"")</f>
        <v/>
      </c>
      <c r="H545" s="40"/>
      <c r="I545" s="40"/>
      <c r="J545" s="35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  <c r="AD545" s="24"/>
      <c r="AE545" s="24"/>
      <c r="AF545" s="24"/>
      <c r="AG545" s="24"/>
      <c r="AH545" s="24"/>
      <c r="AI545" s="24"/>
      <c r="AJ545" s="24"/>
      <c r="AK545" s="38">
        <f t="array" ref="AK545">IF(F545=1,SUM((ROW(M0)=ROW(AK545))*(M0+M1_+M2_+M3_+M4_+M5_+M6_+M7_+M8_+M9_+M10_+M11_+M12_+M13_+M14_+M15_+M16_+M17_+M18_+M19_+M20_+M21_+M22_+M23_+M24_+M25_)),0)</f>
        <v>0</v>
      </c>
      <c r="AL545" s="27">
        <f>TableCosts[[#This Row],[N_Direct]]</f>
        <v>0</v>
      </c>
      <c r="AN545" s="7" t="str">
        <f t="shared" si="99"/>
        <v/>
      </c>
      <c r="AO545" s="7" t="str">
        <f t="shared" si="102"/>
        <v/>
      </c>
      <c r="AP545" s="7" t="str">
        <f t="shared" si="100"/>
        <v/>
      </c>
      <c r="AQ545" s="7" t="str">
        <f t="shared" si="103"/>
        <v/>
      </c>
      <c r="AR545" s="7" t="str">
        <f t="shared" si="101"/>
        <v/>
      </c>
      <c r="AS545" s="7">
        <f t="shared" si="104"/>
        <v>0</v>
      </c>
      <c r="AT545" s="17">
        <f>TableCosts[[#This Row],[N_Amount]]*TableCosts[[#This Row],[N_Tariff]]*TableCosts[[#This Row],[N_ItemsCount]]</f>
        <v>0</v>
      </c>
      <c r="AU545" s="17">
        <f>IF(F545=1,IF(TableCosts[[#This Row],[N_Kateg]]="interné práce",TableCosts[[#This Row],[N_Amount]]*8*PAR_SGA_PERHOUR,0),0)</f>
        <v>0</v>
      </c>
      <c r="AV545" s="17">
        <f>SUM(TableCosts[[#This Row],[N_Direct]:[N_SGA]])</f>
        <v>0</v>
      </c>
      <c r="AW545" s="7">
        <f>IF(F545=1,IF(D545="",NA(),VLOOKUP(C545&amp;TableCosts[[#This Row],[Calc_N_Typ]],TRAN_STRITEMS_LABEL,7,0)),0)</f>
        <v>0</v>
      </c>
      <c r="AX545" s="7">
        <f t="shared" si="105"/>
        <v>0</v>
      </c>
      <c r="AY545" s="57" t="str">
        <f t="shared" si="106"/>
        <v/>
      </c>
      <c r="AZ545" s="57" t="str">
        <f t="shared" si="107"/>
        <v/>
      </c>
      <c r="BA545" s="57" t="str">
        <f>IF(F545=1,IF(TableCosts[[#This Row],[TransferFrom]]=TableCosts[[#This Row],[TranferTo]],0,1),"")</f>
        <v/>
      </c>
      <c r="BB545" s="7">
        <f t="shared" si="108"/>
        <v>0</v>
      </c>
      <c r="BC545" s="7">
        <f t="shared" si="109"/>
        <v>0</v>
      </c>
    </row>
    <row r="546" spans="2:55" s="7" customFormat="1" ht="12.75" x14ac:dyDescent="0.2">
      <c r="B546" s="33"/>
      <c r="C546" s="31"/>
      <c r="D546" s="40"/>
      <c r="E546" s="6" t="str">
        <f>IF(F546=1,IF(ISERROR(TableCosts[[#This Row],[N_Tariff]]),Err_Message1,IF(TableCosts[[#This Row],[N_Tariff]]=0,Err_Message2,VLOOKUP(C546&amp;TableCosts[[#This Row],[Calc_N_Typ]],TRAN_STRITEMS_LABEL,5,FALSE))),"")</f>
        <v/>
      </c>
      <c r="F546" s="6">
        <f t="shared" si="110"/>
        <v>0</v>
      </c>
      <c r="G546" s="6" t="str">
        <f>IF(F546=1,IFERROR(VLOOKUP(E546,Tab_ErrMessage[],2,0),VLOOKUP(C546&amp;TableCosts[[#This Row],[Calc_N_Typ]],TRAN_STRITEMS_LABEL,4,FALSE)),"")</f>
        <v/>
      </c>
      <c r="H546" s="40"/>
      <c r="I546" s="40"/>
      <c r="J546" s="35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  <c r="AD546" s="24"/>
      <c r="AE546" s="24"/>
      <c r="AF546" s="24"/>
      <c r="AG546" s="24"/>
      <c r="AH546" s="24"/>
      <c r="AI546" s="24"/>
      <c r="AJ546" s="24"/>
      <c r="AK546" s="38">
        <f t="array" ref="AK546">IF(F546=1,SUM((ROW(M0)=ROW(AK546))*(M0+M1_+M2_+M3_+M4_+M5_+M6_+M7_+M8_+M9_+M10_+M11_+M12_+M13_+M14_+M15_+M16_+M17_+M18_+M19_+M20_+M21_+M22_+M23_+M24_+M25_)),0)</f>
        <v>0</v>
      </c>
      <c r="AL546" s="27">
        <f>TableCosts[[#This Row],[N_Direct]]</f>
        <v>0</v>
      </c>
      <c r="AN546" s="7" t="str">
        <f t="shared" si="99"/>
        <v/>
      </c>
      <c r="AO546" s="7" t="str">
        <f t="shared" si="102"/>
        <v/>
      </c>
      <c r="AP546" s="7" t="str">
        <f t="shared" si="100"/>
        <v/>
      </c>
      <c r="AQ546" s="7" t="str">
        <f t="shared" si="103"/>
        <v/>
      </c>
      <c r="AR546" s="7" t="str">
        <f t="shared" si="101"/>
        <v/>
      </c>
      <c r="AS546" s="7">
        <f t="shared" si="104"/>
        <v>0</v>
      </c>
      <c r="AT546" s="17">
        <f>TableCosts[[#This Row],[N_Amount]]*TableCosts[[#This Row],[N_Tariff]]*TableCosts[[#This Row],[N_ItemsCount]]</f>
        <v>0</v>
      </c>
      <c r="AU546" s="17">
        <f>IF(F546=1,IF(TableCosts[[#This Row],[N_Kateg]]="interné práce",TableCosts[[#This Row],[N_Amount]]*8*PAR_SGA_PERHOUR,0),0)</f>
        <v>0</v>
      </c>
      <c r="AV546" s="17">
        <f>SUM(TableCosts[[#This Row],[N_Direct]:[N_SGA]])</f>
        <v>0</v>
      </c>
      <c r="AW546" s="7">
        <f>IF(F546=1,IF(D546="",NA(),VLOOKUP(C546&amp;TableCosts[[#This Row],[Calc_N_Typ]],TRAN_STRITEMS_LABEL,7,0)),0)</f>
        <v>0</v>
      </c>
      <c r="AX546" s="7">
        <f t="shared" si="105"/>
        <v>0</v>
      </c>
      <c r="AY546" s="57" t="str">
        <f t="shared" si="106"/>
        <v/>
      </c>
      <c r="AZ546" s="57" t="str">
        <f t="shared" si="107"/>
        <v/>
      </c>
      <c r="BA546" s="57" t="str">
        <f>IF(F546=1,IF(TableCosts[[#This Row],[TransferFrom]]=TableCosts[[#This Row],[TranferTo]],0,1),"")</f>
        <v/>
      </c>
      <c r="BB546" s="7">
        <f t="shared" si="108"/>
        <v>0</v>
      </c>
      <c r="BC546" s="7">
        <f t="shared" si="109"/>
        <v>0</v>
      </c>
    </row>
    <row r="547" spans="2:55" s="7" customFormat="1" ht="12.75" x14ac:dyDescent="0.2">
      <c r="B547" s="33"/>
      <c r="C547" s="31"/>
      <c r="D547" s="40"/>
      <c r="E547" s="6" t="str">
        <f>IF(F547=1,IF(ISERROR(TableCosts[[#This Row],[N_Tariff]]),Err_Message1,IF(TableCosts[[#This Row],[N_Tariff]]=0,Err_Message2,VLOOKUP(C547&amp;TableCosts[[#This Row],[Calc_N_Typ]],TRAN_STRITEMS_LABEL,5,FALSE))),"")</f>
        <v/>
      </c>
      <c r="F547" s="6">
        <f t="shared" si="110"/>
        <v>0</v>
      </c>
      <c r="G547" s="6" t="str">
        <f>IF(F547=1,IFERROR(VLOOKUP(E547,Tab_ErrMessage[],2,0),VLOOKUP(C547&amp;TableCosts[[#This Row],[Calc_N_Typ]],TRAN_STRITEMS_LABEL,4,FALSE)),"")</f>
        <v/>
      </c>
      <c r="H547" s="40"/>
      <c r="I547" s="40"/>
      <c r="J547" s="35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  <c r="AD547" s="24"/>
      <c r="AE547" s="24"/>
      <c r="AF547" s="24"/>
      <c r="AG547" s="24"/>
      <c r="AH547" s="24"/>
      <c r="AI547" s="24"/>
      <c r="AJ547" s="24"/>
      <c r="AK547" s="38">
        <f t="array" ref="AK547">IF(F547=1,SUM((ROW(M0)=ROW(AK547))*(M0+M1_+M2_+M3_+M4_+M5_+M6_+M7_+M8_+M9_+M10_+M11_+M12_+M13_+M14_+M15_+M16_+M17_+M18_+M19_+M20_+M21_+M22_+M23_+M24_+M25_)),0)</f>
        <v>0</v>
      </c>
      <c r="AL547" s="27">
        <f>TableCosts[[#This Row],[N_Direct]]</f>
        <v>0</v>
      </c>
      <c r="AN547" s="7" t="str">
        <f t="shared" si="99"/>
        <v/>
      </c>
      <c r="AO547" s="7" t="str">
        <f t="shared" si="102"/>
        <v/>
      </c>
      <c r="AP547" s="7" t="str">
        <f t="shared" si="100"/>
        <v/>
      </c>
      <c r="AQ547" s="7" t="str">
        <f t="shared" si="103"/>
        <v/>
      </c>
      <c r="AR547" s="7" t="str">
        <f t="shared" si="101"/>
        <v/>
      </c>
      <c r="AS547" s="7">
        <f t="shared" si="104"/>
        <v>0</v>
      </c>
      <c r="AT547" s="17">
        <f>TableCosts[[#This Row],[N_Amount]]*TableCosts[[#This Row],[N_Tariff]]*TableCosts[[#This Row],[N_ItemsCount]]</f>
        <v>0</v>
      </c>
      <c r="AU547" s="17">
        <f>IF(F547=1,IF(TableCosts[[#This Row],[N_Kateg]]="interné práce",TableCosts[[#This Row],[N_Amount]]*8*PAR_SGA_PERHOUR,0),0)</f>
        <v>0</v>
      </c>
      <c r="AV547" s="17">
        <f>SUM(TableCosts[[#This Row],[N_Direct]:[N_SGA]])</f>
        <v>0</v>
      </c>
      <c r="AW547" s="7">
        <f>IF(F547=1,IF(D547="",NA(),VLOOKUP(C547&amp;TableCosts[[#This Row],[Calc_N_Typ]],TRAN_STRITEMS_LABEL,7,0)),0)</f>
        <v>0</v>
      </c>
      <c r="AX547" s="7">
        <f t="shared" si="105"/>
        <v>0</v>
      </c>
      <c r="AY547" s="57" t="str">
        <f t="shared" si="106"/>
        <v/>
      </c>
      <c r="AZ547" s="57" t="str">
        <f t="shared" si="107"/>
        <v/>
      </c>
      <c r="BA547" s="57" t="str">
        <f>IF(F547=1,IF(TableCosts[[#This Row],[TransferFrom]]=TableCosts[[#This Row],[TranferTo]],0,1),"")</f>
        <v/>
      </c>
      <c r="BB547" s="7">
        <f t="shared" si="108"/>
        <v>0</v>
      </c>
      <c r="BC547" s="7">
        <f t="shared" si="109"/>
        <v>0</v>
      </c>
    </row>
    <row r="548" spans="2:55" s="7" customFormat="1" ht="12.75" x14ac:dyDescent="0.2">
      <c r="B548" s="33"/>
      <c r="C548" s="31"/>
      <c r="D548" s="40"/>
      <c r="E548" s="6" t="str">
        <f>IF(F548=1,IF(ISERROR(TableCosts[[#This Row],[N_Tariff]]),Err_Message1,IF(TableCosts[[#This Row],[N_Tariff]]=0,Err_Message2,VLOOKUP(C548&amp;TableCosts[[#This Row],[Calc_N_Typ]],TRAN_STRITEMS_LABEL,5,FALSE))),"")</f>
        <v/>
      </c>
      <c r="F548" s="6">
        <f t="shared" si="110"/>
        <v>0</v>
      </c>
      <c r="G548" s="6" t="str">
        <f>IF(F548=1,IFERROR(VLOOKUP(E548,Tab_ErrMessage[],2,0),VLOOKUP(C548&amp;TableCosts[[#This Row],[Calc_N_Typ]],TRAN_STRITEMS_LABEL,4,FALSE)),"")</f>
        <v/>
      </c>
      <c r="H548" s="40"/>
      <c r="I548" s="40"/>
      <c r="J548" s="35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  <c r="AD548" s="24"/>
      <c r="AE548" s="24"/>
      <c r="AF548" s="24"/>
      <c r="AG548" s="24"/>
      <c r="AH548" s="24"/>
      <c r="AI548" s="24"/>
      <c r="AJ548" s="24"/>
      <c r="AK548" s="38">
        <f t="array" ref="AK548">IF(F548=1,SUM((ROW(M0)=ROW(AK548))*(M0+M1_+M2_+M3_+M4_+M5_+M6_+M7_+M8_+M9_+M10_+M11_+M12_+M13_+M14_+M15_+M16_+M17_+M18_+M19_+M20_+M21_+M22_+M23_+M24_+M25_)),0)</f>
        <v>0</v>
      </c>
      <c r="AL548" s="27">
        <f>TableCosts[[#This Row],[N_Direct]]</f>
        <v>0</v>
      </c>
      <c r="AN548" s="7" t="str">
        <f t="shared" si="99"/>
        <v/>
      </c>
      <c r="AO548" s="7" t="str">
        <f t="shared" si="102"/>
        <v/>
      </c>
      <c r="AP548" s="7" t="str">
        <f t="shared" si="100"/>
        <v/>
      </c>
      <c r="AQ548" s="7" t="str">
        <f t="shared" si="103"/>
        <v/>
      </c>
      <c r="AR548" s="7" t="str">
        <f t="shared" si="101"/>
        <v/>
      </c>
      <c r="AS548" s="7">
        <f t="shared" si="104"/>
        <v>0</v>
      </c>
      <c r="AT548" s="17">
        <f>TableCosts[[#This Row],[N_Amount]]*TableCosts[[#This Row],[N_Tariff]]*TableCosts[[#This Row],[N_ItemsCount]]</f>
        <v>0</v>
      </c>
      <c r="AU548" s="17">
        <f>IF(F548=1,IF(TableCosts[[#This Row],[N_Kateg]]="interné práce",TableCosts[[#This Row],[N_Amount]]*8*PAR_SGA_PERHOUR,0),0)</f>
        <v>0</v>
      </c>
      <c r="AV548" s="17">
        <f>SUM(TableCosts[[#This Row],[N_Direct]:[N_SGA]])</f>
        <v>0</v>
      </c>
      <c r="AW548" s="7">
        <f>IF(F548=1,IF(D548="",NA(),VLOOKUP(C548&amp;TableCosts[[#This Row],[Calc_N_Typ]],TRAN_STRITEMS_LABEL,7,0)),0)</f>
        <v>0</v>
      </c>
      <c r="AX548" s="7">
        <f t="shared" si="105"/>
        <v>0</v>
      </c>
      <c r="AY548" s="57" t="str">
        <f t="shared" si="106"/>
        <v/>
      </c>
      <c r="AZ548" s="57" t="str">
        <f t="shared" si="107"/>
        <v/>
      </c>
      <c r="BA548" s="57" t="str">
        <f>IF(F548=1,IF(TableCosts[[#This Row],[TransferFrom]]=TableCosts[[#This Row],[TranferTo]],0,1),"")</f>
        <v/>
      </c>
      <c r="BB548" s="7">
        <f t="shared" si="108"/>
        <v>0</v>
      </c>
      <c r="BC548" s="7">
        <f t="shared" si="109"/>
        <v>0</v>
      </c>
    </row>
    <row r="549" spans="2:55" s="7" customFormat="1" ht="12.75" x14ac:dyDescent="0.2">
      <c r="B549" s="33"/>
      <c r="C549" s="31"/>
      <c r="D549" s="40"/>
      <c r="E549" s="6" t="str">
        <f>IF(F549=1,IF(ISERROR(TableCosts[[#This Row],[N_Tariff]]),Err_Message1,IF(TableCosts[[#This Row],[N_Tariff]]=0,Err_Message2,VLOOKUP(C549&amp;TableCosts[[#This Row],[Calc_N_Typ]],TRAN_STRITEMS_LABEL,5,FALSE))),"")</f>
        <v/>
      </c>
      <c r="F549" s="6">
        <f t="shared" si="110"/>
        <v>0</v>
      </c>
      <c r="G549" s="6" t="str">
        <f>IF(F549=1,IFERROR(VLOOKUP(E549,Tab_ErrMessage[],2,0),VLOOKUP(C549&amp;TableCosts[[#This Row],[Calc_N_Typ]],TRAN_STRITEMS_LABEL,4,FALSE)),"")</f>
        <v/>
      </c>
      <c r="H549" s="40"/>
      <c r="I549" s="40"/>
      <c r="J549" s="35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  <c r="AD549" s="24"/>
      <c r="AE549" s="24"/>
      <c r="AF549" s="24"/>
      <c r="AG549" s="24"/>
      <c r="AH549" s="24"/>
      <c r="AI549" s="24"/>
      <c r="AJ549" s="24"/>
      <c r="AK549" s="38">
        <f t="array" ref="AK549">IF(F549=1,SUM((ROW(M0)=ROW(AK549))*(M0+M1_+M2_+M3_+M4_+M5_+M6_+M7_+M8_+M9_+M10_+M11_+M12_+M13_+M14_+M15_+M16_+M17_+M18_+M19_+M20_+M21_+M22_+M23_+M24_+M25_)),0)</f>
        <v>0</v>
      </c>
      <c r="AL549" s="27">
        <f>TableCosts[[#This Row],[N_Direct]]</f>
        <v>0</v>
      </c>
      <c r="AN549" s="7" t="str">
        <f t="shared" si="99"/>
        <v/>
      </c>
      <c r="AO549" s="7" t="str">
        <f t="shared" si="102"/>
        <v/>
      </c>
      <c r="AP549" s="7" t="str">
        <f t="shared" si="100"/>
        <v/>
      </c>
      <c r="AQ549" s="7" t="str">
        <f t="shared" si="103"/>
        <v/>
      </c>
      <c r="AR549" s="7" t="str">
        <f t="shared" si="101"/>
        <v/>
      </c>
      <c r="AS549" s="7">
        <f t="shared" si="104"/>
        <v>0</v>
      </c>
      <c r="AT549" s="17">
        <f>TableCosts[[#This Row],[N_Amount]]*TableCosts[[#This Row],[N_Tariff]]*TableCosts[[#This Row],[N_ItemsCount]]</f>
        <v>0</v>
      </c>
      <c r="AU549" s="17">
        <f>IF(F549=1,IF(TableCosts[[#This Row],[N_Kateg]]="interné práce",TableCosts[[#This Row],[N_Amount]]*8*PAR_SGA_PERHOUR,0),0)</f>
        <v>0</v>
      </c>
      <c r="AV549" s="17">
        <f>SUM(TableCosts[[#This Row],[N_Direct]:[N_SGA]])</f>
        <v>0</v>
      </c>
      <c r="AW549" s="7">
        <f>IF(F549=1,IF(D549="",NA(),VLOOKUP(C549&amp;TableCosts[[#This Row],[Calc_N_Typ]],TRAN_STRITEMS_LABEL,7,0)),0)</f>
        <v>0</v>
      </c>
      <c r="AX549" s="7">
        <f t="shared" si="105"/>
        <v>0</v>
      </c>
      <c r="AY549" s="57" t="str">
        <f t="shared" si="106"/>
        <v/>
      </c>
      <c r="AZ549" s="57" t="str">
        <f t="shared" si="107"/>
        <v/>
      </c>
      <c r="BA549" s="57" t="str">
        <f>IF(F549=1,IF(TableCosts[[#This Row],[TransferFrom]]=TableCosts[[#This Row],[TranferTo]],0,1),"")</f>
        <v/>
      </c>
      <c r="BB549" s="7">
        <f t="shared" si="108"/>
        <v>0</v>
      </c>
      <c r="BC549" s="7">
        <f t="shared" si="109"/>
        <v>0</v>
      </c>
    </row>
    <row r="550" spans="2:55" s="7" customFormat="1" ht="12.75" x14ac:dyDescent="0.2">
      <c r="B550" s="33"/>
      <c r="C550" s="31"/>
      <c r="D550" s="40"/>
      <c r="E550" s="6" t="str">
        <f>IF(F550=1,IF(ISERROR(TableCosts[[#This Row],[N_Tariff]]),Err_Message1,IF(TableCosts[[#This Row],[N_Tariff]]=0,Err_Message2,VLOOKUP(C550&amp;TableCosts[[#This Row],[Calc_N_Typ]],TRAN_STRITEMS_LABEL,5,FALSE))),"")</f>
        <v/>
      </c>
      <c r="F550" s="6">
        <f t="shared" si="110"/>
        <v>0</v>
      </c>
      <c r="G550" s="6" t="str">
        <f>IF(F550=1,IFERROR(VLOOKUP(E550,Tab_ErrMessage[],2,0),VLOOKUP(C550&amp;TableCosts[[#This Row],[Calc_N_Typ]],TRAN_STRITEMS_LABEL,4,FALSE)),"")</f>
        <v/>
      </c>
      <c r="H550" s="40"/>
      <c r="I550" s="40"/>
      <c r="J550" s="35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  <c r="AD550" s="24"/>
      <c r="AE550" s="24"/>
      <c r="AF550" s="24"/>
      <c r="AG550" s="24"/>
      <c r="AH550" s="24"/>
      <c r="AI550" s="24"/>
      <c r="AJ550" s="24"/>
      <c r="AK550" s="38">
        <f t="array" ref="AK550">IF(F550=1,SUM((ROW(M0)=ROW(AK550))*(M0+M1_+M2_+M3_+M4_+M5_+M6_+M7_+M8_+M9_+M10_+M11_+M12_+M13_+M14_+M15_+M16_+M17_+M18_+M19_+M20_+M21_+M22_+M23_+M24_+M25_)),0)</f>
        <v>0</v>
      </c>
      <c r="AL550" s="27">
        <f>TableCosts[[#This Row],[N_Direct]]</f>
        <v>0</v>
      </c>
      <c r="AN550" s="7" t="str">
        <f t="shared" si="99"/>
        <v/>
      </c>
      <c r="AO550" s="7" t="str">
        <f t="shared" si="102"/>
        <v/>
      </c>
      <c r="AP550" s="7" t="str">
        <f t="shared" si="100"/>
        <v/>
      </c>
      <c r="AQ550" s="7" t="str">
        <f t="shared" si="103"/>
        <v/>
      </c>
      <c r="AR550" s="7" t="str">
        <f t="shared" si="101"/>
        <v/>
      </c>
      <c r="AS550" s="7">
        <f t="shared" si="104"/>
        <v>0</v>
      </c>
      <c r="AT550" s="17">
        <f>TableCosts[[#This Row],[N_Amount]]*TableCosts[[#This Row],[N_Tariff]]*TableCosts[[#This Row],[N_ItemsCount]]</f>
        <v>0</v>
      </c>
      <c r="AU550" s="17">
        <f>IF(F550=1,IF(TableCosts[[#This Row],[N_Kateg]]="interné práce",TableCosts[[#This Row],[N_Amount]]*8*PAR_SGA_PERHOUR,0),0)</f>
        <v>0</v>
      </c>
      <c r="AV550" s="17">
        <f>SUM(TableCosts[[#This Row],[N_Direct]:[N_SGA]])</f>
        <v>0</v>
      </c>
      <c r="AW550" s="7">
        <f>IF(F550=1,IF(D550="",NA(),VLOOKUP(C550&amp;TableCosts[[#This Row],[Calc_N_Typ]],TRAN_STRITEMS_LABEL,7,0)),0)</f>
        <v>0</v>
      </c>
      <c r="AX550" s="7">
        <f t="shared" si="105"/>
        <v>0</v>
      </c>
      <c r="AY550" s="57" t="str">
        <f t="shared" si="106"/>
        <v/>
      </c>
      <c r="AZ550" s="57" t="str">
        <f t="shared" si="107"/>
        <v/>
      </c>
      <c r="BA550" s="57" t="str">
        <f>IF(F550=1,IF(TableCosts[[#This Row],[TransferFrom]]=TableCosts[[#This Row],[TranferTo]],0,1),"")</f>
        <v/>
      </c>
      <c r="BB550" s="7">
        <f t="shared" si="108"/>
        <v>0</v>
      </c>
      <c r="BC550" s="7">
        <f t="shared" si="109"/>
        <v>0</v>
      </c>
    </row>
    <row r="551" spans="2:55" s="7" customFormat="1" ht="12.75" x14ac:dyDescent="0.2">
      <c r="B551" s="33"/>
      <c r="C551" s="31"/>
      <c r="D551" s="40"/>
      <c r="E551" s="6" t="str">
        <f>IF(F551=1,IF(ISERROR(TableCosts[[#This Row],[N_Tariff]]),Err_Message1,IF(TableCosts[[#This Row],[N_Tariff]]=0,Err_Message2,VLOOKUP(C551&amp;TableCosts[[#This Row],[Calc_N_Typ]],TRAN_STRITEMS_LABEL,5,FALSE))),"")</f>
        <v/>
      </c>
      <c r="F551" s="6">
        <f t="shared" si="110"/>
        <v>0</v>
      </c>
      <c r="G551" s="6" t="str">
        <f>IF(F551=1,IFERROR(VLOOKUP(E551,Tab_ErrMessage[],2,0),VLOOKUP(C551&amp;TableCosts[[#This Row],[Calc_N_Typ]],TRAN_STRITEMS_LABEL,4,FALSE)),"")</f>
        <v/>
      </c>
      <c r="H551" s="40"/>
      <c r="I551" s="40"/>
      <c r="J551" s="35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  <c r="AD551" s="24"/>
      <c r="AE551" s="24"/>
      <c r="AF551" s="24"/>
      <c r="AG551" s="24"/>
      <c r="AH551" s="24"/>
      <c r="AI551" s="24"/>
      <c r="AJ551" s="24"/>
      <c r="AK551" s="38">
        <f t="array" ref="AK551">IF(F551=1,SUM((ROW(M0)=ROW(AK551))*(M0+M1_+M2_+M3_+M4_+M5_+M6_+M7_+M8_+M9_+M10_+M11_+M12_+M13_+M14_+M15_+M16_+M17_+M18_+M19_+M20_+M21_+M22_+M23_+M24_+M25_)),0)</f>
        <v>0</v>
      </c>
      <c r="AL551" s="27">
        <f>TableCosts[[#This Row],[N_Direct]]</f>
        <v>0</v>
      </c>
      <c r="AN551" s="7" t="str">
        <f t="shared" si="99"/>
        <v/>
      </c>
      <c r="AO551" s="7" t="str">
        <f t="shared" si="102"/>
        <v/>
      </c>
      <c r="AP551" s="7" t="str">
        <f t="shared" si="100"/>
        <v/>
      </c>
      <c r="AQ551" s="7" t="str">
        <f t="shared" si="103"/>
        <v/>
      </c>
      <c r="AR551" s="7" t="str">
        <f t="shared" si="101"/>
        <v/>
      </c>
      <c r="AS551" s="7">
        <f t="shared" si="104"/>
        <v>0</v>
      </c>
      <c r="AT551" s="17">
        <f>TableCosts[[#This Row],[N_Amount]]*TableCosts[[#This Row],[N_Tariff]]*TableCosts[[#This Row],[N_ItemsCount]]</f>
        <v>0</v>
      </c>
      <c r="AU551" s="17">
        <f>IF(F551=1,IF(TableCosts[[#This Row],[N_Kateg]]="interné práce",TableCosts[[#This Row],[N_Amount]]*8*PAR_SGA_PERHOUR,0),0)</f>
        <v>0</v>
      </c>
      <c r="AV551" s="17">
        <f>SUM(TableCosts[[#This Row],[N_Direct]:[N_SGA]])</f>
        <v>0</v>
      </c>
      <c r="AW551" s="7">
        <f>IF(F551=1,IF(D551="",NA(),VLOOKUP(C551&amp;TableCosts[[#This Row],[Calc_N_Typ]],TRAN_STRITEMS_LABEL,7,0)),0)</f>
        <v>0</v>
      </c>
      <c r="AX551" s="7">
        <f t="shared" si="105"/>
        <v>0</v>
      </c>
      <c r="AY551" s="57" t="str">
        <f t="shared" si="106"/>
        <v/>
      </c>
      <c r="AZ551" s="57" t="str">
        <f t="shared" si="107"/>
        <v/>
      </c>
      <c r="BA551" s="57" t="str">
        <f>IF(F551=1,IF(TableCosts[[#This Row],[TransferFrom]]=TableCosts[[#This Row],[TranferTo]],0,1),"")</f>
        <v/>
      </c>
      <c r="BB551" s="7">
        <f t="shared" si="108"/>
        <v>0</v>
      </c>
      <c r="BC551" s="7">
        <f t="shared" si="109"/>
        <v>0</v>
      </c>
    </row>
    <row r="552" spans="2:55" s="7" customFormat="1" ht="12.75" x14ac:dyDescent="0.2">
      <c r="B552" s="33"/>
      <c r="C552" s="31"/>
      <c r="D552" s="40"/>
      <c r="E552" s="6" t="str">
        <f>IF(F552=1,IF(ISERROR(TableCosts[[#This Row],[N_Tariff]]),Err_Message1,IF(TableCosts[[#This Row],[N_Tariff]]=0,Err_Message2,VLOOKUP(C552&amp;TableCosts[[#This Row],[Calc_N_Typ]],TRAN_STRITEMS_LABEL,5,FALSE))),"")</f>
        <v/>
      </c>
      <c r="F552" s="6">
        <f t="shared" si="110"/>
        <v>0</v>
      </c>
      <c r="G552" s="6" t="str">
        <f>IF(F552=1,IFERROR(VLOOKUP(E552,Tab_ErrMessage[],2,0),VLOOKUP(C552&amp;TableCosts[[#This Row],[Calc_N_Typ]],TRAN_STRITEMS_LABEL,4,FALSE)),"")</f>
        <v/>
      </c>
      <c r="H552" s="40"/>
      <c r="I552" s="40"/>
      <c r="J552" s="35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  <c r="AD552" s="24"/>
      <c r="AE552" s="24"/>
      <c r="AF552" s="24"/>
      <c r="AG552" s="24"/>
      <c r="AH552" s="24"/>
      <c r="AI552" s="24"/>
      <c r="AJ552" s="24"/>
      <c r="AK552" s="38">
        <f t="array" ref="AK552">IF(F552=1,SUM((ROW(M0)=ROW(AK552))*(M0+M1_+M2_+M3_+M4_+M5_+M6_+M7_+M8_+M9_+M10_+M11_+M12_+M13_+M14_+M15_+M16_+M17_+M18_+M19_+M20_+M21_+M22_+M23_+M24_+M25_)),0)</f>
        <v>0</v>
      </c>
      <c r="AL552" s="27">
        <f>TableCosts[[#This Row],[N_Direct]]</f>
        <v>0</v>
      </c>
      <c r="AN552" s="7" t="str">
        <f t="shared" si="99"/>
        <v/>
      </c>
      <c r="AO552" s="7" t="str">
        <f t="shared" si="102"/>
        <v/>
      </c>
      <c r="AP552" s="7" t="str">
        <f t="shared" si="100"/>
        <v/>
      </c>
      <c r="AQ552" s="7" t="str">
        <f t="shared" si="103"/>
        <v/>
      </c>
      <c r="AR552" s="7" t="str">
        <f t="shared" si="101"/>
        <v/>
      </c>
      <c r="AS552" s="7">
        <f t="shared" si="104"/>
        <v>0</v>
      </c>
      <c r="AT552" s="17">
        <f>TableCosts[[#This Row],[N_Amount]]*TableCosts[[#This Row],[N_Tariff]]*TableCosts[[#This Row],[N_ItemsCount]]</f>
        <v>0</v>
      </c>
      <c r="AU552" s="17">
        <f>IF(F552=1,IF(TableCosts[[#This Row],[N_Kateg]]="interné práce",TableCosts[[#This Row],[N_Amount]]*8*PAR_SGA_PERHOUR,0),0)</f>
        <v>0</v>
      </c>
      <c r="AV552" s="17">
        <f>SUM(TableCosts[[#This Row],[N_Direct]:[N_SGA]])</f>
        <v>0</v>
      </c>
      <c r="AW552" s="7">
        <f>IF(F552=1,IF(D552="",NA(),VLOOKUP(C552&amp;TableCosts[[#This Row],[Calc_N_Typ]],TRAN_STRITEMS_LABEL,7,0)),0)</f>
        <v>0</v>
      </c>
      <c r="AX552" s="7">
        <f t="shared" si="105"/>
        <v>0</v>
      </c>
      <c r="AY552" s="57" t="str">
        <f t="shared" si="106"/>
        <v/>
      </c>
      <c r="AZ552" s="57" t="str">
        <f t="shared" si="107"/>
        <v/>
      </c>
      <c r="BA552" s="57" t="str">
        <f>IF(F552=1,IF(TableCosts[[#This Row],[TransferFrom]]=TableCosts[[#This Row],[TranferTo]],0,1),"")</f>
        <v/>
      </c>
      <c r="BB552" s="7">
        <f t="shared" si="108"/>
        <v>0</v>
      </c>
      <c r="BC552" s="7">
        <f t="shared" si="109"/>
        <v>0</v>
      </c>
    </row>
    <row r="553" spans="2:55" s="7" customFormat="1" ht="12.75" x14ac:dyDescent="0.2">
      <c r="B553" s="33"/>
      <c r="C553" s="31"/>
      <c r="D553" s="40"/>
      <c r="E553" s="6" t="str">
        <f>IF(F553=1,IF(ISERROR(TableCosts[[#This Row],[N_Tariff]]),Err_Message1,IF(TableCosts[[#This Row],[N_Tariff]]=0,Err_Message2,VLOOKUP(C553&amp;TableCosts[[#This Row],[Calc_N_Typ]],TRAN_STRITEMS_LABEL,5,FALSE))),"")</f>
        <v/>
      </c>
      <c r="F553" s="6">
        <f t="shared" si="110"/>
        <v>0</v>
      </c>
      <c r="G553" s="6" t="str">
        <f>IF(F553=1,IFERROR(VLOOKUP(E553,Tab_ErrMessage[],2,0),VLOOKUP(C553&amp;TableCosts[[#This Row],[Calc_N_Typ]],TRAN_STRITEMS_LABEL,4,FALSE)),"")</f>
        <v/>
      </c>
      <c r="H553" s="40"/>
      <c r="I553" s="40"/>
      <c r="J553" s="35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  <c r="AD553" s="24"/>
      <c r="AE553" s="24"/>
      <c r="AF553" s="24"/>
      <c r="AG553" s="24"/>
      <c r="AH553" s="24"/>
      <c r="AI553" s="24"/>
      <c r="AJ553" s="24"/>
      <c r="AK553" s="38">
        <f t="array" ref="AK553">IF(F553=1,SUM((ROW(M0)=ROW(AK553))*(M0+M1_+M2_+M3_+M4_+M5_+M6_+M7_+M8_+M9_+M10_+M11_+M12_+M13_+M14_+M15_+M16_+M17_+M18_+M19_+M20_+M21_+M22_+M23_+M24_+M25_)),0)</f>
        <v>0</v>
      </c>
      <c r="AL553" s="27">
        <f>TableCosts[[#This Row],[N_Direct]]</f>
        <v>0</v>
      </c>
      <c r="AN553" s="7" t="str">
        <f t="shared" si="99"/>
        <v/>
      </c>
      <c r="AO553" s="7" t="str">
        <f t="shared" si="102"/>
        <v/>
      </c>
      <c r="AP553" s="7" t="str">
        <f t="shared" si="100"/>
        <v/>
      </c>
      <c r="AQ553" s="7" t="str">
        <f t="shared" si="103"/>
        <v/>
      </c>
      <c r="AR553" s="7" t="str">
        <f t="shared" si="101"/>
        <v/>
      </c>
      <c r="AS553" s="7">
        <f t="shared" si="104"/>
        <v>0</v>
      </c>
      <c r="AT553" s="17">
        <f>TableCosts[[#This Row],[N_Amount]]*TableCosts[[#This Row],[N_Tariff]]*TableCosts[[#This Row],[N_ItemsCount]]</f>
        <v>0</v>
      </c>
      <c r="AU553" s="17">
        <f>IF(F553=1,IF(TableCosts[[#This Row],[N_Kateg]]="interné práce",TableCosts[[#This Row],[N_Amount]]*8*PAR_SGA_PERHOUR,0),0)</f>
        <v>0</v>
      </c>
      <c r="AV553" s="17">
        <f>SUM(TableCosts[[#This Row],[N_Direct]:[N_SGA]])</f>
        <v>0</v>
      </c>
      <c r="AW553" s="7">
        <f>IF(F553=1,IF(D553="",NA(),VLOOKUP(C553&amp;TableCosts[[#This Row],[Calc_N_Typ]],TRAN_STRITEMS_LABEL,7,0)),0)</f>
        <v>0</v>
      </c>
      <c r="AX553" s="7">
        <f t="shared" si="105"/>
        <v>0</v>
      </c>
      <c r="AY553" s="57" t="str">
        <f t="shared" si="106"/>
        <v/>
      </c>
      <c r="AZ553" s="57" t="str">
        <f t="shared" si="107"/>
        <v/>
      </c>
      <c r="BA553" s="57" t="str">
        <f>IF(F553=1,IF(TableCosts[[#This Row],[TransferFrom]]=TableCosts[[#This Row],[TranferTo]],0,1),"")</f>
        <v/>
      </c>
      <c r="BB553" s="7">
        <f t="shared" si="108"/>
        <v>0</v>
      </c>
      <c r="BC553" s="7">
        <f t="shared" si="109"/>
        <v>0</v>
      </c>
    </row>
    <row r="554" spans="2:55" s="7" customFormat="1" ht="12.75" x14ac:dyDescent="0.2">
      <c r="B554" s="33"/>
      <c r="C554" s="31"/>
      <c r="D554" s="40"/>
      <c r="E554" s="6" t="str">
        <f>IF(F554=1,IF(ISERROR(TableCosts[[#This Row],[N_Tariff]]),Err_Message1,IF(TableCosts[[#This Row],[N_Tariff]]=0,Err_Message2,VLOOKUP(C554&amp;TableCosts[[#This Row],[Calc_N_Typ]],TRAN_STRITEMS_LABEL,5,FALSE))),"")</f>
        <v/>
      </c>
      <c r="F554" s="6">
        <f t="shared" si="110"/>
        <v>0</v>
      </c>
      <c r="G554" s="6" t="str">
        <f>IF(F554=1,IFERROR(VLOOKUP(E554,Tab_ErrMessage[],2,0),VLOOKUP(C554&amp;TableCosts[[#This Row],[Calc_N_Typ]],TRAN_STRITEMS_LABEL,4,FALSE)),"")</f>
        <v/>
      </c>
      <c r="H554" s="40"/>
      <c r="I554" s="40"/>
      <c r="J554" s="35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  <c r="AD554" s="24"/>
      <c r="AE554" s="24"/>
      <c r="AF554" s="24"/>
      <c r="AG554" s="24"/>
      <c r="AH554" s="24"/>
      <c r="AI554" s="24"/>
      <c r="AJ554" s="24"/>
      <c r="AK554" s="38">
        <f t="array" ref="AK554">IF(F554=1,SUM((ROW(M0)=ROW(AK554))*(M0+M1_+M2_+M3_+M4_+M5_+M6_+M7_+M8_+M9_+M10_+M11_+M12_+M13_+M14_+M15_+M16_+M17_+M18_+M19_+M20_+M21_+M22_+M23_+M24_+M25_)),0)</f>
        <v>0</v>
      </c>
      <c r="AL554" s="27">
        <f>TableCosts[[#This Row],[N_Direct]]</f>
        <v>0</v>
      </c>
      <c r="AN554" s="7" t="str">
        <f t="shared" si="99"/>
        <v/>
      </c>
      <c r="AO554" s="7" t="str">
        <f t="shared" si="102"/>
        <v/>
      </c>
      <c r="AP554" s="7" t="str">
        <f t="shared" si="100"/>
        <v/>
      </c>
      <c r="AQ554" s="7" t="str">
        <f t="shared" si="103"/>
        <v/>
      </c>
      <c r="AR554" s="7" t="str">
        <f t="shared" si="101"/>
        <v/>
      </c>
      <c r="AS554" s="7">
        <f t="shared" si="104"/>
        <v>0</v>
      </c>
      <c r="AT554" s="17">
        <f>TableCosts[[#This Row],[N_Amount]]*TableCosts[[#This Row],[N_Tariff]]*TableCosts[[#This Row],[N_ItemsCount]]</f>
        <v>0</v>
      </c>
      <c r="AU554" s="17">
        <f>IF(F554=1,IF(TableCosts[[#This Row],[N_Kateg]]="interné práce",TableCosts[[#This Row],[N_Amount]]*8*PAR_SGA_PERHOUR,0),0)</f>
        <v>0</v>
      </c>
      <c r="AV554" s="17">
        <f>SUM(TableCosts[[#This Row],[N_Direct]:[N_SGA]])</f>
        <v>0</v>
      </c>
      <c r="AW554" s="7">
        <f>IF(F554=1,IF(D554="",NA(),VLOOKUP(C554&amp;TableCosts[[#This Row],[Calc_N_Typ]],TRAN_STRITEMS_LABEL,7,0)),0)</f>
        <v>0</v>
      </c>
      <c r="AX554" s="7">
        <f t="shared" si="105"/>
        <v>0</v>
      </c>
      <c r="AY554" s="57" t="str">
        <f t="shared" si="106"/>
        <v/>
      </c>
      <c r="AZ554" s="57" t="str">
        <f t="shared" si="107"/>
        <v/>
      </c>
      <c r="BA554" s="57" t="str">
        <f>IF(F554=1,IF(TableCosts[[#This Row],[TransferFrom]]=TableCosts[[#This Row],[TranferTo]],0,1),"")</f>
        <v/>
      </c>
      <c r="BB554" s="7">
        <f t="shared" si="108"/>
        <v>0</v>
      </c>
      <c r="BC554" s="7">
        <f t="shared" si="109"/>
        <v>0</v>
      </c>
    </row>
    <row r="555" spans="2:55" s="7" customFormat="1" ht="12.75" x14ac:dyDescent="0.2">
      <c r="B555" s="33"/>
      <c r="C555" s="31"/>
      <c r="D555" s="40"/>
      <c r="E555" s="6" t="str">
        <f>IF(F555=1,IF(ISERROR(TableCosts[[#This Row],[N_Tariff]]),Err_Message1,IF(TableCosts[[#This Row],[N_Tariff]]=0,Err_Message2,VLOOKUP(C555&amp;TableCosts[[#This Row],[Calc_N_Typ]],TRAN_STRITEMS_LABEL,5,FALSE))),"")</f>
        <v/>
      </c>
      <c r="F555" s="6">
        <f t="shared" si="110"/>
        <v>0</v>
      </c>
      <c r="G555" s="6" t="str">
        <f>IF(F555=1,IFERROR(VLOOKUP(E555,Tab_ErrMessage[],2,0),VLOOKUP(C555&amp;TableCosts[[#This Row],[Calc_N_Typ]],TRAN_STRITEMS_LABEL,4,FALSE)),"")</f>
        <v/>
      </c>
      <c r="H555" s="40"/>
      <c r="I555" s="40"/>
      <c r="J555" s="35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  <c r="AD555" s="24"/>
      <c r="AE555" s="24"/>
      <c r="AF555" s="24"/>
      <c r="AG555" s="24"/>
      <c r="AH555" s="24"/>
      <c r="AI555" s="24"/>
      <c r="AJ555" s="24"/>
      <c r="AK555" s="38">
        <f t="array" ref="AK555">IF(F555=1,SUM((ROW(M0)=ROW(AK555))*(M0+M1_+M2_+M3_+M4_+M5_+M6_+M7_+M8_+M9_+M10_+M11_+M12_+M13_+M14_+M15_+M16_+M17_+M18_+M19_+M20_+M21_+M22_+M23_+M24_+M25_)),0)</f>
        <v>0</v>
      </c>
      <c r="AL555" s="27">
        <f>TableCosts[[#This Row],[N_Direct]]</f>
        <v>0</v>
      </c>
      <c r="AN555" s="7" t="str">
        <f t="shared" si="99"/>
        <v/>
      </c>
      <c r="AO555" s="7" t="str">
        <f t="shared" si="102"/>
        <v/>
      </c>
      <c r="AP555" s="7" t="str">
        <f t="shared" si="100"/>
        <v/>
      </c>
      <c r="AQ555" s="7" t="str">
        <f t="shared" si="103"/>
        <v/>
      </c>
      <c r="AR555" s="7" t="str">
        <f t="shared" si="101"/>
        <v/>
      </c>
      <c r="AS555" s="7">
        <f t="shared" si="104"/>
        <v>0</v>
      </c>
      <c r="AT555" s="17">
        <f>TableCosts[[#This Row],[N_Amount]]*TableCosts[[#This Row],[N_Tariff]]*TableCosts[[#This Row],[N_ItemsCount]]</f>
        <v>0</v>
      </c>
      <c r="AU555" s="17">
        <f>IF(F555=1,IF(TableCosts[[#This Row],[N_Kateg]]="interné práce",TableCosts[[#This Row],[N_Amount]]*8*PAR_SGA_PERHOUR,0),0)</f>
        <v>0</v>
      </c>
      <c r="AV555" s="17">
        <f>SUM(TableCosts[[#This Row],[N_Direct]:[N_SGA]])</f>
        <v>0</v>
      </c>
      <c r="AW555" s="7">
        <f>IF(F555=1,IF(D555="",NA(),VLOOKUP(C555&amp;TableCosts[[#This Row],[Calc_N_Typ]],TRAN_STRITEMS_LABEL,7,0)),0)</f>
        <v>0</v>
      </c>
      <c r="AX555" s="7">
        <f t="shared" si="105"/>
        <v>0</v>
      </c>
      <c r="AY555" s="57" t="str">
        <f t="shared" si="106"/>
        <v/>
      </c>
      <c r="AZ555" s="57" t="str">
        <f t="shared" si="107"/>
        <v/>
      </c>
      <c r="BA555" s="57" t="str">
        <f>IF(F555=1,IF(TableCosts[[#This Row],[TransferFrom]]=TableCosts[[#This Row],[TranferTo]],0,1),"")</f>
        <v/>
      </c>
      <c r="BB555" s="7">
        <f t="shared" si="108"/>
        <v>0</v>
      </c>
      <c r="BC555" s="7">
        <f t="shared" si="109"/>
        <v>0</v>
      </c>
    </row>
    <row r="556" spans="2:55" s="7" customFormat="1" ht="12.75" x14ac:dyDescent="0.2">
      <c r="B556" s="33"/>
      <c r="C556" s="31"/>
      <c r="D556" s="40"/>
      <c r="E556" s="6" t="str">
        <f>IF(F556=1,IF(ISERROR(TableCosts[[#This Row],[N_Tariff]]),Err_Message1,IF(TableCosts[[#This Row],[N_Tariff]]=0,Err_Message2,VLOOKUP(C556&amp;TableCosts[[#This Row],[Calc_N_Typ]],TRAN_STRITEMS_LABEL,5,FALSE))),"")</f>
        <v/>
      </c>
      <c r="F556" s="6">
        <f t="shared" si="110"/>
        <v>0</v>
      </c>
      <c r="G556" s="6" t="str">
        <f>IF(F556=1,IFERROR(VLOOKUP(E556,Tab_ErrMessage[],2,0),VLOOKUP(C556&amp;TableCosts[[#This Row],[Calc_N_Typ]],TRAN_STRITEMS_LABEL,4,FALSE)),"")</f>
        <v/>
      </c>
      <c r="H556" s="40"/>
      <c r="I556" s="40"/>
      <c r="J556" s="35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  <c r="AD556" s="24"/>
      <c r="AE556" s="24"/>
      <c r="AF556" s="24"/>
      <c r="AG556" s="24"/>
      <c r="AH556" s="24"/>
      <c r="AI556" s="24"/>
      <c r="AJ556" s="24"/>
      <c r="AK556" s="38">
        <f t="array" ref="AK556">IF(F556=1,SUM((ROW(M0)=ROW(AK556))*(M0+M1_+M2_+M3_+M4_+M5_+M6_+M7_+M8_+M9_+M10_+M11_+M12_+M13_+M14_+M15_+M16_+M17_+M18_+M19_+M20_+M21_+M22_+M23_+M24_+M25_)),0)</f>
        <v>0</v>
      </c>
      <c r="AL556" s="27">
        <f>TableCosts[[#This Row],[N_Direct]]</f>
        <v>0</v>
      </c>
      <c r="AN556" s="7" t="str">
        <f t="shared" si="99"/>
        <v/>
      </c>
      <c r="AO556" s="7" t="str">
        <f t="shared" si="102"/>
        <v/>
      </c>
      <c r="AP556" s="7" t="str">
        <f t="shared" si="100"/>
        <v/>
      </c>
      <c r="AQ556" s="7" t="str">
        <f t="shared" si="103"/>
        <v/>
      </c>
      <c r="AR556" s="7" t="str">
        <f t="shared" si="101"/>
        <v/>
      </c>
      <c r="AS556" s="7">
        <f t="shared" si="104"/>
        <v>0</v>
      </c>
      <c r="AT556" s="17">
        <f>TableCosts[[#This Row],[N_Amount]]*TableCosts[[#This Row],[N_Tariff]]*TableCosts[[#This Row],[N_ItemsCount]]</f>
        <v>0</v>
      </c>
      <c r="AU556" s="17">
        <f>IF(F556=1,IF(TableCosts[[#This Row],[N_Kateg]]="interné práce",TableCosts[[#This Row],[N_Amount]]*8*PAR_SGA_PERHOUR,0),0)</f>
        <v>0</v>
      </c>
      <c r="AV556" s="17">
        <f>SUM(TableCosts[[#This Row],[N_Direct]:[N_SGA]])</f>
        <v>0</v>
      </c>
      <c r="AW556" s="7">
        <f>IF(F556=1,IF(D556="",NA(),VLOOKUP(C556&amp;TableCosts[[#This Row],[Calc_N_Typ]],TRAN_STRITEMS_LABEL,7,0)),0)</f>
        <v>0</v>
      </c>
      <c r="AX556" s="7">
        <f t="shared" si="105"/>
        <v>0</v>
      </c>
      <c r="AY556" s="57" t="str">
        <f t="shared" si="106"/>
        <v/>
      </c>
      <c r="AZ556" s="57" t="str">
        <f t="shared" si="107"/>
        <v/>
      </c>
      <c r="BA556" s="57" t="str">
        <f>IF(F556=1,IF(TableCosts[[#This Row],[TransferFrom]]=TableCosts[[#This Row],[TranferTo]],0,1),"")</f>
        <v/>
      </c>
      <c r="BB556" s="7">
        <f t="shared" si="108"/>
        <v>0</v>
      </c>
      <c r="BC556" s="7">
        <f t="shared" si="109"/>
        <v>0</v>
      </c>
    </row>
    <row r="557" spans="2:55" s="7" customFormat="1" ht="12.75" x14ac:dyDescent="0.2">
      <c r="B557" s="33"/>
      <c r="C557" s="31"/>
      <c r="D557" s="40"/>
      <c r="E557" s="6" t="str">
        <f>IF(F557=1,IF(ISERROR(TableCosts[[#This Row],[N_Tariff]]),Err_Message1,IF(TableCosts[[#This Row],[N_Tariff]]=0,Err_Message2,VLOOKUP(C557&amp;TableCosts[[#This Row],[Calc_N_Typ]],TRAN_STRITEMS_LABEL,5,FALSE))),"")</f>
        <v/>
      </c>
      <c r="F557" s="6">
        <f t="shared" si="110"/>
        <v>0</v>
      </c>
      <c r="G557" s="6" t="str">
        <f>IF(F557=1,IFERROR(VLOOKUP(E557,Tab_ErrMessage[],2,0),VLOOKUP(C557&amp;TableCosts[[#This Row],[Calc_N_Typ]],TRAN_STRITEMS_LABEL,4,FALSE)),"")</f>
        <v/>
      </c>
      <c r="H557" s="40"/>
      <c r="I557" s="40"/>
      <c r="J557" s="35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  <c r="AD557" s="24"/>
      <c r="AE557" s="24"/>
      <c r="AF557" s="24"/>
      <c r="AG557" s="24"/>
      <c r="AH557" s="24"/>
      <c r="AI557" s="24"/>
      <c r="AJ557" s="24"/>
      <c r="AK557" s="38">
        <f t="array" ref="AK557">IF(F557=1,SUM((ROW(M0)=ROW(AK557))*(M0+M1_+M2_+M3_+M4_+M5_+M6_+M7_+M8_+M9_+M10_+M11_+M12_+M13_+M14_+M15_+M16_+M17_+M18_+M19_+M20_+M21_+M22_+M23_+M24_+M25_)),0)</f>
        <v>0</v>
      </c>
      <c r="AL557" s="27">
        <f>TableCosts[[#This Row],[N_Direct]]</f>
        <v>0</v>
      </c>
      <c r="AN557" s="7" t="str">
        <f t="shared" si="99"/>
        <v/>
      </c>
      <c r="AO557" s="7" t="str">
        <f t="shared" si="102"/>
        <v/>
      </c>
      <c r="AP557" s="7" t="str">
        <f t="shared" si="100"/>
        <v/>
      </c>
      <c r="AQ557" s="7" t="str">
        <f t="shared" si="103"/>
        <v/>
      </c>
      <c r="AR557" s="7" t="str">
        <f t="shared" si="101"/>
        <v/>
      </c>
      <c r="AS557" s="7">
        <f t="shared" si="104"/>
        <v>0</v>
      </c>
      <c r="AT557" s="17">
        <f>TableCosts[[#This Row],[N_Amount]]*TableCosts[[#This Row],[N_Tariff]]*TableCosts[[#This Row],[N_ItemsCount]]</f>
        <v>0</v>
      </c>
      <c r="AU557" s="17">
        <f>IF(F557=1,IF(TableCosts[[#This Row],[N_Kateg]]="interné práce",TableCosts[[#This Row],[N_Amount]]*8*PAR_SGA_PERHOUR,0),0)</f>
        <v>0</v>
      </c>
      <c r="AV557" s="17">
        <f>SUM(TableCosts[[#This Row],[N_Direct]:[N_SGA]])</f>
        <v>0</v>
      </c>
      <c r="AW557" s="7">
        <f>IF(F557=1,IF(D557="",NA(),VLOOKUP(C557&amp;TableCosts[[#This Row],[Calc_N_Typ]],TRAN_STRITEMS_LABEL,7,0)),0)</f>
        <v>0</v>
      </c>
      <c r="AX557" s="7">
        <f t="shared" si="105"/>
        <v>0</v>
      </c>
      <c r="AY557" s="57" t="str">
        <f t="shared" si="106"/>
        <v/>
      </c>
      <c r="AZ557" s="57" t="str">
        <f t="shared" si="107"/>
        <v/>
      </c>
      <c r="BA557" s="57" t="str">
        <f>IF(F557=1,IF(TableCosts[[#This Row],[TransferFrom]]=TableCosts[[#This Row],[TranferTo]],0,1),"")</f>
        <v/>
      </c>
      <c r="BB557" s="7">
        <f t="shared" si="108"/>
        <v>0</v>
      </c>
      <c r="BC557" s="7">
        <f t="shared" si="109"/>
        <v>0</v>
      </c>
    </row>
    <row r="558" spans="2:55" s="7" customFormat="1" ht="12.75" x14ac:dyDescent="0.2">
      <c r="B558" s="33"/>
      <c r="C558" s="31"/>
      <c r="D558" s="40"/>
      <c r="E558" s="6" t="str">
        <f>IF(F558=1,IF(ISERROR(TableCosts[[#This Row],[N_Tariff]]),Err_Message1,IF(TableCosts[[#This Row],[N_Tariff]]=0,Err_Message2,VLOOKUP(C558&amp;TableCosts[[#This Row],[Calc_N_Typ]],TRAN_STRITEMS_LABEL,5,FALSE))),"")</f>
        <v/>
      </c>
      <c r="F558" s="6">
        <f t="shared" si="110"/>
        <v>0</v>
      </c>
      <c r="G558" s="6" t="str">
        <f>IF(F558=1,IFERROR(VLOOKUP(E558,Tab_ErrMessage[],2,0),VLOOKUP(C558&amp;TableCosts[[#This Row],[Calc_N_Typ]],TRAN_STRITEMS_LABEL,4,FALSE)),"")</f>
        <v/>
      </c>
      <c r="H558" s="40"/>
      <c r="I558" s="40"/>
      <c r="J558" s="35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  <c r="AD558" s="24"/>
      <c r="AE558" s="24"/>
      <c r="AF558" s="24"/>
      <c r="AG558" s="24"/>
      <c r="AH558" s="24"/>
      <c r="AI558" s="24"/>
      <c r="AJ558" s="24"/>
      <c r="AK558" s="38">
        <f t="array" ref="AK558">IF(F558=1,SUM((ROW(M0)=ROW(AK558))*(M0+M1_+M2_+M3_+M4_+M5_+M6_+M7_+M8_+M9_+M10_+M11_+M12_+M13_+M14_+M15_+M16_+M17_+M18_+M19_+M20_+M21_+M22_+M23_+M24_+M25_)),0)</f>
        <v>0</v>
      </c>
      <c r="AL558" s="27">
        <f>TableCosts[[#This Row],[N_Direct]]</f>
        <v>0</v>
      </c>
      <c r="AN558" s="7" t="str">
        <f t="shared" si="99"/>
        <v/>
      </c>
      <c r="AO558" s="7" t="str">
        <f t="shared" si="102"/>
        <v/>
      </c>
      <c r="AP558" s="7" t="str">
        <f t="shared" si="100"/>
        <v/>
      </c>
      <c r="AQ558" s="7" t="str">
        <f t="shared" si="103"/>
        <v/>
      </c>
      <c r="AR558" s="7" t="str">
        <f t="shared" si="101"/>
        <v/>
      </c>
      <c r="AS558" s="7">
        <f t="shared" si="104"/>
        <v>0</v>
      </c>
      <c r="AT558" s="17">
        <f>TableCosts[[#This Row],[N_Amount]]*TableCosts[[#This Row],[N_Tariff]]*TableCosts[[#This Row],[N_ItemsCount]]</f>
        <v>0</v>
      </c>
      <c r="AU558" s="17">
        <f>IF(F558=1,IF(TableCosts[[#This Row],[N_Kateg]]="interné práce",TableCosts[[#This Row],[N_Amount]]*8*PAR_SGA_PERHOUR,0),0)</f>
        <v>0</v>
      </c>
      <c r="AV558" s="17">
        <f>SUM(TableCosts[[#This Row],[N_Direct]:[N_SGA]])</f>
        <v>0</v>
      </c>
      <c r="AW558" s="7">
        <f>IF(F558=1,IF(D558="",NA(),VLOOKUP(C558&amp;TableCosts[[#This Row],[Calc_N_Typ]],TRAN_STRITEMS_LABEL,7,0)),0)</f>
        <v>0</v>
      </c>
      <c r="AX558" s="7">
        <f t="shared" si="105"/>
        <v>0</v>
      </c>
      <c r="AY558" s="57" t="str">
        <f t="shared" si="106"/>
        <v/>
      </c>
      <c r="AZ558" s="57" t="str">
        <f t="shared" si="107"/>
        <v/>
      </c>
      <c r="BA558" s="57" t="str">
        <f>IF(F558=1,IF(TableCosts[[#This Row],[TransferFrom]]=TableCosts[[#This Row],[TranferTo]],0,1),"")</f>
        <v/>
      </c>
      <c r="BB558" s="7">
        <f t="shared" si="108"/>
        <v>0</v>
      </c>
      <c r="BC558" s="7">
        <f t="shared" si="109"/>
        <v>0</v>
      </c>
    </row>
    <row r="559" spans="2:55" s="7" customFormat="1" ht="12.75" x14ac:dyDescent="0.2">
      <c r="B559" s="33"/>
      <c r="C559" s="31"/>
      <c r="D559" s="40"/>
      <c r="E559" s="6" t="str">
        <f>IF(F559=1,IF(ISERROR(TableCosts[[#This Row],[N_Tariff]]),Err_Message1,IF(TableCosts[[#This Row],[N_Tariff]]=0,Err_Message2,VLOOKUP(C559&amp;TableCosts[[#This Row],[Calc_N_Typ]],TRAN_STRITEMS_LABEL,5,FALSE))),"")</f>
        <v/>
      </c>
      <c r="F559" s="6">
        <f t="shared" si="110"/>
        <v>0</v>
      </c>
      <c r="G559" s="6" t="str">
        <f>IF(F559=1,IFERROR(VLOOKUP(E559,Tab_ErrMessage[],2,0),VLOOKUP(C559&amp;TableCosts[[#This Row],[Calc_N_Typ]],TRAN_STRITEMS_LABEL,4,FALSE)),"")</f>
        <v/>
      </c>
      <c r="H559" s="40"/>
      <c r="I559" s="40"/>
      <c r="J559" s="35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  <c r="AD559" s="24"/>
      <c r="AE559" s="24"/>
      <c r="AF559" s="24"/>
      <c r="AG559" s="24"/>
      <c r="AH559" s="24"/>
      <c r="AI559" s="24"/>
      <c r="AJ559" s="24"/>
      <c r="AK559" s="38">
        <f t="array" ref="AK559">IF(F559=1,SUM((ROW(M0)=ROW(AK559))*(M0+M1_+M2_+M3_+M4_+M5_+M6_+M7_+M8_+M9_+M10_+M11_+M12_+M13_+M14_+M15_+M16_+M17_+M18_+M19_+M20_+M21_+M22_+M23_+M24_+M25_)),0)</f>
        <v>0</v>
      </c>
      <c r="AL559" s="27">
        <f>TableCosts[[#This Row],[N_Direct]]</f>
        <v>0</v>
      </c>
      <c r="AN559" s="7" t="str">
        <f t="shared" si="99"/>
        <v/>
      </c>
      <c r="AO559" s="7" t="str">
        <f t="shared" si="102"/>
        <v/>
      </c>
      <c r="AP559" s="7" t="str">
        <f t="shared" si="100"/>
        <v/>
      </c>
      <c r="AQ559" s="7" t="str">
        <f t="shared" si="103"/>
        <v/>
      </c>
      <c r="AR559" s="7" t="str">
        <f t="shared" si="101"/>
        <v/>
      </c>
      <c r="AS559" s="7">
        <f t="shared" si="104"/>
        <v>0</v>
      </c>
      <c r="AT559" s="17">
        <f>TableCosts[[#This Row],[N_Amount]]*TableCosts[[#This Row],[N_Tariff]]*TableCosts[[#This Row],[N_ItemsCount]]</f>
        <v>0</v>
      </c>
      <c r="AU559" s="17">
        <f>IF(F559=1,IF(TableCosts[[#This Row],[N_Kateg]]="interné práce",TableCosts[[#This Row],[N_Amount]]*8*PAR_SGA_PERHOUR,0),0)</f>
        <v>0</v>
      </c>
      <c r="AV559" s="17">
        <f>SUM(TableCosts[[#This Row],[N_Direct]:[N_SGA]])</f>
        <v>0</v>
      </c>
      <c r="AW559" s="7">
        <f>IF(F559=1,IF(D559="",NA(),VLOOKUP(C559&amp;TableCosts[[#This Row],[Calc_N_Typ]],TRAN_STRITEMS_LABEL,7,0)),0)</f>
        <v>0</v>
      </c>
      <c r="AX559" s="7">
        <f t="shared" si="105"/>
        <v>0</v>
      </c>
      <c r="AY559" s="57" t="str">
        <f t="shared" si="106"/>
        <v/>
      </c>
      <c r="AZ559" s="57" t="str">
        <f t="shared" si="107"/>
        <v/>
      </c>
      <c r="BA559" s="57" t="str">
        <f>IF(F559=1,IF(TableCosts[[#This Row],[TransferFrom]]=TableCosts[[#This Row],[TranferTo]],0,1),"")</f>
        <v/>
      </c>
      <c r="BB559" s="7">
        <f t="shared" si="108"/>
        <v>0</v>
      </c>
      <c r="BC559" s="7">
        <f t="shared" si="109"/>
        <v>0</v>
      </c>
    </row>
    <row r="560" spans="2:55" s="7" customFormat="1" ht="12.75" x14ac:dyDescent="0.2">
      <c r="B560" s="33"/>
      <c r="C560" s="31"/>
      <c r="D560" s="40"/>
      <c r="E560" s="6" t="str">
        <f>IF(F560=1,IF(ISERROR(TableCosts[[#This Row],[N_Tariff]]),Err_Message1,IF(TableCosts[[#This Row],[N_Tariff]]=0,Err_Message2,VLOOKUP(C560&amp;TableCosts[[#This Row],[Calc_N_Typ]],TRAN_STRITEMS_LABEL,5,FALSE))),"")</f>
        <v/>
      </c>
      <c r="F560" s="6">
        <f t="shared" si="110"/>
        <v>0</v>
      </c>
      <c r="G560" s="6" t="str">
        <f>IF(F560=1,IFERROR(VLOOKUP(E560,Tab_ErrMessage[],2,0),VLOOKUP(C560&amp;TableCosts[[#This Row],[Calc_N_Typ]],TRAN_STRITEMS_LABEL,4,FALSE)),"")</f>
        <v/>
      </c>
      <c r="H560" s="40"/>
      <c r="I560" s="40"/>
      <c r="J560" s="35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  <c r="AD560" s="24"/>
      <c r="AE560" s="24"/>
      <c r="AF560" s="24"/>
      <c r="AG560" s="24"/>
      <c r="AH560" s="24"/>
      <c r="AI560" s="24"/>
      <c r="AJ560" s="24"/>
      <c r="AK560" s="38">
        <f t="array" ref="AK560">IF(F560=1,SUM((ROW(M0)=ROW(AK560))*(M0+M1_+M2_+M3_+M4_+M5_+M6_+M7_+M8_+M9_+M10_+M11_+M12_+M13_+M14_+M15_+M16_+M17_+M18_+M19_+M20_+M21_+M22_+M23_+M24_+M25_)),0)</f>
        <v>0</v>
      </c>
      <c r="AL560" s="27">
        <f>TableCosts[[#This Row],[N_Direct]]</f>
        <v>0</v>
      </c>
      <c r="AN560" s="7" t="str">
        <f t="shared" si="99"/>
        <v/>
      </c>
      <c r="AO560" s="7" t="str">
        <f t="shared" si="102"/>
        <v/>
      </c>
      <c r="AP560" s="7" t="str">
        <f t="shared" si="100"/>
        <v/>
      </c>
      <c r="AQ560" s="7" t="str">
        <f t="shared" si="103"/>
        <v/>
      </c>
      <c r="AR560" s="7" t="str">
        <f t="shared" si="101"/>
        <v/>
      </c>
      <c r="AS560" s="7">
        <f t="shared" si="104"/>
        <v>0</v>
      </c>
      <c r="AT560" s="17">
        <f>TableCosts[[#This Row],[N_Amount]]*TableCosts[[#This Row],[N_Tariff]]*TableCosts[[#This Row],[N_ItemsCount]]</f>
        <v>0</v>
      </c>
      <c r="AU560" s="17">
        <f>IF(F560=1,IF(TableCosts[[#This Row],[N_Kateg]]="interné práce",TableCosts[[#This Row],[N_Amount]]*8*PAR_SGA_PERHOUR,0),0)</f>
        <v>0</v>
      </c>
      <c r="AV560" s="17">
        <f>SUM(TableCosts[[#This Row],[N_Direct]:[N_SGA]])</f>
        <v>0</v>
      </c>
      <c r="AW560" s="7">
        <f>IF(F560=1,IF(D560="",NA(),VLOOKUP(C560&amp;TableCosts[[#This Row],[Calc_N_Typ]],TRAN_STRITEMS_LABEL,7,0)),0)</f>
        <v>0</v>
      </c>
      <c r="AX560" s="7">
        <f t="shared" si="105"/>
        <v>0</v>
      </c>
      <c r="AY560" s="57" t="str">
        <f t="shared" si="106"/>
        <v/>
      </c>
      <c r="AZ560" s="57" t="str">
        <f t="shared" si="107"/>
        <v/>
      </c>
      <c r="BA560" s="57" t="str">
        <f>IF(F560=1,IF(TableCosts[[#This Row],[TransferFrom]]=TableCosts[[#This Row],[TranferTo]],0,1),"")</f>
        <v/>
      </c>
      <c r="BB560" s="7">
        <f t="shared" si="108"/>
        <v>0</v>
      </c>
      <c r="BC560" s="7">
        <f t="shared" si="109"/>
        <v>0</v>
      </c>
    </row>
    <row r="561" spans="2:55" s="7" customFormat="1" ht="12.75" x14ac:dyDescent="0.2">
      <c r="B561" s="33"/>
      <c r="C561" s="31"/>
      <c r="D561" s="40"/>
      <c r="E561" s="6" t="str">
        <f>IF(F561=1,IF(ISERROR(TableCosts[[#This Row],[N_Tariff]]),Err_Message1,IF(TableCosts[[#This Row],[N_Tariff]]=0,Err_Message2,VLOOKUP(C561&amp;TableCosts[[#This Row],[Calc_N_Typ]],TRAN_STRITEMS_LABEL,5,FALSE))),"")</f>
        <v/>
      </c>
      <c r="F561" s="6">
        <f t="shared" si="110"/>
        <v>0</v>
      </c>
      <c r="G561" s="6" t="str">
        <f>IF(F561=1,IFERROR(VLOOKUP(E561,Tab_ErrMessage[],2,0),VLOOKUP(C561&amp;TableCosts[[#This Row],[Calc_N_Typ]],TRAN_STRITEMS_LABEL,4,FALSE)),"")</f>
        <v/>
      </c>
      <c r="H561" s="40"/>
      <c r="I561" s="40"/>
      <c r="J561" s="35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  <c r="AD561" s="24"/>
      <c r="AE561" s="24"/>
      <c r="AF561" s="24"/>
      <c r="AG561" s="24"/>
      <c r="AH561" s="24"/>
      <c r="AI561" s="24"/>
      <c r="AJ561" s="24"/>
      <c r="AK561" s="38">
        <f t="array" ref="AK561">IF(F561=1,SUM((ROW(M0)=ROW(AK561))*(M0+M1_+M2_+M3_+M4_+M5_+M6_+M7_+M8_+M9_+M10_+M11_+M12_+M13_+M14_+M15_+M16_+M17_+M18_+M19_+M20_+M21_+M22_+M23_+M24_+M25_)),0)</f>
        <v>0</v>
      </c>
      <c r="AL561" s="27">
        <f>TableCosts[[#This Row],[N_Direct]]</f>
        <v>0</v>
      </c>
      <c r="AN561" s="7" t="str">
        <f t="shared" si="99"/>
        <v/>
      </c>
      <c r="AO561" s="7" t="str">
        <f t="shared" si="102"/>
        <v/>
      </c>
      <c r="AP561" s="7" t="str">
        <f t="shared" si="100"/>
        <v/>
      </c>
      <c r="AQ561" s="7" t="str">
        <f t="shared" si="103"/>
        <v/>
      </c>
      <c r="AR561" s="7" t="str">
        <f t="shared" si="101"/>
        <v/>
      </c>
      <c r="AS561" s="7">
        <f t="shared" si="104"/>
        <v>0</v>
      </c>
      <c r="AT561" s="17">
        <f>TableCosts[[#This Row],[N_Amount]]*TableCosts[[#This Row],[N_Tariff]]*TableCosts[[#This Row],[N_ItemsCount]]</f>
        <v>0</v>
      </c>
      <c r="AU561" s="17">
        <f>IF(F561=1,IF(TableCosts[[#This Row],[N_Kateg]]="interné práce",TableCosts[[#This Row],[N_Amount]]*8*PAR_SGA_PERHOUR,0),0)</f>
        <v>0</v>
      </c>
      <c r="AV561" s="17">
        <f>SUM(TableCosts[[#This Row],[N_Direct]:[N_SGA]])</f>
        <v>0</v>
      </c>
      <c r="AW561" s="7">
        <f>IF(F561=1,IF(D561="",NA(),VLOOKUP(C561&amp;TableCosts[[#This Row],[Calc_N_Typ]],TRAN_STRITEMS_LABEL,7,0)),0)</f>
        <v>0</v>
      </c>
      <c r="AX561" s="7">
        <f t="shared" si="105"/>
        <v>0</v>
      </c>
      <c r="AY561" s="57" t="str">
        <f t="shared" si="106"/>
        <v/>
      </c>
      <c r="AZ561" s="57" t="str">
        <f t="shared" si="107"/>
        <v/>
      </c>
      <c r="BA561" s="57" t="str">
        <f>IF(F561=1,IF(TableCosts[[#This Row],[TransferFrom]]=TableCosts[[#This Row],[TranferTo]],0,1),"")</f>
        <v/>
      </c>
      <c r="BB561" s="7">
        <f t="shared" si="108"/>
        <v>0</v>
      </c>
      <c r="BC561" s="7">
        <f t="shared" si="109"/>
        <v>0</v>
      </c>
    </row>
    <row r="562" spans="2:55" s="7" customFormat="1" ht="12.75" x14ac:dyDescent="0.2">
      <c r="B562" s="33"/>
      <c r="C562" s="31"/>
      <c r="D562" s="40"/>
      <c r="E562" s="6" t="str">
        <f>IF(F562=1,IF(ISERROR(TableCosts[[#This Row],[N_Tariff]]),Err_Message1,IF(TableCosts[[#This Row],[N_Tariff]]=0,Err_Message2,VLOOKUP(C562&amp;TableCosts[[#This Row],[Calc_N_Typ]],TRAN_STRITEMS_LABEL,5,FALSE))),"")</f>
        <v/>
      </c>
      <c r="F562" s="6">
        <f t="shared" si="110"/>
        <v>0</v>
      </c>
      <c r="G562" s="6" t="str">
        <f>IF(F562=1,IFERROR(VLOOKUP(E562,Tab_ErrMessage[],2,0),VLOOKUP(C562&amp;TableCosts[[#This Row],[Calc_N_Typ]],TRAN_STRITEMS_LABEL,4,FALSE)),"")</f>
        <v/>
      </c>
      <c r="H562" s="40"/>
      <c r="I562" s="40"/>
      <c r="J562" s="35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  <c r="AD562" s="24"/>
      <c r="AE562" s="24"/>
      <c r="AF562" s="24"/>
      <c r="AG562" s="24"/>
      <c r="AH562" s="24"/>
      <c r="AI562" s="24"/>
      <c r="AJ562" s="24"/>
      <c r="AK562" s="38">
        <f t="array" ref="AK562">IF(F562=1,SUM((ROW(M0)=ROW(AK562))*(M0+M1_+M2_+M3_+M4_+M5_+M6_+M7_+M8_+M9_+M10_+M11_+M12_+M13_+M14_+M15_+M16_+M17_+M18_+M19_+M20_+M21_+M22_+M23_+M24_+M25_)),0)</f>
        <v>0</v>
      </c>
      <c r="AL562" s="27">
        <f>TableCosts[[#This Row],[N_Direct]]</f>
        <v>0</v>
      </c>
      <c r="AN562" s="7" t="str">
        <f t="shared" si="99"/>
        <v/>
      </c>
      <c r="AO562" s="7" t="str">
        <f t="shared" si="102"/>
        <v/>
      </c>
      <c r="AP562" s="7" t="str">
        <f t="shared" si="100"/>
        <v/>
      </c>
      <c r="AQ562" s="7" t="str">
        <f t="shared" si="103"/>
        <v/>
      </c>
      <c r="AR562" s="7" t="str">
        <f t="shared" si="101"/>
        <v/>
      </c>
      <c r="AS562" s="7">
        <f t="shared" si="104"/>
        <v>0</v>
      </c>
      <c r="AT562" s="17">
        <f>TableCosts[[#This Row],[N_Amount]]*TableCosts[[#This Row],[N_Tariff]]*TableCosts[[#This Row],[N_ItemsCount]]</f>
        <v>0</v>
      </c>
      <c r="AU562" s="17">
        <f>IF(F562=1,IF(TableCosts[[#This Row],[N_Kateg]]="interné práce",TableCosts[[#This Row],[N_Amount]]*8*PAR_SGA_PERHOUR,0),0)</f>
        <v>0</v>
      </c>
      <c r="AV562" s="17">
        <f>SUM(TableCosts[[#This Row],[N_Direct]:[N_SGA]])</f>
        <v>0</v>
      </c>
      <c r="AW562" s="7">
        <f>IF(F562=1,IF(D562="",NA(),VLOOKUP(C562&amp;TableCosts[[#This Row],[Calc_N_Typ]],TRAN_STRITEMS_LABEL,7,0)),0)</f>
        <v>0</v>
      </c>
      <c r="AX562" s="7">
        <f t="shared" si="105"/>
        <v>0</v>
      </c>
      <c r="AY562" s="57" t="str">
        <f t="shared" si="106"/>
        <v/>
      </c>
      <c r="AZ562" s="57" t="str">
        <f t="shared" si="107"/>
        <v/>
      </c>
      <c r="BA562" s="57" t="str">
        <f>IF(F562=1,IF(TableCosts[[#This Row],[TransferFrom]]=TableCosts[[#This Row],[TranferTo]],0,1),"")</f>
        <v/>
      </c>
      <c r="BB562" s="7">
        <f t="shared" si="108"/>
        <v>0</v>
      </c>
      <c r="BC562" s="7">
        <f t="shared" si="109"/>
        <v>0</v>
      </c>
    </row>
    <row r="563" spans="2:55" s="7" customFormat="1" ht="12.75" x14ac:dyDescent="0.2">
      <c r="B563" s="33"/>
      <c r="C563" s="31"/>
      <c r="D563" s="40"/>
      <c r="E563" s="6" t="str">
        <f>IF(F563=1,IF(ISERROR(TableCosts[[#This Row],[N_Tariff]]),Err_Message1,IF(TableCosts[[#This Row],[N_Tariff]]=0,Err_Message2,VLOOKUP(C563&amp;TableCosts[[#This Row],[Calc_N_Typ]],TRAN_STRITEMS_LABEL,5,FALSE))),"")</f>
        <v/>
      </c>
      <c r="F563" s="6">
        <f t="shared" si="110"/>
        <v>0</v>
      </c>
      <c r="G563" s="6" t="str">
        <f>IF(F563=1,IFERROR(VLOOKUP(E563,Tab_ErrMessage[],2,0),VLOOKUP(C563&amp;TableCosts[[#This Row],[Calc_N_Typ]],TRAN_STRITEMS_LABEL,4,FALSE)),"")</f>
        <v/>
      </c>
      <c r="H563" s="40"/>
      <c r="I563" s="40"/>
      <c r="J563" s="35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  <c r="AD563" s="24"/>
      <c r="AE563" s="24"/>
      <c r="AF563" s="24"/>
      <c r="AG563" s="24"/>
      <c r="AH563" s="24"/>
      <c r="AI563" s="24"/>
      <c r="AJ563" s="24"/>
      <c r="AK563" s="38">
        <f t="array" ref="AK563">IF(F563=1,SUM((ROW(M0)=ROW(AK563))*(M0+M1_+M2_+M3_+M4_+M5_+M6_+M7_+M8_+M9_+M10_+M11_+M12_+M13_+M14_+M15_+M16_+M17_+M18_+M19_+M20_+M21_+M22_+M23_+M24_+M25_)),0)</f>
        <v>0</v>
      </c>
      <c r="AL563" s="27">
        <f>TableCosts[[#This Row],[N_Direct]]</f>
        <v>0</v>
      </c>
      <c r="AN563" s="7" t="str">
        <f t="shared" si="99"/>
        <v/>
      </c>
      <c r="AO563" s="7" t="str">
        <f t="shared" si="102"/>
        <v/>
      </c>
      <c r="AP563" s="7" t="str">
        <f t="shared" si="100"/>
        <v/>
      </c>
      <c r="AQ563" s="7" t="str">
        <f t="shared" si="103"/>
        <v/>
      </c>
      <c r="AR563" s="7" t="str">
        <f t="shared" si="101"/>
        <v/>
      </c>
      <c r="AS563" s="7">
        <f t="shared" si="104"/>
        <v>0</v>
      </c>
      <c r="AT563" s="17">
        <f>TableCosts[[#This Row],[N_Amount]]*TableCosts[[#This Row],[N_Tariff]]*TableCosts[[#This Row],[N_ItemsCount]]</f>
        <v>0</v>
      </c>
      <c r="AU563" s="17">
        <f>IF(F563=1,IF(TableCosts[[#This Row],[N_Kateg]]="interné práce",TableCosts[[#This Row],[N_Amount]]*8*PAR_SGA_PERHOUR,0),0)</f>
        <v>0</v>
      </c>
      <c r="AV563" s="17">
        <f>SUM(TableCosts[[#This Row],[N_Direct]:[N_SGA]])</f>
        <v>0</v>
      </c>
      <c r="AW563" s="7">
        <f>IF(F563=1,IF(D563="",NA(),VLOOKUP(C563&amp;TableCosts[[#This Row],[Calc_N_Typ]],TRAN_STRITEMS_LABEL,7,0)),0)</f>
        <v>0</v>
      </c>
      <c r="AX563" s="7">
        <f t="shared" si="105"/>
        <v>0</v>
      </c>
      <c r="AY563" s="57" t="str">
        <f t="shared" si="106"/>
        <v/>
      </c>
      <c r="AZ563" s="57" t="str">
        <f t="shared" si="107"/>
        <v/>
      </c>
      <c r="BA563" s="57" t="str">
        <f>IF(F563=1,IF(TableCosts[[#This Row],[TransferFrom]]=TableCosts[[#This Row],[TranferTo]],0,1),"")</f>
        <v/>
      </c>
      <c r="BB563" s="7">
        <f t="shared" si="108"/>
        <v>0</v>
      </c>
      <c r="BC563" s="7">
        <f t="shared" si="109"/>
        <v>0</v>
      </c>
    </row>
    <row r="564" spans="2:55" s="7" customFormat="1" ht="12.75" x14ac:dyDescent="0.2">
      <c r="B564" s="33"/>
      <c r="C564" s="31"/>
      <c r="D564" s="40"/>
      <c r="E564" s="6" t="str">
        <f>IF(F564=1,IF(ISERROR(TableCosts[[#This Row],[N_Tariff]]),Err_Message1,IF(TableCosts[[#This Row],[N_Tariff]]=0,Err_Message2,VLOOKUP(C564&amp;TableCosts[[#This Row],[Calc_N_Typ]],TRAN_STRITEMS_LABEL,5,FALSE))),"")</f>
        <v/>
      </c>
      <c r="F564" s="6">
        <f t="shared" si="110"/>
        <v>0</v>
      </c>
      <c r="G564" s="6" t="str">
        <f>IF(F564=1,IFERROR(VLOOKUP(E564,Tab_ErrMessage[],2,0),VLOOKUP(C564&amp;TableCosts[[#This Row],[Calc_N_Typ]],TRAN_STRITEMS_LABEL,4,FALSE)),"")</f>
        <v/>
      </c>
      <c r="H564" s="40"/>
      <c r="I564" s="40"/>
      <c r="J564" s="35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  <c r="AD564" s="24"/>
      <c r="AE564" s="24"/>
      <c r="AF564" s="24"/>
      <c r="AG564" s="24"/>
      <c r="AH564" s="24"/>
      <c r="AI564" s="24"/>
      <c r="AJ564" s="24"/>
      <c r="AK564" s="38">
        <f t="array" ref="AK564">IF(F564=1,SUM((ROW(M0)=ROW(AK564))*(M0+M1_+M2_+M3_+M4_+M5_+M6_+M7_+M8_+M9_+M10_+M11_+M12_+M13_+M14_+M15_+M16_+M17_+M18_+M19_+M20_+M21_+M22_+M23_+M24_+M25_)),0)</f>
        <v>0</v>
      </c>
      <c r="AL564" s="27">
        <f>TableCosts[[#This Row],[N_Direct]]</f>
        <v>0</v>
      </c>
      <c r="AN564" s="7" t="str">
        <f t="shared" si="99"/>
        <v/>
      </c>
      <c r="AO564" s="7" t="str">
        <f t="shared" si="102"/>
        <v/>
      </c>
      <c r="AP564" s="7" t="str">
        <f t="shared" si="100"/>
        <v/>
      </c>
      <c r="AQ564" s="7" t="str">
        <f t="shared" si="103"/>
        <v/>
      </c>
      <c r="AR564" s="7" t="str">
        <f t="shared" si="101"/>
        <v/>
      </c>
      <c r="AS564" s="7">
        <f t="shared" si="104"/>
        <v>0</v>
      </c>
      <c r="AT564" s="17">
        <f>TableCosts[[#This Row],[N_Amount]]*TableCosts[[#This Row],[N_Tariff]]*TableCosts[[#This Row],[N_ItemsCount]]</f>
        <v>0</v>
      </c>
      <c r="AU564" s="17">
        <f>IF(F564=1,IF(TableCosts[[#This Row],[N_Kateg]]="interné práce",TableCosts[[#This Row],[N_Amount]]*8*PAR_SGA_PERHOUR,0),0)</f>
        <v>0</v>
      </c>
      <c r="AV564" s="17">
        <f>SUM(TableCosts[[#This Row],[N_Direct]:[N_SGA]])</f>
        <v>0</v>
      </c>
      <c r="AW564" s="7">
        <f>IF(F564=1,IF(D564="",NA(),VLOOKUP(C564&amp;TableCosts[[#This Row],[Calc_N_Typ]],TRAN_STRITEMS_LABEL,7,0)),0)</f>
        <v>0</v>
      </c>
      <c r="AX564" s="7">
        <f t="shared" si="105"/>
        <v>0</v>
      </c>
      <c r="AY564" s="57" t="str">
        <f t="shared" si="106"/>
        <v/>
      </c>
      <c r="AZ564" s="57" t="str">
        <f t="shared" si="107"/>
        <v/>
      </c>
      <c r="BA564" s="57" t="str">
        <f>IF(F564=1,IF(TableCosts[[#This Row],[TransferFrom]]=TableCosts[[#This Row],[TranferTo]],0,1),"")</f>
        <v/>
      </c>
      <c r="BB564" s="7">
        <f t="shared" si="108"/>
        <v>0</v>
      </c>
      <c r="BC564" s="7">
        <f t="shared" si="109"/>
        <v>0</v>
      </c>
    </row>
    <row r="565" spans="2:55" s="7" customFormat="1" ht="12.75" x14ac:dyDescent="0.2">
      <c r="B565" s="33"/>
      <c r="C565" s="31"/>
      <c r="D565" s="40"/>
      <c r="E565" s="6" t="str">
        <f>IF(F565=1,IF(ISERROR(TableCosts[[#This Row],[N_Tariff]]),Err_Message1,IF(TableCosts[[#This Row],[N_Tariff]]=0,Err_Message2,VLOOKUP(C565&amp;TableCosts[[#This Row],[Calc_N_Typ]],TRAN_STRITEMS_LABEL,5,FALSE))),"")</f>
        <v/>
      </c>
      <c r="F565" s="6">
        <f t="shared" si="110"/>
        <v>0</v>
      </c>
      <c r="G565" s="6" t="str">
        <f>IF(F565=1,IFERROR(VLOOKUP(E565,Tab_ErrMessage[],2,0),VLOOKUP(C565&amp;TableCosts[[#This Row],[Calc_N_Typ]],TRAN_STRITEMS_LABEL,4,FALSE)),"")</f>
        <v/>
      </c>
      <c r="H565" s="40"/>
      <c r="I565" s="40"/>
      <c r="J565" s="35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  <c r="AD565" s="24"/>
      <c r="AE565" s="24"/>
      <c r="AF565" s="24"/>
      <c r="AG565" s="24"/>
      <c r="AH565" s="24"/>
      <c r="AI565" s="24"/>
      <c r="AJ565" s="24"/>
      <c r="AK565" s="38">
        <f t="array" ref="AK565">IF(F565=1,SUM((ROW(M0)=ROW(AK565))*(M0+M1_+M2_+M3_+M4_+M5_+M6_+M7_+M8_+M9_+M10_+M11_+M12_+M13_+M14_+M15_+M16_+M17_+M18_+M19_+M20_+M21_+M22_+M23_+M24_+M25_)),0)</f>
        <v>0</v>
      </c>
      <c r="AL565" s="27">
        <f>TableCosts[[#This Row],[N_Direct]]</f>
        <v>0</v>
      </c>
      <c r="AN565" s="7" t="str">
        <f t="shared" si="99"/>
        <v/>
      </c>
      <c r="AO565" s="7" t="str">
        <f t="shared" si="102"/>
        <v/>
      </c>
      <c r="AP565" s="7" t="str">
        <f t="shared" si="100"/>
        <v/>
      </c>
      <c r="AQ565" s="7" t="str">
        <f t="shared" si="103"/>
        <v/>
      </c>
      <c r="AR565" s="7" t="str">
        <f t="shared" si="101"/>
        <v/>
      </c>
      <c r="AS565" s="7">
        <f t="shared" si="104"/>
        <v>0</v>
      </c>
      <c r="AT565" s="17">
        <f>TableCosts[[#This Row],[N_Amount]]*TableCosts[[#This Row],[N_Tariff]]*TableCosts[[#This Row],[N_ItemsCount]]</f>
        <v>0</v>
      </c>
      <c r="AU565" s="17">
        <f>IF(F565=1,IF(TableCosts[[#This Row],[N_Kateg]]="interné práce",TableCosts[[#This Row],[N_Amount]]*8*PAR_SGA_PERHOUR,0),0)</f>
        <v>0</v>
      </c>
      <c r="AV565" s="17">
        <f>SUM(TableCosts[[#This Row],[N_Direct]:[N_SGA]])</f>
        <v>0</v>
      </c>
      <c r="AW565" s="7">
        <f>IF(F565=1,IF(D565="",NA(),VLOOKUP(C565&amp;TableCosts[[#This Row],[Calc_N_Typ]],TRAN_STRITEMS_LABEL,7,0)),0)</f>
        <v>0</v>
      </c>
      <c r="AX565" s="7">
        <f t="shared" si="105"/>
        <v>0</v>
      </c>
      <c r="AY565" s="57" t="str">
        <f t="shared" si="106"/>
        <v/>
      </c>
      <c r="AZ565" s="57" t="str">
        <f t="shared" si="107"/>
        <v/>
      </c>
      <c r="BA565" s="57" t="str">
        <f>IF(F565=1,IF(TableCosts[[#This Row],[TransferFrom]]=TableCosts[[#This Row],[TranferTo]],0,1),"")</f>
        <v/>
      </c>
      <c r="BB565" s="7">
        <f t="shared" si="108"/>
        <v>0</v>
      </c>
      <c r="BC565" s="7">
        <f t="shared" si="109"/>
        <v>0</v>
      </c>
    </row>
    <row r="566" spans="2:55" s="7" customFormat="1" ht="12.75" x14ac:dyDescent="0.2">
      <c r="B566" s="33"/>
      <c r="C566" s="31"/>
      <c r="D566" s="40"/>
      <c r="E566" s="6" t="str">
        <f>IF(F566=1,IF(ISERROR(TableCosts[[#This Row],[N_Tariff]]),Err_Message1,IF(TableCosts[[#This Row],[N_Tariff]]=0,Err_Message2,VLOOKUP(C566&amp;TableCosts[[#This Row],[Calc_N_Typ]],TRAN_STRITEMS_LABEL,5,FALSE))),"")</f>
        <v/>
      </c>
      <c r="F566" s="6">
        <f t="shared" si="110"/>
        <v>0</v>
      </c>
      <c r="G566" s="6" t="str">
        <f>IF(F566=1,IFERROR(VLOOKUP(E566,Tab_ErrMessage[],2,0),VLOOKUP(C566&amp;TableCosts[[#This Row],[Calc_N_Typ]],TRAN_STRITEMS_LABEL,4,FALSE)),"")</f>
        <v/>
      </c>
      <c r="H566" s="40"/>
      <c r="I566" s="40"/>
      <c r="J566" s="35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  <c r="AD566" s="24"/>
      <c r="AE566" s="24"/>
      <c r="AF566" s="24"/>
      <c r="AG566" s="24"/>
      <c r="AH566" s="24"/>
      <c r="AI566" s="24"/>
      <c r="AJ566" s="24"/>
      <c r="AK566" s="38">
        <f t="array" ref="AK566">IF(F566=1,SUM((ROW(M0)=ROW(AK566))*(M0+M1_+M2_+M3_+M4_+M5_+M6_+M7_+M8_+M9_+M10_+M11_+M12_+M13_+M14_+M15_+M16_+M17_+M18_+M19_+M20_+M21_+M22_+M23_+M24_+M25_)),0)</f>
        <v>0</v>
      </c>
      <c r="AL566" s="27">
        <f>TableCosts[[#This Row],[N_Direct]]</f>
        <v>0</v>
      </c>
      <c r="AN566" s="7" t="str">
        <f t="shared" si="99"/>
        <v/>
      </c>
      <c r="AO566" s="7" t="str">
        <f t="shared" si="102"/>
        <v/>
      </c>
      <c r="AP566" s="7" t="str">
        <f t="shared" si="100"/>
        <v/>
      </c>
      <c r="AQ566" s="7" t="str">
        <f t="shared" si="103"/>
        <v/>
      </c>
      <c r="AR566" s="7" t="str">
        <f t="shared" si="101"/>
        <v/>
      </c>
      <c r="AS566" s="7">
        <f t="shared" si="104"/>
        <v>0</v>
      </c>
      <c r="AT566" s="17">
        <f>TableCosts[[#This Row],[N_Amount]]*TableCosts[[#This Row],[N_Tariff]]*TableCosts[[#This Row],[N_ItemsCount]]</f>
        <v>0</v>
      </c>
      <c r="AU566" s="17">
        <f>IF(F566=1,IF(TableCosts[[#This Row],[N_Kateg]]="interné práce",TableCosts[[#This Row],[N_Amount]]*8*PAR_SGA_PERHOUR,0),0)</f>
        <v>0</v>
      </c>
      <c r="AV566" s="17">
        <f>SUM(TableCosts[[#This Row],[N_Direct]:[N_SGA]])</f>
        <v>0</v>
      </c>
      <c r="AW566" s="7">
        <f>IF(F566=1,IF(D566="",NA(),VLOOKUP(C566&amp;TableCosts[[#This Row],[Calc_N_Typ]],TRAN_STRITEMS_LABEL,7,0)),0)</f>
        <v>0</v>
      </c>
      <c r="AX566" s="7">
        <f t="shared" si="105"/>
        <v>0</v>
      </c>
      <c r="AY566" s="57" t="str">
        <f t="shared" si="106"/>
        <v/>
      </c>
      <c r="AZ566" s="57" t="str">
        <f t="shared" si="107"/>
        <v/>
      </c>
      <c r="BA566" s="57" t="str">
        <f>IF(F566=1,IF(TableCosts[[#This Row],[TransferFrom]]=TableCosts[[#This Row],[TranferTo]],0,1),"")</f>
        <v/>
      </c>
      <c r="BB566" s="7">
        <f t="shared" si="108"/>
        <v>0</v>
      </c>
      <c r="BC566" s="7">
        <f t="shared" si="109"/>
        <v>0</v>
      </c>
    </row>
    <row r="567" spans="2:55" s="7" customFormat="1" ht="12.75" x14ac:dyDescent="0.2">
      <c r="B567" s="33"/>
      <c r="C567" s="31"/>
      <c r="D567" s="40"/>
      <c r="E567" s="6" t="str">
        <f>IF(F567=1,IF(ISERROR(TableCosts[[#This Row],[N_Tariff]]),Err_Message1,IF(TableCosts[[#This Row],[N_Tariff]]=0,Err_Message2,VLOOKUP(C567&amp;TableCosts[[#This Row],[Calc_N_Typ]],TRAN_STRITEMS_LABEL,5,FALSE))),"")</f>
        <v/>
      </c>
      <c r="F567" s="6">
        <f t="shared" si="110"/>
        <v>0</v>
      </c>
      <c r="G567" s="6" t="str">
        <f>IF(F567=1,IFERROR(VLOOKUP(E567,Tab_ErrMessage[],2,0),VLOOKUP(C567&amp;TableCosts[[#This Row],[Calc_N_Typ]],TRAN_STRITEMS_LABEL,4,FALSE)),"")</f>
        <v/>
      </c>
      <c r="H567" s="40"/>
      <c r="I567" s="40"/>
      <c r="J567" s="35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  <c r="AD567" s="24"/>
      <c r="AE567" s="24"/>
      <c r="AF567" s="24"/>
      <c r="AG567" s="24"/>
      <c r="AH567" s="24"/>
      <c r="AI567" s="24"/>
      <c r="AJ567" s="24"/>
      <c r="AK567" s="38">
        <f t="array" ref="AK567">IF(F567=1,SUM((ROW(M0)=ROW(AK567))*(M0+M1_+M2_+M3_+M4_+M5_+M6_+M7_+M8_+M9_+M10_+M11_+M12_+M13_+M14_+M15_+M16_+M17_+M18_+M19_+M20_+M21_+M22_+M23_+M24_+M25_)),0)</f>
        <v>0</v>
      </c>
      <c r="AL567" s="27">
        <f>TableCosts[[#This Row],[N_Direct]]</f>
        <v>0</v>
      </c>
      <c r="AN567" s="7" t="str">
        <f t="shared" ref="AN567:AN630" si="111">IF(F567=1,B567,"")</f>
        <v/>
      </c>
      <c r="AO567" s="7" t="str">
        <f t="shared" si="102"/>
        <v/>
      </c>
      <c r="AP567" s="7" t="str">
        <f t="shared" ref="AP567:AP630" si="112">IF(F567=1,E567,"")</f>
        <v/>
      </c>
      <c r="AQ567" s="7" t="str">
        <f t="shared" si="103"/>
        <v/>
      </c>
      <c r="AR567" s="7" t="str">
        <f t="shared" ref="AR567:AR630" si="113">IF(F567=1,G567,"")</f>
        <v/>
      </c>
      <c r="AS567" s="7">
        <f t="shared" si="104"/>
        <v>0</v>
      </c>
      <c r="AT567" s="17">
        <f>TableCosts[[#This Row],[N_Amount]]*TableCosts[[#This Row],[N_Tariff]]*TableCosts[[#This Row],[N_ItemsCount]]</f>
        <v>0</v>
      </c>
      <c r="AU567" s="17">
        <f>IF(F567=1,IF(TableCosts[[#This Row],[N_Kateg]]="interné práce",TableCosts[[#This Row],[N_Amount]]*8*PAR_SGA_PERHOUR,0),0)</f>
        <v>0</v>
      </c>
      <c r="AV567" s="17">
        <f>SUM(TableCosts[[#This Row],[N_Direct]:[N_SGA]])</f>
        <v>0</v>
      </c>
      <c r="AW567" s="7">
        <f>IF(F567=1,IF(D567="",NA(),VLOOKUP(C567&amp;TableCosts[[#This Row],[Calc_N_Typ]],TRAN_STRITEMS_LABEL,7,0)),0)</f>
        <v>0</v>
      </c>
      <c r="AX567" s="7">
        <f t="shared" si="105"/>
        <v>0</v>
      </c>
      <c r="AY567" s="57" t="str">
        <f t="shared" si="106"/>
        <v/>
      </c>
      <c r="AZ567" s="57" t="str">
        <f t="shared" si="107"/>
        <v/>
      </c>
      <c r="BA567" s="57" t="str">
        <f>IF(F567=1,IF(TableCosts[[#This Row],[TransferFrom]]=TableCosts[[#This Row],[TranferTo]],0,1),"")</f>
        <v/>
      </c>
      <c r="BB567" s="7">
        <f t="shared" si="108"/>
        <v>0</v>
      </c>
      <c r="BC567" s="7">
        <f t="shared" si="109"/>
        <v>0</v>
      </c>
    </row>
    <row r="568" spans="2:55" s="7" customFormat="1" ht="12.75" x14ac:dyDescent="0.2">
      <c r="B568" s="33"/>
      <c r="C568" s="31"/>
      <c r="D568" s="40"/>
      <c r="E568" s="6" t="str">
        <f>IF(F568=1,IF(ISERROR(TableCosts[[#This Row],[N_Tariff]]),Err_Message1,IF(TableCosts[[#This Row],[N_Tariff]]=0,Err_Message2,VLOOKUP(C568&amp;TableCosts[[#This Row],[Calc_N_Typ]],TRAN_STRITEMS_LABEL,5,FALSE))),"")</f>
        <v/>
      </c>
      <c r="F568" s="6">
        <f t="shared" si="110"/>
        <v>0</v>
      </c>
      <c r="G568" s="6" t="str">
        <f>IF(F568=1,IFERROR(VLOOKUP(E568,Tab_ErrMessage[],2,0),VLOOKUP(C568&amp;TableCosts[[#This Row],[Calc_N_Typ]],TRAN_STRITEMS_LABEL,4,FALSE)),"")</f>
        <v/>
      </c>
      <c r="H568" s="40"/>
      <c r="I568" s="40"/>
      <c r="J568" s="35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  <c r="AD568" s="24"/>
      <c r="AE568" s="24"/>
      <c r="AF568" s="24"/>
      <c r="AG568" s="24"/>
      <c r="AH568" s="24"/>
      <c r="AI568" s="24"/>
      <c r="AJ568" s="24"/>
      <c r="AK568" s="38">
        <f t="array" ref="AK568">IF(F568=1,SUM((ROW(M0)=ROW(AK568))*(M0+M1_+M2_+M3_+M4_+M5_+M6_+M7_+M8_+M9_+M10_+M11_+M12_+M13_+M14_+M15_+M16_+M17_+M18_+M19_+M20_+M21_+M22_+M23_+M24_+M25_)),0)</f>
        <v>0</v>
      </c>
      <c r="AL568" s="27">
        <f>TableCosts[[#This Row],[N_Direct]]</f>
        <v>0</v>
      </c>
      <c r="AN568" s="7" t="str">
        <f t="shared" si="111"/>
        <v/>
      </c>
      <c r="AO568" s="7" t="str">
        <f t="shared" si="102"/>
        <v/>
      </c>
      <c r="AP568" s="7" t="str">
        <f t="shared" si="112"/>
        <v/>
      </c>
      <c r="AQ568" s="7" t="str">
        <f t="shared" si="103"/>
        <v/>
      </c>
      <c r="AR568" s="7" t="str">
        <f t="shared" si="113"/>
        <v/>
      </c>
      <c r="AS568" s="7">
        <f t="shared" si="104"/>
        <v>0</v>
      </c>
      <c r="AT568" s="17">
        <f>TableCosts[[#This Row],[N_Amount]]*TableCosts[[#This Row],[N_Tariff]]*TableCosts[[#This Row],[N_ItemsCount]]</f>
        <v>0</v>
      </c>
      <c r="AU568" s="17">
        <f>IF(F568=1,IF(TableCosts[[#This Row],[N_Kateg]]="interné práce",TableCosts[[#This Row],[N_Amount]]*8*PAR_SGA_PERHOUR,0),0)</f>
        <v>0</v>
      </c>
      <c r="AV568" s="17">
        <f>SUM(TableCosts[[#This Row],[N_Direct]:[N_SGA]])</f>
        <v>0</v>
      </c>
      <c r="AW568" s="7">
        <f>IF(F568=1,IF(D568="",NA(),VLOOKUP(C568&amp;TableCosts[[#This Row],[Calc_N_Typ]],TRAN_STRITEMS_LABEL,7,0)),0)</f>
        <v>0</v>
      </c>
      <c r="AX568" s="7">
        <f t="shared" si="105"/>
        <v>0</v>
      </c>
      <c r="AY568" s="57" t="str">
        <f t="shared" si="106"/>
        <v/>
      </c>
      <c r="AZ568" s="57" t="str">
        <f t="shared" si="107"/>
        <v/>
      </c>
      <c r="BA568" s="57" t="str">
        <f>IF(F568=1,IF(TableCosts[[#This Row],[TransferFrom]]=TableCosts[[#This Row],[TranferTo]],0,1),"")</f>
        <v/>
      </c>
      <c r="BB568" s="7">
        <f t="shared" si="108"/>
        <v>0</v>
      </c>
      <c r="BC568" s="7">
        <f t="shared" si="109"/>
        <v>0</v>
      </c>
    </row>
    <row r="569" spans="2:55" s="7" customFormat="1" ht="12.75" x14ac:dyDescent="0.2">
      <c r="B569" s="33"/>
      <c r="C569" s="31"/>
      <c r="D569" s="40"/>
      <c r="E569" s="6" t="str">
        <f>IF(F569=1,IF(ISERROR(TableCosts[[#This Row],[N_Tariff]]),Err_Message1,IF(TableCosts[[#This Row],[N_Tariff]]=0,Err_Message2,VLOOKUP(C569&amp;TableCosts[[#This Row],[Calc_N_Typ]],TRAN_STRITEMS_LABEL,5,FALSE))),"")</f>
        <v/>
      </c>
      <c r="F569" s="6">
        <f t="shared" si="110"/>
        <v>0</v>
      </c>
      <c r="G569" s="6" t="str">
        <f>IF(F569=1,IFERROR(VLOOKUP(E569,Tab_ErrMessage[],2,0),VLOOKUP(C569&amp;TableCosts[[#This Row],[Calc_N_Typ]],TRAN_STRITEMS_LABEL,4,FALSE)),"")</f>
        <v/>
      </c>
      <c r="H569" s="40"/>
      <c r="I569" s="40"/>
      <c r="J569" s="35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  <c r="AD569" s="24"/>
      <c r="AE569" s="24"/>
      <c r="AF569" s="24"/>
      <c r="AG569" s="24"/>
      <c r="AH569" s="24"/>
      <c r="AI569" s="24"/>
      <c r="AJ569" s="24"/>
      <c r="AK569" s="38">
        <f t="array" ref="AK569">IF(F569=1,SUM((ROW(M0)=ROW(AK569))*(M0+M1_+M2_+M3_+M4_+M5_+M6_+M7_+M8_+M9_+M10_+M11_+M12_+M13_+M14_+M15_+M16_+M17_+M18_+M19_+M20_+M21_+M22_+M23_+M24_+M25_)),0)</f>
        <v>0</v>
      </c>
      <c r="AL569" s="27">
        <f>TableCosts[[#This Row],[N_Direct]]</f>
        <v>0</v>
      </c>
      <c r="AN569" s="7" t="str">
        <f t="shared" si="111"/>
        <v/>
      </c>
      <c r="AO569" s="7" t="str">
        <f t="shared" si="102"/>
        <v/>
      </c>
      <c r="AP569" s="7" t="str">
        <f t="shared" si="112"/>
        <v/>
      </c>
      <c r="AQ569" s="7" t="str">
        <f t="shared" si="103"/>
        <v/>
      </c>
      <c r="AR569" s="7" t="str">
        <f t="shared" si="113"/>
        <v/>
      </c>
      <c r="AS569" s="7">
        <f t="shared" si="104"/>
        <v>0</v>
      </c>
      <c r="AT569" s="17">
        <f>TableCosts[[#This Row],[N_Amount]]*TableCosts[[#This Row],[N_Tariff]]*TableCosts[[#This Row],[N_ItemsCount]]</f>
        <v>0</v>
      </c>
      <c r="AU569" s="17">
        <f>IF(F569=1,IF(TableCosts[[#This Row],[N_Kateg]]="interné práce",TableCosts[[#This Row],[N_Amount]]*8*PAR_SGA_PERHOUR,0),0)</f>
        <v>0</v>
      </c>
      <c r="AV569" s="17">
        <f>SUM(TableCosts[[#This Row],[N_Direct]:[N_SGA]])</f>
        <v>0</v>
      </c>
      <c r="AW569" s="7">
        <f>IF(F569=1,IF(D569="",NA(),VLOOKUP(C569&amp;TableCosts[[#This Row],[Calc_N_Typ]],TRAN_STRITEMS_LABEL,7,0)),0)</f>
        <v>0</v>
      </c>
      <c r="AX569" s="7">
        <f t="shared" si="105"/>
        <v>0</v>
      </c>
      <c r="AY569" s="57" t="str">
        <f t="shared" si="106"/>
        <v/>
      </c>
      <c r="AZ569" s="57" t="str">
        <f t="shared" si="107"/>
        <v/>
      </c>
      <c r="BA569" s="57" t="str">
        <f>IF(F569=1,IF(TableCosts[[#This Row],[TransferFrom]]=TableCosts[[#This Row],[TranferTo]],0,1),"")</f>
        <v/>
      </c>
      <c r="BB569" s="7">
        <f t="shared" si="108"/>
        <v>0</v>
      </c>
      <c r="BC569" s="7">
        <f t="shared" si="109"/>
        <v>0</v>
      </c>
    </row>
    <row r="570" spans="2:55" s="7" customFormat="1" ht="12.75" x14ac:dyDescent="0.2">
      <c r="B570" s="33"/>
      <c r="C570" s="31"/>
      <c r="D570" s="40"/>
      <c r="E570" s="6" t="str">
        <f>IF(F570=1,IF(ISERROR(TableCosts[[#This Row],[N_Tariff]]),Err_Message1,IF(TableCosts[[#This Row],[N_Tariff]]=0,Err_Message2,VLOOKUP(C570&amp;TableCosts[[#This Row],[Calc_N_Typ]],TRAN_STRITEMS_LABEL,5,FALSE))),"")</f>
        <v/>
      </c>
      <c r="F570" s="6">
        <f t="shared" si="110"/>
        <v>0</v>
      </c>
      <c r="G570" s="6" t="str">
        <f>IF(F570=1,IFERROR(VLOOKUP(E570,Tab_ErrMessage[],2,0),VLOOKUP(C570&amp;TableCosts[[#This Row],[Calc_N_Typ]],TRAN_STRITEMS_LABEL,4,FALSE)),"")</f>
        <v/>
      </c>
      <c r="H570" s="40"/>
      <c r="I570" s="40"/>
      <c r="J570" s="35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  <c r="AD570" s="24"/>
      <c r="AE570" s="24"/>
      <c r="AF570" s="24"/>
      <c r="AG570" s="24"/>
      <c r="AH570" s="24"/>
      <c r="AI570" s="24"/>
      <c r="AJ570" s="24"/>
      <c r="AK570" s="38">
        <f t="array" ref="AK570">IF(F570=1,SUM((ROW(M0)=ROW(AK570))*(M0+M1_+M2_+M3_+M4_+M5_+M6_+M7_+M8_+M9_+M10_+M11_+M12_+M13_+M14_+M15_+M16_+M17_+M18_+M19_+M20_+M21_+M22_+M23_+M24_+M25_)),0)</f>
        <v>0</v>
      </c>
      <c r="AL570" s="27">
        <f>TableCosts[[#This Row],[N_Direct]]</f>
        <v>0</v>
      </c>
      <c r="AN570" s="7" t="str">
        <f t="shared" si="111"/>
        <v/>
      </c>
      <c r="AO570" s="7" t="str">
        <f t="shared" si="102"/>
        <v/>
      </c>
      <c r="AP570" s="7" t="str">
        <f t="shared" si="112"/>
        <v/>
      </c>
      <c r="AQ570" s="7" t="str">
        <f t="shared" si="103"/>
        <v/>
      </c>
      <c r="AR570" s="7" t="str">
        <f t="shared" si="113"/>
        <v/>
      </c>
      <c r="AS570" s="7">
        <f t="shared" si="104"/>
        <v>0</v>
      </c>
      <c r="AT570" s="17">
        <f>TableCosts[[#This Row],[N_Amount]]*TableCosts[[#This Row],[N_Tariff]]*TableCosts[[#This Row],[N_ItemsCount]]</f>
        <v>0</v>
      </c>
      <c r="AU570" s="17">
        <f>IF(F570=1,IF(TableCosts[[#This Row],[N_Kateg]]="interné práce",TableCosts[[#This Row],[N_Amount]]*8*PAR_SGA_PERHOUR,0),0)</f>
        <v>0</v>
      </c>
      <c r="AV570" s="17">
        <f>SUM(TableCosts[[#This Row],[N_Direct]:[N_SGA]])</f>
        <v>0</v>
      </c>
      <c r="AW570" s="7">
        <f>IF(F570=1,IF(D570="",NA(),VLOOKUP(C570&amp;TableCosts[[#This Row],[Calc_N_Typ]],TRAN_STRITEMS_LABEL,7,0)),0)</f>
        <v>0</v>
      </c>
      <c r="AX570" s="7">
        <f t="shared" si="105"/>
        <v>0</v>
      </c>
      <c r="AY570" s="57" t="str">
        <f t="shared" si="106"/>
        <v/>
      </c>
      <c r="AZ570" s="57" t="str">
        <f t="shared" si="107"/>
        <v/>
      </c>
      <c r="BA570" s="57" t="str">
        <f>IF(F570=1,IF(TableCosts[[#This Row],[TransferFrom]]=TableCosts[[#This Row],[TranferTo]],0,1),"")</f>
        <v/>
      </c>
      <c r="BB570" s="7">
        <f t="shared" si="108"/>
        <v>0</v>
      </c>
      <c r="BC570" s="7">
        <f t="shared" si="109"/>
        <v>0</v>
      </c>
    </row>
    <row r="571" spans="2:55" s="7" customFormat="1" ht="12.75" x14ac:dyDescent="0.2">
      <c r="B571" s="33"/>
      <c r="C571" s="31"/>
      <c r="D571" s="40"/>
      <c r="E571" s="6" t="str">
        <f>IF(F571=1,IF(ISERROR(TableCosts[[#This Row],[N_Tariff]]),Err_Message1,IF(TableCosts[[#This Row],[N_Tariff]]=0,Err_Message2,VLOOKUP(C571&amp;TableCosts[[#This Row],[Calc_N_Typ]],TRAN_STRITEMS_LABEL,5,FALSE))),"")</f>
        <v/>
      </c>
      <c r="F571" s="6">
        <f t="shared" si="110"/>
        <v>0</v>
      </c>
      <c r="G571" s="6" t="str">
        <f>IF(F571=1,IFERROR(VLOOKUP(E571,Tab_ErrMessage[],2,0),VLOOKUP(C571&amp;TableCosts[[#This Row],[Calc_N_Typ]],TRAN_STRITEMS_LABEL,4,FALSE)),"")</f>
        <v/>
      </c>
      <c r="H571" s="40"/>
      <c r="I571" s="40"/>
      <c r="J571" s="35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  <c r="AD571" s="24"/>
      <c r="AE571" s="24"/>
      <c r="AF571" s="24"/>
      <c r="AG571" s="24"/>
      <c r="AH571" s="24"/>
      <c r="AI571" s="24"/>
      <c r="AJ571" s="24"/>
      <c r="AK571" s="38">
        <f t="array" ref="AK571">IF(F571=1,SUM((ROW(M0)=ROW(AK571))*(M0+M1_+M2_+M3_+M4_+M5_+M6_+M7_+M8_+M9_+M10_+M11_+M12_+M13_+M14_+M15_+M16_+M17_+M18_+M19_+M20_+M21_+M22_+M23_+M24_+M25_)),0)</f>
        <v>0</v>
      </c>
      <c r="AL571" s="27">
        <f>TableCosts[[#This Row],[N_Direct]]</f>
        <v>0</v>
      </c>
      <c r="AN571" s="7" t="str">
        <f t="shared" si="111"/>
        <v/>
      </c>
      <c r="AO571" s="7" t="str">
        <f t="shared" si="102"/>
        <v/>
      </c>
      <c r="AP571" s="7" t="str">
        <f t="shared" si="112"/>
        <v/>
      </c>
      <c r="AQ571" s="7" t="str">
        <f t="shared" si="103"/>
        <v/>
      </c>
      <c r="AR571" s="7" t="str">
        <f t="shared" si="113"/>
        <v/>
      </c>
      <c r="AS571" s="7">
        <f t="shared" si="104"/>
        <v>0</v>
      </c>
      <c r="AT571" s="17">
        <f>TableCosts[[#This Row],[N_Amount]]*TableCosts[[#This Row],[N_Tariff]]*TableCosts[[#This Row],[N_ItemsCount]]</f>
        <v>0</v>
      </c>
      <c r="AU571" s="17">
        <f>IF(F571=1,IF(TableCosts[[#This Row],[N_Kateg]]="interné práce",TableCosts[[#This Row],[N_Amount]]*8*PAR_SGA_PERHOUR,0),0)</f>
        <v>0</v>
      </c>
      <c r="AV571" s="17">
        <f>SUM(TableCosts[[#This Row],[N_Direct]:[N_SGA]])</f>
        <v>0</v>
      </c>
      <c r="AW571" s="7">
        <f>IF(F571=1,IF(D571="",NA(),VLOOKUP(C571&amp;TableCosts[[#This Row],[Calc_N_Typ]],TRAN_STRITEMS_LABEL,7,0)),0)</f>
        <v>0</v>
      </c>
      <c r="AX571" s="7">
        <f t="shared" si="105"/>
        <v>0</v>
      </c>
      <c r="AY571" s="57" t="str">
        <f t="shared" si="106"/>
        <v/>
      </c>
      <c r="AZ571" s="57" t="str">
        <f t="shared" si="107"/>
        <v/>
      </c>
      <c r="BA571" s="57" t="str">
        <f>IF(F571=1,IF(TableCosts[[#This Row],[TransferFrom]]=TableCosts[[#This Row],[TranferTo]],0,1),"")</f>
        <v/>
      </c>
      <c r="BB571" s="7">
        <f t="shared" si="108"/>
        <v>0</v>
      </c>
      <c r="BC571" s="7">
        <f t="shared" si="109"/>
        <v>0</v>
      </c>
    </row>
    <row r="572" spans="2:55" s="7" customFormat="1" ht="12.75" x14ac:dyDescent="0.2">
      <c r="B572" s="33"/>
      <c r="C572" s="31"/>
      <c r="D572" s="40"/>
      <c r="E572" s="6" t="str">
        <f>IF(F572=1,IF(ISERROR(TableCosts[[#This Row],[N_Tariff]]),Err_Message1,IF(TableCosts[[#This Row],[N_Tariff]]=0,Err_Message2,VLOOKUP(C572&amp;TableCosts[[#This Row],[Calc_N_Typ]],TRAN_STRITEMS_LABEL,5,FALSE))),"")</f>
        <v/>
      </c>
      <c r="F572" s="6">
        <f t="shared" si="110"/>
        <v>0</v>
      </c>
      <c r="G572" s="6" t="str">
        <f>IF(F572=1,IFERROR(VLOOKUP(E572,Tab_ErrMessage[],2,0),VLOOKUP(C572&amp;TableCosts[[#This Row],[Calc_N_Typ]],TRAN_STRITEMS_LABEL,4,FALSE)),"")</f>
        <v/>
      </c>
      <c r="H572" s="40"/>
      <c r="I572" s="40"/>
      <c r="J572" s="35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  <c r="AD572" s="24"/>
      <c r="AE572" s="24"/>
      <c r="AF572" s="24"/>
      <c r="AG572" s="24"/>
      <c r="AH572" s="24"/>
      <c r="AI572" s="24"/>
      <c r="AJ572" s="24"/>
      <c r="AK572" s="38">
        <f t="array" ref="AK572">IF(F572=1,SUM((ROW(M0)=ROW(AK572))*(M0+M1_+M2_+M3_+M4_+M5_+M6_+M7_+M8_+M9_+M10_+M11_+M12_+M13_+M14_+M15_+M16_+M17_+M18_+M19_+M20_+M21_+M22_+M23_+M24_+M25_)),0)</f>
        <v>0</v>
      </c>
      <c r="AL572" s="27">
        <f>TableCosts[[#This Row],[N_Direct]]</f>
        <v>0</v>
      </c>
      <c r="AN572" s="7" t="str">
        <f t="shared" si="111"/>
        <v/>
      </c>
      <c r="AO572" s="7" t="str">
        <f t="shared" si="102"/>
        <v/>
      </c>
      <c r="AP572" s="7" t="str">
        <f t="shared" si="112"/>
        <v/>
      </c>
      <c r="AQ572" s="7" t="str">
        <f t="shared" si="103"/>
        <v/>
      </c>
      <c r="AR572" s="7" t="str">
        <f t="shared" si="113"/>
        <v/>
      </c>
      <c r="AS572" s="7">
        <f t="shared" si="104"/>
        <v>0</v>
      </c>
      <c r="AT572" s="17">
        <f>TableCosts[[#This Row],[N_Amount]]*TableCosts[[#This Row],[N_Tariff]]*TableCosts[[#This Row],[N_ItemsCount]]</f>
        <v>0</v>
      </c>
      <c r="AU572" s="17">
        <f>IF(F572=1,IF(TableCosts[[#This Row],[N_Kateg]]="interné práce",TableCosts[[#This Row],[N_Amount]]*8*PAR_SGA_PERHOUR,0),0)</f>
        <v>0</v>
      </c>
      <c r="AV572" s="17">
        <f>SUM(TableCosts[[#This Row],[N_Direct]:[N_SGA]])</f>
        <v>0</v>
      </c>
      <c r="AW572" s="7">
        <f>IF(F572=1,IF(D572="",NA(),VLOOKUP(C572&amp;TableCosts[[#This Row],[Calc_N_Typ]],TRAN_STRITEMS_LABEL,7,0)),0)</f>
        <v>0</v>
      </c>
      <c r="AX572" s="7">
        <f t="shared" si="105"/>
        <v>0</v>
      </c>
      <c r="AY572" s="57" t="str">
        <f t="shared" si="106"/>
        <v/>
      </c>
      <c r="AZ572" s="57" t="str">
        <f t="shared" si="107"/>
        <v/>
      </c>
      <c r="BA572" s="57" t="str">
        <f>IF(F572=1,IF(TableCosts[[#This Row],[TransferFrom]]=TableCosts[[#This Row],[TranferTo]],0,1),"")</f>
        <v/>
      </c>
      <c r="BB572" s="7">
        <f t="shared" si="108"/>
        <v>0</v>
      </c>
      <c r="BC572" s="7">
        <f t="shared" si="109"/>
        <v>0</v>
      </c>
    </row>
    <row r="573" spans="2:55" s="7" customFormat="1" ht="12.75" x14ac:dyDescent="0.2">
      <c r="B573" s="33"/>
      <c r="C573" s="31"/>
      <c r="D573" s="40"/>
      <c r="E573" s="6" t="str">
        <f>IF(F573=1,IF(ISERROR(TableCosts[[#This Row],[N_Tariff]]),Err_Message1,IF(TableCosts[[#This Row],[N_Tariff]]=0,Err_Message2,VLOOKUP(C573&amp;TableCosts[[#This Row],[Calc_N_Typ]],TRAN_STRITEMS_LABEL,5,FALSE))),"")</f>
        <v/>
      </c>
      <c r="F573" s="6">
        <f t="shared" si="110"/>
        <v>0</v>
      </c>
      <c r="G573" s="6" t="str">
        <f>IF(F573=1,IFERROR(VLOOKUP(E573,Tab_ErrMessage[],2,0),VLOOKUP(C573&amp;TableCosts[[#This Row],[Calc_N_Typ]],TRAN_STRITEMS_LABEL,4,FALSE)),"")</f>
        <v/>
      </c>
      <c r="H573" s="40"/>
      <c r="I573" s="40"/>
      <c r="J573" s="35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  <c r="AD573" s="24"/>
      <c r="AE573" s="24"/>
      <c r="AF573" s="24"/>
      <c r="AG573" s="24"/>
      <c r="AH573" s="24"/>
      <c r="AI573" s="24"/>
      <c r="AJ573" s="24"/>
      <c r="AK573" s="38">
        <f t="array" ref="AK573">IF(F573=1,SUM((ROW(M0)=ROW(AK573))*(M0+M1_+M2_+M3_+M4_+M5_+M6_+M7_+M8_+M9_+M10_+M11_+M12_+M13_+M14_+M15_+M16_+M17_+M18_+M19_+M20_+M21_+M22_+M23_+M24_+M25_)),0)</f>
        <v>0</v>
      </c>
      <c r="AL573" s="27">
        <f>TableCosts[[#This Row],[N_Direct]]</f>
        <v>0</v>
      </c>
      <c r="AN573" s="7" t="str">
        <f t="shared" si="111"/>
        <v/>
      </c>
      <c r="AO573" s="7" t="str">
        <f t="shared" si="102"/>
        <v/>
      </c>
      <c r="AP573" s="7" t="str">
        <f t="shared" si="112"/>
        <v/>
      </c>
      <c r="AQ573" s="7" t="str">
        <f t="shared" si="103"/>
        <v/>
      </c>
      <c r="AR573" s="7" t="str">
        <f t="shared" si="113"/>
        <v/>
      </c>
      <c r="AS573" s="7">
        <f t="shared" si="104"/>
        <v>0</v>
      </c>
      <c r="AT573" s="17">
        <f>TableCosts[[#This Row],[N_Amount]]*TableCosts[[#This Row],[N_Tariff]]*TableCosts[[#This Row],[N_ItemsCount]]</f>
        <v>0</v>
      </c>
      <c r="AU573" s="17">
        <f>IF(F573=1,IF(TableCosts[[#This Row],[N_Kateg]]="interné práce",TableCosts[[#This Row],[N_Amount]]*8*PAR_SGA_PERHOUR,0),0)</f>
        <v>0</v>
      </c>
      <c r="AV573" s="17">
        <f>SUM(TableCosts[[#This Row],[N_Direct]:[N_SGA]])</f>
        <v>0</v>
      </c>
      <c r="AW573" s="7">
        <f>IF(F573=1,IF(D573="",NA(),VLOOKUP(C573&amp;TableCosts[[#This Row],[Calc_N_Typ]],TRAN_STRITEMS_LABEL,7,0)),0)</f>
        <v>0</v>
      </c>
      <c r="AX573" s="7">
        <f t="shared" si="105"/>
        <v>0</v>
      </c>
      <c r="AY573" s="57" t="str">
        <f t="shared" si="106"/>
        <v/>
      </c>
      <c r="AZ573" s="57" t="str">
        <f t="shared" si="107"/>
        <v/>
      </c>
      <c r="BA573" s="57" t="str">
        <f>IF(F573=1,IF(TableCosts[[#This Row],[TransferFrom]]=TableCosts[[#This Row],[TranferTo]],0,1),"")</f>
        <v/>
      </c>
      <c r="BB573" s="7">
        <f t="shared" si="108"/>
        <v>0</v>
      </c>
      <c r="BC573" s="7">
        <f t="shared" si="109"/>
        <v>0</v>
      </c>
    </row>
    <row r="574" spans="2:55" s="7" customFormat="1" ht="12.75" x14ac:dyDescent="0.2">
      <c r="B574" s="33"/>
      <c r="C574" s="31"/>
      <c r="D574" s="40"/>
      <c r="E574" s="6" t="str">
        <f>IF(F574=1,IF(ISERROR(TableCosts[[#This Row],[N_Tariff]]),Err_Message1,IF(TableCosts[[#This Row],[N_Tariff]]=0,Err_Message2,VLOOKUP(C574&amp;TableCosts[[#This Row],[Calc_N_Typ]],TRAN_STRITEMS_LABEL,5,FALSE))),"")</f>
        <v/>
      </c>
      <c r="F574" s="6">
        <f t="shared" si="110"/>
        <v>0</v>
      </c>
      <c r="G574" s="6" t="str">
        <f>IF(F574=1,IFERROR(VLOOKUP(E574,Tab_ErrMessage[],2,0),VLOOKUP(C574&amp;TableCosts[[#This Row],[Calc_N_Typ]],TRAN_STRITEMS_LABEL,4,FALSE)),"")</f>
        <v/>
      </c>
      <c r="H574" s="40"/>
      <c r="I574" s="40"/>
      <c r="J574" s="35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  <c r="AD574" s="24"/>
      <c r="AE574" s="24"/>
      <c r="AF574" s="24"/>
      <c r="AG574" s="24"/>
      <c r="AH574" s="24"/>
      <c r="AI574" s="24"/>
      <c r="AJ574" s="24"/>
      <c r="AK574" s="38">
        <f t="array" ref="AK574">IF(F574=1,SUM((ROW(M0)=ROW(AK574))*(M0+M1_+M2_+M3_+M4_+M5_+M6_+M7_+M8_+M9_+M10_+M11_+M12_+M13_+M14_+M15_+M16_+M17_+M18_+M19_+M20_+M21_+M22_+M23_+M24_+M25_)),0)</f>
        <v>0</v>
      </c>
      <c r="AL574" s="27">
        <f>TableCosts[[#This Row],[N_Direct]]</f>
        <v>0</v>
      </c>
      <c r="AN574" s="7" t="str">
        <f t="shared" si="111"/>
        <v/>
      </c>
      <c r="AO574" s="7" t="str">
        <f t="shared" si="102"/>
        <v/>
      </c>
      <c r="AP574" s="7" t="str">
        <f t="shared" si="112"/>
        <v/>
      </c>
      <c r="AQ574" s="7" t="str">
        <f t="shared" si="103"/>
        <v/>
      </c>
      <c r="AR574" s="7" t="str">
        <f t="shared" si="113"/>
        <v/>
      </c>
      <c r="AS574" s="7">
        <f t="shared" si="104"/>
        <v>0</v>
      </c>
      <c r="AT574" s="17">
        <f>TableCosts[[#This Row],[N_Amount]]*TableCosts[[#This Row],[N_Tariff]]*TableCosts[[#This Row],[N_ItemsCount]]</f>
        <v>0</v>
      </c>
      <c r="AU574" s="17">
        <f>IF(F574=1,IF(TableCosts[[#This Row],[N_Kateg]]="interné práce",TableCosts[[#This Row],[N_Amount]]*8*PAR_SGA_PERHOUR,0),0)</f>
        <v>0</v>
      </c>
      <c r="AV574" s="17">
        <f>SUM(TableCosts[[#This Row],[N_Direct]:[N_SGA]])</f>
        <v>0</v>
      </c>
      <c r="AW574" s="7">
        <f>IF(F574=1,IF(D574="",NA(),VLOOKUP(C574&amp;TableCosts[[#This Row],[Calc_N_Typ]],TRAN_STRITEMS_LABEL,7,0)),0)</f>
        <v>0</v>
      </c>
      <c r="AX574" s="7">
        <f t="shared" si="105"/>
        <v>0</v>
      </c>
      <c r="AY574" s="57" t="str">
        <f t="shared" si="106"/>
        <v/>
      </c>
      <c r="AZ574" s="57" t="str">
        <f t="shared" si="107"/>
        <v/>
      </c>
      <c r="BA574" s="57" t="str">
        <f>IF(F574=1,IF(TableCosts[[#This Row],[TransferFrom]]=TableCosts[[#This Row],[TranferTo]],0,1),"")</f>
        <v/>
      </c>
      <c r="BB574" s="7">
        <f t="shared" si="108"/>
        <v>0</v>
      </c>
      <c r="BC574" s="7">
        <f t="shared" si="109"/>
        <v>0</v>
      </c>
    </row>
    <row r="575" spans="2:55" s="7" customFormat="1" ht="12.75" x14ac:dyDescent="0.2">
      <c r="B575" s="33"/>
      <c r="C575" s="31"/>
      <c r="D575" s="40"/>
      <c r="E575" s="6" t="str">
        <f>IF(F575=1,IF(ISERROR(TableCosts[[#This Row],[N_Tariff]]),Err_Message1,IF(TableCosts[[#This Row],[N_Tariff]]=0,Err_Message2,VLOOKUP(C575&amp;TableCosts[[#This Row],[Calc_N_Typ]],TRAN_STRITEMS_LABEL,5,FALSE))),"")</f>
        <v/>
      </c>
      <c r="F575" s="6">
        <f t="shared" si="110"/>
        <v>0</v>
      </c>
      <c r="G575" s="6" t="str">
        <f>IF(F575=1,IFERROR(VLOOKUP(E575,Tab_ErrMessage[],2,0),VLOOKUP(C575&amp;TableCosts[[#This Row],[Calc_N_Typ]],TRAN_STRITEMS_LABEL,4,FALSE)),"")</f>
        <v/>
      </c>
      <c r="H575" s="40"/>
      <c r="I575" s="40"/>
      <c r="J575" s="35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  <c r="AD575" s="24"/>
      <c r="AE575" s="24"/>
      <c r="AF575" s="24"/>
      <c r="AG575" s="24"/>
      <c r="AH575" s="24"/>
      <c r="AI575" s="24"/>
      <c r="AJ575" s="24"/>
      <c r="AK575" s="38">
        <f t="array" ref="AK575">IF(F575=1,SUM((ROW(M0)=ROW(AK575))*(M0+M1_+M2_+M3_+M4_+M5_+M6_+M7_+M8_+M9_+M10_+M11_+M12_+M13_+M14_+M15_+M16_+M17_+M18_+M19_+M20_+M21_+M22_+M23_+M24_+M25_)),0)</f>
        <v>0</v>
      </c>
      <c r="AL575" s="27">
        <f>TableCosts[[#This Row],[N_Direct]]</f>
        <v>0</v>
      </c>
      <c r="AN575" s="7" t="str">
        <f t="shared" si="111"/>
        <v/>
      </c>
      <c r="AO575" s="7" t="str">
        <f t="shared" si="102"/>
        <v/>
      </c>
      <c r="AP575" s="7" t="str">
        <f t="shared" si="112"/>
        <v/>
      </c>
      <c r="AQ575" s="7" t="str">
        <f t="shared" si="103"/>
        <v/>
      </c>
      <c r="AR575" s="7" t="str">
        <f t="shared" si="113"/>
        <v/>
      </c>
      <c r="AS575" s="7">
        <f t="shared" si="104"/>
        <v>0</v>
      </c>
      <c r="AT575" s="17">
        <f>TableCosts[[#This Row],[N_Amount]]*TableCosts[[#This Row],[N_Tariff]]*TableCosts[[#This Row],[N_ItemsCount]]</f>
        <v>0</v>
      </c>
      <c r="AU575" s="17">
        <f>IF(F575=1,IF(TableCosts[[#This Row],[N_Kateg]]="interné práce",TableCosts[[#This Row],[N_Amount]]*8*PAR_SGA_PERHOUR,0),0)</f>
        <v>0</v>
      </c>
      <c r="AV575" s="17">
        <f>SUM(TableCosts[[#This Row],[N_Direct]:[N_SGA]])</f>
        <v>0</v>
      </c>
      <c r="AW575" s="7">
        <f>IF(F575=1,IF(D575="",NA(),VLOOKUP(C575&amp;TableCosts[[#This Row],[Calc_N_Typ]],TRAN_STRITEMS_LABEL,7,0)),0)</f>
        <v>0</v>
      </c>
      <c r="AX575" s="7">
        <f t="shared" si="105"/>
        <v>0</v>
      </c>
      <c r="AY575" s="57" t="str">
        <f t="shared" si="106"/>
        <v/>
      </c>
      <c r="AZ575" s="57" t="str">
        <f t="shared" si="107"/>
        <v/>
      </c>
      <c r="BA575" s="57" t="str">
        <f>IF(F575=1,IF(TableCosts[[#This Row],[TransferFrom]]=TableCosts[[#This Row],[TranferTo]],0,1),"")</f>
        <v/>
      </c>
      <c r="BB575" s="7">
        <f t="shared" si="108"/>
        <v>0</v>
      </c>
      <c r="BC575" s="7">
        <f t="shared" si="109"/>
        <v>0</v>
      </c>
    </row>
    <row r="576" spans="2:55" s="7" customFormat="1" ht="12.75" x14ac:dyDescent="0.2">
      <c r="B576" s="33"/>
      <c r="C576" s="31"/>
      <c r="D576" s="40"/>
      <c r="E576" s="6" t="str">
        <f>IF(F576=1,IF(ISERROR(TableCosts[[#This Row],[N_Tariff]]),Err_Message1,IF(TableCosts[[#This Row],[N_Tariff]]=0,Err_Message2,VLOOKUP(C576&amp;TableCosts[[#This Row],[Calc_N_Typ]],TRAN_STRITEMS_LABEL,5,FALSE))),"")</f>
        <v/>
      </c>
      <c r="F576" s="6">
        <f t="shared" si="110"/>
        <v>0</v>
      </c>
      <c r="G576" s="6" t="str">
        <f>IF(F576=1,IFERROR(VLOOKUP(E576,Tab_ErrMessage[],2,0),VLOOKUP(C576&amp;TableCosts[[#This Row],[Calc_N_Typ]],TRAN_STRITEMS_LABEL,4,FALSE)),"")</f>
        <v/>
      </c>
      <c r="H576" s="40"/>
      <c r="I576" s="40"/>
      <c r="J576" s="35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  <c r="AD576" s="24"/>
      <c r="AE576" s="24"/>
      <c r="AF576" s="24"/>
      <c r="AG576" s="24"/>
      <c r="AH576" s="24"/>
      <c r="AI576" s="24"/>
      <c r="AJ576" s="24"/>
      <c r="AK576" s="38">
        <f t="array" ref="AK576">IF(F576=1,SUM((ROW(M0)=ROW(AK576))*(M0+M1_+M2_+M3_+M4_+M5_+M6_+M7_+M8_+M9_+M10_+M11_+M12_+M13_+M14_+M15_+M16_+M17_+M18_+M19_+M20_+M21_+M22_+M23_+M24_+M25_)),0)</f>
        <v>0</v>
      </c>
      <c r="AL576" s="27">
        <f>TableCosts[[#This Row],[N_Direct]]</f>
        <v>0</v>
      </c>
      <c r="AN576" s="7" t="str">
        <f t="shared" si="111"/>
        <v/>
      </c>
      <c r="AO576" s="7" t="str">
        <f t="shared" si="102"/>
        <v/>
      </c>
      <c r="AP576" s="7" t="str">
        <f t="shared" si="112"/>
        <v/>
      </c>
      <c r="AQ576" s="7" t="str">
        <f t="shared" si="103"/>
        <v/>
      </c>
      <c r="AR576" s="7" t="str">
        <f t="shared" si="113"/>
        <v/>
      </c>
      <c r="AS576" s="7">
        <f t="shared" si="104"/>
        <v>0</v>
      </c>
      <c r="AT576" s="17">
        <f>TableCosts[[#This Row],[N_Amount]]*TableCosts[[#This Row],[N_Tariff]]*TableCosts[[#This Row],[N_ItemsCount]]</f>
        <v>0</v>
      </c>
      <c r="AU576" s="17">
        <f>IF(F576=1,IF(TableCosts[[#This Row],[N_Kateg]]="interné práce",TableCosts[[#This Row],[N_Amount]]*8*PAR_SGA_PERHOUR,0),0)</f>
        <v>0</v>
      </c>
      <c r="AV576" s="17">
        <f>SUM(TableCosts[[#This Row],[N_Direct]:[N_SGA]])</f>
        <v>0</v>
      </c>
      <c r="AW576" s="7">
        <f>IF(F576=1,IF(D576="",NA(),VLOOKUP(C576&amp;TableCosts[[#This Row],[Calc_N_Typ]],TRAN_STRITEMS_LABEL,7,0)),0)</f>
        <v>0</v>
      </c>
      <c r="AX576" s="7">
        <f t="shared" si="105"/>
        <v>0</v>
      </c>
      <c r="AY576" s="57" t="str">
        <f t="shared" si="106"/>
        <v/>
      </c>
      <c r="AZ576" s="57" t="str">
        <f t="shared" si="107"/>
        <v/>
      </c>
      <c r="BA576" s="57" t="str">
        <f>IF(F576=1,IF(TableCosts[[#This Row],[TransferFrom]]=TableCosts[[#This Row],[TranferTo]],0,1),"")</f>
        <v/>
      </c>
      <c r="BB576" s="7">
        <f t="shared" si="108"/>
        <v>0</v>
      </c>
      <c r="BC576" s="7">
        <f t="shared" si="109"/>
        <v>0</v>
      </c>
    </row>
    <row r="577" spans="2:55" s="7" customFormat="1" ht="12.75" x14ac:dyDescent="0.2">
      <c r="B577" s="33"/>
      <c r="C577" s="31"/>
      <c r="D577" s="40"/>
      <c r="E577" s="6" t="str">
        <f>IF(F577=1,IF(ISERROR(TableCosts[[#This Row],[N_Tariff]]),Err_Message1,IF(TableCosts[[#This Row],[N_Tariff]]=0,Err_Message2,VLOOKUP(C577&amp;TableCosts[[#This Row],[Calc_N_Typ]],TRAN_STRITEMS_LABEL,5,FALSE))),"")</f>
        <v/>
      </c>
      <c r="F577" s="6">
        <f t="shared" si="110"/>
        <v>0</v>
      </c>
      <c r="G577" s="6" t="str">
        <f>IF(F577=1,IFERROR(VLOOKUP(E577,Tab_ErrMessage[],2,0),VLOOKUP(C577&amp;TableCosts[[#This Row],[Calc_N_Typ]],TRAN_STRITEMS_LABEL,4,FALSE)),"")</f>
        <v/>
      </c>
      <c r="H577" s="40"/>
      <c r="I577" s="40"/>
      <c r="J577" s="35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  <c r="AD577" s="24"/>
      <c r="AE577" s="24"/>
      <c r="AF577" s="24"/>
      <c r="AG577" s="24"/>
      <c r="AH577" s="24"/>
      <c r="AI577" s="24"/>
      <c r="AJ577" s="24"/>
      <c r="AK577" s="38">
        <f t="array" ref="AK577">IF(F577=1,SUM((ROW(M0)=ROW(AK577))*(M0+M1_+M2_+M3_+M4_+M5_+M6_+M7_+M8_+M9_+M10_+M11_+M12_+M13_+M14_+M15_+M16_+M17_+M18_+M19_+M20_+M21_+M22_+M23_+M24_+M25_)),0)</f>
        <v>0</v>
      </c>
      <c r="AL577" s="27">
        <f>TableCosts[[#This Row],[N_Direct]]</f>
        <v>0</v>
      </c>
      <c r="AN577" s="7" t="str">
        <f t="shared" si="111"/>
        <v/>
      </c>
      <c r="AO577" s="7" t="str">
        <f t="shared" si="102"/>
        <v/>
      </c>
      <c r="AP577" s="7" t="str">
        <f t="shared" si="112"/>
        <v/>
      </c>
      <c r="AQ577" s="7" t="str">
        <f t="shared" si="103"/>
        <v/>
      </c>
      <c r="AR577" s="7" t="str">
        <f t="shared" si="113"/>
        <v/>
      </c>
      <c r="AS577" s="7">
        <f t="shared" si="104"/>
        <v>0</v>
      </c>
      <c r="AT577" s="17">
        <f>TableCosts[[#This Row],[N_Amount]]*TableCosts[[#This Row],[N_Tariff]]*TableCosts[[#This Row],[N_ItemsCount]]</f>
        <v>0</v>
      </c>
      <c r="AU577" s="17">
        <f>IF(F577=1,IF(TableCosts[[#This Row],[N_Kateg]]="interné práce",TableCosts[[#This Row],[N_Amount]]*8*PAR_SGA_PERHOUR,0),0)</f>
        <v>0</v>
      </c>
      <c r="AV577" s="17">
        <f>SUM(TableCosts[[#This Row],[N_Direct]:[N_SGA]])</f>
        <v>0</v>
      </c>
      <c r="AW577" s="7">
        <f>IF(F577=1,IF(D577="",NA(),VLOOKUP(C577&amp;TableCosts[[#This Row],[Calc_N_Typ]],TRAN_STRITEMS_LABEL,7,0)),0)</f>
        <v>0</v>
      </c>
      <c r="AX577" s="7">
        <f t="shared" si="105"/>
        <v>0</v>
      </c>
      <c r="AY577" s="57" t="str">
        <f t="shared" si="106"/>
        <v/>
      </c>
      <c r="AZ577" s="57" t="str">
        <f t="shared" si="107"/>
        <v/>
      </c>
      <c r="BA577" s="57" t="str">
        <f>IF(F577=1,IF(TableCosts[[#This Row],[TransferFrom]]=TableCosts[[#This Row],[TranferTo]],0,1),"")</f>
        <v/>
      </c>
      <c r="BB577" s="7">
        <f t="shared" si="108"/>
        <v>0</v>
      </c>
      <c r="BC577" s="7">
        <f t="shared" si="109"/>
        <v>0</v>
      </c>
    </row>
    <row r="578" spans="2:55" s="7" customFormat="1" ht="12.75" x14ac:dyDescent="0.2">
      <c r="B578" s="33"/>
      <c r="C578" s="31"/>
      <c r="D578" s="40"/>
      <c r="E578" s="6" t="str">
        <f>IF(F578=1,IF(ISERROR(TableCosts[[#This Row],[N_Tariff]]),Err_Message1,IF(TableCosts[[#This Row],[N_Tariff]]=0,Err_Message2,VLOOKUP(C578&amp;TableCosts[[#This Row],[Calc_N_Typ]],TRAN_STRITEMS_LABEL,5,FALSE))),"")</f>
        <v/>
      </c>
      <c r="F578" s="6">
        <f t="shared" si="110"/>
        <v>0</v>
      </c>
      <c r="G578" s="6" t="str">
        <f>IF(F578=1,IFERROR(VLOOKUP(E578,Tab_ErrMessage[],2,0),VLOOKUP(C578&amp;TableCosts[[#This Row],[Calc_N_Typ]],TRAN_STRITEMS_LABEL,4,FALSE)),"")</f>
        <v/>
      </c>
      <c r="H578" s="40"/>
      <c r="I578" s="40"/>
      <c r="J578" s="35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  <c r="AD578" s="24"/>
      <c r="AE578" s="24"/>
      <c r="AF578" s="24"/>
      <c r="AG578" s="24"/>
      <c r="AH578" s="24"/>
      <c r="AI578" s="24"/>
      <c r="AJ578" s="24"/>
      <c r="AK578" s="38">
        <f t="array" ref="AK578">IF(F578=1,SUM((ROW(M0)=ROW(AK578))*(M0+M1_+M2_+M3_+M4_+M5_+M6_+M7_+M8_+M9_+M10_+M11_+M12_+M13_+M14_+M15_+M16_+M17_+M18_+M19_+M20_+M21_+M22_+M23_+M24_+M25_)),0)</f>
        <v>0</v>
      </c>
      <c r="AL578" s="27">
        <f>TableCosts[[#This Row],[N_Direct]]</f>
        <v>0</v>
      </c>
      <c r="AN578" s="7" t="str">
        <f t="shared" si="111"/>
        <v/>
      </c>
      <c r="AO578" s="7" t="str">
        <f t="shared" si="102"/>
        <v/>
      </c>
      <c r="AP578" s="7" t="str">
        <f t="shared" si="112"/>
        <v/>
      </c>
      <c r="AQ578" s="7" t="str">
        <f t="shared" si="103"/>
        <v/>
      </c>
      <c r="AR578" s="7" t="str">
        <f t="shared" si="113"/>
        <v/>
      </c>
      <c r="AS578" s="7">
        <f t="shared" si="104"/>
        <v>0</v>
      </c>
      <c r="AT578" s="17">
        <f>TableCosts[[#This Row],[N_Amount]]*TableCosts[[#This Row],[N_Tariff]]*TableCosts[[#This Row],[N_ItemsCount]]</f>
        <v>0</v>
      </c>
      <c r="AU578" s="17">
        <f>IF(F578=1,IF(TableCosts[[#This Row],[N_Kateg]]="interné práce",TableCosts[[#This Row],[N_Amount]]*8*PAR_SGA_PERHOUR,0),0)</f>
        <v>0</v>
      </c>
      <c r="AV578" s="17">
        <f>SUM(TableCosts[[#This Row],[N_Direct]:[N_SGA]])</f>
        <v>0</v>
      </c>
      <c r="AW578" s="7">
        <f>IF(F578=1,IF(D578="",NA(),VLOOKUP(C578&amp;TableCosts[[#This Row],[Calc_N_Typ]],TRAN_STRITEMS_LABEL,7,0)),0)</f>
        <v>0</v>
      </c>
      <c r="AX578" s="7">
        <f t="shared" si="105"/>
        <v>0</v>
      </c>
      <c r="AY578" s="57" t="str">
        <f t="shared" si="106"/>
        <v/>
      </c>
      <c r="AZ578" s="57" t="str">
        <f t="shared" si="107"/>
        <v/>
      </c>
      <c r="BA578" s="57" t="str">
        <f>IF(F578=1,IF(TableCosts[[#This Row],[TransferFrom]]=TableCosts[[#This Row],[TranferTo]],0,1),"")</f>
        <v/>
      </c>
      <c r="BB578" s="7">
        <f t="shared" si="108"/>
        <v>0</v>
      </c>
      <c r="BC578" s="7">
        <f t="shared" si="109"/>
        <v>0</v>
      </c>
    </row>
    <row r="579" spans="2:55" s="7" customFormat="1" ht="12.75" x14ac:dyDescent="0.2">
      <c r="B579" s="33"/>
      <c r="C579" s="31"/>
      <c r="D579" s="40"/>
      <c r="E579" s="6" t="str">
        <f>IF(F579=1,IF(ISERROR(TableCosts[[#This Row],[N_Tariff]]),Err_Message1,IF(TableCosts[[#This Row],[N_Tariff]]=0,Err_Message2,VLOOKUP(C579&amp;TableCosts[[#This Row],[Calc_N_Typ]],TRAN_STRITEMS_LABEL,5,FALSE))),"")</f>
        <v/>
      </c>
      <c r="F579" s="6">
        <f t="shared" si="110"/>
        <v>0</v>
      </c>
      <c r="G579" s="6" t="str">
        <f>IF(F579=1,IFERROR(VLOOKUP(E579,Tab_ErrMessage[],2,0),VLOOKUP(C579&amp;TableCosts[[#This Row],[Calc_N_Typ]],TRAN_STRITEMS_LABEL,4,FALSE)),"")</f>
        <v/>
      </c>
      <c r="H579" s="40"/>
      <c r="I579" s="40"/>
      <c r="J579" s="35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  <c r="AD579" s="24"/>
      <c r="AE579" s="24"/>
      <c r="AF579" s="24"/>
      <c r="AG579" s="24"/>
      <c r="AH579" s="24"/>
      <c r="AI579" s="24"/>
      <c r="AJ579" s="24"/>
      <c r="AK579" s="38">
        <f t="array" ref="AK579">IF(F579=1,SUM((ROW(M0)=ROW(AK579))*(M0+M1_+M2_+M3_+M4_+M5_+M6_+M7_+M8_+M9_+M10_+M11_+M12_+M13_+M14_+M15_+M16_+M17_+M18_+M19_+M20_+M21_+M22_+M23_+M24_+M25_)),0)</f>
        <v>0</v>
      </c>
      <c r="AL579" s="27">
        <f>TableCosts[[#This Row],[N_Direct]]</f>
        <v>0</v>
      </c>
      <c r="AN579" s="7" t="str">
        <f t="shared" si="111"/>
        <v/>
      </c>
      <c r="AO579" s="7" t="str">
        <f t="shared" si="102"/>
        <v/>
      </c>
      <c r="AP579" s="7" t="str">
        <f t="shared" si="112"/>
        <v/>
      </c>
      <c r="AQ579" s="7" t="str">
        <f t="shared" si="103"/>
        <v/>
      </c>
      <c r="AR579" s="7" t="str">
        <f t="shared" si="113"/>
        <v/>
      </c>
      <c r="AS579" s="7">
        <f t="shared" si="104"/>
        <v>0</v>
      </c>
      <c r="AT579" s="17">
        <f>TableCosts[[#This Row],[N_Amount]]*TableCosts[[#This Row],[N_Tariff]]*TableCosts[[#This Row],[N_ItemsCount]]</f>
        <v>0</v>
      </c>
      <c r="AU579" s="17">
        <f>IF(F579=1,IF(TableCosts[[#This Row],[N_Kateg]]="interné práce",TableCosts[[#This Row],[N_Amount]]*8*PAR_SGA_PERHOUR,0),0)</f>
        <v>0</v>
      </c>
      <c r="AV579" s="17">
        <f>SUM(TableCosts[[#This Row],[N_Direct]:[N_SGA]])</f>
        <v>0</v>
      </c>
      <c r="AW579" s="7">
        <f>IF(F579=1,IF(D579="",NA(),VLOOKUP(C579&amp;TableCosts[[#This Row],[Calc_N_Typ]],TRAN_STRITEMS_LABEL,7,0)),0)</f>
        <v>0</v>
      </c>
      <c r="AX579" s="7">
        <f t="shared" si="105"/>
        <v>0</v>
      </c>
      <c r="AY579" s="57" t="str">
        <f t="shared" si="106"/>
        <v/>
      </c>
      <c r="AZ579" s="57" t="str">
        <f t="shared" si="107"/>
        <v/>
      </c>
      <c r="BA579" s="57" t="str">
        <f>IF(F579=1,IF(TableCosts[[#This Row],[TransferFrom]]=TableCosts[[#This Row],[TranferTo]],0,1),"")</f>
        <v/>
      </c>
      <c r="BB579" s="7">
        <f t="shared" si="108"/>
        <v>0</v>
      </c>
      <c r="BC579" s="7">
        <f t="shared" si="109"/>
        <v>0</v>
      </c>
    </row>
    <row r="580" spans="2:55" s="7" customFormat="1" ht="12.75" x14ac:dyDescent="0.2">
      <c r="B580" s="33"/>
      <c r="C580" s="31"/>
      <c r="D580" s="40"/>
      <c r="E580" s="6" t="str">
        <f>IF(F580=1,IF(ISERROR(TableCosts[[#This Row],[N_Tariff]]),Err_Message1,IF(TableCosts[[#This Row],[N_Tariff]]=0,Err_Message2,VLOOKUP(C580&amp;TableCosts[[#This Row],[Calc_N_Typ]],TRAN_STRITEMS_LABEL,5,FALSE))),"")</f>
        <v/>
      </c>
      <c r="F580" s="6">
        <f t="shared" si="110"/>
        <v>0</v>
      </c>
      <c r="G580" s="6" t="str">
        <f>IF(F580=1,IFERROR(VLOOKUP(E580,Tab_ErrMessage[],2,0),VLOOKUP(C580&amp;TableCosts[[#This Row],[Calc_N_Typ]],TRAN_STRITEMS_LABEL,4,FALSE)),"")</f>
        <v/>
      </c>
      <c r="H580" s="40"/>
      <c r="I580" s="40"/>
      <c r="J580" s="35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  <c r="AD580" s="24"/>
      <c r="AE580" s="24"/>
      <c r="AF580" s="24"/>
      <c r="AG580" s="24"/>
      <c r="AH580" s="24"/>
      <c r="AI580" s="24"/>
      <c r="AJ580" s="24"/>
      <c r="AK580" s="38">
        <f t="array" ref="AK580">IF(F580=1,SUM((ROW(M0)=ROW(AK580))*(M0+M1_+M2_+M3_+M4_+M5_+M6_+M7_+M8_+M9_+M10_+M11_+M12_+M13_+M14_+M15_+M16_+M17_+M18_+M19_+M20_+M21_+M22_+M23_+M24_+M25_)),0)</f>
        <v>0</v>
      </c>
      <c r="AL580" s="27">
        <f>TableCosts[[#This Row],[N_Direct]]</f>
        <v>0</v>
      </c>
      <c r="AN580" s="7" t="str">
        <f t="shared" si="111"/>
        <v/>
      </c>
      <c r="AO580" s="7" t="str">
        <f t="shared" si="102"/>
        <v/>
      </c>
      <c r="AP580" s="7" t="str">
        <f t="shared" si="112"/>
        <v/>
      </c>
      <c r="AQ580" s="7" t="str">
        <f t="shared" si="103"/>
        <v/>
      </c>
      <c r="AR580" s="7" t="str">
        <f t="shared" si="113"/>
        <v/>
      </c>
      <c r="AS580" s="7">
        <f t="shared" si="104"/>
        <v>0</v>
      </c>
      <c r="AT580" s="17">
        <f>TableCosts[[#This Row],[N_Amount]]*TableCosts[[#This Row],[N_Tariff]]*TableCosts[[#This Row],[N_ItemsCount]]</f>
        <v>0</v>
      </c>
      <c r="AU580" s="17">
        <f>IF(F580=1,IF(TableCosts[[#This Row],[N_Kateg]]="interné práce",TableCosts[[#This Row],[N_Amount]]*8*PAR_SGA_PERHOUR,0),0)</f>
        <v>0</v>
      </c>
      <c r="AV580" s="17">
        <f>SUM(TableCosts[[#This Row],[N_Direct]:[N_SGA]])</f>
        <v>0</v>
      </c>
      <c r="AW580" s="7">
        <f>IF(F580=1,IF(D580="",NA(),VLOOKUP(C580&amp;TableCosts[[#This Row],[Calc_N_Typ]],TRAN_STRITEMS_LABEL,7,0)),0)</f>
        <v>0</v>
      </c>
      <c r="AX580" s="7">
        <f t="shared" si="105"/>
        <v>0</v>
      </c>
      <c r="AY580" s="57" t="str">
        <f t="shared" si="106"/>
        <v/>
      </c>
      <c r="AZ580" s="57" t="str">
        <f t="shared" si="107"/>
        <v/>
      </c>
      <c r="BA580" s="57" t="str">
        <f>IF(F580=1,IF(TableCosts[[#This Row],[TransferFrom]]=TableCosts[[#This Row],[TranferTo]],0,1),"")</f>
        <v/>
      </c>
      <c r="BB580" s="7">
        <f t="shared" si="108"/>
        <v>0</v>
      </c>
      <c r="BC580" s="7">
        <f t="shared" si="109"/>
        <v>0</v>
      </c>
    </row>
    <row r="581" spans="2:55" s="7" customFormat="1" ht="12.75" x14ac:dyDescent="0.2">
      <c r="B581" s="33"/>
      <c r="C581" s="31"/>
      <c r="D581" s="40"/>
      <c r="E581" s="6" t="str">
        <f>IF(F581=1,IF(ISERROR(TableCosts[[#This Row],[N_Tariff]]),Err_Message1,IF(TableCosts[[#This Row],[N_Tariff]]=0,Err_Message2,VLOOKUP(C581&amp;TableCosts[[#This Row],[Calc_N_Typ]],TRAN_STRITEMS_LABEL,5,FALSE))),"")</f>
        <v/>
      </c>
      <c r="F581" s="6">
        <f t="shared" si="110"/>
        <v>0</v>
      </c>
      <c r="G581" s="6" t="str">
        <f>IF(F581=1,IFERROR(VLOOKUP(E581,Tab_ErrMessage[],2,0),VLOOKUP(C581&amp;TableCosts[[#This Row],[Calc_N_Typ]],TRAN_STRITEMS_LABEL,4,FALSE)),"")</f>
        <v/>
      </c>
      <c r="H581" s="40"/>
      <c r="I581" s="40"/>
      <c r="J581" s="35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  <c r="AD581" s="24"/>
      <c r="AE581" s="24"/>
      <c r="AF581" s="24"/>
      <c r="AG581" s="24"/>
      <c r="AH581" s="24"/>
      <c r="AI581" s="24"/>
      <c r="AJ581" s="24"/>
      <c r="AK581" s="38">
        <f t="array" ref="AK581">IF(F581=1,SUM((ROW(M0)=ROW(AK581))*(M0+M1_+M2_+M3_+M4_+M5_+M6_+M7_+M8_+M9_+M10_+M11_+M12_+M13_+M14_+M15_+M16_+M17_+M18_+M19_+M20_+M21_+M22_+M23_+M24_+M25_)),0)</f>
        <v>0</v>
      </c>
      <c r="AL581" s="27">
        <f>TableCosts[[#This Row],[N_Direct]]</f>
        <v>0</v>
      </c>
      <c r="AN581" s="7" t="str">
        <f t="shared" si="111"/>
        <v/>
      </c>
      <c r="AO581" s="7" t="str">
        <f t="shared" si="102"/>
        <v/>
      </c>
      <c r="AP581" s="7" t="str">
        <f t="shared" si="112"/>
        <v/>
      </c>
      <c r="AQ581" s="7" t="str">
        <f t="shared" si="103"/>
        <v/>
      </c>
      <c r="AR581" s="7" t="str">
        <f t="shared" si="113"/>
        <v/>
      </c>
      <c r="AS581" s="7">
        <f t="shared" si="104"/>
        <v>0</v>
      </c>
      <c r="AT581" s="17">
        <f>TableCosts[[#This Row],[N_Amount]]*TableCosts[[#This Row],[N_Tariff]]*TableCosts[[#This Row],[N_ItemsCount]]</f>
        <v>0</v>
      </c>
      <c r="AU581" s="17">
        <f>IF(F581=1,IF(TableCosts[[#This Row],[N_Kateg]]="interné práce",TableCosts[[#This Row],[N_Amount]]*8*PAR_SGA_PERHOUR,0),0)</f>
        <v>0</v>
      </c>
      <c r="AV581" s="17">
        <f>SUM(TableCosts[[#This Row],[N_Direct]:[N_SGA]])</f>
        <v>0</v>
      </c>
      <c r="AW581" s="7">
        <f>IF(F581=1,IF(D581="",NA(),VLOOKUP(C581&amp;TableCosts[[#This Row],[Calc_N_Typ]],TRAN_STRITEMS_LABEL,7,0)),0)</f>
        <v>0</v>
      </c>
      <c r="AX581" s="7">
        <f t="shared" si="105"/>
        <v>0</v>
      </c>
      <c r="AY581" s="57" t="str">
        <f t="shared" si="106"/>
        <v/>
      </c>
      <c r="AZ581" s="57" t="str">
        <f t="shared" si="107"/>
        <v/>
      </c>
      <c r="BA581" s="57" t="str">
        <f>IF(F581=1,IF(TableCosts[[#This Row],[TransferFrom]]=TableCosts[[#This Row],[TranferTo]],0,1),"")</f>
        <v/>
      </c>
      <c r="BB581" s="7">
        <f t="shared" si="108"/>
        <v>0</v>
      </c>
      <c r="BC581" s="7">
        <f t="shared" si="109"/>
        <v>0</v>
      </c>
    </row>
    <row r="582" spans="2:55" s="7" customFormat="1" ht="12.75" x14ac:dyDescent="0.2">
      <c r="B582" s="33"/>
      <c r="C582" s="31"/>
      <c r="D582" s="40"/>
      <c r="E582" s="6" t="str">
        <f>IF(F582=1,IF(ISERROR(TableCosts[[#This Row],[N_Tariff]]),Err_Message1,IF(TableCosts[[#This Row],[N_Tariff]]=0,Err_Message2,VLOOKUP(C582&amp;TableCosts[[#This Row],[Calc_N_Typ]],TRAN_STRITEMS_LABEL,5,FALSE))),"")</f>
        <v/>
      </c>
      <c r="F582" s="6">
        <f t="shared" si="110"/>
        <v>0</v>
      </c>
      <c r="G582" s="6" t="str">
        <f>IF(F582=1,IFERROR(VLOOKUP(E582,Tab_ErrMessage[],2,0),VLOOKUP(C582&amp;TableCosts[[#This Row],[Calc_N_Typ]],TRAN_STRITEMS_LABEL,4,FALSE)),"")</f>
        <v/>
      </c>
      <c r="H582" s="40"/>
      <c r="I582" s="40"/>
      <c r="J582" s="35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  <c r="AD582" s="24"/>
      <c r="AE582" s="24"/>
      <c r="AF582" s="24"/>
      <c r="AG582" s="24"/>
      <c r="AH582" s="24"/>
      <c r="AI582" s="24"/>
      <c r="AJ582" s="24"/>
      <c r="AK582" s="38">
        <f t="array" ref="AK582">IF(F582=1,SUM((ROW(M0)=ROW(AK582))*(M0+M1_+M2_+M3_+M4_+M5_+M6_+M7_+M8_+M9_+M10_+M11_+M12_+M13_+M14_+M15_+M16_+M17_+M18_+M19_+M20_+M21_+M22_+M23_+M24_+M25_)),0)</f>
        <v>0</v>
      </c>
      <c r="AL582" s="27">
        <f>TableCosts[[#This Row],[N_Direct]]</f>
        <v>0</v>
      </c>
      <c r="AN582" s="7" t="str">
        <f t="shared" si="111"/>
        <v/>
      </c>
      <c r="AO582" s="7" t="str">
        <f t="shared" si="102"/>
        <v/>
      </c>
      <c r="AP582" s="7" t="str">
        <f t="shared" si="112"/>
        <v/>
      </c>
      <c r="AQ582" s="7" t="str">
        <f t="shared" si="103"/>
        <v/>
      </c>
      <c r="AR582" s="7" t="str">
        <f t="shared" si="113"/>
        <v/>
      </c>
      <c r="AS582" s="7">
        <f t="shared" si="104"/>
        <v>0</v>
      </c>
      <c r="AT582" s="17">
        <f>TableCosts[[#This Row],[N_Amount]]*TableCosts[[#This Row],[N_Tariff]]*TableCosts[[#This Row],[N_ItemsCount]]</f>
        <v>0</v>
      </c>
      <c r="AU582" s="17">
        <f>IF(F582=1,IF(TableCosts[[#This Row],[N_Kateg]]="interné práce",TableCosts[[#This Row],[N_Amount]]*8*PAR_SGA_PERHOUR,0),0)</f>
        <v>0</v>
      </c>
      <c r="AV582" s="17">
        <f>SUM(TableCosts[[#This Row],[N_Direct]:[N_SGA]])</f>
        <v>0</v>
      </c>
      <c r="AW582" s="7">
        <f>IF(F582=1,IF(D582="",NA(),VLOOKUP(C582&amp;TableCosts[[#This Row],[Calc_N_Typ]],TRAN_STRITEMS_LABEL,7,0)),0)</f>
        <v>0</v>
      </c>
      <c r="AX582" s="7">
        <f t="shared" si="105"/>
        <v>0</v>
      </c>
      <c r="AY582" s="57" t="str">
        <f t="shared" si="106"/>
        <v/>
      </c>
      <c r="AZ582" s="57" t="str">
        <f t="shared" si="107"/>
        <v/>
      </c>
      <c r="BA582" s="57" t="str">
        <f>IF(F582=1,IF(TableCosts[[#This Row],[TransferFrom]]=TableCosts[[#This Row],[TranferTo]],0,1),"")</f>
        <v/>
      </c>
      <c r="BB582" s="7">
        <f t="shared" si="108"/>
        <v>0</v>
      </c>
      <c r="BC582" s="7">
        <f t="shared" si="109"/>
        <v>0</v>
      </c>
    </row>
    <row r="583" spans="2:55" s="7" customFormat="1" ht="12.75" x14ac:dyDescent="0.2">
      <c r="B583" s="33"/>
      <c r="C583" s="31"/>
      <c r="D583" s="40"/>
      <c r="E583" s="6" t="str">
        <f>IF(F583=1,IF(ISERROR(TableCosts[[#This Row],[N_Tariff]]),Err_Message1,IF(TableCosts[[#This Row],[N_Tariff]]=0,Err_Message2,VLOOKUP(C583&amp;TableCosts[[#This Row],[Calc_N_Typ]],TRAN_STRITEMS_LABEL,5,FALSE))),"")</f>
        <v/>
      </c>
      <c r="F583" s="6">
        <f t="shared" si="110"/>
        <v>0</v>
      </c>
      <c r="G583" s="6" t="str">
        <f>IF(F583=1,IFERROR(VLOOKUP(E583,Tab_ErrMessage[],2,0),VLOOKUP(C583&amp;TableCosts[[#This Row],[Calc_N_Typ]],TRAN_STRITEMS_LABEL,4,FALSE)),"")</f>
        <v/>
      </c>
      <c r="H583" s="40"/>
      <c r="I583" s="40"/>
      <c r="J583" s="35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  <c r="AD583" s="24"/>
      <c r="AE583" s="24"/>
      <c r="AF583" s="24"/>
      <c r="AG583" s="24"/>
      <c r="AH583" s="24"/>
      <c r="AI583" s="24"/>
      <c r="AJ583" s="24"/>
      <c r="AK583" s="38">
        <f t="array" ref="AK583">IF(F583=1,SUM((ROW(M0)=ROW(AK583))*(M0+M1_+M2_+M3_+M4_+M5_+M6_+M7_+M8_+M9_+M10_+M11_+M12_+M13_+M14_+M15_+M16_+M17_+M18_+M19_+M20_+M21_+M22_+M23_+M24_+M25_)),0)</f>
        <v>0</v>
      </c>
      <c r="AL583" s="27">
        <f>TableCosts[[#This Row],[N_Direct]]</f>
        <v>0</v>
      </c>
      <c r="AN583" s="7" t="str">
        <f t="shared" si="111"/>
        <v/>
      </c>
      <c r="AO583" s="7" t="str">
        <f t="shared" ref="AO583:AO646" si="114">IF(F583=1,IF(C583="","",C583),"")</f>
        <v/>
      </c>
      <c r="AP583" s="7" t="str">
        <f t="shared" si="112"/>
        <v/>
      </c>
      <c r="AQ583" s="7" t="str">
        <f t="shared" ref="AQ583:AQ646" si="115">IF(F583=1,IF(OR(D583="realizácia",D583=""),"realizácia",D583),"")</f>
        <v/>
      </c>
      <c r="AR583" s="7" t="str">
        <f t="shared" si="113"/>
        <v/>
      </c>
      <c r="AS583" s="7">
        <f t="shared" ref="AS583:AS646" si="116">IF(F583=1,IF(G583="ks",ROUNDUP(AK583,0),AK583),0)</f>
        <v>0</v>
      </c>
      <c r="AT583" s="17">
        <f>TableCosts[[#This Row],[N_Amount]]*TableCosts[[#This Row],[N_Tariff]]*TableCosts[[#This Row],[N_ItemsCount]]</f>
        <v>0</v>
      </c>
      <c r="AU583" s="17">
        <f>IF(F583=1,IF(TableCosts[[#This Row],[N_Kateg]]="interné práce",TableCosts[[#This Row],[N_Amount]]*8*PAR_SGA_PERHOUR,0),0)</f>
        <v>0</v>
      </c>
      <c r="AV583" s="17">
        <f>SUM(TableCosts[[#This Row],[N_Direct]:[N_SGA]])</f>
        <v>0</v>
      </c>
      <c r="AW583" s="7">
        <f>IF(F583=1,IF(D583="",NA(),VLOOKUP(C583&amp;TableCosts[[#This Row],[Calc_N_Typ]],TRAN_STRITEMS_LABEL,7,0)),0)</f>
        <v>0</v>
      </c>
      <c r="AX583" s="7">
        <f t="shared" ref="AX583:AX646" si="117">IF(F583=1,IF(G583="čld.",8,1),0)</f>
        <v>0</v>
      </c>
      <c r="AY583" s="57" t="str">
        <f t="shared" ref="AY583:AY646" si="118">IF(F583=1,IFERROR(VLOOKUP(B583,IpsLicences,2,0),IF(C583="",Par_Center,C583)),"")</f>
        <v/>
      </c>
      <c r="AZ583" s="57" t="str">
        <f t="shared" ref="AZ583:AZ646" si="119">IF(F583=1,Par_Center,"")</f>
        <v/>
      </c>
      <c r="BA583" s="57" t="str">
        <f>IF(F583=1,IF(TableCosts[[#This Row],[TransferFrom]]=TableCosts[[#This Row],[TranferTo]],0,1),"")</f>
        <v/>
      </c>
      <c r="BB583" s="7">
        <f t="shared" ref="BB583:BB646" si="120">IF(RIGHT(B583,LEN(Par_LabelTravelTime))=Par_LabelTravelTime,LEFT(B583,LEN(B583)-LEN(Par_LabelTravelTime)),B583)</f>
        <v>0</v>
      </c>
      <c r="BC583" s="7">
        <f t="shared" ref="BC583:BC646" si="121">IF(RIGHT(B583,LEN(Par_LabelTravelTime))=Par_LabelTravelTime,1,0)</f>
        <v>0</v>
      </c>
    </row>
    <row r="584" spans="2:55" s="7" customFormat="1" ht="12.75" x14ac:dyDescent="0.2">
      <c r="B584" s="33"/>
      <c r="C584" s="31"/>
      <c r="D584" s="40"/>
      <c r="E584" s="6" t="str">
        <f>IF(F584=1,IF(ISERROR(TableCosts[[#This Row],[N_Tariff]]),Err_Message1,IF(TableCosts[[#This Row],[N_Tariff]]=0,Err_Message2,VLOOKUP(C584&amp;TableCosts[[#This Row],[Calc_N_Typ]],TRAN_STRITEMS_LABEL,5,FALSE))),"")</f>
        <v/>
      </c>
      <c r="F584" s="6">
        <f t="shared" si="110"/>
        <v>0</v>
      </c>
      <c r="G584" s="6" t="str">
        <f>IF(F584=1,IFERROR(VLOOKUP(E584,Tab_ErrMessage[],2,0),VLOOKUP(C584&amp;TableCosts[[#This Row],[Calc_N_Typ]],TRAN_STRITEMS_LABEL,4,FALSE)),"")</f>
        <v/>
      </c>
      <c r="H584" s="40"/>
      <c r="I584" s="40"/>
      <c r="J584" s="35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  <c r="AD584" s="24"/>
      <c r="AE584" s="24"/>
      <c r="AF584" s="24"/>
      <c r="AG584" s="24"/>
      <c r="AH584" s="24"/>
      <c r="AI584" s="24"/>
      <c r="AJ584" s="24"/>
      <c r="AK584" s="38">
        <f t="array" ref="AK584">IF(F584=1,SUM((ROW(M0)=ROW(AK584))*(M0+M1_+M2_+M3_+M4_+M5_+M6_+M7_+M8_+M9_+M10_+M11_+M12_+M13_+M14_+M15_+M16_+M17_+M18_+M19_+M20_+M21_+M22_+M23_+M24_+M25_)),0)</f>
        <v>0</v>
      </c>
      <c r="AL584" s="27">
        <f>TableCosts[[#This Row],[N_Direct]]</f>
        <v>0</v>
      </c>
      <c r="AN584" s="7" t="str">
        <f t="shared" si="111"/>
        <v/>
      </c>
      <c r="AO584" s="7" t="str">
        <f t="shared" si="114"/>
        <v/>
      </c>
      <c r="AP584" s="7" t="str">
        <f t="shared" si="112"/>
        <v/>
      </c>
      <c r="AQ584" s="7" t="str">
        <f t="shared" si="115"/>
        <v/>
      </c>
      <c r="AR584" s="7" t="str">
        <f t="shared" si="113"/>
        <v/>
      </c>
      <c r="AS584" s="7">
        <f t="shared" si="116"/>
        <v>0</v>
      </c>
      <c r="AT584" s="17">
        <f>TableCosts[[#This Row],[N_Amount]]*TableCosts[[#This Row],[N_Tariff]]*TableCosts[[#This Row],[N_ItemsCount]]</f>
        <v>0</v>
      </c>
      <c r="AU584" s="17">
        <f>IF(F584=1,IF(TableCosts[[#This Row],[N_Kateg]]="interné práce",TableCosts[[#This Row],[N_Amount]]*8*PAR_SGA_PERHOUR,0),0)</f>
        <v>0</v>
      </c>
      <c r="AV584" s="17">
        <f>SUM(TableCosts[[#This Row],[N_Direct]:[N_SGA]])</f>
        <v>0</v>
      </c>
      <c r="AW584" s="7">
        <f>IF(F584=1,IF(D584="",NA(),VLOOKUP(C584&amp;TableCosts[[#This Row],[Calc_N_Typ]],TRAN_STRITEMS_LABEL,7,0)),0)</f>
        <v>0</v>
      </c>
      <c r="AX584" s="7">
        <f t="shared" si="117"/>
        <v>0</v>
      </c>
      <c r="AY584" s="57" t="str">
        <f t="shared" si="118"/>
        <v/>
      </c>
      <c r="AZ584" s="57" t="str">
        <f t="shared" si="119"/>
        <v/>
      </c>
      <c r="BA584" s="57" t="str">
        <f>IF(F584=1,IF(TableCosts[[#This Row],[TransferFrom]]=TableCosts[[#This Row],[TranferTo]],0,1),"")</f>
        <v/>
      </c>
      <c r="BB584" s="7">
        <f t="shared" si="120"/>
        <v>0</v>
      </c>
      <c r="BC584" s="7">
        <f t="shared" si="121"/>
        <v>0</v>
      </c>
    </row>
    <row r="585" spans="2:55" s="7" customFormat="1" ht="12.75" x14ac:dyDescent="0.2">
      <c r="B585" s="33"/>
      <c r="C585" s="31"/>
      <c r="D585" s="40"/>
      <c r="E585" s="6" t="str">
        <f>IF(F585=1,IF(ISERROR(TableCosts[[#This Row],[N_Tariff]]),Err_Message1,IF(TableCosts[[#This Row],[N_Tariff]]=0,Err_Message2,VLOOKUP(C585&amp;TableCosts[[#This Row],[Calc_N_Typ]],TRAN_STRITEMS_LABEL,5,FALSE))),"")</f>
        <v/>
      </c>
      <c r="F585" s="6">
        <f t="shared" ref="F585:F648" si="122">IF(B585="",0,IF(LEFT(B585,3)="***",-1,1))</f>
        <v>0</v>
      </c>
      <c r="G585" s="6" t="str">
        <f>IF(F585=1,IFERROR(VLOOKUP(E585,Tab_ErrMessage[],2,0),VLOOKUP(C585&amp;TableCosts[[#This Row],[Calc_N_Typ]],TRAN_STRITEMS_LABEL,4,FALSE)),"")</f>
        <v/>
      </c>
      <c r="H585" s="40"/>
      <c r="I585" s="40"/>
      <c r="J585" s="35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  <c r="AD585" s="24"/>
      <c r="AE585" s="24"/>
      <c r="AF585" s="24"/>
      <c r="AG585" s="24"/>
      <c r="AH585" s="24"/>
      <c r="AI585" s="24"/>
      <c r="AJ585" s="24"/>
      <c r="AK585" s="38">
        <f t="array" ref="AK585">IF(F585=1,SUM((ROW(M0)=ROW(AK585))*(M0+M1_+M2_+M3_+M4_+M5_+M6_+M7_+M8_+M9_+M10_+M11_+M12_+M13_+M14_+M15_+M16_+M17_+M18_+M19_+M20_+M21_+M22_+M23_+M24_+M25_)),0)</f>
        <v>0</v>
      </c>
      <c r="AL585" s="27">
        <f>TableCosts[[#This Row],[N_Direct]]</f>
        <v>0</v>
      </c>
      <c r="AN585" s="7" t="str">
        <f t="shared" si="111"/>
        <v/>
      </c>
      <c r="AO585" s="7" t="str">
        <f t="shared" si="114"/>
        <v/>
      </c>
      <c r="AP585" s="7" t="str">
        <f t="shared" si="112"/>
        <v/>
      </c>
      <c r="AQ585" s="7" t="str">
        <f t="shared" si="115"/>
        <v/>
      </c>
      <c r="AR585" s="7" t="str">
        <f t="shared" si="113"/>
        <v/>
      </c>
      <c r="AS585" s="7">
        <f t="shared" si="116"/>
        <v>0</v>
      </c>
      <c r="AT585" s="17">
        <f>TableCosts[[#This Row],[N_Amount]]*TableCosts[[#This Row],[N_Tariff]]*TableCosts[[#This Row],[N_ItemsCount]]</f>
        <v>0</v>
      </c>
      <c r="AU585" s="17">
        <f>IF(F585=1,IF(TableCosts[[#This Row],[N_Kateg]]="interné práce",TableCosts[[#This Row],[N_Amount]]*8*PAR_SGA_PERHOUR,0),0)</f>
        <v>0</v>
      </c>
      <c r="AV585" s="17">
        <f>SUM(TableCosts[[#This Row],[N_Direct]:[N_SGA]])</f>
        <v>0</v>
      </c>
      <c r="AW585" s="7">
        <f>IF(F585=1,IF(D585="",NA(),VLOOKUP(C585&amp;TableCosts[[#This Row],[Calc_N_Typ]],TRAN_STRITEMS_LABEL,7,0)),0)</f>
        <v>0</v>
      </c>
      <c r="AX585" s="7">
        <f t="shared" si="117"/>
        <v>0</v>
      </c>
      <c r="AY585" s="57" t="str">
        <f t="shared" si="118"/>
        <v/>
      </c>
      <c r="AZ585" s="57" t="str">
        <f t="shared" si="119"/>
        <v/>
      </c>
      <c r="BA585" s="57" t="str">
        <f>IF(F585=1,IF(TableCosts[[#This Row],[TransferFrom]]=TableCosts[[#This Row],[TranferTo]],0,1),"")</f>
        <v/>
      </c>
      <c r="BB585" s="7">
        <f t="shared" si="120"/>
        <v>0</v>
      </c>
      <c r="BC585" s="7">
        <f t="shared" si="121"/>
        <v>0</v>
      </c>
    </row>
    <row r="586" spans="2:55" s="7" customFormat="1" ht="12.75" x14ac:dyDescent="0.2">
      <c r="B586" s="33"/>
      <c r="C586" s="31"/>
      <c r="D586" s="40"/>
      <c r="E586" s="6" t="str">
        <f>IF(F586=1,IF(ISERROR(TableCosts[[#This Row],[N_Tariff]]),Err_Message1,IF(TableCosts[[#This Row],[N_Tariff]]=0,Err_Message2,VLOOKUP(C586&amp;TableCosts[[#This Row],[Calc_N_Typ]],TRAN_STRITEMS_LABEL,5,FALSE))),"")</f>
        <v/>
      </c>
      <c r="F586" s="6">
        <f t="shared" si="122"/>
        <v>0</v>
      </c>
      <c r="G586" s="6" t="str">
        <f>IF(F586=1,IFERROR(VLOOKUP(E586,Tab_ErrMessage[],2,0),VLOOKUP(C586&amp;TableCosts[[#This Row],[Calc_N_Typ]],TRAN_STRITEMS_LABEL,4,FALSE)),"")</f>
        <v/>
      </c>
      <c r="H586" s="40"/>
      <c r="I586" s="40"/>
      <c r="J586" s="35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  <c r="AD586" s="24"/>
      <c r="AE586" s="24"/>
      <c r="AF586" s="24"/>
      <c r="AG586" s="24"/>
      <c r="AH586" s="24"/>
      <c r="AI586" s="24"/>
      <c r="AJ586" s="24"/>
      <c r="AK586" s="38">
        <f t="array" ref="AK586">IF(F586=1,SUM((ROW(M0)=ROW(AK586))*(M0+M1_+M2_+M3_+M4_+M5_+M6_+M7_+M8_+M9_+M10_+M11_+M12_+M13_+M14_+M15_+M16_+M17_+M18_+M19_+M20_+M21_+M22_+M23_+M24_+M25_)),0)</f>
        <v>0</v>
      </c>
      <c r="AL586" s="27">
        <f>TableCosts[[#This Row],[N_Direct]]</f>
        <v>0</v>
      </c>
      <c r="AN586" s="7" t="str">
        <f t="shared" si="111"/>
        <v/>
      </c>
      <c r="AO586" s="7" t="str">
        <f t="shared" si="114"/>
        <v/>
      </c>
      <c r="AP586" s="7" t="str">
        <f t="shared" si="112"/>
        <v/>
      </c>
      <c r="AQ586" s="7" t="str">
        <f t="shared" si="115"/>
        <v/>
      </c>
      <c r="AR586" s="7" t="str">
        <f t="shared" si="113"/>
        <v/>
      </c>
      <c r="AS586" s="7">
        <f t="shared" si="116"/>
        <v>0</v>
      </c>
      <c r="AT586" s="17">
        <f>TableCosts[[#This Row],[N_Amount]]*TableCosts[[#This Row],[N_Tariff]]*TableCosts[[#This Row],[N_ItemsCount]]</f>
        <v>0</v>
      </c>
      <c r="AU586" s="17">
        <f>IF(F586=1,IF(TableCosts[[#This Row],[N_Kateg]]="interné práce",TableCosts[[#This Row],[N_Amount]]*8*PAR_SGA_PERHOUR,0),0)</f>
        <v>0</v>
      </c>
      <c r="AV586" s="17">
        <f>SUM(TableCosts[[#This Row],[N_Direct]:[N_SGA]])</f>
        <v>0</v>
      </c>
      <c r="AW586" s="7">
        <f>IF(F586=1,IF(D586="",NA(),VLOOKUP(C586&amp;TableCosts[[#This Row],[Calc_N_Typ]],TRAN_STRITEMS_LABEL,7,0)),0)</f>
        <v>0</v>
      </c>
      <c r="AX586" s="7">
        <f t="shared" si="117"/>
        <v>0</v>
      </c>
      <c r="AY586" s="57" t="str">
        <f t="shared" si="118"/>
        <v/>
      </c>
      <c r="AZ586" s="57" t="str">
        <f t="shared" si="119"/>
        <v/>
      </c>
      <c r="BA586" s="57" t="str">
        <f>IF(F586=1,IF(TableCosts[[#This Row],[TransferFrom]]=TableCosts[[#This Row],[TranferTo]],0,1),"")</f>
        <v/>
      </c>
      <c r="BB586" s="7">
        <f t="shared" si="120"/>
        <v>0</v>
      </c>
      <c r="BC586" s="7">
        <f t="shared" si="121"/>
        <v>0</v>
      </c>
    </row>
    <row r="587" spans="2:55" s="7" customFormat="1" ht="12.75" x14ac:dyDescent="0.2">
      <c r="B587" s="33"/>
      <c r="C587" s="31"/>
      <c r="D587" s="40"/>
      <c r="E587" s="6" t="str">
        <f>IF(F587=1,IF(ISERROR(TableCosts[[#This Row],[N_Tariff]]),Err_Message1,IF(TableCosts[[#This Row],[N_Tariff]]=0,Err_Message2,VLOOKUP(C587&amp;TableCosts[[#This Row],[Calc_N_Typ]],TRAN_STRITEMS_LABEL,5,FALSE))),"")</f>
        <v/>
      </c>
      <c r="F587" s="6">
        <f t="shared" si="122"/>
        <v>0</v>
      </c>
      <c r="G587" s="6" t="str">
        <f>IF(F587=1,IFERROR(VLOOKUP(E587,Tab_ErrMessage[],2,0),VLOOKUP(C587&amp;TableCosts[[#This Row],[Calc_N_Typ]],TRAN_STRITEMS_LABEL,4,FALSE)),"")</f>
        <v/>
      </c>
      <c r="H587" s="40"/>
      <c r="I587" s="40"/>
      <c r="J587" s="35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  <c r="AD587" s="24"/>
      <c r="AE587" s="24"/>
      <c r="AF587" s="24"/>
      <c r="AG587" s="24"/>
      <c r="AH587" s="24"/>
      <c r="AI587" s="24"/>
      <c r="AJ587" s="24"/>
      <c r="AK587" s="38">
        <f t="array" ref="AK587">IF(F587=1,SUM((ROW(M0)=ROW(AK587))*(M0+M1_+M2_+M3_+M4_+M5_+M6_+M7_+M8_+M9_+M10_+M11_+M12_+M13_+M14_+M15_+M16_+M17_+M18_+M19_+M20_+M21_+M22_+M23_+M24_+M25_)),0)</f>
        <v>0</v>
      </c>
      <c r="AL587" s="27">
        <f>TableCosts[[#This Row],[N_Direct]]</f>
        <v>0</v>
      </c>
      <c r="AN587" s="7" t="str">
        <f t="shared" si="111"/>
        <v/>
      </c>
      <c r="AO587" s="7" t="str">
        <f t="shared" si="114"/>
        <v/>
      </c>
      <c r="AP587" s="7" t="str">
        <f t="shared" si="112"/>
        <v/>
      </c>
      <c r="AQ587" s="7" t="str">
        <f t="shared" si="115"/>
        <v/>
      </c>
      <c r="AR587" s="7" t="str">
        <f t="shared" si="113"/>
        <v/>
      </c>
      <c r="AS587" s="7">
        <f t="shared" si="116"/>
        <v>0</v>
      </c>
      <c r="AT587" s="17">
        <f>TableCosts[[#This Row],[N_Amount]]*TableCosts[[#This Row],[N_Tariff]]*TableCosts[[#This Row],[N_ItemsCount]]</f>
        <v>0</v>
      </c>
      <c r="AU587" s="17">
        <f>IF(F587=1,IF(TableCosts[[#This Row],[N_Kateg]]="interné práce",TableCosts[[#This Row],[N_Amount]]*8*PAR_SGA_PERHOUR,0),0)</f>
        <v>0</v>
      </c>
      <c r="AV587" s="17">
        <f>SUM(TableCosts[[#This Row],[N_Direct]:[N_SGA]])</f>
        <v>0</v>
      </c>
      <c r="AW587" s="7">
        <f>IF(F587=1,IF(D587="",NA(),VLOOKUP(C587&amp;TableCosts[[#This Row],[Calc_N_Typ]],TRAN_STRITEMS_LABEL,7,0)),0)</f>
        <v>0</v>
      </c>
      <c r="AX587" s="7">
        <f t="shared" si="117"/>
        <v>0</v>
      </c>
      <c r="AY587" s="57" t="str">
        <f t="shared" si="118"/>
        <v/>
      </c>
      <c r="AZ587" s="57" t="str">
        <f t="shared" si="119"/>
        <v/>
      </c>
      <c r="BA587" s="57" t="str">
        <f>IF(F587=1,IF(TableCosts[[#This Row],[TransferFrom]]=TableCosts[[#This Row],[TranferTo]],0,1),"")</f>
        <v/>
      </c>
      <c r="BB587" s="7">
        <f t="shared" si="120"/>
        <v>0</v>
      </c>
      <c r="BC587" s="7">
        <f t="shared" si="121"/>
        <v>0</v>
      </c>
    </row>
    <row r="588" spans="2:55" s="7" customFormat="1" ht="12.75" x14ac:dyDescent="0.2">
      <c r="B588" s="33"/>
      <c r="C588" s="31"/>
      <c r="D588" s="40"/>
      <c r="E588" s="6" t="str">
        <f>IF(F588=1,IF(ISERROR(TableCosts[[#This Row],[N_Tariff]]),Err_Message1,IF(TableCosts[[#This Row],[N_Tariff]]=0,Err_Message2,VLOOKUP(C588&amp;TableCosts[[#This Row],[Calc_N_Typ]],TRAN_STRITEMS_LABEL,5,FALSE))),"")</f>
        <v/>
      </c>
      <c r="F588" s="6">
        <f t="shared" si="122"/>
        <v>0</v>
      </c>
      <c r="G588" s="6" t="str">
        <f>IF(F588=1,IFERROR(VLOOKUP(E588,Tab_ErrMessage[],2,0),VLOOKUP(C588&amp;TableCosts[[#This Row],[Calc_N_Typ]],TRAN_STRITEMS_LABEL,4,FALSE)),"")</f>
        <v/>
      </c>
      <c r="H588" s="40"/>
      <c r="I588" s="40"/>
      <c r="J588" s="35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  <c r="AD588" s="24"/>
      <c r="AE588" s="24"/>
      <c r="AF588" s="24"/>
      <c r="AG588" s="24"/>
      <c r="AH588" s="24"/>
      <c r="AI588" s="24"/>
      <c r="AJ588" s="24"/>
      <c r="AK588" s="38">
        <f t="array" ref="AK588">IF(F588=1,SUM((ROW(M0)=ROW(AK588))*(M0+M1_+M2_+M3_+M4_+M5_+M6_+M7_+M8_+M9_+M10_+M11_+M12_+M13_+M14_+M15_+M16_+M17_+M18_+M19_+M20_+M21_+M22_+M23_+M24_+M25_)),0)</f>
        <v>0</v>
      </c>
      <c r="AL588" s="27">
        <f>TableCosts[[#This Row],[N_Direct]]</f>
        <v>0</v>
      </c>
      <c r="AN588" s="7" t="str">
        <f t="shared" si="111"/>
        <v/>
      </c>
      <c r="AO588" s="7" t="str">
        <f t="shared" si="114"/>
        <v/>
      </c>
      <c r="AP588" s="7" t="str">
        <f t="shared" si="112"/>
        <v/>
      </c>
      <c r="AQ588" s="7" t="str">
        <f t="shared" si="115"/>
        <v/>
      </c>
      <c r="AR588" s="7" t="str">
        <f t="shared" si="113"/>
        <v/>
      </c>
      <c r="AS588" s="7">
        <f t="shared" si="116"/>
        <v>0</v>
      </c>
      <c r="AT588" s="17">
        <f>TableCosts[[#This Row],[N_Amount]]*TableCosts[[#This Row],[N_Tariff]]*TableCosts[[#This Row],[N_ItemsCount]]</f>
        <v>0</v>
      </c>
      <c r="AU588" s="17">
        <f>IF(F588=1,IF(TableCosts[[#This Row],[N_Kateg]]="interné práce",TableCosts[[#This Row],[N_Amount]]*8*PAR_SGA_PERHOUR,0),0)</f>
        <v>0</v>
      </c>
      <c r="AV588" s="17">
        <f>SUM(TableCosts[[#This Row],[N_Direct]:[N_SGA]])</f>
        <v>0</v>
      </c>
      <c r="AW588" s="7">
        <f>IF(F588=1,IF(D588="",NA(),VLOOKUP(C588&amp;TableCosts[[#This Row],[Calc_N_Typ]],TRAN_STRITEMS_LABEL,7,0)),0)</f>
        <v>0</v>
      </c>
      <c r="AX588" s="7">
        <f t="shared" si="117"/>
        <v>0</v>
      </c>
      <c r="AY588" s="57" t="str">
        <f t="shared" si="118"/>
        <v/>
      </c>
      <c r="AZ588" s="57" t="str">
        <f t="shared" si="119"/>
        <v/>
      </c>
      <c r="BA588" s="57" t="str">
        <f>IF(F588=1,IF(TableCosts[[#This Row],[TransferFrom]]=TableCosts[[#This Row],[TranferTo]],0,1),"")</f>
        <v/>
      </c>
      <c r="BB588" s="7">
        <f t="shared" si="120"/>
        <v>0</v>
      </c>
      <c r="BC588" s="7">
        <f t="shared" si="121"/>
        <v>0</v>
      </c>
    </row>
    <row r="589" spans="2:55" s="7" customFormat="1" ht="12.75" x14ac:dyDescent="0.2">
      <c r="B589" s="33"/>
      <c r="C589" s="31"/>
      <c r="D589" s="40"/>
      <c r="E589" s="6" t="str">
        <f>IF(F589=1,IF(ISERROR(TableCosts[[#This Row],[N_Tariff]]),Err_Message1,IF(TableCosts[[#This Row],[N_Tariff]]=0,Err_Message2,VLOOKUP(C589&amp;TableCosts[[#This Row],[Calc_N_Typ]],TRAN_STRITEMS_LABEL,5,FALSE))),"")</f>
        <v/>
      </c>
      <c r="F589" s="6">
        <f t="shared" si="122"/>
        <v>0</v>
      </c>
      <c r="G589" s="6" t="str">
        <f>IF(F589=1,IFERROR(VLOOKUP(E589,Tab_ErrMessage[],2,0),VLOOKUP(C589&amp;TableCosts[[#This Row],[Calc_N_Typ]],TRAN_STRITEMS_LABEL,4,FALSE)),"")</f>
        <v/>
      </c>
      <c r="H589" s="40"/>
      <c r="I589" s="40"/>
      <c r="J589" s="35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  <c r="AD589" s="24"/>
      <c r="AE589" s="24"/>
      <c r="AF589" s="24"/>
      <c r="AG589" s="24"/>
      <c r="AH589" s="24"/>
      <c r="AI589" s="24"/>
      <c r="AJ589" s="24"/>
      <c r="AK589" s="38">
        <f t="array" ref="AK589">IF(F589=1,SUM((ROW(M0)=ROW(AK589))*(M0+M1_+M2_+M3_+M4_+M5_+M6_+M7_+M8_+M9_+M10_+M11_+M12_+M13_+M14_+M15_+M16_+M17_+M18_+M19_+M20_+M21_+M22_+M23_+M24_+M25_)),0)</f>
        <v>0</v>
      </c>
      <c r="AL589" s="27">
        <f>TableCosts[[#This Row],[N_Direct]]</f>
        <v>0</v>
      </c>
      <c r="AN589" s="7" t="str">
        <f t="shared" si="111"/>
        <v/>
      </c>
      <c r="AO589" s="7" t="str">
        <f t="shared" si="114"/>
        <v/>
      </c>
      <c r="AP589" s="7" t="str">
        <f t="shared" si="112"/>
        <v/>
      </c>
      <c r="AQ589" s="7" t="str">
        <f t="shared" si="115"/>
        <v/>
      </c>
      <c r="AR589" s="7" t="str">
        <f t="shared" si="113"/>
        <v/>
      </c>
      <c r="AS589" s="7">
        <f t="shared" si="116"/>
        <v>0</v>
      </c>
      <c r="AT589" s="17">
        <f>TableCosts[[#This Row],[N_Amount]]*TableCosts[[#This Row],[N_Tariff]]*TableCosts[[#This Row],[N_ItemsCount]]</f>
        <v>0</v>
      </c>
      <c r="AU589" s="17">
        <f>IF(F589=1,IF(TableCosts[[#This Row],[N_Kateg]]="interné práce",TableCosts[[#This Row],[N_Amount]]*8*PAR_SGA_PERHOUR,0),0)</f>
        <v>0</v>
      </c>
      <c r="AV589" s="17">
        <f>SUM(TableCosts[[#This Row],[N_Direct]:[N_SGA]])</f>
        <v>0</v>
      </c>
      <c r="AW589" s="7">
        <f>IF(F589=1,IF(D589="",NA(),VLOOKUP(C589&amp;TableCosts[[#This Row],[Calc_N_Typ]],TRAN_STRITEMS_LABEL,7,0)),0)</f>
        <v>0</v>
      </c>
      <c r="AX589" s="7">
        <f t="shared" si="117"/>
        <v>0</v>
      </c>
      <c r="AY589" s="57" t="str">
        <f t="shared" si="118"/>
        <v/>
      </c>
      <c r="AZ589" s="57" t="str">
        <f t="shared" si="119"/>
        <v/>
      </c>
      <c r="BA589" s="57" t="str">
        <f>IF(F589=1,IF(TableCosts[[#This Row],[TransferFrom]]=TableCosts[[#This Row],[TranferTo]],0,1),"")</f>
        <v/>
      </c>
      <c r="BB589" s="7">
        <f t="shared" si="120"/>
        <v>0</v>
      </c>
      <c r="BC589" s="7">
        <f t="shared" si="121"/>
        <v>0</v>
      </c>
    </row>
    <row r="590" spans="2:55" s="7" customFormat="1" ht="12.75" x14ac:dyDescent="0.2">
      <c r="B590" s="33"/>
      <c r="C590" s="31"/>
      <c r="D590" s="40"/>
      <c r="E590" s="6" t="str">
        <f>IF(F590=1,IF(ISERROR(TableCosts[[#This Row],[N_Tariff]]),Err_Message1,IF(TableCosts[[#This Row],[N_Tariff]]=0,Err_Message2,VLOOKUP(C590&amp;TableCosts[[#This Row],[Calc_N_Typ]],TRAN_STRITEMS_LABEL,5,FALSE))),"")</f>
        <v/>
      </c>
      <c r="F590" s="6">
        <f t="shared" si="122"/>
        <v>0</v>
      </c>
      <c r="G590" s="6" t="str">
        <f>IF(F590=1,IFERROR(VLOOKUP(E590,Tab_ErrMessage[],2,0),VLOOKUP(C590&amp;TableCosts[[#This Row],[Calc_N_Typ]],TRAN_STRITEMS_LABEL,4,FALSE)),"")</f>
        <v/>
      </c>
      <c r="H590" s="40"/>
      <c r="I590" s="40"/>
      <c r="J590" s="35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  <c r="AD590" s="24"/>
      <c r="AE590" s="24"/>
      <c r="AF590" s="24"/>
      <c r="AG590" s="24"/>
      <c r="AH590" s="24"/>
      <c r="AI590" s="24"/>
      <c r="AJ590" s="24"/>
      <c r="AK590" s="38">
        <f t="array" ref="AK590">IF(F590=1,SUM((ROW(M0)=ROW(AK590))*(M0+M1_+M2_+M3_+M4_+M5_+M6_+M7_+M8_+M9_+M10_+M11_+M12_+M13_+M14_+M15_+M16_+M17_+M18_+M19_+M20_+M21_+M22_+M23_+M24_+M25_)),0)</f>
        <v>0</v>
      </c>
      <c r="AL590" s="27">
        <f>TableCosts[[#This Row],[N_Direct]]</f>
        <v>0</v>
      </c>
      <c r="AN590" s="7" t="str">
        <f t="shared" si="111"/>
        <v/>
      </c>
      <c r="AO590" s="7" t="str">
        <f t="shared" si="114"/>
        <v/>
      </c>
      <c r="AP590" s="7" t="str">
        <f t="shared" si="112"/>
        <v/>
      </c>
      <c r="AQ590" s="7" t="str">
        <f t="shared" si="115"/>
        <v/>
      </c>
      <c r="AR590" s="7" t="str">
        <f t="shared" si="113"/>
        <v/>
      </c>
      <c r="AS590" s="7">
        <f t="shared" si="116"/>
        <v>0</v>
      </c>
      <c r="AT590" s="17">
        <f>TableCosts[[#This Row],[N_Amount]]*TableCosts[[#This Row],[N_Tariff]]*TableCosts[[#This Row],[N_ItemsCount]]</f>
        <v>0</v>
      </c>
      <c r="AU590" s="17">
        <f>IF(F590=1,IF(TableCosts[[#This Row],[N_Kateg]]="interné práce",TableCosts[[#This Row],[N_Amount]]*8*PAR_SGA_PERHOUR,0),0)</f>
        <v>0</v>
      </c>
      <c r="AV590" s="17">
        <f>SUM(TableCosts[[#This Row],[N_Direct]:[N_SGA]])</f>
        <v>0</v>
      </c>
      <c r="AW590" s="7">
        <f>IF(F590=1,IF(D590="",NA(),VLOOKUP(C590&amp;TableCosts[[#This Row],[Calc_N_Typ]],TRAN_STRITEMS_LABEL,7,0)),0)</f>
        <v>0</v>
      </c>
      <c r="AX590" s="7">
        <f t="shared" si="117"/>
        <v>0</v>
      </c>
      <c r="AY590" s="57" t="str">
        <f t="shared" si="118"/>
        <v/>
      </c>
      <c r="AZ590" s="57" t="str">
        <f t="shared" si="119"/>
        <v/>
      </c>
      <c r="BA590" s="57" t="str">
        <f>IF(F590=1,IF(TableCosts[[#This Row],[TransferFrom]]=TableCosts[[#This Row],[TranferTo]],0,1),"")</f>
        <v/>
      </c>
      <c r="BB590" s="7">
        <f t="shared" si="120"/>
        <v>0</v>
      </c>
      <c r="BC590" s="7">
        <f t="shared" si="121"/>
        <v>0</v>
      </c>
    </row>
    <row r="591" spans="2:55" s="7" customFormat="1" ht="12.75" x14ac:dyDescent="0.2">
      <c r="B591" s="33"/>
      <c r="C591" s="31"/>
      <c r="D591" s="40"/>
      <c r="E591" s="6" t="str">
        <f>IF(F591=1,IF(ISERROR(TableCosts[[#This Row],[N_Tariff]]),Err_Message1,IF(TableCosts[[#This Row],[N_Tariff]]=0,Err_Message2,VLOOKUP(C591&amp;TableCosts[[#This Row],[Calc_N_Typ]],TRAN_STRITEMS_LABEL,5,FALSE))),"")</f>
        <v/>
      </c>
      <c r="F591" s="6">
        <f t="shared" si="122"/>
        <v>0</v>
      </c>
      <c r="G591" s="6" t="str">
        <f>IF(F591=1,IFERROR(VLOOKUP(E591,Tab_ErrMessage[],2,0),VLOOKUP(C591&amp;TableCosts[[#This Row],[Calc_N_Typ]],TRAN_STRITEMS_LABEL,4,FALSE)),"")</f>
        <v/>
      </c>
      <c r="H591" s="40"/>
      <c r="I591" s="40"/>
      <c r="J591" s="35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  <c r="AD591" s="24"/>
      <c r="AE591" s="24"/>
      <c r="AF591" s="24"/>
      <c r="AG591" s="24"/>
      <c r="AH591" s="24"/>
      <c r="AI591" s="24"/>
      <c r="AJ591" s="24"/>
      <c r="AK591" s="38">
        <f t="array" ref="AK591">IF(F591=1,SUM((ROW(M0)=ROW(AK591))*(M0+M1_+M2_+M3_+M4_+M5_+M6_+M7_+M8_+M9_+M10_+M11_+M12_+M13_+M14_+M15_+M16_+M17_+M18_+M19_+M20_+M21_+M22_+M23_+M24_+M25_)),0)</f>
        <v>0</v>
      </c>
      <c r="AL591" s="27">
        <f>TableCosts[[#This Row],[N_Direct]]</f>
        <v>0</v>
      </c>
      <c r="AN591" s="7" t="str">
        <f t="shared" si="111"/>
        <v/>
      </c>
      <c r="AO591" s="7" t="str">
        <f t="shared" si="114"/>
        <v/>
      </c>
      <c r="AP591" s="7" t="str">
        <f t="shared" si="112"/>
        <v/>
      </c>
      <c r="AQ591" s="7" t="str">
        <f t="shared" si="115"/>
        <v/>
      </c>
      <c r="AR591" s="7" t="str">
        <f t="shared" si="113"/>
        <v/>
      </c>
      <c r="AS591" s="7">
        <f t="shared" si="116"/>
        <v>0</v>
      </c>
      <c r="AT591" s="17">
        <f>TableCosts[[#This Row],[N_Amount]]*TableCosts[[#This Row],[N_Tariff]]*TableCosts[[#This Row],[N_ItemsCount]]</f>
        <v>0</v>
      </c>
      <c r="AU591" s="17">
        <f>IF(F591=1,IF(TableCosts[[#This Row],[N_Kateg]]="interné práce",TableCosts[[#This Row],[N_Amount]]*8*PAR_SGA_PERHOUR,0),0)</f>
        <v>0</v>
      </c>
      <c r="AV591" s="17">
        <f>SUM(TableCosts[[#This Row],[N_Direct]:[N_SGA]])</f>
        <v>0</v>
      </c>
      <c r="AW591" s="7">
        <f>IF(F591=1,IF(D591="",NA(),VLOOKUP(C591&amp;TableCosts[[#This Row],[Calc_N_Typ]],TRAN_STRITEMS_LABEL,7,0)),0)</f>
        <v>0</v>
      </c>
      <c r="AX591" s="7">
        <f t="shared" si="117"/>
        <v>0</v>
      </c>
      <c r="AY591" s="57" t="str">
        <f t="shared" si="118"/>
        <v/>
      </c>
      <c r="AZ591" s="57" t="str">
        <f t="shared" si="119"/>
        <v/>
      </c>
      <c r="BA591" s="57" t="str">
        <f>IF(F591=1,IF(TableCosts[[#This Row],[TransferFrom]]=TableCosts[[#This Row],[TranferTo]],0,1),"")</f>
        <v/>
      </c>
      <c r="BB591" s="7">
        <f t="shared" si="120"/>
        <v>0</v>
      </c>
      <c r="BC591" s="7">
        <f t="shared" si="121"/>
        <v>0</v>
      </c>
    </row>
    <row r="592" spans="2:55" s="7" customFormat="1" ht="12.75" x14ac:dyDescent="0.2">
      <c r="B592" s="33"/>
      <c r="C592" s="31"/>
      <c r="D592" s="40"/>
      <c r="E592" s="6" t="str">
        <f>IF(F592=1,IF(ISERROR(TableCosts[[#This Row],[N_Tariff]]),Err_Message1,IF(TableCosts[[#This Row],[N_Tariff]]=0,Err_Message2,VLOOKUP(C592&amp;TableCosts[[#This Row],[Calc_N_Typ]],TRAN_STRITEMS_LABEL,5,FALSE))),"")</f>
        <v/>
      </c>
      <c r="F592" s="6">
        <f t="shared" si="122"/>
        <v>0</v>
      </c>
      <c r="G592" s="6" t="str">
        <f>IF(F592=1,IFERROR(VLOOKUP(E592,Tab_ErrMessage[],2,0),VLOOKUP(C592&amp;TableCosts[[#This Row],[Calc_N_Typ]],TRAN_STRITEMS_LABEL,4,FALSE)),"")</f>
        <v/>
      </c>
      <c r="H592" s="40"/>
      <c r="I592" s="40"/>
      <c r="J592" s="35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  <c r="AD592" s="24"/>
      <c r="AE592" s="24"/>
      <c r="AF592" s="24"/>
      <c r="AG592" s="24"/>
      <c r="AH592" s="24"/>
      <c r="AI592" s="24"/>
      <c r="AJ592" s="24"/>
      <c r="AK592" s="38">
        <f t="array" ref="AK592">IF(F592=1,SUM((ROW(M0)=ROW(AK592))*(M0+M1_+M2_+M3_+M4_+M5_+M6_+M7_+M8_+M9_+M10_+M11_+M12_+M13_+M14_+M15_+M16_+M17_+M18_+M19_+M20_+M21_+M22_+M23_+M24_+M25_)),0)</f>
        <v>0</v>
      </c>
      <c r="AL592" s="27">
        <f>TableCosts[[#This Row],[N_Direct]]</f>
        <v>0</v>
      </c>
      <c r="AN592" s="7" t="str">
        <f t="shared" si="111"/>
        <v/>
      </c>
      <c r="AO592" s="7" t="str">
        <f t="shared" si="114"/>
        <v/>
      </c>
      <c r="AP592" s="7" t="str">
        <f t="shared" si="112"/>
        <v/>
      </c>
      <c r="AQ592" s="7" t="str">
        <f t="shared" si="115"/>
        <v/>
      </c>
      <c r="AR592" s="7" t="str">
        <f t="shared" si="113"/>
        <v/>
      </c>
      <c r="AS592" s="7">
        <f t="shared" si="116"/>
        <v>0</v>
      </c>
      <c r="AT592" s="17">
        <f>TableCosts[[#This Row],[N_Amount]]*TableCosts[[#This Row],[N_Tariff]]*TableCosts[[#This Row],[N_ItemsCount]]</f>
        <v>0</v>
      </c>
      <c r="AU592" s="17">
        <f>IF(F592=1,IF(TableCosts[[#This Row],[N_Kateg]]="interné práce",TableCosts[[#This Row],[N_Amount]]*8*PAR_SGA_PERHOUR,0),0)</f>
        <v>0</v>
      </c>
      <c r="AV592" s="17">
        <f>SUM(TableCosts[[#This Row],[N_Direct]:[N_SGA]])</f>
        <v>0</v>
      </c>
      <c r="AW592" s="7">
        <f>IF(F592=1,IF(D592="",NA(),VLOOKUP(C592&amp;TableCosts[[#This Row],[Calc_N_Typ]],TRAN_STRITEMS_LABEL,7,0)),0)</f>
        <v>0</v>
      </c>
      <c r="AX592" s="7">
        <f t="shared" si="117"/>
        <v>0</v>
      </c>
      <c r="AY592" s="57" t="str">
        <f t="shared" si="118"/>
        <v/>
      </c>
      <c r="AZ592" s="57" t="str">
        <f t="shared" si="119"/>
        <v/>
      </c>
      <c r="BA592" s="57" t="str">
        <f>IF(F592=1,IF(TableCosts[[#This Row],[TransferFrom]]=TableCosts[[#This Row],[TranferTo]],0,1),"")</f>
        <v/>
      </c>
      <c r="BB592" s="7">
        <f t="shared" si="120"/>
        <v>0</v>
      </c>
      <c r="BC592" s="7">
        <f t="shared" si="121"/>
        <v>0</v>
      </c>
    </row>
    <row r="593" spans="2:55" s="7" customFormat="1" ht="12.75" x14ac:dyDescent="0.2">
      <c r="B593" s="33"/>
      <c r="C593" s="31"/>
      <c r="D593" s="40"/>
      <c r="E593" s="6" t="str">
        <f>IF(F593=1,IF(ISERROR(TableCosts[[#This Row],[N_Tariff]]),Err_Message1,IF(TableCosts[[#This Row],[N_Tariff]]=0,Err_Message2,VLOOKUP(C593&amp;TableCosts[[#This Row],[Calc_N_Typ]],TRAN_STRITEMS_LABEL,5,FALSE))),"")</f>
        <v/>
      </c>
      <c r="F593" s="6">
        <f t="shared" si="122"/>
        <v>0</v>
      </c>
      <c r="G593" s="6" t="str">
        <f>IF(F593=1,IFERROR(VLOOKUP(E593,Tab_ErrMessage[],2,0),VLOOKUP(C593&amp;TableCosts[[#This Row],[Calc_N_Typ]],TRAN_STRITEMS_LABEL,4,FALSE)),"")</f>
        <v/>
      </c>
      <c r="H593" s="40"/>
      <c r="I593" s="40"/>
      <c r="J593" s="35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  <c r="AD593" s="24"/>
      <c r="AE593" s="24"/>
      <c r="AF593" s="24"/>
      <c r="AG593" s="24"/>
      <c r="AH593" s="24"/>
      <c r="AI593" s="24"/>
      <c r="AJ593" s="24"/>
      <c r="AK593" s="38">
        <f t="array" ref="AK593">IF(F593=1,SUM((ROW(M0)=ROW(AK593))*(M0+M1_+M2_+M3_+M4_+M5_+M6_+M7_+M8_+M9_+M10_+M11_+M12_+M13_+M14_+M15_+M16_+M17_+M18_+M19_+M20_+M21_+M22_+M23_+M24_+M25_)),0)</f>
        <v>0</v>
      </c>
      <c r="AL593" s="27">
        <f>TableCosts[[#This Row],[N_Direct]]</f>
        <v>0</v>
      </c>
      <c r="AN593" s="7" t="str">
        <f t="shared" si="111"/>
        <v/>
      </c>
      <c r="AO593" s="7" t="str">
        <f t="shared" si="114"/>
        <v/>
      </c>
      <c r="AP593" s="7" t="str">
        <f t="shared" si="112"/>
        <v/>
      </c>
      <c r="AQ593" s="7" t="str">
        <f t="shared" si="115"/>
        <v/>
      </c>
      <c r="AR593" s="7" t="str">
        <f t="shared" si="113"/>
        <v/>
      </c>
      <c r="AS593" s="7">
        <f t="shared" si="116"/>
        <v>0</v>
      </c>
      <c r="AT593" s="17">
        <f>TableCosts[[#This Row],[N_Amount]]*TableCosts[[#This Row],[N_Tariff]]*TableCosts[[#This Row],[N_ItemsCount]]</f>
        <v>0</v>
      </c>
      <c r="AU593" s="17">
        <f>IF(F593=1,IF(TableCosts[[#This Row],[N_Kateg]]="interné práce",TableCosts[[#This Row],[N_Amount]]*8*PAR_SGA_PERHOUR,0),0)</f>
        <v>0</v>
      </c>
      <c r="AV593" s="17">
        <f>SUM(TableCosts[[#This Row],[N_Direct]:[N_SGA]])</f>
        <v>0</v>
      </c>
      <c r="AW593" s="7">
        <f>IF(F593=1,IF(D593="",NA(),VLOOKUP(C593&amp;TableCosts[[#This Row],[Calc_N_Typ]],TRAN_STRITEMS_LABEL,7,0)),0)</f>
        <v>0</v>
      </c>
      <c r="AX593" s="7">
        <f t="shared" si="117"/>
        <v>0</v>
      </c>
      <c r="AY593" s="57" t="str">
        <f t="shared" si="118"/>
        <v/>
      </c>
      <c r="AZ593" s="57" t="str">
        <f t="shared" si="119"/>
        <v/>
      </c>
      <c r="BA593" s="57" t="str">
        <f>IF(F593=1,IF(TableCosts[[#This Row],[TransferFrom]]=TableCosts[[#This Row],[TranferTo]],0,1),"")</f>
        <v/>
      </c>
      <c r="BB593" s="7">
        <f t="shared" si="120"/>
        <v>0</v>
      </c>
      <c r="BC593" s="7">
        <f t="shared" si="121"/>
        <v>0</v>
      </c>
    </row>
    <row r="594" spans="2:55" s="7" customFormat="1" ht="12.75" x14ac:dyDescent="0.2">
      <c r="B594" s="33"/>
      <c r="C594" s="31"/>
      <c r="D594" s="40"/>
      <c r="E594" s="6" t="str">
        <f>IF(F594=1,IF(ISERROR(TableCosts[[#This Row],[N_Tariff]]),Err_Message1,IF(TableCosts[[#This Row],[N_Tariff]]=0,Err_Message2,VLOOKUP(C594&amp;TableCosts[[#This Row],[Calc_N_Typ]],TRAN_STRITEMS_LABEL,5,FALSE))),"")</f>
        <v/>
      </c>
      <c r="F594" s="6">
        <f t="shared" si="122"/>
        <v>0</v>
      </c>
      <c r="G594" s="6" t="str">
        <f>IF(F594=1,IFERROR(VLOOKUP(E594,Tab_ErrMessage[],2,0),VLOOKUP(C594&amp;TableCosts[[#This Row],[Calc_N_Typ]],TRAN_STRITEMS_LABEL,4,FALSE)),"")</f>
        <v/>
      </c>
      <c r="H594" s="40"/>
      <c r="I594" s="40"/>
      <c r="J594" s="35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  <c r="AD594" s="24"/>
      <c r="AE594" s="24"/>
      <c r="AF594" s="24"/>
      <c r="AG594" s="24"/>
      <c r="AH594" s="24"/>
      <c r="AI594" s="24"/>
      <c r="AJ594" s="24"/>
      <c r="AK594" s="38">
        <f t="array" ref="AK594">IF(F594=1,SUM((ROW(M0)=ROW(AK594))*(M0+M1_+M2_+M3_+M4_+M5_+M6_+M7_+M8_+M9_+M10_+M11_+M12_+M13_+M14_+M15_+M16_+M17_+M18_+M19_+M20_+M21_+M22_+M23_+M24_+M25_)),0)</f>
        <v>0</v>
      </c>
      <c r="AL594" s="27">
        <f>TableCosts[[#This Row],[N_Direct]]</f>
        <v>0</v>
      </c>
      <c r="AN594" s="7" t="str">
        <f t="shared" si="111"/>
        <v/>
      </c>
      <c r="AO594" s="7" t="str">
        <f t="shared" si="114"/>
        <v/>
      </c>
      <c r="AP594" s="7" t="str">
        <f t="shared" si="112"/>
        <v/>
      </c>
      <c r="AQ594" s="7" t="str">
        <f t="shared" si="115"/>
        <v/>
      </c>
      <c r="AR594" s="7" t="str">
        <f t="shared" si="113"/>
        <v/>
      </c>
      <c r="AS594" s="7">
        <f t="shared" si="116"/>
        <v>0</v>
      </c>
      <c r="AT594" s="17">
        <f>TableCosts[[#This Row],[N_Amount]]*TableCosts[[#This Row],[N_Tariff]]*TableCosts[[#This Row],[N_ItemsCount]]</f>
        <v>0</v>
      </c>
      <c r="AU594" s="17">
        <f>IF(F594=1,IF(TableCosts[[#This Row],[N_Kateg]]="interné práce",TableCosts[[#This Row],[N_Amount]]*8*PAR_SGA_PERHOUR,0),0)</f>
        <v>0</v>
      </c>
      <c r="AV594" s="17">
        <f>SUM(TableCosts[[#This Row],[N_Direct]:[N_SGA]])</f>
        <v>0</v>
      </c>
      <c r="AW594" s="7">
        <f>IF(F594=1,IF(D594="",NA(),VLOOKUP(C594&amp;TableCosts[[#This Row],[Calc_N_Typ]],TRAN_STRITEMS_LABEL,7,0)),0)</f>
        <v>0</v>
      </c>
      <c r="AX594" s="7">
        <f t="shared" si="117"/>
        <v>0</v>
      </c>
      <c r="AY594" s="57" t="str">
        <f t="shared" si="118"/>
        <v/>
      </c>
      <c r="AZ594" s="57" t="str">
        <f t="shared" si="119"/>
        <v/>
      </c>
      <c r="BA594" s="57" t="str">
        <f>IF(F594=1,IF(TableCosts[[#This Row],[TransferFrom]]=TableCosts[[#This Row],[TranferTo]],0,1),"")</f>
        <v/>
      </c>
      <c r="BB594" s="7">
        <f t="shared" si="120"/>
        <v>0</v>
      </c>
      <c r="BC594" s="7">
        <f t="shared" si="121"/>
        <v>0</v>
      </c>
    </row>
    <row r="595" spans="2:55" s="7" customFormat="1" ht="12.75" x14ac:dyDescent="0.2">
      <c r="B595" s="33"/>
      <c r="C595" s="31"/>
      <c r="D595" s="40"/>
      <c r="E595" s="6" t="str">
        <f>IF(F595=1,IF(ISERROR(TableCosts[[#This Row],[N_Tariff]]),Err_Message1,IF(TableCosts[[#This Row],[N_Tariff]]=0,Err_Message2,VLOOKUP(C595&amp;TableCosts[[#This Row],[Calc_N_Typ]],TRAN_STRITEMS_LABEL,5,FALSE))),"")</f>
        <v/>
      </c>
      <c r="F595" s="6">
        <f t="shared" si="122"/>
        <v>0</v>
      </c>
      <c r="G595" s="6" t="str">
        <f>IF(F595=1,IFERROR(VLOOKUP(E595,Tab_ErrMessage[],2,0),VLOOKUP(C595&amp;TableCosts[[#This Row],[Calc_N_Typ]],TRAN_STRITEMS_LABEL,4,FALSE)),"")</f>
        <v/>
      </c>
      <c r="H595" s="40"/>
      <c r="I595" s="40"/>
      <c r="J595" s="35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  <c r="AD595" s="24"/>
      <c r="AE595" s="24"/>
      <c r="AF595" s="24"/>
      <c r="AG595" s="24"/>
      <c r="AH595" s="24"/>
      <c r="AI595" s="24"/>
      <c r="AJ595" s="24"/>
      <c r="AK595" s="38">
        <f t="array" ref="AK595">IF(F595=1,SUM((ROW(M0)=ROW(AK595))*(M0+M1_+M2_+M3_+M4_+M5_+M6_+M7_+M8_+M9_+M10_+M11_+M12_+M13_+M14_+M15_+M16_+M17_+M18_+M19_+M20_+M21_+M22_+M23_+M24_+M25_)),0)</f>
        <v>0</v>
      </c>
      <c r="AL595" s="27">
        <f>TableCosts[[#This Row],[N_Direct]]</f>
        <v>0</v>
      </c>
      <c r="AN595" s="7" t="str">
        <f t="shared" si="111"/>
        <v/>
      </c>
      <c r="AO595" s="7" t="str">
        <f t="shared" si="114"/>
        <v/>
      </c>
      <c r="AP595" s="7" t="str">
        <f t="shared" si="112"/>
        <v/>
      </c>
      <c r="AQ595" s="7" t="str">
        <f t="shared" si="115"/>
        <v/>
      </c>
      <c r="AR595" s="7" t="str">
        <f t="shared" si="113"/>
        <v/>
      </c>
      <c r="AS595" s="7">
        <f t="shared" si="116"/>
        <v>0</v>
      </c>
      <c r="AT595" s="17">
        <f>TableCosts[[#This Row],[N_Amount]]*TableCosts[[#This Row],[N_Tariff]]*TableCosts[[#This Row],[N_ItemsCount]]</f>
        <v>0</v>
      </c>
      <c r="AU595" s="17">
        <f>IF(F595=1,IF(TableCosts[[#This Row],[N_Kateg]]="interné práce",TableCosts[[#This Row],[N_Amount]]*8*PAR_SGA_PERHOUR,0),0)</f>
        <v>0</v>
      </c>
      <c r="AV595" s="17">
        <f>SUM(TableCosts[[#This Row],[N_Direct]:[N_SGA]])</f>
        <v>0</v>
      </c>
      <c r="AW595" s="7">
        <f>IF(F595=1,IF(D595="",NA(),VLOOKUP(C595&amp;TableCosts[[#This Row],[Calc_N_Typ]],TRAN_STRITEMS_LABEL,7,0)),0)</f>
        <v>0</v>
      </c>
      <c r="AX595" s="7">
        <f t="shared" si="117"/>
        <v>0</v>
      </c>
      <c r="AY595" s="57" t="str">
        <f t="shared" si="118"/>
        <v/>
      </c>
      <c r="AZ595" s="57" t="str">
        <f t="shared" si="119"/>
        <v/>
      </c>
      <c r="BA595" s="57" t="str">
        <f>IF(F595=1,IF(TableCosts[[#This Row],[TransferFrom]]=TableCosts[[#This Row],[TranferTo]],0,1),"")</f>
        <v/>
      </c>
      <c r="BB595" s="7">
        <f t="shared" si="120"/>
        <v>0</v>
      </c>
      <c r="BC595" s="7">
        <f t="shared" si="121"/>
        <v>0</v>
      </c>
    </row>
    <row r="596" spans="2:55" s="7" customFormat="1" ht="12.75" x14ac:dyDescent="0.2">
      <c r="B596" s="33"/>
      <c r="C596" s="31"/>
      <c r="D596" s="40"/>
      <c r="E596" s="6" t="str">
        <f>IF(F596=1,IF(ISERROR(TableCosts[[#This Row],[N_Tariff]]),Err_Message1,IF(TableCosts[[#This Row],[N_Tariff]]=0,Err_Message2,VLOOKUP(C596&amp;TableCosts[[#This Row],[Calc_N_Typ]],TRAN_STRITEMS_LABEL,5,FALSE))),"")</f>
        <v/>
      </c>
      <c r="F596" s="6">
        <f t="shared" si="122"/>
        <v>0</v>
      </c>
      <c r="G596" s="6" t="str">
        <f>IF(F596=1,IFERROR(VLOOKUP(E596,Tab_ErrMessage[],2,0),VLOOKUP(C596&amp;TableCosts[[#This Row],[Calc_N_Typ]],TRAN_STRITEMS_LABEL,4,FALSE)),"")</f>
        <v/>
      </c>
      <c r="H596" s="40"/>
      <c r="I596" s="40"/>
      <c r="J596" s="35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  <c r="AD596" s="24"/>
      <c r="AE596" s="24"/>
      <c r="AF596" s="24"/>
      <c r="AG596" s="24"/>
      <c r="AH596" s="24"/>
      <c r="AI596" s="24"/>
      <c r="AJ596" s="24"/>
      <c r="AK596" s="38">
        <f t="array" ref="AK596">IF(F596=1,SUM((ROW(M0)=ROW(AK596))*(M0+M1_+M2_+M3_+M4_+M5_+M6_+M7_+M8_+M9_+M10_+M11_+M12_+M13_+M14_+M15_+M16_+M17_+M18_+M19_+M20_+M21_+M22_+M23_+M24_+M25_)),0)</f>
        <v>0</v>
      </c>
      <c r="AL596" s="27">
        <f>TableCosts[[#This Row],[N_Direct]]</f>
        <v>0</v>
      </c>
      <c r="AN596" s="7" t="str">
        <f t="shared" si="111"/>
        <v/>
      </c>
      <c r="AO596" s="7" t="str">
        <f t="shared" si="114"/>
        <v/>
      </c>
      <c r="AP596" s="7" t="str">
        <f t="shared" si="112"/>
        <v/>
      </c>
      <c r="AQ596" s="7" t="str">
        <f t="shared" si="115"/>
        <v/>
      </c>
      <c r="AR596" s="7" t="str">
        <f t="shared" si="113"/>
        <v/>
      </c>
      <c r="AS596" s="7">
        <f t="shared" si="116"/>
        <v>0</v>
      </c>
      <c r="AT596" s="17">
        <f>TableCosts[[#This Row],[N_Amount]]*TableCosts[[#This Row],[N_Tariff]]*TableCosts[[#This Row],[N_ItemsCount]]</f>
        <v>0</v>
      </c>
      <c r="AU596" s="17">
        <f>IF(F596=1,IF(TableCosts[[#This Row],[N_Kateg]]="interné práce",TableCosts[[#This Row],[N_Amount]]*8*PAR_SGA_PERHOUR,0),0)</f>
        <v>0</v>
      </c>
      <c r="AV596" s="17">
        <f>SUM(TableCosts[[#This Row],[N_Direct]:[N_SGA]])</f>
        <v>0</v>
      </c>
      <c r="AW596" s="7">
        <f>IF(F596=1,IF(D596="",NA(),VLOOKUP(C596&amp;TableCosts[[#This Row],[Calc_N_Typ]],TRAN_STRITEMS_LABEL,7,0)),0)</f>
        <v>0</v>
      </c>
      <c r="AX596" s="7">
        <f t="shared" si="117"/>
        <v>0</v>
      </c>
      <c r="AY596" s="57" t="str">
        <f t="shared" si="118"/>
        <v/>
      </c>
      <c r="AZ596" s="57" t="str">
        <f t="shared" si="119"/>
        <v/>
      </c>
      <c r="BA596" s="57" t="str">
        <f>IF(F596=1,IF(TableCosts[[#This Row],[TransferFrom]]=TableCosts[[#This Row],[TranferTo]],0,1),"")</f>
        <v/>
      </c>
      <c r="BB596" s="7">
        <f t="shared" si="120"/>
        <v>0</v>
      </c>
      <c r="BC596" s="7">
        <f t="shared" si="121"/>
        <v>0</v>
      </c>
    </row>
    <row r="597" spans="2:55" s="7" customFormat="1" ht="12.75" x14ac:dyDescent="0.2">
      <c r="B597" s="33"/>
      <c r="C597" s="31"/>
      <c r="D597" s="40"/>
      <c r="E597" s="6" t="str">
        <f>IF(F597=1,IF(ISERROR(TableCosts[[#This Row],[N_Tariff]]),Err_Message1,IF(TableCosts[[#This Row],[N_Tariff]]=0,Err_Message2,VLOOKUP(C597&amp;TableCosts[[#This Row],[Calc_N_Typ]],TRAN_STRITEMS_LABEL,5,FALSE))),"")</f>
        <v/>
      </c>
      <c r="F597" s="6">
        <f t="shared" si="122"/>
        <v>0</v>
      </c>
      <c r="G597" s="6" t="str">
        <f>IF(F597=1,IFERROR(VLOOKUP(E597,Tab_ErrMessage[],2,0),VLOOKUP(C597&amp;TableCosts[[#This Row],[Calc_N_Typ]],TRAN_STRITEMS_LABEL,4,FALSE)),"")</f>
        <v/>
      </c>
      <c r="H597" s="40"/>
      <c r="I597" s="40"/>
      <c r="J597" s="35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  <c r="AD597" s="24"/>
      <c r="AE597" s="24"/>
      <c r="AF597" s="24"/>
      <c r="AG597" s="24"/>
      <c r="AH597" s="24"/>
      <c r="AI597" s="24"/>
      <c r="AJ597" s="24"/>
      <c r="AK597" s="38">
        <f t="array" ref="AK597">IF(F597=1,SUM((ROW(M0)=ROW(AK597))*(M0+M1_+M2_+M3_+M4_+M5_+M6_+M7_+M8_+M9_+M10_+M11_+M12_+M13_+M14_+M15_+M16_+M17_+M18_+M19_+M20_+M21_+M22_+M23_+M24_+M25_)),0)</f>
        <v>0</v>
      </c>
      <c r="AL597" s="27">
        <f>TableCosts[[#This Row],[N_Direct]]</f>
        <v>0</v>
      </c>
      <c r="AN597" s="7" t="str">
        <f t="shared" si="111"/>
        <v/>
      </c>
      <c r="AO597" s="7" t="str">
        <f t="shared" si="114"/>
        <v/>
      </c>
      <c r="AP597" s="7" t="str">
        <f t="shared" si="112"/>
        <v/>
      </c>
      <c r="AQ597" s="7" t="str">
        <f t="shared" si="115"/>
        <v/>
      </c>
      <c r="AR597" s="7" t="str">
        <f t="shared" si="113"/>
        <v/>
      </c>
      <c r="AS597" s="7">
        <f t="shared" si="116"/>
        <v>0</v>
      </c>
      <c r="AT597" s="17">
        <f>TableCosts[[#This Row],[N_Amount]]*TableCosts[[#This Row],[N_Tariff]]*TableCosts[[#This Row],[N_ItemsCount]]</f>
        <v>0</v>
      </c>
      <c r="AU597" s="17">
        <f>IF(F597=1,IF(TableCosts[[#This Row],[N_Kateg]]="interné práce",TableCosts[[#This Row],[N_Amount]]*8*PAR_SGA_PERHOUR,0),0)</f>
        <v>0</v>
      </c>
      <c r="AV597" s="17">
        <f>SUM(TableCosts[[#This Row],[N_Direct]:[N_SGA]])</f>
        <v>0</v>
      </c>
      <c r="AW597" s="7">
        <f>IF(F597=1,IF(D597="",NA(),VLOOKUP(C597&amp;TableCosts[[#This Row],[Calc_N_Typ]],TRAN_STRITEMS_LABEL,7,0)),0)</f>
        <v>0</v>
      </c>
      <c r="AX597" s="7">
        <f t="shared" si="117"/>
        <v>0</v>
      </c>
      <c r="AY597" s="57" t="str">
        <f t="shared" si="118"/>
        <v/>
      </c>
      <c r="AZ597" s="57" t="str">
        <f t="shared" si="119"/>
        <v/>
      </c>
      <c r="BA597" s="57" t="str">
        <f>IF(F597=1,IF(TableCosts[[#This Row],[TransferFrom]]=TableCosts[[#This Row],[TranferTo]],0,1),"")</f>
        <v/>
      </c>
      <c r="BB597" s="7">
        <f t="shared" si="120"/>
        <v>0</v>
      </c>
      <c r="BC597" s="7">
        <f t="shared" si="121"/>
        <v>0</v>
      </c>
    </row>
    <row r="598" spans="2:55" s="7" customFormat="1" ht="12.75" x14ac:dyDescent="0.2">
      <c r="B598" s="33"/>
      <c r="C598" s="31"/>
      <c r="D598" s="40"/>
      <c r="E598" s="6" t="str">
        <f>IF(F598=1,IF(ISERROR(TableCosts[[#This Row],[N_Tariff]]),Err_Message1,IF(TableCosts[[#This Row],[N_Tariff]]=0,Err_Message2,VLOOKUP(C598&amp;TableCosts[[#This Row],[Calc_N_Typ]],TRAN_STRITEMS_LABEL,5,FALSE))),"")</f>
        <v/>
      </c>
      <c r="F598" s="6">
        <f t="shared" si="122"/>
        <v>0</v>
      </c>
      <c r="G598" s="6" t="str">
        <f>IF(F598=1,IFERROR(VLOOKUP(E598,Tab_ErrMessage[],2,0),VLOOKUP(C598&amp;TableCosts[[#This Row],[Calc_N_Typ]],TRAN_STRITEMS_LABEL,4,FALSE)),"")</f>
        <v/>
      </c>
      <c r="H598" s="40"/>
      <c r="I598" s="40"/>
      <c r="J598" s="35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  <c r="AD598" s="24"/>
      <c r="AE598" s="24"/>
      <c r="AF598" s="24"/>
      <c r="AG598" s="24"/>
      <c r="AH598" s="24"/>
      <c r="AI598" s="24"/>
      <c r="AJ598" s="24"/>
      <c r="AK598" s="38">
        <f t="array" ref="AK598">IF(F598=1,SUM((ROW(M0)=ROW(AK598))*(M0+M1_+M2_+M3_+M4_+M5_+M6_+M7_+M8_+M9_+M10_+M11_+M12_+M13_+M14_+M15_+M16_+M17_+M18_+M19_+M20_+M21_+M22_+M23_+M24_+M25_)),0)</f>
        <v>0</v>
      </c>
      <c r="AL598" s="27">
        <f>TableCosts[[#This Row],[N_Direct]]</f>
        <v>0</v>
      </c>
      <c r="AN598" s="7" t="str">
        <f t="shared" si="111"/>
        <v/>
      </c>
      <c r="AO598" s="7" t="str">
        <f t="shared" si="114"/>
        <v/>
      </c>
      <c r="AP598" s="7" t="str">
        <f t="shared" si="112"/>
        <v/>
      </c>
      <c r="AQ598" s="7" t="str">
        <f t="shared" si="115"/>
        <v/>
      </c>
      <c r="AR598" s="7" t="str">
        <f t="shared" si="113"/>
        <v/>
      </c>
      <c r="AS598" s="7">
        <f t="shared" si="116"/>
        <v>0</v>
      </c>
      <c r="AT598" s="17">
        <f>TableCosts[[#This Row],[N_Amount]]*TableCosts[[#This Row],[N_Tariff]]*TableCosts[[#This Row],[N_ItemsCount]]</f>
        <v>0</v>
      </c>
      <c r="AU598" s="17">
        <f>IF(F598=1,IF(TableCosts[[#This Row],[N_Kateg]]="interné práce",TableCosts[[#This Row],[N_Amount]]*8*PAR_SGA_PERHOUR,0),0)</f>
        <v>0</v>
      </c>
      <c r="AV598" s="17">
        <f>SUM(TableCosts[[#This Row],[N_Direct]:[N_SGA]])</f>
        <v>0</v>
      </c>
      <c r="AW598" s="7">
        <f>IF(F598=1,IF(D598="",NA(),VLOOKUP(C598&amp;TableCosts[[#This Row],[Calc_N_Typ]],TRAN_STRITEMS_LABEL,7,0)),0)</f>
        <v>0</v>
      </c>
      <c r="AX598" s="7">
        <f t="shared" si="117"/>
        <v>0</v>
      </c>
      <c r="AY598" s="57" t="str">
        <f t="shared" si="118"/>
        <v/>
      </c>
      <c r="AZ598" s="57" t="str">
        <f t="shared" si="119"/>
        <v/>
      </c>
      <c r="BA598" s="57" t="str">
        <f>IF(F598=1,IF(TableCosts[[#This Row],[TransferFrom]]=TableCosts[[#This Row],[TranferTo]],0,1),"")</f>
        <v/>
      </c>
      <c r="BB598" s="7">
        <f t="shared" si="120"/>
        <v>0</v>
      </c>
      <c r="BC598" s="7">
        <f t="shared" si="121"/>
        <v>0</v>
      </c>
    </row>
    <row r="599" spans="2:55" s="7" customFormat="1" ht="12.75" x14ac:dyDescent="0.2">
      <c r="B599" s="33"/>
      <c r="C599" s="31"/>
      <c r="D599" s="40"/>
      <c r="E599" s="6" t="str">
        <f>IF(F599=1,IF(ISERROR(TableCosts[[#This Row],[N_Tariff]]),Err_Message1,IF(TableCosts[[#This Row],[N_Tariff]]=0,Err_Message2,VLOOKUP(C599&amp;TableCosts[[#This Row],[Calc_N_Typ]],TRAN_STRITEMS_LABEL,5,FALSE))),"")</f>
        <v/>
      </c>
      <c r="F599" s="6">
        <f t="shared" si="122"/>
        <v>0</v>
      </c>
      <c r="G599" s="6" t="str">
        <f>IF(F599=1,IFERROR(VLOOKUP(E599,Tab_ErrMessage[],2,0),VLOOKUP(C599&amp;TableCosts[[#This Row],[Calc_N_Typ]],TRAN_STRITEMS_LABEL,4,FALSE)),"")</f>
        <v/>
      </c>
      <c r="H599" s="40"/>
      <c r="I599" s="40"/>
      <c r="J599" s="35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  <c r="AD599" s="24"/>
      <c r="AE599" s="24"/>
      <c r="AF599" s="24"/>
      <c r="AG599" s="24"/>
      <c r="AH599" s="24"/>
      <c r="AI599" s="24"/>
      <c r="AJ599" s="24"/>
      <c r="AK599" s="38">
        <f t="array" ref="AK599">IF(F599=1,SUM((ROW(M0)=ROW(AK599))*(M0+M1_+M2_+M3_+M4_+M5_+M6_+M7_+M8_+M9_+M10_+M11_+M12_+M13_+M14_+M15_+M16_+M17_+M18_+M19_+M20_+M21_+M22_+M23_+M24_+M25_)),0)</f>
        <v>0</v>
      </c>
      <c r="AL599" s="27">
        <f>TableCosts[[#This Row],[N_Direct]]</f>
        <v>0</v>
      </c>
      <c r="AN599" s="7" t="str">
        <f t="shared" si="111"/>
        <v/>
      </c>
      <c r="AO599" s="7" t="str">
        <f t="shared" si="114"/>
        <v/>
      </c>
      <c r="AP599" s="7" t="str">
        <f t="shared" si="112"/>
        <v/>
      </c>
      <c r="AQ599" s="7" t="str">
        <f t="shared" si="115"/>
        <v/>
      </c>
      <c r="AR599" s="7" t="str">
        <f t="shared" si="113"/>
        <v/>
      </c>
      <c r="AS599" s="7">
        <f t="shared" si="116"/>
        <v>0</v>
      </c>
      <c r="AT599" s="17">
        <f>TableCosts[[#This Row],[N_Amount]]*TableCosts[[#This Row],[N_Tariff]]*TableCosts[[#This Row],[N_ItemsCount]]</f>
        <v>0</v>
      </c>
      <c r="AU599" s="17">
        <f>IF(F599=1,IF(TableCosts[[#This Row],[N_Kateg]]="interné práce",TableCosts[[#This Row],[N_Amount]]*8*PAR_SGA_PERHOUR,0),0)</f>
        <v>0</v>
      </c>
      <c r="AV599" s="17">
        <f>SUM(TableCosts[[#This Row],[N_Direct]:[N_SGA]])</f>
        <v>0</v>
      </c>
      <c r="AW599" s="7">
        <f>IF(F599=1,IF(D599="",NA(),VLOOKUP(C599&amp;TableCosts[[#This Row],[Calc_N_Typ]],TRAN_STRITEMS_LABEL,7,0)),0)</f>
        <v>0</v>
      </c>
      <c r="AX599" s="7">
        <f t="shared" si="117"/>
        <v>0</v>
      </c>
      <c r="AY599" s="57" t="str">
        <f t="shared" si="118"/>
        <v/>
      </c>
      <c r="AZ599" s="57" t="str">
        <f t="shared" si="119"/>
        <v/>
      </c>
      <c r="BA599" s="57" t="str">
        <f>IF(F599=1,IF(TableCosts[[#This Row],[TransferFrom]]=TableCosts[[#This Row],[TranferTo]],0,1),"")</f>
        <v/>
      </c>
      <c r="BB599" s="7">
        <f t="shared" si="120"/>
        <v>0</v>
      </c>
      <c r="BC599" s="7">
        <f t="shared" si="121"/>
        <v>0</v>
      </c>
    </row>
    <row r="600" spans="2:55" s="7" customFormat="1" ht="12.75" x14ac:dyDescent="0.2">
      <c r="B600" s="33"/>
      <c r="C600" s="31"/>
      <c r="D600" s="40"/>
      <c r="E600" s="6" t="str">
        <f>IF(F600=1,IF(ISERROR(TableCosts[[#This Row],[N_Tariff]]),Err_Message1,IF(TableCosts[[#This Row],[N_Tariff]]=0,Err_Message2,VLOOKUP(C600&amp;TableCosts[[#This Row],[Calc_N_Typ]],TRAN_STRITEMS_LABEL,5,FALSE))),"")</f>
        <v/>
      </c>
      <c r="F600" s="6">
        <f t="shared" si="122"/>
        <v>0</v>
      </c>
      <c r="G600" s="6" t="str">
        <f>IF(F600=1,IFERROR(VLOOKUP(E600,Tab_ErrMessage[],2,0),VLOOKUP(C600&amp;TableCosts[[#This Row],[Calc_N_Typ]],TRAN_STRITEMS_LABEL,4,FALSE)),"")</f>
        <v/>
      </c>
      <c r="H600" s="40"/>
      <c r="I600" s="40"/>
      <c r="J600" s="35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  <c r="AD600" s="24"/>
      <c r="AE600" s="24"/>
      <c r="AF600" s="24"/>
      <c r="AG600" s="24"/>
      <c r="AH600" s="24"/>
      <c r="AI600" s="24"/>
      <c r="AJ600" s="24"/>
      <c r="AK600" s="38">
        <f t="array" ref="AK600">IF(F600=1,SUM((ROW(M0)=ROW(AK600))*(M0+M1_+M2_+M3_+M4_+M5_+M6_+M7_+M8_+M9_+M10_+M11_+M12_+M13_+M14_+M15_+M16_+M17_+M18_+M19_+M20_+M21_+M22_+M23_+M24_+M25_)),0)</f>
        <v>0</v>
      </c>
      <c r="AL600" s="27">
        <f>TableCosts[[#This Row],[N_Direct]]</f>
        <v>0</v>
      </c>
      <c r="AN600" s="7" t="str">
        <f t="shared" si="111"/>
        <v/>
      </c>
      <c r="AO600" s="7" t="str">
        <f t="shared" si="114"/>
        <v/>
      </c>
      <c r="AP600" s="7" t="str">
        <f t="shared" si="112"/>
        <v/>
      </c>
      <c r="AQ600" s="7" t="str">
        <f t="shared" si="115"/>
        <v/>
      </c>
      <c r="AR600" s="7" t="str">
        <f t="shared" si="113"/>
        <v/>
      </c>
      <c r="AS600" s="7">
        <f t="shared" si="116"/>
        <v>0</v>
      </c>
      <c r="AT600" s="17">
        <f>TableCosts[[#This Row],[N_Amount]]*TableCosts[[#This Row],[N_Tariff]]*TableCosts[[#This Row],[N_ItemsCount]]</f>
        <v>0</v>
      </c>
      <c r="AU600" s="17">
        <f>IF(F600=1,IF(TableCosts[[#This Row],[N_Kateg]]="interné práce",TableCosts[[#This Row],[N_Amount]]*8*PAR_SGA_PERHOUR,0),0)</f>
        <v>0</v>
      </c>
      <c r="AV600" s="17">
        <f>SUM(TableCosts[[#This Row],[N_Direct]:[N_SGA]])</f>
        <v>0</v>
      </c>
      <c r="AW600" s="7">
        <f>IF(F600=1,IF(D600="",NA(),VLOOKUP(C600&amp;TableCosts[[#This Row],[Calc_N_Typ]],TRAN_STRITEMS_LABEL,7,0)),0)</f>
        <v>0</v>
      </c>
      <c r="AX600" s="7">
        <f t="shared" si="117"/>
        <v>0</v>
      </c>
      <c r="AY600" s="57" t="str">
        <f t="shared" si="118"/>
        <v/>
      </c>
      <c r="AZ600" s="57" t="str">
        <f t="shared" si="119"/>
        <v/>
      </c>
      <c r="BA600" s="57" t="str">
        <f>IF(F600=1,IF(TableCosts[[#This Row],[TransferFrom]]=TableCosts[[#This Row],[TranferTo]],0,1),"")</f>
        <v/>
      </c>
      <c r="BB600" s="7">
        <f t="shared" si="120"/>
        <v>0</v>
      </c>
      <c r="BC600" s="7">
        <f t="shared" si="121"/>
        <v>0</v>
      </c>
    </row>
    <row r="601" spans="2:55" s="7" customFormat="1" ht="12.75" x14ac:dyDescent="0.2">
      <c r="B601" s="33"/>
      <c r="C601" s="31"/>
      <c r="D601" s="40"/>
      <c r="E601" s="6" t="str">
        <f>IF(F601=1,IF(ISERROR(TableCosts[[#This Row],[N_Tariff]]),Err_Message1,IF(TableCosts[[#This Row],[N_Tariff]]=0,Err_Message2,VLOOKUP(C601&amp;TableCosts[[#This Row],[Calc_N_Typ]],TRAN_STRITEMS_LABEL,5,FALSE))),"")</f>
        <v/>
      </c>
      <c r="F601" s="6">
        <f t="shared" si="122"/>
        <v>0</v>
      </c>
      <c r="G601" s="6" t="str">
        <f>IF(F601=1,IFERROR(VLOOKUP(E601,Tab_ErrMessage[],2,0),VLOOKUP(C601&amp;TableCosts[[#This Row],[Calc_N_Typ]],TRAN_STRITEMS_LABEL,4,FALSE)),"")</f>
        <v/>
      </c>
      <c r="H601" s="40"/>
      <c r="I601" s="40"/>
      <c r="J601" s="35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  <c r="AD601" s="24"/>
      <c r="AE601" s="24"/>
      <c r="AF601" s="24"/>
      <c r="AG601" s="24"/>
      <c r="AH601" s="24"/>
      <c r="AI601" s="24"/>
      <c r="AJ601" s="24"/>
      <c r="AK601" s="38">
        <f t="array" ref="AK601">IF(F601=1,SUM((ROW(M0)=ROW(AK601))*(M0+M1_+M2_+M3_+M4_+M5_+M6_+M7_+M8_+M9_+M10_+M11_+M12_+M13_+M14_+M15_+M16_+M17_+M18_+M19_+M20_+M21_+M22_+M23_+M24_+M25_)),0)</f>
        <v>0</v>
      </c>
      <c r="AL601" s="27">
        <f>TableCosts[[#This Row],[N_Direct]]</f>
        <v>0</v>
      </c>
      <c r="AN601" s="7" t="str">
        <f t="shared" si="111"/>
        <v/>
      </c>
      <c r="AO601" s="7" t="str">
        <f t="shared" si="114"/>
        <v/>
      </c>
      <c r="AP601" s="7" t="str">
        <f t="shared" si="112"/>
        <v/>
      </c>
      <c r="AQ601" s="7" t="str">
        <f t="shared" si="115"/>
        <v/>
      </c>
      <c r="AR601" s="7" t="str">
        <f t="shared" si="113"/>
        <v/>
      </c>
      <c r="AS601" s="7">
        <f t="shared" si="116"/>
        <v>0</v>
      </c>
      <c r="AT601" s="17">
        <f>TableCosts[[#This Row],[N_Amount]]*TableCosts[[#This Row],[N_Tariff]]*TableCosts[[#This Row],[N_ItemsCount]]</f>
        <v>0</v>
      </c>
      <c r="AU601" s="17">
        <f>IF(F601=1,IF(TableCosts[[#This Row],[N_Kateg]]="interné práce",TableCosts[[#This Row],[N_Amount]]*8*PAR_SGA_PERHOUR,0),0)</f>
        <v>0</v>
      </c>
      <c r="AV601" s="17">
        <f>SUM(TableCosts[[#This Row],[N_Direct]:[N_SGA]])</f>
        <v>0</v>
      </c>
      <c r="AW601" s="7">
        <f>IF(F601=1,IF(D601="",NA(),VLOOKUP(C601&amp;TableCosts[[#This Row],[Calc_N_Typ]],TRAN_STRITEMS_LABEL,7,0)),0)</f>
        <v>0</v>
      </c>
      <c r="AX601" s="7">
        <f t="shared" si="117"/>
        <v>0</v>
      </c>
      <c r="AY601" s="57" t="str">
        <f t="shared" si="118"/>
        <v/>
      </c>
      <c r="AZ601" s="57" t="str">
        <f t="shared" si="119"/>
        <v/>
      </c>
      <c r="BA601" s="57" t="str">
        <f>IF(F601=1,IF(TableCosts[[#This Row],[TransferFrom]]=TableCosts[[#This Row],[TranferTo]],0,1),"")</f>
        <v/>
      </c>
      <c r="BB601" s="7">
        <f t="shared" si="120"/>
        <v>0</v>
      </c>
      <c r="BC601" s="7">
        <f t="shared" si="121"/>
        <v>0</v>
      </c>
    </row>
    <row r="602" spans="2:55" s="7" customFormat="1" ht="12.75" x14ac:dyDescent="0.2">
      <c r="B602" s="33"/>
      <c r="C602" s="31"/>
      <c r="D602" s="40"/>
      <c r="E602" s="6" t="str">
        <f>IF(F602=1,IF(ISERROR(TableCosts[[#This Row],[N_Tariff]]),Err_Message1,IF(TableCosts[[#This Row],[N_Tariff]]=0,Err_Message2,VLOOKUP(C602&amp;TableCosts[[#This Row],[Calc_N_Typ]],TRAN_STRITEMS_LABEL,5,FALSE))),"")</f>
        <v/>
      </c>
      <c r="F602" s="6">
        <f t="shared" si="122"/>
        <v>0</v>
      </c>
      <c r="G602" s="6" t="str">
        <f>IF(F602=1,IFERROR(VLOOKUP(E602,Tab_ErrMessage[],2,0),VLOOKUP(C602&amp;TableCosts[[#This Row],[Calc_N_Typ]],TRAN_STRITEMS_LABEL,4,FALSE)),"")</f>
        <v/>
      </c>
      <c r="H602" s="40"/>
      <c r="I602" s="40"/>
      <c r="J602" s="35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  <c r="AD602" s="24"/>
      <c r="AE602" s="24"/>
      <c r="AF602" s="24"/>
      <c r="AG602" s="24"/>
      <c r="AH602" s="24"/>
      <c r="AI602" s="24"/>
      <c r="AJ602" s="24"/>
      <c r="AK602" s="38">
        <f t="array" ref="AK602">IF(F602=1,SUM((ROW(M0)=ROW(AK602))*(M0+M1_+M2_+M3_+M4_+M5_+M6_+M7_+M8_+M9_+M10_+M11_+M12_+M13_+M14_+M15_+M16_+M17_+M18_+M19_+M20_+M21_+M22_+M23_+M24_+M25_)),0)</f>
        <v>0</v>
      </c>
      <c r="AL602" s="27">
        <f>TableCosts[[#This Row],[N_Direct]]</f>
        <v>0</v>
      </c>
      <c r="AN602" s="7" t="str">
        <f t="shared" si="111"/>
        <v/>
      </c>
      <c r="AO602" s="7" t="str">
        <f t="shared" si="114"/>
        <v/>
      </c>
      <c r="AP602" s="7" t="str">
        <f t="shared" si="112"/>
        <v/>
      </c>
      <c r="AQ602" s="7" t="str">
        <f t="shared" si="115"/>
        <v/>
      </c>
      <c r="AR602" s="7" t="str">
        <f t="shared" si="113"/>
        <v/>
      </c>
      <c r="AS602" s="7">
        <f t="shared" si="116"/>
        <v>0</v>
      </c>
      <c r="AT602" s="17">
        <f>TableCosts[[#This Row],[N_Amount]]*TableCosts[[#This Row],[N_Tariff]]*TableCosts[[#This Row],[N_ItemsCount]]</f>
        <v>0</v>
      </c>
      <c r="AU602" s="17">
        <f>IF(F602=1,IF(TableCosts[[#This Row],[N_Kateg]]="interné práce",TableCosts[[#This Row],[N_Amount]]*8*PAR_SGA_PERHOUR,0),0)</f>
        <v>0</v>
      </c>
      <c r="AV602" s="17">
        <f>SUM(TableCosts[[#This Row],[N_Direct]:[N_SGA]])</f>
        <v>0</v>
      </c>
      <c r="AW602" s="7">
        <f>IF(F602=1,IF(D602="",NA(),VLOOKUP(C602&amp;TableCosts[[#This Row],[Calc_N_Typ]],TRAN_STRITEMS_LABEL,7,0)),0)</f>
        <v>0</v>
      </c>
      <c r="AX602" s="7">
        <f t="shared" si="117"/>
        <v>0</v>
      </c>
      <c r="AY602" s="57" t="str">
        <f t="shared" si="118"/>
        <v/>
      </c>
      <c r="AZ602" s="57" t="str">
        <f t="shared" si="119"/>
        <v/>
      </c>
      <c r="BA602" s="57" t="str">
        <f>IF(F602=1,IF(TableCosts[[#This Row],[TransferFrom]]=TableCosts[[#This Row],[TranferTo]],0,1),"")</f>
        <v/>
      </c>
      <c r="BB602" s="7">
        <f t="shared" si="120"/>
        <v>0</v>
      </c>
      <c r="BC602" s="7">
        <f t="shared" si="121"/>
        <v>0</v>
      </c>
    </row>
    <row r="603" spans="2:55" s="7" customFormat="1" ht="12.75" x14ac:dyDescent="0.2">
      <c r="B603" s="33"/>
      <c r="C603" s="31"/>
      <c r="D603" s="40"/>
      <c r="E603" s="6" t="str">
        <f>IF(F603=1,IF(ISERROR(TableCosts[[#This Row],[N_Tariff]]),Err_Message1,IF(TableCosts[[#This Row],[N_Tariff]]=0,Err_Message2,VLOOKUP(C603&amp;TableCosts[[#This Row],[Calc_N_Typ]],TRAN_STRITEMS_LABEL,5,FALSE))),"")</f>
        <v/>
      </c>
      <c r="F603" s="6">
        <f t="shared" si="122"/>
        <v>0</v>
      </c>
      <c r="G603" s="6" t="str">
        <f>IF(F603=1,IFERROR(VLOOKUP(E603,Tab_ErrMessage[],2,0),VLOOKUP(C603&amp;TableCosts[[#This Row],[Calc_N_Typ]],TRAN_STRITEMS_LABEL,4,FALSE)),"")</f>
        <v/>
      </c>
      <c r="H603" s="40"/>
      <c r="I603" s="40"/>
      <c r="J603" s="35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  <c r="AD603" s="24"/>
      <c r="AE603" s="24"/>
      <c r="AF603" s="24"/>
      <c r="AG603" s="24"/>
      <c r="AH603" s="24"/>
      <c r="AI603" s="24"/>
      <c r="AJ603" s="24"/>
      <c r="AK603" s="38">
        <f t="array" ref="AK603">IF(F603=1,SUM((ROW(M0)=ROW(AK603))*(M0+M1_+M2_+M3_+M4_+M5_+M6_+M7_+M8_+M9_+M10_+M11_+M12_+M13_+M14_+M15_+M16_+M17_+M18_+M19_+M20_+M21_+M22_+M23_+M24_+M25_)),0)</f>
        <v>0</v>
      </c>
      <c r="AL603" s="27">
        <f>TableCosts[[#This Row],[N_Direct]]</f>
        <v>0</v>
      </c>
      <c r="AN603" s="7" t="str">
        <f t="shared" si="111"/>
        <v/>
      </c>
      <c r="AO603" s="7" t="str">
        <f t="shared" si="114"/>
        <v/>
      </c>
      <c r="AP603" s="7" t="str">
        <f t="shared" si="112"/>
        <v/>
      </c>
      <c r="AQ603" s="7" t="str">
        <f t="shared" si="115"/>
        <v/>
      </c>
      <c r="AR603" s="7" t="str">
        <f t="shared" si="113"/>
        <v/>
      </c>
      <c r="AS603" s="7">
        <f t="shared" si="116"/>
        <v>0</v>
      </c>
      <c r="AT603" s="17">
        <f>TableCosts[[#This Row],[N_Amount]]*TableCosts[[#This Row],[N_Tariff]]*TableCosts[[#This Row],[N_ItemsCount]]</f>
        <v>0</v>
      </c>
      <c r="AU603" s="17">
        <f>IF(F603=1,IF(TableCosts[[#This Row],[N_Kateg]]="interné práce",TableCosts[[#This Row],[N_Amount]]*8*PAR_SGA_PERHOUR,0),0)</f>
        <v>0</v>
      </c>
      <c r="AV603" s="17">
        <f>SUM(TableCosts[[#This Row],[N_Direct]:[N_SGA]])</f>
        <v>0</v>
      </c>
      <c r="AW603" s="7">
        <f>IF(F603=1,IF(D603="",NA(),VLOOKUP(C603&amp;TableCosts[[#This Row],[Calc_N_Typ]],TRAN_STRITEMS_LABEL,7,0)),0)</f>
        <v>0</v>
      </c>
      <c r="AX603" s="7">
        <f t="shared" si="117"/>
        <v>0</v>
      </c>
      <c r="AY603" s="57" t="str">
        <f t="shared" si="118"/>
        <v/>
      </c>
      <c r="AZ603" s="57" t="str">
        <f t="shared" si="119"/>
        <v/>
      </c>
      <c r="BA603" s="57" t="str">
        <f>IF(F603=1,IF(TableCosts[[#This Row],[TransferFrom]]=TableCosts[[#This Row],[TranferTo]],0,1),"")</f>
        <v/>
      </c>
      <c r="BB603" s="7">
        <f t="shared" si="120"/>
        <v>0</v>
      </c>
      <c r="BC603" s="7">
        <f t="shared" si="121"/>
        <v>0</v>
      </c>
    </row>
    <row r="604" spans="2:55" s="7" customFormat="1" ht="12.75" x14ac:dyDescent="0.2">
      <c r="B604" s="33"/>
      <c r="C604" s="31"/>
      <c r="D604" s="40"/>
      <c r="E604" s="6" t="str">
        <f>IF(F604=1,IF(ISERROR(TableCosts[[#This Row],[N_Tariff]]),Err_Message1,IF(TableCosts[[#This Row],[N_Tariff]]=0,Err_Message2,VLOOKUP(C604&amp;TableCosts[[#This Row],[Calc_N_Typ]],TRAN_STRITEMS_LABEL,5,FALSE))),"")</f>
        <v/>
      </c>
      <c r="F604" s="6">
        <f t="shared" si="122"/>
        <v>0</v>
      </c>
      <c r="G604" s="6" t="str">
        <f>IF(F604=1,IFERROR(VLOOKUP(E604,Tab_ErrMessage[],2,0),VLOOKUP(C604&amp;TableCosts[[#This Row],[Calc_N_Typ]],TRAN_STRITEMS_LABEL,4,FALSE)),"")</f>
        <v/>
      </c>
      <c r="H604" s="40"/>
      <c r="I604" s="40"/>
      <c r="J604" s="35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  <c r="AD604" s="24"/>
      <c r="AE604" s="24"/>
      <c r="AF604" s="24"/>
      <c r="AG604" s="24"/>
      <c r="AH604" s="24"/>
      <c r="AI604" s="24"/>
      <c r="AJ604" s="24"/>
      <c r="AK604" s="38">
        <f t="array" ref="AK604">IF(F604=1,SUM((ROW(M0)=ROW(AK604))*(M0+M1_+M2_+M3_+M4_+M5_+M6_+M7_+M8_+M9_+M10_+M11_+M12_+M13_+M14_+M15_+M16_+M17_+M18_+M19_+M20_+M21_+M22_+M23_+M24_+M25_)),0)</f>
        <v>0</v>
      </c>
      <c r="AL604" s="27">
        <f>TableCosts[[#This Row],[N_Direct]]</f>
        <v>0</v>
      </c>
      <c r="AN604" s="7" t="str">
        <f t="shared" si="111"/>
        <v/>
      </c>
      <c r="AO604" s="7" t="str">
        <f t="shared" si="114"/>
        <v/>
      </c>
      <c r="AP604" s="7" t="str">
        <f t="shared" si="112"/>
        <v/>
      </c>
      <c r="AQ604" s="7" t="str">
        <f t="shared" si="115"/>
        <v/>
      </c>
      <c r="AR604" s="7" t="str">
        <f t="shared" si="113"/>
        <v/>
      </c>
      <c r="AS604" s="7">
        <f t="shared" si="116"/>
        <v>0</v>
      </c>
      <c r="AT604" s="17">
        <f>TableCosts[[#This Row],[N_Amount]]*TableCosts[[#This Row],[N_Tariff]]*TableCosts[[#This Row],[N_ItemsCount]]</f>
        <v>0</v>
      </c>
      <c r="AU604" s="17">
        <f>IF(F604=1,IF(TableCosts[[#This Row],[N_Kateg]]="interné práce",TableCosts[[#This Row],[N_Amount]]*8*PAR_SGA_PERHOUR,0),0)</f>
        <v>0</v>
      </c>
      <c r="AV604" s="17">
        <f>SUM(TableCosts[[#This Row],[N_Direct]:[N_SGA]])</f>
        <v>0</v>
      </c>
      <c r="AW604" s="7">
        <f>IF(F604=1,IF(D604="",NA(),VLOOKUP(C604&amp;TableCosts[[#This Row],[Calc_N_Typ]],TRAN_STRITEMS_LABEL,7,0)),0)</f>
        <v>0</v>
      </c>
      <c r="AX604" s="7">
        <f t="shared" si="117"/>
        <v>0</v>
      </c>
      <c r="AY604" s="57" t="str">
        <f t="shared" si="118"/>
        <v/>
      </c>
      <c r="AZ604" s="57" t="str">
        <f t="shared" si="119"/>
        <v/>
      </c>
      <c r="BA604" s="57" t="str">
        <f>IF(F604=1,IF(TableCosts[[#This Row],[TransferFrom]]=TableCosts[[#This Row],[TranferTo]],0,1),"")</f>
        <v/>
      </c>
      <c r="BB604" s="7">
        <f t="shared" si="120"/>
        <v>0</v>
      </c>
      <c r="BC604" s="7">
        <f t="shared" si="121"/>
        <v>0</v>
      </c>
    </row>
    <row r="605" spans="2:55" s="7" customFormat="1" ht="12.75" x14ac:dyDescent="0.2">
      <c r="B605" s="33"/>
      <c r="C605" s="31"/>
      <c r="D605" s="40"/>
      <c r="E605" s="6" t="str">
        <f>IF(F605=1,IF(ISERROR(TableCosts[[#This Row],[N_Tariff]]),Err_Message1,IF(TableCosts[[#This Row],[N_Tariff]]=0,Err_Message2,VLOOKUP(C605&amp;TableCosts[[#This Row],[Calc_N_Typ]],TRAN_STRITEMS_LABEL,5,FALSE))),"")</f>
        <v/>
      </c>
      <c r="F605" s="6">
        <f t="shared" si="122"/>
        <v>0</v>
      </c>
      <c r="G605" s="6" t="str">
        <f>IF(F605=1,IFERROR(VLOOKUP(E605,Tab_ErrMessage[],2,0),VLOOKUP(C605&amp;TableCosts[[#This Row],[Calc_N_Typ]],TRAN_STRITEMS_LABEL,4,FALSE)),"")</f>
        <v/>
      </c>
      <c r="H605" s="40"/>
      <c r="I605" s="40"/>
      <c r="J605" s="35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  <c r="AD605" s="24"/>
      <c r="AE605" s="24"/>
      <c r="AF605" s="24"/>
      <c r="AG605" s="24"/>
      <c r="AH605" s="24"/>
      <c r="AI605" s="24"/>
      <c r="AJ605" s="24"/>
      <c r="AK605" s="38">
        <f t="array" ref="AK605">IF(F605=1,SUM((ROW(M0)=ROW(AK605))*(M0+M1_+M2_+M3_+M4_+M5_+M6_+M7_+M8_+M9_+M10_+M11_+M12_+M13_+M14_+M15_+M16_+M17_+M18_+M19_+M20_+M21_+M22_+M23_+M24_+M25_)),0)</f>
        <v>0</v>
      </c>
      <c r="AL605" s="27">
        <f>TableCosts[[#This Row],[N_Direct]]</f>
        <v>0</v>
      </c>
      <c r="AN605" s="7" t="str">
        <f t="shared" si="111"/>
        <v/>
      </c>
      <c r="AO605" s="7" t="str">
        <f t="shared" si="114"/>
        <v/>
      </c>
      <c r="AP605" s="7" t="str">
        <f t="shared" si="112"/>
        <v/>
      </c>
      <c r="AQ605" s="7" t="str">
        <f t="shared" si="115"/>
        <v/>
      </c>
      <c r="AR605" s="7" t="str">
        <f t="shared" si="113"/>
        <v/>
      </c>
      <c r="AS605" s="7">
        <f t="shared" si="116"/>
        <v>0</v>
      </c>
      <c r="AT605" s="17">
        <f>TableCosts[[#This Row],[N_Amount]]*TableCosts[[#This Row],[N_Tariff]]*TableCosts[[#This Row],[N_ItemsCount]]</f>
        <v>0</v>
      </c>
      <c r="AU605" s="17">
        <f>IF(F605=1,IF(TableCosts[[#This Row],[N_Kateg]]="interné práce",TableCosts[[#This Row],[N_Amount]]*8*PAR_SGA_PERHOUR,0),0)</f>
        <v>0</v>
      </c>
      <c r="AV605" s="17">
        <f>SUM(TableCosts[[#This Row],[N_Direct]:[N_SGA]])</f>
        <v>0</v>
      </c>
      <c r="AW605" s="7">
        <f>IF(F605=1,IF(D605="",NA(),VLOOKUP(C605&amp;TableCosts[[#This Row],[Calc_N_Typ]],TRAN_STRITEMS_LABEL,7,0)),0)</f>
        <v>0</v>
      </c>
      <c r="AX605" s="7">
        <f t="shared" si="117"/>
        <v>0</v>
      </c>
      <c r="AY605" s="57" t="str">
        <f t="shared" si="118"/>
        <v/>
      </c>
      <c r="AZ605" s="57" t="str">
        <f t="shared" si="119"/>
        <v/>
      </c>
      <c r="BA605" s="57" t="str">
        <f>IF(F605=1,IF(TableCosts[[#This Row],[TransferFrom]]=TableCosts[[#This Row],[TranferTo]],0,1),"")</f>
        <v/>
      </c>
      <c r="BB605" s="7">
        <f t="shared" si="120"/>
        <v>0</v>
      </c>
      <c r="BC605" s="7">
        <f t="shared" si="121"/>
        <v>0</v>
      </c>
    </row>
    <row r="606" spans="2:55" s="7" customFormat="1" ht="12.75" x14ac:dyDescent="0.2">
      <c r="B606" s="33"/>
      <c r="C606" s="31"/>
      <c r="D606" s="40"/>
      <c r="E606" s="6" t="str">
        <f>IF(F606=1,IF(ISERROR(TableCosts[[#This Row],[N_Tariff]]),Err_Message1,IF(TableCosts[[#This Row],[N_Tariff]]=0,Err_Message2,VLOOKUP(C606&amp;TableCosts[[#This Row],[Calc_N_Typ]],TRAN_STRITEMS_LABEL,5,FALSE))),"")</f>
        <v/>
      </c>
      <c r="F606" s="6">
        <f t="shared" si="122"/>
        <v>0</v>
      </c>
      <c r="G606" s="6" t="str">
        <f>IF(F606=1,IFERROR(VLOOKUP(E606,Tab_ErrMessage[],2,0),VLOOKUP(C606&amp;TableCosts[[#This Row],[Calc_N_Typ]],TRAN_STRITEMS_LABEL,4,FALSE)),"")</f>
        <v/>
      </c>
      <c r="H606" s="40"/>
      <c r="I606" s="40"/>
      <c r="J606" s="35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  <c r="AD606" s="24"/>
      <c r="AE606" s="24"/>
      <c r="AF606" s="24"/>
      <c r="AG606" s="24"/>
      <c r="AH606" s="24"/>
      <c r="AI606" s="24"/>
      <c r="AJ606" s="24"/>
      <c r="AK606" s="38">
        <f t="array" ref="AK606">IF(F606=1,SUM((ROW(M0)=ROW(AK606))*(M0+M1_+M2_+M3_+M4_+M5_+M6_+M7_+M8_+M9_+M10_+M11_+M12_+M13_+M14_+M15_+M16_+M17_+M18_+M19_+M20_+M21_+M22_+M23_+M24_+M25_)),0)</f>
        <v>0</v>
      </c>
      <c r="AL606" s="27">
        <f>TableCosts[[#This Row],[N_Direct]]</f>
        <v>0</v>
      </c>
      <c r="AN606" s="7" t="str">
        <f t="shared" si="111"/>
        <v/>
      </c>
      <c r="AO606" s="7" t="str">
        <f t="shared" si="114"/>
        <v/>
      </c>
      <c r="AP606" s="7" t="str">
        <f t="shared" si="112"/>
        <v/>
      </c>
      <c r="AQ606" s="7" t="str">
        <f t="shared" si="115"/>
        <v/>
      </c>
      <c r="AR606" s="7" t="str">
        <f t="shared" si="113"/>
        <v/>
      </c>
      <c r="AS606" s="7">
        <f t="shared" si="116"/>
        <v>0</v>
      </c>
      <c r="AT606" s="17">
        <f>TableCosts[[#This Row],[N_Amount]]*TableCosts[[#This Row],[N_Tariff]]*TableCosts[[#This Row],[N_ItemsCount]]</f>
        <v>0</v>
      </c>
      <c r="AU606" s="17">
        <f>IF(F606=1,IF(TableCosts[[#This Row],[N_Kateg]]="interné práce",TableCosts[[#This Row],[N_Amount]]*8*PAR_SGA_PERHOUR,0),0)</f>
        <v>0</v>
      </c>
      <c r="AV606" s="17">
        <f>SUM(TableCosts[[#This Row],[N_Direct]:[N_SGA]])</f>
        <v>0</v>
      </c>
      <c r="AW606" s="7">
        <f>IF(F606=1,IF(D606="",NA(),VLOOKUP(C606&amp;TableCosts[[#This Row],[Calc_N_Typ]],TRAN_STRITEMS_LABEL,7,0)),0)</f>
        <v>0</v>
      </c>
      <c r="AX606" s="7">
        <f t="shared" si="117"/>
        <v>0</v>
      </c>
      <c r="AY606" s="57" t="str">
        <f t="shared" si="118"/>
        <v/>
      </c>
      <c r="AZ606" s="57" t="str">
        <f t="shared" si="119"/>
        <v/>
      </c>
      <c r="BA606" s="57" t="str">
        <f>IF(F606=1,IF(TableCosts[[#This Row],[TransferFrom]]=TableCosts[[#This Row],[TranferTo]],0,1),"")</f>
        <v/>
      </c>
      <c r="BB606" s="7">
        <f t="shared" si="120"/>
        <v>0</v>
      </c>
      <c r="BC606" s="7">
        <f t="shared" si="121"/>
        <v>0</v>
      </c>
    </row>
    <row r="607" spans="2:55" s="7" customFormat="1" ht="12.75" x14ac:dyDescent="0.2">
      <c r="B607" s="33"/>
      <c r="C607" s="31"/>
      <c r="D607" s="40"/>
      <c r="E607" s="6" t="str">
        <f>IF(F607=1,IF(ISERROR(TableCosts[[#This Row],[N_Tariff]]),Err_Message1,IF(TableCosts[[#This Row],[N_Tariff]]=0,Err_Message2,VLOOKUP(C607&amp;TableCosts[[#This Row],[Calc_N_Typ]],TRAN_STRITEMS_LABEL,5,FALSE))),"")</f>
        <v/>
      </c>
      <c r="F607" s="6">
        <f t="shared" si="122"/>
        <v>0</v>
      </c>
      <c r="G607" s="6" t="str">
        <f>IF(F607=1,IFERROR(VLOOKUP(E607,Tab_ErrMessage[],2,0),VLOOKUP(C607&amp;TableCosts[[#This Row],[Calc_N_Typ]],TRAN_STRITEMS_LABEL,4,FALSE)),"")</f>
        <v/>
      </c>
      <c r="H607" s="40"/>
      <c r="I607" s="40"/>
      <c r="J607" s="35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  <c r="AD607" s="24"/>
      <c r="AE607" s="24"/>
      <c r="AF607" s="24"/>
      <c r="AG607" s="24"/>
      <c r="AH607" s="24"/>
      <c r="AI607" s="24"/>
      <c r="AJ607" s="24"/>
      <c r="AK607" s="38">
        <f t="array" ref="AK607">IF(F607=1,SUM((ROW(M0)=ROW(AK607))*(M0+M1_+M2_+M3_+M4_+M5_+M6_+M7_+M8_+M9_+M10_+M11_+M12_+M13_+M14_+M15_+M16_+M17_+M18_+M19_+M20_+M21_+M22_+M23_+M24_+M25_)),0)</f>
        <v>0</v>
      </c>
      <c r="AL607" s="27">
        <f>TableCosts[[#This Row],[N_Direct]]</f>
        <v>0</v>
      </c>
      <c r="AN607" s="7" t="str">
        <f t="shared" si="111"/>
        <v/>
      </c>
      <c r="AO607" s="7" t="str">
        <f t="shared" si="114"/>
        <v/>
      </c>
      <c r="AP607" s="7" t="str">
        <f t="shared" si="112"/>
        <v/>
      </c>
      <c r="AQ607" s="7" t="str">
        <f t="shared" si="115"/>
        <v/>
      </c>
      <c r="AR607" s="7" t="str">
        <f t="shared" si="113"/>
        <v/>
      </c>
      <c r="AS607" s="7">
        <f t="shared" si="116"/>
        <v>0</v>
      </c>
      <c r="AT607" s="17">
        <f>TableCosts[[#This Row],[N_Amount]]*TableCosts[[#This Row],[N_Tariff]]*TableCosts[[#This Row],[N_ItemsCount]]</f>
        <v>0</v>
      </c>
      <c r="AU607" s="17">
        <f>IF(F607=1,IF(TableCosts[[#This Row],[N_Kateg]]="interné práce",TableCosts[[#This Row],[N_Amount]]*8*PAR_SGA_PERHOUR,0),0)</f>
        <v>0</v>
      </c>
      <c r="AV607" s="17">
        <f>SUM(TableCosts[[#This Row],[N_Direct]:[N_SGA]])</f>
        <v>0</v>
      </c>
      <c r="AW607" s="7">
        <f>IF(F607=1,IF(D607="",NA(),VLOOKUP(C607&amp;TableCosts[[#This Row],[Calc_N_Typ]],TRAN_STRITEMS_LABEL,7,0)),0)</f>
        <v>0</v>
      </c>
      <c r="AX607" s="7">
        <f t="shared" si="117"/>
        <v>0</v>
      </c>
      <c r="AY607" s="57" t="str">
        <f t="shared" si="118"/>
        <v/>
      </c>
      <c r="AZ607" s="57" t="str">
        <f t="shared" si="119"/>
        <v/>
      </c>
      <c r="BA607" s="57" t="str">
        <f>IF(F607=1,IF(TableCosts[[#This Row],[TransferFrom]]=TableCosts[[#This Row],[TranferTo]],0,1),"")</f>
        <v/>
      </c>
      <c r="BB607" s="7">
        <f t="shared" si="120"/>
        <v>0</v>
      </c>
      <c r="BC607" s="7">
        <f t="shared" si="121"/>
        <v>0</v>
      </c>
    </row>
    <row r="608" spans="2:55" s="7" customFormat="1" ht="12.75" x14ac:dyDescent="0.2">
      <c r="B608" s="33"/>
      <c r="C608" s="31"/>
      <c r="D608" s="40"/>
      <c r="E608" s="6" t="str">
        <f>IF(F608=1,IF(ISERROR(TableCosts[[#This Row],[N_Tariff]]),Err_Message1,IF(TableCosts[[#This Row],[N_Tariff]]=0,Err_Message2,VLOOKUP(C608&amp;TableCosts[[#This Row],[Calc_N_Typ]],TRAN_STRITEMS_LABEL,5,FALSE))),"")</f>
        <v/>
      </c>
      <c r="F608" s="6">
        <f t="shared" si="122"/>
        <v>0</v>
      </c>
      <c r="G608" s="6" t="str">
        <f>IF(F608=1,IFERROR(VLOOKUP(E608,Tab_ErrMessage[],2,0),VLOOKUP(C608&amp;TableCosts[[#This Row],[Calc_N_Typ]],TRAN_STRITEMS_LABEL,4,FALSE)),"")</f>
        <v/>
      </c>
      <c r="H608" s="40"/>
      <c r="I608" s="40"/>
      <c r="J608" s="35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  <c r="AD608" s="24"/>
      <c r="AE608" s="24"/>
      <c r="AF608" s="24"/>
      <c r="AG608" s="24"/>
      <c r="AH608" s="24"/>
      <c r="AI608" s="24"/>
      <c r="AJ608" s="24"/>
      <c r="AK608" s="38">
        <f t="array" ref="AK608">IF(F608=1,SUM((ROW(M0)=ROW(AK608))*(M0+M1_+M2_+M3_+M4_+M5_+M6_+M7_+M8_+M9_+M10_+M11_+M12_+M13_+M14_+M15_+M16_+M17_+M18_+M19_+M20_+M21_+M22_+M23_+M24_+M25_)),0)</f>
        <v>0</v>
      </c>
      <c r="AL608" s="27">
        <f>TableCosts[[#This Row],[N_Direct]]</f>
        <v>0</v>
      </c>
      <c r="AN608" s="7" t="str">
        <f t="shared" si="111"/>
        <v/>
      </c>
      <c r="AO608" s="7" t="str">
        <f t="shared" si="114"/>
        <v/>
      </c>
      <c r="AP608" s="7" t="str">
        <f t="shared" si="112"/>
        <v/>
      </c>
      <c r="AQ608" s="7" t="str">
        <f t="shared" si="115"/>
        <v/>
      </c>
      <c r="AR608" s="7" t="str">
        <f t="shared" si="113"/>
        <v/>
      </c>
      <c r="AS608" s="7">
        <f t="shared" si="116"/>
        <v>0</v>
      </c>
      <c r="AT608" s="17">
        <f>TableCosts[[#This Row],[N_Amount]]*TableCosts[[#This Row],[N_Tariff]]*TableCosts[[#This Row],[N_ItemsCount]]</f>
        <v>0</v>
      </c>
      <c r="AU608" s="17">
        <f>IF(F608=1,IF(TableCosts[[#This Row],[N_Kateg]]="interné práce",TableCosts[[#This Row],[N_Amount]]*8*PAR_SGA_PERHOUR,0),0)</f>
        <v>0</v>
      </c>
      <c r="AV608" s="17">
        <f>SUM(TableCosts[[#This Row],[N_Direct]:[N_SGA]])</f>
        <v>0</v>
      </c>
      <c r="AW608" s="7">
        <f>IF(F608=1,IF(D608="",NA(),VLOOKUP(C608&amp;TableCosts[[#This Row],[Calc_N_Typ]],TRAN_STRITEMS_LABEL,7,0)),0)</f>
        <v>0</v>
      </c>
      <c r="AX608" s="7">
        <f t="shared" si="117"/>
        <v>0</v>
      </c>
      <c r="AY608" s="57" t="str">
        <f t="shared" si="118"/>
        <v/>
      </c>
      <c r="AZ608" s="57" t="str">
        <f t="shared" si="119"/>
        <v/>
      </c>
      <c r="BA608" s="57" t="str">
        <f>IF(F608=1,IF(TableCosts[[#This Row],[TransferFrom]]=TableCosts[[#This Row],[TranferTo]],0,1),"")</f>
        <v/>
      </c>
      <c r="BB608" s="7">
        <f t="shared" si="120"/>
        <v>0</v>
      </c>
      <c r="BC608" s="7">
        <f t="shared" si="121"/>
        <v>0</v>
      </c>
    </row>
    <row r="609" spans="2:55" s="7" customFormat="1" ht="12.75" x14ac:dyDescent="0.2">
      <c r="B609" s="33"/>
      <c r="C609" s="31"/>
      <c r="D609" s="40"/>
      <c r="E609" s="6" t="str">
        <f>IF(F609=1,IF(ISERROR(TableCosts[[#This Row],[N_Tariff]]),Err_Message1,IF(TableCosts[[#This Row],[N_Tariff]]=0,Err_Message2,VLOOKUP(C609&amp;TableCosts[[#This Row],[Calc_N_Typ]],TRAN_STRITEMS_LABEL,5,FALSE))),"")</f>
        <v/>
      </c>
      <c r="F609" s="6">
        <f t="shared" si="122"/>
        <v>0</v>
      </c>
      <c r="G609" s="6" t="str">
        <f>IF(F609=1,IFERROR(VLOOKUP(E609,Tab_ErrMessage[],2,0),VLOOKUP(C609&amp;TableCosts[[#This Row],[Calc_N_Typ]],TRAN_STRITEMS_LABEL,4,FALSE)),"")</f>
        <v/>
      </c>
      <c r="H609" s="40"/>
      <c r="I609" s="40"/>
      <c r="J609" s="35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  <c r="AD609" s="24"/>
      <c r="AE609" s="24"/>
      <c r="AF609" s="24"/>
      <c r="AG609" s="24"/>
      <c r="AH609" s="24"/>
      <c r="AI609" s="24"/>
      <c r="AJ609" s="24"/>
      <c r="AK609" s="38">
        <f t="array" ref="AK609">IF(F609=1,SUM((ROW(M0)=ROW(AK609))*(M0+M1_+M2_+M3_+M4_+M5_+M6_+M7_+M8_+M9_+M10_+M11_+M12_+M13_+M14_+M15_+M16_+M17_+M18_+M19_+M20_+M21_+M22_+M23_+M24_+M25_)),0)</f>
        <v>0</v>
      </c>
      <c r="AL609" s="27">
        <f>TableCosts[[#This Row],[N_Direct]]</f>
        <v>0</v>
      </c>
      <c r="AN609" s="7" t="str">
        <f t="shared" si="111"/>
        <v/>
      </c>
      <c r="AO609" s="7" t="str">
        <f t="shared" si="114"/>
        <v/>
      </c>
      <c r="AP609" s="7" t="str">
        <f t="shared" si="112"/>
        <v/>
      </c>
      <c r="AQ609" s="7" t="str">
        <f t="shared" si="115"/>
        <v/>
      </c>
      <c r="AR609" s="7" t="str">
        <f t="shared" si="113"/>
        <v/>
      </c>
      <c r="AS609" s="7">
        <f t="shared" si="116"/>
        <v>0</v>
      </c>
      <c r="AT609" s="17">
        <f>TableCosts[[#This Row],[N_Amount]]*TableCosts[[#This Row],[N_Tariff]]*TableCosts[[#This Row],[N_ItemsCount]]</f>
        <v>0</v>
      </c>
      <c r="AU609" s="17">
        <f>IF(F609=1,IF(TableCosts[[#This Row],[N_Kateg]]="interné práce",TableCosts[[#This Row],[N_Amount]]*8*PAR_SGA_PERHOUR,0),0)</f>
        <v>0</v>
      </c>
      <c r="AV609" s="17">
        <f>SUM(TableCosts[[#This Row],[N_Direct]:[N_SGA]])</f>
        <v>0</v>
      </c>
      <c r="AW609" s="7">
        <f>IF(F609=1,IF(D609="",NA(),VLOOKUP(C609&amp;TableCosts[[#This Row],[Calc_N_Typ]],TRAN_STRITEMS_LABEL,7,0)),0)</f>
        <v>0</v>
      </c>
      <c r="AX609" s="7">
        <f t="shared" si="117"/>
        <v>0</v>
      </c>
      <c r="AY609" s="57" t="str">
        <f t="shared" si="118"/>
        <v/>
      </c>
      <c r="AZ609" s="57" t="str">
        <f t="shared" si="119"/>
        <v/>
      </c>
      <c r="BA609" s="57" t="str">
        <f>IF(F609=1,IF(TableCosts[[#This Row],[TransferFrom]]=TableCosts[[#This Row],[TranferTo]],0,1),"")</f>
        <v/>
      </c>
      <c r="BB609" s="7">
        <f t="shared" si="120"/>
        <v>0</v>
      </c>
      <c r="BC609" s="7">
        <f t="shared" si="121"/>
        <v>0</v>
      </c>
    </row>
    <row r="610" spans="2:55" s="7" customFormat="1" ht="12.75" x14ac:dyDescent="0.2">
      <c r="B610" s="33"/>
      <c r="C610" s="31"/>
      <c r="D610" s="40"/>
      <c r="E610" s="6" t="str">
        <f>IF(F610=1,IF(ISERROR(TableCosts[[#This Row],[N_Tariff]]),Err_Message1,IF(TableCosts[[#This Row],[N_Tariff]]=0,Err_Message2,VLOOKUP(C610&amp;TableCosts[[#This Row],[Calc_N_Typ]],TRAN_STRITEMS_LABEL,5,FALSE))),"")</f>
        <v/>
      </c>
      <c r="F610" s="6">
        <f t="shared" si="122"/>
        <v>0</v>
      </c>
      <c r="G610" s="6" t="str">
        <f>IF(F610=1,IFERROR(VLOOKUP(E610,Tab_ErrMessage[],2,0),VLOOKUP(C610&amp;TableCosts[[#This Row],[Calc_N_Typ]],TRAN_STRITEMS_LABEL,4,FALSE)),"")</f>
        <v/>
      </c>
      <c r="H610" s="40"/>
      <c r="I610" s="40"/>
      <c r="J610" s="35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  <c r="AD610" s="24"/>
      <c r="AE610" s="24"/>
      <c r="AF610" s="24"/>
      <c r="AG610" s="24"/>
      <c r="AH610" s="24"/>
      <c r="AI610" s="24"/>
      <c r="AJ610" s="24"/>
      <c r="AK610" s="38">
        <f t="array" ref="AK610">IF(F610=1,SUM((ROW(M0)=ROW(AK610))*(M0+M1_+M2_+M3_+M4_+M5_+M6_+M7_+M8_+M9_+M10_+M11_+M12_+M13_+M14_+M15_+M16_+M17_+M18_+M19_+M20_+M21_+M22_+M23_+M24_+M25_)),0)</f>
        <v>0</v>
      </c>
      <c r="AL610" s="27">
        <f>TableCosts[[#This Row],[N_Direct]]</f>
        <v>0</v>
      </c>
      <c r="AN610" s="7" t="str">
        <f t="shared" si="111"/>
        <v/>
      </c>
      <c r="AO610" s="7" t="str">
        <f t="shared" si="114"/>
        <v/>
      </c>
      <c r="AP610" s="7" t="str">
        <f t="shared" si="112"/>
        <v/>
      </c>
      <c r="AQ610" s="7" t="str">
        <f t="shared" si="115"/>
        <v/>
      </c>
      <c r="AR610" s="7" t="str">
        <f t="shared" si="113"/>
        <v/>
      </c>
      <c r="AS610" s="7">
        <f t="shared" si="116"/>
        <v>0</v>
      </c>
      <c r="AT610" s="17">
        <f>TableCosts[[#This Row],[N_Amount]]*TableCosts[[#This Row],[N_Tariff]]*TableCosts[[#This Row],[N_ItemsCount]]</f>
        <v>0</v>
      </c>
      <c r="AU610" s="17">
        <f>IF(F610=1,IF(TableCosts[[#This Row],[N_Kateg]]="interné práce",TableCosts[[#This Row],[N_Amount]]*8*PAR_SGA_PERHOUR,0),0)</f>
        <v>0</v>
      </c>
      <c r="AV610" s="17">
        <f>SUM(TableCosts[[#This Row],[N_Direct]:[N_SGA]])</f>
        <v>0</v>
      </c>
      <c r="AW610" s="7">
        <f>IF(F610=1,IF(D610="",NA(),VLOOKUP(C610&amp;TableCosts[[#This Row],[Calc_N_Typ]],TRAN_STRITEMS_LABEL,7,0)),0)</f>
        <v>0</v>
      </c>
      <c r="AX610" s="7">
        <f t="shared" si="117"/>
        <v>0</v>
      </c>
      <c r="AY610" s="57" t="str">
        <f t="shared" si="118"/>
        <v/>
      </c>
      <c r="AZ610" s="57" t="str">
        <f t="shared" si="119"/>
        <v/>
      </c>
      <c r="BA610" s="57" t="str">
        <f>IF(F610=1,IF(TableCosts[[#This Row],[TransferFrom]]=TableCosts[[#This Row],[TranferTo]],0,1),"")</f>
        <v/>
      </c>
      <c r="BB610" s="7">
        <f t="shared" si="120"/>
        <v>0</v>
      </c>
      <c r="BC610" s="7">
        <f t="shared" si="121"/>
        <v>0</v>
      </c>
    </row>
    <row r="611" spans="2:55" s="7" customFormat="1" ht="12.75" x14ac:dyDescent="0.2">
      <c r="B611" s="33"/>
      <c r="C611" s="31"/>
      <c r="D611" s="40"/>
      <c r="E611" s="6" t="str">
        <f>IF(F611=1,IF(ISERROR(TableCosts[[#This Row],[N_Tariff]]),Err_Message1,IF(TableCosts[[#This Row],[N_Tariff]]=0,Err_Message2,VLOOKUP(C611&amp;TableCosts[[#This Row],[Calc_N_Typ]],TRAN_STRITEMS_LABEL,5,FALSE))),"")</f>
        <v/>
      </c>
      <c r="F611" s="6">
        <f t="shared" si="122"/>
        <v>0</v>
      </c>
      <c r="G611" s="6" t="str">
        <f>IF(F611=1,IFERROR(VLOOKUP(E611,Tab_ErrMessage[],2,0),VLOOKUP(C611&amp;TableCosts[[#This Row],[Calc_N_Typ]],TRAN_STRITEMS_LABEL,4,FALSE)),"")</f>
        <v/>
      </c>
      <c r="H611" s="40"/>
      <c r="I611" s="40"/>
      <c r="J611" s="35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  <c r="AD611" s="24"/>
      <c r="AE611" s="24"/>
      <c r="AF611" s="24"/>
      <c r="AG611" s="24"/>
      <c r="AH611" s="24"/>
      <c r="AI611" s="24"/>
      <c r="AJ611" s="24"/>
      <c r="AK611" s="38">
        <f t="array" ref="AK611">IF(F611=1,SUM((ROW(M0)=ROW(AK611))*(M0+M1_+M2_+M3_+M4_+M5_+M6_+M7_+M8_+M9_+M10_+M11_+M12_+M13_+M14_+M15_+M16_+M17_+M18_+M19_+M20_+M21_+M22_+M23_+M24_+M25_)),0)</f>
        <v>0</v>
      </c>
      <c r="AL611" s="27">
        <f>TableCosts[[#This Row],[N_Direct]]</f>
        <v>0</v>
      </c>
      <c r="AN611" s="7" t="str">
        <f t="shared" si="111"/>
        <v/>
      </c>
      <c r="AO611" s="7" t="str">
        <f t="shared" si="114"/>
        <v/>
      </c>
      <c r="AP611" s="7" t="str">
        <f t="shared" si="112"/>
        <v/>
      </c>
      <c r="AQ611" s="7" t="str">
        <f t="shared" si="115"/>
        <v/>
      </c>
      <c r="AR611" s="7" t="str">
        <f t="shared" si="113"/>
        <v/>
      </c>
      <c r="AS611" s="7">
        <f t="shared" si="116"/>
        <v>0</v>
      </c>
      <c r="AT611" s="17">
        <f>TableCosts[[#This Row],[N_Amount]]*TableCosts[[#This Row],[N_Tariff]]*TableCosts[[#This Row],[N_ItemsCount]]</f>
        <v>0</v>
      </c>
      <c r="AU611" s="17">
        <f>IF(F611=1,IF(TableCosts[[#This Row],[N_Kateg]]="interné práce",TableCosts[[#This Row],[N_Amount]]*8*PAR_SGA_PERHOUR,0),0)</f>
        <v>0</v>
      </c>
      <c r="AV611" s="17">
        <f>SUM(TableCosts[[#This Row],[N_Direct]:[N_SGA]])</f>
        <v>0</v>
      </c>
      <c r="AW611" s="7">
        <f>IF(F611=1,IF(D611="",NA(),VLOOKUP(C611&amp;TableCosts[[#This Row],[Calc_N_Typ]],TRAN_STRITEMS_LABEL,7,0)),0)</f>
        <v>0</v>
      </c>
      <c r="AX611" s="7">
        <f t="shared" si="117"/>
        <v>0</v>
      </c>
      <c r="AY611" s="57" t="str">
        <f t="shared" si="118"/>
        <v/>
      </c>
      <c r="AZ611" s="57" t="str">
        <f t="shared" si="119"/>
        <v/>
      </c>
      <c r="BA611" s="57" t="str">
        <f>IF(F611=1,IF(TableCosts[[#This Row],[TransferFrom]]=TableCosts[[#This Row],[TranferTo]],0,1),"")</f>
        <v/>
      </c>
      <c r="BB611" s="7">
        <f t="shared" si="120"/>
        <v>0</v>
      </c>
      <c r="BC611" s="7">
        <f t="shared" si="121"/>
        <v>0</v>
      </c>
    </row>
    <row r="612" spans="2:55" s="7" customFormat="1" ht="12.75" x14ac:dyDescent="0.2">
      <c r="B612" s="33"/>
      <c r="C612" s="31"/>
      <c r="D612" s="40"/>
      <c r="E612" s="6" t="str">
        <f>IF(F612=1,IF(ISERROR(TableCosts[[#This Row],[N_Tariff]]),Err_Message1,IF(TableCosts[[#This Row],[N_Tariff]]=0,Err_Message2,VLOOKUP(C612&amp;TableCosts[[#This Row],[Calc_N_Typ]],TRAN_STRITEMS_LABEL,5,FALSE))),"")</f>
        <v/>
      </c>
      <c r="F612" s="6">
        <f t="shared" si="122"/>
        <v>0</v>
      </c>
      <c r="G612" s="6" t="str">
        <f>IF(F612=1,IFERROR(VLOOKUP(E612,Tab_ErrMessage[],2,0),VLOOKUP(C612&amp;TableCosts[[#This Row],[Calc_N_Typ]],TRAN_STRITEMS_LABEL,4,FALSE)),"")</f>
        <v/>
      </c>
      <c r="H612" s="40"/>
      <c r="I612" s="40"/>
      <c r="J612" s="35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  <c r="AD612" s="24"/>
      <c r="AE612" s="24"/>
      <c r="AF612" s="24"/>
      <c r="AG612" s="24"/>
      <c r="AH612" s="24"/>
      <c r="AI612" s="24"/>
      <c r="AJ612" s="24"/>
      <c r="AK612" s="38">
        <f t="array" ref="AK612">IF(F612=1,SUM((ROW(M0)=ROW(AK612))*(M0+M1_+M2_+M3_+M4_+M5_+M6_+M7_+M8_+M9_+M10_+M11_+M12_+M13_+M14_+M15_+M16_+M17_+M18_+M19_+M20_+M21_+M22_+M23_+M24_+M25_)),0)</f>
        <v>0</v>
      </c>
      <c r="AL612" s="27">
        <f>TableCosts[[#This Row],[N_Direct]]</f>
        <v>0</v>
      </c>
      <c r="AN612" s="7" t="str">
        <f t="shared" si="111"/>
        <v/>
      </c>
      <c r="AO612" s="7" t="str">
        <f t="shared" si="114"/>
        <v/>
      </c>
      <c r="AP612" s="7" t="str">
        <f t="shared" si="112"/>
        <v/>
      </c>
      <c r="AQ612" s="7" t="str">
        <f t="shared" si="115"/>
        <v/>
      </c>
      <c r="AR612" s="7" t="str">
        <f t="shared" si="113"/>
        <v/>
      </c>
      <c r="AS612" s="7">
        <f t="shared" si="116"/>
        <v>0</v>
      </c>
      <c r="AT612" s="17">
        <f>TableCosts[[#This Row],[N_Amount]]*TableCosts[[#This Row],[N_Tariff]]*TableCosts[[#This Row],[N_ItemsCount]]</f>
        <v>0</v>
      </c>
      <c r="AU612" s="17">
        <f>IF(F612=1,IF(TableCosts[[#This Row],[N_Kateg]]="interné práce",TableCosts[[#This Row],[N_Amount]]*8*PAR_SGA_PERHOUR,0),0)</f>
        <v>0</v>
      </c>
      <c r="AV612" s="17">
        <f>SUM(TableCosts[[#This Row],[N_Direct]:[N_SGA]])</f>
        <v>0</v>
      </c>
      <c r="AW612" s="7">
        <f>IF(F612=1,IF(D612="",NA(),VLOOKUP(C612&amp;TableCosts[[#This Row],[Calc_N_Typ]],TRAN_STRITEMS_LABEL,7,0)),0)</f>
        <v>0</v>
      </c>
      <c r="AX612" s="7">
        <f t="shared" si="117"/>
        <v>0</v>
      </c>
      <c r="AY612" s="57" t="str">
        <f t="shared" si="118"/>
        <v/>
      </c>
      <c r="AZ612" s="57" t="str">
        <f t="shared" si="119"/>
        <v/>
      </c>
      <c r="BA612" s="57" t="str">
        <f>IF(F612=1,IF(TableCosts[[#This Row],[TransferFrom]]=TableCosts[[#This Row],[TranferTo]],0,1),"")</f>
        <v/>
      </c>
      <c r="BB612" s="7">
        <f t="shared" si="120"/>
        <v>0</v>
      </c>
      <c r="BC612" s="7">
        <f t="shared" si="121"/>
        <v>0</v>
      </c>
    </row>
    <row r="613" spans="2:55" s="7" customFormat="1" ht="12.75" x14ac:dyDescent="0.2">
      <c r="B613" s="33"/>
      <c r="C613" s="31"/>
      <c r="D613" s="40"/>
      <c r="E613" s="6" t="str">
        <f>IF(F613=1,IF(ISERROR(TableCosts[[#This Row],[N_Tariff]]),Err_Message1,IF(TableCosts[[#This Row],[N_Tariff]]=0,Err_Message2,VLOOKUP(C613&amp;TableCosts[[#This Row],[Calc_N_Typ]],TRAN_STRITEMS_LABEL,5,FALSE))),"")</f>
        <v/>
      </c>
      <c r="F613" s="6">
        <f t="shared" si="122"/>
        <v>0</v>
      </c>
      <c r="G613" s="6" t="str">
        <f>IF(F613=1,IFERROR(VLOOKUP(E613,Tab_ErrMessage[],2,0),VLOOKUP(C613&amp;TableCosts[[#This Row],[Calc_N_Typ]],TRAN_STRITEMS_LABEL,4,FALSE)),"")</f>
        <v/>
      </c>
      <c r="H613" s="40"/>
      <c r="I613" s="40"/>
      <c r="J613" s="35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  <c r="AD613" s="24"/>
      <c r="AE613" s="24"/>
      <c r="AF613" s="24"/>
      <c r="AG613" s="24"/>
      <c r="AH613" s="24"/>
      <c r="AI613" s="24"/>
      <c r="AJ613" s="24"/>
      <c r="AK613" s="38">
        <f t="array" ref="AK613">IF(F613=1,SUM((ROW(M0)=ROW(AK613))*(M0+M1_+M2_+M3_+M4_+M5_+M6_+M7_+M8_+M9_+M10_+M11_+M12_+M13_+M14_+M15_+M16_+M17_+M18_+M19_+M20_+M21_+M22_+M23_+M24_+M25_)),0)</f>
        <v>0</v>
      </c>
      <c r="AL613" s="27">
        <f>TableCosts[[#This Row],[N_Direct]]</f>
        <v>0</v>
      </c>
      <c r="AN613" s="7" t="str">
        <f t="shared" si="111"/>
        <v/>
      </c>
      <c r="AO613" s="7" t="str">
        <f t="shared" si="114"/>
        <v/>
      </c>
      <c r="AP613" s="7" t="str">
        <f t="shared" si="112"/>
        <v/>
      </c>
      <c r="AQ613" s="7" t="str">
        <f t="shared" si="115"/>
        <v/>
      </c>
      <c r="AR613" s="7" t="str">
        <f t="shared" si="113"/>
        <v/>
      </c>
      <c r="AS613" s="7">
        <f t="shared" si="116"/>
        <v>0</v>
      </c>
      <c r="AT613" s="17">
        <f>TableCosts[[#This Row],[N_Amount]]*TableCosts[[#This Row],[N_Tariff]]*TableCosts[[#This Row],[N_ItemsCount]]</f>
        <v>0</v>
      </c>
      <c r="AU613" s="17">
        <f>IF(F613=1,IF(TableCosts[[#This Row],[N_Kateg]]="interné práce",TableCosts[[#This Row],[N_Amount]]*8*PAR_SGA_PERHOUR,0),0)</f>
        <v>0</v>
      </c>
      <c r="AV613" s="17">
        <f>SUM(TableCosts[[#This Row],[N_Direct]:[N_SGA]])</f>
        <v>0</v>
      </c>
      <c r="AW613" s="7">
        <f>IF(F613=1,IF(D613="",NA(),VLOOKUP(C613&amp;TableCosts[[#This Row],[Calc_N_Typ]],TRAN_STRITEMS_LABEL,7,0)),0)</f>
        <v>0</v>
      </c>
      <c r="AX613" s="7">
        <f t="shared" si="117"/>
        <v>0</v>
      </c>
      <c r="AY613" s="57" t="str">
        <f t="shared" si="118"/>
        <v/>
      </c>
      <c r="AZ613" s="57" t="str">
        <f t="shared" si="119"/>
        <v/>
      </c>
      <c r="BA613" s="57" t="str">
        <f>IF(F613=1,IF(TableCosts[[#This Row],[TransferFrom]]=TableCosts[[#This Row],[TranferTo]],0,1),"")</f>
        <v/>
      </c>
      <c r="BB613" s="7">
        <f t="shared" si="120"/>
        <v>0</v>
      </c>
      <c r="BC613" s="7">
        <f t="shared" si="121"/>
        <v>0</v>
      </c>
    </row>
    <row r="614" spans="2:55" s="7" customFormat="1" ht="12.75" x14ac:dyDescent="0.2">
      <c r="B614" s="33"/>
      <c r="C614" s="31"/>
      <c r="D614" s="40"/>
      <c r="E614" s="6" t="str">
        <f>IF(F614=1,IF(ISERROR(TableCosts[[#This Row],[N_Tariff]]),Err_Message1,IF(TableCosts[[#This Row],[N_Tariff]]=0,Err_Message2,VLOOKUP(C614&amp;TableCosts[[#This Row],[Calc_N_Typ]],TRAN_STRITEMS_LABEL,5,FALSE))),"")</f>
        <v/>
      </c>
      <c r="F614" s="6">
        <f t="shared" si="122"/>
        <v>0</v>
      </c>
      <c r="G614" s="6" t="str">
        <f>IF(F614=1,IFERROR(VLOOKUP(E614,Tab_ErrMessage[],2,0),VLOOKUP(C614&amp;TableCosts[[#This Row],[Calc_N_Typ]],TRAN_STRITEMS_LABEL,4,FALSE)),"")</f>
        <v/>
      </c>
      <c r="H614" s="40"/>
      <c r="I614" s="40"/>
      <c r="J614" s="35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  <c r="AD614" s="24"/>
      <c r="AE614" s="24"/>
      <c r="AF614" s="24"/>
      <c r="AG614" s="24"/>
      <c r="AH614" s="24"/>
      <c r="AI614" s="24"/>
      <c r="AJ614" s="24"/>
      <c r="AK614" s="38">
        <f t="array" ref="AK614">IF(F614=1,SUM((ROW(M0)=ROW(AK614))*(M0+M1_+M2_+M3_+M4_+M5_+M6_+M7_+M8_+M9_+M10_+M11_+M12_+M13_+M14_+M15_+M16_+M17_+M18_+M19_+M20_+M21_+M22_+M23_+M24_+M25_)),0)</f>
        <v>0</v>
      </c>
      <c r="AL614" s="27">
        <f>TableCosts[[#This Row],[N_Direct]]</f>
        <v>0</v>
      </c>
      <c r="AN614" s="7" t="str">
        <f t="shared" si="111"/>
        <v/>
      </c>
      <c r="AO614" s="7" t="str">
        <f t="shared" si="114"/>
        <v/>
      </c>
      <c r="AP614" s="7" t="str">
        <f t="shared" si="112"/>
        <v/>
      </c>
      <c r="AQ614" s="7" t="str">
        <f t="shared" si="115"/>
        <v/>
      </c>
      <c r="AR614" s="7" t="str">
        <f t="shared" si="113"/>
        <v/>
      </c>
      <c r="AS614" s="7">
        <f t="shared" si="116"/>
        <v>0</v>
      </c>
      <c r="AT614" s="17">
        <f>TableCosts[[#This Row],[N_Amount]]*TableCosts[[#This Row],[N_Tariff]]*TableCosts[[#This Row],[N_ItemsCount]]</f>
        <v>0</v>
      </c>
      <c r="AU614" s="17">
        <f>IF(F614=1,IF(TableCosts[[#This Row],[N_Kateg]]="interné práce",TableCosts[[#This Row],[N_Amount]]*8*PAR_SGA_PERHOUR,0),0)</f>
        <v>0</v>
      </c>
      <c r="AV614" s="17">
        <f>SUM(TableCosts[[#This Row],[N_Direct]:[N_SGA]])</f>
        <v>0</v>
      </c>
      <c r="AW614" s="7">
        <f>IF(F614=1,IF(D614="",NA(),VLOOKUP(C614&amp;TableCosts[[#This Row],[Calc_N_Typ]],TRAN_STRITEMS_LABEL,7,0)),0)</f>
        <v>0</v>
      </c>
      <c r="AX614" s="7">
        <f t="shared" si="117"/>
        <v>0</v>
      </c>
      <c r="AY614" s="57" t="str">
        <f t="shared" si="118"/>
        <v/>
      </c>
      <c r="AZ614" s="57" t="str">
        <f t="shared" si="119"/>
        <v/>
      </c>
      <c r="BA614" s="57" t="str">
        <f>IF(F614=1,IF(TableCosts[[#This Row],[TransferFrom]]=TableCosts[[#This Row],[TranferTo]],0,1),"")</f>
        <v/>
      </c>
      <c r="BB614" s="7">
        <f t="shared" si="120"/>
        <v>0</v>
      </c>
      <c r="BC614" s="7">
        <f t="shared" si="121"/>
        <v>0</v>
      </c>
    </row>
    <row r="615" spans="2:55" s="7" customFormat="1" ht="12.75" x14ac:dyDescent="0.2">
      <c r="B615" s="33"/>
      <c r="C615" s="31"/>
      <c r="D615" s="40"/>
      <c r="E615" s="6" t="str">
        <f>IF(F615=1,IF(ISERROR(TableCosts[[#This Row],[N_Tariff]]),Err_Message1,IF(TableCosts[[#This Row],[N_Tariff]]=0,Err_Message2,VLOOKUP(C615&amp;TableCosts[[#This Row],[Calc_N_Typ]],TRAN_STRITEMS_LABEL,5,FALSE))),"")</f>
        <v/>
      </c>
      <c r="F615" s="6">
        <f t="shared" si="122"/>
        <v>0</v>
      </c>
      <c r="G615" s="6" t="str">
        <f>IF(F615=1,IFERROR(VLOOKUP(E615,Tab_ErrMessage[],2,0),VLOOKUP(C615&amp;TableCosts[[#This Row],[Calc_N_Typ]],TRAN_STRITEMS_LABEL,4,FALSE)),"")</f>
        <v/>
      </c>
      <c r="H615" s="40"/>
      <c r="I615" s="40"/>
      <c r="J615" s="35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  <c r="AD615" s="24"/>
      <c r="AE615" s="24"/>
      <c r="AF615" s="24"/>
      <c r="AG615" s="24"/>
      <c r="AH615" s="24"/>
      <c r="AI615" s="24"/>
      <c r="AJ615" s="24"/>
      <c r="AK615" s="38">
        <f t="array" ref="AK615">IF(F615=1,SUM((ROW(M0)=ROW(AK615))*(M0+M1_+M2_+M3_+M4_+M5_+M6_+M7_+M8_+M9_+M10_+M11_+M12_+M13_+M14_+M15_+M16_+M17_+M18_+M19_+M20_+M21_+M22_+M23_+M24_+M25_)),0)</f>
        <v>0</v>
      </c>
      <c r="AL615" s="27">
        <f>TableCosts[[#This Row],[N_Direct]]</f>
        <v>0</v>
      </c>
      <c r="AN615" s="7" t="str">
        <f t="shared" si="111"/>
        <v/>
      </c>
      <c r="AO615" s="7" t="str">
        <f t="shared" si="114"/>
        <v/>
      </c>
      <c r="AP615" s="7" t="str">
        <f t="shared" si="112"/>
        <v/>
      </c>
      <c r="AQ615" s="7" t="str">
        <f t="shared" si="115"/>
        <v/>
      </c>
      <c r="AR615" s="7" t="str">
        <f t="shared" si="113"/>
        <v/>
      </c>
      <c r="AS615" s="7">
        <f t="shared" si="116"/>
        <v>0</v>
      </c>
      <c r="AT615" s="17">
        <f>TableCosts[[#This Row],[N_Amount]]*TableCosts[[#This Row],[N_Tariff]]*TableCosts[[#This Row],[N_ItemsCount]]</f>
        <v>0</v>
      </c>
      <c r="AU615" s="17">
        <f>IF(F615=1,IF(TableCosts[[#This Row],[N_Kateg]]="interné práce",TableCosts[[#This Row],[N_Amount]]*8*PAR_SGA_PERHOUR,0),0)</f>
        <v>0</v>
      </c>
      <c r="AV615" s="17">
        <f>SUM(TableCosts[[#This Row],[N_Direct]:[N_SGA]])</f>
        <v>0</v>
      </c>
      <c r="AW615" s="7">
        <f>IF(F615=1,IF(D615="",NA(),VLOOKUP(C615&amp;TableCosts[[#This Row],[Calc_N_Typ]],TRAN_STRITEMS_LABEL,7,0)),0)</f>
        <v>0</v>
      </c>
      <c r="AX615" s="7">
        <f t="shared" si="117"/>
        <v>0</v>
      </c>
      <c r="AY615" s="57" t="str">
        <f t="shared" si="118"/>
        <v/>
      </c>
      <c r="AZ615" s="57" t="str">
        <f t="shared" si="119"/>
        <v/>
      </c>
      <c r="BA615" s="57" t="str">
        <f>IF(F615=1,IF(TableCosts[[#This Row],[TransferFrom]]=TableCosts[[#This Row],[TranferTo]],0,1),"")</f>
        <v/>
      </c>
      <c r="BB615" s="7">
        <f t="shared" si="120"/>
        <v>0</v>
      </c>
      <c r="BC615" s="7">
        <f t="shared" si="121"/>
        <v>0</v>
      </c>
    </row>
    <row r="616" spans="2:55" s="7" customFormat="1" ht="12.75" x14ac:dyDescent="0.2">
      <c r="B616" s="33"/>
      <c r="C616" s="31"/>
      <c r="D616" s="40"/>
      <c r="E616" s="6" t="str">
        <f>IF(F616=1,IF(ISERROR(TableCosts[[#This Row],[N_Tariff]]),Err_Message1,IF(TableCosts[[#This Row],[N_Tariff]]=0,Err_Message2,VLOOKUP(C616&amp;TableCosts[[#This Row],[Calc_N_Typ]],TRAN_STRITEMS_LABEL,5,FALSE))),"")</f>
        <v/>
      </c>
      <c r="F616" s="6">
        <f t="shared" si="122"/>
        <v>0</v>
      </c>
      <c r="G616" s="6" t="str">
        <f>IF(F616=1,IFERROR(VLOOKUP(E616,Tab_ErrMessage[],2,0),VLOOKUP(C616&amp;TableCosts[[#This Row],[Calc_N_Typ]],TRAN_STRITEMS_LABEL,4,FALSE)),"")</f>
        <v/>
      </c>
      <c r="H616" s="40"/>
      <c r="I616" s="40"/>
      <c r="J616" s="35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  <c r="AD616" s="24"/>
      <c r="AE616" s="24"/>
      <c r="AF616" s="24"/>
      <c r="AG616" s="24"/>
      <c r="AH616" s="24"/>
      <c r="AI616" s="24"/>
      <c r="AJ616" s="24"/>
      <c r="AK616" s="38">
        <f t="array" ref="AK616">IF(F616=1,SUM((ROW(M0)=ROW(AK616))*(M0+M1_+M2_+M3_+M4_+M5_+M6_+M7_+M8_+M9_+M10_+M11_+M12_+M13_+M14_+M15_+M16_+M17_+M18_+M19_+M20_+M21_+M22_+M23_+M24_+M25_)),0)</f>
        <v>0</v>
      </c>
      <c r="AL616" s="27">
        <f>TableCosts[[#This Row],[N_Direct]]</f>
        <v>0</v>
      </c>
      <c r="AN616" s="7" t="str">
        <f t="shared" si="111"/>
        <v/>
      </c>
      <c r="AO616" s="7" t="str">
        <f t="shared" si="114"/>
        <v/>
      </c>
      <c r="AP616" s="7" t="str">
        <f t="shared" si="112"/>
        <v/>
      </c>
      <c r="AQ616" s="7" t="str">
        <f t="shared" si="115"/>
        <v/>
      </c>
      <c r="AR616" s="7" t="str">
        <f t="shared" si="113"/>
        <v/>
      </c>
      <c r="AS616" s="7">
        <f t="shared" si="116"/>
        <v>0</v>
      </c>
      <c r="AT616" s="17">
        <f>TableCosts[[#This Row],[N_Amount]]*TableCosts[[#This Row],[N_Tariff]]*TableCosts[[#This Row],[N_ItemsCount]]</f>
        <v>0</v>
      </c>
      <c r="AU616" s="17">
        <f>IF(F616=1,IF(TableCosts[[#This Row],[N_Kateg]]="interné práce",TableCosts[[#This Row],[N_Amount]]*8*PAR_SGA_PERHOUR,0),0)</f>
        <v>0</v>
      </c>
      <c r="AV616" s="17">
        <f>SUM(TableCosts[[#This Row],[N_Direct]:[N_SGA]])</f>
        <v>0</v>
      </c>
      <c r="AW616" s="7">
        <f>IF(F616=1,IF(D616="",NA(),VLOOKUP(C616&amp;TableCosts[[#This Row],[Calc_N_Typ]],TRAN_STRITEMS_LABEL,7,0)),0)</f>
        <v>0</v>
      </c>
      <c r="AX616" s="7">
        <f t="shared" si="117"/>
        <v>0</v>
      </c>
      <c r="AY616" s="57" t="str">
        <f t="shared" si="118"/>
        <v/>
      </c>
      <c r="AZ616" s="57" t="str">
        <f t="shared" si="119"/>
        <v/>
      </c>
      <c r="BA616" s="57" t="str">
        <f>IF(F616=1,IF(TableCosts[[#This Row],[TransferFrom]]=TableCosts[[#This Row],[TranferTo]],0,1),"")</f>
        <v/>
      </c>
      <c r="BB616" s="7">
        <f t="shared" si="120"/>
        <v>0</v>
      </c>
      <c r="BC616" s="7">
        <f t="shared" si="121"/>
        <v>0</v>
      </c>
    </row>
    <row r="617" spans="2:55" s="7" customFormat="1" ht="12.75" x14ac:dyDescent="0.2">
      <c r="B617" s="33"/>
      <c r="C617" s="31"/>
      <c r="D617" s="40"/>
      <c r="E617" s="6" t="str">
        <f>IF(F617=1,IF(ISERROR(TableCosts[[#This Row],[N_Tariff]]),Err_Message1,IF(TableCosts[[#This Row],[N_Tariff]]=0,Err_Message2,VLOOKUP(C617&amp;TableCosts[[#This Row],[Calc_N_Typ]],TRAN_STRITEMS_LABEL,5,FALSE))),"")</f>
        <v/>
      </c>
      <c r="F617" s="6">
        <f t="shared" si="122"/>
        <v>0</v>
      </c>
      <c r="G617" s="6" t="str">
        <f>IF(F617=1,IFERROR(VLOOKUP(E617,Tab_ErrMessage[],2,0),VLOOKUP(C617&amp;TableCosts[[#This Row],[Calc_N_Typ]],TRAN_STRITEMS_LABEL,4,FALSE)),"")</f>
        <v/>
      </c>
      <c r="H617" s="40"/>
      <c r="I617" s="40"/>
      <c r="J617" s="35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  <c r="AD617" s="24"/>
      <c r="AE617" s="24"/>
      <c r="AF617" s="24"/>
      <c r="AG617" s="24"/>
      <c r="AH617" s="24"/>
      <c r="AI617" s="24"/>
      <c r="AJ617" s="24"/>
      <c r="AK617" s="38">
        <f t="array" ref="AK617">IF(F617=1,SUM((ROW(M0)=ROW(AK617))*(M0+M1_+M2_+M3_+M4_+M5_+M6_+M7_+M8_+M9_+M10_+M11_+M12_+M13_+M14_+M15_+M16_+M17_+M18_+M19_+M20_+M21_+M22_+M23_+M24_+M25_)),0)</f>
        <v>0</v>
      </c>
      <c r="AL617" s="27">
        <f>TableCosts[[#This Row],[N_Direct]]</f>
        <v>0</v>
      </c>
      <c r="AN617" s="7" t="str">
        <f t="shared" si="111"/>
        <v/>
      </c>
      <c r="AO617" s="7" t="str">
        <f t="shared" si="114"/>
        <v/>
      </c>
      <c r="AP617" s="7" t="str">
        <f t="shared" si="112"/>
        <v/>
      </c>
      <c r="AQ617" s="7" t="str">
        <f t="shared" si="115"/>
        <v/>
      </c>
      <c r="AR617" s="7" t="str">
        <f t="shared" si="113"/>
        <v/>
      </c>
      <c r="AS617" s="7">
        <f t="shared" si="116"/>
        <v>0</v>
      </c>
      <c r="AT617" s="17">
        <f>TableCosts[[#This Row],[N_Amount]]*TableCosts[[#This Row],[N_Tariff]]*TableCosts[[#This Row],[N_ItemsCount]]</f>
        <v>0</v>
      </c>
      <c r="AU617" s="17">
        <f>IF(F617=1,IF(TableCosts[[#This Row],[N_Kateg]]="interné práce",TableCosts[[#This Row],[N_Amount]]*8*PAR_SGA_PERHOUR,0),0)</f>
        <v>0</v>
      </c>
      <c r="AV617" s="17">
        <f>SUM(TableCosts[[#This Row],[N_Direct]:[N_SGA]])</f>
        <v>0</v>
      </c>
      <c r="AW617" s="7">
        <f>IF(F617=1,IF(D617="",NA(),VLOOKUP(C617&amp;TableCosts[[#This Row],[Calc_N_Typ]],TRAN_STRITEMS_LABEL,7,0)),0)</f>
        <v>0</v>
      </c>
      <c r="AX617" s="7">
        <f t="shared" si="117"/>
        <v>0</v>
      </c>
      <c r="AY617" s="57" t="str">
        <f t="shared" si="118"/>
        <v/>
      </c>
      <c r="AZ617" s="57" t="str">
        <f t="shared" si="119"/>
        <v/>
      </c>
      <c r="BA617" s="57" t="str">
        <f>IF(F617=1,IF(TableCosts[[#This Row],[TransferFrom]]=TableCosts[[#This Row],[TranferTo]],0,1),"")</f>
        <v/>
      </c>
      <c r="BB617" s="7">
        <f t="shared" si="120"/>
        <v>0</v>
      </c>
      <c r="BC617" s="7">
        <f t="shared" si="121"/>
        <v>0</v>
      </c>
    </row>
    <row r="618" spans="2:55" s="7" customFormat="1" ht="12.75" x14ac:dyDescent="0.2">
      <c r="B618" s="33"/>
      <c r="C618" s="31"/>
      <c r="D618" s="40"/>
      <c r="E618" s="6" t="str">
        <f>IF(F618=1,IF(ISERROR(TableCosts[[#This Row],[N_Tariff]]),Err_Message1,IF(TableCosts[[#This Row],[N_Tariff]]=0,Err_Message2,VLOOKUP(C618&amp;TableCosts[[#This Row],[Calc_N_Typ]],TRAN_STRITEMS_LABEL,5,FALSE))),"")</f>
        <v/>
      </c>
      <c r="F618" s="6">
        <f t="shared" si="122"/>
        <v>0</v>
      </c>
      <c r="G618" s="6" t="str">
        <f>IF(F618=1,IFERROR(VLOOKUP(E618,Tab_ErrMessage[],2,0),VLOOKUP(C618&amp;TableCosts[[#This Row],[Calc_N_Typ]],TRAN_STRITEMS_LABEL,4,FALSE)),"")</f>
        <v/>
      </c>
      <c r="H618" s="40"/>
      <c r="I618" s="40"/>
      <c r="J618" s="35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  <c r="AD618" s="24"/>
      <c r="AE618" s="24"/>
      <c r="AF618" s="24"/>
      <c r="AG618" s="24"/>
      <c r="AH618" s="24"/>
      <c r="AI618" s="24"/>
      <c r="AJ618" s="24"/>
      <c r="AK618" s="38">
        <f t="array" ref="AK618">IF(F618=1,SUM((ROW(M0)=ROW(AK618))*(M0+M1_+M2_+M3_+M4_+M5_+M6_+M7_+M8_+M9_+M10_+M11_+M12_+M13_+M14_+M15_+M16_+M17_+M18_+M19_+M20_+M21_+M22_+M23_+M24_+M25_)),0)</f>
        <v>0</v>
      </c>
      <c r="AL618" s="27">
        <f>TableCosts[[#This Row],[N_Direct]]</f>
        <v>0</v>
      </c>
      <c r="AN618" s="7" t="str">
        <f t="shared" si="111"/>
        <v/>
      </c>
      <c r="AO618" s="7" t="str">
        <f t="shared" si="114"/>
        <v/>
      </c>
      <c r="AP618" s="7" t="str">
        <f t="shared" si="112"/>
        <v/>
      </c>
      <c r="AQ618" s="7" t="str">
        <f t="shared" si="115"/>
        <v/>
      </c>
      <c r="AR618" s="7" t="str">
        <f t="shared" si="113"/>
        <v/>
      </c>
      <c r="AS618" s="7">
        <f t="shared" si="116"/>
        <v>0</v>
      </c>
      <c r="AT618" s="17">
        <f>TableCosts[[#This Row],[N_Amount]]*TableCosts[[#This Row],[N_Tariff]]*TableCosts[[#This Row],[N_ItemsCount]]</f>
        <v>0</v>
      </c>
      <c r="AU618" s="17">
        <f>IF(F618=1,IF(TableCosts[[#This Row],[N_Kateg]]="interné práce",TableCosts[[#This Row],[N_Amount]]*8*PAR_SGA_PERHOUR,0),0)</f>
        <v>0</v>
      </c>
      <c r="AV618" s="17">
        <f>SUM(TableCosts[[#This Row],[N_Direct]:[N_SGA]])</f>
        <v>0</v>
      </c>
      <c r="AW618" s="7">
        <f>IF(F618=1,IF(D618="",NA(),VLOOKUP(C618&amp;TableCosts[[#This Row],[Calc_N_Typ]],TRAN_STRITEMS_LABEL,7,0)),0)</f>
        <v>0</v>
      </c>
      <c r="AX618" s="7">
        <f t="shared" si="117"/>
        <v>0</v>
      </c>
      <c r="AY618" s="57" t="str">
        <f t="shared" si="118"/>
        <v/>
      </c>
      <c r="AZ618" s="57" t="str">
        <f t="shared" si="119"/>
        <v/>
      </c>
      <c r="BA618" s="57" t="str">
        <f>IF(F618=1,IF(TableCosts[[#This Row],[TransferFrom]]=TableCosts[[#This Row],[TranferTo]],0,1),"")</f>
        <v/>
      </c>
      <c r="BB618" s="7">
        <f t="shared" si="120"/>
        <v>0</v>
      </c>
      <c r="BC618" s="7">
        <f t="shared" si="121"/>
        <v>0</v>
      </c>
    </row>
    <row r="619" spans="2:55" s="7" customFormat="1" ht="12.75" x14ac:dyDescent="0.2">
      <c r="B619" s="33"/>
      <c r="C619" s="31"/>
      <c r="D619" s="40"/>
      <c r="E619" s="6" t="str">
        <f>IF(F619=1,IF(ISERROR(TableCosts[[#This Row],[N_Tariff]]),Err_Message1,IF(TableCosts[[#This Row],[N_Tariff]]=0,Err_Message2,VLOOKUP(C619&amp;TableCosts[[#This Row],[Calc_N_Typ]],TRAN_STRITEMS_LABEL,5,FALSE))),"")</f>
        <v/>
      </c>
      <c r="F619" s="6">
        <f t="shared" si="122"/>
        <v>0</v>
      </c>
      <c r="G619" s="6" t="str">
        <f>IF(F619=1,IFERROR(VLOOKUP(E619,Tab_ErrMessage[],2,0),VLOOKUP(C619&amp;TableCosts[[#This Row],[Calc_N_Typ]],TRAN_STRITEMS_LABEL,4,FALSE)),"")</f>
        <v/>
      </c>
      <c r="H619" s="40"/>
      <c r="I619" s="40"/>
      <c r="J619" s="35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  <c r="AD619" s="24"/>
      <c r="AE619" s="24"/>
      <c r="AF619" s="24"/>
      <c r="AG619" s="24"/>
      <c r="AH619" s="24"/>
      <c r="AI619" s="24"/>
      <c r="AJ619" s="24"/>
      <c r="AK619" s="38">
        <f t="array" ref="AK619">IF(F619=1,SUM((ROW(M0)=ROW(AK619))*(M0+M1_+M2_+M3_+M4_+M5_+M6_+M7_+M8_+M9_+M10_+M11_+M12_+M13_+M14_+M15_+M16_+M17_+M18_+M19_+M20_+M21_+M22_+M23_+M24_+M25_)),0)</f>
        <v>0</v>
      </c>
      <c r="AL619" s="27">
        <f>TableCosts[[#This Row],[N_Direct]]</f>
        <v>0</v>
      </c>
      <c r="AN619" s="7" t="str">
        <f t="shared" si="111"/>
        <v/>
      </c>
      <c r="AO619" s="7" t="str">
        <f t="shared" si="114"/>
        <v/>
      </c>
      <c r="AP619" s="7" t="str">
        <f t="shared" si="112"/>
        <v/>
      </c>
      <c r="AQ619" s="7" t="str">
        <f t="shared" si="115"/>
        <v/>
      </c>
      <c r="AR619" s="7" t="str">
        <f t="shared" si="113"/>
        <v/>
      </c>
      <c r="AS619" s="7">
        <f t="shared" si="116"/>
        <v>0</v>
      </c>
      <c r="AT619" s="17">
        <f>TableCosts[[#This Row],[N_Amount]]*TableCosts[[#This Row],[N_Tariff]]*TableCosts[[#This Row],[N_ItemsCount]]</f>
        <v>0</v>
      </c>
      <c r="AU619" s="17">
        <f>IF(F619=1,IF(TableCosts[[#This Row],[N_Kateg]]="interné práce",TableCosts[[#This Row],[N_Amount]]*8*PAR_SGA_PERHOUR,0),0)</f>
        <v>0</v>
      </c>
      <c r="AV619" s="17">
        <f>SUM(TableCosts[[#This Row],[N_Direct]:[N_SGA]])</f>
        <v>0</v>
      </c>
      <c r="AW619" s="7">
        <f>IF(F619=1,IF(D619="",NA(),VLOOKUP(C619&amp;TableCosts[[#This Row],[Calc_N_Typ]],TRAN_STRITEMS_LABEL,7,0)),0)</f>
        <v>0</v>
      </c>
      <c r="AX619" s="7">
        <f t="shared" si="117"/>
        <v>0</v>
      </c>
      <c r="AY619" s="57" t="str">
        <f t="shared" si="118"/>
        <v/>
      </c>
      <c r="AZ619" s="57" t="str">
        <f t="shared" si="119"/>
        <v/>
      </c>
      <c r="BA619" s="57" t="str">
        <f>IF(F619=1,IF(TableCosts[[#This Row],[TransferFrom]]=TableCosts[[#This Row],[TranferTo]],0,1),"")</f>
        <v/>
      </c>
      <c r="BB619" s="7">
        <f t="shared" si="120"/>
        <v>0</v>
      </c>
      <c r="BC619" s="7">
        <f t="shared" si="121"/>
        <v>0</v>
      </c>
    </row>
    <row r="620" spans="2:55" s="7" customFormat="1" ht="12.75" x14ac:dyDescent="0.2">
      <c r="B620" s="33"/>
      <c r="C620" s="31"/>
      <c r="D620" s="40"/>
      <c r="E620" s="6" t="str">
        <f>IF(F620=1,IF(ISERROR(TableCosts[[#This Row],[N_Tariff]]),Err_Message1,IF(TableCosts[[#This Row],[N_Tariff]]=0,Err_Message2,VLOOKUP(C620&amp;TableCosts[[#This Row],[Calc_N_Typ]],TRAN_STRITEMS_LABEL,5,FALSE))),"")</f>
        <v/>
      </c>
      <c r="F620" s="6">
        <f t="shared" si="122"/>
        <v>0</v>
      </c>
      <c r="G620" s="6" t="str">
        <f>IF(F620=1,IFERROR(VLOOKUP(E620,Tab_ErrMessage[],2,0),VLOOKUP(C620&amp;TableCosts[[#This Row],[Calc_N_Typ]],TRAN_STRITEMS_LABEL,4,FALSE)),"")</f>
        <v/>
      </c>
      <c r="H620" s="40"/>
      <c r="I620" s="40"/>
      <c r="J620" s="35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  <c r="AD620" s="24"/>
      <c r="AE620" s="24"/>
      <c r="AF620" s="24"/>
      <c r="AG620" s="24"/>
      <c r="AH620" s="24"/>
      <c r="AI620" s="24"/>
      <c r="AJ620" s="24"/>
      <c r="AK620" s="38">
        <f t="array" ref="AK620">IF(F620=1,SUM((ROW(M0)=ROW(AK620))*(M0+M1_+M2_+M3_+M4_+M5_+M6_+M7_+M8_+M9_+M10_+M11_+M12_+M13_+M14_+M15_+M16_+M17_+M18_+M19_+M20_+M21_+M22_+M23_+M24_+M25_)),0)</f>
        <v>0</v>
      </c>
      <c r="AL620" s="27">
        <f>TableCosts[[#This Row],[N_Direct]]</f>
        <v>0</v>
      </c>
      <c r="AN620" s="7" t="str">
        <f t="shared" si="111"/>
        <v/>
      </c>
      <c r="AO620" s="7" t="str">
        <f t="shared" si="114"/>
        <v/>
      </c>
      <c r="AP620" s="7" t="str">
        <f t="shared" si="112"/>
        <v/>
      </c>
      <c r="AQ620" s="7" t="str">
        <f t="shared" si="115"/>
        <v/>
      </c>
      <c r="AR620" s="7" t="str">
        <f t="shared" si="113"/>
        <v/>
      </c>
      <c r="AS620" s="7">
        <f t="shared" si="116"/>
        <v>0</v>
      </c>
      <c r="AT620" s="17">
        <f>TableCosts[[#This Row],[N_Amount]]*TableCosts[[#This Row],[N_Tariff]]*TableCosts[[#This Row],[N_ItemsCount]]</f>
        <v>0</v>
      </c>
      <c r="AU620" s="17">
        <f>IF(F620=1,IF(TableCosts[[#This Row],[N_Kateg]]="interné práce",TableCosts[[#This Row],[N_Amount]]*8*PAR_SGA_PERHOUR,0),0)</f>
        <v>0</v>
      </c>
      <c r="AV620" s="17">
        <f>SUM(TableCosts[[#This Row],[N_Direct]:[N_SGA]])</f>
        <v>0</v>
      </c>
      <c r="AW620" s="7">
        <f>IF(F620=1,IF(D620="",NA(),VLOOKUP(C620&amp;TableCosts[[#This Row],[Calc_N_Typ]],TRAN_STRITEMS_LABEL,7,0)),0)</f>
        <v>0</v>
      </c>
      <c r="AX620" s="7">
        <f t="shared" si="117"/>
        <v>0</v>
      </c>
      <c r="AY620" s="57" t="str">
        <f t="shared" si="118"/>
        <v/>
      </c>
      <c r="AZ620" s="57" t="str">
        <f t="shared" si="119"/>
        <v/>
      </c>
      <c r="BA620" s="57" t="str">
        <f>IF(F620=1,IF(TableCosts[[#This Row],[TransferFrom]]=TableCosts[[#This Row],[TranferTo]],0,1),"")</f>
        <v/>
      </c>
      <c r="BB620" s="7">
        <f t="shared" si="120"/>
        <v>0</v>
      </c>
      <c r="BC620" s="7">
        <f t="shared" si="121"/>
        <v>0</v>
      </c>
    </row>
    <row r="621" spans="2:55" s="7" customFormat="1" ht="12.75" x14ac:dyDescent="0.2">
      <c r="B621" s="33"/>
      <c r="C621" s="31"/>
      <c r="D621" s="40"/>
      <c r="E621" s="6" t="str">
        <f>IF(F621=1,IF(ISERROR(TableCosts[[#This Row],[N_Tariff]]),Err_Message1,IF(TableCosts[[#This Row],[N_Tariff]]=0,Err_Message2,VLOOKUP(C621&amp;TableCosts[[#This Row],[Calc_N_Typ]],TRAN_STRITEMS_LABEL,5,FALSE))),"")</f>
        <v/>
      </c>
      <c r="F621" s="6">
        <f t="shared" si="122"/>
        <v>0</v>
      </c>
      <c r="G621" s="6" t="str">
        <f>IF(F621=1,IFERROR(VLOOKUP(E621,Tab_ErrMessage[],2,0),VLOOKUP(C621&amp;TableCosts[[#This Row],[Calc_N_Typ]],TRAN_STRITEMS_LABEL,4,FALSE)),"")</f>
        <v/>
      </c>
      <c r="H621" s="40"/>
      <c r="I621" s="40"/>
      <c r="J621" s="35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  <c r="AD621" s="24"/>
      <c r="AE621" s="24"/>
      <c r="AF621" s="24"/>
      <c r="AG621" s="24"/>
      <c r="AH621" s="24"/>
      <c r="AI621" s="24"/>
      <c r="AJ621" s="24"/>
      <c r="AK621" s="38">
        <f t="array" ref="AK621">IF(F621=1,SUM((ROW(M0)=ROW(AK621))*(M0+M1_+M2_+M3_+M4_+M5_+M6_+M7_+M8_+M9_+M10_+M11_+M12_+M13_+M14_+M15_+M16_+M17_+M18_+M19_+M20_+M21_+M22_+M23_+M24_+M25_)),0)</f>
        <v>0</v>
      </c>
      <c r="AL621" s="27">
        <f>TableCosts[[#This Row],[N_Direct]]</f>
        <v>0</v>
      </c>
      <c r="AN621" s="7" t="str">
        <f t="shared" si="111"/>
        <v/>
      </c>
      <c r="AO621" s="7" t="str">
        <f t="shared" si="114"/>
        <v/>
      </c>
      <c r="AP621" s="7" t="str">
        <f t="shared" si="112"/>
        <v/>
      </c>
      <c r="AQ621" s="7" t="str">
        <f t="shared" si="115"/>
        <v/>
      </c>
      <c r="AR621" s="7" t="str">
        <f t="shared" si="113"/>
        <v/>
      </c>
      <c r="AS621" s="7">
        <f t="shared" si="116"/>
        <v>0</v>
      </c>
      <c r="AT621" s="17">
        <f>TableCosts[[#This Row],[N_Amount]]*TableCosts[[#This Row],[N_Tariff]]*TableCosts[[#This Row],[N_ItemsCount]]</f>
        <v>0</v>
      </c>
      <c r="AU621" s="17">
        <f>IF(F621=1,IF(TableCosts[[#This Row],[N_Kateg]]="interné práce",TableCosts[[#This Row],[N_Amount]]*8*PAR_SGA_PERHOUR,0),0)</f>
        <v>0</v>
      </c>
      <c r="AV621" s="17">
        <f>SUM(TableCosts[[#This Row],[N_Direct]:[N_SGA]])</f>
        <v>0</v>
      </c>
      <c r="AW621" s="7">
        <f>IF(F621=1,IF(D621="",NA(),VLOOKUP(C621&amp;TableCosts[[#This Row],[Calc_N_Typ]],TRAN_STRITEMS_LABEL,7,0)),0)</f>
        <v>0</v>
      </c>
      <c r="AX621" s="7">
        <f t="shared" si="117"/>
        <v>0</v>
      </c>
      <c r="AY621" s="57" t="str">
        <f t="shared" si="118"/>
        <v/>
      </c>
      <c r="AZ621" s="57" t="str">
        <f t="shared" si="119"/>
        <v/>
      </c>
      <c r="BA621" s="57" t="str">
        <f>IF(F621=1,IF(TableCosts[[#This Row],[TransferFrom]]=TableCosts[[#This Row],[TranferTo]],0,1),"")</f>
        <v/>
      </c>
      <c r="BB621" s="7">
        <f t="shared" si="120"/>
        <v>0</v>
      </c>
      <c r="BC621" s="7">
        <f t="shared" si="121"/>
        <v>0</v>
      </c>
    </row>
    <row r="622" spans="2:55" s="7" customFormat="1" ht="12.75" x14ac:dyDescent="0.2">
      <c r="B622" s="33"/>
      <c r="C622" s="31"/>
      <c r="D622" s="40"/>
      <c r="E622" s="6" t="str">
        <f>IF(F622=1,IF(ISERROR(TableCosts[[#This Row],[N_Tariff]]),Err_Message1,IF(TableCosts[[#This Row],[N_Tariff]]=0,Err_Message2,VLOOKUP(C622&amp;TableCosts[[#This Row],[Calc_N_Typ]],TRAN_STRITEMS_LABEL,5,FALSE))),"")</f>
        <v/>
      </c>
      <c r="F622" s="6">
        <f t="shared" si="122"/>
        <v>0</v>
      </c>
      <c r="G622" s="6" t="str">
        <f>IF(F622=1,IFERROR(VLOOKUP(E622,Tab_ErrMessage[],2,0),VLOOKUP(C622&amp;TableCosts[[#This Row],[Calc_N_Typ]],TRAN_STRITEMS_LABEL,4,FALSE)),"")</f>
        <v/>
      </c>
      <c r="H622" s="40"/>
      <c r="I622" s="40"/>
      <c r="J622" s="35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  <c r="AD622" s="24"/>
      <c r="AE622" s="24"/>
      <c r="AF622" s="24"/>
      <c r="AG622" s="24"/>
      <c r="AH622" s="24"/>
      <c r="AI622" s="24"/>
      <c r="AJ622" s="24"/>
      <c r="AK622" s="38">
        <f t="array" ref="AK622">IF(F622=1,SUM((ROW(M0)=ROW(AK622))*(M0+M1_+M2_+M3_+M4_+M5_+M6_+M7_+M8_+M9_+M10_+M11_+M12_+M13_+M14_+M15_+M16_+M17_+M18_+M19_+M20_+M21_+M22_+M23_+M24_+M25_)),0)</f>
        <v>0</v>
      </c>
      <c r="AL622" s="27">
        <f>TableCosts[[#This Row],[N_Direct]]</f>
        <v>0</v>
      </c>
      <c r="AN622" s="7" t="str">
        <f t="shared" si="111"/>
        <v/>
      </c>
      <c r="AO622" s="7" t="str">
        <f t="shared" si="114"/>
        <v/>
      </c>
      <c r="AP622" s="7" t="str">
        <f t="shared" si="112"/>
        <v/>
      </c>
      <c r="AQ622" s="7" t="str">
        <f t="shared" si="115"/>
        <v/>
      </c>
      <c r="AR622" s="7" t="str">
        <f t="shared" si="113"/>
        <v/>
      </c>
      <c r="AS622" s="7">
        <f t="shared" si="116"/>
        <v>0</v>
      </c>
      <c r="AT622" s="17">
        <f>TableCosts[[#This Row],[N_Amount]]*TableCosts[[#This Row],[N_Tariff]]*TableCosts[[#This Row],[N_ItemsCount]]</f>
        <v>0</v>
      </c>
      <c r="AU622" s="17">
        <f>IF(F622=1,IF(TableCosts[[#This Row],[N_Kateg]]="interné práce",TableCosts[[#This Row],[N_Amount]]*8*PAR_SGA_PERHOUR,0),0)</f>
        <v>0</v>
      </c>
      <c r="AV622" s="17">
        <f>SUM(TableCosts[[#This Row],[N_Direct]:[N_SGA]])</f>
        <v>0</v>
      </c>
      <c r="AW622" s="7">
        <f>IF(F622=1,IF(D622="",NA(),VLOOKUP(C622&amp;TableCosts[[#This Row],[Calc_N_Typ]],TRAN_STRITEMS_LABEL,7,0)),0)</f>
        <v>0</v>
      </c>
      <c r="AX622" s="7">
        <f t="shared" si="117"/>
        <v>0</v>
      </c>
      <c r="AY622" s="57" t="str">
        <f t="shared" si="118"/>
        <v/>
      </c>
      <c r="AZ622" s="57" t="str">
        <f t="shared" si="119"/>
        <v/>
      </c>
      <c r="BA622" s="57" t="str">
        <f>IF(F622=1,IF(TableCosts[[#This Row],[TransferFrom]]=TableCosts[[#This Row],[TranferTo]],0,1),"")</f>
        <v/>
      </c>
      <c r="BB622" s="7">
        <f t="shared" si="120"/>
        <v>0</v>
      </c>
      <c r="BC622" s="7">
        <f t="shared" si="121"/>
        <v>0</v>
      </c>
    </row>
    <row r="623" spans="2:55" s="7" customFormat="1" ht="12.75" x14ac:dyDescent="0.2">
      <c r="B623" s="33"/>
      <c r="C623" s="31"/>
      <c r="D623" s="40"/>
      <c r="E623" s="6" t="str">
        <f>IF(F623=1,IF(ISERROR(TableCosts[[#This Row],[N_Tariff]]),Err_Message1,IF(TableCosts[[#This Row],[N_Tariff]]=0,Err_Message2,VLOOKUP(C623&amp;TableCosts[[#This Row],[Calc_N_Typ]],TRAN_STRITEMS_LABEL,5,FALSE))),"")</f>
        <v/>
      </c>
      <c r="F623" s="6">
        <f t="shared" si="122"/>
        <v>0</v>
      </c>
      <c r="G623" s="6" t="str">
        <f>IF(F623=1,IFERROR(VLOOKUP(E623,Tab_ErrMessage[],2,0),VLOOKUP(C623&amp;TableCosts[[#This Row],[Calc_N_Typ]],TRAN_STRITEMS_LABEL,4,FALSE)),"")</f>
        <v/>
      </c>
      <c r="H623" s="40"/>
      <c r="I623" s="40"/>
      <c r="J623" s="35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  <c r="AD623" s="24"/>
      <c r="AE623" s="24"/>
      <c r="AF623" s="24"/>
      <c r="AG623" s="24"/>
      <c r="AH623" s="24"/>
      <c r="AI623" s="24"/>
      <c r="AJ623" s="24"/>
      <c r="AK623" s="38">
        <f t="array" ref="AK623">IF(F623=1,SUM((ROW(M0)=ROW(AK623))*(M0+M1_+M2_+M3_+M4_+M5_+M6_+M7_+M8_+M9_+M10_+M11_+M12_+M13_+M14_+M15_+M16_+M17_+M18_+M19_+M20_+M21_+M22_+M23_+M24_+M25_)),0)</f>
        <v>0</v>
      </c>
      <c r="AL623" s="27">
        <f>TableCosts[[#This Row],[N_Direct]]</f>
        <v>0</v>
      </c>
      <c r="AN623" s="7" t="str">
        <f t="shared" si="111"/>
        <v/>
      </c>
      <c r="AO623" s="7" t="str">
        <f t="shared" si="114"/>
        <v/>
      </c>
      <c r="AP623" s="7" t="str">
        <f t="shared" si="112"/>
        <v/>
      </c>
      <c r="AQ623" s="7" t="str">
        <f t="shared" si="115"/>
        <v/>
      </c>
      <c r="AR623" s="7" t="str">
        <f t="shared" si="113"/>
        <v/>
      </c>
      <c r="AS623" s="7">
        <f t="shared" si="116"/>
        <v>0</v>
      </c>
      <c r="AT623" s="17">
        <f>TableCosts[[#This Row],[N_Amount]]*TableCosts[[#This Row],[N_Tariff]]*TableCosts[[#This Row],[N_ItemsCount]]</f>
        <v>0</v>
      </c>
      <c r="AU623" s="17">
        <f>IF(F623=1,IF(TableCosts[[#This Row],[N_Kateg]]="interné práce",TableCosts[[#This Row],[N_Amount]]*8*PAR_SGA_PERHOUR,0),0)</f>
        <v>0</v>
      </c>
      <c r="AV623" s="17">
        <f>SUM(TableCosts[[#This Row],[N_Direct]:[N_SGA]])</f>
        <v>0</v>
      </c>
      <c r="AW623" s="7">
        <f>IF(F623=1,IF(D623="",NA(),VLOOKUP(C623&amp;TableCosts[[#This Row],[Calc_N_Typ]],TRAN_STRITEMS_LABEL,7,0)),0)</f>
        <v>0</v>
      </c>
      <c r="AX623" s="7">
        <f t="shared" si="117"/>
        <v>0</v>
      </c>
      <c r="AY623" s="57" t="str">
        <f t="shared" si="118"/>
        <v/>
      </c>
      <c r="AZ623" s="57" t="str">
        <f t="shared" si="119"/>
        <v/>
      </c>
      <c r="BA623" s="57" t="str">
        <f>IF(F623=1,IF(TableCosts[[#This Row],[TransferFrom]]=TableCosts[[#This Row],[TranferTo]],0,1),"")</f>
        <v/>
      </c>
      <c r="BB623" s="7">
        <f t="shared" si="120"/>
        <v>0</v>
      </c>
      <c r="BC623" s="7">
        <f t="shared" si="121"/>
        <v>0</v>
      </c>
    </row>
    <row r="624" spans="2:55" s="7" customFormat="1" ht="12.75" x14ac:dyDescent="0.2">
      <c r="B624" s="33"/>
      <c r="C624" s="31"/>
      <c r="D624" s="40"/>
      <c r="E624" s="6" t="str">
        <f>IF(F624=1,IF(ISERROR(TableCosts[[#This Row],[N_Tariff]]),Err_Message1,IF(TableCosts[[#This Row],[N_Tariff]]=0,Err_Message2,VLOOKUP(C624&amp;TableCosts[[#This Row],[Calc_N_Typ]],TRAN_STRITEMS_LABEL,5,FALSE))),"")</f>
        <v/>
      </c>
      <c r="F624" s="6">
        <f t="shared" si="122"/>
        <v>0</v>
      </c>
      <c r="G624" s="6" t="str">
        <f>IF(F624=1,IFERROR(VLOOKUP(E624,Tab_ErrMessage[],2,0),VLOOKUP(C624&amp;TableCosts[[#This Row],[Calc_N_Typ]],TRAN_STRITEMS_LABEL,4,FALSE)),"")</f>
        <v/>
      </c>
      <c r="H624" s="40"/>
      <c r="I624" s="40"/>
      <c r="J624" s="35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  <c r="AD624" s="24"/>
      <c r="AE624" s="24"/>
      <c r="AF624" s="24"/>
      <c r="AG624" s="24"/>
      <c r="AH624" s="24"/>
      <c r="AI624" s="24"/>
      <c r="AJ624" s="24"/>
      <c r="AK624" s="38">
        <f t="array" ref="AK624">IF(F624=1,SUM((ROW(M0)=ROW(AK624))*(M0+M1_+M2_+M3_+M4_+M5_+M6_+M7_+M8_+M9_+M10_+M11_+M12_+M13_+M14_+M15_+M16_+M17_+M18_+M19_+M20_+M21_+M22_+M23_+M24_+M25_)),0)</f>
        <v>0</v>
      </c>
      <c r="AL624" s="27">
        <f>TableCosts[[#This Row],[N_Direct]]</f>
        <v>0</v>
      </c>
      <c r="AN624" s="7" t="str">
        <f t="shared" si="111"/>
        <v/>
      </c>
      <c r="AO624" s="7" t="str">
        <f t="shared" si="114"/>
        <v/>
      </c>
      <c r="AP624" s="7" t="str">
        <f t="shared" si="112"/>
        <v/>
      </c>
      <c r="AQ624" s="7" t="str">
        <f t="shared" si="115"/>
        <v/>
      </c>
      <c r="AR624" s="7" t="str">
        <f t="shared" si="113"/>
        <v/>
      </c>
      <c r="AS624" s="7">
        <f t="shared" si="116"/>
        <v>0</v>
      </c>
      <c r="AT624" s="17">
        <f>TableCosts[[#This Row],[N_Amount]]*TableCosts[[#This Row],[N_Tariff]]*TableCosts[[#This Row],[N_ItemsCount]]</f>
        <v>0</v>
      </c>
      <c r="AU624" s="17">
        <f>IF(F624=1,IF(TableCosts[[#This Row],[N_Kateg]]="interné práce",TableCosts[[#This Row],[N_Amount]]*8*PAR_SGA_PERHOUR,0),0)</f>
        <v>0</v>
      </c>
      <c r="AV624" s="17">
        <f>SUM(TableCosts[[#This Row],[N_Direct]:[N_SGA]])</f>
        <v>0</v>
      </c>
      <c r="AW624" s="7">
        <f>IF(F624=1,IF(D624="",NA(),VLOOKUP(C624&amp;TableCosts[[#This Row],[Calc_N_Typ]],TRAN_STRITEMS_LABEL,7,0)),0)</f>
        <v>0</v>
      </c>
      <c r="AX624" s="7">
        <f t="shared" si="117"/>
        <v>0</v>
      </c>
      <c r="AY624" s="57" t="str">
        <f t="shared" si="118"/>
        <v/>
      </c>
      <c r="AZ624" s="57" t="str">
        <f t="shared" si="119"/>
        <v/>
      </c>
      <c r="BA624" s="57" t="str">
        <f>IF(F624=1,IF(TableCosts[[#This Row],[TransferFrom]]=TableCosts[[#This Row],[TranferTo]],0,1),"")</f>
        <v/>
      </c>
      <c r="BB624" s="7">
        <f t="shared" si="120"/>
        <v>0</v>
      </c>
      <c r="BC624" s="7">
        <f t="shared" si="121"/>
        <v>0</v>
      </c>
    </row>
    <row r="625" spans="2:55" s="7" customFormat="1" ht="12.75" x14ac:dyDescent="0.2">
      <c r="B625" s="33"/>
      <c r="C625" s="31"/>
      <c r="D625" s="40"/>
      <c r="E625" s="6" t="str">
        <f>IF(F625=1,IF(ISERROR(TableCosts[[#This Row],[N_Tariff]]),Err_Message1,IF(TableCosts[[#This Row],[N_Tariff]]=0,Err_Message2,VLOOKUP(C625&amp;TableCosts[[#This Row],[Calc_N_Typ]],TRAN_STRITEMS_LABEL,5,FALSE))),"")</f>
        <v/>
      </c>
      <c r="F625" s="6">
        <f t="shared" si="122"/>
        <v>0</v>
      </c>
      <c r="G625" s="6" t="str">
        <f>IF(F625=1,IFERROR(VLOOKUP(E625,Tab_ErrMessage[],2,0),VLOOKUP(C625&amp;TableCosts[[#This Row],[Calc_N_Typ]],TRAN_STRITEMS_LABEL,4,FALSE)),"")</f>
        <v/>
      </c>
      <c r="H625" s="40"/>
      <c r="I625" s="40"/>
      <c r="J625" s="35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  <c r="AD625" s="24"/>
      <c r="AE625" s="24"/>
      <c r="AF625" s="24"/>
      <c r="AG625" s="24"/>
      <c r="AH625" s="24"/>
      <c r="AI625" s="24"/>
      <c r="AJ625" s="24"/>
      <c r="AK625" s="38">
        <f t="array" ref="AK625">IF(F625=1,SUM((ROW(M0)=ROW(AK625))*(M0+M1_+M2_+M3_+M4_+M5_+M6_+M7_+M8_+M9_+M10_+M11_+M12_+M13_+M14_+M15_+M16_+M17_+M18_+M19_+M20_+M21_+M22_+M23_+M24_+M25_)),0)</f>
        <v>0</v>
      </c>
      <c r="AL625" s="27">
        <f>TableCosts[[#This Row],[N_Direct]]</f>
        <v>0</v>
      </c>
      <c r="AN625" s="7" t="str">
        <f t="shared" si="111"/>
        <v/>
      </c>
      <c r="AO625" s="7" t="str">
        <f t="shared" si="114"/>
        <v/>
      </c>
      <c r="AP625" s="7" t="str">
        <f t="shared" si="112"/>
        <v/>
      </c>
      <c r="AQ625" s="7" t="str">
        <f t="shared" si="115"/>
        <v/>
      </c>
      <c r="AR625" s="7" t="str">
        <f t="shared" si="113"/>
        <v/>
      </c>
      <c r="AS625" s="7">
        <f t="shared" si="116"/>
        <v>0</v>
      </c>
      <c r="AT625" s="17">
        <f>TableCosts[[#This Row],[N_Amount]]*TableCosts[[#This Row],[N_Tariff]]*TableCosts[[#This Row],[N_ItemsCount]]</f>
        <v>0</v>
      </c>
      <c r="AU625" s="17">
        <f>IF(F625=1,IF(TableCosts[[#This Row],[N_Kateg]]="interné práce",TableCosts[[#This Row],[N_Amount]]*8*PAR_SGA_PERHOUR,0),0)</f>
        <v>0</v>
      </c>
      <c r="AV625" s="17">
        <f>SUM(TableCosts[[#This Row],[N_Direct]:[N_SGA]])</f>
        <v>0</v>
      </c>
      <c r="AW625" s="7">
        <f>IF(F625=1,IF(D625="",NA(),VLOOKUP(C625&amp;TableCosts[[#This Row],[Calc_N_Typ]],TRAN_STRITEMS_LABEL,7,0)),0)</f>
        <v>0</v>
      </c>
      <c r="AX625" s="7">
        <f t="shared" si="117"/>
        <v>0</v>
      </c>
      <c r="AY625" s="57" t="str">
        <f t="shared" si="118"/>
        <v/>
      </c>
      <c r="AZ625" s="57" t="str">
        <f t="shared" si="119"/>
        <v/>
      </c>
      <c r="BA625" s="57" t="str">
        <f>IF(F625=1,IF(TableCosts[[#This Row],[TransferFrom]]=TableCosts[[#This Row],[TranferTo]],0,1),"")</f>
        <v/>
      </c>
      <c r="BB625" s="7">
        <f t="shared" si="120"/>
        <v>0</v>
      </c>
      <c r="BC625" s="7">
        <f t="shared" si="121"/>
        <v>0</v>
      </c>
    </row>
    <row r="626" spans="2:55" s="7" customFormat="1" ht="12.75" x14ac:dyDescent="0.2">
      <c r="B626" s="33"/>
      <c r="C626" s="31"/>
      <c r="D626" s="40"/>
      <c r="E626" s="6" t="str">
        <f>IF(F626=1,IF(ISERROR(TableCosts[[#This Row],[N_Tariff]]),Err_Message1,IF(TableCosts[[#This Row],[N_Tariff]]=0,Err_Message2,VLOOKUP(C626&amp;TableCosts[[#This Row],[Calc_N_Typ]],TRAN_STRITEMS_LABEL,5,FALSE))),"")</f>
        <v/>
      </c>
      <c r="F626" s="6">
        <f t="shared" si="122"/>
        <v>0</v>
      </c>
      <c r="G626" s="6" t="str">
        <f>IF(F626=1,IFERROR(VLOOKUP(E626,Tab_ErrMessage[],2,0),VLOOKUP(C626&amp;TableCosts[[#This Row],[Calc_N_Typ]],TRAN_STRITEMS_LABEL,4,FALSE)),"")</f>
        <v/>
      </c>
      <c r="H626" s="40"/>
      <c r="I626" s="40"/>
      <c r="J626" s="35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  <c r="AD626" s="24"/>
      <c r="AE626" s="24"/>
      <c r="AF626" s="24"/>
      <c r="AG626" s="24"/>
      <c r="AH626" s="24"/>
      <c r="AI626" s="24"/>
      <c r="AJ626" s="24"/>
      <c r="AK626" s="38">
        <f t="array" ref="AK626">IF(F626=1,SUM((ROW(M0)=ROW(AK626))*(M0+M1_+M2_+M3_+M4_+M5_+M6_+M7_+M8_+M9_+M10_+M11_+M12_+M13_+M14_+M15_+M16_+M17_+M18_+M19_+M20_+M21_+M22_+M23_+M24_+M25_)),0)</f>
        <v>0</v>
      </c>
      <c r="AL626" s="27">
        <f>TableCosts[[#This Row],[N_Direct]]</f>
        <v>0</v>
      </c>
      <c r="AN626" s="7" t="str">
        <f t="shared" si="111"/>
        <v/>
      </c>
      <c r="AO626" s="7" t="str">
        <f t="shared" si="114"/>
        <v/>
      </c>
      <c r="AP626" s="7" t="str">
        <f t="shared" si="112"/>
        <v/>
      </c>
      <c r="AQ626" s="7" t="str">
        <f t="shared" si="115"/>
        <v/>
      </c>
      <c r="AR626" s="7" t="str">
        <f t="shared" si="113"/>
        <v/>
      </c>
      <c r="AS626" s="7">
        <f t="shared" si="116"/>
        <v>0</v>
      </c>
      <c r="AT626" s="17">
        <f>TableCosts[[#This Row],[N_Amount]]*TableCosts[[#This Row],[N_Tariff]]*TableCosts[[#This Row],[N_ItemsCount]]</f>
        <v>0</v>
      </c>
      <c r="AU626" s="17">
        <f>IF(F626=1,IF(TableCosts[[#This Row],[N_Kateg]]="interné práce",TableCosts[[#This Row],[N_Amount]]*8*PAR_SGA_PERHOUR,0),0)</f>
        <v>0</v>
      </c>
      <c r="AV626" s="17">
        <f>SUM(TableCosts[[#This Row],[N_Direct]:[N_SGA]])</f>
        <v>0</v>
      </c>
      <c r="AW626" s="7">
        <f>IF(F626=1,IF(D626="",NA(),VLOOKUP(C626&amp;TableCosts[[#This Row],[Calc_N_Typ]],TRAN_STRITEMS_LABEL,7,0)),0)</f>
        <v>0</v>
      </c>
      <c r="AX626" s="7">
        <f t="shared" si="117"/>
        <v>0</v>
      </c>
      <c r="AY626" s="57" t="str">
        <f t="shared" si="118"/>
        <v/>
      </c>
      <c r="AZ626" s="57" t="str">
        <f t="shared" si="119"/>
        <v/>
      </c>
      <c r="BA626" s="57" t="str">
        <f>IF(F626=1,IF(TableCosts[[#This Row],[TransferFrom]]=TableCosts[[#This Row],[TranferTo]],0,1),"")</f>
        <v/>
      </c>
      <c r="BB626" s="7">
        <f t="shared" si="120"/>
        <v>0</v>
      </c>
      <c r="BC626" s="7">
        <f t="shared" si="121"/>
        <v>0</v>
      </c>
    </row>
    <row r="627" spans="2:55" s="7" customFormat="1" ht="12.75" x14ac:dyDescent="0.2">
      <c r="B627" s="33"/>
      <c r="C627" s="31"/>
      <c r="D627" s="40"/>
      <c r="E627" s="6" t="str">
        <f>IF(F627=1,IF(ISERROR(TableCosts[[#This Row],[N_Tariff]]),Err_Message1,IF(TableCosts[[#This Row],[N_Tariff]]=0,Err_Message2,VLOOKUP(C627&amp;TableCosts[[#This Row],[Calc_N_Typ]],TRAN_STRITEMS_LABEL,5,FALSE))),"")</f>
        <v/>
      </c>
      <c r="F627" s="6">
        <f t="shared" si="122"/>
        <v>0</v>
      </c>
      <c r="G627" s="6" t="str">
        <f>IF(F627=1,IFERROR(VLOOKUP(E627,Tab_ErrMessage[],2,0),VLOOKUP(C627&amp;TableCosts[[#This Row],[Calc_N_Typ]],TRAN_STRITEMS_LABEL,4,FALSE)),"")</f>
        <v/>
      </c>
      <c r="H627" s="40"/>
      <c r="I627" s="40"/>
      <c r="J627" s="35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  <c r="AD627" s="24"/>
      <c r="AE627" s="24"/>
      <c r="AF627" s="24"/>
      <c r="AG627" s="24"/>
      <c r="AH627" s="24"/>
      <c r="AI627" s="24"/>
      <c r="AJ627" s="24"/>
      <c r="AK627" s="38">
        <f t="array" ref="AK627">IF(F627=1,SUM((ROW(M0)=ROW(AK627))*(M0+M1_+M2_+M3_+M4_+M5_+M6_+M7_+M8_+M9_+M10_+M11_+M12_+M13_+M14_+M15_+M16_+M17_+M18_+M19_+M20_+M21_+M22_+M23_+M24_+M25_)),0)</f>
        <v>0</v>
      </c>
      <c r="AL627" s="27">
        <f>TableCosts[[#This Row],[N_Direct]]</f>
        <v>0</v>
      </c>
      <c r="AN627" s="7" t="str">
        <f t="shared" si="111"/>
        <v/>
      </c>
      <c r="AO627" s="7" t="str">
        <f t="shared" si="114"/>
        <v/>
      </c>
      <c r="AP627" s="7" t="str">
        <f t="shared" si="112"/>
        <v/>
      </c>
      <c r="AQ627" s="7" t="str">
        <f t="shared" si="115"/>
        <v/>
      </c>
      <c r="AR627" s="7" t="str">
        <f t="shared" si="113"/>
        <v/>
      </c>
      <c r="AS627" s="7">
        <f t="shared" si="116"/>
        <v>0</v>
      </c>
      <c r="AT627" s="17">
        <f>TableCosts[[#This Row],[N_Amount]]*TableCosts[[#This Row],[N_Tariff]]*TableCosts[[#This Row],[N_ItemsCount]]</f>
        <v>0</v>
      </c>
      <c r="AU627" s="17">
        <f>IF(F627=1,IF(TableCosts[[#This Row],[N_Kateg]]="interné práce",TableCosts[[#This Row],[N_Amount]]*8*PAR_SGA_PERHOUR,0),0)</f>
        <v>0</v>
      </c>
      <c r="AV627" s="17">
        <f>SUM(TableCosts[[#This Row],[N_Direct]:[N_SGA]])</f>
        <v>0</v>
      </c>
      <c r="AW627" s="7">
        <f>IF(F627=1,IF(D627="",NA(),VLOOKUP(C627&amp;TableCosts[[#This Row],[Calc_N_Typ]],TRAN_STRITEMS_LABEL,7,0)),0)</f>
        <v>0</v>
      </c>
      <c r="AX627" s="7">
        <f t="shared" si="117"/>
        <v>0</v>
      </c>
      <c r="AY627" s="57" t="str">
        <f t="shared" si="118"/>
        <v/>
      </c>
      <c r="AZ627" s="57" t="str">
        <f t="shared" si="119"/>
        <v/>
      </c>
      <c r="BA627" s="57" t="str">
        <f>IF(F627=1,IF(TableCosts[[#This Row],[TransferFrom]]=TableCosts[[#This Row],[TranferTo]],0,1),"")</f>
        <v/>
      </c>
      <c r="BB627" s="7">
        <f t="shared" si="120"/>
        <v>0</v>
      </c>
      <c r="BC627" s="7">
        <f t="shared" si="121"/>
        <v>0</v>
      </c>
    </row>
    <row r="628" spans="2:55" s="7" customFormat="1" ht="12.75" x14ac:dyDescent="0.2">
      <c r="B628" s="33"/>
      <c r="C628" s="31"/>
      <c r="D628" s="40"/>
      <c r="E628" s="6" t="str">
        <f>IF(F628=1,IF(ISERROR(TableCosts[[#This Row],[N_Tariff]]),Err_Message1,IF(TableCosts[[#This Row],[N_Tariff]]=0,Err_Message2,VLOOKUP(C628&amp;TableCosts[[#This Row],[Calc_N_Typ]],TRAN_STRITEMS_LABEL,5,FALSE))),"")</f>
        <v/>
      </c>
      <c r="F628" s="6">
        <f t="shared" si="122"/>
        <v>0</v>
      </c>
      <c r="G628" s="6" t="str">
        <f>IF(F628=1,IFERROR(VLOOKUP(E628,Tab_ErrMessage[],2,0),VLOOKUP(C628&amp;TableCosts[[#This Row],[Calc_N_Typ]],TRAN_STRITEMS_LABEL,4,FALSE)),"")</f>
        <v/>
      </c>
      <c r="H628" s="40"/>
      <c r="I628" s="40"/>
      <c r="J628" s="35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  <c r="AD628" s="24"/>
      <c r="AE628" s="24"/>
      <c r="AF628" s="24"/>
      <c r="AG628" s="24"/>
      <c r="AH628" s="24"/>
      <c r="AI628" s="24"/>
      <c r="AJ628" s="24"/>
      <c r="AK628" s="38">
        <f t="array" ref="AK628">IF(F628=1,SUM((ROW(M0)=ROW(AK628))*(M0+M1_+M2_+M3_+M4_+M5_+M6_+M7_+M8_+M9_+M10_+M11_+M12_+M13_+M14_+M15_+M16_+M17_+M18_+M19_+M20_+M21_+M22_+M23_+M24_+M25_)),0)</f>
        <v>0</v>
      </c>
      <c r="AL628" s="27">
        <f>TableCosts[[#This Row],[N_Direct]]</f>
        <v>0</v>
      </c>
      <c r="AN628" s="7" t="str">
        <f t="shared" si="111"/>
        <v/>
      </c>
      <c r="AO628" s="7" t="str">
        <f t="shared" si="114"/>
        <v/>
      </c>
      <c r="AP628" s="7" t="str">
        <f t="shared" si="112"/>
        <v/>
      </c>
      <c r="AQ628" s="7" t="str">
        <f t="shared" si="115"/>
        <v/>
      </c>
      <c r="AR628" s="7" t="str">
        <f t="shared" si="113"/>
        <v/>
      </c>
      <c r="AS628" s="7">
        <f t="shared" si="116"/>
        <v>0</v>
      </c>
      <c r="AT628" s="17">
        <f>TableCosts[[#This Row],[N_Amount]]*TableCosts[[#This Row],[N_Tariff]]*TableCosts[[#This Row],[N_ItemsCount]]</f>
        <v>0</v>
      </c>
      <c r="AU628" s="17">
        <f>IF(F628=1,IF(TableCosts[[#This Row],[N_Kateg]]="interné práce",TableCosts[[#This Row],[N_Amount]]*8*PAR_SGA_PERHOUR,0),0)</f>
        <v>0</v>
      </c>
      <c r="AV628" s="17">
        <f>SUM(TableCosts[[#This Row],[N_Direct]:[N_SGA]])</f>
        <v>0</v>
      </c>
      <c r="AW628" s="7">
        <f>IF(F628=1,IF(D628="",NA(),VLOOKUP(C628&amp;TableCosts[[#This Row],[Calc_N_Typ]],TRAN_STRITEMS_LABEL,7,0)),0)</f>
        <v>0</v>
      </c>
      <c r="AX628" s="7">
        <f t="shared" si="117"/>
        <v>0</v>
      </c>
      <c r="AY628" s="57" t="str">
        <f t="shared" si="118"/>
        <v/>
      </c>
      <c r="AZ628" s="57" t="str">
        <f t="shared" si="119"/>
        <v/>
      </c>
      <c r="BA628" s="57" t="str">
        <f>IF(F628=1,IF(TableCosts[[#This Row],[TransferFrom]]=TableCosts[[#This Row],[TranferTo]],0,1),"")</f>
        <v/>
      </c>
      <c r="BB628" s="7">
        <f t="shared" si="120"/>
        <v>0</v>
      </c>
      <c r="BC628" s="7">
        <f t="shared" si="121"/>
        <v>0</v>
      </c>
    </row>
    <row r="629" spans="2:55" s="7" customFormat="1" ht="12.75" x14ac:dyDescent="0.2">
      <c r="B629" s="33"/>
      <c r="C629" s="31"/>
      <c r="D629" s="40"/>
      <c r="E629" s="6" t="str">
        <f>IF(F629=1,IF(ISERROR(TableCosts[[#This Row],[N_Tariff]]),Err_Message1,IF(TableCosts[[#This Row],[N_Tariff]]=0,Err_Message2,VLOOKUP(C629&amp;TableCosts[[#This Row],[Calc_N_Typ]],TRAN_STRITEMS_LABEL,5,FALSE))),"")</f>
        <v/>
      </c>
      <c r="F629" s="6">
        <f t="shared" si="122"/>
        <v>0</v>
      </c>
      <c r="G629" s="6" t="str">
        <f>IF(F629=1,IFERROR(VLOOKUP(E629,Tab_ErrMessage[],2,0),VLOOKUP(C629&amp;TableCosts[[#This Row],[Calc_N_Typ]],TRAN_STRITEMS_LABEL,4,FALSE)),"")</f>
        <v/>
      </c>
      <c r="H629" s="40"/>
      <c r="I629" s="40"/>
      <c r="J629" s="35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  <c r="AD629" s="24"/>
      <c r="AE629" s="24"/>
      <c r="AF629" s="24"/>
      <c r="AG629" s="24"/>
      <c r="AH629" s="24"/>
      <c r="AI629" s="24"/>
      <c r="AJ629" s="24"/>
      <c r="AK629" s="38">
        <f t="array" ref="AK629">IF(F629=1,SUM((ROW(M0)=ROW(AK629))*(M0+M1_+M2_+M3_+M4_+M5_+M6_+M7_+M8_+M9_+M10_+M11_+M12_+M13_+M14_+M15_+M16_+M17_+M18_+M19_+M20_+M21_+M22_+M23_+M24_+M25_)),0)</f>
        <v>0</v>
      </c>
      <c r="AL629" s="27">
        <f>TableCosts[[#This Row],[N_Direct]]</f>
        <v>0</v>
      </c>
      <c r="AN629" s="7" t="str">
        <f t="shared" si="111"/>
        <v/>
      </c>
      <c r="AO629" s="7" t="str">
        <f t="shared" si="114"/>
        <v/>
      </c>
      <c r="AP629" s="7" t="str">
        <f t="shared" si="112"/>
        <v/>
      </c>
      <c r="AQ629" s="7" t="str">
        <f t="shared" si="115"/>
        <v/>
      </c>
      <c r="AR629" s="7" t="str">
        <f t="shared" si="113"/>
        <v/>
      </c>
      <c r="AS629" s="7">
        <f t="shared" si="116"/>
        <v>0</v>
      </c>
      <c r="AT629" s="17">
        <f>TableCosts[[#This Row],[N_Amount]]*TableCosts[[#This Row],[N_Tariff]]*TableCosts[[#This Row],[N_ItemsCount]]</f>
        <v>0</v>
      </c>
      <c r="AU629" s="17">
        <f>IF(F629=1,IF(TableCosts[[#This Row],[N_Kateg]]="interné práce",TableCosts[[#This Row],[N_Amount]]*8*PAR_SGA_PERHOUR,0),0)</f>
        <v>0</v>
      </c>
      <c r="AV629" s="17">
        <f>SUM(TableCosts[[#This Row],[N_Direct]:[N_SGA]])</f>
        <v>0</v>
      </c>
      <c r="AW629" s="7">
        <f>IF(F629=1,IF(D629="",NA(),VLOOKUP(C629&amp;TableCosts[[#This Row],[Calc_N_Typ]],TRAN_STRITEMS_LABEL,7,0)),0)</f>
        <v>0</v>
      </c>
      <c r="AX629" s="7">
        <f t="shared" si="117"/>
        <v>0</v>
      </c>
      <c r="AY629" s="57" t="str">
        <f t="shared" si="118"/>
        <v/>
      </c>
      <c r="AZ629" s="57" t="str">
        <f t="shared" si="119"/>
        <v/>
      </c>
      <c r="BA629" s="57" t="str">
        <f>IF(F629=1,IF(TableCosts[[#This Row],[TransferFrom]]=TableCosts[[#This Row],[TranferTo]],0,1),"")</f>
        <v/>
      </c>
      <c r="BB629" s="7">
        <f t="shared" si="120"/>
        <v>0</v>
      </c>
      <c r="BC629" s="7">
        <f t="shared" si="121"/>
        <v>0</v>
      </c>
    </row>
    <row r="630" spans="2:55" s="7" customFormat="1" ht="12.75" x14ac:dyDescent="0.2">
      <c r="B630" s="33"/>
      <c r="C630" s="31"/>
      <c r="D630" s="40"/>
      <c r="E630" s="6" t="str">
        <f>IF(F630=1,IF(ISERROR(TableCosts[[#This Row],[N_Tariff]]),Err_Message1,IF(TableCosts[[#This Row],[N_Tariff]]=0,Err_Message2,VLOOKUP(C630&amp;TableCosts[[#This Row],[Calc_N_Typ]],TRAN_STRITEMS_LABEL,5,FALSE))),"")</f>
        <v/>
      </c>
      <c r="F630" s="6">
        <f t="shared" si="122"/>
        <v>0</v>
      </c>
      <c r="G630" s="6" t="str">
        <f>IF(F630=1,IFERROR(VLOOKUP(E630,Tab_ErrMessage[],2,0),VLOOKUP(C630&amp;TableCosts[[#This Row],[Calc_N_Typ]],TRAN_STRITEMS_LABEL,4,FALSE)),"")</f>
        <v/>
      </c>
      <c r="H630" s="40"/>
      <c r="I630" s="40"/>
      <c r="J630" s="35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  <c r="AD630" s="24"/>
      <c r="AE630" s="24"/>
      <c r="AF630" s="24"/>
      <c r="AG630" s="24"/>
      <c r="AH630" s="24"/>
      <c r="AI630" s="24"/>
      <c r="AJ630" s="24"/>
      <c r="AK630" s="38">
        <f t="array" ref="AK630">IF(F630=1,SUM((ROW(M0)=ROW(AK630))*(M0+M1_+M2_+M3_+M4_+M5_+M6_+M7_+M8_+M9_+M10_+M11_+M12_+M13_+M14_+M15_+M16_+M17_+M18_+M19_+M20_+M21_+M22_+M23_+M24_+M25_)),0)</f>
        <v>0</v>
      </c>
      <c r="AL630" s="27">
        <f>TableCosts[[#This Row],[N_Direct]]</f>
        <v>0</v>
      </c>
      <c r="AN630" s="7" t="str">
        <f t="shared" si="111"/>
        <v/>
      </c>
      <c r="AO630" s="7" t="str">
        <f t="shared" si="114"/>
        <v/>
      </c>
      <c r="AP630" s="7" t="str">
        <f t="shared" si="112"/>
        <v/>
      </c>
      <c r="AQ630" s="7" t="str">
        <f t="shared" si="115"/>
        <v/>
      </c>
      <c r="AR630" s="7" t="str">
        <f t="shared" si="113"/>
        <v/>
      </c>
      <c r="AS630" s="7">
        <f t="shared" si="116"/>
        <v>0</v>
      </c>
      <c r="AT630" s="17">
        <f>TableCosts[[#This Row],[N_Amount]]*TableCosts[[#This Row],[N_Tariff]]*TableCosts[[#This Row],[N_ItemsCount]]</f>
        <v>0</v>
      </c>
      <c r="AU630" s="17">
        <f>IF(F630=1,IF(TableCosts[[#This Row],[N_Kateg]]="interné práce",TableCosts[[#This Row],[N_Amount]]*8*PAR_SGA_PERHOUR,0),0)</f>
        <v>0</v>
      </c>
      <c r="AV630" s="17">
        <f>SUM(TableCosts[[#This Row],[N_Direct]:[N_SGA]])</f>
        <v>0</v>
      </c>
      <c r="AW630" s="7">
        <f>IF(F630=1,IF(D630="",NA(),VLOOKUP(C630&amp;TableCosts[[#This Row],[Calc_N_Typ]],TRAN_STRITEMS_LABEL,7,0)),0)</f>
        <v>0</v>
      </c>
      <c r="AX630" s="7">
        <f t="shared" si="117"/>
        <v>0</v>
      </c>
      <c r="AY630" s="57" t="str">
        <f t="shared" si="118"/>
        <v/>
      </c>
      <c r="AZ630" s="57" t="str">
        <f t="shared" si="119"/>
        <v/>
      </c>
      <c r="BA630" s="57" t="str">
        <f>IF(F630=1,IF(TableCosts[[#This Row],[TransferFrom]]=TableCosts[[#This Row],[TranferTo]],0,1),"")</f>
        <v/>
      </c>
      <c r="BB630" s="7">
        <f t="shared" si="120"/>
        <v>0</v>
      </c>
      <c r="BC630" s="7">
        <f t="shared" si="121"/>
        <v>0</v>
      </c>
    </row>
    <row r="631" spans="2:55" s="7" customFormat="1" ht="12.75" x14ac:dyDescent="0.2">
      <c r="B631" s="33"/>
      <c r="C631" s="31"/>
      <c r="D631" s="40"/>
      <c r="E631" s="6" t="str">
        <f>IF(F631=1,IF(ISERROR(TableCosts[[#This Row],[N_Tariff]]),Err_Message1,IF(TableCosts[[#This Row],[N_Tariff]]=0,Err_Message2,VLOOKUP(C631&amp;TableCosts[[#This Row],[Calc_N_Typ]],TRAN_STRITEMS_LABEL,5,FALSE))),"")</f>
        <v/>
      </c>
      <c r="F631" s="6">
        <f t="shared" si="122"/>
        <v>0</v>
      </c>
      <c r="G631" s="6" t="str">
        <f>IF(F631=1,IFERROR(VLOOKUP(E631,Tab_ErrMessage[],2,0),VLOOKUP(C631&amp;TableCosts[[#This Row],[Calc_N_Typ]],TRAN_STRITEMS_LABEL,4,FALSE)),"")</f>
        <v/>
      </c>
      <c r="H631" s="40"/>
      <c r="I631" s="40"/>
      <c r="J631" s="35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  <c r="AD631" s="24"/>
      <c r="AE631" s="24"/>
      <c r="AF631" s="24"/>
      <c r="AG631" s="24"/>
      <c r="AH631" s="24"/>
      <c r="AI631" s="24"/>
      <c r="AJ631" s="24"/>
      <c r="AK631" s="38">
        <f t="array" ref="AK631">IF(F631=1,SUM((ROW(M0)=ROW(AK631))*(M0+M1_+M2_+M3_+M4_+M5_+M6_+M7_+M8_+M9_+M10_+M11_+M12_+M13_+M14_+M15_+M16_+M17_+M18_+M19_+M20_+M21_+M22_+M23_+M24_+M25_)),0)</f>
        <v>0</v>
      </c>
      <c r="AL631" s="27">
        <f>TableCosts[[#This Row],[N_Direct]]</f>
        <v>0</v>
      </c>
      <c r="AN631" s="7" t="str">
        <f t="shared" ref="AN631:AN694" si="123">IF(F631=1,B631,"")</f>
        <v/>
      </c>
      <c r="AO631" s="7" t="str">
        <f t="shared" si="114"/>
        <v/>
      </c>
      <c r="AP631" s="7" t="str">
        <f t="shared" ref="AP631:AP694" si="124">IF(F631=1,E631,"")</f>
        <v/>
      </c>
      <c r="AQ631" s="7" t="str">
        <f t="shared" si="115"/>
        <v/>
      </c>
      <c r="AR631" s="7" t="str">
        <f t="shared" ref="AR631:AR694" si="125">IF(F631=1,G631,"")</f>
        <v/>
      </c>
      <c r="AS631" s="7">
        <f t="shared" si="116"/>
        <v>0</v>
      </c>
      <c r="AT631" s="17">
        <f>TableCosts[[#This Row],[N_Amount]]*TableCosts[[#This Row],[N_Tariff]]*TableCosts[[#This Row],[N_ItemsCount]]</f>
        <v>0</v>
      </c>
      <c r="AU631" s="17">
        <f>IF(F631=1,IF(TableCosts[[#This Row],[N_Kateg]]="interné práce",TableCosts[[#This Row],[N_Amount]]*8*PAR_SGA_PERHOUR,0),0)</f>
        <v>0</v>
      </c>
      <c r="AV631" s="17">
        <f>SUM(TableCosts[[#This Row],[N_Direct]:[N_SGA]])</f>
        <v>0</v>
      </c>
      <c r="AW631" s="7">
        <f>IF(F631=1,IF(D631="",NA(),VLOOKUP(C631&amp;TableCosts[[#This Row],[Calc_N_Typ]],TRAN_STRITEMS_LABEL,7,0)),0)</f>
        <v>0</v>
      </c>
      <c r="AX631" s="7">
        <f t="shared" si="117"/>
        <v>0</v>
      </c>
      <c r="AY631" s="57" t="str">
        <f t="shared" si="118"/>
        <v/>
      </c>
      <c r="AZ631" s="57" t="str">
        <f t="shared" si="119"/>
        <v/>
      </c>
      <c r="BA631" s="57" t="str">
        <f>IF(F631=1,IF(TableCosts[[#This Row],[TransferFrom]]=TableCosts[[#This Row],[TranferTo]],0,1),"")</f>
        <v/>
      </c>
      <c r="BB631" s="7">
        <f t="shared" si="120"/>
        <v>0</v>
      </c>
      <c r="BC631" s="7">
        <f t="shared" si="121"/>
        <v>0</v>
      </c>
    </row>
    <row r="632" spans="2:55" s="7" customFormat="1" ht="12.75" x14ac:dyDescent="0.2">
      <c r="B632" s="33"/>
      <c r="C632" s="31"/>
      <c r="D632" s="40"/>
      <c r="E632" s="6" t="str">
        <f>IF(F632=1,IF(ISERROR(TableCosts[[#This Row],[N_Tariff]]),Err_Message1,IF(TableCosts[[#This Row],[N_Tariff]]=0,Err_Message2,VLOOKUP(C632&amp;TableCosts[[#This Row],[Calc_N_Typ]],TRAN_STRITEMS_LABEL,5,FALSE))),"")</f>
        <v/>
      </c>
      <c r="F632" s="6">
        <f t="shared" si="122"/>
        <v>0</v>
      </c>
      <c r="G632" s="6" t="str">
        <f>IF(F632=1,IFERROR(VLOOKUP(E632,Tab_ErrMessage[],2,0),VLOOKUP(C632&amp;TableCosts[[#This Row],[Calc_N_Typ]],TRAN_STRITEMS_LABEL,4,FALSE)),"")</f>
        <v/>
      </c>
      <c r="H632" s="40"/>
      <c r="I632" s="40"/>
      <c r="J632" s="35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  <c r="AD632" s="24"/>
      <c r="AE632" s="24"/>
      <c r="AF632" s="24"/>
      <c r="AG632" s="24"/>
      <c r="AH632" s="24"/>
      <c r="AI632" s="24"/>
      <c r="AJ632" s="24"/>
      <c r="AK632" s="38">
        <f t="array" ref="AK632">IF(F632=1,SUM((ROW(M0)=ROW(AK632))*(M0+M1_+M2_+M3_+M4_+M5_+M6_+M7_+M8_+M9_+M10_+M11_+M12_+M13_+M14_+M15_+M16_+M17_+M18_+M19_+M20_+M21_+M22_+M23_+M24_+M25_)),0)</f>
        <v>0</v>
      </c>
      <c r="AL632" s="27">
        <f>TableCosts[[#This Row],[N_Direct]]</f>
        <v>0</v>
      </c>
      <c r="AN632" s="7" t="str">
        <f t="shared" si="123"/>
        <v/>
      </c>
      <c r="AO632" s="7" t="str">
        <f t="shared" si="114"/>
        <v/>
      </c>
      <c r="AP632" s="7" t="str">
        <f t="shared" si="124"/>
        <v/>
      </c>
      <c r="AQ632" s="7" t="str">
        <f t="shared" si="115"/>
        <v/>
      </c>
      <c r="AR632" s="7" t="str">
        <f t="shared" si="125"/>
        <v/>
      </c>
      <c r="AS632" s="7">
        <f t="shared" si="116"/>
        <v>0</v>
      </c>
      <c r="AT632" s="17">
        <f>TableCosts[[#This Row],[N_Amount]]*TableCosts[[#This Row],[N_Tariff]]*TableCosts[[#This Row],[N_ItemsCount]]</f>
        <v>0</v>
      </c>
      <c r="AU632" s="17">
        <f>IF(F632=1,IF(TableCosts[[#This Row],[N_Kateg]]="interné práce",TableCosts[[#This Row],[N_Amount]]*8*PAR_SGA_PERHOUR,0),0)</f>
        <v>0</v>
      </c>
      <c r="AV632" s="17">
        <f>SUM(TableCosts[[#This Row],[N_Direct]:[N_SGA]])</f>
        <v>0</v>
      </c>
      <c r="AW632" s="7">
        <f>IF(F632=1,IF(D632="",NA(),VLOOKUP(C632&amp;TableCosts[[#This Row],[Calc_N_Typ]],TRAN_STRITEMS_LABEL,7,0)),0)</f>
        <v>0</v>
      </c>
      <c r="AX632" s="7">
        <f t="shared" si="117"/>
        <v>0</v>
      </c>
      <c r="AY632" s="57" t="str">
        <f t="shared" si="118"/>
        <v/>
      </c>
      <c r="AZ632" s="57" t="str">
        <f t="shared" si="119"/>
        <v/>
      </c>
      <c r="BA632" s="57" t="str">
        <f>IF(F632=1,IF(TableCosts[[#This Row],[TransferFrom]]=TableCosts[[#This Row],[TranferTo]],0,1),"")</f>
        <v/>
      </c>
      <c r="BB632" s="7">
        <f t="shared" si="120"/>
        <v>0</v>
      </c>
      <c r="BC632" s="7">
        <f t="shared" si="121"/>
        <v>0</v>
      </c>
    </row>
    <row r="633" spans="2:55" s="7" customFormat="1" ht="12.75" x14ac:dyDescent="0.2">
      <c r="B633" s="33"/>
      <c r="C633" s="31"/>
      <c r="D633" s="40"/>
      <c r="E633" s="6" t="str">
        <f>IF(F633=1,IF(ISERROR(TableCosts[[#This Row],[N_Tariff]]),Err_Message1,IF(TableCosts[[#This Row],[N_Tariff]]=0,Err_Message2,VLOOKUP(C633&amp;TableCosts[[#This Row],[Calc_N_Typ]],TRAN_STRITEMS_LABEL,5,FALSE))),"")</f>
        <v/>
      </c>
      <c r="F633" s="6">
        <f t="shared" si="122"/>
        <v>0</v>
      </c>
      <c r="G633" s="6" t="str">
        <f>IF(F633=1,IFERROR(VLOOKUP(E633,Tab_ErrMessage[],2,0),VLOOKUP(C633&amp;TableCosts[[#This Row],[Calc_N_Typ]],TRAN_STRITEMS_LABEL,4,FALSE)),"")</f>
        <v/>
      </c>
      <c r="H633" s="40"/>
      <c r="I633" s="40"/>
      <c r="J633" s="35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  <c r="AD633" s="24"/>
      <c r="AE633" s="24"/>
      <c r="AF633" s="24"/>
      <c r="AG633" s="24"/>
      <c r="AH633" s="24"/>
      <c r="AI633" s="24"/>
      <c r="AJ633" s="24"/>
      <c r="AK633" s="38">
        <f t="array" ref="AK633">IF(F633=1,SUM((ROW(M0)=ROW(AK633))*(M0+M1_+M2_+M3_+M4_+M5_+M6_+M7_+M8_+M9_+M10_+M11_+M12_+M13_+M14_+M15_+M16_+M17_+M18_+M19_+M20_+M21_+M22_+M23_+M24_+M25_)),0)</f>
        <v>0</v>
      </c>
      <c r="AL633" s="27">
        <f>TableCosts[[#This Row],[N_Direct]]</f>
        <v>0</v>
      </c>
      <c r="AN633" s="7" t="str">
        <f t="shared" si="123"/>
        <v/>
      </c>
      <c r="AO633" s="7" t="str">
        <f t="shared" si="114"/>
        <v/>
      </c>
      <c r="AP633" s="7" t="str">
        <f t="shared" si="124"/>
        <v/>
      </c>
      <c r="AQ633" s="7" t="str">
        <f t="shared" si="115"/>
        <v/>
      </c>
      <c r="AR633" s="7" t="str">
        <f t="shared" si="125"/>
        <v/>
      </c>
      <c r="AS633" s="7">
        <f t="shared" si="116"/>
        <v>0</v>
      </c>
      <c r="AT633" s="17">
        <f>TableCosts[[#This Row],[N_Amount]]*TableCosts[[#This Row],[N_Tariff]]*TableCosts[[#This Row],[N_ItemsCount]]</f>
        <v>0</v>
      </c>
      <c r="AU633" s="17">
        <f>IF(F633=1,IF(TableCosts[[#This Row],[N_Kateg]]="interné práce",TableCosts[[#This Row],[N_Amount]]*8*PAR_SGA_PERHOUR,0),0)</f>
        <v>0</v>
      </c>
      <c r="AV633" s="17">
        <f>SUM(TableCosts[[#This Row],[N_Direct]:[N_SGA]])</f>
        <v>0</v>
      </c>
      <c r="AW633" s="7">
        <f>IF(F633=1,IF(D633="",NA(),VLOOKUP(C633&amp;TableCosts[[#This Row],[Calc_N_Typ]],TRAN_STRITEMS_LABEL,7,0)),0)</f>
        <v>0</v>
      </c>
      <c r="AX633" s="7">
        <f t="shared" si="117"/>
        <v>0</v>
      </c>
      <c r="AY633" s="57" t="str">
        <f t="shared" si="118"/>
        <v/>
      </c>
      <c r="AZ633" s="57" t="str">
        <f t="shared" si="119"/>
        <v/>
      </c>
      <c r="BA633" s="57" t="str">
        <f>IF(F633=1,IF(TableCosts[[#This Row],[TransferFrom]]=TableCosts[[#This Row],[TranferTo]],0,1),"")</f>
        <v/>
      </c>
      <c r="BB633" s="7">
        <f t="shared" si="120"/>
        <v>0</v>
      </c>
      <c r="BC633" s="7">
        <f t="shared" si="121"/>
        <v>0</v>
      </c>
    </row>
    <row r="634" spans="2:55" s="7" customFormat="1" ht="12.75" x14ac:dyDescent="0.2">
      <c r="B634" s="33"/>
      <c r="C634" s="31"/>
      <c r="D634" s="40"/>
      <c r="E634" s="6" t="str">
        <f>IF(F634=1,IF(ISERROR(TableCosts[[#This Row],[N_Tariff]]),Err_Message1,IF(TableCosts[[#This Row],[N_Tariff]]=0,Err_Message2,VLOOKUP(C634&amp;TableCosts[[#This Row],[Calc_N_Typ]],TRAN_STRITEMS_LABEL,5,FALSE))),"")</f>
        <v/>
      </c>
      <c r="F634" s="6">
        <f t="shared" si="122"/>
        <v>0</v>
      </c>
      <c r="G634" s="6" t="str">
        <f>IF(F634=1,IFERROR(VLOOKUP(E634,Tab_ErrMessage[],2,0),VLOOKUP(C634&amp;TableCosts[[#This Row],[Calc_N_Typ]],TRAN_STRITEMS_LABEL,4,FALSE)),"")</f>
        <v/>
      </c>
      <c r="H634" s="40"/>
      <c r="I634" s="40"/>
      <c r="J634" s="35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  <c r="AD634" s="24"/>
      <c r="AE634" s="24"/>
      <c r="AF634" s="24"/>
      <c r="AG634" s="24"/>
      <c r="AH634" s="24"/>
      <c r="AI634" s="24"/>
      <c r="AJ634" s="24"/>
      <c r="AK634" s="38">
        <f t="array" ref="AK634">IF(F634=1,SUM((ROW(M0)=ROW(AK634))*(M0+M1_+M2_+M3_+M4_+M5_+M6_+M7_+M8_+M9_+M10_+M11_+M12_+M13_+M14_+M15_+M16_+M17_+M18_+M19_+M20_+M21_+M22_+M23_+M24_+M25_)),0)</f>
        <v>0</v>
      </c>
      <c r="AL634" s="27">
        <f>TableCosts[[#This Row],[N_Direct]]</f>
        <v>0</v>
      </c>
      <c r="AN634" s="7" t="str">
        <f t="shared" si="123"/>
        <v/>
      </c>
      <c r="AO634" s="7" t="str">
        <f t="shared" si="114"/>
        <v/>
      </c>
      <c r="AP634" s="7" t="str">
        <f t="shared" si="124"/>
        <v/>
      </c>
      <c r="AQ634" s="7" t="str">
        <f t="shared" si="115"/>
        <v/>
      </c>
      <c r="AR634" s="7" t="str">
        <f t="shared" si="125"/>
        <v/>
      </c>
      <c r="AS634" s="7">
        <f t="shared" si="116"/>
        <v>0</v>
      </c>
      <c r="AT634" s="17">
        <f>TableCosts[[#This Row],[N_Amount]]*TableCosts[[#This Row],[N_Tariff]]*TableCosts[[#This Row],[N_ItemsCount]]</f>
        <v>0</v>
      </c>
      <c r="AU634" s="17">
        <f>IF(F634=1,IF(TableCosts[[#This Row],[N_Kateg]]="interné práce",TableCosts[[#This Row],[N_Amount]]*8*PAR_SGA_PERHOUR,0),0)</f>
        <v>0</v>
      </c>
      <c r="AV634" s="17">
        <f>SUM(TableCosts[[#This Row],[N_Direct]:[N_SGA]])</f>
        <v>0</v>
      </c>
      <c r="AW634" s="7">
        <f>IF(F634=1,IF(D634="",NA(),VLOOKUP(C634&amp;TableCosts[[#This Row],[Calc_N_Typ]],TRAN_STRITEMS_LABEL,7,0)),0)</f>
        <v>0</v>
      </c>
      <c r="AX634" s="7">
        <f t="shared" si="117"/>
        <v>0</v>
      </c>
      <c r="AY634" s="57" t="str">
        <f t="shared" si="118"/>
        <v/>
      </c>
      <c r="AZ634" s="57" t="str">
        <f t="shared" si="119"/>
        <v/>
      </c>
      <c r="BA634" s="57" t="str">
        <f>IF(F634=1,IF(TableCosts[[#This Row],[TransferFrom]]=TableCosts[[#This Row],[TranferTo]],0,1),"")</f>
        <v/>
      </c>
      <c r="BB634" s="7">
        <f t="shared" si="120"/>
        <v>0</v>
      </c>
      <c r="BC634" s="7">
        <f t="shared" si="121"/>
        <v>0</v>
      </c>
    </row>
    <row r="635" spans="2:55" s="7" customFormat="1" ht="12.75" x14ac:dyDescent="0.2">
      <c r="B635" s="33"/>
      <c r="C635" s="31"/>
      <c r="D635" s="40"/>
      <c r="E635" s="6" t="str">
        <f>IF(F635=1,IF(ISERROR(TableCosts[[#This Row],[N_Tariff]]),Err_Message1,IF(TableCosts[[#This Row],[N_Tariff]]=0,Err_Message2,VLOOKUP(C635&amp;TableCosts[[#This Row],[Calc_N_Typ]],TRAN_STRITEMS_LABEL,5,FALSE))),"")</f>
        <v/>
      </c>
      <c r="F635" s="6">
        <f t="shared" si="122"/>
        <v>0</v>
      </c>
      <c r="G635" s="6" t="str">
        <f>IF(F635=1,IFERROR(VLOOKUP(E635,Tab_ErrMessage[],2,0),VLOOKUP(C635&amp;TableCosts[[#This Row],[Calc_N_Typ]],TRAN_STRITEMS_LABEL,4,FALSE)),"")</f>
        <v/>
      </c>
      <c r="H635" s="40"/>
      <c r="I635" s="40"/>
      <c r="J635" s="35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  <c r="AD635" s="24"/>
      <c r="AE635" s="24"/>
      <c r="AF635" s="24"/>
      <c r="AG635" s="24"/>
      <c r="AH635" s="24"/>
      <c r="AI635" s="24"/>
      <c r="AJ635" s="24"/>
      <c r="AK635" s="38">
        <f t="array" ref="AK635">IF(F635=1,SUM((ROW(M0)=ROW(AK635))*(M0+M1_+M2_+M3_+M4_+M5_+M6_+M7_+M8_+M9_+M10_+M11_+M12_+M13_+M14_+M15_+M16_+M17_+M18_+M19_+M20_+M21_+M22_+M23_+M24_+M25_)),0)</f>
        <v>0</v>
      </c>
      <c r="AL635" s="27">
        <f>TableCosts[[#This Row],[N_Direct]]</f>
        <v>0</v>
      </c>
      <c r="AN635" s="7" t="str">
        <f t="shared" si="123"/>
        <v/>
      </c>
      <c r="AO635" s="7" t="str">
        <f t="shared" si="114"/>
        <v/>
      </c>
      <c r="AP635" s="7" t="str">
        <f t="shared" si="124"/>
        <v/>
      </c>
      <c r="AQ635" s="7" t="str">
        <f t="shared" si="115"/>
        <v/>
      </c>
      <c r="AR635" s="7" t="str">
        <f t="shared" si="125"/>
        <v/>
      </c>
      <c r="AS635" s="7">
        <f t="shared" si="116"/>
        <v>0</v>
      </c>
      <c r="AT635" s="17">
        <f>TableCosts[[#This Row],[N_Amount]]*TableCosts[[#This Row],[N_Tariff]]*TableCosts[[#This Row],[N_ItemsCount]]</f>
        <v>0</v>
      </c>
      <c r="AU635" s="17">
        <f>IF(F635=1,IF(TableCosts[[#This Row],[N_Kateg]]="interné práce",TableCosts[[#This Row],[N_Amount]]*8*PAR_SGA_PERHOUR,0),0)</f>
        <v>0</v>
      </c>
      <c r="AV635" s="17">
        <f>SUM(TableCosts[[#This Row],[N_Direct]:[N_SGA]])</f>
        <v>0</v>
      </c>
      <c r="AW635" s="7">
        <f>IF(F635=1,IF(D635="",NA(),VLOOKUP(C635&amp;TableCosts[[#This Row],[Calc_N_Typ]],TRAN_STRITEMS_LABEL,7,0)),0)</f>
        <v>0</v>
      </c>
      <c r="AX635" s="7">
        <f t="shared" si="117"/>
        <v>0</v>
      </c>
      <c r="AY635" s="57" t="str">
        <f t="shared" si="118"/>
        <v/>
      </c>
      <c r="AZ635" s="57" t="str">
        <f t="shared" si="119"/>
        <v/>
      </c>
      <c r="BA635" s="57" t="str">
        <f>IF(F635=1,IF(TableCosts[[#This Row],[TransferFrom]]=TableCosts[[#This Row],[TranferTo]],0,1),"")</f>
        <v/>
      </c>
      <c r="BB635" s="7">
        <f t="shared" si="120"/>
        <v>0</v>
      </c>
      <c r="BC635" s="7">
        <f t="shared" si="121"/>
        <v>0</v>
      </c>
    </row>
    <row r="636" spans="2:55" s="7" customFormat="1" ht="12.75" x14ac:dyDescent="0.2">
      <c r="B636" s="33"/>
      <c r="C636" s="31"/>
      <c r="D636" s="40"/>
      <c r="E636" s="6" t="str">
        <f>IF(F636=1,IF(ISERROR(TableCosts[[#This Row],[N_Tariff]]),Err_Message1,IF(TableCosts[[#This Row],[N_Tariff]]=0,Err_Message2,VLOOKUP(C636&amp;TableCosts[[#This Row],[Calc_N_Typ]],TRAN_STRITEMS_LABEL,5,FALSE))),"")</f>
        <v/>
      </c>
      <c r="F636" s="6">
        <f t="shared" si="122"/>
        <v>0</v>
      </c>
      <c r="G636" s="6" t="str">
        <f>IF(F636=1,IFERROR(VLOOKUP(E636,Tab_ErrMessage[],2,0),VLOOKUP(C636&amp;TableCosts[[#This Row],[Calc_N_Typ]],TRAN_STRITEMS_LABEL,4,FALSE)),"")</f>
        <v/>
      </c>
      <c r="H636" s="40"/>
      <c r="I636" s="40"/>
      <c r="J636" s="35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  <c r="AD636" s="24"/>
      <c r="AE636" s="24"/>
      <c r="AF636" s="24"/>
      <c r="AG636" s="24"/>
      <c r="AH636" s="24"/>
      <c r="AI636" s="24"/>
      <c r="AJ636" s="24"/>
      <c r="AK636" s="38">
        <f t="array" ref="AK636">IF(F636=1,SUM((ROW(M0)=ROW(AK636))*(M0+M1_+M2_+M3_+M4_+M5_+M6_+M7_+M8_+M9_+M10_+M11_+M12_+M13_+M14_+M15_+M16_+M17_+M18_+M19_+M20_+M21_+M22_+M23_+M24_+M25_)),0)</f>
        <v>0</v>
      </c>
      <c r="AL636" s="27">
        <f>TableCosts[[#This Row],[N_Direct]]</f>
        <v>0</v>
      </c>
      <c r="AN636" s="7" t="str">
        <f t="shared" si="123"/>
        <v/>
      </c>
      <c r="AO636" s="7" t="str">
        <f t="shared" si="114"/>
        <v/>
      </c>
      <c r="AP636" s="7" t="str">
        <f t="shared" si="124"/>
        <v/>
      </c>
      <c r="AQ636" s="7" t="str">
        <f t="shared" si="115"/>
        <v/>
      </c>
      <c r="AR636" s="7" t="str">
        <f t="shared" si="125"/>
        <v/>
      </c>
      <c r="AS636" s="7">
        <f t="shared" si="116"/>
        <v>0</v>
      </c>
      <c r="AT636" s="17">
        <f>TableCosts[[#This Row],[N_Amount]]*TableCosts[[#This Row],[N_Tariff]]*TableCosts[[#This Row],[N_ItemsCount]]</f>
        <v>0</v>
      </c>
      <c r="AU636" s="17">
        <f>IF(F636=1,IF(TableCosts[[#This Row],[N_Kateg]]="interné práce",TableCosts[[#This Row],[N_Amount]]*8*PAR_SGA_PERHOUR,0),0)</f>
        <v>0</v>
      </c>
      <c r="AV636" s="17">
        <f>SUM(TableCosts[[#This Row],[N_Direct]:[N_SGA]])</f>
        <v>0</v>
      </c>
      <c r="AW636" s="7">
        <f>IF(F636=1,IF(D636="",NA(),VLOOKUP(C636&amp;TableCosts[[#This Row],[Calc_N_Typ]],TRAN_STRITEMS_LABEL,7,0)),0)</f>
        <v>0</v>
      </c>
      <c r="AX636" s="7">
        <f t="shared" si="117"/>
        <v>0</v>
      </c>
      <c r="AY636" s="57" t="str">
        <f t="shared" si="118"/>
        <v/>
      </c>
      <c r="AZ636" s="57" t="str">
        <f t="shared" si="119"/>
        <v/>
      </c>
      <c r="BA636" s="57" t="str">
        <f>IF(F636=1,IF(TableCosts[[#This Row],[TransferFrom]]=TableCosts[[#This Row],[TranferTo]],0,1),"")</f>
        <v/>
      </c>
      <c r="BB636" s="7">
        <f t="shared" si="120"/>
        <v>0</v>
      </c>
      <c r="BC636" s="7">
        <f t="shared" si="121"/>
        <v>0</v>
      </c>
    </row>
    <row r="637" spans="2:55" s="7" customFormat="1" ht="12.75" x14ac:dyDescent="0.2">
      <c r="B637" s="33"/>
      <c r="C637" s="31"/>
      <c r="D637" s="40"/>
      <c r="E637" s="6" t="str">
        <f>IF(F637=1,IF(ISERROR(TableCosts[[#This Row],[N_Tariff]]),Err_Message1,IF(TableCosts[[#This Row],[N_Tariff]]=0,Err_Message2,VLOOKUP(C637&amp;TableCosts[[#This Row],[Calc_N_Typ]],TRAN_STRITEMS_LABEL,5,FALSE))),"")</f>
        <v/>
      </c>
      <c r="F637" s="6">
        <f t="shared" si="122"/>
        <v>0</v>
      </c>
      <c r="G637" s="6" t="str">
        <f>IF(F637=1,IFERROR(VLOOKUP(E637,Tab_ErrMessage[],2,0),VLOOKUP(C637&amp;TableCosts[[#This Row],[Calc_N_Typ]],TRAN_STRITEMS_LABEL,4,FALSE)),"")</f>
        <v/>
      </c>
      <c r="H637" s="40"/>
      <c r="I637" s="40"/>
      <c r="J637" s="35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  <c r="AD637" s="24"/>
      <c r="AE637" s="24"/>
      <c r="AF637" s="24"/>
      <c r="AG637" s="24"/>
      <c r="AH637" s="24"/>
      <c r="AI637" s="24"/>
      <c r="AJ637" s="24"/>
      <c r="AK637" s="38">
        <f t="array" ref="AK637">IF(F637=1,SUM((ROW(M0)=ROW(AK637))*(M0+M1_+M2_+M3_+M4_+M5_+M6_+M7_+M8_+M9_+M10_+M11_+M12_+M13_+M14_+M15_+M16_+M17_+M18_+M19_+M20_+M21_+M22_+M23_+M24_+M25_)),0)</f>
        <v>0</v>
      </c>
      <c r="AL637" s="27">
        <f>TableCosts[[#This Row],[N_Direct]]</f>
        <v>0</v>
      </c>
      <c r="AN637" s="7" t="str">
        <f t="shared" si="123"/>
        <v/>
      </c>
      <c r="AO637" s="7" t="str">
        <f t="shared" si="114"/>
        <v/>
      </c>
      <c r="AP637" s="7" t="str">
        <f t="shared" si="124"/>
        <v/>
      </c>
      <c r="AQ637" s="7" t="str">
        <f t="shared" si="115"/>
        <v/>
      </c>
      <c r="AR637" s="7" t="str">
        <f t="shared" si="125"/>
        <v/>
      </c>
      <c r="AS637" s="7">
        <f t="shared" si="116"/>
        <v>0</v>
      </c>
      <c r="AT637" s="17">
        <f>TableCosts[[#This Row],[N_Amount]]*TableCosts[[#This Row],[N_Tariff]]*TableCosts[[#This Row],[N_ItemsCount]]</f>
        <v>0</v>
      </c>
      <c r="AU637" s="17">
        <f>IF(F637=1,IF(TableCosts[[#This Row],[N_Kateg]]="interné práce",TableCosts[[#This Row],[N_Amount]]*8*PAR_SGA_PERHOUR,0),0)</f>
        <v>0</v>
      </c>
      <c r="AV637" s="17">
        <f>SUM(TableCosts[[#This Row],[N_Direct]:[N_SGA]])</f>
        <v>0</v>
      </c>
      <c r="AW637" s="7">
        <f>IF(F637=1,IF(D637="",NA(),VLOOKUP(C637&amp;TableCosts[[#This Row],[Calc_N_Typ]],TRAN_STRITEMS_LABEL,7,0)),0)</f>
        <v>0</v>
      </c>
      <c r="AX637" s="7">
        <f t="shared" si="117"/>
        <v>0</v>
      </c>
      <c r="AY637" s="57" t="str">
        <f t="shared" si="118"/>
        <v/>
      </c>
      <c r="AZ637" s="57" t="str">
        <f t="shared" si="119"/>
        <v/>
      </c>
      <c r="BA637" s="57" t="str">
        <f>IF(F637=1,IF(TableCosts[[#This Row],[TransferFrom]]=TableCosts[[#This Row],[TranferTo]],0,1),"")</f>
        <v/>
      </c>
      <c r="BB637" s="7">
        <f t="shared" si="120"/>
        <v>0</v>
      </c>
      <c r="BC637" s="7">
        <f t="shared" si="121"/>
        <v>0</v>
      </c>
    </row>
    <row r="638" spans="2:55" s="7" customFormat="1" ht="12.75" x14ac:dyDescent="0.2">
      <c r="B638" s="33"/>
      <c r="C638" s="31"/>
      <c r="D638" s="40"/>
      <c r="E638" s="6" t="str">
        <f>IF(F638=1,IF(ISERROR(TableCosts[[#This Row],[N_Tariff]]),Err_Message1,IF(TableCosts[[#This Row],[N_Tariff]]=0,Err_Message2,VLOOKUP(C638&amp;TableCosts[[#This Row],[Calc_N_Typ]],TRAN_STRITEMS_LABEL,5,FALSE))),"")</f>
        <v/>
      </c>
      <c r="F638" s="6">
        <f t="shared" si="122"/>
        <v>0</v>
      </c>
      <c r="G638" s="6" t="str">
        <f>IF(F638=1,IFERROR(VLOOKUP(E638,Tab_ErrMessage[],2,0),VLOOKUP(C638&amp;TableCosts[[#This Row],[Calc_N_Typ]],TRAN_STRITEMS_LABEL,4,FALSE)),"")</f>
        <v/>
      </c>
      <c r="H638" s="40"/>
      <c r="I638" s="40"/>
      <c r="J638" s="35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  <c r="AD638" s="24"/>
      <c r="AE638" s="24"/>
      <c r="AF638" s="24"/>
      <c r="AG638" s="24"/>
      <c r="AH638" s="24"/>
      <c r="AI638" s="24"/>
      <c r="AJ638" s="24"/>
      <c r="AK638" s="38">
        <f t="array" ref="AK638">IF(F638=1,SUM((ROW(M0)=ROW(AK638))*(M0+M1_+M2_+M3_+M4_+M5_+M6_+M7_+M8_+M9_+M10_+M11_+M12_+M13_+M14_+M15_+M16_+M17_+M18_+M19_+M20_+M21_+M22_+M23_+M24_+M25_)),0)</f>
        <v>0</v>
      </c>
      <c r="AL638" s="27">
        <f>TableCosts[[#This Row],[N_Direct]]</f>
        <v>0</v>
      </c>
      <c r="AN638" s="7" t="str">
        <f t="shared" si="123"/>
        <v/>
      </c>
      <c r="AO638" s="7" t="str">
        <f t="shared" si="114"/>
        <v/>
      </c>
      <c r="AP638" s="7" t="str">
        <f t="shared" si="124"/>
        <v/>
      </c>
      <c r="AQ638" s="7" t="str">
        <f t="shared" si="115"/>
        <v/>
      </c>
      <c r="AR638" s="7" t="str">
        <f t="shared" si="125"/>
        <v/>
      </c>
      <c r="AS638" s="7">
        <f t="shared" si="116"/>
        <v>0</v>
      </c>
      <c r="AT638" s="17">
        <f>TableCosts[[#This Row],[N_Amount]]*TableCosts[[#This Row],[N_Tariff]]*TableCosts[[#This Row],[N_ItemsCount]]</f>
        <v>0</v>
      </c>
      <c r="AU638" s="17">
        <f>IF(F638=1,IF(TableCosts[[#This Row],[N_Kateg]]="interné práce",TableCosts[[#This Row],[N_Amount]]*8*PAR_SGA_PERHOUR,0),0)</f>
        <v>0</v>
      </c>
      <c r="AV638" s="17">
        <f>SUM(TableCosts[[#This Row],[N_Direct]:[N_SGA]])</f>
        <v>0</v>
      </c>
      <c r="AW638" s="7">
        <f>IF(F638=1,IF(D638="",NA(),VLOOKUP(C638&amp;TableCosts[[#This Row],[Calc_N_Typ]],TRAN_STRITEMS_LABEL,7,0)),0)</f>
        <v>0</v>
      </c>
      <c r="AX638" s="7">
        <f t="shared" si="117"/>
        <v>0</v>
      </c>
      <c r="AY638" s="57" t="str">
        <f t="shared" si="118"/>
        <v/>
      </c>
      <c r="AZ638" s="57" t="str">
        <f t="shared" si="119"/>
        <v/>
      </c>
      <c r="BA638" s="57" t="str">
        <f>IF(F638=1,IF(TableCosts[[#This Row],[TransferFrom]]=TableCosts[[#This Row],[TranferTo]],0,1),"")</f>
        <v/>
      </c>
      <c r="BB638" s="7">
        <f t="shared" si="120"/>
        <v>0</v>
      </c>
      <c r="BC638" s="7">
        <f t="shared" si="121"/>
        <v>0</v>
      </c>
    </row>
    <row r="639" spans="2:55" s="7" customFormat="1" ht="12.75" x14ac:dyDescent="0.2">
      <c r="B639" s="33"/>
      <c r="C639" s="31"/>
      <c r="D639" s="40"/>
      <c r="E639" s="6" t="str">
        <f>IF(F639=1,IF(ISERROR(TableCosts[[#This Row],[N_Tariff]]),Err_Message1,IF(TableCosts[[#This Row],[N_Tariff]]=0,Err_Message2,VLOOKUP(C639&amp;TableCosts[[#This Row],[Calc_N_Typ]],TRAN_STRITEMS_LABEL,5,FALSE))),"")</f>
        <v/>
      </c>
      <c r="F639" s="6">
        <f t="shared" si="122"/>
        <v>0</v>
      </c>
      <c r="G639" s="6" t="str">
        <f>IF(F639=1,IFERROR(VLOOKUP(E639,Tab_ErrMessage[],2,0),VLOOKUP(C639&amp;TableCosts[[#This Row],[Calc_N_Typ]],TRAN_STRITEMS_LABEL,4,FALSE)),"")</f>
        <v/>
      </c>
      <c r="H639" s="40"/>
      <c r="I639" s="40"/>
      <c r="J639" s="35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  <c r="AD639" s="24"/>
      <c r="AE639" s="24"/>
      <c r="AF639" s="24"/>
      <c r="AG639" s="24"/>
      <c r="AH639" s="24"/>
      <c r="AI639" s="24"/>
      <c r="AJ639" s="24"/>
      <c r="AK639" s="38">
        <f t="array" ref="AK639">IF(F639=1,SUM((ROW(M0)=ROW(AK639))*(M0+M1_+M2_+M3_+M4_+M5_+M6_+M7_+M8_+M9_+M10_+M11_+M12_+M13_+M14_+M15_+M16_+M17_+M18_+M19_+M20_+M21_+M22_+M23_+M24_+M25_)),0)</f>
        <v>0</v>
      </c>
      <c r="AL639" s="27">
        <f>TableCosts[[#This Row],[N_Direct]]</f>
        <v>0</v>
      </c>
      <c r="AN639" s="7" t="str">
        <f t="shared" si="123"/>
        <v/>
      </c>
      <c r="AO639" s="7" t="str">
        <f t="shared" si="114"/>
        <v/>
      </c>
      <c r="AP639" s="7" t="str">
        <f t="shared" si="124"/>
        <v/>
      </c>
      <c r="AQ639" s="7" t="str">
        <f t="shared" si="115"/>
        <v/>
      </c>
      <c r="AR639" s="7" t="str">
        <f t="shared" si="125"/>
        <v/>
      </c>
      <c r="AS639" s="7">
        <f t="shared" si="116"/>
        <v>0</v>
      </c>
      <c r="AT639" s="17">
        <f>TableCosts[[#This Row],[N_Amount]]*TableCosts[[#This Row],[N_Tariff]]*TableCosts[[#This Row],[N_ItemsCount]]</f>
        <v>0</v>
      </c>
      <c r="AU639" s="17">
        <f>IF(F639=1,IF(TableCosts[[#This Row],[N_Kateg]]="interné práce",TableCosts[[#This Row],[N_Amount]]*8*PAR_SGA_PERHOUR,0),0)</f>
        <v>0</v>
      </c>
      <c r="AV639" s="17">
        <f>SUM(TableCosts[[#This Row],[N_Direct]:[N_SGA]])</f>
        <v>0</v>
      </c>
      <c r="AW639" s="7">
        <f>IF(F639=1,IF(D639="",NA(),VLOOKUP(C639&amp;TableCosts[[#This Row],[Calc_N_Typ]],TRAN_STRITEMS_LABEL,7,0)),0)</f>
        <v>0</v>
      </c>
      <c r="AX639" s="7">
        <f t="shared" si="117"/>
        <v>0</v>
      </c>
      <c r="AY639" s="57" t="str">
        <f t="shared" si="118"/>
        <v/>
      </c>
      <c r="AZ639" s="57" t="str">
        <f t="shared" si="119"/>
        <v/>
      </c>
      <c r="BA639" s="57" t="str">
        <f>IF(F639=1,IF(TableCosts[[#This Row],[TransferFrom]]=TableCosts[[#This Row],[TranferTo]],0,1),"")</f>
        <v/>
      </c>
      <c r="BB639" s="7">
        <f t="shared" si="120"/>
        <v>0</v>
      </c>
      <c r="BC639" s="7">
        <f t="shared" si="121"/>
        <v>0</v>
      </c>
    </row>
    <row r="640" spans="2:55" s="7" customFormat="1" ht="12.75" x14ac:dyDescent="0.2">
      <c r="B640" s="33"/>
      <c r="C640" s="31"/>
      <c r="D640" s="40"/>
      <c r="E640" s="6" t="str">
        <f>IF(F640=1,IF(ISERROR(TableCosts[[#This Row],[N_Tariff]]),Err_Message1,IF(TableCosts[[#This Row],[N_Tariff]]=0,Err_Message2,VLOOKUP(C640&amp;TableCosts[[#This Row],[Calc_N_Typ]],TRAN_STRITEMS_LABEL,5,FALSE))),"")</f>
        <v/>
      </c>
      <c r="F640" s="6">
        <f t="shared" si="122"/>
        <v>0</v>
      </c>
      <c r="G640" s="6" t="str">
        <f>IF(F640=1,IFERROR(VLOOKUP(E640,Tab_ErrMessage[],2,0),VLOOKUP(C640&amp;TableCosts[[#This Row],[Calc_N_Typ]],TRAN_STRITEMS_LABEL,4,FALSE)),"")</f>
        <v/>
      </c>
      <c r="H640" s="40"/>
      <c r="I640" s="40"/>
      <c r="J640" s="35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  <c r="AD640" s="24"/>
      <c r="AE640" s="24"/>
      <c r="AF640" s="24"/>
      <c r="AG640" s="24"/>
      <c r="AH640" s="24"/>
      <c r="AI640" s="24"/>
      <c r="AJ640" s="24"/>
      <c r="AK640" s="38">
        <f t="array" ref="AK640">IF(F640=1,SUM((ROW(M0)=ROW(AK640))*(M0+M1_+M2_+M3_+M4_+M5_+M6_+M7_+M8_+M9_+M10_+M11_+M12_+M13_+M14_+M15_+M16_+M17_+M18_+M19_+M20_+M21_+M22_+M23_+M24_+M25_)),0)</f>
        <v>0</v>
      </c>
      <c r="AL640" s="27">
        <f>TableCosts[[#This Row],[N_Direct]]</f>
        <v>0</v>
      </c>
      <c r="AN640" s="7" t="str">
        <f t="shared" si="123"/>
        <v/>
      </c>
      <c r="AO640" s="7" t="str">
        <f t="shared" si="114"/>
        <v/>
      </c>
      <c r="AP640" s="7" t="str">
        <f t="shared" si="124"/>
        <v/>
      </c>
      <c r="AQ640" s="7" t="str">
        <f t="shared" si="115"/>
        <v/>
      </c>
      <c r="AR640" s="7" t="str">
        <f t="shared" si="125"/>
        <v/>
      </c>
      <c r="AS640" s="7">
        <f t="shared" si="116"/>
        <v>0</v>
      </c>
      <c r="AT640" s="17">
        <f>TableCosts[[#This Row],[N_Amount]]*TableCosts[[#This Row],[N_Tariff]]*TableCosts[[#This Row],[N_ItemsCount]]</f>
        <v>0</v>
      </c>
      <c r="AU640" s="17">
        <f>IF(F640=1,IF(TableCosts[[#This Row],[N_Kateg]]="interné práce",TableCosts[[#This Row],[N_Amount]]*8*PAR_SGA_PERHOUR,0),0)</f>
        <v>0</v>
      </c>
      <c r="AV640" s="17">
        <f>SUM(TableCosts[[#This Row],[N_Direct]:[N_SGA]])</f>
        <v>0</v>
      </c>
      <c r="AW640" s="7">
        <f>IF(F640=1,IF(D640="",NA(),VLOOKUP(C640&amp;TableCosts[[#This Row],[Calc_N_Typ]],TRAN_STRITEMS_LABEL,7,0)),0)</f>
        <v>0</v>
      </c>
      <c r="AX640" s="7">
        <f t="shared" si="117"/>
        <v>0</v>
      </c>
      <c r="AY640" s="57" t="str">
        <f t="shared" si="118"/>
        <v/>
      </c>
      <c r="AZ640" s="57" t="str">
        <f t="shared" si="119"/>
        <v/>
      </c>
      <c r="BA640" s="57" t="str">
        <f>IF(F640=1,IF(TableCosts[[#This Row],[TransferFrom]]=TableCosts[[#This Row],[TranferTo]],0,1),"")</f>
        <v/>
      </c>
      <c r="BB640" s="7">
        <f t="shared" si="120"/>
        <v>0</v>
      </c>
      <c r="BC640" s="7">
        <f t="shared" si="121"/>
        <v>0</v>
      </c>
    </row>
    <row r="641" spans="2:55" s="7" customFormat="1" ht="12.75" x14ac:dyDescent="0.2">
      <c r="B641" s="33"/>
      <c r="C641" s="31"/>
      <c r="D641" s="40"/>
      <c r="E641" s="6" t="str">
        <f>IF(F641=1,IF(ISERROR(TableCosts[[#This Row],[N_Tariff]]),Err_Message1,IF(TableCosts[[#This Row],[N_Tariff]]=0,Err_Message2,VLOOKUP(C641&amp;TableCosts[[#This Row],[Calc_N_Typ]],TRAN_STRITEMS_LABEL,5,FALSE))),"")</f>
        <v/>
      </c>
      <c r="F641" s="6">
        <f t="shared" si="122"/>
        <v>0</v>
      </c>
      <c r="G641" s="6" t="str">
        <f>IF(F641=1,IFERROR(VLOOKUP(E641,Tab_ErrMessage[],2,0),VLOOKUP(C641&amp;TableCosts[[#This Row],[Calc_N_Typ]],TRAN_STRITEMS_LABEL,4,FALSE)),"")</f>
        <v/>
      </c>
      <c r="H641" s="40"/>
      <c r="I641" s="40"/>
      <c r="J641" s="35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  <c r="AD641" s="24"/>
      <c r="AE641" s="24"/>
      <c r="AF641" s="24"/>
      <c r="AG641" s="24"/>
      <c r="AH641" s="24"/>
      <c r="AI641" s="24"/>
      <c r="AJ641" s="24"/>
      <c r="AK641" s="38">
        <f t="array" ref="AK641">IF(F641=1,SUM((ROW(M0)=ROW(AK641))*(M0+M1_+M2_+M3_+M4_+M5_+M6_+M7_+M8_+M9_+M10_+M11_+M12_+M13_+M14_+M15_+M16_+M17_+M18_+M19_+M20_+M21_+M22_+M23_+M24_+M25_)),0)</f>
        <v>0</v>
      </c>
      <c r="AL641" s="27">
        <f>TableCosts[[#This Row],[N_Direct]]</f>
        <v>0</v>
      </c>
      <c r="AN641" s="7" t="str">
        <f t="shared" si="123"/>
        <v/>
      </c>
      <c r="AO641" s="7" t="str">
        <f t="shared" si="114"/>
        <v/>
      </c>
      <c r="AP641" s="7" t="str">
        <f t="shared" si="124"/>
        <v/>
      </c>
      <c r="AQ641" s="7" t="str">
        <f t="shared" si="115"/>
        <v/>
      </c>
      <c r="AR641" s="7" t="str">
        <f t="shared" si="125"/>
        <v/>
      </c>
      <c r="AS641" s="7">
        <f t="shared" si="116"/>
        <v>0</v>
      </c>
      <c r="AT641" s="17">
        <f>TableCosts[[#This Row],[N_Amount]]*TableCosts[[#This Row],[N_Tariff]]*TableCosts[[#This Row],[N_ItemsCount]]</f>
        <v>0</v>
      </c>
      <c r="AU641" s="17">
        <f>IF(F641=1,IF(TableCosts[[#This Row],[N_Kateg]]="interné práce",TableCosts[[#This Row],[N_Amount]]*8*PAR_SGA_PERHOUR,0),0)</f>
        <v>0</v>
      </c>
      <c r="AV641" s="17">
        <f>SUM(TableCosts[[#This Row],[N_Direct]:[N_SGA]])</f>
        <v>0</v>
      </c>
      <c r="AW641" s="7">
        <f>IF(F641=1,IF(D641="",NA(),VLOOKUP(C641&amp;TableCosts[[#This Row],[Calc_N_Typ]],TRAN_STRITEMS_LABEL,7,0)),0)</f>
        <v>0</v>
      </c>
      <c r="AX641" s="7">
        <f t="shared" si="117"/>
        <v>0</v>
      </c>
      <c r="AY641" s="57" t="str">
        <f t="shared" si="118"/>
        <v/>
      </c>
      <c r="AZ641" s="57" t="str">
        <f t="shared" si="119"/>
        <v/>
      </c>
      <c r="BA641" s="57" t="str">
        <f>IF(F641=1,IF(TableCosts[[#This Row],[TransferFrom]]=TableCosts[[#This Row],[TranferTo]],0,1),"")</f>
        <v/>
      </c>
      <c r="BB641" s="7">
        <f t="shared" si="120"/>
        <v>0</v>
      </c>
      <c r="BC641" s="7">
        <f t="shared" si="121"/>
        <v>0</v>
      </c>
    </row>
    <row r="642" spans="2:55" s="7" customFormat="1" ht="12.75" x14ac:dyDescent="0.2">
      <c r="B642" s="33"/>
      <c r="C642" s="31"/>
      <c r="D642" s="40"/>
      <c r="E642" s="6" t="str">
        <f>IF(F642=1,IF(ISERROR(TableCosts[[#This Row],[N_Tariff]]),Err_Message1,IF(TableCosts[[#This Row],[N_Tariff]]=0,Err_Message2,VLOOKUP(C642&amp;TableCosts[[#This Row],[Calc_N_Typ]],TRAN_STRITEMS_LABEL,5,FALSE))),"")</f>
        <v/>
      </c>
      <c r="F642" s="6">
        <f t="shared" si="122"/>
        <v>0</v>
      </c>
      <c r="G642" s="6" t="str">
        <f>IF(F642=1,IFERROR(VLOOKUP(E642,Tab_ErrMessage[],2,0),VLOOKUP(C642&amp;TableCosts[[#This Row],[Calc_N_Typ]],TRAN_STRITEMS_LABEL,4,FALSE)),"")</f>
        <v/>
      </c>
      <c r="H642" s="40"/>
      <c r="I642" s="40"/>
      <c r="J642" s="35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  <c r="AD642" s="24"/>
      <c r="AE642" s="24"/>
      <c r="AF642" s="24"/>
      <c r="AG642" s="24"/>
      <c r="AH642" s="24"/>
      <c r="AI642" s="24"/>
      <c r="AJ642" s="24"/>
      <c r="AK642" s="38">
        <f t="array" ref="AK642">IF(F642=1,SUM((ROW(M0)=ROW(AK642))*(M0+M1_+M2_+M3_+M4_+M5_+M6_+M7_+M8_+M9_+M10_+M11_+M12_+M13_+M14_+M15_+M16_+M17_+M18_+M19_+M20_+M21_+M22_+M23_+M24_+M25_)),0)</f>
        <v>0</v>
      </c>
      <c r="AL642" s="27">
        <f>TableCosts[[#This Row],[N_Direct]]</f>
        <v>0</v>
      </c>
      <c r="AN642" s="7" t="str">
        <f t="shared" si="123"/>
        <v/>
      </c>
      <c r="AO642" s="7" t="str">
        <f t="shared" si="114"/>
        <v/>
      </c>
      <c r="AP642" s="7" t="str">
        <f t="shared" si="124"/>
        <v/>
      </c>
      <c r="AQ642" s="7" t="str">
        <f t="shared" si="115"/>
        <v/>
      </c>
      <c r="AR642" s="7" t="str">
        <f t="shared" si="125"/>
        <v/>
      </c>
      <c r="AS642" s="7">
        <f t="shared" si="116"/>
        <v>0</v>
      </c>
      <c r="AT642" s="17">
        <f>TableCosts[[#This Row],[N_Amount]]*TableCosts[[#This Row],[N_Tariff]]*TableCosts[[#This Row],[N_ItemsCount]]</f>
        <v>0</v>
      </c>
      <c r="AU642" s="17">
        <f>IF(F642=1,IF(TableCosts[[#This Row],[N_Kateg]]="interné práce",TableCosts[[#This Row],[N_Amount]]*8*PAR_SGA_PERHOUR,0),0)</f>
        <v>0</v>
      </c>
      <c r="AV642" s="17">
        <f>SUM(TableCosts[[#This Row],[N_Direct]:[N_SGA]])</f>
        <v>0</v>
      </c>
      <c r="AW642" s="7">
        <f>IF(F642=1,IF(D642="",NA(),VLOOKUP(C642&amp;TableCosts[[#This Row],[Calc_N_Typ]],TRAN_STRITEMS_LABEL,7,0)),0)</f>
        <v>0</v>
      </c>
      <c r="AX642" s="7">
        <f t="shared" si="117"/>
        <v>0</v>
      </c>
      <c r="AY642" s="57" t="str">
        <f t="shared" si="118"/>
        <v/>
      </c>
      <c r="AZ642" s="57" t="str">
        <f t="shared" si="119"/>
        <v/>
      </c>
      <c r="BA642" s="57" t="str">
        <f>IF(F642=1,IF(TableCosts[[#This Row],[TransferFrom]]=TableCosts[[#This Row],[TranferTo]],0,1),"")</f>
        <v/>
      </c>
      <c r="BB642" s="7">
        <f t="shared" si="120"/>
        <v>0</v>
      </c>
      <c r="BC642" s="7">
        <f t="shared" si="121"/>
        <v>0</v>
      </c>
    </row>
    <row r="643" spans="2:55" s="7" customFormat="1" ht="12.75" x14ac:dyDescent="0.2">
      <c r="B643" s="33"/>
      <c r="C643" s="31"/>
      <c r="D643" s="40"/>
      <c r="E643" s="6" t="str">
        <f>IF(F643=1,IF(ISERROR(TableCosts[[#This Row],[N_Tariff]]),Err_Message1,IF(TableCosts[[#This Row],[N_Tariff]]=0,Err_Message2,VLOOKUP(C643&amp;TableCosts[[#This Row],[Calc_N_Typ]],TRAN_STRITEMS_LABEL,5,FALSE))),"")</f>
        <v/>
      </c>
      <c r="F643" s="6">
        <f t="shared" si="122"/>
        <v>0</v>
      </c>
      <c r="G643" s="6" t="str">
        <f>IF(F643=1,IFERROR(VLOOKUP(E643,Tab_ErrMessage[],2,0),VLOOKUP(C643&amp;TableCosts[[#This Row],[Calc_N_Typ]],TRAN_STRITEMS_LABEL,4,FALSE)),"")</f>
        <v/>
      </c>
      <c r="H643" s="40"/>
      <c r="I643" s="40"/>
      <c r="J643" s="35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  <c r="AD643" s="24"/>
      <c r="AE643" s="24"/>
      <c r="AF643" s="24"/>
      <c r="AG643" s="24"/>
      <c r="AH643" s="24"/>
      <c r="AI643" s="24"/>
      <c r="AJ643" s="24"/>
      <c r="AK643" s="38">
        <f t="array" ref="AK643">IF(F643=1,SUM((ROW(M0)=ROW(AK643))*(M0+M1_+M2_+M3_+M4_+M5_+M6_+M7_+M8_+M9_+M10_+M11_+M12_+M13_+M14_+M15_+M16_+M17_+M18_+M19_+M20_+M21_+M22_+M23_+M24_+M25_)),0)</f>
        <v>0</v>
      </c>
      <c r="AL643" s="27">
        <f>TableCosts[[#This Row],[N_Direct]]</f>
        <v>0</v>
      </c>
      <c r="AN643" s="7" t="str">
        <f t="shared" si="123"/>
        <v/>
      </c>
      <c r="AO643" s="7" t="str">
        <f t="shared" si="114"/>
        <v/>
      </c>
      <c r="AP643" s="7" t="str">
        <f t="shared" si="124"/>
        <v/>
      </c>
      <c r="AQ643" s="7" t="str">
        <f t="shared" si="115"/>
        <v/>
      </c>
      <c r="AR643" s="7" t="str">
        <f t="shared" si="125"/>
        <v/>
      </c>
      <c r="AS643" s="7">
        <f t="shared" si="116"/>
        <v>0</v>
      </c>
      <c r="AT643" s="17">
        <f>TableCosts[[#This Row],[N_Amount]]*TableCosts[[#This Row],[N_Tariff]]*TableCosts[[#This Row],[N_ItemsCount]]</f>
        <v>0</v>
      </c>
      <c r="AU643" s="17">
        <f>IF(F643=1,IF(TableCosts[[#This Row],[N_Kateg]]="interné práce",TableCosts[[#This Row],[N_Amount]]*8*PAR_SGA_PERHOUR,0),0)</f>
        <v>0</v>
      </c>
      <c r="AV643" s="17">
        <f>SUM(TableCosts[[#This Row],[N_Direct]:[N_SGA]])</f>
        <v>0</v>
      </c>
      <c r="AW643" s="7">
        <f>IF(F643=1,IF(D643="",NA(),VLOOKUP(C643&amp;TableCosts[[#This Row],[Calc_N_Typ]],TRAN_STRITEMS_LABEL,7,0)),0)</f>
        <v>0</v>
      </c>
      <c r="AX643" s="7">
        <f t="shared" si="117"/>
        <v>0</v>
      </c>
      <c r="AY643" s="57" t="str">
        <f t="shared" si="118"/>
        <v/>
      </c>
      <c r="AZ643" s="57" t="str">
        <f t="shared" si="119"/>
        <v/>
      </c>
      <c r="BA643" s="57" t="str">
        <f>IF(F643=1,IF(TableCosts[[#This Row],[TransferFrom]]=TableCosts[[#This Row],[TranferTo]],0,1),"")</f>
        <v/>
      </c>
      <c r="BB643" s="7">
        <f t="shared" si="120"/>
        <v>0</v>
      </c>
      <c r="BC643" s="7">
        <f t="shared" si="121"/>
        <v>0</v>
      </c>
    </row>
    <row r="644" spans="2:55" s="7" customFormat="1" ht="12.75" x14ac:dyDescent="0.2">
      <c r="B644" s="33"/>
      <c r="C644" s="31"/>
      <c r="D644" s="40"/>
      <c r="E644" s="6" t="str">
        <f>IF(F644=1,IF(ISERROR(TableCosts[[#This Row],[N_Tariff]]),Err_Message1,IF(TableCosts[[#This Row],[N_Tariff]]=0,Err_Message2,VLOOKUP(C644&amp;TableCosts[[#This Row],[Calc_N_Typ]],TRAN_STRITEMS_LABEL,5,FALSE))),"")</f>
        <v/>
      </c>
      <c r="F644" s="6">
        <f t="shared" si="122"/>
        <v>0</v>
      </c>
      <c r="G644" s="6" t="str">
        <f>IF(F644=1,IFERROR(VLOOKUP(E644,Tab_ErrMessage[],2,0),VLOOKUP(C644&amp;TableCosts[[#This Row],[Calc_N_Typ]],TRAN_STRITEMS_LABEL,4,FALSE)),"")</f>
        <v/>
      </c>
      <c r="H644" s="40"/>
      <c r="I644" s="40"/>
      <c r="J644" s="35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  <c r="AD644" s="24"/>
      <c r="AE644" s="24"/>
      <c r="AF644" s="24"/>
      <c r="AG644" s="24"/>
      <c r="AH644" s="24"/>
      <c r="AI644" s="24"/>
      <c r="AJ644" s="24"/>
      <c r="AK644" s="38">
        <f t="array" ref="AK644">IF(F644=1,SUM((ROW(M0)=ROW(AK644))*(M0+M1_+M2_+M3_+M4_+M5_+M6_+M7_+M8_+M9_+M10_+M11_+M12_+M13_+M14_+M15_+M16_+M17_+M18_+M19_+M20_+M21_+M22_+M23_+M24_+M25_)),0)</f>
        <v>0</v>
      </c>
      <c r="AL644" s="27">
        <f>TableCosts[[#This Row],[N_Direct]]</f>
        <v>0</v>
      </c>
      <c r="AN644" s="7" t="str">
        <f t="shared" si="123"/>
        <v/>
      </c>
      <c r="AO644" s="7" t="str">
        <f t="shared" si="114"/>
        <v/>
      </c>
      <c r="AP644" s="7" t="str">
        <f t="shared" si="124"/>
        <v/>
      </c>
      <c r="AQ644" s="7" t="str">
        <f t="shared" si="115"/>
        <v/>
      </c>
      <c r="AR644" s="7" t="str">
        <f t="shared" si="125"/>
        <v/>
      </c>
      <c r="AS644" s="7">
        <f t="shared" si="116"/>
        <v>0</v>
      </c>
      <c r="AT644" s="17">
        <f>TableCosts[[#This Row],[N_Amount]]*TableCosts[[#This Row],[N_Tariff]]*TableCosts[[#This Row],[N_ItemsCount]]</f>
        <v>0</v>
      </c>
      <c r="AU644" s="17">
        <f>IF(F644=1,IF(TableCosts[[#This Row],[N_Kateg]]="interné práce",TableCosts[[#This Row],[N_Amount]]*8*PAR_SGA_PERHOUR,0),0)</f>
        <v>0</v>
      </c>
      <c r="AV644" s="17">
        <f>SUM(TableCosts[[#This Row],[N_Direct]:[N_SGA]])</f>
        <v>0</v>
      </c>
      <c r="AW644" s="7">
        <f>IF(F644=1,IF(D644="",NA(),VLOOKUP(C644&amp;TableCosts[[#This Row],[Calc_N_Typ]],TRAN_STRITEMS_LABEL,7,0)),0)</f>
        <v>0</v>
      </c>
      <c r="AX644" s="7">
        <f t="shared" si="117"/>
        <v>0</v>
      </c>
      <c r="AY644" s="57" t="str">
        <f t="shared" si="118"/>
        <v/>
      </c>
      <c r="AZ644" s="57" t="str">
        <f t="shared" si="119"/>
        <v/>
      </c>
      <c r="BA644" s="57" t="str">
        <f>IF(F644=1,IF(TableCosts[[#This Row],[TransferFrom]]=TableCosts[[#This Row],[TranferTo]],0,1),"")</f>
        <v/>
      </c>
      <c r="BB644" s="7">
        <f t="shared" si="120"/>
        <v>0</v>
      </c>
      <c r="BC644" s="7">
        <f t="shared" si="121"/>
        <v>0</v>
      </c>
    </row>
    <row r="645" spans="2:55" s="7" customFormat="1" ht="12.75" x14ac:dyDescent="0.2">
      <c r="B645" s="33"/>
      <c r="C645" s="31"/>
      <c r="D645" s="40"/>
      <c r="E645" s="6" t="str">
        <f>IF(F645=1,IF(ISERROR(TableCosts[[#This Row],[N_Tariff]]),Err_Message1,IF(TableCosts[[#This Row],[N_Tariff]]=0,Err_Message2,VLOOKUP(C645&amp;TableCosts[[#This Row],[Calc_N_Typ]],TRAN_STRITEMS_LABEL,5,FALSE))),"")</f>
        <v/>
      </c>
      <c r="F645" s="6">
        <f t="shared" si="122"/>
        <v>0</v>
      </c>
      <c r="G645" s="6" t="str">
        <f>IF(F645=1,IFERROR(VLOOKUP(E645,Tab_ErrMessage[],2,0),VLOOKUP(C645&amp;TableCosts[[#This Row],[Calc_N_Typ]],TRAN_STRITEMS_LABEL,4,FALSE)),"")</f>
        <v/>
      </c>
      <c r="H645" s="40"/>
      <c r="I645" s="40"/>
      <c r="J645" s="35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  <c r="AD645" s="24"/>
      <c r="AE645" s="24"/>
      <c r="AF645" s="24"/>
      <c r="AG645" s="24"/>
      <c r="AH645" s="24"/>
      <c r="AI645" s="24"/>
      <c r="AJ645" s="24"/>
      <c r="AK645" s="38">
        <f t="array" ref="AK645">IF(F645=1,SUM((ROW(M0)=ROW(AK645))*(M0+M1_+M2_+M3_+M4_+M5_+M6_+M7_+M8_+M9_+M10_+M11_+M12_+M13_+M14_+M15_+M16_+M17_+M18_+M19_+M20_+M21_+M22_+M23_+M24_+M25_)),0)</f>
        <v>0</v>
      </c>
      <c r="AL645" s="27">
        <f>TableCosts[[#This Row],[N_Direct]]</f>
        <v>0</v>
      </c>
      <c r="AN645" s="7" t="str">
        <f t="shared" si="123"/>
        <v/>
      </c>
      <c r="AO645" s="7" t="str">
        <f t="shared" si="114"/>
        <v/>
      </c>
      <c r="AP645" s="7" t="str">
        <f t="shared" si="124"/>
        <v/>
      </c>
      <c r="AQ645" s="7" t="str">
        <f t="shared" si="115"/>
        <v/>
      </c>
      <c r="AR645" s="7" t="str">
        <f t="shared" si="125"/>
        <v/>
      </c>
      <c r="AS645" s="7">
        <f t="shared" si="116"/>
        <v>0</v>
      </c>
      <c r="AT645" s="17">
        <f>TableCosts[[#This Row],[N_Amount]]*TableCosts[[#This Row],[N_Tariff]]*TableCosts[[#This Row],[N_ItemsCount]]</f>
        <v>0</v>
      </c>
      <c r="AU645" s="17">
        <f>IF(F645=1,IF(TableCosts[[#This Row],[N_Kateg]]="interné práce",TableCosts[[#This Row],[N_Amount]]*8*PAR_SGA_PERHOUR,0),0)</f>
        <v>0</v>
      </c>
      <c r="AV645" s="17">
        <f>SUM(TableCosts[[#This Row],[N_Direct]:[N_SGA]])</f>
        <v>0</v>
      </c>
      <c r="AW645" s="7">
        <f>IF(F645=1,IF(D645="",NA(),VLOOKUP(C645&amp;TableCosts[[#This Row],[Calc_N_Typ]],TRAN_STRITEMS_LABEL,7,0)),0)</f>
        <v>0</v>
      </c>
      <c r="AX645" s="7">
        <f t="shared" si="117"/>
        <v>0</v>
      </c>
      <c r="AY645" s="57" t="str">
        <f t="shared" si="118"/>
        <v/>
      </c>
      <c r="AZ645" s="57" t="str">
        <f t="shared" si="119"/>
        <v/>
      </c>
      <c r="BA645" s="57" t="str">
        <f>IF(F645=1,IF(TableCosts[[#This Row],[TransferFrom]]=TableCosts[[#This Row],[TranferTo]],0,1),"")</f>
        <v/>
      </c>
      <c r="BB645" s="7">
        <f t="shared" si="120"/>
        <v>0</v>
      </c>
      <c r="BC645" s="7">
        <f t="shared" si="121"/>
        <v>0</v>
      </c>
    </row>
    <row r="646" spans="2:55" s="7" customFormat="1" ht="12.75" x14ac:dyDescent="0.2">
      <c r="B646" s="33"/>
      <c r="C646" s="31"/>
      <c r="D646" s="40"/>
      <c r="E646" s="6" t="str">
        <f>IF(F646=1,IF(ISERROR(TableCosts[[#This Row],[N_Tariff]]),Err_Message1,IF(TableCosts[[#This Row],[N_Tariff]]=0,Err_Message2,VLOOKUP(C646&amp;TableCosts[[#This Row],[Calc_N_Typ]],TRAN_STRITEMS_LABEL,5,FALSE))),"")</f>
        <v/>
      </c>
      <c r="F646" s="6">
        <f t="shared" si="122"/>
        <v>0</v>
      </c>
      <c r="G646" s="6" t="str">
        <f>IF(F646=1,IFERROR(VLOOKUP(E646,Tab_ErrMessage[],2,0),VLOOKUP(C646&amp;TableCosts[[#This Row],[Calc_N_Typ]],TRAN_STRITEMS_LABEL,4,FALSE)),"")</f>
        <v/>
      </c>
      <c r="H646" s="40"/>
      <c r="I646" s="40"/>
      <c r="J646" s="35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  <c r="AD646" s="24"/>
      <c r="AE646" s="24"/>
      <c r="AF646" s="24"/>
      <c r="AG646" s="24"/>
      <c r="AH646" s="24"/>
      <c r="AI646" s="24"/>
      <c r="AJ646" s="24"/>
      <c r="AK646" s="38">
        <f t="array" ref="AK646">IF(F646=1,SUM((ROW(M0)=ROW(AK646))*(M0+M1_+M2_+M3_+M4_+M5_+M6_+M7_+M8_+M9_+M10_+M11_+M12_+M13_+M14_+M15_+M16_+M17_+M18_+M19_+M20_+M21_+M22_+M23_+M24_+M25_)),0)</f>
        <v>0</v>
      </c>
      <c r="AL646" s="27">
        <f>TableCosts[[#This Row],[N_Direct]]</f>
        <v>0</v>
      </c>
      <c r="AN646" s="7" t="str">
        <f t="shared" si="123"/>
        <v/>
      </c>
      <c r="AO646" s="7" t="str">
        <f t="shared" si="114"/>
        <v/>
      </c>
      <c r="AP646" s="7" t="str">
        <f t="shared" si="124"/>
        <v/>
      </c>
      <c r="AQ646" s="7" t="str">
        <f t="shared" si="115"/>
        <v/>
      </c>
      <c r="AR646" s="7" t="str">
        <f t="shared" si="125"/>
        <v/>
      </c>
      <c r="AS646" s="7">
        <f t="shared" si="116"/>
        <v>0</v>
      </c>
      <c r="AT646" s="17">
        <f>TableCosts[[#This Row],[N_Amount]]*TableCosts[[#This Row],[N_Tariff]]*TableCosts[[#This Row],[N_ItemsCount]]</f>
        <v>0</v>
      </c>
      <c r="AU646" s="17">
        <f>IF(F646=1,IF(TableCosts[[#This Row],[N_Kateg]]="interné práce",TableCosts[[#This Row],[N_Amount]]*8*PAR_SGA_PERHOUR,0),0)</f>
        <v>0</v>
      </c>
      <c r="AV646" s="17">
        <f>SUM(TableCosts[[#This Row],[N_Direct]:[N_SGA]])</f>
        <v>0</v>
      </c>
      <c r="AW646" s="7">
        <f>IF(F646=1,IF(D646="",NA(),VLOOKUP(C646&amp;TableCosts[[#This Row],[Calc_N_Typ]],TRAN_STRITEMS_LABEL,7,0)),0)</f>
        <v>0</v>
      </c>
      <c r="AX646" s="7">
        <f t="shared" si="117"/>
        <v>0</v>
      </c>
      <c r="AY646" s="57" t="str">
        <f t="shared" si="118"/>
        <v/>
      </c>
      <c r="AZ646" s="57" t="str">
        <f t="shared" si="119"/>
        <v/>
      </c>
      <c r="BA646" s="57" t="str">
        <f>IF(F646=1,IF(TableCosts[[#This Row],[TransferFrom]]=TableCosts[[#This Row],[TranferTo]],0,1),"")</f>
        <v/>
      </c>
      <c r="BB646" s="7">
        <f t="shared" si="120"/>
        <v>0</v>
      </c>
      <c r="BC646" s="7">
        <f t="shared" si="121"/>
        <v>0</v>
      </c>
    </row>
    <row r="647" spans="2:55" s="7" customFormat="1" ht="12.75" x14ac:dyDescent="0.2">
      <c r="B647" s="33"/>
      <c r="C647" s="31"/>
      <c r="D647" s="40"/>
      <c r="E647" s="6" t="str">
        <f>IF(F647=1,IF(ISERROR(TableCosts[[#This Row],[N_Tariff]]),Err_Message1,IF(TableCosts[[#This Row],[N_Tariff]]=0,Err_Message2,VLOOKUP(C647&amp;TableCosts[[#This Row],[Calc_N_Typ]],TRAN_STRITEMS_LABEL,5,FALSE))),"")</f>
        <v/>
      </c>
      <c r="F647" s="6">
        <f t="shared" si="122"/>
        <v>0</v>
      </c>
      <c r="G647" s="6" t="str">
        <f>IF(F647=1,IFERROR(VLOOKUP(E647,Tab_ErrMessage[],2,0),VLOOKUP(C647&amp;TableCosts[[#This Row],[Calc_N_Typ]],TRAN_STRITEMS_LABEL,4,FALSE)),"")</f>
        <v/>
      </c>
      <c r="H647" s="40"/>
      <c r="I647" s="40"/>
      <c r="J647" s="35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  <c r="AD647" s="24"/>
      <c r="AE647" s="24"/>
      <c r="AF647" s="24"/>
      <c r="AG647" s="24"/>
      <c r="AH647" s="24"/>
      <c r="AI647" s="24"/>
      <c r="AJ647" s="24"/>
      <c r="AK647" s="38">
        <f t="array" ref="AK647">IF(F647=1,SUM((ROW(M0)=ROW(AK647))*(M0+M1_+M2_+M3_+M4_+M5_+M6_+M7_+M8_+M9_+M10_+M11_+M12_+M13_+M14_+M15_+M16_+M17_+M18_+M19_+M20_+M21_+M22_+M23_+M24_+M25_)),0)</f>
        <v>0</v>
      </c>
      <c r="AL647" s="27">
        <f>TableCosts[[#This Row],[N_Direct]]</f>
        <v>0</v>
      </c>
      <c r="AN647" s="7" t="str">
        <f t="shared" si="123"/>
        <v/>
      </c>
      <c r="AO647" s="7" t="str">
        <f t="shared" ref="AO647:AO710" si="126">IF(F647=1,IF(C647="","",C647),"")</f>
        <v/>
      </c>
      <c r="AP647" s="7" t="str">
        <f t="shared" si="124"/>
        <v/>
      </c>
      <c r="AQ647" s="7" t="str">
        <f t="shared" ref="AQ647:AQ710" si="127">IF(F647=1,IF(OR(D647="realizácia",D647=""),"realizácia",D647),"")</f>
        <v/>
      </c>
      <c r="AR647" s="7" t="str">
        <f t="shared" si="125"/>
        <v/>
      </c>
      <c r="AS647" s="7">
        <f t="shared" ref="AS647:AS710" si="128">IF(F647=1,IF(G647="ks",ROUNDUP(AK647,0),AK647),0)</f>
        <v>0</v>
      </c>
      <c r="AT647" s="17">
        <f>TableCosts[[#This Row],[N_Amount]]*TableCosts[[#This Row],[N_Tariff]]*TableCosts[[#This Row],[N_ItemsCount]]</f>
        <v>0</v>
      </c>
      <c r="AU647" s="17">
        <f>IF(F647=1,IF(TableCosts[[#This Row],[N_Kateg]]="interné práce",TableCosts[[#This Row],[N_Amount]]*8*PAR_SGA_PERHOUR,0),0)</f>
        <v>0</v>
      </c>
      <c r="AV647" s="17">
        <f>SUM(TableCosts[[#This Row],[N_Direct]:[N_SGA]])</f>
        <v>0</v>
      </c>
      <c r="AW647" s="7">
        <f>IF(F647=1,IF(D647="",NA(),VLOOKUP(C647&amp;TableCosts[[#This Row],[Calc_N_Typ]],TRAN_STRITEMS_LABEL,7,0)),0)</f>
        <v>0</v>
      </c>
      <c r="AX647" s="7">
        <f t="shared" ref="AX647:AX710" si="129">IF(F647=1,IF(G647="čld.",8,1),0)</f>
        <v>0</v>
      </c>
      <c r="AY647" s="57" t="str">
        <f t="shared" ref="AY647:AY710" si="130">IF(F647=1,IFERROR(VLOOKUP(B647,IpsLicences,2,0),IF(C647="",Par_Center,C647)),"")</f>
        <v/>
      </c>
      <c r="AZ647" s="57" t="str">
        <f t="shared" ref="AZ647:AZ710" si="131">IF(F647=1,Par_Center,"")</f>
        <v/>
      </c>
      <c r="BA647" s="57" t="str">
        <f>IF(F647=1,IF(TableCosts[[#This Row],[TransferFrom]]=TableCosts[[#This Row],[TranferTo]],0,1),"")</f>
        <v/>
      </c>
      <c r="BB647" s="7">
        <f t="shared" ref="BB647:BB710" si="132">IF(RIGHT(B647,LEN(Par_LabelTravelTime))=Par_LabelTravelTime,LEFT(B647,LEN(B647)-LEN(Par_LabelTravelTime)),B647)</f>
        <v>0</v>
      </c>
      <c r="BC647" s="7">
        <f t="shared" ref="BC647:BC710" si="133">IF(RIGHT(B647,LEN(Par_LabelTravelTime))=Par_LabelTravelTime,1,0)</f>
        <v>0</v>
      </c>
    </row>
    <row r="648" spans="2:55" s="7" customFormat="1" ht="12.75" x14ac:dyDescent="0.2">
      <c r="B648" s="33"/>
      <c r="C648" s="31"/>
      <c r="D648" s="40"/>
      <c r="E648" s="6" t="str">
        <f>IF(F648=1,IF(ISERROR(TableCosts[[#This Row],[N_Tariff]]),Err_Message1,IF(TableCosts[[#This Row],[N_Tariff]]=0,Err_Message2,VLOOKUP(C648&amp;TableCosts[[#This Row],[Calc_N_Typ]],TRAN_STRITEMS_LABEL,5,FALSE))),"")</f>
        <v/>
      </c>
      <c r="F648" s="6">
        <f t="shared" si="122"/>
        <v>0</v>
      </c>
      <c r="G648" s="6" t="str">
        <f>IF(F648=1,IFERROR(VLOOKUP(E648,Tab_ErrMessage[],2,0),VLOOKUP(C648&amp;TableCosts[[#This Row],[Calc_N_Typ]],TRAN_STRITEMS_LABEL,4,FALSE)),"")</f>
        <v/>
      </c>
      <c r="H648" s="40"/>
      <c r="I648" s="40"/>
      <c r="J648" s="35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  <c r="AD648" s="24"/>
      <c r="AE648" s="24"/>
      <c r="AF648" s="24"/>
      <c r="AG648" s="24"/>
      <c r="AH648" s="24"/>
      <c r="AI648" s="24"/>
      <c r="AJ648" s="24"/>
      <c r="AK648" s="38">
        <f t="array" ref="AK648">IF(F648=1,SUM((ROW(M0)=ROW(AK648))*(M0+M1_+M2_+M3_+M4_+M5_+M6_+M7_+M8_+M9_+M10_+M11_+M12_+M13_+M14_+M15_+M16_+M17_+M18_+M19_+M20_+M21_+M22_+M23_+M24_+M25_)),0)</f>
        <v>0</v>
      </c>
      <c r="AL648" s="27">
        <f>TableCosts[[#This Row],[N_Direct]]</f>
        <v>0</v>
      </c>
      <c r="AN648" s="7" t="str">
        <f t="shared" si="123"/>
        <v/>
      </c>
      <c r="AO648" s="7" t="str">
        <f t="shared" si="126"/>
        <v/>
      </c>
      <c r="AP648" s="7" t="str">
        <f t="shared" si="124"/>
        <v/>
      </c>
      <c r="AQ648" s="7" t="str">
        <f t="shared" si="127"/>
        <v/>
      </c>
      <c r="AR648" s="7" t="str">
        <f t="shared" si="125"/>
        <v/>
      </c>
      <c r="AS648" s="7">
        <f t="shared" si="128"/>
        <v>0</v>
      </c>
      <c r="AT648" s="17">
        <f>TableCosts[[#This Row],[N_Amount]]*TableCosts[[#This Row],[N_Tariff]]*TableCosts[[#This Row],[N_ItemsCount]]</f>
        <v>0</v>
      </c>
      <c r="AU648" s="17">
        <f>IF(F648=1,IF(TableCosts[[#This Row],[N_Kateg]]="interné práce",TableCosts[[#This Row],[N_Amount]]*8*PAR_SGA_PERHOUR,0),0)</f>
        <v>0</v>
      </c>
      <c r="AV648" s="17">
        <f>SUM(TableCosts[[#This Row],[N_Direct]:[N_SGA]])</f>
        <v>0</v>
      </c>
      <c r="AW648" s="7">
        <f>IF(F648=1,IF(D648="",NA(),VLOOKUP(C648&amp;TableCosts[[#This Row],[Calc_N_Typ]],TRAN_STRITEMS_LABEL,7,0)),0)</f>
        <v>0</v>
      </c>
      <c r="AX648" s="7">
        <f t="shared" si="129"/>
        <v>0</v>
      </c>
      <c r="AY648" s="57" t="str">
        <f t="shared" si="130"/>
        <v/>
      </c>
      <c r="AZ648" s="57" t="str">
        <f t="shared" si="131"/>
        <v/>
      </c>
      <c r="BA648" s="57" t="str">
        <f>IF(F648=1,IF(TableCosts[[#This Row],[TransferFrom]]=TableCosts[[#This Row],[TranferTo]],0,1),"")</f>
        <v/>
      </c>
      <c r="BB648" s="7">
        <f t="shared" si="132"/>
        <v>0</v>
      </c>
      <c r="BC648" s="7">
        <f t="shared" si="133"/>
        <v>0</v>
      </c>
    </row>
    <row r="649" spans="2:55" s="7" customFormat="1" ht="12.75" x14ac:dyDescent="0.2">
      <c r="B649" s="33"/>
      <c r="C649" s="31"/>
      <c r="D649" s="40"/>
      <c r="E649" s="6" t="str">
        <f>IF(F649=1,IF(ISERROR(TableCosts[[#This Row],[N_Tariff]]),Err_Message1,IF(TableCosts[[#This Row],[N_Tariff]]=0,Err_Message2,VLOOKUP(C649&amp;TableCosts[[#This Row],[Calc_N_Typ]],TRAN_STRITEMS_LABEL,5,FALSE))),"")</f>
        <v/>
      </c>
      <c r="F649" s="6">
        <f t="shared" ref="F649:F712" si="134">IF(B649="",0,IF(LEFT(B649,3)="***",-1,1))</f>
        <v>0</v>
      </c>
      <c r="G649" s="6" t="str">
        <f>IF(F649=1,IFERROR(VLOOKUP(E649,Tab_ErrMessage[],2,0),VLOOKUP(C649&amp;TableCosts[[#This Row],[Calc_N_Typ]],TRAN_STRITEMS_LABEL,4,FALSE)),"")</f>
        <v/>
      </c>
      <c r="H649" s="40"/>
      <c r="I649" s="40"/>
      <c r="J649" s="35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  <c r="AD649" s="24"/>
      <c r="AE649" s="24"/>
      <c r="AF649" s="24"/>
      <c r="AG649" s="24"/>
      <c r="AH649" s="24"/>
      <c r="AI649" s="24"/>
      <c r="AJ649" s="24"/>
      <c r="AK649" s="38">
        <f t="array" ref="AK649">IF(F649=1,SUM((ROW(M0)=ROW(AK649))*(M0+M1_+M2_+M3_+M4_+M5_+M6_+M7_+M8_+M9_+M10_+M11_+M12_+M13_+M14_+M15_+M16_+M17_+M18_+M19_+M20_+M21_+M22_+M23_+M24_+M25_)),0)</f>
        <v>0</v>
      </c>
      <c r="AL649" s="27">
        <f>TableCosts[[#This Row],[N_Direct]]</f>
        <v>0</v>
      </c>
      <c r="AN649" s="7" t="str">
        <f t="shared" si="123"/>
        <v/>
      </c>
      <c r="AO649" s="7" t="str">
        <f t="shared" si="126"/>
        <v/>
      </c>
      <c r="AP649" s="7" t="str">
        <f t="shared" si="124"/>
        <v/>
      </c>
      <c r="AQ649" s="7" t="str">
        <f t="shared" si="127"/>
        <v/>
      </c>
      <c r="AR649" s="7" t="str">
        <f t="shared" si="125"/>
        <v/>
      </c>
      <c r="AS649" s="7">
        <f t="shared" si="128"/>
        <v>0</v>
      </c>
      <c r="AT649" s="17">
        <f>TableCosts[[#This Row],[N_Amount]]*TableCosts[[#This Row],[N_Tariff]]*TableCosts[[#This Row],[N_ItemsCount]]</f>
        <v>0</v>
      </c>
      <c r="AU649" s="17">
        <f>IF(F649=1,IF(TableCosts[[#This Row],[N_Kateg]]="interné práce",TableCosts[[#This Row],[N_Amount]]*8*PAR_SGA_PERHOUR,0),0)</f>
        <v>0</v>
      </c>
      <c r="AV649" s="17">
        <f>SUM(TableCosts[[#This Row],[N_Direct]:[N_SGA]])</f>
        <v>0</v>
      </c>
      <c r="AW649" s="7">
        <f>IF(F649=1,IF(D649="",NA(),VLOOKUP(C649&amp;TableCosts[[#This Row],[Calc_N_Typ]],TRAN_STRITEMS_LABEL,7,0)),0)</f>
        <v>0</v>
      </c>
      <c r="AX649" s="7">
        <f t="shared" si="129"/>
        <v>0</v>
      </c>
      <c r="AY649" s="57" t="str">
        <f t="shared" si="130"/>
        <v/>
      </c>
      <c r="AZ649" s="57" t="str">
        <f t="shared" si="131"/>
        <v/>
      </c>
      <c r="BA649" s="57" t="str">
        <f>IF(F649=1,IF(TableCosts[[#This Row],[TransferFrom]]=TableCosts[[#This Row],[TranferTo]],0,1),"")</f>
        <v/>
      </c>
      <c r="BB649" s="7">
        <f t="shared" si="132"/>
        <v>0</v>
      </c>
      <c r="BC649" s="7">
        <f t="shared" si="133"/>
        <v>0</v>
      </c>
    </row>
    <row r="650" spans="2:55" s="7" customFormat="1" ht="12.75" x14ac:dyDescent="0.2">
      <c r="B650" s="33"/>
      <c r="C650" s="31"/>
      <c r="D650" s="40"/>
      <c r="E650" s="6" t="str">
        <f>IF(F650=1,IF(ISERROR(TableCosts[[#This Row],[N_Tariff]]),Err_Message1,IF(TableCosts[[#This Row],[N_Tariff]]=0,Err_Message2,VLOOKUP(C650&amp;TableCosts[[#This Row],[Calc_N_Typ]],TRAN_STRITEMS_LABEL,5,FALSE))),"")</f>
        <v/>
      </c>
      <c r="F650" s="6">
        <f t="shared" si="134"/>
        <v>0</v>
      </c>
      <c r="G650" s="6" t="str">
        <f>IF(F650=1,IFERROR(VLOOKUP(E650,Tab_ErrMessage[],2,0),VLOOKUP(C650&amp;TableCosts[[#This Row],[Calc_N_Typ]],TRAN_STRITEMS_LABEL,4,FALSE)),"")</f>
        <v/>
      </c>
      <c r="H650" s="40"/>
      <c r="I650" s="40"/>
      <c r="J650" s="35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  <c r="AD650" s="24"/>
      <c r="AE650" s="24"/>
      <c r="AF650" s="24"/>
      <c r="AG650" s="24"/>
      <c r="AH650" s="24"/>
      <c r="AI650" s="24"/>
      <c r="AJ650" s="24"/>
      <c r="AK650" s="38">
        <f t="array" ref="AK650">IF(F650=1,SUM((ROW(M0)=ROW(AK650))*(M0+M1_+M2_+M3_+M4_+M5_+M6_+M7_+M8_+M9_+M10_+M11_+M12_+M13_+M14_+M15_+M16_+M17_+M18_+M19_+M20_+M21_+M22_+M23_+M24_+M25_)),0)</f>
        <v>0</v>
      </c>
      <c r="AL650" s="27">
        <f>TableCosts[[#This Row],[N_Direct]]</f>
        <v>0</v>
      </c>
      <c r="AN650" s="7" t="str">
        <f t="shared" si="123"/>
        <v/>
      </c>
      <c r="AO650" s="7" t="str">
        <f t="shared" si="126"/>
        <v/>
      </c>
      <c r="AP650" s="7" t="str">
        <f t="shared" si="124"/>
        <v/>
      </c>
      <c r="AQ650" s="7" t="str">
        <f t="shared" si="127"/>
        <v/>
      </c>
      <c r="AR650" s="7" t="str">
        <f t="shared" si="125"/>
        <v/>
      </c>
      <c r="AS650" s="7">
        <f t="shared" si="128"/>
        <v>0</v>
      </c>
      <c r="AT650" s="17">
        <f>TableCosts[[#This Row],[N_Amount]]*TableCosts[[#This Row],[N_Tariff]]*TableCosts[[#This Row],[N_ItemsCount]]</f>
        <v>0</v>
      </c>
      <c r="AU650" s="17">
        <f>IF(F650=1,IF(TableCosts[[#This Row],[N_Kateg]]="interné práce",TableCosts[[#This Row],[N_Amount]]*8*PAR_SGA_PERHOUR,0),0)</f>
        <v>0</v>
      </c>
      <c r="AV650" s="17">
        <f>SUM(TableCosts[[#This Row],[N_Direct]:[N_SGA]])</f>
        <v>0</v>
      </c>
      <c r="AW650" s="7">
        <f>IF(F650=1,IF(D650="",NA(),VLOOKUP(C650&amp;TableCosts[[#This Row],[Calc_N_Typ]],TRAN_STRITEMS_LABEL,7,0)),0)</f>
        <v>0</v>
      </c>
      <c r="AX650" s="7">
        <f t="shared" si="129"/>
        <v>0</v>
      </c>
      <c r="AY650" s="57" t="str">
        <f t="shared" si="130"/>
        <v/>
      </c>
      <c r="AZ650" s="57" t="str">
        <f t="shared" si="131"/>
        <v/>
      </c>
      <c r="BA650" s="57" t="str">
        <f>IF(F650=1,IF(TableCosts[[#This Row],[TransferFrom]]=TableCosts[[#This Row],[TranferTo]],0,1),"")</f>
        <v/>
      </c>
      <c r="BB650" s="7">
        <f t="shared" si="132"/>
        <v>0</v>
      </c>
      <c r="BC650" s="7">
        <f t="shared" si="133"/>
        <v>0</v>
      </c>
    </row>
    <row r="651" spans="2:55" s="7" customFormat="1" ht="12.75" x14ac:dyDescent="0.2">
      <c r="B651" s="33"/>
      <c r="C651" s="31"/>
      <c r="D651" s="40"/>
      <c r="E651" s="6" t="str">
        <f>IF(F651=1,IF(ISERROR(TableCosts[[#This Row],[N_Tariff]]),Err_Message1,IF(TableCosts[[#This Row],[N_Tariff]]=0,Err_Message2,VLOOKUP(C651&amp;TableCosts[[#This Row],[Calc_N_Typ]],TRAN_STRITEMS_LABEL,5,FALSE))),"")</f>
        <v/>
      </c>
      <c r="F651" s="6">
        <f t="shared" si="134"/>
        <v>0</v>
      </c>
      <c r="G651" s="6" t="str">
        <f>IF(F651=1,IFERROR(VLOOKUP(E651,Tab_ErrMessage[],2,0),VLOOKUP(C651&amp;TableCosts[[#This Row],[Calc_N_Typ]],TRAN_STRITEMS_LABEL,4,FALSE)),"")</f>
        <v/>
      </c>
      <c r="H651" s="40"/>
      <c r="I651" s="40"/>
      <c r="J651" s="35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  <c r="AD651" s="24"/>
      <c r="AE651" s="24"/>
      <c r="AF651" s="24"/>
      <c r="AG651" s="24"/>
      <c r="AH651" s="24"/>
      <c r="AI651" s="24"/>
      <c r="AJ651" s="24"/>
      <c r="AK651" s="38">
        <f t="array" ref="AK651">IF(F651=1,SUM((ROW(M0)=ROW(AK651))*(M0+M1_+M2_+M3_+M4_+M5_+M6_+M7_+M8_+M9_+M10_+M11_+M12_+M13_+M14_+M15_+M16_+M17_+M18_+M19_+M20_+M21_+M22_+M23_+M24_+M25_)),0)</f>
        <v>0</v>
      </c>
      <c r="AL651" s="27">
        <f>TableCosts[[#This Row],[N_Direct]]</f>
        <v>0</v>
      </c>
      <c r="AN651" s="7" t="str">
        <f t="shared" si="123"/>
        <v/>
      </c>
      <c r="AO651" s="7" t="str">
        <f t="shared" si="126"/>
        <v/>
      </c>
      <c r="AP651" s="7" t="str">
        <f t="shared" si="124"/>
        <v/>
      </c>
      <c r="AQ651" s="7" t="str">
        <f t="shared" si="127"/>
        <v/>
      </c>
      <c r="AR651" s="7" t="str">
        <f t="shared" si="125"/>
        <v/>
      </c>
      <c r="AS651" s="7">
        <f t="shared" si="128"/>
        <v>0</v>
      </c>
      <c r="AT651" s="17">
        <f>TableCosts[[#This Row],[N_Amount]]*TableCosts[[#This Row],[N_Tariff]]*TableCosts[[#This Row],[N_ItemsCount]]</f>
        <v>0</v>
      </c>
      <c r="AU651" s="17">
        <f>IF(F651=1,IF(TableCosts[[#This Row],[N_Kateg]]="interné práce",TableCosts[[#This Row],[N_Amount]]*8*PAR_SGA_PERHOUR,0),0)</f>
        <v>0</v>
      </c>
      <c r="AV651" s="17">
        <f>SUM(TableCosts[[#This Row],[N_Direct]:[N_SGA]])</f>
        <v>0</v>
      </c>
      <c r="AW651" s="7">
        <f>IF(F651=1,IF(D651="",NA(),VLOOKUP(C651&amp;TableCosts[[#This Row],[Calc_N_Typ]],TRAN_STRITEMS_LABEL,7,0)),0)</f>
        <v>0</v>
      </c>
      <c r="AX651" s="7">
        <f t="shared" si="129"/>
        <v>0</v>
      </c>
      <c r="AY651" s="57" t="str">
        <f t="shared" si="130"/>
        <v/>
      </c>
      <c r="AZ651" s="57" t="str">
        <f t="shared" si="131"/>
        <v/>
      </c>
      <c r="BA651" s="57" t="str">
        <f>IF(F651=1,IF(TableCosts[[#This Row],[TransferFrom]]=TableCosts[[#This Row],[TranferTo]],0,1),"")</f>
        <v/>
      </c>
      <c r="BB651" s="7">
        <f t="shared" si="132"/>
        <v>0</v>
      </c>
      <c r="BC651" s="7">
        <f t="shared" si="133"/>
        <v>0</v>
      </c>
    </row>
    <row r="652" spans="2:55" s="7" customFormat="1" ht="12.75" x14ac:dyDescent="0.2">
      <c r="B652" s="33"/>
      <c r="C652" s="31"/>
      <c r="D652" s="40"/>
      <c r="E652" s="6" t="str">
        <f>IF(F652=1,IF(ISERROR(TableCosts[[#This Row],[N_Tariff]]),Err_Message1,IF(TableCosts[[#This Row],[N_Tariff]]=0,Err_Message2,VLOOKUP(C652&amp;TableCosts[[#This Row],[Calc_N_Typ]],TRAN_STRITEMS_LABEL,5,FALSE))),"")</f>
        <v/>
      </c>
      <c r="F652" s="6">
        <f t="shared" si="134"/>
        <v>0</v>
      </c>
      <c r="G652" s="6" t="str">
        <f>IF(F652=1,IFERROR(VLOOKUP(E652,Tab_ErrMessage[],2,0),VLOOKUP(C652&amp;TableCosts[[#This Row],[Calc_N_Typ]],TRAN_STRITEMS_LABEL,4,FALSE)),"")</f>
        <v/>
      </c>
      <c r="H652" s="40"/>
      <c r="I652" s="40"/>
      <c r="J652" s="35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  <c r="AD652" s="24"/>
      <c r="AE652" s="24"/>
      <c r="AF652" s="24"/>
      <c r="AG652" s="24"/>
      <c r="AH652" s="24"/>
      <c r="AI652" s="24"/>
      <c r="AJ652" s="24"/>
      <c r="AK652" s="38">
        <f t="array" ref="AK652">IF(F652=1,SUM((ROW(M0)=ROW(AK652))*(M0+M1_+M2_+M3_+M4_+M5_+M6_+M7_+M8_+M9_+M10_+M11_+M12_+M13_+M14_+M15_+M16_+M17_+M18_+M19_+M20_+M21_+M22_+M23_+M24_+M25_)),0)</f>
        <v>0</v>
      </c>
      <c r="AL652" s="27">
        <f>TableCosts[[#This Row],[N_Direct]]</f>
        <v>0</v>
      </c>
      <c r="AN652" s="7" t="str">
        <f t="shared" si="123"/>
        <v/>
      </c>
      <c r="AO652" s="7" t="str">
        <f t="shared" si="126"/>
        <v/>
      </c>
      <c r="AP652" s="7" t="str">
        <f t="shared" si="124"/>
        <v/>
      </c>
      <c r="AQ652" s="7" t="str">
        <f t="shared" si="127"/>
        <v/>
      </c>
      <c r="AR652" s="7" t="str">
        <f t="shared" si="125"/>
        <v/>
      </c>
      <c r="AS652" s="7">
        <f t="shared" si="128"/>
        <v>0</v>
      </c>
      <c r="AT652" s="17">
        <f>TableCosts[[#This Row],[N_Amount]]*TableCosts[[#This Row],[N_Tariff]]*TableCosts[[#This Row],[N_ItemsCount]]</f>
        <v>0</v>
      </c>
      <c r="AU652" s="17">
        <f>IF(F652=1,IF(TableCosts[[#This Row],[N_Kateg]]="interné práce",TableCosts[[#This Row],[N_Amount]]*8*PAR_SGA_PERHOUR,0),0)</f>
        <v>0</v>
      </c>
      <c r="AV652" s="17">
        <f>SUM(TableCosts[[#This Row],[N_Direct]:[N_SGA]])</f>
        <v>0</v>
      </c>
      <c r="AW652" s="7">
        <f>IF(F652=1,IF(D652="",NA(),VLOOKUP(C652&amp;TableCosts[[#This Row],[Calc_N_Typ]],TRAN_STRITEMS_LABEL,7,0)),0)</f>
        <v>0</v>
      </c>
      <c r="AX652" s="7">
        <f t="shared" si="129"/>
        <v>0</v>
      </c>
      <c r="AY652" s="57" t="str">
        <f t="shared" si="130"/>
        <v/>
      </c>
      <c r="AZ652" s="57" t="str">
        <f t="shared" si="131"/>
        <v/>
      </c>
      <c r="BA652" s="57" t="str">
        <f>IF(F652=1,IF(TableCosts[[#This Row],[TransferFrom]]=TableCosts[[#This Row],[TranferTo]],0,1),"")</f>
        <v/>
      </c>
      <c r="BB652" s="7">
        <f t="shared" si="132"/>
        <v>0</v>
      </c>
      <c r="BC652" s="7">
        <f t="shared" si="133"/>
        <v>0</v>
      </c>
    </row>
    <row r="653" spans="2:55" s="7" customFormat="1" ht="12.75" x14ac:dyDescent="0.2">
      <c r="B653" s="33"/>
      <c r="C653" s="31"/>
      <c r="D653" s="40"/>
      <c r="E653" s="6" t="str">
        <f>IF(F653=1,IF(ISERROR(TableCosts[[#This Row],[N_Tariff]]),Err_Message1,IF(TableCosts[[#This Row],[N_Tariff]]=0,Err_Message2,VLOOKUP(C653&amp;TableCosts[[#This Row],[Calc_N_Typ]],TRAN_STRITEMS_LABEL,5,FALSE))),"")</f>
        <v/>
      </c>
      <c r="F653" s="6">
        <f t="shared" si="134"/>
        <v>0</v>
      </c>
      <c r="G653" s="6" t="str">
        <f>IF(F653=1,IFERROR(VLOOKUP(E653,Tab_ErrMessage[],2,0),VLOOKUP(C653&amp;TableCosts[[#This Row],[Calc_N_Typ]],TRAN_STRITEMS_LABEL,4,FALSE)),"")</f>
        <v/>
      </c>
      <c r="H653" s="40"/>
      <c r="I653" s="40"/>
      <c r="J653" s="35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  <c r="AD653" s="24"/>
      <c r="AE653" s="24"/>
      <c r="AF653" s="24"/>
      <c r="AG653" s="24"/>
      <c r="AH653" s="24"/>
      <c r="AI653" s="24"/>
      <c r="AJ653" s="24"/>
      <c r="AK653" s="38">
        <f t="array" ref="AK653">IF(F653=1,SUM((ROW(M0)=ROW(AK653))*(M0+M1_+M2_+M3_+M4_+M5_+M6_+M7_+M8_+M9_+M10_+M11_+M12_+M13_+M14_+M15_+M16_+M17_+M18_+M19_+M20_+M21_+M22_+M23_+M24_+M25_)),0)</f>
        <v>0</v>
      </c>
      <c r="AL653" s="27">
        <f>TableCosts[[#This Row],[N_Direct]]</f>
        <v>0</v>
      </c>
      <c r="AN653" s="7" t="str">
        <f t="shared" si="123"/>
        <v/>
      </c>
      <c r="AO653" s="7" t="str">
        <f t="shared" si="126"/>
        <v/>
      </c>
      <c r="AP653" s="7" t="str">
        <f t="shared" si="124"/>
        <v/>
      </c>
      <c r="AQ653" s="7" t="str">
        <f t="shared" si="127"/>
        <v/>
      </c>
      <c r="AR653" s="7" t="str">
        <f t="shared" si="125"/>
        <v/>
      </c>
      <c r="AS653" s="7">
        <f t="shared" si="128"/>
        <v>0</v>
      </c>
      <c r="AT653" s="17">
        <f>TableCosts[[#This Row],[N_Amount]]*TableCosts[[#This Row],[N_Tariff]]*TableCosts[[#This Row],[N_ItemsCount]]</f>
        <v>0</v>
      </c>
      <c r="AU653" s="17">
        <f>IF(F653=1,IF(TableCosts[[#This Row],[N_Kateg]]="interné práce",TableCosts[[#This Row],[N_Amount]]*8*PAR_SGA_PERHOUR,0),0)</f>
        <v>0</v>
      </c>
      <c r="AV653" s="17">
        <f>SUM(TableCosts[[#This Row],[N_Direct]:[N_SGA]])</f>
        <v>0</v>
      </c>
      <c r="AW653" s="7">
        <f>IF(F653=1,IF(D653="",NA(),VLOOKUP(C653&amp;TableCosts[[#This Row],[Calc_N_Typ]],TRAN_STRITEMS_LABEL,7,0)),0)</f>
        <v>0</v>
      </c>
      <c r="AX653" s="7">
        <f t="shared" si="129"/>
        <v>0</v>
      </c>
      <c r="AY653" s="57" t="str">
        <f t="shared" si="130"/>
        <v/>
      </c>
      <c r="AZ653" s="57" t="str">
        <f t="shared" si="131"/>
        <v/>
      </c>
      <c r="BA653" s="57" t="str">
        <f>IF(F653=1,IF(TableCosts[[#This Row],[TransferFrom]]=TableCosts[[#This Row],[TranferTo]],0,1),"")</f>
        <v/>
      </c>
      <c r="BB653" s="7">
        <f t="shared" si="132"/>
        <v>0</v>
      </c>
      <c r="BC653" s="7">
        <f t="shared" si="133"/>
        <v>0</v>
      </c>
    </row>
    <row r="654" spans="2:55" s="7" customFormat="1" ht="12.75" x14ac:dyDescent="0.2">
      <c r="B654" s="33"/>
      <c r="C654" s="31"/>
      <c r="D654" s="40"/>
      <c r="E654" s="6" t="str">
        <f>IF(F654=1,IF(ISERROR(TableCosts[[#This Row],[N_Tariff]]),Err_Message1,IF(TableCosts[[#This Row],[N_Tariff]]=0,Err_Message2,VLOOKUP(C654&amp;TableCosts[[#This Row],[Calc_N_Typ]],TRAN_STRITEMS_LABEL,5,FALSE))),"")</f>
        <v/>
      </c>
      <c r="F654" s="6">
        <f t="shared" si="134"/>
        <v>0</v>
      </c>
      <c r="G654" s="6" t="str">
        <f>IF(F654=1,IFERROR(VLOOKUP(E654,Tab_ErrMessage[],2,0),VLOOKUP(C654&amp;TableCosts[[#This Row],[Calc_N_Typ]],TRAN_STRITEMS_LABEL,4,FALSE)),"")</f>
        <v/>
      </c>
      <c r="H654" s="40"/>
      <c r="I654" s="40"/>
      <c r="J654" s="35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  <c r="AD654" s="24"/>
      <c r="AE654" s="24"/>
      <c r="AF654" s="24"/>
      <c r="AG654" s="24"/>
      <c r="AH654" s="24"/>
      <c r="AI654" s="24"/>
      <c r="AJ654" s="24"/>
      <c r="AK654" s="38">
        <f t="array" ref="AK654">IF(F654=1,SUM((ROW(M0)=ROW(AK654))*(M0+M1_+M2_+M3_+M4_+M5_+M6_+M7_+M8_+M9_+M10_+M11_+M12_+M13_+M14_+M15_+M16_+M17_+M18_+M19_+M20_+M21_+M22_+M23_+M24_+M25_)),0)</f>
        <v>0</v>
      </c>
      <c r="AL654" s="27">
        <f>TableCosts[[#This Row],[N_Direct]]</f>
        <v>0</v>
      </c>
      <c r="AN654" s="7" t="str">
        <f t="shared" si="123"/>
        <v/>
      </c>
      <c r="AO654" s="7" t="str">
        <f t="shared" si="126"/>
        <v/>
      </c>
      <c r="AP654" s="7" t="str">
        <f t="shared" si="124"/>
        <v/>
      </c>
      <c r="AQ654" s="7" t="str">
        <f t="shared" si="127"/>
        <v/>
      </c>
      <c r="AR654" s="7" t="str">
        <f t="shared" si="125"/>
        <v/>
      </c>
      <c r="AS654" s="7">
        <f t="shared" si="128"/>
        <v>0</v>
      </c>
      <c r="AT654" s="17">
        <f>TableCosts[[#This Row],[N_Amount]]*TableCosts[[#This Row],[N_Tariff]]*TableCosts[[#This Row],[N_ItemsCount]]</f>
        <v>0</v>
      </c>
      <c r="AU654" s="17">
        <f>IF(F654=1,IF(TableCosts[[#This Row],[N_Kateg]]="interné práce",TableCosts[[#This Row],[N_Amount]]*8*PAR_SGA_PERHOUR,0),0)</f>
        <v>0</v>
      </c>
      <c r="AV654" s="17">
        <f>SUM(TableCosts[[#This Row],[N_Direct]:[N_SGA]])</f>
        <v>0</v>
      </c>
      <c r="AW654" s="7">
        <f>IF(F654=1,IF(D654="",NA(),VLOOKUP(C654&amp;TableCosts[[#This Row],[Calc_N_Typ]],TRAN_STRITEMS_LABEL,7,0)),0)</f>
        <v>0</v>
      </c>
      <c r="AX654" s="7">
        <f t="shared" si="129"/>
        <v>0</v>
      </c>
      <c r="AY654" s="57" t="str">
        <f t="shared" si="130"/>
        <v/>
      </c>
      <c r="AZ654" s="57" t="str">
        <f t="shared" si="131"/>
        <v/>
      </c>
      <c r="BA654" s="57" t="str">
        <f>IF(F654=1,IF(TableCosts[[#This Row],[TransferFrom]]=TableCosts[[#This Row],[TranferTo]],0,1),"")</f>
        <v/>
      </c>
      <c r="BB654" s="7">
        <f t="shared" si="132"/>
        <v>0</v>
      </c>
      <c r="BC654" s="7">
        <f t="shared" si="133"/>
        <v>0</v>
      </c>
    </row>
    <row r="655" spans="2:55" s="7" customFormat="1" ht="12.75" x14ac:dyDescent="0.2">
      <c r="B655" s="33"/>
      <c r="C655" s="31"/>
      <c r="D655" s="40"/>
      <c r="E655" s="6" t="str">
        <f>IF(F655=1,IF(ISERROR(TableCosts[[#This Row],[N_Tariff]]),Err_Message1,IF(TableCosts[[#This Row],[N_Tariff]]=0,Err_Message2,VLOOKUP(C655&amp;TableCosts[[#This Row],[Calc_N_Typ]],TRAN_STRITEMS_LABEL,5,FALSE))),"")</f>
        <v/>
      </c>
      <c r="F655" s="6">
        <f t="shared" si="134"/>
        <v>0</v>
      </c>
      <c r="G655" s="6" t="str">
        <f>IF(F655=1,IFERROR(VLOOKUP(E655,Tab_ErrMessage[],2,0),VLOOKUP(C655&amp;TableCosts[[#This Row],[Calc_N_Typ]],TRAN_STRITEMS_LABEL,4,FALSE)),"")</f>
        <v/>
      </c>
      <c r="H655" s="40"/>
      <c r="I655" s="40"/>
      <c r="J655" s="35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  <c r="AD655" s="24"/>
      <c r="AE655" s="24"/>
      <c r="AF655" s="24"/>
      <c r="AG655" s="24"/>
      <c r="AH655" s="24"/>
      <c r="AI655" s="24"/>
      <c r="AJ655" s="24"/>
      <c r="AK655" s="38">
        <f t="array" ref="AK655">IF(F655=1,SUM((ROW(M0)=ROW(AK655))*(M0+M1_+M2_+M3_+M4_+M5_+M6_+M7_+M8_+M9_+M10_+M11_+M12_+M13_+M14_+M15_+M16_+M17_+M18_+M19_+M20_+M21_+M22_+M23_+M24_+M25_)),0)</f>
        <v>0</v>
      </c>
      <c r="AL655" s="27">
        <f>TableCosts[[#This Row],[N_Direct]]</f>
        <v>0</v>
      </c>
      <c r="AN655" s="7" t="str">
        <f t="shared" si="123"/>
        <v/>
      </c>
      <c r="AO655" s="7" t="str">
        <f t="shared" si="126"/>
        <v/>
      </c>
      <c r="AP655" s="7" t="str">
        <f t="shared" si="124"/>
        <v/>
      </c>
      <c r="AQ655" s="7" t="str">
        <f t="shared" si="127"/>
        <v/>
      </c>
      <c r="AR655" s="7" t="str">
        <f t="shared" si="125"/>
        <v/>
      </c>
      <c r="AS655" s="7">
        <f t="shared" si="128"/>
        <v>0</v>
      </c>
      <c r="AT655" s="17">
        <f>TableCosts[[#This Row],[N_Amount]]*TableCosts[[#This Row],[N_Tariff]]*TableCosts[[#This Row],[N_ItemsCount]]</f>
        <v>0</v>
      </c>
      <c r="AU655" s="17">
        <f>IF(F655=1,IF(TableCosts[[#This Row],[N_Kateg]]="interné práce",TableCosts[[#This Row],[N_Amount]]*8*PAR_SGA_PERHOUR,0),0)</f>
        <v>0</v>
      </c>
      <c r="AV655" s="17">
        <f>SUM(TableCosts[[#This Row],[N_Direct]:[N_SGA]])</f>
        <v>0</v>
      </c>
      <c r="AW655" s="7">
        <f>IF(F655=1,IF(D655="",NA(),VLOOKUP(C655&amp;TableCosts[[#This Row],[Calc_N_Typ]],TRAN_STRITEMS_LABEL,7,0)),0)</f>
        <v>0</v>
      </c>
      <c r="AX655" s="7">
        <f t="shared" si="129"/>
        <v>0</v>
      </c>
      <c r="AY655" s="57" t="str">
        <f t="shared" si="130"/>
        <v/>
      </c>
      <c r="AZ655" s="57" t="str">
        <f t="shared" si="131"/>
        <v/>
      </c>
      <c r="BA655" s="57" t="str">
        <f>IF(F655=1,IF(TableCosts[[#This Row],[TransferFrom]]=TableCosts[[#This Row],[TranferTo]],0,1),"")</f>
        <v/>
      </c>
      <c r="BB655" s="7">
        <f t="shared" si="132"/>
        <v>0</v>
      </c>
      <c r="BC655" s="7">
        <f t="shared" si="133"/>
        <v>0</v>
      </c>
    </row>
    <row r="656" spans="2:55" s="7" customFormat="1" ht="12.75" x14ac:dyDescent="0.2">
      <c r="B656" s="33"/>
      <c r="C656" s="31"/>
      <c r="D656" s="40"/>
      <c r="E656" s="6" t="str">
        <f>IF(F656=1,IF(ISERROR(TableCosts[[#This Row],[N_Tariff]]),Err_Message1,IF(TableCosts[[#This Row],[N_Tariff]]=0,Err_Message2,VLOOKUP(C656&amp;TableCosts[[#This Row],[Calc_N_Typ]],TRAN_STRITEMS_LABEL,5,FALSE))),"")</f>
        <v/>
      </c>
      <c r="F656" s="6">
        <f t="shared" si="134"/>
        <v>0</v>
      </c>
      <c r="G656" s="6" t="str">
        <f>IF(F656=1,IFERROR(VLOOKUP(E656,Tab_ErrMessage[],2,0),VLOOKUP(C656&amp;TableCosts[[#This Row],[Calc_N_Typ]],TRAN_STRITEMS_LABEL,4,FALSE)),"")</f>
        <v/>
      </c>
      <c r="H656" s="40"/>
      <c r="I656" s="40"/>
      <c r="J656" s="35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  <c r="AD656" s="24"/>
      <c r="AE656" s="24"/>
      <c r="AF656" s="24"/>
      <c r="AG656" s="24"/>
      <c r="AH656" s="24"/>
      <c r="AI656" s="24"/>
      <c r="AJ656" s="24"/>
      <c r="AK656" s="38">
        <f t="array" ref="AK656">IF(F656=1,SUM((ROW(M0)=ROW(AK656))*(M0+M1_+M2_+M3_+M4_+M5_+M6_+M7_+M8_+M9_+M10_+M11_+M12_+M13_+M14_+M15_+M16_+M17_+M18_+M19_+M20_+M21_+M22_+M23_+M24_+M25_)),0)</f>
        <v>0</v>
      </c>
      <c r="AL656" s="27">
        <f>TableCosts[[#This Row],[N_Direct]]</f>
        <v>0</v>
      </c>
      <c r="AN656" s="7" t="str">
        <f t="shared" si="123"/>
        <v/>
      </c>
      <c r="AO656" s="7" t="str">
        <f t="shared" si="126"/>
        <v/>
      </c>
      <c r="AP656" s="7" t="str">
        <f t="shared" si="124"/>
        <v/>
      </c>
      <c r="AQ656" s="7" t="str">
        <f t="shared" si="127"/>
        <v/>
      </c>
      <c r="AR656" s="7" t="str">
        <f t="shared" si="125"/>
        <v/>
      </c>
      <c r="AS656" s="7">
        <f t="shared" si="128"/>
        <v>0</v>
      </c>
      <c r="AT656" s="17">
        <f>TableCosts[[#This Row],[N_Amount]]*TableCosts[[#This Row],[N_Tariff]]*TableCosts[[#This Row],[N_ItemsCount]]</f>
        <v>0</v>
      </c>
      <c r="AU656" s="17">
        <f>IF(F656=1,IF(TableCosts[[#This Row],[N_Kateg]]="interné práce",TableCosts[[#This Row],[N_Amount]]*8*PAR_SGA_PERHOUR,0),0)</f>
        <v>0</v>
      </c>
      <c r="AV656" s="17">
        <f>SUM(TableCosts[[#This Row],[N_Direct]:[N_SGA]])</f>
        <v>0</v>
      </c>
      <c r="AW656" s="7">
        <f>IF(F656=1,IF(D656="",NA(),VLOOKUP(C656&amp;TableCosts[[#This Row],[Calc_N_Typ]],TRAN_STRITEMS_LABEL,7,0)),0)</f>
        <v>0</v>
      </c>
      <c r="AX656" s="7">
        <f t="shared" si="129"/>
        <v>0</v>
      </c>
      <c r="AY656" s="57" t="str">
        <f t="shared" si="130"/>
        <v/>
      </c>
      <c r="AZ656" s="57" t="str">
        <f t="shared" si="131"/>
        <v/>
      </c>
      <c r="BA656" s="57" t="str">
        <f>IF(F656=1,IF(TableCosts[[#This Row],[TransferFrom]]=TableCosts[[#This Row],[TranferTo]],0,1),"")</f>
        <v/>
      </c>
      <c r="BB656" s="7">
        <f t="shared" si="132"/>
        <v>0</v>
      </c>
      <c r="BC656" s="7">
        <f t="shared" si="133"/>
        <v>0</v>
      </c>
    </row>
    <row r="657" spans="2:55" s="7" customFormat="1" ht="12.75" x14ac:dyDescent="0.2">
      <c r="B657" s="33"/>
      <c r="C657" s="31"/>
      <c r="D657" s="40"/>
      <c r="E657" s="6" t="str">
        <f>IF(F657=1,IF(ISERROR(TableCosts[[#This Row],[N_Tariff]]),Err_Message1,IF(TableCosts[[#This Row],[N_Tariff]]=0,Err_Message2,VLOOKUP(C657&amp;TableCosts[[#This Row],[Calc_N_Typ]],TRAN_STRITEMS_LABEL,5,FALSE))),"")</f>
        <v/>
      </c>
      <c r="F657" s="6">
        <f t="shared" si="134"/>
        <v>0</v>
      </c>
      <c r="G657" s="6" t="str">
        <f>IF(F657=1,IFERROR(VLOOKUP(E657,Tab_ErrMessage[],2,0),VLOOKUP(C657&amp;TableCosts[[#This Row],[Calc_N_Typ]],TRAN_STRITEMS_LABEL,4,FALSE)),"")</f>
        <v/>
      </c>
      <c r="H657" s="40"/>
      <c r="I657" s="40"/>
      <c r="J657" s="35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  <c r="AD657" s="24"/>
      <c r="AE657" s="24"/>
      <c r="AF657" s="24"/>
      <c r="AG657" s="24"/>
      <c r="AH657" s="24"/>
      <c r="AI657" s="24"/>
      <c r="AJ657" s="24"/>
      <c r="AK657" s="38">
        <f t="array" ref="AK657">IF(F657=1,SUM((ROW(M0)=ROW(AK657))*(M0+M1_+M2_+M3_+M4_+M5_+M6_+M7_+M8_+M9_+M10_+M11_+M12_+M13_+M14_+M15_+M16_+M17_+M18_+M19_+M20_+M21_+M22_+M23_+M24_+M25_)),0)</f>
        <v>0</v>
      </c>
      <c r="AL657" s="27">
        <f>TableCosts[[#This Row],[N_Direct]]</f>
        <v>0</v>
      </c>
      <c r="AN657" s="7" t="str">
        <f t="shared" si="123"/>
        <v/>
      </c>
      <c r="AO657" s="7" t="str">
        <f t="shared" si="126"/>
        <v/>
      </c>
      <c r="AP657" s="7" t="str">
        <f t="shared" si="124"/>
        <v/>
      </c>
      <c r="AQ657" s="7" t="str">
        <f t="shared" si="127"/>
        <v/>
      </c>
      <c r="AR657" s="7" t="str">
        <f t="shared" si="125"/>
        <v/>
      </c>
      <c r="AS657" s="7">
        <f t="shared" si="128"/>
        <v>0</v>
      </c>
      <c r="AT657" s="17">
        <f>TableCosts[[#This Row],[N_Amount]]*TableCosts[[#This Row],[N_Tariff]]*TableCosts[[#This Row],[N_ItemsCount]]</f>
        <v>0</v>
      </c>
      <c r="AU657" s="17">
        <f>IF(F657=1,IF(TableCosts[[#This Row],[N_Kateg]]="interné práce",TableCosts[[#This Row],[N_Amount]]*8*PAR_SGA_PERHOUR,0),0)</f>
        <v>0</v>
      </c>
      <c r="AV657" s="17">
        <f>SUM(TableCosts[[#This Row],[N_Direct]:[N_SGA]])</f>
        <v>0</v>
      </c>
      <c r="AW657" s="7">
        <f>IF(F657=1,IF(D657="",NA(),VLOOKUP(C657&amp;TableCosts[[#This Row],[Calc_N_Typ]],TRAN_STRITEMS_LABEL,7,0)),0)</f>
        <v>0</v>
      </c>
      <c r="AX657" s="7">
        <f t="shared" si="129"/>
        <v>0</v>
      </c>
      <c r="AY657" s="57" t="str">
        <f t="shared" si="130"/>
        <v/>
      </c>
      <c r="AZ657" s="57" t="str">
        <f t="shared" si="131"/>
        <v/>
      </c>
      <c r="BA657" s="57" t="str">
        <f>IF(F657=1,IF(TableCosts[[#This Row],[TransferFrom]]=TableCosts[[#This Row],[TranferTo]],0,1),"")</f>
        <v/>
      </c>
      <c r="BB657" s="7">
        <f t="shared" si="132"/>
        <v>0</v>
      </c>
      <c r="BC657" s="7">
        <f t="shared" si="133"/>
        <v>0</v>
      </c>
    </row>
    <row r="658" spans="2:55" s="7" customFormat="1" ht="12.75" x14ac:dyDescent="0.2">
      <c r="B658" s="33"/>
      <c r="C658" s="31"/>
      <c r="D658" s="40"/>
      <c r="E658" s="6" t="str">
        <f>IF(F658=1,IF(ISERROR(TableCosts[[#This Row],[N_Tariff]]),Err_Message1,IF(TableCosts[[#This Row],[N_Tariff]]=0,Err_Message2,VLOOKUP(C658&amp;TableCosts[[#This Row],[Calc_N_Typ]],TRAN_STRITEMS_LABEL,5,FALSE))),"")</f>
        <v/>
      </c>
      <c r="F658" s="6">
        <f t="shared" si="134"/>
        <v>0</v>
      </c>
      <c r="G658" s="6" t="str">
        <f>IF(F658=1,IFERROR(VLOOKUP(E658,Tab_ErrMessage[],2,0),VLOOKUP(C658&amp;TableCosts[[#This Row],[Calc_N_Typ]],TRAN_STRITEMS_LABEL,4,FALSE)),"")</f>
        <v/>
      </c>
      <c r="H658" s="40"/>
      <c r="I658" s="40"/>
      <c r="J658" s="35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  <c r="AD658" s="24"/>
      <c r="AE658" s="24"/>
      <c r="AF658" s="24"/>
      <c r="AG658" s="24"/>
      <c r="AH658" s="24"/>
      <c r="AI658" s="24"/>
      <c r="AJ658" s="24"/>
      <c r="AK658" s="38">
        <f t="array" ref="AK658">IF(F658=1,SUM((ROW(M0)=ROW(AK658))*(M0+M1_+M2_+M3_+M4_+M5_+M6_+M7_+M8_+M9_+M10_+M11_+M12_+M13_+M14_+M15_+M16_+M17_+M18_+M19_+M20_+M21_+M22_+M23_+M24_+M25_)),0)</f>
        <v>0</v>
      </c>
      <c r="AL658" s="27">
        <f>TableCosts[[#This Row],[N_Direct]]</f>
        <v>0</v>
      </c>
      <c r="AN658" s="7" t="str">
        <f t="shared" si="123"/>
        <v/>
      </c>
      <c r="AO658" s="7" t="str">
        <f t="shared" si="126"/>
        <v/>
      </c>
      <c r="AP658" s="7" t="str">
        <f t="shared" si="124"/>
        <v/>
      </c>
      <c r="AQ658" s="7" t="str">
        <f t="shared" si="127"/>
        <v/>
      </c>
      <c r="AR658" s="7" t="str">
        <f t="shared" si="125"/>
        <v/>
      </c>
      <c r="AS658" s="7">
        <f t="shared" si="128"/>
        <v>0</v>
      </c>
      <c r="AT658" s="17">
        <f>TableCosts[[#This Row],[N_Amount]]*TableCosts[[#This Row],[N_Tariff]]*TableCosts[[#This Row],[N_ItemsCount]]</f>
        <v>0</v>
      </c>
      <c r="AU658" s="17">
        <f>IF(F658=1,IF(TableCosts[[#This Row],[N_Kateg]]="interné práce",TableCosts[[#This Row],[N_Amount]]*8*PAR_SGA_PERHOUR,0),0)</f>
        <v>0</v>
      </c>
      <c r="AV658" s="17">
        <f>SUM(TableCosts[[#This Row],[N_Direct]:[N_SGA]])</f>
        <v>0</v>
      </c>
      <c r="AW658" s="7">
        <f>IF(F658=1,IF(D658="",NA(),VLOOKUP(C658&amp;TableCosts[[#This Row],[Calc_N_Typ]],TRAN_STRITEMS_LABEL,7,0)),0)</f>
        <v>0</v>
      </c>
      <c r="AX658" s="7">
        <f t="shared" si="129"/>
        <v>0</v>
      </c>
      <c r="AY658" s="57" t="str">
        <f t="shared" si="130"/>
        <v/>
      </c>
      <c r="AZ658" s="57" t="str">
        <f t="shared" si="131"/>
        <v/>
      </c>
      <c r="BA658" s="57" t="str">
        <f>IF(F658=1,IF(TableCosts[[#This Row],[TransferFrom]]=TableCosts[[#This Row],[TranferTo]],0,1),"")</f>
        <v/>
      </c>
      <c r="BB658" s="7">
        <f t="shared" si="132"/>
        <v>0</v>
      </c>
      <c r="BC658" s="7">
        <f t="shared" si="133"/>
        <v>0</v>
      </c>
    </row>
    <row r="659" spans="2:55" s="7" customFormat="1" ht="12.75" x14ac:dyDescent="0.2">
      <c r="B659" s="33"/>
      <c r="C659" s="31"/>
      <c r="D659" s="40"/>
      <c r="E659" s="6" t="str">
        <f>IF(F659=1,IF(ISERROR(TableCosts[[#This Row],[N_Tariff]]),Err_Message1,IF(TableCosts[[#This Row],[N_Tariff]]=0,Err_Message2,VLOOKUP(C659&amp;TableCosts[[#This Row],[Calc_N_Typ]],TRAN_STRITEMS_LABEL,5,FALSE))),"")</f>
        <v/>
      </c>
      <c r="F659" s="6">
        <f t="shared" si="134"/>
        <v>0</v>
      </c>
      <c r="G659" s="6" t="str">
        <f>IF(F659=1,IFERROR(VLOOKUP(E659,Tab_ErrMessage[],2,0),VLOOKUP(C659&amp;TableCosts[[#This Row],[Calc_N_Typ]],TRAN_STRITEMS_LABEL,4,FALSE)),"")</f>
        <v/>
      </c>
      <c r="H659" s="40"/>
      <c r="I659" s="40"/>
      <c r="J659" s="35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  <c r="AD659" s="24"/>
      <c r="AE659" s="24"/>
      <c r="AF659" s="24"/>
      <c r="AG659" s="24"/>
      <c r="AH659" s="24"/>
      <c r="AI659" s="24"/>
      <c r="AJ659" s="24"/>
      <c r="AK659" s="38">
        <f t="array" ref="AK659">IF(F659=1,SUM((ROW(M0)=ROW(AK659))*(M0+M1_+M2_+M3_+M4_+M5_+M6_+M7_+M8_+M9_+M10_+M11_+M12_+M13_+M14_+M15_+M16_+M17_+M18_+M19_+M20_+M21_+M22_+M23_+M24_+M25_)),0)</f>
        <v>0</v>
      </c>
      <c r="AL659" s="27">
        <f>TableCosts[[#This Row],[N_Direct]]</f>
        <v>0</v>
      </c>
      <c r="AN659" s="7" t="str">
        <f t="shared" si="123"/>
        <v/>
      </c>
      <c r="AO659" s="7" t="str">
        <f t="shared" si="126"/>
        <v/>
      </c>
      <c r="AP659" s="7" t="str">
        <f t="shared" si="124"/>
        <v/>
      </c>
      <c r="AQ659" s="7" t="str">
        <f t="shared" si="127"/>
        <v/>
      </c>
      <c r="AR659" s="7" t="str">
        <f t="shared" si="125"/>
        <v/>
      </c>
      <c r="AS659" s="7">
        <f t="shared" si="128"/>
        <v>0</v>
      </c>
      <c r="AT659" s="17">
        <f>TableCosts[[#This Row],[N_Amount]]*TableCosts[[#This Row],[N_Tariff]]*TableCosts[[#This Row],[N_ItemsCount]]</f>
        <v>0</v>
      </c>
      <c r="AU659" s="17">
        <f>IF(F659=1,IF(TableCosts[[#This Row],[N_Kateg]]="interné práce",TableCosts[[#This Row],[N_Amount]]*8*PAR_SGA_PERHOUR,0),0)</f>
        <v>0</v>
      </c>
      <c r="AV659" s="17">
        <f>SUM(TableCosts[[#This Row],[N_Direct]:[N_SGA]])</f>
        <v>0</v>
      </c>
      <c r="AW659" s="7">
        <f>IF(F659=1,IF(D659="",NA(),VLOOKUP(C659&amp;TableCosts[[#This Row],[Calc_N_Typ]],TRAN_STRITEMS_LABEL,7,0)),0)</f>
        <v>0</v>
      </c>
      <c r="AX659" s="7">
        <f t="shared" si="129"/>
        <v>0</v>
      </c>
      <c r="AY659" s="57" t="str">
        <f t="shared" si="130"/>
        <v/>
      </c>
      <c r="AZ659" s="57" t="str">
        <f t="shared" si="131"/>
        <v/>
      </c>
      <c r="BA659" s="57" t="str">
        <f>IF(F659=1,IF(TableCosts[[#This Row],[TransferFrom]]=TableCosts[[#This Row],[TranferTo]],0,1),"")</f>
        <v/>
      </c>
      <c r="BB659" s="7">
        <f t="shared" si="132"/>
        <v>0</v>
      </c>
      <c r="BC659" s="7">
        <f t="shared" si="133"/>
        <v>0</v>
      </c>
    </row>
    <row r="660" spans="2:55" s="7" customFormat="1" ht="12.75" x14ac:dyDescent="0.2">
      <c r="B660" s="33"/>
      <c r="C660" s="31"/>
      <c r="D660" s="40"/>
      <c r="E660" s="6" t="str">
        <f>IF(F660=1,IF(ISERROR(TableCosts[[#This Row],[N_Tariff]]),Err_Message1,IF(TableCosts[[#This Row],[N_Tariff]]=0,Err_Message2,VLOOKUP(C660&amp;TableCosts[[#This Row],[Calc_N_Typ]],TRAN_STRITEMS_LABEL,5,FALSE))),"")</f>
        <v/>
      </c>
      <c r="F660" s="6">
        <f t="shared" si="134"/>
        <v>0</v>
      </c>
      <c r="G660" s="6" t="str">
        <f>IF(F660=1,IFERROR(VLOOKUP(E660,Tab_ErrMessage[],2,0),VLOOKUP(C660&amp;TableCosts[[#This Row],[Calc_N_Typ]],TRAN_STRITEMS_LABEL,4,FALSE)),"")</f>
        <v/>
      </c>
      <c r="H660" s="40"/>
      <c r="I660" s="40"/>
      <c r="J660" s="35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  <c r="AD660" s="24"/>
      <c r="AE660" s="24"/>
      <c r="AF660" s="24"/>
      <c r="AG660" s="24"/>
      <c r="AH660" s="24"/>
      <c r="AI660" s="24"/>
      <c r="AJ660" s="24"/>
      <c r="AK660" s="38">
        <f t="array" ref="AK660">IF(F660=1,SUM((ROW(M0)=ROW(AK660))*(M0+M1_+M2_+M3_+M4_+M5_+M6_+M7_+M8_+M9_+M10_+M11_+M12_+M13_+M14_+M15_+M16_+M17_+M18_+M19_+M20_+M21_+M22_+M23_+M24_+M25_)),0)</f>
        <v>0</v>
      </c>
      <c r="AL660" s="27">
        <f>TableCosts[[#This Row],[N_Direct]]</f>
        <v>0</v>
      </c>
      <c r="AN660" s="7" t="str">
        <f t="shared" si="123"/>
        <v/>
      </c>
      <c r="AO660" s="7" t="str">
        <f t="shared" si="126"/>
        <v/>
      </c>
      <c r="AP660" s="7" t="str">
        <f t="shared" si="124"/>
        <v/>
      </c>
      <c r="AQ660" s="7" t="str">
        <f t="shared" si="127"/>
        <v/>
      </c>
      <c r="AR660" s="7" t="str">
        <f t="shared" si="125"/>
        <v/>
      </c>
      <c r="AS660" s="7">
        <f t="shared" si="128"/>
        <v>0</v>
      </c>
      <c r="AT660" s="17">
        <f>TableCosts[[#This Row],[N_Amount]]*TableCosts[[#This Row],[N_Tariff]]*TableCosts[[#This Row],[N_ItemsCount]]</f>
        <v>0</v>
      </c>
      <c r="AU660" s="17">
        <f>IF(F660=1,IF(TableCosts[[#This Row],[N_Kateg]]="interné práce",TableCosts[[#This Row],[N_Amount]]*8*PAR_SGA_PERHOUR,0),0)</f>
        <v>0</v>
      </c>
      <c r="AV660" s="17">
        <f>SUM(TableCosts[[#This Row],[N_Direct]:[N_SGA]])</f>
        <v>0</v>
      </c>
      <c r="AW660" s="7">
        <f>IF(F660=1,IF(D660="",NA(),VLOOKUP(C660&amp;TableCosts[[#This Row],[Calc_N_Typ]],TRAN_STRITEMS_LABEL,7,0)),0)</f>
        <v>0</v>
      </c>
      <c r="AX660" s="7">
        <f t="shared" si="129"/>
        <v>0</v>
      </c>
      <c r="AY660" s="57" t="str">
        <f t="shared" si="130"/>
        <v/>
      </c>
      <c r="AZ660" s="57" t="str">
        <f t="shared" si="131"/>
        <v/>
      </c>
      <c r="BA660" s="57" t="str">
        <f>IF(F660=1,IF(TableCosts[[#This Row],[TransferFrom]]=TableCosts[[#This Row],[TranferTo]],0,1),"")</f>
        <v/>
      </c>
      <c r="BB660" s="7">
        <f t="shared" si="132"/>
        <v>0</v>
      </c>
      <c r="BC660" s="7">
        <f t="shared" si="133"/>
        <v>0</v>
      </c>
    </row>
    <row r="661" spans="2:55" s="7" customFormat="1" ht="12.75" x14ac:dyDescent="0.2">
      <c r="B661" s="33"/>
      <c r="C661" s="31"/>
      <c r="D661" s="40"/>
      <c r="E661" s="6" t="str">
        <f>IF(F661=1,IF(ISERROR(TableCosts[[#This Row],[N_Tariff]]),Err_Message1,IF(TableCosts[[#This Row],[N_Tariff]]=0,Err_Message2,VLOOKUP(C661&amp;TableCosts[[#This Row],[Calc_N_Typ]],TRAN_STRITEMS_LABEL,5,FALSE))),"")</f>
        <v/>
      </c>
      <c r="F661" s="6">
        <f t="shared" si="134"/>
        <v>0</v>
      </c>
      <c r="G661" s="6" t="str">
        <f>IF(F661=1,IFERROR(VLOOKUP(E661,Tab_ErrMessage[],2,0),VLOOKUP(C661&amp;TableCosts[[#This Row],[Calc_N_Typ]],TRAN_STRITEMS_LABEL,4,FALSE)),"")</f>
        <v/>
      </c>
      <c r="H661" s="40"/>
      <c r="I661" s="40"/>
      <c r="J661" s="35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  <c r="AD661" s="24"/>
      <c r="AE661" s="24"/>
      <c r="AF661" s="24"/>
      <c r="AG661" s="24"/>
      <c r="AH661" s="24"/>
      <c r="AI661" s="24"/>
      <c r="AJ661" s="24"/>
      <c r="AK661" s="38">
        <f t="array" ref="AK661">IF(F661=1,SUM((ROW(M0)=ROW(AK661))*(M0+M1_+M2_+M3_+M4_+M5_+M6_+M7_+M8_+M9_+M10_+M11_+M12_+M13_+M14_+M15_+M16_+M17_+M18_+M19_+M20_+M21_+M22_+M23_+M24_+M25_)),0)</f>
        <v>0</v>
      </c>
      <c r="AL661" s="27">
        <f>TableCosts[[#This Row],[N_Direct]]</f>
        <v>0</v>
      </c>
      <c r="AN661" s="7" t="str">
        <f t="shared" si="123"/>
        <v/>
      </c>
      <c r="AO661" s="7" t="str">
        <f t="shared" si="126"/>
        <v/>
      </c>
      <c r="AP661" s="7" t="str">
        <f t="shared" si="124"/>
        <v/>
      </c>
      <c r="AQ661" s="7" t="str">
        <f t="shared" si="127"/>
        <v/>
      </c>
      <c r="AR661" s="7" t="str">
        <f t="shared" si="125"/>
        <v/>
      </c>
      <c r="AS661" s="7">
        <f t="shared" si="128"/>
        <v>0</v>
      </c>
      <c r="AT661" s="17">
        <f>TableCosts[[#This Row],[N_Amount]]*TableCosts[[#This Row],[N_Tariff]]*TableCosts[[#This Row],[N_ItemsCount]]</f>
        <v>0</v>
      </c>
      <c r="AU661" s="17">
        <f>IF(F661=1,IF(TableCosts[[#This Row],[N_Kateg]]="interné práce",TableCosts[[#This Row],[N_Amount]]*8*PAR_SGA_PERHOUR,0),0)</f>
        <v>0</v>
      </c>
      <c r="AV661" s="17">
        <f>SUM(TableCosts[[#This Row],[N_Direct]:[N_SGA]])</f>
        <v>0</v>
      </c>
      <c r="AW661" s="7">
        <f>IF(F661=1,IF(D661="",NA(),VLOOKUP(C661&amp;TableCosts[[#This Row],[Calc_N_Typ]],TRAN_STRITEMS_LABEL,7,0)),0)</f>
        <v>0</v>
      </c>
      <c r="AX661" s="7">
        <f t="shared" si="129"/>
        <v>0</v>
      </c>
      <c r="AY661" s="57" t="str">
        <f t="shared" si="130"/>
        <v/>
      </c>
      <c r="AZ661" s="57" t="str">
        <f t="shared" si="131"/>
        <v/>
      </c>
      <c r="BA661" s="57" t="str">
        <f>IF(F661=1,IF(TableCosts[[#This Row],[TransferFrom]]=TableCosts[[#This Row],[TranferTo]],0,1),"")</f>
        <v/>
      </c>
      <c r="BB661" s="7">
        <f t="shared" si="132"/>
        <v>0</v>
      </c>
      <c r="BC661" s="7">
        <f t="shared" si="133"/>
        <v>0</v>
      </c>
    </row>
    <row r="662" spans="2:55" s="7" customFormat="1" ht="12.75" x14ac:dyDescent="0.2">
      <c r="B662" s="33"/>
      <c r="C662" s="31"/>
      <c r="D662" s="40"/>
      <c r="E662" s="6" t="str">
        <f>IF(F662=1,IF(ISERROR(TableCosts[[#This Row],[N_Tariff]]),Err_Message1,IF(TableCosts[[#This Row],[N_Tariff]]=0,Err_Message2,VLOOKUP(C662&amp;TableCosts[[#This Row],[Calc_N_Typ]],TRAN_STRITEMS_LABEL,5,FALSE))),"")</f>
        <v/>
      </c>
      <c r="F662" s="6">
        <f t="shared" si="134"/>
        <v>0</v>
      </c>
      <c r="G662" s="6" t="str">
        <f>IF(F662=1,IFERROR(VLOOKUP(E662,Tab_ErrMessage[],2,0),VLOOKUP(C662&amp;TableCosts[[#This Row],[Calc_N_Typ]],TRAN_STRITEMS_LABEL,4,FALSE)),"")</f>
        <v/>
      </c>
      <c r="H662" s="40"/>
      <c r="I662" s="40"/>
      <c r="J662" s="35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  <c r="AD662" s="24"/>
      <c r="AE662" s="24"/>
      <c r="AF662" s="24"/>
      <c r="AG662" s="24"/>
      <c r="AH662" s="24"/>
      <c r="AI662" s="24"/>
      <c r="AJ662" s="24"/>
      <c r="AK662" s="38">
        <f t="array" ref="AK662">IF(F662=1,SUM((ROW(M0)=ROW(AK662))*(M0+M1_+M2_+M3_+M4_+M5_+M6_+M7_+M8_+M9_+M10_+M11_+M12_+M13_+M14_+M15_+M16_+M17_+M18_+M19_+M20_+M21_+M22_+M23_+M24_+M25_)),0)</f>
        <v>0</v>
      </c>
      <c r="AL662" s="27">
        <f>TableCosts[[#This Row],[N_Direct]]</f>
        <v>0</v>
      </c>
      <c r="AN662" s="7" t="str">
        <f t="shared" si="123"/>
        <v/>
      </c>
      <c r="AO662" s="7" t="str">
        <f t="shared" si="126"/>
        <v/>
      </c>
      <c r="AP662" s="7" t="str">
        <f t="shared" si="124"/>
        <v/>
      </c>
      <c r="AQ662" s="7" t="str">
        <f t="shared" si="127"/>
        <v/>
      </c>
      <c r="AR662" s="7" t="str">
        <f t="shared" si="125"/>
        <v/>
      </c>
      <c r="AS662" s="7">
        <f t="shared" si="128"/>
        <v>0</v>
      </c>
      <c r="AT662" s="17">
        <f>TableCosts[[#This Row],[N_Amount]]*TableCosts[[#This Row],[N_Tariff]]*TableCosts[[#This Row],[N_ItemsCount]]</f>
        <v>0</v>
      </c>
      <c r="AU662" s="17">
        <f>IF(F662=1,IF(TableCosts[[#This Row],[N_Kateg]]="interné práce",TableCosts[[#This Row],[N_Amount]]*8*PAR_SGA_PERHOUR,0),0)</f>
        <v>0</v>
      </c>
      <c r="AV662" s="17">
        <f>SUM(TableCosts[[#This Row],[N_Direct]:[N_SGA]])</f>
        <v>0</v>
      </c>
      <c r="AW662" s="7">
        <f>IF(F662=1,IF(D662="",NA(),VLOOKUP(C662&amp;TableCosts[[#This Row],[Calc_N_Typ]],TRAN_STRITEMS_LABEL,7,0)),0)</f>
        <v>0</v>
      </c>
      <c r="AX662" s="7">
        <f t="shared" si="129"/>
        <v>0</v>
      </c>
      <c r="AY662" s="57" t="str">
        <f t="shared" si="130"/>
        <v/>
      </c>
      <c r="AZ662" s="57" t="str">
        <f t="shared" si="131"/>
        <v/>
      </c>
      <c r="BA662" s="57" t="str">
        <f>IF(F662=1,IF(TableCosts[[#This Row],[TransferFrom]]=TableCosts[[#This Row],[TranferTo]],0,1),"")</f>
        <v/>
      </c>
      <c r="BB662" s="7">
        <f t="shared" si="132"/>
        <v>0</v>
      </c>
      <c r="BC662" s="7">
        <f t="shared" si="133"/>
        <v>0</v>
      </c>
    </row>
    <row r="663" spans="2:55" s="7" customFormat="1" ht="12.75" x14ac:dyDescent="0.2">
      <c r="B663" s="33"/>
      <c r="C663" s="31"/>
      <c r="D663" s="40"/>
      <c r="E663" s="6" t="str">
        <f>IF(F663=1,IF(ISERROR(TableCosts[[#This Row],[N_Tariff]]),Err_Message1,IF(TableCosts[[#This Row],[N_Tariff]]=0,Err_Message2,VLOOKUP(C663&amp;TableCosts[[#This Row],[Calc_N_Typ]],TRAN_STRITEMS_LABEL,5,FALSE))),"")</f>
        <v/>
      </c>
      <c r="F663" s="6">
        <f t="shared" si="134"/>
        <v>0</v>
      </c>
      <c r="G663" s="6" t="str">
        <f>IF(F663=1,IFERROR(VLOOKUP(E663,Tab_ErrMessage[],2,0),VLOOKUP(C663&amp;TableCosts[[#This Row],[Calc_N_Typ]],TRAN_STRITEMS_LABEL,4,FALSE)),"")</f>
        <v/>
      </c>
      <c r="H663" s="40"/>
      <c r="I663" s="40"/>
      <c r="J663" s="35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  <c r="AD663" s="24"/>
      <c r="AE663" s="24"/>
      <c r="AF663" s="24"/>
      <c r="AG663" s="24"/>
      <c r="AH663" s="24"/>
      <c r="AI663" s="24"/>
      <c r="AJ663" s="24"/>
      <c r="AK663" s="38">
        <f t="array" ref="AK663">IF(F663=1,SUM((ROW(M0)=ROW(AK663))*(M0+M1_+M2_+M3_+M4_+M5_+M6_+M7_+M8_+M9_+M10_+M11_+M12_+M13_+M14_+M15_+M16_+M17_+M18_+M19_+M20_+M21_+M22_+M23_+M24_+M25_)),0)</f>
        <v>0</v>
      </c>
      <c r="AL663" s="27">
        <f>TableCosts[[#This Row],[N_Direct]]</f>
        <v>0</v>
      </c>
      <c r="AN663" s="7" t="str">
        <f t="shared" si="123"/>
        <v/>
      </c>
      <c r="AO663" s="7" t="str">
        <f t="shared" si="126"/>
        <v/>
      </c>
      <c r="AP663" s="7" t="str">
        <f t="shared" si="124"/>
        <v/>
      </c>
      <c r="AQ663" s="7" t="str">
        <f t="shared" si="127"/>
        <v/>
      </c>
      <c r="AR663" s="7" t="str">
        <f t="shared" si="125"/>
        <v/>
      </c>
      <c r="AS663" s="7">
        <f t="shared" si="128"/>
        <v>0</v>
      </c>
      <c r="AT663" s="17">
        <f>TableCosts[[#This Row],[N_Amount]]*TableCosts[[#This Row],[N_Tariff]]*TableCosts[[#This Row],[N_ItemsCount]]</f>
        <v>0</v>
      </c>
      <c r="AU663" s="17">
        <f>IF(F663=1,IF(TableCosts[[#This Row],[N_Kateg]]="interné práce",TableCosts[[#This Row],[N_Amount]]*8*PAR_SGA_PERHOUR,0),0)</f>
        <v>0</v>
      </c>
      <c r="AV663" s="17">
        <f>SUM(TableCosts[[#This Row],[N_Direct]:[N_SGA]])</f>
        <v>0</v>
      </c>
      <c r="AW663" s="7">
        <f>IF(F663=1,IF(D663="",NA(),VLOOKUP(C663&amp;TableCosts[[#This Row],[Calc_N_Typ]],TRAN_STRITEMS_LABEL,7,0)),0)</f>
        <v>0</v>
      </c>
      <c r="AX663" s="7">
        <f t="shared" si="129"/>
        <v>0</v>
      </c>
      <c r="AY663" s="57" t="str">
        <f t="shared" si="130"/>
        <v/>
      </c>
      <c r="AZ663" s="57" t="str">
        <f t="shared" si="131"/>
        <v/>
      </c>
      <c r="BA663" s="57" t="str">
        <f>IF(F663=1,IF(TableCosts[[#This Row],[TransferFrom]]=TableCosts[[#This Row],[TranferTo]],0,1),"")</f>
        <v/>
      </c>
      <c r="BB663" s="7">
        <f t="shared" si="132"/>
        <v>0</v>
      </c>
      <c r="BC663" s="7">
        <f t="shared" si="133"/>
        <v>0</v>
      </c>
    </row>
    <row r="664" spans="2:55" s="7" customFormat="1" ht="12.75" x14ac:dyDescent="0.2">
      <c r="B664" s="33"/>
      <c r="C664" s="31"/>
      <c r="D664" s="40"/>
      <c r="E664" s="6" t="str">
        <f>IF(F664=1,IF(ISERROR(TableCosts[[#This Row],[N_Tariff]]),Err_Message1,IF(TableCosts[[#This Row],[N_Tariff]]=0,Err_Message2,VLOOKUP(C664&amp;TableCosts[[#This Row],[Calc_N_Typ]],TRAN_STRITEMS_LABEL,5,FALSE))),"")</f>
        <v/>
      </c>
      <c r="F664" s="6">
        <f t="shared" si="134"/>
        <v>0</v>
      </c>
      <c r="G664" s="6" t="str">
        <f>IF(F664=1,IFERROR(VLOOKUP(E664,Tab_ErrMessage[],2,0),VLOOKUP(C664&amp;TableCosts[[#This Row],[Calc_N_Typ]],TRAN_STRITEMS_LABEL,4,FALSE)),"")</f>
        <v/>
      </c>
      <c r="H664" s="40"/>
      <c r="I664" s="40"/>
      <c r="J664" s="35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  <c r="AD664" s="24"/>
      <c r="AE664" s="24"/>
      <c r="AF664" s="24"/>
      <c r="AG664" s="24"/>
      <c r="AH664" s="24"/>
      <c r="AI664" s="24"/>
      <c r="AJ664" s="24"/>
      <c r="AK664" s="38">
        <f t="array" ref="AK664">IF(F664=1,SUM((ROW(M0)=ROW(AK664))*(M0+M1_+M2_+M3_+M4_+M5_+M6_+M7_+M8_+M9_+M10_+M11_+M12_+M13_+M14_+M15_+M16_+M17_+M18_+M19_+M20_+M21_+M22_+M23_+M24_+M25_)),0)</f>
        <v>0</v>
      </c>
      <c r="AL664" s="27">
        <f>TableCosts[[#This Row],[N_Direct]]</f>
        <v>0</v>
      </c>
      <c r="AN664" s="7" t="str">
        <f t="shared" si="123"/>
        <v/>
      </c>
      <c r="AO664" s="7" t="str">
        <f t="shared" si="126"/>
        <v/>
      </c>
      <c r="AP664" s="7" t="str">
        <f t="shared" si="124"/>
        <v/>
      </c>
      <c r="AQ664" s="7" t="str">
        <f t="shared" si="127"/>
        <v/>
      </c>
      <c r="AR664" s="7" t="str">
        <f t="shared" si="125"/>
        <v/>
      </c>
      <c r="AS664" s="7">
        <f t="shared" si="128"/>
        <v>0</v>
      </c>
      <c r="AT664" s="17">
        <f>TableCosts[[#This Row],[N_Amount]]*TableCosts[[#This Row],[N_Tariff]]*TableCosts[[#This Row],[N_ItemsCount]]</f>
        <v>0</v>
      </c>
      <c r="AU664" s="17">
        <f>IF(F664=1,IF(TableCosts[[#This Row],[N_Kateg]]="interné práce",TableCosts[[#This Row],[N_Amount]]*8*PAR_SGA_PERHOUR,0),0)</f>
        <v>0</v>
      </c>
      <c r="AV664" s="17">
        <f>SUM(TableCosts[[#This Row],[N_Direct]:[N_SGA]])</f>
        <v>0</v>
      </c>
      <c r="AW664" s="7">
        <f>IF(F664=1,IF(D664="",NA(),VLOOKUP(C664&amp;TableCosts[[#This Row],[Calc_N_Typ]],TRAN_STRITEMS_LABEL,7,0)),0)</f>
        <v>0</v>
      </c>
      <c r="AX664" s="7">
        <f t="shared" si="129"/>
        <v>0</v>
      </c>
      <c r="AY664" s="57" t="str">
        <f t="shared" si="130"/>
        <v/>
      </c>
      <c r="AZ664" s="57" t="str">
        <f t="shared" si="131"/>
        <v/>
      </c>
      <c r="BA664" s="57" t="str">
        <f>IF(F664=1,IF(TableCosts[[#This Row],[TransferFrom]]=TableCosts[[#This Row],[TranferTo]],0,1),"")</f>
        <v/>
      </c>
      <c r="BB664" s="7">
        <f t="shared" si="132"/>
        <v>0</v>
      </c>
      <c r="BC664" s="7">
        <f t="shared" si="133"/>
        <v>0</v>
      </c>
    </row>
    <row r="665" spans="2:55" s="7" customFormat="1" ht="12.75" x14ac:dyDescent="0.2">
      <c r="B665" s="33"/>
      <c r="C665" s="31"/>
      <c r="D665" s="40"/>
      <c r="E665" s="6" t="str">
        <f>IF(F665=1,IF(ISERROR(TableCosts[[#This Row],[N_Tariff]]),Err_Message1,IF(TableCosts[[#This Row],[N_Tariff]]=0,Err_Message2,VLOOKUP(C665&amp;TableCosts[[#This Row],[Calc_N_Typ]],TRAN_STRITEMS_LABEL,5,FALSE))),"")</f>
        <v/>
      </c>
      <c r="F665" s="6">
        <f t="shared" si="134"/>
        <v>0</v>
      </c>
      <c r="G665" s="6" t="str">
        <f>IF(F665=1,IFERROR(VLOOKUP(E665,Tab_ErrMessage[],2,0),VLOOKUP(C665&amp;TableCosts[[#This Row],[Calc_N_Typ]],TRAN_STRITEMS_LABEL,4,FALSE)),"")</f>
        <v/>
      </c>
      <c r="H665" s="40"/>
      <c r="I665" s="40"/>
      <c r="J665" s="35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  <c r="AD665" s="24"/>
      <c r="AE665" s="24"/>
      <c r="AF665" s="24"/>
      <c r="AG665" s="24"/>
      <c r="AH665" s="24"/>
      <c r="AI665" s="24"/>
      <c r="AJ665" s="24"/>
      <c r="AK665" s="38">
        <f t="array" ref="AK665">IF(F665=1,SUM((ROW(M0)=ROW(AK665))*(M0+M1_+M2_+M3_+M4_+M5_+M6_+M7_+M8_+M9_+M10_+M11_+M12_+M13_+M14_+M15_+M16_+M17_+M18_+M19_+M20_+M21_+M22_+M23_+M24_+M25_)),0)</f>
        <v>0</v>
      </c>
      <c r="AL665" s="27">
        <f>TableCosts[[#This Row],[N_Direct]]</f>
        <v>0</v>
      </c>
      <c r="AN665" s="7" t="str">
        <f t="shared" si="123"/>
        <v/>
      </c>
      <c r="AO665" s="7" t="str">
        <f t="shared" si="126"/>
        <v/>
      </c>
      <c r="AP665" s="7" t="str">
        <f t="shared" si="124"/>
        <v/>
      </c>
      <c r="AQ665" s="7" t="str">
        <f t="shared" si="127"/>
        <v/>
      </c>
      <c r="AR665" s="7" t="str">
        <f t="shared" si="125"/>
        <v/>
      </c>
      <c r="AS665" s="7">
        <f t="shared" si="128"/>
        <v>0</v>
      </c>
      <c r="AT665" s="17">
        <f>TableCosts[[#This Row],[N_Amount]]*TableCosts[[#This Row],[N_Tariff]]*TableCosts[[#This Row],[N_ItemsCount]]</f>
        <v>0</v>
      </c>
      <c r="AU665" s="17">
        <f>IF(F665=1,IF(TableCosts[[#This Row],[N_Kateg]]="interné práce",TableCosts[[#This Row],[N_Amount]]*8*PAR_SGA_PERHOUR,0),0)</f>
        <v>0</v>
      </c>
      <c r="AV665" s="17">
        <f>SUM(TableCosts[[#This Row],[N_Direct]:[N_SGA]])</f>
        <v>0</v>
      </c>
      <c r="AW665" s="7">
        <f>IF(F665=1,IF(D665="",NA(),VLOOKUP(C665&amp;TableCosts[[#This Row],[Calc_N_Typ]],TRAN_STRITEMS_LABEL,7,0)),0)</f>
        <v>0</v>
      </c>
      <c r="AX665" s="7">
        <f t="shared" si="129"/>
        <v>0</v>
      </c>
      <c r="AY665" s="57" t="str">
        <f t="shared" si="130"/>
        <v/>
      </c>
      <c r="AZ665" s="57" t="str">
        <f t="shared" si="131"/>
        <v/>
      </c>
      <c r="BA665" s="57" t="str">
        <f>IF(F665=1,IF(TableCosts[[#This Row],[TransferFrom]]=TableCosts[[#This Row],[TranferTo]],0,1),"")</f>
        <v/>
      </c>
      <c r="BB665" s="7">
        <f t="shared" si="132"/>
        <v>0</v>
      </c>
      <c r="BC665" s="7">
        <f t="shared" si="133"/>
        <v>0</v>
      </c>
    </row>
    <row r="666" spans="2:55" s="7" customFormat="1" ht="12.75" x14ac:dyDescent="0.2">
      <c r="B666" s="33"/>
      <c r="C666" s="31"/>
      <c r="D666" s="40"/>
      <c r="E666" s="6" t="str">
        <f>IF(F666=1,IF(ISERROR(TableCosts[[#This Row],[N_Tariff]]),Err_Message1,IF(TableCosts[[#This Row],[N_Tariff]]=0,Err_Message2,VLOOKUP(C666&amp;TableCosts[[#This Row],[Calc_N_Typ]],TRAN_STRITEMS_LABEL,5,FALSE))),"")</f>
        <v/>
      </c>
      <c r="F666" s="6">
        <f t="shared" si="134"/>
        <v>0</v>
      </c>
      <c r="G666" s="6" t="str">
        <f>IF(F666=1,IFERROR(VLOOKUP(E666,Tab_ErrMessage[],2,0),VLOOKUP(C666&amp;TableCosts[[#This Row],[Calc_N_Typ]],TRAN_STRITEMS_LABEL,4,FALSE)),"")</f>
        <v/>
      </c>
      <c r="H666" s="40"/>
      <c r="I666" s="40"/>
      <c r="J666" s="35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  <c r="AD666" s="24"/>
      <c r="AE666" s="24"/>
      <c r="AF666" s="24"/>
      <c r="AG666" s="24"/>
      <c r="AH666" s="24"/>
      <c r="AI666" s="24"/>
      <c r="AJ666" s="24"/>
      <c r="AK666" s="38">
        <f t="array" ref="AK666">IF(F666=1,SUM((ROW(M0)=ROW(AK666))*(M0+M1_+M2_+M3_+M4_+M5_+M6_+M7_+M8_+M9_+M10_+M11_+M12_+M13_+M14_+M15_+M16_+M17_+M18_+M19_+M20_+M21_+M22_+M23_+M24_+M25_)),0)</f>
        <v>0</v>
      </c>
      <c r="AL666" s="27">
        <f>TableCosts[[#This Row],[N_Direct]]</f>
        <v>0</v>
      </c>
      <c r="AN666" s="7" t="str">
        <f t="shared" si="123"/>
        <v/>
      </c>
      <c r="AO666" s="7" t="str">
        <f t="shared" si="126"/>
        <v/>
      </c>
      <c r="AP666" s="7" t="str">
        <f t="shared" si="124"/>
        <v/>
      </c>
      <c r="AQ666" s="7" t="str">
        <f t="shared" si="127"/>
        <v/>
      </c>
      <c r="AR666" s="7" t="str">
        <f t="shared" si="125"/>
        <v/>
      </c>
      <c r="AS666" s="7">
        <f t="shared" si="128"/>
        <v>0</v>
      </c>
      <c r="AT666" s="17">
        <f>TableCosts[[#This Row],[N_Amount]]*TableCosts[[#This Row],[N_Tariff]]*TableCosts[[#This Row],[N_ItemsCount]]</f>
        <v>0</v>
      </c>
      <c r="AU666" s="17">
        <f>IF(F666=1,IF(TableCosts[[#This Row],[N_Kateg]]="interné práce",TableCosts[[#This Row],[N_Amount]]*8*PAR_SGA_PERHOUR,0),0)</f>
        <v>0</v>
      </c>
      <c r="AV666" s="17">
        <f>SUM(TableCosts[[#This Row],[N_Direct]:[N_SGA]])</f>
        <v>0</v>
      </c>
      <c r="AW666" s="7">
        <f>IF(F666=1,IF(D666="",NA(),VLOOKUP(C666&amp;TableCosts[[#This Row],[Calc_N_Typ]],TRAN_STRITEMS_LABEL,7,0)),0)</f>
        <v>0</v>
      </c>
      <c r="AX666" s="7">
        <f t="shared" si="129"/>
        <v>0</v>
      </c>
      <c r="AY666" s="57" t="str">
        <f t="shared" si="130"/>
        <v/>
      </c>
      <c r="AZ666" s="57" t="str">
        <f t="shared" si="131"/>
        <v/>
      </c>
      <c r="BA666" s="57" t="str">
        <f>IF(F666=1,IF(TableCosts[[#This Row],[TransferFrom]]=TableCosts[[#This Row],[TranferTo]],0,1),"")</f>
        <v/>
      </c>
      <c r="BB666" s="7">
        <f t="shared" si="132"/>
        <v>0</v>
      </c>
      <c r="BC666" s="7">
        <f t="shared" si="133"/>
        <v>0</v>
      </c>
    </row>
    <row r="667" spans="2:55" s="7" customFormat="1" ht="12.75" x14ac:dyDescent="0.2">
      <c r="B667" s="33"/>
      <c r="C667" s="31"/>
      <c r="D667" s="40"/>
      <c r="E667" s="6" t="str">
        <f>IF(F667=1,IF(ISERROR(TableCosts[[#This Row],[N_Tariff]]),Err_Message1,IF(TableCosts[[#This Row],[N_Tariff]]=0,Err_Message2,VLOOKUP(C667&amp;TableCosts[[#This Row],[Calc_N_Typ]],TRAN_STRITEMS_LABEL,5,FALSE))),"")</f>
        <v/>
      </c>
      <c r="F667" s="6">
        <f t="shared" si="134"/>
        <v>0</v>
      </c>
      <c r="G667" s="6" t="str">
        <f>IF(F667=1,IFERROR(VLOOKUP(E667,Tab_ErrMessage[],2,0),VLOOKUP(C667&amp;TableCosts[[#This Row],[Calc_N_Typ]],TRAN_STRITEMS_LABEL,4,FALSE)),"")</f>
        <v/>
      </c>
      <c r="H667" s="40"/>
      <c r="I667" s="40"/>
      <c r="J667" s="35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  <c r="AD667" s="24"/>
      <c r="AE667" s="24"/>
      <c r="AF667" s="24"/>
      <c r="AG667" s="24"/>
      <c r="AH667" s="24"/>
      <c r="AI667" s="24"/>
      <c r="AJ667" s="24"/>
      <c r="AK667" s="38">
        <f t="array" ref="AK667">IF(F667=1,SUM((ROW(M0)=ROW(AK667))*(M0+M1_+M2_+M3_+M4_+M5_+M6_+M7_+M8_+M9_+M10_+M11_+M12_+M13_+M14_+M15_+M16_+M17_+M18_+M19_+M20_+M21_+M22_+M23_+M24_+M25_)),0)</f>
        <v>0</v>
      </c>
      <c r="AL667" s="27">
        <f>TableCosts[[#This Row],[N_Direct]]</f>
        <v>0</v>
      </c>
      <c r="AN667" s="7" t="str">
        <f t="shared" si="123"/>
        <v/>
      </c>
      <c r="AO667" s="7" t="str">
        <f t="shared" si="126"/>
        <v/>
      </c>
      <c r="AP667" s="7" t="str">
        <f t="shared" si="124"/>
        <v/>
      </c>
      <c r="AQ667" s="7" t="str">
        <f t="shared" si="127"/>
        <v/>
      </c>
      <c r="AR667" s="7" t="str">
        <f t="shared" si="125"/>
        <v/>
      </c>
      <c r="AS667" s="7">
        <f t="shared" si="128"/>
        <v>0</v>
      </c>
      <c r="AT667" s="17">
        <f>TableCosts[[#This Row],[N_Amount]]*TableCosts[[#This Row],[N_Tariff]]*TableCosts[[#This Row],[N_ItemsCount]]</f>
        <v>0</v>
      </c>
      <c r="AU667" s="17">
        <f>IF(F667=1,IF(TableCosts[[#This Row],[N_Kateg]]="interné práce",TableCosts[[#This Row],[N_Amount]]*8*PAR_SGA_PERHOUR,0),0)</f>
        <v>0</v>
      </c>
      <c r="AV667" s="17">
        <f>SUM(TableCosts[[#This Row],[N_Direct]:[N_SGA]])</f>
        <v>0</v>
      </c>
      <c r="AW667" s="7">
        <f>IF(F667=1,IF(D667="",NA(),VLOOKUP(C667&amp;TableCosts[[#This Row],[Calc_N_Typ]],TRAN_STRITEMS_LABEL,7,0)),0)</f>
        <v>0</v>
      </c>
      <c r="AX667" s="7">
        <f t="shared" si="129"/>
        <v>0</v>
      </c>
      <c r="AY667" s="57" t="str">
        <f t="shared" si="130"/>
        <v/>
      </c>
      <c r="AZ667" s="57" t="str">
        <f t="shared" si="131"/>
        <v/>
      </c>
      <c r="BA667" s="57" t="str">
        <f>IF(F667=1,IF(TableCosts[[#This Row],[TransferFrom]]=TableCosts[[#This Row],[TranferTo]],0,1),"")</f>
        <v/>
      </c>
      <c r="BB667" s="7">
        <f t="shared" si="132"/>
        <v>0</v>
      </c>
      <c r="BC667" s="7">
        <f t="shared" si="133"/>
        <v>0</v>
      </c>
    </row>
    <row r="668" spans="2:55" s="7" customFormat="1" ht="12.75" x14ac:dyDescent="0.2">
      <c r="B668" s="33"/>
      <c r="C668" s="31"/>
      <c r="D668" s="40"/>
      <c r="E668" s="6" t="str">
        <f>IF(F668=1,IF(ISERROR(TableCosts[[#This Row],[N_Tariff]]),Err_Message1,IF(TableCosts[[#This Row],[N_Tariff]]=0,Err_Message2,VLOOKUP(C668&amp;TableCosts[[#This Row],[Calc_N_Typ]],TRAN_STRITEMS_LABEL,5,FALSE))),"")</f>
        <v/>
      </c>
      <c r="F668" s="6">
        <f t="shared" si="134"/>
        <v>0</v>
      </c>
      <c r="G668" s="6" t="str">
        <f>IF(F668=1,IFERROR(VLOOKUP(E668,Tab_ErrMessage[],2,0),VLOOKUP(C668&amp;TableCosts[[#This Row],[Calc_N_Typ]],TRAN_STRITEMS_LABEL,4,FALSE)),"")</f>
        <v/>
      </c>
      <c r="H668" s="40"/>
      <c r="I668" s="40"/>
      <c r="J668" s="35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  <c r="AD668" s="24"/>
      <c r="AE668" s="24"/>
      <c r="AF668" s="24"/>
      <c r="AG668" s="24"/>
      <c r="AH668" s="24"/>
      <c r="AI668" s="24"/>
      <c r="AJ668" s="24"/>
      <c r="AK668" s="38">
        <f t="array" ref="AK668">IF(F668=1,SUM((ROW(M0)=ROW(AK668))*(M0+M1_+M2_+M3_+M4_+M5_+M6_+M7_+M8_+M9_+M10_+M11_+M12_+M13_+M14_+M15_+M16_+M17_+M18_+M19_+M20_+M21_+M22_+M23_+M24_+M25_)),0)</f>
        <v>0</v>
      </c>
      <c r="AL668" s="27">
        <f>TableCosts[[#This Row],[N_Direct]]</f>
        <v>0</v>
      </c>
      <c r="AN668" s="7" t="str">
        <f t="shared" si="123"/>
        <v/>
      </c>
      <c r="AO668" s="7" t="str">
        <f t="shared" si="126"/>
        <v/>
      </c>
      <c r="AP668" s="7" t="str">
        <f t="shared" si="124"/>
        <v/>
      </c>
      <c r="AQ668" s="7" t="str">
        <f t="shared" si="127"/>
        <v/>
      </c>
      <c r="AR668" s="7" t="str">
        <f t="shared" si="125"/>
        <v/>
      </c>
      <c r="AS668" s="7">
        <f t="shared" si="128"/>
        <v>0</v>
      </c>
      <c r="AT668" s="17">
        <f>TableCosts[[#This Row],[N_Amount]]*TableCosts[[#This Row],[N_Tariff]]*TableCosts[[#This Row],[N_ItemsCount]]</f>
        <v>0</v>
      </c>
      <c r="AU668" s="17">
        <f>IF(F668=1,IF(TableCosts[[#This Row],[N_Kateg]]="interné práce",TableCosts[[#This Row],[N_Amount]]*8*PAR_SGA_PERHOUR,0),0)</f>
        <v>0</v>
      </c>
      <c r="AV668" s="17">
        <f>SUM(TableCosts[[#This Row],[N_Direct]:[N_SGA]])</f>
        <v>0</v>
      </c>
      <c r="AW668" s="7">
        <f>IF(F668=1,IF(D668="",NA(),VLOOKUP(C668&amp;TableCosts[[#This Row],[Calc_N_Typ]],TRAN_STRITEMS_LABEL,7,0)),0)</f>
        <v>0</v>
      </c>
      <c r="AX668" s="7">
        <f t="shared" si="129"/>
        <v>0</v>
      </c>
      <c r="AY668" s="57" t="str">
        <f t="shared" si="130"/>
        <v/>
      </c>
      <c r="AZ668" s="57" t="str">
        <f t="shared" si="131"/>
        <v/>
      </c>
      <c r="BA668" s="57" t="str">
        <f>IF(F668=1,IF(TableCosts[[#This Row],[TransferFrom]]=TableCosts[[#This Row],[TranferTo]],0,1),"")</f>
        <v/>
      </c>
      <c r="BB668" s="7">
        <f t="shared" si="132"/>
        <v>0</v>
      </c>
      <c r="BC668" s="7">
        <f t="shared" si="133"/>
        <v>0</v>
      </c>
    </row>
    <row r="669" spans="2:55" s="7" customFormat="1" ht="12.75" x14ac:dyDescent="0.2">
      <c r="B669" s="33"/>
      <c r="C669" s="31"/>
      <c r="D669" s="40"/>
      <c r="E669" s="6" t="str">
        <f>IF(F669=1,IF(ISERROR(TableCosts[[#This Row],[N_Tariff]]),Err_Message1,IF(TableCosts[[#This Row],[N_Tariff]]=0,Err_Message2,VLOOKUP(C669&amp;TableCosts[[#This Row],[Calc_N_Typ]],TRAN_STRITEMS_LABEL,5,FALSE))),"")</f>
        <v/>
      </c>
      <c r="F669" s="6">
        <f t="shared" si="134"/>
        <v>0</v>
      </c>
      <c r="G669" s="6" t="str">
        <f>IF(F669=1,IFERROR(VLOOKUP(E669,Tab_ErrMessage[],2,0),VLOOKUP(C669&amp;TableCosts[[#This Row],[Calc_N_Typ]],TRAN_STRITEMS_LABEL,4,FALSE)),"")</f>
        <v/>
      </c>
      <c r="H669" s="40"/>
      <c r="I669" s="40"/>
      <c r="J669" s="35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  <c r="AD669" s="24"/>
      <c r="AE669" s="24"/>
      <c r="AF669" s="24"/>
      <c r="AG669" s="24"/>
      <c r="AH669" s="24"/>
      <c r="AI669" s="24"/>
      <c r="AJ669" s="24"/>
      <c r="AK669" s="38">
        <f t="array" ref="AK669">IF(F669=1,SUM((ROW(M0)=ROW(AK669))*(M0+M1_+M2_+M3_+M4_+M5_+M6_+M7_+M8_+M9_+M10_+M11_+M12_+M13_+M14_+M15_+M16_+M17_+M18_+M19_+M20_+M21_+M22_+M23_+M24_+M25_)),0)</f>
        <v>0</v>
      </c>
      <c r="AL669" s="27">
        <f>TableCosts[[#This Row],[N_Direct]]</f>
        <v>0</v>
      </c>
      <c r="AN669" s="7" t="str">
        <f t="shared" si="123"/>
        <v/>
      </c>
      <c r="AO669" s="7" t="str">
        <f t="shared" si="126"/>
        <v/>
      </c>
      <c r="AP669" s="7" t="str">
        <f t="shared" si="124"/>
        <v/>
      </c>
      <c r="AQ669" s="7" t="str">
        <f t="shared" si="127"/>
        <v/>
      </c>
      <c r="AR669" s="7" t="str">
        <f t="shared" si="125"/>
        <v/>
      </c>
      <c r="AS669" s="7">
        <f t="shared" si="128"/>
        <v>0</v>
      </c>
      <c r="AT669" s="17">
        <f>TableCosts[[#This Row],[N_Amount]]*TableCosts[[#This Row],[N_Tariff]]*TableCosts[[#This Row],[N_ItemsCount]]</f>
        <v>0</v>
      </c>
      <c r="AU669" s="17">
        <f>IF(F669=1,IF(TableCosts[[#This Row],[N_Kateg]]="interné práce",TableCosts[[#This Row],[N_Amount]]*8*PAR_SGA_PERHOUR,0),0)</f>
        <v>0</v>
      </c>
      <c r="AV669" s="17">
        <f>SUM(TableCosts[[#This Row],[N_Direct]:[N_SGA]])</f>
        <v>0</v>
      </c>
      <c r="AW669" s="7">
        <f>IF(F669=1,IF(D669="",NA(),VLOOKUP(C669&amp;TableCosts[[#This Row],[Calc_N_Typ]],TRAN_STRITEMS_LABEL,7,0)),0)</f>
        <v>0</v>
      </c>
      <c r="AX669" s="7">
        <f t="shared" si="129"/>
        <v>0</v>
      </c>
      <c r="AY669" s="57" t="str">
        <f t="shared" si="130"/>
        <v/>
      </c>
      <c r="AZ669" s="57" t="str">
        <f t="shared" si="131"/>
        <v/>
      </c>
      <c r="BA669" s="57" t="str">
        <f>IF(F669=1,IF(TableCosts[[#This Row],[TransferFrom]]=TableCosts[[#This Row],[TranferTo]],0,1),"")</f>
        <v/>
      </c>
      <c r="BB669" s="7">
        <f t="shared" si="132"/>
        <v>0</v>
      </c>
      <c r="BC669" s="7">
        <f t="shared" si="133"/>
        <v>0</v>
      </c>
    </row>
    <row r="670" spans="2:55" s="7" customFormat="1" ht="12.75" x14ac:dyDescent="0.2">
      <c r="B670" s="33"/>
      <c r="C670" s="31"/>
      <c r="D670" s="40"/>
      <c r="E670" s="6" t="str">
        <f>IF(F670=1,IF(ISERROR(TableCosts[[#This Row],[N_Tariff]]),Err_Message1,IF(TableCosts[[#This Row],[N_Tariff]]=0,Err_Message2,VLOOKUP(C670&amp;TableCosts[[#This Row],[Calc_N_Typ]],TRAN_STRITEMS_LABEL,5,FALSE))),"")</f>
        <v/>
      </c>
      <c r="F670" s="6">
        <f t="shared" si="134"/>
        <v>0</v>
      </c>
      <c r="G670" s="6" t="str">
        <f>IF(F670=1,IFERROR(VLOOKUP(E670,Tab_ErrMessage[],2,0),VLOOKUP(C670&amp;TableCosts[[#This Row],[Calc_N_Typ]],TRAN_STRITEMS_LABEL,4,FALSE)),"")</f>
        <v/>
      </c>
      <c r="H670" s="40"/>
      <c r="I670" s="40"/>
      <c r="J670" s="35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  <c r="AD670" s="24"/>
      <c r="AE670" s="24"/>
      <c r="AF670" s="24"/>
      <c r="AG670" s="24"/>
      <c r="AH670" s="24"/>
      <c r="AI670" s="24"/>
      <c r="AJ670" s="24"/>
      <c r="AK670" s="38">
        <f t="array" ref="AK670">IF(F670=1,SUM((ROW(M0)=ROW(AK670))*(M0+M1_+M2_+M3_+M4_+M5_+M6_+M7_+M8_+M9_+M10_+M11_+M12_+M13_+M14_+M15_+M16_+M17_+M18_+M19_+M20_+M21_+M22_+M23_+M24_+M25_)),0)</f>
        <v>0</v>
      </c>
      <c r="AL670" s="27">
        <f>TableCosts[[#This Row],[N_Direct]]</f>
        <v>0</v>
      </c>
      <c r="AN670" s="7" t="str">
        <f t="shared" si="123"/>
        <v/>
      </c>
      <c r="AO670" s="7" t="str">
        <f t="shared" si="126"/>
        <v/>
      </c>
      <c r="AP670" s="7" t="str">
        <f t="shared" si="124"/>
        <v/>
      </c>
      <c r="AQ670" s="7" t="str">
        <f t="shared" si="127"/>
        <v/>
      </c>
      <c r="AR670" s="7" t="str">
        <f t="shared" si="125"/>
        <v/>
      </c>
      <c r="AS670" s="7">
        <f t="shared" si="128"/>
        <v>0</v>
      </c>
      <c r="AT670" s="17">
        <f>TableCosts[[#This Row],[N_Amount]]*TableCosts[[#This Row],[N_Tariff]]*TableCosts[[#This Row],[N_ItemsCount]]</f>
        <v>0</v>
      </c>
      <c r="AU670" s="17">
        <f>IF(F670=1,IF(TableCosts[[#This Row],[N_Kateg]]="interné práce",TableCosts[[#This Row],[N_Amount]]*8*PAR_SGA_PERHOUR,0),0)</f>
        <v>0</v>
      </c>
      <c r="AV670" s="17">
        <f>SUM(TableCosts[[#This Row],[N_Direct]:[N_SGA]])</f>
        <v>0</v>
      </c>
      <c r="AW670" s="7">
        <f>IF(F670=1,IF(D670="",NA(),VLOOKUP(C670&amp;TableCosts[[#This Row],[Calc_N_Typ]],TRAN_STRITEMS_LABEL,7,0)),0)</f>
        <v>0</v>
      </c>
      <c r="AX670" s="7">
        <f t="shared" si="129"/>
        <v>0</v>
      </c>
      <c r="AY670" s="57" t="str">
        <f t="shared" si="130"/>
        <v/>
      </c>
      <c r="AZ670" s="57" t="str">
        <f t="shared" si="131"/>
        <v/>
      </c>
      <c r="BA670" s="57" t="str">
        <f>IF(F670=1,IF(TableCosts[[#This Row],[TransferFrom]]=TableCosts[[#This Row],[TranferTo]],0,1),"")</f>
        <v/>
      </c>
      <c r="BB670" s="7">
        <f t="shared" si="132"/>
        <v>0</v>
      </c>
      <c r="BC670" s="7">
        <f t="shared" si="133"/>
        <v>0</v>
      </c>
    </row>
    <row r="671" spans="2:55" s="7" customFormat="1" ht="12.75" x14ac:dyDescent="0.2">
      <c r="B671" s="33"/>
      <c r="C671" s="31"/>
      <c r="D671" s="40"/>
      <c r="E671" s="6" t="str">
        <f>IF(F671=1,IF(ISERROR(TableCosts[[#This Row],[N_Tariff]]),Err_Message1,IF(TableCosts[[#This Row],[N_Tariff]]=0,Err_Message2,VLOOKUP(C671&amp;TableCosts[[#This Row],[Calc_N_Typ]],TRAN_STRITEMS_LABEL,5,FALSE))),"")</f>
        <v/>
      </c>
      <c r="F671" s="6">
        <f t="shared" si="134"/>
        <v>0</v>
      </c>
      <c r="G671" s="6" t="str">
        <f>IF(F671=1,IFERROR(VLOOKUP(E671,Tab_ErrMessage[],2,0),VLOOKUP(C671&amp;TableCosts[[#This Row],[Calc_N_Typ]],TRAN_STRITEMS_LABEL,4,FALSE)),"")</f>
        <v/>
      </c>
      <c r="H671" s="40"/>
      <c r="I671" s="40"/>
      <c r="J671" s="35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  <c r="AD671" s="24"/>
      <c r="AE671" s="24"/>
      <c r="AF671" s="24"/>
      <c r="AG671" s="24"/>
      <c r="AH671" s="24"/>
      <c r="AI671" s="24"/>
      <c r="AJ671" s="24"/>
      <c r="AK671" s="38">
        <f t="array" ref="AK671">IF(F671=1,SUM((ROW(M0)=ROW(AK671))*(M0+M1_+M2_+M3_+M4_+M5_+M6_+M7_+M8_+M9_+M10_+M11_+M12_+M13_+M14_+M15_+M16_+M17_+M18_+M19_+M20_+M21_+M22_+M23_+M24_+M25_)),0)</f>
        <v>0</v>
      </c>
      <c r="AL671" s="27">
        <f>TableCosts[[#This Row],[N_Direct]]</f>
        <v>0</v>
      </c>
      <c r="AN671" s="7" t="str">
        <f t="shared" si="123"/>
        <v/>
      </c>
      <c r="AO671" s="7" t="str">
        <f t="shared" si="126"/>
        <v/>
      </c>
      <c r="AP671" s="7" t="str">
        <f t="shared" si="124"/>
        <v/>
      </c>
      <c r="AQ671" s="7" t="str">
        <f t="shared" si="127"/>
        <v/>
      </c>
      <c r="AR671" s="7" t="str">
        <f t="shared" si="125"/>
        <v/>
      </c>
      <c r="AS671" s="7">
        <f t="shared" si="128"/>
        <v>0</v>
      </c>
      <c r="AT671" s="17">
        <f>TableCosts[[#This Row],[N_Amount]]*TableCosts[[#This Row],[N_Tariff]]*TableCosts[[#This Row],[N_ItemsCount]]</f>
        <v>0</v>
      </c>
      <c r="AU671" s="17">
        <f>IF(F671=1,IF(TableCosts[[#This Row],[N_Kateg]]="interné práce",TableCosts[[#This Row],[N_Amount]]*8*PAR_SGA_PERHOUR,0),0)</f>
        <v>0</v>
      </c>
      <c r="AV671" s="17">
        <f>SUM(TableCosts[[#This Row],[N_Direct]:[N_SGA]])</f>
        <v>0</v>
      </c>
      <c r="AW671" s="7">
        <f>IF(F671=1,IF(D671="",NA(),VLOOKUP(C671&amp;TableCosts[[#This Row],[Calc_N_Typ]],TRAN_STRITEMS_LABEL,7,0)),0)</f>
        <v>0</v>
      </c>
      <c r="AX671" s="7">
        <f t="shared" si="129"/>
        <v>0</v>
      </c>
      <c r="AY671" s="57" t="str">
        <f t="shared" si="130"/>
        <v/>
      </c>
      <c r="AZ671" s="57" t="str">
        <f t="shared" si="131"/>
        <v/>
      </c>
      <c r="BA671" s="57" t="str">
        <f>IF(F671=1,IF(TableCosts[[#This Row],[TransferFrom]]=TableCosts[[#This Row],[TranferTo]],0,1),"")</f>
        <v/>
      </c>
      <c r="BB671" s="7">
        <f t="shared" si="132"/>
        <v>0</v>
      </c>
      <c r="BC671" s="7">
        <f t="shared" si="133"/>
        <v>0</v>
      </c>
    </row>
    <row r="672" spans="2:55" s="7" customFormat="1" ht="12.75" x14ac:dyDescent="0.2">
      <c r="B672" s="33"/>
      <c r="C672" s="31"/>
      <c r="D672" s="40"/>
      <c r="E672" s="6" t="str">
        <f>IF(F672=1,IF(ISERROR(TableCosts[[#This Row],[N_Tariff]]),Err_Message1,IF(TableCosts[[#This Row],[N_Tariff]]=0,Err_Message2,VLOOKUP(C672&amp;TableCosts[[#This Row],[Calc_N_Typ]],TRAN_STRITEMS_LABEL,5,FALSE))),"")</f>
        <v/>
      </c>
      <c r="F672" s="6">
        <f t="shared" si="134"/>
        <v>0</v>
      </c>
      <c r="G672" s="6" t="str">
        <f>IF(F672=1,IFERROR(VLOOKUP(E672,Tab_ErrMessage[],2,0),VLOOKUP(C672&amp;TableCosts[[#This Row],[Calc_N_Typ]],TRAN_STRITEMS_LABEL,4,FALSE)),"")</f>
        <v/>
      </c>
      <c r="H672" s="40"/>
      <c r="I672" s="40"/>
      <c r="J672" s="35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  <c r="AD672" s="24"/>
      <c r="AE672" s="24"/>
      <c r="AF672" s="24"/>
      <c r="AG672" s="24"/>
      <c r="AH672" s="24"/>
      <c r="AI672" s="24"/>
      <c r="AJ672" s="24"/>
      <c r="AK672" s="38">
        <f t="array" ref="AK672">IF(F672=1,SUM((ROW(M0)=ROW(AK672))*(M0+M1_+M2_+M3_+M4_+M5_+M6_+M7_+M8_+M9_+M10_+M11_+M12_+M13_+M14_+M15_+M16_+M17_+M18_+M19_+M20_+M21_+M22_+M23_+M24_+M25_)),0)</f>
        <v>0</v>
      </c>
      <c r="AL672" s="27">
        <f>TableCosts[[#This Row],[N_Direct]]</f>
        <v>0</v>
      </c>
      <c r="AN672" s="7" t="str">
        <f t="shared" si="123"/>
        <v/>
      </c>
      <c r="AO672" s="7" t="str">
        <f t="shared" si="126"/>
        <v/>
      </c>
      <c r="AP672" s="7" t="str">
        <f t="shared" si="124"/>
        <v/>
      </c>
      <c r="AQ672" s="7" t="str">
        <f t="shared" si="127"/>
        <v/>
      </c>
      <c r="AR672" s="7" t="str">
        <f t="shared" si="125"/>
        <v/>
      </c>
      <c r="AS672" s="7">
        <f t="shared" si="128"/>
        <v>0</v>
      </c>
      <c r="AT672" s="17">
        <f>TableCosts[[#This Row],[N_Amount]]*TableCosts[[#This Row],[N_Tariff]]*TableCosts[[#This Row],[N_ItemsCount]]</f>
        <v>0</v>
      </c>
      <c r="AU672" s="17">
        <f>IF(F672=1,IF(TableCosts[[#This Row],[N_Kateg]]="interné práce",TableCosts[[#This Row],[N_Amount]]*8*PAR_SGA_PERHOUR,0),0)</f>
        <v>0</v>
      </c>
      <c r="AV672" s="17">
        <f>SUM(TableCosts[[#This Row],[N_Direct]:[N_SGA]])</f>
        <v>0</v>
      </c>
      <c r="AW672" s="7">
        <f>IF(F672=1,IF(D672="",NA(),VLOOKUP(C672&amp;TableCosts[[#This Row],[Calc_N_Typ]],TRAN_STRITEMS_LABEL,7,0)),0)</f>
        <v>0</v>
      </c>
      <c r="AX672" s="7">
        <f t="shared" si="129"/>
        <v>0</v>
      </c>
      <c r="AY672" s="57" t="str">
        <f t="shared" si="130"/>
        <v/>
      </c>
      <c r="AZ672" s="57" t="str">
        <f t="shared" si="131"/>
        <v/>
      </c>
      <c r="BA672" s="57" t="str">
        <f>IF(F672=1,IF(TableCosts[[#This Row],[TransferFrom]]=TableCosts[[#This Row],[TranferTo]],0,1),"")</f>
        <v/>
      </c>
      <c r="BB672" s="7">
        <f t="shared" si="132"/>
        <v>0</v>
      </c>
      <c r="BC672" s="7">
        <f t="shared" si="133"/>
        <v>0</v>
      </c>
    </row>
    <row r="673" spans="2:55" s="7" customFormat="1" ht="12.75" x14ac:dyDescent="0.2">
      <c r="B673" s="33"/>
      <c r="C673" s="31"/>
      <c r="D673" s="40"/>
      <c r="E673" s="6" t="str">
        <f>IF(F673=1,IF(ISERROR(TableCosts[[#This Row],[N_Tariff]]),Err_Message1,IF(TableCosts[[#This Row],[N_Tariff]]=0,Err_Message2,VLOOKUP(C673&amp;TableCosts[[#This Row],[Calc_N_Typ]],TRAN_STRITEMS_LABEL,5,FALSE))),"")</f>
        <v/>
      </c>
      <c r="F673" s="6">
        <f t="shared" si="134"/>
        <v>0</v>
      </c>
      <c r="G673" s="6" t="str">
        <f>IF(F673=1,IFERROR(VLOOKUP(E673,Tab_ErrMessage[],2,0),VLOOKUP(C673&amp;TableCosts[[#This Row],[Calc_N_Typ]],TRAN_STRITEMS_LABEL,4,FALSE)),"")</f>
        <v/>
      </c>
      <c r="H673" s="40"/>
      <c r="I673" s="40"/>
      <c r="J673" s="35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  <c r="AD673" s="24"/>
      <c r="AE673" s="24"/>
      <c r="AF673" s="24"/>
      <c r="AG673" s="24"/>
      <c r="AH673" s="24"/>
      <c r="AI673" s="24"/>
      <c r="AJ673" s="24"/>
      <c r="AK673" s="38">
        <f t="array" ref="AK673">IF(F673=1,SUM((ROW(M0)=ROW(AK673))*(M0+M1_+M2_+M3_+M4_+M5_+M6_+M7_+M8_+M9_+M10_+M11_+M12_+M13_+M14_+M15_+M16_+M17_+M18_+M19_+M20_+M21_+M22_+M23_+M24_+M25_)),0)</f>
        <v>0</v>
      </c>
      <c r="AL673" s="27">
        <f>TableCosts[[#This Row],[N_Direct]]</f>
        <v>0</v>
      </c>
      <c r="AN673" s="7" t="str">
        <f t="shared" si="123"/>
        <v/>
      </c>
      <c r="AO673" s="7" t="str">
        <f t="shared" si="126"/>
        <v/>
      </c>
      <c r="AP673" s="7" t="str">
        <f t="shared" si="124"/>
        <v/>
      </c>
      <c r="AQ673" s="7" t="str">
        <f t="shared" si="127"/>
        <v/>
      </c>
      <c r="AR673" s="7" t="str">
        <f t="shared" si="125"/>
        <v/>
      </c>
      <c r="AS673" s="7">
        <f t="shared" si="128"/>
        <v>0</v>
      </c>
      <c r="AT673" s="17">
        <f>TableCosts[[#This Row],[N_Amount]]*TableCosts[[#This Row],[N_Tariff]]*TableCosts[[#This Row],[N_ItemsCount]]</f>
        <v>0</v>
      </c>
      <c r="AU673" s="17">
        <f>IF(F673=1,IF(TableCosts[[#This Row],[N_Kateg]]="interné práce",TableCosts[[#This Row],[N_Amount]]*8*PAR_SGA_PERHOUR,0),0)</f>
        <v>0</v>
      </c>
      <c r="AV673" s="17">
        <f>SUM(TableCosts[[#This Row],[N_Direct]:[N_SGA]])</f>
        <v>0</v>
      </c>
      <c r="AW673" s="7">
        <f>IF(F673=1,IF(D673="",NA(),VLOOKUP(C673&amp;TableCosts[[#This Row],[Calc_N_Typ]],TRAN_STRITEMS_LABEL,7,0)),0)</f>
        <v>0</v>
      </c>
      <c r="AX673" s="7">
        <f t="shared" si="129"/>
        <v>0</v>
      </c>
      <c r="AY673" s="57" t="str">
        <f t="shared" si="130"/>
        <v/>
      </c>
      <c r="AZ673" s="57" t="str">
        <f t="shared" si="131"/>
        <v/>
      </c>
      <c r="BA673" s="57" t="str">
        <f>IF(F673=1,IF(TableCosts[[#This Row],[TransferFrom]]=TableCosts[[#This Row],[TranferTo]],0,1),"")</f>
        <v/>
      </c>
      <c r="BB673" s="7">
        <f t="shared" si="132"/>
        <v>0</v>
      </c>
      <c r="BC673" s="7">
        <f t="shared" si="133"/>
        <v>0</v>
      </c>
    </row>
    <row r="674" spans="2:55" s="7" customFormat="1" ht="12.75" x14ac:dyDescent="0.2">
      <c r="B674" s="33"/>
      <c r="C674" s="31"/>
      <c r="D674" s="40"/>
      <c r="E674" s="6" t="str">
        <f>IF(F674=1,IF(ISERROR(TableCosts[[#This Row],[N_Tariff]]),Err_Message1,IF(TableCosts[[#This Row],[N_Tariff]]=0,Err_Message2,VLOOKUP(C674&amp;TableCosts[[#This Row],[Calc_N_Typ]],TRAN_STRITEMS_LABEL,5,FALSE))),"")</f>
        <v/>
      </c>
      <c r="F674" s="6">
        <f t="shared" si="134"/>
        <v>0</v>
      </c>
      <c r="G674" s="6" t="str">
        <f>IF(F674=1,IFERROR(VLOOKUP(E674,Tab_ErrMessage[],2,0),VLOOKUP(C674&amp;TableCosts[[#This Row],[Calc_N_Typ]],TRAN_STRITEMS_LABEL,4,FALSE)),"")</f>
        <v/>
      </c>
      <c r="H674" s="40"/>
      <c r="I674" s="40"/>
      <c r="J674" s="35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  <c r="AD674" s="24"/>
      <c r="AE674" s="24"/>
      <c r="AF674" s="24"/>
      <c r="AG674" s="24"/>
      <c r="AH674" s="24"/>
      <c r="AI674" s="24"/>
      <c r="AJ674" s="24"/>
      <c r="AK674" s="38">
        <f t="array" ref="AK674">IF(F674=1,SUM((ROW(M0)=ROW(AK674))*(M0+M1_+M2_+M3_+M4_+M5_+M6_+M7_+M8_+M9_+M10_+M11_+M12_+M13_+M14_+M15_+M16_+M17_+M18_+M19_+M20_+M21_+M22_+M23_+M24_+M25_)),0)</f>
        <v>0</v>
      </c>
      <c r="AL674" s="27">
        <f>TableCosts[[#This Row],[N_Direct]]</f>
        <v>0</v>
      </c>
      <c r="AN674" s="7" t="str">
        <f t="shared" si="123"/>
        <v/>
      </c>
      <c r="AO674" s="7" t="str">
        <f t="shared" si="126"/>
        <v/>
      </c>
      <c r="AP674" s="7" t="str">
        <f t="shared" si="124"/>
        <v/>
      </c>
      <c r="AQ674" s="7" t="str">
        <f t="shared" si="127"/>
        <v/>
      </c>
      <c r="AR674" s="7" t="str">
        <f t="shared" si="125"/>
        <v/>
      </c>
      <c r="AS674" s="7">
        <f t="shared" si="128"/>
        <v>0</v>
      </c>
      <c r="AT674" s="17">
        <f>TableCosts[[#This Row],[N_Amount]]*TableCosts[[#This Row],[N_Tariff]]*TableCosts[[#This Row],[N_ItemsCount]]</f>
        <v>0</v>
      </c>
      <c r="AU674" s="17">
        <f>IF(F674=1,IF(TableCosts[[#This Row],[N_Kateg]]="interné práce",TableCosts[[#This Row],[N_Amount]]*8*PAR_SGA_PERHOUR,0),0)</f>
        <v>0</v>
      </c>
      <c r="AV674" s="17">
        <f>SUM(TableCosts[[#This Row],[N_Direct]:[N_SGA]])</f>
        <v>0</v>
      </c>
      <c r="AW674" s="7">
        <f>IF(F674=1,IF(D674="",NA(),VLOOKUP(C674&amp;TableCosts[[#This Row],[Calc_N_Typ]],TRAN_STRITEMS_LABEL,7,0)),0)</f>
        <v>0</v>
      </c>
      <c r="AX674" s="7">
        <f t="shared" si="129"/>
        <v>0</v>
      </c>
      <c r="AY674" s="57" t="str">
        <f t="shared" si="130"/>
        <v/>
      </c>
      <c r="AZ674" s="57" t="str">
        <f t="shared" si="131"/>
        <v/>
      </c>
      <c r="BA674" s="57" t="str">
        <f>IF(F674=1,IF(TableCosts[[#This Row],[TransferFrom]]=TableCosts[[#This Row],[TranferTo]],0,1),"")</f>
        <v/>
      </c>
      <c r="BB674" s="7">
        <f t="shared" si="132"/>
        <v>0</v>
      </c>
      <c r="BC674" s="7">
        <f t="shared" si="133"/>
        <v>0</v>
      </c>
    </row>
    <row r="675" spans="2:55" s="7" customFormat="1" ht="12.75" x14ac:dyDescent="0.2">
      <c r="B675" s="33"/>
      <c r="C675" s="31"/>
      <c r="D675" s="40"/>
      <c r="E675" s="6" t="str">
        <f>IF(F675=1,IF(ISERROR(TableCosts[[#This Row],[N_Tariff]]),Err_Message1,IF(TableCosts[[#This Row],[N_Tariff]]=0,Err_Message2,VLOOKUP(C675&amp;TableCosts[[#This Row],[Calc_N_Typ]],TRAN_STRITEMS_LABEL,5,FALSE))),"")</f>
        <v/>
      </c>
      <c r="F675" s="6">
        <f t="shared" si="134"/>
        <v>0</v>
      </c>
      <c r="G675" s="6" t="str">
        <f>IF(F675=1,IFERROR(VLOOKUP(E675,Tab_ErrMessage[],2,0),VLOOKUP(C675&amp;TableCosts[[#This Row],[Calc_N_Typ]],TRAN_STRITEMS_LABEL,4,FALSE)),"")</f>
        <v/>
      </c>
      <c r="H675" s="40"/>
      <c r="I675" s="40"/>
      <c r="J675" s="35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  <c r="AD675" s="24"/>
      <c r="AE675" s="24"/>
      <c r="AF675" s="24"/>
      <c r="AG675" s="24"/>
      <c r="AH675" s="24"/>
      <c r="AI675" s="24"/>
      <c r="AJ675" s="24"/>
      <c r="AK675" s="38">
        <f t="array" ref="AK675">IF(F675=1,SUM((ROW(M0)=ROW(AK675))*(M0+M1_+M2_+M3_+M4_+M5_+M6_+M7_+M8_+M9_+M10_+M11_+M12_+M13_+M14_+M15_+M16_+M17_+M18_+M19_+M20_+M21_+M22_+M23_+M24_+M25_)),0)</f>
        <v>0</v>
      </c>
      <c r="AL675" s="27">
        <f>TableCosts[[#This Row],[N_Direct]]</f>
        <v>0</v>
      </c>
      <c r="AN675" s="7" t="str">
        <f t="shared" si="123"/>
        <v/>
      </c>
      <c r="AO675" s="7" t="str">
        <f t="shared" si="126"/>
        <v/>
      </c>
      <c r="AP675" s="7" t="str">
        <f t="shared" si="124"/>
        <v/>
      </c>
      <c r="AQ675" s="7" t="str">
        <f t="shared" si="127"/>
        <v/>
      </c>
      <c r="AR675" s="7" t="str">
        <f t="shared" si="125"/>
        <v/>
      </c>
      <c r="AS675" s="7">
        <f t="shared" si="128"/>
        <v>0</v>
      </c>
      <c r="AT675" s="17">
        <f>TableCosts[[#This Row],[N_Amount]]*TableCosts[[#This Row],[N_Tariff]]*TableCosts[[#This Row],[N_ItemsCount]]</f>
        <v>0</v>
      </c>
      <c r="AU675" s="17">
        <f>IF(F675=1,IF(TableCosts[[#This Row],[N_Kateg]]="interné práce",TableCosts[[#This Row],[N_Amount]]*8*PAR_SGA_PERHOUR,0),0)</f>
        <v>0</v>
      </c>
      <c r="AV675" s="17">
        <f>SUM(TableCosts[[#This Row],[N_Direct]:[N_SGA]])</f>
        <v>0</v>
      </c>
      <c r="AW675" s="7">
        <f>IF(F675=1,IF(D675="",NA(),VLOOKUP(C675&amp;TableCosts[[#This Row],[Calc_N_Typ]],TRAN_STRITEMS_LABEL,7,0)),0)</f>
        <v>0</v>
      </c>
      <c r="AX675" s="7">
        <f t="shared" si="129"/>
        <v>0</v>
      </c>
      <c r="AY675" s="57" t="str">
        <f t="shared" si="130"/>
        <v/>
      </c>
      <c r="AZ675" s="57" t="str">
        <f t="shared" si="131"/>
        <v/>
      </c>
      <c r="BA675" s="57" t="str">
        <f>IF(F675=1,IF(TableCosts[[#This Row],[TransferFrom]]=TableCosts[[#This Row],[TranferTo]],0,1),"")</f>
        <v/>
      </c>
      <c r="BB675" s="7">
        <f t="shared" si="132"/>
        <v>0</v>
      </c>
      <c r="BC675" s="7">
        <f t="shared" si="133"/>
        <v>0</v>
      </c>
    </row>
    <row r="676" spans="2:55" s="7" customFormat="1" ht="12.75" x14ac:dyDescent="0.2">
      <c r="B676" s="33"/>
      <c r="C676" s="31"/>
      <c r="D676" s="40"/>
      <c r="E676" s="6" t="str">
        <f>IF(F676=1,IF(ISERROR(TableCosts[[#This Row],[N_Tariff]]),Err_Message1,IF(TableCosts[[#This Row],[N_Tariff]]=0,Err_Message2,VLOOKUP(C676&amp;TableCosts[[#This Row],[Calc_N_Typ]],TRAN_STRITEMS_LABEL,5,FALSE))),"")</f>
        <v/>
      </c>
      <c r="F676" s="6">
        <f t="shared" si="134"/>
        <v>0</v>
      </c>
      <c r="G676" s="6" t="str">
        <f>IF(F676=1,IFERROR(VLOOKUP(E676,Tab_ErrMessage[],2,0),VLOOKUP(C676&amp;TableCosts[[#This Row],[Calc_N_Typ]],TRAN_STRITEMS_LABEL,4,FALSE)),"")</f>
        <v/>
      </c>
      <c r="H676" s="40"/>
      <c r="I676" s="40"/>
      <c r="J676" s="35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  <c r="AD676" s="24"/>
      <c r="AE676" s="24"/>
      <c r="AF676" s="24"/>
      <c r="AG676" s="24"/>
      <c r="AH676" s="24"/>
      <c r="AI676" s="24"/>
      <c r="AJ676" s="24"/>
      <c r="AK676" s="38">
        <f t="array" ref="AK676">IF(F676=1,SUM((ROW(M0)=ROW(AK676))*(M0+M1_+M2_+M3_+M4_+M5_+M6_+M7_+M8_+M9_+M10_+M11_+M12_+M13_+M14_+M15_+M16_+M17_+M18_+M19_+M20_+M21_+M22_+M23_+M24_+M25_)),0)</f>
        <v>0</v>
      </c>
      <c r="AL676" s="27">
        <f>TableCosts[[#This Row],[N_Direct]]</f>
        <v>0</v>
      </c>
      <c r="AN676" s="7" t="str">
        <f t="shared" si="123"/>
        <v/>
      </c>
      <c r="AO676" s="7" t="str">
        <f t="shared" si="126"/>
        <v/>
      </c>
      <c r="AP676" s="7" t="str">
        <f t="shared" si="124"/>
        <v/>
      </c>
      <c r="AQ676" s="7" t="str">
        <f t="shared" si="127"/>
        <v/>
      </c>
      <c r="AR676" s="7" t="str">
        <f t="shared" si="125"/>
        <v/>
      </c>
      <c r="AS676" s="7">
        <f t="shared" si="128"/>
        <v>0</v>
      </c>
      <c r="AT676" s="17">
        <f>TableCosts[[#This Row],[N_Amount]]*TableCosts[[#This Row],[N_Tariff]]*TableCosts[[#This Row],[N_ItemsCount]]</f>
        <v>0</v>
      </c>
      <c r="AU676" s="17">
        <f>IF(F676=1,IF(TableCosts[[#This Row],[N_Kateg]]="interné práce",TableCosts[[#This Row],[N_Amount]]*8*PAR_SGA_PERHOUR,0),0)</f>
        <v>0</v>
      </c>
      <c r="AV676" s="17">
        <f>SUM(TableCosts[[#This Row],[N_Direct]:[N_SGA]])</f>
        <v>0</v>
      </c>
      <c r="AW676" s="7">
        <f>IF(F676=1,IF(D676="",NA(),VLOOKUP(C676&amp;TableCosts[[#This Row],[Calc_N_Typ]],TRAN_STRITEMS_LABEL,7,0)),0)</f>
        <v>0</v>
      </c>
      <c r="AX676" s="7">
        <f t="shared" si="129"/>
        <v>0</v>
      </c>
      <c r="AY676" s="57" t="str">
        <f t="shared" si="130"/>
        <v/>
      </c>
      <c r="AZ676" s="57" t="str">
        <f t="shared" si="131"/>
        <v/>
      </c>
      <c r="BA676" s="57" t="str">
        <f>IF(F676=1,IF(TableCosts[[#This Row],[TransferFrom]]=TableCosts[[#This Row],[TranferTo]],0,1),"")</f>
        <v/>
      </c>
      <c r="BB676" s="7">
        <f t="shared" si="132"/>
        <v>0</v>
      </c>
      <c r="BC676" s="7">
        <f t="shared" si="133"/>
        <v>0</v>
      </c>
    </row>
    <row r="677" spans="2:55" s="7" customFormat="1" ht="12.75" x14ac:dyDescent="0.2">
      <c r="B677" s="33"/>
      <c r="C677" s="31"/>
      <c r="D677" s="40"/>
      <c r="E677" s="6" t="str">
        <f>IF(F677=1,IF(ISERROR(TableCosts[[#This Row],[N_Tariff]]),Err_Message1,IF(TableCosts[[#This Row],[N_Tariff]]=0,Err_Message2,VLOOKUP(C677&amp;TableCosts[[#This Row],[Calc_N_Typ]],TRAN_STRITEMS_LABEL,5,FALSE))),"")</f>
        <v/>
      </c>
      <c r="F677" s="6">
        <f t="shared" si="134"/>
        <v>0</v>
      </c>
      <c r="G677" s="6" t="str">
        <f>IF(F677=1,IFERROR(VLOOKUP(E677,Tab_ErrMessage[],2,0),VLOOKUP(C677&amp;TableCosts[[#This Row],[Calc_N_Typ]],TRAN_STRITEMS_LABEL,4,FALSE)),"")</f>
        <v/>
      </c>
      <c r="H677" s="40"/>
      <c r="I677" s="40"/>
      <c r="J677" s="35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  <c r="AD677" s="24"/>
      <c r="AE677" s="24"/>
      <c r="AF677" s="24"/>
      <c r="AG677" s="24"/>
      <c r="AH677" s="24"/>
      <c r="AI677" s="24"/>
      <c r="AJ677" s="24"/>
      <c r="AK677" s="38">
        <f t="array" ref="AK677">IF(F677=1,SUM((ROW(M0)=ROW(AK677))*(M0+M1_+M2_+M3_+M4_+M5_+M6_+M7_+M8_+M9_+M10_+M11_+M12_+M13_+M14_+M15_+M16_+M17_+M18_+M19_+M20_+M21_+M22_+M23_+M24_+M25_)),0)</f>
        <v>0</v>
      </c>
      <c r="AL677" s="27">
        <f>TableCosts[[#This Row],[N_Direct]]</f>
        <v>0</v>
      </c>
      <c r="AN677" s="7" t="str">
        <f t="shared" si="123"/>
        <v/>
      </c>
      <c r="AO677" s="7" t="str">
        <f t="shared" si="126"/>
        <v/>
      </c>
      <c r="AP677" s="7" t="str">
        <f t="shared" si="124"/>
        <v/>
      </c>
      <c r="AQ677" s="7" t="str">
        <f t="shared" si="127"/>
        <v/>
      </c>
      <c r="AR677" s="7" t="str">
        <f t="shared" si="125"/>
        <v/>
      </c>
      <c r="AS677" s="7">
        <f t="shared" si="128"/>
        <v>0</v>
      </c>
      <c r="AT677" s="17">
        <f>TableCosts[[#This Row],[N_Amount]]*TableCosts[[#This Row],[N_Tariff]]*TableCosts[[#This Row],[N_ItemsCount]]</f>
        <v>0</v>
      </c>
      <c r="AU677" s="17">
        <f>IF(F677=1,IF(TableCosts[[#This Row],[N_Kateg]]="interné práce",TableCosts[[#This Row],[N_Amount]]*8*PAR_SGA_PERHOUR,0),0)</f>
        <v>0</v>
      </c>
      <c r="AV677" s="17">
        <f>SUM(TableCosts[[#This Row],[N_Direct]:[N_SGA]])</f>
        <v>0</v>
      </c>
      <c r="AW677" s="7">
        <f>IF(F677=1,IF(D677="",NA(),VLOOKUP(C677&amp;TableCosts[[#This Row],[Calc_N_Typ]],TRAN_STRITEMS_LABEL,7,0)),0)</f>
        <v>0</v>
      </c>
      <c r="AX677" s="7">
        <f t="shared" si="129"/>
        <v>0</v>
      </c>
      <c r="AY677" s="57" t="str">
        <f t="shared" si="130"/>
        <v/>
      </c>
      <c r="AZ677" s="57" t="str">
        <f t="shared" si="131"/>
        <v/>
      </c>
      <c r="BA677" s="57" t="str">
        <f>IF(F677=1,IF(TableCosts[[#This Row],[TransferFrom]]=TableCosts[[#This Row],[TranferTo]],0,1),"")</f>
        <v/>
      </c>
      <c r="BB677" s="7">
        <f t="shared" si="132"/>
        <v>0</v>
      </c>
      <c r="BC677" s="7">
        <f t="shared" si="133"/>
        <v>0</v>
      </c>
    </row>
    <row r="678" spans="2:55" s="7" customFormat="1" ht="12.75" x14ac:dyDescent="0.2">
      <c r="B678" s="33"/>
      <c r="C678" s="31"/>
      <c r="D678" s="40"/>
      <c r="E678" s="6" t="str">
        <f>IF(F678=1,IF(ISERROR(TableCosts[[#This Row],[N_Tariff]]),Err_Message1,IF(TableCosts[[#This Row],[N_Tariff]]=0,Err_Message2,VLOOKUP(C678&amp;TableCosts[[#This Row],[Calc_N_Typ]],TRAN_STRITEMS_LABEL,5,FALSE))),"")</f>
        <v/>
      </c>
      <c r="F678" s="6">
        <f t="shared" si="134"/>
        <v>0</v>
      </c>
      <c r="G678" s="6" t="str">
        <f>IF(F678=1,IFERROR(VLOOKUP(E678,Tab_ErrMessage[],2,0),VLOOKUP(C678&amp;TableCosts[[#This Row],[Calc_N_Typ]],TRAN_STRITEMS_LABEL,4,FALSE)),"")</f>
        <v/>
      </c>
      <c r="H678" s="40"/>
      <c r="I678" s="40"/>
      <c r="J678" s="35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  <c r="AD678" s="24"/>
      <c r="AE678" s="24"/>
      <c r="AF678" s="24"/>
      <c r="AG678" s="24"/>
      <c r="AH678" s="24"/>
      <c r="AI678" s="24"/>
      <c r="AJ678" s="24"/>
      <c r="AK678" s="38">
        <f t="array" ref="AK678">IF(F678=1,SUM((ROW(M0)=ROW(AK678))*(M0+M1_+M2_+M3_+M4_+M5_+M6_+M7_+M8_+M9_+M10_+M11_+M12_+M13_+M14_+M15_+M16_+M17_+M18_+M19_+M20_+M21_+M22_+M23_+M24_+M25_)),0)</f>
        <v>0</v>
      </c>
      <c r="AL678" s="27">
        <f>TableCosts[[#This Row],[N_Direct]]</f>
        <v>0</v>
      </c>
      <c r="AN678" s="7" t="str">
        <f t="shared" si="123"/>
        <v/>
      </c>
      <c r="AO678" s="7" t="str">
        <f t="shared" si="126"/>
        <v/>
      </c>
      <c r="AP678" s="7" t="str">
        <f t="shared" si="124"/>
        <v/>
      </c>
      <c r="AQ678" s="7" t="str">
        <f t="shared" si="127"/>
        <v/>
      </c>
      <c r="AR678" s="7" t="str">
        <f t="shared" si="125"/>
        <v/>
      </c>
      <c r="AS678" s="7">
        <f t="shared" si="128"/>
        <v>0</v>
      </c>
      <c r="AT678" s="17">
        <f>TableCosts[[#This Row],[N_Amount]]*TableCosts[[#This Row],[N_Tariff]]*TableCosts[[#This Row],[N_ItemsCount]]</f>
        <v>0</v>
      </c>
      <c r="AU678" s="17">
        <f>IF(F678=1,IF(TableCosts[[#This Row],[N_Kateg]]="interné práce",TableCosts[[#This Row],[N_Amount]]*8*PAR_SGA_PERHOUR,0),0)</f>
        <v>0</v>
      </c>
      <c r="AV678" s="17">
        <f>SUM(TableCosts[[#This Row],[N_Direct]:[N_SGA]])</f>
        <v>0</v>
      </c>
      <c r="AW678" s="7">
        <f>IF(F678=1,IF(D678="",NA(),VLOOKUP(C678&amp;TableCosts[[#This Row],[Calc_N_Typ]],TRAN_STRITEMS_LABEL,7,0)),0)</f>
        <v>0</v>
      </c>
      <c r="AX678" s="7">
        <f t="shared" si="129"/>
        <v>0</v>
      </c>
      <c r="AY678" s="57" t="str">
        <f t="shared" si="130"/>
        <v/>
      </c>
      <c r="AZ678" s="57" t="str">
        <f t="shared" si="131"/>
        <v/>
      </c>
      <c r="BA678" s="57" t="str">
        <f>IF(F678=1,IF(TableCosts[[#This Row],[TransferFrom]]=TableCosts[[#This Row],[TranferTo]],0,1),"")</f>
        <v/>
      </c>
      <c r="BB678" s="7">
        <f t="shared" si="132"/>
        <v>0</v>
      </c>
      <c r="BC678" s="7">
        <f t="shared" si="133"/>
        <v>0</v>
      </c>
    </row>
    <row r="679" spans="2:55" s="7" customFormat="1" ht="12.75" x14ac:dyDescent="0.2">
      <c r="B679" s="33"/>
      <c r="C679" s="31"/>
      <c r="D679" s="40"/>
      <c r="E679" s="6" t="str">
        <f>IF(F679=1,IF(ISERROR(TableCosts[[#This Row],[N_Tariff]]),Err_Message1,IF(TableCosts[[#This Row],[N_Tariff]]=0,Err_Message2,VLOOKUP(C679&amp;TableCosts[[#This Row],[Calc_N_Typ]],TRAN_STRITEMS_LABEL,5,FALSE))),"")</f>
        <v/>
      </c>
      <c r="F679" s="6">
        <f t="shared" si="134"/>
        <v>0</v>
      </c>
      <c r="G679" s="6" t="str">
        <f>IF(F679=1,IFERROR(VLOOKUP(E679,Tab_ErrMessage[],2,0),VLOOKUP(C679&amp;TableCosts[[#This Row],[Calc_N_Typ]],TRAN_STRITEMS_LABEL,4,FALSE)),"")</f>
        <v/>
      </c>
      <c r="H679" s="40"/>
      <c r="I679" s="40"/>
      <c r="J679" s="35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  <c r="AD679" s="24"/>
      <c r="AE679" s="24"/>
      <c r="AF679" s="24"/>
      <c r="AG679" s="24"/>
      <c r="AH679" s="24"/>
      <c r="AI679" s="24"/>
      <c r="AJ679" s="24"/>
      <c r="AK679" s="38">
        <f t="array" ref="AK679">IF(F679=1,SUM((ROW(M0)=ROW(AK679))*(M0+M1_+M2_+M3_+M4_+M5_+M6_+M7_+M8_+M9_+M10_+M11_+M12_+M13_+M14_+M15_+M16_+M17_+M18_+M19_+M20_+M21_+M22_+M23_+M24_+M25_)),0)</f>
        <v>0</v>
      </c>
      <c r="AL679" s="27">
        <f>TableCosts[[#This Row],[N_Direct]]</f>
        <v>0</v>
      </c>
      <c r="AN679" s="7" t="str">
        <f t="shared" si="123"/>
        <v/>
      </c>
      <c r="AO679" s="7" t="str">
        <f t="shared" si="126"/>
        <v/>
      </c>
      <c r="AP679" s="7" t="str">
        <f t="shared" si="124"/>
        <v/>
      </c>
      <c r="AQ679" s="7" t="str">
        <f t="shared" si="127"/>
        <v/>
      </c>
      <c r="AR679" s="7" t="str">
        <f t="shared" si="125"/>
        <v/>
      </c>
      <c r="AS679" s="7">
        <f t="shared" si="128"/>
        <v>0</v>
      </c>
      <c r="AT679" s="17">
        <f>TableCosts[[#This Row],[N_Amount]]*TableCosts[[#This Row],[N_Tariff]]*TableCosts[[#This Row],[N_ItemsCount]]</f>
        <v>0</v>
      </c>
      <c r="AU679" s="17">
        <f>IF(F679=1,IF(TableCosts[[#This Row],[N_Kateg]]="interné práce",TableCosts[[#This Row],[N_Amount]]*8*PAR_SGA_PERHOUR,0),0)</f>
        <v>0</v>
      </c>
      <c r="AV679" s="17">
        <f>SUM(TableCosts[[#This Row],[N_Direct]:[N_SGA]])</f>
        <v>0</v>
      </c>
      <c r="AW679" s="7">
        <f>IF(F679=1,IF(D679="",NA(),VLOOKUP(C679&amp;TableCosts[[#This Row],[Calc_N_Typ]],TRAN_STRITEMS_LABEL,7,0)),0)</f>
        <v>0</v>
      </c>
      <c r="AX679" s="7">
        <f t="shared" si="129"/>
        <v>0</v>
      </c>
      <c r="AY679" s="57" t="str">
        <f t="shared" si="130"/>
        <v/>
      </c>
      <c r="AZ679" s="57" t="str">
        <f t="shared" si="131"/>
        <v/>
      </c>
      <c r="BA679" s="57" t="str">
        <f>IF(F679=1,IF(TableCosts[[#This Row],[TransferFrom]]=TableCosts[[#This Row],[TranferTo]],0,1),"")</f>
        <v/>
      </c>
      <c r="BB679" s="7">
        <f t="shared" si="132"/>
        <v>0</v>
      </c>
      <c r="BC679" s="7">
        <f t="shared" si="133"/>
        <v>0</v>
      </c>
    </row>
    <row r="680" spans="2:55" s="7" customFormat="1" ht="12.75" x14ac:dyDescent="0.2">
      <c r="B680" s="33"/>
      <c r="C680" s="31"/>
      <c r="D680" s="40"/>
      <c r="E680" s="6" t="str">
        <f>IF(F680=1,IF(ISERROR(TableCosts[[#This Row],[N_Tariff]]),Err_Message1,IF(TableCosts[[#This Row],[N_Tariff]]=0,Err_Message2,VLOOKUP(C680&amp;TableCosts[[#This Row],[Calc_N_Typ]],TRAN_STRITEMS_LABEL,5,FALSE))),"")</f>
        <v/>
      </c>
      <c r="F680" s="6">
        <f t="shared" si="134"/>
        <v>0</v>
      </c>
      <c r="G680" s="6" t="str">
        <f>IF(F680=1,IFERROR(VLOOKUP(E680,Tab_ErrMessage[],2,0),VLOOKUP(C680&amp;TableCosts[[#This Row],[Calc_N_Typ]],TRAN_STRITEMS_LABEL,4,FALSE)),"")</f>
        <v/>
      </c>
      <c r="H680" s="40"/>
      <c r="I680" s="40"/>
      <c r="J680" s="35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  <c r="AD680" s="24"/>
      <c r="AE680" s="24"/>
      <c r="AF680" s="24"/>
      <c r="AG680" s="24"/>
      <c r="AH680" s="24"/>
      <c r="AI680" s="24"/>
      <c r="AJ680" s="24"/>
      <c r="AK680" s="38">
        <f t="array" ref="AK680">IF(F680=1,SUM((ROW(M0)=ROW(AK680))*(M0+M1_+M2_+M3_+M4_+M5_+M6_+M7_+M8_+M9_+M10_+M11_+M12_+M13_+M14_+M15_+M16_+M17_+M18_+M19_+M20_+M21_+M22_+M23_+M24_+M25_)),0)</f>
        <v>0</v>
      </c>
      <c r="AL680" s="27">
        <f>TableCosts[[#This Row],[N_Direct]]</f>
        <v>0</v>
      </c>
      <c r="AN680" s="7" t="str">
        <f t="shared" si="123"/>
        <v/>
      </c>
      <c r="AO680" s="7" t="str">
        <f t="shared" si="126"/>
        <v/>
      </c>
      <c r="AP680" s="7" t="str">
        <f t="shared" si="124"/>
        <v/>
      </c>
      <c r="AQ680" s="7" t="str">
        <f t="shared" si="127"/>
        <v/>
      </c>
      <c r="AR680" s="7" t="str">
        <f t="shared" si="125"/>
        <v/>
      </c>
      <c r="AS680" s="7">
        <f t="shared" si="128"/>
        <v>0</v>
      </c>
      <c r="AT680" s="17">
        <f>TableCosts[[#This Row],[N_Amount]]*TableCosts[[#This Row],[N_Tariff]]*TableCosts[[#This Row],[N_ItemsCount]]</f>
        <v>0</v>
      </c>
      <c r="AU680" s="17">
        <f>IF(F680=1,IF(TableCosts[[#This Row],[N_Kateg]]="interné práce",TableCosts[[#This Row],[N_Amount]]*8*PAR_SGA_PERHOUR,0),0)</f>
        <v>0</v>
      </c>
      <c r="AV680" s="17">
        <f>SUM(TableCosts[[#This Row],[N_Direct]:[N_SGA]])</f>
        <v>0</v>
      </c>
      <c r="AW680" s="7">
        <f>IF(F680=1,IF(D680="",NA(),VLOOKUP(C680&amp;TableCosts[[#This Row],[Calc_N_Typ]],TRAN_STRITEMS_LABEL,7,0)),0)</f>
        <v>0</v>
      </c>
      <c r="AX680" s="7">
        <f t="shared" si="129"/>
        <v>0</v>
      </c>
      <c r="AY680" s="57" t="str">
        <f t="shared" si="130"/>
        <v/>
      </c>
      <c r="AZ680" s="57" t="str">
        <f t="shared" si="131"/>
        <v/>
      </c>
      <c r="BA680" s="57" t="str">
        <f>IF(F680=1,IF(TableCosts[[#This Row],[TransferFrom]]=TableCosts[[#This Row],[TranferTo]],0,1),"")</f>
        <v/>
      </c>
      <c r="BB680" s="7">
        <f t="shared" si="132"/>
        <v>0</v>
      </c>
      <c r="BC680" s="7">
        <f t="shared" si="133"/>
        <v>0</v>
      </c>
    </row>
    <row r="681" spans="2:55" s="7" customFormat="1" ht="12.75" x14ac:dyDescent="0.2">
      <c r="B681" s="33"/>
      <c r="C681" s="31"/>
      <c r="D681" s="40"/>
      <c r="E681" s="6" t="str">
        <f>IF(F681=1,IF(ISERROR(TableCosts[[#This Row],[N_Tariff]]),Err_Message1,IF(TableCosts[[#This Row],[N_Tariff]]=0,Err_Message2,VLOOKUP(C681&amp;TableCosts[[#This Row],[Calc_N_Typ]],TRAN_STRITEMS_LABEL,5,FALSE))),"")</f>
        <v/>
      </c>
      <c r="F681" s="6">
        <f t="shared" si="134"/>
        <v>0</v>
      </c>
      <c r="G681" s="6" t="str">
        <f>IF(F681=1,IFERROR(VLOOKUP(E681,Tab_ErrMessage[],2,0),VLOOKUP(C681&amp;TableCosts[[#This Row],[Calc_N_Typ]],TRAN_STRITEMS_LABEL,4,FALSE)),"")</f>
        <v/>
      </c>
      <c r="H681" s="40"/>
      <c r="I681" s="40"/>
      <c r="J681" s="35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  <c r="AD681" s="24"/>
      <c r="AE681" s="24"/>
      <c r="AF681" s="24"/>
      <c r="AG681" s="24"/>
      <c r="AH681" s="24"/>
      <c r="AI681" s="24"/>
      <c r="AJ681" s="24"/>
      <c r="AK681" s="38">
        <f t="array" ref="AK681">IF(F681=1,SUM((ROW(M0)=ROW(AK681))*(M0+M1_+M2_+M3_+M4_+M5_+M6_+M7_+M8_+M9_+M10_+M11_+M12_+M13_+M14_+M15_+M16_+M17_+M18_+M19_+M20_+M21_+M22_+M23_+M24_+M25_)),0)</f>
        <v>0</v>
      </c>
      <c r="AL681" s="27">
        <f>TableCosts[[#This Row],[N_Direct]]</f>
        <v>0</v>
      </c>
      <c r="AN681" s="7" t="str">
        <f t="shared" si="123"/>
        <v/>
      </c>
      <c r="AO681" s="7" t="str">
        <f t="shared" si="126"/>
        <v/>
      </c>
      <c r="AP681" s="7" t="str">
        <f t="shared" si="124"/>
        <v/>
      </c>
      <c r="AQ681" s="7" t="str">
        <f t="shared" si="127"/>
        <v/>
      </c>
      <c r="AR681" s="7" t="str">
        <f t="shared" si="125"/>
        <v/>
      </c>
      <c r="AS681" s="7">
        <f t="shared" si="128"/>
        <v>0</v>
      </c>
      <c r="AT681" s="17">
        <f>TableCosts[[#This Row],[N_Amount]]*TableCosts[[#This Row],[N_Tariff]]*TableCosts[[#This Row],[N_ItemsCount]]</f>
        <v>0</v>
      </c>
      <c r="AU681" s="17">
        <f>IF(F681=1,IF(TableCosts[[#This Row],[N_Kateg]]="interné práce",TableCosts[[#This Row],[N_Amount]]*8*PAR_SGA_PERHOUR,0),0)</f>
        <v>0</v>
      </c>
      <c r="AV681" s="17">
        <f>SUM(TableCosts[[#This Row],[N_Direct]:[N_SGA]])</f>
        <v>0</v>
      </c>
      <c r="AW681" s="7">
        <f>IF(F681=1,IF(D681="",NA(),VLOOKUP(C681&amp;TableCosts[[#This Row],[Calc_N_Typ]],TRAN_STRITEMS_LABEL,7,0)),0)</f>
        <v>0</v>
      </c>
      <c r="AX681" s="7">
        <f t="shared" si="129"/>
        <v>0</v>
      </c>
      <c r="AY681" s="57" t="str">
        <f t="shared" si="130"/>
        <v/>
      </c>
      <c r="AZ681" s="57" t="str">
        <f t="shared" si="131"/>
        <v/>
      </c>
      <c r="BA681" s="57" t="str">
        <f>IF(F681=1,IF(TableCosts[[#This Row],[TransferFrom]]=TableCosts[[#This Row],[TranferTo]],0,1),"")</f>
        <v/>
      </c>
      <c r="BB681" s="7">
        <f t="shared" si="132"/>
        <v>0</v>
      </c>
      <c r="BC681" s="7">
        <f t="shared" si="133"/>
        <v>0</v>
      </c>
    </row>
    <row r="682" spans="2:55" s="7" customFormat="1" ht="12.75" x14ac:dyDescent="0.2">
      <c r="B682" s="33"/>
      <c r="C682" s="31"/>
      <c r="D682" s="40"/>
      <c r="E682" s="6" t="str">
        <f>IF(F682=1,IF(ISERROR(TableCosts[[#This Row],[N_Tariff]]),Err_Message1,IF(TableCosts[[#This Row],[N_Tariff]]=0,Err_Message2,VLOOKUP(C682&amp;TableCosts[[#This Row],[Calc_N_Typ]],TRAN_STRITEMS_LABEL,5,FALSE))),"")</f>
        <v/>
      </c>
      <c r="F682" s="6">
        <f t="shared" si="134"/>
        <v>0</v>
      </c>
      <c r="G682" s="6" t="str">
        <f>IF(F682=1,IFERROR(VLOOKUP(E682,Tab_ErrMessage[],2,0),VLOOKUP(C682&amp;TableCosts[[#This Row],[Calc_N_Typ]],TRAN_STRITEMS_LABEL,4,FALSE)),"")</f>
        <v/>
      </c>
      <c r="H682" s="40"/>
      <c r="I682" s="40"/>
      <c r="J682" s="35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  <c r="AD682" s="24"/>
      <c r="AE682" s="24"/>
      <c r="AF682" s="24"/>
      <c r="AG682" s="24"/>
      <c r="AH682" s="24"/>
      <c r="AI682" s="24"/>
      <c r="AJ682" s="24"/>
      <c r="AK682" s="38">
        <f t="array" ref="AK682">IF(F682=1,SUM((ROW(M0)=ROW(AK682))*(M0+M1_+M2_+M3_+M4_+M5_+M6_+M7_+M8_+M9_+M10_+M11_+M12_+M13_+M14_+M15_+M16_+M17_+M18_+M19_+M20_+M21_+M22_+M23_+M24_+M25_)),0)</f>
        <v>0</v>
      </c>
      <c r="AL682" s="27">
        <f>TableCosts[[#This Row],[N_Direct]]</f>
        <v>0</v>
      </c>
      <c r="AN682" s="7" t="str">
        <f t="shared" si="123"/>
        <v/>
      </c>
      <c r="AO682" s="7" t="str">
        <f t="shared" si="126"/>
        <v/>
      </c>
      <c r="AP682" s="7" t="str">
        <f t="shared" si="124"/>
        <v/>
      </c>
      <c r="AQ682" s="7" t="str">
        <f t="shared" si="127"/>
        <v/>
      </c>
      <c r="AR682" s="7" t="str">
        <f t="shared" si="125"/>
        <v/>
      </c>
      <c r="AS682" s="7">
        <f t="shared" si="128"/>
        <v>0</v>
      </c>
      <c r="AT682" s="17">
        <f>TableCosts[[#This Row],[N_Amount]]*TableCosts[[#This Row],[N_Tariff]]*TableCosts[[#This Row],[N_ItemsCount]]</f>
        <v>0</v>
      </c>
      <c r="AU682" s="17">
        <f>IF(F682=1,IF(TableCosts[[#This Row],[N_Kateg]]="interné práce",TableCosts[[#This Row],[N_Amount]]*8*PAR_SGA_PERHOUR,0),0)</f>
        <v>0</v>
      </c>
      <c r="AV682" s="17">
        <f>SUM(TableCosts[[#This Row],[N_Direct]:[N_SGA]])</f>
        <v>0</v>
      </c>
      <c r="AW682" s="7">
        <f>IF(F682=1,IF(D682="",NA(),VLOOKUP(C682&amp;TableCosts[[#This Row],[Calc_N_Typ]],TRAN_STRITEMS_LABEL,7,0)),0)</f>
        <v>0</v>
      </c>
      <c r="AX682" s="7">
        <f t="shared" si="129"/>
        <v>0</v>
      </c>
      <c r="AY682" s="57" t="str">
        <f t="shared" si="130"/>
        <v/>
      </c>
      <c r="AZ682" s="57" t="str">
        <f t="shared" si="131"/>
        <v/>
      </c>
      <c r="BA682" s="57" t="str">
        <f>IF(F682=1,IF(TableCosts[[#This Row],[TransferFrom]]=TableCosts[[#This Row],[TranferTo]],0,1),"")</f>
        <v/>
      </c>
      <c r="BB682" s="7">
        <f t="shared" si="132"/>
        <v>0</v>
      </c>
      <c r="BC682" s="7">
        <f t="shared" si="133"/>
        <v>0</v>
      </c>
    </row>
    <row r="683" spans="2:55" s="7" customFormat="1" ht="12.75" x14ac:dyDescent="0.2">
      <c r="B683" s="33"/>
      <c r="C683" s="31"/>
      <c r="D683" s="40"/>
      <c r="E683" s="6" t="str">
        <f>IF(F683=1,IF(ISERROR(TableCosts[[#This Row],[N_Tariff]]),Err_Message1,IF(TableCosts[[#This Row],[N_Tariff]]=0,Err_Message2,VLOOKUP(C683&amp;TableCosts[[#This Row],[Calc_N_Typ]],TRAN_STRITEMS_LABEL,5,FALSE))),"")</f>
        <v/>
      </c>
      <c r="F683" s="6">
        <f t="shared" si="134"/>
        <v>0</v>
      </c>
      <c r="G683" s="6" t="str">
        <f>IF(F683=1,IFERROR(VLOOKUP(E683,Tab_ErrMessage[],2,0),VLOOKUP(C683&amp;TableCosts[[#This Row],[Calc_N_Typ]],TRAN_STRITEMS_LABEL,4,FALSE)),"")</f>
        <v/>
      </c>
      <c r="H683" s="40"/>
      <c r="I683" s="40"/>
      <c r="J683" s="35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  <c r="AD683" s="24"/>
      <c r="AE683" s="24"/>
      <c r="AF683" s="24"/>
      <c r="AG683" s="24"/>
      <c r="AH683" s="24"/>
      <c r="AI683" s="24"/>
      <c r="AJ683" s="24"/>
      <c r="AK683" s="38">
        <f t="array" ref="AK683">IF(F683=1,SUM((ROW(M0)=ROW(AK683))*(M0+M1_+M2_+M3_+M4_+M5_+M6_+M7_+M8_+M9_+M10_+M11_+M12_+M13_+M14_+M15_+M16_+M17_+M18_+M19_+M20_+M21_+M22_+M23_+M24_+M25_)),0)</f>
        <v>0</v>
      </c>
      <c r="AL683" s="27">
        <f>TableCosts[[#This Row],[N_Direct]]</f>
        <v>0</v>
      </c>
      <c r="AN683" s="7" t="str">
        <f t="shared" si="123"/>
        <v/>
      </c>
      <c r="AO683" s="7" t="str">
        <f t="shared" si="126"/>
        <v/>
      </c>
      <c r="AP683" s="7" t="str">
        <f t="shared" si="124"/>
        <v/>
      </c>
      <c r="AQ683" s="7" t="str">
        <f t="shared" si="127"/>
        <v/>
      </c>
      <c r="AR683" s="7" t="str">
        <f t="shared" si="125"/>
        <v/>
      </c>
      <c r="AS683" s="7">
        <f t="shared" si="128"/>
        <v>0</v>
      </c>
      <c r="AT683" s="17">
        <f>TableCosts[[#This Row],[N_Amount]]*TableCosts[[#This Row],[N_Tariff]]*TableCosts[[#This Row],[N_ItemsCount]]</f>
        <v>0</v>
      </c>
      <c r="AU683" s="17">
        <f>IF(F683=1,IF(TableCosts[[#This Row],[N_Kateg]]="interné práce",TableCosts[[#This Row],[N_Amount]]*8*PAR_SGA_PERHOUR,0),0)</f>
        <v>0</v>
      </c>
      <c r="AV683" s="17">
        <f>SUM(TableCosts[[#This Row],[N_Direct]:[N_SGA]])</f>
        <v>0</v>
      </c>
      <c r="AW683" s="7">
        <f>IF(F683=1,IF(D683="",NA(),VLOOKUP(C683&amp;TableCosts[[#This Row],[Calc_N_Typ]],TRAN_STRITEMS_LABEL,7,0)),0)</f>
        <v>0</v>
      </c>
      <c r="AX683" s="7">
        <f t="shared" si="129"/>
        <v>0</v>
      </c>
      <c r="AY683" s="57" t="str">
        <f t="shared" si="130"/>
        <v/>
      </c>
      <c r="AZ683" s="57" t="str">
        <f t="shared" si="131"/>
        <v/>
      </c>
      <c r="BA683" s="57" t="str">
        <f>IF(F683=1,IF(TableCosts[[#This Row],[TransferFrom]]=TableCosts[[#This Row],[TranferTo]],0,1),"")</f>
        <v/>
      </c>
      <c r="BB683" s="7">
        <f t="shared" si="132"/>
        <v>0</v>
      </c>
      <c r="BC683" s="7">
        <f t="shared" si="133"/>
        <v>0</v>
      </c>
    </row>
    <row r="684" spans="2:55" s="7" customFormat="1" ht="12.75" x14ac:dyDescent="0.2">
      <c r="B684" s="33"/>
      <c r="C684" s="31"/>
      <c r="D684" s="40"/>
      <c r="E684" s="6" t="str">
        <f>IF(F684=1,IF(ISERROR(TableCosts[[#This Row],[N_Tariff]]),Err_Message1,IF(TableCosts[[#This Row],[N_Tariff]]=0,Err_Message2,VLOOKUP(C684&amp;TableCosts[[#This Row],[Calc_N_Typ]],TRAN_STRITEMS_LABEL,5,FALSE))),"")</f>
        <v/>
      </c>
      <c r="F684" s="6">
        <f t="shared" si="134"/>
        <v>0</v>
      </c>
      <c r="G684" s="6" t="str">
        <f>IF(F684=1,IFERROR(VLOOKUP(E684,Tab_ErrMessage[],2,0),VLOOKUP(C684&amp;TableCosts[[#This Row],[Calc_N_Typ]],TRAN_STRITEMS_LABEL,4,FALSE)),"")</f>
        <v/>
      </c>
      <c r="H684" s="40"/>
      <c r="I684" s="40"/>
      <c r="J684" s="35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  <c r="AD684" s="24"/>
      <c r="AE684" s="24"/>
      <c r="AF684" s="24"/>
      <c r="AG684" s="24"/>
      <c r="AH684" s="24"/>
      <c r="AI684" s="24"/>
      <c r="AJ684" s="24"/>
      <c r="AK684" s="38">
        <f t="array" ref="AK684">IF(F684=1,SUM((ROW(M0)=ROW(AK684))*(M0+M1_+M2_+M3_+M4_+M5_+M6_+M7_+M8_+M9_+M10_+M11_+M12_+M13_+M14_+M15_+M16_+M17_+M18_+M19_+M20_+M21_+M22_+M23_+M24_+M25_)),0)</f>
        <v>0</v>
      </c>
      <c r="AL684" s="27">
        <f>TableCosts[[#This Row],[N_Direct]]</f>
        <v>0</v>
      </c>
      <c r="AN684" s="7" t="str">
        <f t="shared" si="123"/>
        <v/>
      </c>
      <c r="AO684" s="7" t="str">
        <f t="shared" si="126"/>
        <v/>
      </c>
      <c r="AP684" s="7" t="str">
        <f t="shared" si="124"/>
        <v/>
      </c>
      <c r="AQ684" s="7" t="str">
        <f t="shared" si="127"/>
        <v/>
      </c>
      <c r="AR684" s="7" t="str">
        <f t="shared" si="125"/>
        <v/>
      </c>
      <c r="AS684" s="7">
        <f t="shared" si="128"/>
        <v>0</v>
      </c>
      <c r="AT684" s="17">
        <f>TableCosts[[#This Row],[N_Amount]]*TableCosts[[#This Row],[N_Tariff]]*TableCosts[[#This Row],[N_ItemsCount]]</f>
        <v>0</v>
      </c>
      <c r="AU684" s="17">
        <f>IF(F684=1,IF(TableCosts[[#This Row],[N_Kateg]]="interné práce",TableCosts[[#This Row],[N_Amount]]*8*PAR_SGA_PERHOUR,0),0)</f>
        <v>0</v>
      </c>
      <c r="AV684" s="17">
        <f>SUM(TableCosts[[#This Row],[N_Direct]:[N_SGA]])</f>
        <v>0</v>
      </c>
      <c r="AW684" s="7">
        <f>IF(F684=1,IF(D684="",NA(),VLOOKUP(C684&amp;TableCosts[[#This Row],[Calc_N_Typ]],TRAN_STRITEMS_LABEL,7,0)),0)</f>
        <v>0</v>
      </c>
      <c r="AX684" s="7">
        <f t="shared" si="129"/>
        <v>0</v>
      </c>
      <c r="AY684" s="57" t="str">
        <f t="shared" si="130"/>
        <v/>
      </c>
      <c r="AZ684" s="57" t="str">
        <f t="shared" si="131"/>
        <v/>
      </c>
      <c r="BA684" s="57" t="str">
        <f>IF(F684=1,IF(TableCosts[[#This Row],[TransferFrom]]=TableCosts[[#This Row],[TranferTo]],0,1),"")</f>
        <v/>
      </c>
      <c r="BB684" s="7">
        <f t="shared" si="132"/>
        <v>0</v>
      </c>
      <c r="BC684" s="7">
        <f t="shared" si="133"/>
        <v>0</v>
      </c>
    </row>
    <row r="685" spans="2:55" s="7" customFormat="1" ht="12.75" x14ac:dyDescent="0.2">
      <c r="B685" s="33"/>
      <c r="C685" s="31"/>
      <c r="D685" s="40"/>
      <c r="E685" s="6" t="str">
        <f>IF(F685=1,IF(ISERROR(TableCosts[[#This Row],[N_Tariff]]),Err_Message1,IF(TableCosts[[#This Row],[N_Tariff]]=0,Err_Message2,VLOOKUP(C685&amp;TableCosts[[#This Row],[Calc_N_Typ]],TRAN_STRITEMS_LABEL,5,FALSE))),"")</f>
        <v/>
      </c>
      <c r="F685" s="6">
        <f t="shared" si="134"/>
        <v>0</v>
      </c>
      <c r="G685" s="6" t="str">
        <f>IF(F685=1,IFERROR(VLOOKUP(E685,Tab_ErrMessage[],2,0),VLOOKUP(C685&amp;TableCosts[[#This Row],[Calc_N_Typ]],TRAN_STRITEMS_LABEL,4,FALSE)),"")</f>
        <v/>
      </c>
      <c r="H685" s="40"/>
      <c r="I685" s="40"/>
      <c r="J685" s="35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  <c r="AD685" s="24"/>
      <c r="AE685" s="24"/>
      <c r="AF685" s="24"/>
      <c r="AG685" s="24"/>
      <c r="AH685" s="24"/>
      <c r="AI685" s="24"/>
      <c r="AJ685" s="24"/>
      <c r="AK685" s="38">
        <f t="array" ref="AK685">IF(F685=1,SUM((ROW(M0)=ROW(AK685))*(M0+M1_+M2_+M3_+M4_+M5_+M6_+M7_+M8_+M9_+M10_+M11_+M12_+M13_+M14_+M15_+M16_+M17_+M18_+M19_+M20_+M21_+M22_+M23_+M24_+M25_)),0)</f>
        <v>0</v>
      </c>
      <c r="AL685" s="27">
        <f>TableCosts[[#This Row],[N_Direct]]</f>
        <v>0</v>
      </c>
      <c r="AN685" s="7" t="str">
        <f t="shared" si="123"/>
        <v/>
      </c>
      <c r="AO685" s="7" t="str">
        <f t="shared" si="126"/>
        <v/>
      </c>
      <c r="AP685" s="7" t="str">
        <f t="shared" si="124"/>
        <v/>
      </c>
      <c r="AQ685" s="7" t="str">
        <f t="shared" si="127"/>
        <v/>
      </c>
      <c r="AR685" s="7" t="str">
        <f t="shared" si="125"/>
        <v/>
      </c>
      <c r="AS685" s="7">
        <f t="shared" si="128"/>
        <v>0</v>
      </c>
      <c r="AT685" s="17">
        <f>TableCosts[[#This Row],[N_Amount]]*TableCosts[[#This Row],[N_Tariff]]*TableCosts[[#This Row],[N_ItemsCount]]</f>
        <v>0</v>
      </c>
      <c r="AU685" s="17">
        <f>IF(F685=1,IF(TableCosts[[#This Row],[N_Kateg]]="interné práce",TableCosts[[#This Row],[N_Amount]]*8*PAR_SGA_PERHOUR,0),0)</f>
        <v>0</v>
      </c>
      <c r="AV685" s="17">
        <f>SUM(TableCosts[[#This Row],[N_Direct]:[N_SGA]])</f>
        <v>0</v>
      </c>
      <c r="AW685" s="7">
        <f>IF(F685=1,IF(D685="",NA(),VLOOKUP(C685&amp;TableCosts[[#This Row],[Calc_N_Typ]],TRAN_STRITEMS_LABEL,7,0)),0)</f>
        <v>0</v>
      </c>
      <c r="AX685" s="7">
        <f t="shared" si="129"/>
        <v>0</v>
      </c>
      <c r="AY685" s="57" t="str">
        <f t="shared" si="130"/>
        <v/>
      </c>
      <c r="AZ685" s="57" t="str">
        <f t="shared" si="131"/>
        <v/>
      </c>
      <c r="BA685" s="57" t="str">
        <f>IF(F685=1,IF(TableCosts[[#This Row],[TransferFrom]]=TableCosts[[#This Row],[TranferTo]],0,1),"")</f>
        <v/>
      </c>
      <c r="BB685" s="7">
        <f t="shared" si="132"/>
        <v>0</v>
      </c>
      <c r="BC685" s="7">
        <f t="shared" si="133"/>
        <v>0</v>
      </c>
    </row>
    <row r="686" spans="2:55" s="7" customFormat="1" ht="12.75" x14ac:dyDescent="0.2">
      <c r="B686" s="33"/>
      <c r="C686" s="31"/>
      <c r="D686" s="40"/>
      <c r="E686" s="6" t="str">
        <f>IF(F686=1,IF(ISERROR(TableCosts[[#This Row],[N_Tariff]]),Err_Message1,IF(TableCosts[[#This Row],[N_Tariff]]=0,Err_Message2,VLOOKUP(C686&amp;TableCosts[[#This Row],[Calc_N_Typ]],TRAN_STRITEMS_LABEL,5,FALSE))),"")</f>
        <v/>
      </c>
      <c r="F686" s="6">
        <f t="shared" si="134"/>
        <v>0</v>
      </c>
      <c r="G686" s="6" t="str">
        <f>IF(F686=1,IFERROR(VLOOKUP(E686,Tab_ErrMessage[],2,0),VLOOKUP(C686&amp;TableCosts[[#This Row],[Calc_N_Typ]],TRAN_STRITEMS_LABEL,4,FALSE)),"")</f>
        <v/>
      </c>
      <c r="H686" s="40"/>
      <c r="I686" s="40"/>
      <c r="J686" s="35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  <c r="AD686" s="24"/>
      <c r="AE686" s="24"/>
      <c r="AF686" s="24"/>
      <c r="AG686" s="24"/>
      <c r="AH686" s="24"/>
      <c r="AI686" s="24"/>
      <c r="AJ686" s="24"/>
      <c r="AK686" s="38">
        <f t="array" ref="AK686">IF(F686=1,SUM((ROW(M0)=ROW(AK686))*(M0+M1_+M2_+M3_+M4_+M5_+M6_+M7_+M8_+M9_+M10_+M11_+M12_+M13_+M14_+M15_+M16_+M17_+M18_+M19_+M20_+M21_+M22_+M23_+M24_+M25_)),0)</f>
        <v>0</v>
      </c>
      <c r="AL686" s="27">
        <f>TableCosts[[#This Row],[N_Direct]]</f>
        <v>0</v>
      </c>
      <c r="AN686" s="7" t="str">
        <f t="shared" si="123"/>
        <v/>
      </c>
      <c r="AO686" s="7" t="str">
        <f t="shared" si="126"/>
        <v/>
      </c>
      <c r="AP686" s="7" t="str">
        <f t="shared" si="124"/>
        <v/>
      </c>
      <c r="AQ686" s="7" t="str">
        <f t="shared" si="127"/>
        <v/>
      </c>
      <c r="AR686" s="7" t="str">
        <f t="shared" si="125"/>
        <v/>
      </c>
      <c r="AS686" s="7">
        <f t="shared" si="128"/>
        <v>0</v>
      </c>
      <c r="AT686" s="17">
        <f>TableCosts[[#This Row],[N_Amount]]*TableCosts[[#This Row],[N_Tariff]]*TableCosts[[#This Row],[N_ItemsCount]]</f>
        <v>0</v>
      </c>
      <c r="AU686" s="17">
        <f>IF(F686=1,IF(TableCosts[[#This Row],[N_Kateg]]="interné práce",TableCosts[[#This Row],[N_Amount]]*8*PAR_SGA_PERHOUR,0),0)</f>
        <v>0</v>
      </c>
      <c r="AV686" s="17">
        <f>SUM(TableCosts[[#This Row],[N_Direct]:[N_SGA]])</f>
        <v>0</v>
      </c>
      <c r="AW686" s="7">
        <f>IF(F686=1,IF(D686="",NA(),VLOOKUP(C686&amp;TableCosts[[#This Row],[Calc_N_Typ]],TRAN_STRITEMS_LABEL,7,0)),0)</f>
        <v>0</v>
      </c>
      <c r="AX686" s="7">
        <f t="shared" si="129"/>
        <v>0</v>
      </c>
      <c r="AY686" s="57" t="str">
        <f t="shared" si="130"/>
        <v/>
      </c>
      <c r="AZ686" s="57" t="str">
        <f t="shared" si="131"/>
        <v/>
      </c>
      <c r="BA686" s="57" t="str">
        <f>IF(F686=1,IF(TableCosts[[#This Row],[TransferFrom]]=TableCosts[[#This Row],[TranferTo]],0,1),"")</f>
        <v/>
      </c>
      <c r="BB686" s="7">
        <f t="shared" si="132"/>
        <v>0</v>
      </c>
      <c r="BC686" s="7">
        <f t="shared" si="133"/>
        <v>0</v>
      </c>
    </row>
    <row r="687" spans="2:55" s="7" customFormat="1" ht="12.75" x14ac:dyDescent="0.2">
      <c r="B687" s="33"/>
      <c r="C687" s="31"/>
      <c r="D687" s="40"/>
      <c r="E687" s="6" t="str">
        <f>IF(F687=1,IF(ISERROR(TableCosts[[#This Row],[N_Tariff]]),Err_Message1,IF(TableCosts[[#This Row],[N_Tariff]]=0,Err_Message2,VLOOKUP(C687&amp;TableCosts[[#This Row],[Calc_N_Typ]],TRAN_STRITEMS_LABEL,5,FALSE))),"")</f>
        <v/>
      </c>
      <c r="F687" s="6">
        <f t="shared" si="134"/>
        <v>0</v>
      </c>
      <c r="G687" s="6" t="str">
        <f>IF(F687=1,IFERROR(VLOOKUP(E687,Tab_ErrMessage[],2,0),VLOOKUP(C687&amp;TableCosts[[#This Row],[Calc_N_Typ]],TRAN_STRITEMS_LABEL,4,FALSE)),"")</f>
        <v/>
      </c>
      <c r="H687" s="40"/>
      <c r="I687" s="40"/>
      <c r="J687" s="35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  <c r="AD687" s="24"/>
      <c r="AE687" s="24"/>
      <c r="AF687" s="24"/>
      <c r="AG687" s="24"/>
      <c r="AH687" s="24"/>
      <c r="AI687" s="24"/>
      <c r="AJ687" s="24"/>
      <c r="AK687" s="38">
        <f t="array" ref="AK687">IF(F687=1,SUM((ROW(M0)=ROW(AK687))*(M0+M1_+M2_+M3_+M4_+M5_+M6_+M7_+M8_+M9_+M10_+M11_+M12_+M13_+M14_+M15_+M16_+M17_+M18_+M19_+M20_+M21_+M22_+M23_+M24_+M25_)),0)</f>
        <v>0</v>
      </c>
      <c r="AL687" s="27">
        <f>TableCosts[[#This Row],[N_Direct]]</f>
        <v>0</v>
      </c>
      <c r="AN687" s="7" t="str">
        <f t="shared" si="123"/>
        <v/>
      </c>
      <c r="AO687" s="7" t="str">
        <f t="shared" si="126"/>
        <v/>
      </c>
      <c r="AP687" s="7" t="str">
        <f t="shared" si="124"/>
        <v/>
      </c>
      <c r="AQ687" s="7" t="str">
        <f t="shared" si="127"/>
        <v/>
      </c>
      <c r="AR687" s="7" t="str">
        <f t="shared" si="125"/>
        <v/>
      </c>
      <c r="AS687" s="7">
        <f t="shared" si="128"/>
        <v>0</v>
      </c>
      <c r="AT687" s="17">
        <f>TableCosts[[#This Row],[N_Amount]]*TableCosts[[#This Row],[N_Tariff]]*TableCosts[[#This Row],[N_ItemsCount]]</f>
        <v>0</v>
      </c>
      <c r="AU687" s="17">
        <f>IF(F687=1,IF(TableCosts[[#This Row],[N_Kateg]]="interné práce",TableCosts[[#This Row],[N_Amount]]*8*PAR_SGA_PERHOUR,0),0)</f>
        <v>0</v>
      </c>
      <c r="AV687" s="17">
        <f>SUM(TableCosts[[#This Row],[N_Direct]:[N_SGA]])</f>
        <v>0</v>
      </c>
      <c r="AW687" s="7">
        <f>IF(F687=1,IF(D687="",NA(),VLOOKUP(C687&amp;TableCosts[[#This Row],[Calc_N_Typ]],TRAN_STRITEMS_LABEL,7,0)),0)</f>
        <v>0</v>
      </c>
      <c r="AX687" s="7">
        <f t="shared" si="129"/>
        <v>0</v>
      </c>
      <c r="AY687" s="57" t="str">
        <f t="shared" si="130"/>
        <v/>
      </c>
      <c r="AZ687" s="57" t="str">
        <f t="shared" si="131"/>
        <v/>
      </c>
      <c r="BA687" s="57" t="str">
        <f>IF(F687=1,IF(TableCosts[[#This Row],[TransferFrom]]=TableCosts[[#This Row],[TranferTo]],0,1),"")</f>
        <v/>
      </c>
      <c r="BB687" s="7">
        <f t="shared" si="132"/>
        <v>0</v>
      </c>
      <c r="BC687" s="7">
        <f t="shared" si="133"/>
        <v>0</v>
      </c>
    </row>
    <row r="688" spans="2:55" s="7" customFormat="1" ht="12.75" x14ac:dyDescent="0.2">
      <c r="B688" s="33"/>
      <c r="C688" s="31"/>
      <c r="D688" s="40"/>
      <c r="E688" s="6" t="str">
        <f>IF(F688=1,IF(ISERROR(TableCosts[[#This Row],[N_Tariff]]),Err_Message1,IF(TableCosts[[#This Row],[N_Tariff]]=0,Err_Message2,VLOOKUP(C688&amp;TableCosts[[#This Row],[Calc_N_Typ]],TRAN_STRITEMS_LABEL,5,FALSE))),"")</f>
        <v/>
      </c>
      <c r="F688" s="6">
        <f t="shared" si="134"/>
        <v>0</v>
      </c>
      <c r="G688" s="6" t="str">
        <f>IF(F688=1,IFERROR(VLOOKUP(E688,Tab_ErrMessage[],2,0),VLOOKUP(C688&amp;TableCosts[[#This Row],[Calc_N_Typ]],TRAN_STRITEMS_LABEL,4,FALSE)),"")</f>
        <v/>
      </c>
      <c r="H688" s="40"/>
      <c r="I688" s="40"/>
      <c r="J688" s="35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  <c r="AD688" s="24"/>
      <c r="AE688" s="24"/>
      <c r="AF688" s="24"/>
      <c r="AG688" s="24"/>
      <c r="AH688" s="24"/>
      <c r="AI688" s="24"/>
      <c r="AJ688" s="24"/>
      <c r="AK688" s="38">
        <f t="array" ref="AK688">IF(F688=1,SUM((ROW(M0)=ROW(AK688))*(M0+M1_+M2_+M3_+M4_+M5_+M6_+M7_+M8_+M9_+M10_+M11_+M12_+M13_+M14_+M15_+M16_+M17_+M18_+M19_+M20_+M21_+M22_+M23_+M24_+M25_)),0)</f>
        <v>0</v>
      </c>
      <c r="AL688" s="27">
        <f>TableCosts[[#This Row],[N_Direct]]</f>
        <v>0</v>
      </c>
      <c r="AN688" s="7" t="str">
        <f t="shared" si="123"/>
        <v/>
      </c>
      <c r="AO688" s="7" t="str">
        <f t="shared" si="126"/>
        <v/>
      </c>
      <c r="AP688" s="7" t="str">
        <f t="shared" si="124"/>
        <v/>
      </c>
      <c r="AQ688" s="7" t="str">
        <f t="shared" si="127"/>
        <v/>
      </c>
      <c r="AR688" s="7" t="str">
        <f t="shared" si="125"/>
        <v/>
      </c>
      <c r="AS688" s="7">
        <f t="shared" si="128"/>
        <v>0</v>
      </c>
      <c r="AT688" s="17">
        <f>TableCosts[[#This Row],[N_Amount]]*TableCosts[[#This Row],[N_Tariff]]*TableCosts[[#This Row],[N_ItemsCount]]</f>
        <v>0</v>
      </c>
      <c r="AU688" s="17">
        <f>IF(F688=1,IF(TableCosts[[#This Row],[N_Kateg]]="interné práce",TableCosts[[#This Row],[N_Amount]]*8*PAR_SGA_PERHOUR,0),0)</f>
        <v>0</v>
      </c>
      <c r="AV688" s="17">
        <f>SUM(TableCosts[[#This Row],[N_Direct]:[N_SGA]])</f>
        <v>0</v>
      </c>
      <c r="AW688" s="7">
        <f>IF(F688=1,IF(D688="",NA(),VLOOKUP(C688&amp;TableCosts[[#This Row],[Calc_N_Typ]],TRAN_STRITEMS_LABEL,7,0)),0)</f>
        <v>0</v>
      </c>
      <c r="AX688" s="7">
        <f t="shared" si="129"/>
        <v>0</v>
      </c>
      <c r="AY688" s="57" t="str">
        <f t="shared" si="130"/>
        <v/>
      </c>
      <c r="AZ688" s="57" t="str">
        <f t="shared" si="131"/>
        <v/>
      </c>
      <c r="BA688" s="57" t="str">
        <f>IF(F688=1,IF(TableCosts[[#This Row],[TransferFrom]]=TableCosts[[#This Row],[TranferTo]],0,1),"")</f>
        <v/>
      </c>
      <c r="BB688" s="7">
        <f t="shared" si="132"/>
        <v>0</v>
      </c>
      <c r="BC688" s="7">
        <f t="shared" si="133"/>
        <v>0</v>
      </c>
    </row>
    <row r="689" spans="2:55" s="7" customFormat="1" ht="12.75" x14ac:dyDescent="0.2">
      <c r="B689" s="33"/>
      <c r="C689" s="31"/>
      <c r="D689" s="40"/>
      <c r="E689" s="6" t="str">
        <f>IF(F689=1,IF(ISERROR(TableCosts[[#This Row],[N_Tariff]]),Err_Message1,IF(TableCosts[[#This Row],[N_Tariff]]=0,Err_Message2,VLOOKUP(C689&amp;TableCosts[[#This Row],[Calc_N_Typ]],TRAN_STRITEMS_LABEL,5,FALSE))),"")</f>
        <v/>
      </c>
      <c r="F689" s="6">
        <f t="shared" si="134"/>
        <v>0</v>
      </c>
      <c r="G689" s="6" t="str">
        <f>IF(F689=1,IFERROR(VLOOKUP(E689,Tab_ErrMessage[],2,0),VLOOKUP(C689&amp;TableCosts[[#This Row],[Calc_N_Typ]],TRAN_STRITEMS_LABEL,4,FALSE)),"")</f>
        <v/>
      </c>
      <c r="H689" s="40"/>
      <c r="I689" s="40"/>
      <c r="J689" s="35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  <c r="AD689" s="24"/>
      <c r="AE689" s="24"/>
      <c r="AF689" s="24"/>
      <c r="AG689" s="24"/>
      <c r="AH689" s="24"/>
      <c r="AI689" s="24"/>
      <c r="AJ689" s="24"/>
      <c r="AK689" s="38">
        <f t="array" ref="AK689">IF(F689=1,SUM((ROW(M0)=ROW(AK689))*(M0+M1_+M2_+M3_+M4_+M5_+M6_+M7_+M8_+M9_+M10_+M11_+M12_+M13_+M14_+M15_+M16_+M17_+M18_+M19_+M20_+M21_+M22_+M23_+M24_+M25_)),0)</f>
        <v>0</v>
      </c>
      <c r="AL689" s="27">
        <f>TableCosts[[#This Row],[N_Direct]]</f>
        <v>0</v>
      </c>
      <c r="AN689" s="7" t="str">
        <f t="shared" si="123"/>
        <v/>
      </c>
      <c r="AO689" s="7" t="str">
        <f t="shared" si="126"/>
        <v/>
      </c>
      <c r="AP689" s="7" t="str">
        <f t="shared" si="124"/>
        <v/>
      </c>
      <c r="AQ689" s="7" t="str">
        <f t="shared" si="127"/>
        <v/>
      </c>
      <c r="AR689" s="7" t="str">
        <f t="shared" si="125"/>
        <v/>
      </c>
      <c r="AS689" s="7">
        <f t="shared" si="128"/>
        <v>0</v>
      </c>
      <c r="AT689" s="17">
        <f>TableCosts[[#This Row],[N_Amount]]*TableCosts[[#This Row],[N_Tariff]]*TableCosts[[#This Row],[N_ItemsCount]]</f>
        <v>0</v>
      </c>
      <c r="AU689" s="17">
        <f>IF(F689=1,IF(TableCosts[[#This Row],[N_Kateg]]="interné práce",TableCosts[[#This Row],[N_Amount]]*8*PAR_SGA_PERHOUR,0),0)</f>
        <v>0</v>
      </c>
      <c r="AV689" s="17">
        <f>SUM(TableCosts[[#This Row],[N_Direct]:[N_SGA]])</f>
        <v>0</v>
      </c>
      <c r="AW689" s="7">
        <f>IF(F689=1,IF(D689="",NA(),VLOOKUP(C689&amp;TableCosts[[#This Row],[Calc_N_Typ]],TRAN_STRITEMS_LABEL,7,0)),0)</f>
        <v>0</v>
      </c>
      <c r="AX689" s="7">
        <f t="shared" si="129"/>
        <v>0</v>
      </c>
      <c r="AY689" s="57" t="str">
        <f t="shared" si="130"/>
        <v/>
      </c>
      <c r="AZ689" s="57" t="str">
        <f t="shared" si="131"/>
        <v/>
      </c>
      <c r="BA689" s="57" t="str">
        <f>IF(F689=1,IF(TableCosts[[#This Row],[TransferFrom]]=TableCosts[[#This Row],[TranferTo]],0,1),"")</f>
        <v/>
      </c>
      <c r="BB689" s="7">
        <f t="shared" si="132"/>
        <v>0</v>
      </c>
      <c r="BC689" s="7">
        <f t="shared" si="133"/>
        <v>0</v>
      </c>
    </row>
    <row r="690" spans="2:55" s="7" customFormat="1" ht="12.75" x14ac:dyDescent="0.2">
      <c r="B690" s="33"/>
      <c r="C690" s="31"/>
      <c r="D690" s="40"/>
      <c r="E690" s="6" t="str">
        <f>IF(F690=1,IF(ISERROR(TableCosts[[#This Row],[N_Tariff]]),Err_Message1,IF(TableCosts[[#This Row],[N_Tariff]]=0,Err_Message2,VLOOKUP(C690&amp;TableCosts[[#This Row],[Calc_N_Typ]],TRAN_STRITEMS_LABEL,5,FALSE))),"")</f>
        <v/>
      </c>
      <c r="F690" s="6">
        <f t="shared" si="134"/>
        <v>0</v>
      </c>
      <c r="G690" s="6" t="str">
        <f>IF(F690=1,IFERROR(VLOOKUP(E690,Tab_ErrMessage[],2,0),VLOOKUP(C690&amp;TableCosts[[#This Row],[Calc_N_Typ]],TRAN_STRITEMS_LABEL,4,FALSE)),"")</f>
        <v/>
      </c>
      <c r="H690" s="40"/>
      <c r="I690" s="40"/>
      <c r="J690" s="35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  <c r="AD690" s="24"/>
      <c r="AE690" s="24"/>
      <c r="AF690" s="24"/>
      <c r="AG690" s="24"/>
      <c r="AH690" s="24"/>
      <c r="AI690" s="24"/>
      <c r="AJ690" s="24"/>
      <c r="AK690" s="38">
        <f t="array" ref="AK690">IF(F690=1,SUM((ROW(M0)=ROW(AK690))*(M0+M1_+M2_+M3_+M4_+M5_+M6_+M7_+M8_+M9_+M10_+M11_+M12_+M13_+M14_+M15_+M16_+M17_+M18_+M19_+M20_+M21_+M22_+M23_+M24_+M25_)),0)</f>
        <v>0</v>
      </c>
      <c r="AL690" s="27">
        <f>TableCosts[[#This Row],[N_Direct]]</f>
        <v>0</v>
      </c>
      <c r="AN690" s="7" t="str">
        <f t="shared" si="123"/>
        <v/>
      </c>
      <c r="AO690" s="7" t="str">
        <f t="shared" si="126"/>
        <v/>
      </c>
      <c r="AP690" s="7" t="str">
        <f t="shared" si="124"/>
        <v/>
      </c>
      <c r="AQ690" s="7" t="str">
        <f t="shared" si="127"/>
        <v/>
      </c>
      <c r="AR690" s="7" t="str">
        <f t="shared" si="125"/>
        <v/>
      </c>
      <c r="AS690" s="7">
        <f t="shared" si="128"/>
        <v>0</v>
      </c>
      <c r="AT690" s="17">
        <f>TableCosts[[#This Row],[N_Amount]]*TableCosts[[#This Row],[N_Tariff]]*TableCosts[[#This Row],[N_ItemsCount]]</f>
        <v>0</v>
      </c>
      <c r="AU690" s="17">
        <f>IF(F690=1,IF(TableCosts[[#This Row],[N_Kateg]]="interné práce",TableCosts[[#This Row],[N_Amount]]*8*PAR_SGA_PERHOUR,0),0)</f>
        <v>0</v>
      </c>
      <c r="AV690" s="17">
        <f>SUM(TableCosts[[#This Row],[N_Direct]:[N_SGA]])</f>
        <v>0</v>
      </c>
      <c r="AW690" s="7">
        <f>IF(F690=1,IF(D690="",NA(),VLOOKUP(C690&amp;TableCosts[[#This Row],[Calc_N_Typ]],TRAN_STRITEMS_LABEL,7,0)),0)</f>
        <v>0</v>
      </c>
      <c r="AX690" s="7">
        <f t="shared" si="129"/>
        <v>0</v>
      </c>
      <c r="AY690" s="57" t="str">
        <f t="shared" si="130"/>
        <v/>
      </c>
      <c r="AZ690" s="57" t="str">
        <f t="shared" si="131"/>
        <v/>
      </c>
      <c r="BA690" s="57" t="str">
        <f>IF(F690=1,IF(TableCosts[[#This Row],[TransferFrom]]=TableCosts[[#This Row],[TranferTo]],0,1),"")</f>
        <v/>
      </c>
      <c r="BB690" s="7">
        <f t="shared" si="132"/>
        <v>0</v>
      </c>
      <c r="BC690" s="7">
        <f t="shared" si="133"/>
        <v>0</v>
      </c>
    </row>
    <row r="691" spans="2:55" s="7" customFormat="1" ht="12.75" x14ac:dyDescent="0.2">
      <c r="B691" s="33"/>
      <c r="C691" s="31"/>
      <c r="D691" s="40"/>
      <c r="E691" s="6" t="str">
        <f>IF(F691=1,IF(ISERROR(TableCosts[[#This Row],[N_Tariff]]),Err_Message1,IF(TableCosts[[#This Row],[N_Tariff]]=0,Err_Message2,VLOOKUP(C691&amp;TableCosts[[#This Row],[Calc_N_Typ]],TRAN_STRITEMS_LABEL,5,FALSE))),"")</f>
        <v/>
      </c>
      <c r="F691" s="6">
        <f t="shared" si="134"/>
        <v>0</v>
      </c>
      <c r="G691" s="6" t="str">
        <f>IF(F691=1,IFERROR(VLOOKUP(E691,Tab_ErrMessage[],2,0),VLOOKUP(C691&amp;TableCosts[[#This Row],[Calc_N_Typ]],TRAN_STRITEMS_LABEL,4,FALSE)),"")</f>
        <v/>
      </c>
      <c r="H691" s="40"/>
      <c r="I691" s="40"/>
      <c r="J691" s="35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  <c r="AD691" s="24"/>
      <c r="AE691" s="24"/>
      <c r="AF691" s="24"/>
      <c r="AG691" s="24"/>
      <c r="AH691" s="24"/>
      <c r="AI691" s="24"/>
      <c r="AJ691" s="24"/>
      <c r="AK691" s="38">
        <f t="array" ref="AK691">IF(F691=1,SUM((ROW(M0)=ROW(AK691))*(M0+M1_+M2_+M3_+M4_+M5_+M6_+M7_+M8_+M9_+M10_+M11_+M12_+M13_+M14_+M15_+M16_+M17_+M18_+M19_+M20_+M21_+M22_+M23_+M24_+M25_)),0)</f>
        <v>0</v>
      </c>
      <c r="AL691" s="27">
        <f>TableCosts[[#This Row],[N_Direct]]</f>
        <v>0</v>
      </c>
      <c r="AN691" s="7" t="str">
        <f t="shared" si="123"/>
        <v/>
      </c>
      <c r="AO691" s="7" t="str">
        <f t="shared" si="126"/>
        <v/>
      </c>
      <c r="AP691" s="7" t="str">
        <f t="shared" si="124"/>
        <v/>
      </c>
      <c r="AQ691" s="7" t="str">
        <f t="shared" si="127"/>
        <v/>
      </c>
      <c r="AR691" s="7" t="str">
        <f t="shared" si="125"/>
        <v/>
      </c>
      <c r="AS691" s="7">
        <f t="shared" si="128"/>
        <v>0</v>
      </c>
      <c r="AT691" s="17">
        <f>TableCosts[[#This Row],[N_Amount]]*TableCosts[[#This Row],[N_Tariff]]*TableCosts[[#This Row],[N_ItemsCount]]</f>
        <v>0</v>
      </c>
      <c r="AU691" s="17">
        <f>IF(F691=1,IF(TableCosts[[#This Row],[N_Kateg]]="interné práce",TableCosts[[#This Row],[N_Amount]]*8*PAR_SGA_PERHOUR,0),0)</f>
        <v>0</v>
      </c>
      <c r="AV691" s="17">
        <f>SUM(TableCosts[[#This Row],[N_Direct]:[N_SGA]])</f>
        <v>0</v>
      </c>
      <c r="AW691" s="7">
        <f>IF(F691=1,IF(D691="",NA(),VLOOKUP(C691&amp;TableCosts[[#This Row],[Calc_N_Typ]],TRAN_STRITEMS_LABEL,7,0)),0)</f>
        <v>0</v>
      </c>
      <c r="AX691" s="7">
        <f t="shared" si="129"/>
        <v>0</v>
      </c>
      <c r="AY691" s="57" t="str">
        <f t="shared" si="130"/>
        <v/>
      </c>
      <c r="AZ691" s="57" t="str">
        <f t="shared" si="131"/>
        <v/>
      </c>
      <c r="BA691" s="57" t="str">
        <f>IF(F691=1,IF(TableCosts[[#This Row],[TransferFrom]]=TableCosts[[#This Row],[TranferTo]],0,1),"")</f>
        <v/>
      </c>
      <c r="BB691" s="7">
        <f t="shared" si="132"/>
        <v>0</v>
      </c>
      <c r="BC691" s="7">
        <f t="shared" si="133"/>
        <v>0</v>
      </c>
    </row>
    <row r="692" spans="2:55" s="7" customFormat="1" ht="12.75" x14ac:dyDescent="0.2">
      <c r="B692" s="33"/>
      <c r="C692" s="31"/>
      <c r="D692" s="40"/>
      <c r="E692" s="6" t="str">
        <f>IF(F692=1,IF(ISERROR(TableCosts[[#This Row],[N_Tariff]]),Err_Message1,IF(TableCosts[[#This Row],[N_Tariff]]=0,Err_Message2,VLOOKUP(C692&amp;TableCosts[[#This Row],[Calc_N_Typ]],TRAN_STRITEMS_LABEL,5,FALSE))),"")</f>
        <v/>
      </c>
      <c r="F692" s="6">
        <f t="shared" si="134"/>
        <v>0</v>
      </c>
      <c r="G692" s="6" t="str">
        <f>IF(F692=1,IFERROR(VLOOKUP(E692,Tab_ErrMessage[],2,0),VLOOKUP(C692&amp;TableCosts[[#This Row],[Calc_N_Typ]],TRAN_STRITEMS_LABEL,4,FALSE)),"")</f>
        <v/>
      </c>
      <c r="H692" s="40"/>
      <c r="I692" s="40"/>
      <c r="J692" s="35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  <c r="AD692" s="24"/>
      <c r="AE692" s="24"/>
      <c r="AF692" s="24"/>
      <c r="AG692" s="24"/>
      <c r="AH692" s="24"/>
      <c r="AI692" s="24"/>
      <c r="AJ692" s="24"/>
      <c r="AK692" s="38">
        <f t="array" ref="AK692">IF(F692=1,SUM((ROW(M0)=ROW(AK692))*(M0+M1_+M2_+M3_+M4_+M5_+M6_+M7_+M8_+M9_+M10_+M11_+M12_+M13_+M14_+M15_+M16_+M17_+M18_+M19_+M20_+M21_+M22_+M23_+M24_+M25_)),0)</f>
        <v>0</v>
      </c>
      <c r="AL692" s="27">
        <f>TableCosts[[#This Row],[N_Direct]]</f>
        <v>0</v>
      </c>
      <c r="AN692" s="7" t="str">
        <f t="shared" si="123"/>
        <v/>
      </c>
      <c r="AO692" s="7" t="str">
        <f t="shared" si="126"/>
        <v/>
      </c>
      <c r="AP692" s="7" t="str">
        <f t="shared" si="124"/>
        <v/>
      </c>
      <c r="AQ692" s="7" t="str">
        <f t="shared" si="127"/>
        <v/>
      </c>
      <c r="AR692" s="7" t="str">
        <f t="shared" si="125"/>
        <v/>
      </c>
      <c r="AS692" s="7">
        <f t="shared" si="128"/>
        <v>0</v>
      </c>
      <c r="AT692" s="17">
        <f>TableCosts[[#This Row],[N_Amount]]*TableCosts[[#This Row],[N_Tariff]]*TableCosts[[#This Row],[N_ItemsCount]]</f>
        <v>0</v>
      </c>
      <c r="AU692" s="17">
        <f>IF(F692=1,IF(TableCosts[[#This Row],[N_Kateg]]="interné práce",TableCosts[[#This Row],[N_Amount]]*8*PAR_SGA_PERHOUR,0),0)</f>
        <v>0</v>
      </c>
      <c r="AV692" s="17">
        <f>SUM(TableCosts[[#This Row],[N_Direct]:[N_SGA]])</f>
        <v>0</v>
      </c>
      <c r="AW692" s="7">
        <f>IF(F692=1,IF(D692="",NA(),VLOOKUP(C692&amp;TableCosts[[#This Row],[Calc_N_Typ]],TRAN_STRITEMS_LABEL,7,0)),0)</f>
        <v>0</v>
      </c>
      <c r="AX692" s="7">
        <f t="shared" si="129"/>
        <v>0</v>
      </c>
      <c r="AY692" s="57" t="str">
        <f t="shared" si="130"/>
        <v/>
      </c>
      <c r="AZ692" s="57" t="str">
        <f t="shared" si="131"/>
        <v/>
      </c>
      <c r="BA692" s="57" t="str">
        <f>IF(F692=1,IF(TableCosts[[#This Row],[TransferFrom]]=TableCosts[[#This Row],[TranferTo]],0,1),"")</f>
        <v/>
      </c>
      <c r="BB692" s="7">
        <f t="shared" si="132"/>
        <v>0</v>
      </c>
      <c r="BC692" s="7">
        <f t="shared" si="133"/>
        <v>0</v>
      </c>
    </row>
    <row r="693" spans="2:55" s="7" customFormat="1" ht="12.75" x14ac:dyDescent="0.2">
      <c r="B693" s="33"/>
      <c r="C693" s="31"/>
      <c r="D693" s="40"/>
      <c r="E693" s="6" t="str">
        <f>IF(F693=1,IF(ISERROR(TableCosts[[#This Row],[N_Tariff]]),Err_Message1,IF(TableCosts[[#This Row],[N_Tariff]]=0,Err_Message2,VLOOKUP(C693&amp;TableCosts[[#This Row],[Calc_N_Typ]],TRAN_STRITEMS_LABEL,5,FALSE))),"")</f>
        <v/>
      </c>
      <c r="F693" s="6">
        <f t="shared" si="134"/>
        <v>0</v>
      </c>
      <c r="G693" s="6" t="str">
        <f>IF(F693=1,IFERROR(VLOOKUP(E693,Tab_ErrMessage[],2,0),VLOOKUP(C693&amp;TableCosts[[#This Row],[Calc_N_Typ]],TRAN_STRITEMS_LABEL,4,FALSE)),"")</f>
        <v/>
      </c>
      <c r="H693" s="40"/>
      <c r="I693" s="40"/>
      <c r="J693" s="35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  <c r="AD693" s="24"/>
      <c r="AE693" s="24"/>
      <c r="AF693" s="24"/>
      <c r="AG693" s="24"/>
      <c r="AH693" s="24"/>
      <c r="AI693" s="24"/>
      <c r="AJ693" s="24"/>
      <c r="AK693" s="38">
        <f t="array" ref="AK693">IF(F693=1,SUM((ROW(M0)=ROW(AK693))*(M0+M1_+M2_+M3_+M4_+M5_+M6_+M7_+M8_+M9_+M10_+M11_+M12_+M13_+M14_+M15_+M16_+M17_+M18_+M19_+M20_+M21_+M22_+M23_+M24_+M25_)),0)</f>
        <v>0</v>
      </c>
      <c r="AL693" s="27">
        <f>TableCosts[[#This Row],[N_Direct]]</f>
        <v>0</v>
      </c>
      <c r="AN693" s="7" t="str">
        <f t="shared" si="123"/>
        <v/>
      </c>
      <c r="AO693" s="7" t="str">
        <f t="shared" si="126"/>
        <v/>
      </c>
      <c r="AP693" s="7" t="str">
        <f t="shared" si="124"/>
        <v/>
      </c>
      <c r="AQ693" s="7" t="str">
        <f t="shared" si="127"/>
        <v/>
      </c>
      <c r="AR693" s="7" t="str">
        <f t="shared" si="125"/>
        <v/>
      </c>
      <c r="AS693" s="7">
        <f t="shared" si="128"/>
        <v>0</v>
      </c>
      <c r="AT693" s="17">
        <f>TableCosts[[#This Row],[N_Amount]]*TableCosts[[#This Row],[N_Tariff]]*TableCosts[[#This Row],[N_ItemsCount]]</f>
        <v>0</v>
      </c>
      <c r="AU693" s="17">
        <f>IF(F693=1,IF(TableCosts[[#This Row],[N_Kateg]]="interné práce",TableCosts[[#This Row],[N_Amount]]*8*PAR_SGA_PERHOUR,0),0)</f>
        <v>0</v>
      </c>
      <c r="AV693" s="17">
        <f>SUM(TableCosts[[#This Row],[N_Direct]:[N_SGA]])</f>
        <v>0</v>
      </c>
      <c r="AW693" s="7">
        <f>IF(F693=1,IF(D693="",NA(),VLOOKUP(C693&amp;TableCosts[[#This Row],[Calc_N_Typ]],TRAN_STRITEMS_LABEL,7,0)),0)</f>
        <v>0</v>
      </c>
      <c r="AX693" s="7">
        <f t="shared" si="129"/>
        <v>0</v>
      </c>
      <c r="AY693" s="57" t="str">
        <f t="shared" si="130"/>
        <v/>
      </c>
      <c r="AZ693" s="57" t="str">
        <f t="shared" si="131"/>
        <v/>
      </c>
      <c r="BA693" s="57" t="str">
        <f>IF(F693=1,IF(TableCosts[[#This Row],[TransferFrom]]=TableCosts[[#This Row],[TranferTo]],0,1),"")</f>
        <v/>
      </c>
      <c r="BB693" s="7">
        <f t="shared" si="132"/>
        <v>0</v>
      </c>
      <c r="BC693" s="7">
        <f t="shared" si="133"/>
        <v>0</v>
      </c>
    </row>
    <row r="694" spans="2:55" s="7" customFormat="1" ht="12.75" x14ac:dyDescent="0.2">
      <c r="B694" s="33"/>
      <c r="C694" s="31"/>
      <c r="D694" s="40"/>
      <c r="E694" s="6" t="str">
        <f>IF(F694=1,IF(ISERROR(TableCosts[[#This Row],[N_Tariff]]),Err_Message1,IF(TableCosts[[#This Row],[N_Tariff]]=0,Err_Message2,VLOOKUP(C694&amp;TableCosts[[#This Row],[Calc_N_Typ]],TRAN_STRITEMS_LABEL,5,FALSE))),"")</f>
        <v/>
      </c>
      <c r="F694" s="6">
        <f t="shared" si="134"/>
        <v>0</v>
      </c>
      <c r="G694" s="6" t="str">
        <f>IF(F694=1,IFERROR(VLOOKUP(E694,Tab_ErrMessage[],2,0),VLOOKUP(C694&amp;TableCosts[[#This Row],[Calc_N_Typ]],TRAN_STRITEMS_LABEL,4,FALSE)),"")</f>
        <v/>
      </c>
      <c r="H694" s="40"/>
      <c r="I694" s="40"/>
      <c r="J694" s="35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  <c r="AD694" s="24"/>
      <c r="AE694" s="24"/>
      <c r="AF694" s="24"/>
      <c r="AG694" s="24"/>
      <c r="AH694" s="24"/>
      <c r="AI694" s="24"/>
      <c r="AJ694" s="24"/>
      <c r="AK694" s="38">
        <f t="array" ref="AK694">IF(F694=1,SUM((ROW(M0)=ROW(AK694))*(M0+M1_+M2_+M3_+M4_+M5_+M6_+M7_+M8_+M9_+M10_+M11_+M12_+M13_+M14_+M15_+M16_+M17_+M18_+M19_+M20_+M21_+M22_+M23_+M24_+M25_)),0)</f>
        <v>0</v>
      </c>
      <c r="AL694" s="27">
        <f>TableCosts[[#This Row],[N_Direct]]</f>
        <v>0</v>
      </c>
      <c r="AN694" s="7" t="str">
        <f t="shared" si="123"/>
        <v/>
      </c>
      <c r="AO694" s="7" t="str">
        <f t="shared" si="126"/>
        <v/>
      </c>
      <c r="AP694" s="7" t="str">
        <f t="shared" si="124"/>
        <v/>
      </c>
      <c r="AQ694" s="7" t="str">
        <f t="shared" si="127"/>
        <v/>
      </c>
      <c r="AR694" s="7" t="str">
        <f t="shared" si="125"/>
        <v/>
      </c>
      <c r="AS694" s="7">
        <f t="shared" si="128"/>
        <v>0</v>
      </c>
      <c r="AT694" s="17">
        <f>TableCosts[[#This Row],[N_Amount]]*TableCosts[[#This Row],[N_Tariff]]*TableCosts[[#This Row],[N_ItemsCount]]</f>
        <v>0</v>
      </c>
      <c r="AU694" s="17">
        <f>IF(F694=1,IF(TableCosts[[#This Row],[N_Kateg]]="interné práce",TableCosts[[#This Row],[N_Amount]]*8*PAR_SGA_PERHOUR,0),0)</f>
        <v>0</v>
      </c>
      <c r="AV694" s="17">
        <f>SUM(TableCosts[[#This Row],[N_Direct]:[N_SGA]])</f>
        <v>0</v>
      </c>
      <c r="AW694" s="7">
        <f>IF(F694=1,IF(D694="",NA(),VLOOKUP(C694&amp;TableCosts[[#This Row],[Calc_N_Typ]],TRAN_STRITEMS_LABEL,7,0)),0)</f>
        <v>0</v>
      </c>
      <c r="AX694" s="7">
        <f t="shared" si="129"/>
        <v>0</v>
      </c>
      <c r="AY694" s="57" t="str">
        <f t="shared" si="130"/>
        <v/>
      </c>
      <c r="AZ694" s="57" t="str">
        <f t="shared" si="131"/>
        <v/>
      </c>
      <c r="BA694" s="57" t="str">
        <f>IF(F694=1,IF(TableCosts[[#This Row],[TransferFrom]]=TableCosts[[#This Row],[TranferTo]],0,1),"")</f>
        <v/>
      </c>
      <c r="BB694" s="7">
        <f t="shared" si="132"/>
        <v>0</v>
      </c>
      <c r="BC694" s="7">
        <f t="shared" si="133"/>
        <v>0</v>
      </c>
    </row>
    <row r="695" spans="2:55" s="7" customFormat="1" ht="12.75" x14ac:dyDescent="0.2">
      <c r="B695" s="33"/>
      <c r="C695" s="31"/>
      <c r="D695" s="40"/>
      <c r="E695" s="6" t="str">
        <f>IF(F695=1,IF(ISERROR(TableCosts[[#This Row],[N_Tariff]]),Err_Message1,IF(TableCosts[[#This Row],[N_Tariff]]=0,Err_Message2,VLOOKUP(C695&amp;TableCosts[[#This Row],[Calc_N_Typ]],TRAN_STRITEMS_LABEL,5,FALSE))),"")</f>
        <v/>
      </c>
      <c r="F695" s="6">
        <f t="shared" si="134"/>
        <v>0</v>
      </c>
      <c r="G695" s="6" t="str">
        <f>IF(F695=1,IFERROR(VLOOKUP(E695,Tab_ErrMessage[],2,0),VLOOKUP(C695&amp;TableCosts[[#This Row],[Calc_N_Typ]],TRAN_STRITEMS_LABEL,4,FALSE)),"")</f>
        <v/>
      </c>
      <c r="H695" s="40"/>
      <c r="I695" s="40"/>
      <c r="J695" s="35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  <c r="AD695" s="24"/>
      <c r="AE695" s="24"/>
      <c r="AF695" s="24"/>
      <c r="AG695" s="24"/>
      <c r="AH695" s="24"/>
      <c r="AI695" s="24"/>
      <c r="AJ695" s="24"/>
      <c r="AK695" s="38">
        <f t="array" ref="AK695">IF(F695=1,SUM((ROW(M0)=ROW(AK695))*(M0+M1_+M2_+M3_+M4_+M5_+M6_+M7_+M8_+M9_+M10_+M11_+M12_+M13_+M14_+M15_+M16_+M17_+M18_+M19_+M20_+M21_+M22_+M23_+M24_+M25_)),0)</f>
        <v>0</v>
      </c>
      <c r="AL695" s="27">
        <f>TableCosts[[#This Row],[N_Direct]]</f>
        <v>0</v>
      </c>
      <c r="AN695" s="7" t="str">
        <f t="shared" ref="AN695:AN750" si="135">IF(F695=1,B695,"")</f>
        <v/>
      </c>
      <c r="AO695" s="7" t="str">
        <f t="shared" si="126"/>
        <v/>
      </c>
      <c r="AP695" s="7" t="str">
        <f t="shared" ref="AP695:AP750" si="136">IF(F695=1,E695,"")</f>
        <v/>
      </c>
      <c r="AQ695" s="7" t="str">
        <f t="shared" si="127"/>
        <v/>
      </c>
      <c r="AR695" s="7" t="str">
        <f t="shared" ref="AR695:AR750" si="137">IF(F695=1,G695,"")</f>
        <v/>
      </c>
      <c r="AS695" s="7">
        <f t="shared" si="128"/>
        <v>0</v>
      </c>
      <c r="AT695" s="17">
        <f>TableCosts[[#This Row],[N_Amount]]*TableCosts[[#This Row],[N_Tariff]]*TableCosts[[#This Row],[N_ItemsCount]]</f>
        <v>0</v>
      </c>
      <c r="AU695" s="17">
        <f>IF(F695=1,IF(TableCosts[[#This Row],[N_Kateg]]="interné práce",TableCosts[[#This Row],[N_Amount]]*8*PAR_SGA_PERHOUR,0),0)</f>
        <v>0</v>
      </c>
      <c r="AV695" s="17">
        <f>SUM(TableCosts[[#This Row],[N_Direct]:[N_SGA]])</f>
        <v>0</v>
      </c>
      <c r="AW695" s="7">
        <f>IF(F695=1,IF(D695="",NA(),VLOOKUP(C695&amp;TableCosts[[#This Row],[Calc_N_Typ]],TRAN_STRITEMS_LABEL,7,0)),0)</f>
        <v>0</v>
      </c>
      <c r="AX695" s="7">
        <f t="shared" si="129"/>
        <v>0</v>
      </c>
      <c r="AY695" s="57" t="str">
        <f t="shared" si="130"/>
        <v/>
      </c>
      <c r="AZ695" s="57" t="str">
        <f t="shared" si="131"/>
        <v/>
      </c>
      <c r="BA695" s="57" t="str">
        <f>IF(F695=1,IF(TableCosts[[#This Row],[TransferFrom]]=TableCosts[[#This Row],[TranferTo]],0,1),"")</f>
        <v/>
      </c>
      <c r="BB695" s="7">
        <f t="shared" si="132"/>
        <v>0</v>
      </c>
      <c r="BC695" s="7">
        <f t="shared" si="133"/>
        <v>0</v>
      </c>
    </row>
    <row r="696" spans="2:55" s="7" customFormat="1" ht="12.75" x14ac:dyDescent="0.2">
      <c r="B696" s="33"/>
      <c r="C696" s="31"/>
      <c r="D696" s="40"/>
      <c r="E696" s="6" t="str">
        <f>IF(F696=1,IF(ISERROR(TableCosts[[#This Row],[N_Tariff]]),Err_Message1,IF(TableCosts[[#This Row],[N_Tariff]]=0,Err_Message2,VLOOKUP(C696&amp;TableCosts[[#This Row],[Calc_N_Typ]],TRAN_STRITEMS_LABEL,5,FALSE))),"")</f>
        <v/>
      </c>
      <c r="F696" s="6">
        <f t="shared" si="134"/>
        <v>0</v>
      </c>
      <c r="G696" s="6" t="str">
        <f>IF(F696=1,IFERROR(VLOOKUP(E696,Tab_ErrMessage[],2,0),VLOOKUP(C696&amp;TableCosts[[#This Row],[Calc_N_Typ]],TRAN_STRITEMS_LABEL,4,FALSE)),"")</f>
        <v/>
      </c>
      <c r="H696" s="40"/>
      <c r="I696" s="40"/>
      <c r="J696" s="35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  <c r="AD696" s="24"/>
      <c r="AE696" s="24"/>
      <c r="AF696" s="24"/>
      <c r="AG696" s="24"/>
      <c r="AH696" s="24"/>
      <c r="AI696" s="24"/>
      <c r="AJ696" s="24"/>
      <c r="AK696" s="38">
        <f t="array" ref="AK696">IF(F696=1,SUM((ROW(M0)=ROW(AK696))*(M0+M1_+M2_+M3_+M4_+M5_+M6_+M7_+M8_+M9_+M10_+M11_+M12_+M13_+M14_+M15_+M16_+M17_+M18_+M19_+M20_+M21_+M22_+M23_+M24_+M25_)),0)</f>
        <v>0</v>
      </c>
      <c r="AL696" s="27">
        <f>TableCosts[[#This Row],[N_Direct]]</f>
        <v>0</v>
      </c>
      <c r="AN696" s="7" t="str">
        <f t="shared" si="135"/>
        <v/>
      </c>
      <c r="AO696" s="7" t="str">
        <f t="shared" si="126"/>
        <v/>
      </c>
      <c r="AP696" s="7" t="str">
        <f t="shared" si="136"/>
        <v/>
      </c>
      <c r="AQ696" s="7" t="str">
        <f t="shared" si="127"/>
        <v/>
      </c>
      <c r="AR696" s="7" t="str">
        <f t="shared" si="137"/>
        <v/>
      </c>
      <c r="AS696" s="7">
        <f t="shared" si="128"/>
        <v>0</v>
      </c>
      <c r="AT696" s="17">
        <f>TableCosts[[#This Row],[N_Amount]]*TableCosts[[#This Row],[N_Tariff]]*TableCosts[[#This Row],[N_ItemsCount]]</f>
        <v>0</v>
      </c>
      <c r="AU696" s="17">
        <f>IF(F696=1,IF(TableCosts[[#This Row],[N_Kateg]]="interné práce",TableCosts[[#This Row],[N_Amount]]*8*PAR_SGA_PERHOUR,0),0)</f>
        <v>0</v>
      </c>
      <c r="AV696" s="17">
        <f>SUM(TableCosts[[#This Row],[N_Direct]:[N_SGA]])</f>
        <v>0</v>
      </c>
      <c r="AW696" s="7">
        <f>IF(F696=1,IF(D696="",NA(),VLOOKUP(C696&amp;TableCosts[[#This Row],[Calc_N_Typ]],TRAN_STRITEMS_LABEL,7,0)),0)</f>
        <v>0</v>
      </c>
      <c r="AX696" s="7">
        <f t="shared" si="129"/>
        <v>0</v>
      </c>
      <c r="AY696" s="57" t="str">
        <f t="shared" si="130"/>
        <v/>
      </c>
      <c r="AZ696" s="57" t="str">
        <f t="shared" si="131"/>
        <v/>
      </c>
      <c r="BA696" s="57" t="str">
        <f>IF(F696=1,IF(TableCosts[[#This Row],[TransferFrom]]=TableCosts[[#This Row],[TranferTo]],0,1),"")</f>
        <v/>
      </c>
      <c r="BB696" s="7">
        <f t="shared" si="132"/>
        <v>0</v>
      </c>
      <c r="BC696" s="7">
        <f t="shared" si="133"/>
        <v>0</v>
      </c>
    </row>
    <row r="697" spans="2:55" s="7" customFormat="1" ht="12.75" x14ac:dyDescent="0.2">
      <c r="B697" s="33"/>
      <c r="C697" s="31"/>
      <c r="D697" s="40"/>
      <c r="E697" s="6" t="str">
        <f>IF(F697=1,IF(ISERROR(TableCosts[[#This Row],[N_Tariff]]),Err_Message1,IF(TableCosts[[#This Row],[N_Tariff]]=0,Err_Message2,VLOOKUP(C697&amp;TableCosts[[#This Row],[Calc_N_Typ]],TRAN_STRITEMS_LABEL,5,FALSE))),"")</f>
        <v/>
      </c>
      <c r="F697" s="6">
        <f t="shared" si="134"/>
        <v>0</v>
      </c>
      <c r="G697" s="6" t="str">
        <f>IF(F697=1,IFERROR(VLOOKUP(E697,Tab_ErrMessage[],2,0),VLOOKUP(C697&amp;TableCosts[[#This Row],[Calc_N_Typ]],TRAN_STRITEMS_LABEL,4,FALSE)),"")</f>
        <v/>
      </c>
      <c r="H697" s="40"/>
      <c r="I697" s="40"/>
      <c r="J697" s="35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  <c r="AD697" s="24"/>
      <c r="AE697" s="24"/>
      <c r="AF697" s="24"/>
      <c r="AG697" s="24"/>
      <c r="AH697" s="24"/>
      <c r="AI697" s="24"/>
      <c r="AJ697" s="24"/>
      <c r="AK697" s="38">
        <f t="array" ref="AK697">IF(F697=1,SUM((ROW(M0)=ROW(AK697))*(M0+M1_+M2_+M3_+M4_+M5_+M6_+M7_+M8_+M9_+M10_+M11_+M12_+M13_+M14_+M15_+M16_+M17_+M18_+M19_+M20_+M21_+M22_+M23_+M24_+M25_)),0)</f>
        <v>0</v>
      </c>
      <c r="AL697" s="27">
        <f>TableCosts[[#This Row],[N_Direct]]</f>
        <v>0</v>
      </c>
      <c r="AN697" s="7" t="str">
        <f t="shared" si="135"/>
        <v/>
      </c>
      <c r="AO697" s="7" t="str">
        <f t="shared" si="126"/>
        <v/>
      </c>
      <c r="AP697" s="7" t="str">
        <f t="shared" si="136"/>
        <v/>
      </c>
      <c r="AQ697" s="7" t="str">
        <f t="shared" si="127"/>
        <v/>
      </c>
      <c r="AR697" s="7" t="str">
        <f t="shared" si="137"/>
        <v/>
      </c>
      <c r="AS697" s="7">
        <f t="shared" si="128"/>
        <v>0</v>
      </c>
      <c r="AT697" s="17">
        <f>TableCosts[[#This Row],[N_Amount]]*TableCosts[[#This Row],[N_Tariff]]*TableCosts[[#This Row],[N_ItemsCount]]</f>
        <v>0</v>
      </c>
      <c r="AU697" s="17">
        <f>IF(F697=1,IF(TableCosts[[#This Row],[N_Kateg]]="interné práce",TableCosts[[#This Row],[N_Amount]]*8*PAR_SGA_PERHOUR,0),0)</f>
        <v>0</v>
      </c>
      <c r="AV697" s="17">
        <f>SUM(TableCosts[[#This Row],[N_Direct]:[N_SGA]])</f>
        <v>0</v>
      </c>
      <c r="AW697" s="7">
        <f>IF(F697=1,IF(D697="",NA(),VLOOKUP(C697&amp;TableCosts[[#This Row],[Calc_N_Typ]],TRAN_STRITEMS_LABEL,7,0)),0)</f>
        <v>0</v>
      </c>
      <c r="AX697" s="7">
        <f t="shared" si="129"/>
        <v>0</v>
      </c>
      <c r="AY697" s="57" t="str">
        <f t="shared" si="130"/>
        <v/>
      </c>
      <c r="AZ697" s="57" t="str">
        <f t="shared" si="131"/>
        <v/>
      </c>
      <c r="BA697" s="57" t="str">
        <f>IF(F697=1,IF(TableCosts[[#This Row],[TransferFrom]]=TableCosts[[#This Row],[TranferTo]],0,1),"")</f>
        <v/>
      </c>
      <c r="BB697" s="7">
        <f t="shared" si="132"/>
        <v>0</v>
      </c>
      <c r="BC697" s="7">
        <f t="shared" si="133"/>
        <v>0</v>
      </c>
    </row>
    <row r="698" spans="2:55" s="7" customFormat="1" ht="12.75" x14ac:dyDescent="0.2">
      <c r="B698" s="33"/>
      <c r="C698" s="31"/>
      <c r="D698" s="40"/>
      <c r="E698" s="6" t="str">
        <f>IF(F698=1,IF(ISERROR(TableCosts[[#This Row],[N_Tariff]]),Err_Message1,IF(TableCosts[[#This Row],[N_Tariff]]=0,Err_Message2,VLOOKUP(C698&amp;TableCosts[[#This Row],[Calc_N_Typ]],TRAN_STRITEMS_LABEL,5,FALSE))),"")</f>
        <v/>
      </c>
      <c r="F698" s="6">
        <f t="shared" si="134"/>
        <v>0</v>
      </c>
      <c r="G698" s="6" t="str">
        <f>IF(F698=1,IFERROR(VLOOKUP(E698,Tab_ErrMessage[],2,0),VLOOKUP(C698&amp;TableCosts[[#This Row],[Calc_N_Typ]],TRAN_STRITEMS_LABEL,4,FALSE)),"")</f>
        <v/>
      </c>
      <c r="H698" s="40"/>
      <c r="I698" s="40"/>
      <c r="J698" s="35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  <c r="AD698" s="24"/>
      <c r="AE698" s="24"/>
      <c r="AF698" s="24"/>
      <c r="AG698" s="24"/>
      <c r="AH698" s="24"/>
      <c r="AI698" s="24"/>
      <c r="AJ698" s="24"/>
      <c r="AK698" s="38">
        <f t="array" ref="AK698">IF(F698=1,SUM((ROW(M0)=ROW(AK698))*(M0+M1_+M2_+M3_+M4_+M5_+M6_+M7_+M8_+M9_+M10_+M11_+M12_+M13_+M14_+M15_+M16_+M17_+M18_+M19_+M20_+M21_+M22_+M23_+M24_+M25_)),0)</f>
        <v>0</v>
      </c>
      <c r="AL698" s="27">
        <f>TableCosts[[#This Row],[N_Direct]]</f>
        <v>0</v>
      </c>
      <c r="AN698" s="7" t="str">
        <f t="shared" si="135"/>
        <v/>
      </c>
      <c r="AO698" s="7" t="str">
        <f t="shared" si="126"/>
        <v/>
      </c>
      <c r="AP698" s="7" t="str">
        <f t="shared" si="136"/>
        <v/>
      </c>
      <c r="AQ698" s="7" t="str">
        <f t="shared" si="127"/>
        <v/>
      </c>
      <c r="AR698" s="7" t="str">
        <f t="shared" si="137"/>
        <v/>
      </c>
      <c r="AS698" s="7">
        <f t="shared" si="128"/>
        <v>0</v>
      </c>
      <c r="AT698" s="17">
        <f>TableCosts[[#This Row],[N_Amount]]*TableCosts[[#This Row],[N_Tariff]]*TableCosts[[#This Row],[N_ItemsCount]]</f>
        <v>0</v>
      </c>
      <c r="AU698" s="17">
        <f>IF(F698=1,IF(TableCosts[[#This Row],[N_Kateg]]="interné práce",TableCosts[[#This Row],[N_Amount]]*8*PAR_SGA_PERHOUR,0),0)</f>
        <v>0</v>
      </c>
      <c r="AV698" s="17">
        <f>SUM(TableCosts[[#This Row],[N_Direct]:[N_SGA]])</f>
        <v>0</v>
      </c>
      <c r="AW698" s="7">
        <f>IF(F698=1,IF(D698="",NA(),VLOOKUP(C698&amp;TableCosts[[#This Row],[Calc_N_Typ]],TRAN_STRITEMS_LABEL,7,0)),0)</f>
        <v>0</v>
      </c>
      <c r="AX698" s="7">
        <f t="shared" si="129"/>
        <v>0</v>
      </c>
      <c r="AY698" s="57" t="str">
        <f t="shared" si="130"/>
        <v/>
      </c>
      <c r="AZ698" s="57" t="str">
        <f t="shared" si="131"/>
        <v/>
      </c>
      <c r="BA698" s="57" t="str">
        <f>IF(F698=1,IF(TableCosts[[#This Row],[TransferFrom]]=TableCosts[[#This Row],[TranferTo]],0,1),"")</f>
        <v/>
      </c>
      <c r="BB698" s="7">
        <f t="shared" si="132"/>
        <v>0</v>
      </c>
      <c r="BC698" s="7">
        <f t="shared" si="133"/>
        <v>0</v>
      </c>
    </row>
    <row r="699" spans="2:55" s="7" customFormat="1" ht="12.75" x14ac:dyDescent="0.2">
      <c r="B699" s="33"/>
      <c r="C699" s="31"/>
      <c r="D699" s="40"/>
      <c r="E699" s="6" t="str">
        <f>IF(F699=1,IF(ISERROR(TableCosts[[#This Row],[N_Tariff]]),Err_Message1,IF(TableCosts[[#This Row],[N_Tariff]]=0,Err_Message2,VLOOKUP(C699&amp;TableCosts[[#This Row],[Calc_N_Typ]],TRAN_STRITEMS_LABEL,5,FALSE))),"")</f>
        <v/>
      </c>
      <c r="F699" s="6">
        <f t="shared" si="134"/>
        <v>0</v>
      </c>
      <c r="G699" s="6" t="str">
        <f>IF(F699=1,IFERROR(VLOOKUP(E699,Tab_ErrMessage[],2,0),VLOOKUP(C699&amp;TableCosts[[#This Row],[Calc_N_Typ]],TRAN_STRITEMS_LABEL,4,FALSE)),"")</f>
        <v/>
      </c>
      <c r="H699" s="40"/>
      <c r="I699" s="40"/>
      <c r="J699" s="35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  <c r="AD699" s="24"/>
      <c r="AE699" s="24"/>
      <c r="AF699" s="24"/>
      <c r="AG699" s="24"/>
      <c r="AH699" s="24"/>
      <c r="AI699" s="24"/>
      <c r="AJ699" s="24"/>
      <c r="AK699" s="38">
        <f t="array" ref="AK699">IF(F699=1,SUM((ROW(M0)=ROW(AK699))*(M0+M1_+M2_+M3_+M4_+M5_+M6_+M7_+M8_+M9_+M10_+M11_+M12_+M13_+M14_+M15_+M16_+M17_+M18_+M19_+M20_+M21_+M22_+M23_+M24_+M25_)),0)</f>
        <v>0</v>
      </c>
      <c r="AL699" s="27">
        <f>TableCosts[[#This Row],[N_Direct]]</f>
        <v>0</v>
      </c>
      <c r="AN699" s="7" t="str">
        <f t="shared" si="135"/>
        <v/>
      </c>
      <c r="AO699" s="7" t="str">
        <f t="shared" si="126"/>
        <v/>
      </c>
      <c r="AP699" s="7" t="str">
        <f t="shared" si="136"/>
        <v/>
      </c>
      <c r="AQ699" s="7" t="str">
        <f t="shared" si="127"/>
        <v/>
      </c>
      <c r="AR699" s="7" t="str">
        <f t="shared" si="137"/>
        <v/>
      </c>
      <c r="AS699" s="7">
        <f t="shared" si="128"/>
        <v>0</v>
      </c>
      <c r="AT699" s="17">
        <f>TableCosts[[#This Row],[N_Amount]]*TableCosts[[#This Row],[N_Tariff]]*TableCosts[[#This Row],[N_ItemsCount]]</f>
        <v>0</v>
      </c>
      <c r="AU699" s="17">
        <f>IF(F699=1,IF(TableCosts[[#This Row],[N_Kateg]]="interné práce",TableCosts[[#This Row],[N_Amount]]*8*PAR_SGA_PERHOUR,0),0)</f>
        <v>0</v>
      </c>
      <c r="AV699" s="17">
        <f>SUM(TableCosts[[#This Row],[N_Direct]:[N_SGA]])</f>
        <v>0</v>
      </c>
      <c r="AW699" s="7">
        <f>IF(F699=1,IF(D699="",NA(),VLOOKUP(C699&amp;TableCosts[[#This Row],[Calc_N_Typ]],TRAN_STRITEMS_LABEL,7,0)),0)</f>
        <v>0</v>
      </c>
      <c r="AX699" s="7">
        <f t="shared" si="129"/>
        <v>0</v>
      </c>
      <c r="AY699" s="57" t="str">
        <f t="shared" si="130"/>
        <v/>
      </c>
      <c r="AZ699" s="57" t="str">
        <f t="shared" si="131"/>
        <v/>
      </c>
      <c r="BA699" s="57" t="str">
        <f>IF(F699=1,IF(TableCosts[[#This Row],[TransferFrom]]=TableCosts[[#This Row],[TranferTo]],0,1),"")</f>
        <v/>
      </c>
      <c r="BB699" s="7">
        <f t="shared" si="132"/>
        <v>0</v>
      </c>
      <c r="BC699" s="7">
        <f t="shared" si="133"/>
        <v>0</v>
      </c>
    </row>
    <row r="700" spans="2:55" s="7" customFormat="1" ht="12.75" x14ac:dyDescent="0.2">
      <c r="B700" s="33"/>
      <c r="C700" s="31"/>
      <c r="D700" s="40"/>
      <c r="E700" s="6" t="str">
        <f>IF(F700=1,IF(ISERROR(TableCosts[[#This Row],[N_Tariff]]),Err_Message1,IF(TableCosts[[#This Row],[N_Tariff]]=0,Err_Message2,VLOOKUP(C700&amp;TableCosts[[#This Row],[Calc_N_Typ]],TRAN_STRITEMS_LABEL,5,FALSE))),"")</f>
        <v/>
      </c>
      <c r="F700" s="6">
        <f t="shared" si="134"/>
        <v>0</v>
      </c>
      <c r="G700" s="6" t="str">
        <f>IF(F700=1,IFERROR(VLOOKUP(E700,Tab_ErrMessage[],2,0),VLOOKUP(C700&amp;TableCosts[[#This Row],[Calc_N_Typ]],TRAN_STRITEMS_LABEL,4,FALSE)),"")</f>
        <v/>
      </c>
      <c r="H700" s="40"/>
      <c r="I700" s="40"/>
      <c r="J700" s="35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  <c r="AD700" s="24"/>
      <c r="AE700" s="24"/>
      <c r="AF700" s="24"/>
      <c r="AG700" s="24"/>
      <c r="AH700" s="24"/>
      <c r="AI700" s="24"/>
      <c r="AJ700" s="24"/>
      <c r="AK700" s="38">
        <f t="array" ref="AK700">IF(F700=1,SUM((ROW(M0)=ROW(AK700))*(M0+M1_+M2_+M3_+M4_+M5_+M6_+M7_+M8_+M9_+M10_+M11_+M12_+M13_+M14_+M15_+M16_+M17_+M18_+M19_+M20_+M21_+M22_+M23_+M24_+M25_)),0)</f>
        <v>0</v>
      </c>
      <c r="AL700" s="27">
        <f>TableCosts[[#This Row],[N_Direct]]</f>
        <v>0</v>
      </c>
      <c r="AN700" s="7" t="str">
        <f t="shared" si="135"/>
        <v/>
      </c>
      <c r="AO700" s="7" t="str">
        <f t="shared" si="126"/>
        <v/>
      </c>
      <c r="AP700" s="7" t="str">
        <f t="shared" si="136"/>
        <v/>
      </c>
      <c r="AQ700" s="7" t="str">
        <f t="shared" si="127"/>
        <v/>
      </c>
      <c r="AR700" s="7" t="str">
        <f t="shared" si="137"/>
        <v/>
      </c>
      <c r="AS700" s="7">
        <f t="shared" si="128"/>
        <v>0</v>
      </c>
      <c r="AT700" s="17">
        <f>TableCosts[[#This Row],[N_Amount]]*TableCosts[[#This Row],[N_Tariff]]*TableCosts[[#This Row],[N_ItemsCount]]</f>
        <v>0</v>
      </c>
      <c r="AU700" s="17">
        <f>IF(F700=1,IF(TableCosts[[#This Row],[N_Kateg]]="interné práce",TableCosts[[#This Row],[N_Amount]]*8*PAR_SGA_PERHOUR,0),0)</f>
        <v>0</v>
      </c>
      <c r="AV700" s="17">
        <f>SUM(TableCosts[[#This Row],[N_Direct]:[N_SGA]])</f>
        <v>0</v>
      </c>
      <c r="AW700" s="7">
        <f>IF(F700=1,IF(D700="",NA(),VLOOKUP(C700&amp;TableCosts[[#This Row],[Calc_N_Typ]],TRAN_STRITEMS_LABEL,7,0)),0)</f>
        <v>0</v>
      </c>
      <c r="AX700" s="7">
        <f t="shared" si="129"/>
        <v>0</v>
      </c>
      <c r="AY700" s="57" t="str">
        <f t="shared" si="130"/>
        <v/>
      </c>
      <c r="AZ700" s="57" t="str">
        <f t="shared" si="131"/>
        <v/>
      </c>
      <c r="BA700" s="57" t="str">
        <f>IF(F700=1,IF(TableCosts[[#This Row],[TransferFrom]]=TableCosts[[#This Row],[TranferTo]],0,1),"")</f>
        <v/>
      </c>
      <c r="BB700" s="7">
        <f t="shared" si="132"/>
        <v>0</v>
      </c>
      <c r="BC700" s="7">
        <f t="shared" si="133"/>
        <v>0</v>
      </c>
    </row>
    <row r="701" spans="2:55" s="7" customFormat="1" ht="12.75" x14ac:dyDescent="0.2">
      <c r="B701" s="33"/>
      <c r="C701" s="31"/>
      <c r="D701" s="40"/>
      <c r="E701" s="6" t="str">
        <f>IF(F701=1,IF(ISERROR(TableCosts[[#This Row],[N_Tariff]]),Err_Message1,IF(TableCosts[[#This Row],[N_Tariff]]=0,Err_Message2,VLOOKUP(C701&amp;TableCosts[[#This Row],[Calc_N_Typ]],TRAN_STRITEMS_LABEL,5,FALSE))),"")</f>
        <v/>
      </c>
      <c r="F701" s="6">
        <f t="shared" si="134"/>
        <v>0</v>
      </c>
      <c r="G701" s="6" t="str">
        <f>IF(F701=1,IFERROR(VLOOKUP(E701,Tab_ErrMessage[],2,0),VLOOKUP(C701&amp;TableCosts[[#This Row],[Calc_N_Typ]],TRAN_STRITEMS_LABEL,4,FALSE)),"")</f>
        <v/>
      </c>
      <c r="H701" s="40"/>
      <c r="I701" s="40"/>
      <c r="J701" s="35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  <c r="AD701" s="24"/>
      <c r="AE701" s="24"/>
      <c r="AF701" s="24"/>
      <c r="AG701" s="24"/>
      <c r="AH701" s="24"/>
      <c r="AI701" s="24"/>
      <c r="AJ701" s="24"/>
      <c r="AK701" s="38">
        <f t="array" ref="AK701">IF(F701=1,SUM((ROW(M0)=ROW(AK701))*(M0+M1_+M2_+M3_+M4_+M5_+M6_+M7_+M8_+M9_+M10_+M11_+M12_+M13_+M14_+M15_+M16_+M17_+M18_+M19_+M20_+M21_+M22_+M23_+M24_+M25_)),0)</f>
        <v>0</v>
      </c>
      <c r="AL701" s="27">
        <f>TableCosts[[#This Row],[N_Direct]]</f>
        <v>0</v>
      </c>
      <c r="AN701" s="7" t="str">
        <f t="shared" si="135"/>
        <v/>
      </c>
      <c r="AO701" s="7" t="str">
        <f t="shared" si="126"/>
        <v/>
      </c>
      <c r="AP701" s="7" t="str">
        <f t="shared" si="136"/>
        <v/>
      </c>
      <c r="AQ701" s="7" t="str">
        <f t="shared" si="127"/>
        <v/>
      </c>
      <c r="AR701" s="7" t="str">
        <f t="shared" si="137"/>
        <v/>
      </c>
      <c r="AS701" s="7">
        <f t="shared" si="128"/>
        <v>0</v>
      </c>
      <c r="AT701" s="17">
        <f>TableCosts[[#This Row],[N_Amount]]*TableCosts[[#This Row],[N_Tariff]]*TableCosts[[#This Row],[N_ItemsCount]]</f>
        <v>0</v>
      </c>
      <c r="AU701" s="17">
        <f>IF(F701=1,IF(TableCosts[[#This Row],[N_Kateg]]="interné práce",TableCosts[[#This Row],[N_Amount]]*8*PAR_SGA_PERHOUR,0),0)</f>
        <v>0</v>
      </c>
      <c r="AV701" s="17">
        <f>SUM(TableCosts[[#This Row],[N_Direct]:[N_SGA]])</f>
        <v>0</v>
      </c>
      <c r="AW701" s="7">
        <f>IF(F701=1,IF(D701="",NA(),VLOOKUP(C701&amp;TableCosts[[#This Row],[Calc_N_Typ]],TRAN_STRITEMS_LABEL,7,0)),0)</f>
        <v>0</v>
      </c>
      <c r="AX701" s="7">
        <f t="shared" si="129"/>
        <v>0</v>
      </c>
      <c r="AY701" s="57" t="str">
        <f t="shared" si="130"/>
        <v/>
      </c>
      <c r="AZ701" s="57" t="str">
        <f t="shared" si="131"/>
        <v/>
      </c>
      <c r="BA701" s="57" t="str">
        <f>IF(F701=1,IF(TableCosts[[#This Row],[TransferFrom]]=TableCosts[[#This Row],[TranferTo]],0,1),"")</f>
        <v/>
      </c>
      <c r="BB701" s="7">
        <f t="shared" si="132"/>
        <v>0</v>
      </c>
      <c r="BC701" s="7">
        <f t="shared" si="133"/>
        <v>0</v>
      </c>
    </row>
    <row r="702" spans="2:55" s="7" customFormat="1" ht="12.75" x14ac:dyDescent="0.2">
      <c r="B702" s="33"/>
      <c r="C702" s="31"/>
      <c r="D702" s="40"/>
      <c r="E702" s="6" t="str">
        <f>IF(F702=1,IF(ISERROR(TableCosts[[#This Row],[N_Tariff]]),Err_Message1,IF(TableCosts[[#This Row],[N_Tariff]]=0,Err_Message2,VLOOKUP(C702&amp;TableCosts[[#This Row],[Calc_N_Typ]],TRAN_STRITEMS_LABEL,5,FALSE))),"")</f>
        <v/>
      </c>
      <c r="F702" s="6">
        <f t="shared" si="134"/>
        <v>0</v>
      </c>
      <c r="G702" s="6" t="str">
        <f>IF(F702=1,IFERROR(VLOOKUP(E702,Tab_ErrMessage[],2,0),VLOOKUP(C702&amp;TableCosts[[#This Row],[Calc_N_Typ]],TRAN_STRITEMS_LABEL,4,FALSE)),"")</f>
        <v/>
      </c>
      <c r="H702" s="40"/>
      <c r="I702" s="40"/>
      <c r="J702" s="35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  <c r="AD702" s="24"/>
      <c r="AE702" s="24"/>
      <c r="AF702" s="24"/>
      <c r="AG702" s="24"/>
      <c r="AH702" s="24"/>
      <c r="AI702" s="24"/>
      <c r="AJ702" s="24"/>
      <c r="AK702" s="38">
        <f t="array" ref="AK702">IF(F702=1,SUM((ROW(M0)=ROW(AK702))*(M0+M1_+M2_+M3_+M4_+M5_+M6_+M7_+M8_+M9_+M10_+M11_+M12_+M13_+M14_+M15_+M16_+M17_+M18_+M19_+M20_+M21_+M22_+M23_+M24_+M25_)),0)</f>
        <v>0</v>
      </c>
      <c r="AL702" s="27">
        <f>TableCosts[[#This Row],[N_Direct]]</f>
        <v>0</v>
      </c>
      <c r="AN702" s="7" t="str">
        <f t="shared" si="135"/>
        <v/>
      </c>
      <c r="AO702" s="7" t="str">
        <f t="shared" si="126"/>
        <v/>
      </c>
      <c r="AP702" s="7" t="str">
        <f t="shared" si="136"/>
        <v/>
      </c>
      <c r="AQ702" s="7" t="str">
        <f t="shared" si="127"/>
        <v/>
      </c>
      <c r="AR702" s="7" t="str">
        <f t="shared" si="137"/>
        <v/>
      </c>
      <c r="AS702" s="7">
        <f t="shared" si="128"/>
        <v>0</v>
      </c>
      <c r="AT702" s="17">
        <f>TableCosts[[#This Row],[N_Amount]]*TableCosts[[#This Row],[N_Tariff]]*TableCosts[[#This Row],[N_ItemsCount]]</f>
        <v>0</v>
      </c>
      <c r="AU702" s="17">
        <f>IF(F702=1,IF(TableCosts[[#This Row],[N_Kateg]]="interné práce",TableCosts[[#This Row],[N_Amount]]*8*PAR_SGA_PERHOUR,0),0)</f>
        <v>0</v>
      </c>
      <c r="AV702" s="17">
        <f>SUM(TableCosts[[#This Row],[N_Direct]:[N_SGA]])</f>
        <v>0</v>
      </c>
      <c r="AW702" s="7">
        <f>IF(F702=1,IF(D702="",NA(),VLOOKUP(C702&amp;TableCosts[[#This Row],[Calc_N_Typ]],TRAN_STRITEMS_LABEL,7,0)),0)</f>
        <v>0</v>
      </c>
      <c r="AX702" s="7">
        <f t="shared" si="129"/>
        <v>0</v>
      </c>
      <c r="AY702" s="57" t="str">
        <f t="shared" si="130"/>
        <v/>
      </c>
      <c r="AZ702" s="57" t="str">
        <f t="shared" si="131"/>
        <v/>
      </c>
      <c r="BA702" s="57" t="str">
        <f>IF(F702=1,IF(TableCosts[[#This Row],[TransferFrom]]=TableCosts[[#This Row],[TranferTo]],0,1),"")</f>
        <v/>
      </c>
      <c r="BB702" s="7">
        <f t="shared" si="132"/>
        <v>0</v>
      </c>
      <c r="BC702" s="7">
        <f t="shared" si="133"/>
        <v>0</v>
      </c>
    </row>
    <row r="703" spans="2:55" s="7" customFormat="1" ht="12.75" x14ac:dyDescent="0.2">
      <c r="B703" s="33"/>
      <c r="C703" s="31"/>
      <c r="D703" s="40"/>
      <c r="E703" s="6" t="str">
        <f>IF(F703=1,IF(ISERROR(TableCosts[[#This Row],[N_Tariff]]),Err_Message1,IF(TableCosts[[#This Row],[N_Tariff]]=0,Err_Message2,VLOOKUP(C703&amp;TableCosts[[#This Row],[Calc_N_Typ]],TRAN_STRITEMS_LABEL,5,FALSE))),"")</f>
        <v/>
      </c>
      <c r="F703" s="6">
        <f t="shared" si="134"/>
        <v>0</v>
      </c>
      <c r="G703" s="6" t="str">
        <f>IF(F703=1,IFERROR(VLOOKUP(E703,Tab_ErrMessage[],2,0),VLOOKUP(C703&amp;TableCosts[[#This Row],[Calc_N_Typ]],TRAN_STRITEMS_LABEL,4,FALSE)),"")</f>
        <v/>
      </c>
      <c r="H703" s="40"/>
      <c r="I703" s="40"/>
      <c r="J703" s="35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  <c r="AD703" s="24"/>
      <c r="AE703" s="24"/>
      <c r="AF703" s="24"/>
      <c r="AG703" s="24"/>
      <c r="AH703" s="24"/>
      <c r="AI703" s="24"/>
      <c r="AJ703" s="24"/>
      <c r="AK703" s="38">
        <f t="array" ref="AK703">IF(F703=1,SUM((ROW(M0)=ROW(AK703))*(M0+M1_+M2_+M3_+M4_+M5_+M6_+M7_+M8_+M9_+M10_+M11_+M12_+M13_+M14_+M15_+M16_+M17_+M18_+M19_+M20_+M21_+M22_+M23_+M24_+M25_)),0)</f>
        <v>0</v>
      </c>
      <c r="AL703" s="27">
        <f>TableCosts[[#This Row],[N_Direct]]</f>
        <v>0</v>
      </c>
      <c r="AN703" s="7" t="str">
        <f t="shared" si="135"/>
        <v/>
      </c>
      <c r="AO703" s="7" t="str">
        <f t="shared" si="126"/>
        <v/>
      </c>
      <c r="AP703" s="7" t="str">
        <f t="shared" si="136"/>
        <v/>
      </c>
      <c r="AQ703" s="7" t="str">
        <f t="shared" si="127"/>
        <v/>
      </c>
      <c r="AR703" s="7" t="str">
        <f t="shared" si="137"/>
        <v/>
      </c>
      <c r="AS703" s="7">
        <f t="shared" si="128"/>
        <v>0</v>
      </c>
      <c r="AT703" s="17">
        <f>TableCosts[[#This Row],[N_Amount]]*TableCosts[[#This Row],[N_Tariff]]*TableCosts[[#This Row],[N_ItemsCount]]</f>
        <v>0</v>
      </c>
      <c r="AU703" s="17">
        <f>IF(F703=1,IF(TableCosts[[#This Row],[N_Kateg]]="interné práce",TableCosts[[#This Row],[N_Amount]]*8*PAR_SGA_PERHOUR,0),0)</f>
        <v>0</v>
      </c>
      <c r="AV703" s="17">
        <f>SUM(TableCosts[[#This Row],[N_Direct]:[N_SGA]])</f>
        <v>0</v>
      </c>
      <c r="AW703" s="7">
        <f>IF(F703=1,IF(D703="",NA(),VLOOKUP(C703&amp;TableCosts[[#This Row],[Calc_N_Typ]],TRAN_STRITEMS_LABEL,7,0)),0)</f>
        <v>0</v>
      </c>
      <c r="AX703" s="7">
        <f t="shared" si="129"/>
        <v>0</v>
      </c>
      <c r="AY703" s="57" t="str">
        <f t="shared" si="130"/>
        <v/>
      </c>
      <c r="AZ703" s="57" t="str">
        <f t="shared" si="131"/>
        <v/>
      </c>
      <c r="BA703" s="57" t="str">
        <f>IF(F703=1,IF(TableCosts[[#This Row],[TransferFrom]]=TableCosts[[#This Row],[TranferTo]],0,1),"")</f>
        <v/>
      </c>
      <c r="BB703" s="7">
        <f t="shared" si="132"/>
        <v>0</v>
      </c>
      <c r="BC703" s="7">
        <f t="shared" si="133"/>
        <v>0</v>
      </c>
    </row>
    <row r="704" spans="2:55" s="7" customFormat="1" ht="12.75" x14ac:dyDescent="0.2">
      <c r="B704" s="33"/>
      <c r="C704" s="31"/>
      <c r="D704" s="40"/>
      <c r="E704" s="6" t="str">
        <f>IF(F704=1,IF(ISERROR(TableCosts[[#This Row],[N_Tariff]]),Err_Message1,IF(TableCosts[[#This Row],[N_Tariff]]=0,Err_Message2,VLOOKUP(C704&amp;TableCosts[[#This Row],[Calc_N_Typ]],TRAN_STRITEMS_LABEL,5,FALSE))),"")</f>
        <v/>
      </c>
      <c r="F704" s="6">
        <f t="shared" si="134"/>
        <v>0</v>
      </c>
      <c r="G704" s="6" t="str">
        <f>IF(F704=1,IFERROR(VLOOKUP(E704,Tab_ErrMessage[],2,0),VLOOKUP(C704&amp;TableCosts[[#This Row],[Calc_N_Typ]],TRAN_STRITEMS_LABEL,4,FALSE)),"")</f>
        <v/>
      </c>
      <c r="H704" s="40"/>
      <c r="I704" s="40"/>
      <c r="J704" s="35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  <c r="AD704" s="24"/>
      <c r="AE704" s="24"/>
      <c r="AF704" s="24"/>
      <c r="AG704" s="24"/>
      <c r="AH704" s="24"/>
      <c r="AI704" s="24"/>
      <c r="AJ704" s="24"/>
      <c r="AK704" s="38">
        <f t="array" ref="AK704">IF(F704=1,SUM((ROW(M0)=ROW(AK704))*(M0+M1_+M2_+M3_+M4_+M5_+M6_+M7_+M8_+M9_+M10_+M11_+M12_+M13_+M14_+M15_+M16_+M17_+M18_+M19_+M20_+M21_+M22_+M23_+M24_+M25_)),0)</f>
        <v>0</v>
      </c>
      <c r="AL704" s="27">
        <f>TableCosts[[#This Row],[N_Direct]]</f>
        <v>0</v>
      </c>
      <c r="AN704" s="7" t="str">
        <f t="shared" si="135"/>
        <v/>
      </c>
      <c r="AO704" s="7" t="str">
        <f t="shared" si="126"/>
        <v/>
      </c>
      <c r="AP704" s="7" t="str">
        <f t="shared" si="136"/>
        <v/>
      </c>
      <c r="AQ704" s="7" t="str">
        <f t="shared" si="127"/>
        <v/>
      </c>
      <c r="AR704" s="7" t="str">
        <f t="shared" si="137"/>
        <v/>
      </c>
      <c r="AS704" s="7">
        <f t="shared" si="128"/>
        <v>0</v>
      </c>
      <c r="AT704" s="17">
        <f>TableCosts[[#This Row],[N_Amount]]*TableCosts[[#This Row],[N_Tariff]]*TableCosts[[#This Row],[N_ItemsCount]]</f>
        <v>0</v>
      </c>
      <c r="AU704" s="17">
        <f>IF(F704=1,IF(TableCosts[[#This Row],[N_Kateg]]="interné práce",TableCosts[[#This Row],[N_Amount]]*8*PAR_SGA_PERHOUR,0),0)</f>
        <v>0</v>
      </c>
      <c r="AV704" s="17">
        <f>SUM(TableCosts[[#This Row],[N_Direct]:[N_SGA]])</f>
        <v>0</v>
      </c>
      <c r="AW704" s="7">
        <f>IF(F704=1,IF(D704="",NA(),VLOOKUP(C704&amp;TableCosts[[#This Row],[Calc_N_Typ]],TRAN_STRITEMS_LABEL,7,0)),0)</f>
        <v>0</v>
      </c>
      <c r="AX704" s="7">
        <f t="shared" si="129"/>
        <v>0</v>
      </c>
      <c r="AY704" s="57" t="str">
        <f t="shared" si="130"/>
        <v/>
      </c>
      <c r="AZ704" s="57" t="str">
        <f t="shared" si="131"/>
        <v/>
      </c>
      <c r="BA704" s="57" t="str">
        <f>IF(F704=1,IF(TableCosts[[#This Row],[TransferFrom]]=TableCosts[[#This Row],[TranferTo]],0,1),"")</f>
        <v/>
      </c>
      <c r="BB704" s="7">
        <f t="shared" si="132"/>
        <v>0</v>
      </c>
      <c r="BC704" s="7">
        <f t="shared" si="133"/>
        <v>0</v>
      </c>
    </row>
    <row r="705" spans="2:55" s="7" customFormat="1" ht="12.75" x14ac:dyDescent="0.2">
      <c r="B705" s="33"/>
      <c r="C705" s="31"/>
      <c r="D705" s="40"/>
      <c r="E705" s="6" t="str">
        <f>IF(F705=1,IF(ISERROR(TableCosts[[#This Row],[N_Tariff]]),Err_Message1,IF(TableCosts[[#This Row],[N_Tariff]]=0,Err_Message2,VLOOKUP(C705&amp;TableCosts[[#This Row],[Calc_N_Typ]],TRAN_STRITEMS_LABEL,5,FALSE))),"")</f>
        <v/>
      </c>
      <c r="F705" s="6">
        <f t="shared" si="134"/>
        <v>0</v>
      </c>
      <c r="G705" s="6" t="str">
        <f>IF(F705=1,IFERROR(VLOOKUP(E705,Tab_ErrMessage[],2,0),VLOOKUP(C705&amp;TableCosts[[#This Row],[Calc_N_Typ]],TRAN_STRITEMS_LABEL,4,FALSE)),"")</f>
        <v/>
      </c>
      <c r="H705" s="40"/>
      <c r="I705" s="40"/>
      <c r="J705" s="35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  <c r="AD705" s="24"/>
      <c r="AE705" s="24"/>
      <c r="AF705" s="24"/>
      <c r="AG705" s="24"/>
      <c r="AH705" s="24"/>
      <c r="AI705" s="24"/>
      <c r="AJ705" s="24"/>
      <c r="AK705" s="38">
        <f t="array" ref="AK705">IF(F705=1,SUM((ROW(M0)=ROW(AK705))*(M0+M1_+M2_+M3_+M4_+M5_+M6_+M7_+M8_+M9_+M10_+M11_+M12_+M13_+M14_+M15_+M16_+M17_+M18_+M19_+M20_+M21_+M22_+M23_+M24_+M25_)),0)</f>
        <v>0</v>
      </c>
      <c r="AL705" s="27">
        <f>TableCosts[[#This Row],[N_Direct]]</f>
        <v>0</v>
      </c>
      <c r="AN705" s="7" t="str">
        <f t="shared" si="135"/>
        <v/>
      </c>
      <c r="AO705" s="7" t="str">
        <f t="shared" si="126"/>
        <v/>
      </c>
      <c r="AP705" s="7" t="str">
        <f t="shared" si="136"/>
        <v/>
      </c>
      <c r="AQ705" s="7" t="str">
        <f t="shared" si="127"/>
        <v/>
      </c>
      <c r="AR705" s="7" t="str">
        <f t="shared" si="137"/>
        <v/>
      </c>
      <c r="AS705" s="7">
        <f t="shared" si="128"/>
        <v>0</v>
      </c>
      <c r="AT705" s="17">
        <f>TableCosts[[#This Row],[N_Amount]]*TableCosts[[#This Row],[N_Tariff]]*TableCosts[[#This Row],[N_ItemsCount]]</f>
        <v>0</v>
      </c>
      <c r="AU705" s="17">
        <f>IF(F705=1,IF(TableCosts[[#This Row],[N_Kateg]]="interné práce",TableCosts[[#This Row],[N_Amount]]*8*PAR_SGA_PERHOUR,0),0)</f>
        <v>0</v>
      </c>
      <c r="AV705" s="17">
        <f>SUM(TableCosts[[#This Row],[N_Direct]:[N_SGA]])</f>
        <v>0</v>
      </c>
      <c r="AW705" s="7">
        <f>IF(F705=1,IF(D705="",NA(),VLOOKUP(C705&amp;TableCosts[[#This Row],[Calc_N_Typ]],TRAN_STRITEMS_LABEL,7,0)),0)</f>
        <v>0</v>
      </c>
      <c r="AX705" s="7">
        <f t="shared" si="129"/>
        <v>0</v>
      </c>
      <c r="AY705" s="57" t="str">
        <f t="shared" si="130"/>
        <v/>
      </c>
      <c r="AZ705" s="57" t="str">
        <f t="shared" si="131"/>
        <v/>
      </c>
      <c r="BA705" s="57" t="str">
        <f>IF(F705=1,IF(TableCosts[[#This Row],[TransferFrom]]=TableCosts[[#This Row],[TranferTo]],0,1),"")</f>
        <v/>
      </c>
      <c r="BB705" s="7">
        <f t="shared" si="132"/>
        <v>0</v>
      </c>
      <c r="BC705" s="7">
        <f t="shared" si="133"/>
        <v>0</v>
      </c>
    </row>
    <row r="706" spans="2:55" s="7" customFormat="1" ht="12.75" x14ac:dyDescent="0.2">
      <c r="B706" s="33"/>
      <c r="C706" s="31"/>
      <c r="D706" s="40"/>
      <c r="E706" s="6" t="str">
        <f>IF(F706=1,IF(ISERROR(TableCosts[[#This Row],[N_Tariff]]),Err_Message1,IF(TableCosts[[#This Row],[N_Tariff]]=0,Err_Message2,VLOOKUP(C706&amp;TableCosts[[#This Row],[Calc_N_Typ]],TRAN_STRITEMS_LABEL,5,FALSE))),"")</f>
        <v/>
      </c>
      <c r="F706" s="6">
        <f t="shared" si="134"/>
        <v>0</v>
      </c>
      <c r="G706" s="6" t="str">
        <f>IF(F706=1,IFERROR(VLOOKUP(E706,Tab_ErrMessage[],2,0),VLOOKUP(C706&amp;TableCosts[[#This Row],[Calc_N_Typ]],TRAN_STRITEMS_LABEL,4,FALSE)),"")</f>
        <v/>
      </c>
      <c r="H706" s="40"/>
      <c r="I706" s="40"/>
      <c r="J706" s="35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  <c r="AD706" s="24"/>
      <c r="AE706" s="24"/>
      <c r="AF706" s="24"/>
      <c r="AG706" s="24"/>
      <c r="AH706" s="24"/>
      <c r="AI706" s="24"/>
      <c r="AJ706" s="24"/>
      <c r="AK706" s="38">
        <f t="array" ref="AK706">IF(F706=1,SUM((ROW(M0)=ROW(AK706))*(M0+M1_+M2_+M3_+M4_+M5_+M6_+M7_+M8_+M9_+M10_+M11_+M12_+M13_+M14_+M15_+M16_+M17_+M18_+M19_+M20_+M21_+M22_+M23_+M24_+M25_)),0)</f>
        <v>0</v>
      </c>
      <c r="AL706" s="27">
        <f>TableCosts[[#This Row],[N_Direct]]</f>
        <v>0</v>
      </c>
      <c r="AN706" s="7" t="str">
        <f t="shared" si="135"/>
        <v/>
      </c>
      <c r="AO706" s="7" t="str">
        <f t="shared" si="126"/>
        <v/>
      </c>
      <c r="AP706" s="7" t="str">
        <f t="shared" si="136"/>
        <v/>
      </c>
      <c r="AQ706" s="7" t="str">
        <f t="shared" si="127"/>
        <v/>
      </c>
      <c r="AR706" s="7" t="str">
        <f t="shared" si="137"/>
        <v/>
      </c>
      <c r="AS706" s="7">
        <f t="shared" si="128"/>
        <v>0</v>
      </c>
      <c r="AT706" s="17">
        <f>TableCosts[[#This Row],[N_Amount]]*TableCosts[[#This Row],[N_Tariff]]*TableCosts[[#This Row],[N_ItemsCount]]</f>
        <v>0</v>
      </c>
      <c r="AU706" s="17">
        <f>IF(F706=1,IF(TableCosts[[#This Row],[N_Kateg]]="interné práce",TableCosts[[#This Row],[N_Amount]]*8*PAR_SGA_PERHOUR,0),0)</f>
        <v>0</v>
      </c>
      <c r="AV706" s="17">
        <f>SUM(TableCosts[[#This Row],[N_Direct]:[N_SGA]])</f>
        <v>0</v>
      </c>
      <c r="AW706" s="7">
        <f>IF(F706=1,IF(D706="",NA(),VLOOKUP(C706&amp;TableCosts[[#This Row],[Calc_N_Typ]],TRAN_STRITEMS_LABEL,7,0)),0)</f>
        <v>0</v>
      </c>
      <c r="AX706" s="7">
        <f t="shared" si="129"/>
        <v>0</v>
      </c>
      <c r="AY706" s="57" t="str">
        <f t="shared" si="130"/>
        <v/>
      </c>
      <c r="AZ706" s="57" t="str">
        <f t="shared" si="131"/>
        <v/>
      </c>
      <c r="BA706" s="57" t="str">
        <f>IF(F706=1,IF(TableCosts[[#This Row],[TransferFrom]]=TableCosts[[#This Row],[TranferTo]],0,1),"")</f>
        <v/>
      </c>
      <c r="BB706" s="7">
        <f t="shared" si="132"/>
        <v>0</v>
      </c>
      <c r="BC706" s="7">
        <f t="shared" si="133"/>
        <v>0</v>
      </c>
    </row>
    <row r="707" spans="2:55" s="7" customFormat="1" ht="12.75" x14ac:dyDescent="0.2">
      <c r="B707" s="33"/>
      <c r="C707" s="31"/>
      <c r="D707" s="40"/>
      <c r="E707" s="6" t="str">
        <f>IF(F707=1,IF(ISERROR(TableCosts[[#This Row],[N_Tariff]]),Err_Message1,IF(TableCosts[[#This Row],[N_Tariff]]=0,Err_Message2,VLOOKUP(C707&amp;TableCosts[[#This Row],[Calc_N_Typ]],TRAN_STRITEMS_LABEL,5,FALSE))),"")</f>
        <v/>
      </c>
      <c r="F707" s="6">
        <f t="shared" si="134"/>
        <v>0</v>
      </c>
      <c r="G707" s="6" t="str">
        <f>IF(F707=1,IFERROR(VLOOKUP(E707,Tab_ErrMessage[],2,0),VLOOKUP(C707&amp;TableCosts[[#This Row],[Calc_N_Typ]],TRAN_STRITEMS_LABEL,4,FALSE)),"")</f>
        <v/>
      </c>
      <c r="H707" s="40"/>
      <c r="I707" s="40"/>
      <c r="J707" s="35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  <c r="AD707" s="24"/>
      <c r="AE707" s="24"/>
      <c r="AF707" s="24"/>
      <c r="AG707" s="24"/>
      <c r="AH707" s="24"/>
      <c r="AI707" s="24"/>
      <c r="AJ707" s="24"/>
      <c r="AK707" s="38">
        <f t="array" ref="AK707">IF(F707=1,SUM((ROW(M0)=ROW(AK707))*(M0+M1_+M2_+M3_+M4_+M5_+M6_+M7_+M8_+M9_+M10_+M11_+M12_+M13_+M14_+M15_+M16_+M17_+M18_+M19_+M20_+M21_+M22_+M23_+M24_+M25_)),0)</f>
        <v>0</v>
      </c>
      <c r="AL707" s="27">
        <f>TableCosts[[#This Row],[N_Direct]]</f>
        <v>0</v>
      </c>
      <c r="AN707" s="7" t="str">
        <f t="shared" si="135"/>
        <v/>
      </c>
      <c r="AO707" s="7" t="str">
        <f t="shared" si="126"/>
        <v/>
      </c>
      <c r="AP707" s="7" t="str">
        <f t="shared" si="136"/>
        <v/>
      </c>
      <c r="AQ707" s="7" t="str">
        <f t="shared" si="127"/>
        <v/>
      </c>
      <c r="AR707" s="7" t="str">
        <f t="shared" si="137"/>
        <v/>
      </c>
      <c r="AS707" s="7">
        <f t="shared" si="128"/>
        <v>0</v>
      </c>
      <c r="AT707" s="17">
        <f>TableCosts[[#This Row],[N_Amount]]*TableCosts[[#This Row],[N_Tariff]]*TableCosts[[#This Row],[N_ItemsCount]]</f>
        <v>0</v>
      </c>
      <c r="AU707" s="17">
        <f>IF(F707=1,IF(TableCosts[[#This Row],[N_Kateg]]="interné práce",TableCosts[[#This Row],[N_Amount]]*8*PAR_SGA_PERHOUR,0),0)</f>
        <v>0</v>
      </c>
      <c r="AV707" s="17">
        <f>SUM(TableCosts[[#This Row],[N_Direct]:[N_SGA]])</f>
        <v>0</v>
      </c>
      <c r="AW707" s="7">
        <f>IF(F707=1,IF(D707="",NA(),VLOOKUP(C707&amp;TableCosts[[#This Row],[Calc_N_Typ]],TRAN_STRITEMS_LABEL,7,0)),0)</f>
        <v>0</v>
      </c>
      <c r="AX707" s="7">
        <f t="shared" si="129"/>
        <v>0</v>
      </c>
      <c r="AY707" s="57" t="str">
        <f t="shared" si="130"/>
        <v/>
      </c>
      <c r="AZ707" s="57" t="str">
        <f t="shared" si="131"/>
        <v/>
      </c>
      <c r="BA707" s="57" t="str">
        <f>IF(F707=1,IF(TableCosts[[#This Row],[TransferFrom]]=TableCosts[[#This Row],[TranferTo]],0,1),"")</f>
        <v/>
      </c>
      <c r="BB707" s="7">
        <f t="shared" si="132"/>
        <v>0</v>
      </c>
      <c r="BC707" s="7">
        <f t="shared" si="133"/>
        <v>0</v>
      </c>
    </row>
    <row r="708" spans="2:55" s="7" customFormat="1" ht="12.75" x14ac:dyDescent="0.2">
      <c r="B708" s="33"/>
      <c r="C708" s="31"/>
      <c r="D708" s="40"/>
      <c r="E708" s="6" t="str">
        <f>IF(F708=1,IF(ISERROR(TableCosts[[#This Row],[N_Tariff]]),Err_Message1,IF(TableCosts[[#This Row],[N_Tariff]]=0,Err_Message2,VLOOKUP(C708&amp;TableCosts[[#This Row],[Calc_N_Typ]],TRAN_STRITEMS_LABEL,5,FALSE))),"")</f>
        <v/>
      </c>
      <c r="F708" s="6">
        <f t="shared" si="134"/>
        <v>0</v>
      </c>
      <c r="G708" s="6" t="str">
        <f>IF(F708=1,IFERROR(VLOOKUP(E708,Tab_ErrMessage[],2,0),VLOOKUP(C708&amp;TableCosts[[#This Row],[Calc_N_Typ]],TRAN_STRITEMS_LABEL,4,FALSE)),"")</f>
        <v/>
      </c>
      <c r="H708" s="40"/>
      <c r="I708" s="40"/>
      <c r="J708" s="35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  <c r="AD708" s="24"/>
      <c r="AE708" s="24"/>
      <c r="AF708" s="24"/>
      <c r="AG708" s="24"/>
      <c r="AH708" s="24"/>
      <c r="AI708" s="24"/>
      <c r="AJ708" s="24"/>
      <c r="AK708" s="38">
        <f t="array" ref="AK708">IF(F708=1,SUM((ROW(M0)=ROW(AK708))*(M0+M1_+M2_+M3_+M4_+M5_+M6_+M7_+M8_+M9_+M10_+M11_+M12_+M13_+M14_+M15_+M16_+M17_+M18_+M19_+M20_+M21_+M22_+M23_+M24_+M25_)),0)</f>
        <v>0</v>
      </c>
      <c r="AL708" s="27">
        <f>TableCosts[[#This Row],[N_Direct]]</f>
        <v>0</v>
      </c>
      <c r="AN708" s="7" t="str">
        <f t="shared" si="135"/>
        <v/>
      </c>
      <c r="AO708" s="7" t="str">
        <f t="shared" si="126"/>
        <v/>
      </c>
      <c r="AP708" s="7" t="str">
        <f t="shared" si="136"/>
        <v/>
      </c>
      <c r="AQ708" s="7" t="str">
        <f t="shared" si="127"/>
        <v/>
      </c>
      <c r="AR708" s="7" t="str">
        <f t="shared" si="137"/>
        <v/>
      </c>
      <c r="AS708" s="7">
        <f t="shared" si="128"/>
        <v>0</v>
      </c>
      <c r="AT708" s="17">
        <f>TableCosts[[#This Row],[N_Amount]]*TableCosts[[#This Row],[N_Tariff]]*TableCosts[[#This Row],[N_ItemsCount]]</f>
        <v>0</v>
      </c>
      <c r="AU708" s="17">
        <f>IF(F708=1,IF(TableCosts[[#This Row],[N_Kateg]]="interné práce",TableCosts[[#This Row],[N_Amount]]*8*PAR_SGA_PERHOUR,0),0)</f>
        <v>0</v>
      </c>
      <c r="AV708" s="17">
        <f>SUM(TableCosts[[#This Row],[N_Direct]:[N_SGA]])</f>
        <v>0</v>
      </c>
      <c r="AW708" s="7">
        <f>IF(F708=1,IF(D708="",NA(),VLOOKUP(C708&amp;TableCosts[[#This Row],[Calc_N_Typ]],TRAN_STRITEMS_LABEL,7,0)),0)</f>
        <v>0</v>
      </c>
      <c r="AX708" s="7">
        <f t="shared" si="129"/>
        <v>0</v>
      </c>
      <c r="AY708" s="57" t="str">
        <f t="shared" si="130"/>
        <v/>
      </c>
      <c r="AZ708" s="57" t="str">
        <f t="shared" si="131"/>
        <v/>
      </c>
      <c r="BA708" s="57" t="str">
        <f>IF(F708=1,IF(TableCosts[[#This Row],[TransferFrom]]=TableCosts[[#This Row],[TranferTo]],0,1),"")</f>
        <v/>
      </c>
      <c r="BB708" s="7">
        <f t="shared" si="132"/>
        <v>0</v>
      </c>
      <c r="BC708" s="7">
        <f t="shared" si="133"/>
        <v>0</v>
      </c>
    </row>
    <row r="709" spans="2:55" s="7" customFormat="1" ht="12.75" x14ac:dyDescent="0.2">
      <c r="B709" s="33"/>
      <c r="C709" s="31"/>
      <c r="D709" s="40"/>
      <c r="E709" s="6" t="str">
        <f>IF(F709=1,IF(ISERROR(TableCosts[[#This Row],[N_Tariff]]),Err_Message1,IF(TableCosts[[#This Row],[N_Tariff]]=0,Err_Message2,VLOOKUP(C709&amp;TableCosts[[#This Row],[Calc_N_Typ]],TRAN_STRITEMS_LABEL,5,FALSE))),"")</f>
        <v/>
      </c>
      <c r="F709" s="6">
        <f t="shared" si="134"/>
        <v>0</v>
      </c>
      <c r="G709" s="6" t="str">
        <f>IF(F709=1,IFERROR(VLOOKUP(E709,Tab_ErrMessage[],2,0),VLOOKUP(C709&amp;TableCosts[[#This Row],[Calc_N_Typ]],TRAN_STRITEMS_LABEL,4,FALSE)),"")</f>
        <v/>
      </c>
      <c r="H709" s="40"/>
      <c r="I709" s="40"/>
      <c r="J709" s="35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  <c r="AD709" s="24"/>
      <c r="AE709" s="24"/>
      <c r="AF709" s="24"/>
      <c r="AG709" s="24"/>
      <c r="AH709" s="24"/>
      <c r="AI709" s="24"/>
      <c r="AJ709" s="24"/>
      <c r="AK709" s="38">
        <f t="array" ref="AK709">IF(F709=1,SUM((ROW(M0)=ROW(AK709))*(M0+M1_+M2_+M3_+M4_+M5_+M6_+M7_+M8_+M9_+M10_+M11_+M12_+M13_+M14_+M15_+M16_+M17_+M18_+M19_+M20_+M21_+M22_+M23_+M24_+M25_)),0)</f>
        <v>0</v>
      </c>
      <c r="AL709" s="27">
        <f>TableCosts[[#This Row],[N_Direct]]</f>
        <v>0</v>
      </c>
      <c r="AN709" s="7" t="str">
        <f t="shared" si="135"/>
        <v/>
      </c>
      <c r="AO709" s="7" t="str">
        <f t="shared" si="126"/>
        <v/>
      </c>
      <c r="AP709" s="7" t="str">
        <f t="shared" si="136"/>
        <v/>
      </c>
      <c r="AQ709" s="7" t="str">
        <f t="shared" si="127"/>
        <v/>
      </c>
      <c r="AR709" s="7" t="str">
        <f t="shared" si="137"/>
        <v/>
      </c>
      <c r="AS709" s="7">
        <f t="shared" si="128"/>
        <v>0</v>
      </c>
      <c r="AT709" s="17">
        <f>TableCosts[[#This Row],[N_Amount]]*TableCosts[[#This Row],[N_Tariff]]*TableCosts[[#This Row],[N_ItemsCount]]</f>
        <v>0</v>
      </c>
      <c r="AU709" s="17">
        <f>IF(F709=1,IF(TableCosts[[#This Row],[N_Kateg]]="interné práce",TableCosts[[#This Row],[N_Amount]]*8*PAR_SGA_PERHOUR,0),0)</f>
        <v>0</v>
      </c>
      <c r="AV709" s="17">
        <f>SUM(TableCosts[[#This Row],[N_Direct]:[N_SGA]])</f>
        <v>0</v>
      </c>
      <c r="AW709" s="7">
        <f>IF(F709=1,IF(D709="",NA(),VLOOKUP(C709&amp;TableCosts[[#This Row],[Calc_N_Typ]],TRAN_STRITEMS_LABEL,7,0)),0)</f>
        <v>0</v>
      </c>
      <c r="AX709" s="7">
        <f t="shared" si="129"/>
        <v>0</v>
      </c>
      <c r="AY709" s="57" t="str">
        <f t="shared" si="130"/>
        <v/>
      </c>
      <c r="AZ709" s="57" t="str">
        <f t="shared" si="131"/>
        <v/>
      </c>
      <c r="BA709" s="57" t="str">
        <f>IF(F709=1,IF(TableCosts[[#This Row],[TransferFrom]]=TableCosts[[#This Row],[TranferTo]],0,1),"")</f>
        <v/>
      </c>
      <c r="BB709" s="7">
        <f t="shared" si="132"/>
        <v>0</v>
      </c>
      <c r="BC709" s="7">
        <f t="shared" si="133"/>
        <v>0</v>
      </c>
    </row>
    <row r="710" spans="2:55" s="7" customFormat="1" ht="12.75" x14ac:dyDescent="0.2">
      <c r="B710" s="33"/>
      <c r="C710" s="31"/>
      <c r="D710" s="40"/>
      <c r="E710" s="6" t="str">
        <f>IF(F710=1,IF(ISERROR(TableCosts[[#This Row],[N_Tariff]]),Err_Message1,IF(TableCosts[[#This Row],[N_Tariff]]=0,Err_Message2,VLOOKUP(C710&amp;TableCosts[[#This Row],[Calc_N_Typ]],TRAN_STRITEMS_LABEL,5,FALSE))),"")</f>
        <v/>
      </c>
      <c r="F710" s="6">
        <f t="shared" si="134"/>
        <v>0</v>
      </c>
      <c r="G710" s="6" t="str">
        <f>IF(F710=1,IFERROR(VLOOKUP(E710,Tab_ErrMessage[],2,0),VLOOKUP(C710&amp;TableCosts[[#This Row],[Calc_N_Typ]],TRAN_STRITEMS_LABEL,4,FALSE)),"")</f>
        <v/>
      </c>
      <c r="H710" s="40"/>
      <c r="I710" s="40"/>
      <c r="J710" s="35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  <c r="AD710" s="24"/>
      <c r="AE710" s="24"/>
      <c r="AF710" s="24"/>
      <c r="AG710" s="24"/>
      <c r="AH710" s="24"/>
      <c r="AI710" s="24"/>
      <c r="AJ710" s="24"/>
      <c r="AK710" s="38">
        <f t="array" ref="AK710">IF(F710=1,SUM((ROW(M0)=ROW(AK710))*(M0+M1_+M2_+M3_+M4_+M5_+M6_+M7_+M8_+M9_+M10_+M11_+M12_+M13_+M14_+M15_+M16_+M17_+M18_+M19_+M20_+M21_+M22_+M23_+M24_+M25_)),0)</f>
        <v>0</v>
      </c>
      <c r="AL710" s="27">
        <f>TableCosts[[#This Row],[N_Direct]]</f>
        <v>0</v>
      </c>
      <c r="AN710" s="7" t="str">
        <f t="shared" si="135"/>
        <v/>
      </c>
      <c r="AO710" s="7" t="str">
        <f t="shared" si="126"/>
        <v/>
      </c>
      <c r="AP710" s="7" t="str">
        <f t="shared" si="136"/>
        <v/>
      </c>
      <c r="AQ710" s="7" t="str">
        <f t="shared" si="127"/>
        <v/>
      </c>
      <c r="AR710" s="7" t="str">
        <f t="shared" si="137"/>
        <v/>
      </c>
      <c r="AS710" s="7">
        <f t="shared" si="128"/>
        <v>0</v>
      </c>
      <c r="AT710" s="17">
        <f>TableCosts[[#This Row],[N_Amount]]*TableCosts[[#This Row],[N_Tariff]]*TableCosts[[#This Row],[N_ItemsCount]]</f>
        <v>0</v>
      </c>
      <c r="AU710" s="17">
        <f>IF(F710=1,IF(TableCosts[[#This Row],[N_Kateg]]="interné práce",TableCosts[[#This Row],[N_Amount]]*8*PAR_SGA_PERHOUR,0),0)</f>
        <v>0</v>
      </c>
      <c r="AV710" s="17">
        <f>SUM(TableCosts[[#This Row],[N_Direct]:[N_SGA]])</f>
        <v>0</v>
      </c>
      <c r="AW710" s="7">
        <f>IF(F710=1,IF(D710="",NA(),VLOOKUP(C710&amp;TableCosts[[#This Row],[Calc_N_Typ]],TRAN_STRITEMS_LABEL,7,0)),0)</f>
        <v>0</v>
      </c>
      <c r="AX710" s="7">
        <f t="shared" si="129"/>
        <v>0</v>
      </c>
      <c r="AY710" s="57" t="str">
        <f t="shared" si="130"/>
        <v/>
      </c>
      <c r="AZ710" s="57" t="str">
        <f t="shared" si="131"/>
        <v/>
      </c>
      <c r="BA710" s="57" t="str">
        <f>IF(F710=1,IF(TableCosts[[#This Row],[TransferFrom]]=TableCosts[[#This Row],[TranferTo]],0,1),"")</f>
        <v/>
      </c>
      <c r="BB710" s="7">
        <f t="shared" si="132"/>
        <v>0</v>
      </c>
      <c r="BC710" s="7">
        <f t="shared" si="133"/>
        <v>0</v>
      </c>
    </row>
    <row r="711" spans="2:55" s="7" customFormat="1" ht="12.75" x14ac:dyDescent="0.2">
      <c r="B711" s="33"/>
      <c r="C711" s="31"/>
      <c r="D711" s="40"/>
      <c r="E711" s="6" t="str">
        <f>IF(F711=1,IF(ISERROR(TableCosts[[#This Row],[N_Tariff]]),Err_Message1,IF(TableCosts[[#This Row],[N_Tariff]]=0,Err_Message2,VLOOKUP(C711&amp;TableCosts[[#This Row],[Calc_N_Typ]],TRAN_STRITEMS_LABEL,5,FALSE))),"")</f>
        <v/>
      </c>
      <c r="F711" s="6">
        <f t="shared" si="134"/>
        <v>0</v>
      </c>
      <c r="G711" s="6" t="str">
        <f>IF(F711=1,IFERROR(VLOOKUP(E711,Tab_ErrMessage[],2,0),VLOOKUP(C711&amp;TableCosts[[#This Row],[Calc_N_Typ]],TRAN_STRITEMS_LABEL,4,FALSE)),"")</f>
        <v/>
      </c>
      <c r="H711" s="40"/>
      <c r="I711" s="40"/>
      <c r="J711" s="35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  <c r="AD711" s="24"/>
      <c r="AE711" s="24"/>
      <c r="AF711" s="24"/>
      <c r="AG711" s="24"/>
      <c r="AH711" s="24"/>
      <c r="AI711" s="24"/>
      <c r="AJ711" s="24"/>
      <c r="AK711" s="38">
        <f t="array" ref="AK711">IF(F711=1,SUM((ROW(M0)=ROW(AK711))*(M0+M1_+M2_+M3_+M4_+M5_+M6_+M7_+M8_+M9_+M10_+M11_+M12_+M13_+M14_+M15_+M16_+M17_+M18_+M19_+M20_+M21_+M22_+M23_+M24_+M25_)),0)</f>
        <v>0</v>
      </c>
      <c r="AL711" s="27">
        <f>TableCosts[[#This Row],[N_Direct]]</f>
        <v>0</v>
      </c>
      <c r="AN711" s="7" t="str">
        <f t="shared" si="135"/>
        <v/>
      </c>
      <c r="AO711" s="7" t="str">
        <f t="shared" ref="AO711:AO750" si="138">IF(F711=1,IF(C711="","",C711),"")</f>
        <v/>
      </c>
      <c r="AP711" s="7" t="str">
        <f t="shared" si="136"/>
        <v/>
      </c>
      <c r="AQ711" s="7" t="str">
        <f t="shared" ref="AQ711:AQ750" si="139">IF(F711=1,IF(OR(D711="realizácia",D711=""),"realizácia",D711),"")</f>
        <v/>
      </c>
      <c r="AR711" s="7" t="str">
        <f t="shared" si="137"/>
        <v/>
      </c>
      <c r="AS711" s="7">
        <f t="shared" ref="AS711:AS750" si="140">IF(F711=1,IF(G711="ks",ROUNDUP(AK711,0),AK711),0)</f>
        <v>0</v>
      </c>
      <c r="AT711" s="17">
        <f>TableCosts[[#This Row],[N_Amount]]*TableCosts[[#This Row],[N_Tariff]]*TableCosts[[#This Row],[N_ItemsCount]]</f>
        <v>0</v>
      </c>
      <c r="AU711" s="17">
        <f>IF(F711=1,IF(TableCosts[[#This Row],[N_Kateg]]="interné práce",TableCosts[[#This Row],[N_Amount]]*8*PAR_SGA_PERHOUR,0),0)</f>
        <v>0</v>
      </c>
      <c r="AV711" s="17">
        <f>SUM(TableCosts[[#This Row],[N_Direct]:[N_SGA]])</f>
        <v>0</v>
      </c>
      <c r="AW711" s="7">
        <f>IF(F711=1,IF(D711="",NA(),VLOOKUP(C711&amp;TableCosts[[#This Row],[Calc_N_Typ]],TRAN_STRITEMS_LABEL,7,0)),0)</f>
        <v>0</v>
      </c>
      <c r="AX711" s="7">
        <f t="shared" ref="AX711:AX750" si="141">IF(F711=1,IF(G711="čld.",8,1),0)</f>
        <v>0</v>
      </c>
      <c r="AY711" s="57" t="str">
        <f t="shared" ref="AY711:AY750" si="142">IF(F711=1,IFERROR(VLOOKUP(B711,IpsLicences,2,0),IF(C711="",Par_Center,C711)),"")</f>
        <v/>
      </c>
      <c r="AZ711" s="57" t="str">
        <f t="shared" ref="AZ711:AZ750" si="143">IF(F711=1,Par_Center,"")</f>
        <v/>
      </c>
      <c r="BA711" s="57" t="str">
        <f>IF(F711=1,IF(TableCosts[[#This Row],[TransferFrom]]=TableCosts[[#This Row],[TranferTo]],0,1),"")</f>
        <v/>
      </c>
      <c r="BB711" s="7">
        <f t="shared" ref="BB711:BB750" si="144">IF(RIGHT(B711,LEN(Par_LabelTravelTime))=Par_LabelTravelTime,LEFT(B711,LEN(B711)-LEN(Par_LabelTravelTime)),B711)</f>
        <v>0</v>
      </c>
      <c r="BC711" s="7">
        <f t="shared" ref="BC711:BC750" si="145">IF(RIGHT(B711,LEN(Par_LabelTravelTime))=Par_LabelTravelTime,1,0)</f>
        <v>0</v>
      </c>
    </row>
    <row r="712" spans="2:55" s="7" customFormat="1" ht="12.75" x14ac:dyDescent="0.2">
      <c r="B712" s="33"/>
      <c r="C712" s="31"/>
      <c r="D712" s="40"/>
      <c r="E712" s="6" t="str">
        <f>IF(F712=1,IF(ISERROR(TableCosts[[#This Row],[N_Tariff]]),Err_Message1,IF(TableCosts[[#This Row],[N_Tariff]]=0,Err_Message2,VLOOKUP(C712&amp;TableCosts[[#This Row],[Calc_N_Typ]],TRAN_STRITEMS_LABEL,5,FALSE))),"")</f>
        <v/>
      </c>
      <c r="F712" s="6">
        <f t="shared" si="134"/>
        <v>0</v>
      </c>
      <c r="G712" s="6" t="str">
        <f>IF(F712=1,IFERROR(VLOOKUP(E712,Tab_ErrMessage[],2,0),VLOOKUP(C712&amp;TableCosts[[#This Row],[Calc_N_Typ]],TRAN_STRITEMS_LABEL,4,FALSE)),"")</f>
        <v/>
      </c>
      <c r="H712" s="40"/>
      <c r="I712" s="40"/>
      <c r="J712" s="35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  <c r="AD712" s="24"/>
      <c r="AE712" s="24"/>
      <c r="AF712" s="24"/>
      <c r="AG712" s="24"/>
      <c r="AH712" s="24"/>
      <c r="AI712" s="24"/>
      <c r="AJ712" s="24"/>
      <c r="AK712" s="38">
        <f t="array" ref="AK712">IF(F712=1,SUM((ROW(M0)=ROW(AK712))*(M0+M1_+M2_+M3_+M4_+M5_+M6_+M7_+M8_+M9_+M10_+M11_+M12_+M13_+M14_+M15_+M16_+M17_+M18_+M19_+M20_+M21_+M22_+M23_+M24_+M25_)),0)</f>
        <v>0</v>
      </c>
      <c r="AL712" s="27">
        <f>TableCosts[[#This Row],[N_Direct]]</f>
        <v>0</v>
      </c>
      <c r="AN712" s="7" t="str">
        <f t="shared" si="135"/>
        <v/>
      </c>
      <c r="AO712" s="7" t="str">
        <f t="shared" si="138"/>
        <v/>
      </c>
      <c r="AP712" s="7" t="str">
        <f t="shared" si="136"/>
        <v/>
      </c>
      <c r="AQ712" s="7" t="str">
        <f t="shared" si="139"/>
        <v/>
      </c>
      <c r="AR712" s="7" t="str">
        <f t="shared" si="137"/>
        <v/>
      </c>
      <c r="AS712" s="7">
        <f t="shared" si="140"/>
        <v>0</v>
      </c>
      <c r="AT712" s="17">
        <f>TableCosts[[#This Row],[N_Amount]]*TableCosts[[#This Row],[N_Tariff]]*TableCosts[[#This Row],[N_ItemsCount]]</f>
        <v>0</v>
      </c>
      <c r="AU712" s="17">
        <f>IF(F712=1,IF(TableCosts[[#This Row],[N_Kateg]]="interné práce",TableCosts[[#This Row],[N_Amount]]*8*PAR_SGA_PERHOUR,0),0)</f>
        <v>0</v>
      </c>
      <c r="AV712" s="17">
        <f>SUM(TableCosts[[#This Row],[N_Direct]:[N_SGA]])</f>
        <v>0</v>
      </c>
      <c r="AW712" s="7">
        <f>IF(F712=1,IF(D712="",NA(),VLOOKUP(C712&amp;TableCosts[[#This Row],[Calc_N_Typ]],TRAN_STRITEMS_LABEL,7,0)),0)</f>
        <v>0</v>
      </c>
      <c r="AX712" s="7">
        <f t="shared" si="141"/>
        <v>0</v>
      </c>
      <c r="AY712" s="57" t="str">
        <f t="shared" si="142"/>
        <v/>
      </c>
      <c r="AZ712" s="57" t="str">
        <f t="shared" si="143"/>
        <v/>
      </c>
      <c r="BA712" s="57" t="str">
        <f>IF(F712=1,IF(TableCosts[[#This Row],[TransferFrom]]=TableCosts[[#This Row],[TranferTo]],0,1),"")</f>
        <v/>
      </c>
      <c r="BB712" s="7">
        <f t="shared" si="144"/>
        <v>0</v>
      </c>
      <c r="BC712" s="7">
        <f t="shared" si="145"/>
        <v>0</v>
      </c>
    </row>
    <row r="713" spans="2:55" s="7" customFormat="1" ht="12.75" x14ac:dyDescent="0.2">
      <c r="B713" s="33"/>
      <c r="C713" s="31"/>
      <c r="D713" s="40"/>
      <c r="E713" s="6" t="str">
        <f>IF(F713=1,IF(ISERROR(TableCosts[[#This Row],[N_Tariff]]),Err_Message1,IF(TableCosts[[#This Row],[N_Tariff]]=0,Err_Message2,VLOOKUP(C713&amp;TableCosts[[#This Row],[Calc_N_Typ]],TRAN_STRITEMS_LABEL,5,FALSE))),"")</f>
        <v/>
      </c>
      <c r="F713" s="6">
        <f t="shared" ref="F713:F750" si="146">IF(B713="",0,IF(LEFT(B713,3)="***",-1,1))</f>
        <v>0</v>
      </c>
      <c r="G713" s="6" t="str">
        <f>IF(F713=1,IFERROR(VLOOKUP(E713,Tab_ErrMessage[],2,0),VLOOKUP(C713&amp;TableCosts[[#This Row],[Calc_N_Typ]],TRAN_STRITEMS_LABEL,4,FALSE)),"")</f>
        <v/>
      </c>
      <c r="H713" s="40"/>
      <c r="I713" s="40"/>
      <c r="J713" s="35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  <c r="AD713" s="24"/>
      <c r="AE713" s="24"/>
      <c r="AF713" s="24"/>
      <c r="AG713" s="24"/>
      <c r="AH713" s="24"/>
      <c r="AI713" s="24"/>
      <c r="AJ713" s="24"/>
      <c r="AK713" s="38">
        <f t="array" ref="AK713">IF(F713=1,SUM((ROW(M0)=ROW(AK713))*(M0+M1_+M2_+M3_+M4_+M5_+M6_+M7_+M8_+M9_+M10_+M11_+M12_+M13_+M14_+M15_+M16_+M17_+M18_+M19_+M20_+M21_+M22_+M23_+M24_+M25_)),0)</f>
        <v>0</v>
      </c>
      <c r="AL713" s="27">
        <f>TableCosts[[#This Row],[N_Direct]]</f>
        <v>0</v>
      </c>
      <c r="AN713" s="7" t="str">
        <f t="shared" si="135"/>
        <v/>
      </c>
      <c r="AO713" s="7" t="str">
        <f t="shared" si="138"/>
        <v/>
      </c>
      <c r="AP713" s="7" t="str">
        <f t="shared" si="136"/>
        <v/>
      </c>
      <c r="AQ713" s="7" t="str">
        <f t="shared" si="139"/>
        <v/>
      </c>
      <c r="AR713" s="7" t="str">
        <f t="shared" si="137"/>
        <v/>
      </c>
      <c r="AS713" s="7">
        <f t="shared" si="140"/>
        <v>0</v>
      </c>
      <c r="AT713" s="17">
        <f>TableCosts[[#This Row],[N_Amount]]*TableCosts[[#This Row],[N_Tariff]]*TableCosts[[#This Row],[N_ItemsCount]]</f>
        <v>0</v>
      </c>
      <c r="AU713" s="17">
        <f>IF(F713=1,IF(TableCosts[[#This Row],[N_Kateg]]="interné práce",TableCosts[[#This Row],[N_Amount]]*8*PAR_SGA_PERHOUR,0),0)</f>
        <v>0</v>
      </c>
      <c r="AV713" s="17">
        <f>SUM(TableCosts[[#This Row],[N_Direct]:[N_SGA]])</f>
        <v>0</v>
      </c>
      <c r="AW713" s="7">
        <f>IF(F713=1,IF(D713="",NA(),VLOOKUP(C713&amp;TableCosts[[#This Row],[Calc_N_Typ]],TRAN_STRITEMS_LABEL,7,0)),0)</f>
        <v>0</v>
      </c>
      <c r="AX713" s="7">
        <f t="shared" si="141"/>
        <v>0</v>
      </c>
      <c r="AY713" s="57" t="str">
        <f t="shared" si="142"/>
        <v/>
      </c>
      <c r="AZ713" s="57" t="str">
        <f t="shared" si="143"/>
        <v/>
      </c>
      <c r="BA713" s="57" t="str">
        <f>IF(F713=1,IF(TableCosts[[#This Row],[TransferFrom]]=TableCosts[[#This Row],[TranferTo]],0,1),"")</f>
        <v/>
      </c>
      <c r="BB713" s="7">
        <f t="shared" si="144"/>
        <v>0</v>
      </c>
      <c r="BC713" s="7">
        <f t="shared" si="145"/>
        <v>0</v>
      </c>
    </row>
    <row r="714" spans="2:55" s="7" customFormat="1" ht="12.75" x14ac:dyDescent="0.2">
      <c r="B714" s="33"/>
      <c r="C714" s="31"/>
      <c r="D714" s="40"/>
      <c r="E714" s="6" t="str">
        <f>IF(F714=1,IF(ISERROR(TableCosts[[#This Row],[N_Tariff]]),Err_Message1,IF(TableCosts[[#This Row],[N_Tariff]]=0,Err_Message2,VLOOKUP(C714&amp;TableCosts[[#This Row],[Calc_N_Typ]],TRAN_STRITEMS_LABEL,5,FALSE))),"")</f>
        <v/>
      </c>
      <c r="F714" s="6">
        <f t="shared" si="146"/>
        <v>0</v>
      </c>
      <c r="G714" s="6" t="str">
        <f>IF(F714=1,IFERROR(VLOOKUP(E714,Tab_ErrMessage[],2,0),VLOOKUP(C714&amp;TableCosts[[#This Row],[Calc_N_Typ]],TRAN_STRITEMS_LABEL,4,FALSE)),"")</f>
        <v/>
      </c>
      <c r="H714" s="40"/>
      <c r="I714" s="40"/>
      <c r="J714" s="35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  <c r="AD714" s="24"/>
      <c r="AE714" s="24"/>
      <c r="AF714" s="24"/>
      <c r="AG714" s="24"/>
      <c r="AH714" s="24"/>
      <c r="AI714" s="24"/>
      <c r="AJ714" s="24"/>
      <c r="AK714" s="38">
        <f t="array" ref="AK714">IF(F714=1,SUM((ROW(M0)=ROW(AK714))*(M0+M1_+M2_+M3_+M4_+M5_+M6_+M7_+M8_+M9_+M10_+M11_+M12_+M13_+M14_+M15_+M16_+M17_+M18_+M19_+M20_+M21_+M22_+M23_+M24_+M25_)),0)</f>
        <v>0</v>
      </c>
      <c r="AL714" s="27">
        <f>TableCosts[[#This Row],[N_Direct]]</f>
        <v>0</v>
      </c>
      <c r="AN714" s="7" t="str">
        <f t="shared" si="135"/>
        <v/>
      </c>
      <c r="AO714" s="7" t="str">
        <f t="shared" si="138"/>
        <v/>
      </c>
      <c r="AP714" s="7" t="str">
        <f t="shared" si="136"/>
        <v/>
      </c>
      <c r="AQ714" s="7" t="str">
        <f t="shared" si="139"/>
        <v/>
      </c>
      <c r="AR714" s="7" t="str">
        <f t="shared" si="137"/>
        <v/>
      </c>
      <c r="AS714" s="7">
        <f t="shared" si="140"/>
        <v>0</v>
      </c>
      <c r="AT714" s="17">
        <f>TableCosts[[#This Row],[N_Amount]]*TableCosts[[#This Row],[N_Tariff]]*TableCosts[[#This Row],[N_ItemsCount]]</f>
        <v>0</v>
      </c>
      <c r="AU714" s="17">
        <f>IF(F714=1,IF(TableCosts[[#This Row],[N_Kateg]]="interné práce",TableCosts[[#This Row],[N_Amount]]*8*PAR_SGA_PERHOUR,0),0)</f>
        <v>0</v>
      </c>
      <c r="AV714" s="17">
        <f>SUM(TableCosts[[#This Row],[N_Direct]:[N_SGA]])</f>
        <v>0</v>
      </c>
      <c r="AW714" s="7">
        <f>IF(F714=1,IF(D714="",NA(),VLOOKUP(C714&amp;TableCosts[[#This Row],[Calc_N_Typ]],TRAN_STRITEMS_LABEL,7,0)),0)</f>
        <v>0</v>
      </c>
      <c r="AX714" s="7">
        <f t="shared" si="141"/>
        <v>0</v>
      </c>
      <c r="AY714" s="57" t="str">
        <f t="shared" si="142"/>
        <v/>
      </c>
      <c r="AZ714" s="57" t="str">
        <f t="shared" si="143"/>
        <v/>
      </c>
      <c r="BA714" s="57" t="str">
        <f>IF(F714=1,IF(TableCosts[[#This Row],[TransferFrom]]=TableCosts[[#This Row],[TranferTo]],0,1),"")</f>
        <v/>
      </c>
      <c r="BB714" s="7">
        <f t="shared" si="144"/>
        <v>0</v>
      </c>
      <c r="BC714" s="7">
        <f t="shared" si="145"/>
        <v>0</v>
      </c>
    </row>
    <row r="715" spans="2:55" s="7" customFormat="1" ht="12.75" x14ac:dyDescent="0.2">
      <c r="B715" s="33"/>
      <c r="C715" s="31"/>
      <c r="D715" s="40"/>
      <c r="E715" s="6" t="str">
        <f>IF(F715=1,IF(ISERROR(TableCosts[[#This Row],[N_Tariff]]),Err_Message1,IF(TableCosts[[#This Row],[N_Tariff]]=0,Err_Message2,VLOOKUP(C715&amp;TableCosts[[#This Row],[Calc_N_Typ]],TRAN_STRITEMS_LABEL,5,FALSE))),"")</f>
        <v/>
      </c>
      <c r="F715" s="6">
        <f t="shared" si="146"/>
        <v>0</v>
      </c>
      <c r="G715" s="6" t="str">
        <f>IF(F715=1,IFERROR(VLOOKUP(E715,Tab_ErrMessage[],2,0),VLOOKUP(C715&amp;TableCosts[[#This Row],[Calc_N_Typ]],TRAN_STRITEMS_LABEL,4,FALSE)),"")</f>
        <v/>
      </c>
      <c r="H715" s="40"/>
      <c r="I715" s="40"/>
      <c r="J715" s="35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  <c r="AD715" s="24"/>
      <c r="AE715" s="24"/>
      <c r="AF715" s="24"/>
      <c r="AG715" s="24"/>
      <c r="AH715" s="24"/>
      <c r="AI715" s="24"/>
      <c r="AJ715" s="24"/>
      <c r="AK715" s="38">
        <f t="array" ref="AK715">IF(F715=1,SUM((ROW(M0)=ROW(AK715))*(M0+M1_+M2_+M3_+M4_+M5_+M6_+M7_+M8_+M9_+M10_+M11_+M12_+M13_+M14_+M15_+M16_+M17_+M18_+M19_+M20_+M21_+M22_+M23_+M24_+M25_)),0)</f>
        <v>0</v>
      </c>
      <c r="AL715" s="27">
        <f>TableCosts[[#This Row],[N_Direct]]</f>
        <v>0</v>
      </c>
      <c r="AN715" s="7" t="str">
        <f t="shared" si="135"/>
        <v/>
      </c>
      <c r="AO715" s="7" t="str">
        <f t="shared" si="138"/>
        <v/>
      </c>
      <c r="AP715" s="7" t="str">
        <f t="shared" si="136"/>
        <v/>
      </c>
      <c r="AQ715" s="7" t="str">
        <f t="shared" si="139"/>
        <v/>
      </c>
      <c r="AR715" s="7" t="str">
        <f t="shared" si="137"/>
        <v/>
      </c>
      <c r="AS715" s="7">
        <f t="shared" si="140"/>
        <v>0</v>
      </c>
      <c r="AT715" s="17">
        <f>TableCosts[[#This Row],[N_Amount]]*TableCosts[[#This Row],[N_Tariff]]*TableCosts[[#This Row],[N_ItemsCount]]</f>
        <v>0</v>
      </c>
      <c r="AU715" s="17">
        <f>IF(F715=1,IF(TableCosts[[#This Row],[N_Kateg]]="interné práce",TableCosts[[#This Row],[N_Amount]]*8*PAR_SGA_PERHOUR,0),0)</f>
        <v>0</v>
      </c>
      <c r="AV715" s="17">
        <f>SUM(TableCosts[[#This Row],[N_Direct]:[N_SGA]])</f>
        <v>0</v>
      </c>
      <c r="AW715" s="7">
        <f>IF(F715=1,IF(D715="",NA(),VLOOKUP(C715&amp;TableCosts[[#This Row],[Calc_N_Typ]],TRAN_STRITEMS_LABEL,7,0)),0)</f>
        <v>0</v>
      </c>
      <c r="AX715" s="7">
        <f t="shared" si="141"/>
        <v>0</v>
      </c>
      <c r="AY715" s="57" t="str">
        <f t="shared" si="142"/>
        <v/>
      </c>
      <c r="AZ715" s="57" t="str">
        <f t="shared" si="143"/>
        <v/>
      </c>
      <c r="BA715" s="57" t="str">
        <f>IF(F715=1,IF(TableCosts[[#This Row],[TransferFrom]]=TableCosts[[#This Row],[TranferTo]],0,1),"")</f>
        <v/>
      </c>
      <c r="BB715" s="7">
        <f t="shared" si="144"/>
        <v>0</v>
      </c>
      <c r="BC715" s="7">
        <f t="shared" si="145"/>
        <v>0</v>
      </c>
    </row>
    <row r="716" spans="2:55" s="7" customFormat="1" ht="12.75" x14ac:dyDescent="0.2">
      <c r="B716" s="33"/>
      <c r="C716" s="31"/>
      <c r="D716" s="40"/>
      <c r="E716" s="6" t="str">
        <f>IF(F716=1,IF(ISERROR(TableCosts[[#This Row],[N_Tariff]]),Err_Message1,IF(TableCosts[[#This Row],[N_Tariff]]=0,Err_Message2,VLOOKUP(C716&amp;TableCosts[[#This Row],[Calc_N_Typ]],TRAN_STRITEMS_LABEL,5,FALSE))),"")</f>
        <v/>
      </c>
      <c r="F716" s="6">
        <f t="shared" si="146"/>
        <v>0</v>
      </c>
      <c r="G716" s="6" t="str">
        <f>IF(F716=1,IFERROR(VLOOKUP(E716,Tab_ErrMessage[],2,0),VLOOKUP(C716&amp;TableCosts[[#This Row],[Calc_N_Typ]],TRAN_STRITEMS_LABEL,4,FALSE)),"")</f>
        <v/>
      </c>
      <c r="H716" s="40"/>
      <c r="I716" s="40"/>
      <c r="J716" s="35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  <c r="AD716" s="24"/>
      <c r="AE716" s="24"/>
      <c r="AF716" s="24"/>
      <c r="AG716" s="24"/>
      <c r="AH716" s="24"/>
      <c r="AI716" s="24"/>
      <c r="AJ716" s="24"/>
      <c r="AK716" s="38">
        <f t="array" ref="AK716">IF(F716=1,SUM((ROW(M0)=ROW(AK716))*(M0+M1_+M2_+M3_+M4_+M5_+M6_+M7_+M8_+M9_+M10_+M11_+M12_+M13_+M14_+M15_+M16_+M17_+M18_+M19_+M20_+M21_+M22_+M23_+M24_+M25_)),0)</f>
        <v>0</v>
      </c>
      <c r="AL716" s="27">
        <f>TableCosts[[#This Row],[N_Direct]]</f>
        <v>0</v>
      </c>
      <c r="AN716" s="7" t="str">
        <f t="shared" si="135"/>
        <v/>
      </c>
      <c r="AO716" s="7" t="str">
        <f t="shared" si="138"/>
        <v/>
      </c>
      <c r="AP716" s="7" t="str">
        <f t="shared" si="136"/>
        <v/>
      </c>
      <c r="AQ716" s="7" t="str">
        <f t="shared" si="139"/>
        <v/>
      </c>
      <c r="AR716" s="7" t="str">
        <f t="shared" si="137"/>
        <v/>
      </c>
      <c r="AS716" s="7">
        <f t="shared" si="140"/>
        <v>0</v>
      </c>
      <c r="AT716" s="17">
        <f>TableCosts[[#This Row],[N_Amount]]*TableCosts[[#This Row],[N_Tariff]]*TableCosts[[#This Row],[N_ItemsCount]]</f>
        <v>0</v>
      </c>
      <c r="AU716" s="17">
        <f>IF(F716=1,IF(TableCosts[[#This Row],[N_Kateg]]="interné práce",TableCosts[[#This Row],[N_Amount]]*8*PAR_SGA_PERHOUR,0),0)</f>
        <v>0</v>
      </c>
      <c r="AV716" s="17">
        <f>SUM(TableCosts[[#This Row],[N_Direct]:[N_SGA]])</f>
        <v>0</v>
      </c>
      <c r="AW716" s="7">
        <f>IF(F716=1,IF(D716="",NA(),VLOOKUP(C716&amp;TableCosts[[#This Row],[Calc_N_Typ]],TRAN_STRITEMS_LABEL,7,0)),0)</f>
        <v>0</v>
      </c>
      <c r="AX716" s="7">
        <f t="shared" si="141"/>
        <v>0</v>
      </c>
      <c r="AY716" s="57" t="str">
        <f t="shared" si="142"/>
        <v/>
      </c>
      <c r="AZ716" s="57" t="str">
        <f t="shared" si="143"/>
        <v/>
      </c>
      <c r="BA716" s="57" t="str">
        <f>IF(F716=1,IF(TableCosts[[#This Row],[TransferFrom]]=TableCosts[[#This Row],[TranferTo]],0,1),"")</f>
        <v/>
      </c>
      <c r="BB716" s="7">
        <f t="shared" si="144"/>
        <v>0</v>
      </c>
      <c r="BC716" s="7">
        <f t="shared" si="145"/>
        <v>0</v>
      </c>
    </row>
    <row r="717" spans="2:55" s="7" customFormat="1" ht="12.75" x14ac:dyDescent="0.2">
      <c r="B717" s="33"/>
      <c r="C717" s="31"/>
      <c r="D717" s="40"/>
      <c r="E717" s="6" t="str">
        <f>IF(F717=1,IF(ISERROR(TableCosts[[#This Row],[N_Tariff]]),Err_Message1,IF(TableCosts[[#This Row],[N_Tariff]]=0,Err_Message2,VLOOKUP(C717&amp;TableCosts[[#This Row],[Calc_N_Typ]],TRAN_STRITEMS_LABEL,5,FALSE))),"")</f>
        <v/>
      </c>
      <c r="F717" s="6">
        <f t="shared" si="146"/>
        <v>0</v>
      </c>
      <c r="G717" s="6" t="str">
        <f>IF(F717=1,IFERROR(VLOOKUP(E717,Tab_ErrMessage[],2,0),VLOOKUP(C717&amp;TableCosts[[#This Row],[Calc_N_Typ]],TRAN_STRITEMS_LABEL,4,FALSE)),"")</f>
        <v/>
      </c>
      <c r="H717" s="40"/>
      <c r="I717" s="40"/>
      <c r="J717" s="35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  <c r="AD717" s="24"/>
      <c r="AE717" s="24"/>
      <c r="AF717" s="24"/>
      <c r="AG717" s="24"/>
      <c r="AH717" s="24"/>
      <c r="AI717" s="24"/>
      <c r="AJ717" s="24"/>
      <c r="AK717" s="38">
        <f t="array" ref="AK717">IF(F717=1,SUM((ROW(M0)=ROW(AK717))*(M0+M1_+M2_+M3_+M4_+M5_+M6_+M7_+M8_+M9_+M10_+M11_+M12_+M13_+M14_+M15_+M16_+M17_+M18_+M19_+M20_+M21_+M22_+M23_+M24_+M25_)),0)</f>
        <v>0</v>
      </c>
      <c r="AL717" s="27">
        <f>TableCosts[[#This Row],[N_Direct]]</f>
        <v>0</v>
      </c>
      <c r="AN717" s="7" t="str">
        <f t="shared" si="135"/>
        <v/>
      </c>
      <c r="AO717" s="7" t="str">
        <f t="shared" si="138"/>
        <v/>
      </c>
      <c r="AP717" s="7" t="str">
        <f t="shared" si="136"/>
        <v/>
      </c>
      <c r="AQ717" s="7" t="str">
        <f t="shared" si="139"/>
        <v/>
      </c>
      <c r="AR717" s="7" t="str">
        <f t="shared" si="137"/>
        <v/>
      </c>
      <c r="AS717" s="7">
        <f t="shared" si="140"/>
        <v>0</v>
      </c>
      <c r="AT717" s="17">
        <f>TableCosts[[#This Row],[N_Amount]]*TableCosts[[#This Row],[N_Tariff]]*TableCosts[[#This Row],[N_ItemsCount]]</f>
        <v>0</v>
      </c>
      <c r="AU717" s="17">
        <f>IF(F717=1,IF(TableCosts[[#This Row],[N_Kateg]]="interné práce",TableCosts[[#This Row],[N_Amount]]*8*PAR_SGA_PERHOUR,0),0)</f>
        <v>0</v>
      </c>
      <c r="AV717" s="17">
        <f>SUM(TableCosts[[#This Row],[N_Direct]:[N_SGA]])</f>
        <v>0</v>
      </c>
      <c r="AW717" s="7">
        <f>IF(F717=1,IF(D717="",NA(),VLOOKUP(C717&amp;TableCosts[[#This Row],[Calc_N_Typ]],TRAN_STRITEMS_LABEL,7,0)),0)</f>
        <v>0</v>
      </c>
      <c r="AX717" s="7">
        <f t="shared" si="141"/>
        <v>0</v>
      </c>
      <c r="AY717" s="57" t="str">
        <f t="shared" si="142"/>
        <v/>
      </c>
      <c r="AZ717" s="57" t="str">
        <f t="shared" si="143"/>
        <v/>
      </c>
      <c r="BA717" s="57" t="str">
        <f>IF(F717=1,IF(TableCosts[[#This Row],[TransferFrom]]=TableCosts[[#This Row],[TranferTo]],0,1),"")</f>
        <v/>
      </c>
      <c r="BB717" s="7">
        <f t="shared" si="144"/>
        <v>0</v>
      </c>
      <c r="BC717" s="7">
        <f t="shared" si="145"/>
        <v>0</v>
      </c>
    </row>
    <row r="718" spans="2:55" s="7" customFormat="1" ht="12.75" x14ac:dyDescent="0.2">
      <c r="B718" s="33"/>
      <c r="C718" s="31"/>
      <c r="D718" s="40"/>
      <c r="E718" s="6" t="str">
        <f>IF(F718=1,IF(ISERROR(TableCosts[[#This Row],[N_Tariff]]),Err_Message1,IF(TableCosts[[#This Row],[N_Tariff]]=0,Err_Message2,VLOOKUP(C718&amp;TableCosts[[#This Row],[Calc_N_Typ]],TRAN_STRITEMS_LABEL,5,FALSE))),"")</f>
        <v/>
      </c>
      <c r="F718" s="6">
        <f t="shared" si="146"/>
        <v>0</v>
      </c>
      <c r="G718" s="6" t="str">
        <f>IF(F718=1,IFERROR(VLOOKUP(E718,Tab_ErrMessage[],2,0),VLOOKUP(C718&amp;TableCosts[[#This Row],[Calc_N_Typ]],TRAN_STRITEMS_LABEL,4,FALSE)),"")</f>
        <v/>
      </c>
      <c r="H718" s="40"/>
      <c r="I718" s="40"/>
      <c r="J718" s="35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  <c r="AD718" s="24"/>
      <c r="AE718" s="24"/>
      <c r="AF718" s="24"/>
      <c r="AG718" s="24"/>
      <c r="AH718" s="24"/>
      <c r="AI718" s="24"/>
      <c r="AJ718" s="24"/>
      <c r="AK718" s="38">
        <f t="array" ref="AK718">IF(F718=1,SUM((ROW(M0)=ROW(AK718))*(M0+M1_+M2_+M3_+M4_+M5_+M6_+M7_+M8_+M9_+M10_+M11_+M12_+M13_+M14_+M15_+M16_+M17_+M18_+M19_+M20_+M21_+M22_+M23_+M24_+M25_)),0)</f>
        <v>0</v>
      </c>
      <c r="AL718" s="27">
        <f>TableCosts[[#This Row],[N_Direct]]</f>
        <v>0</v>
      </c>
      <c r="AN718" s="7" t="str">
        <f t="shared" si="135"/>
        <v/>
      </c>
      <c r="AO718" s="7" t="str">
        <f t="shared" si="138"/>
        <v/>
      </c>
      <c r="AP718" s="7" t="str">
        <f t="shared" si="136"/>
        <v/>
      </c>
      <c r="AQ718" s="7" t="str">
        <f t="shared" si="139"/>
        <v/>
      </c>
      <c r="AR718" s="7" t="str">
        <f t="shared" si="137"/>
        <v/>
      </c>
      <c r="AS718" s="7">
        <f t="shared" si="140"/>
        <v>0</v>
      </c>
      <c r="AT718" s="17">
        <f>TableCosts[[#This Row],[N_Amount]]*TableCosts[[#This Row],[N_Tariff]]*TableCosts[[#This Row],[N_ItemsCount]]</f>
        <v>0</v>
      </c>
      <c r="AU718" s="17">
        <f>IF(F718=1,IF(TableCosts[[#This Row],[N_Kateg]]="interné práce",TableCosts[[#This Row],[N_Amount]]*8*PAR_SGA_PERHOUR,0),0)</f>
        <v>0</v>
      </c>
      <c r="AV718" s="17">
        <f>SUM(TableCosts[[#This Row],[N_Direct]:[N_SGA]])</f>
        <v>0</v>
      </c>
      <c r="AW718" s="7">
        <f>IF(F718=1,IF(D718="",NA(),VLOOKUP(C718&amp;TableCosts[[#This Row],[Calc_N_Typ]],TRAN_STRITEMS_LABEL,7,0)),0)</f>
        <v>0</v>
      </c>
      <c r="AX718" s="7">
        <f t="shared" si="141"/>
        <v>0</v>
      </c>
      <c r="AY718" s="57" t="str">
        <f t="shared" si="142"/>
        <v/>
      </c>
      <c r="AZ718" s="57" t="str">
        <f t="shared" si="143"/>
        <v/>
      </c>
      <c r="BA718" s="57" t="str">
        <f>IF(F718=1,IF(TableCosts[[#This Row],[TransferFrom]]=TableCosts[[#This Row],[TranferTo]],0,1),"")</f>
        <v/>
      </c>
      <c r="BB718" s="7">
        <f t="shared" si="144"/>
        <v>0</v>
      </c>
      <c r="BC718" s="7">
        <f t="shared" si="145"/>
        <v>0</v>
      </c>
    </row>
    <row r="719" spans="2:55" s="7" customFormat="1" ht="12.75" x14ac:dyDescent="0.2">
      <c r="B719" s="33"/>
      <c r="C719" s="31"/>
      <c r="D719" s="40"/>
      <c r="E719" s="6" t="str">
        <f>IF(F719=1,IF(ISERROR(TableCosts[[#This Row],[N_Tariff]]),Err_Message1,IF(TableCosts[[#This Row],[N_Tariff]]=0,Err_Message2,VLOOKUP(C719&amp;TableCosts[[#This Row],[Calc_N_Typ]],TRAN_STRITEMS_LABEL,5,FALSE))),"")</f>
        <v/>
      </c>
      <c r="F719" s="6">
        <f t="shared" si="146"/>
        <v>0</v>
      </c>
      <c r="G719" s="6" t="str">
        <f>IF(F719=1,IFERROR(VLOOKUP(E719,Tab_ErrMessage[],2,0),VLOOKUP(C719&amp;TableCosts[[#This Row],[Calc_N_Typ]],TRAN_STRITEMS_LABEL,4,FALSE)),"")</f>
        <v/>
      </c>
      <c r="H719" s="40"/>
      <c r="I719" s="40"/>
      <c r="J719" s="35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  <c r="AD719" s="24"/>
      <c r="AE719" s="24"/>
      <c r="AF719" s="24"/>
      <c r="AG719" s="24"/>
      <c r="AH719" s="24"/>
      <c r="AI719" s="24"/>
      <c r="AJ719" s="24"/>
      <c r="AK719" s="38">
        <f t="array" ref="AK719">IF(F719=1,SUM((ROW(M0)=ROW(AK719))*(M0+M1_+M2_+M3_+M4_+M5_+M6_+M7_+M8_+M9_+M10_+M11_+M12_+M13_+M14_+M15_+M16_+M17_+M18_+M19_+M20_+M21_+M22_+M23_+M24_+M25_)),0)</f>
        <v>0</v>
      </c>
      <c r="AL719" s="27">
        <f>TableCosts[[#This Row],[N_Direct]]</f>
        <v>0</v>
      </c>
      <c r="AN719" s="7" t="str">
        <f t="shared" si="135"/>
        <v/>
      </c>
      <c r="AO719" s="7" t="str">
        <f t="shared" si="138"/>
        <v/>
      </c>
      <c r="AP719" s="7" t="str">
        <f t="shared" si="136"/>
        <v/>
      </c>
      <c r="AQ719" s="7" t="str">
        <f t="shared" si="139"/>
        <v/>
      </c>
      <c r="AR719" s="7" t="str">
        <f t="shared" si="137"/>
        <v/>
      </c>
      <c r="AS719" s="7">
        <f t="shared" si="140"/>
        <v>0</v>
      </c>
      <c r="AT719" s="17">
        <f>TableCosts[[#This Row],[N_Amount]]*TableCosts[[#This Row],[N_Tariff]]*TableCosts[[#This Row],[N_ItemsCount]]</f>
        <v>0</v>
      </c>
      <c r="AU719" s="17">
        <f>IF(F719=1,IF(TableCosts[[#This Row],[N_Kateg]]="interné práce",TableCosts[[#This Row],[N_Amount]]*8*PAR_SGA_PERHOUR,0),0)</f>
        <v>0</v>
      </c>
      <c r="AV719" s="17">
        <f>SUM(TableCosts[[#This Row],[N_Direct]:[N_SGA]])</f>
        <v>0</v>
      </c>
      <c r="AW719" s="7">
        <f>IF(F719=1,IF(D719="",NA(),VLOOKUP(C719&amp;TableCosts[[#This Row],[Calc_N_Typ]],TRAN_STRITEMS_LABEL,7,0)),0)</f>
        <v>0</v>
      </c>
      <c r="AX719" s="7">
        <f t="shared" si="141"/>
        <v>0</v>
      </c>
      <c r="AY719" s="57" t="str">
        <f t="shared" si="142"/>
        <v/>
      </c>
      <c r="AZ719" s="57" t="str">
        <f t="shared" si="143"/>
        <v/>
      </c>
      <c r="BA719" s="57" t="str">
        <f>IF(F719=1,IF(TableCosts[[#This Row],[TransferFrom]]=TableCosts[[#This Row],[TranferTo]],0,1),"")</f>
        <v/>
      </c>
      <c r="BB719" s="7">
        <f t="shared" si="144"/>
        <v>0</v>
      </c>
      <c r="BC719" s="7">
        <f t="shared" si="145"/>
        <v>0</v>
      </c>
    </row>
    <row r="720" spans="2:55" s="7" customFormat="1" ht="12.75" x14ac:dyDescent="0.2">
      <c r="B720" s="33"/>
      <c r="C720" s="31"/>
      <c r="D720" s="40"/>
      <c r="E720" s="6" t="str">
        <f>IF(F720=1,IF(ISERROR(TableCosts[[#This Row],[N_Tariff]]),Err_Message1,IF(TableCosts[[#This Row],[N_Tariff]]=0,Err_Message2,VLOOKUP(C720&amp;TableCosts[[#This Row],[Calc_N_Typ]],TRAN_STRITEMS_LABEL,5,FALSE))),"")</f>
        <v/>
      </c>
      <c r="F720" s="6">
        <f t="shared" si="146"/>
        <v>0</v>
      </c>
      <c r="G720" s="6" t="str">
        <f>IF(F720=1,IFERROR(VLOOKUP(E720,Tab_ErrMessage[],2,0),VLOOKUP(C720&amp;TableCosts[[#This Row],[Calc_N_Typ]],TRAN_STRITEMS_LABEL,4,FALSE)),"")</f>
        <v/>
      </c>
      <c r="H720" s="40"/>
      <c r="I720" s="40"/>
      <c r="J720" s="35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  <c r="AD720" s="24"/>
      <c r="AE720" s="24"/>
      <c r="AF720" s="24"/>
      <c r="AG720" s="24"/>
      <c r="AH720" s="24"/>
      <c r="AI720" s="24"/>
      <c r="AJ720" s="24"/>
      <c r="AK720" s="38">
        <f t="array" ref="AK720">IF(F720=1,SUM((ROW(M0)=ROW(AK720))*(M0+M1_+M2_+M3_+M4_+M5_+M6_+M7_+M8_+M9_+M10_+M11_+M12_+M13_+M14_+M15_+M16_+M17_+M18_+M19_+M20_+M21_+M22_+M23_+M24_+M25_)),0)</f>
        <v>0</v>
      </c>
      <c r="AL720" s="27">
        <f>TableCosts[[#This Row],[N_Direct]]</f>
        <v>0</v>
      </c>
      <c r="AN720" s="7" t="str">
        <f t="shared" si="135"/>
        <v/>
      </c>
      <c r="AO720" s="7" t="str">
        <f t="shared" si="138"/>
        <v/>
      </c>
      <c r="AP720" s="7" t="str">
        <f t="shared" si="136"/>
        <v/>
      </c>
      <c r="AQ720" s="7" t="str">
        <f t="shared" si="139"/>
        <v/>
      </c>
      <c r="AR720" s="7" t="str">
        <f t="shared" si="137"/>
        <v/>
      </c>
      <c r="AS720" s="7">
        <f t="shared" si="140"/>
        <v>0</v>
      </c>
      <c r="AT720" s="17">
        <f>TableCosts[[#This Row],[N_Amount]]*TableCosts[[#This Row],[N_Tariff]]*TableCosts[[#This Row],[N_ItemsCount]]</f>
        <v>0</v>
      </c>
      <c r="AU720" s="17">
        <f>IF(F720=1,IF(TableCosts[[#This Row],[N_Kateg]]="interné práce",TableCosts[[#This Row],[N_Amount]]*8*PAR_SGA_PERHOUR,0),0)</f>
        <v>0</v>
      </c>
      <c r="AV720" s="17">
        <f>SUM(TableCosts[[#This Row],[N_Direct]:[N_SGA]])</f>
        <v>0</v>
      </c>
      <c r="AW720" s="7">
        <f>IF(F720=1,IF(D720="",NA(),VLOOKUP(C720&amp;TableCosts[[#This Row],[Calc_N_Typ]],TRAN_STRITEMS_LABEL,7,0)),0)</f>
        <v>0</v>
      </c>
      <c r="AX720" s="7">
        <f t="shared" si="141"/>
        <v>0</v>
      </c>
      <c r="AY720" s="57" t="str">
        <f t="shared" si="142"/>
        <v/>
      </c>
      <c r="AZ720" s="57" t="str">
        <f t="shared" si="143"/>
        <v/>
      </c>
      <c r="BA720" s="57" t="str">
        <f>IF(F720=1,IF(TableCosts[[#This Row],[TransferFrom]]=TableCosts[[#This Row],[TranferTo]],0,1),"")</f>
        <v/>
      </c>
      <c r="BB720" s="7">
        <f t="shared" si="144"/>
        <v>0</v>
      </c>
      <c r="BC720" s="7">
        <f t="shared" si="145"/>
        <v>0</v>
      </c>
    </row>
    <row r="721" spans="2:55" s="7" customFormat="1" ht="12.75" x14ac:dyDescent="0.2">
      <c r="B721" s="33"/>
      <c r="C721" s="31"/>
      <c r="D721" s="40"/>
      <c r="E721" s="6" t="str">
        <f>IF(F721=1,IF(ISERROR(TableCosts[[#This Row],[N_Tariff]]),Err_Message1,IF(TableCosts[[#This Row],[N_Tariff]]=0,Err_Message2,VLOOKUP(C721&amp;TableCosts[[#This Row],[Calc_N_Typ]],TRAN_STRITEMS_LABEL,5,FALSE))),"")</f>
        <v/>
      </c>
      <c r="F721" s="6">
        <f t="shared" si="146"/>
        <v>0</v>
      </c>
      <c r="G721" s="6" t="str">
        <f>IF(F721=1,IFERROR(VLOOKUP(E721,Tab_ErrMessage[],2,0),VLOOKUP(C721&amp;TableCosts[[#This Row],[Calc_N_Typ]],TRAN_STRITEMS_LABEL,4,FALSE)),"")</f>
        <v/>
      </c>
      <c r="H721" s="40"/>
      <c r="I721" s="40"/>
      <c r="J721" s="35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  <c r="AD721" s="24"/>
      <c r="AE721" s="24"/>
      <c r="AF721" s="24"/>
      <c r="AG721" s="24"/>
      <c r="AH721" s="24"/>
      <c r="AI721" s="24"/>
      <c r="AJ721" s="24"/>
      <c r="AK721" s="38">
        <f t="array" ref="AK721">IF(F721=1,SUM((ROW(M0)=ROW(AK721))*(M0+M1_+M2_+M3_+M4_+M5_+M6_+M7_+M8_+M9_+M10_+M11_+M12_+M13_+M14_+M15_+M16_+M17_+M18_+M19_+M20_+M21_+M22_+M23_+M24_+M25_)),0)</f>
        <v>0</v>
      </c>
      <c r="AL721" s="27">
        <f>TableCosts[[#This Row],[N_Direct]]</f>
        <v>0</v>
      </c>
      <c r="AN721" s="7" t="str">
        <f t="shared" si="135"/>
        <v/>
      </c>
      <c r="AO721" s="7" t="str">
        <f t="shared" si="138"/>
        <v/>
      </c>
      <c r="AP721" s="7" t="str">
        <f t="shared" si="136"/>
        <v/>
      </c>
      <c r="AQ721" s="7" t="str">
        <f t="shared" si="139"/>
        <v/>
      </c>
      <c r="AR721" s="7" t="str">
        <f t="shared" si="137"/>
        <v/>
      </c>
      <c r="AS721" s="7">
        <f t="shared" si="140"/>
        <v>0</v>
      </c>
      <c r="AT721" s="17">
        <f>TableCosts[[#This Row],[N_Amount]]*TableCosts[[#This Row],[N_Tariff]]*TableCosts[[#This Row],[N_ItemsCount]]</f>
        <v>0</v>
      </c>
      <c r="AU721" s="17">
        <f>IF(F721=1,IF(TableCosts[[#This Row],[N_Kateg]]="interné práce",TableCosts[[#This Row],[N_Amount]]*8*PAR_SGA_PERHOUR,0),0)</f>
        <v>0</v>
      </c>
      <c r="AV721" s="17">
        <f>SUM(TableCosts[[#This Row],[N_Direct]:[N_SGA]])</f>
        <v>0</v>
      </c>
      <c r="AW721" s="7">
        <f>IF(F721=1,IF(D721="",NA(),VLOOKUP(C721&amp;TableCosts[[#This Row],[Calc_N_Typ]],TRAN_STRITEMS_LABEL,7,0)),0)</f>
        <v>0</v>
      </c>
      <c r="AX721" s="7">
        <f t="shared" si="141"/>
        <v>0</v>
      </c>
      <c r="AY721" s="57" t="str">
        <f t="shared" si="142"/>
        <v/>
      </c>
      <c r="AZ721" s="57" t="str">
        <f t="shared" si="143"/>
        <v/>
      </c>
      <c r="BA721" s="57" t="str">
        <f>IF(F721=1,IF(TableCosts[[#This Row],[TransferFrom]]=TableCosts[[#This Row],[TranferTo]],0,1),"")</f>
        <v/>
      </c>
      <c r="BB721" s="7">
        <f t="shared" si="144"/>
        <v>0</v>
      </c>
      <c r="BC721" s="7">
        <f t="shared" si="145"/>
        <v>0</v>
      </c>
    </row>
    <row r="722" spans="2:55" s="7" customFormat="1" ht="12.75" x14ac:dyDescent="0.2">
      <c r="B722" s="33"/>
      <c r="C722" s="31"/>
      <c r="D722" s="40"/>
      <c r="E722" s="6" t="str">
        <f>IF(F722=1,IF(ISERROR(TableCosts[[#This Row],[N_Tariff]]),Err_Message1,IF(TableCosts[[#This Row],[N_Tariff]]=0,Err_Message2,VLOOKUP(C722&amp;TableCosts[[#This Row],[Calc_N_Typ]],TRAN_STRITEMS_LABEL,5,FALSE))),"")</f>
        <v/>
      </c>
      <c r="F722" s="6">
        <f t="shared" si="146"/>
        <v>0</v>
      </c>
      <c r="G722" s="6" t="str">
        <f>IF(F722=1,IFERROR(VLOOKUP(E722,Tab_ErrMessage[],2,0),VLOOKUP(C722&amp;TableCosts[[#This Row],[Calc_N_Typ]],TRAN_STRITEMS_LABEL,4,FALSE)),"")</f>
        <v/>
      </c>
      <c r="H722" s="40"/>
      <c r="I722" s="40"/>
      <c r="J722" s="35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  <c r="AD722" s="24"/>
      <c r="AE722" s="24"/>
      <c r="AF722" s="24"/>
      <c r="AG722" s="24"/>
      <c r="AH722" s="24"/>
      <c r="AI722" s="24"/>
      <c r="AJ722" s="24"/>
      <c r="AK722" s="38">
        <f t="array" ref="AK722">IF(F722=1,SUM((ROW(M0)=ROW(AK722))*(M0+M1_+M2_+M3_+M4_+M5_+M6_+M7_+M8_+M9_+M10_+M11_+M12_+M13_+M14_+M15_+M16_+M17_+M18_+M19_+M20_+M21_+M22_+M23_+M24_+M25_)),0)</f>
        <v>0</v>
      </c>
      <c r="AL722" s="27">
        <f>TableCosts[[#This Row],[N_Direct]]</f>
        <v>0</v>
      </c>
      <c r="AN722" s="7" t="str">
        <f t="shared" si="135"/>
        <v/>
      </c>
      <c r="AO722" s="7" t="str">
        <f t="shared" si="138"/>
        <v/>
      </c>
      <c r="AP722" s="7" t="str">
        <f t="shared" si="136"/>
        <v/>
      </c>
      <c r="AQ722" s="7" t="str">
        <f t="shared" si="139"/>
        <v/>
      </c>
      <c r="AR722" s="7" t="str">
        <f t="shared" si="137"/>
        <v/>
      </c>
      <c r="AS722" s="7">
        <f t="shared" si="140"/>
        <v>0</v>
      </c>
      <c r="AT722" s="17">
        <f>TableCosts[[#This Row],[N_Amount]]*TableCosts[[#This Row],[N_Tariff]]*TableCosts[[#This Row],[N_ItemsCount]]</f>
        <v>0</v>
      </c>
      <c r="AU722" s="17">
        <f>IF(F722=1,IF(TableCosts[[#This Row],[N_Kateg]]="interné práce",TableCosts[[#This Row],[N_Amount]]*8*PAR_SGA_PERHOUR,0),0)</f>
        <v>0</v>
      </c>
      <c r="AV722" s="17">
        <f>SUM(TableCosts[[#This Row],[N_Direct]:[N_SGA]])</f>
        <v>0</v>
      </c>
      <c r="AW722" s="7">
        <f>IF(F722=1,IF(D722="",NA(),VLOOKUP(C722&amp;TableCosts[[#This Row],[Calc_N_Typ]],TRAN_STRITEMS_LABEL,7,0)),0)</f>
        <v>0</v>
      </c>
      <c r="AX722" s="7">
        <f t="shared" si="141"/>
        <v>0</v>
      </c>
      <c r="AY722" s="57" t="str">
        <f t="shared" si="142"/>
        <v/>
      </c>
      <c r="AZ722" s="57" t="str">
        <f t="shared" si="143"/>
        <v/>
      </c>
      <c r="BA722" s="57" t="str">
        <f>IF(F722=1,IF(TableCosts[[#This Row],[TransferFrom]]=TableCosts[[#This Row],[TranferTo]],0,1),"")</f>
        <v/>
      </c>
      <c r="BB722" s="7">
        <f t="shared" si="144"/>
        <v>0</v>
      </c>
      <c r="BC722" s="7">
        <f t="shared" si="145"/>
        <v>0</v>
      </c>
    </row>
    <row r="723" spans="2:55" s="7" customFormat="1" ht="12.75" x14ac:dyDescent="0.2">
      <c r="B723" s="33"/>
      <c r="C723" s="31"/>
      <c r="D723" s="40"/>
      <c r="E723" s="6" t="str">
        <f>IF(F723=1,IF(ISERROR(TableCosts[[#This Row],[N_Tariff]]),Err_Message1,IF(TableCosts[[#This Row],[N_Tariff]]=0,Err_Message2,VLOOKUP(C723&amp;TableCosts[[#This Row],[Calc_N_Typ]],TRAN_STRITEMS_LABEL,5,FALSE))),"")</f>
        <v/>
      </c>
      <c r="F723" s="6">
        <f t="shared" si="146"/>
        <v>0</v>
      </c>
      <c r="G723" s="6" t="str">
        <f>IF(F723=1,IFERROR(VLOOKUP(E723,Tab_ErrMessage[],2,0),VLOOKUP(C723&amp;TableCosts[[#This Row],[Calc_N_Typ]],TRAN_STRITEMS_LABEL,4,FALSE)),"")</f>
        <v/>
      </c>
      <c r="H723" s="40"/>
      <c r="I723" s="40"/>
      <c r="J723" s="35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  <c r="AD723" s="24"/>
      <c r="AE723" s="24"/>
      <c r="AF723" s="24"/>
      <c r="AG723" s="24"/>
      <c r="AH723" s="24"/>
      <c r="AI723" s="24"/>
      <c r="AJ723" s="24"/>
      <c r="AK723" s="38">
        <f t="array" ref="AK723">IF(F723=1,SUM((ROW(M0)=ROW(AK723))*(M0+M1_+M2_+M3_+M4_+M5_+M6_+M7_+M8_+M9_+M10_+M11_+M12_+M13_+M14_+M15_+M16_+M17_+M18_+M19_+M20_+M21_+M22_+M23_+M24_+M25_)),0)</f>
        <v>0</v>
      </c>
      <c r="AL723" s="27">
        <f>TableCosts[[#This Row],[N_Direct]]</f>
        <v>0</v>
      </c>
      <c r="AN723" s="7" t="str">
        <f t="shared" si="135"/>
        <v/>
      </c>
      <c r="AO723" s="7" t="str">
        <f t="shared" si="138"/>
        <v/>
      </c>
      <c r="AP723" s="7" t="str">
        <f t="shared" si="136"/>
        <v/>
      </c>
      <c r="AQ723" s="7" t="str">
        <f t="shared" si="139"/>
        <v/>
      </c>
      <c r="AR723" s="7" t="str">
        <f t="shared" si="137"/>
        <v/>
      </c>
      <c r="AS723" s="7">
        <f t="shared" si="140"/>
        <v>0</v>
      </c>
      <c r="AT723" s="17">
        <f>TableCosts[[#This Row],[N_Amount]]*TableCosts[[#This Row],[N_Tariff]]*TableCosts[[#This Row],[N_ItemsCount]]</f>
        <v>0</v>
      </c>
      <c r="AU723" s="17">
        <f>IF(F723=1,IF(TableCosts[[#This Row],[N_Kateg]]="interné práce",TableCosts[[#This Row],[N_Amount]]*8*PAR_SGA_PERHOUR,0),0)</f>
        <v>0</v>
      </c>
      <c r="AV723" s="17">
        <f>SUM(TableCosts[[#This Row],[N_Direct]:[N_SGA]])</f>
        <v>0</v>
      </c>
      <c r="AW723" s="7">
        <f>IF(F723=1,IF(D723="",NA(),VLOOKUP(C723&amp;TableCosts[[#This Row],[Calc_N_Typ]],TRAN_STRITEMS_LABEL,7,0)),0)</f>
        <v>0</v>
      </c>
      <c r="AX723" s="7">
        <f t="shared" si="141"/>
        <v>0</v>
      </c>
      <c r="AY723" s="57" t="str">
        <f t="shared" si="142"/>
        <v/>
      </c>
      <c r="AZ723" s="57" t="str">
        <f t="shared" si="143"/>
        <v/>
      </c>
      <c r="BA723" s="57" t="str">
        <f>IF(F723=1,IF(TableCosts[[#This Row],[TransferFrom]]=TableCosts[[#This Row],[TranferTo]],0,1),"")</f>
        <v/>
      </c>
      <c r="BB723" s="7">
        <f t="shared" si="144"/>
        <v>0</v>
      </c>
      <c r="BC723" s="7">
        <f t="shared" si="145"/>
        <v>0</v>
      </c>
    </row>
    <row r="724" spans="2:55" s="7" customFormat="1" ht="12.75" x14ac:dyDescent="0.2">
      <c r="B724" s="33"/>
      <c r="C724" s="31"/>
      <c r="D724" s="40"/>
      <c r="E724" s="6" t="str">
        <f>IF(F724=1,IF(ISERROR(TableCosts[[#This Row],[N_Tariff]]),Err_Message1,IF(TableCosts[[#This Row],[N_Tariff]]=0,Err_Message2,VLOOKUP(C724&amp;TableCosts[[#This Row],[Calc_N_Typ]],TRAN_STRITEMS_LABEL,5,FALSE))),"")</f>
        <v/>
      </c>
      <c r="F724" s="6">
        <f t="shared" si="146"/>
        <v>0</v>
      </c>
      <c r="G724" s="6" t="str">
        <f>IF(F724=1,IFERROR(VLOOKUP(E724,Tab_ErrMessage[],2,0),VLOOKUP(C724&amp;TableCosts[[#This Row],[Calc_N_Typ]],TRAN_STRITEMS_LABEL,4,FALSE)),"")</f>
        <v/>
      </c>
      <c r="H724" s="40"/>
      <c r="I724" s="40"/>
      <c r="J724" s="35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  <c r="AD724" s="24"/>
      <c r="AE724" s="24"/>
      <c r="AF724" s="24"/>
      <c r="AG724" s="24"/>
      <c r="AH724" s="24"/>
      <c r="AI724" s="24"/>
      <c r="AJ724" s="24"/>
      <c r="AK724" s="38">
        <f t="array" ref="AK724">IF(F724=1,SUM((ROW(M0)=ROW(AK724))*(M0+M1_+M2_+M3_+M4_+M5_+M6_+M7_+M8_+M9_+M10_+M11_+M12_+M13_+M14_+M15_+M16_+M17_+M18_+M19_+M20_+M21_+M22_+M23_+M24_+M25_)),0)</f>
        <v>0</v>
      </c>
      <c r="AL724" s="27">
        <f>TableCosts[[#This Row],[N_Direct]]</f>
        <v>0</v>
      </c>
      <c r="AN724" s="7" t="str">
        <f t="shared" si="135"/>
        <v/>
      </c>
      <c r="AO724" s="7" t="str">
        <f t="shared" si="138"/>
        <v/>
      </c>
      <c r="AP724" s="7" t="str">
        <f t="shared" si="136"/>
        <v/>
      </c>
      <c r="AQ724" s="7" t="str">
        <f t="shared" si="139"/>
        <v/>
      </c>
      <c r="AR724" s="7" t="str">
        <f t="shared" si="137"/>
        <v/>
      </c>
      <c r="AS724" s="7">
        <f t="shared" si="140"/>
        <v>0</v>
      </c>
      <c r="AT724" s="17">
        <f>TableCosts[[#This Row],[N_Amount]]*TableCosts[[#This Row],[N_Tariff]]*TableCosts[[#This Row],[N_ItemsCount]]</f>
        <v>0</v>
      </c>
      <c r="AU724" s="17">
        <f>IF(F724=1,IF(TableCosts[[#This Row],[N_Kateg]]="interné práce",TableCosts[[#This Row],[N_Amount]]*8*PAR_SGA_PERHOUR,0),0)</f>
        <v>0</v>
      </c>
      <c r="AV724" s="17">
        <f>SUM(TableCosts[[#This Row],[N_Direct]:[N_SGA]])</f>
        <v>0</v>
      </c>
      <c r="AW724" s="7">
        <f>IF(F724=1,IF(D724="",NA(),VLOOKUP(C724&amp;TableCosts[[#This Row],[Calc_N_Typ]],TRAN_STRITEMS_LABEL,7,0)),0)</f>
        <v>0</v>
      </c>
      <c r="AX724" s="7">
        <f t="shared" si="141"/>
        <v>0</v>
      </c>
      <c r="AY724" s="57" t="str">
        <f t="shared" si="142"/>
        <v/>
      </c>
      <c r="AZ724" s="57" t="str">
        <f t="shared" si="143"/>
        <v/>
      </c>
      <c r="BA724" s="57" t="str">
        <f>IF(F724=1,IF(TableCosts[[#This Row],[TransferFrom]]=TableCosts[[#This Row],[TranferTo]],0,1),"")</f>
        <v/>
      </c>
      <c r="BB724" s="7">
        <f t="shared" si="144"/>
        <v>0</v>
      </c>
      <c r="BC724" s="7">
        <f t="shared" si="145"/>
        <v>0</v>
      </c>
    </row>
    <row r="725" spans="2:55" s="7" customFormat="1" ht="12.75" x14ac:dyDescent="0.2">
      <c r="B725" s="33"/>
      <c r="C725" s="31"/>
      <c r="D725" s="40"/>
      <c r="E725" s="6" t="str">
        <f>IF(F725=1,IF(ISERROR(TableCosts[[#This Row],[N_Tariff]]),Err_Message1,IF(TableCosts[[#This Row],[N_Tariff]]=0,Err_Message2,VLOOKUP(C725&amp;TableCosts[[#This Row],[Calc_N_Typ]],TRAN_STRITEMS_LABEL,5,FALSE))),"")</f>
        <v/>
      </c>
      <c r="F725" s="6">
        <f t="shared" si="146"/>
        <v>0</v>
      </c>
      <c r="G725" s="6" t="str">
        <f>IF(F725=1,IFERROR(VLOOKUP(E725,Tab_ErrMessage[],2,0),VLOOKUP(C725&amp;TableCosts[[#This Row],[Calc_N_Typ]],TRAN_STRITEMS_LABEL,4,FALSE)),"")</f>
        <v/>
      </c>
      <c r="H725" s="40"/>
      <c r="I725" s="40"/>
      <c r="J725" s="35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  <c r="AD725" s="24"/>
      <c r="AE725" s="24"/>
      <c r="AF725" s="24"/>
      <c r="AG725" s="24"/>
      <c r="AH725" s="24"/>
      <c r="AI725" s="24"/>
      <c r="AJ725" s="24"/>
      <c r="AK725" s="38">
        <f t="array" ref="AK725">IF(F725=1,SUM((ROW(M0)=ROW(AK725))*(M0+M1_+M2_+M3_+M4_+M5_+M6_+M7_+M8_+M9_+M10_+M11_+M12_+M13_+M14_+M15_+M16_+M17_+M18_+M19_+M20_+M21_+M22_+M23_+M24_+M25_)),0)</f>
        <v>0</v>
      </c>
      <c r="AL725" s="27">
        <f>TableCosts[[#This Row],[N_Direct]]</f>
        <v>0</v>
      </c>
      <c r="AN725" s="7" t="str">
        <f t="shared" si="135"/>
        <v/>
      </c>
      <c r="AO725" s="7" t="str">
        <f t="shared" si="138"/>
        <v/>
      </c>
      <c r="AP725" s="7" t="str">
        <f t="shared" si="136"/>
        <v/>
      </c>
      <c r="AQ725" s="7" t="str">
        <f t="shared" si="139"/>
        <v/>
      </c>
      <c r="AR725" s="7" t="str">
        <f t="shared" si="137"/>
        <v/>
      </c>
      <c r="AS725" s="7">
        <f t="shared" si="140"/>
        <v>0</v>
      </c>
      <c r="AT725" s="17">
        <f>TableCosts[[#This Row],[N_Amount]]*TableCosts[[#This Row],[N_Tariff]]*TableCosts[[#This Row],[N_ItemsCount]]</f>
        <v>0</v>
      </c>
      <c r="AU725" s="17">
        <f>IF(F725=1,IF(TableCosts[[#This Row],[N_Kateg]]="interné práce",TableCosts[[#This Row],[N_Amount]]*8*PAR_SGA_PERHOUR,0),0)</f>
        <v>0</v>
      </c>
      <c r="AV725" s="17">
        <f>SUM(TableCosts[[#This Row],[N_Direct]:[N_SGA]])</f>
        <v>0</v>
      </c>
      <c r="AW725" s="7">
        <f>IF(F725=1,IF(D725="",NA(),VLOOKUP(C725&amp;TableCosts[[#This Row],[Calc_N_Typ]],TRAN_STRITEMS_LABEL,7,0)),0)</f>
        <v>0</v>
      </c>
      <c r="AX725" s="7">
        <f t="shared" si="141"/>
        <v>0</v>
      </c>
      <c r="AY725" s="57" t="str">
        <f t="shared" si="142"/>
        <v/>
      </c>
      <c r="AZ725" s="57" t="str">
        <f t="shared" si="143"/>
        <v/>
      </c>
      <c r="BA725" s="57" t="str">
        <f>IF(F725=1,IF(TableCosts[[#This Row],[TransferFrom]]=TableCosts[[#This Row],[TranferTo]],0,1),"")</f>
        <v/>
      </c>
      <c r="BB725" s="7">
        <f t="shared" si="144"/>
        <v>0</v>
      </c>
      <c r="BC725" s="7">
        <f t="shared" si="145"/>
        <v>0</v>
      </c>
    </row>
    <row r="726" spans="2:55" s="7" customFormat="1" ht="12.75" x14ac:dyDescent="0.2">
      <c r="B726" s="33"/>
      <c r="C726" s="31"/>
      <c r="D726" s="40"/>
      <c r="E726" s="6" t="str">
        <f>IF(F726=1,IF(ISERROR(TableCosts[[#This Row],[N_Tariff]]),Err_Message1,IF(TableCosts[[#This Row],[N_Tariff]]=0,Err_Message2,VLOOKUP(C726&amp;TableCosts[[#This Row],[Calc_N_Typ]],TRAN_STRITEMS_LABEL,5,FALSE))),"")</f>
        <v/>
      </c>
      <c r="F726" s="6">
        <f t="shared" si="146"/>
        <v>0</v>
      </c>
      <c r="G726" s="6" t="str">
        <f>IF(F726=1,IFERROR(VLOOKUP(E726,Tab_ErrMessage[],2,0),VLOOKUP(C726&amp;TableCosts[[#This Row],[Calc_N_Typ]],TRAN_STRITEMS_LABEL,4,FALSE)),"")</f>
        <v/>
      </c>
      <c r="H726" s="40"/>
      <c r="I726" s="40"/>
      <c r="J726" s="35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  <c r="AD726" s="24"/>
      <c r="AE726" s="24"/>
      <c r="AF726" s="24"/>
      <c r="AG726" s="24"/>
      <c r="AH726" s="24"/>
      <c r="AI726" s="24"/>
      <c r="AJ726" s="24"/>
      <c r="AK726" s="38">
        <f t="array" ref="AK726">IF(F726=1,SUM((ROW(M0)=ROW(AK726))*(M0+M1_+M2_+M3_+M4_+M5_+M6_+M7_+M8_+M9_+M10_+M11_+M12_+M13_+M14_+M15_+M16_+M17_+M18_+M19_+M20_+M21_+M22_+M23_+M24_+M25_)),0)</f>
        <v>0</v>
      </c>
      <c r="AL726" s="27">
        <f>TableCosts[[#This Row],[N_Direct]]</f>
        <v>0</v>
      </c>
      <c r="AN726" s="7" t="str">
        <f t="shared" si="135"/>
        <v/>
      </c>
      <c r="AO726" s="7" t="str">
        <f t="shared" si="138"/>
        <v/>
      </c>
      <c r="AP726" s="7" t="str">
        <f t="shared" si="136"/>
        <v/>
      </c>
      <c r="AQ726" s="7" t="str">
        <f t="shared" si="139"/>
        <v/>
      </c>
      <c r="AR726" s="7" t="str">
        <f t="shared" si="137"/>
        <v/>
      </c>
      <c r="AS726" s="7">
        <f t="shared" si="140"/>
        <v>0</v>
      </c>
      <c r="AT726" s="17">
        <f>TableCosts[[#This Row],[N_Amount]]*TableCosts[[#This Row],[N_Tariff]]*TableCosts[[#This Row],[N_ItemsCount]]</f>
        <v>0</v>
      </c>
      <c r="AU726" s="17">
        <f>IF(F726=1,IF(TableCosts[[#This Row],[N_Kateg]]="interné práce",TableCosts[[#This Row],[N_Amount]]*8*PAR_SGA_PERHOUR,0),0)</f>
        <v>0</v>
      </c>
      <c r="AV726" s="17">
        <f>SUM(TableCosts[[#This Row],[N_Direct]:[N_SGA]])</f>
        <v>0</v>
      </c>
      <c r="AW726" s="7">
        <f>IF(F726=1,IF(D726="",NA(),VLOOKUP(C726&amp;TableCosts[[#This Row],[Calc_N_Typ]],TRAN_STRITEMS_LABEL,7,0)),0)</f>
        <v>0</v>
      </c>
      <c r="AX726" s="7">
        <f t="shared" si="141"/>
        <v>0</v>
      </c>
      <c r="AY726" s="57" t="str">
        <f t="shared" si="142"/>
        <v/>
      </c>
      <c r="AZ726" s="57" t="str">
        <f t="shared" si="143"/>
        <v/>
      </c>
      <c r="BA726" s="57" t="str">
        <f>IF(F726=1,IF(TableCosts[[#This Row],[TransferFrom]]=TableCosts[[#This Row],[TranferTo]],0,1),"")</f>
        <v/>
      </c>
      <c r="BB726" s="7">
        <f t="shared" si="144"/>
        <v>0</v>
      </c>
      <c r="BC726" s="7">
        <f t="shared" si="145"/>
        <v>0</v>
      </c>
    </row>
    <row r="727" spans="2:55" s="7" customFormat="1" ht="12.75" x14ac:dyDescent="0.2">
      <c r="B727" s="33"/>
      <c r="C727" s="31"/>
      <c r="D727" s="40"/>
      <c r="E727" s="6" t="str">
        <f>IF(F727=1,IF(ISERROR(TableCosts[[#This Row],[N_Tariff]]),Err_Message1,IF(TableCosts[[#This Row],[N_Tariff]]=0,Err_Message2,VLOOKUP(C727&amp;TableCosts[[#This Row],[Calc_N_Typ]],TRAN_STRITEMS_LABEL,5,FALSE))),"")</f>
        <v/>
      </c>
      <c r="F727" s="6">
        <f t="shared" si="146"/>
        <v>0</v>
      </c>
      <c r="G727" s="6" t="str">
        <f>IF(F727=1,IFERROR(VLOOKUP(E727,Tab_ErrMessage[],2,0),VLOOKUP(C727&amp;TableCosts[[#This Row],[Calc_N_Typ]],TRAN_STRITEMS_LABEL,4,FALSE)),"")</f>
        <v/>
      </c>
      <c r="H727" s="40"/>
      <c r="I727" s="40"/>
      <c r="J727" s="35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  <c r="AD727" s="24"/>
      <c r="AE727" s="24"/>
      <c r="AF727" s="24"/>
      <c r="AG727" s="24"/>
      <c r="AH727" s="24"/>
      <c r="AI727" s="24"/>
      <c r="AJ727" s="24"/>
      <c r="AK727" s="38">
        <f t="array" ref="AK727">IF(F727=1,SUM((ROW(M0)=ROW(AK727))*(M0+M1_+M2_+M3_+M4_+M5_+M6_+M7_+M8_+M9_+M10_+M11_+M12_+M13_+M14_+M15_+M16_+M17_+M18_+M19_+M20_+M21_+M22_+M23_+M24_+M25_)),0)</f>
        <v>0</v>
      </c>
      <c r="AL727" s="27">
        <f>TableCosts[[#This Row],[N_Direct]]</f>
        <v>0</v>
      </c>
      <c r="AN727" s="7" t="str">
        <f t="shared" si="135"/>
        <v/>
      </c>
      <c r="AO727" s="7" t="str">
        <f t="shared" si="138"/>
        <v/>
      </c>
      <c r="AP727" s="7" t="str">
        <f t="shared" si="136"/>
        <v/>
      </c>
      <c r="AQ727" s="7" t="str">
        <f t="shared" si="139"/>
        <v/>
      </c>
      <c r="AR727" s="7" t="str">
        <f t="shared" si="137"/>
        <v/>
      </c>
      <c r="AS727" s="7">
        <f t="shared" si="140"/>
        <v>0</v>
      </c>
      <c r="AT727" s="17">
        <f>TableCosts[[#This Row],[N_Amount]]*TableCosts[[#This Row],[N_Tariff]]*TableCosts[[#This Row],[N_ItemsCount]]</f>
        <v>0</v>
      </c>
      <c r="AU727" s="17">
        <f>IF(F727=1,IF(TableCosts[[#This Row],[N_Kateg]]="interné práce",TableCosts[[#This Row],[N_Amount]]*8*PAR_SGA_PERHOUR,0),0)</f>
        <v>0</v>
      </c>
      <c r="AV727" s="17">
        <f>SUM(TableCosts[[#This Row],[N_Direct]:[N_SGA]])</f>
        <v>0</v>
      </c>
      <c r="AW727" s="7">
        <f>IF(F727=1,IF(D727="",NA(),VLOOKUP(C727&amp;TableCosts[[#This Row],[Calc_N_Typ]],TRAN_STRITEMS_LABEL,7,0)),0)</f>
        <v>0</v>
      </c>
      <c r="AX727" s="7">
        <f t="shared" si="141"/>
        <v>0</v>
      </c>
      <c r="AY727" s="57" t="str">
        <f t="shared" si="142"/>
        <v/>
      </c>
      <c r="AZ727" s="57" t="str">
        <f t="shared" si="143"/>
        <v/>
      </c>
      <c r="BA727" s="57" t="str">
        <f>IF(F727=1,IF(TableCosts[[#This Row],[TransferFrom]]=TableCosts[[#This Row],[TranferTo]],0,1),"")</f>
        <v/>
      </c>
      <c r="BB727" s="7">
        <f t="shared" si="144"/>
        <v>0</v>
      </c>
      <c r="BC727" s="7">
        <f t="shared" si="145"/>
        <v>0</v>
      </c>
    </row>
    <row r="728" spans="2:55" s="7" customFormat="1" ht="12.75" x14ac:dyDescent="0.2">
      <c r="B728" s="33"/>
      <c r="C728" s="31"/>
      <c r="D728" s="40"/>
      <c r="E728" s="6" t="str">
        <f>IF(F728=1,IF(ISERROR(TableCosts[[#This Row],[N_Tariff]]),Err_Message1,IF(TableCosts[[#This Row],[N_Tariff]]=0,Err_Message2,VLOOKUP(C728&amp;TableCosts[[#This Row],[Calc_N_Typ]],TRAN_STRITEMS_LABEL,5,FALSE))),"")</f>
        <v/>
      </c>
      <c r="F728" s="6">
        <f t="shared" si="146"/>
        <v>0</v>
      </c>
      <c r="G728" s="6" t="str">
        <f>IF(F728=1,IFERROR(VLOOKUP(E728,Tab_ErrMessage[],2,0),VLOOKUP(C728&amp;TableCosts[[#This Row],[Calc_N_Typ]],TRAN_STRITEMS_LABEL,4,FALSE)),"")</f>
        <v/>
      </c>
      <c r="H728" s="40"/>
      <c r="I728" s="40"/>
      <c r="J728" s="35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  <c r="AD728" s="24"/>
      <c r="AE728" s="24"/>
      <c r="AF728" s="24"/>
      <c r="AG728" s="24"/>
      <c r="AH728" s="24"/>
      <c r="AI728" s="24"/>
      <c r="AJ728" s="24"/>
      <c r="AK728" s="38">
        <f t="array" ref="AK728">IF(F728=1,SUM((ROW(M0)=ROW(AK728))*(M0+M1_+M2_+M3_+M4_+M5_+M6_+M7_+M8_+M9_+M10_+M11_+M12_+M13_+M14_+M15_+M16_+M17_+M18_+M19_+M20_+M21_+M22_+M23_+M24_+M25_)),0)</f>
        <v>0</v>
      </c>
      <c r="AL728" s="27">
        <f>TableCosts[[#This Row],[N_Direct]]</f>
        <v>0</v>
      </c>
      <c r="AN728" s="7" t="str">
        <f t="shared" si="135"/>
        <v/>
      </c>
      <c r="AO728" s="7" t="str">
        <f t="shared" si="138"/>
        <v/>
      </c>
      <c r="AP728" s="7" t="str">
        <f t="shared" si="136"/>
        <v/>
      </c>
      <c r="AQ728" s="7" t="str">
        <f t="shared" si="139"/>
        <v/>
      </c>
      <c r="AR728" s="7" t="str">
        <f t="shared" si="137"/>
        <v/>
      </c>
      <c r="AS728" s="7">
        <f t="shared" si="140"/>
        <v>0</v>
      </c>
      <c r="AT728" s="17">
        <f>TableCosts[[#This Row],[N_Amount]]*TableCosts[[#This Row],[N_Tariff]]*TableCosts[[#This Row],[N_ItemsCount]]</f>
        <v>0</v>
      </c>
      <c r="AU728" s="17">
        <f>IF(F728=1,IF(TableCosts[[#This Row],[N_Kateg]]="interné práce",TableCosts[[#This Row],[N_Amount]]*8*PAR_SGA_PERHOUR,0),0)</f>
        <v>0</v>
      </c>
      <c r="AV728" s="17">
        <f>SUM(TableCosts[[#This Row],[N_Direct]:[N_SGA]])</f>
        <v>0</v>
      </c>
      <c r="AW728" s="7">
        <f>IF(F728=1,IF(D728="",NA(),VLOOKUP(C728&amp;TableCosts[[#This Row],[Calc_N_Typ]],TRAN_STRITEMS_LABEL,7,0)),0)</f>
        <v>0</v>
      </c>
      <c r="AX728" s="7">
        <f t="shared" si="141"/>
        <v>0</v>
      </c>
      <c r="AY728" s="57" t="str">
        <f t="shared" si="142"/>
        <v/>
      </c>
      <c r="AZ728" s="57" t="str">
        <f t="shared" si="143"/>
        <v/>
      </c>
      <c r="BA728" s="57" t="str">
        <f>IF(F728=1,IF(TableCosts[[#This Row],[TransferFrom]]=TableCosts[[#This Row],[TranferTo]],0,1),"")</f>
        <v/>
      </c>
      <c r="BB728" s="7">
        <f t="shared" si="144"/>
        <v>0</v>
      </c>
      <c r="BC728" s="7">
        <f t="shared" si="145"/>
        <v>0</v>
      </c>
    </row>
    <row r="729" spans="2:55" s="7" customFormat="1" ht="12.75" x14ac:dyDescent="0.2">
      <c r="B729" s="33"/>
      <c r="C729" s="31"/>
      <c r="D729" s="40"/>
      <c r="E729" s="6" t="str">
        <f>IF(F729=1,IF(ISERROR(TableCosts[[#This Row],[N_Tariff]]),Err_Message1,IF(TableCosts[[#This Row],[N_Tariff]]=0,Err_Message2,VLOOKUP(C729&amp;TableCosts[[#This Row],[Calc_N_Typ]],TRAN_STRITEMS_LABEL,5,FALSE))),"")</f>
        <v/>
      </c>
      <c r="F729" s="6">
        <f t="shared" si="146"/>
        <v>0</v>
      </c>
      <c r="G729" s="6" t="str">
        <f>IF(F729=1,IFERROR(VLOOKUP(E729,Tab_ErrMessage[],2,0),VLOOKUP(C729&amp;TableCosts[[#This Row],[Calc_N_Typ]],TRAN_STRITEMS_LABEL,4,FALSE)),"")</f>
        <v/>
      </c>
      <c r="H729" s="40"/>
      <c r="I729" s="40"/>
      <c r="J729" s="35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  <c r="AD729" s="24"/>
      <c r="AE729" s="24"/>
      <c r="AF729" s="24"/>
      <c r="AG729" s="24"/>
      <c r="AH729" s="24"/>
      <c r="AI729" s="24"/>
      <c r="AJ729" s="24"/>
      <c r="AK729" s="38">
        <f t="array" ref="AK729">IF(F729=1,SUM((ROW(M0)=ROW(AK729))*(M0+M1_+M2_+M3_+M4_+M5_+M6_+M7_+M8_+M9_+M10_+M11_+M12_+M13_+M14_+M15_+M16_+M17_+M18_+M19_+M20_+M21_+M22_+M23_+M24_+M25_)),0)</f>
        <v>0</v>
      </c>
      <c r="AL729" s="27">
        <f>TableCosts[[#This Row],[N_Direct]]</f>
        <v>0</v>
      </c>
      <c r="AN729" s="7" t="str">
        <f t="shared" si="135"/>
        <v/>
      </c>
      <c r="AO729" s="7" t="str">
        <f t="shared" si="138"/>
        <v/>
      </c>
      <c r="AP729" s="7" t="str">
        <f t="shared" si="136"/>
        <v/>
      </c>
      <c r="AQ729" s="7" t="str">
        <f t="shared" si="139"/>
        <v/>
      </c>
      <c r="AR729" s="7" t="str">
        <f t="shared" si="137"/>
        <v/>
      </c>
      <c r="AS729" s="7">
        <f t="shared" si="140"/>
        <v>0</v>
      </c>
      <c r="AT729" s="17">
        <f>TableCosts[[#This Row],[N_Amount]]*TableCosts[[#This Row],[N_Tariff]]*TableCosts[[#This Row],[N_ItemsCount]]</f>
        <v>0</v>
      </c>
      <c r="AU729" s="17">
        <f>IF(F729=1,IF(TableCosts[[#This Row],[N_Kateg]]="interné práce",TableCosts[[#This Row],[N_Amount]]*8*PAR_SGA_PERHOUR,0),0)</f>
        <v>0</v>
      </c>
      <c r="AV729" s="17">
        <f>SUM(TableCosts[[#This Row],[N_Direct]:[N_SGA]])</f>
        <v>0</v>
      </c>
      <c r="AW729" s="7">
        <f>IF(F729=1,IF(D729="",NA(),VLOOKUP(C729&amp;TableCosts[[#This Row],[Calc_N_Typ]],TRAN_STRITEMS_LABEL,7,0)),0)</f>
        <v>0</v>
      </c>
      <c r="AX729" s="7">
        <f t="shared" si="141"/>
        <v>0</v>
      </c>
      <c r="AY729" s="57" t="str">
        <f t="shared" si="142"/>
        <v/>
      </c>
      <c r="AZ729" s="57" t="str">
        <f t="shared" si="143"/>
        <v/>
      </c>
      <c r="BA729" s="57" t="str">
        <f>IF(F729=1,IF(TableCosts[[#This Row],[TransferFrom]]=TableCosts[[#This Row],[TranferTo]],0,1),"")</f>
        <v/>
      </c>
      <c r="BB729" s="7">
        <f t="shared" si="144"/>
        <v>0</v>
      </c>
      <c r="BC729" s="7">
        <f t="shared" si="145"/>
        <v>0</v>
      </c>
    </row>
    <row r="730" spans="2:55" s="7" customFormat="1" ht="12.75" x14ac:dyDescent="0.2">
      <c r="B730" s="33"/>
      <c r="C730" s="31"/>
      <c r="D730" s="40"/>
      <c r="E730" s="6" t="str">
        <f>IF(F730=1,IF(ISERROR(TableCosts[[#This Row],[N_Tariff]]),Err_Message1,IF(TableCosts[[#This Row],[N_Tariff]]=0,Err_Message2,VLOOKUP(C730&amp;TableCosts[[#This Row],[Calc_N_Typ]],TRAN_STRITEMS_LABEL,5,FALSE))),"")</f>
        <v/>
      </c>
      <c r="F730" s="6">
        <f t="shared" si="146"/>
        <v>0</v>
      </c>
      <c r="G730" s="6" t="str">
        <f>IF(F730=1,IFERROR(VLOOKUP(E730,Tab_ErrMessage[],2,0),VLOOKUP(C730&amp;TableCosts[[#This Row],[Calc_N_Typ]],TRAN_STRITEMS_LABEL,4,FALSE)),"")</f>
        <v/>
      </c>
      <c r="H730" s="40"/>
      <c r="I730" s="40"/>
      <c r="J730" s="35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  <c r="AD730" s="24"/>
      <c r="AE730" s="24"/>
      <c r="AF730" s="24"/>
      <c r="AG730" s="24"/>
      <c r="AH730" s="24"/>
      <c r="AI730" s="24"/>
      <c r="AJ730" s="24"/>
      <c r="AK730" s="38">
        <f t="array" ref="AK730">IF(F730=1,SUM((ROW(M0)=ROW(AK730))*(M0+M1_+M2_+M3_+M4_+M5_+M6_+M7_+M8_+M9_+M10_+M11_+M12_+M13_+M14_+M15_+M16_+M17_+M18_+M19_+M20_+M21_+M22_+M23_+M24_+M25_)),0)</f>
        <v>0</v>
      </c>
      <c r="AL730" s="27">
        <f>TableCosts[[#This Row],[N_Direct]]</f>
        <v>0</v>
      </c>
      <c r="AN730" s="7" t="str">
        <f t="shared" si="135"/>
        <v/>
      </c>
      <c r="AO730" s="7" t="str">
        <f t="shared" si="138"/>
        <v/>
      </c>
      <c r="AP730" s="7" t="str">
        <f t="shared" si="136"/>
        <v/>
      </c>
      <c r="AQ730" s="7" t="str">
        <f t="shared" si="139"/>
        <v/>
      </c>
      <c r="AR730" s="7" t="str">
        <f t="shared" si="137"/>
        <v/>
      </c>
      <c r="AS730" s="7">
        <f t="shared" si="140"/>
        <v>0</v>
      </c>
      <c r="AT730" s="17">
        <f>TableCosts[[#This Row],[N_Amount]]*TableCosts[[#This Row],[N_Tariff]]*TableCosts[[#This Row],[N_ItemsCount]]</f>
        <v>0</v>
      </c>
      <c r="AU730" s="17">
        <f>IF(F730=1,IF(TableCosts[[#This Row],[N_Kateg]]="interné práce",TableCosts[[#This Row],[N_Amount]]*8*PAR_SGA_PERHOUR,0),0)</f>
        <v>0</v>
      </c>
      <c r="AV730" s="17">
        <f>SUM(TableCosts[[#This Row],[N_Direct]:[N_SGA]])</f>
        <v>0</v>
      </c>
      <c r="AW730" s="7">
        <f>IF(F730=1,IF(D730="",NA(),VLOOKUP(C730&amp;TableCosts[[#This Row],[Calc_N_Typ]],TRAN_STRITEMS_LABEL,7,0)),0)</f>
        <v>0</v>
      </c>
      <c r="AX730" s="7">
        <f t="shared" si="141"/>
        <v>0</v>
      </c>
      <c r="AY730" s="57" t="str">
        <f t="shared" si="142"/>
        <v/>
      </c>
      <c r="AZ730" s="57" t="str">
        <f t="shared" si="143"/>
        <v/>
      </c>
      <c r="BA730" s="57" t="str">
        <f>IF(F730=1,IF(TableCosts[[#This Row],[TransferFrom]]=TableCosts[[#This Row],[TranferTo]],0,1),"")</f>
        <v/>
      </c>
      <c r="BB730" s="7">
        <f t="shared" si="144"/>
        <v>0</v>
      </c>
      <c r="BC730" s="7">
        <f t="shared" si="145"/>
        <v>0</v>
      </c>
    </row>
    <row r="731" spans="2:55" s="7" customFormat="1" ht="12.75" x14ac:dyDescent="0.2">
      <c r="B731" s="33"/>
      <c r="C731" s="31"/>
      <c r="D731" s="40"/>
      <c r="E731" s="6" t="str">
        <f>IF(F731=1,IF(ISERROR(TableCosts[[#This Row],[N_Tariff]]),Err_Message1,IF(TableCosts[[#This Row],[N_Tariff]]=0,Err_Message2,VLOOKUP(C731&amp;TableCosts[[#This Row],[Calc_N_Typ]],TRAN_STRITEMS_LABEL,5,FALSE))),"")</f>
        <v/>
      </c>
      <c r="F731" s="6">
        <f t="shared" si="146"/>
        <v>0</v>
      </c>
      <c r="G731" s="6" t="str">
        <f>IF(F731=1,IFERROR(VLOOKUP(E731,Tab_ErrMessage[],2,0),VLOOKUP(C731&amp;TableCosts[[#This Row],[Calc_N_Typ]],TRAN_STRITEMS_LABEL,4,FALSE)),"")</f>
        <v/>
      </c>
      <c r="H731" s="40"/>
      <c r="I731" s="40"/>
      <c r="J731" s="35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  <c r="AD731" s="24"/>
      <c r="AE731" s="24"/>
      <c r="AF731" s="24"/>
      <c r="AG731" s="24"/>
      <c r="AH731" s="24"/>
      <c r="AI731" s="24"/>
      <c r="AJ731" s="24"/>
      <c r="AK731" s="38">
        <f t="array" ref="AK731">IF(F731=1,SUM((ROW(M0)=ROW(AK731))*(M0+M1_+M2_+M3_+M4_+M5_+M6_+M7_+M8_+M9_+M10_+M11_+M12_+M13_+M14_+M15_+M16_+M17_+M18_+M19_+M20_+M21_+M22_+M23_+M24_+M25_)),0)</f>
        <v>0</v>
      </c>
      <c r="AL731" s="27">
        <f>TableCosts[[#This Row],[N_Direct]]</f>
        <v>0</v>
      </c>
      <c r="AN731" s="7" t="str">
        <f t="shared" si="135"/>
        <v/>
      </c>
      <c r="AO731" s="7" t="str">
        <f t="shared" si="138"/>
        <v/>
      </c>
      <c r="AP731" s="7" t="str">
        <f t="shared" si="136"/>
        <v/>
      </c>
      <c r="AQ731" s="7" t="str">
        <f t="shared" si="139"/>
        <v/>
      </c>
      <c r="AR731" s="7" t="str">
        <f t="shared" si="137"/>
        <v/>
      </c>
      <c r="AS731" s="7">
        <f t="shared" si="140"/>
        <v>0</v>
      </c>
      <c r="AT731" s="17">
        <f>TableCosts[[#This Row],[N_Amount]]*TableCosts[[#This Row],[N_Tariff]]*TableCosts[[#This Row],[N_ItemsCount]]</f>
        <v>0</v>
      </c>
      <c r="AU731" s="17">
        <f>IF(F731=1,IF(TableCosts[[#This Row],[N_Kateg]]="interné práce",TableCosts[[#This Row],[N_Amount]]*8*PAR_SGA_PERHOUR,0),0)</f>
        <v>0</v>
      </c>
      <c r="AV731" s="17">
        <f>SUM(TableCosts[[#This Row],[N_Direct]:[N_SGA]])</f>
        <v>0</v>
      </c>
      <c r="AW731" s="7">
        <f>IF(F731=1,IF(D731="",NA(),VLOOKUP(C731&amp;TableCosts[[#This Row],[Calc_N_Typ]],TRAN_STRITEMS_LABEL,7,0)),0)</f>
        <v>0</v>
      </c>
      <c r="AX731" s="7">
        <f t="shared" si="141"/>
        <v>0</v>
      </c>
      <c r="AY731" s="57" t="str">
        <f t="shared" si="142"/>
        <v/>
      </c>
      <c r="AZ731" s="57" t="str">
        <f t="shared" si="143"/>
        <v/>
      </c>
      <c r="BA731" s="57" t="str">
        <f>IF(F731=1,IF(TableCosts[[#This Row],[TransferFrom]]=TableCosts[[#This Row],[TranferTo]],0,1),"")</f>
        <v/>
      </c>
      <c r="BB731" s="7">
        <f t="shared" si="144"/>
        <v>0</v>
      </c>
      <c r="BC731" s="7">
        <f t="shared" si="145"/>
        <v>0</v>
      </c>
    </row>
    <row r="732" spans="2:55" s="7" customFormat="1" ht="12.75" x14ac:dyDescent="0.2">
      <c r="B732" s="33"/>
      <c r="C732" s="31"/>
      <c r="D732" s="40"/>
      <c r="E732" s="6" t="str">
        <f>IF(F732=1,IF(ISERROR(TableCosts[[#This Row],[N_Tariff]]),Err_Message1,IF(TableCosts[[#This Row],[N_Tariff]]=0,Err_Message2,VLOOKUP(C732&amp;TableCosts[[#This Row],[Calc_N_Typ]],TRAN_STRITEMS_LABEL,5,FALSE))),"")</f>
        <v/>
      </c>
      <c r="F732" s="6">
        <f t="shared" si="146"/>
        <v>0</v>
      </c>
      <c r="G732" s="6" t="str">
        <f>IF(F732=1,IFERROR(VLOOKUP(E732,Tab_ErrMessage[],2,0),VLOOKUP(C732&amp;TableCosts[[#This Row],[Calc_N_Typ]],TRAN_STRITEMS_LABEL,4,FALSE)),"")</f>
        <v/>
      </c>
      <c r="H732" s="40"/>
      <c r="I732" s="40"/>
      <c r="J732" s="35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  <c r="AD732" s="24"/>
      <c r="AE732" s="24"/>
      <c r="AF732" s="24"/>
      <c r="AG732" s="24"/>
      <c r="AH732" s="24"/>
      <c r="AI732" s="24"/>
      <c r="AJ732" s="24"/>
      <c r="AK732" s="38">
        <f t="array" ref="AK732">IF(F732=1,SUM((ROW(M0)=ROW(AK732))*(M0+M1_+M2_+M3_+M4_+M5_+M6_+M7_+M8_+M9_+M10_+M11_+M12_+M13_+M14_+M15_+M16_+M17_+M18_+M19_+M20_+M21_+M22_+M23_+M24_+M25_)),0)</f>
        <v>0</v>
      </c>
      <c r="AL732" s="27">
        <f>TableCosts[[#This Row],[N_Direct]]</f>
        <v>0</v>
      </c>
      <c r="AN732" s="7" t="str">
        <f t="shared" ref="AN732:AN737" si="147">IF(F732=1,B732,"")</f>
        <v/>
      </c>
      <c r="AO732" s="7" t="str">
        <f t="shared" si="138"/>
        <v/>
      </c>
      <c r="AP732" s="7" t="str">
        <f t="shared" ref="AP732:AP737" si="148">IF(F732=1,E732,"")</f>
        <v/>
      </c>
      <c r="AQ732" s="7" t="str">
        <f t="shared" si="139"/>
        <v/>
      </c>
      <c r="AR732" s="7" t="str">
        <f t="shared" ref="AR732:AR737" si="149">IF(F732=1,G732,"")</f>
        <v/>
      </c>
      <c r="AS732" s="7">
        <f t="shared" si="140"/>
        <v>0</v>
      </c>
      <c r="AT732" s="17">
        <f>TableCosts[[#This Row],[N_Amount]]*TableCosts[[#This Row],[N_Tariff]]*TableCosts[[#This Row],[N_ItemsCount]]</f>
        <v>0</v>
      </c>
      <c r="AU732" s="17">
        <f>IF(F732=1,IF(TableCosts[[#This Row],[N_Kateg]]="interné práce",TableCosts[[#This Row],[N_Amount]]*8*PAR_SGA_PERHOUR,0),0)</f>
        <v>0</v>
      </c>
      <c r="AV732" s="17">
        <f>SUM(TableCosts[[#This Row],[N_Direct]:[N_SGA]])</f>
        <v>0</v>
      </c>
      <c r="AW732" s="7">
        <f>IF(F732=1,IF(D732="",NA(),VLOOKUP(C732&amp;TableCosts[[#This Row],[Calc_N_Typ]],TRAN_STRITEMS_LABEL,7,0)),0)</f>
        <v>0</v>
      </c>
      <c r="AX732" s="7">
        <f t="shared" si="141"/>
        <v>0</v>
      </c>
      <c r="AY732" s="57" t="str">
        <f t="shared" si="142"/>
        <v/>
      </c>
      <c r="AZ732" s="57" t="str">
        <f t="shared" si="143"/>
        <v/>
      </c>
      <c r="BA732" s="57" t="str">
        <f>IF(F732=1,IF(TableCosts[[#This Row],[TransferFrom]]=TableCosts[[#This Row],[TranferTo]],0,1),"")</f>
        <v/>
      </c>
      <c r="BB732" s="7">
        <f t="shared" si="144"/>
        <v>0</v>
      </c>
      <c r="BC732" s="7">
        <f t="shared" si="145"/>
        <v>0</v>
      </c>
    </row>
    <row r="733" spans="2:55" s="7" customFormat="1" ht="12.75" x14ac:dyDescent="0.2">
      <c r="B733" s="33"/>
      <c r="C733" s="31"/>
      <c r="D733" s="40"/>
      <c r="E733" s="6" t="str">
        <f>IF(F733=1,IF(ISERROR(TableCosts[[#This Row],[N_Tariff]]),Err_Message1,IF(TableCosts[[#This Row],[N_Tariff]]=0,Err_Message2,VLOOKUP(C733&amp;TableCosts[[#This Row],[Calc_N_Typ]],TRAN_STRITEMS_LABEL,5,FALSE))),"")</f>
        <v/>
      </c>
      <c r="F733" s="6">
        <f t="shared" si="146"/>
        <v>0</v>
      </c>
      <c r="G733" s="6" t="str">
        <f>IF(F733=1,IFERROR(VLOOKUP(E733,Tab_ErrMessage[],2,0),VLOOKUP(C733&amp;TableCosts[[#This Row],[Calc_N_Typ]],TRAN_STRITEMS_LABEL,4,FALSE)),"")</f>
        <v/>
      </c>
      <c r="H733" s="40"/>
      <c r="I733" s="40"/>
      <c r="J733" s="35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  <c r="AD733" s="24"/>
      <c r="AE733" s="24"/>
      <c r="AF733" s="24"/>
      <c r="AG733" s="24"/>
      <c r="AH733" s="24"/>
      <c r="AI733" s="24"/>
      <c r="AJ733" s="24"/>
      <c r="AK733" s="38">
        <f t="array" ref="AK733">IF(F733=1,SUM((ROW(M0)=ROW(AK733))*(M0+M1_+M2_+M3_+M4_+M5_+M6_+M7_+M8_+M9_+M10_+M11_+M12_+M13_+M14_+M15_+M16_+M17_+M18_+M19_+M20_+M21_+M22_+M23_+M24_+M25_)),0)</f>
        <v>0</v>
      </c>
      <c r="AL733" s="27">
        <f>TableCosts[[#This Row],[N_Direct]]</f>
        <v>0</v>
      </c>
      <c r="AN733" s="7" t="str">
        <f t="shared" si="147"/>
        <v/>
      </c>
      <c r="AO733" s="7" t="str">
        <f t="shared" si="138"/>
        <v/>
      </c>
      <c r="AP733" s="7" t="str">
        <f t="shared" si="148"/>
        <v/>
      </c>
      <c r="AQ733" s="7" t="str">
        <f t="shared" si="139"/>
        <v/>
      </c>
      <c r="AR733" s="7" t="str">
        <f t="shared" si="149"/>
        <v/>
      </c>
      <c r="AS733" s="7">
        <f t="shared" si="140"/>
        <v>0</v>
      </c>
      <c r="AT733" s="17">
        <f>TableCosts[[#This Row],[N_Amount]]*TableCosts[[#This Row],[N_Tariff]]*TableCosts[[#This Row],[N_ItemsCount]]</f>
        <v>0</v>
      </c>
      <c r="AU733" s="17">
        <f>IF(F733=1,IF(TableCosts[[#This Row],[N_Kateg]]="interné práce",TableCosts[[#This Row],[N_Amount]]*8*PAR_SGA_PERHOUR,0),0)</f>
        <v>0</v>
      </c>
      <c r="AV733" s="17">
        <f>SUM(TableCosts[[#This Row],[N_Direct]:[N_SGA]])</f>
        <v>0</v>
      </c>
      <c r="AW733" s="7">
        <f>IF(F733=1,IF(D733="",NA(),VLOOKUP(C733&amp;TableCosts[[#This Row],[Calc_N_Typ]],TRAN_STRITEMS_LABEL,7,0)),0)</f>
        <v>0</v>
      </c>
      <c r="AX733" s="7">
        <f t="shared" si="141"/>
        <v>0</v>
      </c>
      <c r="AY733" s="57" t="str">
        <f t="shared" si="142"/>
        <v/>
      </c>
      <c r="AZ733" s="57" t="str">
        <f t="shared" si="143"/>
        <v/>
      </c>
      <c r="BA733" s="57" t="str">
        <f>IF(F733=1,IF(TableCosts[[#This Row],[TransferFrom]]=TableCosts[[#This Row],[TranferTo]],0,1),"")</f>
        <v/>
      </c>
      <c r="BB733" s="7">
        <f t="shared" si="144"/>
        <v>0</v>
      </c>
      <c r="BC733" s="7">
        <f t="shared" si="145"/>
        <v>0</v>
      </c>
    </row>
    <row r="734" spans="2:55" s="7" customFormat="1" ht="12.75" x14ac:dyDescent="0.2">
      <c r="B734" s="33"/>
      <c r="C734" s="31"/>
      <c r="D734" s="40"/>
      <c r="E734" s="6" t="str">
        <f>IF(F734=1,IF(ISERROR(TableCosts[[#This Row],[N_Tariff]]),Err_Message1,IF(TableCosts[[#This Row],[N_Tariff]]=0,Err_Message2,VLOOKUP(C734&amp;TableCosts[[#This Row],[Calc_N_Typ]],TRAN_STRITEMS_LABEL,5,FALSE))),"")</f>
        <v/>
      </c>
      <c r="F734" s="6">
        <f t="shared" si="146"/>
        <v>0</v>
      </c>
      <c r="G734" s="6" t="str">
        <f>IF(F734=1,IFERROR(VLOOKUP(E734,Tab_ErrMessage[],2,0),VLOOKUP(C734&amp;TableCosts[[#This Row],[Calc_N_Typ]],TRAN_STRITEMS_LABEL,4,FALSE)),"")</f>
        <v/>
      </c>
      <c r="H734" s="40"/>
      <c r="I734" s="40"/>
      <c r="J734" s="35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  <c r="AD734" s="24"/>
      <c r="AE734" s="24"/>
      <c r="AF734" s="24"/>
      <c r="AG734" s="24"/>
      <c r="AH734" s="24"/>
      <c r="AI734" s="24"/>
      <c r="AJ734" s="24"/>
      <c r="AK734" s="38">
        <f t="array" ref="AK734">IF(F734=1,SUM((ROW(M0)=ROW(AK734))*(M0+M1_+M2_+M3_+M4_+M5_+M6_+M7_+M8_+M9_+M10_+M11_+M12_+M13_+M14_+M15_+M16_+M17_+M18_+M19_+M20_+M21_+M22_+M23_+M24_+M25_)),0)</f>
        <v>0</v>
      </c>
      <c r="AL734" s="27">
        <f>TableCosts[[#This Row],[N_Direct]]</f>
        <v>0</v>
      </c>
      <c r="AN734" s="7" t="str">
        <f t="shared" si="147"/>
        <v/>
      </c>
      <c r="AO734" s="7" t="str">
        <f t="shared" si="138"/>
        <v/>
      </c>
      <c r="AP734" s="7" t="str">
        <f t="shared" si="148"/>
        <v/>
      </c>
      <c r="AQ734" s="7" t="str">
        <f t="shared" si="139"/>
        <v/>
      </c>
      <c r="AR734" s="7" t="str">
        <f t="shared" si="149"/>
        <v/>
      </c>
      <c r="AS734" s="7">
        <f t="shared" si="140"/>
        <v>0</v>
      </c>
      <c r="AT734" s="17">
        <f>TableCosts[[#This Row],[N_Amount]]*TableCosts[[#This Row],[N_Tariff]]*TableCosts[[#This Row],[N_ItemsCount]]</f>
        <v>0</v>
      </c>
      <c r="AU734" s="17">
        <f>IF(F734=1,IF(TableCosts[[#This Row],[N_Kateg]]="interné práce",TableCosts[[#This Row],[N_Amount]]*8*PAR_SGA_PERHOUR,0),0)</f>
        <v>0</v>
      </c>
      <c r="AV734" s="17">
        <f>SUM(TableCosts[[#This Row],[N_Direct]:[N_SGA]])</f>
        <v>0</v>
      </c>
      <c r="AW734" s="7">
        <f>IF(F734=1,IF(D734="",NA(),VLOOKUP(C734&amp;TableCosts[[#This Row],[Calc_N_Typ]],TRAN_STRITEMS_LABEL,7,0)),0)</f>
        <v>0</v>
      </c>
      <c r="AX734" s="7">
        <f t="shared" si="141"/>
        <v>0</v>
      </c>
      <c r="AY734" s="57" t="str">
        <f t="shared" si="142"/>
        <v/>
      </c>
      <c r="AZ734" s="57" t="str">
        <f t="shared" si="143"/>
        <v/>
      </c>
      <c r="BA734" s="57" t="str">
        <f>IF(F734=1,IF(TableCosts[[#This Row],[TransferFrom]]=TableCosts[[#This Row],[TranferTo]],0,1),"")</f>
        <v/>
      </c>
      <c r="BB734" s="7">
        <f t="shared" si="144"/>
        <v>0</v>
      </c>
      <c r="BC734" s="7">
        <f t="shared" si="145"/>
        <v>0</v>
      </c>
    </row>
    <row r="735" spans="2:55" s="7" customFormat="1" ht="12.75" x14ac:dyDescent="0.2">
      <c r="B735" s="33"/>
      <c r="C735" s="31"/>
      <c r="D735" s="40"/>
      <c r="E735" s="6" t="str">
        <f>IF(F735=1,IF(ISERROR(TableCosts[[#This Row],[N_Tariff]]),Err_Message1,IF(TableCosts[[#This Row],[N_Tariff]]=0,Err_Message2,VLOOKUP(C735&amp;TableCosts[[#This Row],[Calc_N_Typ]],TRAN_STRITEMS_LABEL,5,FALSE))),"")</f>
        <v/>
      </c>
      <c r="F735" s="6">
        <f t="shared" si="146"/>
        <v>0</v>
      </c>
      <c r="G735" s="6" t="str">
        <f>IF(F735=1,IFERROR(VLOOKUP(E735,Tab_ErrMessage[],2,0),VLOOKUP(C735&amp;TableCosts[[#This Row],[Calc_N_Typ]],TRAN_STRITEMS_LABEL,4,FALSE)),"")</f>
        <v/>
      </c>
      <c r="H735" s="40"/>
      <c r="I735" s="40"/>
      <c r="J735" s="35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  <c r="AD735" s="24"/>
      <c r="AE735" s="24"/>
      <c r="AF735" s="24"/>
      <c r="AG735" s="24"/>
      <c r="AH735" s="24"/>
      <c r="AI735" s="24"/>
      <c r="AJ735" s="24"/>
      <c r="AK735" s="38">
        <f t="array" ref="AK735">IF(F735=1,SUM((ROW(M0)=ROW(AK735))*(M0+M1_+M2_+M3_+M4_+M5_+M6_+M7_+M8_+M9_+M10_+M11_+M12_+M13_+M14_+M15_+M16_+M17_+M18_+M19_+M20_+M21_+M22_+M23_+M24_+M25_)),0)</f>
        <v>0</v>
      </c>
      <c r="AL735" s="27">
        <f>TableCosts[[#This Row],[N_Direct]]</f>
        <v>0</v>
      </c>
      <c r="AN735" s="7" t="str">
        <f t="shared" si="147"/>
        <v/>
      </c>
      <c r="AO735" s="7" t="str">
        <f t="shared" si="138"/>
        <v/>
      </c>
      <c r="AP735" s="7" t="str">
        <f t="shared" si="148"/>
        <v/>
      </c>
      <c r="AQ735" s="7" t="str">
        <f t="shared" si="139"/>
        <v/>
      </c>
      <c r="AR735" s="7" t="str">
        <f t="shared" si="149"/>
        <v/>
      </c>
      <c r="AS735" s="7">
        <f t="shared" si="140"/>
        <v>0</v>
      </c>
      <c r="AT735" s="17">
        <f>TableCosts[[#This Row],[N_Amount]]*TableCosts[[#This Row],[N_Tariff]]*TableCosts[[#This Row],[N_ItemsCount]]</f>
        <v>0</v>
      </c>
      <c r="AU735" s="17">
        <f>IF(F735=1,IF(TableCosts[[#This Row],[N_Kateg]]="interné práce",TableCosts[[#This Row],[N_Amount]]*8*PAR_SGA_PERHOUR,0),0)</f>
        <v>0</v>
      </c>
      <c r="AV735" s="17">
        <f>SUM(TableCosts[[#This Row],[N_Direct]:[N_SGA]])</f>
        <v>0</v>
      </c>
      <c r="AW735" s="7">
        <f>IF(F735=1,IF(D735="",NA(),VLOOKUP(C735&amp;TableCosts[[#This Row],[Calc_N_Typ]],TRAN_STRITEMS_LABEL,7,0)),0)</f>
        <v>0</v>
      </c>
      <c r="AX735" s="7">
        <f t="shared" si="141"/>
        <v>0</v>
      </c>
      <c r="AY735" s="57" t="str">
        <f t="shared" si="142"/>
        <v/>
      </c>
      <c r="AZ735" s="57" t="str">
        <f t="shared" si="143"/>
        <v/>
      </c>
      <c r="BA735" s="57" t="str">
        <f>IF(F735=1,IF(TableCosts[[#This Row],[TransferFrom]]=TableCosts[[#This Row],[TranferTo]],0,1),"")</f>
        <v/>
      </c>
      <c r="BB735" s="7">
        <f t="shared" si="144"/>
        <v>0</v>
      </c>
      <c r="BC735" s="7">
        <f t="shared" si="145"/>
        <v>0</v>
      </c>
    </row>
    <row r="736" spans="2:55" s="7" customFormat="1" ht="12.75" x14ac:dyDescent="0.2">
      <c r="B736" s="33"/>
      <c r="C736" s="31"/>
      <c r="D736" s="40"/>
      <c r="E736" s="6" t="str">
        <f>IF(F736=1,IF(ISERROR(TableCosts[[#This Row],[N_Tariff]]),Err_Message1,IF(TableCosts[[#This Row],[N_Tariff]]=0,Err_Message2,VLOOKUP(C736&amp;TableCosts[[#This Row],[Calc_N_Typ]],TRAN_STRITEMS_LABEL,5,FALSE))),"")</f>
        <v/>
      </c>
      <c r="F736" s="6">
        <f t="shared" si="146"/>
        <v>0</v>
      </c>
      <c r="G736" s="6" t="str">
        <f>IF(F736=1,IFERROR(VLOOKUP(E736,Tab_ErrMessage[],2,0),VLOOKUP(C736&amp;TableCosts[[#This Row],[Calc_N_Typ]],TRAN_STRITEMS_LABEL,4,FALSE)),"")</f>
        <v/>
      </c>
      <c r="H736" s="40"/>
      <c r="I736" s="40"/>
      <c r="J736" s="35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  <c r="AD736" s="24"/>
      <c r="AE736" s="24"/>
      <c r="AF736" s="24"/>
      <c r="AG736" s="24"/>
      <c r="AH736" s="24"/>
      <c r="AI736" s="24"/>
      <c r="AJ736" s="24"/>
      <c r="AK736" s="38">
        <f t="array" ref="AK736">IF(F736=1,SUM((ROW(M0)=ROW(AK736))*(M0+M1_+M2_+M3_+M4_+M5_+M6_+M7_+M8_+M9_+M10_+M11_+M12_+M13_+M14_+M15_+M16_+M17_+M18_+M19_+M20_+M21_+M22_+M23_+M24_+M25_)),0)</f>
        <v>0</v>
      </c>
      <c r="AL736" s="27">
        <f>TableCosts[[#This Row],[N_Direct]]</f>
        <v>0</v>
      </c>
      <c r="AN736" s="7" t="str">
        <f t="shared" si="147"/>
        <v/>
      </c>
      <c r="AO736" s="7" t="str">
        <f t="shared" si="138"/>
        <v/>
      </c>
      <c r="AP736" s="7" t="str">
        <f t="shared" si="148"/>
        <v/>
      </c>
      <c r="AQ736" s="7" t="str">
        <f t="shared" si="139"/>
        <v/>
      </c>
      <c r="AR736" s="7" t="str">
        <f t="shared" si="149"/>
        <v/>
      </c>
      <c r="AS736" s="7">
        <f t="shared" si="140"/>
        <v>0</v>
      </c>
      <c r="AT736" s="17">
        <f>TableCosts[[#This Row],[N_Amount]]*TableCosts[[#This Row],[N_Tariff]]*TableCosts[[#This Row],[N_ItemsCount]]</f>
        <v>0</v>
      </c>
      <c r="AU736" s="17">
        <f>IF(F736=1,IF(TableCosts[[#This Row],[N_Kateg]]="interné práce",TableCosts[[#This Row],[N_Amount]]*8*PAR_SGA_PERHOUR,0),0)</f>
        <v>0</v>
      </c>
      <c r="AV736" s="17">
        <f>SUM(TableCosts[[#This Row],[N_Direct]:[N_SGA]])</f>
        <v>0</v>
      </c>
      <c r="AW736" s="7">
        <f>IF(F736=1,IF(D736="",NA(),VLOOKUP(C736&amp;TableCosts[[#This Row],[Calc_N_Typ]],TRAN_STRITEMS_LABEL,7,0)),0)</f>
        <v>0</v>
      </c>
      <c r="AX736" s="7">
        <f t="shared" si="141"/>
        <v>0</v>
      </c>
      <c r="AY736" s="57" t="str">
        <f t="shared" si="142"/>
        <v/>
      </c>
      <c r="AZ736" s="57" t="str">
        <f t="shared" si="143"/>
        <v/>
      </c>
      <c r="BA736" s="57" t="str">
        <f>IF(F736=1,IF(TableCosts[[#This Row],[TransferFrom]]=TableCosts[[#This Row],[TranferTo]],0,1),"")</f>
        <v/>
      </c>
      <c r="BB736" s="7">
        <f t="shared" si="144"/>
        <v>0</v>
      </c>
      <c r="BC736" s="7">
        <f t="shared" si="145"/>
        <v>0</v>
      </c>
    </row>
    <row r="737" spans="2:55" s="7" customFormat="1" ht="12.75" x14ac:dyDescent="0.2">
      <c r="B737" s="33"/>
      <c r="C737" s="31"/>
      <c r="D737" s="40"/>
      <c r="E737" s="6" t="str">
        <f>IF(F737=1,IF(ISERROR(TableCosts[[#This Row],[N_Tariff]]),Err_Message1,IF(TableCosts[[#This Row],[N_Tariff]]=0,Err_Message2,VLOOKUP(C737&amp;TableCosts[[#This Row],[Calc_N_Typ]],TRAN_STRITEMS_LABEL,5,FALSE))),"")</f>
        <v/>
      </c>
      <c r="F737" s="6">
        <f t="shared" si="146"/>
        <v>0</v>
      </c>
      <c r="G737" s="6" t="str">
        <f>IF(F737=1,IFERROR(VLOOKUP(E737,Tab_ErrMessage[],2,0),VLOOKUP(C737&amp;TableCosts[[#This Row],[Calc_N_Typ]],TRAN_STRITEMS_LABEL,4,FALSE)),"")</f>
        <v/>
      </c>
      <c r="H737" s="40"/>
      <c r="I737" s="40"/>
      <c r="J737" s="35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  <c r="AD737" s="24"/>
      <c r="AE737" s="24"/>
      <c r="AF737" s="24"/>
      <c r="AG737" s="24"/>
      <c r="AH737" s="24"/>
      <c r="AI737" s="24"/>
      <c r="AJ737" s="24"/>
      <c r="AK737" s="38">
        <f t="array" ref="AK737">IF(F737=1,SUM((ROW(M0)=ROW(AK737))*(M0+M1_+M2_+M3_+M4_+M5_+M6_+M7_+M8_+M9_+M10_+M11_+M12_+M13_+M14_+M15_+M16_+M17_+M18_+M19_+M20_+M21_+M22_+M23_+M24_+M25_)),0)</f>
        <v>0</v>
      </c>
      <c r="AL737" s="27">
        <f>TableCosts[[#This Row],[N_Direct]]</f>
        <v>0</v>
      </c>
      <c r="AN737" s="7" t="str">
        <f t="shared" si="147"/>
        <v/>
      </c>
      <c r="AO737" s="7" t="str">
        <f t="shared" si="138"/>
        <v/>
      </c>
      <c r="AP737" s="7" t="str">
        <f t="shared" si="148"/>
        <v/>
      </c>
      <c r="AQ737" s="7" t="str">
        <f t="shared" si="139"/>
        <v/>
      </c>
      <c r="AR737" s="7" t="str">
        <f t="shared" si="149"/>
        <v/>
      </c>
      <c r="AS737" s="7">
        <f t="shared" si="140"/>
        <v>0</v>
      </c>
      <c r="AT737" s="17">
        <f>TableCosts[[#This Row],[N_Amount]]*TableCosts[[#This Row],[N_Tariff]]*TableCosts[[#This Row],[N_ItemsCount]]</f>
        <v>0</v>
      </c>
      <c r="AU737" s="17">
        <f>IF(F737=1,IF(TableCosts[[#This Row],[N_Kateg]]="interné práce",TableCosts[[#This Row],[N_Amount]]*8*PAR_SGA_PERHOUR,0),0)</f>
        <v>0</v>
      </c>
      <c r="AV737" s="17">
        <f>SUM(TableCosts[[#This Row],[N_Direct]:[N_SGA]])</f>
        <v>0</v>
      </c>
      <c r="AW737" s="7">
        <f>IF(F737=1,IF(D737="",NA(),VLOOKUP(C737&amp;TableCosts[[#This Row],[Calc_N_Typ]],TRAN_STRITEMS_LABEL,7,0)),0)</f>
        <v>0</v>
      </c>
      <c r="AX737" s="7">
        <f t="shared" si="141"/>
        <v>0</v>
      </c>
      <c r="AY737" s="57" t="str">
        <f t="shared" si="142"/>
        <v/>
      </c>
      <c r="AZ737" s="57" t="str">
        <f t="shared" si="143"/>
        <v/>
      </c>
      <c r="BA737" s="57" t="str">
        <f>IF(F737=1,IF(TableCosts[[#This Row],[TransferFrom]]=TableCosts[[#This Row],[TranferTo]],0,1),"")</f>
        <v/>
      </c>
      <c r="BB737" s="7">
        <f t="shared" si="144"/>
        <v>0</v>
      </c>
      <c r="BC737" s="7">
        <f t="shared" si="145"/>
        <v>0</v>
      </c>
    </row>
    <row r="738" spans="2:55" s="7" customFormat="1" ht="12.75" x14ac:dyDescent="0.2">
      <c r="B738" s="33"/>
      <c r="C738" s="31"/>
      <c r="D738" s="40"/>
      <c r="E738" s="6" t="str">
        <f>IF(F738=1,IF(ISERROR(TableCosts[[#This Row],[N_Tariff]]),Err_Message1,IF(TableCosts[[#This Row],[N_Tariff]]=0,Err_Message2,VLOOKUP(C738&amp;TableCosts[[#This Row],[Calc_N_Typ]],TRAN_STRITEMS_LABEL,5,FALSE))),"")</f>
        <v/>
      </c>
      <c r="F738" s="6">
        <f t="shared" si="146"/>
        <v>0</v>
      </c>
      <c r="G738" s="6" t="str">
        <f>IF(F738=1,IFERROR(VLOOKUP(E738,Tab_ErrMessage[],2,0),VLOOKUP(C738&amp;TableCosts[[#This Row],[Calc_N_Typ]],TRAN_STRITEMS_LABEL,4,FALSE)),"")</f>
        <v/>
      </c>
      <c r="H738" s="40"/>
      <c r="I738" s="40"/>
      <c r="J738" s="35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  <c r="AD738" s="24"/>
      <c r="AE738" s="24"/>
      <c r="AF738" s="24"/>
      <c r="AG738" s="24"/>
      <c r="AH738" s="24"/>
      <c r="AI738" s="24"/>
      <c r="AJ738" s="24"/>
      <c r="AK738" s="38">
        <f t="array" ref="AK738">IF(F738=1,SUM((ROW(M0)=ROW(AK738))*(M0+M1_+M2_+M3_+M4_+M5_+M6_+M7_+M8_+M9_+M10_+M11_+M12_+M13_+M14_+M15_+M16_+M17_+M18_+M19_+M20_+M21_+M22_+M23_+M24_+M25_)),0)</f>
        <v>0</v>
      </c>
      <c r="AL738" s="27">
        <f>TableCosts[[#This Row],[N_Direct]]</f>
        <v>0</v>
      </c>
      <c r="AN738" s="7" t="str">
        <f t="shared" ref="AN738:AN743" si="150">IF(F738=1,B738,"")</f>
        <v/>
      </c>
      <c r="AO738" s="7" t="str">
        <f t="shared" si="138"/>
        <v/>
      </c>
      <c r="AP738" s="7" t="str">
        <f t="shared" ref="AP738:AP743" si="151">IF(F738=1,E738,"")</f>
        <v/>
      </c>
      <c r="AQ738" s="7" t="str">
        <f t="shared" si="139"/>
        <v/>
      </c>
      <c r="AR738" s="7" t="str">
        <f t="shared" ref="AR738:AR743" si="152">IF(F738=1,G738,"")</f>
        <v/>
      </c>
      <c r="AS738" s="7">
        <f t="shared" si="140"/>
        <v>0</v>
      </c>
      <c r="AT738" s="17">
        <f>TableCosts[[#This Row],[N_Amount]]*TableCosts[[#This Row],[N_Tariff]]*TableCosts[[#This Row],[N_ItemsCount]]</f>
        <v>0</v>
      </c>
      <c r="AU738" s="17">
        <f>IF(F738=1,IF(TableCosts[[#This Row],[N_Kateg]]="interné práce",TableCosts[[#This Row],[N_Amount]]*8*PAR_SGA_PERHOUR,0),0)</f>
        <v>0</v>
      </c>
      <c r="AV738" s="17">
        <f>SUM(TableCosts[[#This Row],[N_Direct]:[N_SGA]])</f>
        <v>0</v>
      </c>
      <c r="AW738" s="7">
        <f>IF(F738=1,IF(D738="",NA(),VLOOKUP(C738&amp;TableCosts[[#This Row],[Calc_N_Typ]],TRAN_STRITEMS_LABEL,7,0)),0)</f>
        <v>0</v>
      </c>
      <c r="AX738" s="7">
        <f t="shared" si="141"/>
        <v>0</v>
      </c>
      <c r="AY738" s="57" t="str">
        <f t="shared" si="142"/>
        <v/>
      </c>
      <c r="AZ738" s="57" t="str">
        <f t="shared" si="143"/>
        <v/>
      </c>
      <c r="BA738" s="57" t="str">
        <f>IF(F738=1,IF(TableCosts[[#This Row],[TransferFrom]]=TableCosts[[#This Row],[TranferTo]],0,1),"")</f>
        <v/>
      </c>
      <c r="BB738" s="7">
        <f t="shared" si="144"/>
        <v>0</v>
      </c>
      <c r="BC738" s="7">
        <f t="shared" si="145"/>
        <v>0</v>
      </c>
    </row>
    <row r="739" spans="2:55" s="7" customFormat="1" ht="12.75" x14ac:dyDescent="0.2">
      <c r="B739" s="33"/>
      <c r="C739" s="31"/>
      <c r="D739" s="40"/>
      <c r="E739" s="6" t="str">
        <f>IF(F739=1,IF(ISERROR(TableCosts[[#This Row],[N_Tariff]]),Err_Message1,IF(TableCosts[[#This Row],[N_Tariff]]=0,Err_Message2,VLOOKUP(C739&amp;TableCosts[[#This Row],[Calc_N_Typ]],TRAN_STRITEMS_LABEL,5,FALSE))),"")</f>
        <v/>
      </c>
      <c r="F739" s="6">
        <f t="shared" si="146"/>
        <v>0</v>
      </c>
      <c r="G739" s="6" t="str">
        <f>IF(F739=1,IFERROR(VLOOKUP(E739,Tab_ErrMessage[],2,0),VLOOKUP(C739&amp;TableCosts[[#This Row],[Calc_N_Typ]],TRAN_STRITEMS_LABEL,4,FALSE)),"")</f>
        <v/>
      </c>
      <c r="H739" s="40"/>
      <c r="I739" s="40"/>
      <c r="J739" s="35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  <c r="AD739" s="24"/>
      <c r="AE739" s="24"/>
      <c r="AF739" s="24"/>
      <c r="AG739" s="24"/>
      <c r="AH739" s="24"/>
      <c r="AI739" s="24"/>
      <c r="AJ739" s="24"/>
      <c r="AK739" s="38">
        <f t="array" ref="AK739">IF(F739=1,SUM((ROW(M0)=ROW(AK739))*(M0+M1_+M2_+M3_+M4_+M5_+M6_+M7_+M8_+M9_+M10_+M11_+M12_+M13_+M14_+M15_+M16_+M17_+M18_+M19_+M20_+M21_+M22_+M23_+M24_+M25_)),0)</f>
        <v>0</v>
      </c>
      <c r="AL739" s="27">
        <f>TableCosts[[#This Row],[N_Direct]]</f>
        <v>0</v>
      </c>
      <c r="AN739" s="7" t="str">
        <f t="shared" si="150"/>
        <v/>
      </c>
      <c r="AO739" s="7" t="str">
        <f t="shared" si="138"/>
        <v/>
      </c>
      <c r="AP739" s="7" t="str">
        <f t="shared" si="151"/>
        <v/>
      </c>
      <c r="AQ739" s="7" t="str">
        <f t="shared" si="139"/>
        <v/>
      </c>
      <c r="AR739" s="7" t="str">
        <f t="shared" si="152"/>
        <v/>
      </c>
      <c r="AS739" s="7">
        <f t="shared" si="140"/>
        <v>0</v>
      </c>
      <c r="AT739" s="17">
        <f>TableCosts[[#This Row],[N_Amount]]*TableCosts[[#This Row],[N_Tariff]]*TableCosts[[#This Row],[N_ItemsCount]]</f>
        <v>0</v>
      </c>
      <c r="AU739" s="17">
        <f>IF(F739=1,IF(TableCosts[[#This Row],[N_Kateg]]="interné práce",TableCosts[[#This Row],[N_Amount]]*8*PAR_SGA_PERHOUR,0),0)</f>
        <v>0</v>
      </c>
      <c r="AV739" s="17">
        <f>SUM(TableCosts[[#This Row],[N_Direct]:[N_SGA]])</f>
        <v>0</v>
      </c>
      <c r="AW739" s="7">
        <f>IF(F739=1,IF(D739="",NA(),VLOOKUP(C739&amp;TableCosts[[#This Row],[Calc_N_Typ]],TRAN_STRITEMS_LABEL,7,0)),0)</f>
        <v>0</v>
      </c>
      <c r="AX739" s="7">
        <f t="shared" si="141"/>
        <v>0</v>
      </c>
      <c r="AY739" s="57" t="str">
        <f t="shared" si="142"/>
        <v/>
      </c>
      <c r="AZ739" s="57" t="str">
        <f t="shared" si="143"/>
        <v/>
      </c>
      <c r="BA739" s="57" t="str">
        <f>IF(F739=1,IF(TableCosts[[#This Row],[TransferFrom]]=TableCosts[[#This Row],[TranferTo]],0,1),"")</f>
        <v/>
      </c>
      <c r="BB739" s="7">
        <f t="shared" si="144"/>
        <v>0</v>
      </c>
      <c r="BC739" s="7">
        <f t="shared" si="145"/>
        <v>0</v>
      </c>
    </row>
    <row r="740" spans="2:55" s="7" customFormat="1" ht="12.75" x14ac:dyDescent="0.2">
      <c r="B740" s="33"/>
      <c r="C740" s="31"/>
      <c r="D740" s="40"/>
      <c r="E740" s="6" t="str">
        <f>IF(F740=1,IF(ISERROR(TableCosts[[#This Row],[N_Tariff]]),Err_Message1,IF(TableCosts[[#This Row],[N_Tariff]]=0,Err_Message2,VLOOKUP(C740&amp;TableCosts[[#This Row],[Calc_N_Typ]],TRAN_STRITEMS_LABEL,5,FALSE))),"")</f>
        <v/>
      </c>
      <c r="F740" s="6">
        <f t="shared" si="146"/>
        <v>0</v>
      </c>
      <c r="G740" s="6" t="str">
        <f>IF(F740=1,IFERROR(VLOOKUP(E740,Tab_ErrMessage[],2,0),VLOOKUP(C740&amp;TableCosts[[#This Row],[Calc_N_Typ]],TRAN_STRITEMS_LABEL,4,FALSE)),"")</f>
        <v/>
      </c>
      <c r="H740" s="40"/>
      <c r="I740" s="40"/>
      <c r="J740" s="35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  <c r="AD740" s="24"/>
      <c r="AE740" s="24"/>
      <c r="AF740" s="24"/>
      <c r="AG740" s="24"/>
      <c r="AH740" s="24"/>
      <c r="AI740" s="24"/>
      <c r="AJ740" s="24"/>
      <c r="AK740" s="38">
        <f t="array" ref="AK740">IF(F740=1,SUM((ROW(M0)=ROW(AK740))*(M0+M1_+M2_+M3_+M4_+M5_+M6_+M7_+M8_+M9_+M10_+M11_+M12_+M13_+M14_+M15_+M16_+M17_+M18_+M19_+M20_+M21_+M22_+M23_+M24_+M25_)),0)</f>
        <v>0</v>
      </c>
      <c r="AL740" s="27">
        <f>TableCosts[[#This Row],[N_Direct]]</f>
        <v>0</v>
      </c>
      <c r="AN740" s="7" t="str">
        <f t="shared" si="150"/>
        <v/>
      </c>
      <c r="AO740" s="7" t="str">
        <f t="shared" si="138"/>
        <v/>
      </c>
      <c r="AP740" s="7" t="str">
        <f t="shared" si="151"/>
        <v/>
      </c>
      <c r="AQ740" s="7" t="str">
        <f t="shared" si="139"/>
        <v/>
      </c>
      <c r="AR740" s="7" t="str">
        <f t="shared" si="152"/>
        <v/>
      </c>
      <c r="AS740" s="7">
        <f t="shared" si="140"/>
        <v>0</v>
      </c>
      <c r="AT740" s="17">
        <f>TableCosts[[#This Row],[N_Amount]]*TableCosts[[#This Row],[N_Tariff]]*TableCosts[[#This Row],[N_ItemsCount]]</f>
        <v>0</v>
      </c>
      <c r="AU740" s="17">
        <f>IF(F740=1,IF(TableCosts[[#This Row],[N_Kateg]]="interné práce",TableCosts[[#This Row],[N_Amount]]*8*PAR_SGA_PERHOUR,0),0)</f>
        <v>0</v>
      </c>
      <c r="AV740" s="17">
        <f>SUM(TableCosts[[#This Row],[N_Direct]:[N_SGA]])</f>
        <v>0</v>
      </c>
      <c r="AW740" s="7">
        <f>IF(F740=1,IF(D740="",NA(),VLOOKUP(C740&amp;TableCosts[[#This Row],[Calc_N_Typ]],TRAN_STRITEMS_LABEL,7,0)),0)</f>
        <v>0</v>
      </c>
      <c r="AX740" s="7">
        <f t="shared" si="141"/>
        <v>0</v>
      </c>
      <c r="AY740" s="57" t="str">
        <f t="shared" si="142"/>
        <v/>
      </c>
      <c r="AZ740" s="57" t="str">
        <f t="shared" si="143"/>
        <v/>
      </c>
      <c r="BA740" s="57" t="str">
        <f>IF(F740=1,IF(TableCosts[[#This Row],[TransferFrom]]=TableCosts[[#This Row],[TranferTo]],0,1),"")</f>
        <v/>
      </c>
      <c r="BB740" s="7">
        <f t="shared" si="144"/>
        <v>0</v>
      </c>
      <c r="BC740" s="7">
        <f t="shared" si="145"/>
        <v>0</v>
      </c>
    </row>
    <row r="741" spans="2:55" s="7" customFormat="1" ht="12.75" x14ac:dyDescent="0.2">
      <c r="B741" s="33"/>
      <c r="C741" s="31"/>
      <c r="D741" s="40"/>
      <c r="E741" s="6" t="str">
        <f>IF(F741=1,IF(ISERROR(TableCosts[[#This Row],[N_Tariff]]),Err_Message1,IF(TableCosts[[#This Row],[N_Tariff]]=0,Err_Message2,VLOOKUP(C741&amp;TableCosts[[#This Row],[Calc_N_Typ]],TRAN_STRITEMS_LABEL,5,FALSE))),"")</f>
        <v/>
      </c>
      <c r="F741" s="6">
        <f t="shared" si="146"/>
        <v>0</v>
      </c>
      <c r="G741" s="6" t="str">
        <f>IF(F741=1,IFERROR(VLOOKUP(E741,Tab_ErrMessage[],2,0),VLOOKUP(C741&amp;TableCosts[[#This Row],[Calc_N_Typ]],TRAN_STRITEMS_LABEL,4,FALSE)),"")</f>
        <v/>
      </c>
      <c r="H741" s="40"/>
      <c r="I741" s="40"/>
      <c r="J741" s="35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  <c r="AD741" s="24"/>
      <c r="AE741" s="24"/>
      <c r="AF741" s="24"/>
      <c r="AG741" s="24"/>
      <c r="AH741" s="24"/>
      <c r="AI741" s="24"/>
      <c r="AJ741" s="24"/>
      <c r="AK741" s="38">
        <f t="array" ref="AK741">IF(F741=1,SUM((ROW(M0)=ROW(AK741))*(M0+M1_+M2_+M3_+M4_+M5_+M6_+M7_+M8_+M9_+M10_+M11_+M12_+M13_+M14_+M15_+M16_+M17_+M18_+M19_+M20_+M21_+M22_+M23_+M24_+M25_)),0)</f>
        <v>0</v>
      </c>
      <c r="AL741" s="27">
        <f>TableCosts[[#This Row],[N_Direct]]</f>
        <v>0</v>
      </c>
      <c r="AN741" s="7" t="str">
        <f t="shared" si="150"/>
        <v/>
      </c>
      <c r="AO741" s="7" t="str">
        <f t="shared" si="138"/>
        <v/>
      </c>
      <c r="AP741" s="7" t="str">
        <f t="shared" si="151"/>
        <v/>
      </c>
      <c r="AQ741" s="7" t="str">
        <f t="shared" si="139"/>
        <v/>
      </c>
      <c r="AR741" s="7" t="str">
        <f t="shared" si="152"/>
        <v/>
      </c>
      <c r="AS741" s="7">
        <f t="shared" si="140"/>
        <v>0</v>
      </c>
      <c r="AT741" s="17">
        <f>TableCosts[[#This Row],[N_Amount]]*TableCosts[[#This Row],[N_Tariff]]*TableCosts[[#This Row],[N_ItemsCount]]</f>
        <v>0</v>
      </c>
      <c r="AU741" s="17">
        <f>IF(F741=1,IF(TableCosts[[#This Row],[N_Kateg]]="interné práce",TableCosts[[#This Row],[N_Amount]]*8*PAR_SGA_PERHOUR,0),0)</f>
        <v>0</v>
      </c>
      <c r="AV741" s="17">
        <f>SUM(TableCosts[[#This Row],[N_Direct]:[N_SGA]])</f>
        <v>0</v>
      </c>
      <c r="AW741" s="7">
        <f>IF(F741=1,IF(D741="",NA(),VLOOKUP(C741&amp;TableCosts[[#This Row],[Calc_N_Typ]],TRAN_STRITEMS_LABEL,7,0)),0)</f>
        <v>0</v>
      </c>
      <c r="AX741" s="7">
        <f t="shared" si="141"/>
        <v>0</v>
      </c>
      <c r="AY741" s="57" t="str">
        <f t="shared" si="142"/>
        <v/>
      </c>
      <c r="AZ741" s="57" t="str">
        <f t="shared" si="143"/>
        <v/>
      </c>
      <c r="BA741" s="57" t="str">
        <f>IF(F741=1,IF(TableCosts[[#This Row],[TransferFrom]]=TableCosts[[#This Row],[TranferTo]],0,1),"")</f>
        <v/>
      </c>
      <c r="BB741" s="7">
        <f t="shared" si="144"/>
        <v>0</v>
      </c>
      <c r="BC741" s="7">
        <f t="shared" si="145"/>
        <v>0</v>
      </c>
    </row>
    <row r="742" spans="2:55" s="7" customFormat="1" ht="12.75" x14ac:dyDescent="0.2">
      <c r="B742" s="33"/>
      <c r="C742" s="31"/>
      <c r="D742" s="40"/>
      <c r="E742" s="6" t="str">
        <f>IF(F742=1,IF(ISERROR(TableCosts[[#This Row],[N_Tariff]]),Err_Message1,IF(TableCosts[[#This Row],[N_Tariff]]=0,Err_Message2,VLOOKUP(C742&amp;TableCosts[[#This Row],[Calc_N_Typ]],TRAN_STRITEMS_LABEL,5,FALSE))),"")</f>
        <v/>
      </c>
      <c r="F742" s="6">
        <f t="shared" si="146"/>
        <v>0</v>
      </c>
      <c r="G742" s="6" t="str">
        <f>IF(F742=1,IFERROR(VLOOKUP(E742,Tab_ErrMessage[],2,0),VLOOKUP(C742&amp;TableCosts[[#This Row],[Calc_N_Typ]],TRAN_STRITEMS_LABEL,4,FALSE)),"")</f>
        <v/>
      </c>
      <c r="H742" s="40"/>
      <c r="I742" s="40"/>
      <c r="J742" s="35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  <c r="AD742" s="24"/>
      <c r="AE742" s="24"/>
      <c r="AF742" s="24"/>
      <c r="AG742" s="24"/>
      <c r="AH742" s="24"/>
      <c r="AI742" s="24"/>
      <c r="AJ742" s="24"/>
      <c r="AK742" s="38">
        <f t="array" ref="AK742">IF(F742=1,SUM((ROW(M0)=ROW(AK742))*(M0+M1_+M2_+M3_+M4_+M5_+M6_+M7_+M8_+M9_+M10_+M11_+M12_+M13_+M14_+M15_+M16_+M17_+M18_+M19_+M20_+M21_+M22_+M23_+M24_+M25_)),0)</f>
        <v>0</v>
      </c>
      <c r="AL742" s="27">
        <f>TableCosts[[#This Row],[N_Direct]]</f>
        <v>0</v>
      </c>
      <c r="AN742" s="7" t="str">
        <f t="shared" si="150"/>
        <v/>
      </c>
      <c r="AO742" s="7" t="str">
        <f t="shared" si="138"/>
        <v/>
      </c>
      <c r="AP742" s="7" t="str">
        <f t="shared" si="151"/>
        <v/>
      </c>
      <c r="AQ742" s="7" t="str">
        <f t="shared" si="139"/>
        <v/>
      </c>
      <c r="AR742" s="7" t="str">
        <f t="shared" si="152"/>
        <v/>
      </c>
      <c r="AS742" s="7">
        <f t="shared" si="140"/>
        <v>0</v>
      </c>
      <c r="AT742" s="17">
        <f>TableCosts[[#This Row],[N_Amount]]*TableCosts[[#This Row],[N_Tariff]]*TableCosts[[#This Row],[N_ItemsCount]]</f>
        <v>0</v>
      </c>
      <c r="AU742" s="17">
        <f>IF(F742=1,IF(TableCosts[[#This Row],[N_Kateg]]="interné práce",TableCosts[[#This Row],[N_Amount]]*8*PAR_SGA_PERHOUR,0),0)</f>
        <v>0</v>
      </c>
      <c r="AV742" s="17">
        <f>SUM(TableCosts[[#This Row],[N_Direct]:[N_SGA]])</f>
        <v>0</v>
      </c>
      <c r="AW742" s="7">
        <f>IF(F742=1,IF(D742="",NA(),VLOOKUP(C742&amp;TableCosts[[#This Row],[Calc_N_Typ]],TRAN_STRITEMS_LABEL,7,0)),0)</f>
        <v>0</v>
      </c>
      <c r="AX742" s="7">
        <f t="shared" si="141"/>
        <v>0</v>
      </c>
      <c r="AY742" s="57" t="str">
        <f t="shared" si="142"/>
        <v/>
      </c>
      <c r="AZ742" s="57" t="str">
        <f t="shared" si="143"/>
        <v/>
      </c>
      <c r="BA742" s="57" t="str">
        <f>IF(F742=1,IF(TableCosts[[#This Row],[TransferFrom]]=TableCosts[[#This Row],[TranferTo]],0,1),"")</f>
        <v/>
      </c>
      <c r="BB742" s="7">
        <f t="shared" si="144"/>
        <v>0</v>
      </c>
      <c r="BC742" s="7">
        <f t="shared" si="145"/>
        <v>0</v>
      </c>
    </row>
    <row r="743" spans="2:55" s="7" customFormat="1" ht="12.75" x14ac:dyDescent="0.2">
      <c r="B743" s="33"/>
      <c r="C743" s="31"/>
      <c r="D743" s="40"/>
      <c r="E743" s="6" t="str">
        <f>IF(F743=1,IF(ISERROR(TableCosts[[#This Row],[N_Tariff]]),Err_Message1,IF(TableCosts[[#This Row],[N_Tariff]]=0,Err_Message2,VLOOKUP(C743&amp;TableCosts[[#This Row],[Calc_N_Typ]],TRAN_STRITEMS_LABEL,5,FALSE))),"")</f>
        <v/>
      </c>
      <c r="F743" s="6">
        <f t="shared" si="146"/>
        <v>0</v>
      </c>
      <c r="G743" s="6" t="str">
        <f>IF(F743=1,IFERROR(VLOOKUP(E743,Tab_ErrMessage[],2,0),VLOOKUP(C743&amp;TableCosts[[#This Row],[Calc_N_Typ]],TRAN_STRITEMS_LABEL,4,FALSE)),"")</f>
        <v/>
      </c>
      <c r="H743" s="40"/>
      <c r="I743" s="40"/>
      <c r="J743" s="35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  <c r="AD743" s="24"/>
      <c r="AE743" s="24"/>
      <c r="AF743" s="24"/>
      <c r="AG743" s="24"/>
      <c r="AH743" s="24"/>
      <c r="AI743" s="24"/>
      <c r="AJ743" s="24"/>
      <c r="AK743" s="38">
        <f t="array" ref="AK743">IF(F743=1,SUM((ROW(M0)=ROW(AK743))*(M0+M1_+M2_+M3_+M4_+M5_+M6_+M7_+M8_+M9_+M10_+M11_+M12_+M13_+M14_+M15_+M16_+M17_+M18_+M19_+M20_+M21_+M22_+M23_+M24_+M25_)),0)</f>
        <v>0</v>
      </c>
      <c r="AL743" s="27">
        <f>TableCosts[[#This Row],[N_Direct]]</f>
        <v>0</v>
      </c>
      <c r="AN743" s="7" t="str">
        <f t="shared" si="150"/>
        <v/>
      </c>
      <c r="AO743" s="7" t="str">
        <f t="shared" si="138"/>
        <v/>
      </c>
      <c r="AP743" s="7" t="str">
        <f t="shared" si="151"/>
        <v/>
      </c>
      <c r="AQ743" s="7" t="str">
        <f t="shared" si="139"/>
        <v/>
      </c>
      <c r="AR743" s="7" t="str">
        <f t="shared" si="152"/>
        <v/>
      </c>
      <c r="AS743" s="7">
        <f t="shared" si="140"/>
        <v>0</v>
      </c>
      <c r="AT743" s="17">
        <f>TableCosts[[#This Row],[N_Amount]]*TableCosts[[#This Row],[N_Tariff]]*TableCosts[[#This Row],[N_ItemsCount]]</f>
        <v>0</v>
      </c>
      <c r="AU743" s="17">
        <f>IF(F743=1,IF(TableCosts[[#This Row],[N_Kateg]]="interné práce",TableCosts[[#This Row],[N_Amount]]*8*PAR_SGA_PERHOUR,0),0)</f>
        <v>0</v>
      </c>
      <c r="AV743" s="17">
        <f>SUM(TableCosts[[#This Row],[N_Direct]:[N_SGA]])</f>
        <v>0</v>
      </c>
      <c r="AW743" s="7">
        <f>IF(F743=1,IF(D743="",NA(),VLOOKUP(C743&amp;TableCosts[[#This Row],[Calc_N_Typ]],TRAN_STRITEMS_LABEL,7,0)),0)</f>
        <v>0</v>
      </c>
      <c r="AX743" s="7">
        <f t="shared" si="141"/>
        <v>0</v>
      </c>
      <c r="AY743" s="57" t="str">
        <f t="shared" si="142"/>
        <v/>
      </c>
      <c r="AZ743" s="57" t="str">
        <f t="shared" si="143"/>
        <v/>
      </c>
      <c r="BA743" s="57" t="str">
        <f>IF(F743=1,IF(TableCosts[[#This Row],[TransferFrom]]=TableCosts[[#This Row],[TranferTo]],0,1),"")</f>
        <v/>
      </c>
      <c r="BB743" s="7">
        <f t="shared" si="144"/>
        <v>0</v>
      </c>
      <c r="BC743" s="7">
        <f t="shared" si="145"/>
        <v>0</v>
      </c>
    </row>
    <row r="744" spans="2:55" s="7" customFormat="1" ht="12.75" x14ac:dyDescent="0.2">
      <c r="B744" s="33"/>
      <c r="C744" s="31"/>
      <c r="D744" s="40"/>
      <c r="E744" s="6" t="str">
        <f>IF(F744=1,IF(ISERROR(TableCosts[[#This Row],[N_Tariff]]),Err_Message1,IF(TableCosts[[#This Row],[N_Tariff]]=0,Err_Message2,VLOOKUP(C744&amp;TableCosts[[#This Row],[Calc_N_Typ]],TRAN_STRITEMS_LABEL,5,FALSE))),"")</f>
        <v/>
      </c>
      <c r="F744" s="6">
        <f t="shared" si="146"/>
        <v>0</v>
      </c>
      <c r="G744" s="6" t="str">
        <f>IF(F744=1,IFERROR(VLOOKUP(E744,Tab_ErrMessage[],2,0),VLOOKUP(C744&amp;TableCosts[[#This Row],[Calc_N_Typ]],TRAN_STRITEMS_LABEL,4,FALSE)),"")</f>
        <v/>
      </c>
      <c r="H744" s="40"/>
      <c r="I744" s="40"/>
      <c r="J744" s="35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  <c r="AD744" s="24"/>
      <c r="AE744" s="24"/>
      <c r="AF744" s="24"/>
      <c r="AG744" s="24"/>
      <c r="AH744" s="24"/>
      <c r="AI744" s="24"/>
      <c r="AJ744" s="24"/>
      <c r="AK744" s="38">
        <f t="array" ref="AK744">IF(F744=1,SUM((ROW(M0)=ROW(AK744))*(M0+M1_+M2_+M3_+M4_+M5_+M6_+M7_+M8_+M9_+M10_+M11_+M12_+M13_+M14_+M15_+M16_+M17_+M18_+M19_+M20_+M21_+M22_+M23_+M24_+M25_)),0)</f>
        <v>0</v>
      </c>
      <c r="AL744" s="27">
        <f>TableCosts[[#This Row],[N_Direct]]</f>
        <v>0</v>
      </c>
      <c r="AN744" s="7" t="str">
        <f t="shared" ref="AN744:AN749" si="153">IF(F744=1,B744,"")</f>
        <v/>
      </c>
      <c r="AO744" s="7" t="str">
        <f t="shared" si="138"/>
        <v/>
      </c>
      <c r="AP744" s="7" t="str">
        <f t="shared" ref="AP744:AP749" si="154">IF(F744=1,E744,"")</f>
        <v/>
      </c>
      <c r="AQ744" s="7" t="str">
        <f t="shared" si="139"/>
        <v/>
      </c>
      <c r="AR744" s="7" t="str">
        <f t="shared" ref="AR744:AR749" si="155">IF(F744=1,G744,"")</f>
        <v/>
      </c>
      <c r="AS744" s="7">
        <f t="shared" si="140"/>
        <v>0</v>
      </c>
      <c r="AT744" s="17">
        <f>TableCosts[[#This Row],[N_Amount]]*TableCosts[[#This Row],[N_Tariff]]*TableCosts[[#This Row],[N_ItemsCount]]</f>
        <v>0</v>
      </c>
      <c r="AU744" s="17">
        <f>IF(F744=1,IF(TableCosts[[#This Row],[N_Kateg]]="interné práce",TableCosts[[#This Row],[N_Amount]]*8*PAR_SGA_PERHOUR,0),0)</f>
        <v>0</v>
      </c>
      <c r="AV744" s="17">
        <f>SUM(TableCosts[[#This Row],[N_Direct]:[N_SGA]])</f>
        <v>0</v>
      </c>
      <c r="AW744" s="7">
        <f>IF(F744=1,IF(D744="",NA(),VLOOKUP(C744&amp;TableCosts[[#This Row],[Calc_N_Typ]],TRAN_STRITEMS_LABEL,7,0)),0)</f>
        <v>0</v>
      </c>
      <c r="AX744" s="7">
        <f t="shared" si="141"/>
        <v>0</v>
      </c>
      <c r="AY744" s="57" t="str">
        <f t="shared" si="142"/>
        <v/>
      </c>
      <c r="AZ744" s="57" t="str">
        <f t="shared" si="143"/>
        <v/>
      </c>
      <c r="BA744" s="57" t="str">
        <f>IF(F744=1,IF(TableCosts[[#This Row],[TransferFrom]]=TableCosts[[#This Row],[TranferTo]],0,1),"")</f>
        <v/>
      </c>
      <c r="BB744" s="7">
        <f t="shared" si="144"/>
        <v>0</v>
      </c>
      <c r="BC744" s="7">
        <f t="shared" si="145"/>
        <v>0</v>
      </c>
    </row>
    <row r="745" spans="2:55" s="7" customFormat="1" ht="12.75" x14ac:dyDescent="0.2">
      <c r="B745" s="33"/>
      <c r="C745" s="31"/>
      <c r="D745" s="40"/>
      <c r="E745" s="6" t="str">
        <f>IF(F745=1,IF(ISERROR(TableCosts[[#This Row],[N_Tariff]]),Err_Message1,IF(TableCosts[[#This Row],[N_Tariff]]=0,Err_Message2,VLOOKUP(C745&amp;TableCosts[[#This Row],[Calc_N_Typ]],TRAN_STRITEMS_LABEL,5,FALSE))),"")</f>
        <v/>
      </c>
      <c r="F745" s="6">
        <f t="shared" si="146"/>
        <v>0</v>
      </c>
      <c r="G745" s="6" t="str">
        <f>IF(F745=1,IFERROR(VLOOKUP(E745,Tab_ErrMessage[],2,0),VLOOKUP(C745&amp;TableCosts[[#This Row],[Calc_N_Typ]],TRAN_STRITEMS_LABEL,4,FALSE)),"")</f>
        <v/>
      </c>
      <c r="H745" s="40"/>
      <c r="I745" s="40"/>
      <c r="J745" s="35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  <c r="AD745" s="24"/>
      <c r="AE745" s="24"/>
      <c r="AF745" s="24"/>
      <c r="AG745" s="24"/>
      <c r="AH745" s="24"/>
      <c r="AI745" s="24"/>
      <c r="AJ745" s="24"/>
      <c r="AK745" s="38">
        <f t="array" ref="AK745">IF(F745=1,SUM((ROW(M0)=ROW(AK745))*(M0+M1_+M2_+M3_+M4_+M5_+M6_+M7_+M8_+M9_+M10_+M11_+M12_+M13_+M14_+M15_+M16_+M17_+M18_+M19_+M20_+M21_+M22_+M23_+M24_+M25_)),0)</f>
        <v>0</v>
      </c>
      <c r="AL745" s="27">
        <f>TableCosts[[#This Row],[N_Direct]]</f>
        <v>0</v>
      </c>
      <c r="AN745" s="7" t="str">
        <f t="shared" si="153"/>
        <v/>
      </c>
      <c r="AO745" s="7" t="str">
        <f t="shared" si="138"/>
        <v/>
      </c>
      <c r="AP745" s="7" t="str">
        <f t="shared" si="154"/>
        <v/>
      </c>
      <c r="AQ745" s="7" t="str">
        <f t="shared" si="139"/>
        <v/>
      </c>
      <c r="AR745" s="7" t="str">
        <f t="shared" si="155"/>
        <v/>
      </c>
      <c r="AS745" s="7">
        <f t="shared" si="140"/>
        <v>0</v>
      </c>
      <c r="AT745" s="17">
        <f>TableCosts[[#This Row],[N_Amount]]*TableCosts[[#This Row],[N_Tariff]]*TableCosts[[#This Row],[N_ItemsCount]]</f>
        <v>0</v>
      </c>
      <c r="AU745" s="17">
        <f>IF(F745=1,IF(TableCosts[[#This Row],[N_Kateg]]="interné práce",TableCosts[[#This Row],[N_Amount]]*8*PAR_SGA_PERHOUR,0),0)</f>
        <v>0</v>
      </c>
      <c r="AV745" s="17">
        <f>SUM(TableCosts[[#This Row],[N_Direct]:[N_SGA]])</f>
        <v>0</v>
      </c>
      <c r="AW745" s="7">
        <f>IF(F745=1,IF(D745="",NA(),VLOOKUP(C745&amp;TableCosts[[#This Row],[Calc_N_Typ]],TRAN_STRITEMS_LABEL,7,0)),0)</f>
        <v>0</v>
      </c>
      <c r="AX745" s="7">
        <f t="shared" si="141"/>
        <v>0</v>
      </c>
      <c r="AY745" s="57" t="str">
        <f t="shared" si="142"/>
        <v/>
      </c>
      <c r="AZ745" s="57" t="str">
        <f t="shared" si="143"/>
        <v/>
      </c>
      <c r="BA745" s="57" t="str">
        <f>IF(F745=1,IF(TableCosts[[#This Row],[TransferFrom]]=TableCosts[[#This Row],[TranferTo]],0,1),"")</f>
        <v/>
      </c>
      <c r="BB745" s="7">
        <f t="shared" si="144"/>
        <v>0</v>
      </c>
      <c r="BC745" s="7">
        <f t="shared" si="145"/>
        <v>0</v>
      </c>
    </row>
    <row r="746" spans="2:55" s="7" customFormat="1" ht="12.75" x14ac:dyDescent="0.2">
      <c r="B746" s="33"/>
      <c r="C746" s="31"/>
      <c r="D746" s="40"/>
      <c r="E746" s="6" t="str">
        <f>IF(F746=1,IF(ISERROR(TableCosts[[#This Row],[N_Tariff]]),Err_Message1,IF(TableCosts[[#This Row],[N_Tariff]]=0,Err_Message2,VLOOKUP(C746&amp;TableCosts[[#This Row],[Calc_N_Typ]],TRAN_STRITEMS_LABEL,5,FALSE))),"")</f>
        <v/>
      </c>
      <c r="F746" s="6">
        <f t="shared" si="146"/>
        <v>0</v>
      </c>
      <c r="G746" s="6" t="str">
        <f>IF(F746=1,IFERROR(VLOOKUP(E746,Tab_ErrMessage[],2,0),VLOOKUP(C746&amp;TableCosts[[#This Row],[Calc_N_Typ]],TRAN_STRITEMS_LABEL,4,FALSE)),"")</f>
        <v/>
      </c>
      <c r="H746" s="40"/>
      <c r="I746" s="40"/>
      <c r="J746" s="35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  <c r="AD746" s="24"/>
      <c r="AE746" s="24"/>
      <c r="AF746" s="24"/>
      <c r="AG746" s="24"/>
      <c r="AH746" s="24"/>
      <c r="AI746" s="24"/>
      <c r="AJ746" s="24"/>
      <c r="AK746" s="38">
        <f t="array" ref="AK746">IF(F746=1,SUM((ROW(M0)=ROW(AK746))*(M0+M1_+M2_+M3_+M4_+M5_+M6_+M7_+M8_+M9_+M10_+M11_+M12_+M13_+M14_+M15_+M16_+M17_+M18_+M19_+M20_+M21_+M22_+M23_+M24_+M25_)),0)</f>
        <v>0</v>
      </c>
      <c r="AL746" s="27">
        <f>TableCosts[[#This Row],[N_Direct]]</f>
        <v>0</v>
      </c>
      <c r="AN746" s="7" t="str">
        <f t="shared" si="153"/>
        <v/>
      </c>
      <c r="AO746" s="7" t="str">
        <f t="shared" si="138"/>
        <v/>
      </c>
      <c r="AP746" s="7" t="str">
        <f t="shared" si="154"/>
        <v/>
      </c>
      <c r="AQ746" s="7" t="str">
        <f t="shared" si="139"/>
        <v/>
      </c>
      <c r="AR746" s="7" t="str">
        <f t="shared" si="155"/>
        <v/>
      </c>
      <c r="AS746" s="7">
        <f t="shared" si="140"/>
        <v>0</v>
      </c>
      <c r="AT746" s="17">
        <f>TableCosts[[#This Row],[N_Amount]]*TableCosts[[#This Row],[N_Tariff]]*TableCosts[[#This Row],[N_ItemsCount]]</f>
        <v>0</v>
      </c>
      <c r="AU746" s="17">
        <f>IF(F746=1,IF(TableCosts[[#This Row],[N_Kateg]]="interné práce",TableCosts[[#This Row],[N_Amount]]*8*PAR_SGA_PERHOUR,0),0)</f>
        <v>0</v>
      </c>
      <c r="AV746" s="17">
        <f>SUM(TableCosts[[#This Row],[N_Direct]:[N_SGA]])</f>
        <v>0</v>
      </c>
      <c r="AW746" s="7">
        <f>IF(F746=1,IF(D746="",NA(),VLOOKUP(C746&amp;TableCosts[[#This Row],[Calc_N_Typ]],TRAN_STRITEMS_LABEL,7,0)),0)</f>
        <v>0</v>
      </c>
      <c r="AX746" s="7">
        <f t="shared" si="141"/>
        <v>0</v>
      </c>
      <c r="AY746" s="57" t="str">
        <f t="shared" si="142"/>
        <v/>
      </c>
      <c r="AZ746" s="57" t="str">
        <f t="shared" si="143"/>
        <v/>
      </c>
      <c r="BA746" s="57" t="str">
        <f>IF(F746=1,IF(TableCosts[[#This Row],[TransferFrom]]=TableCosts[[#This Row],[TranferTo]],0,1),"")</f>
        <v/>
      </c>
      <c r="BB746" s="7">
        <f t="shared" si="144"/>
        <v>0</v>
      </c>
      <c r="BC746" s="7">
        <f t="shared" si="145"/>
        <v>0</v>
      </c>
    </row>
    <row r="747" spans="2:55" s="7" customFormat="1" ht="12.75" x14ac:dyDescent="0.2">
      <c r="B747" s="33"/>
      <c r="C747" s="31"/>
      <c r="D747" s="40"/>
      <c r="E747" s="6" t="str">
        <f>IF(F747=1,IF(ISERROR(TableCosts[[#This Row],[N_Tariff]]),Err_Message1,IF(TableCosts[[#This Row],[N_Tariff]]=0,Err_Message2,VLOOKUP(C747&amp;TableCosts[[#This Row],[Calc_N_Typ]],TRAN_STRITEMS_LABEL,5,FALSE))),"")</f>
        <v/>
      </c>
      <c r="F747" s="6">
        <f t="shared" si="146"/>
        <v>0</v>
      </c>
      <c r="G747" s="6" t="str">
        <f>IF(F747=1,IFERROR(VLOOKUP(E747,Tab_ErrMessage[],2,0),VLOOKUP(C747&amp;TableCosts[[#This Row],[Calc_N_Typ]],TRAN_STRITEMS_LABEL,4,FALSE)),"")</f>
        <v/>
      </c>
      <c r="H747" s="40"/>
      <c r="I747" s="40"/>
      <c r="J747" s="35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  <c r="AD747" s="24"/>
      <c r="AE747" s="24"/>
      <c r="AF747" s="24"/>
      <c r="AG747" s="24"/>
      <c r="AH747" s="24"/>
      <c r="AI747" s="24"/>
      <c r="AJ747" s="24"/>
      <c r="AK747" s="38">
        <f t="array" ref="AK747">IF(F747=1,SUM((ROW(M0)=ROW(AK747))*(M0+M1_+M2_+M3_+M4_+M5_+M6_+M7_+M8_+M9_+M10_+M11_+M12_+M13_+M14_+M15_+M16_+M17_+M18_+M19_+M20_+M21_+M22_+M23_+M24_+M25_)),0)</f>
        <v>0</v>
      </c>
      <c r="AL747" s="27">
        <f>TableCosts[[#This Row],[N_Direct]]</f>
        <v>0</v>
      </c>
      <c r="AN747" s="7" t="str">
        <f t="shared" si="153"/>
        <v/>
      </c>
      <c r="AO747" s="7" t="str">
        <f t="shared" si="138"/>
        <v/>
      </c>
      <c r="AP747" s="7" t="str">
        <f t="shared" si="154"/>
        <v/>
      </c>
      <c r="AQ747" s="7" t="str">
        <f t="shared" si="139"/>
        <v/>
      </c>
      <c r="AR747" s="7" t="str">
        <f t="shared" si="155"/>
        <v/>
      </c>
      <c r="AS747" s="7">
        <f t="shared" si="140"/>
        <v>0</v>
      </c>
      <c r="AT747" s="17">
        <f>TableCosts[[#This Row],[N_Amount]]*TableCosts[[#This Row],[N_Tariff]]*TableCosts[[#This Row],[N_ItemsCount]]</f>
        <v>0</v>
      </c>
      <c r="AU747" s="17">
        <f>IF(F747=1,IF(TableCosts[[#This Row],[N_Kateg]]="interné práce",TableCosts[[#This Row],[N_Amount]]*8*PAR_SGA_PERHOUR,0),0)</f>
        <v>0</v>
      </c>
      <c r="AV747" s="17">
        <f>SUM(TableCosts[[#This Row],[N_Direct]:[N_SGA]])</f>
        <v>0</v>
      </c>
      <c r="AW747" s="7">
        <f>IF(F747=1,IF(D747="",NA(),VLOOKUP(C747&amp;TableCosts[[#This Row],[Calc_N_Typ]],TRAN_STRITEMS_LABEL,7,0)),0)</f>
        <v>0</v>
      </c>
      <c r="AX747" s="7">
        <f t="shared" si="141"/>
        <v>0</v>
      </c>
      <c r="AY747" s="57" t="str">
        <f t="shared" si="142"/>
        <v/>
      </c>
      <c r="AZ747" s="57" t="str">
        <f t="shared" si="143"/>
        <v/>
      </c>
      <c r="BA747" s="57" t="str">
        <f>IF(F747=1,IF(TableCosts[[#This Row],[TransferFrom]]=TableCosts[[#This Row],[TranferTo]],0,1),"")</f>
        <v/>
      </c>
      <c r="BB747" s="7">
        <f t="shared" si="144"/>
        <v>0</v>
      </c>
      <c r="BC747" s="7">
        <f t="shared" si="145"/>
        <v>0</v>
      </c>
    </row>
    <row r="748" spans="2:55" s="7" customFormat="1" ht="12.75" x14ac:dyDescent="0.2">
      <c r="B748" s="33"/>
      <c r="C748" s="31"/>
      <c r="D748" s="40"/>
      <c r="E748" s="6" t="str">
        <f>IF(F748=1,IF(ISERROR(TableCosts[[#This Row],[N_Tariff]]),Err_Message1,IF(TableCosts[[#This Row],[N_Tariff]]=0,Err_Message2,VLOOKUP(C748&amp;TableCosts[[#This Row],[Calc_N_Typ]],TRAN_STRITEMS_LABEL,5,FALSE))),"")</f>
        <v/>
      </c>
      <c r="F748" s="6">
        <f t="shared" si="146"/>
        <v>0</v>
      </c>
      <c r="G748" s="6" t="str">
        <f>IF(F748=1,IFERROR(VLOOKUP(E748,Tab_ErrMessage[],2,0),VLOOKUP(C748&amp;TableCosts[[#This Row],[Calc_N_Typ]],TRAN_STRITEMS_LABEL,4,FALSE)),"")</f>
        <v/>
      </c>
      <c r="H748" s="40"/>
      <c r="I748" s="40"/>
      <c r="J748" s="35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  <c r="AD748" s="24"/>
      <c r="AE748" s="24"/>
      <c r="AF748" s="24"/>
      <c r="AG748" s="24"/>
      <c r="AH748" s="24"/>
      <c r="AI748" s="24"/>
      <c r="AJ748" s="24"/>
      <c r="AK748" s="38">
        <f t="array" ref="AK748">IF(F748=1,SUM((ROW(M0)=ROW(AK748))*(M0+M1_+M2_+M3_+M4_+M5_+M6_+M7_+M8_+M9_+M10_+M11_+M12_+M13_+M14_+M15_+M16_+M17_+M18_+M19_+M20_+M21_+M22_+M23_+M24_+M25_)),0)</f>
        <v>0</v>
      </c>
      <c r="AL748" s="27">
        <f>TableCosts[[#This Row],[N_Direct]]</f>
        <v>0</v>
      </c>
      <c r="AN748" s="7" t="str">
        <f t="shared" si="153"/>
        <v/>
      </c>
      <c r="AO748" s="7" t="str">
        <f t="shared" si="138"/>
        <v/>
      </c>
      <c r="AP748" s="7" t="str">
        <f t="shared" si="154"/>
        <v/>
      </c>
      <c r="AQ748" s="7" t="str">
        <f t="shared" si="139"/>
        <v/>
      </c>
      <c r="AR748" s="7" t="str">
        <f t="shared" si="155"/>
        <v/>
      </c>
      <c r="AS748" s="7">
        <f t="shared" si="140"/>
        <v>0</v>
      </c>
      <c r="AT748" s="17">
        <f>TableCosts[[#This Row],[N_Amount]]*TableCosts[[#This Row],[N_Tariff]]*TableCosts[[#This Row],[N_ItemsCount]]</f>
        <v>0</v>
      </c>
      <c r="AU748" s="17">
        <f>IF(F748=1,IF(TableCosts[[#This Row],[N_Kateg]]="interné práce",TableCosts[[#This Row],[N_Amount]]*8*PAR_SGA_PERHOUR,0),0)</f>
        <v>0</v>
      </c>
      <c r="AV748" s="17">
        <f>SUM(TableCosts[[#This Row],[N_Direct]:[N_SGA]])</f>
        <v>0</v>
      </c>
      <c r="AW748" s="7">
        <f>IF(F748=1,IF(D748="",NA(),VLOOKUP(C748&amp;TableCosts[[#This Row],[Calc_N_Typ]],TRAN_STRITEMS_LABEL,7,0)),0)</f>
        <v>0</v>
      </c>
      <c r="AX748" s="7">
        <f t="shared" si="141"/>
        <v>0</v>
      </c>
      <c r="AY748" s="57" t="str">
        <f t="shared" si="142"/>
        <v/>
      </c>
      <c r="AZ748" s="57" t="str">
        <f t="shared" si="143"/>
        <v/>
      </c>
      <c r="BA748" s="57" t="str">
        <f>IF(F748=1,IF(TableCosts[[#This Row],[TransferFrom]]=TableCosts[[#This Row],[TranferTo]],0,1),"")</f>
        <v/>
      </c>
      <c r="BB748" s="7">
        <f t="shared" si="144"/>
        <v>0</v>
      </c>
      <c r="BC748" s="7">
        <f t="shared" si="145"/>
        <v>0</v>
      </c>
    </row>
    <row r="749" spans="2:55" s="7" customFormat="1" ht="12.75" x14ac:dyDescent="0.2">
      <c r="B749" s="33"/>
      <c r="C749" s="31"/>
      <c r="D749" s="40"/>
      <c r="E749" s="6" t="str">
        <f>IF(F749=1,IF(ISERROR(TableCosts[[#This Row],[N_Tariff]]),Err_Message1,IF(TableCosts[[#This Row],[N_Tariff]]=0,Err_Message2,VLOOKUP(C749&amp;TableCosts[[#This Row],[Calc_N_Typ]],TRAN_STRITEMS_LABEL,5,FALSE))),"")</f>
        <v/>
      </c>
      <c r="F749" s="6">
        <f t="shared" si="146"/>
        <v>0</v>
      </c>
      <c r="G749" s="6" t="str">
        <f>IF(F749=1,IFERROR(VLOOKUP(E749,Tab_ErrMessage[],2,0),VLOOKUP(C749&amp;TableCosts[[#This Row],[Calc_N_Typ]],TRAN_STRITEMS_LABEL,4,FALSE)),"")</f>
        <v/>
      </c>
      <c r="H749" s="40"/>
      <c r="I749" s="40"/>
      <c r="J749" s="35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  <c r="AD749" s="24"/>
      <c r="AE749" s="24"/>
      <c r="AF749" s="24"/>
      <c r="AG749" s="24"/>
      <c r="AH749" s="24"/>
      <c r="AI749" s="24"/>
      <c r="AJ749" s="24"/>
      <c r="AK749" s="38">
        <f t="array" ref="AK749">IF(F749=1,SUM((ROW(M0)=ROW(AK749))*(M0+M1_+M2_+M3_+M4_+M5_+M6_+M7_+M8_+M9_+M10_+M11_+M12_+M13_+M14_+M15_+M16_+M17_+M18_+M19_+M20_+M21_+M22_+M23_+M24_+M25_)),0)</f>
        <v>0</v>
      </c>
      <c r="AL749" s="27">
        <f>TableCosts[[#This Row],[N_Direct]]</f>
        <v>0</v>
      </c>
      <c r="AN749" s="7" t="str">
        <f t="shared" si="153"/>
        <v/>
      </c>
      <c r="AO749" s="7" t="str">
        <f t="shared" si="138"/>
        <v/>
      </c>
      <c r="AP749" s="7" t="str">
        <f t="shared" si="154"/>
        <v/>
      </c>
      <c r="AQ749" s="7" t="str">
        <f t="shared" si="139"/>
        <v/>
      </c>
      <c r="AR749" s="7" t="str">
        <f t="shared" si="155"/>
        <v/>
      </c>
      <c r="AS749" s="7">
        <f t="shared" si="140"/>
        <v>0</v>
      </c>
      <c r="AT749" s="17">
        <f>TableCosts[[#This Row],[N_Amount]]*TableCosts[[#This Row],[N_Tariff]]*TableCosts[[#This Row],[N_ItemsCount]]</f>
        <v>0</v>
      </c>
      <c r="AU749" s="17">
        <f>IF(F749=1,IF(TableCosts[[#This Row],[N_Kateg]]="interné práce",TableCosts[[#This Row],[N_Amount]]*8*PAR_SGA_PERHOUR,0),0)</f>
        <v>0</v>
      </c>
      <c r="AV749" s="17">
        <f>SUM(TableCosts[[#This Row],[N_Direct]:[N_SGA]])</f>
        <v>0</v>
      </c>
      <c r="AW749" s="7">
        <f>IF(F749=1,IF(D749="",NA(),VLOOKUP(C749&amp;TableCosts[[#This Row],[Calc_N_Typ]],TRAN_STRITEMS_LABEL,7,0)),0)</f>
        <v>0</v>
      </c>
      <c r="AX749" s="7">
        <f t="shared" si="141"/>
        <v>0</v>
      </c>
      <c r="AY749" s="57" t="str">
        <f t="shared" si="142"/>
        <v/>
      </c>
      <c r="AZ749" s="57" t="str">
        <f t="shared" si="143"/>
        <v/>
      </c>
      <c r="BA749" s="57" t="str">
        <f>IF(F749=1,IF(TableCosts[[#This Row],[TransferFrom]]=TableCosts[[#This Row],[TranferTo]],0,1),"")</f>
        <v/>
      </c>
      <c r="BB749" s="7">
        <f t="shared" si="144"/>
        <v>0</v>
      </c>
      <c r="BC749" s="7">
        <f t="shared" si="145"/>
        <v>0</v>
      </c>
    </row>
    <row r="750" spans="2:55" s="7" customFormat="1" ht="12.75" x14ac:dyDescent="0.2">
      <c r="B750" s="34"/>
      <c r="C750" s="32"/>
      <c r="D750" s="41"/>
      <c r="E750" s="32" t="str">
        <f>IF(F750=1,IF(ISERROR(TableCosts[[#This Row],[N_Tariff]]),Err_Message1,IF(TableCosts[[#This Row],[N_Tariff]]=0,Err_Message2,VLOOKUP(C750&amp;TableCosts[[#This Row],[Calc_N_Typ]],TRAN_STRITEMS_LABEL,5,FALSE))),"")</f>
        <v/>
      </c>
      <c r="F750" s="32">
        <f t="shared" si="146"/>
        <v>0</v>
      </c>
      <c r="G750" s="32" t="str">
        <f>IF(F750=1,IFERROR(VLOOKUP(E750,Tab_ErrMessage[],2,0),VLOOKUP(C750&amp;TableCosts[[#This Row],[Calc_N_Typ]],TRAN_STRITEMS_LABEL,4,FALSE)),"")</f>
        <v/>
      </c>
      <c r="H750" s="41"/>
      <c r="I750" s="41"/>
      <c r="J750" s="3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6"/>
      <c r="AB750" s="26"/>
      <c r="AC750" s="26"/>
      <c r="AD750" s="26"/>
      <c r="AE750" s="26"/>
      <c r="AF750" s="26"/>
      <c r="AG750" s="26"/>
      <c r="AH750" s="26"/>
      <c r="AI750" s="26"/>
      <c r="AJ750" s="26"/>
      <c r="AK750" s="39">
        <f t="array" ref="AK750">IF(F750=1,SUM((ROW(M0)=ROW(AK750))*(M0+M1_+M2_+M3_+M4_+M5_+M6_+M7_+M8_+M9_+M10_+M11_+M12_+M13_+M14_+M15_+M16_+M17_+M18_+M19_+M20_+M21_+M22_+M23_+M24_+M25_)),0)</f>
        <v>0</v>
      </c>
      <c r="AL750" s="28">
        <f>TableCosts[[#This Row],[N_Direct]]</f>
        <v>0</v>
      </c>
      <c r="AN750" s="7" t="str">
        <f t="shared" si="135"/>
        <v/>
      </c>
      <c r="AO750" s="7" t="str">
        <f t="shared" si="138"/>
        <v/>
      </c>
      <c r="AP750" s="7" t="str">
        <f t="shared" si="136"/>
        <v/>
      </c>
      <c r="AQ750" s="7" t="str">
        <f t="shared" si="139"/>
        <v/>
      </c>
      <c r="AR750" s="7" t="str">
        <f t="shared" si="137"/>
        <v/>
      </c>
      <c r="AS750" s="7">
        <f t="shared" si="140"/>
        <v>0</v>
      </c>
      <c r="AT750" s="17">
        <f>TableCosts[[#This Row],[N_Amount]]*TableCosts[[#This Row],[N_Tariff]]*TableCosts[[#This Row],[N_ItemsCount]]</f>
        <v>0</v>
      </c>
      <c r="AU750" s="17">
        <f>IF(F750=1,IF(TableCosts[[#This Row],[N_Kateg]]="interné práce",TableCosts[[#This Row],[N_Amount]]*8*PAR_SGA_PERHOUR,0),0)</f>
        <v>0</v>
      </c>
      <c r="AV750" s="17">
        <f>SUM(TableCosts[[#This Row],[N_Direct]:[N_SGA]])</f>
        <v>0</v>
      </c>
      <c r="AW750" s="7">
        <f>IF(F750=1,IF(D750="",NA(),VLOOKUP(C750&amp;TableCosts[[#This Row],[Calc_N_Typ]],TRAN_STRITEMS_LABEL,7,0)),0)</f>
        <v>0</v>
      </c>
      <c r="AX750" s="7">
        <f t="shared" si="141"/>
        <v>0</v>
      </c>
      <c r="AY750" s="57" t="str">
        <f t="shared" si="142"/>
        <v/>
      </c>
      <c r="AZ750" s="57" t="str">
        <f t="shared" si="143"/>
        <v/>
      </c>
      <c r="BA750" s="57" t="str">
        <f>IF(F750=1,IF(TableCosts[[#This Row],[TransferFrom]]=TableCosts[[#This Row],[TranferTo]],0,1),"")</f>
        <v/>
      </c>
      <c r="BB750" s="7">
        <f t="shared" si="144"/>
        <v>0</v>
      </c>
      <c r="BC750" s="7">
        <f t="shared" si="145"/>
        <v>0</v>
      </c>
    </row>
    <row r="751" spans="2:55" x14ac:dyDescent="0.25">
      <c r="K751" s="54"/>
      <c r="AN751" s="7"/>
      <c r="AO751" s="7"/>
      <c r="AP751" s="7"/>
      <c r="AQ751" s="7"/>
      <c r="AR751" s="7"/>
      <c r="AS751" s="14">
        <f>SUBTOTAL(109,AS7:AS750)</f>
        <v>0</v>
      </c>
      <c r="AT751" s="59">
        <f>SUBTOTAL(109,AT7:AT750)</f>
        <v>0</v>
      </c>
      <c r="AU751" s="59">
        <f>SUBTOTAL(109,AU7:AU750)</f>
        <v>0</v>
      </c>
      <c r="AV751" s="59">
        <f>SUBTOTAL(109,AV7:AV750)</f>
        <v>0</v>
      </c>
      <c r="AW751" s="14"/>
      <c r="AX751" s="14"/>
      <c r="AY751" s="14"/>
      <c r="AZ751" s="14"/>
      <c r="BA751" s="14"/>
      <c r="BB751" s="14"/>
      <c r="BC751" s="14"/>
    </row>
    <row r="752" spans="2:55" ht="14.45" hidden="1" x14ac:dyDescent="0.3">
      <c r="K752" s="2">
        <f>SUM(M0)</f>
        <v>0</v>
      </c>
      <c r="L752" s="2">
        <f>SUM(M1_)</f>
        <v>0</v>
      </c>
      <c r="M752" s="2">
        <f>SUM(M2_)</f>
        <v>0</v>
      </c>
      <c r="N752" s="2">
        <f>SUM(M3_)</f>
        <v>0</v>
      </c>
      <c r="O752" s="2">
        <f>SUM(M4_)</f>
        <v>0</v>
      </c>
      <c r="P752" s="2">
        <f>SUM(M5_)</f>
        <v>0</v>
      </c>
      <c r="Q752" s="2">
        <f>SUM(M6_)</f>
        <v>0</v>
      </c>
      <c r="R752" s="2">
        <f>SUM(M7_)</f>
        <v>0</v>
      </c>
      <c r="S752" s="2">
        <f>SUM(M8_)</f>
        <v>0</v>
      </c>
      <c r="T752" s="2">
        <f>SUM(M9_)</f>
        <v>0</v>
      </c>
      <c r="U752" s="2">
        <f>SUM(M10_)</f>
        <v>0</v>
      </c>
      <c r="V752" s="2">
        <f>SUM(M11_)</f>
        <v>0</v>
      </c>
      <c r="W752" s="2">
        <f>SUM(M12_)</f>
        <v>0</v>
      </c>
      <c r="X752" s="2">
        <f>SUM(M13_)</f>
        <v>0</v>
      </c>
      <c r="Y752" s="2">
        <f>SUM(M14_)</f>
        <v>0</v>
      </c>
      <c r="Z752" s="2">
        <f>SUM(M15_)</f>
        <v>0</v>
      </c>
      <c r="AA752" s="2">
        <f>SUM(M16_)</f>
        <v>0</v>
      </c>
      <c r="AB752" s="2">
        <f>SUM(M17_)</f>
        <v>0</v>
      </c>
      <c r="AC752" s="2">
        <f>SUM(M18_)</f>
        <v>0</v>
      </c>
      <c r="AD752" s="2">
        <f>SUM(M19_)</f>
        <v>0</v>
      </c>
      <c r="AE752" s="2">
        <f>SUM(M20_)</f>
        <v>0</v>
      </c>
      <c r="AF752" s="2">
        <f>SUM(M21_)</f>
        <v>0</v>
      </c>
      <c r="AG752" s="2">
        <f>SUM(M22_)</f>
        <v>0</v>
      </c>
      <c r="AH752" s="54">
        <f>SUM(M23_)</f>
        <v>0</v>
      </c>
      <c r="AI752" s="2">
        <f>SUM(M24_)</f>
        <v>0</v>
      </c>
      <c r="AJ752" s="2">
        <f>SUM(M25_)</f>
        <v>0</v>
      </c>
    </row>
    <row r="753" spans="8:36" ht="14.45" hidden="1" x14ac:dyDescent="0.3">
      <c r="H753" s="2">
        <f>MAX(K753:AJ753)</f>
        <v>0</v>
      </c>
      <c r="K753" s="2">
        <f>K752+J753</f>
        <v>0</v>
      </c>
      <c r="L753" s="2">
        <f t="shared" ref="L753:AJ753" si="156">L752+K753</f>
        <v>0</v>
      </c>
      <c r="M753" s="2">
        <f t="shared" si="156"/>
        <v>0</v>
      </c>
      <c r="N753" s="2">
        <f t="shared" si="156"/>
        <v>0</v>
      </c>
      <c r="O753" s="2">
        <f t="shared" si="156"/>
        <v>0</v>
      </c>
      <c r="P753" s="2">
        <f t="shared" si="156"/>
        <v>0</v>
      </c>
      <c r="Q753" s="2">
        <f t="shared" si="156"/>
        <v>0</v>
      </c>
      <c r="R753" s="2">
        <f t="shared" si="156"/>
        <v>0</v>
      </c>
      <c r="S753" s="2">
        <f t="shared" si="156"/>
        <v>0</v>
      </c>
      <c r="T753" s="2">
        <f t="shared" si="156"/>
        <v>0</v>
      </c>
      <c r="U753" s="2">
        <f t="shared" si="156"/>
        <v>0</v>
      </c>
      <c r="V753" s="2">
        <f t="shared" si="156"/>
        <v>0</v>
      </c>
      <c r="W753" s="2">
        <f t="shared" si="156"/>
        <v>0</v>
      </c>
      <c r="X753" s="2">
        <f t="shared" si="156"/>
        <v>0</v>
      </c>
      <c r="Y753" s="2">
        <f t="shared" si="156"/>
        <v>0</v>
      </c>
      <c r="Z753" s="2">
        <f t="shared" si="156"/>
        <v>0</v>
      </c>
      <c r="AA753" s="2">
        <f t="shared" si="156"/>
        <v>0</v>
      </c>
      <c r="AB753" s="2">
        <f t="shared" si="156"/>
        <v>0</v>
      </c>
      <c r="AC753" s="2">
        <f t="shared" si="156"/>
        <v>0</v>
      </c>
      <c r="AD753" s="2">
        <f t="shared" si="156"/>
        <v>0</v>
      </c>
      <c r="AE753" s="2">
        <f t="shared" si="156"/>
        <v>0</v>
      </c>
      <c r="AF753" s="2">
        <f t="shared" si="156"/>
        <v>0</v>
      </c>
      <c r="AG753" s="2">
        <f t="shared" si="156"/>
        <v>0</v>
      </c>
      <c r="AH753" s="2">
        <f t="shared" si="156"/>
        <v>0</v>
      </c>
      <c r="AI753" s="2">
        <f t="shared" si="156"/>
        <v>0</v>
      </c>
      <c r="AJ753" s="2">
        <f t="shared" si="156"/>
        <v>0</v>
      </c>
    </row>
    <row r="754" spans="8:36" ht="14.45" hidden="1" x14ac:dyDescent="0.3">
      <c r="H754" s="56">
        <f>HLOOKUP(H753,K753:AJ754,2,0)</f>
        <v>45778</v>
      </c>
      <c r="K754" s="55">
        <f>K6</f>
        <v>45778</v>
      </c>
      <c r="L754" s="55">
        <f t="shared" ref="L754:AJ754" si="157">L6</f>
        <v>45809</v>
      </c>
      <c r="M754" s="55">
        <f t="shared" si="157"/>
        <v>45839</v>
      </c>
      <c r="N754" s="55">
        <f t="shared" si="157"/>
        <v>45870</v>
      </c>
      <c r="O754" s="55">
        <f t="shared" si="157"/>
        <v>45901</v>
      </c>
      <c r="P754" s="55">
        <f t="shared" si="157"/>
        <v>45931</v>
      </c>
      <c r="Q754" s="55">
        <f t="shared" si="157"/>
        <v>45962</v>
      </c>
      <c r="R754" s="55">
        <f t="shared" si="157"/>
        <v>45992</v>
      </c>
      <c r="S754" s="55">
        <f t="shared" si="157"/>
        <v>46023</v>
      </c>
      <c r="T754" s="55">
        <f t="shared" si="157"/>
        <v>46054</v>
      </c>
      <c r="U754" s="55">
        <f t="shared" si="157"/>
        <v>46082</v>
      </c>
      <c r="V754" s="55">
        <f t="shared" si="157"/>
        <v>46113</v>
      </c>
      <c r="W754" s="55">
        <f t="shared" si="157"/>
        <v>46143</v>
      </c>
      <c r="X754" s="55">
        <f t="shared" si="157"/>
        <v>46174</v>
      </c>
      <c r="Y754" s="55">
        <f t="shared" si="157"/>
        <v>46204</v>
      </c>
      <c r="Z754" s="55">
        <f t="shared" si="157"/>
        <v>46235</v>
      </c>
      <c r="AA754" s="55">
        <f t="shared" si="157"/>
        <v>46266</v>
      </c>
      <c r="AB754" s="55">
        <f t="shared" si="157"/>
        <v>46296</v>
      </c>
      <c r="AC754" s="55">
        <f t="shared" si="157"/>
        <v>46327</v>
      </c>
      <c r="AD754" s="55">
        <f t="shared" si="157"/>
        <v>46357</v>
      </c>
      <c r="AE754" s="55">
        <f t="shared" si="157"/>
        <v>46388</v>
      </c>
      <c r="AF754" s="55">
        <f t="shared" si="157"/>
        <v>46419</v>
      </c>
      <c r="AG754" s="55">
        <f t="shared" si="157"/>
        <v>46447</v>
      </c>
      <c r="AH754" s="55">
        <f t="shared" si="157"/>
        <v>46478</v>
      </c>
      <c r="AI754" s="55">
        <f t="shared" si="157"/>
        <v>46508</v>
      </c>
      <c r="AJ754" s="55">
        <f t="shared" si="157"/>
        <v>46539</v>
      </c>
    </row>
  </sheetData>
  <sheetProtection algorithmName="SHA-512" hashValue="qWGKtRyF9Y+AneVjYmKZ6UiYPsrziUYAMGLFaZUmfFq1qMCpmcoP3JFhecRtGBfmZl6JOSCMQf2r/ipJq2mnyQ==" saltValue="nXETYzRVxG8rEZI4P5k5ug==" spinCount="100000" sheet="1" objects="1" scenarios="1"/>
  <mergeCells count="18">
    <mergeCell ref="S2:T2"/>
    <mergeCell ref="S3:T3"/>
    <mergeCell ref="S4:T4"/>
    <mergeCell ref="Q2:R2"/>
    <mergeCell ref="Q3:R3"/>
    <mergeCell ref="Q4:R4"/>
    <mergeCell ref="B4:C4"/>
    <mergeCell ref="B5:C5"/>
    <mergeCell ref="B1:D1"/>
    <mergeCell ref="B3:H3"/>
    <mergeCell ref="O2:P2"/>
    <mergeCell ref="O3:P3"/>
    <mergeCell ref="O4:P4"/>
    <mergeCell ref="K2:L2"/>
    <mergeCell ref="K3:L3"/>
    <mergeCell ref="M2:N2"/>
    <mergeCell ref="M3:N3"/>
    <mergeCell ref="M4:N4"/>
  </mergeCells>
  <conditionalFormatting sqref="I8 B8:D8 B7:I7 B9:I750 D7:E10 D7:D750">
    <cfRule type="expression" dxfId="62" priority="48">
      <formula>$F7=-1</formula>
    </cfRule>
  </conditionalFormatting>
  <conditionalFormatting sqref="B9:I9">
    <cfRule type="expression" dxfId="61" priority="35">
      <formula>$F9=-1</formula>
    </cfRule>
  </conditionalFormatting>
  <conditionalFormatting sqref="J7">
    <cfRule type="expression" dxfId="60" priority="28">
      <formula>$F7=-1</formula>
    </cfRule>
  </conditionalFormatting>
  <conditionalFormatting sqref="J8:J750">
    <cfRule type="expression" dxfId="59" priority="21">
      <formula>$F8=-1</formula>
    </cfRule>
  </conditionalFormatting>
  <conditionalFormatting sqref="E7:E750">
    <cfRule type="cellIs" dxfId="58" priority="19" operator="equal">
      <formula>"SKONTROLUJ TYP A"</formula>
    </cfRule>
  </conditionalFormatting>
  <conditionalFormatting sqref="G7:I7 G9:I750 I8">
    <cfRule type="cellIs" dxfId="57" priority="18" operator="equal">
      <formula>"STREDISKO!"</formula>
    </cfRule>
  </conditionalFormatting>
  <conditionalFormatting sqref="H8">
    <cfRule type="expression" dxfId="56" priority="16">
      <formula>$F8=-1</formula>
    </cfRule>
  </conditionalFormatting>
  <conditionalFormatting sqref="H8">
    <cfRule type="expression" dxfId="55" priority="15">
      <formula>$F8=-1</formula>
    </cfRule>
  </conditionalFormatting>
  <conditionalFormatting sqref="H8">
    <cfRule type="cellIs" dxfId="54" priority="14" operator="equal">
      <formula>"STREDISKO!"</formula>
    </cfRule>
  </conditionalFormatting>
  <conditionalFormatting sqref="B7:H750">
    <cfRule type="expression" dxfId="53" priority="13">
      <formula>$F7=-1</formula>
    </cfRule>
  </conditionalFormatting>
  <conditionalFormatting sqref="E7:E750">
    <cfRule type="cellIs" dxfId="52" priority="10" operator="equal">
      <formula>Err_Message2</formula>
    </cfRule>
    <cfRule type="cellIs" dxfId="51" priority="12" operator="equal">
      <formula>Err_Message1</formula>
    </cfRule>
  </conditionalFormatting>
  <conditionalFormatting sqref="G7:G750">
    <cfRule type="cellIs" dxfId="50" priority="9" operator="equal">
      <formula>"SADZBA!"</formula>
    </cfRule>
    <cfRule type="cellIs" dxfId="49" priority="11" operator="equal">
      <formula>"FÁZA!"</formula>
    </cfRule>
  </conditionalFormatting>
  <conditionalFormatting sqref="C8">
    <cfRule type="expression" dxfId="48" priority="8">
      <formula>$F8=-1</formula>
    </cfRule>
  </conditionalFormatting>
  <conditionalFormatting sqref="C7">
    <cfRule type="expression" dxfId="47" priority="7">
      <formula>$F7=-1</formula>
    </cfRule>
  </conditionalFormatting>
  <conditionalFormatting sqref="C10:C750">
    <cfRule type="expression" dxfId="46" priority="6">
      <formula>$F10=-1</formula>
    </cfRule>
  </conditionalFormatting>
  <conditionalFormatting sqref="Q3">
    <cfRule type="iconSet" priority="5">
      <iconSet iconSet="3Symbols2" showValue="0">
        <cfvo type="percent" val="0"/>
        <cfvo type="num" val="0" gte="0"/>
        <cfvo type="num" val="$Q$4"/>
      </iconSet>
    </cfRule>
  </conditionalFormatting>
  <conditionalFormatting sqref="D750">
    <cfRule type="cellIs" dxfId="45" priority="4" operator="equal">
      <formula>"SKONTROLUJ TYP A"</formula>
    </cfRule>
  </conditionalFormatting>
  <conditionalFormatting sqref="D750">
    <cfRule type="cellIs" dxfId="44" priority="2" operator="equal">
      <formula>Err_Message2</formula>
    </cfRule>
    <cfRule type="cellIs" dxfId="43" priority="3" operator="equal">
      <formula>Err_Message1</formula>
    </cfRule>
  </conditionalFormatting>
  <dataValidations count="6">
    <dataValidation type="list" showInputMessage="1" showErrorMessage="1" sqref="B7:B750" xr:uid="{00000000-0002-0000-0000-000000000000}">
      <formula1>CIS_STRUCT_ITEMS</formula1>
    </dataValidation>
    <dataValidation type="date" showInputMessage="1" showErrorMessage="1" sqref="D5" xr:uid="{00000000-0002-0000-0000-000001000000}">
      <formula1>45658</formula1>
      <formula2>46022</formula2>
    </dataValidation>
    <dataValidation type="whole" allowBlank="1" showInputMessage="1" showErrorMessage="1" sqref="J3" xr:uid="{00000000-0002-0000-0000-000002000000}">
      <formula1>0</formula1>
      <formula2>10000</formula2>
    </dataValidation>
    <dataValidation type="list" showInputMessage="1" showErrorMessage="1" sqref="C7:C750" xr:uid="{00000000-0002-0000-0000-000003000000}">
      <formula1>CIS_CENTER</formula1>
    </dataValidation>
    <dataValidation type="list" allowBlank="1" showInputMessage="1" showErrorMessage="1" sqref="D2" xr:uid="{00000000-0002-0000-0000-000004000000}">
      <formula1>CIS_CENTER_WO</formula1>
    </dataValidation>
    <dataValidation type="list" allowBlank="1" showInputMessage="1" showErrorMessage="1" sqref="D7:D750" xr:uid="{00000000-0002-0000-0000-000005000000}">
      <formula1>CIS_WRKS_CATEGORIES</formula1>
    </dataValidation>
  </dataValidations>
  <pageMargins left="0.70866141732283472" right="0.70866141732283472" top="0.74803149606299213" bottom="0.74803149606299213" header="0.31496062992125984" footer="0.31496062992125984"/>
  <pageSetup paperSize="9" scale="35" fitToHeight="0" orientation="landscape" r:id="rId1"/>
  <headerFooter>
    <oddHeader>&amp;CMalý obchodný prípad</oddHeader>
    <oddFooter>&amp;C&amp;P/&amp;N</oddFooter>
  </headerFooter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árok2"/>
  <dimension ref="B1:L43"/>
  <sheetViews>
    <sheetView showGridLines="0" tabSelected="1" view="pageLayout" zoomScaleNormal="100" workbookViewId="0">
      <selection activeCell="D11" sqref="D11:E11"/>
    </sheetView>
  </sheetViews>
  <sheetFormatPr defaultRowHeight="15" x14ac:dyDescent="0.25"/>
  <cols>
    <col min="1" max="1" width="0.85546875" customWidth="1"/>
    <col min="2" max="2" width="27.5703125" customWidth="1"/>
    <col min="3" max="3" width="30.28515625" customWidth="1"/>
    <col min="4" max="4" width="13.5703125" customWidth="1"/>
    <col min="5" max="5" width="14.5703125" customWidth="1"/>
    <col min="9" max="9" width="10.140625" bestFit="1" customWidth="1"/>
  </cols>
  <sheetData>
    <row r="1" spans="2:12" ht="7.5" customHeight="1" x14ac:dyDescent="0.3"/>
    <row r="2" spans="2:12" ht="18.75" x14ac:dyDescent="0.3">
      <c r="C2" s="74" t="s">
        <v>125</v>
      </c>
      <c r="D2" s="64"/>
      <c r="E2" s="64"/>
      <c r="F2" s="64"/>
      <c r="I2" s="63"/>
    </row>
    <row r="4" spans="2:12" ht="14.45" x14ac:dyDescent="0.3">
      <c r="B4" s="2" t="str">
        <f ca="1">"Ponuka predložená na preskúmanie dňa: "&amp;TEXT(TODAY(),"dd.mm.yyyy")</f>
        <v>Ponuka predložená na preskúmanie dňa: 10.04.2025</v>
      </c>
      <c r="D4" s="92"/>
    </row>
    <row r="5" spans="2:12" ht="15.75" customHeight="1" x14ac:dyDescent="0.25">
      <c r="B5" s="124" t="s">
        <v>126</v>
      </c>
      <c r="C5" s="112"/>
      <c r="D5" s="113"/>
      <c r="E5" s="114"/>
    </row>
    <row r="6" spans="2:12" x14ac:dyDescent="0.25">
      <c r="B6" s="125"/>
      <c r="C6" s="115"/>
      <c r="D6" s="116"/>
      <c r="E6" s="117"/>
    </row>
    <row r="7" spans="2:12" ht="31.5" customHeight="1" x14ac:dyDescent="0.25">
      <c r="B7" s="65" t="s">
        <v>127</v>
      </c>
      <c r="C7" s="118"/>
      <c r="D7" s="119"/>
      <c r="E7" s="120"/>
    </row>
    <row r="8" spans="2:12" ht="31.5" customHeight="1" x14ac:dyDescent="0.3">
      <c r="B8" s="65" t="s">
        <v>128</v>
      </c>
      <c r="C8" s="118"/>
      <c r="D8" s="119"/>
      <c r="E8" s="120"/>
      <c r="I8" s="63"/>
    </row>
    <row r="9" spans="2:12" ht="43.5" x14ac:dyDescent="0.25">
      <c r="B9" s="66" t="s">
        <v>145</v>
      </c>
      <c r="C9" s="121"/>
      <c r="D9" s="122"/>
      <c r="E9" s="123"/>
    </row>
    <row r="10" spans="2:12" ht="31.5" customHeight="1" x14ac:dyDescent="0.25">
      <c r="B10" s="75" t="s">
        <v>139</v>
      </c>
      <c r="C10" s="130" t="str">
        <f>LEFT('(1.1) Náklady'!B3,FIND(" ",'(1.1) Náklady'!B3)-1)</f>
        <v>názov/označenie</v>
      </c>
      <c r="D10" s="131"/>
      <c r="E10" s="132"/>
    </row>
    <row r="11" spans="2:12" ht="15.75" customHeight="1" x14ac:dyDescent="0.25">
      <c r="B11" s="142" t="s">
        <v>146</v>
      </c>
      <c r="C11" s="83" t="str">
        <f>"Náklady: "&amp;TEXT('(1.1) Náklady'!J3,"# ###€")</f>
        <v>Náklady: €</v>
      </c>
      <c r="D11" s="138" t="str">
        <f>"Fakturácia: "&amp;TEXT(Par_RevsTotal,"# ###€")</f>
        <v>Fakturácia: €</v>
      </c>
      <c r="E11" s="139"/>
      <c r="H11" s="85"/>
      <c r="L11" s="82"/>
    </row>
    <row r="12" spans="2:12" ht="15.75" customHeight="1" x14ac:dyDescent="0.25">
      <c r="B12" s="143"/>
      <c r="C12" s="96" t="str">
        <f>"GM: "&amp;TEXT('(1.1) Náklady'!M3,"# ###€")&amp;" ("&amp;TEXT('(1.1) Náklady'!M4,"0,0%")&amp;")"</f>
        <v>GM: € ()</v>
      </c>
      <c r="D12" s="140" t="str">
        <f>"GM_IPS: "&amp;TEXT('(1.1) Náklady'!O3,"# ###€")&amp;" ("&amp;TEXT('(1.1) Náklady'!O4,"0,0%")&amp;")"</f>
        <v>GM_IPS: € ()</v>
      </c>
      <c r="E12" s="141"/>
    </row>
    <row r="13" spans="2:12" ht="15.75" customHeight="1" x14ac:dyDescent="0.25">
      <c r="B13" s="97"/>
      <c r="C13" s="84" t="str">
        <f>"ER_IPS: "&amp;TEXT(Par_RevsTotal-Par_Costs3P,"# ### €")&amp;" ("&amp;TEXT(Par_EROwnRatio,"0,0%")&amp;")"</f>
        <v>ER_IPS:  € (0,0%)</v>
      </c>
      <c r="D13" s="110"/>
      <c r="E13" s="111"/>
    </row>
    <row r="15" spans="2:12" x14ac:dyDescent="0.25">
      <c r="B15" t="s">
        <v>129</v>
      </c>
    </row>
    <row r="16" spans="2:12" x14ac:dyDescent="0.25">
      <c r="B16" s="67" t="s">
        <v>130</v>
      </c>
      <c r="C16" s="67" t="s">
        <v>131</v>
      </c>
      <c r="D16" s="67" t="s">
        <v>132</v>
      </c>
      <c r="E16" s="67" t="s">
        <v>133</v>
      </c>
    </row>
    <row r="17" spans="2:5" ht="27" x14ac:dyDescent="0.25">
      <c r="B17" s="68" t="s">
        <v>140</v>
      </c>
      <c r="C17" s="134"/>
      <c r="D17" s="136"/>
      <c r="E17" s="136"/>
    </row>
    <row r="18" spans="2:5" ht="22.5" customHeight="1" x14ac:dyDescent="0.25">
      <c r="B18" s="76"/>
      <c r="C18" s="135"/>
      <c r="D18" s="137"/>
      <c r="E18" s="137"/>
    </row>
    <row r="19" spans="2:5" ht="27" x14ac:dyDescent="0.25">
      <c r="B19" s="68" t="s">
        <v>138</v>
      </c>
      <c r="C19" s="134"/>
      <c r="D19" s="136"/>
      <c r="E19" s="136"/>
    </row>
    <row r="20" spans="2:5" ht="22.5" customHeight="1" x14ac:dyDescent="0.25">
      <c r="B20" s="77"/>
      <c r="C20" s="135"/>
      <c r="D20" s="137"/>
      <c r="E20" s="137"/>
    </row>
    <row r="21" spans="2:5" ht="27" x14ac:dyDescent="0.25">
      <c r="B21" s="68" t="s">
        <v>141</v>
      </c>
      <c r="C21" s="134"/>
      <c r="D21" s="136"/>
      <c r="E21" s="136"/>
    </row>
    <row r="22" spans="2:5" ht="22.5" customHeight="1" x14ac:dyDescent="0.25">
      <c r="B22" s="73"/>
      <c r="C22" s="135"/>
      <c r="D22" s="137"/>
      <c r="E22" s="137"/>
    </row>
    <row r="23" spans="2:5" ht="25.9" hidden="1" x14ac:dyDescent="0.3">
      <c r="B23" s="68" t="s">
        <v>142</v>
      </c>
      <c r="C23" s="134"/>
      <c r="D23" s="136"/>
      <c r="E23" s="136"/>
    </row>
    <row r="24" spans="2:5" ht="22.5" hidden="1" customHeight="1" x14ac:dyDescent="0.3">
      <c r="B24" s="77"/>
      <c r="C24" s="135"/>
      <c r="D24" s="137"/>
      <c r="E24" s="137"/>
    </row>
    <row r="25" spans="2:5" ht="27" x14ac:dyDescent="0.25">
      <c r="B25" s="68" t="s">
        <v>148</v>
      </c>
      <c r="C25" s="134"/>
      <c r="D25" s="136"/>
      <c r="E25" s="136"/>
    </row>
    <row r="26" spans="2:5" ht="22.5" customHeight="1" x14ac:dyDescent="0.25">
      <c r="B26" s="77"/>
      <c r="C26" s="135"/>
      <c r="D26" s="137"/>
      <c r="E26" s="137"/>
    </row>
    <row r="27" spans="2:5" x14ac:dyDescent="0.25">
      <c r="B27" s="78"/>
      <c r="C27" s="79"/>
      <c r="D27" s="79"/>
      <c r="E27" s="79"/>
    </row>
    <row r="28" spans="2:5" x14ac:dyDescent="0.25">
      <c r="B28" t="s">
        <v>134</v>
      </c>
    </row>
    <row r="29" spans="2:5" x14ac:dyDescent="0.25">
      <c r="B29" s="69" t="s">
        <v>135</v>
      </c>
      <c r="C29" s="70"/>
      <c r="D29" s="70"/>
      <c r="E29" s="71"/>
    </row>
    <row r="30" spans="2:5" x14ac:dyDescent="0.25">
      <c r="B30" s="126" t="s">
        <v>143</v>
      </c>
      <c r="C30" s="127"/>
      <c r="D30" s="126" t="s">
        <v>144</v>
      </c>
      <c r="E30" s="127"/>
    </row>
    <row r="31" spans="2:5" x14ac:dyDescent="0.25">
      <c r="B31" s="128"/>
      <c r="C31" s="129"/>
      <c r="D31" s="128"/>
      <c r="E31" s="129"/>
    </row>
    <row r="32" spans="2:5" x14ac:dyDescent="0.25">
      <c r="B32" s="62" t="s">
        <v>136</v>
      </c>
    </row>
    <row r="34" spans="2:5" ht="14.45" hidden="1" x14ac:dyDescent="0.3">
      <c r="B34" s="72" t="s">
        <v>137</v>
      </c>
    </row>
    <row r="35" spans="2:5" x14ac:dyDescent="0.25">
      <c r="B35" s="133"/>
      <c r="C35" s="133"/>
      <c r="D35" s="133"/>
      <c r="E35" s="133"/>
    </row>
    <row r="36" spans="2:5" x14ac:dyDescent="0.25">
      <c r="B36" s="133"/>
      <c r="C36" s="133"/>
      <c r="D36" s="133"/>
      <c r="E36" s="133"/>
    </row>
    <row r="37" spans="2:5" x14ac:dyDescent="0.25">
      <c r="B37" s="133"/>
      <c r="C37" s="133"/>
      <c r="D37" s="133"/>
      <c r="E37" s="133"/>
    </row>
    <row r="42" spans="2:5" ht="12" customHeight="1" x14ac:dyDescent="0.25"/>
    <row r="43" spans="2:5" ht="12" customHeight="1" x14ac:dyDescent="0.25"/>
  </sheetData>
  <sheetProtection algorithmName="SHA-512" hashValue="BdvLmedTaLPNS1OVmUTzpU68iOqRwYoeOUbR1ruQ9Y9mawKmXKQKh8pouUU4+EJ4FHL5z0JPJoq50ezoKE/jLA==" saltValue="ws3XJcQlaKJitvyXCIFZ3A==" spinCount="100000" sheet="1" objects="1" scenarios="1"/>
  <mergeCells count="28">
    <mergeCell ref="C25:C26"/>
    <mergeCell ref="D25:D26"/>
    <mergeCell ref="E25:E26"/>
    <mergeCell ref="E21:E22"/>
    <mergeCell ref="C23:C24"/>
    <mergeCell ref="D23:D24"/>
    <mergeCell ref="E23:E24"/>
    <mergeCell ref="B5:B6"/>
    <mergeCell ref="B30:C31"/>
    <mergeCell ref="D30:E31"/>
    <mergeCell ref="C10:E10"/>
    <mergeCell ref="B35:E37"/>
    <mergeCell ref="C17:C18"/>
    <mergeCell ref="D17:D18"/>
    <mergeCell ref="E17:E18"/>
    <mergeCell ref="C19:C20"/>
    <mergeCell ref="D19:D20"/>
    <mergeCell ref="E19:E20"/>
    <mergeCell ref="C21:C22"/>
    <mergeCell ref="D21:D22"/>
    <mergeCell ref="D11:E11"/>
    <mergeCell ref="D12:E12"/>
    <mergeCell ref="B11:B12"/>
    <mergeCell ref="D13:E13"/>
    <mergeCell ref="C5:E6"/>
    <mergeCell ref="C7:E7"/>
    <mergeCell ref="C8:E8"/>
    <mergeCell ref="C9:E9"/>
  </mergeCells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&amp;L&amp;G&amp;R&amp;G</oddHeader>
    <oddFooter>&amp;L&amp;10
&amp;8
FK-P03-02-01/6_v21&amp;R&amp;8Vyplnený záznam má dôverný charakter a bude 
s ním zaobchádzané ako s dokumentom kategórie &amp;KFF0000DÔVERNÝ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 tint="-0.499984740745262"/>
  </sheetPr>
  <dimension ref="A1:W92"/>
  <sheetViews>
    <sheetView showGridLines="0" zoomScaleNormal="100" workbookViewId="0">
      <pane xSplit="1" ySplit="1" topLeftCell="B17" activePane="bottomRight" state="frozen"/>
      <selection activeCell="B19" sqref="B19:D19"/>
      <selection pane="topRight" activeCell="B19" sqref="B19:D19"/>
      <selection pane="bottomLeft" activeCell="B19" sqref="B19:D19"/>
      <selection pane="bottomRight" activeCell="T2" sqref="T2:T6"/>
    </sheetView>
  </sheetViews>
  <sheetFormatPr defaultColWidth="9.140625" defaultRowHeight="12.75" x14ac:dyDescent="0.2"/>
  <cols>
    <col min="1" max="1" width="56.42578125" style="7" bestFit="1" customWidth="1"/>
    <col min="2" max="2" width="17.42578125" style="7" customWidth="1"/>
    <col min="3" max="3" width="9.140625" style="7"/>
    <col min="4" max="4" width="31" style="7" bestFit="1" customWidth="1"/>
    <col min="5" max="5" width="9.85546875" style="7" bestFit="1" customWidth="1"/>
    <col min="6" max="6" width="21.85546875" style="7" bestFit="1" customWidth="1"/>
    <col min="7" max="7" width="4" style="7" bestFit="1" customWidth="1"/>
    <col min="8" max="8" width="11.42578125" style="7" bestFit="1" customWidth="1"/>
    <col min="9" max="9" width="37.42578125" style="7" bestFit="1" customWidth="1"/>
    <col min="10" max="10" width="8" style="7" bestFit="1" customWidth="1"/>
    <col min="11" max="11" width="8" style="7" customWidth="1"/>
    <col min="12" max="12" width="9.140625" style="7"/>
    <col min="13" max="13" width="12.7109375" style="7" bestFit="1" customWidth="1"/>
    <col min="14" max="14" width="16.7109375" style="7" bestFit="1" customWidth="1"/>
    <col min="15" max="15" width="12.42578125" style="7" bestFit="1" customWidth="1"/>
    <col min="16" max="16" width="16.42578125" style="7" bestFit="1" customWidth="1"/>
    <col min="17" max="17" width="36.7109375" style="7" bestFit="1" customWidth="1"/>
    <col min="18" max="19" width="9.140625" style="7"/>
    <col min="20" max="20" width="17" style="7" customWidth="1"/>
    <col min="21" max="16384" width="9.140625" style="7"/>
  </cols>
  <sheetData>
    <row r="1" spans="1:23" s="14" customFormat="1" x14ac:dyDescent="0.2">
      <c r="A1" s="14" t="s">
        <v>1</v>
      </c>
      <c r="B1" s="14" t="s">
        <v>0</v>
      </c>
      <c r="F1" s="144" t="s">
        <v>12</v>
      </c>
      <c r="G1" s="144"/>
      <c r="H1" s="144"/>
      <c r="I1" s="144"/>
      <c r="J1" s="144"/>
      <c r="K1" s="144"/>
      <c r="M1" s="14" t="s">
        <v>21</v>
      </c>
      <c r="N1" s="14" t="s">
        <v>39</v>
      </c>
      <c r="O1" s="14" t="s">
        <v>37</v>
      </c>
      <c r="P1" s="14" t="s">
        <v>41</v>
      </c>
      <c r="Q1" s="14" t="s">
        <v>12</v>
      </c>
      <c r="S1" s="14" t="s">
        <v>149</v>
      </c>
      <c r="T1" s="14" t="s">
        <v>150</v>
      </c>
      <c r="V1" s="14" t="s">
        <v>115</v>
      </c>
      <c r="W1" s="14" t="s">
        <v>116</v>
      </c>
    </row>
    <row r="2" spans="1:23" s="14" customFormat="1" x14ac:dyDescent="0.2">
      <c r="A2" s="7" t="s">
        <v>124</v>
      </c>
      <c r="B2" s="22">
        <f>LEN(A2)</f>
        <v>14</v>
      </c>
      <c r="F2" s="16" t="s">
        <v>28</v>
      </c>
      <c r="G2" s="15"/>
      <c r="H2" s="15"/>
      <c r="I2" s="15"/>
      <c r="J2" s="15"/>
      <c r="K2" s="15"/>
      <c r="M2" s="7" t="s">
        <v>13</v>
      </c>
      <c r="N2" s="7" t="s">
        <v>44</v>
      </c>
      <c r="O2" s="7" t="s">
        <v>187</v>
      </c>
      <c r="P2" s="7" t="s">
        <v>181</v>
      </c>
      <c r="Q2" s="16" t="s">
        <v>28</v>
      </c>
      <c r="S2" s="7" t="s">
        <v>181</v>
      </c>
      <c r="T2" s="7">
        <v>0.41299999999999998</v>
      </c>
      <c r="V2" s="7" t="s">
        <v>117</v>
      </c>
      <c r="W2" s="7" t="s">
        <v>118</v>
      </c>
    </row>
    <row r="3" spans="1:23" x14ac:dyDescent="0.2">
      <c r="B3" s="21"/>
      <c r="D3" s="7" t="str">
        <f>E3&amp;F3</f>
        <v>SDSAnalytik</v>
      </c>
      <c r="E3" s="7" t="s">
        <v>185</v>
      </c>
      <c r="F3" s="16" t="s">
        <v>101</v>
      </c>
      <c r="G3" s="7" t="s">
        <v>25</v>
      </c>
      <c r="H3" s="7" t="s">
        <v>13</v>
      </c>
      <c r="I3" s="7" t="s">
        <v>101</v>
      </c>
      <c r="J3" s="17">
        <v>0</v>
      </c>
      <c r="K3" s="17"/>
      <c r="M3" s="7" t="s">
        <v>14</v>
      </c>
      <c r="N3" s="7" t="s">
        <v>40</v>
      </c>
      <c r="O3" s="7" t="s">
        <v>180</v>
      </c>
      <c r="P3" s="7" t="s">
        <v>180</v>
      </c>
      <c r="Q3" s="16" t="s">
        <v>101</v>
      </c>
      <c r="S3" s="7" t="s">
        <v>180</v>
      </c>
      <c r="T3" s="7">
        <v>0.40899999999999997</v>
      </c>
      <c r="V3" s="7" t="s">
        <v>119</v>
      </c>
      <c r="W3" s="7" t="s">
        <v>120</v>
      </c>
    </row>
    <row r="4" spans="1:23" x14ac:dyDescent="0.2">
      <c r="D4" s="7" t="str">
        <f t="shared" ref="D4:D50" si="0">E4&amp;F4</f>
        <v>SDSAnalytik (junior)</v>
      </c>
      <c r="E4" s="7" t="s">
        <v>185</v>
      </c>
      <c r="F4" s="16" t="s">
        <v>102</v>
      </c>
      <c r="G4" s="7" t="s">
        <v>25</v>
      </c>
      <c r="H4" s="7" t="s">
        <v>13</v>
      </c>
      <c r="I4" s="7" t="s">
        <v>102</v>
      </c>
      <c r="J4" s="17">
        <v>0</v>
      </c>
      <c r="K4" s="17"/>
      <c r="M4" s="7" t="s">
        <v>19</v>
      </c>
      <c r="N4" s="7" t="s">
        <v>177</v>
      </c>
      <c r="O4" s="7" t="s">
        <v>181</v>
      </c>
      <c r="P4" s="7" t="s">
        <v>185</v>
      </c>
      <c r="Q4" s="16" t="s">
        <v>102</v>
      </c>
      <c r="S4" s="7" t="s">
        <v>185</v>
      </c>
      <c r="T4" s="7">
        <v>0.41799999999999998</v>
      </c>
    </row>
    <row r="5" spans="1:23" x14ac:dyDescent="0.2">
      <c r="D5" s="7" t="str">
        <f t="shared" si="0"/>
        <v>SDSArchitekt softvérového riešenia</v>
      </c>
      <c r="E5" s="7" t="s">
        <v>185</v>
      </c>
      <c r="F5" s="16" t="s">
        <v>103</v>
      </c>
      <c r="G5" s="7" t="s">
        <v>25</v>
      </c>
      <c r="H5" s="7" t="s">
        <v>13</v>
      </c>
      <c r="I5" s="7" t="s">
        <v>103</v>
      </c>
      <c r="J5" s="17">
        <v>63.52</v>
      </c>
      <c r="K5" s="17"/>
      <c r="M5" s="7" t="s">
        <v>29</v>
      </c>
      <c r="O5" s="7" t="s">
        <v>186</v>
      </c>
      <c r="P5" s="7" t="s">
        <v>182</v>
      </c>
      <c r="Q5" s="16" t="s">
        <v>103</v>
      </c>
      <c r="S5" s="7" t="s">
        <v>187</v>
      </c>
      <c r="T5" s="7">
        <v>0.40699999999999997</v>
      </c>
    </row>
    <row r="6" spans="1:23" x14ac:dyDescent="0.2">
      <c r="A6" s="7" t="s">
        <v>100</v>
      </c>
      <c r="B6" s="7">
        <v>0.22500000000000001</v>
      </c>
      <c r="D6" s="7" t="str">
        <f t="shared" si="0"/>
        <v>SDSDokumentarista</v>
      </c>
      <c r="E6" s="7" t="s">
        <v>185</v>
      </c>
      <c r="F6" s="16" t="s">
        <v>104</v>
      </c>
      <c r="G6" s="7" t="s">
        <v>25</v>
      </c>
      <c r="H6" s="7" t="s">
        <v>13</v>
      </c>
      <c r="I6" s="7" t="s">
        <v>104</v>
      </c>
      <c r="J6" s="17">
        <v>0</v>
      </c>
      <c r="K6" s="17"/>
      <c r="O6" s="7" t="s">
        <v>185</v>
      </c>
      <c r="Q6" s="16" t="s">
        <v>104</v>
      </c>
      <c r="S6" s="7" t="s">
        <v>186</v>
      </c>
      <c r="T6" s="7">
        <v>0.40500000000000003</v>
      </c>
    </row>
    <row r="7" spans="1:23" x14ac:dyDescent="0.2">
      <c r="B7" s="18"/>
      <c r="D7" s="7" t="str">
        <f t="shared" si="0"/>
        <v>SDSIT špecialista</v>
      </c>
      <c r="E7" s="7" t="s">
        <v>185</v>
      </c>
      <c r="F7" s="16" t="s">
        <v>105</v>
      </c>
      <c r="G7" s="7" t="s">
        <v>25</v>
      </c>
      <c r="H7" s="7" t="s">
        <v>13</v>
      </c>
      <c r="I7" s="7" t="s">
        <v>105</v>
      </c>
      <c r="J7" s="17">
        <v>0</v>
      </c>
      <c r="K7" s="17"/>
      <c r="Q7" s="16" t="s">
        <v>105</v>
      </c>
    </row>
    <row r="8" spans="1:23" x14ac:dyDescent="0.2">
      <c r="A8" s="7" t="s">
        <v>61</v>
      </c>
      <c r="B8" s="19" t="s">
        <v>188</v>
      </c>
      <c r="D8" s="7" t="str">
        <f t="shared" si="0"/>
        <v>SDSIT špecialista (junior)</v>
      </c>
      <c r="E8" s="7" t="s">
        <v>185</v>
      </c>
      <c r="F8" s="16" t="s">
        <v>106</v>
      </c>
      <c r="G8" s="7" t="s">
        <v>25</v>
      </c>
      <c r="H8" s="7" t="s">
        <v>13</v>
      </c>
      <c r="I8" s="7" t="s">
        <v>106</v>
      </c>
      <c r="J8" s="17">
        <v>0</v>
      </c>
      <c r="K8" s="17"/>
      <c r="Q8" s="16" t="s">
        <v>106</v>
      </c>
    </row>
    <row r="9" spans="1:23" x14ac:dyDescent="0.2">
      <c r="A9" s="7" t="s">
        <v>58</v>
      </c>
      <c r="B9" s="7" t="s">
        <v>90</v>
      </c>
      <c r="D9" s="7" t="str">
        <f t="shared" si="0"/>
        <v>SDSKontrakt manažér</v>
      </c>
      <c r="E9" s="7" t="s">
        <v>185</v>
      </c>
      <c r="F9" s="16" t="s">
        <v>107</v>
      </c>
      <c r="G9" s="7" t="s">
        <v>25</v>
      </c>
      <c r="H9" s="7" t="s">
        <v>13</v>
      </c>
      <c r="I9" s="7" t="s">
        <v>107</v>
      </c>
      <c r="J9" s="17">
        <v>57.13</v>
      </c>
      <c r="K9" s="17"/>
      <c r="Q9" s="16" t="s">
        <v>107</v>
      </c>
    </row>
    <row r="10" spans="1:23" x14ac:dyDescent="0.2">
      <c r="A10" s="7" t="s">
        <v>60</v>
      </c>
      <c r="B10" s="7" t="s">
        <v>59</v>
      </c>
      <c r="D10" s="7" t="str">
        <f t="shared" si="0"/>
        <v>SDSKonzultant (junior)</v>
      </c>
      <c r="E10" s="7" t="s">
        <v>185</v>
      </c>
      <c r="F10" s="16" t="s">
        <v>108</v>
      </c>
      <c r="G10" s="7" t="s">
        <v>25</v>
      </c>
      <c r="H10" s="7" t="s">
        <v>13</v>
      </c>
      <c r="I10" s="7" t="s">
        <v>108</v>
      </c>
      <c r="J10" s="17">
        <v>43.37</v>
      </c>
      <c r="K10" s="17"/>
      <c r="Q10" s="16" t="s">
        <v>108</v>
      </c>
    </row>
    <row r="11" spans="1:23" x14ac:dyDescent="0.2">
      <c r="D11" s="7" t="str">
        <f t="shared" si="0"/>
        <v>SDSKonzultant</v>
      </c>
      <c r="E11" s="7" t="s">
        <v>185</v>
      </c>
      <c r="F11" s="16" t="s">
        <v>109</v>
      </c>
      <c r="G11" s="7" t="s">
        <v>25</v>
      </c>
      <c r="H11" s="7" t="s">
        <v>13</v>
      </c>
      <c r="I11" s="7" t="s">
        <v>109</v>
      </c>
      <c r="J11" s="17">
        <v>0</v>
      </c>
      <c r="K11" s="17"/>
      <c r="Q11" s="16" t="s">
        <v>109</v>
      </c>
    </row>
    <row r="12" spans="1:23" x14ac:dyDescent="0.2">
      <c r="D12" s="7" t="str">
        <f t="shared" si="0"/>
        <v>SDSProgramátor (junior)</v>
      </c>
      <c r="E12" s="7" t="s">
        <v>185</v>
      </c>
      <c r="F12" s="16" t="s">
        <v>110</v>
      </c>
      <c r="G12" s="7" t="s">
        <v>25</v>
      </c>
      <c r="H12" s="7" t="s">
        <v>13</v>
      </c>
      <c r="I12" s="7" t="s">
        <v>110</v>
      </c>
      <c r="J12" s="17">
        <v>46.89</v>
      </c>
      <c r="K12" s="17"/>
      <c r="Q12" s="16" t="s">
        <v>110</v>
      </c>
    </row>
    <row r="13" spans="1:23" x14ac:dyDescent="0.2">
      <c r="A13" s="16" t="s">
        <v>16</v>
      </c>
      <c r="D13" s="7" t="str">
        <f t="shared" si="0"/>
        <v>SDSProgramátor</v>
      </c>
      <c r="E13" s="7" t="s">
        <v>185</v>
      </c>
      <c r="F13" s="16" t="s">
        <v>111</v>
      </c>
      <c r="G13" s="7" t="s">
        <v>25</v>
      </c>
      <c r="H13" s="7" t="s">
        <v>13</v>
      </c>
      <c r="I13" s="7" t="s">
        <v>111</v>
      </c>
      <c r="J13" s="17">
        <v>56.92</v>
      </c>
      <c r="K13" s="17"/>
      <c r="Q13" s="16" t="s">
        <v>111</v>
      </c>
    </row>
    <row r="14" spans="1:23" x14ac:dyDescent="0.2">
      <c r="A14" s="20" t="s">
        <v>27</v>
      </c>
      <c r="D14" s="7" t="str">
        <f t="shared" si="0"/>
        <v>SDSProjektový manažér (junior)</v>
      </c>
      <c r="E14" s="7" t="s">
        <v>185</v>
      </c>
      <c r="F14" s="16" t="s">
        <v>112</v>
      </c>
      <c r="G14" s="7" t="s">
        <v>25</v>
      </c>
      <c r="H14" s="7" t="s">
        <v>13</v>
      </c>
      <c r="I14" s="7" t="s">
        <v>112</v>
      </c>
      <c r="J14" s="17">
        <v>55.56</v>
      </c>
      <c r="K14" s="17"/>
      <c r="Q14" s="16" t="s">
        <v>112</v>
      </c>
    </row>
    <row r="15" spans="1:23" x14ac:dyDescent="0.2">
      <c r="D15" s="7" t="str">
        <f t="shared" si="0"/>
        <v>SDSProjektový manažér</v>
      </c>
      <c r="E15" s="7" t="s">
        <v>185</v>
      </c>
      <c r="F15" s="16" t="s">
        <v>113</v>
      </c>
      <c r="G15" s="7" t="s">
        <v>25</v>
      </c>
      <c r="H15" s="7" t="s">
        <v>13</v>
      </c>
      <c r="I15" s="7" t="s">
        <v>113</v>
      </c>
      <c r="J15" s="17">
        <v>59.21</v>
      </c>
      <c r="K15" s="17"/>
      <c r="Q15" s="16" t="s">
        <v>113</v>
      </c>
    </row>
    <row r="16" spans="1:23" x14ac:dyDescent="0.2">
      <c r="A16" s="7" t="s">
        <v>64</v>
      </c>
      <c r="D16" s="7" t="str">
        <f t="shared" si="0"/>
        <v>SDSProjektový koordinátor</v>
      </c>
      <c r="E16" s="7" t="s">
        <v>185</v>
      </c>
      <c r="F16" s="16" t="s">
        <v>183</v>
      </c>
      <c r="G16" s="7" t="s">
        <v>25</v>
      </c>
      <c r="H16" s="7" t="s">
        <v>13</v>
      </c>
      <c r="I16" s="7" t="s">
        <v>183</v>
      </c>
      <c r="J16" s="17">
        <v>29.81</v>
      </c>
      <c r="K16" s="17"/>
      <c r="Q16" s="16" t="s">
        <v>183</v>
      </c>
    </row>
    <row r="17" spans="1:17" x14ac:dyDescent="0.2">
      <c r="A17" s="7" t="s">
        <v>65</v>
      </c>
      <c r="D17" s="7" t="str">
        <f t="shared" ref="D17" si="1">E17&amp;F17</f>
        <v>SDSTester</v>
      </c>
      <c r="E17" s="7" t="s">
        <v>185</v>
      </c>
      <c r="F17" s="16" t="s">
        <v>114</v>
      </c>
      <c r="G17" s="7" t="s">
        <v>25</v>
      </c>
      <c r="H17" s="7" t="s">
        <v>13</v>
      </c>
      <c r="I17" s="7" t="s">
        <v>114</v>
      </c>
      <c r="J17" s="17">
        <v>40.56</v>
      </c>
      <c r="K17" s="17"/>
      <c r="Q17" s="16" t="s">
        <v>114</v>
      </c>
    </row>
    <row r="18" spans="1:17" x14ac:dyDescent="0.2">
      <c r="A18" s="7" t="s">
        <v>66</v>
      </c>
      <c r="D18" s="93" t="str">
        <f t="shared" si="0"/>
        <v>SDSProgramátor (študent)</v>
      </c>
      <c r="E18" s="93" t="s">
        <v>185</v>
      </c>
      <c r="F18" s="94" t="s">
        <v>189</v>
      </c>
      <c r="G18" s="93" t="s">
        <v>25</v>
      </c>
      <c r="H18" s="93" t="s">
        <v>13</v>
      </c>
      <c r="I18" s="93" t="s">
        <v>189</v>
      </c>
      <c r="J18" s="95">
        <v>16.43</v>
      </c>
      <c r="K18" s="17"/>
      <c r="Q18" s="16" t="s">
        <v>189</v>
      </c>
    </row>
    <row r="19" spans="1:17" x14ac:dyDescent="0.2">
      <c r="A19" s="7" t="s">
        <v>67</v>
      </c>
      <c r="D19" s="7" t="str">
        <f t="shared" si="0"/>
        <v>EUMAnalytik</v>
      </c>
      <c r="E19" s="7" t="s">
        <v>180</v>
      </c>
      <c r="F19" s="16" t="s">
        <v>101</v>
      </c>
      <c r="G19" s="7" t="s">
        <v>25</v>
      </c>
      <c r="H19" s="7" t="s">
        <v>13</v>
      </c>
      <c r="I19" s="7" t="s">
        <v>101</v>
      </c>
      <c r="J19" s="17">
        <v>58.71</v>
      </c>
      <c r="K19" s="17"/>
      <c r="Q19" s="16" t="s">
        <v>178</v>
      </c>
    </row>
    <row r="20" spans="1:17" x14ac:dyDescent="0.2">
      <c r="A20" s="7" t="s">
        <v>68</v>
      </c>
      <c r="D20" s="7" t="str">
        <f t="shared" si="0"/>
        <v>EUMAnalytik (junior)</v>
      </c>
      <c r="E20" s="7" t="s">
        <v>180</v>
      </c>
      <c r="F20" s="16" t="s">
        <v>102</v>
      </c>
      <c r="G20" s="7" t="s">
        <v>25</v>
      </c>
      <c r="H20" s="7" t="s">
        <v>13</v>
      </c>
      <c r="I20" s="7" t="s">
        <v>102</v>
      </c>
      <c r="J20" s="17">
        <v>0</v>
      </c>
      <c r="K20" s="17"/>
      <c r="Q20" s="16" t="s">
        <v>3</v>
      </c>
    </row>
    <row r="21" spans="1:17" x14ac:dyDescent="0.2">
      <c r="A21" s="7" t="s">
        <v>46</v>
      </c>
      <c r="D21" s="7" t="str">
        <f t="shared" si="0"/>
        <v>EUMArchitekt softvérového riešenia</v>
      </c>
      <c r="E21" s="7" t="s">
        <v>180</v>
      </c>
      <c r="F21" s="16" t="s">
        <v>103</v>
      </c>
      <c r="G21" s="7" t="s">
        <v>25</v>
      </c>
      <c r="H21" s="7" t="s">
        <v>13</v>
      </c>
      <c r="I21" s="7" t="s">
        <v>103</v>
      </c>
      <c r="J21" s="17">
        <v>68.099999999999994</v>
      </c>
      <c r="K21" s="17"/>
      <c r="Q21" s="16" t="s">
        <v>4</v>
      </c>
    </row>
    <row r="22" spans="1:17" x14ac:dyDescent="0.2">
      <c r="A22" s="7" t="s">
        <v>176</v>
      </c>
      <c r="B22" s="7">
        <f>Protokol!B26</f>
        <v>0</v>
      </c>
      <c r="D22" s="7" t="str">
        <f t="shared" si="0"/>
        <v>EUMDokumentarista</v>
      </c>
      <c r="E22" s="7" t="s">
        <v>180</v>
      </c>
      <c r="F22" s="16" t="s">
        <v>104</v>
      </c>
      <c r="G22" s="7" t="s">
        <v>25</v>
      </c>
      <c r="H22" s="7" t="s">
        <v>13</v>
      </c>
      <c r="I22" s="7" t="s">
        <v>104</v>
      </c>
      <c r="J22" s="17">
        <v>37.450000000000003</v>
      </c>
      <c r="K22" s="17"/>
      <c r="Q22" s="16" t="s">
        <v>5</v>
      </c>
    </row>
    <row r="23" spans="1:17" x14ac:dyDescent="0.2">
      <c r="A23" s="7" t="s">
        <v>107</v>
      </c>
      <c r="B23" s="7">
        <f>Protokol!B20</f>
        <v>0</v>
      </c>
      <c r="D23" s="7" t="str">
        <f t="shared" si="0"/>
        <v>EUMIT špecialista</v>
      </c>
      <c r="E23" s="7" t="s">
        <v>180</v>
      </c>
      <c r="F23" s="16" t="s">
        <v>105</v>
      </c>
      <c r="G23" s="7" t="s">
        <v>25</v>
      </c>
      <c r="H23" s="7" t="s">
        <v>13</v>
      </c>
      <c r="I23" s="7" t="s">
        <v>105</v>
      </c>
      <c r="J23" s="17">
        <v>0</v>
      </c>
      <c r="K23" s="17"/>
      <c r="Q23" s="16" t="s">
        <v>6</v>
      </c>
    </row>
    <row r="24" spans="1:17" x14ac:dyDescent="0.2">
      <c r="D24" s="7" t="str">
        <f t="shared" si="0"/>
        <v>EUMIT špecialista (junior)</v>
      </c>
      <c r="E24" s="7" t="s">
        <v>180</v>
      </c>
      <c r="F24" s="16" t="s">
        <v>106</v>
      </c>
      <c r="G24" s="7" t="s">
        <v>25</v>
      </c>
      <c r="H24" s="7" t="s">
        <v>13</v>
      </c>
      <c r="I24" s="7" t="s">
        <v>106</v>
      </c>
      <c r="J24" s="17">
        <v>0</v>
      </c>
      <c r="K24" s="17"/>
      <c r="Q24" s="16" t="s">
        <v>20</v>
      </c>
    </row>
    <row r="25" spans="1:17" x14ac:dyDescent="0.2">
      <c r="A25" s="7" t="s">
        <v>91</v>
      </c>
      <c r="B25" s="51">
        <v>30000</v>
      </c>
      <c r="D25" s="7" t="str">
        <f t="shared" si="0"/>
        <v>EUMKontrakt manažér</v>
      </c>
      <c r="E25" s="7" t="s">
        <v>180</v>
      </c>
      <c r="F25" s="16" t="s">
        <v>107</v>
      </c>
      <c r="G25" s="7" t="s">
        <v>25</v>
      </c>
      <c r="H25" s="7" t="s">
        <v>13</v>
      </c>
      <c r="I25" s="7" t="s">
        <v>107</v>
      </c>
      <c r="J25" s="17">
        <v>70.37</v>
      </c>
      <c r="K25" s="17"/>
      <c r="Q25" s="16" t="s">
        <v>92</v>
      </c>
    </row>
    <row r="26" spans="1:17" x14ac:dyDescent="0.2">
      <c r="D26" s="7" t="str">
        <f t="shared" si="0"/>
        <v>EUMKonzultant (junior)</v>
      </c>
      <c r="E26" s="7" t="s">
        <v>180</v>
      </c>
      <c r="F26" s="16" t="s">
        <v>108</v>
      </c>
      <c r="G26" s="7" t="s">
        <v>25</v>
      </c>
      <c r="H26" s="7" t="s">
        <v>13</v>
      </c>
      <c r="I26" s="7" t="s">
        <v>108</v>
      </c>
      <c r="J26" s="17">
        <v>0</v>
      </c>
      <c r="K26" s="17"/>
      <c r="Q26" s="16" t="s">
        <v>49</v>
      </c>
    </row>
    <row r="27" spans="1:17" x14ac:dyDescent="0.2">
      <c r="D27" s="7" t="str">
        <f t="shared" si="0"/>
        <v>EUMKonzultant</v>
      </c>
      <c r="E27" s="7" t="s">
        <v>180</v>
      </c>
      <c r="F27" s="16" t="s">
        <v>109</v>
      </c>
      <c r="G27" s="7" t="s">
        <v>25</v>
      </c>
      <c r="H27" s="7" t="s">
        <v>13</v>
      </c>
      <c r="I27" s="7" t="s">
        <v>109</v>
      </c>
      <c r="J27" s="17">
        <v>57.2</v>
      </c>
      <c r="K27" s="17"/>
      <c r="Q27" s="20" t="s">
        <v>17</v>
      </c>
    </row>
    <row r="28" spans="1:17" x14ac:dyDescent="0.2">
      <c r="D28" s="7" t="str">
        <f t="shared" si="0"/>
        <v>EUMProgramátor (junior)</v>
      </c>
      <c r="E28" s="7" t="s">
        <v>180</v>
      </c>
      <c r="F28" s="16" t="s">
        <v>110</v>
      </c>
      <c r="G28" s="7" t="s">
        <v>25</v>
      </c>
      <c r="H28" s="7" t="s">
        <v>13</v>
      </c>
      <c r="I28" s="7" t="s">
        <v>110</v>
      </c>
      <c r="J28" s="17">
        <v>44.36</v>
      </c>
      <c r="K28" s="17"/>
      <c r="Q28" s="20" t="s">
        <v>18</v>
      </c>
    </row>
    <row r="29" spans="1:17" x14ac:dyDescent="0.2">
      <c r="A29" s="7" t="s">
        <v>151</v>
      </c>
      <c r="B29" s="7">
        <f>Par_RevsTotal-Par_CostsTotal</f>
        <v>0</v>
      </c>
      <c r="D29" s="7" t="str">
        <f t="shared" si="0"/>
        <v>EUMProgramátor</v>
      </c>
      <c r="E29" s="7" t="s">
        <v>180</v>
      </c>
      <c r="F29" s="16" t="s">
        <v>111</v>
      </c>
      <c r="G29" s="7" t="s">
        <v>25</v>
      </c>
      <c r="H29" s="7" t="s">
        <v>13</v>
      </c>
      <c r="I29" s="7" t="s">
        <v>111</v>
      </c>
      <c r="J29" s="17">
        <v>51.16</v>
      </c>
      <c r="K29" s="17"/>
      <c r="Q29" s="20" t="s">
        <v>22</v>
      </c>
    </row>
    <row r="30" spans="1:17" x14ac:dyDescent="0.2">
      <c r="A30" s="7" t="s">
        <v>169</v>
      </c>
      <c r="B30" s="7">
        <f t="array" ref="B30">SUM(TableCosts[N_Direct])</f>
        <v>0</v>
      </c>
      <c r="D30" s="7" t="str">
        <f t="shared" si="0"/>
        <v>EUMProjektový manažér (junior)</v>
      </c>
      <c r="E30" s="7" t="s">
        <v>180</v>
      </c>
      <c r="F30" s="16" t="s">
        <v>112</v>
      </c>
      <c r="G30" s="7" t="s">
        <v>25</v>
      </c>
      <c r="H30" s="7" t="s">
        <v>13</v>
      </c>
      <c r="I30" s="7" t="s">
        <v>112</v>
      </c>
      <c r="J30" s="17">
        <v>0</v>
      </c>
      <c r="K30" s="17"/>
      <c r="Q30" s="20" t="s">
        <v>23</v>
      </c>
    </row>
    <row r="31" spans="1:17" x14ac:dyDescent="0.2">
      <c r="A31" s="7" t="s">
        <v>152</v>
      </c>
      <c r="B31" s="7">
        <f t="array" ref="B31">SUM((TableCosts[N_Kateg]="interné práce")*TableCosts[N_Direct])</f>
        <v>0</v>
      </c>
      <c r="D31" s="7" t="str">
        <f t="shared" si="0"/>
        <v>EUMProjektový manažér</v>
      </c>
      <c r="E31" s="7" t="s">
        <v>180</v>
      </c>
      <c r="F31" s="16" t="s">
        <v>113</v>
      </c>
      <c r="G31" s="7" t="s">
        <v>25</v>
      </c>
      <c r="H31" s="7" t="s">
        <v>13</v>
      </c>
      <c r="I31" s="7" t="s">
        <v>113</v>
      </c>
      <c r="J31" s="17">
        <v>60.51</v>
      </c>
      <c r="K31" s="17"/>
    </row>
    <row r="32" spans="1:17" x14ac:dyDescent="0.2">
      <c r="A32" s="7" t="s">
        <v>153</v>
      </c>
      <c r="D32" s="7" t="str">
        <f t="shared" si="0"/>
        <v>EUMProjektový koordinátor</v>
      </c>
      <c r="E32" s="7" t="s">
        <v>180</v>
      </c>
      <c r="F32" s="16" t="s">
        <v>183</v>
      </c>
      <c r="G32" s="7" t="s">
        <v>25</v>
      </c>
      <c r="H32" s="7" t="s">
        <v>13</v>
      </c>
      <c r="I32" s="7" t="s">
        <v>183</v>
      </c>
      <c r="J32" s="17">
        <v>0</v>
      </c>
      <c r="K32" s="17"/>
    </row>
    <row r="33" spans="1:11" x14ac:dyDescent="0.2">
      <c r="A33" s="7" t="s">
        <v>154</v>
      </c>
      <c r="B33" s="7">
        <f t="array" ref="B33">SUM((TableCosts[N_Kateg]="nákup 3S")*TableCosts[N_Direct])</f>
        <v>0</v>
      </c>
      <c r="D33" s="7" t="str">
        <f t="shared" ref="D33" si="2">E33&amp;F33</f>
        <v>EUMTester</v>
      </c>
      <c r="E33" s="7" t="s">
        <v>180</v>
      </c>
      <c r="F33" s="16" t="s">
        <v>114</v>
      </c>
      <c r="G33" s="7" t="s">
        <v>25</v>
      </c>
      <c r="H33" s="7" t="s">
        <v>13</v>
      </c>
      <c r="I33" s="7" t="s">
        <v>114</v>
      </c>
      <c r="J33" s="17">
        <v>0</v>
      </c>
      <c r="K33" s="17"/>
    </row>
    <row r="34" spans="1:11" x14ac:dyDescent="0.2">
      <c r="A34" s="7" t="s">
        <v>155</v>
      </c>
      <c r="D34" s="93" t="str">
        <f t="shared" si="0"/>
        <v>EUMProgramátor (študent)</v>
      </c>
      <c r="E34" s="93" t="s">
        <v>180</v>
      </c>
      <c r="F34" s="94" t="s">
        <v>189</v>
      </c>
      <c r="G34" s="93" t="s">
        <v>25</v>
      </c>
      <c r="H34" s="93" t="s">
        <v>13</v>
      </c>
      <c r="I34" s="93" t="s">
        <v>189</v>
      </c>
      <c r="J34" s="95">
        <v>15.32</v>
      </c>
      <c r="K34" s="17"/>
    </row>
    <row r="35" spans="1:11" x14ac:dyDescent="0.2">
      <c r="A35" s="7" t="s">
        <v>170</v>
      </c>
      <c r="B35" s="7">
        <f>Par_Invoicing</f>
        <v>0</v>
      </c>
      <c r="D35" s="7" t="str">
        <f t="shared" si="0"/>
        <v>ETSAnalytik</v>
      </c>
      <c r="E35" s="7" t="s">
        <v>181</v>
      </c>
      <c r="F35" s="16" t="s">
        <v>101</v>
      </c>
      <c r="G35" s="7" t="s">
        <v>25</v>
      </c>
      <c r="H35" s="7" t="s">
        <v>13</v>
      </c>
      <c r="I35" s="7" t="s">
        <v>101</v>
      </c>
      <c r="J35" s="17">
        <v>54.58</v>
      </c>
      <c r="K35" s="17"/>
    </row>
    <row r="36" spans="1:11" x14ac:dyDescent="0.2">
      <c r="A36" s="7" t="s">
        <v>156</v>
      </c>
      <c r="B36" s="7">
        <f>Par_RevsTotal-MAX(Par_Costs3P,Par_Revs3P)</f>
        <v>0</v>
      </c>
      <c r="D36" s="7" t="str">
        <f t="shared" si="0"/>
        <v>ETSAnalytik (junior)</v>
      </c>
      <c r="E36" s="7" t="s">
        <v>181</v>
      </c>
      <c r="F36" s="16" t="s">
        <v>102</v>
      </c>
      <c r="G36" s="7" t="s">
        <v>25</v>
      </c>
      <c r="H36" s="7" t="s">
        <v>13</v>
      </c>
      <c r="I36" s="7" t="s">
        <v>102</v>
      </c>
      <c r="J36" s="17">
        <v>0</v>
      </c>
      <c r="K36" s="17"/>
    </row>
    <row r="37" spans="1:11" x14ac:dyDescent="0.2">
      <c r="A37" s="7" t="s">
        <v>157</v>
      </c>
      <c r="D37" s="7" t="str">
        <f t="shared" si="0"/>
        <v>ETSArchitekt softvérového riešenia</v>
      </c>
      <c r="E37" s="7" t="s">
        <v>181</v>
      </c>
      <c r="F37" s="16" t="s">
        <v>103</v>
      </c>
      <c r="G37" s="7" t="s">
        <v>25</v>
      </c>
      <c r="H37" s="7" t="s">
        <v>13</v>
      </c>
      <c r="I37" s="7" t="s">
        <v>103</v>
      </c>
      <c r="J37" s="17">
        <v>62.55</v>
      </c>
      <c r="K37" s="17"/>
    </row>
    <row r="38" spans="1:11" x14ac:dyDescent="0.2">
      <c r="A38" s="7" t="s">
        <v>158</v>
      </c>
      <c r="D38" s="7" t="str">
        <f t="shared" si="0"/>
        <v>ETSDokumentarista</v>
      </c>
      <c r="E38" s="7" t="s">
        <v>181</v>
      </c>
      <c r="F38" s="16" t="s">
        <v>104</v>
      </c>
      <c r="G38" s="7" t="s">
        <v>25</v>
      </c>
      <c r="H38" s="7" t="s">
        <v>13</v>
      </c>
      <c r="I38" s="7" t="s">
        <v>104</v>
      </c>
      <c r="J38" s="17">
        <v>30.45</v>
      </c>
      <c r="K38" s="17"/>
    </row>
    <row r="39" spans="1:11" x14ac:dyDescent="0.2">
      <c r="A39" s="7" t="s">
        <v>159</v>
      </c>
      <c r="B39" s="7">
        <f t="array" ref="B39">SUM((TableCosts[N_Kateg]="interné práce")*(TableCosts[IsTravelTime]=0)*TableCosts[N_Amount]*TableCosts[N_ItemsCount])</f>
        <v>0</v>
      </c>
      <c r="D39" s="7" t="str">
        <f t="shared" si="0"/>
        <v>ETSIT špecialista</v>
      </c>
      <c r="E39" s="7" t="s">
        <v>181</v>
      </c>
      <c r="F39" s="16" t="s">
        <v>105</v>
      </c>
      <c r="G39" s="7" t="s">
        <v>25</v>
      </c>
      <c r="H39" s="7" t="s">
        <v>13</v>
      </c>
      <c r="I39" s="7" t="s">
        <v>105</v>
      </c>
      <c r="J39" s="17">
        <v>0</v>
      </c>
      <c r="K39" s="17"/>
    </row>
    <row r="40" spans="1:11" x14ac:dyDescent="0.2">
      <c r="A40" s="7" t="s">
        <v>160</v>
      </c>
      <c r="B40" s="7">
        <f t="array" ref="B40">SUM((TableCosts[N_Kateg]="interné práce")*(TableCosts[IsTravelTime]=1)*TableCosts[N_Amount]*TableCosts[N_ItemsCount])</f>
        <v>0</v>
      </c>
      <c r="D40" s="7" t="str">
        <f t="shared" si="0"/>
        <v>ETSIT špecialista (junior)</v>
      </c>
      <c r="E40" s="7" t="s">
        <v>181</v>
      </c>
      <c r="F40" s="16" t="s">
        <v>106</v>
      </c>
      <c r="G40" s="7" t="s">
        <v>25</v>
      </c>
      <c r="H40" s="7" t="s">
        <v>13</v>
      </c>
      <c r="I40" s="7" t="s">
        <v>106</v>
      </c>
      <c r="J40" s="17">
        <v>0</v>
      </c>
      <c r="K40" s="17"/>
    </row>
    <row r="41" spans="1:11" x14ac:dyDescent="0.2">
      <c r="A41" s="7" t="s">
        <v>161</v>
      </c>
      <c r="B41" s="7">
        <f>IF(Par_HoursWork+Par_HoursTravel=0,0,Par_CostsWork/(Par_HoursWork+Par_HoursTravel))</f>
        <v>0</v>
      </c>
      <c r="D41" s="7" t="str">
        <f t="shared" si="0"/>
        <v>ETSKontrakt manažér</v>
      </c>
      <c r="E41" s="7" t="s">
        <v>181</v>
      </c>
      <c r="F41" s="16" t="s">
        <v>107</v>
      </c>
      <c r="G41" s="7" t="s">
        <v>25</v>
      </c>
      <c r="H41" s="7" t="s">
        <v>13</v>
      </c>
      <c r="I41" s="7" t="s">
        <v>107</v>
      </c>
      <c r="J41" s="17">
        <v>0</v>
      </c>
      <c r="K41" s="17"/>
    </row>
    <row r="42" spans="1:11" x14ac:dyDescent="0.2">
      <c r="A42" s="7" t="s">
        <v>162</v>
      </c>
      <c r="B42" s="7">
        <f>IF(Par_HoursWork+Par_HoursTravel=0,0,Par_RevsTotal/(Par_HoursWork+Par_HoursTravel))</f>
        <v>0</v>
      </c>
      <c r="D42" s="7" t="str">
        <f t="shared" si="0"/>
        <v>ETSKonzultant (junior)</v>
      </c>
      <c r="E42" s="7" t="s">
        <v>181</v>
      </c>
      <c r="F42" s="16" t="s">
        <v>108</v>
      </c>
      <c r="G42" s="7" t="s">
        <v>25</v>
      </c>
      <c r="H42" s="7" t="s">
        <v>13</v>
      </c>
      <c r="I42" s="7" t="s">
        <v>108</v>
      </c>
      <c r="J42" s="17">
        <v>0</v>
      </c>
      <c r="K42" s="17"/>
    </row>
    <row r="43" spans="1:11" x14ac:dyDescent="0.2">
      <c r="A43" s="7" t="s">
        <v>163</v>
      </c>
      <c r="B43" s="18">
        <f>IF(Par_RevsTotal=0,0,(Par_RevsWork+Par_RevsLic)/Par_RevsTotal)</f>
        <v>0</v>
      </c>
      <c r="D43" s="7" t="str">
        <f t="shared" si="0"/>
        <v>ETSKonzultant</v>
      </c>
      <c r="E43" s="7" t="s">
        <v>181</v>
      </c>
      <c r="F43" s="16" t="s">
        <v>109</v>
      </c>
      <c r="G43" s="7" t="s">
        <v>25</v>
      </c>
      <c r="H43" s="7" t="s">
        <v>13</v>
      </c>
      <c r="I43" s="7" t="s">
        <v>109</v>
      </c>
      <c r="J43" s="17">
        <v>56.2</v>
      </c>
      <c r="K43" s="17"/>
    </row>
    <row r="44" spans="1:11" x14ac:dyDescent="0.2">
      <c r="A44" s="7" t="s">
        <v>164</v>
      </c>
      <c r="D44" s="7" t="str">
        <f t="shared" si="0"/>
        <v>ETSProgramátor (junior)</v>
      </c>
      <c r="E44" s="7" t="s">
        <v>181</v>
      </c>
      <c r="F44" s="16" t="s">
        <v>110</v>
      </c>
      <c r="G44" s="7" t="s">
        <v>25</v>
      </c>
      <c r="H44" s="7" t="s">
        <v>13</v>
      </c>
      <c r="I44" s="7" t="s">
        <v>110</v>
      </c>
      <c r="J44" s="17">
        <v>41.92</v>
      </c>
      <c r="K44" s="17"/>
    </row>
    <row r="45" spans="1:11" x14ac:dyDescent="0.2">
      <c r="A45" s="7" t="s">
        <v>165</v>
      </c>
      <c r="D45" s="7" t="str">
        <f t="shared" si="0"/>
        <v>ETSProgramátor</v>
      </c>
      <c r="E45" s="7" t="s">
        <v>181</v>
      </c>
      <c r="F45" s="16" t="s">
        <v>111</v>
      </c>
      <c r="G45" s="7" t="s">
        <v>25</v>
      </c>
      <c r="H45" s="7" t="s">
        <v>13</v>
      </c>
      <c r="I45" s="7" t="s">
        <v>111</v>
      </c>
      <c r="J45" s="17">
        <v>54.56</v>
      </c>
      <c r="K45" s="17"/>
    </row>
    <row r="46" spans="1:11" x14ac:dyDescent="0.2">
      <c r="A46" s="7" t="s">
        <v>166</v>
      </c>
      <c r="D46" s="7" t="str">
        <f t="shared" si="0"/>
        <v>ETSProjektový manažér (junior)</v>
      </c>
      <c r="E46" s="7" t="s">
        <v>181</v>
      </c>
      <c r="F46" s="16" t="s">
        <v>112</v>
      </c>
      <c r="G46" s="7" t="s">
        <v>25</v>
      </c>
      <c r="H46" s="7" t="s">
        <v>13</v>
      </c>
      <c r="I46" s="7" t="s">
        <v>112</v>
      </c>
      <c r="J46" s="17">
        <v>0</v>
      </c>
      <c r="K46" s="17"/>
    </row>
    <row r="47" spans="1:11" x14ac:dyDescent="0.2">
      <c r="A47" s="7" t="s">
        <v>167</v>
      </c>
      <c r="D47" s="7" t="str">
        <f t="shared" si="0"/>
        <v>ETSProjektový manažér</v>
      </c>
      <c r="E47" s="7" t="s">
        <v>181</v>
      </c>
      <c r="F47" s="16" t="s">
        <v>113</v>
      </c>
      <c r="G47" s="7" t="s">
        <v>25</v>
      </c>
      <c r="H47" s="7" t="s">
        <v>13</v>
      </c>
      <c r="I47" s="7" t="s">
        <v>113</v>
      </c>
      <c r="J47" s="17">
        <v>61.32</v>
      </c>
      <c r="K47" s="17"/>
    </row>
    <row r="48" spans="1:11" x14ac:dyDescent="0.2">
      <c r="A48" s="7" t="s">
        <v>168</v>
      </c>
      <c r="D48" s="7" t="str">
        <f t="shared" si="0"/>
        <v>ETSProjektový koordinátor</v>
      </c>
      <c r="E48" s="7" t="s">
        <v>181</v>
      </c>
      <c r="F48" s="16" t="s">
        <v>183</v>
      </c>
      <c r="G48" s="7" t="s">
        <v>25</v>
      </c>
      <c r="H48" s="7" t="s">
        <v>13</v>
      </c>
      <c r="I48" s="7" t="s">
        <v>183</v>
      </c>
      <c r="J48" s="17">
        <v>44.91</v>
      </c>
      <c r="K48" s="17"/>
    </row>
    <row r="49" spans="4:11" x14ac:dyDescent="0.2">
      <c r="D49" s="7" t="str">
        <f t="shared" ref="D49" si="3">E49&amp;F49</f>
        <v>ETSTester</v>
      </c>
      <c r="E49" s="7" t="s">
        <v>181</v>
      </c>
      <c r="F49" s="16" t="s">
        <v>114</v>
      </c>
      <c r="G49" s="7" t="s">
        <v>25</v>
      </c>
      <c r="H49" s="7" t="s">
        <v>13</v>
      </c>
      <c r="I49" s="7" t="s">
        <v>114</v>
      </c>
      <c r="J49" s="17">
        <v>0</v>
      </c>
      <c r="K49" s="17"/>
    </row>
    <row r="50" spans="4:11" x14ac:dyDescent="0.2">
      <c r="D50" s="93" t="str">
        <f t="shared" si="0"/>
        <v>ETSProgramátor (študent)</v>
      </c>
      <c r="E50" s="93" t="s">
        <v>181</v>
      </c>
      <c r="F50" s="94" t="s">
        <v>189</v>
      </c>
      <c r="G50" s="93" t="s">
        <v>25</v>
      </c>
      <c r="H50" s="93" t="s">
        <v>13</v>
      </c>
      <c r="I50" s="93" t="s">
        <v>189</v>
      </c>
      <c r="J50" s="95">
        <v>15.89</v>
      </c>
      <c r="K50" s="17"/>
    </row>
    <row r="51" spans="4:11" x14ac:dyDescent="0.2">
      <c r="D51" s="7" t="str">
        <f t="shared" ref="D51:D82" si="4">E51&amp;F51</f>
        <v>D2000Analytik</v>
      </c>
      <c r="E51" s="7" t="s">
        <v>187</v>
      </c>
      <c r="F51" s="16" t="s">
        <v>101</v>
      </c>
      <c r="G51" s="7" t="s">
        <v>25</v>
      </c>
      <c r="H51" s="7" t="s">
        <v>13</v>
      </c>
      <c r="I51" s="7" t="s">
        <v>101</v>
      </c>
      <c r="J51" s="17">
        <v>0</v>
      </c>
      <c r="K51" s="17"/>
    </row>
    <row r="52" spans="4:11" x14ac:dyDescent="0.2">
      <c r="D52" s="7" t="str">
        <f t="shared" si="4"/>
        <v>D2000Analytik (junior)</v>
      </c>
      <c r="E52" s="7" t="s">
        <v>187</v>
      </c>
      <c r="F52" s="16" t="s">
        <v>102</v>
      </c>
      <c r="G52" s="7" t="s">
        <v>25</v>
      </c>
      <c r="H52" s="7" t="s">
        <v>13</v>
      </c>
      <c r="I52" s="7" t="s">
        <v>102</v>
      </c>
      <c r="J52" s="17">
        <v>0</v>
      </c>
      <c r="K52" s="17"/>
    </row>
    <row r="53" spans="4:11" x14ac:dyDescent="0.2">
      <c r="D53" s="7" t="str">
        <f t="shared" si="4"/>
        <v>D2000Architekt softvérového riešenia</v>
      </c>
      <c r="E53" s="7" t="s">
        <v>187</v>
      </c>
      <c r="F53" s="16" t="s">
        <v>103</v>
      </c>
      <c r="G53" s="7" t="s">
        <v>25</v>
      </c>
      <c r="H53" s="7" t="s">
        <v>13</v>
      </c>
      <c r="I53" s="7" t="s">
        <v>103</v>
      </c>
      <c r="J53" s="17">
        <v>86.08</v>
      </c>
      <c r="K53" s="17"/>
    </row>
    <row r="54" spans="4:11" x14ac:dyDescent="0.2">
      <c r="D54" s="7" t="str">
        <f t="shared" si="4"/>
        <v>D2000Dokumentarista</v>
      </c>
      <c r="E54" s="7" t="s">
        <v>187</v>
      </c>
      <c r="F54" s="16" t="s">
        <v>104</v>
      </c>
      <c r="G54" s="7" t="s">
        <v>25</v>
      </c>
      <c r="H54" s="7" t="s">
        <v>13</v>
      </c>
      <c r="I54" s="7" t="s">
        <v>104</v>
      </c>
      <c r="J54" s="17">
        <v>0</v>
      </c>
      <c r="K54" s="17"/>
    </row>
    <row r="55" spans="4:11" x14ac:dyDescent="0.2">
      <c r="D55" s="7" t="str">
        <f t="shared" si="4"/>
        <v>D2000IT špecialista</v>
      </c>
      <c r="E55" s="7" t="s">
        <v>187</v>
      </c>
      <c r="F55" s="16" t="s">
        <v>105</v>
      </c>
      <c r="G55" s="7" t="s">
        <v>25</v>
      </c>
      <c r="H55" s="7" t="s">
        <v>13</v>
      </c>
      <c r="I55" s="7" t="s">
        <v>105</v>
      </c>
      <c r="J55" s="17">
        <v>0</v>
      </c>
      <c r="K55" s="17"/>
    </row>
    <row r="56" spans="4:11" x14ac:dyDescent="0.2">
      <c r="D56" s="7" t="str">
        <f t="shared" si="4"/>
        <v>D2000IT špecialista (junior)</v>
      </c>
      <c r="E56" s="7" t="s">
        <v>187</v>
      </c>
      <c r="F56" s="16" t="s">
        <v>106</v>
      </c>
      <c r="G56" s="7" t="s">
        <v>25</v>
      </c>
      <c r="H56" s="7" t="s">
        <v>13</v>
      </c>
      <c r="I56" s="7" t="s">
        <v>106</v>
      </c>
      <c r="J56" s="17">
        <v>0</v>
      </c>
      <c r="K56" s="17"/>
    </row>
    <row r="57" spans="4:11" x14ac:dyDescent="0.2">
      <c r="D57" s="7" t="str">
        <f t="shared" si="4"/>
        <v>D2000Kontrakt manažér</v>
      </c>
      <c r="E57" s="7" t="s">
        <v>187</v>
      </c>
      <c r="F57" s="16" t="s">
        <v>107</v>
      </c>
      <c r="G57" s="7" t="s">
        <v>25</v>
      </c>
      <c r="H57" s="7" t="s">
        <v>13</v>
      </c>
      <c r="I57" s="7" t="s">
        <v>107</v>
      </c>
      <c r="J57" s="17">
        <v>0</v>
      </c>
      <c r="K57" s="17"/>
    </row>
    <row r="58" spans="4:11" x14ac:dyDescent="0.2">
      <c r="D58" s="7" t="str">
        <f t="shared" si="4"/>
        <v>D2000Konzultant (junior)</v>
      </c>
      <c r="E58" s="7" t="s">
        <v>187</v>
      </c>
      <c r="F58" s="16" t="s">
        <v>108</v>
      </c>
      <c r="G58" s="7" t="s">
        <v>25</v>
      </c>
      <c r="H58" s="7" t="s">
        <v>13</v>
      </c>
      <c r="I58" s="7" t="s">
        <v>108</v>
      </c>
      <c r="J58" s="17">
        <v>0</v>
      </c>
      <c r="K58" s="17"/>
    </row>
    <row r="59" spans="4:11" x14ac:dyDescent="0.2">
      <c r="D59" s="7" t="str">
        <f t="shared" si="4"/>
        <v>D2000Konzultant</v>
      </c>
      <c r="E59" s="7" t="s">
        <v>187</v>
      </c>
      <c r="F59" s="16" t="s">
        <v>109</v>
      </c>
      <c r="G59" s="7" t="s">
        <v>25</v>
      </c>
      <c r="H59" s="7" t="s">
        <v>13</v>
      </c>
      <c r="I59" s="7" t="s">
        <v>109</v>
      </c>
      <c r="J59" s="17">
        <v>0</v>
      </c>
      <c r="K59" s="17"/>
    </row>
    <row r="60" spans="4:11" x14ac:dyDescent="0.2">
      <c r="D60" s="7" t="str">
        <f t="shared" si="4"/>
        <v>D2000Programátor (junior)</v>
      </c>
      <c r="E60" s="7" t="s">
        <v>187</v>
      </c>
      <c r="F60" s="16" t="s">
        <v>110</v>
      </c>
      <c r="G60" s="7" t="s">
        <v>25</v>
      </c>
      <c r="H60" s="7" t="s">
        <v>13</v>
      </c>
      <c r="I60" s="7" t="s">
        <v>110</v>
      </c>
      <c r="J60" s="17">
        <v>46.38</v>
      </c>
      <c r="K60" s="17"/>
    </row>
    <row r="61" spans="4:11" x14ac:dyDescent="0.2">
      <c r="D61" s="7" t="str">
        <f t="shared" si="4"/>
        <v>D2000Programátor</v>
      </c>
      <c r="E61" s="7" t="s">
        <v>187</v>
      </c>
      <c r="F61" s="16" t="s">
        <v>111</v>
      </c>
      <c r="G61" s="7" t="s">
        <v>25</v>
      </c>
      <c r="H61" s="7" t="s">
        <v>13</v>
      </c>
      <c r="I61" s="7" t="s">
        <v>111</v>
      </c>
      <c r="J61" s="17">
        <v>57.78</v>
      </c>
      <c r="K61" s="17"/>
    </row>
    <row r="62" spans="4:11" x14ac:dyDescent="0.2">
      <c r="D62" s="7" t="str">
        <f t="shared" si="4"/>
        <v>D2000Projektový manažér (junior)</v>
      </c>
      <c r="E62" s="7" t="s">
        <v>187</v>
      </c>
      <c r="F62" s="16" t="s">
        <v>112</v>
      </c>
      <c r="G62" s="7" t="s">
        <v>25</v>
      </c>
      <c r="H62" s="7" t="s">
        <v>13</v>
      </c>
      <c r="I62" s="7" t="s">
        <v>112</v>
      </c>
      <c r="J62" s="17">
        <v>0</v>
      </c>
      <c r="K62" s="17"/>
    </row>
    <row r="63" spans="4:11" x14ac:dyDescent="0.2">
      <c r="D63" s="7" t="str">
        <f t="shared" si="4"/>
        <v>D2000Projektový manažér</v>
      </c>
      <c r="E63" s="7" t="s">
        <v>187</v>
      </c>
      <c r="F63" s="16" t="s">
        <v>113</v>
      </c>
      <c r="G63" s="7" t="s">
        <v>25</v>
      </c>
      <c r="H63" s="7" t="s">
        <v>13</v>
      </c>
      <c r="I63" s="7" t="s">
        <v>113</v>
      </c>
      <c r="J63" s="17">
        <v>0</v>
      </c>
      <c r="K63" s="17"/>
    </row>
    <row r="64" spans="4:11" x14ac:dyDescent="0.2">
      <c r="D64" s="7" t="str">
        <f t="shared" si="4"/>
        <v>D2000Projektový koordinátor</v>
      </c>
      <c r="E64" s="7" t="s">
        <v>187</v>
      </c>
      <c r="F64" s="16" t="s">
        <v>183</v>
      </c>
      <c r="G64" s="7" t="s">
        <v>25</v>
      </c>
      <c r="H64" s="7" t="s">
        <v>13</v>
      </c>
      <c r="I64" s="7" t="s">
        <v>183</v>
      </c>
      <c r="J64" s="17">
        <v>0</v>
      </c>
      <c r="K64" s="17"/>
    </row>
    <row r="65" spans="4:11" x14ac:dyDescent="0.2">
      <c r="D65" s="7" t="str">
        <f t="shared" ref="D65" si="5">E65&amp;F65</f>
        <v>D2000Tester</v>
      </c>
      <c r="E65" s="7" t="s">
        <v>187</v>
      </c>
      <c r="F65" s="16" t="s">
        <v>114</v>
      </c>
      <c r="G65" s="7" t="s">
        <v>25</v>
      </c>
      <c r="H65" s="7" t="s">
        <v>13</v>
      </c>
      <c r="I65" s="7" t="s">
        <v>114</v>
      </c>
      <c r="J65" s="17">
        <v>35.85</v>
      </c>
      <c r="K65" s="17"/>
    </row>
    <row r="66" spans="4:11" x14ac:dyDescent="0.2">
      <c r="D66" s="93" t="str">
        <f t="shared" si="4"/>
        <v>D2000Programátor (študent)</v>
      </c>
      <c r="E66" s="93" t="s">
        <v>187</v>
      </c>
      <c r="F66" s="94" t="s">
        <v>189</v>
      </c>
      <c r="G66" s="93" t="s">
        <v>25</v>
      </c>
      <c r="H66" s="93" t="s">
        <v>13</v>
      </c>
      <c r="I66" s="93" t="s">
        <v>189</v>
      </c>
      <c r="J66" s="95">
        <v>18.16</v>
      </c>
      <c r="K66" s="17"/>
    </row>
    <row r="67" spans="4:11" x14ac:dyDescent="0.2">
      <c r="D67" s="7" t="str">
        <f t="shared" si="4"/>
        <v>ITSAnalytik</v>
      </c>
      <c r="E67" s="7" t="s">
        <v>186</v>
      </c>
      <c r="F67" s="16" t="s">
        <v>101</v>
      </c>
      <c r="G67" s="7" t="s">
        <v>25</v>
      </c>
      <c r="H67" s="7" t="s">
        <v>13</v>
      </c>
      <c r="I67" s="7" t="s">
        <v>101</v>
      </c>
      <c r="J67" s="17">
        <v>0</v>
      </c>
      <c r="K67" s="17"/>
    </row>
    <row r="68" spans="4:11" x14ac:dyDescent="0.2">
      <c r="D68" s="7" t="str">
        <f t="shared" si="4"/>
        <v>ITSAnalytik (junior)</v>
      </c>
      <c r="E68" s="7" t="s">
        <v>186</v>
      </c>
      <c r="F68" s="16" t="s">
        <v>102</v>
      </c>
      <c r="G68" s="7" t="s">
        <v>25</v>
      </c>
      <c r="H68" s="7" t="s">
        <v>13</v>
      </c>
      <c r="I68" s="7" t="s">
        <v>102</v>
      </c>
      <c r="J68" s="17">
        <v>0</v>
      </c>
      <c r="K68" s="17"/>
    </row>
    <row r="69" spans="4:11" x14ac:dyDescent="0.2">
      <c r="D69" s="7" t="str">
        <f t="shared" si="4"/>
        <v>ITSArchitekt softvérového riešenia</v>
      </c>
      <c r="E69" s="7" t="s">
        <v>186</v>
      </c>
      <c r="F69" s="16" t="s">
        <v>103</v>
      </c>
      <c r="G69" s="7" t="s">
        <v>25</v>
      </c>
      <c r="H69" s="7" t="s">
        <v>13</v>
      </c>
      <c r="I69" s="7" t="s">
        <v>103</v>
      </c>
      <c r="J69" s="17">
        <v>0</v>
      </c>
      <c r="K69" s="17"/>
    </row>
    <row r="70" spans="4:11" x14ac:dyDescent="0.2">
      <c r="D70" s="7" t="str">
        <f t="shared" si="4"/>
        <v>ITSDokumentarista</v>
      </c>
      <c r="E70" s="7" t="s">
        <v>186</v>
      </c>
      <c r="F70" s="16" t="s">
        <v>104</v>
      </c>
      <c r="G70" s="7" t="s">
        <v>25</v>
      </c>
      <c r="H70" s="7" t="s">
        <v>13</v>
      </c>
      <c r="I70" s="7" t="s">
        <v>104</v>
      </c>
      <c r="J70" s="17">
        <v>0</v>
      </c>
      <c r="K70" s="17"/>
    </row>
    <row r="71" spans="4:11" x14ac:dyDescent="0.2">
      <c r="D71" s="7" t="str">
        <f t="shared" si="4"/>
        <v>ITSIT špecialista</v>
      </c>
      <c r="E71" s="7" t="s">
        <v>186</v>
      </c>
      <c r="F71" s="16" t="s">
        <v>105</v>
      </c>
      <c r="G71" s="7" t="s">
        <v>25</v>
      </c>
      <c r="H71" s="7" t="s">
        <v>13</v>
      </c>
      <c r="I71" s="7" t="s">
        <v>105</v>
      </c>
      <c r="J71" s="17">
        <v>52.55</v>
      </c>
      <c r="K71" s="17"/>
    </row>
    <row r="72" spans="4:11" x14ac:dyDescent="0.2">
      <c r="D72" s="7" t="str">
        <f t="shared" si="4"/>
        <v>ITSIT špecialista (junior)</v>
      </c>
      <c r="E72" s="7" t="s">
        <v>186</v>
      </c>
      <c r="F72" s="16" t="s">
        <v>106</v>
      </c>
      <c r="G72" s="7" t="s">
        <v>25</v>
      </c>
      <c r="H72" s="7" t="s">
        <v>13</v>
      </c>
      <c r="I72" s="7" t="s">
        <v>106</v>
      </c>
      <c r="J72" s="17">
        <v>37.1</v>
      </c>
      <c r="K72" s="17"/>
    </row>
    <row r="73" spans="4:11" x14ac:dyDescent="0.2">
      <c r="D73" s="7" t="str">
        <f t="shared" si="4"/>
        <v>ITSKontrakt manažér</v>
      </c>
      <c r="E73" s="7" t="s">
        <v>186</v>
      </c>
      <c r="F73" s="16" t="s">
        <v>107</v>
      </c>
      <c r="G73" s="7" t="s">
        <v>25</v>
      </c>
      <c r="H73" s="7" t="s">
        <v>13</v>
      </c>
      <c r="I73" s="7" t="s">
        <v>107</v>
      </c>
      <c r="J73" s="17">
        <v>0</v>
      </c>
      <c r="K73" s="17"/>
    </row>
    <row r="74" spans="4:11" x14ac:dyDescent="0.2">
      <c r="D74" s="7" t="str">
        <f t="shared" si="4"/>
        <v>ITSKonzultant (junior)</v>
      </c>
      <c r="E74" s="7" t="s">
        <v>186</v>
      </c>
      <c r="F74" s="16" t="s">
        <v>108</v>
      </c>
      <c r="G74" s="7" t="s">
        <v>25</v>
      </c>
      <c r="H74" s="7" t="s">
        <v>13</v>
      </c>
      <c r="I74" s="7" t="s">
        <v>108</v>
      </c>
      <c r="J74" s="17">
        <v>0</v>
      </c>
    </row>
    <row r="75" spans="4:11" x14ac:dyDescent="0.2">
      <c r="D75" s="7" t="str">
        <f t="shared" si="4"/>
        <v>ITSKonzultant</v>
      </c>
      <c r="E75" s="7" t="s">
        <v>186</v>
      </c>
      <c r="F75" s="16" t="s">
        <v>109</v>
      </c>
      <c r="G75" s="7" t="s">
        <v>25</v>
      </c>
      <c r="H75" s="7" t="s">
        <v>13</v>
      </c>
      <c r="I75" s="7" t="s">
        <v>109</v>
      </c>
      <c r="J75" s="17">
        <v>0</v>
      </c>
    </row>
    <row r="76" spans="4:11" x14ac:dyDescent="0.2">
      <c r="D76" s="7" t="str">
        <f t="shared" si="4"/>
        <v>ITSProgramátor (junior)</v>
      </c>
      <c r="E76" s="7" t="s">
        <v>186</v>
      </c>
      <c r="F76" s="16" t="s">
        <v>110</v>
      </c>
      <c r="G76" s="7" t="s">
        <v>25</v>
      </c>
      <c r="H76" s="7" t="s">
        <v>13</v>
      </c>
      <c r="I76" s="7" t="s">
        <v>110</v>
      </c>
      <c r="J76" s="17">
        <v>0</v>
      </c>
    </row>
    <row r="77" spans="4:11" x14ac:dyDescent="0.2">
      <c r="D77" s="7" t="str">
        <f t="shared" si="4"/>
        <v>ITSProgramátor</v>
      </c>
      <c r="E77" s="7" t="s">
        <v>186</v>
      </c>
      <c r="F77" s="16" t="s">
        <v>111</v>
      </c>
      <c r="G77" s="7" t="s">
        <v>25</v>
      </c>
      <c r="H77" s="7" t="s">
        <v>13</v>
      </c>
      <c r="I77" s="7" t="s">
        <v>111</v>
      </c>
      <c r="J77" s="17">
        <v>0</v>
      </c>
    </row>
    <row r="78" spans="4:11" x14ac:dyDescent="0.2">
      <c r="D78" s="7" t="str">
        <f t="shared" si="4"/>
        <v>ITSProjektový manažér (junior)</v>
      </c>
      <c r="E78" s="7" t="s">
        <v>186</v>
      </c>
      <c r="F78" s="16" t="s">
        <v>112</v>
      </c>
      <c r="G78" s="7" t="s">
        <v>25</v>
      </c>
      <c r="H78" s="7" t="s">
        <v>13</v>
      </c>
      <c r="I78" s="7" t="s">
        <v>112</v>
      </c>
      <c r="J78" s="17">
        <v>0</v>
      </c>
    </row>
    <row r="79" spans="4:11" x14ac:dyDescent="0.2">
      <c r="D79" s="7" t="str">
        <f t="shared" si="4"/>
        <v>ITSProjektový manažér</v>
      </c>
      <c r="E79" s="7" t="s">
        <v>186</v>
      </c>
      <c r="F79" s="16" t="s">
        <v>113</v>
      </c>
      <c r="G79" s="7" t="s">
        <v>25</v>
      </c>
      <c r="H79" s="7" t="s">
        <v>13</v>
      </c>
      <c r="I79" s="7" t="s">
        <v>113</v>
      </c>
      <c r="J79" s="17">
        <v>0</v>
      </c>
    </row>
    <row r="80" spans="4:11" x14ac:dyDescent="0.2">
      <c r="D80" s="7" t="str">
        <f t="shared" si="4"/>
        <v>ITSProjektový koordinátor</v>
      </c>
      <c r="E80" s="7" t="s">
        <v>186</v>
      </c>
      <c r="F80" s="16" t="s">
        <v>183</v>
      </c>
      <c r="G80" s="7" t="s">
        <v>25</v>
      </c>
      <c r="H80" s="7" t="s">
        <v>13</v>
      </c>
      <c r="I80" s="7" t="s">
        <v>183</v>
      </c>
      <c r="J80" s="17">
        <v>0</v>
      </c>
    </row>
    <row r="81" spans="4:10" x14ac:dyDescent="0.2">
      <c r="D81" s="7" t="str">
        <f t="shared" ref="D81" si="6">E81&amp;F81</f>
        <v>ITSTester</v>
      </c>
      <c r="E81" s="7" t="s">
        <v>186</v>
      </c>
      <c r="F81" s="16" t="s">
        <v>114</v>
      </c>
      <c r="G81" s="7" t="s">
        <v>25</v>
      </c>
      <c r="H81" s="7" t="s">
        <v>13</v>
      </c>
      <c r="I81" s="7" t="s">
        <v>114</v>
      </c>
      <c r="J81" s="17">
        <v>0</v>
      </c>
    </row>
    <row r="82" spans="4:10" x14ac:dyDescent="0.2">
      <c r="D82" s="93" t="str">
        <f t="shared" si="4"/>
        <v>ITSProgramátor (študent)</v>
      </c>
      <c r="E82" s="93" t="s">
        <v>186</v>
      </c>
      <c r="F82" s="94" t="s">
        <v>189</v>
      </c>
      <c r="G82" s="93" t="s">
        <v>25</v>
      </c>
      <c r="H82" s="93" t="s">
        <v>13</v>
      </c>
      <c r="I82" s="93" t="s">
        <v>189</v>
      </c>
      <c r="J82" s="95">
        <v>0</v>
      </c>
    </row>
    <row r="83" spans="4:10" x14ac:dyDescent="0.2">
      <c r="D83" s="7" t="str">
        <f t="shared" ref="D83" si="7">E83&amp;F83</f>
        <v>IPS náklady [Eur]</v>
      </c>
      <c r="F83" s="16" t="s">
        <v>178</v>
      </c>
      <c r="G83" s="7" t="s">
        <v>26</v>
      </c>
      <c r="H83" s="7" t="s">
        <v>13</v>
      </c>
      <c r="J83" s="17">
        <v>1</v>
      </c>
    </row>
    <row r="84" spans="4:10" x14ac:dyDescent="0.2">
      <c r="D84" s="7" t="str">
        <f t="shared" ref="D84:D92" si="8">E84&amp;F84</f>
        <v>HW</v>
      </c>
      <c r="F84" s="16" t="s">
        <v>3</v>
      </c>
      <c r="G84" s="7" t="s">
        <v>26</v>
      </c>
      <c r="H84" s="7" t="s">
        <v>14</v>
      </c>
      <c r="I84" s="7" t="s">
        <v>8</v>
      </c>
      <c r="J84" s="17">
        <v>1</v>
      </c>
    </row>
    <row r="85" spans="4:10" x14ac:dyDescent="0.2">
      <c r="D85" s="7" t="str">
        <f t="shared" si="8"/>
        <v>SW</v>
      </c>
      <c r="F85" s="16" t="s">
        <v>4</v>
      </c>
      <c r="G85" s="7" t="s">
        <v>26</v>
      </c>
      <c r="H85" s="7" t="s">
        <v>14</v>
      </c>
      <c r="I85" s="7" t="s">
        <v>9</v>
      </c>
      <c r="J85" s="17">
        <v>1</v>
      </c>
    </row>
    <row r="86" spans="4:10" x14ac:dyDescent="0.2">
      <c r="D86" s="7" t="str">
        <f t="shared" si="8"/>
        <v>WORKS</v>
      </c>
      <c r="F86" s="16" t="s">
        <v>5</v>
      </c>
      <c r="G86" s="7" t="s">
        <v>26</v>
      </c>
      <c r="H86" s="7" t="s">
        <v>14</v>
      </c>
      <c r="I86" s="7" t="s">
        <v>10</v>
      </c>
      <c r="J86" s="17">
        <v>1</v>
      </c>
    </row>
    <row r="87" spans="4:10" x14ac:dyDescent="0.2">
      <c r="D87" s="7" t="str">
        <f t="shared" si="8"/>
        <v>PROV</v>
      </c>
      <c r="F87" s="16" t="s">
        <v>6</v>
      </c>
      <c r="G87" s="7" t="s">
        <v>26</v>
      </c>
      <c r="H87" s="7" t="s">
        <v>14</v>
      </c>
      <c r="I87" s="7" t="s">
        <v>11</v>
      </c>
      <c r="J87" s="17">
        <v>1</v>
      </c>
    </row>
    <row r="88" spans="4:10" x14ac:dyDescent="0.2">
      <c r="D88" s="7" t="str">
        <f t="shared" ref="D88" si="9">E88&amp;F88</f>
        <v>TRAVEL</v>
      </c>
      <c r="F88" s="16" t="s">
        <v>20</v>
      </c>
      <c r="G88" s="7" t="s">
        <v>26</v>
      </c>
      <c r="H88" s="7" t="s">
        <v>14</v>
      </c>
      <c r="I88" s="7" t="s">
        <v>15</v>
      </c>
      <c r="J88" s="17">
        <v>1</v>
      </c>
    </row>
    <row r="89" spans="4:10" x14ac:dyDescent="0.2">
      <c r="D89" s="7" t="str">
        <f t="shared" ref="D89" si="10">E89&amp;F89</f>
        <v>TRAVEL - km</v>
      </c>
      <c r="F89" s="16" t="s">
        <v>92</v>
      </c>
      <c r="G89" s="7" t="s">
        <v>96</v>
      </c>
      <c r="H89" s="7" t="s">
        <v>14</v>
      </c>
      <c r="I89" s="7" t="s">
        <v>15</v>
      </c>
      <c r="J89" s="17">
        <f>0.183+1.3*5.5*0.01</f>
        <v>0.2545</v>
      </c>
    </row>
    <row r="90" spans="4:10" x14ac:dyDescent="0.2">
      <c r="D90" s="7" t="str">
        <f t="shared" si="8"/>
        <v>FINANCE</v>
      </c>
      <c r="F90" s="16" t="s">
        <v>49</v>
      </c>
      <c r="G90" s="7" t="s">
        <v>26</v>
      </c>
      <c r="H90" s="7" t="s">
        <v>14</v>
      </c>
      <c r="I90" s="7" t="s">
        <v>50</v>
      </c>
      <c r="J90" s="17">
        <v>1</v>
      </c>
    </row>
    <row r="91" spans="4:10" x14ac:dyDescent="0.2">
      <c r="D91" s="7" t="str">
        <f t="shared" si="8"/>
        <v>skup. - interné práce</v>
      </c>
      <c r="F91" s="20" t="s">
        <v>22</v>
      </c>
      <c r="G91" s="7" t="s">
        <v>26</v>
      </c>
      <c r="H91" s="7" t="s">
        <v>13</v>
      </c>
    </row>
    <row r="92" spans="4:10" x14ac:dyDescent="0.2">
      <c r="D92" s="7" t="str">
        <f t="shared" si="8"/>
        <v>skup. - nákup 3S</v>
      </c>
      <c r="F92" s="20" t="s">
        <v>23</v>
      </c>
      <c r="G92" s="7" t="s">
        <v>26</v>
      </c>
      <c r="H92" s="7" t="s">
        <v>14</v>
      </c>
    </row>
  </sheetData>
  <customSheetViews>
    <customSheetView guid="{1E1B3255-5DFF-4154-A295-6F5FCEC93D1C}" showGridLines="0">
      <pane xSplit="1" ySplit="1" topLeftCell="B2" activePane="bottomRight" state="frozen"/>
      <selection pane="bottomRight" activeCell="B11" sqref="B11"/>
      <pageMargins left="0.7" right="0.7" top="0.75" bottom="0.75" header="0.3" footer="0.3"/>
    </customSheetView>
  </customSheetViews>
  <mergeCells count="1">
    <mergeCell ref="F1:K1"/>
  </mergeCell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árok1"/>
  <dimension ref="A1:R5"/>
  <sheetViews>
    <sheetView showGridLines="0" zoomScale="80" zoomScaleNormal="80" workbookViewId="0">
      <selection activeCell="A3" sqref="A3:XFD1048576"/>
    </sheetView>
  </sheetViews>
  <sheetFormatPr defaultRowHeight="15" x14ac:dyDescent="0.25"/>
  <cols>
    <col min="1" max="1" width="5.85546875" bestFit="1" customWidth="1"/>
    <col min="2" max="2" width="13" bestFit="1" customWidth="1"/>
    <col min="3" max="3" width="12" bestFit="1" customWidth="1"/>
    <col min="4" max="4" width="10.85546875" bestFit="1" customWidth="1"/>
    <col min="5" max="5" width="14.42578125" bestFit="1" customWidth="1"/>
    <col min="6" max="6" width="5" bestFit="1" customWidth="1"/>
    <col min="7" max="7" width="10.140625" bestFit="1" customWidth="1"/>
    <col min="8" max="8" width="7" bestFit="1" customWidth="1"/>
    <col min="9" max="9" width="8.42578125" bestFit="1" customWidth="1"/>
    <col min="10" max="10" width="15.140625" bestFit="1" customWidth="1"/>
    <col min="11" max="11" width="11" style="45" customWidth="1"/>
    <col min="12" max="12" width="5.5703125" bestFit="1" customWidth="1"/>
    <col min="13" max="13" width="11" bestFit="1" customWidth="1"/>
    <col min="14" max="14" width="14.28515625" bestFit="1" customWidth="1"/>
    <col min="15" max="15" width="10.5703125" bestFit="1" customWidth="1"/>
    <col min="16" max="16" width="7.85546875" bestFit="1" customWidth="1"/>
    <col min="17" max="17" width="8.140625" bestFit="1" customWidth="1"/>
    <col min="18" max="18" width="14.28515625" bestFit="1" customWidth="1"/>
  </cols>
  <sheetData>
    <row r="1" spans="1:18" s="42" customFormat="1" x14ac:dyDescent="0.25">
      <c r="A1" s="42" t="s">
        <v>53</v>
      </c>
      <c r="B1" s="42" t="s">
        <v>51</v>
      </c>
      <c r="C1" s="42" t="s">
        <v>46</v>
      </c>
      <c r="D1" s="42" t="s">
        <v>47</v>
      </c>
      <c r="E1" s="42" t="s">
        <v>48</v>
      </c>
      <c r="F1" s="42" t="s">
        <v>24</v>
      </c>
      <c r="G1" s="42" t="s">
        <v>52</v>
      </c>
      <c r="H1" s="42" t="s">
        <v>2</v>
      </c>
      <c r="I1" s="42" t="s">
        <v>54</v>
      </c>
      <c r="J1" s="42" t="s">
        <v>55</v>
      </c>
      <c r="K1" s="44" t="s">
        <v>56</v>
      </c>
      <c r="L1" s="42" t="s">
        <v>57</v>
      </c>
      <c r="M1" s="42" t="s">
        <v>95</v>
      </c>
      <c r="N1" s="42" t="s">
        <v>93</v>
      </c>
      <c r="O1" s="42" t="s">
        <v>94</v>
      </c>
      <c r="P1" s="42" t="s">
        <v>97</v>
      </c>
      <c r="Q1" s="42" t="s">
        <v>98</v>
      </c>
      <c r="R1" s="42" t="s">
        <v>99</v>
      </c>
    </row>
    <row r="2" spans="1:18" x14ac:dyDescent="0.25">
      <c r="A2">
        <v>3</v>
      </c>
      <c r="B2" t="s">
        <v>13</v>
      </c>
      <c r="D2" t="s">
        <v>40</v>
      </c>
      <c r="E2" t="s">
        <v>13</v>
      </c>
      <c r="F2" t="s">
        <v>26</v>
      </c>
      <c r="K2" s="45">
        <f>Par_EndOfContract</f>
        <v>45778</v>
      </c>
      <c r="L2">
        <f>Par_Invoicing</f>
        <v>0</v>
      </c>
    </row>
    <row r="3" spans="1:18" x14ac:dyDescent="0.25">
      <c r="A3">
        <v>1</v>
      </c>
      <c r="B3" t="s">
        <v>178</v>
      </c>
      <c r="D3" t="s">
        <v>44</v>
      </c>
      <c r="E3" t="s">
        <v>13</v>
      </c>
      <c r="F3" t="s">
        <v>26</v>
      </c>
      <c r="K3" s="45">
        <v>42735</v>
      </c>
      <c r="L3">
        <v>1</v>
      </c>
      <c r="M3">
        <v>0</v>
      </c>
      <c r="N3">
        <v>0</v>
      </c>
      <c r="O3">
        <v>0</v>
      </c>
      <c r="Q3">
        <v>1</v>
      </c>
      <c r="R3">
        <v>1</v>
      </c>
    </row>
    <row r="4" spans="1:18" x14ac:dyDescent="0.25">
      <c r="A4">
        <v>1</v>
      </c>
      <c r="B4" t="s">
        <v>178</v>
      </c>
      <c r="D4" t="s">
        <v>44</v>
      </c>
      <c r="E4" t="s">
        <v>13</v>
      </c>
      <c r="F4" t="s">
        <v>26</v>
      </c>
      <c r="K4" s="45">
        <v>42766</v>
      </c>
      <c r="L4">
        <v>200</v>
      </c>
      <c r="M4">
        <v>0</v>
      </c>
      <c r="N4">
        <v>0</v>
      </c>
      <c r="O4">
        <v>0</v>
      </c>
      <c r="Q4">
        <v>1</v>
      </c>
      <c r="R4">
        <v>200</v>
      </c>
    </row>
    <row r="5" spans="1:18" x14ac:dyDescent="0.25">
      <c r="A5">
        <v>2</v>
      </c>
      <c r="B5" t="s">
        <v>108</v>
      </c>
      <c r="C5" t="s">
        <v>38</v>
      </c>
      <c r="D5" t="s">
        <v>40</v>
      </c>
      <c r="E5" t="s">
        <v>13</v>
      </c>
      <c r="F5" t="s">
        <v>179</v>
      </c>
      <c r="K5" s="45">
        <v>42766</v>
      </c>
      <c r="L5">
        <v>16</v>
      </c>
      <c r="M5">
        <v>1</v>
      </c>
      <c r="N5" t="s">
        <v>38</v>
      </c>
      <c r="O5">
        <v>0</v>
      </c>
      <c r="Q5">
        <v>32.71</v>
      </c>
      <c r="R5">
        <v>523.36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árok3"/>
  <dimension ref="A1:V2"/>
  <sheetViews>
    <sheetView showGridLines="0" zoomScale="90" zoomScaleNormal="90" workbookViewId="0">
      <selection activeCell="A2" sqref="A2"/>
    </sheetView>
  </sheetViews>
  <sheetFormatPr defaultColWidth="9.28515625" defaultRowHeight="15" x14ac:dyDescent="0.25"/>
  <cols>
    <col min="1" max="1" width="16.5703125" bestFit="1" customWidth="1"/>
    <col min="2" max="2" width="7.7109375" bestFit="1" customWidth="1"/>
    <col min="3" max="3" width="11.140625" bestFit="1" customWidth="1"/>
    <col min="4" max="4" width="14" bestFit="1" customWidth="1"/>
    <col min="5" max="5" width="9" bestFit="1" customWidth="1"/>
    <col min="6" max="6" width="10.140625" bestFit="1" customWidth="1"/>
    <col min="7" max="8" width="15.28515625" bestFit="1" customWidth="1"/>
    <col min="9" max="9" width="18.140625" bestFit="1" customWidth="1"/>
    <col min="10" max="10" width="12.85546875" bestFit="1" customWidth="1"/>
    <col min="11" max="11" width="11.5703125" bestFit="1" customWidth="1"/>
    <col min="12" max="12" width="12.42578125" bestFit="1" customWidth="1"/>
    <col min="13" max="13" width="13.5703125" bestFit="1" customWidth="1"/>
    <col min="14" max="14" width="18.5703125" bestFit="1" customWidth="1"/>
    <col min="15" max="15" width="13.28515625" bestFit="1" customWidth="1"/>
    <col min="16" max="16" width="16.140625" bestFit="1" customWidth="1"/>
    <col min="17" max="17" width="14.28515625" bestFit="1" customWidth="1"/>
    <col min="18" max="18" width="19.7109375" bestFit="1" customWidth="1"/>
    <col min="19" max="19" width="18.140625" bestFit="1" customWidth="1"/>
    <col min="20" max="20" width="17.5703125" bestFit="1" customWidth="1"/>
    <col min="21" max="21" width="9" bestFit="1" customWidth="1"/>
    <col min="22" max="22" width="17.42578125" bestFit="1" customWidth="1"/>
  </cols>
  <sheetData>
    <row r="1" spans="1:22" s="42" customFormat="1" x14ac:dyDescent="0.25">
      <c r="A1" s="89" t="s">
        <v>173</v>
      </c>
      <c r="B1" s="89" t="s">
        <v>151</v>
      </c>
      <c r="C1" s="89" t="s">
        <v>152</v>
      </c>
      <c r="D1" s="89" t="s">
        <v>153</v>
      </c>
      <c r="E1" s="89" t="s">
        <v>154</v>
      </c>
      <c r="F1" s="89" t="s">
        <v>155</v>
      </c>
      <c r="G1" s="89" t="s">
        <v>170</v>
      </c>
      <c r="H1" s="89" t="s">
        <v>156</v>
      </c>
      <c r="I1" s="89" t="s">
        <v>157</v>
      </c>
      <c r="J1" s="89" t="s">
        <v>158</v>
      </c>
      <c r="K1" s="89" t="s">
        <v>159</v>
      </c>
      <c r="L1" s="89" t="s">
        <v>160</v>
      </c>
      <c r="M1" s="89" t="s">
        <v>161</v>
      </c>
      <c r="N1" s="89" t="s">
        <v>162</v>
      </c>
      <c r="O1" s="89" t="s">
        <v>163</v>
      </c>
      <c r="P1" s="89" t="s">
        <v>164</v>
      </c>
      <c r="Q1" s="89" t="s">
        <v>165</v>
      </c>
      <c r="R1" s="89" t="s">
        <v>166</v>
      </c>
      <c r="S1" s="89" t="s">
        <v>167</v>
      </c>
      <c r="T1" s="89" t="s">
        <v>168</v>
      </c>
      <c r="U1" s="42" t="s">
        <v>174</v>
      </c>
      <c r="V1" s="42" t="s">
        <v>175</v>
      </c>
    </row>
    <row r="2" spans="1:22" x14ac:dyDescent="0.25">
      <c r="A2" t="str">
        <f>LEFT('(1.1) Náklady'!B3,FIND(" ",'(1.1) Náklady'!B3))</f>
        <v xml:space="preserve">názov/označenie </v>
      </c>
      <c r="B2">
        <f>Par_Profit</f>
        <v>0</v>
      </c>
      <c r="C2">
        <f>Par_CostsWork</f>
        <v>0</v>
      </c>
      <c r="D2">
        <f>Par_CostsLic</f>
        <v>0</v>
      </c>
      <c r="E2">
        <f>Par_Costs3P</f>
        <v>0</v>
      </c>
      <c r="F2">
        <f>Par_Costs3P</f>
        <v>0</v>
      </c>
      <c r="G2">
        <f>Par_CostsRisk</f>
        <v>0</v>
      </c>
      <c r="H2">
        <f>Par_RevsWork</f>
        <v>0</v>
      </c>
      <c r="I2">
        <f>Par_RevsLic</f>
        <v>0</v>
      </c>
      <c r="J2">
        <f>Par_Revs3P</f>
        <v>0</v>
      </c>
      <c r="K2">
        <f>Par_HoursWork</f>
        <v>0</v>
      </c>
      <c r="L2">
        <f>Par_HoursTravel</f>
        <v>0</v>
      </c>
      <c r="M2">
        <f>Par_AvgCostHour</f>
        <v>0</v>
      </c>
      <c r="N2">
        <f>Par_AvgRevenuesHour</f>
        <v>0</v>
      </c>
      <c r="O2">
        <f>Par_EROwnRatio</f>
        <v>0</v>
      </c>
      <c r="U2">
        <f>Par_Architect</f>
        <v>0</v>
      </c>
      <c r="V2">
        <f>Par_ContractManager</f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76</vt:i4>
      </vt:variant>
    </vt:vector>
  </HeadingPairs>
  <TitlesOfParts>
    <vt:vector size="78" baseType="lpstr">
      <vt:lpstr>(1.1) Náklady</vt:lpstr>
      <vt:lpstr>Protokol</vt:lpstr>
      <vt:lpstr>CIS_CENTER</vt:lpstr>
      <vt:lpstr>CIS_CENTER_WO</vt:lpstr>
      <vt:lpstr>CIS_STRUCT_ITEMS</vt:lpstr>
      <vt:lpstr>CIS_STRUCT_ITEMSnGROUPS</vt:lpstr>
      <vt:lpstr>CIS_WRKS_CATEGORIES</vt:lpstr>
      <vt:lpstr>DATA_COSTS_CATEGS</vt:lpstr>
      <vt:lpstr>DATA_COSTS_TOTALS</vt:lpstr>
      <vt:lpstr>DATA_COSTS_TYPES</vt:lpstr>
      <vt:lpstr>Err_Message1</vt:lpstr>
      <vt:lpstr>Err_Message2</vt:lpstr>
      <vt:lpstr>M0</vt:lpstr>
      <vt:lpstr>M1_</vt:lpstr>
      <vt:lpstr>M10_</vt:lpstr>
      <vt:lpstr>M11_</vt:lpstr>
      <vt:lpstr>M12_</vt:lpstr>
      <vt:lpstr>M13_</vt:lpstr>
      <vt:lpstr>M14_</vt:lpstr>
      <vt:lpstr>M15_</vt:lpstr>
      <vt:lpstr>M16_</vt:lpstr>
      <vt:lpstr>M17_</vt:lpstr>
      <vt:lpstr>M18_</vt:lpstr>
      <vt:lpstr>M19_</vt:lpstr>
      <vt:lpstr>M2_</vt:lpstr>
      <vt:lpstr>M20_</vt:lpstr>
      <vt:lpstr>M21_</vt:lpstr>
      <vt:lpstr>M22_</vt:lpstr>
      <vt:lpstr>M23_</vt:lpstr>
      <vt:lpstr>M24_</vt:lpstr>
      <vt:lpstr>M25_</vt:lpstr>
      <vt:lpstr>M3_</vt:lpstr>
      <vt:lpstr>M4_</vt:lpstr>
      <vt:lpstr>M5_</vt:lpstr>
      <vt:lpstr>M6_</vt:lpstr>
      <vt:lpstr>M7_</vt:lpstr>
      <vt:lpstr>M8_</vt:lpstr>
      <vt:lpstr>M9_</vt:lpstr>
      <vt:lpstr>Par_Architect</vt:lpstr>
      <vt:lpstr>Par_AvgCostHour</vt:lpstr>
      <vt:lpstr>Par_AvgRevenuesHour</vt:lpstr>
      <vt:lpstr>PAR_BONUSRATIO_PM</vt:lpstr>
      <vt:lpstr>PAR_BONUSRATIO_TEAM</vt:lpstr>
      <vt:lpstr>Par_Center</vt:lpstr>
      <vt:lpstr>Par_CenterInput</vt:lpstr>
      <vt:lpstr>Par_ContractDate</vt:lpstr>
      <vt:lpstr>Par_ContractManager</vt:lpstr>
      <vt:lpstr>Par_Costs3P</vt:lpstr>
      <vt:lpstr>Par_CostsLic</vt:lpstr>
      <vt:lpstr>Par_CostsRisk</vt:lpstr>
      <vt:lpstr>Par_CostsTotal</vt:lpstr>
      <vt:lpstr>Par_CostsWork</vt:lpstr>
      <vt:lpstr>Par_EndConsumer</vt:lpstr>
      <vt:lpstr>Par_EndOfContract</vt:lpstr>
      <vt:lpstr>Par_EROwnRatio</vt:lpstr>
      <vt:lpstr>Par_HoursTravel</vt:lpstr>
      <vt:lpstr>Par_HoursWork</vt:lpstr>
      <vt:lpstr>Par_Invoicing</vt:lpstr>
      <vt:lpstr>Par_LabelTravelTime</vt:lpstr>
      <vt:lpstr>Par_MaxAmount</vt:lpstr>
      <vt:lpstr>Par_Partner</vt:lpstr>
      <vt:lpstr>Par_Profit</vt:lpstr>
      <vt:lpstr>Par_Revs3P</vt:lpstr>
      <vt:lpstr>Par_RevsLic</vt:lpstr>
      <vt:lpstr>Par_RevsTotal</vt:lpstr>
      <vt:lpstr>Par_RevsWork</vt:lpstr>
      <vt:lpstr>Par_SalesPerson</vt:lpstr>
      <vt:lpstr>PAR_SGA_percento</vt:lpstr>
      <vt:lpstr>PAR_SGA_PERHOUR</vt:lpstr>
      <vt:lpstr>PAR_WageCostRatio</vt:lpstr>
      <vt:lpstr>PAR_WO_Contracted</vt:lpstr>
      <vt:lpstr>Par_WoAccountName</vt:lpstr>
      <vt:lpstr>PAR_XLS_PHASE</vt:lpstr>
      <vt:lpstr>PAR_XLS_REV</vt:lpstr>
      <vt:lpstr>PAR_XLS_VERSION</vt:lpstr>
      <vt:lpstr>Protokol!Print_Area</vt:lpstr>
      <vt:lpstr>TRAN_CIS_ROLES</vt:lpstr>
      <vt:lpstr>TRAN_STRITEMS_LABEL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Michal ROVŇANÍK</dc:creator>
  <cp:lastModifiedBy>Oliver ROVŇANÍK</cp:lastModifiedBy>
  <cp:lastPrinted>2025-04-10T11:19:09Z</cp:lastPrinted>
  <dcterms:created xsi:type="dcterms:W3CDTF">2011-04-26T10:11:11Z</dcterms:created>
  <dcterms:modified xsi:type="dcterms:W3CDTF">2025-04-10T11:19:38Z</dcterms:modified>
</cp:coreProperties>
</file>