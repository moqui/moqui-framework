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\_Kvalita\Formulare\VRZove\2025\update\"/>
    </mc:Choice>
  </mc:AlternateContent>
  <xr:revisionPtr revIDLastSave="0" documentId="13_ncr:1_{E8573E15-262C-47DF-BDFC-C713B6E5CE82}" xr6:coauthVersionLast="47" xr6:coauthVersionMax="47" xr10:uidLastSave="{00000000-0000-0000-0000-000000000000}"/>
  <workbookProtection workbookAlgorithmName="SHA-512" workbookHashValue="UDvk38Zei73q42psWmO5qeJpmNKIm8NJYUaULIr9Tq2LJytB2+C3+hjT5L+Ol+23JKL6Sgh1cE8ELj4g8oXhwA==" workbookSaltValue="DMk17BFJX1iOwf1QbPLOJw==" workbookSpinCount="100000" lockStructure="1"/>
  <bookViews>
    <workbookView xWindow="-120" yWindow="-120" windowWidth="29040" windowHeight="16440" tabRatio="668" xr2:uid="{00000000-000D-0000-FFFF-FFFF00000000}"/>
  </bookViews>
  <sheets>
    <sheet name="Info" sheetId="10" r:id="rId1"/>
    <sheet name="(1.1) Náklady" sheetId="5" r:id="rId2"/>
    <sheet name="(1.2) Riziká" sheetId="7" r:id="rId3"/>
    <sheet name="(2) Fakturácia" sheetId="9" r:id="rId4"/>
    <sheet name="(3) Sumarizácia" sheetId="13" r:id="rId5"/>
    <sheet name="(4) Protokol" sheetId="15" r:id="rId6"/>
    <sheet name="(4.1) P_preplán." sheetId="17" state="veryHidden" r:id="rId7"/>
    <sheet name="Nastavenia" sheetId="4" state="veryHidden" r:id="rId8"/>
    <sheet name="Print" sheetId="14" state="veryHidden" r:id="rId9"/>
    <sheet name="Print2" sheetId="16" state="veryHidden" r:id="rId10"/>
  </sheets>
  <functionGroups builtInGroupCount="19"/>
  <definedNames>
    <definedName name="CIS_CENTER">Nastavenia!$Z$2:$Z$6</definedName>
    <definedName name="CIS_CENTER_WO">Nastavenia!$AA$2:$AA$5</definedName>
    <definedName name="Cis_Hours">Nastavenia!$U$2:$U$9</definedName>
    <definedName name="CIS_Parts">Nastavenia!$AE$2:$AE$6</definedName>
    <definedName name="Cis_People">Nastavenia!$AH$2:$AH$2</definedName>
    <definedName name="Cis_RevenuesList">Nastavenia!$AP$2:$AP$38</definedName>
    <definedName name="CIS_STRUCT_ITEMS">Nastavenia!$AB$2:$AB$41</definedName>
    <definedName name="CIS_STRUCT_ITEMSnGROUPS">Nastavenia!$AB$2:$AB$45</definedName>
    <definedName name="Cis_WorkPositions">Nastavenia!$AB$3:$AB$18</definedName>
    <definedName name="DATA_COSTS_CATEGS">'(1.1) Náklady'!$F$7:$F$750</definedName>
    <definedName name="DATA_COSTS_TOTALS">'(1.1) Náklady'!$AX$7:$AX$750</definedName>
    <definedName name="DATA_COSTS_TYPES">'(1.1) Náklady'!$B$7:$B$750</definedName>
    <definedName name="DATA_INVS_CATEGS">'(2) Fakturácia'!$D$7:$D$750</definedName>
    <definedName name="DATA_INVS_TOTALS">'(2) Fakturácia'!$AS$7:$AS$750</definedName>
    <definedName name="DATA_INVS_TYPES">'(2) Fakturácia'!$B$7:$B$750</definedName>
    <definedName name="Err_Message1">Nastavenia!$AJ$2</definedName>
    <definedName name="Err_Message2">Nastavenia!$AJ$3</definedName>
    <definedName name="INPUT_WO_CENTER">Info!$B$21</definedName>
    <definedName name="INPUT_WO_ENDCONS">Info!$B$13</definedName>
    <definedName name="INPUT_WO_LABEL">Info!$B$11</definedName>
    <definedName name="INPUT_WO_PARTNER">Info!$B$15</definedName>
    <definedName name="INPUT_WO_PLANSTART">Info!$B$17</definedName>
    <definedName name="INPUT_WO_RESPONSIBLE">Info!$B$19</definedName>
    <definedName name="IpsLicences">Nastavenia!$AB$27:$AC$39</definedName>
    <definedName name="M0">'(1.1) Náklady'!$L$5:$L$750</definedName>
    <definedName name="M1_">'(1.1) Náklady'!$M$5:$M$750</definedName>
    <definedName name="M10_">'(1.1) Náklady'!$V$5:$V$750</definedName>
    <definedName name="M11_">'(1.1) Náklady'!$W$5:$W$750</definedName>
    <definedName name="M12_">'(1.1) Náklady'!$X$5:$X$750</definedName>
    <definedName name="M13_">'(1.1) Náklady'!$Y$5:$Y$750</definedName>
    <definedName name="M14_">'(1.1) Náklady'!$Z$5:$Z$750</definedName>
    <definedName name="M15_">'(1.1) Náklady'!$AA$5:$AA$750</definedName>
    <definedName name="M16_">'(1.1) Náklady'!$AB$5:$AB$750</definedName>
    <definedName name="M17_">'(1.1) Náklady'!$AC$5:$AC$750</definedName>
    <definedName name="M18_">'(1.1) Náklady'!$AD$5:$AD$750</definedName>
    <definedName name="M19_">'(1.1) Náklady'!$AE$5:$AE$750</definedName>
    <definedName name="M2_">'(1.1) Náklady'!$N$5:$N$750</definedName>
    <definedName name="M20_">'(1.1) Náklady'!$AF$5:$AF$750</definedName>
    <definedName name="M21_">'(1.1) Náklady'!$AG$5:$AG$750</definedName>
    <definedName name="M22_">'(1.1) Náklady'!$AH$5:$AH$750</definedName>
    <definedName name="M23_">'(1.1) Náklady'!$AI$5:$AI$750</definedName>
    <definedName name="M24_">'(1.1) Náklady'!$AJ$5:$AJ$750</definedName>
    <definedName name="M25_">'(1.1) Náklady'!$AK$5:$AK$750</definedName>
    <definedName name="M26_">'(1.1) Náklady'!$AL$5:$AL$750</definedName>
    <definedName name="M27_">'(1.1) Náklady'!$AM$5:$AM$750</definedName>
    <definedName name="M28_">'(1.1) Náklady'!$AN$5:$AN$750</definedName>
    <definedName name="M29_">'(1.1) Náklady'!$AO$5:$AO$750</definedName>
    <definedName name="M3_">'(1.1) Náklady'!$O$5:$O$750</definedName>
    <definedName name="M30_">'(1.1) Náklady'!$AP$5:$AP$750</definedName>
    <definedName name="M31_">'(1.1) Náklady'!$AQ$5:$AQ$750</definedName>
    <definedName name="M32_">'(1.1) Náklady'!$AR$5:$AR$750</definedName>
    <definedName name="M33_">'(1.1) Náklady'!$AS$5:$AS$750</definedName>
    <definedName name="M34_">'(1.1) Náklady'!$AT$5:$AT$750</definedName>
    <definedName name="M35_">'(1.1) Náklady'!$AU$5:$AU$750</definedName>
    <definedName name="M36_">'(1.1) Náklady'!$AV$5:$AV$750</definedName>
    <definedName name="M37_">'(1.1) Náklady'!$AW$5:$AW$750</definedName>
    <definedName name="M4_">'(1.1) Náklady'!$P$5:$P$750</definedName>
    <definedName name="M5_">'(1.1) Náklady'!$Q$5:$Q$750</definedName>
    <definedName name="M6_">'(1.1) Náklady'!$R$5:$R$750</definedName>
    <definedName name="M7_">'(1.1) Náklady'!$S$5:$S$750</definedName>
    <definedName name="M8_">'(1.1) Náklady'!$T$5:$T$750</definedName>
    <definedName name="M9_">'(1.1) Náklady'!$U$5:$U$750</definedName>
    <definedName name="Mf0">'(2) Fakturácia'!$G$5:$G$750</definedName>
    <definedName name="Mf1_">'(2) Fakturácia'!$H$5:$H$750</definedName>
    <definedName name="Mf10_">'(2) Fakturácia'!$Q$5:$Q$750</definedName>
    <definedName name="Mf11_">'(2) Fakturácia'!$R$5:$R$750</definedName>
    <definedName name="Mf12_">'(2) Fakturácia'!$S$5:$S$750</definedName>
    <definedName name="Mf13_">'(2) Fakturácia'!$T$5:$T$750</definedName>
    <definedName name="Mf14_">'(2) Fakturácia'!$U$5:$U$750</definedName>
    <definedName name="Mf15_">'(2) Fakturácia'!$V$5:$V$750</definedName>
    <definedName name="Mf16_">'(2) Fakturácia'!$W$5:$W$750</definedName>
    <definedName name="Mf17_">'(2) Fakturácia'!$X$5:$X$750</definedName>
    <definedName name="Mf18_">'(2) Fakturácia'!$Y$5:$Y$750</definedName>
    <definedName name="Mf19_">'(2) Fakturácia'!$Z$5:$Z$750</definedName>
    <definedName name="Mf2_">'(2) Fakturácia'!$I$5:$I$750</definedName>
    <definedName name="Mf20_">'(2) Fakturácia'!$AA$5:$AA$750</definedName>
    <definedName name="Mf21_">'(2) Fakturácia'!$AB$5:$AB$750</definedName>
    <definedName name="Mf22_">'(2) Fakturácia'!$AC$5:$AC$750</definedName>
    <definedName name="Mf23_">'(2) Fakturácia'!$AD$5:$AD$750</definedName>
    <definedName name="Mf24_">'(2) Fakturácia'!$AE$5:$AE$750</definedName>
    <definedName name="Mf25_">'(2) Fakturácia'!$AF$5:$AF$750</definedName>
    <definedName name="Mf26_">'(2) Fakturácia'!$AG$5:$AG$750</definedName>
    <definedName name="Mf27_">'(2) Fakturácia'!$AH$5:$AH$750</definedName>
    <definedName name="Mf28_">'(2) Fakturácia'!$AI$5:$AI$750</definedName>
    <definedName name="Mf29_">'(2) Fakturácia'!$AJ$5:$AJ$750</definedName>
    <definedName name="Mf3_">'(2) Fakturácia'!$J$5:$J$750</definedName>
    <definedName name="Mf30_">'(2) Fakturácia'!$AK$5:$AK$750</definedName>
    <definedName name="Mf31_">'(2) Fakturácia'!$AL$5:$AL$750</definedName>
    <definedName name="Mf32_">'(2) Fakturácia'!$AM$5:$AM$750</definedName>
    <definedName name="Mf33_">'(2) Fakturácia'!$AN$5:$AN$750</definedName>
    <definedName name="Mf34_">'(2) Fakturácia'!$AO$5:$AO$750</definedName>
    <definedName name="Mf35_">'(2) Fakturácia'!$AP$5:$AP$750</definedName>
    <definedName name="Mf36_">'(2) Fakturácia'!$AQ$5:$AQ$750</definedName>
    <definedName name="Mf37_">'(2) Fakturácia'!$AR$5:$AR$750</definedName>
    <definedName name="Mf4_">'(2) Fakturácia'!$K$5:$K$750</definedName>
    <definedName name="Mf5_">'(2) Fakturácia'!$L$5:$L$750</definedName>
    <definedName name="Mf6_">'(2) Fakturácia'!$M$5:$M$750</definedName>
    <definedName name="Mf7_">'(2) Fakturácia'!$N$5:$N$750</definedName>
    <definedName name="Mf8_">'(2) Fakturácia'!$O$5:$O$750</definedName>
    <definedName name="Mf9_">'(2) Fakturácia'!$P$5:$P$750</definedName>
    <definedName name="Par_Architect">Nastavenia!$B$23</definedName>
    <definedName name="Par_AvgCostHour">Nastavenia!$B$41</definedName>
    <definedName name="Par_AvgRevenuesHour">Nastavenia!$B$42</definedName>
    <definedName name="PAR_BONUSRATIO_PM">Nastavenia!$B$5</definedName>
    <definedName name="PAR_BONUSRATIO_TEAM">Nastavenia!$B$4</definedName>
    <definedName name="Par_Center">Nastavenia!$B$21</definedName>
    <definedName name="Par_ContractDate">Nastavenia!$B$19</definedName>
    <definedName name="Par_ContractManager">Nastavenia!$B$24</definedName>
    <definedName name="Par_Costs3P">Nastavenia!$B$33</definedName>
    <definedName name="Par_CostsLic">Nastavenia!$B$32</definedName>
    <definedName name="Par_CostsRisk">Nastavenia!$B$34</definedName>
    <definedName name="Par_CostsTotal">Nastavenia!$B$30</definedName>
    <definedName name="Par_CostsWork">Nastavenia!$B$31</definedName>
    <definedName name="Par_EndConsumer">Nastavenia!$B$17</definedName>
    <definedName name="Par_EROwnRatio">Nastavenia!$B$43</definedName>
    <definedName name="Par_HoursTravel">Nastavenia!$B$40</definedName>
    <definedName name="Par_HoursWork">Nastavenia!$B$39</definedName>
    <definedName name="Par_LabelTravelTime">Nastavenia!$A$27</definedName>
    <definedName name="Par_OMPlan">'(2) Fakturácia'!$F$5</definedName>
    <definedName name="Par_Partner">Nastavenia!$B$18</definedName>
    <definedName name="Par_Profit">Nastavenia!$B$29</definedName>
    <definedName name="Par_ProfylaxisHours">Nastavenia!$B$44</definedName>
    <definedName name="Par_ProfylaxisRevs">Nastavenia!$B$46</definedName>
    <definedName name="Par_Revs3P">Nastavenia!$B$38</definedName>
    <definedName name="Par_RevsLic">Nastavenia!$B$37</definedName>
    <definedName name="Par_RevsTotal">Nastavenia!$B$35</definedName>
    <definedName name="Par_RevsWork">Nastavenia!$B$36</definedName>
    <definedName name="Par_SalesPerson">Nastavenia!$B$20</definedName>
    <definedName name="PAR_SGA_percento">Nastavenia!$B$6</definedName>
    <definedName name="PAR_SGA_PERHOUR">Nastavenia!$B$7</definedName>
    <definedName name="Par_StandByHours">Nastavenia!$B$45</definedName>
    <definedName name="Par_StandByRevs">Nastavenia!$B$47</definedName>
    <definedName name="PAR_WO_Contracted">Nastavenia!$B$3</definedName>
    <definedName name="PAR_WO_Label">Nastavenia!$B$2</definedName>
    <definedName name="Par_WoAccountName">Nastavenia!$B$16</definedName>
    <definedName name="PAR_XLS_VERSION">Nastavenia!$B$8</definedName>
    <definedName name="_xlnm.Print_Area" localSheetId="5">'(4) Protokol'!$B$2:$E$39</definedName>
    <definedName name="_xlnm.Print_Area" localSheetId="6">'(4.1) P_preplán.'!$B$2:$F$40</definedName>
    <definedName name="SUM_Risks_3S">'(1.2) Riziká'!$G$19</definedName>
    <definedName name="SUM_Risks_Contract">'(1.2) Riziká'!$G$38</definedName>
    <definedName name="SUM_Risks_Customer">'(1.2) Riziká'!$G$14</definedName>
    <definedName name="SUM_Risks_Enviro">'(1.2) Riziká'!$G$59</definedName>
    <definedName name="SUM_Risks_Legal">'(1.2) Riziká'!$G$26</definedName>
    <definedName name="SUM_Risks_Logistics">'(1.2) Riziká'!$G$65</definedName>
    <definedName name="SUM_Risks_Project">'(1.2) Riziká'!$G$54</definedName>
    <definedName name="SUM_Risks_Technical">'(1.2) Riziká'!$G$47</definedName>
    <definedName name="tab_hou">Nastavenia!$O$5</definedName>
    <definedName name="Tab_Hours">Nastavenia!$U$2:$X$10</definedName>
    <definedName name="Tab_Parts">Nastavenia!$AE$2:$AF$6</definedName>
    <definedName name="TRAN_CIS_ROLES">Nastavenia!$F$3:$J$118</definedName>
    <definedName name="Tran_RevenuesList">Nastavenia!$AP$2:$AR$38</definedName>
    <definedName name="TRAN_STRITEMS_LABEL">Nastavenia!$D$3:$Q$113</definedName>
    <definedName name="Z_1E1B3255_5DFF_4154_A295_6F5FCEC93D1C_.wvu.Cols" localSheetId="2" hidden="1">'(1.2) Riziká'!$H:$H</definedName>
    <definedName name="Z_1E1B3255_5DFF_4154_A295_6F5FCEC93D1C_.wvu.Cols" localSheetId="4" hidden="1">'(3) Sumarizácia'!#REF!</definedName>
  </definedNames>
  <calcPr calcId="191029"/>
  <customWorkbookViews>
    <customWorkbookView name="FULL" guid="{1E1B3255-5DFF-4154-A295-6F5FCEC93D1C}" maximized="1" windowWidth="1280" windowHeight="799" activeSheetId="3"/>
  </customWorkbookViews>
</workbook>
</file>

<file path=xl/calcChain.xml><?xml version="1.0" encoding="utf-8"?>
<calcChain xmlns="http://schemas.openxmlformats.org/spreadsheetml/2006/main">
  <c r="F120" i="13" l="1" a="1"/>
  <c r="E120" i="13" a="1"/>
  <c r="D120" i="13" a="1"/>
  <c r="F93" i="13" a="1"/>
  <c r="E93" i="13" a="1"/>
  <c r="D93" i="13" a="1"/>
  <c r="F66" i="13" a="1"/>
  <c r="E66" i="13" a="1"/>
  <c r="D66" i="13" a="1"/>
  <c r="F25" i="13" a="1"/>
  <c r="E25" i="13" a="1"/>
  <c r="D25" i="13" a="1"/>
  <c r="F121" i="13" l="1" a="1"/>
  <c r="E121" i="13" a="1"/>
  <c r="D121" i="13" a="1"/>
  <c r="F94" i="13" a="1"/>
  <c r="E94" i="13" a="1"/>
  <c r="D94" i="13" a="1"/>
  <c r="F67" i="13" a="1"/>
  <c r="E67" i="13" a="1"/>
  <c r="D67" i="13" a="1"/>
  <c r="F45" i="13" a="1"/>
  <c r="E45" i="13" a="1"/>
  <c r="D45" i="13" a="1"/>
  <c r="F38" i="13" a="1"/>
  <c r="E38" i="13" a="1"/>
  <c r="D38" i="13" a="1"/>
  <c r="F26" i="13" a="1"/>
  <c r="E26" i="13" a="1"/>
  <c r="D26" i="13" a="1"/>
  <c r="D103" i="4"/>
  <c r="J92" i="4"/>
  <c r="D92" i="4"/>
  <c r="P82" i="4"/>
  <c r="O82" i="4"/>
  <c r="N82" i="4"/>
  <c r="P81" i="4"/>
  <c r="O81" i="4"/>
  <c r="N81" i="4"/>
  <c r="P80" i="4"/>
  <c r="O80" i="4"/>
  <c r="N80" i="4"/>
  <c r="P79" i="4"/>
  <c r="O79" i="4"/>
  <c r="N79" i="4"/>
  <c r="P78" i="4"/>
  <c r="O78" i="4"/>
  <c r="N78" i="4"/>
  <c r="P77" i="4"/>
  <c r="O77" i="4"/>
  <c r="N77" i="4"/>
  <c r="P76" i="4"/>
  <c r="O76" i="4"/>
  <c r="N76" i="4"/>
  <c r="P75" i="4"/>
  <c r="O75" i="4"/>
  <c r="N75" i="4"/>
  <c r="P74" i="4"/>
  <c r="O74" i="4"/>
  <c r="N74" i="4"/>
  <c r="P73" i="4"/>
  <c r="O73" i="4"/>
  <c r="N73" i="4"/>
  <c r="P72" i="4"/>
  <c r="O72" i="4"/>
  <c r="N72" i="4"/>
  <c r="P71" i="4"/>
  <c r="O71" i="4"/>
  <c r="N71" i="4"/>
  <c r="P70" i="4"/>
  <c r="O70" i="4"/>
  <c r="N70" i="4"/>
  <c r="P69" i="4"/>
  <c r="O69" i="4"/>
  <c r="N69" i="4"/>
  <c r="P68" i="4"/>
  <c r="O68" i="4"/>
  <c r="N68" i="4"/>
  <c r="P67" i="4"/>
  <c r="O67" i="4"/>
  <c r="N67" i="4"/>
  <c r="P66" i="4"/>
  <c r="O66" i="4"/>
  <c r="N66" i="4"/>
  <c r="P65" i="4"/>
  <c r="O65" i="4"/>
  <c r="N65" i="4"/>
  <c r="P64" i="4"/>
  <c r="O64" i="4"/>
  <c r="N64" i="4"/>
  <c r="P63" i="4"/>
  <c r="O63" i="4"/>
  <c r="N63" i="4"/>
  <c r="P62" i="4"/>
  <c r="O62" i="4"/>
  <c r="N62" i="4"/>
  <c r="P61" i="4"/>
  <c r="O61" i="4"/>
  <c r="N61" i="4"/>
  <c r="P60" i="4"/>
  <c r="O60" i="4"/>
  <c r="N60" i="4"/>
  <c r="P59" i="4"/>
  <c r="O59" i="4"/>
  <c r="N59" i="4"/>
  <c r="P58" i="4"/>
  <c r="O58" i="4"/>
  <c r="N58" i="4"/>
  <c r="P57" i="4"/>
  <c r="O57" i="4"/>
  <c r="N57" i="4"/>
  <c r="P56" i="4"/>
  <c r="O56" i="4"/>
  <c r="N56" i="4"/>
  <c r="P55" i="4"/>
  <c r="O55" i="4"/>
  <c r="N55" i="4"/>
  <c r="P54" i="4"/>
  <c r="O54" i="4"/>
  <c r="N54" i="4"/>
  <c r="P53" i="4"/>
  <c r="O53" i="4"/>
  <c r="N53" i="4"/>
  <c r="P52" i="4"/>
  <c r="O52" i="4"/>
  <c r="N52" i="4"/>
  <c r="P51" i="4"/>
  <c r="O51" i="4"/>
  <c r="N51" i="4"/>
  <c r="P50" i="4"/>
  <c r="O50" i="4"/>
  <c r="N50" i="4"/>
  <c r="P49" i="4"/>
  <c r="O49" i="4"/>
  <c r="N49" i="4"/>
  <c r="P48" i="4"/>
  <c r="O48" i="4"/>
  <c r="N48" i="4"/>
  <c r="P47" i="4"/>
  <c r="O47" i="4"/>
  <c r="N47" i="4"/>
  <c r="P46" i="4"/>
  <c r="O46" i="4"/>
  <c r="N46" i="4"/>
  <c r="P45" i="4"/>
  <c r="O45" i="4"/>
  <c r="N45" i="4"/>
  <c r="P44" i="4"/>
  <c r="O44" i="4"/>
  <c r="N44" i="4"/>
  <c r="P43" i="4"/>
  <c r="O43" i="4"/>
  <c r="N43" i="4"/>
  <c r="P42" i="4"/>
  <c r="O42" i="4"/>
  <c r="N42" i="4"/>
  <c r="P41" i="4"/>
  <c r="O41" i="4"/>
  <c r="N41" i="4"/>
  <c r="P40" i="4"/>
  <c r="O40" i="4"/>
  <c r="N40" i="4"/>
  <c r="P39" i="4"/>
  <c r="O39" i="4"/>
  <c r="N39" i="4"/>
  <c r="P38" i="4"/>
  <c r="O38" i="4"/>
  <c r="N38" i="4"/>
  <c r="P37" i="4"/>
  <c r="O37" i="4"/>
  <c r="N37" i="4"/>
  <c r="P36" i="4"/>
  <c r="O36" i="4"/>
  <c r="N36" i="4"/>
  <c r="P35" i="4"/>
  <c r="O35" i="4"/>
  <c r="N35" i="4"/>
  <c r="P34" i="4"/>
  <c r="O34" i="4"/>
  <c r="N34" i="4"/>
  <c r="P33" i="4"/>
  <c r="O33" i="4"/>
  <c r="N33" i="4"/>
  <c r="P32" i="4"/>
  <c r="O32" i="4"/>
  <c r="N32" i="4"/>
  <c r="P31" i="4"/>
  <c r="O31" i="4"/>
  <c r="N31" i="4"/>
  <c r="P30" i="4"/>
  <c r="O30" i="4"/>
  <c r="N30" i="4"/>
  <c r="P29" i="4"/>
  <c r="O29" i="4"/>
  <c r="N29" i="4"/>
  <c r="P28" i="4"/>
  <c r="O28" i="4"/>
  <c r="N28" i="4"/>
  <c r="P27" i="4"/>
  <c r="O27" i="4"/>
  <c r="N27" i="4"/>
  <c r="P26" i="4"/>
  <c r="O26" i="4"/>
  <c r="N26" i="4"/>
  <c r="P25" i="4"/>
  <c r="O25" i="4"/>
  <c r="N25" i="4"/>
  <c r="P24" i="4"/>
  <c r="O24" i="4"/>
  <c r="N24" i="4"/>
  <c r="P23" i="4"/>
  <c r="O23" i="4"/>
  <c r="N23" i="4"/>
  <c r="P22" i="4"/>
  <c r="O22" i="4"/>
  <c r="N22" i="4"/>
  <c r="P21" i="4"/>
  <c r="O21" i="4"/>
  <c r="N21" i="4"/>
  <c r="P20" i="4"/>
  <c r="O20" i="4"/>
  <c r="N20" i="4"/>
  <c r="P19" i="4"/>
  <c r="O19" i="4"/>
  <c r="N19" i="4"/>
  <c r="P18" i="4"/>
  <c r="O18" i="4"/>
  <c r="N18" i="4"/>
  <c r="P17" i="4"/>
  <c r="O17" i="4"/>
  <c r="N17" i="4"/>
  <c r="P16" i="4"/>
  <c r="O16" i="4"/>
  <c r="N16" i="4"/>
  <c r="P15" i="4"/>
  <c r="O15" i="4"/>
  <c r="N15" i="4"/>
  <c r="P14" i="4"/>
  <c r="O14" i="4"/>
  <c r="N14" i="4"/>
  <c r="P13" i="4"/>
  <c r="O13" i="4"/>
  <c r="N13" i="4"/>
  <c r="P12" i="4"/>
  <c r="O12" i="4"/>
  <c r="N12" i="4"/>
  <c r="P11" i="4"/>
  <c r="O11" i="4"/>
  <c r="N11" i="4"/>
  <c r="P10" i="4"/>
  <c r="O10" i="4"/>
  <c r="N10" i="4"/>
  <c r="P9" i="4"/>
  <c r="O9" i="4"/>
  <c r="N9" i="4"/>
  <c r="P8" i="4"/>
  <c r="O8" i="4"/>
  <c r="N8" i="4"/>
  <c r="P7" i="4"/>
  <c r="O7" i="4"/>
  <c r="N7" i="4"/>
  <c r="P6" i="4"/>
  <c r="O6" i="4"/>
  <c r="N6" i="4"/>
  <c r="P4" i="4"/>
  <c r="O4" i="4"/>
  <c r="N4" i="4"/>
  <c r="P3" i="4"/>
  <c r="O3" i="4"/>
  <c r="N3" i="4"/>
  <c r="O5" i="4"/>
  <c r="P5" i="4"/>
  <c r="N5" i="4"/>
  <c r="Q17" i="4" l="1"/>
  <c r="M17" i="4"/>
  <c r="L17" i="4"/>
  <c r="K17" i="4"/>
  <c r="D17" i="4"/>
  <c r="Q33" i="4"/>
  <c r="M33" i="4"/>
  <c r="L33" i="4"/>
  <c r="K33" i="4"/>
  <c r="D33" i="4"/>
  <c r="Q49" i="4"/>
  <c r="M49" i="4"/>
  <c r="L49" i="4"/>
  <c r="K49" i="4"/>
  <c r="D49" i="4"/>
  <c r="Q65" i="4"/>
  <c r="M65" i="4"/>
  <c r="L65" i="4"/>
  <c r="K65" i="4"/>
  <c r="D65" i="4"/>
  <c r="Q81" i="4"/>
  <c r="M81" i="4"/>
  <c r="L81" i="4"/>
  <c r="K81" i="4"/>
  <c r="D81" i="4"/>
  <c r="F43" i="13" a="1"/>
  <c r="E43" i="13" a="1"/>
  <c r="D43" i="13" a="1"/>
  <c r="J100" i="4"/>
  <c r="D100" i="4"/>
  <c r="J91" i="4"/>
  <c r="BP750" i="5"/>
  <c r="BO750" i="5"/>
  <c r="BC750" i="5" s="1"/>
  <c r="BN750" i="5"/>
  <c r="BM750" i="5"/>
  <c r="BL750" i="5"/>
  <c r="BK750" i="5"/>
  <c r="BJ750" i="5"/>
  <c r="BI750" i="5"/>
  <c r="BG750" i="5"/>
  <c r="BE750" i="5"/>
  <c r="BD750" i="5"/>
  <c r="BB750" i="5"/>
  <c r="BA750" i="5"/>
  <c r="AZ750" i="5"/>
  <c r="BP749" i="5"/>
  <c r="BO749" i="5"/>
  <c r="BC749" i="5" s="1"/>
  <c r="BN749" i="5"/>
  <c r="BM749" i="5"/>
  <c r="BL749" i="5"/>
  <c r="BK749" i="5"/>
  <c r="BJ749" i="5"/>
  <c r="BI749" i="5"/>
  <c r="BG749" i="5"/>
  <c r="BE749" i="5"/>
  <c r="BD749" i="5"/>
  <c r="BB749" i="5"/>
  <c r="BA749" i="5"/>
  <c r="AZ749" i="5"/>
  <c r="BP748" i="5"/>
  <c r="BO748" i="5"/>
  <c r="BN748" i="5"/>
  <c r="BM748" i="5"/>
  <c r="BL748" i="5"/>
  <c r="BK748" i="5"/>
  <c r="BJ748" i="5"/>
  <c r="BI748" i="5"/>
  <c r="BG748" i="5"/>
  <c r="BE748" i="5"/>
  <c r="BD748" i="5"/>
  <c r="BC748" i="5"/>
  <c r="BB748" i="5"/>
  <c r="BA748" i="5"/>
  <c r="AZ748" i="5"/>
  <c r="BP747" i="5"/>
  <c r="BO747" i="5"/>
  <c r="BC747" i="5" s="1"/>
  <c r="BN747" i="5"/>
  <c r="BM747" i="5"/>
  <c r="BL747" i="5"/>
  <c r="BK747" i="5"/>
  <c r="BJ747" i="5"/>
  <c r="BI747" i="5"/>
  <c r="BG747" i="5"/>
  <c r="BE747" i="5"/>
  <c r="BD747" i="5"/>
  <c r="BB747" i="5"/>
  <c r="BA747" i="5"/>
  <c r="AZ747" i="5"/>
  <c r="BP746" i="5"/>
  <c r="BO746" i="5"/>
  <c r="BC746" i="5" s="1"/>
  <c r="BN746" i="5"/>
  <c r="BM746" i="5"/>
  <c r="BL746" i="5"/>
  <c r="BK746" i="5"/>
  <c r="BJ746" i="5"/>
  <c r="BI746" i="5"/>
  <c r="BG746" i="5"/>
  <c r="BE746" i="5"/>
  <c r="BD746" i="5"/>
  <c r="BB746" i="5"/>
  <c r="BA746" i="5"/>
  <c r="AZ746" i="5"/>
  <c r="BP745" i="5"/>
  <c r="BO745" i="5"/>
  <c r="BC745" i="5" s="1"/>
  <c r="BN745" i="5"/>
  <c r="BM745" i="5"/>
  <c r="BL745" i="5"/>
  <c r="BK745" i="5"/>
  <c r="BJ745" i="5"/>
  <c r="BI745" i="5"/>
  <c r="BG745" i="5"/>
  <c r="BE745" i="5"/>
  <c r="BD745" i="5"/>
  <c r="BB745" i="5"/>
  <c r="BA745" i="5"/>
  <c r="AZ745" i="5"/>
  <c r="BP744" i="5"/>
  <c r="BO744" i="5"/>
  <c r="BC744" i="5" s="1"/>
  <c r="BN744" i="5"/>
  <c r="BM744" i="5"/>
  <c r="BL744" i="5"/>
  <c r="BK744" i="5"/>
  <c r="BJ744" i="5"/>
  <c r="BI744" i="5"/>
  <c r="BG744" i="5"/>
  <c r="BE744" i="5"/>
  <c r="BD744" i="5"/>
  <c r="BB744" i="5"/>
  <c r="BA744" i="5"/>
  <c r="AZ744" i="5"/>
  <c r="BP743" i="5"/>
  <c r="BO743" i="5"/>
  <c r="BC743" i="5" s="1"/>
  <c r="BN743" i="5"/>
  <c r="BM743" i="5"/>
  <c r="BL743" i="5"/>
  <c r="BK743" i="5"/>
  <c r="BJ743" i="5"/>
  <c r="BI743" i="5"/>
  <c r="BG743" i="5"/>
  <c r="BE743" i="5"/>
  <c r="BD743" i="5"/>
  <c r="BB743" i="5"/>
  <c r="BA743" i="5"/>
  <c r="AZ743" i="5"/>
  <c r="BP742" i="5"/>
  <c r="BO742" i="5"/>
  <c r="BC742" i="5" s="1"/>
  <c r="BN742" i="5"/>
  <c r="BM742" i="5"/>
  <c r="BL742" i="5"/>
  <c r="BK742" i="5"/>
  <c r="BJ742" i="5"/>
  <c r="BI742" i="5"/>
  <c r="BG742" i="5"/>
  <c r="BE742" i="5"/>
  <c r="BD742" i="5"/>
  <c r="BB742" i="5"/>
  <c r="BA742" i="5"/>
  <c r="AZ742" i="5"/>
  <c r="BP741" i="5"/>
  <c r="BO741" i="5"/>
  <c r="BC741" i="5" s="1"/>
  <c r="BN741" i="5"/>
  <c r="BM741" i="5"/>
  <c r="BL741" i="5"/>
  <c r="BK741" i="5"/>
  <c r="BJ741" i="5"/>
  <c r="BI741" i="5"/>
  <c r="BG741" i="5"/>
  <c r="BE741" i="5"/>
  <c r="BD741" i="5"/>
  <c r="BB741" i="5"/>
  <c r="BA741" i="5"/>
  <c r="AZ741" i="5"/>
  <c r="BP740" i="5"/>
  <c r="BO740" i="5"/>
  <c r="BC740" i="5" s="1"/>
  <c r="BN740" i="5"/>
  <c r="BM740" i="5"/>
  <c r="BL740" i="5"/>
  <c r="BK740" i="5"/>
  <c r="BJ740" i="5"/>
  <c r="BI740" i="5"/>
  <c r="BG740" i="5"/>
  <c r="BE740" i="5"/>
  <c r="BD740" i="5"/>
  <c r="BB740" i="5"/>
  <c r="BA740" i="5"/>
  <c r="AZ740" i="5"/>
  <c r="BP739" i="5"/>
  <c r="BO739" i="5"/>
  <c r="BC739" i="5" s="1"/>
  <c r="BN739" i="5"/>
  <c r="BM739" i="5"/>
  <c r="BL739" i="5"/>
  <c r="BK739" i="5"/>
  <c r="BJ739" i="5"/>
  <c r="BI739" i="5"/>
  <c r="BG739" i="5"/>
  <c r="BE739" i="5"/>
  <c r="BD739" i="5"/>
  <c r="BB739" i="5"/>
  <c r="BA739" i="5"/>
  <c r="AZ739" i="5"/>
  <c r="BP738" i="5"/>
  <c r="BO738" i="5"/>
  <c r="BC738" i="5" s="1"/>
  <c r="BN738" i="5"/>
  <c r="BM738" i="5"/>
  <c r="BL738" i="5"/>
  <c r="BK738" i="5"/>
  <c r="BJ738" i="5"/>
  <c r="BI738" i="5"/>
  <c r="BG738" i="5"/>
  <c r="BE738" i="5"/>
  <c r="BD738" i="5"/>
  <c r="BB738" i="5"/>
  <c r="BA738" i="5"/>
  <c r="AZ738" i="5"/>
  <c r="BP737" i="5"/>
  <c r="BO737" i="5"/>
  <c r="BC737" i="5" s="1"/>
  <c r="BN737" i="5"/>
  <c r="BM737" i="5"/>
  <c r="BL737" i="5"/>
  <c r="BK737" i="5"/>
  <c r="BJ737" i="5"/>
  <c r="BI737" i="5"/>
  <c r="BG737" i="5"/>
  <c r="BE737" i="5"/>
  <c r="BD737" i="5"/>
  <c r="BB737" i="5"/>
  <c r="BA737" i="5"/>
  <c r="AZ737" i="5"/>
  <c r="BP736" i="5"/>
  <c r="BO736" i="5"/>
  <c r="BC736" i="5" s="1"/>
  <c r="BN736" i="5"/>
  <c r="BM736" i="5"/>
  <c r="BL736" i="5"/>
  <c r="BK736" i="5"/>
  <c r="BJ736" i="5"/>
  <c r="BI736" i="5"/>
  <c r="BG736" i="5"/>
  <c r="BE736" i="5"/>
  <c r="BD736" i="5"/>
  <c r="BB736" i="5"/>
  <c r="BA736" i="5"/>
  <c r="AZ736" i="5"/>
  <c r="BP735" i="5"/>
  <c r="BO735" i="5"/>
  <c r="BC735" i="5" s="1"/>
  <c r="BN735" i="5"/>
  <c r="BM735" i="5"/>
  <c r="BL735" i="5"/>
  <c r="BK735" i="5"/>
  <c r="BJ735" i="5"/>
  <c r="BI735" i="5"/>
  <c r="BG735" i="5"/>
  <c r="BE735" i="5"/>
  <c r="BD735" i="5"/>
  <c r="BB735" i="5"/>
  <c r="BA735" i="5"/>
  <c r="AZ735" i="5"/>
  <c r="BP734" i="5"/>
  <c r="BO734" i="5"/>
  <c r="BC734" i="5" s="1"/>
  <c r="BN734" i="5"/>
  <c r="BM734" i="5"/>
  <c r="BL734" i="5"/>
  <c r="BK734" i="5"/>
  <c r="BJ734" i="5"/>
  <c r="BI734" i="5"/>
  <c r="BG734" i="5"/>
  <c r="BE734" i="5"/>
  <c r="BD734" i="5"/>
  <c r="BB734" i="5"/>
  <c r="BA734" i="5"/>
  <c r="AZ734" i="5"/>
  <c r="BP733" i="5"/>
  <c r="BO733" i="5"/>
  <c r="BC733" i="5" s="1"/>
  <c r="BN733" i="5"/>
  <c r="BM733" i="5"/>
  <c r="BL733" i="5"/>
  <c r="BK733" i="5"/>
  <c r="BJ733" i="5"/>
  <c r="BI733" i="5"/>
  <c r="BG733" i="5"/>
  <c r="BE733" i="5"/>
  <c r="BD733" i="5"/>
  <c r="BB733" i="5"/>
  <c r="BA733" i="5"/>
  <c r="AZ733" i="5"/>
  <c r="BP732" i="5"/>
  <c r="BO732" i="5"/>
  <c r="BC732" i="5" s="1"/>
  <c r="BN732" i="5"/>
  <c r="BM732" i="5"/>
  <c r="BL732" i="5"/>
  <c r="BK732" i="5"/>
  <c r="BJ732" i="5"/>
  <c r="BI732" i="5"/>
  <c r="BG732" i="5"/>
  <c r="BE732" i="5"/>
  <c r="BD732" i="5"/>
  <c r="BB732" i="5"/>
  <c r="BA732" i="5"/>
  <c r="AZ732" i="5"/>
  <c r="BP731" i="5"/>
  <c r="BO731" i="5"/>
  <c r="BC731" i="5" s="1"/>
  <c r="BN731" i="5"/>
  <c r="BM731" i="5"/>
  <c r="BL731" i="5"/>
  <c r="BK731" i="5"/>
  <c r="BJ731" i="5"/>
  <c r="BI731" i="5"/>
  <c r="BG731" i="5"/>
  <c r="BE731" i="5"/>
  <c r="BD731" i="5"/>
  <c r="BB731" i="5"/>
  <c r="BA731" i="5"/>
  <c r="AZ731" i="5"/>
  <c r="BP730" i="5"/>
  <c r="BO730" i="5"/>
  <c r="BC730" i="5" s="1"/>
  <c r="BN730" i="5"/>
  <c r="BM730" i="5"/>
  <c r="BL730" i="5"/>
  <c r="BK730" i="5"/>
  <c r="BJ730" i="5"/>
  <c r="BI730" i="5"/>
  <c r="BG730" i="5"/>
  <c r="BE730" i="5"/>
  <c r="BD730" i="5"/>
  <c r="BB730" i="5"/>
  <c r="BA730" i="5"/>
  <c r="AZ730" i="5"/>
  <c r="BP729" i="5"/>
  <c r="BO729" i="5"/>
  <c r="BC729" i="5" s="1"/>
  <c r="BN729" i="5"/>
  <c r="BM729" i="5"/>
  <c r="BL729" i="5"/>
  <c r="BK729" i="5"/>
  <c r="BJ729" i="5"/>
  <c r="BI729" i="5"/>
  <c r="BG729" i="5"/>
  <c r="BE729" i="5"/>
  <c r="BD729" i="5"/>
  <c r="BB729" i="5"/>
  <c r="BA729" i="5"/>
  <c r="AZ729" i="5"/>
  <c r="BP728" i="5"/>
  <c r="BO728" i="5"/>
  <c r="BC728" i="5" s="1"/>
  <c r="BN728" i="5"/>
  <c r="BM728" i="5"/>
  <c r="BL728" i="5"/>
  <c r="BK728" i="5"/>
  <c r="BJ728" i="5"/>
  <c r="BI728" i="5"/>
  <c r="BG728" i="5"/>
  <c r="BE728" i="5"/>
  <c r="BD728" i="5"/>
  <c r="BB728" i="5"/>
  <c r="BA728" i="5"/>
  <c r="AZ728" i="5"/>
  <c r="BP727" i="5"/>
  <c r="BO727" i="5"/>
  <c r="BC727" i="5" s="1"/>
  <c r="BN727" i="5"/>
  <c r="BM727" i="5"/>
  <c r="BL727" i="5"/>
  <c r="BK727" i="5"/>
  <c r="BJ727" i="5"/>
  <c r="BI727" i="5"/>
  <c r="BG727" i="5"/>
  <c r="BE727" i="5"/>
  <c r="BD727" i="5"/>
  <c r="BB727" i="5"/>
  <c r="BA727" i="5"/>
  <c r="AZ727" i="5"/>
  <c r="BP726" i="5"/>
  <c r="BO726" i="5"/>
  <c r="BC726" i="5" s="1"/>
  <c r="BN726" i="5"/>
  <c r="BM726" i="5"/>
  <c r="BL726" i="5"/>
  <c r="BK726" i="5"/>
  <c r="BJ726" i="5"/>
  <c r="BI726" i="5"/>
  <c r="BG726" i="5"/>
  <c r="BE726" i="5"/>
  <c r="BD726" i="5"/>
  <c r="BB726" i="5"/>
  <c r="BA726" i="5"/>
  <c r="AZ726" i="5"/>
  <c r="BP725" i="5"/>
  <c r="BO725" i="5"/>
  <c r="BC725" i="5" s="1"/>
  <c r="BN725" i="5"/>
  <c r="BM725" i="5"/>
  <c r="BL725" i="5"/>
  <c r="BK725" i="5"/>
  <c r="BJ725" i="5"/>
  <c r="BI725" i="5"/>
  <c r="BG725" i="5"/>
  <c r="BE725" i="5"/>
  <c r="BD725" i="5"/>
  <c r="BB725" i="5"/>
  <c r="BA725" i="5"/>
  <c r="AZ725" i="5"/>
  <c r="BP724" i="5"/>
  <c r="BO724" i="5"/>
  <c r="BC724" i="5" s="1"/>
  <c r="BN724" i="5"/>
  <c r="BM724" i="5"/>
  <c r="BL724" i="5"/>
  <c r="BK724" i="5"/>
  <c r="BJ724" i="5"/>
  <c r="BI724" i="5"/>
  <c r="BG724" i="5"/>
  <c r="BE724" i="5"/>
  <c r="BD724" i="5"/>
  <c r="BB724" i="5"/>
  <c r="BA724" i="5"/>
  <c r="AZ724" i="5"/>
  <c r="BP723" i="5"/>
  <c r="BO723" i="5"/>
  <c r="BC723" i="5" s="1"/>
  <c r="BN723" i="5"/>
  <c r="BM723" i="5"/>
  <c r="BL723" i="5"/>
  <c r="BK723" i="5"/>
  <c r="BJ723" i="5"/>
  <c r="BI723" i="5"/>
  <c r="BG723" i="5"/>
  <c r="BE723" i="5"/>
  <c r="BD723" i="5"/>
  <c r="BB723" i="5"/>
  <c r="BA723" i="5"/>
  <c r="AZ723" i="5"/>
  <c r="BP722" i="5"/>
  <c r="BO722" i="5"/>
  <c r="BC722" i="5" s="1"/>
  <c r="BN722" i="5"/>
  <c r="BM722" i="5"/>
  <c r="BL722" i="5"/>
  <c r="BK722" i="5"/>
  <c r="BJ722" i="5"/>
  <c r="BI722" i="5"/>
  <c r="BG722" i="5"/>
  <c r="BE722" i="5"/>
  <c r="BD722" i="5"/>
  <c r="BB722" i="5"/>
  <c r="BA722" i="5"/>
  <c r="AZ722" i="5"/>
  <c r="BP721" i="5"/>
  <c r="BO721" i="5"/>
  <c r="BC721" i="5" s="1"/>
  <c r="BN721" i="5"/>
  <c r="BM721" i="5"/>
  <c r="BL721" i="5"/>
  <c r="BK721" i="5"/>
  <c r="BJ721" i="5"/>
  <c r="BI721" i="5"/>
  <c r="BG721" i="5"/>
  <c r="BE721" i="5"/>
  <c r="BD721" i="5"/>
  <c r="BB721" i="5"/>
  <c r="BA721" i="5"/>
  <c r="AZ721" i="5"/>
  <c r="BP720" i="5"/>
  <c r="BO720" i="5"/>
  <c r="BC720" i="5" s="1"/>
  <c r="BN720" i="5"/>
  <c r="BM720" i="5"/>
  <c r="BL720" i="5"/>
  <c r="BK720" i="5"/>
  <c r="BJ720" i="5"/>
  <c r="BI720" i="5"/>
  <c r="BG720" i="5"/>
  <c r="BE720" i="5"/>
  <c r="BD720" i="5"/>
  <c r="BB720" i="5"/>
  <c r="BA720" i="5"/>
  <c r="AZ720" i="5"/>
  <c r="BP719" i="5"/>
  <c r="BO719" i="5"/>
  <c r="BC719" i="5" s="1"/>
  <c r="BN719" i="5"/>
  <c r="BM719" i="5"/>
  <c r="BL719" i="5"/>
  <c r="BK719" i="5"/>
  <c r="BJ719" i="5"/>
  <c r="BI719" i="5"/>
  <c r="BG719" i="5"/>
  <c r="BE719" i="5"/>
  <c r="BD719" i="5"/>
  <c r="BB719" i="5"/>
  <c r="BA719" i="5"/>
  <c r="AZ719" i="5"/>
  <c r="BP718" i="5"/>
  <c r="BO718" i="5"/>
  <c r="BC718" i="5" s="1"/>
  <c r="BN718" i="5"/>
  <c r="BM718" i="5"/>
  <c r="BL718" i="5"/>
  <c r="BK718" i="5"/>
  <c r="BJ718" i="5"/>
  <c r="BI718" i="5"/>
  <c r="BG718" i="5"/>
  <c r="BE718" i="5"/>
  <c r="BD718" i="5"/>
  <c r="BB718" i="5"/>
  <c r="BA718" i="5"/>
  <c r="AZ718" i="5"/>
  <c r="BP717" i="5"/>
  <c r="BO717" i="5"/>
  <c r="BC717" i="5" s="1"/>
  <c r="BN717" i="5"/>
  <c r="BM717" i="5"/>
  <c r="BL717" i="5"/>
  <c r="BK717" i="5"/>
  <c r="BJ717" i="5"/>
  <c r="BI717" i="5"/>
  <c r="BG717" i="5"/>
  <c r="BE717" i="5"/>
  <c r="BD717" i="5"/>
  <c r="BB717" i="5"/>
  <c r="BA717" i="5"/>
  <c r="AZ717" i="5"/>
  <c r="BP716" i="5"/>
  <c r="BO716" i="5"/>
  <c r="BC716" i="5" s="1"/>
  <c r="BN716" i="5"/>
  <c r="BM716" i="5"/>
  <c r="BL716" i="5"/>
  <c r="BK716" i="5"/>
  <c r="BJ716" i="5"/>
  <c r="BI716" i="5"/>
  <c r="BG716" i="5"/>
  <c r="BE716" i="5"/>
  <c r="BD716" i="5"/>
  <c r="BB716" i="5"/>
  <c r="BA716" i="5"/>
  <c r="AZ716" i="5"/>
  <c r="BP715" i="5"/>
  <c r="BO715" i="5"/>
  <c r="BC715" i="5" s="1"/>
  <c r="BN715" i="5"/>
  <c r="BM715" i="5"/>
  <c r="BL715" i="5"/>
  <c r="BK715" i="5"/>
  <c r="BJ715" i="5"/>
  <c r="BI715" i="5"/>
  <c r="BG715" i="5"/>
  <c r="BE715" i="5"/>
  <c r="BD715" i="5"/>
  <c r="BB715" i="5"/>
  <c r="BA715" i="5"/>
  <c r="AZ715" i="5"/>
  <c r="BP714" i="5"/>
  <c r="BO714" i="5"/>
  <c r="BC714" i="5" s="1"/>
  <c r="BN714" i="5"/>
  <c r="BM714" i="5"/>
  <c r="BL714" i="5"/>
  <c r="BK714" i="5"/>
  <c r="BJ714" i="5"/>
  <c r="BI714" i="5"/>
  <c r="BG714" i="5"/>
  <c r="BE714" i="5"/>
  <c r="BD714" i="5"/>
  <c r="BB714" i="5"/>
  <c r="BA714" i="5"/>
  <c r="AZ714" i="5"/>
  <c r="BP713" i="5"/>
  <c r="BO713" i="5"/>
  <c r="BC713" i="5" s="1"/>
  <c r="BN713" i="5"/>
  <c r="BM713" i="5"/>
  <c r="BL713" i="5"/>
  <c r="BK713" i="5"/>
  <c r="BJ713" i="5"/>
  <c r="BI713" i="5"/>
  <c r="BG713" i="5"/>
  <c r="BE713" i="5"/>
  <c r="BD713" i="5"/>
  <c r="BB713" i="5"/>
  <c r="BA713" i="5"/>
  <c r="AZ713" i="5"/>
  <c r="BP712" i="5"/>
  <c r="BO712" i="5"/>
  <c r="BC712" i="5" s="1"/>
  <c r="BN712" i="5"/>
  <c r="BM712" i="5"/>
  <c r="BL712" i="5"/>
  <c r="BK712" i="5"/>
  <c r="BJ712" i="5"/>
  <c r="BI712" i="5"/>
  <c r="BG712" i="5"/>
  <c r="BE712" i="5"/>
  <c r="BD712" i="5"/>
  <c r="BB712" i="5"/>
  <c r="BA712" i="5"/>
  <c r="AZ712" i="5"/>
  <c r="BP711" i="5"/>
  <c r="BO711" i="5"/>
  <c r="BC711" i="5" s="1"/>
  <c r="BN711" i="5"/>
  <c r="BM711" i="5"/>
  <c r="BL711" i="5"/>
  <c r="BK711" i="5"/>
  <c r="BJ711" i="5"/>
  <c r="BI711" i="5"/>
  <c r="BG711" i="5"/>
  <c r="BE711" i="5"/>
  <c r="BD711" i="5"/>
  <c r="BB711" i="5"/>
  <c r="BA711" i="5"/>
  <c r="AZ711" i="5"/>
  <c r="BP710" i="5"/>
  <c r="BO710" i="5"/>
  <c r="BC710" i="5" s="1"/>
  <c r="BN710" i="5"/>
  <c r="BM710" i="5"/>
  <c r="BL710" i="5"/>
  <c r="BK710" i="5"/>
  <c r="BJ710" i="5"/>
  <c r="BI710" i="5"/>
  <c r="BG710" i="5"/>
  <c r="BE710" i="5"/>
  <c r="BD710" i="5"/>
  <c r="BB710" i="5"/>
  <c r="BA710" i="5"/>
  <c r="AZ710" i="5"/>
  <c r="BP709" i="5"/>
  <c r="BO709" i="5"/>
  <c r="BC709" i="5" s="1"/>
  <c r="BN709" i="5"/>
  <c r="BM709" i="5"/>
  <c r="BL709" i="5"/>
  <c r="BK709" i="5"/>
  <c r="BJ709" i="5"/>
  <c r="BI709" i="5"/>
  <c r="BG709" i="5"/>
  <c r="BE709" i="5"/>
  <c r="BD709" i="5"/>
  <c r="BB709" i="5"/>
  <c r="BA709" i="5"/>
  <c r="AZ709" i="5"/>
  <c r="BP708" i="5"/>
  <c r="BO708" i="5"/>
  <c r="BC708" i="5" s="1"/>
  <c r="BN708" i="5"/>
  <c r="BM708" i="5"/>
  <c r="BL708" i="5"/>
  <c r="BK708" i="5"/>
  <c r="BJ708" i="5"/>
  <c r="BI708" i="5"/>
  <c r="BG708" i="5"/>
  <c r="BE708" i="5"/>
  <c r="BD708" i="5"/>
  <c r="BB708" i="5"/>
  <c r="BA708" i="5"/>
  <c r="AZ708" i="5"/>
  <c r="BP707" i="5"/>
  <c r="BO707" i="5"/>
  <c r="BC707" i="5" s="1"/>
  <c r="BN707" i="5"/>
  <c r="BM707" i="5"/>
  <c r="BL707" i="5"/>
  <c r="BK707" i="5"/>
  <c r="BJ707" i="5"/>
  <c r="BI707" i="5"/>
  <c r="BG707" i="5"/>
  <c r="BE707" i="5"/>
  <c r="BD707" i="5"/>
  <c r="BB707" i="5"/>
  <c r="BA707" i="5"/>
  <c r="AZ707" i="5"/>
  <c r="BP706" i="5"/>
  <c r="BO706" i="5"/>
  <c r="BC706" i="5" s="1"/>
  <c r="BN706" i="5"/>
  <c r="BM706" i="5"/>
  <c r="BL706" i="5"/>
  <c r="BK706" i="5"/>
  <c r="BJ706" i="5"/>
  <c r="BI706" i="5"/>
  <c r="BG706" i="5"/>
  <c r="BE706" i="5"/>
  <c r="BD706" i="5"/>
  <c r="BB706" i="5"/>
  <c r="BA706" i="5"/>
  <c r="AZ706" i="5"/>
  <c r="BP705" i="5"/>
  <c r="BO705" i="5"/>
  <c r="BC705" i="5" s="1"/>
  <c r="BN705" i="5"/>
  <c r="BM705" i="5"/>
  <c r="BL705" i="5"/>
  <c r="BK705" i="5"/>
  <c r="BJ705" i="5"/>
  <c r="BI705" i="5"/>
  <c r="BG705" i="5"/>
  <c r="BE705" i="5"/>
  <c r="BD705" i="5"/>
  <c r="BB705" i="5"/>
  <c r="BA705" i="5"/>
  <c r="AZ705" i="5"/>
  <c r="BP704" i="5"/>
  <c r="BO704" i="5"/>
  <c r="BC704" i="5" s="1"/>
  <c r="BN704" i="5"/>
  <c r="BM704" i="5"/>
  <c r="BL704" i="5"/>
  <c r="BK704" i="5"/>
  <c r="BJ704" i="5"/>
  <c r="BI704" i="5"/>
  <c r="BG704" i="5"/>
  <c r="BE704" i="5"/>
  <c r="BD704" i="5"/>
  <c r="BB704" i="5"/>
  <c r="BA704" i="5"/>
  <c r="AZ704" i="5"/>
  <c r="BP703" i="5"/>
  <c r="BO703" i="5"/>
  <c r="BC703" i="5" s="1"/>
  <c r="BN703" i="5"/>
  <c r="BM703" i="5"/>
  <c r="BL703" i="5"/>
  <c r="BK703" i="5"/>
  <c r="BJ703" i="5"/>
  <c r="BI703" i="5"/>
  <c r="BG703" i="5"/>
  <c r="BE703" i="5"/>
  <c r="BD703" i="5"/>
  <c r="BB703" i="5"/>
  <c r="BA703" i="5"/>
  <c r="AZ703" i="5"/>
  <c r="BP702" i="5"/>
  <c r="BO702" i="5"/>
  <c r="BC702" i="5" s="1"/>
  <c r="BN702" i="5"/>
  <c r="BM702" i="5"/>
  <c r="BL702" i="5"/>
  <c r="BK702" i="5"/>
  <c r="BJ702" i="5"/>
  <c r="BI702" i="5"/>
  <c r="BG702" i="5"/>
  <c r="BE702" i="5"/>
  <c r="BD702" i="5"/>
  <c r="BB702" i="5"/>
  <c r="BA702" i="5"/>
  <c r="AZ702" i="5"/>
  <c r="BP701" i="5"/>
  <c r="BO701" i="5"/>
  <c r="BC701" i="5" s="1"/>
  <c r="BN701" i="5"/>
  <c r="BM701" i="5"/>
  <c r="BL701" i="5"/>
  <c r="BK701" i="5"/>
  <c r="BJ701" i="5"/>
  <c r="BI701" i="5"/>
  <c r="BG701" i="5"/>
  <c r="BE701" i="5"/>
  <c r="BD701" i="5"/>
  <c r="BB701" i="5"/>
  <c r="BA701" i="5"/>
  <c r="AZ701" i="5"/>
  <c r="BP700" i="5"/>
  <c r="BO700" i="5"/>
  <c r="BC700" i="5" s="1"/>
  <c r="BN700" i="5"/>
  <c r="BM700" i="5"/>
  <c r="BL700" i="5"/>
  <c r="BK700" i="5"/>
  <c r="BJ700" i="5"/>
  <c r="BI700" i="5"/>
  <c r="BG700" i="5"/>
  <c r="BE700" i="5"/>
  <c r="BD700" i="5"/>
  <c r="BB700" i="5"/>
  <c r="BA700" i="5"/>
  <c r="AZ700" i="5"/>
  <c r="BP699" i="5"/>
  <c r="BO699" i="5"/>
  <c r="BC699" i="5" s="1"/>
  <c r="BN699" i="5"/>
  <c r="BM699" i="5"/>
  <c r="BL699" i="5"/>
  <c r="BK699" i="5"/>
  <c r="BJ699" i="5"/>
  <c r="BI699" i="5"/>
  <c r="BG699" i="5"/>
  <c r="BE699" i="5"/>
  <c r="BD699" i="5"/>
  <c r="BB699" i="5"/>
  <c r="BA699" i="5"/>
  <c r="AZ699" i="5"/>
  <c r="BP698" i="5"/>
  <c r="BO698" i="5"/>
  <c r="BC698" i="5" s="1"/>
  <c r="BN698" i="5"/>
  <c r="BM698" i="5"/>
  <c r="BL698" i="5"/>
  <c r="BK698" i="5"/>
  <c r="BJ698" i="5"/>
  <c r="BI698" i="5"/>
  <c r="BG698" i="5"/>
  <c r="BE698" i="5"/>
  <c r="BD698" i="5"/>
  <c r="BB698" i="5"/>
  <c r="BA698" i="5"/>
  <c r="AZ698" i="5"/>
  <c r="BP697" i="5"/>
  <c r="BO697" i="5"/>
  <c r="BC697" i="5" s="1"/>
  <c r="BN697" i="5"/>
  <c r="BM697" i="5"/>
  <c r="BL697" i="5"/>
  <c r="BK697" i="5"/>
  <c r="BJ697" i="5"/>
  <c r="BI697" i="5"/>
  <c r="BG697" i="5"/>
  <c r="BE697" i="5"/>
  <c r="BD697" i="5"/>
  <c r="BB697" i="5"/>
  <c r="BA697" i="5"/>
  <c r="AZ697" i="5"/>
  <c r="BP696" i="5"/>
  <c r="BO696" i="5"/>
  <c r="BC696" i="5" s="1"/>
  <c r="BN696" i="5"/>
  <c r="BM696" i="5"/>
  <c r="BL696" i="5"/>
  <c r="BK696" i="5"/>
  <c r="BJ696" i="5"/>
  <c r="BI696" i="5"/>
  <c r="BG696" i="5"/>
  <c r="BE696" i="5"/>
  <c r="BD696" i="5"/>
  <c r="BB696" i="5"/>
  <c r="BA696" i="5"/>
  <c r="AZ696" i="5"/>
  <c r="BP695" i="5"/>
  <c r="BO695" i="5"/>
  <c r="BC695" i="5" s="1"/>
  <c r="BN695" i="5"/>
  <c r="BM695" i="5"/>
  <c r="BL695" i="5"/>
  <c r="BK695" i="5"/>
  <c r="BJ695" i="5"/>
  <c r="BI695" i="5"/>
  <c r="BG695" i="5"/>
  <c r="BE695" i="5"/>
  <c r="BD695" i="5"/>
  <c r="BB695" i="5"/>
  <c r="BA695" i="5"/>
  <c r="AZ695" i="5"/>
  <c r="BP694" i="5"/>
  <c r="BO694" i="5"/>
  <c r="BC694" i="5" s="1"/>
  <c r="BN694" i="5"/>
  <c r="BM694" i="5"/>
  <c r="BL694" i="5"/>
  <c r="BK694" i="5"/>
  <c r="BJ694" i="5"/>
  <c r="BI694" i="5"/>
  <c r="BG694" i="5"/>
  <c r="BE694" i="5"/>
  <c r="BD694" i="5"/>
  <c r="BB694" i="5"/>
  <c r="BA694" i="5"/>
  <c r="AZ694" i="5"/>
  <c r="BP693" i="5"/>
  <c r="BO693" i="5"/>
  <c r="BC693" i="5" s="1"/>
  <c r="BN693" i="5"/>
  <c r="BM693" i="5"/>
  <c r="BL693" i="5"/>
  <c r="BK693" i="5"/>
  <c r="BJ693" i="5"/>
  <c r="BI693" i="5"/>
  <c r="BG693" i="5"/>
  <c r="BE693" i="5"/>
  <c r="BD693" i="5"/>
  <c r="BB693" i="5"/>
  <c r="BA693" i="5"/>
  <c r="AZ693" i="5"/>
  <c r="BP692" i="5"/>
  <c r="BO692" i="5"/>
  <c r="BC692" i="5" s="1"/>
  <c r="BN692" i="5"/>
  <c r="BM692" i="5"/>
  <c r="BL692" i="5"/>
  <c r="BK692" i="5"/>
  <c r="BJ692" i="5"/>
  <c r="BI692" i="5"/>
  <c r="BG692" i="5"/>
  <c r="BE692" i="5"/>
  <c r="BD692" i="5"/>
  <c r="BB692" i="5"/>
  <c r="BA692" i="5"/>
  <c r="AZ692" i="5"/>
  <c r="BP691" i="5"/>
  <c r="BO691" i="5"/>
  <c r="BC691" i="5" s="1"/>
  <c r="BN691" i="5"/>
  <c r="BM691" i="5"/>
  <c r="BL691" i="5"/>
  <c r="BK691" i="5"/>
  <c r="BJ691" i="5"/>
  <c r="BI691" i="5"/>
  <c r="BG691" i="5"/>
  <c r="BE691" i="5"/>
  <c r="BD691" i="5"/>
  <c r="BB691" i="5"/>
  <c r="BA691" i="5"/>
  <c r="AZ691" i="5"/>
  <c r="BP690" i="5"/>
  <c r="BO690" i="5"/>
  <c r="BC690" i="5" s="1"/>
  <c r="BN690" i="5"/>
  <c r="BM690" i="5"/>
  <c r="BL690" i="5"/>
  <c r="BK690" i="5"/>
  <c r="BJ690" i="5"/>
  <c r="BI690" i="5"/>
  <c r="BG690" i="5"/>
  <c r="BE690" i="5"/>
  <c r="BD690" i="5"/>
  <c r="BB690" i="5"/>
  <c r="BA690" i="5"/>
  <c r="AZ690" i="5"/>
  <c r="BP689" i="5"/>
  <c r="BO689" i="5"/>
  <c r="BC689" i="5" s="1"/>
  <c r="BN689" i="5"/>
  <c r="BM689" i="5"/>
  <c r="BL689" i="5"/>
  <c r="BK689" i="5"/>
  <c r="BJ689" i="5"/>
  <c r="BI689" i="5"/>
  <c r="BG689" i="5"/>
  <c r="BE689" i="5"/>
  <c r="BD689" i="5"/>
  <c r="BB689" i="5"/>
  <c r="BA689" i="5"/>
  <c r="AZ689" i="5"/>
  <c r="BP688" i="5"/>
  <c r="BO688" i="5"/>
  <c r="BC688" i="5" s="1"/>
  <c r="BN688" i="5"/>
  <c r="BM688" i="5"/>
  <c r="BL688" i="5"/>
  <c r="BK688" i="5"/>
  <c r="BJ688" i="5"/>
  <c r="BI688" i="5"/>
  <c r="BG688" i="5"/>
  <c r="BE688" i="5"/>
  <c r="BD688" i="5"/>
  <c r="BB688" i="5"/>
  <c r="BA688" i="5"/>
  <c r="AZ688" i="5"/>
  <c r="BP687" i="5"/>
  <c r="BO687" i="5"/>
  <c r="BC687" i="5" s="1"/>
  <c r="BN687" i="5"/>
  <c r="BM687" i="5"/>
  <c r="BL687" i="5"/>
  <c r="BK687" i="5"/>
  <c r="BJ687" i="5"/>
  <c r="BI687" i="5"/>
  <c r="BG687" i="5"/>
  <c r="BE687" i="5"/>
  <c r="BD687" i="5"/>
  <c r="BB687" i="5"/>
  <c r="BA687" i="5"/>
  <c r="AZ687" i="5"/>
  <c r="BP686" i="5"/>
  <c r="BO686" i="5"/>
  <c r="BC686" i="5" s="1"/>
  <c r="BN686" i="5"/>
  <c r="BM686" i="5"/>
  <c r="BL686" i="5"/>
  <c r="BK686" i="5"/>
  <c r="BJ686" i="5"/>
  <c r="BI686" i="5"/>
  <c r="BG686" i="5"/>
  <c r="BE686" i="5"/>
  <c r="BD686" i="5"/>
  <c r="BB686" i="5"/>
  <c r="BA686" i="5"/>
  <c r="AZ686" i="5"/>
  <c r="BP685" i="5"/>
  <c r="BO685" i="5"/>
  <c r="BC685" i="5" s="1"/>
  <c r="BN685" i="5"/>
  <c r="BM685" i="5"/>
  <c r="BL685" i="5"/>
  <c r="BK685" i="5"/>
  <c r="BJ685" i="5"/>
  <c r="BI685" i="5"/>
  <c r="BG685" i="5"/>
  <c r="BE685" i="5"/>
  <c r="BD685" i="5"/>
  <c r="BB685" i="5"/>
  <c r="BA685" i="5"/>
  <c r="AZ685" i="5"/>
  <c r="BP684" i="5"/>
  <c r="BO684" i="5"/>
  <c r="BC684" i="5" s="1"/>
  <c r="BN684" i="5"/>
  <c r="BM684" i="5"/>
  <c r="BL684" i="5"/>
  <c r="BK684" i="5"/>
  <c r="BJ684" i="5"/>
  <c r="BI684" i="5"/>
  <c r="BG684" i="5"/>
  <c r="BE684" i="5"/>
  <c r="BD684" i="5"/>
  <c r="BB684" i="5"/>
  <c r="BA684" i="5"/>
  <c r="AZ684" i="5"/>
  <c r="BP683" i="5"/>
  <c r="BO683" i="5"/>
  <c r="BC683" i="5" s="1"/>
  <c r="BN683" i="5"/>
  <c r="BM683" i="5"/>
  <c r="BL683" i="5"/>
  <c r="BK683" i="5"/>
  <c r="BJ683" i="5"/>
  <c r="BI683" i="5"/>
  <c r="BG683" i="5"/>
  <c r="BE683" i="5"/>
  <c r="BD683" i="5"/>
  <c r="BB683" i="5"/>
  <c r="BA683" i="5"/>
  <c r="AZ683" i="5"/>
  <c r="BP682" i="5"/>
  <c r="BO682" i="5"/>
  <c r="BC682" i="5" s="1"/>
  <c r="BN682" i="5"/>
  <c r="BM682" i="5"/>
  <c r="BL682" i="5"/>
  <c r="BK682" i="5"/>
  <c r="BJ682" i="5"/>
  <c r="BI682" i="5"/>
  <c r="BG682" i="5"/>
  <c r="BE682" i="5"/>
  <c r="BD682" i="5"/>
  <c r="BB682" i="5"/>
  <c r="BA682" i="5"/>
  <c r="AZ682" i="5"/>
  <c r="BP681" i="5"/>
  <c r="BO681" i="5"/>
  <c r="BC681" i="5" s="1"/>
  <c r="BN681" i="5"/>
  <c r="BM681" i="5"/>
  <c r="BL681" i="5"/>
  <c r="BK681" i="5"/>
  <c r="BJ681" i="5"/>
  <c r="BI681" i="5"/>
  <c r="BG681" i="5"/>
  <c r="BE681" i="5"/>
  <c r="BD681" i="5"/>
  <c r="BB681" i="5"/>
  <c r="BA681" i="5"/>
  <c r="AZ681" i="5"/>
  <c r="BP680" i="5"/>
  <c r="BO680" i="5"/>
  <c r="BC680" i="5" s="1"/>
  <c r="BN680" i="5"/>
  <c r="BM680" i="5"/>
  <c r="BL680" i="5"/>
  <c r="BK680" i="5"/>
  <c r="BJ680" i="5"/>
  <c r="BI680" i="5"/>
  <c r="BG680" i="5"/>
  <c r="BE680" i="5"/>
  <c r="BD680" i="5"/>
  <c r="BB680" i="5"/>
  <c r="BA680" i="5"/>
  <c r="AZ680" i="5"/>
  <c r="BP679" i="5"/>
  <c r="BO679" i="5"/>
  <c r="BC679" i="5" s="1"/>
  <c r="BN679" i="5"/>
  <c r="BM679" i="5"/>
  <c r="BL679" i="5"/>
  <c r="BK679" i="5"/>
  <c r="BJ679" i="5"/>
  <c r="BI679" i="5"/>
  <c r="BG679" i="5"/>
  <c r="BE679" i="5"/>
  <c r="BD679" i="5"/>
  <c r="BB679" i="5"/>
  <c r="BA679" i="5"/>
  <c r="AZ679" i="5"/>
  <c r="BP678" i="5"/>
  <c r="BO678" i="5"/>
  <c r="BC678" i="5" s="1"/>
  <c r="BN678" i="5"/>
  <c r="BM678" i="5"/>
  <c r="BL678" i="5"/>
  <c r="BK678" i="5"/>
  <c r="BJ678" i="5"/>
  <c r="BI678" i="5"/>
  <c r="BG678" i="5"/>
  <c r="BE678" i="5"/>
  <c r="BD678" i="5"/>
  <c r="BB678" i="5"/>
  <c r="BA678" i="5"/>
  <c r="AZ678" i="5"/>
  <c r="BP677" i="5"/>
  <c r="BO677" i="5"/>
  <c r="BC677" i="5" s="1"/>
  <c r="BN677" i="5"/>
  <c r="BM677" i="5"/>
  <c r="BL677" i="5"/>
  <c r="BK677" i="5"/>
  <c r="BJ677" i="5"/>
  <c r="BI677" i="5"/>
  <c r="BG677" i="5"/>
  <c r="BE677" i="5"/>
  <c r="BD677" i="5"/>
  <c r="BB677" i="5"/>
  <c r="BA677" i="5"/>
  <c r="AZ677" i="5"/>
  <c r="BP676" i="5"/>
  <c r="BO676" i="5"/>
  <c r="BC676" i="5" s="1"/>
  <c r="BN676" i="5"/>
  <c r="BM676" i="5"/>
  <c r="BL676" i="5"/>
  <c r="BK676" i="5"/>
  <c r="BJ676" i="5"/>
  <c r="BI676" i="5"/>
  <c r="BG676" i="5"/>
  <c r="BE676" i="5"/>
  <c r="BD676" i="5"/>
  <c r="BB676" i="5"/>
  <c r="BA676" i="5"/>
  <c r="AZ676" i="5"/>
  <c r="BP675" i="5"/>
  <c r="BO675" i="5"/>
  <c r="BC675" i="5" s="1"/>
  <c r="BN675" i="5"/>
  <c r="BM675" i="5"/>
  <c r="BL675" i="5"/>
  <c r="BK675" i="5"/>
  <c r="BJ675" i="5"/>
  <c r="BI675" i="5"/>
  <c r="BG675" i="5"/>
  <c r="BE675" i="5"/>
  <c r="BD675" i="5"/>
  <c r="BB675" i="5"/>
  <c r="BA675" i="5"/>
  <c r="AZ675" i="5"/>
  <c r="BP674" i="5"/>
  <c r="BO674" i="5"/>
  <c r="BC674" i="5" s="1"/>
  <c r="BN674" i="5"/>
  <c r="BM674" i="5"/>
  <c r="BL674" i="5"/>
  <c r="BK674" i="5"/>
  <c r="BJ674" i="5"/>
  <c r="BI674" i="5"/>
  <c r="BG674" i="5"/>
  <c r="BE674" i="5"/>
  <c r="BD674" i="5"/>
  <c r="BB674" i="5"/>
  <c r="BA674" i="5"/>
  <c r="AZ674" i="5"/>
  <c r="BP673" i="5"/>
  <c r="BO673" i="5"/>
  <c r="BC673" i="5" s="1"/>
  <c r="BN673" i="5"/>
  <c r="BM673" i="5"/>
  <c r="BL673" i="5"/>
  <c r="BK673" i="5"/>
  <c r="BJ673" i="5"/>
  <c r="BI673" i="5"/>
  <c r="BG673" i="5"/>
  <c r="BE673" i="5"/>
  <c r="BD673" i="5"/>
  <c r="BB673" i="5"/>
  <c r="BA673" i="5"/>
  <c r="AZ673" i="5"/>
  <c r="BP672" i="5"/>
  <c r="BO672" i="5"/>
  <c r="BC672" i="5" s="1"/>
  <c r="BN672" i="5"/>
  <c r="BM672" i="5"/>
  <c r="BL672" i="5"/>
  <c r="BK672" i="5"/>
  <c r="BJ672" i="5"/>
  <c r="BI672" i="5"/>
  <c r="BG672" i="5"/>
  <c r="BE672" i="5"/>
  <c r="BD672" i="5"/>
  <c r="BB672" i="5"/>
  <c r="BA672" i="5"/>
  <c r="AZ672" i="5"/>
  <c r="BP671" i="5"/>
  <c r="BO671" i="5"/>
  <c r="BC671" i="5" s="1"/>
  <c r="BN671" i="5"/>
  <c r="BM671" i="5"/>
  <c r="BL671" i="5"/>
  <c r="BK671" i="5"/>
  <c r="BJ671" i="5"/>
  <c r="BI671" i="5"/>
  <c r="BG671" i="5"/>
  <c r="BE671" i="5"/>
  <c r="BD671" i="5"/>
  <c r="BB671" i="5"/>
  <c r="BA671" i="5"/>
  <c r="AZ671" i="5"/>
  <c r="BP670" i="5"/>
  <c r="BO670" i="5"/>
  <c r="BC670" i="5" s="1"/>
  <c r="BN670" i="5"/>
  <c r="BM670" i="5"/>
  <c r="BL670" i="5"/>
  <c r="BK670" i="5"/>
  <c r="BJ670" i="5"/>
  <c r="BI670" i="5"/>
  <c r="BG670" i="5"/>
  <c r="BE670" i="5"/>
  <c r="BD670" i="5"/>
  <c r="BB670" i="5"/>
  <c r="BA670" i="5"/>
  <c r="AZ670" i="5"/>
  <c r="BP669" i="5"/>
  <c r="BO669" i="5"/>
  <c r="BC669" i="5" s="1"/>
  <c r="BN669" i="5"/>
  <c r="BM669" i="5"/>
  <c r="BL669" i="5"/>
  <c r="BK669" i="5"/>
  <c r="BJ669" i="5"/>
  <c r="BI669" i="5"/>
  <c r="BG669" i="5"/>
  <c r="BE669" i="5"/>
  <c r="BD669" i="5"/>
  <c r="BB669" i="5"/>
  <c r="BA669" i="5"/>
  <c r="AZ669" i="5"/>
  <c r="BP668" i="5"/>
  <c r="BO668" i="5"/>
  <c r="BC668" i="5" s="1"/>
  <c r="BN668" i="5"/>
  <c r="BM668" i="5"/>
  <c r="BL668" i="5"/>
  <c r="BK668" i="5"/>
  <c r="BJ668" i="5"/>
  <c r="BI668" i="5"/>
  <c r="BG668" i="5"/>
  <c r="BE668" i="5"/>
  <c r="BD668" i="5"/>
  <c r="BB668" i="5"/>
  <c r="BA668" i="5"/>
  <c r="AZ668" i="5"/>
  <c r="BP667" i="5"/>
  <c r="BO667" i="5"/>
  <c r="BC667" i="5" s="1"/>
  <c r="BN667" i="5"/>
  <c r="BM667" i="5"/>
  <c r="BL667" i="5"/>
  <c r="BK667" i="5"/>
  <c r="BJ667" i="5"/>
  <c r="BI667" i="5"/>
  <c r="BG667" i="5"/>
  <c r="BE667" i="5"/>
  <c r="BD667" i="5"/>
  <c r="BB667" i="5"/>
  <c r="BA667" i="5"/>
  <c r="AZ667" i="5"/>
  <c r="BP666" i="5"/>
  <c r="BO666" i="5"/>
  <c r="BC666" i="5" s="1"/>
  <c r="BN666" i="5"/>
  <c r="BM666" i="5"/>
  <c r="BL666" i="5"/>
  <c r="BK666" i="5"/>
  <c r="BJ666" i="5"/>
  <c r="BI666" i="5"/>
  <c r="BG666" i="5"/>
  <c r="BE666" i="5"/>
  <c r="BD666" i="5"/>
  <c r="BB666" i="5"/>
  <c r="BA666" i="5"/>
  <c r="AZ666" i="5"/>
  <c r="BP665" i="5"/>
  <c r="BO665" i="5"/>
  <c r="BC665" i="5" s="1"/>
  <c r="BN665" i="5"/>
  <c r="BM665" i="5"/>
  <c r="BL665" i="5"/>
  <c r="BK665" i="5"/>
  <c r="BJ665" i="5"/>
  <c r="BI665" i="5"/>
  <c r="BG665" i="5"/>
  <c r="BE665" i="5"/>
  <c r="BD665" i="5"/>
  <c r="BB665" i="5"/>
  <c r="BA665" i="5"/>
  <c r="AZ665" i="5"/>
  <c r="BP664" i="5"/>
  <c r="BO664" i="5"/>
  <c r="BC664" i="5" s="1"/>
  <c r="BN664" i="5"/>
  <c r="BM664" i="5"/>
  <c r="BL664" i="5"/>
  <c r="BK664" i="5"/>
  <c r="BJ664" i="5"/>
  <c r="BI664" i="5"/>
  <c r="BG664" i="5"/>
  <c r="BE664" i="5"/>
  <c r="BD664" i="5"/>
  <c r="BB664" i="5"/>
  <c r="BA664" i="5"/>
  <c r="AZ664" i="5"/>
  <c r="BP663" i="5"/>
  <c r="BO663" i="5"/>
  <c r="BC663" i="5" s="1"/>
  <c r="BN663" i="5"/>
  <c r="BM663" i="5"/>
  <c r="BL663" i="5"/>
  <c r="BK663" i="5"/>
  <c r="BJ663" i="5"/>
  <c r="BI663" i="5"/>
  <c r="BG663" i="5"/>
  <c r="BE663" i="5"/>
  <c r="BD663" i="5"/>
  <c r="BB663" i="5"/>
  <c r="BA663" i="5"/>
  <c r="AZ663" i="5"/>
  <c r="BP662" i="5"/>
  <c r="BO662" i="5"/>
  <c r="BC662" i="5" s="1"/>
  <c r="BN662" i="5"/>
  <c r="BM662" i="5"/>
  <c r="BL662" i="5"/>
  <c r="BK662" i="5"/>
  <c r="BJ662" i="5"/>
  <c r="BI662" i="5"/>
  <c r="BG662" i="5"/>
  <c r="BE662" i="5"/>
  <c r="BD662" i="5"/>
  <c r="BB662" i="5"/>
  <c r="BA662" i="5"/>
  <c r="AZ662" i="5"/>
  <c r="BP661" i="5"/>
  <c r="BO661" i="5"/>
  <c r="BC661" i="5" s="1"/>
  <c r="BN661" i="5"/>
  <c r="BM661" i="5"/>
  <c r="BL661" i="5"/>
  <c r="BK661" i="5"/>
  <c r="BJ661" i="5"/>
  <c r="BI661" i="5"/>
  <c r="BG661" i="5"/>
  <c r="BE661" i="5"/>
  <c r="BD661" i="5"/>
  <c r="BB661" i="5"/>
  <c r="BA661" i="5"/>
  <c r="AZ661" i="5"/>
  <c r="BP660" i="5"/>
  <c r="BO660" i="5"/>
  <c r="BC660" i="5" s="1"/>
  <c r="BN660" i="5"/>
  <c r="BM660" i="5"/>
  <c r="BL660" i="5"/>
  <c r="BK660" i="5"/>
  <c r="BJ660" i="5"/>
  <c r="BI660" i="5"/>
  <c r="BG660" i="5"/>
  <c r="BE660" i="5"/>
  <c r="BD660" i="5"/>
  <c r="BB660" i="5"/>
  <c r="BA660" i="5"/>
  <c r="AZ660" i="5"/>
  <c r="BP659" i="5"/>
  <c r="BO659" i="5"/>
  <c r="BC659" i="5" s="1"/>
  <c r="BN659" i="5"/>
  <c r="BM659" i="5"/>
  <c r="BL659" i="5"/>
  <c r="BK659" i="5"/>
  <c r="BJ659" i="5"/>
  <c r="BI659" i="5"/>
  <c r="BG659" i="5"/>
  <c r="BE659" i="5"/>
  <c r="BD659" i="5"/>
  <c r="BB659" i="5"/>
  <c r="BA659" i="5"/>
  <c r="AZ659" i="5"/>
  <c r="BP658" i="5"/>
  <c r="BO658" i="5"/>
  <c r="BC658" i="5" s="1"/>
  <c r="BN658" i="5"/>
  <c r="BM658" i="5"/>
  <c r="BL658" i="5"/>
  <c r="BK658" i="5"/>
  <c r="BJ658" i="5"/>
  <c r="BI658" i="5"/>
  <c r="BG658" i="5"/>
  <c r="BE658" i="5"/>
  <c r="BD658" i="5"/>
  <c r="BB658" i="5"/>
  <c r="BA658" i="5"/>
  <c r="AZ658" i="5"/>
  <c r="BP657" i="5"/>
  <c r="BO657" i="5"/>
  <c r="BC657" i="5" s="1"/>
  <c r="BN657" i="5"/>
  <c r="BM657" i="5"/>
  <c r="BL657" i="5"/>
  <c r="BK657" i="5"/>
  <c r="BJ657" i="5"/>
  <c r="BI657" i="5"/>
  <c r="BG657" i="5"/>
  <c r="BE657" i="5"/>
  <c r="BD657" i="5"/>
  <c r="BB657" i="5"/>
  <c r="BA657" i="5"/>
  <c r="AZ657" i="5"/>
  <c r="BP656" i="5"/>
  <c r="BO656" i="5"/>
  <c r="BC656" i="5" s="1"/>
  <c r="BN656" i="5"/>
  <c r="BM656" i="5"/>
  <c r="BL656" i="5"/>
  <c r="BK656" i="5"/>
  <c r="BJ656" i="5"/>
  <c r="BI656" i="5"/>
  <c r="BG656" i="5"/>
  <c r="BE656" i="5"/>
  <c r="BD656" i="5"/>
  <c r="BB656" i="5"/>
  <c r="BA656" i="5"/>
  <c r="AZ656" i="5"/>
  <c r="BP655" i="5"/>
  <c r="BO655" i="5"/>
  <c r="BC655" i="5" s="1"/>
  <c r="BN655" i="5"/>
  <c r="BM655" i="5"/>
  <c r="BL655" i="5"/>
  <c r="BK655" i="5"/>
  <c r="BJ655" i="5"/>
  <c r="BI655" i="5"/>
  <c r="BG655" i="5"/>
  <c r="BE655" i="5"/>
  <c r="BD655" i="5"/>
  <c r="BB655" i="5"/>
  <c r="BA655" i="5"/>
  <c r="AZ655" i="5"/>
  <c r="BP654" i="5"/>
  <c r="BO654" i="5"/>
  <c r="BC654" i="5" s="1"/>
  <c r="BN654" i="5"/>
  <c r="BM654" i="5"/>
  <c r="BL654" i="5"/>
  <c r="BK654" i="5"/>
  <c r="BJ654" i="5"/>
  <c r="BI654" i="5"/>
  <c r="BG654" i="5"/>
  <c r="BE654" i="5"/>
  <c r="BD654" i="5"/>
  <c r="BB654" i="5"/>
  <c r="BA654" i="5"/>
  <c r="AZ654" i="5"/>
  <c r="BP653" i="5"/>
  <c r="BO653" i="5"/>
  <c r="BC653" i="5" s="1"/>
  <c r="BN653" i="5"/>
  <c r="BM653" i="5"/>
  <c r="BL653" i="5"/>
  <c r="BK653" i="5"/>
  <c r="BJ653" i="5"/>
  <c r="BI653" i="5"/>
  <c r="BG653" i="5"/>
  <c r="BE653" i="5"/>
  <c r="BD653" i="5"/>
  <c r="BB653" i="5"/>
  <c r="BA653" i="5"/>
  <c r="AZ653" i="5"/>
  <c r="BP652" i="5"/>
  <c r="BO652" i="5"/>
  <c r="BC652" i="5" s="1"/>
  <c r="BN652" i="5"/>
  <c r="BM652" i="5"/>
  <c r="BL652" i="5"/>
  <c r="BK652" i="5"/>
  <c r="BJ652" i="5"/>
  <c r="BI652" i="5"/>
  <c r="BG652" i="5"/>
  <c r="BE652" i="5"/>
  <c r="BD652" i="5"/>
  <c r="BB652" i="5"/>
  <c r="BA652" i="5"/>
  <c r="AZ652" i="5"/>
  <c r="BP651" i="5"/>
  <c r="BO651" i="5"/>
  <c r="BC651" i="5" s="1"/>
  <c r="BN651" i="5"/>
  <c r="BM651" i="5"/>
  <c r="BL651" i="5"/>
  <c r="BK651" i="5"/>
  <c r="BJ651" i="5"/>
  <c r="BI651" i="5"/>
  <c r="BG651" i="5"/>
  <c r="BE651" i="5"/>
  <c r="BD651" i="5"/>
  <c r="BB651" i="5"/>
  <c r="BA651" i="5"/>
  <c r="AZ651" i="5"/>
  <c r="BP650" i="5"/>
  <c r="BO650" i="5"/>
  <c r="BC650" i="5" s="1"/>
  <c r="BN650" i="5"/>
  <c r="BM650" i="5"/>
  <c r="BL650" i="5"/>
  <c r="BK650" i="5"/>
  <c r="BJ650" i="5"/>
  <c r="BI650" i="5"/>
  <c r="BG650" i="5"/>
  <c r="BE650" i="5"/>
  <c r="BD650" i="5"/>
  <c r="BB650" i="5"/>
  <c r="BA650" i="5"/>
  <c r="AZ650" i="5"/>
  <c r="BP649" i="5"/>
  <c r="BO649" i="5"/>
  <c r="BC649" i="5" s="1"/>
  <c r="BN649" i="5"/>
  <c r="BM649" i="5"/>
  <c r="BL649" i="5"/>
  <c r="BK649" i="5"/>
  <c r="BJ649" i="5"/>
  <c r="BI649" i="5"/>
  <c r="BG649" i="5"/>
  <c r="BE649" i="5"/>
  <c r="BD649" i="5"/>
  <c r="BB649" i="5"/>
  <c r="BA649" i="5"/>
  <c r="AZ649" i="5"/>
  <c r="BP648" i="5"/>
  <c r="BO648" i="5"/>
  <c r="BC648" i="5" s="1"/>
  <c r="BN648" i="5"/>
  <c r="BM648" i="5"/>
  <c r="BL648" i="5"/>
  <c r="BK648" i="5"/>
  <c r="BJ648" i="5"/>
  <c r="BI648" i="5"/>
  <c r="BG648" i="5"/>
  <c r="BE648" i="5"/>
  <c r="BD648" i="5"/>
  <c r="BB648" i="5"/>
  <c r="BA648" i="5"/>
  <c r="AZ648" i="5"/>
  <c r="BP647" i="5"/>
  <c r="BO647" i="5"/>
  <c r="BC647" i="5" s="1"/>
  <c r="BN647" i="5"/>
  <c r="BM647" i="5"/>
  <c r="BL647" i="5"/>
  <c r="BK647" i="5"/>
  <c r="BJ647" i="5"/>
  <c r="BI647" i="5"/>
  <c r="BG647" i="5"/>
  <c r="BE647" i="5"/>
  <c r="BD647" i="5"/>
  <c r="BB647" i="5"/>
  <c r="BA647" i="5"/>
  <c r="AZ647" i="5"/>
  <c r="BP646" i="5"/>
  <c r="BO646" i="5"/>
  <c r="BC646" i="5" s="1"/>
  <c r="BN646" i="5"/>
  <c r="BM646" i="5"/>
  <c r="BL646" i="5"/>
  <c r="BK646" i="5"/>
  <c r="BJ646" i="5"/>
  <c r="BI646" i="5"/>
  <c r="BG646" i="5"/>
  <c r="BE646" i="5"/>
  <c r="BD646" i="5"/>
  <c r="BB646" i="5"/>
  <c r="BA646" i="5"/>
  <c r="AZ646" i="5"/>
  <c r="BP645" i="5"/>
  <c r="BO645" i="5"/>
  <c r="BC645" i="5" s="1"/>
  <c r="BN645" i="5"/>
  <c r="BM645" i="5"/>
  <c r="BL645" i="5"/>
  <c r="BK645" i="5"/>
  <c r="BJ645" i="5"/>
  <c r="BI645" i="5"/>
  <c r="BG645" i="5"/>
  <c r="BE645" i="5"/>
  <c r="BD645" i="5"/>
  <c r="BB645" i="5"/>
  <c r="BA645" i="5"/>
  <c r="AZ645" i="5"/>
  <c r="BP644" i="5"/>
  <c r="BO644" i="5"/>
  <c r="BC644" i="5" s="1"/>
  <c r="BN644" i="5"/>
  <c r="BM644" i="5"/>
  <c r="BL644" i="5"/>
  <c r="BK644" i="5"/>
  <c r="BJ644" i="5"/>
  <c r="BI644" i="5"/>
  <c r="BG644" i="5"/>
  <c r="BE644" i="5"/>
  <c r="BD644" i="5"/>
  <c r="BB644" i="5"/>
  <c r="BA644" i="5"/>
  <c r="AZ644" i="5"/>
  <c r="BP643" i="5"/>
  <c r="BO643" i="5"/>
  <c r="BC643" i="5" s="1"/>
  <c r="BN643" i="5"/>
  <c r="BM643" i="5"/>
  <c r="BL643" i="5"/>
  <c r="BK643" i="5"/>
  <c r="BJ643" i="5"/>
  <c r="BI643" i="5"/>
  <c r="BG643" i="5"/>
  <c r="BE643" i="5"/>
  <c r="BD643" i="5"/>
  <c r="BB643" i="5"/>
  <c r="BA643" i="5"/>
  <c r="AZ643" i="5"/>
  <c r="BP642" i="5"/>
  <c r="BO642" i="5"/>
  <c r="BC642" i="5" s="1"/>
  <c r="BN642" i="5"/>
  <c r="BM642" i="5"/>
  <c r="BL642" i="5"/>
  <c r="BK642" i="5"/>
  <c r="BJ642" i="5"/>
  <c r="BI642" i="5"/>
  <c r="BG642" i="5"/>
  <c r="BE642" i="5"/>
  <c r="BD642" i="5"/>
  <c r="BB642" i="5"/>
  <c r="BA642" i="5"/>
  <c r="AZ642" i="5"/>
  <c r="BP641" i="5"/>
  <c r="BO641" i="5"/>
  <c r="BC641" i="5" s="1"/>
  <c r="BN641" i="5"/>
  <c r="BM641" i="5"/>
  <c r="BL641" i="5"/>
  <c r="BK641" i="5"/>
  <c r="BJ641" i="5"/>
  <c r="BI641" i="5"/>
  <c r="BG641" i="5"/>
  <c r="BE641" i="5"/>
  <c r="BD641" i="5"/>
  <c r="BB641" i="5"/>
  <c r="BA641" i="5"/>
  <c r="AZ641" i="5"/>
  <c r="BP640" i="5"/>
  <c r="BO640" i="5"/>
  <c r="BC640" i="5" s="1"/>
  <c r="BN640" i="5"/>
  <c r="BM640" i="5"/>
  <c r="BL640" i="5"/>
  <c r="BK640" i="5"/>
  <c r="BJ640" i="5"/>
  <c r="BI640" i="5"/>
  <c r="BG640" i="5"/>
  <c r="BE640" i="5"/>
  <c r="BD640" i="5"/>
  <c r="BB640" i="5"/>
  <c r="BA640" i="5"/>
  <c r="AZ640" i="5"/>
  <c r="BP639" i="5"/>
  <c r="BO639" i="5"/>
  <c r="BC639" i="5" s="1"/>
  <c r="BN639" i="5"/>
  <c r="BM639" i="5"/>
  <c r="BL639" i="5"/>
  <c r="BK639" i="5"/>
  <c r="BJ639" i="5"/>
  <c r="BI639" i="5"/>
  <c r="BG639" i="5"/>
  <c r="BE639" i="5"/>
  <c r="BD639" i="5"/>
  <c r="BB639" i="5"/>
  <c r="BA639" i="5"/>
  <c r="AZ639" i="5"/>
  <c r="BP638" i="5"/>
  <c r="BO638" i="5"/>
  <c r="BC638" i="5" s="1"/>
  <c r="BN638" i="5"/>
  <c r="BM638" i="5"/>
  <c r="BL638" i="5"/>
  <c r="BK638" i="5"/>
  <c r="BJ638" i="5"/>
  <c r="BI638" i="5"/>
  <c r="BG638" i="5"/>
  <c r="BE638" i="5"/>
  <c r="BD638" i="5"/>
  <c r="BB638" i="5"/>
  <c r="BA638" i="5"/>
  <c r="AZ638" i="5"/>
  <c r="BP637" i="5"/>
  <c r="BO637" i="5"/>
  <c r="BC637" i="5" s="1"/>
  <c r="BN637" i="5"/>
  <c r="BM637" i="5"/>
  <c r="BL637" i="5"/>
  <c r="BK637" i="5"/>
  <c r="BJ637" i="5"/>
  <c r="BI637" i="5"/>
  <c r="BG637" i="5"/>
  <c r="BE637" i="5"/>
  <c r="BD637" i="5"/>
  <c r="BB637" i="5"/>
  <c r="BA637" i="5"/>
  <c r="AZ637" i="5"/>
  <c r="BP636" i="5"/>
  <c r="BO636" i="5"/>
  <c r="BC636" i="5" s="1"/>
  <c r="BN636" i="5"/>
  <c r="BM636" i="5"/>
  <c r="BL636" i="5"/>
  <c r="BK636" i="5"/>
  <c r="BJ636" i="5"/>
  <c r="BI636" i="5"/>
  <c r="BG636" i="5"/>
  <c r="BE636" i="5"/>
  <c r="BD636" i="5"/>
  <c r="BB636" i="5"/>
  <c r="BA636" i="5"/>
  <c r="AZ636" i="5"/>
  <c r="BP635" i="5"/>
  <c r="BO635" i="5"/>
  <c r="BC635" i="5" s="1"/>
  <c r="BN635" i="5"/>
  <c r="BM635" i="5"/>
  <c r="BL635" i="5"/>
  <c r="BK635" i="5"/>
  <c r="BJ635" i="5"/>
  <c r="BI635" i="5"/>
  <c r="BG635" i="5"/>
  <c r="BE635" i="5"/>
  <c r="BD635" i="5"/>
  <c r="BB635" i="5"/>
  <c r="BA635" i="5"/>
  <c r="AZ635" i="5"/>
  <c r="BP634" i="5"/>
  <c r="BO634" i="5"/>
  <c r="BC634" i="5" s="1"/>
  <c r="BN634" i="5"/>
  <c r="BM634" i="5"/>
  <c r="BL634" i="5"/>
  <c r="BK634" i="5"/>
  <c r="BJ634" i="5"/>
  <c r="BI634" i="5"/>
  <c r="BG634" i="5"/>
  <c r="BE634" i="5"/>
  <c r="BD634" i="5"/>
  <c r="BB634" i="5"/>
  <c r="BA634" i="5"/>
  <c r="AZ634" i="5"/>
  <c r="BP633" i="5"/>
  <c r="BO633" i="5"/>
  <c r="BC633" i="5" s="1"/>
  <c r="BN633" i="5"/>
  <c r="BM633" i="5"/>
  <c r="BL633" i="5"/>
  <c r="BK633" i="5"/>
  <c r="BJ633" i="5"/>
  <c r="BI633" i="5"/>
  <c r="BG633" i="5"/>
  <c r="BE633" i="5"/>
  <c r="BD633" i="5"/>
  <c r="BB633" i="5"/>
  <c r="BA633" i="5"/>
  <c r="AZ633" i="5"/>
  <c r="BP632" i="5"/>
  <c r="BO632" i="5"/>
  <c r="BC632" i="5" s="1"/>
  <c r="BN632" i="5"/>
  <c r="BM632" i="5"/>
  <c r="BL632" i="5"/>
  <c r="BK632" i="5"/>
  <c r="BJ632" i="5"/>
  <c r="BI632" i="5"/>
  <c r="BG632" i="5"/>
  <c r="BE632" i="5"/>
  <c r="BD632" i="5"/>
  <c r="BB632" i="5"/>
  <c r="BA632" i="5"/>
  <c r="AZ632" i="5"/>
  <c r="BP631" i="5"/>
  <c r="BO631" i="5"/>
  <c r="BC631" i="5" s="1"/>
  <c r="BN631" i="5"/>
  <c r="BM631" i="5"/>
  <c r="BL631" i="5"/>
  <c r="BK631" i="5"/>
  <c r="BJ631" i="5"/>
  <c r="BI631" i="5"/>
  <c r="BG631" i="5"/>
  <c r="BE631" i="5"/>
  <c r="BD631" i="5"/>
  <c r="BB631" i="5"/>
  <c r="BA631" i="5"/>
  <c r="AZ631" i="5"/>
  <c r="BP630" i="5"/>
  <c r="BO630" i="5"/>
  <c r="BC630" i="5" s="1"/>
  <c r="BN630" i="5"/>
  <c r="BM630" i="5"/>
  <c r="BL630" i="5"/>
  <c r="BK630" i="5"/>
  <c r="BJ630" i="5"/>
  <c r="BI630" i="5"/>
  <c r="BG630" i="5"/>
  <c r="BE630" i="5"/>
  <c r="BD630" i="5"/>
  <c r="BB630" i="5"/>
  <c r="BA630" i="5"/>
  <c r="AZ630" i="5"/>
  <c r="BP629" i="5"/>
  <c r="BO629" i="5"/>
  <c r="BC629" i="5" s="1"/>
  <c r="BN629" i="5"/>
  <c r="BM629" i="5"/>
  <c r="BL629" i="5"/>
  <c r="BK629" i="5"/>
  <c r="BJ629" i="5"/>
  <c r="BI629" i="5"/>
  <c r="BG629" i="5"/>
  <c r="BE629" i="5"/>
  <c r="BD629" i="5"/>
  <c r="BB629" i="5"/>
  <c r="BA629" i="5"/>
  <c r="AZ629" i="5"/>
  <c r="BP628" i="5"/>
  <c r="BO628" i="5"/>
  <c r="BC628" i="5" s="1"/>
  <c r="BN628" i="5"/>
  <c r="BM628" i="5"/>
  <c r="BL628" i="5"/>
  <c r="BK628" i="5"/>
  <c r="BJ628" i="5"/>
  <c r="BI628" i="5"/>
  <c r="BG628" i="5"/>
  <c r="BE628" i="5"/>
  <c r="BD628" i="5"/>
  <c r="BB628" i="5"/>
  <c r="BA628" i="5"/>
  <c r="AZ628" i="5"/>
  <c r="BP627" i="5"/>
  <c r="BO627" i="5"/>
  <c r="BC627" i="5" s="1"/>
  <c r="BN627" i="5"/>
  <c r="BM627" i="5"/>
  <c r="BL627" i="5"/>
  <c r="BK627" i="5"/>
  <c r="BJ627" i="5"/>
  <c r="BI627" i="5"/>
  <c r="BG627" i="5"/>
  <c r="BE627" i="5"/>
  <c r="BD627" i="5"/>
  <c r="BB627" i="5"/>
  <c r="BA627" i="5"/>
  <c r="AZ627" i="5"/>
  <c r="BP626" i="5"/>
  <c r="BO626" i="5"/>
  <c r="BC626" i="5" s="1"/>
  <c r="BN626" i="5"/>
  <c r="BM626" i="5"/>
  <c r="BL626" i="5"/>
  <c r="BK626" i="5"/>
  <c r="BJ626" i="5"/>
  <c r="BI626" i="5"/>
  <c r="BG626" i="5"/>
  <c r="BE626" i="5"/>
  <c r="BD626" i="5"/>
  <c r="BB626" i="5"/>
  <c r="BA626" i="5"/>
  <c r="AZ626" i="5"/>
  <c r="BP625" i="5"/>
  <c r="BO625" i="5"/>
  <c r="BC625" i="5" s="1"/>
  <c r="BN625" i="5"/>
  <c r="BM625" i="5"/>
  <c r="BL625" i="5"/>
  <c r="BK625" i="5"/>
  <c r="BJ625" i="5"/>
  <c r="BI625" i="5"/>
  <c r="BG625" i="5"/>
  <c r="BE625" i="5"/>
  <c r="BD625" i="5"/>
  <c r="BB625" i="5"/>
  <c r="BA625" i="5"/>
  <c r="AZ625" i="5"/>
  <c r="BP624" i="5"/>
  <c r="BO624" i="5"/>
  <c r="BC624" i="5" s="1"/>
  <c r="BN624" i="5"/>
  <c r="BM624" i="5"/>
  <c r="BL624" i="5"/>
  <c r="BK624" i="5"/>
  <c r="BJ624" i="5"/>
  <c r="BI624" i="5"/>
  <c r="BG624" i="5"/>
  <c r="BE624" i="5"/>
  <c r="BD624" i="5"/>
  <c r="BB624" i="5"/>
  <c r="BA624" i="5"/>
  <c r="AZ624" i="5"/>
  <c r="BP623" i="5"/>
  <c r="BO623" i="5"/>
  <c r="BC623" i="5" s="1"/>
  <c r="BN623" i="5"/>
  <c r="BM623" i="5"/>
  <c r="BL623" i="5"/>
  <c r="BK623" i="5"/>
  <c r="BJ623" i="5"/>
  <c r="BI623" i="5"/>
  <c r="BG623" i="5"/>
  <c r="BE623" i="5"/>
  <c r="BD623" i="5"/>
  <c r="BB623" i="5"/>
  <c r="BA623" i="5"/>
  <c r="AZ623" i="5"/>
  <c r="BP622" i="5"/>
  <c r="BO622" i="5"/>
  <c r="BC622" i="5" s="1"/>
  <c r="BN622" i="5"/>
  <c r="BM622" i="5"/>
  <c r="BL622" i="5"/>
  <c r="BK622" i="5"/>
  <c r="BJ622" i="5"/>
  <c r="BI622" i="5"/>
  <c r="BG622" i="5"/>
  <c r="BE622" i="5"/>
  <c r="BD622" i="5"/>
  <c r="BB622" i="5"/>
  <c r="BA622" i="5"/>
  <c r="AZ622" i="5"/>
  <c r="BP621" i="5"/>
  <c r="BO621" i="5"/>
  <c r="BC621" i="5" s="1"/>
  <c r="BN621" i="5"/>
  <c r="BM621" i="5"/>
  <c r="BL621" i="5"/>
  <c r="BK621" i="5"/>
  <c r="BJ621" i="5"/>
  <c r="BI621" i="5"/>
  <c r="BG621" i="5"/>
  <c r="BE621" i="5"/>
  <c r="BD621" i="5"/>
  <c r="BB621" i="5"/>
  <c r="BA621" i="5"/>
  <c r="AZ621" i="5"/>
  <c r="BP620" i="5"/>
  <c r="BO620" i="5"/>
  <c r="BC620" i="5" s="1"/>
  <c r="BN620" i="5"/>
  <c r="BM620" i="5"/>
  <c r="BL620" i="5"/>
  <c r="BK620" i="5"/>
  <c r="BJ620" i="5"/>
  <c r="BI620" i="5"/>
  <c r="BG620" i="5"/>
  <c r="BE620" i="5"/>
  <c r="BD620" i="5"/>
  <c r="BB620" i="5"/>
  <c r="BA620" i="5"/>
  <c r="AZ620" i="5"/>
  <c r="BP619" i="5"/>
  <c r="BO619" i="5"/>
  <c r="BC619" i="5" s="1"/>
  <c r="BN619" i="5"/>
  <c r="BM619" i="5"/>
  <c r="BL619" i="5"/>
  <c r="BK619" i="5"/>
  <c r="BJ619" i="5"/>
  <c r="BI619" i="5"/>
  <c r="BG619" i="5"/>
  <c r="BE619" i="5"/>
  <c r="BD619" i="5"/>
  <c r="BB619" i="5"/>
  <c r="BA619" i="5"/>
  <c r="AZ619" i="5"/>
  <c r="BP618" i="5"/>
  <c r="BO618" i="5"/>
  <c r="BC618" i="5" s="1"/>
  <c r="BN618" i="5"/>
  <c r="BM618" i="5"/>
  <c r="BL618" i="5"/>
  <c r="BK618" i="5"/>
  <c r="BJ618" i="5"/>
  <c r="BI618" i="5"/>
  <c r="BG618" i="5"/>
  <c r="BE618" i="5"/>
  <c r="BD618" i="5"/>
  <c r="BB618" i="5"/>
  <c r="BA618" i="5"/>
  <c r="AZ618" i="5"/>
  <c r="BP617" i="5"/>
  <c r="BO617" i="5"/>
  <c r="BC617" i="5" s="1"/>
  <c r="BN617" i="5"/>
  <c r="BM617" i="5"/>
  <c r="BL617" i="5"/>
  <c r="BK617" i="5"/>
  <c r="BJ617" i="5"/>
  <c r="BI617" i="5"/>
  <c r="BG617" i="5"/>
  <c r="BE617" i="5"/>
  <c r="BD617" i="5"/>
  <c r="BB617" i="5"/>
  <c r="BA617" i="5"/>
  <c r="AZ617" i="5"/>
  <c r="BP616" i="5"/>
  <c r="BO616" i="5"/>
  <c r="BC616" i="5" s="1"/>
  <c r="BN616" i="5"/>
  <c r="BM616" i="5"/>
  <c r="BL616" i="5"/>
  <c r="BK616" i="5"/>
  <c r="BJ616" i="5"/>
  <c r="BI616" i="5"/>
  <c r="BG616" i="5"/>
  <c r="BE616" i="5"/>
  <c r="BD616" i="5"/>
  <c r="BB616" i="5"/>
  <c r="BA616" i="5"/>
  <c r="AZ616" i="5"/>
  <c r="BP615" i="5"/>
  <c r="BO615" i="5"/>
  <c r="BC615" i="5" s="1"/>
  <c r="BN615" i="5"/>
  <c r="BM615" i="5"/>
  <c r="BL615" i="5"/>
  <c r="BK615" i="5"/>
  <c r="BJ615" i="5"/>
  <c r="BI615" i="5"/>
  <c r="BG615" i="5"/>
  <c r="BE615" i="5"/>
  <c r="BD615" i="5"/>
  <c r="BB615" i="5"/>
  <c r="BA615" i="5"/>
  <c r="AZ615" i="5"/>
  <c r="BP614" i="5"/>
  <c r="BO614" i="5"/>
  <c r="BC614" i="5" s="1"/>
  <c r="BN614" i="5"/>
  <c r="BM614" i="5"/>
  <c r="BL614" i="5"/>
  <c r="BK614" i="5"/>
  <c r="BJ614" i="5"/>
  <c r="BI614" i="5"/>
  <c r="BG614" i="5"/>
  <c r="BE614" i="5"/>
  <c r="BD614" i="5"/>
  <c r="BB614" i="5"/>
  <c r="BA614" i="5"/>
  <c r="AZ614" i="5"/>
  <c r="BP613" i="5"/>
  <c r="BO613" i="5"/>
  <c r="BC613" i="5" s="1"/>
  <c r="BN613" i="5"/>
  <c r="BM613" i="5"/>
  <c r="BL613" i="5"/>
  <c r="BK613" i="5"/>
  <c r="BJ613" i="5"/>
  <c r="BI613" i="5"/>
  <c r="BG613" i="5"/>
  <c r="BE613" i="5"/>
  <c r="BD613" i="5"/>
  <c r="BB613" i="5"/>
  <c r="BA613" i="5"/>
  <c r="AZ613" i="5"/>
  <c r="BP612" i="5"/>
  <c r="BO612" i="5"/>
  <c r="BC612" i="5" s="1"/>
  <c r="BN612" i="5"/>
  <c r="BM612" i="5"/>
  <c r="BL612" i="5"/>
  <c r="BK612" i="5"/>
  <c r="BJ612" i="5"/>
  <c r="BI612" i="5"/>
  <c r="BG612" i="5"/>
  <c r="BE612" i="5"/>
  <c r="BD612" i="5"/>
  <c r="BB612" i="5"/>
  <c r="BA612" i="5"/>
  <c r="AZ612" i="5"/>
  <c r="BP611" i="5"/>
  <c r="BO611" i="5"/>
  <c r="BC611" i="5" s="1"/>
  <c r="BN611" i="5"/>
  <c r="BM611" i="5"/>
  <c r="BL611" i="5"/>
  <c r="BK611" i="5"/>
  <c r="BJ611" i="5"/>
  <c r="BI611" i="5"/>
  <c r="BG611" i="5"/>
  <c r="BE611" i="5"/>
  <c r="BD611" i="5"/>
  <c r="BB611" i="5"/>
  <c r="BA611" i="5"/>
  <c r="AZ611" i="5"/>
  <c r="BP610" i="5"/>
  <c r="BO610" i="5"/>
  <c r="BC610" i="5" s="1"/>
  <c r="BN610" i="5"/>
  <c r="BM610" i="5"/>
  <c r="BL610" i="5"/>
  <c r="BK610" i="5"/>
  <c r="BJ610" i="5"/>
  <c r="BI610" i="5"/>
  <c r="BG610" i="5"/>
  <c r="BE610" i="5"/>
  <c r="BD610" i="5"/>
  <c r="BB610" i="5"/>
  <c r="BA610" i="5"/>
  <c r="AZ610" i="5"/>
  <c r="BP609" i="5"/>
  <c r="BO609" i="5"/>
  <c r="BC609" i="5" s="1"/>
  <c r="BN609" i="5"/>
  <c r="BM609" i="5"/>
  <c r="BL609" i="5"/>
  <c r="BK609" i="5"/>
  <c r="BJ609" i="5"/>
  <c r="BI609" i="5"/>
  <c r="BG609" i="5"/>
  <c r="BE609" i="5"/>
  <c r="BD609" i="5"/>
  <c r="BB609" i="5"/>
  <c r="BA609" i="5"/>
  <c r="AZ609" i="5"/>
  <c r="BP608" i="5"/>
  <c r="BO608" i="5"/>
  <c r="BC608" i="5" s="1"/>
  <c r="BN608" i="5"/>
  <c r="BM608" i="5"/>
  <c r="BL608" i="5"/>
  <c r="BK608" i="5"/>
  <c r="BJ608" i="5"/>
  <c r="BI608" i="5"/>
  <c r="BG608" i="5"/>
  <c r="BE608" i="5"/>
  <c r="BD608" i="5"/>
  <c r="BB608" i="5"/>
  <c r="BA608" i="5"/>
  <c r="AZ608" i="5"/>
  <c r="BP607" i="5"/>
  <c r="BO607" i="5"/>
  <c r="BC607" i="5" s="1"/>
  <c r="BN607" i="5"/>
  <c r="BM607" i="5"/>
  <c r="BL607" i="5"/>
  <c r="BK607" i="5"/>
  <c r="BJ607" i="5"/>
  <c r="BI607" i="5"/>
  <c r="BG607" i="5"/>
  <c r="BE607" i="5"/>
  <c r="BD607" i="5"/>
  <c r="BB607" i="5"/>
  <c r="BA607" i="5"/>
  <c r="AZ607" i="5"/>
  <c r="BP606" i="5"/>
  <c r="BO606" i="5"/>
  <c r="BC606" i="5" s="1"/>
  <c r="BN606" i="5"/>
  <c r="BM606" i="5"/>
  <c r="BL606" i="5"/>
  <c r="BK606" i="5"/>
  <c r="BJ606" i="5"/>
  <c r="BI606" i="5"/>
  <c r="BG606" i="5"/>
  <c r="BE606" i="5"/>
  <c r="BD606" i="5"/>
  <c r="BB606" i="5"/>
  <c r="BA606" i="5"/>
  <c r="AZ606" i="5"/>
  <c r="BP605" i="5"/>
  <c r="BO605" i="5"/>
  <c r="BC605" i="5" s="1"/>
  <c r="BN605" i="5"/>
  <c r="BM605" i="5"/>
  <c r="BL605" i="5"/>
  <c r="BK605" i="5"/>
  <c r="BJ605" i="5"/>
  <c r="BI605" i="5"/>
  <c r="BG605" i="5"/>
  <c r="BE605" i="5"/>
  <c r="BD605" i="5"/>
  <c r="BB605" i="5"/>
  <c r="BA605" i="5"/>
  <c r="AZ605" i="5"/>
  <c r="BP604" i="5"/>
  <c r="BO604" i="5"/>
  <c r="BC604" i="5" s="1"/>
  <c r="BN604" i="5"/>
  <c r="BM604" i="5"/>
  <c r="BL604" i="5"/>
  <c r="BK604" i="5"/>
  <c r="BJ604" i="5"/>
  <c r="BI604" i="5"/>
  <c r="BG604" i="5"/>
  <c r="BE604" i="5"/>
  <c r="BD604" i="5"/>
  <c r="BB604" i="5"/>
  <c r="BA604" i="5"/>
  <c r="AZ604" i="5"/>
  <c r="BP603" i="5"/>
  <c r="BO603" i="5"/>
  <c r="BC603" i="5" s="1"/>
  <c r="BN603" i="5"/>
  <c r="BM603" i="5"/>
  <c r="BL603" i="5"/>
  <c r="BK603" i="5"/>
  <c r="BJ603" i="5"/>
  <c r="BI603" i="5"/>
  <c r="BG603" i="5"/>
  <c r="BE603" i="5"/>
  <c r="BD603" i="5"/>
  <c r="BB603" i="5"/>
  <c r="BA603" i="5"/>
  <c r="AZ603" i="5"/>
  <c r="BP602" i="5"/>
  <c r="BO602" i="5"/>
  <c r="BC602" i="5" s="1"/>
  <c r="BN602" i="5"/>
  <c r="BM602" i="5"/>
  <c r="BL602" i="5"/>
  <c r="BK602" i="5"/>
  <c r="BJ602" i="5"/>
  <c r="BI602" i="5"/>
  <c r="BG602" i="5"/>
  <c r="BE602" i="5"/>
  <c r="BD602" i="5"/>
  <c r="BB602" i="5"/>
  <c r="BA602" i="5"/>
  <c r="AZ602" i="5"/>
  <c r="BP601" i="5"/>
  <c r="BO601" i="5"/>
  <c r="BC601" i="5" s="1"/>
  <c r="BN601" i="5"/>
  <c r="BM601" i="5"/>
  <c r="BL601" i="5"/>
  <c r="BK601" i="5"/>
  <c r="BJ601" i="5"/>
  <c r="BI601" i="5"/>
  <c r="BG601" i="5"/>
  <c r="BE601" i="5"/>
  <c r="BD601" i="5"/>
  <c r="BB601" i="5"/>
  <c r="BA601" i="5"/>
  <c r="AZ601" i="5"/>
  <c r="BP600" i="5"/>
  <c r="BO600" i="5"/>
  <c r="BC600" i="5" s="1"/>
  <c r="BN600" i="5"/>
  <c r="BM600" i="5"/>
  <c r="BL600" i="5"/>
  <c r="BK600" i="5"/>
  <c r="BJ600" i="5"/>
  <c r="BI600" i="5"/>
  <c r="BG600" i="5"/>
  <c r="BE600" i="5"/>
  <c r="BD600" i="5"/>
  <c r="BB600" i="5"/>
  <c r="BA600" i="5"/>
  <c r="AZ600" i="5"/>
  <c r="BP599" i="5"/>
  <c r="BO599" i="5"/>
  <c r="BC599" i="5" s="1"/>
  <c r="BN599" i="5"/>
  <c r="BM599" i="5"/>
  <c r="BL599" i="5"/>
  <c r="BK599" i="5"/>
  <c r="BJ599" i="5"/>
  <c r="BI599" i="5"/>
  <c r="BG599" i="5"/>
  <c r="BE599" i="5"/>
  <c r="BD599" i="5"/>
  <c r="BB599" i="5"/>
  <c r="BA599" i="5"/>
  <c r="AZ599" i="5"/>
  <c r="BP598" i="5"/>
  <c r="BO598" i="5"/>
  <c r="BC598" i="5" s="1"/>
  <c r="BN598" i="5"/>
  <c r="BM598" i="5"/>
  <c r="BL598" i="5"/>
  <c r="BK598" i="5"/>
  <c r="BJ598" i="5"/>
  <c r="BI598" i="5"/>
  <c r="BG598" i="5"/>
  <c r="BE598" i="5"/>
  <c r="BD598" i="5"/>
  <c r="BB598" i="5"/>
  <c r="BA598" i="5"/>
  <c r="AZ598" i="5"/>
  <c r="BP597" i="5"/>
  <c r="BO597" i="5"/>
  <c r="BC597" i="5" s="1"/>
  <c r="BN597" i="5"/>
  <c r="BM597" i="5"/>
  <c r="BL597" i="5"/>
  <c r="BK597" i="5"/>
  <c r="BJ597" i="5"/>
  <c r="BI597" i="5"/>
  <c r="BG597" i="5"/>
  <c r="BE597" i="5"/>
  <c r="BD597" i="5"/>
  <c r="BB597" i="5"/>
  <c r="BA597" i="5"/>
  <c r="AZ597" i="5"/>
  <c r="BP596" i="5"/>
  <c r="BO596" i="5"/>
  <c r="BC596" i="5" s="1"/>
  <c r="BN596" i="5"/>
  <c r="BM596" i="5"/>
  <c r="BL596" i="5"/>
  <c r="BK596" i="5"/>
  <c r="BJ596" i="5"/>
  <c r="BI596" i="5"/>
  <c r="BG596" i="5"/>
  <c r="BE596" i="5"/>
  <c r="BD596" i="5"/>
  <c r="BB596" i="5"/>
  <c r="BA596" i="5"/>
  <c r="AZ596" i="5"/>
  <c r="BP595" i="5"/>
  <c r="BO595" i="5"/>
  <c r="BC595" i="5" s="1"/>
  <c r="BN595" i="5"/>
  <c r="BM595" i="5"/>
  <c r="BL595" i="5"/>
  <c r="BK595" i="5"/>
  <c r="BJ595" i="5"/>
  <c r="BI595" i="5"/>
  <c r="BG595" i="5"/>
  <c r="BE595" i="5"/>
  <c r="BD595" i="5"/>
  <c r="BB595" i="5"/>
  <c r="BA595" i="5"/>
  <c r="AZ595" i="5"/>
  <c r="BP594" i="5"/>
  <c r="BO594" i="5"/>
  <c r="BC594" i="5" s="1"/>
  <c r="BN594" i="5"/>
  <c r="BM594" i="5"/>
  <c r="BL594" i="5"/>
  <c r="BK594" i="5"/>
  <c r="BJ594" i="5"/>
  <c r="BI594" i="5"/>
  <c r="BG594" i="5"/>
  <c r="BE594" i="5"/>
  <c r="BD594" i="5"/>
  <c r="BB594" i="5"/>
  <c r="BA594" i="5"/>
  <c r="AZ594" i="5"/>
  <c r="BP593" i="5"/>
  <c r="BO593" i="5"/>
  <c r="BC593" i="5" s="1"/>
  <c r="BN593" i="5"/>
  <c r="BM593" i="5"/>
  <c r="BL593" i="5"/>
  <c r="BK593" i="5"/>
  <c r="BJ593" i="5"/>
  <c r="BI593" i="5"/>
  <c r="BG593" i="5"/>
  <c r="BE593" i="5"/>
  <c r="BD593" i="5"/>
  <c r="BB593" i="5"/>
  <c r="BA593" i="5"/>
  <c r="AZ593" i="5"/>
  <c r="BP592" i="5"/>
  <c r="BO592" i="5"/>
  <c r="BC592" i="5" s="1"/>
  <c r="BN592" i="5"/>
  <c r="BM592" i="5"/>
  <c r="BL592" i="5"/>
  <c r="BK592" i="5"/>
  <c r="BJ592" i="5"/>
  <c r="BI592" i="5"/>
  <c r="BG592" i="5"/>
  <c r="BE592" i="5"/>
  <c r="BD592" i="5"/>
  <c r="BB592" i="5"/>
  <c r="BA592" i="5"/>
  <c r="AZ592" i="5"/>
  <c r="BP591" i="5"/>
  <c r="BO591" i="5"/>
  <c r="BC591" i="5" s="1"/>
  <c r="BN591" i="5"/>
  <c r="BM591" i="5"/>
  <c r="BL591" i="5"/>
  <c r="BK591" i="5"/>
  <c r="BJ591" i="5"/>
  <c r="BI591" i="5"/>
  <c r="BG591" i="5"/>
  <c r="BE591" i="5"/>
  <c r="BD591" i="5"/>
  <c r="BB591" i="5"/>
  <c r="BA591" i="5"/>
  <c r="AZ591" i="5"/>
  <c r="BP590" i="5"/>
  <c r="BO590" i="5"/>
  <c r="BC590" i="5" s="1"/>
  <c r="BN590" i="5"/>
  <c r="BM590" i="5"/>
  <c r="BL590" i="5"/>
  <c r="BK590" i="5"/>
  <c r="BJ590" i="5"/>
  <c r="BI590" i="5"/>
  <c r="BG590" i="5"/>
  <c r="BE590" i="5"/>
  <c r="BD590" i="5"/>
  <c r="BB590" i="5"/>
  <c r="BA590" i="5"/>
  <c r="AZ590" i="5"/>
  <c r="BP589" i="5"/>
  <c r="BO589" i="5"/>
  <c r="BC589" i="5" s="1"/>
  <c r="BN589" i="5"/>
  <c r="BM589" i="5"/>
  <c r="BL589" i="5"/>
  <c r="BK589" i="5"/>
  <c r="BJ589" i="5"/>
  <c r="BI589" i="5"/>
  <c r="BG589" i="5"/>
  <c r="BE589" i="5"/>
  <c r="BD589" i="5"/>
  <c r="BB589" i="5"/>
  <c r="BA589" i="5"/>
  <c r="AZ589" i="5"/>
  <c r="BP588" i="5"/>
  <c r="BO588" i="5"/>
  <c r="BC588" i="5" s="1"/>
  <c r="BN588" i="5"/>
  <c r="BM588" i="5"/>
  <c r="BL588" i="5"/>
  <c r="BK588" i="5"/>
  <c r="BJ588" i="5"/>
  <c r="BI588" i="5"/>
  <c r="BG588" i="5"/>
  <c r="BE588" i="5"/>
  <c r="BD588" i="5"/>
  <c r="BB588" i="5"/>
  <c r="BA588" i="5"/>
  <c r="AZ588" i="5"/>
  <c r="BP587" i="5"/>
  <c r="BO587" i="5"/>
  <c r="BC587" i="5" s="1"/>
  <c r="BN587" i="5"/>
  <c r="BM587" i="5"/>
  <c r="BL587" i="5"/>
  <c r="BK587" i="5"/>
  <c r="BJ587" i="5"/>
  <c r="BI587" i="5"/>
  <c r="BG587" i="5"/>
  <c r="BE587" i="5"/>
  <c r="BD587" i="5"/>
  <c r="BB587" i="5"/>
  <c r="BA587" i="5"/>
  <c r="AZ587" i="5"/>
  <c r="BP586" i="5"/>
  <c r="BO586" i="5"/>
  <c r="BC586" i="5" s="1"/>
  <c r="BN586" i="5"/>
  <c r="BM586" i="5"/>
  <c r="BL586" i="5"/>
  <c r="BK586" i="5"/>
  <c r="BJ586" i="5"/>
  <c r="BI586" i="5"/>
  <c r="BG586" i="5"/>
  <c r="BE586" i="5"/>
  <c r="BD586" i="5"/>
  <c r="BB586" i="5"/>
  <c r="BA586" i="5"/>
  <c r="AZ586" i="5"/>
  <c r="BP585" i="5"/>
  <c r="BO585" i="5"/>
  <c r="BC585" i="5" s="1"/>
  <c r="BN585" i="5"/>
  <c r="BM585" i="5"/>
  <c r="BL585" i="5"/>
  <c r="BK585" i="5"/>
  <c r="BJ585" i="5"/>
  <c r="BI585" i="5"/>
  <c r="BG585" i="5"/>
  <c r="BE585" i="5"/>
  <c r="BD585" i="5"/>
  <c r="BB585" i="5"/>
  <c r="BA585" i="5"/>
  <c r="AZ585" i="5"/>
  <c r="BP584" i="5"/>
  <c r="BO584" i="5"/>
  <c r="BC584" i="5" s="1"/>
  <c r="BN584" i="5"/>
  <c r="BM584" i="5"/>
  <c r="BL584" i="5"/>
  <c r="BK584" i="5"/>
  <c r="BJ584" i="5"/>
  <c r="BI584" i="5"/>
  <c r="BG584" i="5"/>
  <c r="BE584" i="5"/>
  <c r="BD584" i="5"/>
  <c r="BB584" i="5"/>
  <c r="BA584" i="5"/>
  <c r="AZ584" i="5"/>
  <c r="BP583" i="5"/>
  <c r="BO583" i="5"/>
  <c r="BC583" i="5" s="1"/>
  <c r="BN583" i="5"/>
  <c r="BM583" i="5"/>
  <c r="BL583" i="5"/>
  <c r="BK583" i="5"/>
  <c r="BJ583" i="5"/>
  <c r="BI583" i="5"/>
  <c r="BG583" i="5"/>
  <c r="BE583" i="5"/>
  <c r="BD583" i="5"/>
  <c r="BB583" i="5"/>
  <c r="BA583" i="5"/>
  <c r="AZ583" i="5"/>
  <c r="BP582" i="5"/>
  <c r="BO582" i="5"/>
  <c r="BC582" i="5" s="1"/>
  <c r="BN582" i="5"/>
  <c r="BM582" i="5"/>
  <c r="BL582" i="5"/>
  <c r="BK582" i="5"/>
  <c r="BJ582" i="5"/>
  <c r="BI582" i="5"/>
  <c r="BG582" i="5"/>
  <c r="BE582" i="5"/>
  <c r="BD582" i="5"/>
  <c r="BB582" i="5"/>
  <c r="BA582" i="5"/>
  <c r="AZ582" i="5"/>
  <c r="BP581" i="5"/>
  <c r="BO581" i="5"/>
  <c r="BC581" i="5" s="1"/>
  <c r="BN581" i="5"/>
  <c r="BM581" i="5"/>
  <c r="BL581" i="5"/>
  <c r="BK581" i="5"/>
  <c r="BJ581" i="5"/>
  <c r="BI581" i="5"/>
  <c r="BG581" i="5"/>
  <c r="BE581" i="5"/>
  <c r="BD581" i="5"/>
  <c r="BB581" i="5"/>
  <c r="BA581" i="5"/>
  <c r="AZ581" i="5"/>
  <c r="BP580" i="5"/>
  <c r="BO580" i="5"/>
  <c r="BC580" i="5" s="1"/>
  <c r="BN580" i="5"/>
  <c r="BM580" i="5"/>
  <c r="BL580" i="5"/>
  <c r="BK580" i="5"/>
  <c r="BJ580" i="5"/>
  <c r="BI580" i="5"/>
  <c r="BG580" i="5"/>
  <c r="BE580" i="5"/>
  <c r="BD580" i="5"/>
  <c r="BB580" i="5"/>
  <c r="BA580" i="5"/>
  <c r="AZ580" i="5"/>
  <c r="BP579" i="5"/>
  <c r="BO579" i="5"/>
  <c r="BC579" i="5" s="1"/>
  <c r="BN579" i="5"/>
  <c r="BM579" i="5"/>
  <c r="BL579" i="5"/>
  <c r="BK579" i="5"/>
  <c r="BJ579" i="5"/>
  <c r="BI579" i="5"/>
  <c r="BG579" i="5"/>
  <c r="BE579" i="5"/>
  <c r="BD579" i="5"/>
  <c r="BB579" i="5"/>
  <c r="BA579" i="5"/>
  <c r="AZ579" i="5"/>
  <c r="BP578" i="5"/>
  <c r="BO578" i="5"/>
  <c r="BC578" i="5" s="1"/>
  <c r="BN578" i="5"/>
  <c r="BM578" i="5"/>
  <c r="BL578" i="5"/>
  <c r="BK578" i="5"/>
  <c r="BJ578" i="5"/>
  <c r="BI578" i="5"/>
  <c r="BG578" i="5"/>
  <c r="BE578" i="5"/>
  <c r="BD578" i="5"/>
  <c r="BB578" i="5"/>
  <c r="BA578" i="5"/>
  <c r="AZ578" i="5"/>
  <c r="BP577" i="5"/>
  <c r="BO577" i="5"/>
  <c r="BC577" i="5" s="1"/>
  <c r="BN577" i="5"/>
  <c r="BM577" i="5"/>
  <c r="BL577" i="5"/>
  <c r="BK577" i="5"/>
  <c r="BJ577" i="5"/>
  <c r="BI577" i="5"/>
  <c r="BG577" i="5"/>
  <c r="BE577" i="5"/>
  <c r="BD577" i="5"/>
  <c r="BB577" i="5"/>
  <c r="BA577" i="5"/>
  <c r="AZ577" i="5"/>
  <c r="BP576" i="5"/>
  <c r="BO576" i="5"/>
  <c r="BC576" i="5" s="1"/>
  <c r="BN576" i="5"/>
  <c r="BM576" i="5"/>
  <c r="BL576" i="5"/>
  <c r="BK576" i="5"/>
  <c r="BJ576" i="5"/>
  <c r="BI576" i="5"/>
  <c r="BG576" i="5"/>
  <c r="BE576" i="5"/>
  <c r="BD576" i="5"/>
  <c r="BB576" i="5"/>
  <c r="BA576" i="5"/>
  <c r="AZ576" i="5"/>
  <c r="BP575" i="5"/>
  <c r="BO575" i="5"/>
  <c r="BC575" i="5" s="1"/>
  <c r="BN575" i="5"/>
  <c r="BM575" i="5"/>
  <c r="BL575" i="5"/>
  <c r="BK575" i="5"/>
  <c r="BJ575" i="5"/>
  <c r="BI575" i="5"/>
  <c r="BG575" i="5"/>
  <c r="BE575" i="5"/>
  <c r="BD575" i="5"/>
  <c r="BB575" i="5"/>
  <c r="BA575" i="5"/>
  <c r="AZ575" i="5"/>
  <c r="BP574" i="5"/>
  <c r="BO574" i="5"/>
  <c r="BC574" i="5" s="1"/>
  <c r="BN574" i="5"/>
  <c r="BM574" i="5"/>
  <c r="BL574" i="5"/>
  <c r="BK574" i="5"/>
  <c r="BJ574" i="5"/>
  <c r="BI574" i="5"/>
  <c r="BG574" i="5"/>
  <c r="BE574" i="5"/>
  <c r="BD574" i="5"/>
  <c r="BB574" i="5"/>
  <c r="BA574" i="5"/>
  <c r="AZ574" i="5"/>
  <c r="BP573" i="5"/>
  <c r="BO573" i="5"/>
  <c r="BC573" i="5" s="1"/>
  <c r="BN573" i="5"/>
  <c r="BM573" i="5"/>
  <c r="BL573" i="5"/>
  <c r="BK573" i="5"/>
  <c r="BJ573" i="5"/>
  <c r="BI573" i="5"/>
  <c r="BG573" i="5"/>
  <c r="BE573" i="5"/>
  <c r="BD573" i="5"/>
  <c r="BB573" i="5"/>
  <c r="BA573" i="5"/>
  <c r="AZ573" i="5"/>
  <c r="BP572" i="5"/>
  <c r="BO572" i="5"/>
  <c r="BC572" i="5" s="1"/>
  <c r="BN572" i="5"/>
  <c r="BM572" i="5"/>
  <c r="BL572" i="5"/>
  <c r="BK572" i="5"/>
  <c r="BJ572" i="5"/>
  <c r="BI572" i="5"/>
  <c r="BG572" i="5"/>
  <c r="BE572" i="5"/>
  <c r="BD572" i="5"/>
  <c r="BB572" i="5"/>
  <c r="BA572" i="5"/>
  <c r="AZ572" i="5"/>
  <c r="BP571" i="5"/>
  <c r="BO571" i="5"/>
  <c r="BC571" i="5" s="1"/>
  <c r="BN571" i="5"/>
  <c r="BM571" i="5"/>
  <c r="BL571" i="5"/>
  <c r="BK571" i="5"/>
  <c r="BJ571" i="5"/>
  <c r="BI571" i="5"/>
  <c r="BG571" i="5"/>
  <c r="BE571" i="5"/>
  <c r="BD571" i="5"/>
  <c r="BB571" i="5"/>
  <c r="BA571" i="5"/>
  <c r="AZ571" i="5"/>
  <c r="BP570" i="5"/>
  <c r="BO570" i="5"/>
  <c r="BC570" i="5" s="1"/>
  <c r="BN570" i="5"/>
  <c r="BM570" i="5"/>
  <c r="BL570" i="5"/>
  <c r="BK570" i="5"/>
  <c r="BJ570" i="5"/>
  <c r="BI570" i="5"/>
  <c r="BG570" i="5"/>
  <c r="BE570" i="5"/>
  <c r="BD570" i="5"/>
  <c r="BB570" i="5"/>
  <c r="BA570" i="5"/>
  <c r="AZ570" i="5"/>
  <c r="BP569" i="5"/>
  <c r="BO569" i="5"/>
  <c r="BC569" i="5" s="1"/>
  <c r="BN569" i="5"/>
  <c r="BM569" i="5"/>
  <c r="BL569" i="5"/>
  <c r="BK569" i="5"/>
  <c r="BJ569" i="5"/>
  <c r="BI569" i="5"/>
  <c r="BG569" i="5"/>
  <c r="BE569" i="5"/>
  <c r="BD569" i="5"/>
  <c r="BB569" i="5"/>
  <c r="BA569" i="5"/>
  <c r="AZ569" i="5"/>
  <c r="BP568" i="5"/>
  <c r="BO568" i="5"/>
  <c r="BC568" i="5" s="1"/>
  <c r="BN568" i="5"/>
  <c r="BM568" i="5"/>
  <c r="BL568" i="5"/>
  <c r="BK568" i="5"/>
  <c r="BJ568" i="5"/>
  <c r="BI568" i="5"/>
  <c r="BG568" i="5"/>
  <c r="BE568" i="5"/>
  <c r="BD568" i="5"/>
  <c r="BB568" i="5"/>
  <c r="BA568" i="5"/>
  <c r="AZ568" i="5"/>
  <c r="BP567" i="5"/>
  <c r="BO567" i="5"/>
  <c r="BC567" i="5" s="1"/>
  <c r="BN567" i="5"/>
  <c r="BM567" i="5"/>
  <c r="BL567" i="5"/>
  <c r="BK567" i="5"/>
  <c r="BJ567" i="5"/>
  <c r="BI567" i="5"/>
  <c r="BG567" i="5"/>
  <c r="BE567" i="5"/>
  <c r="BD567" i="5"/>
  <c r="BB567" i="5"/>
  <c r="BA567" i="5"/>
  <c r="AZ567" i="5"/>
  <c r="BP566" i="5"/>
  <c r="BO566" i="5"/>
  <c r="BC566" i="5" s="1"/>
  <c r="BN566" i="5"/>
  <c r="BM566" i="5"/>
  <c r="BL566" i="5"/>
  <c r="BK566" i="5"/>
  <c r="BJ566" i="5"/>
  <c r="BI566" i="5"/>
  <c r="BG566" i="5"/>
  <c r="BE566" i="5"/>
  <c r="BD566" i="5"/>
  <c r="BB566" i="5"/>
  <c r="BA566" i="5"/>
  <c r="AZ566" i="5"/>
  <c r="BP565" i="5"/>
  <c r="BO565" i="5"/>
  <c r="BC565" i="5" s="1"/>
  <c r="BN565" i="5"/>
  <c r="BM565" i="5"/>
  <c r="BL565" i="5"/>
  <c r="BK565" i="5"/>
  <c r="BJ565" i="5"/>
  <c r="BI565" i="5"/>
  <c r="BG565" i="5"/>
  <c r="BE565" i="5"/>
  <c r="BD565" i="5"/>
  <c r="BB565" i="5"/>
  <c r="BA565" i="5"/>
  <c r="AZ565" i="5"/>
  <c r="BP564" i="5"/>
  <c r="BO564" i="5"/>
  <c r="BC564" i="5" s="1"/>
  <c r="BN564" i="5"/>
  <c r="BM564" i="5"/>
  <c r="BL564" i="5"/>
  <c r="BK564" i="5"/>
  <c r="BJ564" i="5"/>
  <c r="BI564" i="5"/>
  <c r="BG564" i="5"/>
  <c r="BE564" i="5"/>
  <c r="BD564" i="5"/>
  <c r="BB564" i="5"/>
  <c r="BA564" i="5"/>
  <c r="AZ564" i="5"/>
  <c r="BP563" i="5"/>
  <c r="BO563" i="5"/>
  <c r="BC563" i="5" s="1"/>
  <c r="BN563" i="5"/>
  <c r="BM563" i="5"/>
  <c r="BL563" i="5"/>
  <c r="BK563" i="5"/>
  <c r="BJ563" i="5"/>
  <c r="BI563" i="5"/>
  <c r="BG563" i="5"/>
  <c r="BE563" i="5"/>
  <c r="BD563" i="5"/>
  <c r="BB563" i="5"/>
  <c r="BA563" i="5"/>
  <c r="AZ563" i="5"/>
  <c r="BP562" i="5"/>
  <c r="BO562" i="5"/>
  <c r="BC562" i="5" s="1"/>
  <c r="BN562" i="5"/>
  <c r="BM562" i="5"/>
  <c r="BL562" i="5"/>
  <c r="BK562" i="5"/>
  <c r="BJ562" i="5"/>
  <c r="BI562" i="5"/>
  <c r="BG562" i="5"/>
  <c r="BE562" i="5"/>
  <c r="BD562" i="5"/>
  <c r="BB562" i="5"/>
  <c r="BA562" i="5"/>
  <c r="AZ562" i="5"/>
  <c r="BP561" i="5"/>
  <c r="BO561" i="5"/>
  <c r="BC561" i="5" s="1"/>
  <c r="BN561" i="5"/>
  <c r="BM561" i="5"/>
  <c r="BL561" i="5"/>
  <c r="BK561" i="5"/>
  <c r="BJ561" i="5"/>
  <c r="BI561" i="5"/>
  <c r="BG561" i="5"/>
  <c r="BE561" i="5"/>
  <c r="BD561" i="5"/>
  <c r="BB561" i="5"/>
  <c r="BA561" i="5"/>
  <c r="AZ561" i="5"/>
  <c r="BP560" i="5"/>
  <c r="BO560" i="5"/>
  <c r="BC560" i="5" s="1"/>
  <c r="BN560" i="5"/>
  <c r="BM560" i="5"/>
  <c r="BL560" i="5"/>
  <c r="BK560" i="5"/>
  <c r="BJ560" i="5"/>
  <c r="BI560" i="5"/>
  <c r="BG560" i="5"/>
  <c r="BE560" i="5"/>
  <c r="BD560" i="5"/>
  <c r="BB560" i="5"/>
  <c r="BA560" i="5"/>
  <c r="AZ560" i="5"/>
  <c r="BP559" i="5"/>
  <c r="BO559" i="5"/>
  <c r="BC559" i="5" s="1"/>
  <c r="BN559" i="5"/>
  <c r="BM559" i="5"/>
  <c r="BL559" i="5"/>
  <c r="BK559" i="5"/>
  <c r="BJ559" i="5"/>
  <c r="BI559" i="5"/>
  <c r="BG559" i="5"/>
  <c r="BE559" i="5"/>
  <c r="BD559" i="5"/>
  <c r="BB559" i="5"/>
  <c r="BA559" i="5"/>
  <c r="AZ559" i="5"/>
  <c r="BP558" i="5"/>
  <c r="BO558" i="5"/>
  <c r="BC558" i="5" s="1"/>
  <c r="BN558" i="5"/>
  <c r="BM558" i="5"/>
  <c r="BL558" i="5"/>
  <c r="BK558" i="5"/>
  <c r="BJ558" i="5"/>
  <c r="BI558" i="5"/>
  <c r="BG558" i="5"/>
  <c r="BE558" i="5"/>
  <c r="BD558" i="5"/>
  <c r="BB558" i="5"/>
  <c r="BA558" i="5"/>
  <c r="AZ558" i="5"/>
  <c r="BP557" i="5"/>
  <c r="BO557" i="5"/>
  <c r="BC557" i="5" s="1"/>
  <c r="BN557" i="5"/>
  <c r="BM557" i="5"/>
  <c r="BL557" i="5"/>
  <c r="BK557" i="5"/>
  <c r="BJ557" i="5"/>
  <c r="BI557" i="5"/>
  <c r="BG557" i="5"/>
  <c r="BE557" i="5"/>
  <c r="BD557" i="5"/>
  <c r="BB557" i="5"/>
  <c r="BA557" i="5"/>
  <c r="AZ557" i="5"/>
  <c r="BP556" i="5"/>
  <c r="BO556" i="5"/>
  <c r="BC556" i="5" s="1"/>
  <c r="BN556" i="5"/>
  <c r="BM556" i="5"/>
  <c r="BL556" i="5"/>
  <c r="BK556" i="5"/>
  <c r="BJ556" i="5"/>
  <c r="BI556" i="5"/>
  <c r="BG556" i="5"/>
  <c r="BE556" i="5"/>
  <c r="BD556" i="5"/>
  <c r="BB556" i="5"/>
  <c r="BA556" i="5"/>
  <c r="AZ556" i="5"/>
  <c r="BP555" i="5"/>
  <c r="BO555" i="5"/>
  <c r="BC555" i="5" s="1"/>
  <c r="BN555" i="5"/>
  <c r="BM555" i="5"/>
  <c r="BL555" i="5"/>
  <c r="BK555" i="5"/>
  <c r="BJ555" i="5"/>
  <c r="BI555" i="5"/>
  <c r="BG555" i="5"/>
  <c r="BE555" i="5"/>
  <c r="BD555" i="5"/>
  <c r="BB555" i="5"/>
  <c r="BA555" i="5"/>
  <c r="AZ555" i="5"/>
  <c r="BP554" i="5"/>
  <c r="BO554" i="5"/>
  <c r="BC554" i="5" s="1"/>
  <c r="BN554" i="5"/>
  <c r="BM554" i="5"/>
  <c r="BL554" i="5"/>
  <c r="BK554" i="5"/>
  <c r="BJ554" i="5"/>
  <c r="BI554" i="5"/>
  <c r="BG554" i="5"/>
  <c r="BE554" i="5"/>
  <c r="BD554" i="5"/>
  <c r="BB554" i="5"/>
  <c r="BA554" i="5"/>
  <c r="AZ554" i="5"/>
  <c r="BP553" i="5"/>
  <c r="BO553" i="5"/>
  <c r="BC553" i="5" s="1"/>
  <c r="BN553" i="5"/>
  <c r="BM553" i="5"/>
  <c r="BL553" i="5"/>
  <c r="BK553" i="5"/>
  <c r="BJ553" i="5"/>
  <c r="BI553" i="5"/>
  <c r="BG553" i="5"/>
  <c r="BE553" i="5"/>
  <c r="BD553" i="5"/>
  <c r="BB553" i="5"/>
  <c r="BA553" i="5"/>
  <c r="AZ553" i="5"/>
  <c r="BP552" i="5"/>
  <c r="BO552" i="5"/>
  <c r="BC552" i="5" s="1"/>
  <c r="BN552" i="5"/>
  <c r="BM552" i="5"/>
  <c r="BL552" i="5"/>
  <c r="BK552" i="5"/>
  <c r="BJ552" i="5"/>
  <c r="BI552" i="5"/>
  <c r="BG552" i="5"/>
  <c r="BE552" i="5"/>
  <c r="BD552" i="5"/>
  <c r="BB552" i="5"/>
  <c r="BA552" i="5"/>
  <c r="AZ552" i="5"/>
  <c r="BP551" i="5"/>
  <c r="BO551" i="5"/>
  <c r="BC551" i="5" s="1"/>
  <c r="BN551" i="5"/>
  <c r="BM551" i="5"/>
  <c r="BL551" i="5"/>
  <c r="BK551" i="5"/>
  <c r="BJ551" i="5"/>
  <c r="BI551" i="5"/>
  <c r="BG551" i="5"/>
  <c r="BE551" i="5"/>
  <c r="BD551" i="5"/>
  <c r="BB551" i="5"/>
  <c r="BA551" i="5"/>
  <c r="AZ551" i="5"/>
  <c r="BP550" i="5"/>
  <c r="BO550" i="5"/>
  <c r="BC550" i="5" s="1"/>
  <c r="BN550" i="5"/>
  <c r="BM550" i="5"/>
  <c r="BL550" i="5"/>
  <c r="BK550" i="5"/>
  <c r="BJ550" i="5"/>
  <c r="BI550" i="5"/>
  <c r="BG550" i="5"/>
  <c r="BE550" i="5"/>
  <c r="BD550" i="5"/>
  <c r="BB550" i="5"/>
  <c r="BA550" i="5"/>
  <c r="AZ550" i="5"/>
  <c r="BP549" i="5"/>
  <c r="BO549" i="5"/>
  <c r="BC549" i="5" s="1"/>
  <c r="BN549" i="5"/>
  <c r="BM549" i="5"/>
  <c r="BL549" i="5"/>
  <c r="BK549" i="5"/>
  <c r="BJ549" i="5"/>
  <c r="BI549" i="5"/>
  <c r="BG549" i="5"/>
  <c r="BE549" i="5"/>
  <c r="BD549" i="5"/>
  <c r="BB549" i="5"/>
  <c r="BA549" i="5"/>
  <c r="AZ549" i="5"/>
  <c r="BP548" i="5"/>
  <c r="BO548" i="5"/>
  <c r="BC548" i="5" s="1"/>
  <c r="BN548" i="5"/>
  <c r="BM548" i="5"/>
  <c r="BL548" i="5"/>
  <c r="BK548" i="5"/>
  <c r="BJ548" i="5"/>
  <c r="BI548" i="5"/>
  <c r="BG548" i="5"/>
  <c r="BE548" i="5"/>
  <c r="BD548" i="5"/>
  <c r="BB548" i="5"/>
  <c r="BA548" i="5"/>
  <c r="AZ548" i="5"/>
  <c r="BP547" i="5"/>
  <c r="BO547" i="5"/>
  <c r="BC547" i="5" s="1"/>
  <c r="BN547" i="5"/>
  <c r="BM547" i="5"/>
  <c r="BL547" i="5"/>
  <c r="BK547" i="5"/>
  <c r="BJ547" i="5"/>
  <c r="BI547" i="5"/>
  <c r="BG547" i="5"/>
  <c r="BE547" i="5"/>
  <c r="BD547" i="5"/>
  <c r="BB547" i="5"/>
  <c r="BA547" i="5"/>
  <c r="AZ547" i="5"/>
  <c r="BP546" i="5"/>
  <c r="BO546" i="5"/>
  <c r="BC546" i="5" s="1"/>
  <c r="BN546" i="5"/>
  <c r="BM546" i="5"/>
  <c r="BL546" i="5"/>
  <c r="BK546" i="5"/>
  <c r="BJ546" i="5"/>
  <c r="BI546" i="5"/>
  <c r="BG546" i="5"/>
  <c r="BE546" i="5"/>
  <c r="BD546" i="5"/>
  <c r="BB546" i="5"/>
  <c r="BA546" i="5"/>
  <c r="AZ546" i="5"/>
  <c r="BP545" i="5"/>
  <c r="BO545" i="5"/>
  <c r="BC545" i="5" s="1"/>
  <c r="BN545" i="5"/>
  <c r="BM545" i="5"/>
  <c r="BL545" i="5"/>
  <c r="BK545" i="5"/>
  <c r="BJ545" i="5"/>
  <c r="BI545" i="5"/>
  <c r="BG545" i="5"/>
  <c r="BE545" i="5"/>
  <c r="BD545" i="5"/>
  <c r="BB545" i="5"/>
  <c r="BA545" i="5"/>
  <c r="AZ545" i="5"/>
  <c r="BP544" i="5"/>
  <c r="BO544" i="5"/>
  <c r="BC544" i="5" s="1"/>
  <c r="BN544" i="5"/>
  <c r="BM544" i="5"/>
  <c r="BL544" i="5"/>
  <c r="BK544" i="5"/>
  <c r="BJ544" i="5"/>
  <c r="BI544" i="5"/>
  <c r="BG544" i="5"/>
  <c r="BE544" i="5"/>
  <c r="BD544" i="5"/>
  <c r="BB544" i="5"/>
  <c r="BA544" i="5"/>
  <c r="AZ544" i="5"/>
  <c r="BP543" i="5"/>
  <c r="BO543" i="5"/>
  <c r="BC543" i="5" s="1"/>
  <c r="BN543" i="5"/>
  <c r="BM543" i="5"/>
  <c r="BL543" i="5"/>
  <c r="BK543" i="5"/>
  <c r="BJ543" i="5"/>
  <c r="BI543" i="5"/>
  <c r="BG543" i="5"/>
  <c r="BE543" i="5"/>
  <c r="BD543" i="5"/>
  <c r="BB543" i="5"/>
  <c r="BA543" i="5"/>
  <c r="AZ543" i="5"/>
  <c r="BP542" i="5"/>
  <c r="BO542" i="5"/>
  <c r="BC542" i="5" s="1"/>
  <c r="BN542" i="5"/>
  <c r="BM542" i="5"/>
  <c r="BL542" i="5"/>
  <c r="BK542" i="5"/>
  <c r="BJ542" i="5"/>
  <c r="BI542" i="5"/>
  <c r="BG542" i="5"/>
  <c r="BE542" i="5"/>
  <c r="BD542" i="5"/>
  <c r="BB542" i="5"/>
  <c r="BA542" i="5"/>
  <c r="AZ542" i="5"/>
  <c r="BP541" i="5"/>
  <c r="BO541" i="5"/>
  <c r="BC541" i="5" s="1"/>
  <c r="BN541" i="5"/>
  <c r="BM541" i="5"/>
  <c r="BL541" i="5"/>
  <c r="BK541" i="5"/>
  <c r="BJ541" i="5"/>
  <c r="BI541" i="5"/>
  <c r="BG541" i="5"/>
  <c r="BE541" i="5"/>
  <c r="BD541" i="5"/>
  <c r="BB541" i="5"/>
  <c r="BA541" i="5"/>
  <c r="AZ541" i="5"/>
  <c r="BP540" i="5"/>
  <c r="BO540" i="5"/>
  <c r="BC540" i="5" s="1"/>
  <c r="BN540" i="5"/>
  <c r="BM540" i="5"/>
  <c r="BL540" i="5"/>
  <c r="BK540" i="5"/>
  <c r="BJ540" i="5"/>
  <c r="BI540" i="5"/>
  <c r="BG540" i="5"/>
  <c r="BE540" i="5"/>
  <c r="BD540" i="5"/>
  <c r="BB540" i="5"/>
  <c r="BA540" i="5"/>
  <c r="AZ540" i="5"/>
  <c r="BP539" i="5"/>
  <c r="BO539" i="5"/>
  <c r="BC539" i="5" s="1"/>
  <c r="BN539" i="5"/>
  <c r="BM539" i="5"/>
  <c r="BL539" i="5"/>
  <c r="BK539" i="5"/>
  <c r="BJ539" i="5"/>
  <c r="BI539" i="5"/>
  <c r="BG539" i="5"/>
  <c r="BE539" i="5"/>
  <c r="BD539" i="5"/>
  <c r="BB539" i="5"/>
  <c r="BA539" i="5"/>
  <c r="AZ539" i="5"/>
  <c r="BP538" i="5"/>
  <c r="BO538" i="5"/>
  <c r="BC538" i="5" s="1"/>
  <c r="BN538" i="5"/>
  <c r="BM538" i="5"/>
  <c r="BL538" i="5"/>
  <c r="BK538" i="5"/>
  <c r="BJ538" i="5"/>
  <c r="BI538" i="5"/>
  <c r="BG538" i="5"/>
  <c r="BE538" i="5"/>
  <c r="BD538" i="5"/>
  <c r="BB538" i="5"/>
  <c r="BA538" i="5"/>
  <c r="AZ538" i="5"/>
  <c r="BP537" i="5"/>
  <c r="BO537" i="5"/>
  <c r="BC537" i="5" s="1"/>
  <c r="BN537" i="5"/>
  <c r="BM537" i="5"/>
  <c r="BL537" i="5"/>
  <c r="BK537" i="5"/>
  <c r="BJ537" i="5"/>
  <c r="BI537" i="5"/>
  <c r="BG537" i="5"/>
  <c r="BE537" i="5"/>
  <c r="BD537" i="5"/>
  <c r="BB537" i="5"/>
  <c r="BA537" i="5"/>
  <c r="AZ537" i="5"/>
  <c r="BP536" i="5"/>
  <c r="BO536" i="5"/>
  <c r="BC536" i="5" s="1"/>
  <c r="BN536" i="5"/>
  <c r="BM536" i="5"/>
  <c r="BL536" i="5"/>
  <c r="BK536" i="5"/>
  <c r="BJ536" i="5"/>
  <c r="BI536" i="5"/>
  <c r="BG536" i="5"/>
  <c r="BE536" i="5"/>
  <c r="BD536" i="5"/>
  <c r="BB536" i="5"/>
  <c r="BA536" i="5"/>
  <c r="AZ536" i="5"/>
  <c r="BP535" i="5"/>
  <c r="BO535" i="5"/>
  <c r="BC535" i="5" s="1"/>
  <c r="BN535" i="5"/>
  <c r="BM535" i="5"/>
  <c r="BL535" i="5"/>
  <c r="BK535" i="5"/>
  <c r="BJ535" i="5"/>
  <c r="BI535" i="5"/>
  <c r="BG535" i="5"/>
  <c r="BE535" i="5"/>
  <c r="BD535" i="5"/>
  <c r="BB535" i="5"/>
  <c r="BA535" i="5"/>
  <c r="AZ535" i="5"/>
  <c r="BP534" i="5"/>
  <c r="BO534" i="5"/>
  <c r="BC534" i="5" s="1"/>
  <c r="BN534" i="5"/>
  <c r="BM534" i="5"/>
  <c r="BL534" i="5"/>
  <c r="BK534" i="5"/>
  <c r="BJ534" i="5"/>
  <c r="BI534" i="5"/>
  <c r="BG534" i="5"/>
  <c r="BE534" i="5"/>
  <c r="BD534" i="5"/>
  <c r="BB534" i="5"/>
  <c r="BA534" i="5"/>
  <c r="AZ534" i="5"/>
  <c r="BP533" i="5"/>
  <c r="BO533" i="5"/>
  <c r="BC533" i="5" s="1"/>
  <c r="BN533" i="5"/>
  <c r="BM533" i="5"/>
  <c r="BL533" i="5"/>
  <c r="BK533" i="5"/>
  <c r="BJ533" i="5"/>
  <c r="BI533" i="5"/>
  <c r="BG533" i="5"/>
  <c r="BE533" i="5"/>
  <c r="BD533" i="5"/>
  <c r="BB533" i="5"/>
  <c r="BA533" i="5"/>
  <c r="AZ533" i="5"/>
  <c r="BP532" i="5"/>
  <c r="BO532" i="5"/>
  <c r="BC532" i="5" s="1"/>
  <c r="BN532" i="5"/>
  <c r="BM532" i="5"/>
  <c r="BL532" i="5"/>
  <c r="BK532" i="5"/>
  <c r="BJ532" i="5"/>
  <c r="BI532" i="5"/>
  <c r="BG532" i="5"/>
  <c r="BE532" i="5"/>
  <c r="BD532" i="5"/>
  <c r="BB532" i="5"/>
  <c r="BA532" i="5"/>
  <c r="AZ532" i="5"/>
  <c r="BP531" i="5"/>
  <c r="BO531" i="5"/>
  <c r="BC531" i="5" s="1"/>
  <c r="BN531" i="5"/>
  <c r="BM531" i="5"/>
  <c r="BL531" i="5"/>
  <c r="BK531" i="5"/>
  <c r="BJ531" i="5"/>
  <c r="BI531" i="5"/>
  <c r="BG531" i="5"/>
  <c r="BE531" i="5"/>
  <c r="BD531" i="5"/>
  <c r="BB531" i="5"/>
  <c r="BA531" i="5"/>
  <c r="AZ531" i="5"/>
  <c r="BP530" i="5"/>
  <c r="BO530" i="5"/>
  <c r="BC530" i="5" s="1"/>
  <c r="BN530" i="5"/>
  <c r="BM530" i="5"/>
  <c r="BL530" i="5"/>
  <c r="BK530" i="5"/>
  <c r="BJ530" i="5"/>
  <c r="BI530" i="5"/>
  <c r="BG530" i="5"/>
  <c r="BE530" i="5"/>
  <c r="BD530" i="5"/>
  <c r="BB530" i="5"/>
  <c r="BA530" i="5"/>
  <c r="AZ530" i="5"/>
  <c r="BP529" i="5"/>
  <c r="BO529" i="5"/>
  <c r="BC529" i="5" s="1"/>
  <c r="BN529" i="5"/>
  <c r="BM529" i="5"/>
  <c r="BL529" i="5"/>
  <c r="BK529" i="5"/>
  <c r="BJ529" i="5"/>
  <c r="BI529" i="5"/>
  <c r="BG529" i="5"/>
  <c r="BE529" i="5"/>
  <c r="BD529" i="5"/>
  <c r="BB529" i="5"/>
  <c r="BA529" i="5"/>
  <c r="AZ529" i="5"/>
  <c r="BP528" i="5"/>
  <c r="BO528" i="5"/>
  <c r="BC528" i="5" s="1"/>
  <c r="BN528" i="5"/>
  <c r="BM528" i="5"/>
  <c r="BL528" i="5"/>
  <c r="BK528" i="5"/>
  <c r="BJ528" i="5"/>
  <c r="BI528" i="5"/>
  <c r="BG528" i="5"/>
  <c r="BE528" i="5"/>
  <c r="BD528" i="5"/>
  <c r="BB528" i="5"/>
  <c r="BA528" i="5"/>
  <c r="AZ528" i="5"/>
  <c r="BP527" i="5"/>
  <c r="BO527" i="5"/>
  <c r="BC527" i="5" s="1"/>
  <c r="BN527" i="5"/>
  <c r="BM527" i="5"/>
  <c r="BL527" i="5"/>
  <c r="BK527" i="5"/>
  <c r="BJ527" i="5"/>
  <c r="BI527" i="5"/>
  <c r="BG527" i="5"/>
  <c r="BE527" i="5"/>
  <c r="BD527" i="5"/>
  <c r="BB527" i="5"/>
  <c r="BA527" i="5"/>
  <c r="AZ527" i="5"/>
  <c r="BP526" i="5"/>
  <c r="BO526" i="5"/>
  <c r="BC526" i="5" s="1"/>
  <c r="BN526" i="5"/>
  <c r="BM526" i="5"/>
  <c r="BL526" i="5"/>
  <c r="BK526" i="5"/>
  <c r="BJ526" i="5"/>
  <c r="BI526" i="5"/>
  <c r="BG526" i="5"/>
  <c r="BE526" i="5"/>
  <c r="BD526" i="5"/>
  <c r="BB526" i="5"/>
  <c r="BA526" i="5"/>
  <c r="AZ526" i="5"/>
  <c r="BP525" i="5"/>
  <c r="BO525" i="5"/>
  <c r="BC525" i="5" s="1"/>
  <c r="BN525" i="5"/>
  <c r="BM525" i="5"/>
  <c r="BL525" i="5"/>
  <c r="BK525" i="5"/>
  <c r="BJ525" i="5"/>
  <c r="BI525" i="5"/>
  <c r="BG525" i="5"/>
  <c r="BE525" i="5"/>
  <c r="BD525" i="5"/>
  <c r="BB525" i="5"/>
  <c r="BA525" i="5"/>
  <c r="AZ525" i="5"/>
  <c r="BP524" i="5"/>
  <c r="BO524" i="5"/>
  <c r="BC524" i="5" s="1"/>
  <c r="BN524" i="5"/>
  <c r="BM524" i="5"/>
  <c r="BL524" i="5"/>
  <c r="BK524" i="5"/>
  <c r="BJ524" i="5"/>
  <c r="BI524" i="5"/>
  <c r="BG524" i="5"/>
  <c r="BE524" i="5"/>
  <c r="BD524" i="5"/>
  <c r="BB524" i="5"/>
  <c r="BA524" i="5"/>
  <c r="AZ524" i="5"/>
  <c r="BP523" i="5"/>
  <c r="BO523" i="5"/>
  <c r="BC523" i="5" s="1"/>
  <c r="BN523" i="5"/>
  <c r="BM523" i="5"/>
  <c r="BL523" i="5"/>
  <c r="BK523" i="5"/>
  <c r="BJ523" i="5"/>
  <c r="BI523" i="5"/>
  <c r="BG523" i="5"/>
  <c r="BE523" i="5"/>
  <c r="BD523" i="5"/>
  <c r="BB523" i="5"/>
  <c r="BA523" i="5"/>
  <c r="AZ523" i="5"/>
  <c r="BP522" i="5"/>
  <c r="BO522" i="5"/>
  <c r="BC522" i="5" s="1"/>
  <c r="BN522" i="5"/>
  <c r="BM522" i="5"/>
  <c r="BL522" i="5"/>
  <c r="BK522" i="5"/>
  <c r="BJ522" i="5"/>
  <c r="BI522" i="5"/>
  <c r="BG522" i="5"/>
  <c r="BE522" i="5"/>
  <c r="BD522" i="5"/>
  <c r="BB522" i="5"/>
  <c r="BA522" i="5"/>
  <c r="AZ522" i="5"/>
  <c r="BP521" i="5"/>
  <c r="BO521" i="5"/>
  <c r="BC521" i="5" s="1"/>
  <c r="BN521" i="5"/>
  <c r="BM521" i="5"/>
  <c r="BL521" i="5"/>
  <c r="BK521" i="5"/>
  <c r="BJ521" i="5"/>
  <c r="BI521" i="5"/>
  <c r="BG521" i="5"/>
  <c r="BE521" i="5"/>
  <c r="BD521" i="5"/>
  <c r="BB521" i="5"/>
  <c r="BA521" i="5"/>
  <c r="AZ521" i="5"/>
  <c r="BP520" i="5"/>
  <c r="BO520" i="5"/>
  <c r="BC520" i="5" s="1"/>
  <c r="BN520" i="5"/>
  <c r="BM520" i="5"/>
  <c r="BL520" i="5"/>
  <c r="BK520" i="5"/>
  <c r="BJ520" i="5"/>
  <c r="BI520" i="5"/>
  <c r="BG520" i="5"/>
  <c r="BE520" i="5"/>
  <c r="BD520" i="5"/>
  <c r="BB520" i="5"/>
  <c r="BA520" i="5"/>
  <c r="AZ520" i="5"/>
  <c r="BP519" i="5"/>
  <c r="BO519" i="5"/>
  <c r="BC519" i="5" s="1"/>
  <c r="BN519" i="5"/>
  <c r="BM519" i="5"/>
  <c r="BL519" i="5"/>
  <c r="BK519" i="5"/>
  <c r="BJ519" i="5"/>
  <c r="BI519" i="5"/>
  <c r="BG519" i="5"/>
  <c r="BE519" i="5"/>
  <c r="BD519" i="5"/>
  <c r="BB519" i="5"/>
  <c r="BA519" i="5"/>
  <c r="AZ519" i="5"/>
  <c r="BP518" i="5"/>
  <c r="BO518" i="5"/>
  <c r="BC518" i="5" s="1"/>
  <c r="BN518" i="5"/>
  <c r="BM518" i="5"/>
  <c r="BL518" i="5"/>
  <c r="BK518" i="5"/>
  <c r="BJ518" i="5"/>
  <c r="BI518" i="5"/>
  <c r="BG518" i="5"/>
  <c r="BE518" i="5"/>
  <c r="BD518" i="5"/>
  <c r="BB518" i="5"/>
  <c r="BA518" i="5"/>
  <c r="AZ518" i="5"/>
  <c r="BP517" i="5"/>
  <c r="BO517" i="5"/>
  <c r="BC517" i="5" s="1"/>
  <c r="BN517" i="5"/>
  <c r="BM517" i="5"/>
  <c r="BL517" i="5"/>
  <c r="BK517" i="5"/>
  <c r="BJ517" i="5"/>
  <c r="BI517" i="5"/>
  <c r="BG517" i="5"/>
  <c r="BE517" i="5"/>
  <c r="BD517" i="5"/>
  <c r="BB517" i="5"/>
  <c r="BA517" i="5"/>
  <c r="AZ517" i="5"/>
  <c r="BP516" i="5"/>
  <c r="BO516" i="5"/>
  <c r="BC516" i="5" s="1"/>
  <c r="BN516" i="5"/>
  <c r="BM516" i="5"/>
  <c r="BL516" i="5"/>
  <c r="BK516" i="5"/>
  <c r="BJ516" i="5"/>
  <c r="BI516" i="5"/>
  <c r="BG516" i="5"/>
  <c r="BE516" i="5"/>
  <c r="BD516" i="5"/>
  <c r="BB516" i="5"/>
  <c r="BA516" i="5"/>
  <c r="AZ516" i="5"/>
  <c r="BP515" i="5"/>
  <c r="BO515" i="5"/>
  <c r="BC515" i="5" s="1"/>
  <c r="BN515" i="5"/>
  <c r="BM515" i="5"/>
  <c r="BL515" i="5"/>
  <c r="BK515" i="5"/>
  <c r="BJ515" i="5"/>
  <c r="BI515" i="5"/>
  <c r="BG515" i="5"/>
  <c r="BE515" i="5"/>
  <c r="BD515" i="5"/>
  <c r="BB515" i="5"/>
  <c r="BA515" i="5"/>
  <c r="AZ515" i="5"/>
  <c r="BP514" i="5"/>
  <c r="BO514" i="5"/>
  <c r="BC514" i="5" s="1"/>
  <c r="BN514" i="5"/>
  <c r="BM514" i="5"/>
  <c r="BL514" i="5"/>
  <c r="BK514" i="5"/>
  <c r="BJ514" i="5"/>
  <c r="BI514" i="5"/>
  <c r="BG514" i="5"/>
  <c r="BE514" i="5"/>
  <c r="BD514" i="5"/>
  <c r="BB514" i="5"/>
  <c r="BA514" i="5"/>
  <c r="AZ514" i="5"/>
  <c r="BP513" i="5"/>
  <c r="BO513" i="5"/>
  <c r="BC513" i="5" s="1"/>
  <c r="BN513" i="5"/>
  <c r="BM513" i="5"/>
  <c r="BL513" i="5"/>
  <c r="BK513" i="5"/>
  <c r="BJ513" i="5"/>
  <c r="BI513" i="5"/>
  <c r="BG513" i="5"/>
  <c r="BE513" i="5"/>
  <c r="BD513" i="5"/>
  <c r="BB513" i="5"/>
  <c r="BA513" i="5"/>
  <c r="AZ513" i="5"/>
  <c r="BP512" i="5"/>
  <c r="BO512" i="5"/>
  <c r="BC512" i="5" s="1"/>
  <c r="BN512" i="5"/>
  <c r="BM512" i="5"/>
  <c r="BL512" i="5"/>
  <c r="BK512" i="5"/>
  <c r="BJ512" i="5"/>
  <c r="BI512" i="5"/>
  <c r="BG512" i="5"/>
  <c r="BE512" i="5"/>
  <c r="BD512" i="5"/>
  <c r="BB512" i="5"/>
  <c r="BA512" i="5"/>
  <c r="AZ512" i="5"/>
  <c r="BP511" i="5"/>
  <c r="BO511" i="5"/>
  <c r="BC511" i="5" s="1"/>
  <c r="BN511" i="5"/>
  <c r="BM511" i="5"/>
  <c r="BL511" i="5"/>
  <c r="BK511" i="5"/>
  <c r="BJ511" i="5"/>
  <c r="BI511" i="5"/>
  <c r="BG511" i="5"/>
  <c r="BE511" i="5"/>
  <c r="BD511" i="5"/>
  <c r="BB511" i="5"/>
  <c r="BA511" i="5"/>
  <c r="AZ511" i="5"/>
  <c r="BP510" i="5"/>
  <c r="BO510" i="5"/>
  <c r="BC510" i="5" s="1"/>
  <c r="BN510" i="5"/>
  <c r="BM510" i="5"/>
  <c r="BL510" i="5"/>
  <c r="BK510" i="5"/>
  <c r="BJ510" i="5"/>
  <c r="BI510" i="5"/>
  <c r="BG510" i="5"/>
  <c r="BE510" i="5"/>
  <c r="BD510" i="5"/>
  <c r="BB510" i="5"/>
  <c r="BA510" i="5"/>
  <c r="AZ510" i="5"/>
  <c r="BP509" i="5"/>
  <c r="BO509" i="5"/>
  <c r="BC509" i="5" s="1"/>
  <c r="BN509" i="5"/>
  <c r="BM509" i="5"/>
  <c r="BL509" i="5"/>
  <c r="BK509" i="5"/>
  <c r="BJ509" i="5"/>
  <c r="BI509" i="5"/>
  <c r="BG509" i="5"/>
  <c r="BE509" i="5"/>
  <c r="BD509" i="5"/>
  <c r="BB509" i="5"/>
  <c r="BA509" i="5"/>
  <c r="AZ509" i="5"/>
  <c r="BP508" i="5"/>
  <c r="BO508" i="5"/>
  <c r="BC508" i="5" s="1"/>
  <c r="BN508" i="5"/>
  <c r="BM508" i="5"/>
  <c r="BL508" i="5"/>
  <c r="BK508" i="5"/>
  <c r="BJ508" i="5"/>
  <c r="BI508" i="5"/>
  <c r="BG508" i="5"/>
  <c r="BE508" i="5"/>
  <c r="BD508" i="5"/>
  <c r="BB508" i="5"/>
  <c r="BA508" i="5"/>
  <c r="AZ508" i="5"/>
  <c r="BP507" i="5"/>
  <c r="BO507" i="5"/>
  <c r="BC507" i="5" s="1"/>
  <c r="BN507" i="5"/>
  <c r="BM507" i="5"/>
  <c r="BL507" i="5"/>
  <c r="BK507" i="5"/>
  <c r="BJ507" i="5"/>
  <c r="BI507" i="5"/>
  <c r="BG507" i="5"/>
  <c r="BE507" i="5"/>
  <c r="BD507" i="5"/>
  <c r="BB507" i="5"/>
  <c r="BA507" i="5"/>
  <c r="AZ507" i="5"/>
  <c r="BP506" i="5"/>
  <c r="BO506" i="5"/>
  <c r="BC506" i="5" s="1"/>
  <c r="BN506" i="5"/>
  <c r="BM506" i="5"/>
  <c r="BL506" i="5"/>
  <c r="BK506" i="5"/>
  <c r="BJ506" i="5"/>
  <c r="BI506" i="5"/>
  <c r="BG506" i="5"/>
  <c r="BE506" i="5"/>
  <c r="BD506" i="5"/>
  <c r="BB506" i="5"/>
  <c r="BA506" i="5"/>
  <c r="AZ506" i="5"/>
  <c r="BP505" i="5"/>
  <c r="BO505" i="5"/>
  <c r="BC505" i="5" s="1"/>
  <c r="BN505" i="5"/>
  <c r="BM505" i="5"/>
  <c r="BL505" i="5"/>
  <c r="BK505" i="5"/>
  <c r="BJ505" i="5"/>
  <c r="BI505" i="5"/>
  <c r="BG505" i="5"/>
  <c r="BE505" i="5"/>
  <c r="BD505" i="5"/>
  <c r="BB505" i="5"/>
  <c r="BA505" i="5"/>
  <c r="AZ505" i="5"/>
  <c r="BP504" i="5"/>
  <c r="BO504" i="5"/>
  <c r="BC504" i="5" s="1"/>
  <c r="BN504" i="5"/>
  <c r="BM504" i="5"/>
  <c r="BL504" i="5"/>
  <c r="BK504" i="5"/>
  <c r="BJ504" i="5"/>
  <c r="BI504" i="5"/>
  <c r="BG504" i="5"/>
  <c r="BE504" i="5"/>
  <c r="BD504" i="5"/>
  <c r="BB504" i="5"/>
  <c r="BA504" i="5"/>
  <c r="AZ504" i="5"/>
  <c r="BP503" i="5"/>
  <c r="BO503" i="5"/>
  <c r="BC503" i="5" s="1"/>
  <c r="BN503" i="5"/>
  <c r="BM503" i="5"/>
  <c r="BL503" i="5"/>
  <c r="BK503" i="5"/>
  <c r="BJ503" i="5"/>
  <c r="BI503" i="5"/>
  <c r="BG503" i="5"/>
  <c r="BE503" i="5"/>
  <c r="BD503" i="5"/>
  <c r="BB503" i="5"/>
  <c r="BA503" i="5"/>
  <c r="AZ503" i="5"/>
  <c r="BP502" i="5"/>
  <c r="BO502" i="5"/>
  <c r="BC502" i="5" s="1"/>
  <c r="BN502" i="5"/>
  <c r="BM502" i="5"/>
  <c r="BL502" i="5"/>
  <c r="BK502" i="5"/>
  <c r="BJ502" i="5"/>
  <c r="BI502" i="5"/>
  <c r="BG502" i="5"/>
  <c r="BE502" i="5"/>
  <c r="BD502" i="5"/>
  <c r="BB502" i="5"/>
  <c r="BA502" i="5"/>
  <c r="AZ502" i="5"/>
  <c r="BP501" i="5"/>
  <c r="BO501" i="5"/>
  <c r="BC501" i="5" s="1"/>
  <c r="BN501" i="5"/>
  <c r="BM501" i="5"/>
  <c r="BL501" i="5"/>
  <c r="BK501" i="5"/>
  <c r="BJ501" i="5"/>
  <c r="BI501" i="5"/>
  <c r="BG501" i="5"/>
  <c r="BE501" i="5"/>
  <c r="BD501" i="5"/>
  <c r="BB501" i="5"/>
  <c r="BA501" i="5"/>
  <c r="AZ501" i="5"/>
  <c r="BP500" i="5"/>
  <c r="BO500" i="5"/>
  <c r="BC500" i="5" s="1"/>
  <c r="BN500" i="5"/>
  <c r="BM500" i="5"/>
  <c r="BL500" i="5"/>
  <c r="BK500" i="5"/>
  <c r="BJ500" i="5"/>
  <c r="BI500" i="5"/>
  <c r="BG500" i="5"/>
  <c r="BE500" i="5"/>
  <c r="BD500" i="5"/>
  <c r="BB500" i="5"/>
  <c r="BA500" i="5"/>
  <c r="AZ500" i="5"/>
  <c r="BP499" i="5"/>
  <c r="BO499" i="5"/>
  <c r="BC499" i="5" s="1"/>
  <c r="BN499" i="5"/>
  <c r="BM499" i="5"/>
  <c r="BL499" i="5"/>
  <c r="BK499" i="5"/>
  <c r="BJ499" i="5"/>
  <c r="BI499" i="5"/>
  <c r="BG499" i="5"/>
  <c r="BE499" i="5"/>
  <c r="BD499" i="5"/>
  <c r="BB499" i="5"/>
  <c r="BA499" i="5"/>
  <c r="AZ499" i="5"/>
  <c r="BP498" i="5"/>
  <c r="BO498" i="5"/>
  <c r="BC498" i="5" s="1"/>
  <c r="BN498" i="5"/>
  <c r="BM498" i="5"/>
  <c r="BL498" i="5"/>
  <c r="BK498" i="5"/>
  <c r="BJ498" i="5"/>
  <c r="BI498" i="5"/>
  <c r="BG498" i="5"/>
  <c r="BE498" i="5"/>
  <c r="BD498" i="5"/>
  <c r="BB498" i="5"/>
  <c r="BA498" i="5"/>
  <c r="AZ498" i="5"/>
  <c r="BP497" i="5"/>
  <c r="BO497" i="5"/>
  <c r="BC497" i="5" s="1"/>
  <c r="BN497" i="5"/>
  <c r="BM497" i="5"/>
  <c r="BL497" i="5"/>
  <c r="BK497" i="5"/>
  <c r="BJ497" i="5"/>
  <c r="BI497" i="5"/>
  <c r="BG497" i="5"/>
  <c r="BE497" i="5"/>
  <c r="BD497" i="5"/>
  <c r="BB497" i="5"/>
  <c r="BA497" i="5"/>
  <c r="AZ497" i="5"/>
  <c r="BP496" i="5"/>
  <c r="BO496" i="5"/>
  <c r="BC496" i="5" s="1"/>
  <c r="BN496" i="5"/>
  <c r="BM496" i="5"/>
  <c r="BL496" i="5"/>
  <c r="BK496" i="5"/>
  <c r="BJ496" i="5"/>
  <c r="BI496" i="5"/>
  <c r="BG496" i="5"/>
  <c r="BE496" i="5"/>
  <c r="BD496" i="5"/>
  <c r="BB496" i="5"/>
  <c r="BA496" i="5"/>
  <c r="AZ496" i="5"/>
  <c r="BP495" i="5"/>
  <c r="BO495" i="5"/>
  <c r="BC495" i="5" s="1"/>
  <c r="BN495" i="5"/>
  <c r="BM495" i="5"/>
  <c r="BL495" i="5"/>
  <c r="BK495" i="5"/>
  <c r="BJ495" i="5"/>
  <c r="BI495" i="5"/>
  <c r="BG495" i="5"/>
  <c r="BE495" i="5"/>
  <c r="BD495" i="5"/>
  <c r="BB495" i="5"/>
  <c r="BA495" i="5"/>
  <c r="AZ495" i="5"/>
  <c r="BP494" i="5"/>
  <c r="BO494" i="5"/>
  <c r="BC494" i="5" s="1"/>
  <c r="BN494" i="5"/>
  <c r="BM494" i="5"/>
  <c r="BL494" i="5"/>
  <c r="BK494" i="5"/>
  <c r="BJ494" i="5"/>
  <c r="BI494" i="5"/>
  <c r="BG494" i="5"/>
  <c r="BE494" i="5"/>
  <c r="BD494" i="5"/>
  <c r="BB494" i="5"/>
  <c r="BA494" i="5"/>
  <c r="AZ494" i="5"/>
  <c r="BP493" i="5"/>
  <c r="BO493" i="5"/>
  <c r="BC493" i="5" s="1"/>
  <c r="BN493" i="5"/>
  <c r="BM493" i="5"/>
  <c r="BL493" i="5"/>
  <c r="BK493" i="5"/>
  <c r="BJ493" i="5"/>
  <c r="BI493" i="5"/>
  <c r="BG493" i="5"/>
  <c r="BE493" i="5"/>
  <c r="BD493" i="5"/>
  <c r="BB493" i="5"/>
  <c r="BA493" i="5"/>
  <c r="AZ493" i="5"/>
  <c r="BP492" i="5"/>
  <c r="BO492" i="5"/>
  <c r="BC492" i="5" s="1"/>
  <c r="BN492" i="5"/>
  <c r="BM492" i="5"/>
  <c r="BL492" i="5"/>
  <c r="BK492" i="5"/>
  <c r="BJ492" i="5"/>
  <c r="BI492" i="5"/>
  <c r="BG492" i="5"/>
  <c r="BE492" i="5"/>
  <c r="BD492" i="5"/>
  <c r="BB492" i="5"/>
  <c r="BA492" i="5"/>
  <c r="AZ492" i="5"/>
  <c r="BP491" i="5"/>
  <c r="BO491" i="5"/>
  <c r="BC491" i="5" s="1"/>
  <c r="BN491" i="5"/>
  <c r="BM491" i="5"/>
  <c r="BL491" i="5"/>
  <c r="BK491" i="5"/>
  <c r="BJ491" i="5"/>
  <c r="BI491" i="5"/>
  <c r="BG491" i="5"/>
  <c r="BE491" i="5"/>
  <c r="BD491" i="5"/>
  <c r="BB491" i="5"/>
  <c r="BA491" i="5"/>
  <c r="AZ491" i="5"/>
  <c r="BP490" i="5"/>
  <c r="BO490" i="5"/>
  <c r="BC490" i="5" s="1"/>
  <c r="BN490" i="5"/>
  <c r="BM490" i="5"/>
  <c r="BL490" i="5"/>
  <c r="BK490" i="5"/>
  <c r="BJ490" i="5"/>
  <c r="BI490" i="5"/>
  <c r="BG490" i="5"/>
  <c r="BE490" i="5"/>
  <c r="BD490" i="5"/>
  <c r="BB490" i="5"/>
  <c r="BA490" i="5"/>
  <c r="AZ490" i="5"/>
  <c r="BP489" i="5"/>
  <c r="BO489" i="5"/>
  <c r="BC489" i="5" s="1"/>
  <c r="BN489" i="5"/>
  <c r="BM489" i="5"/>
  <c r="BL489" i="5"/>
  <c r="BK489" i="5"/>
  <c r="BJ489" i="5"/>
  <c r="BI489" i="5"/>
  <c r="BG489" i="5"/>
  <c r="BE489" i="5"/>
  <c r="BD489" i="5"/>
  <c r="BB489" i="5"/>
  <c r="BA489" i="5"/>
  <c r="AZ489" i="5"/>
  <c r="BP488" i="5"/>
  <c r="BO488" i="5"/>
  <c r="BC488" i="5" s="1"/>
  <c r="BN488" i="5"/>
  <c r="BM488" i="5"/>
  <c r="BL488" i="5"/>
  <c r="BK488" i="5"/>
  <c r="BJ488" i="5"/>
  <c r="BI488" i="5"/>
  <c r="BG488" i="5"/>
  <c r="BE488" i="5"/>
  <c r="BD488" i="5"/>
  <c r="BB488" i="5"/>
  <c r="BA488" i="5"/>
  <c r="AZ488" i="5"/>
  <c r="BP487" i="5"/>
  <c r="BO487" i="5"/>
  <c r="BC487" i="5" s="1"/>
  <c r="BN487" i="5"/>
  <c r="BM487" i="5"/>
  <c r="BL487" i="5"/>
  <c r="BK487" i="5"/>
  <c r="BJ487" i="5"/>
  <c r="BI487" i="5"/>
  <c r="BG487" i="5"/>
  <c r="BE487" i="5"/>
  <c r="BD487" i="5"/>
  <c r="BB487" i="5"/>
  <c r="BA487" i="5"/>
  <c r="AZ487" i="5"/>
  <c r="BP486" i="5"/>
  <c r="BO486" i="5"/>
  <c r="BC486" i="5" s="1"/>
  <c r="BN486" i="5"/>
  <c r="BM486" i="5"/>
  <c r="BL486" i="5"/>
  <c r="BK486" i="5"/>
  <c r="BJ486" i="5"/>
  <c r="BI486" i="5"/>
  <c r="BG486" i="5"/>
  <c r="BE486" i="5"/>
  <c r="BD486" i="5"/>
  <c r="BB486" i="5"/>
  <c r="BA486" i="5"/>
  <c r="AZ486" i="5"/>
  <c r="BP485" i="5"/>
  <c r="BO485" i="5"/>
  <c r="BC485" i="5" s="1"/>
  <c r="BN485" i="5"/>
  <c r="BM485" i="5"/>
  <c r="BL485" i="5"/>
  <c r="BK485" i="5"/>
  <c r="BJ485" i="5"/>
  <c r="BI485" i="5"/>
  <c r="BG485" i="5"/>
  <c r="BE485" i="5"/>
  <c r="BD485" i="5"/>
  <c r="BB485" i="5"/>
  <c r="BA485" i="5"/>
  <c r="AZ485" i="5"/>
  <c r="BP484" i="5"/>
  <c r="BO484" i="5"/>
  <c r="BC484" i="5" s="1"/>
  <c r="BN484" i="5"/>
  <c r="BM484" i="5"/>
  <c r="BL484" i="5"/>
  <c r="BK484" i="5"/>
  <c r="BJ484" i="5"/>
  <c r="BI484" i="5"/>
  <c r="BG484" i="5"/>
  <c r="BE484" i="5"/>
  <c r="BD484" i="5"/>
  <c r="BB484" i="5"/>
  <c r="BA484" i="5"/>
  <c r="AZ484" i="5"/>
  <c r="BP483" i="5"/>
  <c r="BO483" i="5"/>
  <c r="BC483" i="5" s="1"/>
  <c r="BN483" i="5"/>
  <c r="BM483" i="5"/>
  <c r="BL483" i="5"/>
  <c r="BK483" i="5"/>
  <c r="BJ483" i="5"/>
  <c r="BI483" i="5"/>
  <c r="BG483" i="5"/>
  <c r="BE483" i="5"/>
  <c r="BD483" i="5"/>
  <c r="BB483" i="5"/>
  <c r="BA483" i="5"/>
  <c r="AZ483" i="5"/>
  <c r="BP482" i="5"/>
  <c r="BO482" i="5"/>
  <c r="BC482" i="5" s="1"/>
  <c r="BN482" i="5"/>
  <c r="BM482" i="5"/>
  <c r="BL482" i="5"/>
  <c r="BK482" i="5"/>
  <c r="BJ482" i="5"/>
  <c r="BI482" i="5"/>
  <c r="BG482" i="5"/>
  <c r="BE482" i="5"/>
  <c r="BD482" i="5"/>
  <c r="BB482" i="5"/>
  <c r="BA482" i="5"/>
  <c r="AZ482" i="5"/>
  <c r="BP481" i="5"/>
  <c r="BO481" i="5"/>
  <c r="BC481" i="5" s="1"/>
  <c r="BN481" i="5"/>
  <c r="BM481" i="5"/>
  <c r="BL481" i="5"/>
  <c r="BK481" i="5"/>
  <c r="BJ481" i="5"/>
  <c r="BI481" i="5"/>
  <c r="BG481" i="5"/>
  <c r="BE481" i="5"/>
  <c r="BD481" i="5"/>
  <c r="BB481" i="5"/>
  <c r="BA481" i="5"/>
  <c r="AZ481" i="5"/>
  <c r="BP480" i="5"/>
  <c r="BO480" i="5"/>
  <c r="BC480" i="5" s="1"/>
  <c r="BN480" i="5"/>
  <c r="BM480" i="5"/>
  <c r="BL480" i="5"/>
  <c r="BK480" i="5"/>
  <c r="BJ480" i="5"/>
  <c r="BI480" i="5"/>
  <c r="BG480" i="5"/>
  <c r="BE480" i="5"/>
  <c r="BD480" i="5"/>
  <c r="BB480" i="5"/>
  <c r="BA480" i="5"/>
  <c r="AZ480" i="5"/>
  <c r="BP479" i="5"/>
  <c r="BO479" i="5"/>
  <c r="BC479" i="5" s="1"/>
  <c r="BN479" i="5"/>
  <c r="BM479" i="5"/>
  <c r="BL479" i="5"/>
  <c r="BK479" i="5"/>
  <c r="BJ479" i="5"/>
  <c r="BI479" i="5"/>
  <c r="BG479" i="5"/>
  <c r="BE479" i="5"/>
  <c r="BD479" i="5"/>
  <c r="BB479" i="5"/>
  <c r="BA479" i="5"/>
  <c r="AZ479" i="5"/>
  <c r="BP478" i="5"/>
  <c r="BO478" i="5"/>
  <c r="BC478" i="5" s="1"/>
  <c r="BN478" i="5"/>
  <c r="BM478" i="5"/>
  <c r="BL478" i="5"/>
  <c r="BK478" i="5"/>
  <c r="BJ478" i="5"/>
  <c r="BI478" i="5"/>
  <c r="BG478" i="5"/>
  <c r="BE478" i="5"/>
  <c r="BD478" i="5"/>
  <c r="BB478" i="5"/>
  <c r="BA478" i="5"/>
  <c r="AZ478" i="5"/>
  <c r="BP477" i="5"/>
  <c r="BO477" i="5"/>
  <c r="BC477" i="5" s="1"/>
  <c r="BN477" i="5"/>
  <c r="BM477" i="5"/>
  <c r="BL477" i="5"/>
  <c r="BK477" i="5"/>
  <c r="BJ477" i="5"/>
  <c r="BI477" i="5"/>
  <c r="BG477" i="5"/>
  <c r="BE477" i="5"/>
  <c r="BD477" i="5"/>
  <c r="BB477" i="5"/>
  <c r="BA477" i="5"/>
  <c r="AZ477" i="5"/>
  <c r="BP476" i="5"/>
  <c r="BO476" i="5"/>
  <c r="BC476" i="5" s="1"/>
  <c r="BN476" i="5"/>
  <c r="BM476" i="5"/>
  <c r="BL476" i="5"/>
  <c r="BK476" i="5"/>
  <c r="BJ476" i="5"/>
  <c r="BI476" i="5"/>
  <c r="BG476" i="5"/>
  <c r="BE476" i="5"/>
  <c r="BD476" i="5"/>
  <c r="BB476" i="5"/>
  <c r="BA476" i="5"/>
  <c r="AZ476" i="5"/>
  <c r="BP475" i="5"/>
  <c r="BO475" i="5"/>
  <c r="BC475" i="5" s="1"/>
  <c r="BN475" i="5"/>
  <c r="BM475" i="5"/>
  <c r="BL475" i="5"/>
  <c r="BK475" i="5"/>
  <c r="BJ475" i="5"/>
  <c r="BI475" i="5"/>
  <c r="BG475" i="5"/>
  <c r="BE475" i="5"/>
  <c r="BD475" i="5"/>
  <c r="BB475" i="5"/>
  <c r="BA475" i="5"/>
  <c r="AZ475" i="5"/>
  <c r="BP474" i="5"/>
  <c r="BO474" i="5"/>
  <c r="BC474" i="5" s="1"/>
  <c r="BN474" i="5"/>
  <c r="BM474" i="5"/>
  <c r="BL474" i="5"/>
  <c r="BK474" i="5"/>
  <c r="BJ474" i="5"/>
  <c r="BI474" i="5"/>
  <c r="BG474" i="5"/>
  <c r="BE474" i="5"/>
  <c r="BD474" i="5"/>
  <c r="BB474" i="5"/>
  <c r="BA474" i="5"/>
  <c r="AZ474" i="5"/>
  <c r="BP473" i="5"/>
  <c r="BO473" i="5"/>
  <c r="BC473" i="5" s="1"/>
  <c r="BN473" i="5"/>
  <c r="BM473" i="5"/>
  <c r="BL473" i="5"/>
  <c r="BK473" i="5"/>
  <c r="BJ473" i="5"/>
  <c r="BI473" i="5"/>
  <c r="BG473" i="5"/>
  <c r="BE473" i="5"/>
  <c r="BD473" i="5"/>
  <c r="BB473" i="5"/>
  <c r="BA473" i="5"/>
  <c r="AZ473" i="5"/>
  <c r="BP472" i="5"/>
  <c r="BO472" i="5"/>
  <c r="BC472" i="5" s="1"/>
  <c r="BN472" i="5"/>
  <c r="BM472" i="5"/>
  <c r="BL472" i="5"/>
  <c r="BK472" i="5"/>
  <c r="BJ472" i="5"/>
  <c r="BI472" i="5"/>
  <c r="BG472" i="5"/>
  <c r="BE472" i="5"/>
  <c r="BD472" i="5"/>
  <c r="BB472" i="5"/>
  <c r="BA472" i="5"/>
  <c r="AZ472" i="5"/>
  <c r="BP471" i="5"/>
  <c r="BO471" i="5"/>
  <c r="BC471" i="5" s="1"/>
  <c r="BN471" i="5"/>
  <c r="BM471" i="5"/>
  <c r="BL471" i="5"/>
  <c r="BK471" i="5"/>
  <c r="BJ471" i="5"/>
  <c r="BI471" i="5"/>
  <c r="BG471" i="5"/>
  <c r="BE471" i="5"/>
  <c r="BD471" i="5"/>
  <c r="BB471" i="5"/>
  <c r="BA471" i="5"/>
  <c r="AZ471" i="5"/>
  <c r="BP470" i="5"/>
  <c r="BO470" i="5"/>
  <c r="BC470" i="5" s="1"/>
  <c r="BN470" i="5"/>
  <c r="BM470" i="5"/>
  <c r="BL470" i="5"/>
  <c r="BK470" i="5"/>
  <c r="BJ470" i="5"/>
  <c r="BI470" i="5"/>
  <c r="BG470" i="5"/>
  <c r="BE470" i="5"/>
  <c r="BD470" i="5"/>
  <c r="BB470" i="5"/>
  <c r="BA470" i="5"/>
  <c r="AZ470" i="5"/>
  <c r="BP469" i="5"/>
  <c r="BO469" i="5"/>
  <c r="BC469" i="5" s="1"/>
  <c r="BN469" i="5"/>
  <c r="BM469" i="5"/>
  <c r="BL469" i="5"/>
  <c r="BK469" i="5"/>
  <c r="BJ469" i="5"/>
  <c r="BI469" i="5"/>
  <c r="BG469" i="5"/>
  <c r="BE469" i="5"/>
  <c r="BD469" i="5"/>
  <c r="BB469" i="5"/>
  <c r="BA469" i="5"/>
  <c r="AZ469" i="5"/>
  <c r="BP468" i="5"/>
  <c r="BO468" i="5"/>
  <c r="BC468" i="5" s="1"/>
  <c r="BN468" i="5"/>
  <c r="BM468" i="5"/>
  <c r="BL468" i="5"/>
  <c r="BK468" i="5"/>
  <c r="BJ468" i="5"/>
  <c r="BI468" i="5"/>
  <c r="BG468" i="5"/>
  <c r="BE468" i="5"/>
  <c r="BD468" i="5"/>
  <c r="BB468" i="5"/>
  <c r="BA468" i="5"/>
  <c r="AZ468" i="5"/>
  <c r="BP467" i="5"/>
  <c r="BO467" i="5"/>
  <c r="BC467" i="5" s="1"/>
  <c r="BN467" i="5"/>
  <c r="BM467" i="5"/>
  <c r="BL467" i="5"/>
  <c r="BK467" i="5"/>
  <c r="BJ467" i="5"/>
  <c r="BI467" i="5"/>
  <c r="BG467" i="5"/>
  <c r="BE467" i="5"/>
  <c r="BD467" i="5"/>
  <c r="BB467" i="5"/>
  <c r="BA467" i="5"/>
  <c r="AZ467" i="5"/>
  <c r="BP466" i="5"/>
  <c r="BO466" i="5"/>
  <c r="BC466" i="5" s="1"/>
  <c r="BN466" i="5"/>
  <c r="BM466" i="5"/>
  <c r="BL466" i="5"/>
  <c r="BK466" i="5"/>
  <c r="BJ466" i="5"/>
  <c r="BI466" i="5"/>
  <c r="BG466" i="5"/>
  <c r="BE466" i="5"/>
  <c r="BD466" i="5"/>
  <c r="BB466" i="5"/>
  <c r="BA466" i="5"/>
  <c r="AZ466" i="5"/>
  <c r="BP465" i="5"/>
  <c r="BO465" i="5"/>
  <c r="BC465" i="5" s="1"/>
  <c r="BN465" i="5"/>
  <c r="BM465" i="5"/>
  <c r="BL465" i="5"/>
  <c r="BK465" i="5"/>
  <c r="BJ465" i="5"/>
  <c r="BI465" i="5"/>
  <c r="BG465" i="5"/>
  <c r="BE465" i="5"/>
  <c r="BD465" i="5"/>
  <c r="BB465" i="5"/>
  <c r="BA465" i="5"/>
  <c r="AZ465" i="5"/>
  <c r="BP464" i="5"/>
  <c r="BO464" i="5"/>
  <c r="BC464" i="5" s="1"/>
  <c r="BN464" i="5"/>
  <c r="BM464" i="5"/>
  <c r="BL464" i="5"/>
  <c r="BK464" i="5"/>
  <c r="BJ464" i="5"/>
  <c r="BI464" i="5"/>
  <c r="BG464" i="5"/>
  <c r="BE464" i="5"/>
  <c r="BD464" i="5"/>
  <c r="BB464" i="5"/>
  <c r="BA464" i="5"/>
  <c r="AZ464" i="5"/>
  <c r="BP463" i="5"/>
  <c r="BO463" i="5"/>
  <c r="BC463" i="5" s="1"/>
  <c r="BN463" i="5"/>
  <c r="BM463" i="5"/>
  <c r="BL463" i="5"/>
  <c r="BK463" i="5"/>
  <c r="BJ463" i="5"/>
  <c r="BI463" i="5"/>
  <c r="BG463" i="5"/>
  <c r="BE463" i="5"/>
  <c r="BD463" i="5"/>
  <c r="BB463" i="5"/>
  <c r="BA463" i="5"/>
  <c r="AZ463" i="5"/>
  <c r="BP462" i="5"/>
  <c r="BO462" i="5"/>
  <c r="BC462" i="5" s="1"/>
  <c r="BN462" i="5"/>
  <c r="BM462" i="5"/>
  <c r="BL462" i="5"/>
  <c r="BK462" i="5"/>
  <c r="BJ462" i="5"/>
  <c r="BI462" i="5"/>
  <c r="BG462" i="5"/>
  <c r="BE462" i="5"/>
  <c r="BD462" i="5"/>
  <c r="BB462" i="5"/>
  <c r="BA462" i="5"/>
  <c r="AZ462" i="5"/>
  <c r="BP461" i="5"/>
  <c r="BO461" i="5"/>
  <c r="BC461" i="5" s="1"/>
  <c r="BN461" i="5"/>
  <c r="BM461" i="5"/>
  <c r="BL461" i="5"/>
  <c r="BK461" i="5"/>
  <c r="BJ461" i="5"/>
  <c r="BI461" i="5"/>
  <c r="BG461" i="5"/>
  <c r="BE461" i="5"/>
  <c r="BD461" i="5"/>
  <c r="BB461" i="5"/>
  <c r="BA461" i="5"/>
  <c r="AZ461" i="5"/>
  <c r="BP460" i="5"/>
  <c r="BO460" i="5"/>
  <c r="BC460" i="5" s="1"/>
  <c r="BN460" i="5"/>
  <c r="BM460" i="5"/>
  <c r="BL460" i="5"/>
  <c r="BK460" i="5"/>
  <c r="BJ460" i="5"/>
  <c r="BI460" i="5"/>
  <c r="BG460" i="5"/>
  <c r="BE460" i="5"/>
  <c r="BD460" i="5"/>
  <c r="BB460" i="5"/>
  <c r="BA460" i="5"/>
  <c r="AZ460" i="5"/>
  <c r="BP459" i="5"/>
  <c r="BO459" i="5"/>
  <c r="BC459" i="5" s="1"/>
  <c r="BN459" i="5"/>
  <c r="BM459" i="5"/>
  <c r="BL459" i="5"/>
  <c r="BK459" i="5"/>
  <c r="BJ459" i="5"/>
  <c r="BI459" i="5"/>
  <c r="BG459" i="5"/>
  <c r="BE459" i="5"/>
  <c r="BD459" i="5"/>
  <c r="BB459" i="5"/>
  <c r="BA459" i="5"/>
  <c r="AZ459" i="5"/>
  <c r="BP458" i="5"/>
  <c r="BO458" i="5"/>
  <c r="BC458" i="5" s="1"/>
  <c r="BN458" i="5"/>
  <c r="BM458" i="5"/>
  <c r="BL458" i="5"/>
  <c r="BK458" i="5"/>
  <c r="BJ458" i="5"/>
  <c r="BI458" i="5"/>
  <c r="BG458" i="5"/>
  <c r="BE458" i="5"/>
  <c r="BD458" i="5"/>
  <c r="BB458" i="5"/>
  <c r="BA458" i="5"/>
  <c r="AZ458" i="5"/>
  <c r="BP457" i="5"/>
  <c r="BO457" i="5"/>
  <c r="BC457" i="5" s="1"/>
  <c r="BN457" i="5"/>
  <c r="BM457" i="5"/>
  <c r="BL457" i="5"/>
  <c r="BK457" i="5"/>
  <c r="BJ457" i="5"/>
  <c r="BI457" i="5"/>
  <c r="BG457" i="5"/>
  <c r="BE457" i="5"/>
  <c r="BD457" i="5"/>
  <c r="BB457" i="5"/>
  <c r="BA457" i="5"/>
  <c r="AZ457" i="5"/>
  <c r="BP456" i="5"/>
  <c r="BO456" i="5"/>
  <c r="BC456" i="5" s="1"/>
  <c r="BN456" i="5"/>
  <c r="BM456" i="5"/>
  <c r="BL456" i="5"/>
  <c r="BK456" i="5"/>
  <c r="BJ456" i="5"/>
  <c r="BI456" i="5"/>
  <c r="BG456" i="5"/>
  <c r="BE456" i="5"/>
  <c r="BD456" i="5"/>
  <c r="BB456" i="5"/>
  <c r="BA456" i="5"/>
  <c r="AZ456" i="5"/>
  <c r="BP455" i="5"/>
  <c r="BO455" i="5"/>
  <c r="BC455" i="5" s="1"/>
  <c r="BN455" i="5"/>
  <c r="BM455" i="5"/>
  <c r="BL455" i="5"/>
  <c r="BK455" i="5"/>
  <c r="BJ455" i="5"/>
  <c r="BI455" i="5"/>
  <c r="BG455" i="5"/>
  <c r="BE455" i="5"/>
  <c r="BD455" i="5"/>
  <c r="BB455" i="5"/>
  <c r="BA455" i="5"/>
  <c r="AZ455" i="5"/>
  <c r="BP454" i="5"/>
  <c r="BO454" i="5"/>
  <c r="BC454" i="5" s="1"/>
  <c r="BN454" i="5"/>
  <c r="BM454" i="5"/>
  <c r="BL454" i="5"/>
  <c r="BK454" i="5"/>
  <c r="BJ454" i="5"/>
  <c r="BI454" i="5"/>
  <c r="BG454" i="5"/>
  <c r="BE454" i="5"/>
  <c r="BD454" i="5"/>
  <c r="BB454" i="5"/>
  <c r="BA454" i="5"/>
  <c r="AZ454" i="5"/>
  <c r="BP453" i="5"/>
  <c r="BO453" i="5"/>
  <c r="BC453" i="5" s="1"/>
  <c r="BN453" i="5"/>
  <c r="BM453" i="5"/>
  <c r="BL453" i="5"/>
  <c r="BK453" i="5"/>
  <c r="BJ453" i="5"/>
  <c r="BI453" i="5"/>
  <c r="BG453" i="5"/>
  <c r="BE453" i="5"/>
  <c r="BD453" i="5"/>
  <c r="BB453" i="5"/>
  <c r="BA453" i="5"/>
  <c r="AZ453" i="5"/>
  <c r="BP452" i="5"/>
  <c r="BO452" i="5"/>
  <c r="BC452" i="5" s="1"/>
  <c r="BN452" i="5"/>
  <c r="BM452" i="5"/>
  <c r="BL452" i="5"/>
  <c r="BK452" i="5"/>
  <c r="BJ452" i="5"/>
  <c r="BI452" i="5"/>
  <c r="BG452" i="5"/>
  <c r="BE452" i="5"/>
  <c r="BD452" i="5"/>
  <c r="BB452" i="5"/>
  <c r="BA452" i="5"/>
  <c r="AZ452" i="5"/>
  <c r="BP451" i="5"/>
  <c r="BO451" i="5"/>
  <c r="BC451" i="5" s="1"/>
  <c r="BN451" i="5"/>
  <c r="BM451" i="5"/>
  <c r="BL451" i="5"/>
  <c r="BK451" i="5"/>
  <c r="BJ451" i="5"/>
  <c r="BI451" i="5"/>
  <c r="BG451" i="5"/>
  <c r="BE451" i="5"/>
  <c r="BD451" i="5"/>
  <c r="BB451" i="5"/>
  <c r="BA451" i="5"/>
  <c r="AZ451" i="5"/>
  <c r="BP450" i="5"/>
  <c r="BO450" i="5"/>
  <c r="BC450" i="5" s="1"/>
  <c r="BN450" i="5"/>
  <c r="BM450" i="5"/>
  <c r="BL450" i="5"/>
  <c r="BK450" i="5"/>
  <c r="BJ450" i="5"/>
  <c r="BI450" i="5"/>
  <c r="BG450" i="5"/>
  <c r="BE450" i="5"/>
  <c r="BD450" i="5"/>
  <c r="BB450" i="5"/>
  <c r="BA450" i="5"/>
  <c r="AZ450" i="5"/>
  <c r="BP449" i="5"/>
  <c r="BO449" i="5"/>
  <c r="BC449" i="5" s="1"/>
  <c r="BN449" i="5"/>
  <c r="BM449" i="5"/>
  <c r="BL449" i="5"/>
  <c r="BK449" i="5"/>
  <c r="BJ449" i="5"/>
  <c r="BI449" i="5"/>
  <c r="BG449" i="5"/>
  <c r="BE449" i="5"/>
  <c r="BD449" i="5"/>
  <c r="BB449" i="5"/>
  <c r="BA449" i="5"/>
  <c r="AZ449" i="5"/>
  <c r="BP448" i="5"/>
  <c r="BO448" i="5"/>
  <c r="BC448" i="5" s="1"/>
  <c r="BN448" i="5"/>
  <c r="BM448" i="5"/>
  <c r="BL448" i="5"/>
  <c r="BK448" i="5"/>
  <c r="BJ448" i="5"/>
  <c r="BI448" i="5"/>
  <c r="BG448" i="5"/>
  <c r="BE448" i="5"/>
  <c r="BD448" i="5"/>
  <c r="BB448" i="5"/>
  <c r="BA448" i="5"/>
  <c r="AZ448" i="5"/>
  <c r="BP447" i="5"/>
  <c r="BO447" i="5"/>
  <c r="BC447" i="5" s="1"/>
  <c r="BN447" i="5"/>
  <c r="BM447" i="5"/>
  <c r="BL447" i="5"/>
  <c r="BK447" i="5"/>
  <c r="BJ447" i="5"/>
  <c r="BI447" i="5"/>
  <c r="BG447" i="5"/>
  <c r="BE447" i="5"/>
  <c r="BD447" i="5"/>
  <c r="BB447" i="5"/>
  <c r="BA447" i="5"/>
  <c r="AZ447" i="5"/>
  <c r="BP446" i="5"/>
  <c r="BO446" i="5"/>
  <c r="BC446" i="5" s="1"/>
  <c r="BN446" i="5"/>
  <c r="BM446" i="5"/>
  <c r="BL446" i="5"/>
  <c r="BK446" i="5"/>
  <c r="BJ446" i="5"/>
  <c r="BI446" i="5"/>
  <c r="BG446" i="5"/>
  <c r="BE446" i="5"/>
  <c r="BD446" i="5"/>
  <c r="BB446" i="5"/>
  <c r="BA446" i="5"/>
  <c r="AZ446" i="5"/>
  <c r="BP445" i="5"/>
  <c r="BO445" i="5"/>
  <c r="BC445" i="5" s="1"/>
  <c r="BN445" i="5"/>
  <c r="BM445" i="5"/>
  <c r="BL445" i="5"/>
  <c r="BK445" i="5"/>
  <c r="BJ445" i="5"/>
  <c r="BI445" i="5"/>
  <c r="BG445" i="5"/>
  <c r="BE445" i="5"/>
  <c r="BD445" i="5"/>
  <c r="BB445" i="5"/>
  <c r="BA445" i="5"/>
  <c r="AZ445" i="5"/>
  <c r="BP444" i="5"/>
  <c r="BO444" i="5"/>
  <c r="BC444" i="5" s="1"/>
  <c r="BN444" i="5"/>
  <c r="BM444" i="5"/>
  <c r="BL444" i="5"/>
  <c r="BK444" i="5"/>
  <c r="BJ444" i="5"/>
  <c r="BI444" i="5"/>
  <c r="BG444" i="5"/>
  <c r="BE444" i="5"/>
  <c r="BD444" i="5"/>
  <c r="BB444" i="5"/>
  <c r="BA444" i="5"/>
  <c r="AZ444" i="5"/>
  <c r="BP443" i="5"/>
  <c r="BO443" i="5"/>
  <c r="BC443" i="5" s="1"/>
  <c r="BN443" i="5"/>
  <c r="BM443" i="5"/>
  <c r="BL443" i="5"/>
  <c r="BK443" i="5"/>
  <c r="BJ443" i="5"/>
  <c r="BI443" i="5"/>
  <c r="BG443" i="5"/>
  <c r="BE443" i="5"/>
  <c r="BD443" i="5"/>
  <c r="BB443" i="5"/>
  <c r="BA443" i="5"/>
  <c r="AZ443" i="5"/>
  <c r="BP442" i="5"/>
  <c r="BO442" i="5"/>
  <c r="BC442" i="5" s="1"/>
  <c r="BN442" i="5"/>
  <c r="BM442" i="5"/>
  <c r="BL442" i="5"/>
  <c r="BK442" i="5"/>
  <c r="BJ442" i="5"/>
  <c r="BI442" i="5"/>
  <c r="BG442" i="5"/>
  <c r="BE442" i="5"/>
  <c r="BD442" i="5"/>
  <c r="BB442" i="5"/>
  <c r="BA442" i="5"/>
  <c r="AZ442" i="5"/>
  <c r="BP441" i="5"/>
  <c r="BO441" i="5"/>
  <c r="BC441" i="5" s="1"/>
  <c r="BN441" i="5"/>
  <c r="BM441" i="5"/>
  <c r="BL441" i="5"/>
  <c r="BK441" i="5"/>
  <c r="BJ441" i="5"/>
  <c r="BI441" i="5"/>
  <c r="BG441" i="5"/>
  <c r="BE441" i="5"/>
  <c r="BD441" i="5"/>
  <c r="BB441" i="5"/>
  <c r="BA441" i="5"/>
  <c r="AZ441" i="5"/>
  <c r="BP440" i="5"/>
  <c r="BO440" i="5"/>
  <c r="BC440" i="5" s="1"/>
  <c r="BN440" i="5"/>
  <c r="BM440" i="5"/>
  <c r="BL440" i="5"/>
  <c r="BK440" i="5"/>
  <c r="BJ440" i="5"/>
  <c r="BI440" i="5"/>
  <c r="BG440" i="5"/>
  <c r="BE440" i="5"/>
  <c r="BD440" i="5"/>
  <c r="BB440" i="5"/>
  <c r="BA440" i="5"/>
  <c r="AZ440" i="5"/>
  <c r="BP439" i="5"/>
  <c r="BO439" i="5"/>
  <c r="BC439" i="5" s="1"/>
  <c r="BN439" i="5"/>
  <c r="BM439" i="5"/>
  <c r="BL439" i="5"/>
  <c r="BK439" i="5"/>
  <c r="BJ439" i="5"/>
  <c r="BI439" i="5"/>
  <c r="BG439" i="5"/>
  <c r="BE439" i="5"/>
  <c r="BD439" i="5"/>
  <c r="BB439" i="5"/>
  <c r="BA439" i="5"/>
  <c r="AZ439" i="5"/>
  <c r="BP438" i="5"/>
  <c r="BO438" i="5"/>
  <c r="BC438" i="5" s="1"/>
  <c r="BN438" i="5"/>
  <c r="BM438" i="5"/>
  <c r="BL438" i="5"/>
  <c r="BK438" i="5"/>
  <c r="BJ438" i="5"/>
  <c r="BI438" i="5"/>
  <c r="BG438" i="5"/>
  <c r="BE438" i="5"/>
  <c r="BD438" i="5"/>
  <c r="BB438" i="5"/>
  <c r="BA438" i="5"/>
  <c r="AZ438" i="5"/>
  <c r="BP437" i="5"/>
  <c r="BO437" i="5"/>
  <c r="BC437" i="5" s="1"/>
  <c r="BN437" i="5"/>
  <c r="BM437" i="5"/>
  <c r="BL437" i="5"/>
  <c r="BK437" i="5"/>
  <c r="BJ437" i="5"/>
  <c r="BI437" i="5"/>
  <c r="BG437" i="5"/>
  <c r="BE437" i="5"/>
  <c r="BD437" i="5"/>
  <c r="BB437" i="5"/>
  <c r="BA437" i="5"/>
  <c r="AZ437" i="5"/>
  <c r="BP436" i="5"/>
  <c r="BO436" i="5"/>
  <c r="BC436" i="5" s="1"/>
  <c r="BN436" i="5"/>
  <c r="BM436" i="5"/>
  <c r="BL436" i="5"/>
  <c r="BK436" i="5"/>
  <c r="BJ436" i="5"/>
  <c r="BI436" i="5"/>
  <c r="BG436" i="5"/>
  <c r="BE436" i="5"/>
  <c r="BD436" i="5"/>
  <c r="BB436" i="5"/>
  <c r="BA436" i="5"/>
  <c r="AZ436" i="5"/>
  <c r="BP435" i="5"/>
  <c r="BO435" i="5"/>
  <c r="BC435" i="5" s="1"/>
  <c r="BN435" i="5"/>
  <c r="BM435" i="5"/>
  <c r="BL435" i="5"/>
  <c r="BK435" i="5"/>
  <c r="BJ435" i="5"/>
  <c r="BI435" i="5"/>
  <c r="BG435" i="5"/>
  <c r="BE435" i="5"/>
  <c r="BD435" i="5"/>
  <c r="BB435" i="5"/>
  <c r="BA435" i="5"/>
  <c r="AZ435" i="5"/>
  <c r="BP434" i="5"/>
  <c r="BO434" i="5"/>
  <c r="BC434" i="5" s="1"/>
  <c r="BN434" i="5"/>
  <c r="BM434" i="5"/>
  <c r="BL434" i="5"/>
  <c r="BK434" i="5"/>
  <c r="BJ434" i="5"/>
  <c r="BI434" i="5"/>
  <c r="BG434" i="5"/>
  <c r="BE434" i="5"/>
  <c r="BD434" i="5"/>
  <c r="BB434" i="5"/>
  <c r="BA434" i="5"/>
  <c r="AZ434" i="5"/>
  <c r="BP433" i="5"/>
  <c r="BO433" i="5"/>
  <c r="BC433" i="5" s="1"/>
  <c r="BN433" i="5"/>
  <c r="BM433" i="5"/>
  <c r="BL433" i="5"/>
  <c r="BK433" i="5"/>
  <c r="BJ433" i="5"/>
  <c r="BI433" i="5"/>
  <c r="BG433" i="5"/>
  <c r="BE433" i="5"/>
  <c r="BD433" i="5"/>
  <c r="BB433" i="5"/>
  <c r="BA433" i="5"/>
  <c r="AZ433" i="5"/>
  <c r="BP432" i="5"/>
  <c r="BO432" i="5"/>
  <c r="BC432" i="5" s="1"/>
  <c r="BN432" i="5"/>
  <c r="BM432" i="5"/>
  <c r="BL432" i="5"/>
  <c r="BK432" i="5"/>
  <c r="BJ432" i="5"/>
  <c r="BI432" i="5"/>
  <c r="BG432" i="5"/>
  <c r="BE432" i="5"/>
  <c r="BD432" i="5"/>
  <c r="BB432" i="5"/>
  <c r="BA432" i="5"/>
  <c r="AZ432" i="5"/>
  <c r="BP431" i="5"/>
  <c r="BO431" i="5"/>
  <c r="BC431" i="5" s="1"/>
  <c r="BN431" i="5"/>
  <c r="BM431" i="5"/>
  <c r="BL431" i="5"/>
  <c r="BK431" i="5"/>
  <c r="BJ431" i="5"/>
  <c r="BI431" i="5"/>
  <c r="BG431" i="5"/>
  <c r="BE431" i="5"/>
  <c r="BD431" i="5"/>
  <c r="BB431" i="5"/>
  <c r="BA431" i="5"/>
  <c r="AZ431" i="5"/>
  <c r="BP430" i="5"/>
  <c r="BO430" i="5"/>
  <c r="BC430" i="5" s="1"/>
  <c r="BN430" i="5"/>
  <c r="BM430" i="5"/>
  <c r="BL430" i="5"/>
  <c r="BK430" i="5"/>
  <c r="BJ430" i="5"/>
  <c r="BI430" i="5"/>
  <c r="BG430" i="5"/>
  <c r="BE430" i="5"/>
  <c r="BD430" i="5"/>
  <c r="BB430" i="5"/>
  <c r="BA430" i="5"/>
  <c r="AZ430" i="5"/>
  <c r="BP429" i="5"/>
  <c r="BO429" i="5"/>
  <c r="BC429" i="5" s="1"/>
  <c r="BN429" i="5"/>
  <c r="BM429" i="5"/>
  <c r="BL429" i="5"/>
  <c r="BK429" i="5"/>
  <c r="BJ429" i="5"/>
  <c r="BI429" i="5"/>
  <c r="BG429" i="5"/>
  <c r="BE429" i="5"/>
  <c r="BD429" i="5"/>
  <c r="BB429" i="5"/>
  <c r="BA429" i="5"/>
  <c r="AZ429" i="5"/>
  <c r="BP428" i="5"/>
  <c r="BO428" i="5"/>
  <c r="BC428" i="5" s="1"/>
  <c r="BN428" i="5"/>
  <c r="BM428" i="5"/>
  <c r="BL428" i="5"/>
  <c r="BK428" i="5"/>
  <c r="BJ428" i="5"/>
  <c r="BI428" i="5"/>
  <c r="BG428" i="5"/>
  <c r="BE428" i="5"/>
  <c r="BD428" i="5"/>
  <c r="BB428" i="5"/>
  <c r="BA428" i="5"/>
  <c r="AZ428" i="5"/>
  <c r="BP427" i="5"/>
  <c r="BO427" i="5"/>
  <c r="BC427" i="5" s="1"/>
  <c r="BN427" i="5"/>
  <c r="BM427" i="5"/>
  <c r="BL427" i="5"/>
  <c r="BK427" i="5"/>
  <c r="BJ427" i="5"/>
  <c r="BI427" i="5"/>
  <c r="BG427" i="5"/>
  <c r="BE427" i="5"/>
  <c r="BD427" i="5"/>
  <c r="BB427" i="5"/>
  <c r="BA427" i="5"/>
  <c r="AZ427" i="5"/>
  <c r="BP426" i="5"/>
  <c r="BO426" i="5"/>
  <c r="BC426" i="5" s="1"/>
  <c r="BN426" i="5"/>
  <c r="BM426" i="5"/>
  <c r="BL426" i="5"/>
  <c r="BK426" i="5"/>
  <c r="BJ426" i="5"/>
  <c r="BI426" i="5"/>
  <c r="BG426" i="5"/>
  <c r="BE426" i="5"/>
  <c r="BD426" i="5"/>
  <c r="BB426" i="5"/>
  <c r="BA426" i="5"/>
  <c r="AZ426" i="5"/>
  <c r="BP425" i="5"/>
  <c r="BO425" i="5"/>
  <c r="BC425" i="5" s="1"/>
  <c r="BN425" i="5"/>
  <c r="BM425" i="5"/>
  <c r="BL425" i="5"/>
  <c r="BK425" i="5"/>
  <c r="BJ425" i="5"/>
  <c r="BI425" i="5"/>
  <c r="BG425" i="5"/>
  <c r="BE425" i="5"/>
  <c r="BD425" i="5"/>
  <c r="BB425" i="5"/>
  <c r="BA425" i="5"/>
  <c r="AZ425" i="5"/>
  <c r="BP424" i="5"/>
  <c r="BO424" i="5"/>
  <c r="BC424" i="5" s="1"/>
  <c r="BN424" i="5"/>
  <c r="BM424" i="5"/>
  <c r="BL424" i="5"/>
  <c r="BK424" i="5"/>
  <c r="BJ424" i="5"/>
  <c r="BI424" i="5"/>
  <c r="BG424" i="5"/>
  <c r="BE424" i="5"/>
  <c r="BD424" i="5"/>
  <c r="BB424" i="5"/>
  <c r="BA424" i="5"/>
  <c r="AZ424" i="5"/>
  <c r="BP423" i="5"/>
  <c r="BO423" i="5"/>
  <c r="BC423" i="5" s="1"/>
  <c r="BN423" i="5"/>
  <c r="BM423" i="5"/>
  <c r="BL423" i="5"/>
  <c r="BK423" i="5"/>
  <c r="BJ423" i="5"/>
  <c r="BI423" i="5"/>
  <c r="BG423" i="5"/>
  <c r="BE423" i="5"/>
  <c r="BD423" i="5"/>
  <c r="BB423" i="5"/>
  <c r="BA423" i="5"/>
  <c r="AZ423" i="5"/>
  <c r="BP422" i="5"/>
  <c r="BO422" i="5"/>
  <c r="BC422" i="5" s="1"/>
  <c r="BN422" i="5"/>
  <c r="BM422" i="5"/>
  <c r="BL422" i="5"/>
  <c r="BK422" i="5"/>
  <c r="BJ422" i="5"/>
  <c r="BI422" i="5"/>
  <c r="BG422" i="5"/>
  <c r="BE422" i="5"/>
  <c r="BD422" i="5"/>
  <c r="BB422" i="5"/>
  <c r="BA422" i="5"/>
  <c r="AZ422" i="5"/>
  <c r="BP421" i="5"/>
  <c r="BO421" i="5"/>
  <c r="BC421" i="5" s="1"/>
  <c r="BN421" i="5"/>
  <c r="BM421" i="5"/>
  <c r="BL421" i="5"/>
  <c r="BK421" i="5"/>
  <c r="BJ421" i="5"/>
  <c r="BI421" i="5"/>
  <c r="BG421" i="5"/>
  <c r="BE421" i="5"/>
  <c r="BD421" i="5"/>
  <c r="BB421" i="5"/>
  <c r="BA421" i="5"/>
  <c r="AZ421" i="5"/>
  <c r="BP420" i="5"/>
  <c r="BO420" i="5"/>
  <c r="BC420" i="5" s="1"/>
  <c r="BN420" i="5"/>
  <c r="BM420" i="5"/>
  <c r="BL420" i="5"/>
  <c r="BK420" i="5"/>
  <c r="BJ420" i="5"/>
  <c r="BI420" i="5"/>
  <c r="BG420" i="5"/>
  <c r="BE420" i="5"/>
  <c r="BD420" i="5"/>
  <c r="BB420" i="5"/>
  <c r="BA420" i="5"/>
  <c r="AZ420" i="5"/>
  <c r="BP419" i="5"/>
  <c r="BO419" i="5"/>
  <c r="BC419" i="5" s="1"/>
  <c r="BN419" i="5"/>
  <c r="BM419" i="5"/>
  <c r="BL419" i="5"/>
  <c r="BK419" i="5"/>
  <c r="BJ419" i="5"/>
  <c r="BI419" i="5"/>
  <c r="BG419" i="5"/>
  <c r="BE419" i="5"/>
  <c r="BD419" i="5"/>
  <c r="BB419" i="5"/>
  <c r="BA419" i="5"/>
  <c r="AZ419" i="5"/>
  <c r="BP418" i="5"/>
  <c r="BO418" i="5"/>
  <c r="BC418" i="5" s="1"/>
  <c r="BN418" i="5"/>
  <c r="BM418" i="5"/>
  <c r="BL418" i="5"/>
  <c r="BK418" i="5"/>
  <c r="BJ418" i="5"/>
  <c r="BI418" i="5"/>
  <c r="BG418" i="5"/>
  <c r="BE418" i="5"/>
  <c r="BD418" i="5"/>
  <c r="BB418" i="5"/>
  <c r="BA418" i="5"/>
  <c r="AZ418" i="5"/>
  <c r="BP417" i="5"/>
  <c r="BO417" i="5"/>
  <c r="BC417" i="5" s="1"/>
  <c r="BN417" i="5"/>
  <c r="BM417" i="5"/>
  <c r="BL417" i="5"/>
  <c r="BK417" i="5"/>
  <c r="BJ417" i="5"/>
  <c r="BI417" i="5"/>
  <c r="BG417" i="5"/>
  <c r="BE417" i="5"/>
  <c r="BD417" i="5"/>
  <c r="BB417" i="5"/>
  <c r="BA417" i="5"/>
  <c r="AZ417" i="5"/>
  <c r="BP416" i="5"/>
  <c r="BO416" i="5"/>
  <c r="BC416" i="5" s="1"/>
  <c r="BN416" i="5"/>
  <c r="BM416" i="5"/>
  <c r="BL416" i="5"/>
  <c r="BK416" i="5"/>
  <c r="BJ416" i="5"/>
  <c r="BI416" i="5"/>
  <c r="BG416" i="5"/>
  <c r="BE416" i="5"/>
  <c r="BD416" i="5"/>
  <c r="BB416" i="5"/>
  <c r="BA416" i="5"/>
  <c r="AZ416" i="5"/>
  <c r="BP415" i="5"/>
  <c r="BO415" i="5"/>
  <c r="BC415" i="5" s="1"/>
  <c r="BN415" i="5"/>
  <c r="BM415" i="5"/>
  <c r="BL415" i="5"/>
  <c r="BK415" i="5"/>
  <c r="BJ415" i="5"/>
  <c r="BI415" i="5"/>
  <c r="BG415" i="5"/>
  <c r="BE415" i="5"/>
  <c r="BD415" i="5"/>
  <c r="BB415" i="5"/>
  <c r="BA415" i="5"/>
  <c r="AZ415" i="5"/>
  <c r="BP414" i="5"/>
  <c r="BO414" i="5"/>
  <c r="BC414" i="5" s="1"/>
  <c r="BN414" i="5"/>
  <c r="BM414" i="5"/>
  <c r="BL414" i="5"/>
  <c r="BK414" i="5"/>
  <c r="BJ414" i="5"/>
  <c r="BI414" i="5"/>
  <c r="BG414" i="5"/>
  <c r="BE414" i="5"/>
  <c r="BD414" i="5"/>
  <c r="BB414" i="5"/>
  <c r="BA414" i="5"/>
  <c r="AZ414" i="5"/>
  <c r="BP413" i="5"/>
  <c r="BO413" i="5"/>
  <c r="BC413" i="5" s="1"/>
  <c r="BN413" i="5"/>
  <c r="BM413" i="5"/>
  <c r="BL413" i="5"/>
  <c r="BK413" i="5"/>
  <c r="BJ413" i="5"/>
  <c r="BI413" i="5"/>
  <c r="BG413" i="5"/>
  <c r="BE413" i="5"/>
  <c r="BD413" i="5"/>
  <c r="BB413" i="5"/>
  <c r="BA413" i="5"/>
  <c r="AZ413" i="5"/>
  <c r="BP412" i="5"/>
  <c r="BO412" i="5"/>
  <c r="BC412" i="5" s="1"/>
  <c r="BN412" i="5"/>
  <c r="BM412" i="5"/>
  <c r="BL412" i="5"/>
  <c r="BK412" i="5"/>
  <c r="BJ412" i="5"/>
  <c r="BI412" i="5"/>
  <c r="BG412" i="5"/>
  <c r="BE412" i="5"/>
  <c r="BD412" i="5"/>
  <c r="BB412" i="5"/>
  <c r="BA412" i="5"/>
  <c r="AZ412" i="5"/>
  <c r="BP411" i="5"/>
  <c r="BO411" i="5"/>
  <c r="BC411" i="5" s="1"/>
  <c r="BN411" i="5"/>
  <c r="BM411" i="5"/>
  <c r="BL411" i="5"/>
  <c r="BK411" i="5"/>
  <c r="BJ411" i="5"/>
  <c r="BI411" i="5"/>
  <c r="BG411" i="5"/>
  <c r="BE411" i="5"/>
  <c r="BD411" i="5"/>
  <c r="BB411" i="5"/>
  <c r="BA411" i="5"/>
  <c r="AZ411" i="5"/>
  <c r="BP410" i="5"/>
  <c r="BO410" i="5"/>
  <c r="BC410" i="5" s="1"/>
  <c r="BN410" i="5"/>
  <c r="BM410" i="5"/>
  <c r="BL410" i="5"/>
  <c r="BK410" i="5"/>
  <c r="BJ410" i="5"/>
  <c r="BI410" i="5"/>
  <c r="BG410" i="5"/>
  <c r="BE410" i="5"/>
  <c r="BD410" i="5"/>
  <c r="BB410" i="5"/>
  <c r="BA410" i="5"/>
  <c r="AZ410" i="5"/>
  <c r="BP409" i="5"/>
  <c r="BO409" i="5"/>
  <c r="BC409" i="5" s="1"/>
  <c r="BN409" i="5"/>
  <c r="BM409" i="5"/>
  <c r="BL409" i="5"/>
  <c r="BK409" i="5"/>
  <c r="BJ409" i="5"/>
  <c r="BI409" i="5"/>
  <c r="BG409" i="5"/>
  <c r="BE409" i="5"/>
  <c r="BD409" i="5"/>
  <c r="BB409" i="5"/>
  <c r="BA409" i="5"/>
  <c r="AZ409" i="5"/>
  <c r="BP408" i="5"/>
  <c r="BO408" i="5"/>
  <c r="BC408" i="5" s="1"/>
  <c r="BN408" i="5"/>
  <c r="BM408" i="5"/>
  <c r="BL408" i="5"/>
  <c r="BK408" i="5"/>
  <c r="BJ408" i="5"/>
  <c r="BI408" i="5"/>
  <c r="BG408" i="5"/>
  <c r="BE408" i="5"/>
  <c r="BD408" i="5"/>
  <c r="BB408" i="5"/>
  <c r="BA408" i="5"/>
  <c r="AZ408" i="5"/>
  <c r="BP407" i="5"/>
  <c r="BO407" i="5"/>
  <c r="BC407" i="5" s="1"/>
  <c r="BN407" i="5"/>
  <c r="BM407" i="5"/>
  <c r="BL407" i="5"/>
  <c r="BK407" i="5"/>
  <c r="BJ407" i="5"/>
  <c r="BI407" i="5"/>
  <c r="BG407" i="5"/>
  <c r="BE407" i="5"/>
  <c r="BD407" i="5"/>
  <c r="BB407" i="5"/>
  <c r="BA407" i="5"/>
  <c r="AZ407" i="5"/>
  <c r="BP406" i="5"/>
  <c r="BO406" i="5"/>
  <c r="BC406" i="5" s="1"/>
  <c r="BN406" i="5"/>
  <c r="BM406" i="5"/>
  <c r="BL406" i="5"/>
  <c r="BK406" i="5"/>
  <c r="BJ406" i="5"/>
  <c r="BI406" i="5"/>
  <c r="BG406" i="5"/>
  <c r="BE406" i="5"/>
  <c r="BD406" i="5"/>
  <c r="BB406" i="5"/>
  <c r="BA406" i="5"/>
  <c r="AZ406" i="5"/>
  <c r="BP405" i="5"/>
  <c r="BO405" i="5"/>
  <c r="BC405" i="5" s="1"/>
  <c r="BN405" i="5"/>
  <c r="BM405" i="5"/>
  <c r="BL405" i="5"/>
  <c r="BK405" i="5"/>
  <c r="BJ405" i="5"/>
  <c r="BI405" i="5"/>
  <c r="BG405" i="5"/>
  <c r="BE405" i="5"/>
  <c r="BD405" i="5"/>
  <c r="BB405" i="5"/>
  <c r="BA405" i="5"/>
  <c r="AZ405" i="5"/>
  <c r="BP404" i="5"/>
  <c r="BO404" i="5"/>
  <c r="BC404" i="5" s="1"/>
  <c r="BN404" i="5"/>
  <c r="BM404" i="5"/>
  <c r="BL404" i="5"/>
  <c r="BK404" i="5"/>
  <c r="BJ404" i="5"/>
  <c r="BI404" i="5"/>
  <c r="BG404" i="5"/>
  <c r="BE404" i="5"/>
  <c r="BD404" i="5"/>
  <c r="BB404" i="5"/>
  <c r="BA404" i="5"/>
  <c r="AZ404" i="5"/>
  <c r="BP403" i="5"/>
  <c r="BO403" i="5"/>
  <c r="BC403" i="5" s="1"/>
  <c r="BN403" i="5"/>
  <c r="BM403" i="5"/>
  <c r="BL403" i="5"/>
  <c r="BK403" i="5"/>
  <c r="BJ403" i="5"/>
  <c r="BI403" i="5"/>
  <c r="BG403" i="5"/>
  <c r="BE403" i="5"/>
  <c r="BD403" i="5"/>
  <c r="BB403" i="5"/>
  <c r="BA403" i="5"/>
  <c r="AZ403" i="5"/>
  <c r="BP402" i="5"/>
  <c r="BO402" i="5"/>
  <c r="BC402" i="5" s="1"/>
  <c r="BN402" i="5"/>
  <c r="BM402" i="5"/>
  <c r="BL402" i="5"/>
  <c r="BK402" i="5"/>
  <c r="BJ402" i="5"/>
  <c r="BI402" i="5"/>
  <c r="BG402" i="5"/>
  <c r="BE402" i="5"/>
  <c r="BD402" i="5"/>
  <c r="BB402" i="5"/>
  <c r="BA402" i="5"/>
  <c r="AZ402" i="5"/>
  <c r="BP401" i="5"/>
  <c r="BO401" i="5"/>
  <c r="BC401" i="5" s="1"/>
  <c r="BN401" i="5"/>
  <c r="BM401" i="5"/>
  <c r="BL401" i="5"/>
  <c r="BK401" i="5"/>
  <c r="BJ401" i="5"/>
  <c r="BI401" i="5"/>
  <c r="BG401" i="5"/>
  <c r="BE401" i="5"/>
  <c r="BD401" i="5"/>
  <c r="BB401" i="5"/>
  <c r="BA401" i="5"/>
  <c r="AZ401" i="5"/>
  <c r="BP400" i="5"/>
  <c r="BO400" i="5"/>
  <c r="BC400" i="5" s="1"/>
  <c r="BN400" i="5"/>
  <c r="BM400" i="5"/>
  <c r="BL400" i="5"/>
  <c r="BK400" i="5"/>
  <c r="BJ400" i="5"/>
  <c r="BI400" i="5"/>
  <c r="BG400" i="5"/>
  <c r="BE400" i="5"/>
  <c r="BD400" i="5"/>
  <c r="BB400" i="5"/>
  <c r="BA400" i="5"/>
  <c r="AZ400" i="5"/>
  <c r="BP399" i="5"/>
  <c r="BO399" i="5"/>
  <c r="BC399" i="5" s="1"/>
  <c r="BN399" i="5"/>
  <c r="BM399" i="5"/>
  <c r="BL399" i="5"/>
  <c r="BK399" i="5"/>
  <c r="BJ399" i="5"/>
  <c r="BI399" i="5"/>
  <c r="BG399" i="5"/>
  <c r="BE399" i="5"/>
  <c r="BD399" i="5"/>
  <c r="BB399" i="5"/>
  <c r="BA399" i="5"/>
  <c r="AZ399" i="5"/>
  <c r="BP398" i="5"/>
  <c r="BO398" i="5"/>
  <c r="BC398" i="5" s="1"/>
  <c r="BN398" i="5"/>
  <c r="BM398" i="5"/>
  <c r="BL398" i="5"/>
  <c r="BK398" i="5"/>
  <c r="BJ398" i="5"/>
  <c r="BI398" i="5"/>
  <c r="BG398" i="5"/>
  <c r="BE398" i="5"/>
  <c r="BD398" i="5"/>
  <c r="BB398" i="5"/>
  <c r="BA398" i="5"/>
  <c r="AZ398" i="5"/>
  <c r="BP397" i="5"/>
  <c r="BO397" i="5"/>
  <c r="BC397" i="5" s="1"/>
  <c r="BN397" i="5"/>
  <c r="BM397" i="5"/>
  <c r="BL397" i="5"/>
  <c r="BK397" i="5"/>
  <c r="BJ397" i="5"/>
  <c r="BI397" i="5"/>
  <c r="BG397" i="5"/>
  <c r="BE397" i="5"/>
  <c r="BD397" i="5"/>
  <c r="BB397" i="5"/>
  <c r="BA397" i="5"/>
  <c r="AZ397" i="5"/>
  <c r="BP396" i="5"/>
  <c r="BO396" i="5"/>
  <c r="BC396" i="5" s="1"/>
  <c r="BN396" i="5"/>
  <c r="BM396" i="5"/>
  <c r="BL396" i="5"/>
  <c r="BK396" i="5"/>
  <c r="BJ396" i="5"/>
  <c r="BI396" i="5"/>
  <c r="BG396" i="5"/>
  <c r="BE396" i="5"/>
  <c r="BD396" i="5"/>
  <c r="BB396" i="5"/>
  <c r="BA396" i="5"/>
  <c r="AZ396" i="5"/>
  <c r="BP395" i="5"/>
  <c r="BO395" i="5"/>
  <c r="BC395" i="5" s="1"/>
  <c r="BN395" i="5"/>
  <c r="BM395" i="5"/>
  <c r="BL395" i="5"/>
  <c r="BK395" i="5"/>
  <c r="BJ395" i="5"/>
  <c r="BI395" i="5"/>
  <c r="BG395" i="5"/>
  <c r="BE395" i="5"/>
  <c r="BD395" i="5"/>
  <c r="BB395" i="5"/>
  <c r="BA395" i="5"/>
  <c r="AZ395" i="5"/>
  <c r="BP394" i="5"/>
  <c r="BO394" i="5"/>
  <c r="BC394" i="5" s="1"/>
  <c r="BN394" i="5"/>
  <c r="BM394" i="5"/>
  <c r="BL394" i="5"/>
  <c r="BK394" i="5"/>
  <c r="BJ394" i="5"/>
  <c r="BI394" i="5"/>
  <c r="BG394" i="5"/>
  <c r="BE394" i="5"/>
  <c r="BD394" i="5"/>
  <c r="BB394" i="5"/>
  <c r="BA394" i="5"/>
  <c r="AZ394" i="5"/>
  <c r="BP393" i="5"/>
  <c r="BO393" i="5"/>
  <c r="BC393" i="5" s="1"/>
  <c r="BN393" i="5"/>
  <c r="BM393" i="5"/>
  <c r="BL393" i="5"/>
  <c r="BK393" i="5"/>
  <c r="BJ393" i="5"/>
  <c r="BI393" i="5"/>
  <c r="BG393" i="5"/>
  <c r="BE393" i="5"/>
  <c r="BD393" i="5"/>
  <c r="BB393" i="5"/>
  <c r="BA393" i="5"/>
  <c r="AZ393" i="5"/>
  <c r="BP392" i="5"/>
  <c r="BO392" i="5"/>
  <c r="BC392" i="5" s="1"/>
  <c r="BN392" i="5"/>
  <c r="BM392" i="5"/>
  <c r="BL392" i="5"/>
  <c r="BK392" i="5"/>
  <c r="BJ392" i="5"/>
  <c r="BI392" i="5"/>
  <c r="BG392" i="5"/>
  <c r="BE392" i="5"/>
  <c r="BD392" i="5"/>
  <c r="BB392" i="5"/>
  <c r="BA392" i="5"/>
  <c r="AZ392" i="5"/>
  <c r="BP391" i="5"/>
  <c r="BO391" i="5"/>
  <c r="BC391" i="5" s="1"/>
  <c r="BN391" i="5"/>
  <c r="BM391" i="5"/>
  <c r="BL391" i="5"/>
  <c r="BK391" i="5"/>
  <c r="BJ391" i="5"/>
  <c r="BI391" i="5"/>
  <c r="BG391" i="5"/>
  <c r="BE391" i="5"/>
  <c r="BD391" i="5"/>
  <c r="BB391" i="5"/>
  <c r="BA391" i="5"/>
  <c r="AZ391" i="5"/>
  <c r="BP390" i="5"/>
  <c r="BO390" i="5"/>
  <c r="BC390" i="5" s="1"/>
  <c r="BN390" i="5"/>
  <c r="BM390" i="5"/>
  <c r="BL390" i="5"/>
  <c r="BK390" i="5"/>
  <c r="BJ390" i="5"/>
  <c r="BI390" i="5"/>
  <c r="BG390" i="5"/>
  <c r="BE390" i="5"/>
  <c r="BD390" i="5"/>
  <c r="BB390" i="5"/>
  <c r="BA390" i="5"/>
  <c r="AZ390" i="5"/>
  <c r="BP389" i="5"/>
  <c r="BO389" i="5"/>
  <c r="BC389" i="5" s="1"/>
  <c r="BN389" i="5"/>
  <c r="BM389" i="5"/>
  <c r="BL389" i="5"/>
  <c r="BK389" i="5"/>
  <c r="BJ389" i="5"/>
  <c r="BI389" i="5"/>
  <c r="BG389" i="5"/>
  <c r="BE389" i="5"/>
  <c r="BD389" i="5"/>
  <c r="BB389" i="5"/>
  <c r="BA389" i="5"/>
  <c r="AZ389" i="5"/>
  <c r="BP388" i="5"/>
  <c r="BO388" i="5"/>
  <c r="BC388" i="5" s="1"/>
  <c r="BN388" i="5"/>
  <c r="BM388" i="5"/>
  <c r="BL388" i="5"/>
  <c r="BK388" i="5"/>
  <c r="BJ388" i="5"/>
  <c r="BI388" i="5"/>
  <c r="BG388" i="5"/>
  <c r="BE388" i="5"/>
  <c r="BD388" i="5"/>
  <c r="BB388" i="5"/>
  <c r="BA388" i="5"/>
  <c r="AZ388" i="5"/>
  <c r="BP387" i="5"/>
  <c r="BO387" i="5"/>
  <c r="BC387" i="5" s="1"/>
  <c r="BN387" i="5"/>
  <c r="BM387" i="5"/>
  <c r="BL387" i="5"/>
  <c r="BK387" i="5"/>
  <c r="BJ387" i="5"/>
  <c r="BI387" i="5"/>
  <c r="BG387" i="5"/>
  <c r="BE387" i="5"/>
  <c r="BD387" i="5"/>
  <c r="BB387" i="5"/>
  <c r="BA387" i="5"/>
  <c r="AZ387" i="5"/>
  <c r="BP386" i="5"/>
  <c r="BO386" i="5"/>
  <c r="BC386" i="5" s="1"/>
  <c r="BN386" i="5"/>
  <c r="BM386" i="5"/>
  <c r="BL386" i="5"/>
  <c r="BK386" i="5"/>
  <c r="BJ386" i="5"/>
  <c r="BI386" i="5"/>
  <c r="BG386" i="5"/>
  <c r="BE386" i="5"/>
  <c r="BD386" i="5"/>
  <c r="BB386" i="5"/>
  <c r="BA386" i="5"/>
  <c r="AZ386" i="5"/>
  <c r="BP385" i="5"/>
  <c r="BO385" i="5"/>
  <c r="BC385" i="5" s="1"/>
  <c r="BN385" i="5"/>
  <c r="BM385" i="5"/>
  <c r="BL385" i="5"/>
  <c r="BK385" i="5"/>
  <c r="BJ385" i="5"/>
  <c r="BI385" i="5"/>
  <c r="BG385" i="5"/>
  <c r="BE385" i="5"/>
  <c r="BD385" i="5"/>
  <c r="BB385" i="5"/>
  <c r="BA385" i="5"/>
  <c r="AZ385" i="5"/>
  <c r="BP384" i="5"/>
  <c r="BO384" i="5"/>
  <c r="BC384" i="5" s="1"/>
  <c r="BN384" i="5"/>
  <c r="BM384" i="5"/>
  <c r="BL384" i="5"/>
  <c r="BK384" i="5"/>
  <c r="BJ384" i="5"/>
  <c r="BI384" i="5"/>
  <c r="BG384" i="5"/>
  <c r="BE384" i="5"/>
  <c r="BD384" i="5"/>
  <c r="BB384" i="5"/>
  <c r="BA384" i="5"/>
  <c r="AZ384" i="5"/>
  <c r="BP383" i="5"/>
  <c r="BO383" i="5"/>
  <c r="BC383" i="5" s="1"/>
  <c r="BN383" i="5"/>
  <c r="BM383" i="5"/>
  <c r="BL383" i="5"/>
  <c r="BK383" i="5"/>
  <c r="BJ383" i="5"/>
  <c r="BI383" i="5"/>
  <c r="BG383" i="5"/>
  <c r="BE383" i="5"/>
  <c r="BD383" i="5"/>
  <c r="BB383" i="5"/>
  <c r="BA383" i="5"/>
  <c r="AZ383" i="5"/>
  <c r="BP382" i="5"/>
  <c r="BO382" i="5"/>
  <c r="BC382" i="5" s="1"/>
  <c r="BN382" i="5"/>
  <c r="BM382" i="5"/>
  <c r="BL382" i="5"/>
  <c r="BK382" i="5"/>
  <c r="BJ382" i="5"/>
  <c r="BI382" i="5"/>
  <c r="BG382" i="5"/>
  <c r="BE382" i="5"/>
  <c r="BD382" i="5"/>
  <c r="BB382" i="5"/>
  <c r="BA382" i="5"/>
  <c r="AZ382" i="5"/>
  <c r="BP381" i="5"/>
  <c r="BO381" i="5"/>
  <c r="BC381" i="5" s="1"/>
  <c r="BN381" i="5"/>
  <c r="BM381" i="5"/>
  <c r="BL381" i="5"/>
  <c r="BK381" i="5"/>
  <c r="BJ381" i="5"/>
  <c r="BI381" i="5"/>
  <c r="BG381" i="5"/>
  <c r="BE381" i="5"/>
  <c r="BD381" i="5"/>
  <c r="BB381" i="5"/>
  <c r="BA381" i="5"/>
  <c r="AZ381" i="5"/>
  <c r="BP380" i="5"/>
  <c r="BO380" i="5"/>
  <c r="BC380" i="5" s="1"/>
  <c r="BN380" i="5"/>
  <c r="BM380" i="5"/>
  <c r="BL380" i="5"/>
  <c r="BK380" i="5"/>
  <c r="BJ380" i="5"/>
  <c r="BI380" i="5"/>
  <c r="BG380" i="5"/>
  <c r="BE380" i="5"/>
  <c r="BD380" i="5"/>
  <c r="BB380" i="5"/>
  <c r="BA380" i="5"/>
  <c r="AZ380" i="5"/>
  <c r="BP379" i="5"/>
  <c r="BO379" i="5"/>
  <c r="BC379" i="5" s="1"/>
  <c r="BN379" i="5"/>
  <c r="BM379" i="5"/>
  <c r="BL379" i="5"/>
  <c r="BK379" i="5"/>
  <c r="BJ379" i="5"/>
  <c r="BI379" i="5"/>
  <c r="BG379" i="5"/>
  <c r="BE379" i="5"/>
  <c r="BD379" i="5"/>
  <c r="BB379" i="5"/>
  <c r="BA379" i="5"/>
  <c r="AZ379" i="5"/>
  <c r="BP378" i="5"/>
  <c r="BO378" i="5"/>
  <c r="BC378" i="5" s="1"/>
  <c r="BN378" i="5"/>
  <c r="BM378" i="5"/>
  <c r="BL378" i="5"/>
  <c r="BK378" i="5"/>
  <c r="BJ378" i="5"/>
  <c r="BI378" i="5"/>
  <c r="BG378" i="5"/>
  <c r="BE378" i="5"/>
  <c r="BD378" i="5"/>
  <c r="BB378" i="5"/>
  <c r="BA378" i="5"/>
  <c r="AZ378" i="5"/>
  <c r="BP377" i="5"/>
  <c r="BO377" i="5"/>
  <c r="BC377" i="5" s="1"/>
  <c r="BN377" i="5"/>
  <c r="BM377" i="5"/>
  <c r="BL377" i="5"/>
  <c r="BK377" i="5"/>
  <c r="BJ377" i="5"/>
  <c r="BI377" i="5"/>
  <c r="BG377" i="5"/>
  <c r="BE377" i="5"/>
  <c r="BD377" i="5"/>
  <c r="BB377" i="5"/>
  <c r="BA377" i="5"/>
  <c r="AZ377" i="5"/>
  <c r="BP376" i="5"/>
  <c r="BO376" i="5"/>
  <c r="BC376" i="5" s="1"/>
  <c r="BN376" i="5"/>
  <c r="BM376" i="5"/>
  <c r="BL376" i="5"/>
  <c r="BK376" i="5"/>
  <c r="BJ376" i="5"/>
  <c r="BI376" i="5"/>
  <c r="BG376" i="5"/>
  <c r="BE376" i="5"/>
  <c r="BD376" i="5"/>
  <c r="BB376" i="5"/>
  <c r="BA376" i="5"/>
  <c r="AZ376" i="5"/>
  <c r="BP375" i="5"/>
  <c r="BO375" i="5"/>
  <c r="BC375" i="5" s="1"/>
  <c r="BN375" i="5"/>
  <c r="BM375" i="5"/>
  <c r="BL375" i="5"/>
  <c r="BK375" i="5"/>
  <c r="BJ375" i="5"/>
  <c r="BI375" i="5"/>
  <c r="BG375" i="5"/>
  <c r="BE375" i="5"/>
  <c r="BD375" i="5"/>
  <c r="BB375" i="5"/>
  <c r="BA375" i="5"/>
  <c r="AZ375" i="5"/>
  <c r="BP374" i="5"/>
  <c r="BO374" i="5"/>
  <c r="BC374" i="5" s="1"/>
  <c r="BN374" i="5"/>
  <c r="BM374" i="5"/>
  <c r="BL374" i="5"/>
  <c r="BK374" i="5"/>
  <c r="BJ374" i="5"/>
  <c r="BI374" i="5"/>
  <c r="BG374" i="5"/>
  <c r="BE374" i="5"/>
  <c r="BD374" i="5"/>
  <c r="BB374" i="5"/>
  <c r="BA374" i="5"/>
  <c r="AZ374" i="5"/>
  <c r="BP373" i="5"/>
  <c r="BO373" i="5"/>
  <c r="BC373" i="5" s="1"/>
  <c r="BN373" i="5"/>
  <c r="BM373" i="5"/>
  <c r="BL373" i="5"/>
  <c r="BK373" i="5"/>
  <c r="BJ373" i="5"/>
  <c r="BI373" i="5"/>
  <c r="BG373" i="5"/>
  <c r="BE373" i="5"/>
  <c r="BD373" i="5"/>
  <c r="BB373" i="5"/>
  <c r="BA373" i="5"/>
  <c r="AZ373" i="5"/>
  <c r="BP372" i="5"/>
  <c r="BO372" i="5"/>
  <c r="BC372" i="5" s="1"/>
  <c r="BN372" i="5"/>
  <c r="BM372" i="5"/>
  <c r="BL372" i="5"/>
  <c r="BK372" i="5"/>
  <c r="BJ372" i="5"/>
  <c r="BI372" i="5"/>
  <c r="BG372" i="5"/>
  <c r="BE372" i="5"/>
  <c r="BD372" i="5"/>
  <c r="BB372" i="5"/>
  <c r="BA372" i="5"/>
  <c r="AZ372" i="5"/>
  <c r="BP371" i="5"/>
  <c r="BO371" i="5"/>
  <c r="BC371" i="5" s="1"/>
  <c r="BN371" i="5"/>
  <c r="BM371" i="5"/>
  <c r="BL371" i="5"/>
  <c r="BK371" i="5"/>
  <c r="BJ371" i="5"/>
  <c r="BI371" i="5"/>
  <c r="BG371" i="5"/>
  <c r="BE371" i="5"/>
  <c r="BD371" i="5"/>
  <c r="BB371" i="5"/>
  <c r="BA371" i="5"/>
  <c r="AZ371" i="5"/>
  <c r="BP370" i="5"/>
  <c r="BO370" i="5"/>
  <c r="BC370" i="5" s="1"/>
  <c r="BN370" i="5"/>
  <c r="BM370" i="5"/>
  <c r="BL370" i="5"/>
  <c r="BK370" i="5"/>
  <c r="BJ370" i="5"/>
  <c r="BI370" i="5"/>
  <c r="BG370" i="5"/>
  <c r="BE370" i="5"/>
  <c r="BD370" i="5"/>
  <c r="BB370" i="5"/>
  <c r="BA370" i="5"/>
  <c r="AZ370" i="5"/>
  <c r="BP369" i="5"/>
  <c r="BO369" i="5"/>
  <c r="BC369" i="5" s="1"/>
  <c r="BN369" i="5"/>
  <c r="BM369" i="5"/>
  <c r="BL369" i="5"/>
  <c r="BK369" i="5"/>
  <c r="BJ369" i="5"/>
  <c r="BI369" i="5"/>
  <c r="BG369" i="5"/>
  <c r="BE369" i="5"/>
  <c r="BD369" i="5"/>
  <c r="BB369" i="5"/>
  <c r="BA369" i="5"/>
  <c r="AZ369" i="5"/>
  <c r="BP368" i="5"/>
  <c r="BO368" i="5"/>
  <c r="BC368" i="5" s="1"/>
  <c r="BN368" i="5"/>
  <c r="BM368" i="5"/>
  <c r="BL368" i="5"/>
  <c r="BK368" i="5"/>
  <c r="BJ368" i="5"/>
  <c r="BI368" i="5"/>
  <c r="BG368" i="5"/>
  <c r="BE368" i="5"/>
  <c r="BD368" i="5"/>
  <c r="BB368" i="5"/>
  <c r="BA368" i="5"/>
  <c r="AZ368" i="5"/>
  <c r="BP367" i="5"/>
  <c r="BO367" i="5"/>
  <c r="BC367" i="5" s="1"/>
  <c r="BN367" i="5"/>
  <c r="BM367" i="5"/>
  <c r="BL367" i="5"/>
  <c r="BK367" i="5"/>
  <c r="BJ367" i="5"/>
  <c r="BI367" i="5"/>
  <c r="BG367" i="5"/>
  <c r="BE367" i="5"/>
  <c r="BD367" i="5"/>
  <c r="BB367" i="5"/>
  <c r="BA367" i="5"/>
  <c r="AZ367" i="5"/>
  <c r="BP366" i="5"/>
  <c r="BO366" i="5"/>
  <c r="BC366" i="5" s="1"/>
  <c r="BN366" i="5"/>
  <c r="BM366" i="5"/>
  <c r="BL366" i="5"/>
  <c r="BK366" i="5"/>
  <c r="BJ366" i="5"/>
  <c r="BI366" i="5"/>
  <c r="BG366" i="5"/>
  <c r="BE366" i="5"/>
  <c r="BD366" i="5"/>
  <c r="BB366" i="5"/>
  <c r="BA366" i="5"/>
  <c r="AZ366" i="5"/>
  <c r="BP365" i="5"/>
  <c r="BO365" i="5"/>
  <c r="BC365" i="5" s="1"/>
  <c r="BN365" i="5"/>
  <c r="BM365" i="5"/>
  <c r="BL365" i="5"/>
  <c r="BK365" i="5"/>
  <c r="BJ365" i="5"/>
  <c r="BI365" i="5"/>
  <c r="BG365" i="5"/>
  <c r="BE365" i="5"/>
  <c r="BD365" i="5"/>
  <c r="BB365" i="5"/>
  <c r="BA365" i="5"/>
  <c r="AZ365" i="5"/>
  <c r="BP364" i="5"/>
  <c r="BO364" i="5"/>
  <c r="BC364" i="5" s="1"/>
  <c r="BN364" i="5"/>
  <c r="BM364" i="5"/>
  <c r="BL364" i="5"/>
  <c r="BK364" i="5"/>
  <c r="BJ364" i="5"/>
  <c r="BI364" i="5"/>
  <c r="BG364" i="5"/>
  <c r="BE364" i="5"/>
  <c r="BD364" i="5"/>
  <c r="BB364" i="5"/>
  <c r="BA364" i="5"/>
  <c r="AZ364" i="5"/>
  <c r="BP363" i="5"/>
  <c r="BO363" i="5"/>
  <c r="BC363" i="5" s="1"/>
  <c r="BN363" i="5"/>
  <c r="BM363" i="5"/>
  <c r="BL363" i="5"/>
  <c r="BK363" i="5"/>
  <c r="BJ363" i="5"/>
  <c r="BI363" i="5"/>
  <c r="BG363" i="5"/>
  <c r="BE363" i="5"/>
  <c r="BD363" i="5"/>
  <c r="BB363" i="5"/>
  <c r="BA363" i="5"/>
  <c r="AZ363" i="5"/>
  <c r="BP362" i="5"/>
  <c r="BO362" i="5"/>
  <c r="BC362" i="5" s="1"/>
  <c r="BN362" i="5"/>
  <c r="BM362" i="5"/>
  <c r="BL362" i="5"/>
  <c r="BK362" i="5"/>
  <c r="BJ362" i="5"/>
  <c r="BI362" i="5"/>
  <c r="BG362" i="5"/>
  <c r="BE362" i="5"/>
  <c r="BD362" i="5"/>
  <c r="BB362" i="5"/>
  <c r="BA362" i="5"/>
  <c r="AZ362" i="5"/>
  <c r="BP361" i="5"/>
  <c r="BO361" i="5"/>
  <c r="BC361" i="5" s="1"/>
  <c r="BN361" i="5"/>
  <c r="BM361" i="5"/>
  <c r="BL361" i="5"/>
  <c r="BK361" i="5"/>
  <c r="BJ361" i="5"/>
  <c r="BI361" i="5"/>
  <c r="BG361" i="5"/>
  <c r="BE361" i="5"/>
  <c r="BD361" i="5"/>
  <c r="BB361" i="5"/>
  <c r="BA361" i="5"/>
  <c r="AZ361" i="5"/>
  <c r="BP360" i="5"/>
  <c r="BO360" i="5"/>
  <c r="BC360" i="5" s="1"/>
  <c r="BN360" i="5"/>
  <c r="BM360" i="5"/>
  <c r="BL360" i="5"/>
  <c r="BK360" i="5"/>
  <c r="BJ360" i="5"/>
  <c r="BI360" i="5"/>
  <c r="BG360" i="5"/>
  <c r="BE360" i="5"/>
  <c r="BD360" i="5"/>
  <c r="BB360" i="5"/>
  <c r="BA360" i="5"/>
  <c r="AZ360" i="5"/>
  <c r="BP359" i="5"/>
  <c r="BO359" i="5"/>
  <c r="BC359" i="5" s="1"/>
  <c r="BN359" i="5"/>
  <c r="BM359" i="5"/>
  <c r="BL359" i="5"/>
  <c r="BK359" i="5"/>
  <c r="BJ359" i="5"/>
  <c r="BI359" i="5"/>
  <c r="BG359" i="5"/>
  <c r="BE359" i="5"/>
  <c r="BD359" i="5"/>
  <c r="BB359" i="5"/>
  <c r="BA359" i="5"/>
  <c r="AZ359" i="5"/>
  <c r="BP358" i="5"/>
  <c r="BO358" i="5"/>
  <c r="BC358" i="5" s="1"/>
  <c r="BN358" i="5"/>
  <c r="BM358" i="5"/>
  <c r="BL358" i="5"/>
  <c r="BK358" i="5"/>
  <c r="BJ358" i="5"/>
  <c r="BI358" i="5"/>
  <c r="BG358" i="5"/>
  <c r="BE358" i="5"/>
  <c r="BD358" i="5"/>
  <c r="BB358" i="5"/>
  <c r="BA358" i="5"/>
  <c r="AZ358" i="5"/>
  <c r="BP357" i="5"/>
  <c r="BO357" i="5"/>
  <c r="BC357" i="5" s="1"/>
  <c r="BN357" i="5"/>
  <c r="BM357" i="5"/>
  <c r="BL357" i="5"/>
  <c r="BK357" i="5"/>
  <c r="BJ357" i="5"/>
  <c r="BI357" i="5"/>
  <c r="BG357" i="5"/>
  <c r="BE357" i="5"/>
  <c r="BD357" i="5"/>
  <c r="BB357" i="5"/>
  <c r="BA357" i="5"/>
  <c r="AZ357" i="5"/>
  <c r="BP356" i="5"/>
  <c r="BO356" i="5"/>
  <c r="BC356" i="5" s="1"/>
  <c r="BN356" i="5"/>
  <c r="BM356" i="5"/>
  <c r="BL356" i="5"/>
  <c r="BK356" i="5"/>
  <c r="BJ356" i="5"/>
  <c r="BI356" i="5"/>
  <c r="BG356" i="5"/>
  <c r="BE356" i="5"/>
  <c r="BD356" i="5"/>
  <c r="BB356" i="5"/>
  <c r="BA356" i="5"/>
  <c r="AZ356" i="5"/>
  <c r="BP355" i="5"/>
  <c r="BO355" i="5"/>
  <c r="BC355" i="5" s="1"/>
  <c r="BN355" i="5"/>
  <c r="BM355" i="5"/>
  <c r="BL355" i="5"/>
  <c r="BK355" i="5"/>
  <c r="BJ355" i="5"/>
  <c r="BI355" i="5"/>
  <c r="BG355" i="5"/>
  <c r="BE355" i="5"/>
  <c r="BD355" i="5"/>
  <c r="BB355" i="5"/>
  <c r="BA355" i="5"/>
  <c r="AZ355" i="5"/>
  <c r="BP354" i="5"/>
  <c r="BO354" i="5"/>
  <c r="BC354" i="5" s="1"/>
  <c r="BN354" i="5"/>
  <c r="BM354" i="5"/>
  <c r="BL354" i="5"/>
  <c r="BK354" i="5"/>
  <c r="BJ354" i="5"/>
  <c r="BI354" i="5"/>
  <c r="BG354" i="5"/>
  <c r="BE354" i="5"/>
  <c r="BD354" i="5"/>
  <c r="BB354" i="5"/>
  <c r="BA354" i="5"/>
  <c r="AZ354" i="5"/>
  <c r="BP353" i="5"/>
  <c r="BO353" i="5"/>
  <c r="BC353" i="5" s="1"/>
  <c r="BN353" i="5"/>
  <c r="BM353" i="5"/>
  <c r="BL353" i="5"/>
  <c r="BK353" i="5"/>
  <c r="BJ353" i="5"/>
  <c r="BI353" i="5"/>
  <c r="BG353" i="5"/>
  <c r="BE353" i="5"/>
  <c r="BD353" i="5"/>
  <c r="BB353" i="5"/>
  <c r="BA353" i="5"/>
  <c r="AZ353" i="5"/>
  <c r="BP352" i="5"/>
  <c r="BO352" i="5"/>
  <c r="BC352" i="5" s="1"/>
  <c r="BN352" i="5"/>
  <c r="BM352" i="5"/>
  <c r="BL352" i="5"/>
  <c r="BK352" i="5"/>
  <c r="BJ352" i="5"/>
  <c r="BI352" i="5"/>
  <c r="BG352" i="5"/>
  <c r="BE352" i="5"/>
  <c r="BD352" i="5"/>
  <c r="BB352" i="5"/>
  <c r="BA352" i="5"/>
  <c r="AZ352" i="5"/>
  <c r="BP351" i="5"/>
  <c r="BO351" i="5"/>
  <c r="BC351" i="5" s="1"/>
  <c r="BN351" i="5"/>
  <c r="BM351" i="5"/>
  <c r="BL351" i="5"/>
  <c r="BK351" i="5"/>
  <c r="BJ351" i="5"/>
  <c r="BI351" i="5"/>
  <c r="BG351" i="5"/>
  <c r="BE351" i="5"/>
  <c r="BD351" i="5"/>
  <c r="BB351" i="5"/>
  <c r="BA351" i="5"/>
  <c r="AZ351" i="5"/>
  <c r="BP350" i="5"/>
  <c r="BO350" i="5"/>
  <c r="BC350" i="5" s="1"/>
  <c r="BN350" i="5"/>
  <c r="BM350" i="5"/>
  <c r="BL350" i="5"/>
  <c r="BK350" i="5"/>
  <c r="BJ350" i="5"/>
  <c r="BI350" i="5"/>
  <c r="BG350" i="5"/>
  <c r="BE350" i="5"/>
  <c r="BD350" i="5"/>
  <c r="BB350" i="5"/>
  <c r="BA350" i="5"/>
  <c r="AZ350" i="5"/>
  <c r="BP349" i="5"/>
  <c r="BO349" i="5"/>
  <c r="BC349" i="5" s="1"/>
  <c r="BN349" i="5"/>
  <c r="BM349" i="5"/>
  <c r="BL349" i="5"/>
  <c r="BK349" i="5"/>
  <c r="BJ349" i="5"/>
  <c r="BI349" i="5"/>
  <c r="BG349" i="5"/>
  <c r="BE349" i="5"/>
  <c r="BD349" i="5"/>
  <c r="BB349" i="5"/>
  <c r="BA349" i="5"/>
  <c r="AZ349" i="5"/>
  <c r="BP348" i="5"/>
  <c r="BO348" i="5"/>
  <c r="BC348" i="5" s="1"/>
  <c r="BN348" i="5"/>
  <c r="BM348" i="5"/>
  <c r="BL348" i="5"/>
  <c r="BK348" i="5"/>
  <c r="BJ348" i="5"/>
  <c r="BI348" i="5"/>
  <c r="BG348" i="5"/>
  <c r="BE348" i="5"/>
  <c r="BD348" i="5"/>
  <c r="BB348" i="5"/>
  <c r="BA348" i="5"/>
  <c r="AZ348" i="5"/>
  <c r="BP347" i="5"/>
  <c r="BO347" i="5"/>
  <c r="BC347" i="5" s="1"/>
  <c r="BN347" i="5"/>
  <c r="BM347" i="5"/>
  <c r="BL347" i="5"/>
  <c r="BK347" i="5"/>
  <c r="BJ347" i="5"/>
  <c r="BI347" i="5"/>
  <c r="BG347" i="5"/>
  <c r="BE347" i="5"/>
  <c r="BD347" i="5"/>
  <c r="BB347" i="5"/>
  <c r="BA347" i="5"/>
  <c r="AZ347" i="5"/>
  <c r="BP346" i="5"/>
  <c r="BO346" i="5"/>
  <c r="BC346" i="5" s="1"/>
  <c r="BN346" i="5"/>
  <c r="BM346" i="5"/>
  <c r="BL346" i="5"/>
  <c r="BK346" i="5"/>
  <c r="BJ346" i="5"/>
  <c r="BI346" i="5"/>
  <c r="BG346" i="5"/>
  <c r="BE346" i="5"/>
  <c r="BD346" i="5"/>
  <c r="BB346" i="5"/>
  <c r="BA346" i="5"/>
  <c r="AZ346" i="5"/>
  <c r="BP345" i="5"/>
  <c r="BO345" i="5"/>
  <c r="BC345" i="5" s="1"/>
  <c r="BN345" i="5"/>
  <c r="BM345" i="5"/>
  <c r="BL345" i="5"/>
  <c r="BK345" i="5"/>
  <c r="BJ345" i="5"/>
  <c r="BI345" i="5"/>
  <c r="BG345" i="5"/>
  <c r="BE345" i="5"/>
  <c r="BD345" i="5"/>
  <c r="BB345" i="5"/>
  <c r="BA345" i="5"/>
  <c r="AZ345" i="5"/>
  <c r="BP344" i="5"/>
  <c r="BO344" i="5"/>
  <c r="BC344" i="5" s="1"/>
  <c r="BN344" i="5"/>
  <c r="BM344" i="5"/>
  <c r="BL344" i="5"/>
  <c r="BK344" i="5"/>
  <c r="BJ344" i="5"/>
  <c r="BI344" i="5"/>
  <c r="BG344" i="5"/>
  <c r="BE344" i="5"/>
  <c r="BD344" i="5"/>
  <c r="BB344" i="5"/>
  <c r="BA344" i="5"/>
  <c r="AZ344" i="5"/>
  <c r="BP343" i="5"/>
  <c r="BO343" i="5"/>
  <c r="BC343" i="5" s="1"/>
  <c r="BN343" i="5"/>
  <c r="BM343" i="5"/>
  <c r="BL343" i="5"/>
  <c r="BK343" i="5"/>
  <c r="BJ343" i="5"/>
  <c r="BI343" i="5"/>
  <c r="BG343" i="5"/>
  <c r="BE343" i="5"/>
  <c r="BD343" i="5"/>
  <c r="BB343" i="5"/>
  <c r="BA343" i="5"/>
  <c r="AZ343" i="5"/>
  <c r="BP342" i="5"/>
  <c r="BO342" i="5"/>
  <c r="BC342" i="5" s="1"/>
  <c r="BN342" i="5"/>
  <c r="BM342" i="5"/>
  <c r="BL342" i="5"/>
  <c r="BK342" i="5"/>
  <c r="BJ342" i="5"/>
  <c r="BI342" i="5"/>
  <c r="BG342" i="5"/>
  <c r="BE342" i="5"/>
  <c r="BD342" i="5"/>
  <c r="BB342" i="5"/>
  <c r="BA342" i="5"/>
  <c r="AZ342" i="5"/>
  <c r="BP341" i="5"/>
  <c r="BO341" i="5"/>
  <c r="BC341" i="5" s="1"/>
  <c r="BN341" i="5"/>
  <c r="BM341" i="5"/>
  <c r="BL341" i="5"/>
  <c r="BK341" i="5"/>
  <c r="BJ341" i="5"/>
  <c r="BI341" i="5"/>
  <c r="BG341" i="5"/>
  <c r="BE341" i="5"/>
  <c r="BD341" i="5"/>
  <c r="BB341" i="5"/>
  <c r="BA341" i="5"/>
  <c r="AZ341" i="5"/>
  <c r="BP340" i="5"/>
  <c r="BO340" i="5"/>
  <c r="BC340" i="5" s="1"/>
  <c r="BN340" i="5"/>
  <c r="BM340" i="5"/>
  <c r="BL340" i="5"/>
  <c r="BK340" i="5"/>
  <c r="BJ340" i="5"/>
  <c r="BI340" i="5"/>
  <c r="BG340" i="5"/>
  <c r="BE340" i="5"/>
  <c r="BD340" i="5"/>
  <c r="BB340" i="5"/>
  <c r="BA340" i="5"/>
  <c r="AZ340" i="5"/>
  <c r="BP339" i="5"/>
  <c r="BO339" i="5"/>
  <c r="BC339" i="5" s="1"/>
  <c r="BN339" i="5"/>
  <c r="BM339" i="5"/>
  <c r="BL339" i="5"/>
  <c r="BK339" i="5"/>
  <c r="BJ339" i="5"/>
  <c r="BI339" i="5"/>
  <c r="BG339" i="5"/>
  <c r="BE339" i="5"/>
  <c r="BD339" i="5"/>
  <c r="BB339" i="5"/>
  <c r="BA339" i="5"/>
  <c r="AZ339" i="5"/>
  <c r="BP338" i="5"/>
  <c r="BO338" i="5"/>
  <c r="BC338" i="5" s="1"/>
  <c r="BN338" i="5"/>
  <c r="BM338" i="5"/>
  <c r="BL338" i="5"/>
  <c r="BK338" i="5"/>
  <c r="BJ338" i="5"/>
  <c r="BI338" i="5"/>
  <c r="BG338" i="5"/>
  <c r="BE338" i="5"/>
  <c r="BD338" i="5"/>
  <c r="BB338" i="5"/>
  <c r="BA338" i="5"/>
  <c r="AZ338" i="5"/>
  <c r="BP337" i="5"/>
  <c r="BO337" i="5"/>
  <c r="BC337" i="5" s="1"/>
  <c r="BN337" i="5"/>
  <c r="BM337" i="5"/>
  <c r="BL337" i="5"/>
  <c r="BK337" i="5"/>
  <c r="BJ337" i="5"/>
  <c r="BI337" i="5"/>
  <c r="BG337" i="5"/>
  <c r="BE337" i="5"/>
  <c r="BD337" i="5"/>
  <c r="BB337" i="5"/>
  <c r="BA337" i="5"/>
  <c r="AZ337" i="5"/>
  <c r="BP336" i="5"/>
  <c r="BO336" i="5"/>
  <c r="BC336" i="5" s="1"/>
  <c r="BN336" i="5"/>
  <c r="BM336" i="5"/>
  <c r="BL336" i="5"/>
  <c r="BK336" i="5"/>
  <c r="BJ336" i="5"/>
  <c r="BI336" i="5"/>
  <c r="BG336" i="5"/>
  <c r="BE336" i="5"/>
  <c r="BD336" i="5"/>
  <c r="BB336" i="5"/>
  <c r="BA336" i="5"/>
  <c r="AZ336" i="5"/>
  <c r="BP335" i="5"/>
  <c r="BO335" i="5"/>
  <c r="BC335" i="5" s="1"/>
  <c r="BN335" i="5"/>
  <c r="BM335" i="5"/>
  <c r="BL335" i="5"/>
  <c r="BK335" i="5"/>
  <c r="BJ335" i="5"/>
  <c r="BI335" i="5"/>
  <c r="BG335" i="5"/>
  <c r="BE335" i="5"/>
  <c r="BD335" i="5"/>
  <c r="BB335" i="5"/>
  <c r="BA335" i="5"/>
  <c r="AZ335" i="5"/>
  <c r="BP334" i="5"/>
  <c r="BO334" i="5"/>
  <c r="BC334" i="5" s="1"/>
  <c r="BN334" i="5"/>
  <c r="BM334" i="5"/>
  <c r="BL334" i="5"/>
  <c r="BK334" i="5"/>
  <c r="BJ334" i="5"/>
  <c r="BI334" i="5"/>
  <c r="BG334" i="5"/>
  <c r="BE334" i="5"/>
  <c r="BD334" i="5"/>
  <c r="BB334" i="5"/>
  <c r="BA334" i="5"/>
  <c r="AZ334" i="5"/>
  <c r="BP333" i="5"/>
  <c r="BO333" i="5"/>
  <c r="BC333" i="5" s="1"/>
  <c r="BN333" i="5"/>
  <c r="BM333" i="5"/>
  <c r="BL333" i="5"/>
  <c r="BK333" i="5"/>
  <c r="BJ333" i="5"/>
  <c r="BI333" i="5"/>
  <c r="BG333" i="5"/>
  <c r="BE333" i="5"/>
  <c r="BD333" i="5"/>
  <c r="BB333" i="5"/>
  <c r="BA333" i="5"/>
  <c r="AZ333" i="5"/>
  <c r="BP332" i="5"/>
  <c r="BO332" i="5"/>
  <c r="BC332" i="5" s="1"/>
  <c r="BN332" i="5"/>
  <c r="BM332" i="5"/>
  <c r="BL332" i="5"/>
  <c r="BK332" i="5"/>
  <c r="BJ332" i="5"/>
  <c r="BI332" i="5"/>
  <c r="BG332" i="5"/>
  <c r="BE332" i="5"/>
  <c r="BD332" i="5"/>
  <c r="BB332" i="5"/>
  <c r="BA332" i="5"/>
  <c r="AZ332" i="5"/>
  <c r="BP331" i="5"/>
  <c r="BO331" i="5"/>
  <c r="BC331" i="5" s="1"/>
  <c r="BN331" i="5"/>
  <c r="BM331" i="5"/>
  <c r="BL331" i="5"/>
  <c r="BK331" i="5"/>
  <c r="BJ331" i="5"/>
  <c r="BI331" i="5"/>
  <c r="BG331" i="5"/>
  <c r="BE331" i="5"/>
  <c r="BD331" i="5"/>
  <c r="BB331" i="5"/>
  <c r="BA331" i="5"/>
  <c r="AZ331" i="5"/>
  <c r="BP330" i="5"/>
  <c r="BO330" i="5"/>
  <c r="BC330" i="5" s="1"/>
  <c r="BN330" i="5"/>
  <c r="BM330" i="5"/>
  <c r="BL330" i="5"/>
  <c r="BK330" i="5"/>
  <c r="BJ330" i="5"/>
  <c r="BI330" i="5"/>
  <c r="BG330" i="5"/>
  <c r="BE330" i="5"/>
  <c r="BD330" i="5"/>
  <c r="BB330" i="5"/>
  <c r="BA330" i="5"/>
  <c r="AZ330" i="5"/>
  <c r="BP329" i="5"/>
  <c r="BO329" i="5"/>
  <c r="BC329" i="5" s="1"/>
  <c r="BN329" i="5"/>
  <c r="BM329" i="5"/>
  <c r="BL329" i="5"/>
  <c r="BK329" i="5"/>
  <c r="BJ329" i="5"/>
  <c r="BI329" i="5"/>
  <c r="BG329" i="5"/>
  <c r="BE329" i="5"/>
  <c r="BD329" i="5"/>
  <c r="BB329" i="5"/>
  <c r="BA329" i="5"/>
  <c r="AZ329" i="5"/>
  <c r="BP328" i="5"/>
  <c r="BO328" i="5"/>
  <c r="BC328" i="5" s="1"/>
  <c r="BN328" i="5"/>
  <c r="BM328" i="5"/>
  <c r="BL328" i="5"/>
  <c r="BK328" i="5"/>
  <c r="BJ328" i="5"/>
  <c r="BI328" i="5"/>
  <c r="BG328" i="5"/>
  <c r="BE328" i="5"/>
  <c r="BD328" i="5"/>
  <c r="BB328" i="5"/>
  <c r="BA328" i="5"/>
  <c r="AZ328" i="5"/>
  <c r="BP327" i="5"/>
  <c r="BO327" i="5"/>
  <c r="BC327" i="5" s="1"/>
  <c r="BN327" i="5"/>
  <c r="BM327" i="5"/>
  <c r="BL327" i="5"/>
  <c r="BK327" i="5"/>
  <c r="BJ327" i="5"/>
  <c r="BI327" i="5"/>
  <c r="BG327" i="5"/>
  <c r="BE327" i="5"/>
  <c r="BD327" i="5"/>
  <c r="BB327" i="5"/>
  <c r="BA327" i="5"/>
  <c r="AZ327" i="5"/>
  <c r="BP326" i="5"/>
  <c r="BO326" i="5"/>
  <c r="BC326" i="5" s="1"/>
  <c r="BN326" i="5"/>
  <c r="BM326" i="5"/>
  <c r="BL326" i="5"/>
  <c r="BK326" i="5"/>
  <c r="BJ326" i="5"/>
  <c r="BI326" i="5"/>
  <c r="BG326" i="5"/>
  <c r="BE326" i="5"/>
  <c r="BD326" i="5"/>
  <c r="BB326" i="5"/>
  <c r="BA326" i="5"/>
  <c r="AZ326" i="5"/>
  <c r="BP325" i="5"/>
  <c r="BO325" i="5"/>
  <c r="BC325" i="5" s="1"/>
  <c r="BN325" i="5"/>
  <c r="BM325" i="5"/>
  <c r="BL325" i="5"/>
  <c r="BK325" i="5"/>
  <c r="BJ325" i="5"/>
  <c r="BI325" i="5"/>
  <c r="BG325" i="5"/>
  <c r="BE325" i="5"/>
  <c r="BD325" i="5"/>
  <c r="BB325" i="5"/>
  <c r="BA325" i="5"/>
  <c r="AZ325" i="5"/>
  <c r="BP324" i="5"/>
  <c r="BO324" i="5"/>
  <c r="BC324" i="5" s="1"/>
  <c r="BN324" i="5"/>
  <c r="BM324" i="5"/>
  <c r="BL324" i="5"/>
  <c r="BK324" i="5"/>
  <c r="BJ324" i="5"/>
  <c r="BI324" i="5"/>
  <c r="BG324" i="5"/>
  <c r="BE324" i="5"/>
  <c r="BD324" i="5"/>
  <c r="BB324" i="5"/>
  <c r="BA324" i="5"/>
  <c r="AZ324" i="5"/>
  <c r="BP323" i="5"/>
  <c r="BO323" i="5"/>
  <c r="BC323" i="5" s="1"/>
  <c r="BN323" i="5"/>
  <c r="BM323" i="5"/>
  <c r="BL323" i="5"/>
  <c r="BK323" i="5"/>
  <c r="BJ323" i="5"/>
  <c r="BI323" i="5"/>
  <c r="BG323" i="5"/>
  <c r="BE323" i="5"/>
  <c r="BD323" i="5"/>
  <c r="BB323" i="5"/>
  <c r="BA323" i="5"/>
  <c r="AZ323" i="5"/>
  <c r="BP322" i="5"/>
  <c r="BO322" i="5"/>
  <c r="BC322" i="5" s="1"/>
  <c r="BN322" i="5"/>
  <c r="BM322" i="5"/>
  <c r="BL322" i="5"/>
  <c r="BK322" i="5"/>
  <c r="BJ322" i="5"/>
  <c r="BI322" i="5"/>
  <c r="BG322" i="5"/>
  <c r="BE322" i="5"/>
  <c r="BD322" i="5"/>
  <c r="BB322" i="5"/>
  <c r="BA322" i="5"/>
  <c r="AZ322" i="5"/>
  <c r="BP321" i="5"/>
  <c r="BO321" i="5"/>
  <c r="BC321" i="5" s="1"/>
  <c r="BN321" i="5"/>
  <c r="BM321" i="5"/>
  <c r="BL321" i="5"/>
  <c r="BK321" i="5"/>
  <c r="BJ321" i="5"/>
  <c r="BI321" i="5"/>
  <c r="BG321" i="5"/>
  <c r="BE321" i="5"/>
  <c r="BD321" i="5"/>
  <c r="BB321" i="5"/>
  <c r="BA321" i="5"/>
  <c r="AZ321" i="5"/>
  <c r="BP320" i="5"/>
  <c r="BO320" i="5"/>
  <c r="BC320" i="5" s="1"/>
  <c r="BN320" i="5"/>
  <c r="BM320" i="5"/>
  <c r="BL320" i="5"/>
  <c r="BK320" i="5"/>
  <c r="BJ320" i="5"/>
  <c r="BI320" i="5"/>
  <c r="BG320" i="5"/>
  <c r="BE320" i="5"/>
  <c r="BD320" i="5"/>
  <c r="BB320" i="5"/>
  <c r="BA320" i="5"/>
  <c r="AZ320" i="5"/>
  <c r="BP319" i="5"/>
  <c r="BO319" i="5"/>
  <c r="BC319" i="5" s="1"/>
  <c r="BN319" i="5"/>
  <c r="BM319" i="5"/>
  <c r="BL319" i="5"/>
  <c r="BK319" i="5"/>
  <c r="BJ319" i="5"/>
  <c r="BI319" i="5"/>
  <c r="BG319" i="5"/>
  <c r="BE319" i="5"/>
  <c r="BD319" i="5"/>
  <c r="BB319" i="5"/>
  <c r="BA319" i="5"/>
  <c r="AZ319" i="5"/>
  <c r="BP318" i="5"/>
  <c r="BO318" i="5"/>
  <c r="BC318" i="5" s="1"/>
  <c r="BN318" i="5"/>
  <c r="BM318" i="5"/>
  <c r="BL318" i="5"/>
  <c r="BK318" i="5"/>
  <c r="BJ318" i="5"/>
  <c r="BI318" i="5"/>
  <c r="BG318" i="5"/>
  <c r="BE318" i="5"/>
  <c r="BD318" i="5"/>
  <c r="BB318" i="5"/>
  <c r="BA318" i="5"/>
  <c r="AZ318" i="5"/>
  <c r="BP317" i="5"/>
  <c r="BO317" i="5"/>
  <c r="BC317" i="5" s="1"/>
  <c r="BN317" i="5"/>
  <c r="BM317" i="5"/>
  <c r="BL317" i="5"/>
  <c r="BK317" i="5"/>
  <c r="BJ317" i="5"/>
  <c r="BI317" i="5"/>
  <c r="BG317" i="5"/>
  <c r="BE317" i="5"/>
  <c r="BD317" i="5"/>
  <c r="BB317" i="5"/>
  <c r="BA317" i="5"/>
  <c r="AZ317" i="5"/>
  <c r="BP316" i="5"/>
  <c r="BO316" i="5"/>
  <c r="BC316" i="5" s="1"/>
  <c r="BN316" i="5"/>
  <c r="BM316" i="5"/>
  <c r="BL316" i="5"/>
  <c r="BK316" i="5"/>
  <c r="BJ316" i="5"/>
  <c r="BI316" i="5"/>
  <c r="BG316" i="5"/>
  <c r="BE316" i="5"/>
  <c r="BD316" i="5"/>
  <c r="BB316" i="5"/>
  <c r="BA316" i="5"/>
  <c r="AZ316" i="5"/>
  <c r="BP315" i="5"/>
  <c r="BO315" i="5"/>
  <c r="BC315" i="5" s="1"/>
  <c r="BN315" i="5"/>
  <c r="BM315" i="5"/>
  <c r="BL315" i="5"/>
  <c r="BK315" i="5"/>
  <c r="BJ315" i="5"/>
  <c r="BI315" i="5"/>
  <c r="BG315" i="5"/>
  <c r="BE315" i="5"/>
  <c r="BD315" i="5"/>
  <c r="BB315" i="5"/>
  <c r="BA315" i="5"/>
  <c r="AZ315" i="5"/>
  <c r="BP314" i="5"/>
  <c r="BO314" i="5"/>
  <c r="BC314" i="5" s="1"/>
  <c r="BN314" i="5"/>
  <c r="BM314" i="5"/>
  <c r="BL314" i="5"/>
  <c r="BK314" i="5"/>
  <c r="BJ314" i="5"/>
  <c r="BI314" i="5"/>
  <c r="BG314" i="5"/>
  <c r="BE314" i="5"/>
  <c r="BD314" i="5"/>
  <c r="BB314" i="5"/>
  <c r="BA314" i="5"/>
  <c r="AZ314" i="5"/>
  <c r="BP313" i="5"/>
  <c r="BO313" i="5"/>
  <c r="BC313" i="5" s="1"/>
  <c r="BN313" i="5"/>
  <c r="BM313" i="5"/>
  <c r="BL313" i="5"/>
  <c r="BK313" i="5"/>
  <c r="BJ313" i="5"/>
  <c r="BI313" i="5"/>
  <c r="BG313" i="5"/>
  <c r="BE313" i="5"/>
  <c r="BD313" i="5"/>
  <c r="BB313" i="5"/>
  <c r="BA313" i="5"/>
  <c r="AZ313" i="5"/>
  <c r="BP312" i="5"/>
  <c r="BO312" i="5"/>
  <c r="BC312" i="5" s="1"/>
  <c r="BN312" i="5"/>
  <c r="BM312" i="5"/>
  <c r="BL312" i="5"/>
  <c r="BK312" i="5"/>
  <c r="BJ312" i="5"/>
  <c r="BI312" i="5"/>
  <c r="BG312" i="5"/>
  <c r="BE312" i="5"/>
  <c r="BD312" i="5"/>
  <c r="BB312" i="5"/>
  <c r="BA312" i="5"/>
  <c r="AZ312" i="5"/>
  <c r="BP311" i="5"/>
  <c r="BO311" i="5"/>
  <c r="BC311" i="5" s="1"/>
  <c r="BN311" i="5"/>
  <c r="BM311" i="5"/>
  <c r="BL311" i="5"/>
  <c r="BK311" i="5"/>
  <c r="BJ311" i="5"/>
  <c r="BI311" i="5"/>
  <c r="BG311" i="5"/>
  <c r="BE311" i="5"/>
  <c r="BD311" i="5"/>
  <c r="BB311" i="5"/>
  <c r="BA311" i="5"/>
  <c r="AZ311" i="5"/>
  <c r="BP310" i="5"/>
  <c r="BO310" i="5"/>
  <c r="BC310" i="5" s="1"/>
  <c r="BN310" i="5"/>
  <c r="BM310" i="5"/>
  <c r="BL310" i="5"/>
  <c r="BK310" i="5"/>
  <c r="BJ310" i="5"/>
  <c r="BI310" i="5"/>
  <c r="BG310" i="5"/>
  <c r="BE310" i="5"/>
  <c r="BD310" i="5"/>
  <c r="BB310" i="5"/>
  <c r="BA310" i="5"/>
  <c r="AZ310" i="5"/>
  <c r="BP309" i="5"/>
  <c r="BO309" i="5"/>
  <c r="BC309" i="5" s="1"/>
  <c r="BN309" i="5"/>
  <c r="BM309" i="5"/>
  <c r="BL309" i="5"/>
  <c r="BK309" i="5"/>
  <c r="BJ309" i="5"/>
  <c r="BI309" i="5"/>
  <c r="BG309" i="5"/>
  <c r="BE309" i="5"/>
  <c r="BD309" i="5"/>
  <c r="BB309" i="5"/>
  <c r="BA309" i="5"/>
  <c r="AZ309" i="5"/>
  <c r="BP308" i="5"/>
  <c r="BO308" i="5"/>
  <c r="BC308" i="5" s="1"/>
  <c r="BN308" i="5"/>
  <c r="BM308" i="5"/>
  <c r="BL308" i="5"/>
  <c r="BK308" i="5"/>
  <c r="BJ308" i="5"/>
  <c r="BI308" i="5"/>
  <c r="BG308" i="5"/>
  <c r="BE308" i="5"/>
  <c r="BD308" i="5"/>
  <c r="BB308" i="5"/>
  <c r="BA308" i="5"/>
  <c r="AZ308" i="5"/>
  <c r="BP307" i="5"/>
  <c r="BO307" i="5"/>
  <c r="BC307" i="5" s="1"/>
  <c r="BN307" i="5"/>
  <c r="BM307" i="5"/>
  <c r="BL307" i="5"/>
  <c r="BK307" i="5"/>
  <c r="BJ307" i="5"/>
  <c r="BI307" i="5"/>
  <c r="BG307" i="5"/>
  <c r="BE307" i="5"/>
  <c r="BD307" i="5"/>
  <c r="BB307" i="5"/>
  <c r="BA307" i="5"/>
  <c r="AZ307" i="5"/>
  <c r="BP306" i="5"/>
  <c r="BO306" i="5"/>
  <c r="BC306" i="5" s="1"/>
  <c r="BN306" i="5"/>
  <c r="BM306" i="5"/>
  <c r="BL306" i="5"/>
  <c r="BK306" i="5"/>
  <c r="BJ306" i="5"/>
  <c r="BI306" i="5"/>
  <c r="BG306" i="5"/>
  <c r="BE306" i="5"/>
  <c r="BD306" i="5"/>
  <c r="BB306" i="5"/>
  <c r="BA306" i="5"/>
  <c r="AZ306" i="5"/>
  <c r="BP305" i="5"/>
  <c r="BO305" i="5"/>
  <c r="BC305" i="5" s="1"/>
  <c r="BN305" i="5"/>
  <c r="BM305" i="5"/>
  <c r="BL305" i="5"/>
  <c r="BK305" i="5"/>
  <c r="BJ305" i="5"/>
  <c r="BI305" i="5"/>
  <c r="BG305" i="5"/>
  <c r="BE305" i="5"/>
  <c r="BD305" i="5"/>
  <c r="BB305" i="5"/>
  <c r="BA305" i="5"/>
  <c r="AZ305" i="5"/>
  <c r="BP304" i="5"/>
  <c r="BO304" i="5"/>
  <c r="BC304" i="5" s="1"/>
  <c r="BN304" i="5"/>
  <c r="BM304" i="5"/>
  <c r="BL304" i="5"/>
  <c r="BK304" i="5"/>
  <c r="BJ304" i="5"/>
  <c r="BI304" i="5"/>
  <c r="BG304" i="5"/>
  <c r="BE304" i="5"/>
  <c r="BD304" i="5"/>
  <c r="BB304" i="5"/>
  <c r="BA304" i="5"/>
  <c r="AZ304" i="5"/>
  <c r="BP303" i="5"/>
  <c r="BO303" i="5"/>
  <c r="BC303" i="5" s="1"/>
  <c r="BN303" i="5"/>
  <c r="BM303" i="5"/>
  <c r="BL303" i="5"/>
  <c r="BK303" i="5"/>
  <c r="BJ303" i="5"/>
  <c r="BI303" i="5"/>
  <c r="BG303" i="5"/>
  <c r="BE303" i="5"/>
  <c r="BD303" i="5"/>
  <c r="BB303" i="5"/>
  <c r="BA303" i="5"/>
  <c r="AZ303" i="5"/>
  <c r="BP302" i="5"/>
  <c r="BO302" i="5"/>
  <c r="BC302" i="5" s="1"/>
  <c r="BN302" i="5"/>
  <c r="BM302" i="5"/>
  <c r="BL302" i="5"/>
  <c r="BK302" i="5"/>
  <c r="BJ302" i="5"/>
  <c r="BI302" i="5"/>
  <c r="BG302" i="5"/>
  <c r="BE302" i="5"/>
  <c r="BD302" i="5"/>
  <c r="BB302" i="5"/>
  <c r="BA302" i="5"/>
  <c r="AZ302" i="5"/>
  <c r="BP301" i="5"/>
  <c r="BO301" i="5"/>
  <c r="BC301" i="5" s="1"/>
  <c r="BN301" i="5"/>
  <c r="BM301" i="5"/>
  <c r="BL301" i="5"/>
  <c r="BK301" i="5"/>
  <c r="BJ301" i="5"/>
  <c r="BI301" i="5"/>
  <c r="BG301" i="5"/>
  <c r="BE301" i="5"/>
  <c r="BD301" i="5"/>
  <c r="BB301" i="5"/>
  <c r="BA301" i="5"/>
  <c r="AZ301" i="5"/>
  <c r="BP300" i="5"/>
  <c r="BO300" i="5"/>
  <c r="BC300" i="5" s="1"/>
  <c r="BN300" i="5"/>
  <c r="BM300" i="5"/>
  <c r="BL300" i="5"/>
  <c r="BK300" i="5"/>
  <c r="BJ300" i="5"/>
  <c r="BI300" i="5"/>
  <c r="BG300" i="5"/>
  <c r="BE300" i="5"/>
  <c r="BD300" i="5"/>
  <c r="BB300" i="5"/>
  <c r="BA300" i="5"/>
  <c r="AZ300" i="5"/>
  <c r="BP299" i="5"/>
  <c r="BO299" i="5"/>
  <c r="BC299" i="5" s="1"/>
  <c r="BN299" i="5"/>
  <c r="BM299" i="5"/>
  <c r="BL299" i="5"/>
  <c r="BK299" i="5"/>
  <c r="BJ299" i="5"/>
  <c r="BI299" i="5"/>
  <c r="BG299" i="5"/>
  <c r="BE299" i="5"/>
  <c r="BD299" i="5"/>
  <c r="BB299" i="5"/>
  <c r="BA299" i="5"/>
  <c r="AZ299" i="5"/>
  <c r="BP298" i="5"/>
  <c r="BO298" i="5"/>
  <c r="BC298" i="5" s="1"/>
  <c r="BN298" i="5"/>
  <c r="BM298" i="5"/>
  <c r="BL298" i="5"/>
  <c r="BK298" i="5"/>
  <c r="BJ298" i="5"/>
  <c r="BI298" i="5"/>
  <c r="BG298" i="5"/>
  <c r="BE298" i="5"/>
  <c r="BD298" i="5"/>
  <c r="BB298" i="5"/>
  <c r="BA298" i="5"/>
  <c r="AZ298" i="5"/>
  <c r="BP297" i="5"/>
  <c r="BO297" i="5"/>
  <c r="BC297" i="5" s="1"/>
  <c r="BN297" i="5"/>
  <c r="BM297" i="5"/>
  <c r="BL297" i="5"/>
  <c r="BK297" i="5"/>
  <c r="BJ297" i="5"/>
  <c r="BI297" i="5"/>
  <c r="BG297" i="5"/>
  <c r="BE297" i="5"/>
  <c r="BD297" i="5"/>
  <c r="BB297" i="5"/>
  <c r="BA297" i="5"/>
  <c r="AZ297" i="5"/>
  <c r="BP296" i="5"/>
  <c r="BO296" i="5"/>
  <c r="BC296" i="5" s="1"/>
  <c r="BN296" i="5"/>
  <c r="BM296" i="5"/>
  <c r="BL296" i="5"/>
  <c r="BK296" i="5"/>
  <c r="BJ296" i="5"/>
  <c r="BI296" i="5"/>
  <c r="BG296" i="5"/>
  <c r="BE296" i="5"/>
  <c r="BD296" i="5"/>
  <c r="BB296" i="5"/>
  <c r="BA296" i="5"/>
  <c r="AZ296" i="5"/>
  <c r="BP295" i="5"/>
  <c r="BO295" i="5"/>
  <c r="BC295" i="5" s="1"/>
  <c r="BN295" i="5"/>
  <c r="BM295" i="5"/>
  <c r="BL295" i="5"/>
  <c r="BK295" i="5"/>
  <c r="BJ295" i="5"/>
  <c r="BI295" i="5"/>
  <c r="BG295" i="5"/>
  <c r="BE295" i="5"/>
  <c r="BD295" i="5"/>
  <c r="BB295" i="5"/>
  <c r="BA295" i="5"/>
  <c r="AZ295" i="5"/>
  <c r="BP294" i="5"/>
  <c r="BO294" i="5"/>
  <c r="BC294" i="5" s="1"/>
  <c r="BN294" i="5"/>
  <c r="BM294" i="5"/>
  <c r="BL294" i="5"/>
  <c r="BK294" i="5"/>
  <c r="BJ294" i="5"/>
  <c r="BI294" i="5"/>
  <c r="BG294" i="5"/>
  <c r="BE294" i="5"/>
  <c r="BD294" i="5"/>
  <c r="BB294" i="5"/>
  <c r="BA294" i="5"/>
  <c r="AZ294" i="5"/>
  <c r="BP293" i="5"/>
  <c r="BO293" i="5"/>
  <c r="BC293" i="5" s="1"/>
  <c r="BN293" i="5"/>
  <c r="BM293" i="5"/>
  <c r="BL293" i="5"/>
  <c r="BK293" i="5"/>
  <c r="BJ293" i="5"/>
  <c r="BI293" i="5"/>
  <c r="BG293" i="5"/>
  <c r="BE293" i="5"/>
  <c r="BD293" i="5"/>
  <c r="BB293" i="5"/>
  <c r="BA293" i="5"/>
  <c r="AZ293" i="5"/>
  <c r="BP292" i="5"/>
  <c r="BO292" i="5"/>
  <c r="BC292" i="5" s="1"/>
  <c r="BN292" i="5"/>
  <c r="BM292" i="5"/>
  <c r="BL292" i="5"/>
  <c r="BK292" i="5"/>
  <c r="BJ292" i="5"/>
  <c r="BI292" i="5"/>
  <c r="BG292" i="5"/>
  <c r="BE292" i="5"/>
  <c r="BD292" i="5"/>
  <c r="BB292" i="5"/>
  <c r="BA292" i="5"/>
  <c r="AZ292" i="5"/>
  <c r="BP291" i="5"/>
  <c r="BO291" i="5"/>
  <c r="BC291" i="5" s="1"/>
  <c r="BN291" i="5"/>
  <c r="BM291" i="5"/>
  <c r="BL291" i="5"/>
  <c r="BK291" i="5"/>
  <c r="BJ291" i="5"/>
  <c r="BI291" i="5"/>
  <c r="BG291" i="5"/>
  <c r="BE291" i="5"/>
  <c r="BD291" i="5"/>
  <c r="BB291" i="5"/>
  <c r="BA291" i="5"/>
  <c r="AZ291" i="5"/>
  <c r="BP290" i="5"/>
  <c r="BO290" i="5"/>
  <c r="BC290" i="5" s="1"/>
  <c r="BN290" i="5"/>
  <c r="BM290" i="5"/>
  <c r="BL290" i="5"/>
  <c r="BK290" i="5"/>
  <c r="BJ290" i="5"/>
  <c r="BI290" i="5"/>
  <c r="BG290" i="5"/>
  <c r="BE290" i="5"/>
  <c r="BD290" i="5"/>
  <c r="BB290" i="5"/>
  <c r="BA290" i="5"/>
  <c r="AZ290" i="5"/>
  <c r="BP289" i="5"/>
  <c r="BO289" i="5"/>
  <c r="BC289" i="5" s="1"/>
  <c r="BN289" i="5"/>
  <c r="BM289" i="5"/>
  <c r="BL289" i="5"/>
  <c r="BK289" i="5"/>
  <c r="BJ289" i="5"/>
  <c r="BI289" i="5"/>
  <c r="BG289" i="5"/>
  <c r="BE289" i="5"/>
  <c r="BD289" i="5"/>
  <c r="BB289" i="5"/>
  <c r="BA289" i="5"/>
  <c r="AZ289" i="5"/>
  <c r="BP288" i="5"/>
  <c r="BO288" i="5"/>
  <c r="BC288" i="5" s="1"/>
  <c r="BN288" i="5"/>
  <c r="BM288" i="5"/>
  <c r="BL288" i="5"/>
  <c r="BK288" i="5"/>
  <c r="BJ288" i="5"/>
  <c r="BI288" i="5"/>
  <c r="BG288" i="5"/>
  <c r="BE288" i="5"/>
  <c r="BD288" i="5"/>
  <c r="BB288" i="5"/>
  <c r="BA288" i="5"/>
  <c r="AZ288" i="5"/>
  <c r="BP287" i="5"/>
  <c r="BO287" i="5"/>
  <c r="BC287" i="5" s="1"/>
  <c r="BN287" i="5"/>
  <c r="BM287" i="5"/>
  <c r="BL287" i="5"/>
  <c r="BK287" i="5"/>
  <c r="BJ287" i="5"/>
  <c r="BI287" i="5"/>
  <c r="BG287" i="5"/>
  <c r="BE287" i="5"/>
  <c r="BD287" i="5"/>
  <c r="BB287" i="5"/>
  <c r="BA287" i="5"/>
  <c r="AZ287" i="5"/>
  <c r="BP286" i="5"/>
  <c r="BO286" i="5"/>
  <c r="BC286" i="5" s="1"/>
  <c r="BN286" i="5"/>
  <c r="BM286" i="5"/>
  <c r="BL286" i="5"/>
  <c r="BK286" i="5"/>
  <c r="BJ286" i="5"/>
  <c r="BI286" i="5"/>
  <c r="BG286" i="5"/>
  <c r="BE286" i="5"/>
  <c r="BD286" i="5"/>
  <c r="BB286" i="5"/>
  <c r="BA286" i="5"/>
  <c r="AZ286" i="5"/>
  <c r="BP285" i="5"/>
  <c r="BO285" i="5"/>
  <c r="BC285" i="5" s="1"/>
  <c r="BN285" i="5"/>
  <c r="BM285" i="5"/>
  <c r="BL285" i="5"/>
  <c r="BK285" i="5"/>
  <c r="BJ285" i="5"/>
  <c r="BI285" i="5"/>
  <c r="BG285" i="5"/>
  <c r="BE285" i="5"/>
  <c r="BD285" i="5"/>
  <c r="BB285" i="5"/>
  <c r="BA285" i="5"/>
  <c r="AZ285" i="5"/>
  <c r="BP284" i="5"/>
  <c r="BO284" i="5"/>
  <c r="BC284" i="5" s="1"/>
  <c r="BN284" i="5"/>
  <c r="BM284" i="5"/>
  <c r="BL284" i="5"/>
  <c r="BK284" i="5"/>
  <c r="BJ284" i="5"/>
  <c r="BI284" i="5"/>
  <c r="BG284" i="5"/>
  <c r="BE284" i="5"/>
  <c r="BD284" i="5"/>
  <c r="BB284" i="5"/>
  <c r="BA284" i="5"/>
  <c r="AZ284" i="5"/>
  <c r="BP283" i="5"/>
  <c r="BO283" i="5"/>
  <c r="BC283" i="5" s="1"/>
  <c r="BN283" i="5"/>
  <c r="BM283" i="5"/>
  <c r="BL283" i="5"/>
  <c r="BK283" i="5"/>
  <c r="BJ283" i="5"/>
  <c r="BI283" i="5"/>
  <c r="BG283" i="5"/>
  <c r="BE283" i="5"/>
  <c r="BD283" i="5"/>
  <c r="BB283" i="5"/>
  <c r="BA283" i="5"/>
  <c r="AZ283" i="5"/>
  <c r="BP282" i="5"/>
  <c r="BO282" i="5"/>
  <c r="BC282" i="5" s="1"/>
  <c r="BN282" i="5"/>
  <c r="BM282" i="5"/>
  <c r="BL282" i="5"/>
  <c r="BK282" i="5"/>
  <c r="BJ282" i="5"/>
  <c r="BI282" i="5"/>
  <c r="BG282" i="5"/>
  <c r="BE282" i="5"/>
  <c r="BD282" i="5"/>
  <c r="BB282" i="5"/>
  <c r="BA282" i="5"/>
  <c r="AZ282" i="5"/>
  <c r="BP281" i="5"/>
  <c r="BO281" i="5"/>
  <c r="BC281" i="5" s="1"/>
  <c r="BN281" i="5"/>
  <c r="BM281" i="5"/>
  <c r="BL281" i="5"/>
  <c r="BK281" i="5"/>
  <c r="BJ281" i="5"/>
  <c r="BI281" i="5"/>
  <c r="BG281" i="5"/>
  <c r="BE281" i="5"/>
  <c r="BD281" i="5"/>
  <c r="BB281" i="5"/>
  <c r="BA281" i="5"/>
  <c r="AZ281" i="5"/>
  <c r="BP280" i="5"/>
  <c r="BO280" i="5"/>
  <c r="BC280" i="5" s="1"/>
  <c r="BN280" i="5"/>
  <c r="BM280" i="5"/>
  <c r="BL280" i="5"/>
  <c r="BK280" i="5"/>
  <c r="BJ280" i="5"/>
  <c r="BI280" i="5"/>
  <c r="BG280" i="5"/>
  <c r="BE280" i="5"/>
  <c r="BD280" i="5"/>
  <c r="BB280" i="5"/>
  <c r="BA280" i="5"/>
  <c r="AZ280" i="5"/>
  <c r="BP279" i="5"/>
  <c r="BO279" i="5"/>
  <c r="BC279" i="5" s="1"/>
  <c r="BN279" i="5"/>
  <c r="BM279" i="5"/>
  <c r="BL279" i="5"/>
  <c r="BK279" i="5"/>
  <c r="BJ279" i="5"/>
  <c r="BI279" i="5"/>
  <c r="BG279" i="5"/>
  <c r="BE279" i="5"/>
  <c r="BD279" i="5"/>
  <c r="BB279" i="5"/>
  <c r="BA279" i="5"/>
  <c r="AZ279" i="5"/>
  <c r="BP278" i="5"/>
  <c r="BO278" i="5"/>
  <c r="BC278" i="5" s="1"/>
  <c r="BN278" i="5"/>
  <c r="BM278" i="5"/>
  <c r="BL278" i="5"/>
  <c r="BK278" i="5"/>
  <c r="BJ278" i="5"/>
  <c r="BI278" i="5"/>
  <c r="BG278" i="5"/>
  <c r="BE278" i="5"/>
  <c r="BD278" i="5"/>
  <c r="BB278" i="5"/>
  <c r="BA278" i="5"/>
  <c r="AZ278" i="5"/>
  <c r="BP277" i="5"/>
  <c r="BO277" i="5"/>
  <c r="BC277" i="5" s="1"/>
  <c r="BN277" i="5"/>
  <c r="BM277" i="5"/>
  <c r="BL277" i="5"/>
  <c r="BK277" i="5"/>
  <c r="BJ277" i="5"/>
  <c r="BI277" i="5"/>
  <c r="BG277" i="5"/>
  <c r="BE277" i="5"/>
  <c r="BD277" i="5"/>
  <c r="BB277" i="5"/>
  <c r="BA277" i="5"/>
  <c r="AZ277" i="5"/>
  <c r="BP276" i="5"/>
  <c r="BO276" i="5"/>
  <c r="BC276" i="5" s="1"/>
  <c r="BN276" i="5"/>
  <c r="BM276" i="5"/>
  <c r="BL276" i="5"/>
  <c r="BK276" i="5"/>
  <c r="BJ276" i="5"/>
  <c r="BI276" i="5"/>
  <c r="BG276" i="5"/>
  <c r="BE276" i="5"/>
  <c r="BD276" i="5"/>
  <c r="BB276" i="5"/>
  <c r="BA276" i="5"/>
  <c r="AZ276" i="5"/>
  <c r="BP275" i="5"/>
  <c r="BO275" i="5"/>
  <c r="BC275" i="5" s="1"/>
  <c r="BN275" i="5"/>
  <c r="BM275" i="5"/>
  <c r="BL275" i="5"/>
  <c r="BK275" i="5"/>
  <c r="BJ275" i="5"/>
  <c r="BI275" i="5"/>
  <c r="BG275" i="5"/>
  <c r="BE275" i="5"/>
  <c r="BD275" i="5"/>
  <c r="BB275" i="5"/>
  <c r="BA275" i="5"/>
  <c r="AZ275" i="5"/>
  <c r="BP274" i="5"/>
  <c r="BO274" i="5"/>
  <c r="BC274" i="5" s="1"/>
  <c r="BN274" i="5"/>
  <c r="BM274" i="5"/>
  <c r="BL274" i="5"/>
  <c r="BK274" i="5"/>
  <c r="BJ274" i="5"/>
  <c r="BI274" i="5"/>
  <c r="BG274" i="5"/>
  <c r="BE274" i="5"/>
  <c r="BD274" i="5"/>
  <c r="BB274" i="5"/>
  <c r="BA274" i="5"/>
  <c r="AZ274" i="5"/>
  <c r="BP273" i="5"/>
  <c r="BO273" i="5"/>
  <c r="BC273" i="5" s="1"/>
  <c r="BN273" i="5"/>
  <c r="BM273" i="5"/>
  <c r="BL273" i="5"/>
  <c r="BK273" i="5"/>
  <c r="BJ273" i="5"/>
  <c r="BI273" i="5"/>
  <c r="BG273" i="5"/>
  <c r="BE273" i="5"/>
  <c r="BD273" i="5"/>
  <c r="BB273" i="5"/>
  <c r="BA273" i="5"/>
  <c r="AZ273" i="5"/>
  <c r="BP272" i="5"/>
  <c r="BO272" i="5"/>
  <c r="BC272" i="5" s="1"/>
  <c r="BN272" i="5"/>
  <c r="BM272" i="5"/>
  <c r="BL272" i="5"/>
  <c r="BK272" i="5"/>
  <c r="BJ272" i="5"/>
  <c r="BI272" i="5"/>
  <c r="BG272" i="5"/>
  <c r="BE272" i="5"/>
  <c r="BD272" i="5"/>
  <c r="BB272" i="5"/>
  <c r="BA272" i="5"/>
  <c r="AZ272" i="5"/>
  <c r="BP271" i="5"/>
  <c r="BO271" i="5"/>
  <c r="BC271" i="5" s="1"/>
  <c r="BN271" i="5"/>
  <c r="BM271" i="5"/>
  <c r="BL271" i="5"/>
  <c r="BK271" i="5"/>
  <c r="BJ271" i="5"/>
  <c r="BI271" i="5"/>
  <c r="BG271" i="5"/>
  <c r="BE271" i="5"/>
  <c r="BD271" i="5"/>
  <c r="BB271" i="5"/>
  <c r="BA271" i="5"/>
  <c r="AZ271" i="5"/>
  <c r="BP270" i="5"/>
  <c r="BO270" i="5"/>
  <c r="BC270" i="5" s="1"/>
  <c r="BN270" i="5"/>
  <c r="BM270" i="5"/>
  <c r="BL270" i="5"/>
  <c r="BK270" i="5"/>
  <c r="BJ270" i="5"/>
  <c r="BI270" i="5"/>
  <c r="BG270" i="5"/>
  <c r="BE270" i="5"/>
  <c r="BD270" i="5"/>
  <c r="BB270" i="5"/>
  <c r="BA270" i="5"/>
  <c r="AZ270" i="5"/>
  <c r="BP269" i="5"/>
  <c r="BO269" i="5"/>
  <c r="BC269" i="5" s="1"/>
  <c r="BN269" i="5"/>
  <c r="BM269" i="5"/>
  <c r="BL269" i="5"/>
  <c r="BK269" i="5"/>
  <c r="BJ269" i="5"/>
  <c r="BI269" i="5"/>
  <c r="BG269" i="5"/>
  <c r="BE269" i="5"/>
  <c r="BD269" i="5"/>
  <c r="BB269" i="5"/>
  <c r="BA269" i="5"/>
  <c r="AZ269" i="5"/>
  <c r="BP268" i="5"/>
  <c r="BO268" i="5"/>
  <c r="BC268" i="5" s="1"/>
  <c r="BN268" i="5"/>
  <c r="BM268" i="5"/>
  <c r="BL268" i="5"/>
  <c r="BK268" i="5"/>
  <c r="BJ268" i="5"/>
  <c r="BI268" i="5"/>
  <c r="BG268" i="5"/>
  <c r="BE268" i="5"/>
  <c r="BD268" i="5"/>
  <c r="BB268" i="5"/>
  <c r="BA268" i="5"/>
  <c r="AZ268" i="5"/>
  <c r="BP267" i="5"/>
  <c r="BO267" i="5"/>
  <c r="BC267" i="5" s="1"/>
  <c r="BN267" i="5"/>
  <c r="BM267" i="5"/>
  <c r="BL267" i="5"/>
  <c r="BK267" i="5"/>
  <c r="BJ267" i="5"/>
  <c r="BI267" i="5"/>
  <c r="BG267" i="5"/>
  <c r="BE267" i="5"/>
  <c r="BD267" i="5"/>
  <c r="BB267" i="5"/>
  <c r="BA267" i="5"/>
  <c r="AZ267" i="5"/>
  <c r="BP266" i="5"/>
  <c r="BO266" i="5"/>
  <c r="BC266" i="5" s="1"/>
  <c r="BN266" i="5"/>
  <c r="BM266" i="5"/>
  <c r="BL266" i="5"/>
  <c r="BK266" i="5"/>
  <c r="BJ266" i="5"/>
  <c r="BI266" i="5"/>
  <c r="BG266" i="5"/>
  <c r="BE266" i="5"/>
  <c r="BD266" i="5"/>
  <c r="BB266" i="5"/>
  <c r="BA266" i="5"/>
  <c r="AZ266" i="5"/>
  <c r="BP265" i="5"/>
  <c r="BO265" i="5"/>
  <c r="BC265" i="5" s="1"/>
  <c r="BN265" i="5"/>
  <c r="BM265" i="5"/>
  <c r="BL265" i="5"/>
  <c r="BK265" i="5"/>
  <c r="BJ265" i="5"/>
  <c r="BI265" i="5"/>
  <c r="BG265" i="5"/>
  <c r="BE265" i="5"/>
  <c r="BD265" i="5"/>
  <c r="BB265" i="5"/>
  <c r="BA265" i="5"/>
  <c r="AZ265" i="5"/>
  <c r="BP264" i="5"/>
  <c r="BO264" i="5"/>
  <c r="BC264" i="5" s="1"/>
  <c r="BN264" i="5"/>
  <c r="BM264" i="5"/>
  <c r="BL264" i="5"/>
  <c r="BK264" i="5"/>
  <c r="BJ264" i="5"/>
  <c r="BI264" i="5"/>
  <c r="BG264" i="5"/>
  <c r="BE264" i="5"/>
  <c r="BD264" i="5"/>
  <c r="BB264" i="5"/>
  <c r="BA264" i="5"/>
  <c r="AZ264" i="5"/>
  <c r="BP263" i="5"/>
  <c r="BO263" i="5"/>
  <c r="BC263" i="5" s="1"/>
  <c r="BN263" i="5"/>
  <c r="BM263" i="5"/>
  <c r="BL263" i="5"/>
  <c r="BK263" i="5"/>
  <c r="BJ263" i="5"/>
  <c r="BI263" i="5"/>
  <c r="BG263" i="5"/>
  <c r="BE263" i="5"/>
  <c r="BD263" i="5"/>
  <c r="BB263" i="5"/>
  <c r="BA263" i="5"/>
  <c r="AZ263" i="5"/>
  <c r="BP262" i="5"/>
  <c r="BO262" i="5"/>
  <c r="BC262" i="5" s="1"/>
  <c r="BN262" i="5"/>
  <c r="BM262" i="5"/>
  <c r="BL262" i="5"/>
  <c r="BK262" i="5"/>
  <c r="BJ262" i="5"/>
  <c r="BI262" i="5"/>
  <c r="BG262" i="5"/>
  <c r="BE262" i="5"/>
  <c r="BD262" i="5"/>
  <c r="BB262" i="5"/>
  <c r="BA262" i="5"/>
  <c r="AZ262" i="5"/>
  <c r="BP261" i="5"/>
  <c r="BO261" i="5"/>
  <c r="BC261" i="5" s="1"/>
  <c r="BN261" i="5"/>
  <c r="BM261" i="5"/>
  <c r="BL261" i="5"/>
  <c r="BK261" i="5"/>
  <c r="BJ261" i="5"/>
  <c r="BI261" i="5"/>
  <c r="BG261" i="5"/>
  <c r="BE261" i="5"/>
  <c r="BD261" i="5"/>
  <c r="BB261" i="5"/>
  <c r="BA261" i="5"/>
  <c r="AZ261" i="5"/>
  <c r="BP260" i="5"/>
  <c r="BO260" i="5"/>
  <c r="BC260" i="5" s="1"/>
  <c r="BN260" i="5"/>
  <c r="BM260" i="5"/>
  <c r="BL260" i="5"/>
  <c r="BK260" i="5"/>
  <c r="BJ260" i="5"/>
  <c r="BI260" i="5"/>
  <c r="BG260" i="5"/>
  <c r="BE260" i="5"/>
  <c r="BD260" i="5"/>
  <c r="BB260" i="5"/>
  <c r="BA260" i="5"/>
  <c r="AZ260" i="5"/>
  <c r="BP259" i="5"/>
  <c r="BO259" i="5"/>
  <c r="BC259" i="5" s="1"/>
  <c r="BN259" i="5"/>
  <c r="BM259" i="5"/>
  <c r="BL259" i="5"/>
  <c r="BK259" i="5"/>
  <c r="BJ259" i="5"/>
  <c r="BI259" i="5"/>
  <c r="BG259" i="5"/>
  <c r="BE259" i="5"/>
  <c r="BD259" i="5"/>
  <c r="BB259" i="5"/>
  <c r="BA259" i="5"/>
  <c r="AZ259" i="5"/>
  <c r="BP258" i="5"/>
  <c r="BO258" i="5"/>
  <c r="BC258" i="5" s="1"/>
  <c r="BN258" i="5"/>
  <c r="BM258" i="5"/>
  <c r="BL258" i="5"/>
  <c r="BK258" i="5"/>
  <c r="BJ258" i="5"/>
  <c r="BI258" i="5"/>
  <c r="BG258" i="5"/>
  <c r="BE258" i="5"/>
  <c r="BD258" i="5"/>
  <c r="BB258" i="5"/>
  <c r="BA258" i="5"/>
  <c r="AZ258" i="5"/>
  <c r="BP257" i="5"/>
  <c r="BO257" i="5"/>
  <c r="BC257" i="5" s="1"/>
  <c r="BN257" i="5"/>
  <c r="BM257" i="5"/>
  <c r="BL257" i="5"/>
  <c r="BK257" i="5"/>
  <c r="BJ257" i="5"/>
  <c r="BI257" i="5"/>
  <c r="BG257" i="5"/>
  <c r="BE257" i="5"/>
  <c r="BD257" i="5"/>
  <c r="BB257" i="5"/>
  <c r="BA257" i="5"/>
  <c r="AZ257" i="5"/>
  <c r="BP256" i="5"/>
  <c r="BO256" i="5"/>
  <c r="BC256" i="5" s="1"/>
  <c r="BN256" i="5"/>
  <c r="BM256" i="5"/>
  <c r="BL256" i="5"/>
  <c r="BK256" i="5"/>
  <c r="BJ256" i="5"/>
  <c r="BI256" i="5"/>
  <c r="BG256" i="5"/>
  <c r="BE256" i="5"/>
  <c r="BD256" i="5"/>
  <c r="BB256" i="5"/>
  <c r="BA256" i="5"/>
  <c r="AZ256" i="5"/>
  <c r="BP255" i="5"/>
  <c r="BO255" i="5"/>
  <c r="BC255" i="5" s="1"/>
  <c r="BN255" i="5"/>
  <c r="BM255" i="5"/>
  <c r="BL255" i="5"/>
  <c r="BK255" i="5"/>
  <c r="BJ255" i="5"/>
  <c r="BI255" i="5"/>
  <c r="BG255" i="5"/>
  <c r="BE255" i="5"/>
  <c r="BD255" i="5"/>
  <c r="BB255" i="5"/>
  <c r="BA255" i="5"/>
  <c r="AZ255" i="5"/>
  <c r="BP254" i="5"/>
  <c r="BO254" i="5"/>
  <c r="BC254" i="5" s="1"/>
  <c r="BN254" i="5"/>
  <c r="BM254" i="5"/>
  <c r="BL254" i="5"/>
  <c r="BK254" i="5"/>
  <c r="BJ254" i="5"/>
  <c r="BI254" i="5"/>
  <c r="BG254" i="5"/>
  <c r="BE254" i="5"/>
  <c r="BD254" i="5"/>
  <c r="BB254" i="5"/>
  <c r="BA254" i="5"/>
  <c r="AZ254" i="5"/>
  <c r="BP253" i="5"/>
  <c r="BO253" i="5"/>
  <c r="BC253" i="5" s="1"/>
  <c r="BN253" i="5"/>
  <c r="BM253" i="5"/>
  <c r="BL253" i="5"/>
  <c r="BK253" i="5"/>
  <c r="BJ253" i="5"/>
  <c r="BI253" i="5"/>
  <c r="BG253" i="5"/>
  <c r="BE253" i="5"/>
  <c r="BD253" i="5"/>
  <c r="BB253" i="5"/>
  <c r="BA253" i="5"/>
  <c r="AZ253" i="5"/>
  <c r="BP252" i="5"/>
  <c r="BO252" i="5"/>
  <c r="BC252" i="5" s="1"/>
  <c r="BN252" i="5"/>
  <c r="BM252" i="5"/>
  <c r="BL252" i="5"/>
  <c r="BK252" i="5"/>
  <c r="BJ252" i="5"/>
  <c r="BI252" i="5"/>
  <c r="BG252" i="5"/>
  <c r="BE252" i="5"/>
  <c r="BD252" i="5"/>
  <c r="BB252" i="5"/>
  <c r="BA252" i="5"/>
  <c r="AZ252" i="5"/>
  <c r="BP251" i="5"/>
  <c r="BO251" i="5"/>
  <c r="BC251" i="5" s="1"/>
  <c r="BN251" i="5"/>
  <c r="BM251" i="5"/>
  <c r="BL251" i="5"/>
  <c r="BK251" i="5"/>
  <c r="BJ251" i="5"/>
  <c r="BI251" i="5"/>
  <c r="BG251" i="5"/>
  <c r="BE251" i="5"/>
  <c r="BD251" i="5"/>
  <c r="BB251" i="5"/>
  <c r="BA251" i="5"/>
  <c r="AZ251" i="5"/>
  <c r="BP250" i="5"/>
  <c r="BO250" i="5"/>
  <c r="BC250" i="5" s="1"/>
  <c r="BN250" i="5"/>
  <c r="BM250" i="5"/>
  <c r="BL250" i="5"/>
  <c r="BK250" i="5"/>
  <c r="BJ250" i="5"/>
  <c r="BI250" i="5"/>
  <c r="BG250" i="5"/>
  <c r="BE250" i="5"/>
  <c r="BD250" i="5"/>
  <c r="BB250" i="5"/>
  <c r="BA250" i="5"/>
  <c r="AZ250" i="5"/>
  <c r="BP249" i="5"/>
  <c r="BO249" i="5"/>
  <c r="BC249" i="5" s="1"/>
  <c r="BN249" i="5"/>
  <c r="BM249" i="5"/>
  <c r="BL249" i="5"/>
  <c r="BK249" i="5"/>
  <c r="BJ249" i="5"/>
  <c r="BI249" i="5"/>
  <c r="BG249" i="5"/>
  <c r="BE249" i="5"/>
  <c r="BD249" i="5"/>
  <c r="BB249" i="5"/>
  <c r="BA249" i="5"/>
  <c r="AZ249" i="5"/>
  <c r="BP248" i="5"/>
  <c r="BO248" i="5"/>
  <c r="BC248" i="5" s="1"/>
  <c r="BN248" i="5"/>
  <c r="BM248" i="5"/>
  <c r="BL248" i="5"/>
  <c r="BK248" i="5"/>
  <c r="BJ248" i="5"/>
  <c r="BI248" i="5"/>
  <c r="BG248" i="5"/>
  <c r="BE248" i="5"/>
  <c r="BD248" i="5"/>
  <c r="BB248" i="5"/>
  <c r="BA248" i="5"/>
  <c r="AZ248" i="5"/>
  <c r="BP247" i="5"/>
  <c r="BO247" i="5"/>
  <c r="BC247" i="5" s="1"/>
  <c r="BN247" i="5"/>
  <c r="BM247" i="5"/>
  <c r="BL247" i="5"/>
  <c r="BK247" i="5"/>
  <c r="BJ247" i="5"/>
  <c r="BI247" i="5"/>
  <c r="BG247" i="5"/>
  <c r="BE247" i="5"/>
  <c r="BD247" i="5"/>
  <c r="BB247" i="5"/>
  <c r="BA247" i="5"/>
  <c r="AZ247" i="5"/>
  <c r="BP246" i="5"/>
  <c r="BO246" i="5"/>
  <c r="BC246" i="5" s="1"/>
  <c r="BN246" i="5"/>
  <c r="BM246" i="5"/>
  <c r="BL246" i="5"/>
  <c r="BK246" i="5"/>
  <c r="BJ246" i="5"/>
  <c r="BI246" i="5"/>
  <c r="BG246" i="5"/>
  <c r="BE246" i="5"/>
  <c r="BD246" i="5"/>
  <c r="BB246" i="5"/>
  <c r="BA246" i="5"/>
  <c r="AZ246" i="5"/>
  <c r="BP245" i="5"/>
  <c r="BO245" i="5"/>
  <c r="BC245" i="5" s="1"/>
  <c r="BN245" i="5"/>
  <c r="BM245" i="5"/>
  <c r="BL245" i="5"/>
  <c r="BK245" i="5"/>
  <c r="BJ245" i="5"/>
  <c r="BI245" i="5"/>
  <c r="BG245" i="5"/>
  <c r="BE245" i="5"/>
  <c r="BD245" i="5"/>
  <c r="BB245" i="5"/>
  <c r="BA245" i="5"/>
  <c r="AZ245" i="5"/>
  <c r="BP244" i="5"/>
  <c r="BO244" i="5"/>
  <c r="BC244" i="5" s="1"/>
  <c r="BN244" i="5"/>
  <c r="BM244" i="5"/>
  <c r="BL244" i="5"/>
  <c r="BK244" i="5"/>
  <c r="BJ244" i="5"/>
  <c r="BI244" i="5"/>
  <c r="BG244" i="5"/>
  <c r="BE244" i="5"/>
  <c r="BD244" i="5"/>
  <c r="BB244" i="5"/>
  <c r="BA244" i="5"/>
  <c r="AZ244" i="5"/>
  <c r="BP243" i="5"/>
  <c r="BO243" i="5"/>
  <c r="BC243" i="5" s="1"/>
  <c r="BN243" i="5"/>
  <c r="BM243" i="5"/>
  <c r="BL243" i="5"/>
  <c r="BK243" i="5"/>
  <c r="BJ243" i="5"/>
  <c r="BI243" i="5"/>
  <c r="BG243" i="5"/>
  <c r="BE243" i="5"/>
  <c r="BD243" i="5"/>
  <c r="BB243" i="5"/>
  <c r="BA243" i="5"/>
  <c r="AZ243" i="5"/>
  <c r="BP242" i="5"/>
  <c r="BO242" i="5"/>
  <c r="BC242" i="5" s="1"/>
  <c r="BN242" i="5"/>
  <c r="BM242" i="5"/>
  <c r="BL242" i="5"/>
  <c r="BK242" i="5"/>
  <c r="BJ242" i="5"/>
  <c r="BI242" i="5"/>
  <c r="BG242" i="5"/>
  <c r="BE242" i="5"/>
  <c r="BD242" i="5"/>
  <c r="BB242" i="5"/>
  <c r="BA242" i="5"/>
  <c r="AZ242" i="5"/>
  <c r="BP241" i="5"/>
  <c r="BO241" i="5"/>
  <c r="BC241" i="5" s="1"/>
  <c r="BN241" i="5"/>
  <c r="BM241" i="5"/>
  <c r="BL241" i="5"/>
  <c r="BK241" i="5"/>
  <c r="BJ241" i="5"/>
  <c r="BI241" i="5"/>
  <c r="BG241" i="5"/>
  <c r="BE241" i="5"/>
  <c r="BD241" i="5"/>
  <c r="BB241" i="5"/>
  <c r="BA241" i="5"/>
  <c r="AZ241" i="5"/>
  <c r="BP240" i="5"/>
  <c r="BO240" i="5"/>
  <c r="BC240" i="5" s="1"/>
  <c r="BN240" i="5"/>
  <c r="BM240" i="5"/>
  <c r="BL240" i="5"/>
  <c r="BK240" i="5"/>
  <c r="BJ240" i="5"/>
  <c r="BI240" i="5"/>
  <c r="BG240" i="5"/>
  <c r="BE240" i="5"/>
  <c r="BD240" i="5"/>
  <c r="BB240" i="5"/>
  <c r="BA240" i="5"/>
  <c r="AZ240" i="5"/>
  <c r="BP239" i="5"/>
  <c r="BO239" i="5"/>
  <c r="BC239" i="5" s="1"/>
  <c r="BN239" i="5"/>
  <c r="BM239" i="5"/>
  <c r="BL239" i="5"/>
  <c r="BK239" i="5"/>
  <c r="BJ239" i="5"/>
  <c r="BI239" i="5"/>
  <c r="BG239" i="5"/>
  <c r="BE239" i="5"/>
  <c r="BD239" i="5"/>
  <c r="BB239" i="5"/>
  <c r="BA239" i="5"/>
  <c r="AZ239" i="5"/>
  <c r="BP238" i="5"/>
  <c r="BO238" i="5"/>
  <c r="BC238" i="5" s="1"/>
  <c r="BN238" i="5"/>
  <c r="BM238" i="5"/>
  <c r="BL238" i="5"/>
  <c r="BK238" i="5"/>
  <c r="BJ238" i="5"/>
  <c r="BI238" i="5"/>
  <c r="BG238" i="5"/>
  <c r="BE238" i="5"/>
  <c r="BD238" i="5"/>
  <c r="BB238" i="5"/>
  <c r="BA238" i="5"/>
  <c r="AZ238" i="5"/>
  <c r="BP237" i="5"/>
  <c r="BO237" i="5"/>
  <c r="BC237" i="5" s="1"/>
  <c r="BN237" i="5"/>
  <c r="BM237" i="5"/>
  <c r="BL237" i="5"/>
  <c r="BK237" i="5"/>
  <c r="BJ237" i="5"/>
  <c r="BI237" i="5"/>
  <c r="BG237" i="5"/>
  <c r="BE237" i="5"/>
  <c r="BD237" i="5"/>
  <c r="BB237" i="5"/>
  <c r="BA237" i="5"/>
  <c r="AZ237" i="5"/>
  <c r="BP236" i="5"/>
  <c r="BO236" i="5"/>
  <c r="BC236" i="5" s="1"/>
  <c r="BN236" i="5"/>
  <c r="BM236" i="5"/>
  <c r="BL236" i="5"/>
  <c r="BK236" i="5"/>
  <c r="BJ236" i="5"/>
  <c r="BI236" i="5"/>
  <c r="BG236" i="5"/>
  <c r="BE236" i="5"/>
  <c r="BD236" i="5"/>
  <c r="BB236" i="5"/>
  <c r="BA236" i="5"/>
  <c r="AZ236" i="5"/>
  <c r="BP235" i="5"/>
  <c r="BO235" i="5"/>
  <c r="BC235" i="5" s="1"/>
  <c r="BN235" i="5"/>
  <c r="BM235" i="5"/>
  <c r="BL235" i="5"/>
  <c r="BK235" i="5"/>
  <c r="BJ235" i="5"/>
  <c r="BI235" i="5"/>
  <c r="BG235" i="5"/>
  <c r="BE235" i="5"/>
  <c r="BD235" i="5"/>
  <c r="BB235" i="5"/>
  <c r="BA235" i="5"/>
  <c r="AZ235" i="5"/>
  <c r="BP234" i="5"/>
  <c r="BO234" i="5"/>
  <c r="BC234" i="5" s="1"/>
  <c r="BN234" i="5"/>
  <c r="BM234" i="5"/>
  <c r="BL234" i="5"/>
  <c r="BK234" i="5"/>
  <c r="BJ234" i="5"/>
  <c r="BI234" i="5"/>
  <c r="BG234" i="5"/>
  <c r="BE234" i="5"/>
  <c r="BD234" i="5"/>
  <c r="BB234" i="5"/>
  <c r="BA234" i="5"/>
  <c r="AZ234" i="5"/>
  <c r="BP233" i="5"/>
  <c r="BO233" i="5"/>
  <c r="BC233" i="5" s="1"/>
  <c r="BN233" i="5"/>
  <c r="BM233" i="5"/>
  <c r="BL233" i="5"/>
  <c r="BK233" i="5"/>
  <c r="BJ233" i="5"/>
  <c r="BI233" i="5"/>
  <c r="BG233" i="5"/>
  <c r="BE233" i="5"/>
  <c r="BD233" i="5"/>
  <c r="BB233" i="5"/>
  <c r="BA233" i="5"/>
  <c r="AZ233" i="5"/>
  <c r="BP232" i="5"/>
  <c r="BO232" i="5"/>
  <c r="BC232" i="5" s="1"/>
  <c r="BN232" i="5"/>
  <c r="BM232" i="5"/>
  <c r="BL232" i="5"/>
  <c r="BK232" i="5"/>
  <c r="BJ232" i="5"/>
  <c r="BI232" i="5"/>
  <c r="BG232" i="5"/>
  <c r="BE232" i="5"/>
  <c r="BD232" i="5"/>
  <c r="BB232" i="5"/>
  <c r="BA232" i="5"/>
  <c r="AZ232" i="5"/>
  <c r="BP231" i="5"/>
  <c r="BO231" i="5"/>
  <c r="BC231" i="5" s="1"/>
  <c r="BN231" i="5"/>
  <c r="BM231" i="5"/>
  <c r="BL231" i="5"/>
  <c r="BK231" i="5"/>
  <c r="BJ231" i="5"/>
  <c r="BI231" i="5"/>
  <c r="BG231" i="5"/>
  <c r="BE231" i="5"/>
  <c r="BD231" i="5"/>
  <c r="BB231" i="5"/>
  <c r="BA231" i="5"/>
  <c r="AZ231" i="5"/>
  <c r="BP230" i="5"/>
  <c r="BO230" i="5"/>
  <c r="BC230" i="5" s="1"/>
  <c r="BN230" i="5"/>
  <c r="BM230" i="5"/>
  <c r="BL230" i="5"/>
  <c r="BK230" i="5"/>
  <c r="BJ230" i="5"/>
  <c r="BI230" i="5"/>
  <c r="BG230" i="5"/>
  <c r="BE230" i="5"/>
  <c r="BD230" i="5"/>
  <c r="BB230" i="5"/>
  <c r="BA230" i="5"/>
  <c r="AZ230" i="5"/>
  <c r="BP229" i="5"/>
  <c r="BO229" i="5"/>
  <c r="BC229" i="5" s="1"/>
  <c r="BN229" i="5"/>
  <c r="BM229" i="5"/>
  <c r="BL229" i="5"/>
  <c r="BK229" i="5"/>
  <c r="BJ229" i="5"/>
  <c r="BI229" i="5"/>
  <c r="BG229" i="5"/>
  <c r="BE229" i="5"/>
  <c r="BD229" i="5"/>
  <c r="BB229" i="5"/>
  <c r="BA229" i="5"/>
  <c r="AZ229" i="5"/>
  <c r="BP228" i="5"/>
  <c r="BO228" i="5"/>
  <c r="BC228" i="5" s="1"/>
  <c r="BN228" i="5"/>
  <c r="BM228" i="5"/>
  <c r="BL228" i="5"/>
  <c r="BK228" i="5"/>
  <c r="BJ228" i="5"/>
  <c r="BI228" i="5"/>
  <c r="BG228" i="5"/>
  <c r="BE228" i="5"/>
  <c r="BD228" i="5"/>
  <c r="BB228" i="5"/>
  <c r="BA228" i="5"/>
  <c r="AZ228" i="5"/>
  <c r="BP227" i="5"/>
  <c r="BO227" i="5"/>
  <c r="BC227" i="5" s="1"/>
  <c r="BN227" i="5"/>
  <c r="BM227" i="5"/>
  <c r="BL227" i="5"/>
  <c r="BK227" i="5"/>
  <c r="BJ227" i="5"/>
  <c r="BI227" i="5"/>
  <c r="BG227" i="5"/>
  <c r="BE227" i="5"/>
  <c r="BD227" i="5"/>
  <c r="BB227" i="5"/>
  <c r="BA227" i="5"/>
  <c r="AZ227" i="5"/>
  <c r="BP226" i="5"/>
  <c r="BO226" i="5"/>
  <c r="BC226" i="5" s="1"/>
  <c r="BN226" i="5"/>
  <c r="BM226" i="5"/>
  <c r="BL226" i="5"/>
  <c r="BK226" i="5"/>
  <c r="BJ226" i="5"/>
  <c r="BI226" i="5"/>
  <c r="BG226" i="5"/>
  <c r="BE226" i="5"/>
  <c r="BD226" i="5"/>
  <c r="BB226" i="5"/>
  <c r="BA226" i="5"/>
  <c r="AZ226" i="5"/>
  <c r="BP225" i="5"/>
  <c r="BO225" i="5"/>
  <c r="BC225" i="5" s="1"/>
  <c r="BN225" i="5"/>
  <c r="BM225" i="5"/>
  <c r="BL225" i="5"/>
  <c r="BK225" i="5"/>
  <c r="BJ225" i="5"/>
  <c r="BI225" i="5"/>
  <c r="BG225" i="5"/>
  <c r="BE225" i="5"/>
  <c r="BD225" i="5"/>
  <c r="BB225" i="5"/>
  <c r="BA225" i="5"/>
  <c r="AZ225" i="5"/>
  <c r="BP224" i="5"/>
  <c r="BO224" i="5"/>
  <c r="BC224" i="5" s="1"/>
  <c r="BN224" i="5"/>
  <c r="BM224" i="5"/>
  <c r="BL224" i="5"/>
  <c r="BK224" i="5"/>
  <c r="BJ224" i="5"/>
  <c r="BI224" i="5"/>
  <c r="BG224" i="5"/>
  <c r="BE224" i="5"/>
  <c r="BD224" i="5"/>
  <c r="BB224" i="5"/>
  <c r="BA224" i="5"/>
  <c r="AZ224" i="5"/>
  <c r="BP223" i="5"/>
  <c r="BO223" i="5"/>
  <c r="BC223" i="5" s="1"/>
  <c r="BN223" i="5"/>
  <c r="BM223" i="5"/>
  <c r="BL223" i="5"/>
  <c r="BK223" i="5"/>
  <c r="BJ223" i="5"/>
  <c r="BI223" i="5"/>
  <c r="BG223" i="5"/>
  <c r="BE223" i="5"/>
  <c r="BD223" i="5"/>
  <c r="BB223" i="5"/>
  <c r="BA223" i="5"/>
  <c r="AZ223" i="5"/>
  <c r="BP222" i="5"/>
  <c r="BO222" i="5"/>
  <c r="BC222" i="5" s="1"/>
  <c r="BN222" i="5"/>
  <c r="BM222" i="5"/>
  <c r="BL222" i="5"/>
  <c r="BK222" i="5"/>
  <c r="BJ222" i="5"/>
  <c r="BI222" i="5"/>
  <c r="BG222" i="5"/>
  <c r="BE222" i="5"/>
  <c r="BD222" i="5"/>
  <c r="BB222" i="5"/>
  <c r="BA222" i="5"/>
  <c r="AZ222" i="5"/>
  <c r="BP221" i="5"/>
  <c r="BO221" i="5"/>
  <c r="BC221" i="5" s="1"/>
  <c r="BN221" i="5"/>
  <c r="BM221" i="5"/>
  <c r="BL221" i="5"/>
  <c r="BK221" i="5"/>
  <c r="BJ221" i="5"/>
  <c r="BI221" i="5"/>
  <c r="BG221" i="5"/>
  <c r="BE221" i="5"/>
  <c r="BD221" i="5"/>
  <c r="BB221" i="5"/>
  <c r="BA221" i="5"/>
  <c r="AZ221" i="5"/>
  <c r="BP220" i="5"/>
  <c r="BO220" i="5"/>
  <c r="BC220" i="5" s="1"/>
  <c r="BN220" i="5"/>
  <c r="BM220" i="5"/>
  <c r="BL220" i="5"/>
  <c r="BK220" i="5"/>
  <c r="BJ220" i="5"/>
  <c r="BI220" i="5"/>
  <c r="BG220" i="5"/>
  <c r="BE220" i="5"/>
  <c r="BD220" i="5"/>
  <c r="BB220" i="5"/>
  <c r="BA220" i="5"/>
  <c r="AZ220" i="5"/>
  <c r="BP219" i="5"/>
  <c r="BO219" i="5"/>
  <c r="BC219" i="5" s="1"/>
  <c r="BN219" i="5"/>
  <c r="BM219" i="5"/>
  <c r="BL219" i="5"/>
  <c r="BK219" i="5"/>
  <c r="BJ219" i="5"/>
  <c r="BI219" i="5"/>
  <c r="BG219" i="5"/>
  <c r="BE219" i="5"/>
  <c r="BD219" i="5"/>
  <c r="BB219" i="5"/>
  <c r="BA219" i="5"/>
  <c r="AZ219" i="5"/>
  <c r="BP218" i="5"/>
  <c r="BO218" i="5"/>
  <c r="BC218" i="5" s="1"/>
  <c r="BN218" i="5"/>
  <c r="BM218" i="5"/>
  <c r="BL218" i="5"/>
  <c r="BK218" i="5"/>
  <c r="BJ218" i="5"/>
  <c r="BI218" i="5"/>
  <c r="BG218" i="5"/>
  <c r="BE218" i="5"/>
  <c r="BD218" i="5"/>
  <c r="BB218" i="5"/>
  <c r="BA218" i="5"/>
  <c r="AZ218" i="5"/>
  <c r="BP217" i="5"/>
  <c r="BO217" i="5"/>
  <c r="BC217" i="5" s="1"/>
  <c r="BN217" i="5"/>
  <c r="BM217" i="5"/>
  <c r="BL217" i="5"/>
  <c r="BK217" i="5"/>
  <c r="BJ217" i="5"/>
  <c r="BI217" i="5"/>
  <c r="BG217" i="5"/>
  <c r="BE217" i="5"/>
  <c r="BD217" i="5"/>
  <c r="BB217" i="5"/>
  <c r="BA217" i="5"/>
  <c r="AZ217" i="5"/>
  <c r="BP216" i="5"/>
  <c r="BO216" i="5"/>
  <c r="BC216" i="5" s="1"/>
  <c r="BN216" i="5"/>
  <c r="BM216" i="5"/>
  <c r="BL216" i="5"/>
  <c r="BK216" i="5"/>
  <c r="BJ216" i="5"/>
  <c r="BI216" i="5"/>
  <c r="BG216" i="5"/>
  <c r="BE216" i="5"/>
  <c r="BD216" i="5"/>
  <c r="BB216" i="5"/>
  <c r="BA216" i="5"/>
  <c r="AZ216" i="5"/>
  <c r="BP215" i="5"/>
  <c r="BO215" i="5"/>
  <c r="BC215" i="5" s="1"/>
  <c r="BN215" i="5"/>
  <c r="BM215" i="5"/>
  <c r="BL215" i="5"/>
  <c r="BK215" i="5"/>
  <c r="BJ215" i="5"/>
  <c r="BI215" i="5"/>
  <c r="BG215" i="5"/>
  <c r="BE215" i="5"/>
  <c r="BD215" i="5"/>
  <c r="BB215" i="5"/>
  <c r="BA215" i="5"/>
  <c r="AZ215" i="5"/>
  <c r="BP214" i="5"/>
  <c r="BO214" i="5"/>
  <c r="BC214" i="5" s="1"/>
  <c r="BN214" i="5"/>
  <c r="BM214" i="5"/>
  <c r="BL214" i="5"/>
  <c r="BK214" i="5"/>
  <c r="BJ214" i="5"/>
  <c r="BI214" i="5"/>
  <c r="BG214" i="5"/>
  <c r="BE214" i="5"/>
  <c r="BD214" i="5"/>
  <c r="BB214" i="5"/>
  <c r="BA214" i="5"/>
  <c r="AZ214" i="5"/>
  <c r="BP213" i="5"/>
  <c r="BO213" i="5"/>
  <c r="BC213" i="5" s="1"/>
  <c r="BN213" i="5"/>
  <c r="BM213" i="5"/>
  <c r="BL213" i="5"/>
  <c r="BK213" i="5"/>
  <c r="BJ213" i="5"/>
  <c r="BI213" i="5"/>
  <c r="BG213" i="5"/>
  <c r="BE213" i="5"/>
  <c r="BD213" i="5"/>
  <c r="BB213" i="5"/>
  <c r="BA213" i="5"/>
  <c r="AZ213" i="5"/>
  <c r="BP212" i="5"/>
  <c r="BO212" i="5"/>
  <c r="BC212" i="5" s="1"/>
  <c r="BN212" i="5"/>
  <c r="BM212" i="5"/>
  <c r="BL212" i="5"/>
  <c r="BK212" i="5"/>
  <c r="BJ212" i="5"/>
  <c r="BI212" i="5"/>
  <c r="BG212" i="5"/>
  <c r="BE212" i="5"/>
  <c r="BD212" i="5"/>
  <c r="BB212" i="5"/>
  <c r="BA212" i="5"/>
  <c r="AZ212" i="5"/>
  <c r="BP211" i="5"/>
  <c r="BO211" i="5"/>
  <c r="BC211" i="5" s="1"/>
  <c r="BN211" i="5"/>
  <c r="BM211" i="5"/>
  <c r="BL211" i="5"/>
  <c r="BK211" i="5"/>
  <c r="BJ211" i="5"/>
  <c r="BI211" i="5"/>
  <c r="BG211" i="5"/>
  <c r="BE211" i="5"/>
  <c r="BD211" i="5"/>
  <c r="BB211" i="5"/>
  <c r="BA211" i="5"/>
  <c r="AZ211" i="5"/>
  <c r="BP210" i="5"/>
  <c r="BO210" i="5"/>
  <c r="BC210" i="5" s="1"/>
  <c r="BN210" i="5"/>
  <c r="BM210" i="5"/>
  <c r="BL210" i="5"/>
  <c r="BK210" i="5"/>
  <c r="BJ210" i="5"/>
  <c r="BI210" i="5"/>
  <c r="BG210" i="5"/>
  <c r="BE210" i="5"/>
  <c r="BD210" i="5"/>
  <c r="BB210" i="5"/>
  <c r="BA210" i="5"/>
  <c r="AZ210" i="5"/>
  <c r="BP209" i="5"/>
  <c r="BO209" i="5"/>
  <c r="BC209" i="5" s="1"/>
  <c r="BN209" i="5"/>
  <c r="BM209" i="5"/>
  <c r="BL209" i="5"/>
  <c r="BK209" i="5"/>
  <c r="BJ209" i="5"/>
  <c r="BI209" i="5"/>
  <c r="BG209" i="5"/>
  <c r="BE209" i="5"/>
  <c r="BD209" i="5"/>
  <c r="BB209" i="5"/>
  <c r="BA209" i="5"/>
  <c r="AZ209" i="5"/>
  <c r="BP208" i="5"/>
  <c r="BO208" i="5"/>
  <c r="BC208" i="5" s="1"/>
  <c r="BN208" i="5"/>
  <c r="BM208" i="5"/>
  <c r="BL208" i="5"/>
  <c r="BK208" i="5"/>
  <c r="BJ208" i="5"/>
  <c r="BI208" i="5"/>
  <c r="BG208" i="5"/>
  <c r="BE208" i="5"/>
  <c r="BD208" i="5"/>
  <c r="BB208" i="5"/>
  <c r="BA208" i="5"/>
  <c r="AZ208" i="5"/>
  <c r="BP207" i="5"/>
  <c r="BO207" i="5"/>
  <c r="BC207" i="5" s="1"/>
  <c r="BN207" i="5"/>
  <c r="BM207" i="5"/>
  <c r="BL207" i="5"/>
  <c r="BK207" i="5"/>
  <c r="BJ207" i="5"/>
  <c r="BI207" i="5"/>
  <c r="BG207" i="5"/>
  <c r="BE207" i="5"/>
  <c r="BD207" i="5"/>
  <c r="BB207" i="5"/>
  <c r="BA207" i="5"/>
  <c r="AZ207" i="5"/>
  <c r="BP206" i="5"/>
  <c r="BO206" i="5"/>
  <c r="BC206" i="5" s="1"/>
  <c r="BN206" i="5"/>
  <c r="BM206" i="5"/>
  <c r="BL206" i="5"/>
  <c r="BK206" i="5"/>
  <c r="BJ206" i="5"/>
  <c r="BI206" i="5"/>
  <c r="BG206" i="5"/>
  <c r="BE206" i="5"/>
  <c r="BD206" i="5"/>
  <c r="BB206" i="5"/>
  <c r="BA206" i="5"/>
  <c r="AZ206" i="5"/>
  <c r="BP205" i="5"/>
  <c r="BO205" i="5"/>
  <c r="BC205" i="5" s="1"/>
  <c r="BN205" i="5"/>
  <c r="BM205" i="5"/>
  <c r="BL205" i="5"/>
  <c r="BK205" i="5"/>
  <c r="BJ205" i="5"/>
  <c r="BI205" i="5"/>
  <c r="BG205" i="5"/>
  <c r="BE205" i="5"/>
  <c r="BD205" i="5"/>
  <c r="BB205" i="5"/>
  <c r="BA205" i="5"/>
  <c r="AZ205" i="5"/>
  <c r="BP204" i="5"/>
  <c r="BO204" i="5"/>
  <c r="BC204" i="5" s="1"/>
  <c r="BN204" i="5"/>
  <c r="BM204" i="5"/>
  <c r="BL204" i="5"/>
  <c r="BK204" i="5"/>
  <c r="BJ204" i="5"/>
  <c r="BI204" i="5"/>
  <c r="BG204" i="5"/>
  <c r="BE204" i="5"/>
  <c r="BD204" i="5"/>
  <c r="BB204" i="5"/>
  <c r="BA204" i="5"/>
  <c r="AZ204" i="5"/>
  <c r="BP203" i="5"/>
  <c r="BO203" i="5"/>
  <c r="BC203" i="5" s="1"/>
  <c r="BN203" i="5"/>
  <c r="BM203" i="5"/>
  <c r="BL203" i="5"/>
  <c r="BK203" i="5"/>
  <c r="BJ203" i="5"/>
  <c r="BI203" i="5"/>
  <c r="BG203" i="5"/>
  <c r="BE203" i="5"/>
  <c r="BD203" i="5"/>
  <c r="BB203" i="5"/>
  <c r="BA203" i="5"/>
  <c r="AZ203" i="5"/>
  <c r="BP202" i="5"/>
  <c r="BO202" i="5"/>
  <c r="BC202" i="5" s="1"/>
  <c r="BN202" i="5"/>
  <c r="BM202" i="5"/>
  <c r="BL202" i="5"/>
  <c r="BK202" i="5"/>
  <c r="BJ202" i="5"/>
  <c r="BI202" i="5"/>
  <c r="BG202" i="5"/>
  <c r="BE202" i="5"/>
  <c r="BD202" i="5"/>
  <c r="BB202" i="5"/>
  <c r="BA202" i="5"/>
  <c r="AZ202" i="5"/>
  <c r="BP201" i="5"/>
  <c r="BO201" i="5"/>
  <c r="BC201" i="5" s="1"/>
  <c r="BN201" i="5"/>
  <c r="BM201" i="5"/>
  <c r="BL201" i="5"/>
  <c r="BK201" i="5"/>
  <c r="BJ201" i="5"/>
  <c r="BI201" i="5"/>
  <c r="BG201" i="5"/>
  <c r="BE201" i="5"/>
  <c r="BD201" i="5"/>
  <c r="BB201" i="5"/>
  <c r="BA201" i="5"/>
  <c r="AZ201" i="5"/>
  <c r="BP200" i="5"/>
  <c r="BO200" i="5"/>
  <c r="BC200" i="5" s="1"/>
  <c r="BN200" i="5"/>
  <c r="BM200" i="5"/>
  <c r="BL200" i="5"/>
  <c r="BK200" i="5"/>
  <c r="BJ200" i="5"/>
  <c r="BI200" i="5"/>
  <c r="BG200" i="5"/>
  <c r="BE200" i="5"/>
  <c r="BD200" i="5"/>
  <c r="BB200" i="5"/>
  <c r="BA200" i="5"/>
  <c r="AZ200" i="5"/>
  <c r="BP199" i="5"/>
  <c r="BO199" i="5"/>
  <c r="BC199" i="5" s="1"/>
  <c r="BN199" i="5"/>
  <c r="BM199" i="5"/>
  <c r="BL199" i="5"/>
  <c r="BK199" i="5"/>
  <c r="BJ199" i="5"/>
  <c r="BI199" i="5"/>
  <c r="BG199" i="5"/>
  <c r="BE199" i="5"/>
  <c r="BD199" i="5"/>
  <c r="BB199" i="5"/>
  <c r="BA199" i="5"/>
  <c r="AZ199" i="5"/>
  <c r="BP198" i="5"/>
  <c r="BO198" i="5"/>
  <c r="BC198" i="5" s="1"/>
  <c r="BN198" i="5"/>
  <c r="BM198" i="5"/>
  <c r="BL198" i="5"/>
  <c r="BK198" i="5"/>
  <c r="BJ198" i="5"/>
  <c r="BI198" i="5"/>
  <c r="BG198" i="5"/>
  <c r="BE198" i="5"/>
  <c r="BD198" i="5"/>
  <c r="BB198" i="5"/>
  <c r="BA198" i="5"/>
  <c r="AZ198" i="5"/>
  <c r="BP197" i="5"/>
  <c r="BO197" i="5"/>
  <c r="BC197" i="5" s="1"/>
  <c r="BN197" i="5"/>
  <c r="BM197" i="5"/>
  <c r="BL197" i="5"/>
  <c r="BK197" i="5"/>
  <c r="BJ197" i="5"/>
  <c r="BI197" i="5"/>
  <c r="BG197" i="5"/>
  <c r="BE197" i="5"/>
  <c r="BD197" i="5"/>
  <c r="BB197" i="5"/>
  <c r="BA197" i="5"/>
  <c r="AZ197" i="5"/>
  <c r="BP196" i="5"/>
  <c r="BO196" i="5"/>
  <c r="BC196" i="5" s="1"/>
  <c r="BN196" i="5"/>
  <c r="BM196" i="5"/>
  <c r="BL196" i="5"/>
  <c r="BK196" i="5"/>
  <c r="BJ196" i="5"/>
  <c r="BI196" i="5"/>
  <c r="BG196" i="5"/>
  <c r="BE196" i="5"/>
  <c r="BD196" i="5"/>
  <c r="BB196" i="5"/>
  <c r="BA196" i="5"/>
  <c r="AZ196" i="5"/>
  <c r="BP195" i="5"/>
  <c r="BO195" i="5"/>
  <c r="BC195" i="5" s="1"/>
  <c r="BN195" i="5"/>
  <c r="BM195" i="5"/>
  <c r="BL195" i="5"/>
  <c r="BK195" i="5"/>
  <c r="BJ195" i="5"/>
  <c r="BI195" i="5"/>
  <c r="BG195" i="5"/>
  <c r="BE195" i="5"/>
  <c r="BD195" i="5"/>
  <c r="BB195" i="5"/>
  <c r="BA195" i="5"/>
  <c r="AZ195" i="5"/>
  <c r="BP194" i="5"/>
  <c r="BO194" i="5"/>
  <c r="BC194" i="5" s="1"/>
  <c r="BN194" i="5"/>
  <c r="BM194" i="5"/>
  <c r="BL194" i="5"/>
  <c r="BK194" i="5"/>
  <c r="BJ194" i="5"/>
  <c r="BI194" i="5"/>
  <c r="BG194" i="5"/>
  <c r="BE194" i="5"/>
  <c r="BD194" i="5"/>
  <c r="BB194" i="5"/>
  <c r="BA194" i="5"/>
  <c r="AZ194" i="5"/>
  <c r="BP193" i="5"/>
  <c r="BO193" i="5"/>
  <c r="BC193" i="5" s="1"/>
  <c r="BN193" i="5"/>
  <c r="BM193" i="5"/>
  <c r="BL193" i="5"/>
  <c r="BK193" i="5"/>
  <c r="BJ193" i="5"/>
  <c r="BI193" i="5"/>
  <c r="BG193" i="5"/>
  <c r="BE193" i="5"/>
  <c r="BD193" i="5"/>
  <c r="BB193" i="5"/>
  <c r="BA193" i="5"/>
  <c r="AZ193" i="5"/>
  <c r="BP192" i="5"/>
  <c r="BO192" i="5"/>
  <c r="BC192" i="5" s="1"/>
  <c r="BN192" i="5"/>
  <c r="BM192" i="5"/>
  <c r="BL192" i="5"/>
  <c r="BK192" i="5"/>
  <c r="BJ192" i="5"/>
  <c r="BI192" i="5"/>
  <c r="BG192" i="5"/>
  <c r="BE192" i="5"/>
  <c r="BD192" i="5"/>
  <c r="BB192" i="5"/>
  <c r="BA192" i="5"/>
  <c r="AZ192" i="5"/>
  <c r="BP191" i="5"/>
  <c r="BO191" i="5"/>
  <c r="BC191" i="5" s="1"/>
  <c r="BN191" i="5"/>
  <c r="BM191" i="5"/>
  <c r="BL191" i="5"/>
  <c r="BK191" i="5"/>
  <c r="BJ191" i="5"/>
  <c r="BI191" i="5"/>
  <c r="BG191" i="5"/>
  <c r="BE191" i="5"/>
  <c r="BD191" i="5"/>
  <c r="BB191" i="5"/>
  <c r="BA191" i="5"/>
  <c r="AZ191" i="5"/>
  <c r="BP190" i="5"/>
  <c r="BO190" i="5"/>
  <c r="BC190" i="5" s="1"/>
  <c r="BN190" i="5"/>
  <c r="BM190" i="5"/>
  <c r="BL190" i="5"/>
  <c r="BK190" i="5"/>
  <c r="BJ190" i="5"/>
  <c r="BI190" i="5"/>
  <c r="BG190" i="5"/>
  <c r="BE190" i="5"/>
  <c r="BD190" i="5"/>
  <c r="BB190" i="5"/>
  <c r="BA190" i="5"/>
  <c r="AZ190" i="5"/>
  <c r="BP189" i="5"/>
  <c r="BO189" i="5"/>
  <c r="BC189" i="5" s="1"/>
  <c r="BN189" i="5"/>
  <c r="BM189" i="5"/>
  <c r="BL189" i="5"/>
  <c r="BK189" i="5"/>
  <c r="BJ189" i="5"/>
  <c r="BI189" i="5"/>
  <c r="BG189" i="5"/>
  <c r="BE189" i="5"/>
  <c r="BD189" i="5"/>
  <c r="BB189" i="5"/>
  <c r="BA189" i="5"/>
  <c r="AZ189" i="5"/>
  <c r="BP188" i="5"/>
  <c r="BO188" i="5"/>
  <c r="BC188" i="5" s="1"/>
  <c r="BN188" i="5"/>
  <c r="BM188" i="5"/>
  <c r="BL188" i="5"/>
  <c r="BK188" i="5"/>
  <c r="BJ188" i="5"/>
  <c r="BI188" i="5"/>
  <c r="BG188" i="5"/>
  <c r="BE188" i="5"/>
  <c r="BD188" i="5"/>
  <c r="BB188" i="5"/>
  <c r="BA188" i="5"/>
  <c r="AZ188" i="5"/>
  <c r="BP187" i="5"/>
  <c r="BO187" i="5"/>
  <c r="BC187" i="5" s="1"/>
  <c r="BN187" i="5"/>
  <c r="BM187" i="5"/>
  <c r="BL187" i="5"/>
  <c r="BK187" i="5"/>
  <c r="BJ187" i="5"/>
  <c r="BI187" i="5"/>
  <c r="BG187" i="5"/>
  <c r="BE187" i="5"/>
  <c r="BD187" i="5"/>
  <c r="BB187" i="5"/>
  <c r="BA187" i="5"/>
  <c r="AZ187" i="5"/>
  <c r="BP186" i="5"/>
  <c r="BO186" i="5"/>
  <c r="BC186" i="5" s="1"/>
  <c r="BN186" i="5"/>
  <c r="BM186" i="5"/>
  <c r="BL186" i="5"/>
  <c r="BK186" i="5"/>
  <c r="BJ186" i="5"/>
  <c r="BI186" i="5"/>
  <c r="BG186" i="5"/>
  <c r="BE186" i="5"/>
  <c r="BD186" i="5"/>
  <c r="BB186" i="5"/>
  <c r="BA186" i="5"/>
  <c r="AZ186" i="5"/>
  <c r="BP185" i="5"/>
  <c r="BO185" i="5"/>
  <c r="BC185" i="5" s="1"/>
  <c r="BN185" i="5"/>
  <c r="BM185" i="5"/>
  <c r="BL185" i="5"/>
  <c r="BK185" i="5"/>
  <c r="BJ185" i="5"/>
  <c r="BI185" i="5"/>
  <c r="BG185" i="5"/>
  <c r="BE185" i="5"/>
  <c r="BD185" i="5"/>
  <c r="BB185" i="5"/>
  <c r="BA185" i="5"/>
  <c r="AZ185" i="5"/>
  <c r="BP184" i="5"/>
  <c r="BO184" i="5"/>
  <c r="BC184" i="5" s="1"/>
  <c r="BN184" i="5"/>
  <c r="BM184" i="5"/>
  <c r="BL184" i="5"/>
  <c r="BK184" i="5"/>
  <c r="BJ184" i="5"/>
  <c r="BI184" i="5"/>
  <c r="BG184" i="5"/>
  <c r="BE184" i="5"/>
  <c r="BD184" i="5"/>
  <c r="BB184" i="5"/>
  <c r="BA184" i="5"/>
  <c r="AZ184" i="5"/>
  <c r="BP183" i="5"/>
  <c r="BO183" i="5"/>
  <c r="BC183" i="5" s="1"/>
  <c r="BN183" i="5"/>
  <c r="BM183" i="5"/>
  <c r="BL183" i="5"/>
  <c r="BK183" i="5"/>
  <c r="BJ183" i="5"/>
  <c r="BI183" i="5"/>
  <c r="BG183" i="5"/>
  <c r="BE183" i="5"/>
  <c r="BD183" i="5"/>
  <c r="BB183" i="5"/>
  <c r="BA183" i="5"/>
  <c r="AZ183" i="5"/>
  <c r="BP182" i="5"/>
  <c r="BO182" i="5"/>
  <c r="BC182" i="5" s="1"/>
  <c r="BN182" i="5"/>
  <c r="BM182" i="5"/>
  <c r="BL182" i="5"/>
  <c r="BK182" i="5"/>
  <c r="BJ182" i="5"/>
  <c r="BI182" i="5"/>
  <c r="BG182" i="5"/>
  <c r="BE182" i="5"/>
  <c r="BD182" i="5"/>
  <c r="BB182" i="5"/>
  <c r="BA182" i="5"/>
  <c r="AZ182" i="5"/>
  <c r="BP181" i="5"/>
  <c r="BO181" i="5"/>
  <c r="BC181" i="5" s="1"/>
  <c r="BN181" i="5"/>
  <c r="BM181" i="5"/>
  <c r="BL181" i="5"/>
  <c r="BK181" i="5"/>
  <c r="BJ181" i="5"/>
  <c r="BI181" i="5"/>
  <c r="BG181" i="5"/>
  <c r="BE181" i="5"/>
  <c r="BD181" i="5"/>
  <c r="BB181" i="5"/>
  <c r="BA181" i="5"/>
  <c r="AZ181" i="5"/>
  <c r="BP180" i="5"/>
  <c r="BO180" i="5"/>
  <c r="BC180" i="5" s="1"/>
  <c r="BN180" i="5"/>
  <c r="BM180" i="5"/>
  <c r="BL180" i="5"/>
  <c r="BK180" i="5"/>
  <c r="BJ180" i="5"/>
  <c r="BI180" i="5"/>
  <c r="BG180" i="5"/>
  <c r="BE180" i="5"/>
  <c r="BD180" i="5"/>
  <c r="BB180" i="5"/>
  <c r="BA180" i="5"/>
  <c r="AZ180" i="5"/>
  <c r="BP179" i="5"/>
  <c r="BO179" i="5"/>
  <c r="BC179" i="5" s="1"/>
  <c r="BN179" i="5"/>
  <c r="BM179" i="5"/>
  <c r="BL179" i="5"/>
  <c r="BK179" i="5"/>
  <c r="BJ179" i="5"/>
  <c r="BI179" i="5"/>
  <c r="BG179" i="5"/>
  <c r="BE179" i="5"/>
  <c r="BD179" i="5"/>
  <c r="BB179" i="5"/>
  <c r="BA179" i="5"/>
  <c r="AZ179" i="5"/>
  <c r="BP178" i="5"/>
  <c r="BO178" i="5"/>
  <c r="BC178" i="5" s="1"/>
  <c r="BN178" i="5"/>
  <c r="BM178" i="5"/>
  <c r="BL178" i="5"/>
  <c r="BK178" i="5"/>
  <c r="BJ178" i="5"/>
  <c r="BI178" i="5"/>
  <c r="BG178" i="5"/>
  <c r="BE178" i="5"/>
  <c r="BD178" i="5"/>
  <c r="BB178" i="5"/>
  <c r="BA178" i="5"/>
  <c r="AZ178" i="5"/>
  <c r="BP177" i="5"/>
  <c r="BO177" i="5"/>
  <c r="BC177" i="5" s="1"/>
  <c r="BN177" i="5"/>
  <c r="BM177" i="5"/>
  <c r="BL177" i="5"/>
  <c r="BK177" i="5"/>
  <c r="BJ177" i="5"/>
  <c r="BI177" i="5"/>
  <c r="BG177" i="5"/>
  <c r="BE177" i="5"/>
  <c r="BD177" i="5"/>
  <c r="BB177" i="5"/>
  <c r="BA177" i="5"/>
  <c r="AZ177" i="5"/>
  <c r="BP176" i="5"/>
  <c r="BO176" i="5"/>
  <c r="BC176" i="5" s="1"/>
  <c r="BN176" i="5"/>
  <c r="BM176" i="5"/>
  <c r="BL176" i="5"/>
  <c r="BK176" i="5"/>
  <c r="BJ176" i="5"/>
  <c r="BI176" i="5"/>
  <c r="BG176" i="5"/>
  <c r="BE176" i="5"/>
  <c r="BD176" i="5"/>
  <c r="BB176" i="5"/>
  <c r="BA176" i="5"/>
  <c r="AZ176" i="5"/>
  <c r="BP175" i="5"/>
  <c r="BO175" i="5"/>
  <c r="BC175" i="5" s="1"/>
  <c r="BN175" i="5"/>
  <c r="BM175" i="5"/>
  <c r="BL175" i="5"/>
  <c r="BK175" i="5"/>
  <c r="BJ175" i="5"/>
  <c r="BI175" i="5"/>
  <c r="BG175" i="5"/>
  <c r="BE175" i="5"/>
  <c r="BD175" i="5"/>
  <c r="BB175" i="5"/>
  <c r="BA175" i="5"/>
  <c r="AZ175" i="5"/>
  <c r="BP174" i="5"/>
  <c r="BO174" i="5"/>
  <c r="BC174" i="5" s="1"/>
  <c r="BN174" i="5"/>
  <c r="BM174" i="5"/>
  <c r="BL174" i="5"/>
  <c r="BK174" i="5"/>
  <c r="BJ174" i="5"/>
  <c r="BI174" i="5"/>
  <c r="BG174" i="5"/>
  <c r="BE174" i="5"/>
  <c r="BD174" i="5"/>
  <c r="BB174" i="5"/>
  <c r="BA174" i="5"/>
  <c r="AZ174" i="5"/>
  <c r="BP173" i="5"/>
  <c r="BO173" i="5"/>
  <c r="BC173" i="5" s="1"/>
  <c r="BN173" i="5"/>
  <c r="BM173" i="5"/>
  <c r="BL173" i="5"/>
  <c r="BK173" i="5"/>
  <c r="BJ173" i="5"/>
  <c r="BI173" i="5"/>
  <c r="BG173" i="5"/>
  <c r="BE173" i="5"/>
  <c r="BD173" i="5"/>
  <c r="BB173" i="5"/>
  <c r="BA173" i="5"/>
  <c r="AZ173" i="5"/>
  <c r="BP172" i="5"/>
  <c r="BO172" i="5"/>
  <c r="BC172" i="5" s="1"/>
  <c r="BN172" i="5"/>
  <c r="BM172" i="5"/>
  <c r="BL172" i="5"/>
  <c r="BK172" i="5"/>
  <c r="BJ172" i="5"/>
  <c r="BI172" i="5"/>
  <c r="BG172" i="5"/>
  <c r="BE172" i="5"/>
  <c r="BD172" i="5"/>
  <c r="BB172" i="5"/>
  <c r="BA172" i="5"/>
  <c r="AZ172" i="5"/>
  <c r="BP171" i="5"/>
  <c r="BO171" i="5"/>
  <c r="BC171" i="5" s="1"/>
  <c r="BN171" i="5"/>
  <c r="BM171" i="5"/>
  <c r="BL171" i="5"/>
  <c r="BK171" i="5"/>
  <c r="BJ171" i="5"/>
  <c r="BI171" i="5"/>
  <c r="BG171" i="5"/>
  <c r="BE171" i="5"/>
  <c r="BD171" i="5"/>
  <c r="BB171" i="5"/>
  <c r="BA171" i="5"/>
  <c r="AZ171" i="5"/>
  <c r="BP170" i="5"/>
  <c r="BO170" i="5"/>
  <c r="BC170" i="5" s="1"/>
  <c r="BN170" i="5"/>
  <c r="BM170" i="5"/>
  <c r="BL170" i="5"/>
  <c r="BK170" i="5"/>
  <c r="BJ170" i="5"/>
  <c r="BI170" i="5"/>
  <c r="BG170" i="5"/>
  <c r="BE170" i="5"/>
  <c r="BD170" i="5"/>
  <c r="BB170" i="5"/>
  <c r="BA170" i="5"/>
  <c r="AZ170" i="5"/>
  <c r="BP169" i="5"/>
  <c r="BO169" i="5"/>
  <c r="BC169" i="5" s="1"/>
  <c r="BN169" i="5"/>
  <c r="BM169" i="5"/>
  <c r="BL169" i="5"/>
  <c r="BK169" i="5"/>
  <c r="BJ169" i="5"/>
  <c r="BI169" i="5"/>
  <c r="BG169" i="5"/>
  <c r="BE169" i="5"/>
  <c r="BD169" i="5"/>
  <c r="BB169" i="5"/>
  <c r="BA169" i="5"/>
  <c r="AZ169" i="5"/>
  <c r="BP168" i="5"/>
  <c r="BO168" i="5"/>
  <c r="BC168" i="5" s="1"/>
  <c r="BN168" i="5"/>
  <c r="BM168" i="5"/>
  <c r="BL168" i="5"/>
  <c r="BK168" i="5"/>
  <c r="BJ168" i="5"/>
  <c r="BI168" i="5"/>
  <c r="BG168" i="5"/>
  <c r="BE168" i="5"/>
  <c r="BD168" i="5"/>
  <c r="BB168" i="5"/>
  <c r="BA168" i="5"/>
  <c r="AZ168" i="5"/>
  <c r="BP167" i="5"/>
  <c r="BO167" i="5"/>
  <c r="BC167" i="5" s="1"/>
  <c r="BN167" i="5"/>
  <c r="BM167" i="5"/>
  <c r="BL167" i="5"/>
  <c r="BK167" i="5"/>
  <c r="BJ167" i="5"/>
  <c r="BI167" i="5"/>
  <c r="BG167" i="5"/>
  <c r="BE167" i="5"/>
  <c r="BD167" i="5"/>
  <c r="BB167" i="5"/>
  <c r="BA167" i="5"/>
  <c r="AZ167" i="5"/>
  <c r="BP166" i="5"/>
  <c r="BO166" i="5"/>
  <c r="BC166" i="5" s="1"/>
  <c r="BN166" i="5"/>
  <c r="BM166" i="5"/>
  <c r="BL166" i="5"/>
  <c r="BK166" i="5"/>
  <c r="BJ166" i="5"/>
  <c r="BI166" i="5"/>
  <c r="BG166" i="5"/>
  <c r="BE166" i="5"/>
  <c r="BD166" i="5"/>
  <c r="BB166" i="5"/>
  <c r="BA166" i="5"/>
  <c r="AZ166" i="5"/>
  <c r="BP165" i="5"/>
  <c r="BO165" i="5"/>
  <c r="BC165" i="5" s="1"/>
  <c r="BN165" i="5"/>
  <c r="BM165" i="5"/>
  <c r="BL165" i="5"/>
  <c r="BK165" i="5"/>
  <c r="BJ165" i="5"/>
  <c r="BI165" i="5"/>
  <c r="BG165" i="5"/>
  <c r="BE165" i="5"/>
  <c r="BD165" i="5"/>
  <c r="BB165" i="5"/>
  <c r="BA165" i="5"/>
  <c r="AZ165" i="5"/>
  <c r="BP164" i="5"/>
  <c r="BO164" i="5"/>
  <c r="BC164" i="5" s="1"/>
  <c r="BN164" i="5"/>
  <c r="BM164" i="5"/>
  <c r="BL164" i="5"/>
  <c r="BK164" i="5"/>
  <c r="BJ164" i="5"/>
  <c r="BI164" i="5"/>
  <c r="BG164" i="5"/>
  <c r="BE164" i="5"/>
  <c r="BD164" i="5"/>
  <c r="BB164" i="5"/>
  <c r="BA164" i="5"/>
  <c r="AZ164" i="5"/>
  <c r="BP163" i="5"/>
  <c r="BO163" i="5"/>
  <c r="BC163" i="5" s="1"/>
  <c r="BN163" i="5"/>
  <c r="BM163" i="5"/>
  <c r="BL163" i="5"/>
  <c r="BK163" i="5"/>
  <c r="BJ163" i="5"/>
  <c r="BI163" i="5"/>
  <c r="BG163" i="5"/>
  <c r="BE163" i="5"/>
  <c r="BD163" i="5"/>
  <c r="BB163" i="5"/>
  <c r="BA163" i="5"/>
  <c r="AZ163" i="5"/>
  <c r="BP162" i="5"/>
  <c r="BO162" i="5"/>
  <c r="BC162" i="5" s="1"/>
  <c r="BN162" i="5"/>
  <c r="BM162" i="5"/>
  <c r="BL162" i="5"/>
  <c r="BK162" i="5"/>
  <c r="BJ162" i="5"/>
  <c r="BI162" i="5"/>
  <c r="BG162" i="5"/>
  <c r="BE162" i="5"/>
  <c r="BD162" i="5"/>
  <c r="BB162" i="5"/>
  <c r="BA162" i="5"/>
  <c r="AZ162" i="5"/>
  <c r="BP161" i="5"/>
  <c r="BO161" i="5"/>
  <c r="BC161" i="5" s="1"/>
  <c r="BN161" i="5"/>
  <c r="BM161" i="5"/>
  <c r="BL161" i="5"/>
  <c r="BK161" i="5"/>
  <c r="BJ161" i="5"/>
  <c r="BI161" i="5"/>
  <c r="BG161" i="5"/>
  <c r="BE161" i="5"/>
  <c r="BD161" i="5"/>
  <c r="BB161" i="5"/>
  <c r="BA161" i="5"/>
  <c r="AZ161" i="5"/>
  <c r="BP160" i="5"/>
  <c r="BO160" i="5"/>
  <c r="BC160" i="5" s="1"/>
  <c r="BN160" i="5"/>
  <c r="BM160" i="5"/>
  <c r="BL160" i="5"/>
  <c r="BK160" i="5"/>
  <c r="BJ160" i="5"/>
  <c r="BI160" i="5"/>
  <c r="BG160" i="5"/>
  <c r="BE160" i="5"/>
  <c r="BD160" i="5"/>
  <c r="BB160" i="5"/>
  <c r="BA160" i="5"/>
  <c r="AZ160" i="5"/>
  <c r="BP159" i="5"/>
  <c r="BO159" i="5"/>
  <c r="BC159" i="5" s="1"/>
  <c r="BN159" i="5"/>
  <c r="BM159" i="5"/>
  <c r="BL159" i="5"/>
  <c r="BK159" i="5"/>
  <c r="BJ159" i="5"/>
  <c r="BI159" i="5"/>
  <c r="BG159" i="5"/>
  <c r="BE159" i="5"/>
  <c r="BD159" i="5"/>
  <c r="BB159" i="5"/>
  <c r="BA159" i="5"/>
  <c r="AZ159" i="5"/>
  <c r="BP158" i="5"/>
  <c r="BO158" i="5"/>
  <c r="BC158" i="5" s="1"/>
  <c r="BN158" i="5"/>
  <c r="BM158" i="5"/>
  <c r="BL158" i="5"/>
  <c r="BK158" i="5"/>
  <c r="BJ158" i="5"/>
  <c r="BI158" i="5"/>
  <c r="BG158" i="5"/>
  <c r="BE158" i="5"/>
  <c r="BD158" i="5"/>
  <c r="BB158" i="5"/>
  <c r="BA158" i="5"/>
  <c r="AZ158" i="5"/>
  <c r="BP157" i="5"/>
  <c r="BO157" i="5"/>
  <c r="BC157" i="5" s="1"/>
  <c r="BN157" i="5"/>
  <c r="BM157" i="5"/>
  <c r="BL157" i="5"/>
  <c r="BK157" i="5"/>
  <c r="BJ157" i="5"/>
  <c r="BI157" i="5"/>
  <c r="BG157" i="5"/>
  <c r="BE157" i="5"/>
  <c r="BD157" i="5"/>
  <c r="BB157" i="5"/>
  <c r="BA157" i="5"/>
  <c r="AZ157" i="5"/>
  <c r="BP156" i="5"/>
  <c r="BO156" i="5"/>
  <c r="BC156" i="5" s="1"/>
  <c r="BN156" i="5"/>
  <c r="BM156" i="5"/>
  <c r="BL156" i="5"/>
  <c r="BK156" i="5"/>
  <c r="BJ156" i="5"/>
  <c r="BI156" i="5"/>
  <c r="BG156" i="5"/>
  <c r="BE156" i="5"/>
  <c r="BD156" i="5"/>
  <c r="BB156" i="5"/>
  <c r="BA156" i="5"/>
  <c r="AZ156" i="5"/>
  <c r="BP155" i="5"/>
  <c r="BO155" i="5"/>
  <c r="BC155" i="5" s="1"/>
  <c r="BN155" i="5"/>
  <c r="BM155" i="5"/>
  <c r="BL155" i="5"/>
  <c r="BK155" i="5"/>
  <c r="BJ155" i="5"/>
  <c r="BI155" i="5"/>
  <c r="BG155" i="5"/>
  <c r="BE155" i="5"/>
  <c r="BD155" i="5"/>
  <c r="BB155" i="5"/>
  <c r="BA155" i="5"/>
  <c r="AZ155" i="5"/>
  <c r="BP154" i="5"/>
  <c r="BO154" i="5"/>
  <c r="BC154" i="5" s="1"/>
  <c r="BN154" i="5"/>
  <c r="BM154" i="5"/>
  <c r="BL154" i="5"/>
  <c r="BK154" i="5"/>
  <c r="BJ154" i="5"/>
  <c r="BI154" i="5"/>
  <c r="BG154" i="5"/>
  <c r="BE154" i="5"/>
  <c r="BD154" i="5"/>
  <c r="BB154" i="5"/>
  <c r="BA154" i="5"/>
  <c r="AZ154" i="5"/>
  <c r="BP153" i="5"/>
  <c r="BO153" i="5"/>
  <c r="BC153" i="5" s="1"/>
  <c r="BN153" i="5"/>
  <c r="BM153" i="5"/>
  <c r="BL153" i="5"/>
  <c r="BK153" i="5"/>
  <c r="BJ153" i="5"/>
  <c r="BI153" i="5"/>
  <c r="BG153" i="5"/>
  <c r="BE153" i="5"/>
  <c r="BD153" i="5"/>
  <c r="BB153" i="5"/>
  <c r="BA153" i="5"/>
  <c r="AZ153" i="5"/>
  <c r="BP152" i="5"/>
  <c r="BO152" i="5"/>
  <c r="BC152" i="5" s="1"/>
  <c r="BN152" i="5"/>
  <c r="BM152" i="5"/>
  <c r="BL152" i="5"/>
  <c r="BK152" i="5"/>
  <c r="BJ152" i="5"/>
  <c r="BI152" i="5"/>
  <c r="BG152" i="5"/>
  <c r="BE152" i="5"/>
  <c r="BD152" i="5"/>
  <c r="BB152" i="5"/>
  <c r="BA152" i="5"/>
  <c r="AZ152" i="5"/>
  <c r="BP151" i="5"/>
  <c r="BO151" i="5"/>
  <c r="BC151" i="5" s="1"/>
  <c r="BN151" i="5"/>
  <c r="BM151" i="5"/>
  <c r="BL151" i="5"/>
  <c r="BK151" i="5"/>
  <c r="BJ151" i="5"/>
  <c r="BI151" i="5"/>
  <c r="BG151" i="5"/>
  <c r="BE151" i="5"/>
  <c r="BD151" i="5"/>
  <c r="BB151" i="5"/>
  <c r="BA151" i="5"/>
  <c r="AZ151" i="5"/>
  <c r="BP150" i="5"/>
  <c r="BO150" i="5"/>
  <c r="BC150" i="5" s="1"/>
  <c r="BN150" i="5"/>
  <c r="BM150" i="5"/>
  <c r="BL150" i="5"/>
  <c r="BK150" i="5"/>
  <c r="BJ150" i="5"/>
  <c r="BI150" i="5"/>
  <c r="BG150" i="5"/>
  <c r="BE150" i="5"/>
  <c r="BD150" i="5"/>
  <c r="BB150" i="5"/>
  <c r="BA150" i="5"/>
  <c r="AZ150" i="5"/>
  <c r="BP149" i="5"/>
  <c r="BO149" i="5"/>
  <c r="BC149" i="5" s="1"/>
  <c r="BN149" i="5"/>
  <c r="BM149" i="5"/>
  <c r="BL149" i="5"/>
  <c r="BK149" i="5"/>
  <c r="BJ149" i="5"/>
  <c r="BI149" i="5"/>
  <c r="BG149" i="5"/>
  <c r="BE149" i="5"/>
  <c r="BD149" i="5"/>
  <c r="BB149" i="5"/>
  <c r="BA149" i="5"/>
  <c r="AZ149" i="5"/>
  <c r="BP148" i="5"/>
  <c r="BO148" i="5"/>
  <c r="BC148" i="5" s="1"/>
  <c r="BN148" i="5"/>
  <c r="BM148" i="5"/>
  <c r="BL148" i="5"/>
  <c r="BK148" i="5"/>
  <c r="BJ148" i="5"/>
  <c r="BI148" i="5"/>
  <c r="BG148" i="5"/>
  <c r="BE148" i="5"/>
  <c r="BD148" i="5"/>
  <c r="BB148" i="5"/>
  <c r="BA148" i="5"/>
  <c r="AZ148" i="5"/>
  <c r="BP147" i="5"/>
  <c r="BO147" i="5"/>
  <c r="BC147" i="5" s="1"/>
  <c r="BN147" i="5"/>
  <c r="BM147" i="5"/>
  <c r="BL147" i="5"/>
  <c r="BK147" i="5"/>
  <c r="BJ147" i="5"/>
  <c r="BI147" i="5"/>
  <c r="BG147" i="5"/>
  <c r="BE147" i="5"/>
  <c r="BD147" i="5"/>
  <c r="BB147" i="5"/>
  <c r="BA147" i="5"/>
  <c r="AZ147" i="5"/>
  <c r="BP146" i="5"/>
  <c r="BO146" i="5"/>
  <c r="BC146" i="5" s="1"/>
  <c r="BN146" i="5"/>
  <c r="BM146" i="5"/>
  <c r="BL146" i="5"/>
  <c r="BK146" i="5"/>
  <c r="BJ146" i="5"/>
  <c r="BI146" i="5"/>
  <c r="BG146" i="5"/>
  <c r="BE146" i="5"/>
  <c r="BD146" i="5"/>
  <c r="BB146" i="5"/>
  <c r="BA146" i="5"/>
  <c r="AZ146" i="5"/>
  <c r="BP145" i="5"/>
  <c r="BO145" i="5"/>
  <c r="BC145" i="5" s="1"/>
  <c r="BN145" i="5"/>
  <c r="BM145" i="5"/>
  <c r="BL145" i="5"/>
  <c r="BK145" i="5"/>
  <c r="BJ145" i="5"/>
  <c r="BI145" i="5"/>
  <c r="BG145" i="5"/>
  <c r="BE145" i="5"/>
  <c r="BD145" i="5"/>
  <c r="BB145" i="5"/>
  <c r="BA145" i="5"/>
  <c r="AZ145" i="5"/>
  <c r="BP144" i="5"/>
  <c r="BO144" i="5"/>
  <c r="BC144" i="5" s="1"/>
  <c r="BN144" i="5"/>
  <c r="BM144" i="5"/>
  <c r="BL144" i="5"/>
  <c r="BK144" i="5"/>
  <c r="BJ144" i="5"/>
  <c r="BI144" i="5"/>
  <c r="BG144" i="5"/>
  <c r="BE144" i="5"/>
  <c r="BD144" i="5"/>
  <c r="BB144" i="5"/>
  <c r="BA144" i="5"/>
  <c r="AZ144" i="5"/>
  <c r="BP143" i="5"/>
  <c r="BO143" i="5"/>
  <c r="BC143" i="5" s="1"/>
  <c r="BN143" i="5"/>
  <c r="BM143" i="5"/>
  <c r="BL143" i="5"/>
  <c r="BK143" i="5"/>
  <c r="BJ143" i="5"/>
  <c r="BI143" i="5"/>
  <c r="BG143" i="5"/>
  <c r="BE143" i="5"/>
  <c r="BD143" i="5"/>
  <c r="BB143" i="5"/>
  <c r="BA143" i="5"/>
  <c r="AZ143" i="5"/>
  <c r="BP142" i="5"/>
  <c r="BO142" i="5"/>
  <c r="BC142" i="5" s="1"/>
  <c r="BN142" i="5"/>
  <c r="BM142" i="5"/>
  <c r="BL142" i="5"/>
  <c r="BK142" i="5"/>
  <c r="BJ142" i="5"/>
  <c r="BI142" i="5"/>
  <c r="BG142" i="5"/>
  <c r="BE142" i="5"/>
  <c r="BD142" i="5"/>
  <c r="BB142" i="5"/>
  <c r="BA142" i="5"/>
  <c r="AZ142" i="5"/>
  <c r="BP141" i="5"/>
  <c r="BO141" i="5"/>
  <c r="BC141" i="5" s="1"/>
  <c r="BN141" i="5"/>
  <c r="BM141" i="5"/>
  <c r="BL141" i="5"/>
  <c r="BK141" i="5"/>
  <c r="BJ141" i="5"/>
  <c r="BI141" i="5"/>
  <c r="BG141" i="5"/>
  <c r="BE141" i="5"/>
  <c r="BD141" i="5"/>
  <c r="BB141" i="5"/>
  <c r="BA141" i="5"/>
  <c r="AZ141" i="5"/>
  <c r="BP140" i="5"/>
  <c r="BO140" i="5"/>
  <c r="BC140" i="5" s="1"/>
  <c r="BN140" i="5"/>
  <c r="BM140" i="5"/>
  <c r="BL140" i="5"/>
  <c r="BK140" i="5"/>
  <c r="BJ140" i="5"/>
  <c r="BI140" i="5"/>
  <c r="BG140" i="5"/>
  <c r="BE140" i="5"/>
  <c r="BD140" i="5"/>
  <c r="BB140" i="5"/>
  <c r="BA140" i="5"/>
  <c r="AZ140" i="5"/>
  <c r="BP139" i="5"/>
  <c r="BO139" i="5"/>
  <c r="BC139" i="5" s="1"/>
  <c r="BN139" i="5"/>
  <c r="BM139" i="5"/>
  <c r="BL139" i="5"/>
  <c r="BK139" i="5"/>
  <c r="BJ139" i="5"/>
  <c r="BI139" i="5"/>
  <c r="BG139" i="5"/>
  <c r="BE139" i="5"/>
  <c r="BD139" i="5"/>
  <c r="BB139" i="5"/>
  <c r="BA139" i="5"/>
  <c r="AZ139" i="5"/>
  <c r="BP138" i="5"/>
  <c r="BO138" i="5"/>
  <c r="BC138" i="5" s="1"/>
  <c r="BN138" i="5"/>
  <c r="BM138" i="5"/>
  <c r="BL138" i="5"/>
  <c r="BK138" i="5"/>
  <c r="BJ138" i="5"/>
  <c r="BI138" i="5"/>
  <c r="BG138" i="5"/>
  <c r="BE138" i="5"/>
  <c r="BD138" i="5"/>
  <c r="BB138" i="5"/>
  <c r="BA138" i="5"/>
  <c r="AZ138" i="5"/>
  <c r="BP137" i="5"/>
  <c r="BO137" i="5"/>
  <c r="BC137" i="5" s="1"/>
  <c r="BN137" i="5"/>
  <c r="BM137" i="5"/>
  <c r="BL137" i="5"/>
  <c r="BK137" i="5"/>
  <c r="BJ137" i="5"/>
  <c r="BI137" i="5"/>
  <c r="BG137" i="5"/>
  <c r="BE137" i="5"/>
  <c r="BD137" i="5"/>
  <c r="BB137" i="5"/>
  <c r="BA137" i="5"/>
  <c r="AZ137" i="5"/>
  <c r="BP136" i="5"/>
  <c r="BO136" i="5"/>
  <c r="BC136" i="5" s="1"/>
  <c r="BN136" i="5"/>
  <c r="BM136" i="5"/>
  <c r="BL136" i="5"/>
  <c r="BK136" i="5"/>
  <c r="BJ136" i="5"/>
  <c r="BI136" i="5"/>
  <c r="BG136" i="5"/>
  <c r="BE136" i="5"/>
  <c r="BD136" i="5"/>
  <c r="BB136" i="5"/>
  <c r="BA136" i="5"/>
  <c r="AZ136" i="5"/>
  <c r="BP135" i="5"/>
  <c r="BO135" i="5"/>
  <c r="BC135" i="5" s="1"/>
  <c r="BN135" i="5"/>
  <c r="BM135" i="5"/>
  <c r="BL135" i="5"/>
  <c r="BK135" i="5"/>
  <c r="BJ135" i="5"/>
  <c r="BI135" i="5"/>
  <c r="BG135" i="5"/>
  <c r="BE135" i="5"/>
  <c r="BD135" i="5"/>
  <c r="BB135" i="5"/>
  <c r="BA135" i="5"/>
  <c r="AZ135" i="5"/>
  <c r="BP134" i="5"/>
  <c r="BO134" i="5"/>
  <c r="BC134" i="5" s="1"/>
  <c r="BN134" i="5"/>
  <c r="BM134" i="5"/>
  <c r="BL134" i="5"/>
  <c r="BK134" i="5"/>
  <c r="BJ134" i="5"/>
  <c r="BI134" i="5"/>
  <c r="BG134" i="5"/>
  <c r="BE134" i="5"/>
  <c r="BD134" i="5"/>
  <c r="BB134" i="5"/>
  <c r="BA134" i="5"/>
  <c r="AZ134" i="5"/>
  <c r="BP133" i="5"/>
  <c r="BO133" i="5"/>
  <c r="BC133" i="5" s="1"/>
  <c r="BN133" i="5"/>
  <c r="BM133" i="5"/>
  <c r="BL133" i="5"/>
  <c r="BK133" i="5"/>
  <c r="BJ133" i="5"/>
  <c r="BI133" i="5"/>
  <c r="BG133" i="5"/>
  <c r="BE133" i="5"/>
  <c r="BD133" i="5"/>
  <c r="BB133" i="5"/>
  <c r="BA133" i="5"/>
  <c r="AZ133" i="5"/>
  <c r="BP132" i="5"/>
  <c r="BO132" i="5"/>
  <c r="BC132" i="5" s="1"/>
  <c r="BN132" i="5"/>
  <c r="BM132" i="5"/>
  <c r="BL132" i="5"/>
  <c r="BK132" i="5"/>
  <c r="BJ132" i="5"/>
  <c r="BI132" i="5"/>
  <c r="BG132" i="5"/>
  <c r="BE132" i="5"/>
  <c r="BD132" i="5"/>
  <c r="BB132" i="5"/>
  <c r="BA132" i="5"/>
  <c r="AZ132" i="5"/>
  <c r="BP131" i="5"/>
  <c r="BO131" i="5"/>
  <c r="BC131" i="5" s="1"/>
  <c r="BN131" i="5"/>
  <c r="BM131" i="5"/>
  <c r="BL131" i="5"/>
  <c r="BK131" i="5"/>
  <c r="BJ131" i="5"/>
  <c r="BI131" i="5"/>
  <c r="BG131" i="5"/>
  <c r="BE131" i="5"/>
  <c r="BD131" i="5"/>
  <c r="BB131" i="5"/>
  <c r="BA131" i="5"/>
  <c r="AZ131" i="5"/>
  <c r="BP130" i="5"/>
  <c r="BO130" i="5"/>
  <c r="BC130" i="5" s="1"/>
  <c r="BN130" i="5"/>
  <c r="BM130" i="5"/>
  <c r="BL130" i="5"/>
  <c r="BK130" i="5"/>
  <c r="BJ130" i="5"/>
  <c r="BI130" i="5"/>
  <c r="BG130" i="5"/>
  <c r="BE130" i="5"/>
  <c r="BD130" i="5"/>
  <c r="BB130" i="5"/>
  <c r="BA130" i="5"/>
  <c r="AZ130" i="5"/>
  <c r="BP129" i="5"/>
  <c r="BO129" i="5"/>
  <c r="BC129" i="5" s="1"/>
  <c r="BN129" i="5"/>
  <c r="BM129" i="5"/>
  <c r="BL129" i="5"/>
  <c r="BK129" i="5"/>
  <c r="BJ129" i="5"/>
  <c r="BI129" i="5"/>
  <c r="BG129" i="5"/>
  <c r="BE129" i="5"/>
  <c r="BD129" i="5"/>
  <c r="BB129" i="5"/>
  <c r="BA129" i="5"/>
  <c r="AZ129" i="5"/>
  <c r="BP128" i="5"/>
  <c r="BO128" i="5"/>
  <c r="BC128" i="5" s="1"/>
  <c r="BN128" i="5"/>
  <c r="BM128" i="5"/>
  <c r="BL128" i="5"/>
  <c r="BK128" i="5"/>
  <c r="BJ128" i="5"/>
  <c r="BI128" i="5"/>
  <c r="BG128" i="5"/>
  <c r="BE128" i="5"/>
  <c r="BD128" i="5"/>
  <c r="BB128" i="5"/>
  <c r="BA128" i="5"/>
  <c r="AZ128" i="5"/>
  <c r="BP127" i="5"/>
  <c r="BO127" i="5"/>
  <c r="BC127" i="5" s="1"/>
  <c r="BN127" i="5"/>
  <c r="BM127" i="5"/>
  <c r="BL127" i="5"/>
  <c r="BK127" i="5"/>
  <c r="BJ127" i="5"/>
  <c r="BI127" i="5"/>
  <c r="BG127" i="5"/>
  <c r="BE127" i="5"/>
  <c r="BD127" i="5"/>
  <c r="BB127" i="5"/>
  <c r="BA127" i="5"/>
  <c r="AZ127" i="5"/>
  <c r="BP126" i="5"/>
  <c r="BO126" i="5"/>
  <c r="BC126" i="5" s="1"/>
  <c r="BN126" i="5"/>
  <c r="BM126" i="5"/>
  <c r="BL126" i="5"/>
  <c r="BK126" i="5"/>
  <c r="BJ126" i="5"/>
  <c r="BI126" i="5"/>
  <c r="BG126" i="5"/>
  <c r="BE126" i="5"/>
  <c r="BD126" i="5"/>
  <c r="BB126" i="5"/>
  <c r="BA126" i="5"/>
  <c r="AZ126" i="5"/>
  <c r="BP125" i="5"/>
  <c r="BO125" i="5"/>
  <c r="BC125" i="5" s="1"/>
  <c r="BN125" i="5"/>
  <c r="BM125" i="5"/>
  <c r="BL125" i="5"/>
  <c r="BK125" i="5"/>
  <c r="BJ125" i="5"/>
  <c r="BI125" i="5"/>
  <c r="BG125" i="5"/>
  <c r="BE125" i="5"/>
  <c r="BD125" i="5"/>
  <c r="BB125" i="5"/>
  <c r="BA125" i="5"/>
  <c r="AZ125" i="5"/>
  <c r="BP124" i="5"/>
  <c r="BO124" i="5"/>
  <c r="BC124" i="5" s="1"/>
  <c r="BN124" i="5"/>
  <c r="BM124" i="5"/>
  <c r="BL124" i="5"/>
  <c r="BK124" i="5"/>
  <c r="BJ124" i="5"/>
  <c r="BI124" i="5"/>
  <c r="BG124" i="5"/>
  <c r="BE124" i="5"/>
  <c r="BD124" i="5"/>
  <c r="BB124" i="5"/>
  <c r="BA124" i="5"/>
  <c r="AZ124" i="5"/>
  <c r="BP123" i="5"/>
  <c r="BO123" i="5"/>
  <c r="BC123" i="5" s="1"/>
  <c r="BN123" i="5"/>
  <c r="BM123" i="5"/>
  <c r="BL123" i="5"/>
  <c r="BK123" i="5"/>
  <c r="BJ123" i="5"/>
  <c r="BI123" i="5"/>
  <c r="BG123" i="5"/>
  <c r="BE123" i="5"/>
  <c r="BD123" i="5"/>
  <c r="BB123" i="5"/>
  <c r="BA123" i="5"/>
  <c r="AZ123" i="5"/>
  <c r="BP122" i="5"/>
  <c r="BO122" i="5"/>
  <c r="BC122" i="5" s="1"/>
  <c r="BN122" i="5"/>
  <c r="BM122" i="5"/>
  <c r="BL122" i="5"/>
  <c r="BK122" i="5"/>
  <c r="BJ122" i="5"/>
  <c r="BI122" i="5"/>
  <c r="BG122" i="5"/>
  <c r="BE122" i="5"/>
  <c r="BD122" i="5"/>
  <c r="BB122" i="5"/>
  <c r="BA122" i="5"/>
  <c r="AZ122" i="5"/>
  <c r="BP121" i="5"/>
  <c r="BO121" i="5"/>
  <c r="BC121" i="5" s="1"/>
  <c r="BN121" i="5"/>
  <c r="BM121" i="5"/>
  <c r="BL121" i="5"/>
  <c r="BK121" i="5"/>
  <c r="BJ121" i="5"/>
  <c r="BI121" i="5"/>
  <c r="BG121" i="5"/>
  <c r="BE121" i="5"/>
  <c r="BD121" i="5"/>
  <c r="BB121" i="5"/>
  <c r="BA121" i="5"/>
  <c r="AZ121" i="5"/>
  <c r="BP120" i="5"/>
  <c r="BO120" i="5"/>
  <c r="BC120" i="5" s="1"/>
  <c r="BN120" i="5"/>
  <c r="BM120" i="5"/>
  <c r="BL120" i="5"/>
  <c r="BK120" i="5"/>
  <c r="BJ120" i="5"/>
  <c r="BI120" i="5"/>
  <c r="BG120" i="5"/>
  <c r="BE120" i="5"/>
  <c r="BD120" i="5"/>
  <c r="BB120" i="5"/>
  <c r="BA120" i="5"/>
  <c r="AZ120" i="5"/>
  <c r="BP119" i="5"/>
  <c r="BO119" i="5"/>
  <c r="BC119" i="5" s="1"/>
  <c r="BN119" i="5"/>
  <c r="BM119" i="5"/>
  <c r="BL119" i="5"/>
  <c r="BK119" i="5"/>
  <c r="BJ119" i="5"/>
  <c r="BI119" i="5"/>
  <c r="BG119" i="5"/>
  <c r="BE119" i="5"/>
  <c r="BD119" i="5"/>
  <c r="BB119" i="5"/>
  <c r="BA119" i="5"/>
  <c r="AZ119" i="5"/>
  <c r="BP118" i="5"/>
  <c r="BO118" i="5"/>
  <c r="BC118" i="5" s="1"/>
  <c r="BN118" i="5"/>
  <c r="BM118" i="5"/>
  <c r="BL118" i="5"/>
  <c r="BK118" i="5"/>
  <c r="BJ118" i="5"/>
  <c r="BI118" i="5"/>
  <c r="BG118" i="5"/>
  <c r="BE118" i="5"/>
  <c r="BD118" i="5"/>
  <c r="BB118" i="5"/>
  <c r="BA118" i="5"/>
  <c r="AZ118" i="5"/>
  <c r="BP117" i="5"/>
  <c r="BO117" i="5"/>
  <c r="BC117" i="5" s="1"/>
  <c r="BN117" i="5"/>
  <c r="BM117" i="5"/>
  <c r="BL117" i="5"/>
  <c r="BK117" i="5"/>
  <c r="BJ117" i="5"/>
  <c r="BI117" i="5"/>
  <c r="BG117" i="5"/>
  <c r="BE117" i="5"/>
  <c r="BD117" i="5"/>
  <c r="BB117" i="5"/>
  <c r="BA117" i="5"/>
  <c r="AZ117" i="5"/>
  <c r="BP116" i="5"/>
  <c r="BO116" i="5"/>
  <c r="BC116" i="5" s="1"/>
  <c r="BN116" i="5"/>
  <c r="BM116" i="5"/>
  <c r="BL116" i="5"/>
  <c r="BK116" i="5"/>
  <c r="BJ116" i="5"/>
  <c r="BI116" i="5"/>
  <c r="BG116" i="5"/>
  <c r="BE116" i="5"/>
  <c r="BD116" i="5"/>
  <c r="BB116" i="5"/>
  <c r="BA116" i="5"/>
  <c r="AZ116" i="5"/>
  <c r="BP115" i="5"/>
  <c r="BO115" i="5"/>
  <c r="BC115" i="5" s="1"/>
  <c r="BN115" i="5"/>
  <c r="BM115" i="5"/>
  <c r="BL115" i="5"/>
  <c r="BK115" i="5"/>
  <c r="BJ115" i="5"/>
  <c r="BI115" i="5"/>
  <c r="BG115" i="5"/>
  <c r="BE115" i="5"/>
  <c r="BD115" i="5"/>
  <c r="BB115" i="5"/>
  <c r="BA115" i="5"/>
  <c r="AZ115" i="5"/>
  <c r="BP114" i="5"/>
  <c r="BO114" i="5"/>
  <c r="BC114" i="5" s="1"/>
  <c r="BN114" i="5"/>
  <c r="BM114" i="5"/>
  <c r="BL114" i="5"/>
  <c r="BK114" i="5"/>
  <c r="BJ114" i="5"/>
  <c r="BI114" i="5"/>
  <c r="BG114" i="5"/>
  <c r="BE114" i="5"/>
  <c r="BD114" i="5"/>
  <c r="BB114" i="5"/>
  <c r="BA114" i="5"/>
  <c r="AZ114" i="5"/>
  <c r="BP113" i="5"/>
  <c r="BO113" i="5"/>
  <c r="BC113" i="5" s="1"/>
  <c r="BN113" i="5"/>
  <c r="BM113" i="5"/>
  <c r="BL113" i="5"/>
  <c r="BK113" i="5"/>
  <c r="BJ113" i="5"/>
  <c r="BI113" i="5"/>
  <c r="BG113" i="5"/>
  <c r="BE113" i="5"/>
  <c r="BD113" i="5"/>
  <c r="BB113" i="5"/>
  <c r="BA113" i="5"/>
  <c r="AZ113" i="5"/>
  <c r="BP112" i="5"/>
  <c r="BO112" i="5"/>
  <c r="BC112" i="5" s="1"/>
  <c r="BN112" i="5"/>
  <c r="BM112" i="5"/>
  <c r="BL112" i="5"/>
  <c r="BK112" i="5"/>
  <c r="BJ112" i="5"/>
  <c r="BI112" i="5"/>
  <c r="BG112" i="5"/>
  <c r="BE112" i="5"/>
  <c r="BD112" i="5"/>
  <c r="BB112" i="5"/>
  <c r="BA112" i="5"/>
  <c r="AZ112" i="5"/>
  <c r="BP111" i="5"/>
  <c r="BO111" i="5"/>
  <c r="BC111" i="5" s="1"/>
  <c r="BN111" i="5"/>
  <c r="BM111" i="5"/>
  <c r="BL111" i="5"/>
  <c r="BK111" i="5"/>
  <c r="BJ111" i="5"/>
  <c r="BI111" i="5"/>
  <c r="BG111" i="5"/>
  <c r="BE111" i="5"/>
  <c r="BD111" i="5"/>
  <c r="BB111" i="5"/>
  <c r="BA111" i="5"/>
  <c r="AZ111" i="5"/>
  <c r="BP110" i="5"/>
  <c r="BO110" i="5"/>
  <c r="BC110" i="5" s="1"/>
  <c r="BN110" i="5"/>
  <c r="BM110" i="5"/>
  <c r="BL110" i="5"/>
  <c r="BK110" i="5"/>
  <c r="BJ110" i="5"/>
  <c r="BI110" i="5"/>
  <c r="BG110" i="5"/>
  <c r="BE110" i="5"/>
  <c r="BD110" i="5"/>
  <c r="BB110" i="5"/>
  <c r="BA110" i="5"/>
  <c r="AZ110" i="5"/>
  <c r="BP109" i="5"/>
  <c r="BO109" i="5"/>
  <c r="BC109" i="5" s="1"/>
  <c r="BN109" i="5"/>
  <c r="BM109" i="5"/>
  <c r="BL109" i="5"/>
  <c r="BK109" i="5"/>
  <c r="BJ109" i="5"/>
  <c r="BI109" i="5"/>
  <c r="BG109" i="5"/>
  <c r="BE109" i="5"/>
  <c r="BD109" i="5"/>
  <c r="BB109" i="5"/>
  <c r="BA109" i="5"/>
  <c r="AZ109" i="5"/>
  <c r="BP108" i="5"/>
  <c r="BO108" i="5"/>
  <c r="BC108" i="5" s="1"/>
  <c r="BN108" i="5"/>
  <c r="BM108" i="5"/>
  <c r="BL108" i="5"/>
  <c r="BK108" i="5"/>
  <c r="BJ108" i="5"/>
  <c r="BI108" i="5"/>
  <c r="BG108" i="5"/>
  <c r="BE108" i="5"/>
  <c r="BD108" i="5"/>
  <c r="BB108" i="5"/>
  <c r="BA108" i="5"/>
  <c r="AZ108" i="5"/>
  <c r="BP107" i="5"/>
  <c r="BO107" i="5"/>
  <c r="BC107" i="5" s="1"/>
  <c r="BN107" i="5"/>
  <c r="BM107" i="5"/>
  <c r="BL107" i="5"/>
  <c r="BK107" i="5"/>
  <c r="BJ107" i="5"/>
  <c r="BI107" i="5"/>
  <c r="BG107" i="5"/>
  <c r="BE107" i="5"/>
  <c r="BD107" i="5"/>
  <c r="BB107" i="5"/>
  <c r="BA107" i="5"/>
  <c r="AZ107" i="5"/>
  <c r="BP106" i="5"/>
  <c r="BO106" i="5"/>
  <c r="BC106" i="5" s="1"/>
  <c r="BN106" i="5"/>
  <c r="BM106" i="5"/>
  <c r="BL106" i="5"/>
  <c r="BK106" i="5"/>
  <c r="BJ106" i="5"/>
  <c r="BI106" i="5"/>
  <c r="BG106" i="5"/>
  <c r="BE106" i="5"/>
  <c r="BD106" i="5"/>
  <c r="BB106" i="5"/>
  <c r="BA106" i="5"/>
  <c r="AZ106" i="5"/>
  <c r="BP105" i="5"/>
  <c r="BO105" i="5"/>
  <c r="BC105" i="5" s="1"/>
  <c r="BN105" i="5"/>
  <c r="BM105" i="5"/>
  <c r="BL105" i="5"/>
  <c r="BK105" i="5"/>
  <c r="BJ105" i="5"/>
  <c r="BI105" i="5"/>
  <c r="BG105" i="5"/>
  <c r="BE105" i="5"/>
  <c r="BD105" i="5"/>
  <c r="BB105" i="5"/>
  <c r="BA105" i="5"/>
  <c r="AZ105" i="5"/>
  <c r="BP104" i="5"/>
  <c r="BO104" i="5"/>
  <c r="BC104" i="5" s="1"/>
  <c r="BN104" i="5"/>
  <c r="BM104" i="5"/>
  <c r="BL104" i="5"/>
  <c r="BK104" i="5"/>
  <c r="BJ104" i="5"/>
  <c r="BI104" i="5"/>
  <c r="BG104" i="5"/>
  <c r="BE104" i="5"/>
  <c r="BD104" i="5"/>
  <c r="BB104" i="5"/>
  <c r="BA104" i="5"/>
  <c r="AZ104" i="5"/>
  <c r="BP103" i="5"/>
  <c r="BO103" i="5"/>
  <c r="BC103" i="5" s="1"/>
  <c r="BN103" i="5"/>
  <c r="BM103" i="5"/>
  <c r="BL103" i="5"/>
  <c r="BK103" i="5"/>
  <c r="BJ103" i="5"/>
  <c r="BI103" i="5"/>
  <c r="BG103" i="5"/>
  <c r="BE103" i="5"/>
  <c r="BD103" i="5"/>
  <c r="BB103" i="5"/>
  <c r="BA103" i="5"/>
  <c r="AZ103" i="5"/>
  <c r="BP102" i="5"/>
  <c r="BO102" i="5"/>
  <c r="BC102" i="5" s="1"/>
  <c r="BN102" i="5"/>
  <c r="BM102" i="5"/>
  <c r="BL102" i="5"/>
  <c r="BK102" i="5"/>
  <c r="BJ102" i="5"/>
  <c r="BI102" i="5"/>
  <c r="BG102" i="5"/>
  <c r="BE102" i="5"/>
  <c r="BD102" i="5"/>
  <c r="BB102" i="5"/>
  <c r="BA102" i="5"/>
  <c r="AZ102" i="5"/>
  <c r="BP101" i="5"/>
  <c r="BO101" i="5"/>
  <c r="BC101" i="5" s="1"/>
  <c r="BN101" i="5"/>
  <c r="BM101" i="5"/>
  <c r="BL101" i="5"/>
  <c r="BK101" i="5"/>
  <c r="BJ101" i="5"/>
  <c r="BI101" i="5"/>
  <c r="BG101" i="5"/>
  <c r="BE101" i="5"/>
  <c r="BD101" i="5"/>
  <c r="BB101" i="5"/>
  <c r="BA101" i="5"/>
  <c r="AZ101" i="5"/>
  <c r="BP100" i="5"/>
  <c r="BO100" i="5"/>
  <c r="BC100" i="5" s="1"/>
  <c r="BN100" i="5"/>
  <c r="BM100" i="5"/>
  <c r="BL100" i="5"/>
  <c r="BK100" i="5"/>
  <c r="BJ100" i="5"/>
  <c r="BI100" i="5"/>
  <c r="BG100" i="5"/>
  <c r="BE100" i="5"/>
  <c r="BD100" i="5"/>
  <c r="BB100" i="5"/>
  <c r="BA100" i="5"/>
  <c r="AZ100" i="5"/>
  <c r="BP99" i="5"/>
  <c r="BO99" i="5"/>
  <c r="BC99" i="5" s="1"/>
  <c r="BN99" i="5"/>
  <c r="BM99" i="5"/>
  <c r="BL99" i="5"/>
  <c r="BK99" i="5"/>
  <c r="BJ99" i="5"/>
  <c r="BI99" i="5"/>
  <c r="BG99" i="5"/>
  <c r="BE99" i="5"/>
  <c r="BD99" i="5"/>
  <c r="BB99" i="5"/>
  <c r="BA99" i="5"/>
  <c r="AZ99" i="5"/>
  <c r="BP98" i="5"/>
  <c r="BO98" i="5"/>
  <c r="BC98" i="5" s="1"/>
  <c r="BN98" i="5"/>
  <c r="BM98" i="5"/>
  <c r="BL98" i="5"/>
  <c r="BK98" i="5"/>
  <c r="BJ98" i="5"/>
  <c r="BI98" i="5"/>
  <c r="BG98" i="5"/>
  <c r="BE98" i="5"/>
  <c r="BD98" i="5"/>
  <c r="BB98" i="5"/>
  <c r="BA98" i="5"/>
  <c r="AZ98" i="5"/>
  <c r="BP97" i="5"/>
  <c r="BO97" i="5"/>
  <c r="BC97" i="5" s="1"/>
  <c r="BN97" i="5"/>
  <c r="BM97" i="5"/>
  <c r="BL97" i="5"/>
  <c r="BK97" i="5"/>
  <c r="BJ97" i="5"/>
  <c r="BI97" i="5"/>
  <c r="BG97" i="5"/>
  <c r="BE97" i="5"/>
  <c r="BD97" i="5"/>
  <c r="BB97" i="5"/>
  <c r="BA97" i="5"/>
  <c r="AZ97" i="5"/>
  <c r="BP96" i="5"/>
  <c r="BO96" i="5"/>
  <c r="BC96" i="5" s="1"/>
  <c r="BN96" i="5"/>
  <c r="BM96" i="5"/>
  <c r="BL96" i="5"/>
  <c r="BK96" i="5"/>
  <c r="BJ96" i="5"/>
  <c r="BI96" i="5"/>
  <c r="BG96" i="5"/>
  <c r="BE96" i="5"/>
  <c r="BD96" i="5"/>
  <c r="BB96" i="5"/>
  <c r="BA96" i="5"/>
  <c r="AZ96" i="5"/>
  <c r="BP95" i="5"/>
  <c r="BO95" i="5"/>
  <c r="BC95" i="5" s="1"/>
  <c r="BN95" i="5"/>
  <c r="BM95" i="5"/>
  <c r="BL95" i="5"/>
  <c r="BK95" i="5"/>
  <c r="BJ95" i="5"/>
  <c r="BI95" i="5"/>
  <c r="BG95" i="5"/>
  <c r="BE95" i="5"/>
  <c r="BD95" i="5"/>
  <c r="BB95" i="5"/>
  <c r="BA95" i="5"/>
  <c r="AZ95" i="5"/>
  <c r="BP94" i="5"/>
  <c r="BO94" i="5"/>
  <c r="BC94" i="5" s="1"/>
  <c r="BN94" i="5"/>
  <c r="BM94" i="5"/>
  <c r="BL94" i="5"/>
  <c r="BK94" i="5"/>
  <c r="BJ94" i="5"/>
  <c r="BI94" i="5"/>
  <c r="BG94" i="5"/>
  <c r="BE94" i="5"/>
  <c r="BD94" i="5"/>
  <c r="BB94" i="5"/>
  <c r="BA94" i="5"/>
  <c r="AZ94" i="5"/>
  <c r="BP93" i="5"/>
  <c r="BO93" i="5"/>
  <c r="BC93" i="5" s="1"/>
  <c r="BN93" i="5"/>
  <c r="BM93" i="5"/>
  <c r="BL93" i="5"/>
  <c r="BK93" i="5"/>
  <c r="BJ93" i="5"/>
  <c r="BI93" i="5"/>
  <c r="BG93" i="5"/>
  <c r="BE93" i="5"/>
  <c r="BD93" i="5"/>
  <c r="BB93" i="5"/>
  <c r="BA93" i="5"/>
  <c r="AZ93" i="5"/>
  <c r="BP92" i="5"/>
  <c r="BO92" i="5"/>
  <c r="BC92" i="5" s="1"/>
  <c r="BN92" i="5"/>
  <c r="BM92" i="5"/>
  <c r="BL92" i="5"/>
  <c r="BK92" i="5"/>
  <c r="BJ92" i="5"/>
  <c r="BI92" i="5"/>
  <c r="BG92" i="5"/>
  <c r="BE92" i="5"/>
  <c r="BD92" i="5"/>
  <c r="BB92" i="5"/>
  <c r="BA92" i="5"/>
  <c r="AZ92" i="5"/>
  <c r="BP91" i="5"/>
  <c r="BO91" i="5"/>
  <c r="BC91" i="5" s="1"/>
  <c r="BN91" i="5"/>
  <c r="BM91" i="5"/>
  <c r="BL91" i="5"/>
  <c r="BK91" i="5"/>
  <c r="BJ91" i="5"/>
  <c r="BI91" i="5"/>
  <c r="BG91" i="5"/>
  <c r="BE91" i="5"/>
  <c r="BD91" i="5"/>
  <c r="BB91" i="5"/>
  <c r="BA91" i="5"/>
  <c r="AZ91" i="5"/>
  <c r="BP90" i="5"/>
  <c r="BO90" i="5"/>
  <c r="BC90" i="5" s="1"/>
  <c r="BN90" i="5"/>
  <c r="BM90" i="5"/>
  <c r="BL90" i="5"/>
  <c r="BK90" i="5"/>
  <c r="BJ90" i="5"/>
  <c r="BI90" i="5"/>
  <c r="BG90" i="5"/>
  <c r="BE90" i="5"/>
  <c r="BD90" i="5"/>
  <c r="BB90" i="5"/>
  <c r="BA90" i="5"/>
  <c r="AZ90" i="5"/>
  <c r="BP89" i="5"/>
  <c r="BO89" i="5"/>
  <c r="BC89" i="5" s="1"/>
  <c r="BN89" i="5"/>
  <c r="BM89" i="5"/>
  <c r="BL89" i="5"/>
  <c r="BK89" i="5"/>
  <c r="BJ89" i="5"/>
  <c r="BI89" i="5"/>
  <c r="BG89" i="5"/>
  <c r="BE89" i="5"/>
  <c r="BD89" i="5"/>
  <c r="BB89" i="5"/>
  <c r="BA89" i="5"/>
  <c r="AZ89" i="5"/>
  <c r="BP88" i="5"/>
  <c r="BO88" i="5"/>
  <c r="BC88" i="5" s="1"/>
  <c r="BN88" i="5"/>
  <c r="BM88" i="5"/>
  <c r="BL88" i="5"/>
  <c r="BK88" i="5"/>
  <c r="BJ88" i="5"/>
  <c r="BI88" i="5"/>
  <c r="BG88" i="5"/>
  <c r="BE88" i="5"/>
  <c r="BD88" i="5"/>
  <c r="BB88" i="5"/>
  <c r="BA88" i="5"/>
  <c r="AZ88" i="5"/>
  <c r="BP87" i="5"/>
  <c r="BO87" i="5"/>
  <c r="BC87" i="5" s="1"/>
  <c r="BN87" i="5"/>
  <c r="BM87" i="5"/>
  <c r="BL87" i="5"/>
  <c r="BK87" i="5"/>
  <c r="BJ87" i="5"/>
  <c r="BI87" i="5"/>
  <c r="BG87" i="5"/>
  <c r="BE87" i="5"/>
  <c r="BD87" i="5"/>
  <c r="BB87" i="5"/>
  <c r="BA87" i="5"/>
  <c r="AZ87" i="5"/>
  <c r="BP86" i="5"/>
  <c r="BO86" i="5"/>
  <c r="BC86" i="5" s="1"/>
  <c r="BN86" i="5"/>
  <c r="BM86" i="5"/>
  <c r="BL86" i="5"/>
  <c r="BK86" i="5"/>
  <c r="BJ86" i="5"/>
  <c r="BI86" i="5"/>
  <c r="BG86" i="5"/>
  <c r="BE86" i="5"/>
  <c r="BD86" i="5"/>
  <c r="BB86" i="5"/>
  <c r="BA86" i="5"/>
  <c r="AZ86" i="5"/>
  <c r="BP85" i="5"/>
  <c r="BO85" i="5"/>
  <c r="BC85" i="5" s="1"/>
  <c r="BN85" i="5"/>
  <c r="BM85" i="5"/>
  <c r="BL85" i="5"/>
  <c r="BK85" i="5"/>
  <c r="BJ85" i="5"/>
  <c r="BI85" i="5"/>
  <c r="BG85" i="5"/>
  <c r="BE85" i="5"/>
  <c r="BD85" i="5"/>
  <c r="BB85" i="5"/>
  <c r="BA85" i="5"/>
  <c r="AZ85" i="5"/>
  <c r="BP84" i="5"/>
  <c r="BO84" i="5"/>
  <c r="BC84" i="5" s="1"/>
  <c r="BN84" i="5"/>
  <c r="BM84" i="5"/>
  <c r="BL84" i="5"/>
  <c r="BK84" i="5"/>
  <c r="BJ84" i="5"/>
  <c r="BI84" i="5"/>
  <c r="BG84" i="5"/>
  <c r="BE84" i="5"/>
  <c r="BD84" i="5"/>
  <c r="BB84" i="5"/>
  <c r="BA84" i="5"/>
  <c r="AZ84" i="5"/>
  <c r="BP83" i="5"/>
  <c r="BO83" i="5"/>
  <c r="BC83" i="5" s="1"/>
  <c r="BN83" i="5"/>
  <c r="BM83" i="5"/>
  <c r="BL83" i="5"/>
  <c r="BK83" i="5"/>
  <c r="BJ83" i="5"/>
  <c r="BI83" i="5"/>
  <c r="BG83" i="5"/>
  <c r="BE83" i="5"/>
  <c r="BD83" i="5"/>
  <c r="BB83" i="5"/>
  <c r="BA83" i="5"/>
  <c r="AZ83" i="5"/>
  <c r="BP82" i="5"/>
  <c r="BO82" i="5"/>
  <c r="BC82" i="5" s="1"/>
  <c r="BN82" i="5"/>
  <c r="BM82" i="5"/>
  <c r="BL82" i="5"/>
  <c r="BK82" i="5"/>
  <c r="BJ82" i="5"/>
  <c r="BI82" i="5"/>
  <c r="BG82" i="5"/>
  <c r="BE82" i="5"/>
  <c r="BD82" i="5"/>
  <c r="BB82" i="5"/>
  <c r="BA82" i="5"/>
  <c r="AZ82" i="5"/>
  <c r="BP81" i="5"/>
  <c r="BO81" i="5"/>
  <c r="BC81" i="5" s="1"/>
  <c r="BN81" i="5"/>
  <c r="BM81" i="5"/>
  <c r="BL81" i="5"/>
  <c r="BK81" i="5"/>
  <c r="BJ81" i="5"/>
  <c r="BI81" i="5"/>
  <c r="BG81" i="5"/>
  <c r="BE81" i="5"/>
  <c r="BD81" i="5"/>
  <c r="BB81" i="5"/>
  <c r="BA81" i="5"/>
  <c r="AZ81" i="5"/>
  <c r="BP80" i="5"/>
  <c r="BO80" i="5"/>
  <c r="BC80" i="5" s="1"/>
  <c r="BN80" i="5"/>
  <c r="BM80" i="5"/>
  <c r="BL80" i="5"/>
  <c r="BK80" i="5"/>
  <c r="BJ80" i="5"/>
  <c r="BI80" i="5"/>
  <c r="BG80" i="5"/>
  <c r="BE80" i="5"/>
  <c r="BD80" i="5"/>
  <c r="BB80" i="5"/>
  <c r="BA80" i="5"/>
  <c r="AZ80" i="5"/>
  <c r="BP79" i="5"/>
  <c r="BO79" i="5"/>
  <c r="BC79" i="5" s="1"/>
  <c r="BN79" i="5"/>
  <c r="BM79" i="5"/>
  <c r="BL79" i="5"/>
  <c r="BK79" i="5"/>
  <c r="BJ79" i="5"/>
  <c r="BI79" i="5"/>
  <c r="BG79" i="5"/>
  <c r="BE79" i="5"/>
  <c r="BD79" i="5"/>
  <c r="BB79" i="5"/>
  <c r="BA79" i="5"/>
  <c r="AZ79" i="5"/>
  <c r="BP78" i="5"/>
  <c r="BO78" i="5"/>
  <c r="BC78" i="5" s="1"/>
  <c r="BN78" i="5"/>
  <c r="BM78" i="5"/>
  <c r="BL78" i="5"/>
  <c r="BK78" i="5"/>
  <c r="BJ78" i="5"/>
  <c r="BI78" i="5"/>
  <c r="BG78" i="5"/>
  <c r="BE78" i="5"/>
  <c r="BD78" i="5"/>
  <c r="BB78" i="5"/>
  <c r="BA78" i="5"/>
  <c r="AZ78" i="5"/>
  <c r="BP77" i="5"/>
  <c r="BO77" i="5"/>
  <c r="BC77" i="5" s="1"/>
  <c r="BN77" i="5"/>
  <c r="BM77" i="5"/>
  <c r="BL77" i="5"/>
  <c r="BK77" i="5"/>
  <c r="BJ77" i="5"/>
  <c r="BI77" i="5"/>
  <c r="BG77" i="5"/>
  <c r="BE77" i="5"/>
  <c r="BD77" i="5"/>
  <c r="BB77" i="5"/>
  <c r="BA77" i="5"/>
  <c r="AZ77" i="5"/>
  <c r="BP76" i="5"/>
  <c r="BO76" i="5"/>
  <c r="BC76" i="5" s="1"/>
  <c r="BN76" i="5"/>
  <c r="BM76" i="5"/>
  <c r="BL76" i="5"/>
  <c r="BK76" i="5"/>
  <c r="BJ76" i="5"/>
  <c r="BI76" i="5"/>
  <c r="BG76" i="5"/>
  <c r="BE76" i="5"/>
  <c r="BD76" i="5"/>
  <c r="BB76" i="5"/>
  <c r="BA76" i="5"/>
  <c r="AZ76" i="5"/>
  <c r="BP75" i="5"/>
  <c r="BO75" i="5"/>
  <c r="BC75" i="5" s="1"/>
  <c r="BN75" i="5"/>
  <c r="BM75" i="5"/>
  <c r="BL75" i="5"/>
  <c r="BK75" i="5"/>
  <c r="BJ75" i="5"/>
  <c r="BI75" i="5"/>
  <c r="BG75" i="5"/>
  <c r="BE75" i="5"/>
  <c r="BD75" i="5"/>
  <c r="BB75" i="5"/>
  <c r="BA75" i="5"/>
  <c r="AZ75" i="5"/>
  <c r="BP74" i="5"/>
  <c r="BO74" i="5"/>
  <c r="BC74" i="5" s="1"/>
  <c r="BN74" i="5"/>
  <c r="BM74" i="5"/>
  <c r="BL74" i="5"/>
  <c r="BK74" i="5"/>
  <c r="BJ74" i="5"/>
  <c r="BI74" i="5"/>
  <c r="BG74" i="5"/>
  <c r="BE74" i="5"/>
  <c r="BD74" i="5"/>
  <c r="BB74" i="5"/>
  <c r="BA74" i="5"/>
  <c r="AZ74" i="5"/>
  <c r="BP73" i="5"/>
  <c r="BO73" i="5"/>
  <c r="BC73" i="5" s="1"/>
  <c r="BN73" i="5"/>
  <c r="BM73" i="5"/>
  <c r="BL73" i="5"/>
  <c r="BK73" i="5"/>
  <c r="BJ73" i="5"/>
  <c r="BI73" i="5"/>
  <c r="BG73" i="5"/>
  <c r="BE73" i="5"/>
  <c r="BD73" i="5"/>
  <c r="BB73" i="5"/>
  <c r="BA73" i="5"/>
  <c r="AZ73" i="5"/>
  <c r="BP72" i="5"/>
  <c r="BO72" i="5"/>
  <c r="BC72" i="5" s="1"/>
  <c r="BN72" i="5"/>
  <c r="BM72" i="5"/>
  <c r="BL72" i="5"/>
  <c r="BK72" i="5"/>
  <c r="BJ72" i="5"/>
  <c r="BI72" i="5"/>
  <c r="BG72" i="5"/>
  <c r="BE72" i="5"/>
  <c r="BD72" i="5"/>
  <c r="BB72" i="5"/>
  <c r="BA72" i="5"/>
  <c r="AZ72" i="5"/>
  <c r="BP71" i="5"/>
  <c r="BO71" i="5"/>
  <c r="BC71" i="5" s="1"/>
  <c r="BN71" i="5"/>
  <c r="BM71" i="5"/>
  <c r="BL71" i="5"/>
  <c r="BK71" i="5"/>
  <c r="BJ71" i="5"/>
  <c r="BI71" i="5"/>
  <c r="BG71" i="5"/>
  <c r="BE71" i="5"/>
  <c r="BD71" i="5"/>
  <c r="BB71" i="5"/>
  <c r="BA71" i="5"/>
  <c r="AZ71" i="5"/>
  <c r="BP70" i="5"/>
  <c r="BO70" i="5"/>
  <c r="BC70" i="5" s="1"/>
  <c r="BN70" i="5"/>
  <c r="BM70" i="5"/>
  <c r="BL70" i="5"/>
  <c r="BK70" i="5"/>
  <c r="BJ70" i="5"/>
  <c r="BI70" i="5"/>
  <c r="BG70" i="5"/>
  <c r="BE70" i="5"/>
  <c r="BD70" i="5"/>
  <c r="BB70" i="5"/>
  <c r="BA70" i="5"/>
  <c r="AZ70" i="5"/>
  <c r="BP69" i="5"/>
  <c r="BO69" i="5"/>
  <c r="BC69" i="5" s="1"/>
  <c r="BN69" i="5"/>
  <c r="BM69" i="5"/>
  <c r="BL69" i="5"/>
  <c r="BK69" i="5"/>
  <c r="BJ69" i="5"/>
  <c r="BI69" i="5"/>
  <c r="BG69" i="5"/>
  <c r="BE69" i="5"/>
  <c r="BD69" i="5"/>
  <c r="BB69" i="5"/>
  <c r="BA69" i="5"/>
  <c r="AZ69" i="5"/>
  <c r="BP68" i="5"/>
  <c r="BO68" i="5"/>
  <c r="BC68" i="5" s="1"/>
  <c r="BN68" i="5"/>
  <c r="BM68" i="5"/>
  <c r="BL68" i="5"/>
  <c r="BK68" i="5"/>
  <c r="BJ68" i="5"/>
  <c r="BI68" i="5"/>
  <c r="BG68" i="5"/>
  <c r="BE68" i="5"/>
  <c r="BD68" i="5"/>
  <c r="BB68" i="5"/>
  <c r="BA68" i="5"/>
  <c r="AZ68" i="5"/>
  <c r="BP67" i="5"/>
  <c r="BO67" i="5"/>
  <c r="BC67" i="5" s="1"/>
  <c r="BN67" i="5"/>
  <c r="BM67" i="5"/>
  <c r="BL67" i="5"/>
  <c r="BK67" i="5"/>
  <c r="BJ67" i="5"/>
  <c r="BI67" i="5"/>
  <c r="BG67" i="5"/>
  <c r="BE67" i="5"/>
  <c r="BD67" i="5"/>
  <c r="BB67" i="5"/>
  <c r="BA67" i="5"/>
  <c r="AZ67" i="5"/>
  <c r="BP66" i="5"/>
  <c r="BO66" i="5"/>
  <c r="BC66" i="5" s="1"/>
  <c r="BN66" i="5"/>
  <c r="BM66" i="5"/>
  <c r="BL66" i="5"/>
  <c r="BK66" i="5"/>
  <c r="BJ66" i="5"/>
  <c r="BI66" i="5"/>
  <c r="BG66" i="5"/>
  <c r="BE66" i="5"/>
  <c r="BD66" i="5"/>
  <c r="BB66" i="5"/>
  <c r="BA66" i="5"/>
  <c r="AZ66" i="5"/>
  <c r="BP65" i="5"/>
  <c r="BO65" i="5"/>
  <c r="BC65" i="5" s="1"/>
  <c r="BN65" i="5"/>
  <c r="BM65" i="5"/>
  <c r="BL65" i="5"/>
  <c r="BK65" i="5"/>
  <c r="BJ65" i="5"/>
  <c r="BI65" i="5"/>
  <c r="BG65" i="5"/>
  <c r="BE65" i="5"/>
  <c r="BD65" i="5"/>
  <c r="BB65" i="5"/>
  <c r="BA65" i="5"/>
  <c r="AZ65" i="5"/>
  <c r="BP64" i="5"/>
  <c r="BO64" i="5"/>
  <c r="BC64" i="5" s="1"/>
  <c r="BN64" i="5"/>
  <c r="BM64" i="5"/>
  <c r="BL64" i="5"/>
  <c r="BK64" i="5"/>
  <c r="BJ64" i="5"/>
  <c r="BI64" i="5"/>
  <c r="BG64" i="5"/>
  <c r="BE64" i="5"/>
  <c r="BD64" i="5"/>
  <c r="BB64" i="5"/>
  <c r="BA64" i="5"/>
  <c r="AZ64" i="5"/>
  <c r="BP63" i="5"/>
  <c r="BO63" i="5"/>
  <c r="BC63" i="5" s="1"/>
  <c r="BN63" i="5"/>
  <c r="BM63" i="5"/>
  <c r="BL63" i="5"/>
  <c r="BK63" i="5"/>
  <c r="BJ63" i="5"/>
  <c r="BI63" i="5"/>
  <c r="BG63" i="5"/>
  <c r="BE63" i="5"/>
  <c r="BD63" i="5"/>
  <c r="BB63" i="5"/>
  <c r="BA63" i="5"/>
  <c r="AZ63" i="5"/>
  <c r="BP62" i="5"/>
  <c r="BO62" i="5"/>
  <c r="BC62" i="5" s="1"/>
  <c r="BN62" i="5"/>
  <c r="BM62" i="5"/>
  <c r="BL62" i="5"/>
  <c r="BK62" i="5"/>
  <c r="BJ62" i="5"/>
  <c r="BI62" i="5"/>
  <c r="BG62" i="5"/>
  <c r="BE62" i="5"/>
  <c r="BD62" i="5"/>
  <c r="BB62" i="5"/>
  <c r="BA62" i="5"/>
  <c r="AZ62" i="5"/>
  <c r="BP61" i="5"/>
  <c r="BO61" i="5"/>
  <c r="BC61" i="5" s="1"/>
  <c r="BN61" i="5"/>
  <c r="BM61" i="5"/>
  <c r="BL61" i="5"/>
  <c r="BK61" i="5"/>
  <c r="BJ61" i="5"/>
  <c r="BI61" i="5"/>
  <c r="BG61" i="5"/>
  <c r="BE61" i="5"/>
  <c r="BD61" i="5"/>
  <c r="BB61" i="5"/>
  <c r="BA61" i="5"/>
  <c r="AZ61" i="5"/>
  <c r="BP60" i="5"/>
  <c r="BO60" i="5"/>
  <c r="BC60" i="5" s="1"/>
  <c r="BN60" i="5"/>
  <c r="BM60" i="5"/>
  <c r="BL60" i="5"/>
  <c r="BK60" i="5"/>
  <c r="BJ60" i="5"/>
  <c r="BI60" i="5"/>
  <c r="BG60" i="5"/>
  <c r="BE60" i="5"/>
  <c r="BD60" i="5"/>
  <c r="BB60" i="5"/>
  <c r="BA60" i="5"/>
  <c r="AZ60" i="5"/>
  <c r="BP59" i="5"/>
  <c r="BO59" i="5"/>
  <c r="BC59" i="5" s="1"/>
  <c r="BN59" i="5"/>
  <c r="BM59" i="5"/>
  <c r="BL59" i="5"/>
  <c r="BK59" i="5"/>
  <c r="BJ59" i="5"/>
  <c r="BI59" i="5"/>
  <c r="BG59" i="5"/>
  <c r="BE59" i="5"/>
  <c r="BD59" i="5"/>
  <c r="BB59" i="5"/>
  <c r="BA59" i="5"/>
  <c r="AZ59" i="5"/>
  <c r="BP58" i="5"/>
  <c r="BO58" i="5"/>
  <c r="BC58" i="5" s="1"/>
  <c r="BN58" i="5"/>
  <c r="BM58" i="5"/>
  <c r="BL58" i="5"/>
  <c r="BK58" i="5"/>
  <c r="BJ58" i="5"/>
  <c r="BI58" i="5"/>
  <c r="BG58" i="5"/>
  <c r="BE58" i="5"/>
  <c r="BD58" i="5"/>
  <c r="BB58" i="5"/>
  <c r="BA58" i="5"/>
  <c r="AZ58" i="5"/>
  <c r="BP57" i="5"/>
  <c r="BO57" i="5"/>
  <c r="BC57" i="5" s="1"/>
  <c r="BN57" i="5"/>
  <c r="BM57" i="5"/>
  <c r="BL57" i="5"/>
  <c r="BK57" i="5"/>
  <c r="BJ57" i="5"/>
  <c r="BI57" i="5"/>
  <c r="BG57" i="5"/>
  <c r="BE57" i="5"/>
  <c r="BD57" i="5"/>
  <c r="BB57" i="5"/>
  <c r="BA57" i="5"/>
  <c r="AZ57" i="5"/>
  <c r="BP56" i="5"/>
  <c r="BO56" i="5"/>
  <c r="BC56" i="5" s="1"/>
  <c r="BN56" i="5"/>
  <c r="BM56" i="5"/>
  <c r="BL56" i="5"/>
  <c r="BK56" i="5"/>
  <c r="BJ56" i="5"/>
  <c r="BI56" i="5"/>
  <c r="BG56" i="5"/>
  <c r="BE56" i="5"/>
  <c r="BD56" i="5"/>
  <c r="BB56" i="5"/>
  <c r="BA56" i="5"/>
  <c r="AZ56" i="5"/>
  <c r="BP55" i="5"/>
  <c r="BO55" i="5"/>
  <c r="BC55" i="5" s="1"/>
  <c r="BN55" i="5"/>
  <c r="BM55" i="5"/>
  <c r="BL55" i="5"/>
  <c r="BK55" i="5"/>
  <c r="BJ55" i="5"/>
  <c r="BI55" i="5"/>
  <c r="BG55" i="5"/>
  <c r="BE55" i="5"/>
  <c r="BD55" i="5"/>
  <c r="BB55" i="5"/>
  <c r="BA55" i="5"/>
  <c r="AZ55" i="5"/>
  <c r="BP54" i="5"/>
  <c r="BO54" i="5"/>
  <c r="BC54" i="5" s="1"/>
  <c r="BN54" i="5"/>
  <c r="BM54" i="5"/>
  <c r="BL54" i="5"/>
  <c r="BK54" i="5"/>
  <c r="BJ54" i="5"/>
  <c r="BI54" i="5"/>
  <c r="BG54" i="5"/>
  <c r="BE54" i="5"/>
  <c r="BD54" i="5"/>
  <c r="BB54" i="5"/>
  <c r="BA54" i="5"/>
  <c r="AZ54" i="5"/>
  <c r="BP53" i="5"/>
  <c r="BO53" i="5"/>
  <c r="BC53" i="5" s="1"/>
  <c r="BN53" i="5"/>
  <c r="BM53" i="5"/>
  <c r="BL53" i="5"/>
  <c r="BK53" i="5"/>
  <c r="BJ53" i="5"/>
  <c r="BI53" i="5"/>
  <c r="BG53" i="5"/>
  <c r="BE53" i="5"/>
  <c r="BD53" i="5"/>
  <c r="BB53" i="5"/>
  <c r="BA53" i="5"/>
  <c r="AZ53" i="5"/>
  <c r="BP52" i="5"/>
  <c r="BO52" i="5"/>
  <c r="BC52" i="5" s="1"/>
  <c r="BN52" i="5"/>
  <c r="BM52" i="5"/>
  <c r="BL52" i="5"/>
  <c r="BK52" i="5"/>
  <c r="BJ52" i="5"/>
  <c r="BI52" i="5"/>
  <c r="BG52" i="5"/>
  <c r="BE52" i="5"/>
  <c r="BD52" i="5"/>
  <c r="BB52" i="5"/>
  <c r="BA52" i="5"/>
  <c r="AZ52" i="5"/>
  <c r="BP51" i="5"/>
  <c r="BO51" i="5"/>
  <c r="BC51" i="5" s="1"/>
  <c r="BN51" i="5"/>
  <c r="BM51" i="5"/>
  <c r="BL51" i="5"/>
  <c r="BK51" i="5"/>
  <c r="BJ51" i="5"/>
  <c r="BI51" i="5"/>
  <c r="BG51" i="5"/>
  <c r="BE51" i="5"/>
  <c r="BD51" i="5"/>
  <c r="BB51" i="5"/>
  <c r="BA51" i="5"/>
  <c r="AZ51" i="5"/>
  <c r="BP50" i="5"/>
  <c r="BO50" i="5"/>
  <c r="BC50" i="5" s="1"/>
  <c r="BN50" i="5"/>
  <c r="BM50" i="5"/>
  <c r="BL50" i="5"/>
  <c r="BK50" i="5"/>
  <c r="BJ50" i="5"/>
  <c r="BI50" i="5"/>
  <c r="BG50" i="5"/>
  <c r="BE50" i="5"/>
  <c r="BD50" i="5"/>
  <c r="BB50" i="5"/>
  <c r="BA50" i="5"/>
  <c r="AZ50" i="5"/>
  <c r="BP49" i="5"/>
  <c r="BO49" i="5"/>
  <c r="BC49" i="5" s="1"/>
  <c r="BN49" i="5"/>
  <c r="BM49" i="5"/>
  <c r="BL49" i="5"/>
  <c r="BK49" i="5"/>
  <c r="BJ49" i="5"/>
  <c r="BI49" i="5"/>
  <c r="BG49" i="5"/>
  <c r="BE49" i="5"/>
  <c r="BD49" i="5"/>
  <c r="BB49" i="5"/>
  <c r="BA49" i="5"/>
  <c r="AZ49" i="5"/>
  <c r="BP48" i="5"/>
  <c r="BO48" i="5"/>
  <c r="BC48" i="5" s="1"/>
  <c r="BN48" i="5"/>
  <c r="BM48" i="5"/>
  <c r="BL48" i="5"/>
  <c r="BK48" i="5"/>
  <c r="BJ48" i="5"/>
  <c r="BI48" i="5"/>
  <c r="BG48" i="5"/>
  <c r="BE48" i="5"/>
  <c r="BD48" i="5"/>
  <c r="BB48" i="5"/>
  <c r="BA48" i="5"/>
  <c r="AZ48" i="5"/>
  <c r="BP47" i="5"/>
  <c r="BO47" i="5"/>
  <c r="BC47" i="5" s="1"/>
  <c r="BN47" i="5"/>
  <c r="BM47" i="5"/>
  <c r="BL47" i="5"/>
  <c r="BK47" i="5"/>
  <c r="BJ47" i="5"/>
  <c r="BI47" i="5"/>
  <c r="BG47" i="5"/>
  <c r="BE47" i="5"/>
  <c r="BD47" i="5"/>
  <c r="BB47" i="5"/>
  <c r="BA47" i="5"/>
  <c r="AZ47" i="5"/>
  <c r="BP46" i="5"/>
  <c r="BO46" i="5"/>
  <c r="BC46" i="5" s="1"/>
  <c r="BN46" i="5"/>
  <c r="BM46" i="5"/>
  <c r="BL46" i="5"/>
  <c r="BK46" i="5"/>
  <c r="BJ46" i="5"/>
  <c r="BI46" i="5"/>
  <c r="BG46" i="5"/>
  <c r="BE46" i="5"/>
  <c r="BD46" i="5"/>
  <c r="BB46" i="5"/>
  <c r="BA46" i="5"/>
  <c r="AZ46" i="5"/>
  <c r="BP45" i="5"/>
  <c r="BO45" i="5"/>
  <c r="BC45" i="5" s="1"/>
  <c r="BN45" i="5"/>
  <c r="BM45" i="5"/>
  <c r="BL45" i="5"/>
  <c r="BK45" i="5"/>
  <c r="BJ45" i="5"/>
  <c r="BI45" i="5"/>
  <c r="BG45" i="5"/>
  <c r="BE45" i="5"/>
  <c r="BD45" i="5"/>
  <c r="BB45" i="5"/>
  <c r="BA45" i="5"/>
  <c r="AZ45" i="5"/>
  <c r="BP44" i="5"/>
  <c r="BO44" i="5"/>
  <c r="BC44" i="5" s="1"/>
  <c r="BN44" i="5"/>
  <c r="BM44" i="5"/>
  <c r="BL44" i="5"/>
  <c r="BK44" i="5"/>
  <c r="BJ44" i="5"/>
  <c r="BI44" i="5"/>
  <c r="BG44" i="5"/>
  <c r="BE44" i="5"/>
  <c r="BD44" i="5"/>
  <c r="BB44" i="5"/>
  <c r="BA44" i="5"/>
  <c r="AZ44" i="5"/>
  <c r="BP43" i="5"/>
  <c r="BO43" i="5"/>
  <c r="BC43" i="5" s="1"/>
  <c r="BN43" i="5"/>
  <c r="BM43" i="5"/>
  <c r="BL43" i="5"/>
  <c r="BK43" i="5"/>
  <c r="BJ43" i="5"/>
  <c r="BI43" i="5"/>
  <c r="BG43" i="5"/>
  <c r="BE43" i="5"/>
  <c r="BD43" i="5"/>
  <c r="BB43" i="5"/>
  <c r="BA43" i="5"/>
  <c r="AZ43" i="5"/>
  <c r="BP42" i="5"/>
  <c r="BO42" i="5"/>
  <c r="BC42" i="5" s="1"/>
  <c r="BN42" i="5"/>
  <c r="BM42" i="5"/>
  <c r="BL42" i="5"/>
  <c r="BK42" i="5"/>
  <c r="BJ42" i="5"/>
  <c r="BI42" i="5"/>
  <c r="BG42" i="5"/>
  <c r="BE42" i="5"/>
  <c r="BD42" i="5"/>
  <c r="BB42" i="5"/>
  <c r="BA42" i="5"/>
  <c r="AZ42" i="5"/>
  <c r="BP41" i="5"/>
  <c r="BO41" i="5"/>
  <c r="BC41" i="5" s="1"/>
  <c r="BN41" i="5"/>
  <c r="BM41" i="5"/>
  <c r="BL41" i="5"/>
  <c r="BK41" i="5"/>
  <c r="BJ41" i="5"/>
  <c r="BI41" i="5"/>
  <c r="BG41" i="5"/>
  <c r="BE41" i="5"/>
  <c r="BD41" i="5"/>
  <c r="BB41" i="5"/>
  <c r="BA41" i="5"/>
  <c r="AZ41" i="5"/>
  <c r="BP40" i="5"/>
  <c r="BO40" i="5"/>
  <c r="BC40" i="5" s="1"/>
  <c r="BN40" i="5"/>
  <c r="BM40" i="5"/>
  <c r="BL40" i="5"/>
  <c r="BK40" i="5"/>
  <c r="BJ40" i="5"/>
  <c r="BI40" i="5"/>
  <c r="BG40" i="5"/>
  <c r="BE40" i="5"/>
  <c r="BD40" i="5"/>
  <c r="BB40" i="5"/>
  <c r="BA40" i="5"/>
  <c r="AZ40" i="5"/>
  <c r="BP39" i="5"/>
  <c r="BO39" i="5"/>
  <c r="BC39" i="5" s="1"/>
  <c r="BN39" i="5"/>
  <c r="BM39" i="5"/>
  <c r="BL39" i="5"/>
  <c r="BK39" i="5"/>
  <c r="BJ39" i="5"/>
  <c r="BI39" i="5"/>
  <c r="BG39" i="5"/>
  <c r="BE39" i="5"/>
  <c r="BD39" i="5"/>
  <c r="BB39" i="5"/>
  <c r="BA39" i="5"/>
  <c r="AZ39" i="5"/>
  <c r="BP38" i="5"/>
  <c r="BO38" i="5"/>
  <c r="BC38" i="5" s="1"/>
  <c r="BN38" i="5"/>
  <c r="BM38" i="5"/>
  <c r="BL38" i="5"/>
  <c r="BK38" i="5"/>
  <c r="BJ38" i="5"/>
  <c r="BI38" i="5"/>
  <c r="BG38" i="5"/>
  <c r="BE38" i="5"/>
  <c r="BD38" i="5"/>
  <c r="BB38" i="5"/>
  <c r="BA38" i="5"/>
  <c r="AZ38" i="5"/>
  <c r="BP37" i="5"/>
  <c r="BO37" i="5"/>
  <c r="BC37" i="5" s="1"/>
  <c r="BN37" i="5"/>
  <c r="BM37" i="5"/>
  <c r="BL37" i="5"/>
  <c r="BK37" i="5"/>
  <c r="BJ37" i="5"/>
  <c r="BI37" i="5"/>
  <c r="BG37" i="5"/>
  <c r="BE37" i="5"/>
  <c r="BD37" i="5"/>
  <c r="BB37" i="5"/>
  <c r="BA37" i="5"/>
  <c r="AZ37" i="5"/>
  <c r="BP36" i="5"/>
  <c r="BO36" i="5"/>
  <c r="BC36" i="5" s="1"/>
  <c r="BN36" i="5"/>
  <c r="BM36" i="5"/>
  <c r="BL36" i="5"/>
  <c r="BK36" i="5"/>
  <c r="BJ36" i="5"/>
  <c r="BI36" i="5"/>
  <c r="BG36" i="5"/>
  <c r="BE36" i="5"/>
  <c r="BD36" i="5"/>
  <c r="BB36" i="5"/>
  <c r="BA36" i="5"/>
  <c r="AZ36" i="5"/>
  <c r="BP35" i="5"/>
  <c r="BO35" i="5"/>
  <c r="BC35" i="5" s="1"/>
  <c r="BN35" i="5"/>
  <c r="BM35" i="5"/>
  <c r="BL35" i="5"/>
  <c r="BK35" i="5"/>
  <c r="BJ35" i="5"/>
  <c r="BI35" i="5"/>
  <c r="BG35" i="5"/>
  <c r="BE35" i="5"/>
  <c r="BD35" i="5"/>
  <c r="BB35" i="5"/>
  <c r="BA35" i="5"/>
  <c r="AZ35" i="5"/>
  <c r="BP34" i="5"/>
  <c r="BO34" i="5"/>
  <c r="BC34" i="5" s="1"/>
  <c r="BN34" i="5"/>
  <c r="BM34" i="5"/>
  <c r="BL34" i="5"/>
  <c r="BK34" i="5"/>
  <c r="BJ34" i="5"/>
  <c r="BI34" i="5"/>
  <c r="BG34" i="5"/>
  <c r="BE34" i="5"/>
  <c r="BD34" i="5"/>
  <c r="BB34" i="5"/>
  <c r="BA34" i="5"/>
  <c r="AZ34" i="5"/>
  <c r="BP33" i="5"/>
  <c r="BO33" i="5"/>
  <c r="BC33" i="5" s="1"/>
  <c r="BN33" i="5"/>
  <c r="BM33" i="5"/>
  <c r="BL33" i="5"/>
  <c r="BK33" i="5"/>
  <c r="BJ33" i="5"/>
  <c r="BI33" i="5"/>
  <c r="BG33" i="5"/>
  <c r="BE33" i="5"/>
  <c r="BD33" i="5"/>
  <c r="BB33" i="5"/>
  <c r="BA33" i="5"/>
  <c r="AZ33" i="5"/>
  <c r="BP32" i="5"/>
  <c r="BO32" i="5"/>
  <c r="BC32" i="5" s="1"/>
  <c r="BN32" i="5"/>
  <c r="BM32" i="5"/>
  <c r="BL32" i="5"/>
  <c r="BK32" i="5"/>
  <c r="BJ32" i="5"/>
  <c r="BI32" i="5"/>
  <c r="BG32" i="5"/>
  <c r="BE32" i="5"/>
  <c r="BD32" i="5"/>
  <c r="BB32" i="5"/>
  <c r="BA32" i="5"/>
  <c r="AZ32" i="5"/>
  <c r="BP31" i="5"/>
  <c r="BO31" i="5"/>
  <c r="BC31" i="5" s="1"/>
  <c r="BN31" i="5"/>
  <c r="BM31" i="5"/>
  <c r="BL31" i="5"/>
  <c r="BK31" i="5"/>
  <c r="BJ31" i="5"/>
  <c r="BI31" i="5"/>
  <c r="BG31" i="5"/>
  <c r="BE31" i="5"/>
  <c r="BD31" i="5"/>
  <c r="BB31" i="5"/>
  <c r="BA31" i="5"/>
  <c r="AZ31" i="5"/>
  <c r="BP30" i="5"/>
  <c r="BO30" i="5"/>
  <c r="BC30" i="5" s="1"/>
  <c r="BN30" i="5"/>
  <c r="BM30" i="5"/>
  <c r="BL30" i="5"/>
  <c r="BK30" i="5"/>
  <c r="BJ30" i="5"/>
  <c r="BI30" i="5"/>
  <c r="BG30" i="5"/>
  <c r="BE30" i="5"/>
  <c r="BD30" i="5"/>
  <c r="BB30" i="5"/>
  <c r="BA30" i="5"/>
  <c r="AZ30" i="5"/>
  <c r="BP29" i="5"/>
  <c r="BO29" i="5"/>
  <c r="BC29" i="5" s="1"/>
  <c r="BN29" i="5"/>
  <c r="BM29" i="5"/>
  <c r="BL29" i="5"/>
  <c r="BK29" i="5"/>
  <c r="BJ29" i="5"/>
  <c r="BI29" i="5"/>
  <c r="BG29" i="5"/>
  <c r="BE29" i="5"/>
  <c r="BD29" i="5"/>
  <c r="BB29" i="5"/>
  <c r="BA29" i="5"/>
  <c r="AZ29" i="5"/>
  <c r="BP28" i="5"/>
  <c r="BO28" i="5"/>
  <c r="BC28" i="5" s="1"/>
  <c r="BN28" i="5"/>
  <c r="BM28" i="5"/>
  <c r="BL28" i="5"/>
  <c r="BK28" i="5"/>
  <c r="BJ28" i="5"/>
  <c r="BI28" i="5"/>
  <c r="BG28" i="5"/>
  <c r="BE28" i="5"/>
  <c r="BD28" i="5"/>
  <c r="BB28" i="5"/>
  <c r="BA28" i="5"/>
  <c r="AZ28" i="5"/>
  <c r="BP27" i="5"/>
  <c r="BO27" i="5"/>
  <c r="BC27" i="5" s="1"/>
  <c r="BN27" i="5"/>
  <c r="BM27" i="5"/>
  <c r="BL27" i="5"/>
  <c r="BK27" i="5"/>
  <c r="BJ27" i="5"/>
  <c r="BI27" i="5"/>
  <c r="BG27" i="5"/>
  <c r="BE27" i="5"/>
  <c r="BD27" i="5"/>
  <c r="BB27" i="5"/>
  <c r="BA27" i="5"/>
  <c r="AZ27" i="5"/>
  <c r="BP26" i="5"/>
  <c r="BO26" i="5"/>
  <c r="BC26" i="5" s="1"/>
  <c r="BN26" i="5"/>
  <c r="BM26" i="5"/>
  <c r="BL26" i="5"/>
  <c r="BK26" i="5"/>
  <c r="BJ26" i="5"/>
  <c r="BI26" i="5"/>
  <c r="BG26" i="5"/>
  <c r="BE26" i="5"/>
  <c r="BD26" i="5"/>
  <c r="BB26" i="5"/>
  <c r="BA26" i="5"/>
  <c r="AZ26" i="5"/>
  <c r="BP25" i="5"/>
  <c r="BO25" i="5"/>
  <c r="BC25" i="5" s="1"/>
  <c r="BN25" i="5"/>
  <c r="BM25" i="5"/>
  <c r="BL25" i="5"/>
  <c r="BK25" i="5"/>
  <c r="BJ25" i="5"/>
  <c r="BI25" i="5"/>
  <c r="BG25" i="5"/>
  <c r="BE25" i="5"/>
  <c r="BD25" i="5"/>
  <c r="BB25" i="5"/>
  <c r="BA25" i="5"/>
  <c r="AZ25" i="5"/>
  <c r="BP24" i="5"/>
  <c r="BO24" i="5"/>
  <c r="BC24" i="5" s="1"/>
  <c r="BN24" i="5"/>
  <c r="BM24" i="5"/>
  <c r="BL24" i="5"/>
  <c r="BK24" i="5"/>
  <c r="BJ24" i="5"/>
  <c r="BI24" i="5"/>
  <c r="BG24" i="5"/>
  <c r="BE24" i="5"/>
  <c r="BD24" i="5"/>
  <c r="BB24" i="5"/>
  <c r="BA24" i="5"/>
  <c r="AZ24" i="5"/>
  <c r="BP23" i="5"/>
  <c r="BO23" i="5"/>
  <c r="BC23" i="5" s="1"/>
  <c r="BN23" i="5"/>
  <c r="BM23" i="5"/>
  <c r="BL23" i="5"/>
  <c r="BK23" i="5"/>
  <c r="BJ23" i="5"/>
  <c r="BI23" i="5"/>
  <c r="BG23" i="5"/>
  <c r="BE23" i="5"/>
  <c r="BD23" i="5"/>
  <c r="BB23" i="5"/>
  <c r="BA23" i="5"/>
  <c r="AZ23" i="5"/>
  <c r="BP22" i="5"/>
  <c r="BO22" i="5"/>
  <c r="BC22" i="5" s="1"/>
  <c r="BN22" i="5"/>
  <c r="BM22" i="5"/>
  <c r="BL22" i="5"/>
  <c r="BK22" i="5"/>
  <c r="BJ22" i="5"/>
  <c r="BI22" i="5"/>
  <c r="BG22" i="5"/>
  <c r="BE22" i="5"/>
  <c r="BD22" i="5"/>
  <c r="BB22" i="5"/>
  <c r="BA22" i="5"/>
  <c r="AZ22" i="5"/>
  <c r="BP21" i="5"/>
  <c r="BO21" i="5"/>
  <c r="BC21" i="5" s="1"/>
  <c r="BN21" i="5"/>
  <c r="BM21" i="5"/>
  <c r="BL21" i="5"/>
  <c r="BK21" i="5"/>
  <c r="BJ21" i="5"/>
  <c r="BI21" i="5"/>
  <c r="BG21" i="5"/>
  <c r="BE21" i="5"/>
  <c r="BD21" i="5"/>
  <c r="BB21" i="5"/>
  <c r="BA21" i="5"/>
  <c r="AZ21" i="5"/>
  <c r="BP20" i="5"/>
  <c r="BO20" i="5"/>
  <c r="BC20" i="5" s="1"/>
  <c r="BN20" i="5"/>
  <c r="BM20" i="5"/>
  <c r="BL20" i="5"/>
  <c r="BK20" i="5"/>
  <c r="BJ20" i="5"/>
  <c r="BI20" i="5"/>
  <c r="BG20" i="5"/>
  <c r="BE20" i="5"/>
  <c r="BD20" i="5"/>
  <c r="BB20" i="5"/>
  <c r="BA20" i="5"/>
  <c r="AZ20" i="5"/>
  <c r="BP19" i="5"/>
  <c r="BO19" i="5"/>
  <c r="BC19" i="5" s="1"/>
  <c r="BN19" i="5"/>
  <c r="BM19" i="5"/>
  <c r="BL19" i="5"/>
  <c r="BK19" i="5"/>
  <c r="BJ19" i="5"/>
  <c r="BI19" i="5"/>
  <c r="BG19" i="5"/>
  <c r="BE19" i="5"/>
  <c r="BD19" i="5"/>
  <c r="BB19" i="5"/>
  <c r="BA19" i="5"/>
  <c r="AZ19" i="5"/>
  <c r="BP18" i="5"/>
  <c r="BO18" i="5"/>
  <c r="BC18" i="5" s="1"/>
  <c r="BN18" i="5"/>
  <c r="BM18" i="5"/>
  <c r="BL18" i="5"/>
  <c r="BK18" i="5"/>
  <c r="BJ18" i="5"/>
  <c r="BI18" i="5"/>
  <c r="BG18" i="5"/>
  <c r="BE18" i="5"/>
  <c r="BD18" i="5"/>
  <c r="BB18" i="5"/>
  <c r="BA18" i="5"/>
  <c r="AZ18" i="5"/>
  <c r="BP17" i="5"/>
  <c r="BO17" i="5"/>
  <c r="BC17" i="5" s="1"/>
  <c r="BN17" i="5"/>
  <c r="BM17" i="5"/>
  <c r="BL17" i="5"/>
  <c r="BK17" i="5"/>
  <c r="BJ17" i="5"/>
  <c r="BI17" i="5"/>
  <c r="BG17" i="5"/>
  <c r="BE17" i="5"/>
  <c r="BD17" i="5"/>
  <c r="BB17" i="5"/>
  <c r="BA17" i="5"/>
  <c r="AZ17" i="5"/>
  <c r="BP16" i="5"/>
  <c r="BO16" i="5"/>
  <c r="BC16" i="5" s="1"/>
  <c r="BN16" i="5"/>
  <c r="BM16" i="5"/>
  <c r="BL16" i="5"/>
  <c r="BK16" i="5"/>
  <c r="BJ16" i="5"/>
  <c r="BI16" i="5"/>
  <c r="BG16" i="5"/>
  <c r="BE16" i="5"/>
  <c r="BD16" i="5"/>
  <c r="BB16" i="5"/>
  <c r="BA16" i="5"/>
  <c r="AZ16" i="5"/>
  <c r="BP15" i="5"/>
  <c r="BO15" i="5"/>
  <c r="BC15" i="5" s="1"/>
  <c r="BP14" i="5"/>
  <c r="BO14" i="5"/>
  <c r="BC14" i="5" s="1"/>
  <c r="BP13" i="5"/>
  <c r="BO13" i="5"/>
  <c r="BC13" i="5" s="1"/>
  <c r="BP12" i="5"/>
  <c r="BO12" i="5"/>
  <c r="BC12" i="5" s="1"/>
  <c r="BP10" i="5"/>
  <c r="BO10" i="5"/>
  <c r="BC10" i="5" s="1"/>
  <c r="BN10" i="5"/>
  <c r="BM10" i="5"/>
  <c r="BL10" i="5"/>
  <c r="BK10" i="5"/>
  <c r="BJ10" i="5"/>
  <c r="BI10" i="5"/>
  <c r="BG10" i="5"/>
  <c r="BE10" i="5"/>
  <c r="BD10" i="5"/>
  <c r="BB10" i="5"/>
  <c r="BA10" i="5"/>
  <c r="AZ10" i="5"/>
  <c r="BP9" i="5"/>
  <c r="BO9" i="5"/>
  <c r="BC9" i="5" s="1"/>
  <c r="BN9" i="5"/>
  <c r="BM9" i="5"/>
  <c r="BL9" i="5"/>
  <c r="BK9" i="5"/>
  <c r="BJ9" i="5"/>
  <c r="BI9" i="5"/>
  <c r="BG9" i="5"/>
  <c r="BE9" i="5"/>
  <c r="BD9" i="5"/>
  <c r="BB9" i="5"/>
  <c r="BA9" i="5"/>
  <c r="AZ9" i="5"/>
  <c r="BP8" i="5"/>
  <c r="BO8" i="5"/>
  <c r="BC8" i="5" s="1"/>
  <c r="BP7" i="5"/>
  <c r="BO7" i="5"/>
  <c r="BC7" i="5" s="1"/>
  <c r="BN7" i="5"/>
  <c r="BM7" i="5"/>
  <c r="BL7" i="5"/>
  <c r="BK7" i="5"/>
  <c r="BJ7" i="5"/>
  <c r="BI7" i="5"/>
  <c r="BG7" i="5"/>
  <c r="BE7" i="5"/>
  <c r="BD7" i="5"/>
  <c r="BB7" i="5"/>
  <c r="BA7" i="5"/>
  <c r="AZ7" i="5"/>
  <c r="BF723" i="5" l="1"/>
  <c r="BH723" i="5" s="1"/>
  <c r="BF629" i="5"/>
  <c r="BF654" i="5"/>
  <c r="BF234" i="5"/>
  <c r="BF173" i="5"/>
  <c r="BH173" i="5" s="1"/>
  <c r="BF257" i="5"/>
  <c r="BH257" i="5" s="1"/>
  <c r="BF481" i="5"/>
  <c r="BH481" i="5" s="1"/>
  <c r="BF241" i="5"/>
  <c r="BH241" i="5" s="1"/>
  <c r="BF622" i="5"/>
  <c r="BH622" i="5" s="1"/>
  <c r="BF697" i="5"/>
  <c r="BH697" i="5" s="1"/>
  <c r="BF691" i="5"/>
  <c r="BF240" i="5"/>
  <c r="BH240" i="5" s="1"/>
  <c r="BF696" i="5"/>
  <c r="BH696" i="5" s="1"/>
  <c r="BF206" i="5"/>
  <c r="BH206" i="5" s="1"/>
  <c r="BF655" i="5"/>
  <c r="BH655" i="5" s="1"/>
  <c r="BF671" i="5"/>
  <c r="BH671" i="5" s="1"/>
  <c r="BF245" i="5"/>
  <c r="BH245" i="5" s="1"/>
  <c r="BF233" i="5"/>
  <c r="BH233" i="5" s="1"/>
  <c r="BF653" i="5"/>
  <c r="BH653" i="5" s="1"/>
  <c r="BF677" i="5"/>
  <c r="BH677" i="5" s="1"/>
  <c r="BF717" i="5"/>
  <c r="BH717" i="5" s="1"/>
  <c r="BF133" i="5"/>
  <c r="BH133" i="5" s="1"/>
  <c r="BF165" i="5"/>
  <c r="BH165" i="5" s="1"/>
  <c r="BF20" i="5"/>
  <c r="BH20" i="5" s="1"/>
  <c r="BF26" i="5"/>
  <c r="BH26" i="5" s="1"/>
  <c r="BF33" i="5"/>
  <c r="BH33" i="5" s="1"/>
  <c r="BF46" i="5"/>
  <c r="BF52" i="5"/>
  <c r="BH52" i="5" s="1"/>
  <c r="BF59" i="5"/>
  <c r="BH59" i="5" s="1"/>
  <c r="BF65" i="5"/>
  <c r="BH65" i="5" s="1"/>
  <c r="BF78" i="5"/>
  <c r="BH78" i="5" s="1"/>
  <c r="BF84" i="5"/>
  <c r="BH84" i="5" s="1"/>
  <c r="BF91" i="5"/>
  <c r="BH91" i="5" s="1"/>
  <c r="BF97" i="5"/>
  <c r="BH97" i="5" s="1"/>
  <c r="BF121" i="5"/>
  <c r="BF127" i="5"/>
  <c r="BH127" i="5" s="1"/>
  <c r="BF158" i="5"/>
  <c r="BH158" i="5" s="1"/>
  <c r="BF186" i="5"/>
  <c r="BH186" i="5" s="1"/>
  <c r="BF222" i="5"/>
  <c r="BH222" i="5" s="1"/>
  <c r="BF592" i="5"/>
  <c r="BH592" i="5" s="1"/>
  <c r="BF603" i="5"/>
  <c r="BH603" i="5" s="1"/>
  <c r="BF703" i="5"/>
  <c r="BH703" i="5" s="1"/>
  <c r="BF710" i="5"/>
  <c r="BF729" i="5"/>
  <c r="BH729" i="5" s="1"/>
  <c r="BF621" i="5"/>
  <c r="BH621" i="5" s="1"/>
  <c r="BF626" i="5"/>
  <c r="BH626" i="5" s="1"/>
  <c r="BF633" i="5"/>
  <c r="BH633" i="5" s="1"/>
  <c r="BF646" i="5"/>
  <c r="BH646" i="5" s="1"/>
  <c r="BF662" i="5"/>
  <c r="BH662" i="5" s="1"/>
  <c r="BF669" i="5"/>
  <c r="BH669" i="5" s="1"/>
  <c r="BF261" i="5"/>
  <c r="BH261" i="5" s="1"/>
  <c r="BF338" i="5"/>
  <c r="BH338" i="5" s="1"/>
  <c r="BF384" i="5"/>
  <c r="BH384" i="5" s="1"/>
  <c r="BF399" i="5"/>
  <c r="BH399" i="5" s="1"/>
  <c r="BF411" i="5"/>
  <c r="BH411" i="5" s="1"/>
  <c r="BF417" i="5"/>
  <c r="BH417" i="5" s="1"/>
  <c r="BF465" i="5"/>
  <c r="BH465" i="5" s="1"/>
  <c r="BF470" i="5"/>
  <c r="BH470" i="5" s="1"/>
  <c r="BF477" i="5"/>
  <c r="BF485" i="5"/>
  <c r="BH485" i="5" s="1"/>
  <c r="BF498" i="5"/>
  <c r="BH498" i="5" s="1"/>
  <c r="BF504" i="5"/>
  <c r="BH504" i="5" s="1"/>
  <c r="BF525" i="5"/>
  <c r="BH525" i="5" s="1"/>
  <c r="BF532" i="5"/>
  <c r="BH532" i="5" s="1"/>
  <c r="BF546" i="5"/>
  <c r="BF554" i="5"/>
  <c r="BH554" i="5" s="1"/>
  <c r="BF562" i="5"/>
  <c r="BF570" i="5"/>
  <c r="BH570" i="5" s="1"/>
  <c r="BF578" i="5"/>
  <c r="BH578" i="5" s="1"/>
  <c r="BF591" i="5"/>
  <c r="BH591" i="5" s="1"/>
  <c r="BF608" i="5"/>
  <c r="BH608" i="5" s="1"/>
  <c r="BF726" i="5"/>
  <c r="BH726" i="5" s="1"/>
  <c r="BF727" i="5"/>
  <c r="BH727" i="5" s="1"/>
  <c r="BF749" i="5"/>
  <c r="BF494" i="5"/>
  <c r="BH494" i="5" s="1"/>
  <c r="BF500" i="5"/>
  <c r="BH500" i="5" s="1"/>
  <c r="BF519" i="5"/>
  <c r="BH519" i="5" s="1"/>
  <c r="BF533" i="5"/>
  <c r="BH533" i="5" s="1"/>
  <c r="BF722" i="5"/>
  <c r="BH722" i="5" s="1"/>
  <c r="BF339" i="5"/>
  <c r="BH339" i="5" s="1"/>
  <c r="BF358" i="5"/>
  <c r="BH358" i="5" s="1"/>
  <c r="BF364" i="5"/>
  <c r="BH364" i="5" s="1"/>
  <c r="BF371" i="5"/>
  <c r="BH371" i="5" s="1"/>
  <c r="BF378" i="5"/>
  <c r="BH378" i="5" s="1"/>
  <c r="BF385" i="5"/>
  <c r="BH385" i="5" s="1"/>
  <c r="BF393" i="5"/>
  <c r="BH393" i="5" s="1"/>
  <c r="BF400" i="5"/>
  <c r="BH400" i="5" s="1"/>
  <c r="BF425" i="5"/>
  <c r="BH425" i="5" s="1"/>
  <c r="BF471" i="5"/>
  <c r="BH471" i="5" s="1"/>
  <c r="BF493" i="5"/>
  <c r="BH493" i="5" s="1"/>
  <c r="BF499" i="5"/>
  <c r="BF505" i="5"/>
  <c r="BH505" i="5" s="1"/>
  <c r="BF513" i="5"/>
  <c r="BH513" i="5" s="1"/>
  <c r="BF518" i="5"/>
  <c r="BH518" i="5" s="1"/>
  <c r="BF670" i="5"/>
  <c r="BH670" i="5" s="1"/>
  <c r="BF290" i="5"/>
  <c r="BH290" i="5" s="1"/>
  <c r="BF306" i="5"/>
  <c r="BH306" i="5" s="1"/>
  <c r="BF314" i="5"/>
  <c r="BH314" i="5" s="1"/>
  <c r="BF322" i="5"/>
  <c r="BH322" i="5" s="1"/>
  <c r="BF330" i="5"/>
  <c r="BH330" i="5" s="1"/>
  <c r="BF343" i="5"/>
  <c r="BH343" i="5" s="1"/>
  <c r="BF349" i="5"/>
  <c r="BH349" i="5" s="1"/>
  <c r="BF362" i="5"/>
  <c r="BH362" i="5" s="1"/>
  <c r="BF369" i="5"/>
  <c r="BH369" i="5" s="1"/>
  <c r="BF377" i="5"/>
  <c r="BH377" i="5" s="1"/>
  <c r="BF398" i="5"/>
  <c r="BH398" i="5" s="1"/>
  <c r="BF423" i="5"/>
  <c r="BH423" i="5" s="1"/>
  <c r="BF450" i="5"/>
  <c r="BH450" i="5" s="1"/>
  <c r="BF457" i="5"/>
  <c r="BH457" i="5" s="1"/>
  <c r="BF7" i="5"/>
  <c r="BF16" i="5"/>
  <c r="BH16" i="5" s="1"/>
  <c r="BF21" i="5"/>
  <c r="BH21" i="5" s="1"/>
  <c r="BF35" i="5"/>
  <c r="BH35" i="5" s="1"/>
  <c r="BF41" i="5"/>
  <c r="BH41" i="5" s="1"/>
  <c r="BF54" i="5"/>
  <c r="BH54" i="5" s="1"/>
  <c r="BF60" i="5"/>
  <c r="BH60" i="5" s="1"/>
  <c r="BF67" i="5"/>
  <c r="BH67" i="5" s="1"/>
  <c r="BF73" i="5"/>
  <c r="BH73" i="5" s="1"/>
  <c r="BF86" i="5"/>
  <c r="BH86" i="5" s="1"/>
  <c r="BF92" i="5"/>
  <c r="BH92" i="5" s="1"/>
  <c r="BF99" i="5"/>
  <c r="BH99" i="5" s="1"/>
  <c r="BF105" i="5"/>
  <c r="BH105" i="5" s="1"/>
  <c r="BF111" i="5"/>
  <c r="BH111" i="5" s="1"/>
  <c r="BF117" i="5"/>
  <c r="BH117" i="5" s="1"/>
  <c r="BF123" i="5"/>
  <c r="BH123" i="5" s="1"/>
  <c r="BF134" i="5"/>
  <c r="BH134" i="5" s="1"/>
  <c r="BF141" i="5"/>
  <c r="BH141" i="5" s="1"/>
  <c r="BF147" i="5"/>
  <c r="BH147" i="5" s="1"/>
  <c r="BF174" i="5"/>
  <c r="BH174" i="5" s="1"/>
  <c r="BF181" i="5"/>
  <c r="BH181" i="5" s="1"/>
  <c r="BF188" i="5"/>
  <c r="BH188" i="5" s="1"/>
  <c r="BF194" i="5"/>
  <c r="BH194" i="5" s="1"/>
  <c r="BF265" i="5"/>
  <c r="BH265" i="5" s="1"/>
  <c r="BF273" i="5"/>
  <c r="BH273" i="5" s="1"/>
  <c r="BF281" i="5"/>
  <c r="BH281" i="5" s="1"/>
  <c r="BF289" i="5"/>
  <c r="BH289" i="5" s="1"/>
  <c r="BF297" i="5"/>
  <c r="BH297" i="5" s="1"/>
  <c r="BF305" i="5"/>
  <c r="BH305" i="5" s="1"/>
  <c r="BF390" i="5"/>
  <c r="BH390" i="5" s="1"/>
  <c r="BF409" i="5"/>
  <c r="BH409" i="5" s="1"/>
  <c r="BF429" i="5"/>
  <c r="BH429" i="5" s="1"/>
  <c r="BF449" i="5"/>
  <c r="BH449" i="5" s="1"/>
  <c r="BF456" i="5"/>
  <c r="BH456" i="5" s="1"/>
  <c r="BF463" i="5"/>
  <c r="BH463" i="5" s="1"/>
  <c r="BF469" i="5"/>
  <c r="BH469" i="5" s="1"/>
  <c r="BF475" i="5"/>
  <c r="BF249" i="5"/>
  <c r="BH249" i="5" s="1"/>
  <c r="BF256" i="5"/>
  <c r="BH256" i="5" s="1"/>
  <c r="BF614" i="5"/>
  <c r="BH614" i="5" s="1"/>
  <c r="BF686" i="5"/>
  <c r="BH686" i="5" s="1"/>
  <c r="BF693" i="5"/>
  <c r="BH693" i="5" s="1"/>
  <c r="BF712" i="5"/>
  <c r="BH712" i="5" s="1"/>
  <c r="BF718" i="5"/>
  <c r="BH718" i="5" s="1"/>
  <c r="BF725" i="5"/>
  <c r="BH725" i="5" s="1"/>
  <c r="BF27" i="5"/>
  <c r="BH27" i="5" s="1"/>
  <c r="BF34" i="5"/>
  <c r="BH34" i="5" s="1"/>
  <c r="BF40" i="5"/>
  <c r="BH40" i="5" s="1"/>
  <c r="BF47" i="5"/>
  <c r="BH47" i="5" s="1"/>
  <c r="BF53" i="5"/>
  <c r="BH53" i="5" s="1"/>
  <c r="BF66" i="5"/>
  <c r="BH66" i="5" s="1"/>
  <c r="BF72" i="5"/>
  <c r="BH72" i="5" s="1"/>
  <c r="BF79" i="5"/>
  <c r="BH79" i="5" s="1"/>
  <c r="BF85" i="5"/>
  <c r="BH85" i="5" s="1"/>
  <c r="BF98" i="5"/>
  <c r="BH98" i="5" s="1"/>
  <c r="BF104" i="5"/>
  <c r="BH104" i="5" s="1"/>
  <c r="BF110" i="5"/>
  <c r="BH110" i="5" s="1"/>
  <c r="BF122" i="5"/>
  <c r="BH122" i="5" s="1"/>
  <c r="BF153" i="5"/>
  <c r="BH153" i="5" s="1"/>
  <c r="BF159" i="5"/>
  <c r="BH159" i="5" s="1"/>
  <c r="BF180" i="5"/>
  <c r="BH180" i="5" s="1"/>
  <c r="BF200" i="5"/>
  <c r="BH200" i="5" s="1"/>
  <c r="BF205" i="5"/>
  <c r="BH205" i="5" s="1"/>
  <c r="BF216" i="5"/>
  <c r="BH216" i="5" s="1"/>
  <c r="BF221" i="5"/>
  <c r="BH221" i="5" s="1"/>
  <c r="BF250" i="5"/>
  <c r="BH250" i="5" s="1"/>
  <c r="BF266" i="5"/>
  <c r="BH266" i="5" s="1"/>
  <c r="BF274" i="5"/>
  <c r="BH274" i="5" s="1"/>
  <c r="BF282" i="5"/>
  <c r="BH282" i="5" s="1"/>
  <c r="BF298" i="5"/>
  <c r="BH298" i="5" s="1"/>
  <c r="BF344" i="5"/>
  <c r="BH344" i="5" s="1"/>
  <c r="BF357" i="5"/>
  <c r="BH357" i="5" s="1"/>
  <c r="BF363" i="5"/>
  <c r="BH363" i="5" s="1"/>
  <c r="BF424" i="5"/>
  <c r="BH424" i="5" s="1"/>
  <c r="BF431" i="5"/>
  <c r="BH431" i="5" s="1"/>
  <c r="BF437" i="5"/>
  <c r="BH437" i="5" s="1"/>
  <c r="BF443" i="5"/>
  <c r="BH443" i="5" s="1"/>
  <c r="BF451" i="5"/>
  <c r="BH451" i="5" s="1"/>
  <c r="BF526" i="5"/>
  <c r="BH526" i="5" s="1"/>
  <c r="BF579" i="5"/>
  <c r="BH579" i="5" s="1"/>
  <c r="BF597" i="5"/>
  <c r="BH597" i="5" s="1"/>
  <c r="BF609" i="5"/>
  <c r="BH609" i="5" s="1"/>
  <c r="BF616" i="5"/>
  <c r="BH616" i="5" s="1"/>
  <c r="BF627" i="5"/>
  <c r="BH627" i="5" s="1"/>
  <c r="BF640" i="5"/>
  <c r="BH640" i="5" s="1"/>
  <c r="BF656" i="5"/>
  <c r="BH656" i="5" s="1"/>
  <c r="BF673" i="5"/>
  <c r="BH673" i="5" s="1"/>
  <c r="BF678" i="5"/>
  <c r="BH678" i="5" s="1"/>
  <c r="BF685" i="5"/>
  <c r="BH685" i="5" s="1"/>
  <c r="BF704" i="5"/>
  <c r="BH704" i="5" s="1"/>
  <c r="BF732" i="5"/>
  <c r="BH732" i="5" s="1"/>
  <c r="BF740" i="5"/>
  <c r="BH740" i="5" s="1"/>
  <c r="BF748" i="5"/>
  <c r="BH748" i="5" s="1"/>
  <c r="BF25" i="5"/>
  <c r="BH25" i="5" s="1"/>
  <c r="BF32" i="5"/>
  <c r="BH32" i="5" s="1"/>
  <c r="BF39" i="5"/>
  <c r="BH39" i="5" s="1"/>
  <c r="BF45" i="5"/>
  <c r="BH45" i="5" s="1"/>
  <c r="BF58" i="5"/>
  <c r="BH58" i="5" s="1"/>
  <c r="BF64" i="5"/>
  <c r="BH64" i="5" s="1"/>
  <c r="BF71" i="5"/>
  <c r="BH71" i="5" s="1"/>
  <c r="BF77" i="5"/>
  <c r="BH77" i="5" s="1"/>
  <c r="BF90" i="5"/>
  <c r="BH90" i="5" s="1"/>
  <c r="BF96" i="5"/>
  <c r="BH96" i="5" s="1"/>
  <c r="BF103" i="5"/>
  <c r="BH103" i="5" s="1"/>
  <c r="BF109" i="5"/>
  <c r="BH109" i="5" s="1"/>
  <c r="BF115" i="5"/>
  <c r="BH115" i="5" s="1"/>
  <c r="BF126" i="5"/>
  <c r="BH126" i="5" s="1"/>
  <c r="BF139" i="5"/>
  <c r="BH139" i="5" s="1"/>
  <c r="BF145" i="5"/>
  <c r="BH145" i="5" s="1"/>
  <c r="BF151" i="5"/>
  <c r="BH151" i="5" s="1"/>
  <c r="BF164" i="5"/>
  <c r="BH164" i="5" s="1"/>
  <c r="BF171" i="5"/>
  <c r="BH171" i="5" s="1"/>
  <c r="BF178" i="5"/>
  <c r="BH178" i="5" s="1"/>
  <c r="BF198" i="5"/>
  <c r="BH198" i="5" s="1"/>
  <c r="BF204" i="5"/>
  <c r="BH204" i="5" s="1"/>
  <c r="BF209" i="5"/>
  <c r="BH209" i="5" s="1"/>
  <c r="BF220" i="5"/>
  <c r="BH220" i="5" s="1"/>
  <c r="BF225" i="5"/>
  <c r="BF239" i="5"/>
  <c r="BH239" i="5" s="1"/>
  <c r="BF255" i="5"/>
  <c r="BH255" i="5" s="1"/>
  <c r="BF313" i="5"/>
  <c r="BH313" i="5" s="1"/>
  <c r="BF321" i="5"/>
  <c r="BH321" i="5" s="1"/>
  <c r="BF329" i="5"/>
  <c r="BH329" i="5" s="1"/>
  <c r="BF337" i="5"/>
  <c r="BH337" i="5" s="1"/>
  <c r="BF342" i="5"/>
  <c r="BH342" i="5" s="1"/>
  <c r="BF348" i="5"/>
  <c r="BH348" i="5" s="1"/>
  <c r="BF368" i="5"/>
  <c r="BH368" i="5" s="1"/>
  <c r="BF491" i="5"/>
  <c r="BH491" i="5" s="1"/>
  <c r="BF503" i="5"/>
  <c r="BH503" i="5" s="1"/>
  <c r="BF517" i="5"/>
  <c r="BH517" i="5" s="1"/>
  <c r="BF524" i="5"/>
  <c r="BH524" i="5" s="1"/>
  <c r="BF531" i="5"/>
  <c r="BH531" i="5" s="1"/>
  <c r="BF537" i="5"/>
  <c r="BH537" i="5" s="1"/>
  <c r="BF545" i="5"/>
  <c r="BH545" i="5" s="1"/>
  <c r="BF547" i="5"/>
  <c r="BH547" i="5" s="1"/>
  <c r="BF553" i="5"/>
  <c r="BH553" i="5" s="1"/>
  <c r="BF561" i="5"/>
  <c r="BH561" i="5" s="1"/>
  <c r="BF569" i="5"/>
  <c r="BH569" i="5" s="1"/>
  <c r="BF577" i="5"/>
  <c r="BH577" i="5" s="1"/>
  <c r="BF584" i="5"/>
  <c r="BH584" i="5" s="1"/>
  <c r="BF590" i="5"/>
  <c r="BH590" i="5" s="1"/>
  <c r="BF601" i="5"/>
  <c r="BH601" i="5" s="1"/>
  <c r="BF639" i="5"/>
  <c r="BH639" i="5" s="1"/>
  <c r="BF10" i="5"/>
  <c r="BH10" i="5" s="1"/>
  <c r="BF19" i="5"/>
  <c r="BH19" i="5" s="1"/>
  <c r="BF24" i="5"/>
  <c r="BH24" i="5" s="1"/>
  <c r="BF31" i="5"/>
  <c r="BH31" i="5" s="1"/>
  <c r="BF38" i="5"/>
  <c r="BF44" i="5"/>
  <c r="BH44" i="5" s="1"/>
  <c r="BF51" i="5"/>
  <c r="BH51" i="5" s="1"/>
  <c r="BF57" i="5"/>
  <c r="BH57" i="5" s="1"/>
  <c r="BF70" i="5"/>
  <c r="BH70" i="5" s="1"/>
  <c r="BF76" i="5"/>
  <c r="BH76" i="5" s="1"/>
  <c r="BF83" i="5"/>
  <c r="BH83" i="5" s="1"/>
  <c r="BF89" i="5"/>
  <c r="BH89" i="5" s="1"/>
  <c r="BF102" i="5"/>
  <c r="BH102" i="5" s="1"/>
  <c r="BF108" i="5"/>
  <c r="BH108" i="5" s="1"/>
  <c r="BF114" i="5"/>
  <c r="BH114" i="5" s="1"/>
  <c r="BF157" i="5"/>
  <c r="BH157" i="5" s="1"/>
  <c r="BF163" i="5"/>
  <c r="BH163" i="5" s="1"/>
  <c r="BF197" i="5"/>
  <c r="BH197" i="5" s="1"/>
  <c r="BF238" i="5"/>
  <c r="BH238" i="5" s="1"/>
  <c r="BF247" i="5"/>
  <c r="BH247" i="5" s="1"/>
  <c r="BF254" i="5"/>
  <c r="BH254" i="5" s="1"/>
  <c r="BF263" i="5"/>
  <c r="BH263" i="5" s="1"/>
  <c r="BF347" i="5"/>
  <c r="BH347" i="5" s="1"/>
  <c r="BF361" i="5"/>
  <c r="BH361" i="5" s="1"/>
  <c r="BF389" i="5"/>
  <c r="BH389" i="5" s="1"/>
  <c r="BF397" i="5"/>
  <c r="BH397" i="5" s="1"/>
  <c r="BF428" i="5"/>
  <c r="BH428" i="5" s="1"/>
  <c r="BF435" i="5"/>
  <c r="BH435" i="5" s="1"/>
  <c r="BF441" i="5"/>
  <c r="BH441" i="5" s="1"/>
  <c r="BF455" i="5"/>
  <c r="BH455" i="5" s="1"/>
  <c r="BF483" i="5"/>
  <c r="BH483" i="5" s="1"/>
  <c r="BF497" i="5"/>
  <c r="BH497" i="5" s="1"/>
  <c r="BF510" i="5"/>
  <c r="BH510" i="5" s="1"/>
  <c r="BF530" i="5"/>
  <c r="BH530" i="5" s="1"/>
  <c r="BF536" i="5"/>
  <c r="BH536" i="5" s="1"/>
  <c r="BF595" i="5"/>
  <c r="BH595" i="5" s="1"/>
  <c r="BF600" i="5"/>
  <c r="BH600" i="5" s="1"/>
  <c r="BF613" i="5"/>
  <c r="BH613" i="5" s="1"/>
  <c r="BF638" i="5"/>
  <c r="BH638" i="5" s="1"/>
  <c r="BF645" i="5"/>
  <c r="BH645" i="5" s="1"/>
  <c r="BF661" i="5"/>
  <c r="BH661" i="5" s="1"/>
  <c r="BF675" i="5"/>
  <c r="BH675" i="5" s="1"/>
  <c r="BF702" i="5"/>
  <c r="BH702" i="5" s="1"/>
  <c r="BF709" i="5"/>
  <c r="BH709" i="5" s="1"/>
  <c r="BF9" i="5"/>
  <c r="BF18" i="5"/>
  <c r="BH18" i="5" s="1"/>
  <c r="BF30" i="5"/>
  <c r="BH30" i="5" s="1"/>
  <c r="BF37" i="5"/>
  <c r="BH37" i="5" s="1"/>
  <c r="BF50" i="5"/>
  <c r="BH50" i="5" s="1"/>
  <c r="BF56" i="5"/>
  <c r="BH56" i="5" s="1"/>
  <c r="BF63" i="5"/>
  <c r="BH63" i="5" s="1"/>
  <c r="BF69" i="5"/>
  <c r="BH69" i="5" s="1"/>
  <c r="BF82" i="5"/>
  <c r="BH82" i="5" s="1"/>
  <c r="BF88" i="5"/>
  <c r="BH88" i="5" s="1"/>
  <c r="BF95" i="5"/>
  <c r="BH95" i="5" s="1"/>
  <c r="BF101" i="5"/>
  <c r="BH101" i="5" s="1"/>
  <c r="BF113" i="5"/>
  <c r="BH113" i="5" s="1"/>
  <c r="BF119" i="5"/>
  <c r="BH119" i="5" s="1"/>
  <c r="BF125" i="5"/>
  <c r="BH125" i="5" s="1"/>
  <c r="BF131" i="5"/>
  <c r="BH131" i="5" s="1"/>
  <c r="BF137" i="5"/>
  <c r="BF143" i="5"/>
  <c r="BH143" i="5" s="1"/>
  <c r="BF169" i="5"/>
  <c r="BH169" i="5" s="1"/>
  <c r="BF176" i="5"/>
  <c r="BH176" i="5" s="1"/>
  <c r="BF183" i="5"/>
  <c r="BH183" i="5" s="1"/>
  <c r="BF208" i="5"/>
  <c r="BH208" i="5" s="1"/>
  <c r="BF213" i="5"/>
  <c r="BH213" i="5" s="1"/>
  <c r="BF224" i="5"/>
  <c r="BH224" i="5" s="1"/>
  <c r="BF270" i="5"/>
  <c r="BH270" i="5" s="1"/>
  <c r="BF278" i="5"/>
  <c r="BH278" i="5" s="1"/>
  <c r="BF286" i="5"/>
  <c r="BH286" i="5" s="1"/>
  <c r="BF294" i="5"/>
  <c r="BH294" i="5" s="1"/>
  <c r="BF302" i="5"/>
  <c r="BH302" i="5" s="1"/>
  <c r="BF341" i="5"/>
  <c r="BH341" i="5" s="1"/>
  <c r="BF346" i="5"/>
  <c r="BH346" i="5" s="1"/>
  <c r="BF353" i="5"/>
  <c r="BH353" i="5" s="1"/>
  <c r="BF374" i="5"/>
  <c r="BH374" i="5" s="1"/>
  <c r="BF381" i="5"/>
  <c r="BH381" i="5" s="1"/>
  <c r="BF396" i="5"/>
  <c r="BH396" i="5" s="1"/>
  <c r="BF403" i="5"/>
  <c r="BH403" i="5" s="1"/>
  <c r="BF421" i="5"/>
  <c r="BH421" i="5" s="1"/>
  <c r="BF434" i="5"/>
  <c r="BH434" i="5" s="1"/>
  <c r="BF440" i="5"/>
  <c r="BH440" i="5" s="1"/>
  <c r="BF461" i="5"/>
  <c r="BH461" i="5" s="1"/>
  <c r="BF482" i="5"/>
  <c r="BF489" i="5"/>
  <c r="BH489" i="5" s="1"/>
  <c r="BF509" i="5"/>
  <c r="BH509" i="5" s="1"/>
  <c r="BF516" i="5"/>
  <c r="BH516" i="5" s="1"/>
  <c r="BF589" i="5"/>
  <c r="BH589" i="5" s="1"/>
  <c r="BF594" i="5"/>
  <c r="BH594" i="5" s="1"/>
  <c r="BF606" i="5"/>
  <c r="BH606" i="5" s="1"/>
  <c r="BF624" i="5"/>
  <c r="BH624" i="5" s="1"/>
  <c r="BF674" i="5"/>
  <c r="BH674" i="5" s="1"/>
  <c r="BF681" i="5"/>
  <c r="BH681" i="5" s="1"/>
  <c r="BF688" i="5"/>
  <c r="BH688" i="5" s="1"/>
  <c r="BF720" i="5"/>
  <c r="BH720" i="5" s="1"/>
  <c r="BF728" i="5"/>
  <c r="BH728" i="5" s="1"/>
  <c r="BF736" i="5"/>
  <c r="BH736" i="5" s="1"/>
  <c r="BF744" i="5"/>
  <c r="BH744" i="5" s="1"/>
  <c r="BF17" i="5"/>
  <c r="BH17" i="5" s="1"/>
  <c r="BF23" i="5"/>
  <c r="BH23" i="5" s="1"/>
  <c r="BF29" i="5"/>
  <c r="BH29" i="5" s="1"/>
  <c r="BF36" i="5"/>
  <c r="BH36" i="5" s="1"/>
  <c r="BF43" i="5"/>
  <c r="BH43" i="5" s="1"/>
  <c r="BF49" i="5"/>
  <c r="BH49" i="5" s="1"/>
  <c r="BF62" i="5"/>
  <c r="BH62" i="5" s="1"/>
  <c r="BF68" i="5"/>
  <c r="BH68" i="5" s="1"/>
  <c r="BF75" i="5"/>
  <c r="BH75" i="5" s="1"/>
  <c r="BF81" i="5"/>
  <c r="BH81" i="5" s="1"/>
  <c r="BF94" i="5"/>
  <c r="BH94" i="5" s="1"/>
  <c r="BF100" i="5"/>
  <c r="BH100" i="5" s="1"/>
  <c r="BF107" i="5"/>
  <c r="BH107" i="5" s="1"/>
  <c r="BF118" i="5"/>
  <c r="BH118" i="5" s="1"/>
  <c r="BF130" i="5"/>
  <c r="BH130" i="5" s="1"/>
  <c r="BF142" i="5"/>
  <c r="BH142" i="5" s="1"/>
  <c r="BF149" i="5"/>
  <c r="BH149" i="5" s="1"/>
  <c r="BF175" i="5"/>
  <c r="BH175" i="5" s="1"/>
  <c r="BF189" i="5"/>
  <c r="BH189" i="5" s="1"/>
  <c r="BF196" i="5"/>
  <c r="BH196" i="5" s="1"/>
  <c r="BF214" i="5"/>
  <c r="BH214" i="5" s="1"/>
  <c r="BF229" i="5"/>
  <c r="BH229" i="5" s="1"/>
  <c r="BF237" i="5"/>
  <c r="BH237" i="5" s="1"/>
  <c r="BF244" i="5"/>
  <c r="BH244" i="5" s="1"/>
  <c r="BF253" i="5"/>
  <c r="BH253" i="5" s="1"/>
  <c r="BF260" i="5"/>
  <c r="BH260" i="5" s="1"/>
  <c r="BF269" i="5"/>
  <c r="BH269" i="5" s="1"/>
  <c r="BF277" i="5"/>
  <c r="BH277" i="5" s="1"/>
  <c r="BF285" i="5"/>
  <c r="BH285" i="5" s="1"/>
  <c r="BF293" i="5"/>
  <c r="BH293" i="5" s="1"/>
  <c r="BF301" i="5"/>
  <c r="BH301" i="5" s="1"/>
  <c r="BF310" i="5"/>
  <c r="BH310" i="5" s="1"/>
  <c r="BF318" i="5"/>
  <c r="BH318" i="5" s="1"/>
  <c r="BF326" i="5"/>
  <c r="BH326" i="5" s="1"/>
  <c r="BF334" i="5"/>
  <c r="BH334" i="5" s="1"/>
  <c r="BF352" i="5"/>
  <c r="BH352" i="5" s="1"/>
  <c r="BF373" i="5"/>
  <c r="BH373" i="5" s="1"/>
  <c r="BF380" i="5"/>
  <c r="BH380" i="5" s="1"/>
  <c r="BF387" i="5"/>
  <c r="BH387" i="5" s="1"/>
  <c r="BF395" i="5"/>
  <c r="BH395" i="5" s="1"/>
  <c r="BF402" i="5"/>
  <c r="BH402" i="5" s="1"/>
  <c r="BF407" i="5"/>
  <c r="BH407" i="5" s="1"/>
  <c r="BF439" i="5"/>
  <c r="BH439" i="5" s="1"/>
  <c r="BF460" i="5"/>
  <c r="BH460" i="5" s="1"/>
  <c r="BF467" i="5"/>
  <c r="BH467" i="5" s="1"/>
  <c r="BF473" i="5"/>
  <c r="BH473" i="5" s="1"/>
  <c r="BF488" i="5"/>
  <c r="BH488" i="5" s="1"/>
  <c r="BF501" i="5"/>
  <c r="BH501" i="5" s="1"/>
  <c r="BF508" i="5"/>
  <c r="BH508" i="5" s="1"/>
  <c r="BF515" i="5"/>
  <c r="BH515" i="5" s="1"/>
  <c r="BF521" i="5"/>
  <c r="BH521" i="5" s="1"/>
  <c r="BF529" i="5"/>
  <c r="BH529" i="5" s="1"/>
  <c r="BF542" i="5"/>
  <c r="BH542" i="5" s="1"/>
  <c r="BF550" i="5"/>
  <c r="BH550" i="5" s="1"/>
  <c r="BF558" i="5"/>
  <c r="BH558" i="5" s="1"/>
  <c r="BF566" i="5"/>
  <c r="BH566" i="5" s="1"/>
  <c r="BF574" i="5"/>
  <c r="BH574" i="5" s="1"/>
  <c r="BF582" i="5"/>
  <c r="BH582" i="5" s="1"/>
  <c r="BF605" i="5"/>
  <c r="BH605" i="5" s="1"/>
  <c r="BF611" i="5"/>
  <c r="BH611" i="5" s="1"/>
  <c r="BF615" i="5"/>
  <c r="BH615" i="5" s="1"/>
  <c r="BF630" i="5"/>
  <c r="BH630" i="5" s="1"/>
  <c r="BF637" i="5"/>
  <c r="BH637" i="5" s="1"/>
  <c r="BF643" i="5"/>
  <c r="BH643" i="5" s="1"/>
  <c r="BF649" i="5"/>
  <c r="BH649" i="5" s="1"/>
  <c r="BF659" i="5"/>
  <c r="BH659" i="5" s="1"/>
  <c r="BF665" i="5"/>
  <c r="BH665" i="5" s="1"/>
  <c r="BF680" i="5"/>
  <c r="BH680" i="5" s="1"/>
  <c r="BF694" i="5"/>
  <c r="BH694" i="5" s="1"/>
  <c r="BF701" i="5"/>
  <c r="BH701" i="5" s="1"/>
  <c r="BF707" i="5"/>
  <c r="BH707" i="5" s="1"/>
  <c r="BF22" i="5"/>
  <c r="BH22" i="5" s="1"/>
  <c r="BF28" i="5"/>
  <c r="BH28" i="5" s="1"/>
  <c r="BF42" i="5"/>
  <c r="BH42" i="5" s="1"/>
  <c r="BF48" i="5"/>
  <c r="BH48" i="5" s="1"/>
  <c r="BF55" i="5"/>
  <c r="BH55" i="5" s="1"/>
  <c r="BF61" i="5"/>
  <c r="BH61" i="5" s="1"/>
  <c r="BF74" i="5"/>
  <c r="BH74" i="5" s="1"/>
  <c r="BF80" i="5"/>
  <c r="BH80" i="5" s="1"/>
  <c r="BF87" i="5"/>
  <c r="BH87" i="5" s="1"/>
  <c r="BF93" i="5"/>
  <c r="BH93" i="5" s="1"/>
  <c r="BF106" i="5"/>
  <c r="BH106" i="5" s="1"/>
  <c r="BF129" i="5"/>
  <c r="BH129" i="5" s="1"/>
  <c r="BF135" i="5"/>
  <c r="BH135" i="5" s="1"/>
  <c r="BF148" i="5"/>
  <c r="BH148" i="5" s="1"/>
  <c r="BF155" i="5"/>
  <c r="BH155" i="5" s="1"/>
  <c r="BF161" i="5"/>
  <c r="BH161" i="5" s="1"/>
  <c r="BF167" i="5"/>
  <c r="BH167" i="5" s="1"/>
  <c r="BF201" i="5"/>
  <c r="BH201" i="5" s="1"/>
  <c r="BF212" i="5"/>
  <c r="BH212" i="5" s="1"/>
  <c r="BF217" i="5"/>
  <c r="BH217" i="5" s="1"/>
  <c r="BF228" i="5"/>
  <c r="BH228" i="5" s="1"/>
  <c r="BF309" i="5"/>
  <c r="BH309" i="5" s="1"/>
  <c r="BF317" i="5"/>
  <c r="BH317" i="5" s="1"/>
  <c r="BF325" i="5"/>
  <c r="BH325" i="5" s="1"/>
  <c r="BF333" i="5"/>
  <c r="BH333" i="5" s="1"/>
  <c r="BF340" i="5"/>
  <c r="BH340" i="5" s="1"/>
  <c r="BF345" i="5"/>
  <c r="BH345" i="5" s="1"/>
  <c r="BF365" i="5"/>
  <c r="BH365" i="5" s="1"/>
  <c r="BF379" i="5"/>
  <c r="BH379" i="5" s="1"/>
  <c r="BF401" i="5"/>
  <c r="BH401" i="5" s="1"/>
  <c r="BF406" i="5"/>
  <c r="BH406" i="5" s="1"/>
  <c r="BF419" i="5"/>
  <c r="BH419" i="5" s="1"/>
  <c r="BF433" i="5"/>
  <c r="BH433" i="5" s="1"/>
  <c r="BF438" i="5"/>
  <c r="BH438" i="5" s="1"/>
  <c r="BF445" i="5"/>
  <c r="BH445" i="5" s="1"/>
  <c r="BF453" i="5"/>
  <c r="BH453" i="5" s="1"/>
  <c r="BF466" i="5"/>
  <c r="BH466" i="5" s="1"/>
  <c r="BF472" i="5"/>
  <c r="BH472" i="5" s="1"/>
  <c r="BF487" i="5"/>
  <c r="BH487" i="5" s="1"/>
  <c r="BF514" i="5"/>
  <c r="BH514" i="5" s="1"/>
  <c r="BF520" i="5"/>
  <c r="BH520" i="5" s="1"/>
  <c r="BF541" i="5"/>
  <c r="BH541" i="5" s="1"/>
  <c r="BF549" i="5"/>
  <c r="BH549" i="5" s="1"/>
  <c r="BF557" i="5"/>
  <c r="BH557" i="5" s="1"/>
  <c r="BF565" i="5"/>
  <c r="BH565" i="5" s="1"/>
  <c r="BF573" i="5"/>
  <c r="BH573" i="5" s="1"/>
  <c r="BF581" i="5"/>
  <c r="BH581" i="5" s="1"/>
  <c r="BF598" i="5"/>
  <c r="BH598" i="5" s="1"/>
  <c r="BF623" i="5"/>
  <c r="BH623" i="5" s="1"/>
  <c r="BF642" i="5"/>
  <c r="BH642" i="5" s="1"/>
  <c r="BF648" i="5"/>
  <c r="BH648" i="5" s="1"/>
  <c r="BF664" i="5"/>
  <c r="BH664" i="5" s="1"/>
  <c r="BF672" i="5"/>
  <c r="BH672" i="5" s="1"/>
  <c r="BF687" i="5"/>
  <c r="BH687" i="5" s="1"/>
  <c r="BF706" i="5"/>
  <c r="BH706" i="5" s="1"/>
  <c r="BF713" i="5"/>
  <c r="BH713" i="5" s="1"/>
  <c r="BF719" i="5"/>
  <c r="BH719" i="5" s="1"/>
  <c r="BH137" i="5"/>
  <c r="BF251" i="5"/>
  <c r="BH251" i="5" s="1"/>
  <c r="BF359" i="5"/>
  <c r="BH359" i="5" s="1"/>
  <c r="BF454" i="5"/>
  <c r="BH454" i="5" s="1"/>
  <c r="BF150" i="5"/>
  <c r="BH150" i="5" s="1"/>
  <c r="BF599" i="5"/>
  <c r="BH599" i="5" s="1"/>
  <c r="BF179" i="5"/>
  <c r="BH179" i="5" s="1"/>
  <c r="BF283" i="5"/>
  <c r="BH283" i="5" s="1"/>
  <c r="BF291" i="5"/>
  <c r="BH291" i="5" s="1"/>
  <c r="BF571" i="5"/>
  <c r="BH571" i="5" s="1"/>
  <c r="BF154" i="5"/>
  <c r="BH154" i="5" s="1"/>
  <c r="BF202" i="5"/>
  <c r="BH202" i="5" s="1"/>
  <c r="BF210" i="5"/>
  <c r="BH210" i="5" s="1"/>
  <c r="BF218" i="5"/>
  <c r="BH218" i="5" s="1"/>
  <c r="BF226" i="5"/>
  <c r="BH226" i="5" s="1"/>
  <c r="BF230" i="5"/>
  <c r="BH230" i="5" s="1"/>
  <c r="BF315" i="5"/>
  <c r="BH315" i="5" s="1"/>
  <c r="BF323" i="5"/>
  <c r="BH323" i="5" s="1"/>
  <c r="BH477" i="5"/>
  <c r="BF585" i="5"/>
  <c r="BH585" i="5" s="1"/>
  <c r="BH654" i="5"/>
  <c r="BF657" i="5"/>
  <c r="BH657" i="5" s="1"/>
  <c r="BH121" i="5"/>
  <c r="BF146" i="5"/>
  <c r="BH146" i="5" s="1"/>
  <c r="BF366" i="5"/>
  <c r="BH366" i="5" s="1"/>
  <c r="BF370" i="5"/>
  <c r="BH370" i="5" s="1"/>
  <c r="BF382" i="5"/>
  <c r="BH382" i="5" s="1"/>
  <c r="BF386" i="5"/>
  <c r="BH386" i="5" s="1"/>
  <c r="BF442" i="5"/>
  <c r="BH442" i="5" s="1"/>
  <c r="BF446" i="5"/>
  <c r="BH446" i="5" s="1"/>
  <c r="BF458" i="5"/>
  <c r="BH458" i="5" s="1"/>
  <c r="BF462" i="5"/>
  <c r="BH462" i="5" s="1"/>
  <c r="BF522" i="5"/>
  <c r="BH522" i="5" s="1"/>
  <c r="BF555" i="5"/>
  <c r="BH555" i="5" s="1"/>
  <c r="BF593" i="5"/>
  <c r="BH593" i="5" s="1"/>
  <c r="BF607" i="5"/>
  <c r="BH607" i="5" s="1"/>
  <c r="BH710" i="5"/>
  <c r="BF267" i="5"/>
  <c r="BH267" i="5" s="1"/>
  <c r="BF299" i="5"/>
  <c r="BH299" i="5" s="1"/>
  <c r="BF331" i="5"/>
  <c r="BH331" i="5" s="1"/>
  <c r="BF511" i="5"/>
  <c r="BH511" i="5" s="1"/>
  <c r="BF563" i="5"/>
  <c r="BH563" i="5" s="1"/>
  <c r="BH749" i="5"/>
  <c r="BF195" i="5"/>
  <c r="BH195" i="5" s="1"/>
  <c r="BF275" i="5"/>
  <c r="BH275" i="5" s="1"/>
  <c r="BF307" i="5"/>
  <c r="BH307" i="5" s="1"/>
  <c r="BF394" i="5"/>
  <c r="BH394" i="5" s="1"/>
  <c r="BF625" i="5"/>
  <c r="BH625" i="5" s="1"/>
  <c r="BF647" i="5"/>
  <c r="BH647" i="5" s="1"/>
  <c r="BF689" i="5"/>
  <c r="BH689" i="5" s="1"/>
  <c r="BF705" i="5"/>
  <c r="BH705" i="5" s="1"/>
  <c r="BF733" i="5"/>
  <c r="BH733" i="5" s="1"/>
  <c r="BF737" i="5"/>
  <c r="BH737" i="5" s="1"/>
  <c r="BF741" i="5"/>
  <c r="BH741" i="5" s="1"/>
  <c r="BF745" i="5"/>
  <c r="BH745" i="5" s="1"/>
  <c r="BH38" i="5"/>
  <c r="BH46" i="5"/>
  <c r="BF138" i="5"/>
  <c r="BH138" i="5" s="1"/>
  <c r="BF162" i="5"/>
  <c r="BH162" i="5" s="1"/>
  <c r="BF166" i="5"/>
  <c r="BH166" i="5" s="1"/>
  <c r="BF190" i="5"/>
  <c r="BH190" i="5" s="1"/>
  <c r="BH225" i="5"/>
  <c r="BF235" i="5"/>
  <c r="BH235" i="5" s="1"/>
  <c r="BF242" i="5"/>
  <c r="BH242" i="5" s="1"/>
  <c r="BF258" i="5"/>
  <c r="BH258" i="5" s="1"/>
  <c r="BH499" i="5"/>
  <c r="BF187" i="5"/>
  <c r="BH187" i="5" s="1"/>
  <c r="BF271" i="5"/>
  <c r="BH271" i="5" s="1"/>
  <c r="BF279" i="5"/>
  <c r="BH279" i="5" s="1"/>
  <c r="BF287" i="5"/>
  <c r="BH287" i="5" s="1"/>
  <c r="BF295" i="5"/>
  <c r="BH295" i="5" s="1"/>
  <c r="BF303" i="5"/>
  <c r="BH303" i="5" s="1"/>
  <c r="BF311" i="5"/>
  <c r="BH311" i="5" s="1"/>
  <c r="BF319" i="5"/>
  <c r="BH319" i="5" s="1"/>
  <c r="BF327" i="5"/>
  <c r="BH327" i="5" s="1"/>
  <c r="BF335" i="5"/>
  <c r="BH335" i="5" s="1"/>
  <c r="BF170" i="5"/>
  <c r="BH170" i="5" s="1"/>
  <c r="BF182" i="5"/>
  <c r="BH182" i="5" s="1"/>
  <c r="BF246" i="5"/>
  <c r="BH246" i="5" s="1"/>
  <c r="BF262" i="5"/>
  <c r="BH262" i="5" s="1"/>
  <c r="BF495" i="5"/>
  <c r="BH495" i="5" s="1"/>
  <c r="BF350" i="5"/>
  <c r="BH350" i="5" s="1"/>
  <c r="BF413" i="5"/>
  <c r="BH413" i="5" s="1"/>
  <c r="BF422" i="5"/>
  <c r="BH422" i="5" s="1"/>
  <c r="BF426" i="5"/>
  <c r="BH426" i="5" s="1"/>
  <c r="BF474" i="5"/>
  <c r="BH474" i="5" s="1"/>
  <c r="BH475" i="5"/>
  <c r="BF490" i="5"/>
  <c r="BH490" i="5" s="1"/>
  <c r="BF502" i="5"/>
  <c r="BH502" i="5" s="1"/>
  <c r="BF527" i="5"/>
  <c r="BH527" i="5" s="1"/>
  <c r="BF534" i="5"/>
  <c r="BH534" i="5" s="1"/>
  <c r="BF583" i="5"/>
  <c r="BH583" i="5" s="1"/>
  <c r="BF617" i="5"/>
  <c r="BH617" i="5" s="1"/>
  <c r="BF663" i="5"/>
  <c r="BH663" i="5" s="1"/>
  <c r="BF721" i="5"/>
  <c r="BH721" i="5" s="1"/>
  <c r="BF354" i="5"/>
  <c r="BH354" i="5" s="1"/>
  <c r="BF375" i="5"/>
  <c r="BH375" i="5" s="1"/>
  <c r="BF391" i="5"/>
  <c r="BH391" i="5" s="1"/>
  <c r="BF405" i="5"/>
  <c r="BH405" i="5" s="1"/>
  <c r="BF430" i="5"/>
  <c r="BH430" i="5" s="1"/>
  <c r="BF478" i="5"/>
  <c r="BH478" i="5" s="1"/>
  <c r="BF486" i="5"/>
  <c r="BH486" i="5" s="1"/>
  <c r="BF506" i="5"/>
  <c r="BH506" i="5" s="1"/>
  <c r="BF538" i="5"/>
  <c r="BH538" i="5" s="1"/>
  <c r="BH629" i="5"/>
  <c r="BF631" i="5"/>
  <c r="BH631" i="5" s="1"/>
  <c r="BF641" i="5"/>
  <c r="BH641" i="5" s="1"/>
  <c r="BF679" i="5"/>
  <c r="BH679" i="5" s="1"/>
  <c r="BH691" i="5"/>
  <c r="BF695" i="5"/>
  <c r="BH695" i="5" s="1"/>
  <c r="BF711" i="5"/>
  <c r="BH711" i="5" s="1"/>
  <c r="BF543" i="5"/>
  <c r="BH543" i="5" s="1"/>
  <c r="BF551" i="5"/>
  <c r="BH551" i="5" s="1"/>
  <c r="BF559" i="5"/>
  <c r="BH559" i="5" s="1"/>
  <c r="BF567" i="5"/>
  <c r="BH567" i="5" s="1"/>
  <c r="BF575" i="5"/>
  <c r="BH575" i="5" s="1"/>
  <c r="BF112" i="5"/>
  <c r="BH112" i="5" s="1"/>
  <c r="BF120" i="5"/>
  <c r="BH120" i="5" s="1"/>
  <c r="BF128" i="5"/>
  <c r="BH128" i="5" s="1"/>
  <c r="BF136" i="5"/>
  <c r="BH136" i="5" s="1"/>
  <c r="BF152" i="5"/>
  <c r="BH152" i="5" s="1"/>
  <c r="BF168" i="5"/>
  <c r="BH168" i="5" s="1"/>
  <c r="BF203" i="5"/>
  <c r="BH203" i="5" s="1"/>
  <c r="BF211" i="5"/>
  <c r="BH211" i="5" s="1"/>
  <c r="BF219" i="5"/>
  <c r="BH219" i="5" s="1"/>
  <c r="BF227" i="5"/>
  <c r="BH227" i="5" s="1"/>
  <c r="BF351" i="5"/>
  <c r="BH351" i="5" s="1"/>
  <c r="BF535" i="5"/>
  <c r="BH535" i="5" s="1"/>
  <c r="BF140" i="5"/>
  <c r="BH140" i="5" s="1"/>
  <c r="BF156" i="5"/>
  <c r="BH156" i="5" s="1"/>
  <c r="BF172" i="5"/>
  <c r="BH172" i="5" s="1"/>
  <c r="BF177" i="5"/>
  <c r="BH177" i="5" s="1"/>
  <c r="BF192" i="5"/>
  <c r="BH192" i="5" s="1"/>
  <c r="BF243" i="5"/>
  <c r="BH243" i="5" s="1"/>
  <c r="BF367" i="5"/>
  <c r="BH367" i="5" s="1"/>
  <c r="BF415" i="5"/>
  <c r="BH415" i="5" s="1"/>
  <c r="BF116" i="5"/>
  <c r="BH116" i="5" s="1"/>
  <c r="BF124" i="5"/>
  <c r="BH124" i="5" s="1"/>
  <c r="BF132" i="5"/>
  <c r="BH132" i="5" s="1"/>
  <c r="BF144" i="5"/>
  <c r="BH144" i="5" s="1"/>
  <c r="BF160" i="5"/>
  <c r="BH160" i="5" s="1"/>
  <c r="BF184" i="5"/>
  <c r="BH184" i="5" s="1"/>
  <c r="BF191" i="5"/>
  <c r="BH191" i="5" s="1"/>
  <c r="BF199" i="5"/>
  <c r="BH199" i="5" s="1"/>
  <c r="BF207" i="5"/>
  <c r="BH207" i="5" s="1"/>
  <c r="BF215" i="5"/>
  <c r="BH215" i="5" s="1"/>
  <c r="BF223" i="5"/>
  <c r="BH223" i="5" s="1"/>
  <c r="BF231" i="5"/>
  <c r="BH231" i="5" s="1"/>
  <c r="BF259" i="5"/>
  <c r="BH259" i="5" s="1"/>
  <c r="BF355" i="5"/>
  <c r="BH355" i="5" s="1"/>
  <c r="BF383" i="5"/>
  <c r="BH383" i="5" s="1"/>
  <c r="BF414" i="5"/>
  <c r="BH414" i="5" s="1"/>
  <c r="BF185" i="5"/>
  <c r="BH185" i="5" s="1"/>
  <c r="BF193" i="5"/>
  <c r="BH193" i="5" s="1"/>
  <c r="BF232" i="5"/>
  <c r="BH232" i="5" s="1"/>
  <c r="BF248" i="5"/>
  <c r="BH248" i="5" s="1"/>
  <c r="BF264" i="5"/>
  <c r="BH264" i="5" s="1"/>
  <c r="BF356" i="5"/>
  <c r="BH356" i="5" s="1"/>
  <c r="BF372" i="5"/>
  <c r="BH372" i="5" s="1"/>
  <c r="BF388" i="5"/>
  <c r="BH388" i="5" s="1"/>
  <c r="BF507" i="5"/>
  <c r="BH507" i="5" s="1"/>
  <c r="BF236" i="5"/>
  <c r="BH236" i="5" s="1"/>
  <c r="BF252" i="5"/>
  <c r="BH252" i="5" s="1"/>
  <c r="BF268" i="5"/>
  <c r="BH268" i="5" s="1"/>
  <c r="BF272" i="5"/>
  <c r="BH272" i="5" s="1"/>
  <c r="BF276" i="5"/>
  <c r="BH276" i="5" s="1"/>
  <c r="BF280" i="5"/>
  <c r="BH280" i="5" s="1"/>
  <c r="BF284" i="5"/>
  <c r="BH284" i="5" s="1"/>
  <c r="BF288" i="5"/>
  <c r="BH288" i="5" s="1"/>
  <c r="BF292" i="5"/>
  <c r="BH292" i="5" s="1"/>
  <c r="BF296" i="5"/>
  <c r="BH296" i="5" s="1"/>
  <c r="BF300" i="5"/>
  <c r="BH300" i="5" s="1"/>
  <c r="BF304" i="5"/>
  <c r="BH304" i="5" s="1"/>
  <c r="BF308" i="5"/>
  <c r="BH308" i="5" s="1"/>
  <c r="BF312" i="5"/>
  <c r="BH312" i="5" s="1"/>
  <c r="BF316" i="5"/>
  <c r="BH316" i="5" s="1"/>
  <c r="BF320" i="5"/>
  <c r="BH320" i="5" s="1"/>
  <c r="BF324" i="5"/>
  <c r="BH324" i="5" s="1"/>
  <c r="BF328" i="5"/>
  <c r="BH328" i="5" s="1"/>
  <c r="BF332" i="5"/>
  <c r="BH332" i="5" s="1"/>
  <c r="BF336" i="5"/>
  <c r="BH336" i="5" s="1"/>
  <c r="BF360" i="5"/>
  <c r="BH360" i="5" s="1"/>
  <c r="BF376" i="5"/>
  <c r="BH376" i="5" s="1"/>
  <c r="BF392" i="5"/>
  <c r="BH392" i="5" s="1"/>
  <c r="BF408" i="5"/>
  <c r="BH408" i="5" s="1"/>
  <c r="BF410" i="5"/>
  <c r="BH410" i="5" s="1"/>
  <c r="BF427" i="5"/>
  <c r="BH427" i="5" s="1"/>
  <c r="BF447" i="5"/>
  <c r="BH447" i="5" s="1"/>
  <c r="BF459" i="5"/>
  <c r="BH459" i="5" s="1"/>
  <c r="BF479" i="5"/>
  <c r="BH479" i="5" s="1"/>
  <c r="BF523" i="5"/>
  <c r="BH523" i="5" s="1"/>
  <c r="BF540" i="5"/>
  <c r="BH540" i="5" s="1"/>
  <c r="BH234" i="5"/>
  <c r="BF416" i="5"/>
  <c r="BH416" i="5" s="1"/>
  <c r="BF418" i="5"/>
  <c r="BH418" i="5" s="1"/>
  <c r="BF444" i="5"/>
  <c r="BH444" i="5" s="1"/>
  <c r="BF476" i="5"/>
  <c r="BH476" i="5" s="1"/>
  <c r="BH482" i="5"/>
  <c r="BF492" i="5"/>
  <c r="BH492" i="5" s="1"/>
  <c r="BF539" i="5"/>
  <c r="BH539" i="5" s="1"/>
  <c r="BF602" i="5"/>
  <c r="BH602" i="5" s="1"/>
  <c r="BF432" i="5"/>
  <c r="BH432" i="5" s="1"/>
  <c r="BF448" i="5"/>
  <c r="BH448" i="5" s="1"/>
  <c r="BF464" i="5"/>
  <c r="BH464" i="5" s="1"/>
  <c r="BF480" i="5"/>
  <c r="BH480" i="5" s="1"/>
  <c r="BF496" i="5"/>
  <c r="BH496" i="5" s="1"/>
  <c r="BF512" i="5"/>
  <c r="BH512" i="5" s="1"/>
  <c r="BF528" i="5"/>
  <c r="BH528" i="5" s="1"/>
  <c r="BF544" i="5"/>
  <c r="BH544" i="5" s="1"/>
  <c r="BF548" i="5"/>
  <c r="BH548" i="5" s="1"/>
  <c r="BF552" i="5"/>
  <c r="BH552" i="5" s="1"/>
  <c r="BF556" i="5"/>
  <c r="BH556" i="5" s="1"/>
  <c r="BF560" i="5"/>
  <c r="BH560" i="5" s="1"/>
  <c r="BF564" i="5"/>
  <c r="BH564" i="5" s="1"/>
  <c r="BF568" i="5"/>
  <c r="BH568" i="5" s="1"/>
  <c r="BF572" i="5"/>
  <c r="BH572" i="5" s="1"/>
  <c r="BF576" i="5"/>
  <c r="BH576" i="5" s="1"/>
  <c r="BF580" i="5"/>
  <c r="BH580" i="5" s="1"/>
  <c r="BF587" i="5"/>
  <c r="BH587" i="5" s="1"/>
  <c r="BF610" i="5"/>
  <c r="BH610" i="5" s="1"/>
  <c r="BF619" i="5"/>
  <c r="BH619" i="5" s="1"/>
  <c r="BF658" i="5"/>
  <c r="BH658" i="5" s="1"/>
  <c r="BF690" i="5"/>
  <c r="BH690" i="5" s="1"/>
  <c r="BF404" i="5"/>
  <c r="BH404" i="5" s="1"/>
  <c r="BF412" i="5"/>
  <c r="BH412" i="5" s="1"/>
  <c r="BF420" i="5"/>
  <c r="BH420" i="5" s="1"/>
  <c r="BF436" i="5"/>
  <c r="BH436" i="5" s="1"/>
  <c r="BF452" i="5"/>
  <c r="BH452" i="5" s="1"/>
  <c r="BF468" i="5"/>
  <c r="BH468" i="5" s="1"/>
  <c r="BF484" i="5"/>
  <c r="BH484" i="5" s="1"/>
  <c r="BH546" i="5"/>
  <c r="BH562" i="5"/>
  <c r="BF586" i="5"/>
  <c r="BH586" i="5" s="1"/>
  <c r="BF618" i="5"/>
  <c r="BH618" i="5" s="1"/>
  <c r="BF588" i="5"/>
  <c r="BH588" i="5" s="1"/>
  <c r="BF596" i="5"/>
  <c r="BH596" i="5" s="1"/>
  <c r="BF604" i="5"/>
  <c r="BH604" i="5" s="1"/>
  <c r="BF612" i="5"/>
  <c r="BH612" i="5" s="1"/>
  <c r="BF620" i="5"/>
  <c r="BH620" i="5" s="1"/>
  <c r="BF628" i="5"/>
  <c r="BH628" i="5" s="1"/>
  <c r="BF635" i="5"/>
  <c r="BH635" i="5" s="1"/>
  <c r="BF651" i="5"/>
  <c r="BH651" i="5" s="1"/>
  <c r="BF667" i="5"/>
  <c r="BH667" i="5" s="1"/>
  <c r="BF683" i="5"/>
  <c r="BH683" i="5" s="1"/>
  <c r="BF699" i="5"/>
  <c r="BH699" i="5" s="1"/>
  <c r="BF715" i="5"/>
  <c r="BH715" i="5" s="1"/>
  <c r="BF731" i="5"/>
  <c r="BH731" i="5" s="1"/>
  <c r="BF735" i="5"/>
  <c r="BH735" i="5" s="1"/>
  <c r="BF739" i="5"/>
  <c r="BH739" i="5" s="1"/>
  <c r="BF743" i="5"/>
  <c r="BH743" i="5" s="1"/>
  <c r="BF747" i="5"/>
  <c r="BH747" i="5" s="1"/>
  <c r="BF750" i="5"/>
  <c r="BH750" i="5" s="1"/>
  <c r="BF632" i="5"/>
  <c r="BH632" i="5" s="1"/>
  <c r="BF634" i="5"/>
  <c r="BH634" i="5" s="1"/>
  <c r="BF650" i="5"/>
  <c r="BH650" i="5" s="1"/>
  <c r="BF666" i="5"/>
  <c r="BH666" i="5" s="1"/>
  <c r="BF682" i="5"/>
  <c r="BH682" i="5" s="1"/>
  <c r="BF698" i="5"/>
  <c r="BH698" i="5" s="1"/>
  <c r="BF714" i="5"/>
  <c r="BH714" i="5" s="1"/>
  <c r="BF730" i="5"/>
  <c r="BH730" i="5" s="1"/>
  <c r="BF734" i="5"/>
  <c r="BH734" i="5" s="1"/>
  <c r="BF738" i="5"/>
  <c r="BH738" i="5" s="1"/>
  <c r="BF742" i="5"/>
  <c r="BH742" i="5" s="1"/>
  <c r="BF746" i="5"/>
  <c r="BH746" i="5" s="1"/>
  <c r="BF636" i="5"/>
  <c r="BH636" i="5" s="1"/>
  <c r="BF644" i="5"/>
  <c r="BH644" i="5" s="1"/>
  <c r="BF652" i="5"/>
  <c r="BH652" i="5" s="1"/>
  <c r="BF660" i="5"/>
  <c r="BH660" i="5" s="1"/>
  <c r="BF668" i="5"/>
  <c r="BH668" i="5" s="1"/>
  <c r="BF676" i="5"/>
  <c r="BH676" i="5" s="1"/>
  <c r="BF684" i="5"/>
  <c r="BH684" i="5" s="1"/>
  <c r="BF692" i="5"/>
  <c r="BH692" i="5" s="1"/>
  <c r="BF700" i="5"/>
  <c r="BH700" i="5" s="1"/>
  <c r="BF708" i="5"/>
  <c r="BH708" i="5" s="1"/>
  <c r="BF716" i="5"/>
  <c r="BH716" i="5" s="1"/>
  <c r="BF724" i="5"/>
  <c r="BH724" i="5" s="1"/>
  <c r="BH7" i="5" l="1"/>
  <c r="BH9" i="5"/>
  <c r="M82" i="4"/>
  <c r="L82" i="4"/>
  <c r="K82" i="4"/>
  <c r="M80" i="4"/>
  <c r="L80" i="4"/>
  <c r="K80" i="4"/>
  <c r="M79" i="4"/>
  <c r="L79" i="4"/>
  <c r="K79" i="4"/>
  <c r="M78" i="4"/>
  <c r="L78" i="4"/>
  <c r="K78" i="4"/>
  <c r="M77" i="4"/>
  <c r="L77" i="4"/>
  <c r="K77" i="4"/>
  <c r="M76" i="4"/>
  <c r="L76" i="4"/>
  <c r="K76" i="4"/>
  <c r="M75" i="4"/>
  <c r="L75" i="4"/>
  <c r="K75" i="4"/>
  <c r="M74" i="4"/>
  <c r="L74" i="4"/>
  <c r="K74" i="4"/>
  <c r="M73" i="4"/>
  <c r="L73" i="4"/>
  <c r="K73" i="4"/>
  <c r="M72" i="4"/>
  <c r="L72" i="4"/>
  <c r="K72" i="4"/>
  <c r="M71" i="4"/>
  <c r="L71" i="4"/>
  <c r="K71" i="4"/>
  <c r="M70" i="4"/>
  <c r="L70" i="4"/>
  <c r="K70" i="4"/>
  <c r="M69" i="4"/>
  <c r="L69" i="4"/>
  <c r="K69" i="4"/>
  <c r="M68" i="4"/>
  <c r="L68" i="4"/>
  <c r="K68" i="4"/>
  <c r="M67" i="4"/>
  <c r="L67" i="4"/>
  <c r="K67" i="4"/>
  <c r="M66" i="4"/>
  <c r="L66" i="4"/>
  <c r="K66" i="4"/>
  <c r="M64" i="4"/>
  <c r="L64" i="4"/>
  <c r="K64" i="4"/>
  <c r="M63" i="4"/>
  <c r="L63" i="4"/>
  <c r="K63" i="4"/>
  <c r="M62" i="4"/>
  <c r="L62" i="4"/>
  <c r="K62" i="4"/>
  <c r="M61" i="4"/>
  <c r="L61" i="4"/>
  <c r="K61" i="4"/>
  <c r="M60" i="4"/>
  <c r="L60" i="4"/>
  <c r="K60" i="4"/>
  <c r="M59" i="4"/>
  <c r="L59" i="4"/>
  <c r="K59" i="4"/>
  <c r="M58" i="4"/>
  <c r="L58" i="4"/>
  <c r="K58" i="4"/>
  <c r="M57" i="4"/>
  <c r="L57" i="4"/>
  <c r="K57" i="4"/>
  <c r="M56" i="4"/>
  <c r="L56" i="4"/>
  <c r="K56" i="4"/>
  <c r="M55" i="4"/>
  <c r="L55" i="4"/>
  <c r="K55" i="4"/>
  <c r="M54" i="4"/>
  <c r="L54" i="4"/>
  <c r="K54" i="4"/>
  <c r="M53" i="4"/>
  <c r="L53" i="4"/>
  <c r="K53" i="4"/>
  <c r="M52" i="4"/>
  <c r="L52" i="4"/>
  <c r="K52" i="4"/>
  <c r="M51" i="4"/>
  <c r="L51" i="4"/>
  <c r="K51" i="4"/>
  <c r="M50" i="4"/>
  <c r="L50" i="4"/>
  <c r="K50" i="4"/>
  <c r="M48" i="4"/>
  <c r="L48" i="4"/>
  <c r="K48" i="4"/>
  <c r="M47" i="4"/>
  <c r="L47" i="4"/>
  <c r="K47" i="4"/>
  <c r="M46" i="4"/>
  <c r="L46" i="4"/>
  <c r="K46" i="4"/>
  <c r="M45" i="4"/>
  <c r="L45" i="4"/>
  <c r="K45" i="4"/>
  <c r="M44" i="4"/>
  <c r="L44" i="4"/>
  <c r="K44" i="4"/>
  <c r="M43" i="4"/>
  <c r="L43" i="4"/>
  <c r="K43" i="4"/>
  <c r="M42" i="4"/>
  <c r="L42" i="4"/>
  <c r="K42" i="4"/>
  <c r="M41" i="4"/>
  <c r="L41" i="4"/>
  <c r="K41" i="4"/>
  <c r="M40" i="4"/>
  <c r="L40" i="4"/>
  <c r="K40" i="4"/>
  <c r="M39" i="4"/>
  <c r="L39" i="4"/>
  <c r="K39" i="4"/>
  <c r="M38" i="4"/>
  <c r="L38" i="4"/>
  <c r="K38" i="4"/>
  <c r="M37" i="4"/>
  <c r="L37" i="4"/>
  <c r="K37" i="4"/>
  <c r="M36" i="4"/>
  <c r="L36" i="4"/>
  <c r="K36" i="4"/>
  <c r="M35" i="4"/>
  <c r="L35" i="4"/>
  <c r="K35" i="4"/>
  <c r="M34" i="4"/>
  <c r="L34" i="4"/>
  <c r="K34" i="4"/>
  <c r="M32" i="4"/>
  <c r="L32" i="4"/>
  <c r="K32" i="4"/>
  <c r="M31" i="4"/>
  <c r="L31" i="4"/>
  <c r="K31" i="4"/>
  <c r="M30" i="4"/>
  <c r="L30" i="4"/>
  <c r="K30" i="4"/>
  <c r="M29" i="4"/>
  <c r="L29" i="4"/>
  <c r="K29" i="4"/>
  <c r="M28" i="4"/>
  <c r="L28" i="4"/>
  <c r="K28" i="4"/>
  <c r="M27" i="4"/>
  <c r="L27" i="4"/>
  <c r="K27" i="4"/>
  <c r="M26" i="4"/>
  <c r="L26" i="4"/>
  <c r="K26" i="4"/>
  <c r="M25" i="4"/>
  <c r="L25" i="4"/>
  <c r="K25" i="4"/>
  <c r="M24" i="4"/>
  <c r="L24" i="4"/>
  <c r="K24" i="4"/>
  <c r="M23" i="4"/>
  <c r="L23" i="4"/>
  <c r="K23" i="4"/>
  <c r="M22" i="4"/>
  <c r="L22" i="4"/>
  <c r="K22" i="4"/>
  <c r="M21" i="4"/>
  <c r="L21" i="4"/>
  <c r="K21" i="4"/>
  <c r="M20" i="4"/>
  <c r="L20" i="4"/>
  <c r="K20" i="4"/>
  <c r="M19" i="4"/>
  <c r="L19" i="4"/>
  <c r="K19" i="4"/>
  <c r="M18" i="4"/>
  <c r="L18" i="4"/>
  <c r="K18" i="4"/>
  <c r="M16" i="4"/>
  <c r="L16" i="4"/>
  <c r="K16" i="4"/>
  <c r="M15" i="4"/>
  <c r="L15" i="4"/>
  <c r="K15" i="4"/>
  <c r="M14" i="4"/>
  <c r="L14" i="4"/>
  <c r="K14" i="4"/>
  <c r="M13" i="4"/>
  <c r="L13" i="4"/>
  <c r="K13" i="4"/>
  <c r="M12" i="4"/>
  <c r="L12" i="4"/>
  <c r="K12" i="4"/>
  <c r="M11" i="4"/>
  <c r="L11" i="4"/>
  <c r="K11" i="4"/>
  <c r="M10" i="4"/>
  <c r="L10" i="4"/>
  <c r="K10" i="4"/>
  <c r="M9" i="4"/>
  <c r="L9" i="4"/>
  <c r="K9" i="4"/>
  <c r="M8" i="4"/>
  <c r="L8" i="4"/>
  <c r="K8" i="4"/>
  <c r="M7" i="4"/>
  <c r="L7" i="4"/>
  <c r="K7" i="4"/>
  <c r="M6" i="4"/>
  <c r="L6" i="4"/>
  <c r="K6" i="4"/>
  <c r="M5" i="4"/>
  <c r="L5" i="4"/>
  <c r="K5" i="4"/>
  <c r="M3" i="4"/>
  <c r="L3" i="4"/>
  <c r="K3" i="4"/>
  <c r="M4" i="4"/>
  <c r="L4" i="4"/>
  <c r="K4" i="4"/>
  <c r="Q82" i="4"/>
  <c r="D82" i="4"/>
  <c r="Q80" i="4"/>
  <c r="D80" i="4"/>
  <c r="Q79" i="4"/>
  <c r="D79" i="4"/>
  <c r="Q78" i="4"/>
  <c r="D78" i="4"/>
  <c r="Q77" i="4"/>
  <c r="D77" i="4"/>
  <c r="Q76" i="4"/>
  <c r="D76" i="4"/>
  <c r="Q75" i="4"/>
  <c r="D75" i="4"/>
  <c r="Q74" i="4"/>
  <c r="D74" i="4"/>
  <c r="Q73" i="4"/>
  <c r="D73" i="4"/>
  <c r="Q72" i="4"/>
  <c r="D72" i="4"/>
  <c r="Q71" i="4"/>
  <c r="D71" i="4"/>
  <c r="Q70" i="4"/>
  <c r="D70" i="4"/>
  <c r="Q69" i="4"/>
  <c r="D69" i="4"/>
  <c r="Q68" i="4"/>
  <c r="D68" i="4"/>
  <c r="Q67" i="4"/>
  <c r="D67" i="4"/>
  <c r="Q66" i="4"/>
  <c r="D66" i="4"/>
  <c r="Q64" i="4"/>
  <c r="D64" i="4"/>
  <c r="Q63" i="4"/>
  <c r="D63" i="4"/>
  <c r="Q62" i="4"/>
  <c r="D62" i="4"/>
  <c r="Q61" i="4"/>
  <c r="D61" i="4"/>
  <c r="Q60" i="4"/>
  <c r="D60" i="4"/>
  <c r="Q59" i="4"/>
  <c r="D59" i="4"/>
  <c r="Q58" i="4"/>
  <c r="D58" i="4"/>
  <c r="Q57" i="4"/>
  <c r="D57" i="4"/>
  <c r="Q56" i="4"/>
  <c r="D56" i="4"/>
  <c r="Q55" i="4"/>
  <c r="D55" i="4"/>
  <c r="Q54" i="4"/>
  <c r="D54" i="4"/>
  <c r="Q53" i="4"/>
  <c r="D53" i="4"/>
  <c r="Q52" i="4"/>
  <c r="D52" i="4"/>
  <c r="Q51" i="4"/>
  <c r="D51" i="4"/>
  <c r="D109" i="4" l="1"/>
  <c r="J93" i="4" l="1"/>
  <c r="D93" i="4"/>
  <c r="J94" i="4" l="1"/>
  <c r="D94" i="4"/>
  <c r="D91" i="4"/>
  <c r="J95" i="4" l="1"/>
  <c r="D95" i="4"/>
  <c r="Q50" i="4" l="1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6" i="4"/>
  <c r="Q15" i="4"/>
  <c r="Q14" i="4"/>
  <c r="Q13" i="4"/>
  <c r="Q12" i="4"/>
  <c r="Q11" i="4"/>
  <c r="Q10" i="4"/>
  <c r="Q9" i="4"/>
  <c r="Q8" i="4"/>
  <c r="Q7" i="4"/>
  <c r="Q6" i="4"/>
  <c r="Q5" i="4"/>
  <c r="Q3" i="4"/>
  <c r="G58" i="7" l="1"/>
  <c r="G56" i="7"/>
  <c r="G59" i="7"/>
  <c r="E138" i="13" s="1"/>
  <c r="F59" i="7"/>
  <c r="E59" i="7"/>
  <c r="J97" i="4" l="1"/>
  <c r="J98" i="4"/>
  <c r="J112" i="4"/>
  <c r="J96" i="4"/>
  <c r="J99" i="4"/>
  <c r="D112" i="4"/>
  <c r="D99" i="4"/>
  <c r="D96" i="4"/>
  <c r="Q4" i="4" l="1"/>
  <c r="J111" i="4" l="1"/>
  <c r="J110" i="4"/>
  <c r="J108" i="4"/>
  <c r="J107" i="4"/>
  <c r="D111" i="4" l="1"/>
  <c r="D110" i="4"/>
  <c r="D108" i="4"/>
  <c r="D107" i="4"/>
  <c r="D106" i="4"/>
  <c r="D105" i="4"/>
  <c r="D104" i="4"/>
  <c r="D102" i="4"/>
  <c r="D101" i="4"/>
  <c r="D98" i="4"/>
  <c r="D113" i="4" l="1"/>
  <c r="D83" i="4"/>
  <c r="J106" i="4" l="1"/>
  <c r="J105" i="4"/>
  <c r="B22" i="17" l="1"/>
  <c r="B20" i="17"/>
  <c r="C7" i="17"/>
  <c r="C5" i="17"/>
  <c r="B4" i="17"/>
  <c r="B22" i="15"/>
  <c r="B20" i="15"/>
  <c r="T2" i="16" l="1"/>
  <c r="A2" i="16" l="1"/>
  <c r="AY7" i="9" l="1"/>
  <c r="AY8" i="9"/>
  <c r="AY9" i="9"/>
  <c r="AY10" i="9"/>
  <c r="AY11" i="9"/>
  <c r="AY12" i="9"/>
  <c r="AY13" i="9"/>
  <c r="AY14" i="9"/>
  <c r="AY15" i="9"/>
  <c r="AY16" i="9"/>
  <c r="AY17" i="9"/>
  <c r="AY18" i="9"/>
  <c r="AY19" i="9"/>
  <c r="AY20" i="9"/>
  <c r="AY21" i="9"/>
  <c r="AY22" i="9"/>
  <c r="AY23" i="9"/>
  <c r="AY24" i="9"/>
  <c r="AY25" i="9"/>
  <c r="AY26" i="9"/>
  <c r="AY27" i="9"/>
  <c r="AY28" i="9"/>
  <c r="AY29" i="9"/>
  <c r="AY30" i="9"/>
  <c r="AY31" i="9"/>
  <c r="AY32" i="9"/>
  <c r="AY33" i="9"/>
  <c r="AY34" i="9"/>
  <c r="AY35" i="9"/>
  <c r="AY36" i="9"/>
  <c r="AY37" i="9"/>
  <c r="AY38" i="9"/>
  <c r="AY39" i="9"/>
  <c r="AY40" i="9"/>
  <c r="AY41" i="9"/>
  <c r="AY42" i="9"/>
  <c r="AY43" i="9"/>
  <c r="AY44" i="9"/>
  <c r="AY45" i="9"/>
  <c r="AY46" i="9"/>
  <c r="AY47" i="9"/>
  <c r="AY48" i="9"/>
  <c r="AY49" i="9"/>
  <c r="AY50" i="9"/>
  <c r="AY51" i="9"/>
  <c r="AY52" i="9"/>
  <c r="AY53" i="9"/>
  <c r="AY54" i="9"/>
  <c r="AY55" i="9"/>
  <c r="AY56" i="9"/>
  <c r="AY57" i="9"/>
  <c r="AY58" i="9"/>
  <c r="AY59" i="9"/>
  <c r="AY60" i="9"/>
  <c r="AY61" i="9"/>
  <c r="AY62" i="9"/>
  <c r="AY63" i="9"/>
  <c r="AY64" i="9"/>
  <c r="AY65" i="9"/>
  <c r="AY66" i="9"/>
  <c r="AY67" i="9"/>
  <c r="AY68" i="9"/>
  <c r="AY69" i="9"/>
  <c r="AY70" i="9"/>
  <c r="AY71" i="9"/>
  <c r="AY72" i="9"/>
  <c r="AY73" i="9"/>
  <c r="AY74" i="9"/>
  <c r="AY75" i="9"/>
  <c r="AY76" i="9"/>
  <c r="AY77" i="9"/>
  <c r="AY78" i="9"/>
  <c r="AY79" i="9"/>
  <c r="AY80" i="9"/>
  <c r="AY81" i="9"/>
  <c r="AY82" i="9"/>
  <c r="AY83" i="9"/>
  <c r="AY84" i="9"/>
  <c r="AY85" i="9"/>
  <c r="AY86" i="9"/>
  <c r="AY87" i="9"/>
  <c r="AY88" i="9"/>
  <c r="AY89" i="9"/>
  <c r="AY90" i="9"/>
  <c r="AY91" i="9"/>
  <c r="AY92" i="9"/>
  <c r="AY93" i="9"/>
  <c r="AY94" i="9"/>
  <c r="AY95" i="9"/>
  <c r="AY96" i="9"/>
  <c r="AY97" i="9"/>
  <c r="AY98" i="9"/>
  <c r="AY99" i="9"/>
  <c r="AY100" i="9"/>
  <c r="AY101" i="9"/>
  <c r="AY102" i="9"/>
  <c r="AY103" i="9"/>
  <c r="AY104" i="9"/>
  <c r="AY105" i="9"/>
  <c r="AY106" i="9"/>
  <c r="AY107" i="9"/>
  <c r="AY108" i="9"/>
  <c r="AY109" i="9"/>
  <c r="AY110" i="9"/>
  <c r="AY111" i="9"/>
  <c r="AY112" i="9"/>
  <c r="AY113" i="9"/>
  <c r="AY114" i="9"/>
  <c r="AY115" i="9"/>
  <c r="AY116" i="9"/>
  <c r="AY117" i="9"/>
  <c r="AY118" i="9"/>
  <c r="AY119" i="9"/>
  <c r="AY120" i="9"/>
  <c r="AY121" i="9"/>
  <c r="AY122" i="9"/>
  <c r="AY123" i="9"/>
  <c r="AY124" i="9"/>
  <c r="AY125" i="9"/>
  <c r="AY126" i="9"/>
  <c r="AY127" i="9"/>
  <c r="AY128" i="9"/>
  <c r="AY129" i="9"/>
  <c r="AY130" i="9"/>
  <c r="AY131" i="9"/>
  <c r="AY132" i="9"/>
  <c r="AY133" i="9"/>
  <c r="AY134" i="9"/>
  <c r="AY135" i="9"/>
  <c r="AY136" i="9"/>
  <c r="AY137" i="9"/>
  <c r="AY138" i="9"/>
  <c r="AY139" i="9"/>
  <c r="AY140" i="9"/>
  <c r="AY141" i="9"/>
  <c r="AY142" i="9"/>
  <c r="AY143" i="9"/>
  <c r="AY144" i="9"/>
  <c r="AY145" i="9"/>
  <c r="AY146" i="9"/>
  <c r="AY147" i="9"/>
  <c r="AY148" i="9"/>
  <c r="AY149" i="9"/>
  <c r="AY150" i="9"/>
  <c r="AY151" i="9"/>
  <c r="AY152" i="9"/>
  <c r="AY153" i="9"/>
  <c r="AY154" i="9"/>
  <c r="AY155" i="9"/>
  <c r="AY156" i="9"/>
  <c r="AY157" i="9"/>
  <c r="AY158" i="9"/>
  <c r="AY159" i="9"/>
  <c r="AY160" i="9"/>
  <c r="AY161" i="9"/>
  <c r="AY162" i="9"/>
  <c r="AY163" i="9"/>
  <c r="AY164" i="9"/>
  <c r="AY165" i="9"/>
  <c r="AY166" i="9"/>
  <c r="AY167" i="9"/>
  <c r="AY168" i="9"/>
  <c r="AY169" i="9"/>
  <c r="AY170" i="9"/>
  <c r="AY171" i="9"/>
  <c r="AY172" i="9"/>
  <c r="AY173" i="9"/>
  <c r="AY174" i="9"/>
  <c r="AY175" i="9"/>
  <c r="AY176" i="9"/>
  <c r="AY177" i="9"/>
  <c r="AY178" i="9"/>
  <c r="AY179" i="9"/>
  <c r="AY180" i="9"/>
  <c r="AY181" i="9"/>
  <c r="AY182" i="9"/>
  <c r="AY183" i="9"/>
  <c r="AY184" i="9"/>
  <c r="AY185" i="9"/>
  <c r="AY186" i="9"/>
  <c r="AY187" i="9"/>
  <c r="AY188" i="9"/>
  <c r="AY189" i="9"/>
  <c r="AY190" i="9"/>
  <c r="AY191" i="9"/>
  <c r="AY192" i="9"/>
  <c r="AY193" i="9"/>
  <c r="AY194" i="9"/>
  <c r="AY195" i="9"/>
  <c r="AY196" i="9"/>
  <c r="AY197" i="9"/>
  <c r="AY198" i="9"/>
  <c r="AY199" i="9"/>
  <c r="AY200" i="9"/>
  <c r="AY201" i="9"/>
  <c r="AY202" i="9"/>
  <c r="AY203" i="9"/>
  <c r="AY204" i="9"/>
  <c r="AY205" i="9"/>
  <c r="AY206" i="9"/>
  <c r="AY207" i="9"/>
  <c r="AY208" i="9"/>
  <c r="AY209" i="9"/>
  <c r="AY210" i="9"/>
  <c r="AY211" i="9"/>
  <c r="AY212" i="9"/>
  <c r="AY213" i="9"/>
  <c r="AY214" i="9"/>
  <c r="AY215" i="9"/>
  <c r="AY216" i="9"/>
  <c r="AY217" i="9"/>
  <c r="AY218" i="9"/>
  <c r="AY219" i="9"/>
  <c r="AY220" i="9"/>
  <c r="AY221" i="9"/>
  <c r="AY222" i="9"/>
  <c r="AY223" i="9"/>
  <c r="AY224" i="9"/>
  <c r="AY225" i="9"/>
  <c r="AY226" i="9"/>
  <c r="AY227" i="9"/>
  <c r="AY228" i="9"/>
  <c r="AY229" i="9"/>
  <c r="AY230" i="9"/>
  <c r="AY231" i="9"/>
  <c r="AY232" i="9"/>
  <c r="AY233" i="9"/>
  <c r="AY234" i="9"/>
  <c r="AY235" i="9"/>
  <c r="AY236" i="9"/>
  <c r="AY237" i="9"/>
  <c r="AY238" i="9"/>
  <c r="AY239" i="9"/>
  <c r="AY240" i="9"/>
  <c r="AY241" i="9"/>
  <c r="AY242" i="9"/>
  <c r="AY243" i="9"/>
  <c r="AY244" i="9"/>
  <c r="AY245" i="9"/>
  <c r="AY246" i="9"/>
  <c r="AY247" i="9"/>
  <c r="AY248" i="9"/>
  <c r="AY249" i="9"/>
  <c r="AY250" i="9"/>
  <c r="AY251" i="9"/>
  <c r="AY252" i="9"/>
  <c r="AY253" i="9"/>
  <c r="AY254" i="9"/>
  <c r="AY255" i="9"/>
  <c r="AY256" i="9"/>
  <c r="AY257" i="9"/>
  <c r="AY258" i="9"/>
  <c r="AY259" i="9"/>
  <c r="AY260" i="9"/>
  <c r="AY261" i="9"/>
  <c r="AY262" i="9"/>
  <c r="AY263" i="9"/>
  <c r="AY264" i="9"/>
  <c r="AY265" i="9"/>
  <c r="AY266" i="9"/>
  <c r="AY267" i="9"/>
  <c r="AY268" i="9"/>
  <c r="AY269" i="9"/>
  <c r="AY270" i="9"/>
  <c r="AY271" i="9"/>
  <c r="AY272" i="9"/>
  <c r="AY273" i="9"/>
  <c r="AY274" i="9"/>
  <c r="AY275" i="9"/>
  <c r="AY276" i="9"/>
  <c r="AY277" i="9"/>
  <c r="AY278" i="9"/>
  <c r="AY279" i="9"/>
  <c r="AY280" i="9"/>
  <c r="AY281" i="9"/>
  <c r="AY282" i="9"/>
  <c r="AY283" i="9"/>
  <c r="AY284" i="9"/>
  <c r="AY285" i="9"/>
  <c r="AY286" i="9"/>
  <c r="AY287" i="9"/>
  <c r="AY288" i="9"/>
  <c r="AY289" i="9"/>
  <c r="AY290" i="9"/>
  <c r="AY291" i="9"/>
  <c r="AY292" i="9"/>
  <c r="AY293" i="9"/>
  <c r="AY294" i="9"/>
  <c r="AY295" i="9"/>
  <c r="AY296" i="9"/>
  <c r="AY297" i="9"/>
  <c r="AY298" i="9"/>
  <c r="AY299" i="9"/>
  <c r="AY300" i="9"/>
  <c r="AY301" i="9"/>
  <c r="AY302" i="9"/>
  <c r="AY303" i="9"/>
  <c r="AY304" i="9"/>
  <c r="AY305" i="9"/>
  <c r="AY306" i="9"/>
  <c r="AY307" i="9"/>
  <c r="AY308" i="9"/>
  <c r="AY309" i="9"/>
  <c r="AY310" i="9"/>
  <c r="AY311" i="9"/>
  <c r="AY312" i="9"/>
  <c r="AY313" i="9"/>
  <c r="AY314" i="9"/>
  <c r="AY315" i="9"/>
  <c r="AY316" i="9"/>
  <c r="AY317" i="9"/>
  <c r="AY318" i="9"/>
  <c r="AY319" i="9"/>
  <c r="AY320" i="9"/>
  <c r="AY321" i="9"/>
  <c r="AY322" i="9"/>
  <c r="AY323" i="9"/>
  <c r="AY324" i="9"/>
  <c r="AY325" i="9"/>
  <c r="AY326" i="9"/>
  <c r="AY327" i="9"/>
  <c r="AY328" i="9"/>
  <c r="AY329" i="9"/>
  <c r="AY330" i="9"/>
  <c r="AY331" i="9"/>
  <c r="AY332" i="9"/>
  <c r="AY333" i="9"/>
  <c r="AY334" i="9"/>
  <c r="AY335" i="9"/>
  <c r="AY336" i="9"/>
  <c r="AY337" i="9"/>
  <c r="AY338" i="9"/>
  <c r="AY339" i="9"/>
  <c r="AY340" i="9"/>
  <c r="AY341" i="9"/>
  <c r="AY342" i="9"/>
  <c r="AY343" i="9"/>
  <c r="AY344" i="9"/>
  <c r="AY345" i="9"/>
  <c r="AY346" i="9"/>
  <c r="AY347" i="9"/>
  <c r="AY348" i="9"/>
  <c r="AY349" i="9"/>
  <c r="AY350" i="9"/>
  <c r="AY351" i="9"/>
  <c r="AY352" i="9"/>
  <c r="AY353" i="9"/>
  <c r="AY354" i="9"/>
  <c r="AY355" i="9"/>
  <c r="AY356" i="9"/>
  <c r="AY357" i="9"/>
  <c r="AY358" i="9"/>
  <c r="AY359" i="9"/>
  <c r="AY360" i="9"/>
  <c r="AY361" i="9"/>
  <c r="AY362" i="9"/>
  <c r="AY363" i="9"/>
  <c r="AY364" i="9"/>
  <c r="AY365" i="9"/>
  <c r="AY366" i="9"/>
  <c r="AY367" i="9"/>
  <c r="AY368" i="9"/>
  <c r="AY369" i="9"/>
  <c r="AY370" i="9"/>
  <c r="AY371" i="9"/>
  <c r="AY372" i="9"/>
  <c r="AY373" i="9"/>
  <c r="AY374" i="9"/>
  <c r="AY375" i="9"/>
  <c r="AY376" i="9"/>
  <c r="AY377" i="9"/>
  <c r="AY378" i="9"/>
  <c r="AY379" i="9"/>
  <c r="AY380" i="9"/>
  <c r="AY381" i="9"/>
  <c r="AY382" i="9"/>
  <c r="AY383" i="9"/>
  <c r="AY384" i="9"/>
  <c r="AY385" i="9"/>
  <c r="AY386" i="9"/>
  <c r="AY387" i="9"/>
  <c r="AY388" i="9"/>
  <c r="AY389" i="9"/>
  <c r="AY390" i="9"/>
  <c r="AY391" i="9"/>
  <c r="AY392" i="9"/>
  <c r="AY393" i="9"/>
  <c r="AY394" i="9"/>
  <c r="AY395" i="9"/>
  <c r="AY396" i="9"/>
  <c r="AY397" i="9"/>
  <c r="AY398" i="9"/>
  <c r="AY399" i="9"/>
  <c r="AY400" i="9"/>
  <c r="AY401" i="9"/>
  <c r="AY402" i="9"/>
  <c r="AY403" i="9"/>
  <c r="AY404" i="9"/>
  <c r="AY405" i="9"/>
  <c r="AY406" i="9"/>
  <c r="AY407" i="9"/>
  <c r="AY408" i="9"/>
  <c r="AY409" i="9"/>
  <c r="AY410" i="9"/>
  <c r="AY411" i="9"/>
  <c r="AY412" i="9"/>
  <c r="AY413" i="9"/>
  <c r="AY414" i="9"/>
  <c r="AY415" i="9"/>
  <c r="AY416" i="9"/>
  <c r="AY417" i="9"/>
  <c r="AY418" i="9"/>
  <c r="AY419" i="9"/>
  <c r="AY420" i="9"/>
  <c r="AY421" i="9"/>
  <c r="AY422" i="9"/>
  <c r="AY423" i="9"/>
  <c r="AY424" i="9"/>
  <c r="AY425" i="9"/>
  <c r="AY426" i="9"/>
  <c r="AY427" i="9"/>
  <c r="AY428" i="9"/>
  <c r="AY429" i="9"/>
  <c r="AY430" i="9"/>
  <c r="AY431" i="9"/>
  <c r="AY432" i="9"/>
  <c r="AY433" i="9"/>
  <c r="AY434" i="9"/>
  <c r="AY435" i="9"/>
  <c r="AY436" i="9"/>
  <c r="AY437" i="9"/>
  <c r="AY438" i="9"/>
  <c r="AY439" i="9"/>
  <c r="AY440" i="9"/>
  <c r="AY441" i="9"/>
  <c r="AY442" i="9"/>
  <c r="AY443" i="9"/>
  <c r="AY444" i="9"/>
  <c r="AY445" i="9"/>
  <c r="AY446" i="9"/>
  <c r="AY447" i="9"/>
  <c r="AY448" i="9"/>
  <c r="AY449" i="9"/>
  <c r="AY450" i="9"/>
  <c r="AY451" i="9"/>
  <c r="AY452" i="9"/>
  <c r="AY453" i="9"/>
  <c r="AY454" i="9"/>
  <c r="AY455" i="9"/>
  <c r="AY456" i="9"/>
  <c r="AY457" i="9"/>
  <c r="AY458" i="9"/>
  <c r="AY459" i="9"/>
  <c r="AY460" i="9"/>
  <c r="AY461" i="9"/>
  <c r="AY462" i="9"/>
  <c r="AY463" i="9"/>
  <c r="AY464" i="9"/>
  <c r="AY465" i="9"/>
  <c r="AY466" i="9"/>
  <c r="AY467" i="9"/>
  <c r="AY468" i="9"/>
  <c r="AY469" i="9"/>
  <c r="AY470" i="9"/>
  <c r="AY471" i="9"/>
  <c r="AY472" i="9"/>
  <c r="AY473" i="9"/>
  <c r="AY474" i="9"/>
  <c r="AY475" i="9"/>
  <c r="AY476" i="9"/>
  <c r="AY477" i="9"/>
  <c r="AY478" i="9"/>
  <c r="AY479" i="9"/>
  <c r="AY480" i="9"/>
  <c r="AY481" i="9"/>
  <c r="AY482" i="9"/>
  <c r="AY483" i="9"/>
  <c r="AY484" i="9"/>
  <c r="AY485" i="9"/>
  <c r="AY486" i="9"/>
  <c r="AY487" i="9"/>
  <c r="AY488" i="9"/>
  <c r="AY489" i="9"/>
  <c r="AY490" i="9"/>
  <c r="AY491" i="9"/>
  <c r="AY492" i="9"/>
  <c r="AY493" i="9"/>
  <c r="AY494" i="9"/>
  <c r="AY495" i="9"/>
  <c r="AY496" i="9"/>
  <c r="AY497" i="9"/>
  <c r="AY498" i="9"/>
  <c r="AY499" i="9"/>
  <c r="AY500" i="9"/>
  <c r="AY501" i="9"/>
  <c r="AY502" i="9"/>
  <c r="AY503" i="9"/>
  <c r="AY504" i="9"/>
  <c r="AY505" i="9"/>
  <c r="AY506" i="9"/>
  <c r="AY507" i="9"/>
  <c r="AY508" i="9"/>
  <c r="AY509" i="9"/>
  <c r="AY510" i="9"/>
  <c r="AY511" i="9"/>
  <c r="AY512" i="9"/>
  <c r="AY513" i="9"/>
  <c r="AY514" i="9"/>
  <c r="AY515" i="9"/>
  <c r="AY516" i="9"/>
  <c r="AY517" i="9"/>
  <c r="AY518" i="9"/>
  <c r="AY519" i="9"/>
  <c r="AY520" i="9"/>
  <c r="AY521" i="9"/>
  <c r="AY522" i="9"/>
  <c r="AY523" i="9"/>
  <c r="AY524" i="9"/>
  <c r="AY525" i="9"/>
  <c r="AY526" i="9"/>
  <c r="AY527" i="9"/>
  <c r="AY528" i="9"/>
  <c r="AY529" i="9"/>
  <c r="AY530" i="9"/>
  <c r="AY531" i="9"/>
  <c r="AY532" i="9"/>
  <c r="AY533" i="9"/>
  <c r="AY534" i="9"/>
  <c r="AY535" i="9"/>
  <c r="AY536" i="9"/>
  <c r="AY537" i="9"/>
  <c r="AY538" i="9"/>
  <c r="AY539" i="9"/>
  <c r="AY540" i="9"/>
  <c r="AY541" i="9"/>
  <c r="AY542" i="9"/>
  <c r="AY543" i="9"/>
  <c r="AY544" i="9"/>
  <c r="AY545" i="9"/>
  <c r="AY546" i="9"/>
  <c r="AY547" i="9"/>
  <c r="AY548" i="9"/>
  <c r="AY549" i="9"/>
  <c r="AY550" i="9"/>
  <c r="AY551" i="9"/>
  <c r="AY552" i="9"/>
  <c r="AY553" i="9"/>
  <c r="AY554" i="9"/>
  <c r="AY555" i="9"/>
  <c r="AY556" i="9"/>
  <c r="AY557" i="9"/>
  <c r="AY558" i="9"/>
  <c r="AY559" i="9"/>
  <c r="AY560" i="9"/>
  <c r="AY561" i="9"/>
  <c r="AY562" i="9"/>
  <c r="AY563" i="9"/>
  <c r="AY564" i="9"/>
  <c r="AY565" i="9"/>
  <c r="AY566" i="9"/>
  <c r="AY567" i="9"/>
  <c r="AY568" i="9"/>
  <c r="AY569" i="9"/>
  <c r="AY570" i="9"/>
  <c r="AY571" i="9"/>
  <c r="AY572" i="9"/>
  <c r="AY573" i="9"/>
  <c r="AY574" i="9"/>
  <c r="AY575" i="9"/>
  <c r="AY576" i="9"/>
  <c r="AY577" i="9"/>
  <c r="AY578" i="9"/>
  <c r="AY579" i="9"/>
  <c r="AY580" i="9"/>
  <c r="AY581" i="9"/>
  <c r="AY582" i="9"/>
  <c r="AY583" i="9"/>
  <c r="AY584" i="9"/>
  <c r="AY585" i="9"/>
  <c r="AY586" i="9"/>
  <c r="AY587" i="9"/>
  <c r="AY588" i="9"/>
  <c r="AY589" i="9"/>
  <c r="AY590" i="9"/>
  <c r="AY591" i="9"/>
  <c r="AY592" i="9"/>
  <c r="AY593" i="9"/>
  <c r="AY594" i="9"/>
  <c r="AY595" i="9"/>
  <c r="AY596" i="9"/>
  <c r="AY597" i="9"/>
  <c r="AY598" i="9"/>
  <c r="AY599" i="9"/>
  <c r="AY600" i="9"/>
  <c r="AY601" i="9"/>
  <c r="AY602" i="9"/>
  <c r="AY603" i="9"/>
  <c r="AY604" i="9"/>
  <c r="AY605" i="9"/>
  <c r="AY606" i="9"/>
  <c r="AY607" i="9"/>
  <c r="AY608" i="9"/>
  <c r="AY609" i="9"/>
  <c r="AY610" i="9"/>
  <c r="AY611" i="9"/>
  <c r="AY612" i="9"/>
  <c r="AY613" i="9"/>
  <c r="AY614" i="9"/>
  <c r="AY615" i="9"/>
  <c r="AY616" i="9"/>
  <c r="AY617" i="9"/>
  <c r="AY618" i="9"/>
  <c r="AY619" i="9"/>
  <c r="AY620" i="9"/>
  <c r="AY621" i="9"/>
  <c r="AY622" i="9"/>
  <c r="AY623" i="9"/>
  <c r="AY624" i="9"/>
  <c r="AY625" i="9"/>
  <c r="AY626" i="9"/>
  <c r="AY627" i="9"/>
  <c r="AY628" i="9"/>
  <c r="AY629" i="9"/>
  <c r="AY630" i="9"/>
  <c r="AY631" i="9"/>
  <c r="AY632" i="9"/>
  <c r="AY633" i="9"/>
  <c r="AY634" i="9"/>
  <c r="AY635" i="9"/>
  <c r="AY636" i="9"/>
  <c r="AY637" i="9"/>
  <c r="AY638" i="9"/>
  <c r="AY639" i="9"/>
  <c r="AY640" i="9"/>
  <c r="AY641" i="9"/>
  <c r="AY642" i="9"/>
  <c r="AY643" i="9"/>
  <c r="AY644" i="9"/>
  <c r="AY645" i="9"/>
  <c r="AY646" i="9"/>
  <c r="AY647" i="9"/>
  <c r="AY648" i="9"/>
  <c r="AY649" i="9"/>
  <c r="AY650" i="9"/>
  <c r="AY651" i="9"/>
  <c r="AY652" i="9"/>
  <c r="AY653" i="9"/>
  <c r="AY654" i="9"/>
  <c r="AY655" i="9"/>
  <c r="AY656" i="9"/>
  <c r="AY657" i="9"/>
  <c r="AY658" i="9"/>
  <c r="AY659" i="9"/>
  <c r="AY660" i="9"/>
  <c r="AY661" i="9"/>
  <c r="AY662" i="9"/>
  <c r="AY663" i="9"/>
  <c r="AY664" i="9"/>
  <c r="AY665" i="9"/>
  <c r="AY666" i="9"/>
  <c r="AY667" i="9"/>
  <c r="AY668" i="9"/>
  <c r="AY669" i="9"/>
  <c r="AY670" i="9"/>
  <c r="AY671" i="9"/>
  <c r="AY672" i="9"/>
  <c r="AY673" i="9"/>
  <c r="AY674" i="9"/>
  <c r="AY675" i="9"/>
  <c r="AY676" i="9"/>
  <c r="AY677" i="9"/>
  <c r="AY678" i="9"/>
  <c r="AY679" i="9"/>
  <c r="AY680" i="9"/>
  <c r="AY681" i="9"/>
  <c r="AY682" i="9"/>
  <c r="AY683" i="9"/>
  <c r="AY684" i="9"/>
  <c r="AY685" i="9"/>
  <c r="AY686" i="9"/>
  <c r="AY687" i="9"/>
  <c r="AY688" i="9"/>
  <c r="AY689" i="9"/>
  <c r="AY690" i="9"/>
  <c r="AY691" i="9"/>
  <c r="AY692" i="9"/>
  <c r="AY693" i="9"/>
  <c r="AY694" i="9"/>
  <c r="AY695" i="9"/>
  <c r="AY696" i="9"/>
  <c r="AY697" i="9"/>
  <c r="AY698" i="9"/>
  <c r="AY699" i="9"/>
  <c r="AY700" i="9"/>
  <c r="AY701" i="9"/>
  <c r="AY702" i="9"/>
  <c r="AY703" i="9"/>
  <c r="AY704" i="9"/>
  <c r="AY705" i="9"/>
  <c r="AY706" i="9"/>
  <c r="AY707" i="9"/>
  <c r="AY708" i="9"/>
  <c r="AY709" i="9"/>
  <c r="AY710" i="9"/>
  <c r="AY711" i="9"/>
  <c r="AY712" i="9"/>
  <c r="AY713" i="9"/>
  <c r="AY714" i="9"/>
  <c r="AY715" i="9"/>
  <c r="AY716" i="9"/>
  <c r="AY717" i="9"/>
  <c r="AY718" i="9"/>
  <c r="AY719" i="9"/>
  <c r="AY720" i="9"/>
  <c r="AY721" i="9"/>
  <c r="AY722" i="9"/>
  <c r="AY723" i="9"/>
  <c r="AY724" i="9"/>
  <c r="AY725" i="9"/>
  <c r="AY726" i="9"/>
  <c r="AY727" i="9"/>
  <c r="AY728" i="9"/>
  <c r="AY729" i="9"/>
  <c r="AY730" i="9"/>
  <c r="AY731" i="9"/>
  <c r="AY732" i="9"/>
  <c r="AY733" i="9"/>
  <c r="AY734" i="9"/>
  <c r="AY735" i="9"/>
  <c r="AY736" i="9"/>
  <c r="AY737" i="9"/>
  <c r="AY738" i="9"/>
  <c r="AY739" i="9"/>
  <c r="AY740" i="9"/>
  <c r="AY741" i="9"/>
  <c r="AY742" i="9"/>
  <c r="AY743" i="9"/>
  <c r="AY744" i="9"/>
  <c r="AY745" i="9"/>
  <c r="AY746" i="9"/>
  <c r="AY747" i="9"/>
  <c r="AY748" i="9"/>
  <c r="AY749" i="9"/>
  <c r="AY750" i="9"/>
  <c r="AZ7" i="9" a="1"/>
  <c r="AZ7" i="9" s="1"/>
  <c r="AZ8" i="9" a="1"/>
  <c r="AZ8" i="9" s="1"/>
  <c r="AZ9" i="9" a="1"/>
  <c r="AZ9" i="9" s="1"/>
  <c r="AZ10" i="9" a="1"/>
  <c r="AZ10" i="9" s="1"/>
  <c r="AZ11" i="9" a="1"/>
  <c r="AZ11" i="9" s="1"/>
  <c r="AZ12" i="9" a="1"/>
  <c r="AZ12" i="9" s="1"/>
  <c r="AZ13" i="9" a="1"/>
  <c r="AZ13" i="9" s="1"/>
  <c r="AZ14" i="9" a="1"/>
  <c r="AZ14" i="9" s="1"/>
  <c r="AZ15" i="9" a="1"/>
  <c r="AZ15" i="9" s="1"/>
  <c r="AZ16" i="9" a="1"/>
  <c r="AZ16" i="9" s="1"/>
  <c r="AZ17" i="9" a="1"/>
  <c r="AZ17" i="9" s="1"/>
  <c r="AZ18" i="9" a="1"/>
  <c r="AZ18" i="9" s="1"/>
  <c r="AZ19" i="9" a="1"/>
  <c r="AZ19" i="9" s="1"/>
  <c r="AZ20" i="9" a="1"/>
  <c r="AZ20" i="9" s="1"/>
  <c r="AZ21" i="9" a="1"/>
  <c r="AZ21" i="9" s="1"/>
  <c r="AZ22" i="9" a="1"/>
  <c r="AZ22" i="9" s="1"/>
  <c r="AZ23" i="9" a="1"/>
  <c r="AZ23" i="9" s="1"/>
  <c r="AZ24" i="9" a="1"/>
  <c r="AZ24" i="9" s="1"/>
  <c r="AZ25" i="9" a="1"/>
  <c r="AZ25" i="9" s="1"/>
  <c r="AZ26" i="9" a="1"/>
  <c r="AZ26" i="9" s="1"/>
  <c r="AZ27" i="9" a="1"/>
  <c r="AZ27" i="9" s="1"/>
  <c r="AZ28" i="9" a="1"/>
  <c r="AZ28" i="9" s="1"/>
  <c r="AZ29" i="9" a="1"/>
  <c r="AZ29" i="9" s="1"/>
  <c r="AZ30" i="9" a="1"/>
  <c r="AZ30" i="9" s="1"/>
  <c r="AZ31" i="9" a="1"/>
  <c r="AZ31" i="9" s="1"/>
  <c r="AZ32" i="9" a="1"/>
  <c r="AZ32" i="9" s="1"/>
  <c r="AZ33" i="9" a="1"/>
  <c r="AZ33" i="9" s="1"/>
  <c r="AZ34" i="9" a="1"/>
  <c r="AZ34" i="9" s="1"/>
  <c r="AZ35" i="9" a="1"/>
  <c r="AZ35" i="9" s="1"/>
  <c r="AZ36" i="9" a="1"/>
  <c r="AZ36" i="9" s="1"/>
  <c r="AZ37" i="9" a="1"/>
  <c r="AZ37" i="9" s="1"/>
  <c r="AZ38" i="9" a="1"/>
  <c r="AZ38" i="9" s="1"/>
  <c r="AZ39" i="9" a="1"/>
  <c r="AZ39" i="9" s="1"/>
  <c r="AZ40" i="9" a="1"/>
  <c r="AZ40" i="9" s="1"/>
  <c r="AZ41" i="9" a="1"/>
  <c r="AZ41" i="9" s="1"/>
  <c r="AZ42" i="9" a="1"/>
  <c r="AZ42" i="9" s="1"/>
  <c r="AZ43" i="9" a="1"/>
  <c r="AZ43" i="9" s="1"/>
  <c r="AZ44" i="9" a="1"/>
  <c r="AZ44" i="9" s="1"/>
  <c r="AZ45" i="9" a="1"/>
  <c r="AZ45" i="9" s="1"/>
  <c r="AZ46" i="9" a="1"/>
  <c r="AZ46" i="9" s="1"/>
  <c r="AZ47" i="9" a="1"/>
  <c r="AZ47" i="9" s="1"/>
  <c r="AZ48" i="9" a="1"/>
  <c r="AZ48" i="9" s="1"/>
  <c r="AZ49" i="9" a="1"/>
  <c r="AZ49" i="9" s="1"/>
  <c r="AZ50" i="9" a="1"/>
  <c r="AZ50" i="9" s="1"/>
  <c r="AZ51" i="9" a="1"/>
  <c r="AZ51" i="9" s="1"/>
  <c r="AZ52" i="9" a="1"/>
  <c r="AZ52" i="9" s="1"/>
  <c r="AZ53" i="9" a="1"/>
  <c r="AZ53" i="9" s="1"/>
  <c r="AZ54" i="9" a="1"/>
  <c r="AZ54" i="9" s="1"/>
  <c r="AZ55" i="9" a="1"/>
  <c r="AZ55" i="9" s="1"/>
  <c r="AZ56" i="9" a="1"/>
  <c r="AZ56" i="9" s="1"/>
  <c r="AZ57" i="9" a="1"/>
  <c r="AZ57" i="9" s="1"/>
  <c r="AZ58" i="9" a="1"/>
  <c r="AZ58" i="9" s="1"/>
  <c r="AZ59" i="9" a="1"/>
  <c r="AZ59" i="9" s="1"/>
  <c r="AZ60" i="9" a="1"/>
  <c r="AZ60" i="9" s="1"/>
  <c r="AZ61" i="9" a="1"/>
  <c r="AZ61" i="9" s="1"/>
  <c r="AZ62" i="9" a="1"/>
  <c r="AZ62" i="9" s="1"/>
  <c r="AZ63" i="9" a="1"/>
  <c r="AZ63" i="9" s="1"/>
  <c r="AZ64" i="9" a="1"/>
  <c r="AZ64" i="9" s="1"/>
  <c r="AZ65" i="9" a="1"/>
  <c r="AZ65" i="9" s="1"/>
  <c r="AZ66" i="9" a="1"/>
  <c r="AZ66" i="9" s="1"/>
  <c r="AZ67" i="9" a="1"/>
  <c r="AZ67" i="9" s="1"/>
  <c r="AZ68" i="9" a="1"/>
  <c r="AZ68" i="9" s="1"/>
  <c r="AZ69" i="9" a="1"/>
  <c r="AZ69" i="9" s="1"/>
  <c r="AZ70" i="9" a="1"/>
  <c r="AZ70" i="9" s="1"/>
  <c r="AZ71" i="9" a="1"/>
  <c r="AZ71" i="9" s="1"/>
  <c r="AZ72" i="9" a="1"/>
  <c r="AZ72" i="9" s="1"/>
  <c r="AZ73" i="9" a="1"/>
  <c r="AZ73" i="9" s="1"/>
  <c r="AZ74" i="9" a="1"/>
  <c r="AZ74" i="9" s="1"/>
  <c r="AZ75" i="9" a="1"/>
  <c r="AZ75" i="9" s="1"/>
  <c r="AZ76" i="9" a="1"/>
  <c r="AZ76" i="9" s="1"/>
  <c r="AZ77" i="9" a="1"/>
  <c r="AZ77" i="9" s="1"/>
  <c r="AZ78" i="9" a="1"/>
  <c r="AZ78" i="9" s="1"/>
  <c r="AZ79" i="9" a="1"/>
  <c r="AZ79" i="9" s="1"/>
  <c r="AZ80" i="9" a="1"/>
  <c r="AZ80" i="9" s="1"/>
  <c r="AZ81" i="9" a="1"/>
  <c r="AZ81" i="9" s="1"/>
  <c r="AZ82" i="9" a="1"/>
  <c r="AZ82" i="9" s="1"/>
  <c r="AZ83" i="9" a="1"/>
  <c r="AZ83" i="9" s="1"/>
  <c r="AZ84" i="9" a="1"/>
  <c r="AZ84" i="9" s="1"/>
  <c r="AZ85" i="9" a="1"/>
  <c r="AZ85" i="9" s="1"/>
  <c r="AZ86" i="9" a="1"/>
  <c r="AZ86" i="9" s="1"/>
  <c r="AZ87" i="9" a="1"/>
  <c r="AZ87" i="9" s="1"/>
  <c r="AZ88" i="9" a="1"/>
  <c r="AZ88" i="9" s="1"/>
  <c r="AZ89" i="9" a="1"/>
  <c r="AZ89" i="9" s="1"/>
  <c r="AZ90" i="9" a="1"/>
  <c r="AZ90" i="9" s="1"/>
  <c r="AZ91" i="9" a="1"/>
  <c r="AZ91" i="9" s="1"/>
  <c r="AZ92" i="9" a="1"/>
  <c r="AZ92" i="9" s="1"/>
  <c r="AZ93" i="9" a="1"/>
  <c r="AZ93" i="9" s="1"/>
  <c r="AZ94" i="9" a="1"/>
  <c r="AZ94" i="9" s="1"/>
  <c r="AZ95" i="9" a="1"/>
  <c r="AZ95" i="9" s="1"/>
  <c r="AZ96" i="9" a="1"/>
  <c r="AZ96" i="9" s="1"/>
  <c r="AZ97" i="9" a="1"/>
  <c r="AZ97" i="9" s="1"/>
  <c r="AZ98" i="9" a="1"/>
  <c r="AZ98" i="9" s="1"/>
  <c r="AZ99" i="9" a="1"/>
  <c r="AZ99" i="9" s="1"/>
  <c r="AZ100" i="9" a="1"/>
  <c r="AZ100" i="9" s="1"/>
  <c r="AZ101" i="9" a="1"/>
  <c r="AZ101" i="9" s="1"/>
  <c r="AZ102" i="9" a="1"/>
  <c r="AZ102" i="9" s="1"/>
  <c r="AZ103" i="9" a="1"/>
  <c r="AZ103" i="9" s="1"/>
  <c r="AZ104" i="9" a="1"/>
  <c r="AZ104" i="9" s="1"/>
  <c r="AZ105" i="9" a="1"/>
  <c r="AZ105" i="9" s="1"/>
  <c r="AZ106" i="9" a="1"/>
  <c r="AZ106" i="9" s="1"/>
  <c r="AZ107" i="9" a="1"/>
  <c r="AZ107" i="9" s="1"/>
  <c r="AZ108" i="9" a="1"/>
  <c r="AZ108" i="9" s="1"/>
  <c r="AZ109" i="9" a="1"/>
  <c r="AZ109" i="9" s="1"/>
  <c r="AZ110" i="9" a="1"/>
  <c r="AZ110" i="9" s="1"/>
  <c r="AZ111" i="9" a="1"/>
  <c r="AZ111" i="9" s="1"/>
  <c r="AZ112" i="9" a="1"/>
  <c r="AZ112" i="9" s="1"/>
  <c r="AZ113" i="9" a="1"/>
  <c r="AZ113" i="9" s="1"/>
  <c r="AZ114" i="9" a="1"/>
  <c r="AZ114" i="9" s="1"/>
  <c r="AZ115" i="9" a="1"/>
  <c r="AZ115" i="9" s="1"/>
  <c r="AZ116" i="9" a="1"/>
  <c r="AZ116" i="9" s="1"/>
  <c r="AZ117" i="9" a="1"/>
  <c r="AZ117" i="9" s="1"/>
  <c r="AZ118" i="9" a="1"/>
  <c r="AZ118" i="9" s="1"/>
  <c r="AZ119" i="9" a="1"/>
  <c r="AZ119" i="9" s="1"/>
  <c r="AZ120" i="9" a="1"/>
  <c r="AZ120" i="9" s="1"/>
  <c r="AZ121" i="9" a="1"/>
  <c r="AZ121" i="9" s="1"/>
  <c r="AZ122" i="9" a="1"/>
  <c r="AZ122" i="9" s="1"/>
  <c r="AZ123" i="9" a="1"/>
  <c r="AZ123" i="9" s="1"/>
  <c r="AZ124" i="9" a="1"/>
  <c r="AZ124" i="9" s="1"/>
  <c r="AZ125" i="9" a="1"/>
  <c r="AZ125" i="9" s="1"/>
  <c r="AZ126" i="9" a="1"/>
  <c r="AZ126" i="9" s="1"/>
  <c r="AZ127" i="9" a="1"/>
  <c r="AZ127" i="9" s="1"/>
  <c r="AZ128" i="9" a="1"/>
  <c r="AZ128" i="9" s="1"/>
  <c r="AZ129" i="9" a="1"/>
  <c r="AZ129" i="9" s="1"/>
  <c r="AZ130" i="9" a="1"/>
  <c r="AZ130" i="9" s="1"/>
  <c r="AZ131" i="9" a="1"/>
  <c r="AZ131" i="9" s="1"/>
  <c r="AZ132" i="9" a="1"/>
  <c r="AZ132" i="9" s="1"/>
  <c r="AZ133" i="9" a="1"/>
  <c r="AZ133" i="9" s="1"/>
  <c r="AZ134" i="9" a="1"/>
  <c r="AZ134" i="9" s="1"/>
  <c r="AZ135" i="9" a="1"/>
  <c r="AZ135" i="9" s="1"/>
  <c r="AZ136" i="9" a="1"/>
  <c r="AZ136" i="9" s="1"/>
  <c r="AZ137" i="9" a="1"/>
  <c r="AZ137" i="9" s="1"/>
  <c r="AZ138" i="9" a="1"/>
  <c r="AZ138" i="9" s="1"/>
  <c r="AZ139" i="9" a="1"/>
  <c r="AZ139" i="9" s="1"/>
  <c r="AZ140" i="9" a="1"/>
  <c r="AZ140" i="9" s="1"/>
  <c r="AZ141" i="9" a="1"/>
  <c r="AZ141" i="9" s="1"/>
  <c r="AZ142" i="9" a="1"/>
  <c r="AZ142" i="9" s="1"/>
  <c r="AZ143" i="9" a="1"/>
  <c r="AZ143" i="9" s="1"/>
  <c r="AZ144" i="9" a="1"/>
  <c r="AZ144" i="9" s="1"/>
  <c r="AZ145" i="9" a="1"/>
  <c r="AZ145" i="9" s="1"/>
  <c r="AZ146" i="9" a="1"/>
  <c r="AZ146" i="9" s="1"/>
  <c r="AZ147" i="9" a="1"/>
  <c r="AZ147" i="9" s="1"/>
  <c r="AZ148" i="9" a="1"/>
  <c r="AZ148" i="9" s="1"/>
  <c r="AZ149" i="9" a="1"/>
  <c r="AZ149" i="9" s="1"/>
  <c r="AZ150" i="9" a="1"/>
  <c r="AZ150" i="9" s="1"/>
  <c r="AZ151" i="9" a="1"/>
  <c r="AZ151" i="9" s="1"/>
  <c r="AZ152" i="9" a="1"/>
  <c r="AZ152" i="9" s="1"/>
  <c r="AZ153" i="9" a="1"/>
  <c r="AZ153" i="9" s="1"/>
  <c r="AZ154" i="9" a="1"/>
  <c r="AZ154" i="9" s="1"/>
  <c r="AZ155" i="9" a="1"/>
  <c r="AZ155" i="9" s="1"/>
  <c r="AZ156" i="9" a="1"/>
  <c r="AZ156" i="9" s="1"/>
  <c r="AZ157" i="9" a="1"/>
  <c r="AZ157" i="9" s="1"/>
  <c r="AZ158" i="9" a="1"/>
  <c r="AZ158" i="9" s="1"/>
  <c r="AZ159" i="9" a="1"/>
  <c r="AZ159" i="9" s="1"/>
  <c r="AZ160" i="9" a="1"/>
  <c r="AZ160" i="9" s="1"/>
  <c r="AZ161" i="9" a="1"/>
  <c r="AZ161" i="9" s="1"/>
  <c r="AZ162" i="9" a="1"/>
  <c r="AZ162" i="9" s="1"/>
  <c r="AZ163" i="9" a="1"/>
  <c r="AZ163" i="9" s="1"/>
  <c r="AZ164" i="9" a="1"/>
  <c r="AZ164" i="9" s="1"/>
  <c r="AZ165" i="9" a="1"/>
  <c r="AZ165" i="9" s="1"/>
  <c r="AZ166" i="9" a="1"/>
  <c r="AZ166" i="9" s="1"/>
  <c r="AZ167" i="9" a="1"/>
  <c r="AZ167" i="9" s="1"/>
  <c r="AZ168" i="9" a="1"/>
  <c r="AZ168" i="9" s="1"/>
  <c r="AZ169" i="9" a="1"/>
  <c r="AZ169" i="9" s="1"/>
  <c r="AZ170" i="9" a="1"/>
  <c r="AZ170" i="9" s="1"/>
  <c r="AZ171" i="9" a="1"/>
  <c r="AZ171" i="9" s="1"/>
  <c r="AZ172" i="9" a="1"/>
  <c r="AZ172" i="9" s="1"/>
  <c r="AZ173" i="9" a="1"/>
  <c r="AZ173" i="9" s="1"/>
  <c r="AZ174" i="9" a="1"/>
  <c r="AZ174" i="9" s="1"/>
  <c r="AZ175" i="9" a="1"/>
  <c r="AZ175" i="9" s="1"/>
  <c r="AZ176" i="9" a="1"/>
  <c r="AZ176" i="9" s="1"/>
  <c r="AZ177" i="9" a="1"/>
  <c r="AZ177" i="9" s="1"/>
  <c r="AZ178" i="9" a="1"/>
  <c r="AZ178" i="9" s="1"/>
  <c r="AZ179" i="9" a="1"/>
  <c r="AZ179" i="9" s="1"/>
  <c r="AZ180" i="9" a="1"/>
  <c r="AZ180" i="9" s="1"/>
  <c r="AZ181" i="9" a="1"/>
  <c r="AZ181" i="9" s="1"/>
  <c r="AZ182" i="9" a="1"/>
  <c r="AZ182" i="9" s="1"/>
  <c r="AZ183" i="9" a="1"/>
  <c r="AZ183" i="9" s="1"/>
  <c r="AZ184" i="9" a="1"/>
  <c r="AZ184" i="9" s="1"/>
  <c r="AZ185" i="9" a="1"/>
  <c r="AZ185" i="9" s="1"/>
  <c r="AZ186" i="9" a="1"/>
  <c r="AZ186" i="9" s="1"/>
  <c r="AZ187" i="9" a="1"/>
  <c r="AZ187" i="9" s="1"/>
  <c r="AZ188" i="9" a="1"/>
  <c r="AZ188" i="9" s="1"/>
  <c r="AZ189" i="9" a="1"/>
  <c r="AZ189" i="9" s="1"/>
  <c r="AZ190" i="9" a="1"/>
  <c r="AZ190" i="9" s="1"/>
  <c r="AZ191" i="9" a="1"/>
  <c r="AZ191" i="9" s="1"/>
  <c r="AZ192" i="9" a="1"/>
  <c r="AZ192" i="9" s="1"/>
  <c r="AZ193" i="9" a="1"/>
  <c r="AZ193" i="9" s="1"/>
  <c r="AZ194" i="9" a="1"/>
  <c r="AZ194" i="9" s="1"/>
  <c r="AZ195" i="9" a="1"/>
  <c r="AZ195" i="9" s="1"/>
  <c r="AZ196" i="9" a="1"/>
  <c r="AZ196" i="9" s="1"/>
  <c r="AZ197" i="9" a="1"/>
  <c r="AZ197" i="9" s="1"/>
  <c r="AZ198" i="9" a="1"/>
  <c r="AZ198" i="9" s="1"/>
  <c r="AZ199" i="9" a="1"/>
  <c r="AZ199" i="9" s="1"/>
  <c r="AZ200" i="9" a="1"/>
  <c r="AZ200" i="9" s="1"/>
  <c r="AZ201" i="9" a="1"/>
  <c r="AZ201" i="9" s="1"/>
  <c r="AZ202" i="9" a="1"/>
  <c r="AZ202" i="9" s="1"/>
  <c r="AZ203" i="9" a="1"/>
  <c r="AZ203" i="9" s="1"/>
  <c r="AZ204" i="9" a="1"/>
  <c r="AZ204" i="9" s="1"/>
  <c r="AZ205" i="9" a="1"/>
  <c r="AZ205" i="9" s="1"/>
  <c r="AZ206" i="9" a="1"/>
  <c r="AZ206" i="9" s="1"/>
  <c r="AZ207" i="9" a="1"/>
  <c r="AZ207" i="9" s="1"/>
  <c r="AZ208" i="9" a="1"/>
  <c r="AZ208" i="9" s="1"/>
  <c r="AZ209" i="9" a="1"/>
  <c r="AZ209" i="9" s="1"/>
  <c r="AZ210" i="9" a="1"/>
  <c r="AZ210" i="9" s="1"/>
  <c r="AZ211" i="9" a="1"/>
  <c r="AZ211" i="9" s="1"/>
  <c r="AZ212" i="9" a="1"/>
  <c r="AZ212" i="9" s="1"/>
  <c r="AZ213" i="9" a="1"/>
  <c r="AZ213" i="9" s="1"/>
  <c r="AZ214" i="9" a="1"/>
  <c r="AZ214" i="9" s="1"/>
  <c r="AZ215" i="9" a="1"/>
  <c r="AZ215" i="9" s="1"/>
  <c r="AZ216" i="9" a="1"/>
  <c r="AZ216" i="9" s="1"/>
  <c r="AZ217" i="9" a="1"/>
  <c r="AZ217" i="9" s="1"/>
  <c r="AZ218" i="9" a="1"/>
  <c r="AZ218" i="9" s="1"/>
  <c r="AZ219" i="9" a="1"/>
  <c r="AZ219" i="9" s="1"/>
  <c r="AZ220" i="9" a="1"/>
  <c r="AZ220" i="9" s="1"/>
  <c r="AZ221" i="9" a="1"/>
  <c r="AZ221" i="9" s="1"/>
  <c r="AZ222" i="9" a="1"/>
  <c r="AZ222" i="9" s="1"/>
  <c r="AZ223" i="9" a="1"/>
  <c r="AZ223" i="9" s="1"/>
  <c r="AZ224" i="9" a="1"/>
  <c r="AZ224" i="9" s="1"/>
  <c r="AZ225" i="9" a="1"/>
  <c r="AZ225" i="9" s="1"/>
  <c r="AZ226" i="9" a="1"/>
  <c r="AZ226" i="9" s="1"/>
  <c r="AZ227" i="9" a="1"/>
  <c r="AZ227" i="9" s="1"/>
  <c r="AZ228" i="9" a="1"/>
  <c r="AZ228" i="9" s="1"/>
  <c r="AZ229" i="9" a="1"/>
  <c r="AZ229" i="9" s="1"/>
  <c r="AZ230" i="9" a="1"/>
  <c r="AZ230" i="9" s="1"/>
  <c r="AZ231" i="9" a="1"/>
  <c r="AZ231" i="9" s="1"/>
  <c r="AZ232" i="9" a="1"/>
  <c r="AZ232" i="9" s="1"/>
  <c r="AZ233" i="9" a="1"/>
  <c r="AZ233" i="9" s="1"/>
  <c r="AZ234" i="9" a="1"/>
  <c r="AZ234" i="9" s="1"/>
  <c r="AZ235" i="9" a="1"/>
  <c r="AZ235" i="9" s="1"/>
  <c r="AZ236" i="9" a="1"/>
  <c r="AZ236" i="9" s="1"/>
  <c r="AZ237" i="9" a="1"/>
  <c r="AZ237" i="9" s="1"/>
  <c r="AZ238" i="9" a="1"/>
  <c r="AZ238" i="9" s="1"/>
  <c r="AZ239" i="9" a="1"/>
  <c r="AZ239" i="9" s="1"/>
  <c r="AZ240" i="9" a="1"/>
  <c r="AZ240" i="9" s="1"/>
  <c r="AZ241" i="9" a="1"/>
  <c r="AZ241" i="9" s="1"/>
  <c r="AZ242" i="9" a="1"/>
  <c r="AZ242" i="9" s="1"/>
  <c r="AZ243" i="9" a="1"/>
  <c r="AZ243" i="9" s="1"/>
  <c r="AZ244" i="9" a="1"/>
  <c r="AZ244" i="9" s="1"/>
  <c r="AZ245" i="9" a="1"/>
  <c r="AZ245" i="9" s="1"/>
  <c r="AZ246" i="9" a="1"/>
  <c r="AZ246" i="9" s="1"/>
  <c r="AZ247" i="9" a="1"/>
  <c r="AZ247" i="9" s="1"/>
  <c r="AZ248" i="9" a="1"/>
  <c r="AZ248" i="9" s="1"/>
  <c r="AZ249" i="9" a="1"/>
  <c r="AZ249" i="9" s="1"/>
  <c r="AZ250" i="9" a="1"/>
  <c r="AZ250" i="9" s="1"/>
  <c r="AZ251" i="9" a="1"/>
  <c r="AZ251" i="9" s="1"/>
  <c r="AZ252" i="9" a="1"/>
  <c r="AZ252" i="9" s="1"/>
  <c r="AZ253" i="9" a="1"/>
  <c r="AZ253" i="9" s="1"/>
  <c r="AZ254" i="9" a="1"/>
  <c r="AZ254" i="9" s="1"/>
  <c r="AZ255" i="9" a="1"/>
  <c r="AZ255" i="9" s="1"/>
  <c r="AZ256" i="9" a="1"/>
  <c r="AZ256" i="9" s="1"/>
  <c r="AZ257" i="9" a="1"/>
  <c r="AZ257" i="9" s="1"/>
  <c r="AZ258" i="9" a="1"/>
  <c r="AZ258" i="9" s="1"/>
  <c r="AZ259" i="9" a="1"/>
  <c r="AZ259" i="9" s="1"/>
  <c r="AZ260" i="9" a="1"/>
  <c r="AZ260" i="9" s="1"/>
  <c r="AZ261" i="9" a="1"/>
  <c r="AZ261" i="9" s="1"/>
  <c r="AZ262" i="9" a="1"/>
  <c r="AZ262" i="9" s="1"/>
  <c r="AZ263" i="9" a="1"/>
  <c r="AZ263" i="9" s="1"/>
  <c r="AZ264" i="9" a="1"/>
  <c r="AZ264" i="9" s="1"/>
  <c r="AZ265" i="9" a="1"/>
  <c r="AZ265" i="9" s="1"/>
  <c r="AZ266" i="9" a="1"/>
  <c r="AZ266" i="9" s="1"/>
  <c r="AZ267" i="9" a="1"/>
  <c r="AZ267" i="9" s="1"/>
  <c r="AZ268" i="9" a="1"/>
  <c r="AZ268" i="9" s="1"/>
  <c r="AZ269" i="9" a="1"/>
  <c r="AZ269" i="9" s="1"/>
  <c r="AZ270" i="9" a="1"/>
  <c r="AZ270" i="9" s="1"/>
  <c r="AZ271" i="9" a="1"/>
  <c r="AZ271" i="9" s="1"/>
  <c r="AZ272" i="9" a="1"/>
  <c r="AZ272" i="9" s="1"/>
  <c r="AZ273" i="9" a="1"/>
  <c r="AZ273" i="9" s="1"/>
  <c r="AZ274" i="9" a="1"/>
  <c r="AZ274" i="9" s="1"/>
  <c r="AZ275" i="9" a="1"/>
  <c r="AZ275" i="9" s="1"/>
  <c r="AZ276" i="9" a="1"/>
  <c r="AZ276" i="9" s="1"/>
  <c r="AZ277" i="9" a="1"/>
  <c r="AZ277" i="9" s="1"/>
  <c r="AZ278" i="9" a="1"/>
  <c r="AZ278" i="9" s="1"/>
  <c r="AZ279" i="9" a="1"/>
  <c r="AZ279" i="9" s="1"/>
  <c r="AZ280" i="9" a="1"/>
  <c r="AZ280" i="9" s="1"/>
  <c r="AZ281" i="9" a="1"/>
  <c r="AZ281" i="9" s="1"/>
  <c r="AZ282" i="9" a="1"/>
  <c r="AZ282" i="9" s="1"/>
  <c r="AZ283" i="9" a="1"/>
  <c r="AZ283" i="9" s="1"/>
  <c r="AZ284" i="9" a="1"/>
  <c r="AZ284" i="9" s="1"/>
  <c r="AZ285" i="9" a="1"/>
  <c r="AZ285" i="9" s="1"/>
  <c r="AZ286" i="9" a="1"/>
  <c r="AZ286" i="9" s="1"/>
  <c r="AZ287" i="9" a="1"/>
  <c r="AZ287" i="9" s="1"/>
  <c r="AZ288" i="9" a="1"/>
  <c r="AZ288" i="9" s="1"/>
  <c r="AZ289" i="9" a="1"/>
  <c r="AZ289" i="9" s="1"/>
  <c r="AZ290" i="9" a="1"/>
  <c r="AZ290" i="9" s="1"/>
  <c r="AZ291" i="9" a="1"/>
  <c r="AZ291" i="9" s="1"/>
  <c r="AZ292" i="9" a="1"/>
  <c r="AZ292" i="9" s="1"/>
  <c r="AZ293" i="9" a="1"/>
  <c r="AZ293" i="9" s="1"/>
  <c r="AZ294" i="9" a="1"/>
  <c r="AZ294" i="9" s="1"/>
  <c r="AZ295" i="9" a="1"/>
  <c r="AZ295" i="9" s="1"/>
  <c r="AZ296" i="9" a="1"/>
  <c r="AZ296" i="9" s="1"/>
  <c r="AZ297" i="9" a="1"/>
  <c r="AZ297" i="9" s="1"/>
  <c r="AZ298" i="9" a="1"/>
  <c r="AZ298" i="9" s="1"/>
  <c r="AZ299" i="9" a="1"/>
  <c r="AZ299" i="9" s="1"/>
  <c r="AZ300" i="9" a="1"/>
  <c r="AZ300" i="9" s="1"/>
  <c r="AZ301" i="9" a="1"/>
  <c r="AZ301" i="9" s="1"/>
  <c r="AZ302" i="9" a="1"/>
  <c r="AZ302" i="9" s="1"/>
  <c r="AZ303" i="9" a="1"/>
  <c r="AZ303" i="9" s="1"/>
  <c r="AZ304" i="9" a="1"/>
  <c r="AZ304" i="9" s="1"/>
  <c r="AZ305" i="9" a="1"/>
  <c r="AZ305" i="9" s="1"/>
  <c r="AZ306" i="9" a="1"/>
  <c r="AZ306" i="9" s="1"/>
  <c r="AZ307" i="9" a="1"/>
  <c r="AZ307" i="9" s="1"/>
  <c r="AZ308" i="9" a="1"/>
  <c r="AZ308" i="9" s="1"/>
  <c r="AZ309" i="9" a="1"/>
  <c r="AZ309" i="9" s="1"/>
  <c r="AZ310" i="9" a="1"/>
  <c r="AZ310" i="9" s="1"/>
  <c r="AZ311" i="9" a="1"/>
  <c r="AZ311" i="9" s="1"/>
  <c r="AZ312" i="9" a="1"/>
  <c r="AZ312" i="9" s="1"/>
  <c r="AZ313" i="9" a="1"/>
  <c r="AZ313" i="9" s="1"/>
  <c r="AZ314" i="9" a="1"/>
  <c r="AZ314" i="9" s="1"/>
  <c r="AZ315" i="9" a="1"/>
  <c r="AZ315" i="9" s="1"/>
  <c r="AZ316" i="9" a="1"/>
  <c r="AZ316" i="9" s="1"/>
  <c r="AZ317" i="9" a="1"/>
  <c r="AZ317" i="9" s="1"/>
  <c r="AZ318" i="9" a="1"/>
  <c r="AZ318" i="9" s="1"/>
  <c r="AZ319" i="9" a="1"/>
  <c r="AZ319" i="9" s="1"/>
  <c r="AZ320" i="9" a="1"/>
  <c r="AZ320" i="9" s="1"/>
  <c r="AZ321" i="9" a="1"/>
  <c r="AZ321" i="9" s="1"/>
  <c r="AZ322" i="9" a="1"/>
  <c r="AZ322" i="9" s="1"/>
  <c r="AZ323" i="9" a="1"/>
  <c r="AZ323" i="9" s="1"/>
  <c r="AZ324" i="9" a="1"/>
  <c r="AZ324" i="9" s="1"/>
  <c r="AZ325" i="9" a="1"/>
  <c r="AZ325" i="9" s="1"/>
  <c r="AZ326" i="9" a="1"/>
  <c r="AZ326" i="9" s="1"/>
  <c r="AZ327" i="9" a="1"/>
  <c r="AZ327" i="9" s="1"/>
  <c r="AZ328" i="9" a="1"/>
  <c r="AZ328" i="9" s="1"/>
  <c r="AZ329" i="9" a="1"/>
  <c r="AZ329" i="9" s="1"/>
  <c r="AZ330" i="9" a="1"/>
  <c r="AZ330" i="9" s="1"/>
  <c r="AZ331" i="9" a="1"/>
  <c r="AZ331" i="9" s="1"/>
  <c r="AZ332" i="9" a="1"/>
  <c r="AZ332" i="9" s="1"/>
  <c r="AZ333" i="9" a="1"/>
  <c r="AZ333" i="9" s="1"/>
  <c r="AZ334" i="9" a="1"/>
  <c r="AZ334" i="9" s="1"/>
  <c r="AZ335" i="9" a="1"/>
  <c r="AZ335" i="9" s="1"/>
  <c r="AZ336" i="9" a="1"/>
  <c r="AZ336" i="9" s="1"/>
  <c r="AZ337" i="9" a="1"/>
  <c r="AZ337" i="9" s="1"/>
  <c r="AZ338" i="9" a="1"/>
  <c r="AZ338" i="9" s="1"/>
  <c r="AZ339" i="9" a="1"/>
  <c r="AZ339" i="9" s="1"/>
  <c r="AZ340" i="9" a="1"/>
  <c r="AZ340" i="9" s="1"/>
  <c r="AZ341" i="9" a="1"/>
  <c r="AZ341" i="9" s="1"/>
  <c r="AZ342" i="9" a="1"/>
  <c r="AZ342" i="9" s="1"/>
  <c r="AZ343" i="9" a="1"/>
  <c r="AZ343" i="9" s="1"/>
  <c r="AZ344" i="9" a="1"/>
  <c r="AZ344" i="9" s="1"/>
  <c r="AZ345" i="9" a="1"/>
  <c r="AZ345" i="9" s="1"/>
  <c r="AZ346" i="9" a="1"/>
  <c r="AZ346" i="9" s="1"/>
  <c r="AZ347" i="9" a="1"/>
  <c r="AZ347" i="9" s="1"/>
  <c r="AZ348" i="9" a="1"/>
  <c r="AZ348" i="9" s="1"/>
  <c r="AZ349" i="9" a="1"/>
  <c r="AZ349" i="9" s="1"/>
  <c r="AZ350" i="9" a="1"/>
  <c r="AZ350" i="9" s="1"/>
  <c r="AZ351" i="9" a="1"/>
  <c r="AZ351" i="9" s="1"/>
  <c r="AZ352" i="9" a="1"/>
  <c r="AZ352" i="9" s="1"/>
  <c r="AZ353" i="9" a="1"/>
  <c r="AZ353" i="9" s="1"/>
  <c r="AZ354" i="9" a="1"/>
  <c r="AZ354" i="9" s="1"/>
  <c r="AZ355" i="9" a="1"/>
  <c r="AZ355" i="9" s="1"/>
  <c r="AZ356" i="9" a="1"/>
  <c r="AZ356" i="9" s="1"/>
  <c r="AZ357" i="9" a="1"/>
  <c r="AZ357" i="9" s="1"/>
  <c r="AZ358" i="9" a="1"/>
  <c r="AZ358" i="9" s="1"/>
  <c r="AZ359" i="9" a="1"/>
  <c r="AZ359" i="9" s="1"/>
  <c r="AZ360" i="9" a="1"/>
  <c r="AZ360" i="9" s="1"/>
  <c r="AZ361" i="9" a="1"/>
  <c r="AZ361" i="9" s="1"/>
  <c r="AZ362" i="9" a="1"/>
  <c r="AZ362" i="9" s="1"/>
  <c r="AZ363" i="9" a="1"/>
  <c r="AZ363" i="9" s="1"/>
  <c r="AZ364" i="9" a="1"/>
  <c r="AZ364" i="9" s="1"/>
  <c r="AZ365" i="9" a="1"/>
  <c r="AZ365" i="9" s="1"/>
  <c r="AZ366" i="9" a="1"/>
  <c r="AZ366" i="9" s="1"/>
  <c r="AZ367" i="9" a="1"/>
  <c r="AZ367" i="9" s="1"/>
  <c r="AZ368" i="9" a="1"/>
  <c r="AZ368" i="9" s="1"/>
  <c r="AZ369" i="9" a="1"/>
  <c r="AZ369" i="9" s="1"/>
  <c r="AZ370" i="9" a="1"/>
  <c r="AZ370" i="9" s="1"/>
  <c r="AZ371" i="9" a="1"/>
  <c r="AZ371" i="9" s="1"/>
  <c r="AZ372" i="9" a="1"/>
  <c r="AZ372" i="9" s="1"/>
  <c r="AZ373" i="9" a="1"/>
  <c r="AZ373" i="9" s="1"/>
  <c r="AZ374" i="9" a="1"/>
  <c r="AZ374" i="9" s="1"/>
  <c r="AZ375" i="9" a="1"/>
  <c r="AZ375" i="9" s="1"/>
  <c r="AZ376" i="9" a="1"/>
  <c r="AZ376" i="9" s="1"/>
  <c r="AZ377" i="9" a="1"/>
  <c r="AZ377" i="9" s="1"/>
  <c r="AZ378" i="9" a="1"/>
  <c r="AZ378" i="9" s="1"/>
  <c r="AZ379" i="9" a="1"/>
  <c r="AZ379" i="9" s="1"/>
  <c r="AZ380" i="9" a="1"/>
  <c r="AZ380" i="9" s="1"/>
  <c r="AZ381" i="9" a="1"/>
  <c r="AZ381" i="9" s="1"/>
  <c r="AZ382" i="9" a="1"/>
  <c r="AZ382" i="9" s="1"/>
  <c r="AZ383" i="9" a="1"/>
  <c r="AZ383" i="9" s="1"/>
  <c r="AZ384" i="9" a="1"/>
  <c r="AZ384" i="9" s="1"/>
  <c r="AZ385" i="9" a="1"/>
  <c r="AZ385" i="9" s="1"/>
  <c r="AZ386" i="9" a="1"/>
  <c r="AZ386" i="9" s="1"/>
  <c r="AZ387" i="9" a="1"/>
  <c r="AZ387" i="9" s="1"/>
  <c r="AZ388" i="9" a="1"/>
  <c r="AZ388" i="9" s="1"/>
  <c r="AZ389" i="9" a="1"/>
  <c r="AZ389" i="9" s="1"/>
  <c r="AZ390" i="9" a="1"/>
  <c r="AZ390" i="9" s="1"/>
  <c r="AZ391" i="9" a="1"/>
  <c r="AZ391" i="9" s="1"/>
  <c r="AZ392" i="9" a="1"/>
  <c r="AZ392" i="9" s="1"/>
  <c r="AZ393" i="9" a="1"/>
  <c r="AZ393" i="9" s="1"/>
  <c r="AZ394" i="9" a="1"/>
  <c r="AZ394" i="9" s="1"/>
  <c r="AZ395" i="9" a="1"/>
  <c r="AZ395" i="9" s="1"/>
  <c r="AZ396" i="9" a="1"/>
  <c r="AZ396" i="9" s="1"/>
  <c r="AZ397" i="9" a="1"/>
  <c r="AZ397" i="9" s="1"/>
  <c r="AZ398" i="9" a="1"/>
  <c r="AZ398" i="9" s="1"/>
  <c r="AZ399" i="9" a="1"/>
  <c r="AZ399" i="9" s="1"/>
  <c r="AZ400" i="9" a="1"/>
  <c r="AZ400" i="9" s="1"/>
  <c r="AZ401" i="9" a="1"/>
  <c r="AZ401" i="9" s="1"/>
  <c r="AZ402" i="9" a="1"/>
  <c r="AZ402" i="9" s="1"/>
  <c r="AZ403" i="9" a="1"/>
  <c r="AZ403" i="9" s="1"/>
  <c r="AZ404" i="9" a="1"/>
  <c r="AZ404" i="9" s="1"/>
  <c r="AZ405" i="9" a="1"/>
  <c r="AZ405" i="9" s="1"/>
  <c r="AZ406" i="9" a="1"/>
  <c r="AZ406" i="9" s="1"/>
  <c r="AZ407" i="9" a="1"/>
  <c r="AZ407" i="9" s="1"/>
  <c r="AZ408" i="9" a="1"/>
  <c r="AZ408" i="9" s="1"/>
  <c r="AZ409" i="9" a="1"/>
  <c r="AZ409" i="9" s="1"/>
  <c r="AZ410" i="9" a="1"/>
  <c r="AZ410" i="9" s="1"/>
  <c r="AZ411" i="9" a="1"/>
  <c r="AZ411" i="9" s="1"/>
  <c r="AZ412" i="9" a="1"/>
  <c r="AZ412" i="9" s="1"/>
  <c r="AZ413" i="9" a="1"/>
  <c r="AZ413" i="9" s="1"/>
  <c r="AZ414" i="9" a="1"/>
  <c r="AZ414" i="9" s="1"/>
  <c r="AZ415" i="9" a="1"/>
  <c r="AZ415" i="9" s="1"/>
  <c r="AZ416" i="9" a="1"/>
  <c r="AZ416" i="9" s="1"/>
  <c r="AZ417" i="9" a="1"/>
  <c r="AZ417" i="9" s="1"/>
  <c r="AZ418" i="9" a="1"/>
  <c r="AZ418" i="9" s="1"/>
  <c r="AZ419" i="9" a="1"/>
  <c r="AZ419" i="9" s="1"/>
  <c r="AZ420" i="9" a="1"/>
  <c r="AZ420" i="9" s="1"/>
  <c r="AZ421" i="9" a="1"/>
  <c r="AZ421" i="9" s="1"/>
  <c r="AZ422" i="9" a="1"/>
  <c r="AZ422" i="9" s="1"/>
  <c r="AZ423" i="9" a="1"/>
  <c r="AZ423" i="9" s="1"/>
  <c r="AZ424" i="9" a="1"/>
  <c r="AZ424" i="9" s="1"/>
  <c r="AZ425" i="9" a="1"/>
  <c r="AZ425" i="9" s="1"/>
  <c r="AZ426" i="9" a="1"/>
  <c r="AZ426" i="9" s="1"/>
  <c r="AZ427" i="9" a="1"/>
  <c r="AZ427" i="9" s="1"/>
  <c r="AZ428" i="9" a="1"/>
  <c r="AZ428" i="9" s="1"/>
  <c r="AZ429" i="9" a="1"/>
  <c r="AZ429" i="9" s="1"/>
  <c r="AZ430" i="9" a="1"/>
  <c r="AZ430" i="9" s="1"/>
  <c r="AZ431" i="9" a="1"/>
  <c r="AZ431" i="9" s="1"/>
  <c r="AZ432" i="9" a="1"/>
  <c r="AZ432" i="9" s="1"/>
  <c r="AZ433" i="9" a="1"/>
  <c r="AZ433" i="9" s="1"/>
  <c r="AZ434" i="9" a="1"/>
  <c r="AZ434" i="9" s="1"/>
  <c r="AZ435" i="9" a="1"/>
  <c r="AZ435" i="9" s="1"/>
  <c r="AZ436" i="9" a="1"/>
  <c r="AZ436" i="9" s="1"/>
  <c r="AZ437" i="9" a="1"/>
  <c r="AZ437" i="9" s="1"/>
  <c r="AZ438" i="9" a="1"/>
  <c r="AZ438" i="9" s="1"/>
  <c r="AZ439" i="9" a="1"/>
  <c r="AZ439" i="9" s="1"/>
  <c r="AZ440" i="9" a="1"/>
  <c r="AZ440" i="9" s="1"/>
  <c r="AZ441" i="9" a="1"/>
  <c r="AZ441" i="9" s="1"/>
  <c r="AZ442" i="9" a="1"/>
  <c r="AZ442" i="9" s="1"/>
  <c r="AZ443" i="9" a="1"/>
  <c r="AZ443" i="9" s="1"/>
  <c r="AZ444" i="9" a="1"/>
  <c r="AZ444" i="9" s="1"/>
  <c r="AZ445" i="9" a="1"/>
  <c r="AZ445" i="9" s="1"/>
  <c r="AZ446" i="9" a="1"/>
  <c r="AZ446" i="9" s="1"/>
  <c r="AZ447" i="9" a="1"/>
  <c r="AZ447" i="9" s="1"/>
  <c r="AZ448" i="9" a="1"/>
  <c r="AZ448" i="9" s="1"/>
  <c r="AZ449" i="9" a="1"/>
  <c r="AZ449" i="9" s="1"/>
  <c r="AZ450" i="9" a="1"/>
  <c r="AZ450" i="9" s="1"/>
  <c r="AZ451" i="9" a="1"/>
  <c r="AZ451" i="9" s="1"/>
  <c r="AZ452" i="9" a="1"/>
  <c r="AZ452" i="9" s="1"/>
  <c r="AZ453" i="9" a="1"/>
  <c r="AZ453" i="9" s="1"/>
  <c r="AZ454" i="9" a="1"/>
  <c r="AZ454" i="9" s="1"/>
  <c r="AZ455" i="9" a="1"/>
  <c r="AZ455" i="9" s="1"/>
  <c r="AZ456" i="9" a="1"/>
  <c r="AZ456" i="9" s="1"/>
  <c r="AZ457" i="9" a="1"/>
  <c r="AZ457" i="9" s="1"/>
  <c r="AZ458" i="9" a="1"/>
  <c r="AZ458" i="9" s="1"/>
  <c r="AZ459" i="9" a="1"/>
  <c r="AZ459" i="9" s="1"/>
  <c r="AZ460" i="9" a="1"/>
  <c r="AZ460" i="9" s="1"/>
  <c r="AZ461" i="9" a="1"/>
  <c r="AZ461" i="9" s="1"/>
  <c r="AZ462" i="9" a="1"/>
  <c r="AZ462" i="9" s="1"/>
  <c r="AZ463" i="9" a="1"/>
  <c r="AZ463" i="9" s="1"/>
  <c r="AZ464" i="9" a="1"/>
  <c r="AZ464" i="9" s="1"/>
  <c r="AZ465" i="9" a="1"/>
  <c r="AZ465" i="9" s="1"/>
  <c r="AZ466" i="9" a="1"/>
  <c r="AZ466" i="9" s="1"/>
  <c r="AZ467" i="9" a="1"/>
  <c r="AZ467" i="9" s="1"/>
  <c r="AZ468" i="9" a="1"/>
  <c r="AZ468" i="9" s="1"/>
  <c r="AZ469" i="9" a="1"/>
  <c r="AZ469" i="9" s="1"/>
  <c r="AZ470" i="9" a="1"/>
  <c r="AZ470" i="9" s="1"/>
  <c r="AZ471" i="9" a="1"/>
  <c r="AZ471" i="9" s="1"/>
  <c r="AZ472" i="9" a="1"/>
  <c r="AZ472" i="9" s="1"/>
  <c r="AZ473" i="9" a="1"/>
  <c r="AZ473" i="9" s="1"/>
  <c r="AZ474" i="9" a="1"/>
  <c r="AZ474" i="9" s="1"/>
  <c r="AZ475" i="9" a="1"/>
  <c r="AZ475" i="9" s="1"/>
  <c r="AZ476" i="9" a="1"/>
  <c r="AZ476" i="9" s="1"/>
  <c r="AZ477" i="9" a="1"/>
  <c r="AZ477" i="9" s="1"/>
  <c r="AZ478" i="9" a="1"/>
  <c r="AZ478" i="9" s="1"/>
  <c r="AZ479" i="9" a="1"/>
  <c r="AZ479" i="9" s="1"/>
  <c r="AZ480" i="9" a="1"/>
  <c r="AZ480" i="9" s="1"/>
  <c r="AZ481" i="9" a="1"/>
  <c r="AZ481" i="9" s="1"/>
  <c r="AZ482" i="9" a="1"/>
  <c r="AZ482" i="9" s="1"/>
  <c r="AZ483" i="9" a="1"/>
  <c r="AZ483" i="9" s="1"/>
  <c r="AZ484" i="9" a="1"/>
  <c r="AZ484" i="9" s="1"/>
  <c r="AZ485" i="9" a="1"/>
  <c r="AZ485" i="9" s="1"/>
  <c r="AZ486" i="9" a="1"/>
  <c r="AZ486" i="9" s="1"/>
  <c r="AZ487" i="9" a="1"/>
  <c r="AZ487" i="9" s="1"/>
  <c r="AZ488" i="9" a="1"/>
  <c r="AZ488" i="9" s="1"/>
  <c r="AZ489" i="9" a="1"/>
  <c r="AZ489" i="9" s="1"/>
  <c r="AZ490" i="9" a="1"/>
  <c r="AZ490" i="9" s="1"/>
  <c r="AZ491" i="9" a="1"/>
  <c r="AZ491" i="9" s="1"/>
  <c r="AZ492" i="9" a="1"/>
  <c r="AZ492" i="9" s="1"/>
  <c r="AZ493" i="9" a="1"/>
  <c r="AZ493" i="9" s="1"/>
  <c r="AZ494" i="9" a="1"/>
  <c r="AZ494" i="9" s="1"/>
  <c r="AZ495" i="9" a="1"/>
  <c r="AZ495" i="9" s="1"/>
  <c r="AZ496" i="9" a="1"/>
  <c r="AZ496" i="9" s="1"/>
  <c r="AZ497" i="9" a="1"/>
  <c r="AZ497" i="9" s="1"/>
  <c r="AZ498" i="9" a="1"/>
  <c r="AZ498" i="9" s="1"/>
  <c r="AZ499" i="9" a="1"/>
  <c r="AZ499" i="9" s="1"/>
  <c r="AZ500" i="9" a="1"/>
  <c r="AZ500" i="9" s="1"/>
  <c r="AZ501" i="9" a="1"/>
  <c r="AZ501" i="9" s="1"/>
  <c r="AZ502" i="9" a="1"/>
  <c r="AZ502" i="9" s="1"/>
  <c r="AZ503" i="9" a="1"/>
  <c r="AZ503" i="9" s="1"/>
  <c r="AZ504" i="9" a="1"/>
  <c r="AZ504" i="9" s="1"/>
  <c r="AZ505" i="9" a="1"/>
  <c r="AZ505" i="9" s="1"/>
  <c r="AZ506" i="9" a="1"/>
  <c r="AZ506" i="9" s="1"/>
  <c r="AZ507" i="9" a="1"/>
  <c r="AZ507" i="9" s="1"/>
  <c r="AZ508" i="9" a="1"/>
  <c r="AZ508" i="9" s="1"/>
  <c r="AZ509" i="9" a="1"/>
  <c r="AZ509" i="9" s="1"/>
  <c r="AZ510" i="9" a="1"/>
  <c r="AZ510" i="9" s="1"/>
  <c r="AZ511" i="9" a="1"/>
  <c r="AZ511" i="9" s="1"/>
  <c r="AZ512" i="9" a="1"/>
  <c r="AZ512" i="9" s="1"/>
  <c r="AZ513" i="9" a="1"/>
  <c r="AZ513" i="9" s="1"/>
  <c r="AZ514" i="9" a="1"/>
  <c r="AZ514" i="9" s="1"/>
  <c r="AZ515" i="9" a="1"/>
  <c r="AZ515" i="9" s="1"/>
  <c r="AZ516" i="9" a="1"/>
  <c r="AZ516" i="9" s="1"/>
  <c r="AZ517" i="9" a="1"/>
  <c r="AZ517" i="9" s="1"/>
  <c r="AZ518" i="9" a="1"/>
  <c r="AZ518" i="9" s="1"/>
  <c r="AZ519" i="9" a="1"/>
  <c r="AZ519" i="9" s="1"/>
  <c r="AZ520" i="9" a="1"/>
  <c r="AZ520" i="9" s="1"/>
  <c r="AZ521" i="9" a="1"/>
  <c r="AZ521" i="9" s="1"/>
  <c r="AZ522" i="9" a="1"/>
  <c r="AZ522" i="9" s="1"/>
  <c r="AZ523" i="9" a="1"/>
  <c r="AZ523" i="9" s="1"/>
  <c r="AZ524" i="9" a="1"/>
  <c r="AZ524" i="9" s="1"/>
  <c r="AZ525" i="9" a="1"/>
  <c r="AZ525" i="9" s="1"/>
  <c r="AZ526" i="9" a="1"/>
  <c r="AZ526" i="9" s="1"/>
  <c r="AZ527" i="9" a="1"/>
  <c r="AZ527" i="9" s="1"/>
  <c r="AZ528" i="9" a="1"/>
  <c r="AZ528" i="9" s="1"/>
  <c r="AZ529" i="9" a="1"/>
  <c r="AZ529" i="9" s="1"/>
  <c r="AZ530" i="9" a="1"/>
  <c r="AZ530" i="9" s="1"/>
  <c r="AZ531" i="9" a="1"/>
  <c r="AZ531" i="9" s="1"/>
  <c r="AZ532" i="9" a="1"/>
  <c r="AZ532" i="9" s="1"/>
  <c r="AZ533" i="9" a="1"/>
  <c r="AZ533" i="9" s="1"/>
  <c r="AZ534" i="9" a="1"/>
  <c r="AZ534" i="9" s="1"/>
  <c r="AZ535" i="9" a="1"/>
  <c r="AZ535" i="9" s="1"/>
  <c r="AZ536" i="9" a="1"/>
  <c r="AZ536" i="9" s="1"/>
  <c r="AZ537" i="9" a="1"/>
  <c r="AZ537" i="9" s="1"/>
  <c r="AZ538" i="9" a="1"/>
  <c r="AZ538" i="9" s="1"/>
  <c r="AZ539" i="9" a="1"/>
  <c r="AZ539" i="9" s="1"/>
  <c r="AZ540" i="9" a="1"/>
  <c r="AZ540" i="9" s="1"/>
  <c r="AZ541" i="9" a="1"/>
  <c r="AZ541" i="9" s="1"/>
  <c r="AZ542" i="9" a="1"/>
  <c r="AZ542" i="9" s="1"/>
  <c r="AZ543" i="9" a="1"/>
  <c r="AZ543" i="9" s="1"/>
  <c r="AZ544" i="9" a="1"/>
  <c r="AZ544" i="9" s="1"/>
  <c r="AZ545" i="9" a="1"/>
  <c r="AZ545" i="9" s="1"/>
  <c r="AZ546" i="9" a="1"/>
  <c r="AZ546" i="9" s="1"/>
  <c r="AZ547" i="9" a="1"/>
  <c r="AZ547" i="9" s="1"/>
  <c r="AZ548" i="9" a="1"/>
  <c r="AZ548" i="9" s="1"/>
  <c r="AZ549" i="9" a="1"/>
  <c r="AZ549" i="9" s="1"/>
  <c r="AZ550" i="9" a="1"/>
  <c r="AZ550" i="9" s="1"/>
  <c r="AZ551" i="9" a="1"/>
  <c r="AZ551" i="9" s="1"/>
  <c r="AZ552" i="9" a="1"/>
  <c r="AZ552" i="9" s="1"/>
  <c r="AZ553" i="9" a="1"/>
  <c r="AZ553" i="9" s="1"/>
  <c r="AZ554" i="9" a="1"/>
  <c r="AZ554" i="9" s="1"/>
  <c r="AZ555" i="9" a="1"/>
  <c r="AZ555" i="9" s="1"/>
  <c r="AZ556" i="9" a="1"/>
  <c r="AZ556" i="9" s="1"/>
  <c r="AZ557" i="9" a="1"/>
  <c r="AZ557" i="9" s="1"/>
  <c r="AZ558" i="9" a="1"/>
  <c r="AZ558" i="9" s="1"/>
  <c r="AZ559" i="9" a="1"/>
  <c r="AZ559" i="9" s="1"/>
  <c r="AZ560" i="9" a="1"/>
  <c r="AZ560" i="9" s="1"/>
  <c r="AZ561" i="9" a="1"/>
  <c r="AZ561" i="9" s="1"/>
  <c r="AZ562" i="9" a="1"/>
  <c r="AZ562" i="9" s="1"/>
  <c r="AZ563" i="9" a="1"/>
  <c r="AZ563" i="9" s="1"/>
  <c r="AZ564" i="9" a="1"/>
  <c r="AZ564" i="9" s="1"/>
  <c r="AZ565" i="9" a="1"/>
  <c r="AZ565" i="9" s="1"/>
  <c r="AZ566" i="9" a="1"/>
  <c r="AZ566" i="9" s="1"/>
  <c r="AZ567" i="9" a="1"/>
  <c r="AZ567" i="9" s="1"/>
  <c r="AZ568" i="9" a="1"/>
  <c r="AZ568" i="9" s="1"/>
  <c r="AZ569" i="9" a="1"/>
  <c r="AZ569" i="9" s="1"/>
  <c r="AZ570" i="9" a="1"/>
  <c r="AZ570" i="9" s="1"/>
  <c r="AZ571" i="9" a="1"/>
  <c r="AZ571" i="9" s="1"/>
  <c r="AZ572" i="9" a="1"/>
  <c r="AZ572" i="9" s="1"/>
  <c r="AZ573" i="9" a="1"/>
  <c r="AZ573" i="9" s="1"/>
  <c r="AZ574" i="9" a="1"/>
  <c r="AZ574" i="9" s="1"/>
  <c r="AZ575" i="9" a="1"/>
  <c r="AZ575" i="9" s="1"/>
  <c r="AZ576" i="9" a="1"/>
  <c r="AZ576" i="9" s="1"/>
  <c r="AZ577" i="9" a="1"/>
  <c r="AZ577" i="9" s="1"/>
  <c r="AZ578" i="9" a="1"/>
  <c r="AZ578" i="9" s="1"/>
  <c r="AZ579" i="9" a="1"/>
  <c r="AZ579" i="9" s="1"/>
  <c r="AZ580" i="9" a="1"/>
  <c r="AZ580" i="9" s="1"/>
  <c r="AZ581" i="9" a="1"/>
  <c r="AZ581" i="9" s="1"/>
  <c r="AZ582" i="9" a="1"/>
  <c r="AZ582" i="9" s="1"/>
  <c r="AZ583" i="9" a="1"/>
  <c r="AZ583" i="9" s="1"/>
  <c r="AZ584" i="9" a="1"/>
  <c r="AZ584" i="9" s="1"/>
  <c r="AZ585" i="9" a="1"/>
  <c r="AZ585" i="9" s="1"/>
  <c r="AZ586" i="9" a="1"/>
  <c r="AZ586" i="9" s="1"/>
  <c r="AZ587" i="9" a="1"/>
  <c r="AZ587" i="9" s="1"/>
  <c r="AZ588" i="9" a="1"/>
  <c r="AZ588" i="9" s="1"/>
  <c r="AZ589" i="9" a="1"/>
  <c r="AZ589" i="9" s="1"/>
  <c r="AZ590" i="9" a="1"/>
  <c r="AZ590" i="9" s="1"/>
  <c r="AZ591" i="9" a="1"/>
  <c r="AZ591" i="9" s="1"/>
  <c r="AZ592" i="9" a="1"/>
  <c r="AZ592" i="9" s="1"/>
  <c r="AZ593" i="9" a="1"/>
  <c r="AZ593" i="9" s="1"/>
  <c r="AZ594" i="9" a="1"/>
  <c r="AZ594" i="9" s="1"/>
  <c r="AZ595" i="9" a="1"/>
  <c r="AZ595" i="9" s="1"/>
  <c r="AZ596" i="9" a="1"/>
  <c r="AZ596" i="9" s="1"/>
  <c r="AZ597" i="9" a="1"/>
  <c r="AZ597" i="9" s="1"/>
  <c r="AZ598" i="9" a="1"/>
  <c r="AZ598" i="9" s="1"/>
  <c r="AZ599" i="9" a="1"/>
  <c r="AZ599" i="9" s="1"/>
  <c r="AZ600" i="9" a="1"/>
  <c r="AZ600" i="9" s="1"/>
  <c r="AZ601" i="9" a="1"/>
  <c r="AZ601" i="9" s="1"/>
  <c r="AZ602" i="9" a="1"/>
  <c r="AZ602" i="9" s="1"/>
  <c r="AZ603" i="9" a="1"/>
  <c r="AZ603" i="9" s="1"/>
  <c r="AZ604" i="9" a="1"/>
  <c r="AZ604" i="9" s="1"/>
  <c r="AZ605" i="9" a="1"/>
  <c r="AZ605" i="9" s="1"/>
  <c r="AZ606" i="9" a="1"/>
  <c r="AZ606" i="9" s="1"/>
  <c r="AZ607" i="9" a="1"/>
  <c r="AZ607" i="9" s="1"/>
  <c r="AZ608" i="9" a="1"/>
  <c r="AZ608" i="9" s="1"/>
  <c r="AZ609" i="9" a="1"/>
  <c r="AZ609" i="9" s="1"/>
  <c r="AZ610" i="9" a="1"/>
  <c r="AZ610" i="9" s="1"/>
  <c r="AZ611" i="9" a="1"/>
  <c r="AZ611" i="9" s="1"/>
  <c r="AZ612" i="9" a="1"/>
  <c r="AZ612" i="9" s="1"/>
  <c r="AZ613" i="9" a="1"/>
  <c r="AZ613" i="9" s="1"/>
  <c r="AZ614" i="9" a="1"/>
  <c r="AZ614" i="9" s="1"/>
  <c r="AZ615" i="9" a="1"/>
  <c r="AZ615" i="9" s="1"/>
  <c r="AZ616" i="9" a="1"/>
  <c r="AZ616" i="9" s="1"/>
  <c r="AZ617" i="9" a="1"/>
  <c r="AZ617" i="9" s="1"/>
  <c r="AZ618" i="9" a="1"/>
  <c r="AZ618" i="9" s="1"/>
  <c r="AZ619" i="9" a="1"/>
  <c r="AZ619" i="9" s="1"/>
  <c r="AZ620" i="9" a="1"/>
  <c r="AZ620" i="9" s="1"/>
  <c r="AZ621" i="9" a="1"/>
  <c r="AZ621" i="9" s="1"/>
  <c r="AZ622" i="9" a="1"/>
  <c r="AZ622" i="9" s="1"/>
  <c r="AZ623" i="9" a="1"/>
  <c r="AZ623" i="9" s="1"/>
  <c r="AZ624" i="9" a="1"/>
  <c r="AZ624" i="9" s="1"/>
  <c r="AZ625" i="9" a="1"/>
  <c r="AZ625" i="9" s="1"/>
  <c r="AZ626" i="9" a="1"/>
  <c r="AZ626" i="9" s="1"/>
  <c r="AZ627" i="9" a="1"/>
  <c r="AZ627" i="9" s="1"/>
  <c r="AZ628" i="9" a="1"/>
  <c r="AZ628" i="9" s="1"/>
  <c r="AZ629" i="9" a="1"/>
  <c r="AZ629" i="9" s="1"/>
  <c r="AZ630" i="9" a="1"/>
  <c r="AZ630" i="9" s="1"/>
  <c r="AZ631" i="9" a="1"/>
  <c r="AZ631" i="9" s="1"/>
  <c r="AZ632" i="9" a="1"/>
  <c r="AZ632" i="9" s="1"/>
  <c r="AZ633" i="9" a="1"/>
  <c r="AZ633" i="9" s="1"/>
  <c r="AZ634" i="9" a="1"/>
  <c r="AZ634" i="9" s="1"/>
  <c r="AZ635" i="9" a="1"/>
  <c r="AZ635" i="9" s="1"/>
  <c r="AZ636" i="9" a="1"/>
  <c r="AZ636" i="9" s="1"/>
  <c r="AZ637" i="9" a="1"/>
  <c r="AZ637" i="9" s="1"/>
  <c r="AZ638" i="9" a="1"/>
  <c r="AZ638" i="9" s="1"/>
  <c r="AZ639" i="9" a="1"/>
  <c r="AZ639" i="9" s="1"/>
  <c r="AZ640" i="9" a="1"/>
  <c r="AZ640" i="9" s="1"/>
  <c r="AZ641" i="9" a="1"/>
  <c r="AZ641" i="9" s="1"/>
  <c r="AZ642" i="9" a="1"/>
  <c r="AZ642" i="9" s="1"/>
  <c r="AZ643" i="9" a="1"/>
  <c r="AZ643" i="9" s="1"/>
  <c r="AZ644" i="9" a="1"/>
  <c r="AZ644" i="9" s="1"/>
  <c r="AZ645" i="9" a="1"/>
  <c r="AZ645" i="9" s="1"/>
  <c r="AZ646" i="9" a="1"/>
  <c r="AZ646" i="9" s="1"/>
  <c r="AZ647" i="9" a="1"/>
  <c r="AZ647" i="9" s="1"/>
  <c r="AZ648" i="9" a="1"/>
  <c r="AZ648" i="9" s="1"/>
  <c r="AZ649" i="9" a="1"/>
  <c r="AZ649" i="9" s="1"/>
  <c r="AZ650" i="9" a="1"/>
  <c r="AZ650" i="9" s="1"/>
  <c r="AZ651" i="9" a="1"/>
  <c r="AZ651" i="9" s="1"/>
  <c r="AZ652" i="9" a="1"/>
  <c r="AZ652" i="9" s="1"/>
  <c r="AZ653" i="9" a="1"/>
  <c r="AZ653" i="9" s="1"/>
  <c r="AZ654" i="9" a="1"/>
  <c r="AZ654" i="9" s="1"/>
  <c r="AZ655" i="9" a="1"/>
  <c r="AZ655" i="9" s="1"/>
  <c r="AZ656" i="9" a="1"/>
  <c r="AZ656" i="9" s="1"/>
  <c r="AZ657" i="9" a="1"/>
  <c r="AZ657" i="9" s="1"/>
  <c r="AZ658" i="9" a="1"/>
  <c r="AZ658" i="9" s="1"/>
  <c r="AZ659" i="9" a="1"/>
  <c r="AZ659" i="9" s="1"/>
  <c r="AZ660" i="9" a="1"/>
  <c r="AZ660" i="9" s="1"/>
  <c r="AZ661" i="9" a="1"/>
  <c r="AZ661" i="9" s="1"/>
  <c r="AZ662" i="9" a="1"/>
  <c r="AZ662" i="9" s="1"/>
  <c r="AZ663" i="9" a="1"/>
  <c r="AZ663" i="9" s="1"/>
  <c r="AZ664" i="9" a="1"/>
  <c r="AZ664" i="9" s="1"/>
  <c r="AZ665" i="9" a="1"/>
  <c r="AZ665" i="9" s="1"/>
  <c r="AZ666" i="9" a="1"/>
  <c r="AZ666" i="9" s="1"/>
  <c r="AZ667" i="9" a="1"/>
  <c r="AZ667" i="9" s="1"/>
  <c r="AZ668" i="9" a="1"/>
  <c r="AZ668" i="9" s="1"/>
  <c r="AZ669" i="9" a="1"/>
  <c r="AZ669" i="9" s="1"/>
  <c r="AZ670" i="9" a="1"/>
  <c r="AZ670" i="9" s="1"/>
  <c r="AZ671" i="9" a="1"/>
  <c r="AZ671" i="9" s="1"/>
  <c r="AZ672" i="9" a="1"/>
  <c r="AZ672" i="9" s="1"/>
  <c r="AZ673" i="9" a="1"/>
  <c r="AZ673" i="9" s="1"/>
  <c r="AZ674" i="9" a="1"/>
  <c r="AZ674" i="9" s="1"/>
  <c r="AZ675" i="9" a="1"/>
  <c r="AZ675" i="9" s="1"/>
  <c r="AZ676" i="9" a="1"/>
  <c r="AZ676" i="9" s="1"/>
  <c r="AZ677" i="9" a="1"/>
  <c r="AZ677" i="9" s="1"/>
  <c r="AZ678" i="9" a="1"/>
  <c r="AZ678" i="9" s="1"/>
  <c r="AZ679" i="9" a="1"/>
  <c r="AZ679" i="9" s="1"/>
  <c r="AZ680" i="9" a="1"/>
  <c r="AZ680" i="9" s="1"/>
  <c r="AZ681" i="9" a="1"/>
  <c r="AZ681" i="9" s="1"/>
  <c r="AZ682" i="9" a="1"/>
  <c r="AZ682" i="9" s="1"/>
  <c r="AZ683" i="9" a="1"/>
  <c r="AZ683" i="9" s="1"/>
  <c r="AZ684" i="9" a="1"/>
  <c r="AZ684" i="9" s="1"/>
  <c r="AZ685" i="9" a="1"/>
  <c r="AZ685" i="9" s="1"/>
  <c r="AZ686" i="9" a="1"/>
  <c r="AZ686" i="9" s="1"/>
  <c r="AZ687" i="9" a="1"/>
  <c r="AZ687" i="9" s="1"/>
  <c r="AZ688" i="9" a="1"/>
  <c r="AZ688" i="9" s="1"/>
  <c r="AZ689" i="9" a="1"/>
  <c r="AZ689" i="9" s="1"/>
  <c r="AZ690" i="9" a="1"/>
  <c r="AZ690" i="9" s="1"/>
  <c r="AZ691" i="9" a="1"/>
  <c r="AZ691" i="9" s="1"/>
  <c r="AZ692" i="9" a="1"/>
  <c r="AZ692" i="9" s="1"/>
  <c r="AZ693" i="9" a="1"/>
  <c r="AZ693" i="9" s="1"/>
  <c r="AZ694" i="9" a="1"/>
  <c r="AZ694" i="9" s="1"/>
  <c r="AZ695" i="9" a="1"/>
  <c r="AZ695" i="9" s="1"/>
  <c r="AZ696" i="9" a="1"/>
  <c r="AZ696" i="9" s="1"/>
  <c r="AZ697" i="9" a="1"/>
  <c r="AZ697" i="9" s="1"/>
  <c r="AZ698" i="9" a="1"/>
  <c r="AZ698" i="9" s="1"/>
  <c r="AZ699" i="9" a="1"/>
  <c r="AZ699" i="9" s="1"/>
  <c r="AZ700" i="9" a="1"/>
  <c r="AZ700" i="9" s="1"/>
  <c r="AZ701" i="9" a="1"/>
  <c r="AZ701" i="9" s="1"/>
  <c r="AZ702" i="9" a="1"/>
  <c r="AZ702" i="9" s="1"/>
  <c r="AZ703" i="9" a="1"/>
  <c r="AZ703" i="9" s="1"/>
  <c r="AZ704" i="9" a="1"/>
  <c r="AZ704" i="9" s="1"/>
  <c r="AZ705" i="9" a="1"/>
  <c r="AZ705" i="9" s="1"/>
  <c r="AZ706" i="9" a="1"/>
  <c r="AZ706" i="9" s="1"/>
  <c r="AZ707" i="9" a="1"/>
  <c r="AZ707" i="9" s="1"/>
  <c r="AZ708" i="9" a="1"/>
  <c r="AZ708" i="9" s="1"/>
  <c r="AZ709" i="9" a="1"/>
  <c r="AZ709" i="9" s="1"/>
  <c r="AZ710" i="9" a="1"/>
  <c r="AZ710" i="9" s="1"/>
  <c r="AZ711" i="9" a="1"/>
  <c r="AZ711" i="9" s="1"/>
  <c r="AZ712" i="9" a="1"/>
  <c r="AZ712" i="9" s="1"/>
  <c r="AZ713" i="9" a="1"/>
  <c r="AZ713" i="9" s="1"/>
  <c r="AZ714" i="9" a="1"/>
  <c r="AZ714" i="9" s="1"/>
  <c r="AZ715" i="9" a="1"/>
  <c r="AZ715" i="9" s="1"/>
  <c r="AZ716" i="9" a="1"/>
  <c r="AZ716" i="9" s="1"/>
  <c r="AZ717" i="9" a="1"/>
  <c r="AZ717" i="9" s="1"/>
  <c r="AZ718" i="9" a="1"/>
  <c r="AZ718" i="9" s="1"/>
  <c r="AZ719" i="9" a="1"/>
  <c r="AZ719" i="9" s="1"/>
  <c r="AZ720" i="9" a="1"/>
  <c r="AZ720" i="9" s="1"/>
  <c r="AZ721" i="9" a="1"/>
  <c r="AZ721" i="9" s="1"/>
  <c r="AZ722" i="9" a="1"/>
  <c r="AZ722" i="9" s="1"/>
  <c r="AZ723" i="9" a="1"/>
  <c r="AZ723" i="9" s="1"/>
  <c r="AZ724" i="9" a="1"/>
  <c r="AZ724" i="9" s="1"/>
  <c r="AZ725" i="9" a="1"/>
  <c r="AZ725" i="9" s="1"/>
  <c r="AZ726" i="9" a="1"/>
  <c r="AZ726" i="9" s="1"/>
  <c r="AZ727" i="9" a="1"/>
  <c r="AZ727" i="9" s="1"/>
  <c r="AZ728" i="9" a="1"/>
  <c r="AZ728" i="9" s="1"/>
  <c r="AZ729" i="9" a="1"/>
  <c r="AZ729" i="9" s="1"/>
  <c r="AZ730" i="9" a="1"/>
  <c r="AZ730" i="9" s="1"/>
  <c r="AZ731" i="9" a="1"/>
  <c r="AZ731" i="9" s="1"/>
  <c r="AZ732" i="9" a="1"/>
  <c r="AZ732" i="9" s="1"/>
  <c r="AZ733" i="9" a="1"/>
  <c r="AZ733" i="9" s="1"/>
  <c r="AZ734" i="9" a="1"/>
  <c r="AZ734" i="9" s="1"/>
  <c r="AZ735" i="9" a="1"/>
  <c r="AZ735" i="9" s="1"/>
  <c r="AZ736" i="9" a="1"/>
  <c r="AZ736" i="9" s="1"/>
  <c r="AZ737" i="9" a="1"/>
  <c r="AZ737" i="9" s="1"/>
  <c r="AZ738" i="9" a="1"/>
  <c r="AZ738" i="9" s="1"/>
  <c r="AZ739" i="9" a="1"/>
  <c r="AZ739" i="9" s="1"/>
  <c r="AZ740" i="9" a="1"/>
  <c r="AZ740" i="9" s="1"/>
  <c r="AZ741" i="9" a="1"/>
  <c r="AZ741" i="9" s="1"/>
  <c r="AZ742" i="9" a="1"/>
  <c r="AZ742" i="9" s="1"/>
  <c r="AZ743" i="9" a="1"/>
  <c r="AZ743" i="9" s="1"/>
  <c r="AZ744" i="9" a="1"/>
  <c r="AZ744" i="9" s="1"/>
  <c r="AZ745" i="9" a="1"/>
  <c r="AZ745" i="9" s="1"/>
  <c r="AZ746" i="9" a="1"/>
  <c r="AZ746" i="9" s="1"/>
  <c r="AZ747" i="9" a="1"/>
  <c r="AZ747" i="9" s="1"/>
  <c r="AZ748" i="9" a="1"/>
  <c r="AZ748" i="9" s="1"/>
  <c r="AZ749" i="9" a="1"/>
  <c r="AZ749" i="9" s="1"/>
  <c r="AZ750" i="9" a="1"/>
  <c r="AZ750" i="9" s="1"/>
  <c r="U2" i="16" l="1"/>
  <c r="D117" i="4" l="1"/>
  <c r="I4" i="13" l="1"/>
  <c r="C10" i="15"/>
  <c r="C9" i="15"/>
  <c r="C7" i="15"/>
  <c r="B4" i="15"/>
  <c r="G750" i="5" l="1"/>
  <c r="AX750" i="5" s="1" a="1"/>
  <c r="AX750" i="5" s="1"/>
  <c r="G749" i="5"/>
  <c r="H749" i="5" s="1"/>
  <c r="G748" i="5"/>
  <c r="G747" i="5"/>
  <c r="H747" i="5" s="1"/>
  <c r="G746" i="5"/>
  <c r="G745" i="5"/>
  <c r="H745" i="5" s="1"/>
  <c r="G744" i="5"/>
  <c r="G743" i="5"/>
  <c r="H743" i="5" s="1"/>
  <c r="G742" i="5"/>
  <c r="G741" i="5"/>
  <c r="H741" i="5" s="1"/>
  <c r="G740" i="5"/>
  <c r="G739" i="5"/>
  <c r="H739" i="5" s="1"/>
  <c r="G738" i="5"/>
  <c r="G737" i="5"/>
  <c r="H737" i="5" s="1"/>
  <c r="G736" i="5"/>
  <c r="G735" i="5"/>
  <c r="H735" i="5" s="1"/>
  <c r="G734" i="5"/>
  <c r="G733" i="5"/>
  <c r="H733" i="5" s="1"/>
  <c r="G732" i="5"/>
  <c r="G731" i="5"/>
  <c r="H731" i="5" s="1"/>
  <c r="G730" i="5"/>
  <c r="G729" i="5"/>
  <c r="H729" i="5" s="1"/>
  <c r="G728" i="5"/>
  <c r="G727" i="5"/>
  <c r="H727" i="5" s="1"/>
  <c r="G726" i="5"/>
  <c r="G725" i="5"/>
  <c r="H725" i="5" s="1"/>
  <c r="G724" i="5"/>
  <c r="G723" i="5"/>
  <c r="H723" i="5" s="1"/>
  <c r="G722" i="5"/>
  <c r="G721" i="5"/>
  <c r="H721" i="5" s="1"/>
  <c r="G720" i="5"/>
  <c r="G719" i="5"/>
  <c r="H719" i="5" s="1"/>
  <c r="G718" i="5"/>
  <c r="G717" i="5"/>
  <c r="H717" i="5" s="1"/>
  <c r="G716" i="5"/>
  <c r="G715" i="5"/>
  <c r="H715" i="5" s="1"/>
  <c r="G714" i="5"/>
  <c r="G713" i="5"/>
  <c r="H713" i="5" s="1"/>
  <c r="G712" i="5"/>
  <c r="G711" i="5"/>
  <c r="H711" i="5" s="1"/>
  <c r="G710" i="5"/>
  <c r="G709" i="5"/>
  <c r="H709" i="5" s="1"/>
  <c r="G708" i="5"/>
  <c r="G707" i="5"/>
  <c r="H707" i="5" s="1"/>
  <c r="G706" i="5"/>
  <c r="G705" i="5"/>
  <c r="H705" i="5" s="1"/>
  <c r="G704" i="5"/>
  <c r="G703" i="5"/>
  <c r="H703" i="5" s="1"/>
  <c r="G702" i="5"/>
  <c r="G701" i="5"/>
  <c r="H701" i="5" s="1"/>
  <c r="G700" i="5"/>
  <c r="G699" i="5"/>
  <c r="H699" i="5" s="1"/>
  <c r="G698" i="5"/>
  <c r="G697" i="5"/>
  <c r="H697" i="5" s="1"/>
  <c r="G696" i="5"/>
  <c r="G695" i="5"/>
  <c r="H695" i="5" s="1"/>
  <c r="G694" i="5"/>
  <c r="G693" i="5"/>
  <c r="H693" i="5" s="1"/>
  <c r="G692" i="5"/>
  <c r="G691" i="5"/>
  <c r="H691" i="5" s="1"/>
  <c r="G690" i="5"/>
  <c r="G689" i="5"/>
  <c r="H689" i="5" s="1"/>
  <c r="G688" i="5"/>
  <c r="G687" i="5"/>
  <c r="H687" i="5" s="1"/>
  <c r="G686" i="5"/>
  <c r="G685" i="5"/>
  <c r="H685" i="5" s="1"/>
  <c r="G684" i="5"/>
  <c r="G683" i="5"/>
  <c r="H683" i="5" s="1"/>
  <c r="G682" i="5"/>
  <c r="G681" i="5"/>
  <c r="H681" i="5" s="1"/>
  <c r="G680" i="5"/>
  <c r="G679" i="5"/>
  <c r="H679" i="5" s="1"/>
  <c r="G678" i="5"/>
  <c r="G677" i="5"/>
  <c r="H677" i="5" s="1"/>
  <c r="G676" i="5"/>
  <c r="G675" i="5"/>
  <c r="H675" i="5" s="1"/>
  <c r="G674" i="5"/>
  <c r="G673" i="5"/>
  <c r="H673" i="5" s="1"/>
  <c r="G672" i="5"/>
  <c r="G671" i="5"/>
  <c r="H671" i="5" s="1"/>
  <c r="G670" i="5"/>
  <c r="G669" i="5"/>
  <c r="H669" i="5" s="1"/>
  <c r="G668" i="5"/>
  <c r="G667" i="5"/>
  <c r="H667" i="5" s="1"/>
  <c r="G666" i="5"/>
  <c r="G665" i="5"/>
  <c r="H665" i="5" s="1"/>
  <c r="G664" i="5"/>
  <c r="G663" i="5"/>
  <c r="H663" i="5" s="1"/>
  <c r="G662" i="5"/>
  <c r="G661" i="5"/>
  <c r="H661" i="5" s="1"/>
  <c r="G660" i="5"/>
  <c r="G659" i="5"/>
  <c r="H659" i="5" s="1"/>
  <c r="F659" i="5"/>
  <c r="G658" i="5"/>
  <c r="G657" i="5"/>
  <c r="H657" i="5" s="1"/>
  <c r="G656" i="5"/>
  <c r="G655" i="5"/>
  <c r="H655" i="5" s="1"/>
  <c r="G654" i="5"/>
  <c r="G653" i="5"/>
  <c r="H653" i="5" s="1"/>
  <c r="G652" i="5"/>
  <c r="G651" i="5"/>
  <c r="H651" i="5" s="1"/>
  <c r="G650" i="5"/>
  <c r="G649" i="5"/>
  <c r="H649" i="5" s="1"/>
  <c r="G648" i="5"/>
  <c r="G647" i="5"/>
  <c r="H647" i="5" s="1"/>
  <c r="G646" i="5"/>
  <c r="G645" i="5"/>
  <c r="H645" i="5" s="1"/>
  <c r="G644" i="5"/>
  <c r="G643" i="5"/>
  <c r="H643" i="5" s="1"/>
  <c r="G642" i="5"/>
  <c r="G641" i="5"/>
  <c r="H641" i="5" s="1"/>
  <c r="G640" i="5"/>
  <c r="G639" i="5"/>
  <c r="H639" i="5" s="1"/>
  <c r="G638" i="5"/>
  <c r="G637" i="5"/>
  <c r="H637" i="5" s="1"/>
  <c r="G636" i="5"/>
  <c r="G635" i="5"/>
  <c r="H635" i="5" s="1"/>
  <c r="G634" i="5"/>
  <c r="G633" i="5"/>
  <c r="H633" i="5" s="1"/>
  <c r="G632" i="5"/>
  <c r="G631" i="5"/>
  <c r="H631" i="5" s="1"/>
  <c r="G630" i="5"/>
  <c r="G629" i="5"/>
  <c r="H629" i="5" s="1"/>
  <c r="G628" i="5"/>
  <c r="G627" i="5"/>
  <c r="H627" i="5" s="1"/>
  <c r="G626" i="5"/>
  <c r="G625" i="5"/>
  <c r="H625" i="5" s="1"/>
  <c r="G624" i="5"/>
  <c r="G623" i="5"/>
  <c r="H623" i="5" s="1"/>
  <c r="G622" i="5"/>
  <c r="G621" i="5"/>
  <c r="H621" i="5" s="1"/>
  <c r="G620" i="5"/>
  <c r="G619" i="5"/>
  <c r="H619" i="5" s="1"/>
  <c r="F619" i="5"/>
  <c r="G618" i="5"/>
  <c r="G617" i="5"/>
  <c r="H617" i="5" s="1"/>
  <c r="G616" i="5"/>
  <c r="G615" i="5"/>
  <c r="H615" i="5" s="1"/>
  <c r="G614" i="5"/>
  <c r="G613" i="5"/>
  <c r="H613" i="5" s="1"/>
  <c r="G612" i="5"/>
  <c r="G611" i="5"/>
  <c r="H611" i="5" s="1"/>
  <c r="G610" i="5"/>
  <c r="G609" i="5"/>
  <c r="H609" i="5" s="1"/>
  <c r="G608" i="5"/>
  <c r="G607" i="5"/>
  <c r="H607" i="5" s="1"/>
  <c r="G606" i="5"/>
  <c r="G605" i="5"/>
  <c r="H605" i="5" s="1"/>
  <c r="G604" i="5"/>
  <c r="G603" i="5"/>
  <c r="H603" i="5" s="1"/>
  <c r="G602" i="5"/>
  <c r="G601" i="5"/>
  <c r="H601" i="5" s="1"/>
  <c r="G600" i="5"/>
  <c r="G599" i="5"/>
  <c r="H599" i="5" s="1"/>
  <c r="G598" i="5"/>
  <c r="AX598" i="5" s="1" a="1"/>
  <c r="AX598" i="5" s="1"/>
  <c r="G597" i="5"/>
  <c r="H597" i="5" s="1"/>
  <c r="G596" i="5"/>
  <c r="G595" i="5"/>
  <c r="H595" i="5" s="1"/>
  <c r="G594" i="5"/>
  <c r="G593" i="5"/>
  <c r="H593" i="5" s="1"/>
  <c r="G592" i="5"/>
  <c r="G591" i="5"/>
  <c r="H591" i="5" s="1"/>
  <c r="F591" i="5"/>
  <c r="G590" i="5"/>
  <c r="G589" i="5"/>
  <c r="H589" i="5" s="1"/>
  <c r="G588" i="5"/>
  <c r="G587" i="5"/>
  <c r="H587" i="5" s="1"/>
  <c r="G586" i="5"/>
  <c r="G585" i="5"/>
  <c r="H585" i="5" s="1"/>
  <c r="G584" i="5"/>
  <c r="G583" i="5"/>
  <c r="H583" i="5" s="1"/>
  <c r="G582" i="5"/>
  <c r="G581" i="5"/>
  <c r="G580" i="5"/>
  <c r="G579" i="5"/>
  <c r="H579" i="5" s="1"/>
  <c r="G578" i="5"/>
  <c r="G577" i="5"/>
  <c r="F577" i="5" s="1"/>
  <c r="G576" i="5"/>
  <c r="G575" i="5"/>
  <c r="H575" i="5" s="1"/>
  <c r="G574" i="5"/>
  <c r="H574" i="5" s="1"/>
  <c r="G573" i="5"/>
  <c r="G572" i="5"/>
  <c r="G571" i="5"/>
  <c r="H571" i="5" s="1"/>
  <c r="G570" i="5"/>
  <c r="G569" i="5"/>
  <c r="F569" i="5" s="1"/>
  <c r="G568" i="5"/>
  <c r="G567" i="5"/>
  <c r="H567" i="5" s="1"/>
  <c r="G566" i="5"/>
  <c r="H566" i="5" s="1"/>
  <c r="G565" i="5"/>
  <c r="G564" i="5"/>
  <c r="G563" i="5"/>
  <c r="H563" i="5" s="1"/>
  <c r="G562" i="5"/>
  <c r="G561" i="5"/>
  <c r="F561" i="5" s="1"/>
  <c r="G560" i="5"/>
  <c r="G559" i="5"/>
  <c r="H559" i="5" s="1"/>
  <c r="G558" i="5"/>
  <c r="H558" i="5" s="1"/>
  <c r="G557" i="5"/>
  <c r="G556" i="5"/>
  <c r="G555" i="5"/>
  <c r="H555" i="5" s="1"/>
  <c r="G554" i="5"/>
  <c r="G553" i="5"/>
  <c r="F553" i="5" s="1"/>
  <c r="G552" i="5"/>
  <c r="G551" i="5"/>
  <c r="H551" i="5" s="1"/>
  <c r="G550" i="5"/>
  <c r="H550" i="5" s="1"/>
  <c r="G549" i="5"/>
  <c r="G548" i="5"/>
  <c r="G547" i="5"/>
  <c r="H547" i="5" s="1"/>
  <c r="G546" i="5"/>
  <c r="G545" i="5"/>
  <c r="F545" i="5" s="1"/>
  <c r="G544" i="5"/>
  <c r="G543" i="5"/>
  <c r="H543" i="5" s="1"/>
  <c r="G542" i="5"/>
  <c r="H542" i="5" s="1"/>
  <c r="G541" i="5"/>
  <c r="G540" i="5"/>
  <c r="G539" i="5"/>
  <c r="H539" i="5" s="1"/>
  <c r="G538" i="5"/>
  <c r="G537" i="5"/>
  <c r="F537" i="5" s="1"/>
  <c r="G536" i="5"/>
  <c r="G535" i="5"/>
  <c r="H535" i="5" s="1"/>
  <c r="G534" i="5"/>
  <c r="H534" i="5" s="1"/>
  <c r="G533" i="5"/>
  <c r="G532" i="5"/>
  <c r="G531" i="5"/>
  <c r="H531" i="5" s="1"/>
  <c r="G530" i="5"/>
  <c r="G529" i="5"/>
  <c r="F529" i="5" s="1"/>
  <c r="G528" i="5"/>
  <c r="G527" i="5"/>
  <c r="H527" i="5" s="1"/>
  <c r="G526" i="5"/>
  <c r="H526" i="5" s="1"/>
  <c r="G525" i="5"/>
  <c r="G524" i="5"/>
  <c r="G523" i="5"/>
  <c r="H523" i="5" s="1"/>
  <c r="G522" i="5"/>
  <c r="G521" i="5"/>
  <c r="F521" i="5" s="1"/>
  <c r="G520" i="5"/>
  <c r="G519" i="5"/>
  <c r="H519" i="5" s="1"/>
  <c r="G518" i="5"/>
  <c r="H518" i="5" s="1"/>
  <c r="G517" i="5"/>
  <c r="G516" i="5"/>
  <c r="G515" i="5"/>
  <c r="G514" i="5"/>
  <c r="G513" i="5"/>
  <c r="G512" i="5"/>
  <c r="F512" i="5" s="1"/>
  <c r="G511" i="5"/>
  <c r="G510" i="5"/>
  <c r="G509" i="5"/>
  <c r="G508" i="5"/>
  <c r="G507" i="5"/>
  <c r="G506" i="5"/>
  <c r="G505" i="5"/>
  <c r="G504" i="5"/>
  <c r="F504" i="5" s="1"/>
  <c r="G503" i="5"/>
  <c r="G502" i="5"/>
  <c r="G501" i="5"/>
  <c r="G500" i="5"/>
  <c r="G499" i="5"/>
  <c r="G498" i="5"/>
  <c r="G497" i="5"/>
  <c r="G496" i="5"/>
  <c r="AX496" i="5" s="1" a="1"/>
  <c r="AX496" i="5" s="1"/>
  <c r="G495" i="5"/>
  <c r="G494" i="5"/>
  <c r="G493" i="5"/>
  <c r="G492" i="5"/>
  <c r="F492" i="5" s="1"/>
  <c r="G491" i="5"/>
  <c r="G490" i="5"/>
  <c r="G489" i="5"/>
  <c r="G488" i="5"/>
  <c r="G487" i="5"/>
  <c r="G486" i="5"/>
  <c r="G485" i="5"/>
  <c r="G484" i="5"/>
  <c r="F484" i="5" s="1"/>
  <c r="G483" i="5"/>
  <c r="G482" i="5"/>
  <c r="G481" i="5"/>
  <c r="G480" i="5"/>
  <c r="G479" i="5"/>
  <c r="G478" i="5"/>
  <c r="G477" i="5"/>
  <c r="G476" i="5"/>
  <c r="F476" i="5" s="1"/>
  <c r="G475" i="5"/>
  <c r="G474" i="5"/>
  <c r="G473" i="5"/>
  <c r="G472" i="5"/>
  <c r="G471" i="5"/>
  <c r="G470" i="5"/>
  <c r="G469" i="5"/>
  <c r="G468" i="5"/>
  <c r="F468" i="5" s="1"/>
  <c r="G467" i="5"/>
  <c r="G466" i="5"/>
  <c r="G465" i="5"/>
  <c r="G464" i="5"/>
  <c r="G463" i="5"/>
  <c r="G462" i="5"/>
  <c r="G461" i="5"/>
  <c r="G460" i="5"/>
  <c r="F460" i="5" s="1"/>
  <c r="G459" i="5"/>
  <c r="G458" i="5"/>
  <c r="G457" i="5"/>
  <c r="G456" i="5"/>
  <c r="G455" i="5"/>
  <c r="G454" i="5"/>
  <c r="G453" i="5"/>
  <c r="G452" i="5"/>
  <c r="F452" i="5" s="1"/>
  <c r="G451" i="5"/>
  <c r="G450" i="5"/>
  <c r="G449" i="5"/>
  <c r="G448" i="5"/>
  <c r="G447" i="5"/>
  <c r="G446" i="5"/>
  <c r="G445" i="5"/>
  <c r="G444" i="5"/>
  <c r="F444" i="5" s="1"/>
  <c r="G443" i="5"/>
  <c r="G442" i="5"/>
  <c r="G441" i="5"/>
  <c r="G440" i="5"/>
  <c r="G439" i="5"/>
  <c r="G438" i="5"/>
  <c r="G437" i="5"/>
  <c r="G436" i="5"/>
  <c r="F436" i="5" s="1"/>
  <c r="G435" i="5"/>
  <c r="G434" i="5"/>
  <c r="G433" i="5"/>
  <c r="G432" i="5"/>
  <c r="G431" i="5"/>
  <c r="G430" i="5"/>
  <c r="G429" i="5"/>
  <c r="G428" i="5"/>
  <c r="F428" i="5" s="1"/>
  <c r="G427" i="5"/>
  <c r="G426" i="5"/>
  <c r="G425" i="5"/>
  <c r="G424" i="5"/>
  <c r="G423" i="5"/>
  <c r="G422" i="5"/>
  <c r="G421" i="5"/>
  <c r="G420" i="5"/>
  <c r="F420" i="5" s="1"/>
  <c r="G419" i="5"/>
  <c r="G418" i="5"/>
  <c r="G417" i="5"/>
  <c r="G416" i="5"/>
  <c r="G415" i="5"/>
  <c r="G414" i="5"/>
  <c r="G413" i="5"/>
  <c r="G412" i="5"/>
  <c r="F412" i="5" s="1"/>
  <c r="G411" i="5"/>
  <c r="G410" i="5"/>
  <c r="F410" i="5" s="1"/>
  <c r="G409" i="5"/>
  <c r="G408" i="5"/>
  <c r="F408" i="5" s="1"/>
  <c r="G407" i="5"/>
  <c r="G406" i="5"/>
  <c r="F406" i="5" s="1"/>
  <c r="G405" i="5"/>
  <c r="G404" i="5"/>
  <c r="F404" i="5" s="1"/>
  <c r="G403" i="5"/>
  <c r="G402" i="5"/>
  <c r="F402" i="5" s="1"/>
  <c r="G401" i="5"/>
  <c r="G400" i="5"/>
  <c r="F400" i="5" s="1"/>
  <c r="G399" i="5"/>
  <c r="G398" i="5"/>
  <c r="F398" i="5" s="1"/>
  <c r="G397" i="5"/>
  <c r="G396" i="5"/>
  <c r="F396" i="5" s="1"/>
  <c r="G395" i="5"/>
  <c r="G394" i="5"/>
  <c r="F394" i="5" s="1"/>
  <c r="G393" i="5"/>
  <c r="G392" i="5"/>
  <c r="F392" i="5" s="1"/>
  <c r="G391" i="5"/>
  <c r="G390" i="5"/>
  <c r="F390" i="5" s="1"/>
  <c r="G389" i="5"/>
  <c r="G388" i="5"/>
  <c r="F388" i="5" s="1"/>
  <c r="G387" i="5"/>
  <c r="G386" i="5"/>
  <c r="F386" i="5" s="1"/>
  <c r="G385" i="5"/>
  <c r="G384" i="5"/>
  <c r="F384" i="5" s="1"/>
  <c r="G383" i="5"/>
  <c r="G382" i="5"/>
  <c r="F382" i="5" s="1"/>
  <c r="G381" i="5"/>
  <c r="G380" i="5"/>
  <c r="F380" i="5" s="1"/>
  <c r="G379" i="5"/>
  <c r="G378" i="5"/>
  <c r="F378" i="5" s="1"/>
  <c r="G377" i="5"/>
  <c r="G376" i="5"/>
  <c r="F376" i="5" s="1"/>
  <c r="G375" i="5"/>
  <c r="G374" i="5"/>
  <c r="F374" i="5" s="1"/>
  <c r="G373" i="5"/>
  <c r="G372" i="5"/>
  <c r="F372" i="5" s="1"/>
  <c r="G371" i="5"/>
  <c r="G370" i="5"/>
  <c r="F370" i="5" s="1"/>
  <c r="G369" i="5"/>
  <c r="G368" i="5"/>
  <c r="F368" i="5" s="1"/>
  <c r="G367" i="5"/>
  <c r="G366" i="5"/>
  <c r="G365" i="5"/>
  <c r="F365" i="5" s="1"/>
  <c r="G364" i="5"/>
  <c r="F364" i="5" s="1"/>
  <c r="H363" i="5"/>
  <c r="G363" i="5"/>
  <c r="G362" i="5"/>
  <c r="G361" i="5"/>
  <c r="G360" i="5"/>
  <c r="H360" i="5" s="1"/>
  <c r="G359" i="5"/>
  <c r="G358" i="5"/>
  <c r="F358" i="5" s="1"/>
  <c r="G357" i="5"/>
  <c r="G356" i="5"/>
  <c r="H356" i="5" s="1"/>
  <c r="G355" i="5"/>
  <c r="H355" i="5" s="1"/>
  <c r="G354" i="5"/>
  <c r="G353" i="5"/>
  <c r="G352" i="5"/>
  <c r="H352" i="5" s="1"/>
  <c r="G351" i="5"/>
  <c r="G350" i="5"/>
  <c r="F350" i="5"/>
  <c r="G349" i="5"/>
  <c r="G348" i="5"/>
  <c r="H348" i="5" s="1"/>
  <c r="G347" i="5"/>
  <c r="H347" i="5" s="1"/>
  <c r="G346" i="5"/>
  <c r="G345" i="5"/>
  <c r="G344" i="5"/>
  <c r="H344" i="5" s="1"/>
  <c r="G343" i="5"/>
  <c r="G342" i="5"/>
  <c r="F342" i="5" s="1"/>
  <c r="G341" i="5"/>
  <c r="G340" i="5"/>
  <c r="H340" i="5" s="1"/>
  <c r="G339" i="5"/>
  <c r="H339" i="5" s="1"/>
  <c r="G338" i="5"/>
  <c r="G337" i="5"/>
  <c r="G336" i="5"/>
  <c r="H336" i="5" s="1"/>
  <c r="G335" i="5"/>
  <c r="G334" i="5"/>
  <c r="F334" i="5" s="1"/>
  <c r="G333" i="5"/>
  <c r="G332" i="5"/>
  <c r="H332" i="5" s="1"/>
  <c r="G331" i="5"/>
  <c r="H331" i="5" s="1"/>
  <c r="G330" i="5"/>
  <c r="G329" i="5"/>
  <c r="G328" i="5"/>
  <c r="H328" i="5" s="1"/>
  <c r="G327" i="5"/>
  <c r="G326" i="5"/>
  <c r="F326" i="5" s="1"/>
  <c r="G325" i="5"/>
  <c r="G324" i="5"/>
  <c r="H324" i="5" s="1"/>
  <c r="G323" i="5"/>
  <c r="H323" i="5" s="1"/>
  <c r="G322" i="5"/>
  <c r="G321" i="5"/>
  <c r="G320" i="5"/>
  <c r="H320" i="5" s="1"/>
  <c r="G319" i="5"/>
  <c r="G318" i="5"/>
  <c r="F318" i="5" s="1"/>
  <c r="G317" i="5"/>
  <c r="G316" i="5"/>
  <c r="H316" i="5" s="1"/>
  <c r="G315" i="5"/>
  <c r="H315" i="5" s="1"/>
  <c r="G314" i="5"/>
  <c r="G313" i="5"/>
  <c r="H312" i="5"/>
  <c r="G312" i="5"/>
  <c r="G311" i="5"/>
  <c r="G310" i="5"/>
  <c r="F310" i="5" s="1"/>
  <c r="G309" i="5"/>
  <c r="G308" i="5"/>
  <c r="H308" i="5" s="1"/>
  <c r="G307" i="5"/>
  <c r="H307" i="5" s="1"/>
  <c r="G306" i="5"/>
  <c r="G305" i="5"/>
  <c r="G304" i="5"/>
  <c r="H304" i="5" s="1"/>
  <c r="G303" i="5"/>
  <c r="G302" i="5"/>
  <c r="F302" i="5" s="1"/>
  <c r="G301" i="5"/>
  <c r="G300" i="5"/>
  <c r="H300" i="5" s="1"/>
  <c r="G299" i="5"/>
  <c r="H299" i="5" s="1"/>
  <c r="G298" i="5"/>
  <c r="G297" i="5"/>
  <c r="G296" i="5"/>
  <c r="H296" i="5" s="1"/>
  <c r="G295" i="5"/>
  <c r="G294" i="5"/>
  <c r="F294" i="5" s="1"/>
  <c r="G293" i="5"/>
  <c r="G292" i="5"/>
  <c r="H292" i="5" s="1"/>
  <c r="H291" i="5"/>
  <c r="G291" i="5"/>
  <c r="G290" i="5"/>
  <c r="G289" i="5"/>
  <c r="G288" i="5"/>
  <c r="G287" i="5"/>
  <c r="G286" i="5"/>
  <c r="G285" i="5"/>
  <c r="F285" i="5" s="1"/>
  <c r="G284" i="5"/>
  <c r="G283" i="5"/>
  <c r="G282" i="5"/>
  <c r="G281" i="5"/>
  <c r="G280" i="5"/>
  <c r="G279" i="5"/>
  <c r="G278" i="5"/>
  <c r="G277" i="5"/>
  <c r="F277" i="5" s="1"/>
  <c r="G276" i="5"/>
  <c r="G275" i="5"/>
  <c r="G274" i="5"/>
  <c r="G273" i="5"/>
  <c r="G272" i="5"/>
  <c r="G271" i="5"/>
  <c r="G270" i="5"/>
  <c r="G269" i="5"/>
  <c r="F269" i="5" s="1"/>
  <c r="G268" i="5"/>
  <c r="G267" i="5"/>
  <c r="G266" i="5"/>
  <c r="G265" i="5"/>
  <c r="G264" i="5"/>
  <c r="G263" i="5"/>
  <c r="G262" i="5"/>
  <c r="G261" i="5"/>
  <c r="F261" i="5" s="1"/>
  <c r="G260" i="5"/>
  <c r="G259" i="5"/>
  <c r="G258" i="5"/>
  <c r="G257" i="5"/>
  <c r="G256" i="5"/>
  <c r="G255" i="5"/>
  <c r="G254" i="5"/>
  <c r="G253" i="5"/>
  <c r="F253" i="5" s="1"/>
  <c r="G252" i="5"/>
  <c r="G251" i="5"/>
  <c r="G250" i="5"/>
  <c r="G249" i="5"/>
  <c r="G248" i="5"/>
  <c r="G247" i="5"/>
  <c r="G246" i="5"/>
  <c r="G245" i="5"/>
  <c r="F245" i="5" s="1"/>
  <c r="G244" i="5"/>
  <c r="G243" i="5"/>
  <c r="G242" i="5"/>
  <c r="G241" i="5"/>
  <c r="G240" i="5"/>
  <c r="G239" i="5"/>
  <c r="G238" i="5"/>
  <c r="G237" i="5"/>
  <c r="F237" i="5" s="1"/>
  <c r="G236" i="5"/>
  <c r="G235" i="5"/>
  <c r="G234" i="5"/>
  <c r="G233" i="5"/>
  <c r="G232" i="5"/>
  <c r="G231" i="5"/>
  <c r="G230" i="5"/>
  <c r="G229" i="5"/>
  <c r="F229" i="5" s="1"/>
  <c r="G228" i="5"/>
  <c r="G227" i="5"/>
  <c r="G226" i="5"/>
  <c r="G225" i="5"/>
  <c r="G224" i="5"/>
  <c r="G223" i="5"/>
  <c r="G222" i="5"/>
  <c r="G221" i="5"/>
  <c r="F221" i="5" s="1"/>
  <c r="G220" i="5"/>
  <c r="G219" i="5"/>
  <c r="G218" i="5"/>
  <c r="G217" i="5"/>
  <c r="G216" i="5"/>
  <c r="G215" i="5"/>
  <c r="G214" i="5"/>
  <c r="G213" i="5"/>
  <c r="F213" i="5" s="1"/>
  <c r="G212" i="5"/>
  <c r="G211" i="5"/>
  <c r="G210" i="5"/>
  <c r="G209" i="5"/>
  <c r="G208" i="5"/>
  <c r="G207" i="5"/>
  <c r="G206" i="5"/>
  <c r="G205" i="5"/>
  <c r="F205" i="5" s="1"/>
  <c r="G204" i="5"/>
  <c r="G203" i="5"/>
  <c r="G202" i="5"/>
  <c r="G201" i="5"/>
  <c r="G200" i="5"/>
  <c r="G199" i="5"/>
  <c r="G198" i="5"/>
  <c r="G197" i="5"/>
  <c r="F197" i="5" s="1"/>
  <c r="G196" i="5"/>
  <c r="G195" i="5"/>
  <c r="G194" i="5"/>
  <c r="G193" i="5"/>
  <c r="G192" i="5"/>
  <c r="G191" i="5"/>
  <c r="G190" i="5"/>
  <c r="G189" i="5"/>
  <c r="F189" i="5" s="1"/>
  <c r="G188" i="5"/>
  <c r="G187" i="5"/>
  <c r="G186" i="5"/>
  <c r="G185" i="5"/>
  <c r="G184" i="5"/>
  <c r="G183" i="5"/>
  <c r="G182" i="5"/>
  <c r="G181" i="5"/>
  <c r="F181" i="5" s="1"/>
  <c r="G180" i="5"/>
  <c r="G179" i="5"/>
  <c r="G178" i="5"/>
  <c r="G177" i="5"/>
  <c r="G176" i="5"/>
  <c r="G175" i="5"/>
  <c r="G174" i="5"/>
  <c r="G173" i="5"/>
  <c r="F173" i="5" s="1"/>
  <c r="G172" i="5"/>
  <c r="G171" i="5"/>
  <c r="G170" i="5"/>
  <c r="G169" i="5"/>
  <c r="G168" i="5"/>
  <c r="G167" i="5"/>
  <c r="G166" i="5"/>
  <c r="G165" i="5"/>
  <c r="F165" i="5" s="1"/>
  <c r="G164" i="5"/>
  <c r="G163" i="5"/>
  <c r="G162" i="5"/>
  <c r="G161" i="5"/>
  <c r="G160" i="5"/>
  <c r="G159" i="5"/>
  <c r="G158" i="5"/>
  <c r="G157" i="5"/>
  <c r="F157" i="5" s="1"/>
  <c r="G156" i="5"/>
  <c r="G155" i="5"/>
  <c r="G154" i="5"/>
  <c r="G153" i="5"/>
  <c r="G152" i="5"/>
  <c r="G151" i="5"/>
  <c r="G150" i="5"/>
  <c r="G149" i="5"/>
  <c r="F149" i="5" s="1"/>
  <c r="G148" i="5"/>
  <c r="G147" i="5"/>
  <c r="G146" i="5"/>
  <c r="G145" i="5"/>
  <c r="G144" i="5"/>
  <c r="G143" i="5"/>
  <c r="G142" i="5"/>
  <c r="G141" i="5"/>
  <c r="F141" i="5" s="1"/>
  <c r="G140" i="5"/>
  <c r="G139" i="5"/>
  <c r="G138" i="5"/>
  <c r="G137" i="5"/>
  <c r="G136" i="5"/>
  <c r="G135" i="5"/>
  <c r="G134" i="5"/>
  <c r="G133" i="5"/>
  <c r="F133" i="5" s="1"/>
  <c r="G132" i="5"/>
  <c r="G131" i="5"/>
  <c r="G130" i="5"/>
  <c r="G129" i="5"/>
  <c r="G128" i="5"/>
  <c r="G127" i="5"/>
  <c r="G126" i="5"/>
  <c r="G125" i="5"/>
  <c r="F125" i="5" s="1"/>
  <c r="G124" i="5"/>
  <c r="G123" i="5"/>
  <c r="G122" i="5"/>
  <c r="G121" i="5"/>
  <c r="G120" i="5"/>
  <c r="G119" i="5"/>
  <c r="G118" i="5"/>
  <c r="G117" i="5"/>
  <c r="F117" i="5" s="1"/>
  <c r="G116" i="5"/>
  <c r="G115" i="5"/>
  <c r="G114" i="5"/>
  <c r="G113" i="5"/>
  <c r="G112" i="5"/>
  <c r="G111" i="5"/>
  <c r="G110" i="5"/>
  <c r="G109" i="5"/>
  <c r="F109" i="5" s="1"/>
  <c r="G108" i="5"/>
  <c r="G107" i="5"/>
  <c r="G106" i="5"/>
  <c r="G105" i="5"/>
  <c r="G104" i="5"/>
  <c r="G103" i="5"/>
  <c r="G102" i="5"/>
  <c r="G101" i="5"/>
  <c r="F101" i="5" s="1"/>
  <c r="G100" i="5"/>
  <c r="G99" i="5"/>
  <c r="G98" i="5"/>
  <c r="G97" i="5"/>
  <c r="G96" i="5"/>
  <c r="G95" i="5"/>
  <c r="G94" i="5"/>
  <c r="G93" i="5"/>
  <c r="F93" i="5" s="1"/>
  <c r="G92" i="5"/>
  <c r="G91" i="5"/>
  <c r="G90" i="5"/>
  <c r="G89" i="5"/>
  <c r="G88" i="5"/>
  <c r="G87" i="5"/>
  <c r="G86" i="5"/>
  <c r="G85" i="5"/>
  <c r="F85" i="5" s="1"/>
  <c r="G84" i="5"/>
  <c r="G83" i="5"/>
  <c r="G82" i="5"/>
  <c r="G81" i="5"/>
  <c r="G80" i="5"/>
  <c r="G79" i="5"/>
  <c r="G78" i="5"/>
  <c r="G77" i="5"/>
  <c r="F77" i="5" s="1"/>
  <c r="G76" i="5"/>
  <c r="G75" i="5"/>
  <c r="G74" i="5"/>
  <c r="G73" i="5"/>
  <c r="G72" i="5"/>
  <c r="G71" i="5"/>
  <c r="G70" i="5"/>
  <c r="G69" i="5"/>
  <c r="F69" i="5" s="1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BI15" i="5" s="1"/>
  <c r="G14" i="5"/>
  <c r="G13" i="5"/>
  <c r="G12" i="5"/>
  <c r="G10" i="5"/>
  <c r="F10" i="5"/>
  <c r="G9" i="5"/>
  <c r="G8" i="5"/>
  <c r="G7" i="5"/>
  <c r="BO11" i="5"/>
  <c r="BC11" i="5" s="1"/>
  <c r="BP11" i="5"/>
  <c r="BN8" i="5" l="1"/>
  <c r="AZ8" i="5"/>
  <c r="BL8" i="5"/>
  <c r="BA8" i="5"/>
  <c r="BK8" i="5"/>
  <c r="BM8" i="5" s="1"/>
  <c r="BI8" i="5"/>
  <c r="BL14" i="5"/>
  <c r="BA14" i="5"/>
  <c r="BJ14" i="5"/>
  <c r="BI14" i="5"/>
  <c r="BK14" i="5"/>
  <c r="AZ14" i="5"/>
  <c r="BE14" i="5"/>
  <c r="BM14" i="5"/>
  <c r="BG14" i="5"/>
  <c r="BN14" i="5"/>
  <c r="BD14" i="5"/>
  <c r="BB14" i="5"/>
  <c r="F15" i="5"/>
  <c r="H15" i="5" s="1"/>
  <c r="BJ15" i="5" s="1"/>
  <c r="AZ15" i="5"/>
  <c r="BN15" i="5"/>
  <c r="BK15" i="5"/>
  <c r="BM15" i="5" s="1"/>
  <c r="BL15" i="5"/>
  <c r="BA15" i="5"/>
  <c r="AX13" i="5" a="1"/>
  <c r="AX13" i="5" s="1"/>
  <c r="BE13" i="5" s="1"/>
  <c r="BN13" i="5"/>
  <c r="BL13" i="5"/>
  <c r="BA13" i="5"/>
  <c r="BK13" i="5"/>
  <c r="BM13" i="5" s="1"/>
  <c r="AZ13" i="5"/>
  <c r="BI13" i="5"/>
  <c r="F13" i="5" s="1"/>
  <c r="H13" i="5" s="1"/>
  <c r="BD13" i="5" s="1"/>
  <c r="BN12" i="5"/>
  <c r="BA12" i="5"/>
  <c r="BL12" i="5"/>
  <c r="AZ12" i="5"/>
  <c r="BK12" i="5"/>
  <c r="BM12" i="5" s="1"/>
  <c r="BI12" i="5"/>
  <c r="F687" i="5"/>
  <c r="F623" i="5"/>
  <c r="F719" i="5"/>
  <c r="F655" i="5"/>
  <c r="F747" i="5"/>
  <c r="F595" i="5"/>
  <c r="F723" i="5"/>
  <c r="F683" i="5"/>
  <c r="F611" i="5"/>
  <c r="F675" i="5"/>
  <c r="F739" i="5"/>
  <c r="F627" i="5"/>
  <c r="F691" i="5"/>
  <c r="F643" i="5"/>
  <c r="F707" i="5"/>
  <c r="F587" i="5"/>
  <c r="F651" i="5"/>
  <c r="F715" i="5"/>
  <c r="AX10" i="5" a="1"/>
  <c r="AX10" i="5" s="1"/>
  <c r="H10" i="5"/>
  <c r="F599" i="5"/>
  <c r="F631" i="5"/>
  <c r="F663" i="5"/>
  <c r="F695" i="5"/>
  <c r="F727" i="5"/>
  <c r="F607" i="5"/>
  <c r="F639" i="5"/>
  <c r="F671" i="5"/>
  <c r="F703" i="5"/>
  <c r="F735" i="5"/>
  <c r="AX7" i="5" a="1"/>
  <c r="AX7" i="5" s="1"/>
  <c r="F583" i="5"/>
  <c r="F615" i="5"/>
  <c r="F647" i="5"/>
  <c r="F679" i="5"/>
  <c r="F711" i="5"/>
  <c r="F743" i="5"/>
  <c r="F603" i="5"/>
  <c r="F635" i="5"/>
  <c r="F667" i="5"/>
  <c r="F699" i="5"/>
  <c r="F731" i="5"/>
  <c r="F589" i="5"/>
  <c r="F597" i="5"/>
  <c r="F605" i="5"/>
  <c r="F613" i="5"/>
  <c r="F621" i="5"/>
  <c r="F629" i="5"/>
  <c r="F637" i="5"/>
  <c r="F645" i="5"/>
  <c r="F653" i="5"/>
  <c r="F661" i="5"/>
  <c r="F669" i="5"/>
  <c r="F677" i="5"/>
  <c r="F685" i="5"/>
  <c r="F693" i="5"/>
  <c r="F701" i="5"/>
  <c r="F709" i="5"/>
  <c r="F717" i="5"/>
  <c r="F725" i="5"/>
  <c r="F733" i="5"/>
  <c r="F741" i="5"/>
  <c r="F749" i="5"/>
  <c r="F585" i="5"/>
  <c r="F593" i="5"/>
  <c r="F601" i="5"/>
  <c r="F609" i="5"/>
  <c r="F617" i="5"/>
  <c r="F625" i="5"/>
  <c r="F633" i="5"/>
  <c r="F641" i="5"/>
  <c r="F649" i="5"/>
  <c r="F657" i="5"/>
  <c r="F665" i="5"/>
  <c r="F673" i="5"/>
  <c r="F681" i="5"/>
  <c r="F689" i="5"/>
  <c r="F697" i="5"/>
  <c r="F705" i="5"/>
  <c r="F713" i="5"/>
  <c r="F721" i="5"/>
  <c r="F729" i="5"/>
  <c r="F737" i="5"/>
  <c r="F745" i="5"/>
  <c r="AX17" i="5" a="1"/>
  <c r="AX17" i="5" s="1"/>
  <c r="AX19" i="5" a="1"/>
  <c r="AX19" i="5" s="1"/>
  <c r="AX21" i="5" a="1"/>
  <c r="AX21" i="5" s="1"/>
  <c r="AX23" i="5" a="1"/>
  <c r="AX23" i="5" s="1"/>
  <c r="AX25" i="5" a="1"/>
  <c r="AX25" i="5" s="1"/>
  <c r="AX27" i="5" a="1"/>
  <c r="AX27" i="5" s="1"/>
  <c r="AX29" i="5" a="1"/>
  <c r="AX29" i="5" s="1"/>
  <c r="AX31" i="5" a="1"/>
  <c r="AX31" i="5" s="1"/>
  <c r="AX33" i="5" a="1"/>
  <c r="AX33" i="5" s="1"/>
  <c r="AX35" i="5" a="1"/>
  <c r="AX35" i="5" s="1"/>
  <c r="AX37" i="5" a="1"/>
  <c r="AX37" i="5" s="1"/>
  <c r="AX39" i="5" a="1"/>
  <c r="AX39" i="5" s="1"/>
  <c r="AX41" i="5" a="1"/>
  <c r="AX41" i="5" s="1"/>
  <c r="AX43" i="5" a="1"/>
  <c r="AX43" i="5" s="1"/>
  <c r="AX45" i="5" a="1"/>
  <c r="AX45" i="5" s="1"/>
  <c r="AX47" i="5" a="1"/>
  <c r="AX47" i="5" s="1"/>
  <c r="AX49" i="5" a="1"/>
  <c r="AX49" i="5" s="1"/>
  <c r="AX51" i="5" a="1"/>
  <c r="AX51" i="5" s="1"/>
  <c r="AX53" i="5" a="1"/>
  <c r="AX53" i="5" s="1"/>
  <c r="AX55" i="5" a="1"/>
  <c r="AX55" i="5" s="1"/>
  <c r="AX57" i="5" a="1"/>
  <c r="AX57" i="5" s="1"/>
  <c r="AX59" i="5" a="1"/>
  <c r="AX59" i="5" s="1"/>
  <c r="AX61" i="5" a="1"/>
  <c r="AX61" i="5" s="1"/>
  <c r="AX63" i="5" a="1"/>
  <c r="AX63" i="5" s="1"/>
  <c r="AX65" i="5" a="1"/>
  <c r="AX65" i="5" s="1"/>
  <c r="AX68" i="5" a="1"/>
  <c r="AX68" i="5" s="1"/>
  <c r="AX70" i="5" a="1"/>
  <c r="AX70" i="5" s="1"/>
  <c r="AX73" i="5" a="1"/>
  <c r="AX73" i="5" s="1"/>
  <c r="AX76" i="5" a="1"/>
  <c r="AX76" i="5" s="1"/>
  <c r="AX78" i="5" a="1"/>
  <c r="AX78" i="5" s="1"/>
  <c r="AX81" i="5" a="1"/>
  <c r="AX81" i="5" s="1"/>
  <c r="AX84" i="5" a="1"/>
  <c r="AX84" i="5" s="1"/>
  <c r="AX86" i="5" a="1"/>
  <c r="AX86" i="5" s="1"/>
  <c r="AX89" i="5" a="1"/>
  <c r="AX89" i="5" s="1"/>
  <c r="AX92" i="5" a="1"/>
  <c r="AX92" i="5" s="1"/>
  <c r="AX94" i="5" a="1"/>
  <c r="AX94" i="5" s="1"/>
  <c r="AX97" i="5" a="1"/>
  <c r="AX97" i="5" s="1"/>
  <c r="AX100" i="5" a="1"/>
  <c r="AX100" i="5" s="1"/>
  <c r="AX102" i="5" a="1"/>
  <c r="AX102" i="5" s="1"/>
  <c r="AX105" i="5" a="1"/>
  <c r="AX105" i="5" s="1"/>
  <c r="AX108" i="5" a="1"/>
  <c r="AX108" i="5" s="1"/>
  <c r="AX110" i="5" a="1"/>
  <c r="AX110" i="5" s="1"/>
  <c r="AX113" i="5" a="1"/>
  <c r="AX113" i="5" s="1"/>
  <c r="AX116" i="5" a="1"/>
  <c r="AX116" i="5" s="1"/>
  <c r="AX118" i="5" a="1"/>
  <c r="AX118" i="5" s="1"/>
  <c r="AX121" i="5" a="1"/>
  <c r="AX121" i="5" s="1"/>
  <c r="AX124" i="5" a="1"/>
  <c r="AX124" i="5" s="1"/>
  <c r="AX126" i="5" a="1"/>
  <c r="AX126" i="5" s="1"/>
  <c r="AX129" i="5" a="1"/>
  <c r="AX129" i="5" s="1"/>
  <c r="AX132" i="5" a="1"/>
  <c r="AX132" i="5" s="1"/>
  <c r="AX134" i="5" a="1"/>
  <c r="AX134" i="5" s="1"/>
  <c r="AX137" i="5" a="1"/>
  <c r="AX137" i="5" s="1"/>
  <c r="AX140" i="5" a="1"/>
  <c r="AX140" i="5" s="1"/>
  <c r="AX142" i="5" a="1"/>
  <c r="AX142" i="5" s="1"/>
  <c r="AX145" i="5" a="1"/>
  <c r="AX145" i="5" s="1"/>
  <c r="AX148" i="5" a="1"/>
  <c r="AX148" i="5" s="1"/>
  <c r="AX150" i="5" a="1"/>
  <c r="AX150" i="5" s="1"/>
  <c r="AX153" i="5" a="1"/>
  <c r="AX153" i="5" s="1"/>
  <c r="AX156" i="5" a="1"/>
  <c r="AX156" i="5" s="1"/>
  <c r="AX158" i="5" a="1"/>
  <c r="AX158" i="5" s="1"/>
  <c r="AX161" i="5" a="1"/>
  <c r="AX161" i="5" s="1"/>
  <c r="AX164" i="5" a="1"/>
  <c r="AX164" i="5" s="1"/>
  <c r="AX166" i="5" a="1"/>
  <c r="AX166" i="5" s="1"/>
  <c r="AX169" i="5" a="1"/>
  <c r="AX169" i="5" s="1"/>
  <c r="AX172" i="5" a="1"/>
  <c r="AX172" i="5" s="1"/>
  <c r="AX174" i="5" a="1"/>
  <c r="AX174" i="5" s="1"/>
  <c r="AX177" i="5" a="1"/>
  <c r="AX177" i="5" s="1"/>
  <c r="AX180" i="5" a="1"/>
  <c r="AX180" i="5" s="1"/>
  <c r="AX182" i="5" a="1"/>
  <c r="AX182" i="5" s="1"/>
  <c r="AX185" i="5" a="1"/>
  <c r="AX185" i="5" s="1"/>
  <c r="AX188" i="5" a="1"/>
  <c r="AX188" i="5" s="1"/>
  <c r="AX190" i="5" a="1"/>
  <c r="AX190" i="5" s="1"/>
  <c r="AX193" i="5" a="1"/>
  <c r="AX193" i="5" s="1"/>
  <c r="AX196" i="5" a="1"/>
  <c r="AX196" i="5" s="1"/>
  <c r="AX198" i="5" a="1"/>
  <c r="AX198" i="5" s="1"/>
  <c r="AX201" i="5" a="1"/>
  <c r="AX201" i="5" s="1"/>
  <c r="AX204" i="5" a="1"/>
  <c r="AX204" i="5" s="1"/>
  <c r="AX206" i="5" a="1"/>
  <c r="AX206" i="5" s="1"/>
  <c r="AX209" i="5" a="1"/>
  <c r="AX209" i="5" s="1"/>
  <c r="AX212" i="5" a="1"/>
  <c r="AX212" i="5" s="1"/>
  <c r="AX214" i="5" a="1"/>
  <c r="AX214" i="5" s="1"/>
  <c r="AX217" i="5" a="1"/>
  <c r="AX217" i="5" s="1"/>
  <c r="AX220" i="5" a="1"/>
  <c r="AX220" i="5" s="1"/>
  <c r="AX222" i="5" a="1"/>
  <c r="AX222" i="5" s="1"/>
  <c r="AX225" i="5" a="1"/>
  <c r="AX225" i="5" s="1"/>
  <c r="AX228" i="5" a="1"/>
  <c r="AX228" i="5" s="1"/>
  <c r="AX230" i="5" a="1"/>
  <c r="AX230" i="5" s="1"/>
  <c r="AX233" i="5" a="1"/>
  <c r="AX233" i="5" s="1"/>
  <c r="AX236" i="5" a="1"/>
  <c r="AX236" i="5" s="1"/>
  <c r="AX238" i="5" a="1"/>
  <c r="AX238" i="5" s="1"/>
  <c r="AX241" i="5" a="1"/>
  <c r="AX241" i="5" s="1"/>
  <c r="AX244" i="5" a="1"/>
  <c r="AX244" i="5" s="1"/>
  <c r="AX246" i="5" a="1"/>
  <c r="AX246" i="5" s="1"/>
  <c r="AX249" i="5" a="1"/>
  <c r="AX249" i="5" s="1"/>
  <c r="AX252" i="5" a="1"/>
  <c r="AX252" i="5" s="1"/>
  <c r="AX254" i="5" a="1"/>
  <c r="AX254" i="5" s="1"/>
  <c r="AX257" i="5" a="1"/>
  <c r="AX257" i="5" s="1"/>
  <c r="AX260" i="5" a="1"/>
  <c r="AX260" i="5" s="1"/>
  <c r="AX262" i="5" a="1"/>
  <c r="AX262" i="5" s="1"/>
  <c r="AX265" i="5" a="1"/>
  <c r="AX265" i="5" s="1"/>
  <c r="AX268" i="5" a="1"/>
  <c r="AX268" i="5" s="1"/>
  <c r="AX270" i="5" a="1"/>
  <c r="AX270" i="5" s="1"/>
  <c r="AX273" i="5" a="1"/>
  <c r="AX273" i="5" s="1"/>
  <c r="AX276" i="5" a="1"/>
  <c r="AX276" i="5" s="1"/>
  <c r="AX278" i="5" a="1"/>
  <c r="AX278" i="5" s="1"/>
  <c r="AX281" i="5" a="1"/>
  <c r="AX281" i="5" s="1"/>
  <c r="AX284" i="5" a="1"/>
  <c r="AX284" i="5" s="1"/>
  <c r="AX286" i="5" a="1"/>
  <c r="AX286" i="5" s="1"/>
  <c r="AX289" i="5" a="1"/>
  <c r="AX289" i="5" s="1"/>
  <c r="AX293" i="5" a="1"/>
  <c r="AX293" i="5" s="1"/>
  <c r="AX295" i="5" a="1"/>
  <c r="AX295" i="5" s="1"/>
  <c r="AX297" i="5" a="1"/>
  <c r="AX297" i="5" s="1"/>
  <c r="AX301" i="5" a="1"/>
  <c r="AX301" i="5" s="1"/>
  <c r="AX303" i="5" a="1"/>
  <c r="AX303" i="5" s="1"/>
  <c r="AX305" i="5" a="1"/>
  <c r="AX305" i="5" s="1"/>
  <c r="AX309" i="5" a="1"/>
  <c r="AX309" i="5" s="1"/>
  <c r="AX311" i="5" a="1"/>
  <c r="AX311" i="5" s="1"/>
  <c r="AX313" i="5" a="1"/>
  <c r="AX313" i="5" s="1"/>
  <c r="AX317" i="5" a="1"/>
  <c r="AX317" i="5" s="1"/>
  <c r="AX319" i="5" a="1"/>
  <c r="AX319" i="5" s="1"/>
  <c r="AX321" i="5" a="1"/>
  <c r="AX321" i="5" s="1"/>
  <c r="AX325" i="5" a="1"/>
  <c r="AX325" i="5" s="1"/>
  <c r="AX327" i="5" a="1"/>
  <c r="AX327" i="5" s="1"/>
  <c r="AX329" i="5" a="1"/>
  <c r="AX329" i="5" s="1"/>
  <c r="AX333" i="5" a="1"/>
  <c r="AX333" i="5" s="1"/>
  <c r="AX335" i="5" a="1"/>
  <c r="AX335" i="5" s="1"/>
  <c r="AX337" i="5" a="1"/>
  <c r="AX337" i="5" s="1"/>
  <c r="AX341" i="5" a="1"/>
  <c r="AX341" i="5" s="1"/>
  <c r="AX343" i="5" a="1"/>
  <c r="AX343" i="5" s="1"/>
  <c r="AX345" i="5" a="1"/>
  <c r="AX345" i="5" s="1"/>
  <c r="AX349" i="5" a="1"/>
  <c r="AX349" i="5" s="1"/>
  <c r="AX351" i="5" a="1"/>
  <c r="AX351" i="5" s="1"/>
  <c r="AX353" i="5" a="1"/>
  <c r="AX353" i="5" s="1"/>
  <c r="AX357" i="5" a="1"/>
  <c r="AX357" i="5" s="1"/>
  <c r="AX359" i="5" a="1"/>
  <c r="AX359" i="5" s="1"/>
  <c r="AX361" i="5" a="1"/>
  <c r="AX361" i="5" s="1"/>
  <c r="AX367" i="5" a="1"/>
  <c r="AX367" i="5" s="1"/>
  <c r="AX369" i="5" a="1"/>
  <c r="AX369" i="5" s="1"/>
  <c r="AX371" i="5" a="1"/>
  <c r="AX371" i="5" s="1"/>
  <c r="AX373" i="5" a="1"/>
  <c r="AX373" i="5" s="1"/>
  <c r="AX375" i="5" a="1"/>
  <c r="AX375" i="5" s="1"/>
  <c r="AX377" i="5" a="1"/>
  <c r="AX377" i="5" s="1"/>
  <c r="AX379" i="5" a="1"/>
  <c r="AX379" i="5" s="1"/>
  <c r="AX381" i="5" a="1"/>
  <c r="AX381" i="5" s="1"/>
  <c r="AX383" i="5" a="1"/>
  <c r="AX383" i="5" s="1"/>
  <c r="AX385" i="5" a="1"/>
  <c r="AX385" i="5" s="1"/>
  <c r="AX387" i="5" a="1"/>
  <c r="AX387" i="5" s="1"/>
  <c r="AX389" i="5" a="1"/>
  <c r="AX389" i="5" s="1"/>
  <c r="AX391" i="5" a="1"/>
  <c r="AX391" i="5" s="1"/>
  <c r="AX393" i="5" a="1"/>
  <c r="AX393" i="5" s="1"/>
  <c r="AX395" i="5" a="1"/>
  <c r="AX395" i="5" s="1"/>
  <c r="AX397" i="5" a="1"/>
  <c r="AX397" i="5" s="1"/>
  <c r="AX399" i="5" a="1"/>
  <c r="AX399" i="5" s="1"/>
  <c r="AX401" i="5" a="1"/>
  <c r="AX401" i="5" s="1"/>
  <c r="AX403" i="5" a="1"/>
  <c r="AX403" i="5" s="1"/>
  <c r="AX405" i="5" a="1"/>
  <c r="AX405" i="5" s="1"/>
  <c r="AX407" i="5" a="1"/>
  <c r="AX407" i="5" s="1"/>
  <c r="AX409" i="5" a="1"/>
  <c r="AX409" i="5" s="1"/>
  <c r="AX411" i="5" a="1"/>
  <c r="AX411" i="5" s="1"/>
  <c r="AX413" i="5" a="1"/>
  <c r="AX413" i="5" s="1"/>
  <c r="AX416" i="5" a="1"/>
  <c r="AX416" i="5" s="1"/>
  <c r="AX419" i="5" a="1"/>
  <c r="AX419" i="5" s="1"/>
  <c r="AX421" i="5" a="1"/>
  <c r="AX421" i="5" s="1"/>
  <c r="AX424" i="5" a="1"/>
  <c r="AX424" i="5" s="1"/>
  <c r="AX427" i="5" a="1"/>
  <c r="AX427" i="5" s="1"/>
  <c r="AX429" i="5" a="1"/>
  <c r="AX429" i="5" s="1"/>
  <c r="AX432" i="5" a="1"/>
  <c r="AX432" i="5" s="1"/>
  <c r="AX435" i="5" a="1"/>
  <c r="AX435" i="5" s="1"/>
  <c r="AX437" i="5" a="1"/>
  <c r="AX437" i="5" s="1"/>
  <c r="AX440" i="5" a="1"/>
  <c r="AX440" i="5" s="1"/>
  <c r="AX443" i="5" a="1"/>
  <c r="AX443" i="5" s="1"/>
  <c r="AX445" i="5" a="1"/>
  <c r="AX445" i="5" s="1"/>
  <c r="AX448" i="5" a="1"/>
  <c r="AX448" i="5" s="1"/>
  <c r="AX451" i="5" a="1"/>
  <c r="AX451" i="5" s="1"/>
  <c r="AX453" i="5" a="1"/>
  <c r="AX453" i="5" s="1"/>
  <c r="AX456" i="5" a="1"/>
  <c r="AX456" i="5" s="1"/>
  <c r="AX459" i="5" a="1"/>
  <c r="AX459" i="5" s="1"/>
  <c r="AX461" i="5" a="1"/>
  <c r="AX461" i="5" s="1"/>
  <c r="AX464" i="5" a="1"/>
  <c r="AX464" i="5" s="1"/>
  <c r="AX467" i="5" a="1"/>
  <c r="AX467" i="5" s="1"/>
  <c r="AX469" i="5" a="1"/>
  <c r="AX469" i="5" s="1"/>
  <c r="AX472" i="5" a="1"/>
  <c r="AX472" i="5" s="1"/>
  <c r="AX475" i="5" a="1"/>
  <c r="AX475" i="5" s="1"/>
  <c r="AX477" i="5" a="1"/>
  <c r="AX477" i="5" s="1"/>
  <c r="AX480" i="5" a="1"/>
  <c r="AX480" i="5" s="1"/>
  <c r="AX483" i="5" a="1"/>
  <c r="AX483" i="5" s="1"/>
  <c r="AX485" i="5" a="1"/>
  <c r="AX485" i="5" s="1"/>
  <c r="AX488" i="5" a="1"/>
  <c r="AX488" i="5" s="1"/>
  <c r="AX491" i="5" a="1"/>
  <c r="AX491" i="5" s="1"/>
  <c r="AX493" i="5" a="1"/>
  <c r="AX493" i="5" s="1"/>
  <c r="AX497" i="5" a="1"/>
  <c r="AX497" i="5" s="1"/>
  <c r="AX500" i="5" a="1"/>
  <c r="AX500" i="5" s="1"/>
  <c r="AX503" i="5" a="1"/>
  <c r="AX503" i="5" s="1"/>
  <c r="AX505" i="5" a="1"/>
  <c r="AX505" i="5" s="1"/>
  <c r="AX508" i="5" a="1"/>
  <c r="AX508" i="5" s="1"/>
  <c r="AX511" i="5" a="1"/>
  <c r="AX511" i="5" s="1"/>
  <c r="AX513" i="5" a="1"/>
  <c r="AX513" i="5" s="1"/>
  <c r="AX516" i="5" a="1"/>
  <c r="AX516" i="5" s="1"/>
  <c r="AX520" i="5" a="1"/>
  <c r="AX520" i="5" s="1"/>
  <c r="AX522" i="5" a="1"/>
  <c r="AX522" i="5" s="1"/>
  <c r="AX524" i="5" a="1"/>
  <c r="AX524" i="5" s="1"/>
  <c r="AX528" i="5" a="1"/>
  <c r="AX528" i="5" s="1"/>
  <c r="AX530" i="5" a="1"/>
  <c r="AX530" i="5" s="1"/>
  <c r="AX532" i="5" a="1"/>
  <c r="AX532" i="5" s="1"/>
  <c r="AX536" i="5" a="1"/>
  <c r="AX536" i="5" s="1"/>
  <c r="AX538" i="5" a="1"/>
  <c r="AX538" i="5" s="1"/>
  <c r="AX540" i="5" a="1"/>
  <c r="AX540" i="5" s="1"/>
  <c r="AX544" i="5" a="1"/>
  <c r="AX544" i="5" s="1"/>
  <c r="AX546" i="5" a="1"/>
  <c r="AX546" i="5" s="1"/>
  <c r="AX548" i="5" a="1"/>
  <c r="AX548" i="5" s="1"/>
  <c r="AX552" i="5" a="1"/>
  <c r="AX552" i="5" s="1"/>
  <c r="AX554" i="5" a="1"/>
  <c r="AX554" i="5" s="1"/>
  <c r="AX556" i="5" a="1"/>
  <c r="AX556" i="5" s="1"/>
  <c r="AX560" i="5" a="1"/>
  <c r="AX560" i="5" s="1"/>
  <c r="AX562" i="5" a="1"/>
  <c r="AX562" i="5" s="1"/>
  <c r="AX564" i="5" a="1"/>
  <c r="AX564" i="5" s="1"/>
  <c r="AX568" i="5" a="1"/>
  <c r="AX568" i="5" s="1"/>
  <c r="AX570" i="5" a="1"/>
  <c r="AX570" i="5" s="1"/>
  <c r="AX572" i="5" a="1"/>
  <c r="AX572" i="5" s="1"/>
  <c r="AX576" i="5" a="1"/>
  <c r="AX576" i="5" s="1"/>
  <c r="AX578" i="5" a="1"/>
  <c r="AX578" i="5" s="1"/>
  <c r="AX580" i="5" a="1"/>
  <c r="AX580" i="5" s="1"/>
  <c r="H21" i="5"/>
  <c r="H23" i="5"/>
  <c r="H25" i="5"/>
  <c r="H27" i="5"/>
  <c r="H29" i="5"/>
  <c r="H31" i="5"/>
  <c r="H33" i="5"/>
  <c r="H35" i="5"/>
  <c r="H37" i="5"/>
  <c r="H39" i="5"/>
  <c r="H41" i="5"/>
  <c r="H43" i="5"/>
  <c r="H45" i="5"/>
  <c r="H47" i="5"/>
  <c r="H49" i="5"/>
  <c r="H51" i="5"/>
  <c r="H53" i="5"/>
  <c r="H55" i="5"/>
  <c r="H57" i="5"/>
  <c r="H59" i="5"/>
  <c r="H61" i="5"/>
  <c r="H63" i="5"/>
  <c r="H65" i="5"/>
  <c r="AX71" i="5" a="1"/>
  <c r="AX71" i="5" s="1"/>
  <c r="H73" i="5"/>
  <c r="AX79" i="5" a="1"/>
  <c r="AX79" i="5" s="1"/>
  <c r="H81" i="5"/>
  <c r="AX87" i="5" a="1"/>
  <c r="AX87" i="5" s="1"/>
  <c r="H89" i="5"/>
  <c r="AX95" i="5" a="1"/>
  <c r="AX95" i="5" s="1"/>
  <c r="H97" i="5"/>
  <c r="AX103" i="5" a="1"/>
  <c r="AX103" i="5" s="1"/>
  <c r="H105" i="5"/>
  <c r="AX111" i="5" a="1"/>
  <c r="AX111" i="5" s="1"/>
  <c r="H113" i="5"/>
  <c r="AX119" i="5" a="1"/>
  <c r="AX119" i="5" s="1"/>
  <c r="H121" i="5"/>
  <c r="AX127" i="5" a="1"/>
  <c r="AX127" i="5" s="1"/>
  <c r="H129" i="5"/>
  <c r="AX135" i="5" a="1"/>
  <c r="AX135" i="5" s="1"/>
  <c r="H137" i="5"/>
  <c r="AX143" i="5" a="1"/>
  <c r="AX143" i="5" s="1"/>
  <c r="H145" i="5"/>
  <c r="AX151" i="5" a="1"/>
  <c r="AX151" i="5" s="1"/>
  <c r="H153" i="5"/>
  <c r="AX159" i="5" a="1"/>
  <c r="AX159" i="5" s="1"/>
  <c r="H161" i="5"/>
  <c r="AX167" i="5" a="1"/>
  <c r="AX167" i="5" s="1"/>
  <c r="H169" i="5"/>
  <c r="AX175" i="5" a="1"/>
  <c r="AX175" i="5" s="1"/>
  <c r="H177" i="5"/>
  <c r="AX183" i="5" a="1"/>
  <c r="AX183" i="5" s="1"/>
  <c r="H185" i="5"/>
  <c r="AX191" i="5" a="1"/>
  <c r="AX191" i="5" s="1"/>
  <c r="H193" i="5"/>
  <c r="AX199" i="5" a="1"/>
  <c r="AX199" i="5" s="1"/>
  <c r="H201" i="5"/>
  <c r="AX207" i="5" a="1"/>
  <c r="AX207" i="5" s="1"/>
  <c r="H209" i="5"/>
  <c r="AX215" i="5" a="1"/>
  <c r="AX215" i="5" s="1"/>
  <c r="H217" i="5"/>
  <c r="AX223" i="5" a="1"/>
  <c r="AX223" i="5" s="1"/>
  <c r="H225" i="5"/>
  <c r="AX231" i="5" a="1"/>
  <c r="AX231" i="5" s="1"/>
  <c r="H233" i="5"/>
  <c r="AX239" i="5" a="1"/>
  <c r="AX239" i="5" s="1"/>
  <c r="H241" i="5"/>
  <c r="AX247" i="5" a="1"/>
  <c r="AX247" i="5" s="1"/>
  <c r="H249" i="5"/>
  <c r="AX255" i="5" a="1"/>
  <c r="AX255" i="5" s="1"/>
  <c r="H257" i="5"/>
  <c r="AX263" i="5" a="1"/>
  <c r="AX263" i="5" s="1"/>
  <c r="H265" i="5"/>
  <c r="AX271" i="5" a="1"/>
  <c r="AX271" i="5" s="1"/>
  <c r="H273" i="5"/>
  <c r="AX279" i="5" a="1"/>
  <c r="AX279" i="5" s="1"/>
  <c r="H281" i="5"/>
  <c r="AX287" i="5" a="1"/>
  <c r="AX287" i="5" s="1"/>
  <c r="H289" i="5"/>
  <c r="F292" i="5"/>
  <c r="AX292" i="5" a="1"/>
  <c r="AX292" i="5" s="1"/>
  <c r="H293" i="5"/>
  <c r="F296" i="5"/>
  <c r="AX296" i="5" a="1"/>
  <c r="AX296" i="5" s="1"/>
  <c r="H297" i="5"/>
  <c r="F300" i="5"/>
  <c r="AX300" i="5" a="1"/>
  <c r="AX300" i="5" s="1"/>
  <c r="H301" i="5"/>
  <c r="F304" i="5"/>
  <c r="AX304" i="5" a="1"/>
  <c r="AX304" i="5" s="1"/>
  <c r="H305" i="5"/>
  <c r="F308" i="5"/>
  <c r="AX308" i="5" a="1"/>
  <c r="AX308" i="5" s="1"/>
  <c r="H309" i="5"/>
  <c r="F312" i="5"/>
  <c r="AX312" i="5" a="1"/>
  <c r="AX312" i="5" s="1"/>
  <c r="H313" i="5"/>
  <c r="F316" i="5"/>
  <c r="AX316" i="5" a="1"/>
  <c r="AX316" i="5" s="1"/>
  <c r="H317" i="5"/>
  <c r="F320" i="5"/>
  <c r="AX320" i="5" a="1"/>
  <c r="AX320" i="5" s="1"/>
  <c r="H321" i="5"/>
  <c r="F324" i="5"/>
  <c r="AX324" i="5" a="1"/>
  <c r="AX324" i="5" s="1"/>
  <c r="H325" i="5"/>
  <c r="F328" i="5"/>
  <c r="AX328" i="5" a="1"/>
  <c r="AX328" i="5" s="1"/>
  <c r="H329" i="5"/>
  <c r="F332" i="5"/>
  <c r="AX332" i="5" a="1"/>
  <c r="AX332" i="5" s="1"/>
  <c r="H333" i="5"/>
  <c r="F336" i="5"/>
  <c r="AX336" i="5" a="1"/>
  <c r="AX336" i="5" s="1"/>
  <c r="H337" i="5"/>
  <c r="F340" i="5"/>
  <c r="AX340" i="5" a="1"/>
  <c r="AX340" i="5" s="1"/>
  <c r="H341" i="5"/>
  <c r="F344" i="5"/>
  <c r="AX344" i="5" a="1"/>
  <c r="AX344" i="5" s="1"/>
  <c r="H345" i="5"/>
  <c r="F348" i="5"/>
  <c r="AX348" i="5" a="1"/>
  <c r="AX348" i="5" s="1"/>
  <c r="H349" i="5"/>
  <c r="F352" i="5"/>
  <c r="AX352" i="5" a="1"/>
  <c r="AX352" i="5" s="1"/>
  <c r="H353" i="5"/>
  <c r="F356" i="5"/>
  <c r="AX356" i="5" a="1"/>
  <c r="AX356" i="5" s="1"/>
  <c r="H357" i="5"/>
  <c r="F360" i="5"/>
  <c r="AX360" i="5" a="1"/>
  <c r="AX360" i="5" s="1"/>
  <c r="H361" i="5"/>
  <c r="H365" i="5"/>
  <c r="AX365" i="5" a="1"/>
  <c r="AX365" i="5" s="1"/>
  <c r="AX414" i="5" a="1"/>
  <c r="AX414" i="5" s="1"/>
  <c r="H416" i="5"/>
  <c r="AX422" i="5" a="1"/>
  <c r="AX422" i="5" s="1"/>
  <c r="H424" i="5"/>
  <c r="AX430" i="5" a="1"/>
  <c r="AX430" i="5" s="1"/>
  <c r="H432" i="5"/>
  <c r="AX438" i="5" a="1"/>
  <c r="AX438" i="5" s="1"/>
  <c r="H440" i="5"/>
  <c r="AX446" i="5" a="1"/>
  <c r="AX446" i="5" s="1"/>
  <c r="H448" i="5"/>
  <c r="AX454" i="5" a="1"/>
  <c r="AX454" i="5" s="1"/>
  <c r="H456" i="5"/>
  <c r="AX462" i="5" a="1"/>
  <c r="AX462" i="5" s="1"/>
  <c r="H464" i="5"/>
  <c r="AX470" i="5" a="1"/>
  <c r="AX470" i="5" s="1"/>
  <c r="H472" i="5"/>
  <c r="AX478" i="5" a="1"/>
  <c r="AX478" i="5" s="1"/>
  <c r="H480" i="5"/>
  <c r="AX486" i="5" a="1"/>
  <c r="AX486" i="5" s="1"/>
  <c r="H488" i="5"/>
  <c r="AX494" i="5" a="1"/>
  <c r="AX494" i="5" s="1"/>
  <c r="AX498" i="5" a="1"/>
  <c r="AX498" i="5" s="1"/>
  <c r="H500" i="5"/>
  <c r="AX506" i="5" a="1"/>
  <c r="AX506" i="5" s="1"/>
  <c r="H508" i="5"/>
  <c r="AX514" i="5" a="1"/>
  <c r="AX514" i="5" s="1"/>
  <c r="H516" i="5"/>
  <c r="F519" i="5"/>
  <c r="AX519" i="5" a="1"/>
  <c r="AX519" i="5" s="1"/>
  <c r="H520" i="5"/>
  <c r="F523" i="5"/>
  <c r="AX523" i="5" a="1"/>
  <c r="AX523" i="5" s="1"/>
  <c r="H524" i="5"/>
  <c r="F527" i="5"/>
  <c r="AX527" i="5" a="1"/>
  <c r="AX527" i="5" s="1"/>
  <c r="H528" i="5"/>
  <c r="F531" i="5"/>
  <c r="AX531" i="5" a="1"/>
  <c r="AX531" i="5" s="1"/>
  <c r="H532" i="5"/>
  <c r="F535" i="5"/>
  <c r="AX535" i="5" a="1"/>
  <c r="AX535" i="5" s="1"/>
  <c r="H536" i="5"/>
  <c r="F539" i="5"/>
  <c r="AX539" i="5" a="1"/>
  <c r="AX539" i="5" s="1"/>
  <c r="H540" i="5"/>
  <c r="F543" i="5"/>
  <c r="AX543" i="5" a="1"/>
  <c r="AX543" i="5" s="1"/>
  <c r="H544" i="5"/>
  <c r="F547" i="5"/>
  <c r="AX547" i="5" a="1"/>
  <c r="AX547" i="5" s="1"/>
  <c r="H548" i="5"/>
  <c r="F551" i="5"/>
  <c r="AX551" i="5" a="1"/>
  <c r="AX551" i="5" s="1"/>
  <c r="H552" i="5"/>
  <c r="F555" i="5"/>
  <c r="AX555" i="5" a="1"/>
  <c r="AX555" i="5" s="1"/>
  <c r="H556" i="5"/>
  <c r="F559" i="5"/>
  <c r="AX559" i="5" a="1"/>
  <c r="AX559" i="5" s="1"/>
  <c r="H560" i="5"/>
  <c r="F563" i="5"/>
  <c r="AX563" i="5" a="1"/>
  <c r="AX563" i="5" s="1"/>
  <c r="H564" i="5"/>
  <c r="F567" i="5"/>
  <c r="AX567" i="5" a="1"/>
  <c r="AX567" i="5" s="1"/>
  <c r="H568" i="5"/>
  <c r="F571" i="5"/>
  <c r="AX571" i="5" a="1"/>
  <c r="AX571" i="5" s="1"/>
  <c r="H572" i="5"/>
  <c r="F575" i="5"/>
  <c r="AX575" i="5" a="1"/>
  <c r="AX575" i="5" s="1"/>
  <c r="H576" i="5"/>
  <c r="F579" i="5"/>
  <c r="AX579" i="5" a="1"/>
  <c r="AX579" i="5" s="1"/>
  <c r="H580" i="5"/>
  <c r="AX583" i="5" a="1"/>
  <c r="AX583" i="5" s="1"/>
  <c r="AX585" i="5" a="1"/>
  <c r="AX585" i="5" s="1"/>
  <c r="AX587" i="5" a="1"/>
  <c r="AX587" i="5" s="1"/>
  <c r="AX589" i="5" a="1"/>
  <c r="AX589" i="5" s="1"/>
  <c r="AX591" i="5" a="1"/>
  <c r="AX591" i="5" s="1"/>
  <c r="AX593" i="5" a="1"/>
  <c r="AX593" i="5" s="1"/>
  <c r="AX595" i="5" a="1"/>
  <c r="AX595" i="5" s="1"/>
  <c r="AX597" i="5" a="1"/>
  <c r="AX597" i="5" s="1"/>
  <c r="AX599" i="5" a="1"/>
  <c r="AX599" i="5" s="1"/>
  <c r="AX601" i="5" a="1"/>
  <c r="AX601" i="5" s="1"/>
  <c r="AX603" i="5" a="1"/>
  <c r="AX603" i="5" s="1"/>
  <c r="AX605" i="5" a="1"/>
  <c r="AX605" i="5" s="1"/>
  <c r="AX607" i="5" a="1"/>
  <c r="AX607" i="5" s="1"/>
  <c r="AX609" i="5" a="1"/>
  <c r="AX609" i="5" s="1"/>
  <c r="AX611" i="5" a="1"/>
  <c r="AX611" i="5" s="1"/>
  <c r="AX613" i="5" a="1"/>
  <c r="AX613" i="5" s="1"/>
  <c r="AX615" i="5" a="1"/>
  <c r="AX615" i="5" s="1"/>
  <c r="AX617" i="5" a="1"/>
  <c r="AX617" i="5" s="1"/>
  <c r="AX619" i="5" a="1"/>
  <c r="AX619" i="5" s="1"/>
  <c r="AX621" i="5" a="1"/>
  <c r="AX621" i="5" s="1"/>
  <c r="AX623" i="5" a="1"/>
  <c r="AX623" i="5" s="1"/>
  <c r="AX625" i="5" a="1"/>
  <c r="AX625" i="5" s="1"/>
  <c r="AX627" i="5" a="1"/>
  <c r="AX627" i="5" s="1"/>
  <c r="AX629" i="5" a="1"/>
  <c r="AX629" i="5" s="1"/>
  <c r="AX631" i="5" a="1"/>
  <c r="AX631" i="5" s="1"/>
  <c r="AX633" i="5" a="1"/>
  <c r="AX633" i="5" s="1"/>
  <c r="AX635" i="5" a="1"/>
  <c r="AX635" i="5" s="1"/>
  <c r="AX637" i="5" a="1"/>
  <c r="AX637" i="5" s="1"/>
  <c r="AX639" i="5" a="1"/>
  <c r="AX639" i="5" s="1"/>
  <c r="AX641" i="5" a="1"/>
  <c r="AX641" i="5" s="1"/>
  <c r="AX643" i="5" a="1"/>
  <c r="AX643" i="5" s="1"/>
  <c r="AX645" i="5" a="1"/>
  <c r="AX645" i="5" s="1"/>
  <c r="AX647" i="5" a="1"/>
  <c r="AX647" i="5" s="1"/>
  <c r="AX649" i="5" a="1"/>
  <c r="AX649" i="5" s="1"/>
  <c r="AX651" i="5" a="1"/>
  <c r="AX651" i="5" s="1"/>
  <c r="AX653" i="5" a="1"/>
  <c r="AX653" i="5" s="1"/>
  <c r="AX655" i="5" a="1"/>
  <c r="AX655" i="5" s="1"/>
  <c r="AX657" i="5" a="1"/>
  <c r="AX657" i="5" s="1"/>
  <c r="AX659" i="5" a="1"/>
  <c r="AX659" i="5" s="1"/>
  <c r="AX661" i="5" a="1"/>
  <c r="AX661" i="5" s="1"/>
  <c r="AX663" i="5" a="1"/>
  <c r="AX663" i="5" s="1"/>
  <c r="AX665" i="5" a="1"/>
  <c r="AX665" i="5" s="1"/>
  <c r="AX667" i="5" a="1"/>
  <c r="AX667" i="5" s="1"/>
  <c r="AX669" i="5" a="1"/>
  <c r="AX669" i="5" s="1"/>
  <c r="AX671" i="5" a="1"/>
  <c r="AX671" i="5" s="1"/>
  <c r="AX673" i="5" a="1"/>
  <c r="AX673" i="5" s="1"/>
  <c r="AX675" i="5" a="1"/>
  <c r="AX675" i="5" s="1"/>
  <c r="AX677" i="5" a="1"/>
  <c r="AX677" i="5" s="1"/>
  <c r="AX679" i="5" a="1"/>
  <c r="AX679" i="5" s="1"/>
  <c r="AX681" i="5" a="1"/>
  <c r="AX681" i="5" s="1"/>
  <c r="AX683" i="5" a="1"/>
  <c r="AX683" i="5" s="1"/>
  <c r="AX685" i="5" a="1"/>
  <c r="AX685" i="5" s="1"/>
  <c r="AX687" i="5" a="1"/>
  <c r="AX687" i="5" s="1"/>
  <c r="AX689" i="5" a="1"/>
  <c r="AX689" i="5" s="1"/>
  <c r="AX691" i="5" a="1"/>
  <c r="AX691" i="5" s="1"/>
  <c r="AX693" i="5" a="1"/>
  <c r="AX693" i="5" s="1"/>
  <c r="AX695" i="5" a="1"/>
  <c r="AX695" i="5" s="1"/>
  <c r="AX697" i="5" a="1"/>
  <c r="AX697" i="5" s="1"/>
  <c r="AX699" i="5" a="1"/>
  <c r="AX699" i="5" s="1"/>
  <c r="AX701" i="5" a="1"/>
  <c r="AX701" i="5" s="1"/>
  <c r="AX703" i="5" a="1"/>
  <c r="AX703" i="5" s="1"/>
  <c r="AX705" i="5" a="1"/>
  <c r="AX705" i="5" s="1"/>
  <c r="AX707" i="5" a="1"/>
  <c r="AX707" i="5" s="1"/>
  <c r="AX709" i="5" a="1"/>
  <c r="AX709" i="5" s="1"/>
  <c r="AX711" i="5" a="1"/>
  <c r="AX711" i="5" s="1"/>
  <c r="AX713" i="5" a="1"/>
  <c r="AX713" i="5" s="1"/>
  <c r="AX715" i="5" a="1"/>
  <c r="AX715" i="5" s="1"/>
  <c r="AX717" i="5" a="1"/>
  <c r="AX717" i="5" s="1"/>
  <c r="AX719" i="5" a="1"/>
  <c r="AX719" i="5" s="1"/>
  <c r="AX721" i="5" a="1"/>
  <c r="AX721" i="5" s="1"/>
  <c r="AX723" i="5" a="1"/>
  <c r="AX723" i="5" s="1"/>
  <c r="AX725" i="5" a="1"/>
  <c r="AX725" i="5" s="1"/>
  <c r="AX727" i="5" a="1"/>
  <c r="AX727" i="5" s="1"/>
  <c r="AX729" i="5" a="1"/>
  <c r="AX729" i="5" s="1"/>
  <c r="AX731" i="5" a="1"/>
  <c r="AX731" i="5" s="1"/>
  <c r="AX733" i="5" a="1"/>
  <c r="AX733" i="5" s="1"/>
  <c r="AX735" i="5" a="1"/>
  <c r="AX735" i="5" s="1"/>
  <c r="AX737" i="5" a="1"/>
  <c r="AX737" i="5" s="1"/>
  <c r="AX739" i="5" a="1"/>
  <c r="AX739" i="5" s="1"/>
  <c r="AX741" i="5" a="1"/>
  <c r="AX741" i="5" s="1"/>
  <c r="AX743" i="5" a="1"/>
  <c r="AX743" i="5" s="1"/>
  <c r="AX745" i="5" a="1"/>
  <c r="AX745" i="5" s="1"/>
  <c r="AX747" i="5" a="1"/>
  <c r="AX747" i="5" s="1"/>
  <c r="AX749" i="5" a="1"/>
  <c r="AX749" i="5" s="1"/>
  <c r="F14" i="5"/>
  <c r="H14" i="5" s="1"/>
  <c r="AX16" i="5" a="1"/>
  <c r="AX16" i="5" s="1"/>
  <c r="AX18" i="5" a="1"/>
  <c r="AX18" i="5" s="1"/>
  <c r="F18" i="5"/>
  <c r="H18" i="5" s="1"/>
  <c r="AX20" i="5" a="1"/>
  <c r="AX20" i="5" s="1"/>
  <c r="AX22" i="5" a="1"/>
  <c r="AX22" i="5" s="1"/>
  <c r="F22" i="5"/>
  <c r="H22" i="5" s="1"/>
  <c r="AX24" i="5" a="1"/>
  <c r="AX24" i="5" s="1"/>
  <c r="AX26" i="5" a="1"/>
  <c r="AX26" i="5" s="1"/>
  <c r="AX28" i="5" a="1"/>
  <c r="AX28" i="5" s="1"/>
  <c r="AX30" i="5" a="1"/>
  <c r="AX30" i="5" s="1"/>
  <c r="AX32" i="5" a="1"/>
  <c r="AX32" i="5" s="1"/>
  <c r="AX34" i="5" a="1"/>
  <c r="AX34" i="5" s="1"/>
  <c r="AX36" i="5" a="1"/>
  <c r="AX36" i="5" s="1"/>
  <c r="AX38" i="5" a="1"/>
  <c r="AX38" i="5" s="1"/>
  <c r="AX40" i="5" a="1"/>
  <c r="AX40" i="5" s="1"/>
  <c r="AX42" i="5" a="1"/>
  <c r="AX42" i="5" s="1"/>
  <c r="AX44" i="5" a="1"/>
  <c r="AX44" i="5" s="1"/>
  <c r="AX46" i="5" a="1"/>
  <c r="AX46" i="5" s="1"/>
  <c r="AX48" i="5" a="1"/>
  <c r="AX48" i="5" s="1"/>
  <c r="AX50" i="5" a="1"/>
  <c r="AX50" i="5" s="1"/>
  <c r="AX52" i="5" a="1"/>
  <c r="AX52" i="5" s="1"/>
  <c r="AX54" i="5" a="1"/>
  <c r="AX54" i="5" s="1"/>
  <c r="AX56" i="5" a="1"/>
  <c r="AX56" i="5" s="1"/>
  <c r="AX58" i="5" a="1"/>
  <c r="AX58" i="5" s="1"/>
  <c r="AX60" i="5" a="1"/>
  <c r="AX60" i="5" s="1"/>
  <c r="AX62" i="5" a="1"/>
  <c r="AX62" i="5" s="1"/>
  <c r="AX64" i="5" a="1"/>
  <c r="AX64" i="5" s="1"/>
  <c r="AX66" i="5" a="1"/>
  <c r="AX66" i="5" s="1"/>
  <c r="AX69" i="5" a="1"/>
  <c r="AX69" i="5" s="1"/>
  <c r="AX72" i="5" a="1"/>
  <c r="AX72" i="5" s="1"/>
  <c r="AX74" i="5" a="1"/>
  <c r="AX74" i="5" s="1"/>
  <c r="AX77" i="5" a="1"/>
  <c r="AX77" i="5" s="1"/>
  <c r="AX80" i="5" a="1"/>
  <c r="AX80" i="5" s="1"/>
  <c r="AX82" i="5" a="1"/>
  <c r="AX82" i="5" s="1"/>
  <c r="AX85" i="5" a="1"/>
  <c r="AX85" i="5" s="1"/>
  <c r="AX88" i="5" a="1"/>
  <c r="AX88" i="5" s="1"/>
  <c r="AX90" i="5" a="1"/>
  <c r="AX90" i="5" s="1"/>
  <c r="AX93" i="5" a="1"/>
  <c r="AX93" i="5" s="1"/>
  <c r="AX96" i="5" a="1"/>
  <c r="AX96" i="5" s="1"/>
  <c r="AX98" i="5" a="1"/>
  <c r="AX98" i="5" s="1"/>
  <c r="AX101" i="5" a="1"/>
  <c r="AX101" i="5" s="1"/>
  <c r="AX104" i="5" a="1"/>
  <c r="AX104" i="5" s="1"/>
  <c r="AX106" i="5" a="1"/>
  <c r="AX106" i="5" s="1"/>
  <c r="AX109" i="5" a="1"/>
  <c r="AX109" i="5" s="1"/>
  <c r="AX112" i="5" a="1"/>
  <c r="AX112" i="5" s="1"/>
  <c r="AX114" i="5" a="1"/>
  <c r="AX114" i="5" s="1"/>
  <c r="AX117" i="5" a="1"/>
  <c r="AX117" i="5" s="1"/>
  <c r="AX120" i="5" a="1"/>
  <c r="AX120" i="5" s="1"/>
  <c r="AX122" i="5" a="1"/>
  <c r="AX122" i="5" s="1"/>
  <c r="AX125" i="5" a="1"/>
  <c r="AX125" i="5" s="1"/>
  <c r="AX128" i="5" a="1"/>
  <c r="AX128" i="5" s="1"/>
  <c r="AX130" i="5" a="1"/>
  <c r="AX130" i="5" s="1"/>
  <c r="AX133" i="5" a="1"/>
  <c r="AX133" i="5" s="1"/>
  <c r="AX136" i="5" a="1"/>
  <c r="AX136" i="5" s="1"/>
  <c r="AX138" i="5" a="1"/>
  <c r="AX138" i="5" s="1"/>
  <c r="AX141" i="5" a="1"/>
  <c r="AX141" i="5" s="1"/>
  <c r="AX144" i="5" a="1"/>
  <c r="AX144" i="5" s="1"/>
  <c r="AX146" i="5" a="1"/>
  <c r="AX146" i="5" s="1"/>
  <c r="AX149" i="5" a="1"/>
  <c r="AX149" i="5" s="1"/>
  <c r="AX152" i="5" a="1"/>
  <c r="AX152" i="5" s="1"/>
  <c r="AX154" i="5" a="1"/>
  <c r="AX154" i="5" s="1"/>
  <c r="AX157" i="5" a="1"/>
  <c r="AX157" i="5" s="1"/>
  <c r="AX160" i="5" a="1"/>
  <c r="AX160" i="5" s="1"/>
  <c r="AX162" i="5" a="1"/>
  <c r="AX162" i="5" s="1"/>
  <c r="AX165" i="5" a="1"/>
  <c r="AX165" i="5" s="1"/>
  <c r="AX168" i="5" a="1"/>
  <c r="AX168" i="5" s="1"/>
  <c r="AX170" i="5" a="1"/>
  <c r="AX170" i="5" s="1"/>
  <c r="AX173" i="5" a="1"/>
  <c r="AX173" i="5" s="1"/>
  <c r="AX176" i="5" a="1"/>
  <c r="AX176" i="5" s="1"/>
  <c r="AX178" i="5" a="1"/>
  <c r="AX178" i="5" s="1"/>
  <c r="AX181" i="5" a="1"/>
  <c r="AX181" i="5" s="1"/>
  <c r="AX184" i="5" a="1"/>
  <c r="AX184" i="5" s="1"/>
  <c r="AX186" i="5" a="1"/>
  <c r="AX186" i="5" s="1"/>
  <c r="AX189" i="5" a="1"/>
  <c r="AX189" i="5" s="1"/>
  <c r="AX192" i="5" a="1"/>
  <c r="AX192" i="5" s="1"/>
  <c r="AX194" i="5" a="1"/>
  <c r="AX194" i="5" s="1"/>
  <c r="AX197" i="5" a="1"/>
  <c r="AX197" i="5" s="1"/>
  <c r="AX200" i="5" a="1"/>
  <c r="AX200" i="5" s="1"/>
  <c r="AX202" i="5" a="1"/>
  <c r="AX202" i="5" s="1"/>
  <c r="AX205" i="5" a="1"/>
  <c r="AX205" i="5" s="1"/>
  <c r="AX208" i="5" a="1"/>
  <c r="AX208" i="5" s="1"/>
  <c r="AX210" i="5" a="1"/>
  <c r="AX210" i="5" s="1"/>
  <c r="AX213" i="5" a="1"/>
  <c r="AX213" i="5" s="1"/>
  <c r="AX216" i="5" a="1"/>
  <c r="AX216" i="5" s="1"/>
  <c r="AX218" i="5" a="1"/>
  <c r="AX218" i="5" s="1"/>
  <c r="AX221" i="5" a="1"/>
  <c r="AX221" i="5" s="1"/>
  <c r="AX224" i="5" a="1"/>
  <c r="AX224" i="5" s="1"/>
  <c r="AX226" i="5" a="1"/>
  <c r="AX226" i="5" s="1"/>
  <c r="AX229" i="5" a="1"/>
  <c r="AX229" i="5" s="1"/>
  <c r="AX232" i="5" a="1"/>
  <c r="AX232" i="5" s="1"/>
  <c r="AX234" i="5" a="1"/>
  <c r="AX234" i="5" s="1"/>
  <c r="AX237" i="5" a="1"/>
  <c r="AX237" i="5" s="1"/>
  <c r="AX240" i="5" a="1"/>
  <c r="AX240" i="5" s="1"/>
  <c r="AX242" i="5" a="1"/>
  <c r="AX242" i="5" s="1"/>
  <c r="AX245" i="5" a="1"/>
  <c r="AX245" i="5" s="1"/>
  <c r="AX248" i="5" a="1"/>
  <c r="AX248" i="5" s="1"/>
  <c r="AX250" i="5" a="1"/>
  <c r="AX250" i="5" s="1"/>
  <c r="AX253" i="5" a="1"/>
  <c r="AX253" i="5" s="1"/>
  <c r="AX256" i="5" a="1"/>
  <c r="AX256" i="5" s="1"/>
  <c r="AX258" i="5" a="1"/>
  <c r="AX258" i="5" s="1"/>
  <c r="AX261" i="5" a="1"/>
  <c r="AX261" i="5" s="1"/>
  <c r="AX264" i="5" a="1"/>
  <c r="AX264" i="5" s="1"/>
  <c r="AX266" i="5" a="1"/>
  <c r="AX266" i="5" s="1"/>
  <c r="AX269" i="5" a="1"/>
  <c r="AX269" i="5" s="1"/>
  <c r="AX272" i="5" a="1"/>
  <c r="AX272" i="5" s="1"/>
  <c r="AX274" i="5" a="1"/>
  <c r="AX274" i="5" s="1"/>
  <c r="AX277" i="5" a="1"/>
  <c r="AX277" i="5" s="1"/>
  <c r="AX280" i="5" a="1"/>
  <c r="AX280" i="5" s="1"/>
  <c r="AX282" i="5" a="1"/>
  <c r="AX282" i="5" s="1"/>
  <c r="AX285" i="5" a="1"/>
  <c r="AX285" i="5" s="1"/>
  <c r="AX288" i="5" a="1"/>
  <c r="AX288" i="5" s="1"/>
  <c r="AX290" i="5" a="1"/>
  <c r="AX290" i="5" s="1"/>
  <c r="AX298" i="5" a="1"/>
  <c r="AX298" i="5" s="1"/>
  <c r="AX306" i="5" a="1"/>
  <c r="AX306" i="5" s="1"/>
  <c r="AX314" i="5" a="1"/>
  <c r="AX314" i="5" s="1"/>
  <c r="AX322" i="5" a="1"/>
  <c r="AX322" i="5" s="1"/>
  <c r="AX330" i="5" a="1"/>
  <c r="AX330" i="5" s="1"/>
  <c r="AX338" i="5" a="1"/>
  <c r="AX338" i="5" s="1"/>
  <c r="AX346" i="5" a="1"/>
  <c r="AX346" i="5" s="1"/>
  <c r="AX354" i="5" a="1"/>
  <c r="AX354" i="5" s="1"/>
  <c r="AX362" i="5" a="1"/>
  <c r="AX362" i="5" s="1"/>
  <c r="AX364" i="5" a="1"/>
  <c r="AX364" i="5" s="1"/>
  <c r="F366" i="5"/>
  <c r="AX366" i="5" a="1"/>
  <c r="AX366" i="5" s="1"/>
  <c r="AX368" i="5" a="1"/>
  <c r="AX368" i="5" s="1"/>
  <c r="AX370" i="5" a="1"/>
  <c r="AX370" i="5" s="1"/>
  <c r="AX372" i="5" a="1"/>
  <c r="AX372" i="5" s="1"/>
  <c r="AX374" i="5" a="1"/>
  <c r="AX374" i="5" s="1"/>
  <c r="AX376" i="5" a="1"/>
  <c r="AX376" i="5" s="1"/>
  <c r="AX378" i="5" a="1"/>
  <c r="AX378" i="5" s="1"/>
  <c r="AX380" i="5" a="1"/>
  <c r="AX380" i="5" s="1"/>
  <c r="AX382" i="5" a="1"/>
  <c r="AX382" i="5" s="1"/>
  <c r="AX384" i="5" a="1"/>
  <c r="AX384" i="5" s="1"/>
  <c r="AX386" i="5" a="1"/>
  <c r="AX386" i="5" s="1"/>
  <c r="AX388" i="5" a="1"/>
  <c r="AX388" i="5" s="1"/>
  <c r="AX390" i="5" a="1"/>
  <c r="AX390" i="5" s="1"/>
  <c r="AX392" i="5" a="1"/>
  <c r="AX392" i="5" s="1"/>
  <c r="AX394" i="5" a="1"/>
  <c r="AX394" i="5" s="1"/>
  <c r="AX396" i="5" a="1"/>
  <c r="AX396" i="5" s="1"/>
  <c r="AX398" i="5" a="1"/>
  <c r="AX398" i="5" s="1"/>
  <c r="AX400" i="5" a="1"/>
  <c r="AX400" i="5" s="1"/>
  <c r="AX402" i="5" a="1"/>
  <c r="AX402" i="5" s="1"/>
  <c r="AX404" i="5" a="1"/>
  <c r="AX404" i="5" s="1"/>
  <c r="AX406" i="5" a="1"/>
  <c r="AX406" i="5" s="1"/>
  <c r="AX408" i="5" a="1"/>
  <c r="AX408" i="5" s="1"/>
  <c r="AX410" i="5" a="1"/>
  <c r="AX410" i="5" s="1"/>
  <c r="AX412" i="5" a="1"/>
  <c r="AX412" i="5" s="1"/>
  <c r="AX415" i="5" a="1"/>
  <c r="AX415" i="5" s="1"/>
  <c r="AX417" i="5" a="1"/>
  <c r="AX417" i="5" s="1"/>
  <c r="AX420" i="5" a="1"/>
  <c r="AX420" i="5" s="1"/>
  <c r="AX423" i="5" a="1"/>
  <c r="AX423" i="5" s="1"/>
  <c r="AX425" i="5" a="1"/>
  <c r="AX425" i="5" s="1"/>
  <c r="AX428" i="5" a="1"/>
  <c r="AX428" i="5" s="1"/>
  <c r="AX431" i="5" a="1"/>
  <c r="AX431" i="5" s="1"/>
  <c r="AX433" i="5" a="1"/>
  <c r="AX433" i="5" s="1"/>
  <c r="AX436" i="5" a="1"/>
  <c r="AX436" i="5" s="1"/>
  <c r="AX439" i="5" a="1"/>
  <c r="AX439" i="5" s="1"/>
  <c r="AX441" i="5" a="1"/>
  <c r="AX441" i="5" s="1"/>
  <c r="AX444" i="5" a="1"/>
  <c r="AX444" i="5" s="1"/>
  <c r="AX447" i="5" a="1"/>
  <c r="AX447" i="5" s="1"/>
  <c r="AX449" i="5" a="1"/>
  <c r="AX449" i="5" s="1"/>
  <c r="AX452" i="5" a="1"/>
  <c r="AX452" i="5" s="1"/>
  <c r="AX455" i="5" a="1"/>
  <c r="AX455" i="5" s="1"/>
  <c r="AX457" i="5" a="1"/>
  <c r="AX457" i="5" s="1"/>
  <c r="AX460" i="5" a="1"/>
  <c r="AX460" i="5" s="1"/>
  <c r="AX463" i="5" a="1"/>
  <c r="AX463" i="5" s="1"/>
  <c r="AX465" i="5" a="1"/>
  <c r="AX465" i="5" s="1"/>
  <c r="AX468" i="5" a="1"/>
  <c r="AX468" i="5" s="1"/>
  <c r="AX471" i="5" a="1"/>
  <c r="AX471" i="5" s="1"/>
  <c r="AX473" i="5" a="1"/>
  <c r="AX473" i="5" s="1"/>
  <c r="AX476" i="5" a="1"/>
  <c r="AX476" i="5" s="1"/>
  <c r="AX479" i="5" a="1"/>
  <c r="AX479" i="5" s="1"/>
  <c r="AX481" i="5" a="1"/>
  <c r="AX481" i="5" s="1"/>
  <c r="AX484" i="5" a="1"/>
  <c r="AX484" i="5" s="1"/>
  <c r="AX487" i="5" a="1"/>
  <c r="AX487" i="5" s="1"/>
  <c r="AX489" i="5" a="1"/>
  <c r="AX489" i="5" s="1"/>
  <c r="AX492" i="5" a="1"/>
  <c r="AX492" i="5" s="1"/>
  <c r="AX495" i="5" a="1"/>
  <c r="AX495" i="5" s="1"/>
  <c r="AX499" i="5" a="1"/>
  <c r="AX499" i="5" s="1"/>
  <c r="AX501" i="5" a="1"/>
  <c r="AX501" i="5" s="1"/>
  <c r="AX504" i="5" a="1"/>
  <c r="AX504" i="5" s="1"/>
  <c r="AX507" i="5" a="1"/>
  <c r="AX507" i="5" s="1"/>
  <c r="AX509" i="5" a="1"/>
  <c r="AX509" i="5" s="1"/>
  <c r="AX512" i="5" a="1"/>
  <c r="AX512" i="5" s="1"/>
  <c r="AX515" i="5" a="1"/>
  <c r="AX515" i="5" s="1"/>
  <c r="AX517" i="5" a="1"/>
  <c r="AX517" i="5" s="1"/>
  <c r="AX525" i="5" a="1"/>
  <c r="AX525" i="5" s="1"/>
  <c r="AX533" i="5" a="1"/>
  <c r="AX533" i="5" s="1"/>
  <c r="AX541" i="5" a="1"/>
  <c r="AX541" i="5" s="1"/>
  <c r="AX549" i="5" a="1"/>
  <c r="AX549" i="5" s="1"/>
  <c r="AX557" i="5" a="1"/>
  <c r="AX557" i="5" s="1"/>
  <c r="AX565" i="5" a="1"/>
  <c r="AX565" i="5" s="1"/>
  <c r="AX573" i="5" a="1"/>
  <c r="AX573" i="5" s="1"/>
  <c r="AX581" i="5" a="1"/>
  <c r="AX581" i="5" s="1"/>
  <c r="F17" i="5"/>
  <c r="H17" i="5" s="1"/>
  <c r="F19" i="5"/>
  <c r="H19" i="5" s="1"/>
  <c r="F21" i="5"/>
  <c r="F23" i="5"/>
  <c r="F25" i="5"/>
  <c r="F27" i="5"/>
  <c r="F29" i="5"/>
  <c r="F31" i="5"/>
  <c r="F33" i="5"/>
  <c r="F35" i="5"/>
  <c r="F37" i="5"/>
  <c r="F39" i="5"/>
  <c r="F41" i="5"/>
  <c r="F43" i="5"/>
  <c r="F45" i="5"/>
  <c r="F47" i="5"/>
  <c r="F49" i="5"/>
  <c r="F51" i="5"/>
  <c r="F53" i="5"/>
  <c r="F55" i="5"/>
  <c r="F57" i="5"/>
  <c r="F59" i="5"/>
  <c r="F61" i="5"/>
  <c r="F63" i="5"/>
  <c r="F65" i="5"/>
  <c r="AX67" i="5" a="1"/>
  <c r="AX67" i="5" s="1"/>
  <c r="H69" i="5"/>
  <c r="F73" i="5"/>
  <c r="AX75" i="5" a="1"/>
  <c r="AX75" i="5" s="1"/>
  <c r="H77" i="5"/>
  <c r="F81" i="5"/>
  <c r="AX83" i="5" a="1"/>
  <c r="AX83" i="5" s="1"/>
  <c r="H85" i="5"/>
  <c r="F89" i="5"/>
  <c r="AX91" i="5" a="1"/>
  <c r="AX91" i="5" s="1"/>
  <c r="H93" i="5"/>
  <c r="F97" i="5"/>
  <c r="AX99" i="5" a="1"/>
  <c r="AX99" i="5" s="1"/>
  <c r="H101" i="5"/>
  <c r="F105" i="5"/>
  <c r="AX107" i="5" a="1"/>
  <c r="AX107" i="5" s="1"/>
  <c r="H109" i="5"/>
  <c r="F113" i="5"/>
  <c r="AX115" i="5" a="1"/>
  <c r="AX115" i="5" s="1"/>
  <c r="H117" i="5"/>
  <c r="F121" i="5"/>
  <c r="AX123" i="5" a="1"/>
  <c r="AX123" i="5" s="1"/>
  <c r="H125" i="5"/>
  <c r="F129" i="5"/>
  <c r="AX131" i="5" a="1"/>
  <c r="AX131" i="5" s="1"/>
  <c r="H133" i="5"/>
  <c r="F137" i="5"/>
  <c r="AX139" i="5" a="1"/>
  <c r="AX139" i="5" s="1"/>
  <c r="H141" i="5"/>
  <c r="F145" i="5"/>
  <c r="AX147" i="5" a="1"/>
  <c r="AX147" i="5" s="1"/>
  <c r="H149" i="5"/>
  <c r="F153" i="5"/>
  <c r="AX155" i="5" a="1"/>
  <c r="AX155" i="5" s="1"/>
  <c r="H157" i="5"/>
  <c r="F161" i="5"/>
  <c r="AX163" i="5" a="1"/>
  <c r="AX163" i="5" s="1"/>
  <c r="H165" i="5"/>
  <c r="F169" i="5"/>
  <c r="AX171" i="5" a="1"/>
  <c r="AX171" i="5" s="1"/>
  <c r="H173" i="5"/>
  <c r="F177" i="5"/>
  <c r="AX179" i="5" a="1"/>
  <c r="AX179" i="5" s="1"/>
  <c r="H181" i="5"/>
  <c r="F185" i="5"/>
  <c r="AX187" i="5" a="1"/>
  <c r="AX187" i="5" s="1"/>
  <c r="H189" i="5"/>
  <c r="F193" i="5"/>
  <c r="AX195" i="5" a="1"/>
  <c r="AX195" i="5" s="1"/>
  <c r="H197" i="5"/>
  <c r="F201" i="5"/>
  <c r="AX203" i="5" a="1"/>
  <c r="AX203" i="5" s="1"/>
  <c r="H205" i="5"/>
  <c r="F209" i="5"/>
  <c r="AX211" i="5" a="1"/>
  <c r="AX211" i="5" s="1"/>
  <c r="H213" i="5"/>
  <c r="F217" i="5"/>
  <c r="AX219" i="5" a="1"/>
  <c r="AX219" i="5" s="1"/>
  <c r="H221" i="5"/>
  <c r="F225" i="5"/>
  <c r="AX227" i="5" a="1"/>
  <c r="AX227" i="5" s="1"/>
  <c r="H229" i="5"/>
  <c r="F233" i="5"/>
  <c r="AX235" i="5" a="1"/>
  <c r="AX235" i="5" s="1"/>
  <c r="H237" i="5"/>
  <c r="F241" i="5"/>
  <c r="AX243" i="5" a="1"/>
  <c r="AX243" i="5" s="1"/>
  <c r="H245" i="5"/>
  <c r="F249" i="5"/>
  <c r="AX251" i="5" a="1"/>
  <c r="AX251" i="5" s="1"/>
  <c r="H253" i="5"/>
  <c r="F257" i="5"/>
  <c r="AX259" i="5" a="1"/>
  <c r="AX259" i="5" s="1"/>
  <c r="H261" i="5"/>
  <c r="F265" i="5"/>
  <c r="AX267" i="5" a="1"/>
  <c r="AX267" i="5" s="1"/>
  <c r="H269" i="5"/>
  <c r="F273" i="5"/>
  <c r="AX275" i="5" a="1"/>
  <c r="AX275" i="5" s="1"/>
  <c r="H277" i="5"/>
  <c r="F281" i="5"/>
  <c r="AX283" i="5" a="1"/>
  <c r="AX283" i="5" s="1"/>
  <c r="H285" i="5"/>
  <c r="F289" i="5"/>
  <c r="F291" i="5"/>
  <c r="AX291" i="5" a="1"/>
  <c r="AX291" i="5" s="1"/>
  <c r="F293" i="5"/>
  <c r="H294" i="5"/>
  <c r="AX294" i="5" a="1"/>
  <c r="AX294" i="5" s="1"/>
  <c r="F297" i="5"/>
  <c r="F299" i="5"/>
  <c r="AX299" i="5" a="1"/>
  <c r="AX299" i="5" s="1"/>
  <c r="F301" i="5"/>
  <c r="H302" i="5"/>
  <c r="AX302" i="5" a="1"/>
  <c r="AX302" i="5" s="1"/>
  <c r="F305" i="5"/>
  <c r="F307" i="5"/>
  <c r="AX307" i="5" a="1"/>
  <c r="AX307" i="5" s="1"/>
  <c r="F309" i="5"/>
  <c r="H310" i="5"/>
  <c r="AX310" i="5" a="1"/>
  <c r="AX310" i="5" s="1"/>
  <c r="F313" i="5"/>
  <c r="F315" i="5"/>
  <c r="AX315" i="5" a="1"/>
  <c r="AX315" i="5" s="1"/>
  <c r="F317" i="5"/>
  <c r="H318" i="5"/>
  <c r="AX318" i="5" a="1"/>
  <c r="AX318" i="5" s="1"/>
  <c r="F321" i="5"/>
  <c r="F323" i="5"/>
  <c r="AX323" i="5" a="1"/>
  <c r="AX323" i="5" s="1"/>
  <c r="F325" i="5"/>
  <c r="H326" i="5"/>
  <c r="AX326" i="5" a="1"/>
  <c r="AX326" i="5" s="1"/>
  <c r="F329" i="5"/>
  <c r="F331" i="5"/>
  <c r="AX331" i="5" a="1"/>
  <c r="AX331" i="5" s="1"/>
  <c r="F333" i="5"/>
  <c r="H334" i="5"/>
  <c r="AX334" i="5" a="1"/>
  <c r="AX334" i="5" s="1"/>
  <c r="F337" i="5"/>
  <c r="F339" i="5"/>
  <c r="AX339" i="5" a="1"/>
  <c r="AX339" i="5" s="1"/>
  <c r="F341" i="5"/>
  <c r="H342" i="5"/>
  <c r="AX342" i="5" a="1"/>
  <c r="AX342" i="5" s="1"/>
  <c r="F345" i="5"/>
  <c r="F347" i="5"/>
  <c r="AX347" i="5" a="1"/>
  <c r="AX347" i="5" s="1"/>
  <c r="F349" i="5"/>
  <c r="H350" i="5"/>
  <c r="AX350" i="5" a="1"/>
  <c r="AX350" i="5" s="1"/>
  <c r="F353" i="5"/>
  <c r="F355" i="5"/>
  <c r="AX355" i="5" a="1"/>
  <c r="AX355" i="5" s="1"/>
  <c r="F357" i="5"/>
  <c r="H358" i="5"/>
  <c r="AX358" i="5" a="1"/>
  <c r="AX358" i="5" s="1"/>
  <c r="F361" i="5"/>
  <c r="F363" i="5"/>
  <c r="AX363" i="5" a="1"/>
  <c r="AX363" i="5" s="1"/>
  <c r="H364" i="5"/>
  <c r="H366" i="5"/>
  <c r="H368" i="5"/>
  <c r="H370" i="5"/>
  <c r="H372" i="5"/>
  <c r="H374" i="5"/>
  <c r="H376" i="5"/>
  <c r="H378" i="5"/>
  <c r="H380" i="5"/>
  <c r="H382" i="5"/>
  <c r="H384" i="5"/>
  <c r="H386" i="5"/>
  <c r="H388" i="5"/>
  <c r="H390" i="5"/>
  <c r="H392" i="5"/>
  <c r="H394" i="5"/>
  <c r="H396" i="5"/>
  <c r="H398" i="5"/>
  <c r="H400" i="5"/>
  <c r="H402" i="5"/>
  <c r="H404" i="5"/>
  <c r="H406" i="5"/>
  <c r="H408" i="5"/>
  <c r="H410" i="5"/>
  <c r="H412" i="5"/>
  <c r="F416" i="5"/>
  <c r="AX418" i="5" a="1"/>
  <c r="AX418" i="5" s="1"/>
  <c r="H420" i="5"/>
  <c r="F424" i="5"/>
  <c r="AX426" i="5" a="1"/>
  <c r="AX426" i="5" s="1"/>
  <c r="H428" i="5"/>
  <c r="F432" i="5"/>
  <c r="AX434" i="5" a="1"/>
  <c r="AX434" i="5" s="1"/>
  <c r="H436" i="5"/>
  <c r="F440" i="5"/>
  <c r="AX442" i="5" a="1"/>
  <c r="AX442" i="5" s="1"/>
  <c r="H444" i="5"/>
  <c r="F448" i="5"/>
  <c r="AX450" i="5" a="1"/>
  <c r="AX450" i="5" s="1"/>
  <c r="H452" i="5"/>
  <c r="F456" i="5"/>
  <c r="AX458" i="5" a="1"/>
  <c r="AX458" i="5" s="1"/>
  <c r="H460" i="5"/>
  <c r="F464" i="5"/>
  <c r="AX466" i="5" a="1"/>
  <c r="AX466" i="5" s="1"/>
  <c r="H468" i="5"/>
  <c r="F472" i="5"/>
  <c r="AX474" i="5" a="1"/>
  <c r="AX474" i="5" s="1"/>
  <c r="H476" i="5"/>
  <c r="F480" i="5"/>
  <c r="AX482" i="5" a="1"/>
  <c r="AX482" i="5" s="1"/>
  <c r="H484" i="5"/>
  <c r="F488" i="5"/>
  <c r="AX490" i="5" a="1"/>
  <c r="AX490" i="5" s="1"/>
  <c r="H492" i="5"/>
  <c r="F500" i="5"/>
  <c r="AX502" i="5" a="1"/>
  <c r="AX502" i="5" s="1"/>
  <c r="H504" i="5"/>
  <c r="F508" i="5"/>
  <c r="AX510" i="5" a="1"/>
  <c r="AX510" i="5" s="1"/>
  <c r="H512" i="5"/>
  <c r="F516" i="5"/>
  <c r="F518" i="5"/>
  <c r="AX518" i="5" a="1"/>
  <c r="AX518" i="5" s="1"/>
  <c r="F520" i="5"/>
  <c r="H521" i="5"/>
  <c r="AX521" i="5" a="1"/>
  <c r="AX521" i="5" s="1"/>
  <c r="F524" i="5"/>
  <c r="F526" i="5"/>
  <c r="AX526" i="5" a="1"/>
  <c r="AX526" i="5" s="1"/>
  <c r="F528" i="5"/>
  <c r="H529" i="5"/>
  <c r="AX529" i="5" a="1"/>
  <c r="AX529" i="5" s="1"/>
  <c r="F532" i="5"/>
  <c r="F534" i="5"/>
  <c r="AX534" i="5" a="1"/>
  <c r="AX534" i="5" s="1"/>
  <c r="F536" i="5"/>
  <c r="H537" i="5"/>
  <c r="AX537" i="5" a="1"/>
  <c r="AX537" i="5" s="1"/>
  <c r="F540" i="5"/>
  <c r="F542" i="5"/>
  <c r="AX542" i="5" a="1"/>
  <c r="AX542" i="5" s="1"/>
  <c r="F544" i="5"/>
  <c r="H545" i="5"/>
  <c r="AX545" i="5" a="1"/>
  <c r="AX545" i="5" s="1"/>
  <c r="F548" i="5"/>
  <c r="F550" i="5"/>
  <c r="AX550" i="5" a="1"/>
  <c r="AX550" i="5" s="1"/>
  <c r="F552" i="5"/>
  <c r="H553" i="5"/>
  <c r="AX553" i="5" a="1"/>
  <c r="AX553" i="5" s="1"/>
  <c r="F556" i="5"/>
  <c r="F558" i="5"/>
  <c r="AX558" i="5" a="1"/>
  <c r="AX558" i="5" s="1"/>
  <c r="F560" i="5"/>
  <c r="H561" i="5"/>
  <c r="AX561" i="5" a="1"/>
  <c r="AX561" i="5" s="1"/>
  <c r="F564" i="5"/>
  <c r="F566" i="5"/>
  <c r="AX566" i="5" a="1"/>
  <c r="AX566" i="5" s="1"/>
  <c r="F568" i="5"/>
  <c r="H569" i="5"/>
  <c r="AX569" i="5" a="1"/>
  <c r="AX569" i="5" s="1"/>
  <c r="F572" i="5"/>
  <c r="F574" i="5"/>
  <c r="AX574" i="5" a="1"/>
  <c r="AX574" i="5" s="1"/>
  <c r="F576" i="5"/>
  <c r="H577" i="5"/>
  <c r="AX577" i="5" a="1"/>
  <c r="AX577" i="5" s="1"/>
  <c r="F580" i="5"/>
  <c r="AX582" i="5" a="1"/>
  <c r="AX582" i="5" s="1"/>
  <c r="AX584" i="5" a="1"/>
  <c r="AX584" i="5" s="1"/>
  <c r="AX586" i="5" a="1"/>
  <c r="AX586" i="5" s="1"/>
  <c r="AX588" i="5" a="1"/>
  <c r="AX588" i="5" s="1"/>
  <c r="AX590" i="5" a="1"/>
  <c r="AX590" i="5" s="1"/>
  <c r="AX592" i="5" a="1"/>
  <c r="AX592" i="5" s="1"/>
  <c r="AX594" i="5" a="1"/>
  <c r="AX594" i="5" s="1"/>
  <c r="AX596" i="5" a="1"/>
  <c r="AX596" i="5" s="1"/>
  <c r="AX600" i="5" a="1"/>
  <c r="AX600" i="5" s="1"/>
  <c r="AX602" i="5" a="1"/>
  <c r="AX602" i="5" s="1"/>
  <c r="AX604" i="5" a="1"/>
  <c r="AX604" i="5" s="1"/>
  <c r="AX606" i="5" a="1"/>
  <c r="AX606" i="5" s="1"/>
  <c r="AX608" i="5" a="1"/>
  <c r="AX608" i="5" s="1"/>
  <c r="AX610" i="5" a="1"/>
  <c r="AX610" i="5" s="1"/>
  <c r="AX612" i="5" a="1"/>
  <c r="AX612" i="5" s="1"/>
  <c r="AX614" i="5" a="1"/>
  <c r="AX614" i="5" s="1"/>
  <c r="AX616" i="5" a="1"/>
  <c r="AX616" i="5" s="1"/>
  <c r="AX618" i="5" a="1"/>
  <c r="AX618" i="5" s="1"/>
  <c r="AX620" i="5" a="1"/>
  <c r="AX620" i="5" s="1"/>
  <c r="AX622" i="5" a="1"/>
  <c r="AX622" i="5" s="1"/>
  <c r="AX624" i="5" a="1"/>
  <c r="AX624" i="5" s="1"/>
  <c r="AX626" i="5" a="1"/>
  <c r="AX626" i="5" s="1"/>
  <c r="AX628" i="5" a="1"/>
  <c r="AX628" i="5" s="1"/>
  <c r="AX630" i="5" a="1"/>
  <c r="AX630" i="5" s="1"/>
  <c r="AX632" i="5" a="1"/>
  <c r="AX632" i="5" s="1"/>
  <c r="AX634" i="5" a="1"/>
  <c r="AX634" i="5" s="1"/>
  <c r="AX636" i="5" a="1"/>
  <c r="AX636" i="5" s="1"/>
  <c r="AX638" i="5" a="1"/>
  <c r="AX638" i="5" s="1"/>
  <c r="AX640" i="5" a="1"/>
  <c r="AX640" i="5" s="1"/>
  <c r="AX642" i="5" a="1"/>
  <c r="AX642" i="5" s="1"/>
  <c r="AX644" i="5" a="1"/>
  <c r="AX644" i="5" s="1"/>
  <c r="AX646" i="5" a="1"/>
  <c r="AX646" i="5" s="1"/>
  <c r="AX648" i="5" a="1"/>
  <c r="AX648" i="5" s="1"/>
  <c r="AX650" i="5" a="1"/>
  <c r="AX650" i="5" s="1"/>
  <c r="AX652" i="5" a="1"/>
  <c r="AX652" i="5" s="1"/>
  <c r="AX654" i="5" a="1"/>
  <c r="AX654" i="5" s="1"/>
  <c r="AX656" i="5" a="1"/>
  <c r="AX656" i="5" s="1"/>
  <c r="AX658" i="5" a="1"/>
  <c r="AX658" i="5" s="1"/>
  <c r="AX660" i="5" a="1"/>
  <c r="AX660" i="5" s="1"/>
  <c r="AX662" i="5" a="1"/>
  <c r="AX662" i="5" s="1"/>
  <c r="AX664" i="5" a="1"/>
  <c r="AX664" i="5" s="1"/>
  <c r="AX666" i="5" a="1"/>
  <c r="AX666" i="5" s="1"/>
  <c r="AX668" i="5" a="1"/>
  <c r="AX668" i="5" s="1"/>
  <c r="AX670" i="5" a="1"/>
  <c r="AX670" i="5" s="1"/>
  <c r="AX672" i="5" a="1"/>
  <c r="AX672" i="5" s="1"/>
  <c r="AX674" i="5" a="1"/>
  <c r="AX674" i="5" s="1"/>
  <c r="AX676" i="5" a="1"/>
  <c r="AX676" i="5" s="1"/>
  <c r="AX678" i="5" a="1"/>
  <c r="AX678" i="5" s="1"/>
  <c r="AX680" i="5" a="1"/>
  <c r="AX680" i="5" s="1"/>
  <c r="AX682" i="5" a="1"/>
  <c r="AX682" i="5" s="1"/>
  <c r="AX684" i="5" a="1"/>
  <c r="AX684" i="5" s="1"/>
  <c r="AX686" i="5" a="1"/>
  <c r="AX686" i="5" s="1"/>
  <c r="AX688" i="5" a="1"/>
  <c r="AX688" i="5" s="1"/>
  <c r="AX690" i="5" a="1"/>
  <c r="AX690" i="5" s="1"/>
  <c r="AX692" i="5" a="1"/>
  <c r="AX692" i="5" s="1"/>
  <c r="AX694" i="5" a="1"/>
  <c r="AX694" i="5" s="1"/>
  <c r="AX696" i="5" a="1"/>
  <c r="AX696" i="5" s="1"/>
  <c r="AX698" i="5" a="1"/>
  <c r="AX698" i="5" s="1"/>
  <c r="AX700" i="5" a="1"/>
  <c r="AX700" i="5" s="1"/>
  <c r="AX702" i="5" a="1"/>
  <c r="AX702" i="5" s="1"/>
  <c r="AX704" i="5" a="1"/>
  <c r="AX704" i="5" s="1"/>
  <c r="AX706" i="5" a="1"/>
  <c r="AX706" i="5" s="1"/>
  <c r="AX708" i="5" a="1"/>
  <c r="AX708" i="5" s="1"/>
  <c r="AX710" i="5" a="1"/>
  <c r="AX710" i="5" s="1"/>
  <c r="AX712" i="5" a="1"/>
  <c r="AX712" i="5" s="1"/>
  <c r="AX714" i="5" a="1"/>
  <c r="AX714" i="5" s="1"/>
  <c r="AX716" i="5" a="1"/>
  <c r="AX716" i="5" s="1"/>
  <c r="AX718" i="5" a="1"/>
  <c r="AX718" i="5" s="1"/>
  <c r="AX720" i="5" a="1"/>
  <c r="AX720" i="5" s="1"/>
  <c r="AX722" i="5" a="1"/>
  <c r="AX722" i="5" s="1"/>
  <c r="AX724" i="5" a="1"/>
  <c r="AX724" i="5" s="1"/>
  <c r="AX726" i="5" a="1"/>
  <c r="AX726" i="5" s="1"/>
  <c r="AX728" i="5" a="1"/>
  <c r="AX728" i="5" s="1"/>
  <c r="AX730" i="5" a="1"/>
  <c r="AX730" i="5" s="1"/>
  <c r="AX732" i="5" a="1"/>
  <c r="AX732" i="5" s="1"/>
  <c r="AX734" i="5" a="1"/>
  <c r="AX734" i="5" s="1"/>
  <c r="AX736" i="5" a="1"/>
  <c r="AX736" i="5" s="1"/>
  <c r="AX738" i="5" a="1"/>
  <c r="AX738" i="5" s="1"/>
  <c r="AX740" i="5" a="1"/>
  <c r="AX740" i="5" s="1"/>
  <c r="AX742" i="5" a="1"/>
  <c r="AX742" i="5" s="1"/>
  <c r="AX744" i="5" a="1"/>
  <c r="AX744" i="5" s="1"/>
  <c r="AX746" i="5" a="1"/>
  <c r="AX746" i="5" s="1"/>
  <c r="AX748" i="5" a="1"/>
  <c r="AX748" i="5" s="1"/>
  <c r="AX9" i="5" a="1"/>
  <c r="AX9" i="5" s="1"/>
  <c r="F9" i="5"/>
  <c r="H9" i="5" s="1"/>
  <c r="F750" i="5"/>
  <c r="H750" i="5" s="1"/>
  <c r="F598" i="5"/>
  <c r="H598" i="5" s="1"/>
  <c r="F496" i="5"/>
  <c r="H496" i="5" s="1"/>
  <c r="F7" i="5"/>
  <c r="H7" i="5"/>
  <c r="F16" i="5"/>
  <c r="H16" i="5" s="1"/>
  <c r="F20" i="5"/>
  <c r="H20" i="5" s="1"/>
  <c r="F24" i="5"/>
  <c r="H24" i="5"/>
  <c r="H26" i="5"/>
  <c r="F26" i="5"/>
  <c r="F28" i="5"/>
  <c r="H28" i="5"/>
  <c r="H30" i="5"/>
  <c r="F30" i="5"/>
  <c r="F32" i="5"/>
  <c r="H32" i="5"/>
  <c r="H34" i="5"/>
  <c r="F34" i="5"/>
  <c r="F36" i="5"/>
  <c r="H36" i="5"/>
  <c r="H38" i="5"/>
  <c r="F38" i="5"/>
  <c r="F40" i="5"/>
  <c r="H40" i="5"/>
  <c r="H42" i="5"/>
  <c r="F42" i="5"/>
  <c r="F44" i="5"/>
  <c r="H44" i="5"/>
  <c r="H46" i="5"/>
  <c r="F46" i="5"/>
  <c r="F48" i="5"/>
  <c r="H48" i="5"/>
  <c r="H50" i="5"/>
  <c r="F50" i="5"/>
  <c r="F52" i="5"/>
  <c r="H52" i="5"/>
  <c r="H54" i="5"/>
  <c r="F54" i="5"/>
  <c r="F56" i="5"/>
  <c r="H56" i="5"/>
  <c r="H58" i="5"/>
  <c r="F58" i="5"/>
  <c r="F60" i="5"/>
  <c r="H60" i="5"/>
  <c r="H62" i="5"/>
  <c r="F62" i="5"/>
  <c r="F64" i="5"/>
  <c r="H64" i="5"/>
  <c r="H66" i="5"/>
  <c r="F66" i="5"/>
  <c r="F72" i="5"/>
  <c r="H72" i="5"/>
  <c r="H74" i="5"/>
  <c r="F74" i="5"/>
  <c r="F80" i="5"/>
  <c r="H80" i="5"/>
  <c r="H82" i="5"/>
  <c r="F82" i="5"/>
  <c r="F88" i="5"/>
  <c r="H88" i="5"/>
  <c r="H90" i="5"/>
  <c r="F90" i="5"/>
  <c r="F96" i="5"/>
  <c r="H96" i="5"/>
  <c r="H98" i="5"/>
  <c r="F98" i="5"/>
  <c r="F104" i="5"/>
  <c r="H104" i="5"/>
  <c r="H106" i="5"/>
  <c r="F106" i="5"/>
  <c r="F112" i="5"/>
  <c r="H112" i="5"/>
  <c r="H114" i="5"/>
  <c r="F114" i="5"/>
  <c r="F120" i="5"/>
  <c r="H120" i="5"/>
  <c r="H122" i="5"/>
  <c r="F122" i="5"/>
  <c r="F128" i="5"/>
  <c r="H128" i="5"/>
  <c r="H130" i="5"/>
  <c r="F130" i="5"/>
  <c r="F136" i="5"/>
  <c r="H136" i="5"/>
  <c r="H138" i="5"/>
  <c r="F138" i="5"/>
  <c r="F144" i="5"/>
  <c r="H144" i="5"/>
  <c r="H146" i="5"/>
  <c r="F146" i="5"/>
  <c r="F152" i="5"/>
  <c r="H152" i="5"/>
  <c r="H154" i="5"/>
  <c r="F154" i="5"/>
  <c r="F160" i="5"/>
  <c r="H160" i="5"/>
  <c r="H162" i="5"/>
  <c r="F162" i="5"/>
  <c r="F168" i="5"/>
  <c r="H168" i="5"/>
  <c r="H170" i="5"/>
  <c r="F170" i="5"/>
  <c r="F176" i="5"/>
  <c r="H176" i="5"/>
  <c r="H178" i="5"/>
  <c r="F178" i="5"/>
  <c r="F184" i="5"/>
  <c r="H184" i="5"/>
  <c r="H186" i="5"/>
  <c r="F186" i="5"/>
  <c r="F192" i="5"/>
  <c r="H192" i="5"/>
  <c r="H194" i="5"/>
  <c r="F194" i="5"/>
  <c r="F200" i="5"/>
  <c r="H200" i="5"/>
  <c r="H202" i="5"/>
  <c r="F202" i="5"/>
  <c r="F208" i="5"/>
  <c r="H208" i="5"/>
  <c r="H210" i="5"/>
  <c r="F210" i="5"/>
  <c r="F216" i="5"/>
  <c r="H216" i="5"/>
  <c r="H218" i="5"/>
  <c r="F218" i="5"/>
  <c r="F224" i="5"/>
  <c r="H224" i="5"/>
  <c r="H226" i="5"/>
  <c r="F226" i="5"/>
  <c r="F232" i="5"/>
  <c r="H232" i="5"/>
  <c r="H234" i="5"/>
  <c r="F234" i="5"/>
  <c r="F240" i="5"/>
  <c r="H240" i="5"/>
  <c r="H242" i="5"/>
  <c r="F242" i="5"/>
  <c r="F248" i="5"/>
  <c r="H248" i="5"/>
  <c r="H250" i="5"/>
  <c r="F250" i="5"/>
  <c r="F256" i="5"/>
  <c r="H256" i="5"/>
  <c r="H258" i="5"/>
  <c r="F258" i="5"/>
  <c r="F264" i="5"/>
  <c r="H264" i="5"/>
  <c r="H266" i="5"/>
  <c r="F266" i="5"/>
  <c r="F272" i="5"/>
  <c r="H272" i="5"/>
  <c r="H274" i="5"/>
  <c r="F274" i="5"/>
  <c r="F280" i="5"/>
  <c r="H280" i="5"/>
  <c r="H282" i="5"/>
  <c r="F282" i="5"/>
  <c r="F288" i="5"/>
  <c r="H288" i="5"/>
  <c r="H290" i="5"/>
  <c r="F290" i="5"/>
  <c r="H298" i="5"/>
  <c r="F298" i="5"/>
  <c r="H306" i="5"/>
  <c r="F306" i="5"/>
  <c r="H314" i="5"/>
  <c r="F314" i="5"/>
  <c r="H322" i="5"/>
  <c r="F322" i="5"/>
  <c r="H330" i="5"/>
  <c r="F330" i="5"/>
  <c r="H338" i="5"/>
  <c r="F338" i="5"/>
  <c r="H346" i="5"/>
  <c r="F346" i="5"/>
  <c r="H354" i="5"/>
  <c r="F354" i="5"/>
  <c r="H362" i="5"/>
  <c r="F362" i="5"/>
  <c r="F415" i="5"/>
  <c r="H415" i="5"/>
  <c r="H417" i="5"/>
  <c r="F417" i="5"/>
  <c r="F423" i="5"/>
  <c r="H423" i="5"/>
  <c r="H425" i="5"/>
  <c r="F425" i="5"/>
  <c r="F431" i="5"/>
  <c r="H431" i="5"/>
  <c r="H433" i="5"/>
  <c r="F433" i="5"/>
  <c r="F439" i="5"/>
  <c r="H439" i="5"/>
  <c r="H441" i="5"/>
  <c r="F441" i="5"/>
  <c r="F447" i="5"/>
  <c r="H447" i="5"/>
  <c r="H449" i="5"/>
  <c r="F449" i="5"/>
  <c r="F455" i="5"/>
  <c r="H455" i="5"/>
  <c r="H457" i="5"/>
  <c r="F457" i="5"/>
  <c r="F463" i="5"/>
  <c r="H463" i="5"/>
  <c r="H465" i="5"/>
  <c r="F465" i="5"/>
  <c r="F471" i="5"/>
  <c r="H471" i="5"/>
  <c r="H473" i="5"/>
  <c r="F473" i="5"/>
  <c r="F479" i="5"/>
  <c r="H479" i="5"/>
  <c r="H481" i="5"/>
  <c r="F481" i="5"/>
  <c r="F487" i="5"/>
  <c r="H487" i="5"/>
  <c r="H489" i="5"/>
  <c r="F489" i="5"/>
  <c r="F495" i="5"/>
  <c r="H495" i="5"/>
  <c r="H497" i="5"/>
  <c r="F497" i="5"/>
  <c r="F503" i="5"/>
  <c r="H503" i="5"/>
  <c r="H505" i="5"/>
  <c r="F505" i="5"/>
  <c r="F511" i="5"/>
  <c r="H511" i="5"/>
  <c r="H513" i="5"/>
  <c r="F513" i="5"/>
  <c r="F522" i="5"/>
  <c r="H522" i="5"/>
  <c r="F530" i="5"/>
  <c r="H530" i="5"/>
  <c r="F538" i="5"/>
  <c r="H538" i="5"/>
  <c r="F546" i="5"/>
  <c r="H546" i="5"/>
  <c r="F554" i="5"/>
  <c r="H554" i="5"/>
  <c r="F562" i="5"/>
  <c r="H562" i="5"/>
  <c r="F570" i="5"/>
  <c r="H570" i="5"/>
  <c r="F578" i="5"/>
  <c r="H578" i="5"/>
  <c r="F99" i="5"/>
  <c r="H99" i="5"/>
  <c r="F107" i="5"/>
  <c r="H107" i="5"/>
  <c r="F115" i="5"/>
  <c r="H115" i="5"/>
  <c r="F123" i="5"/>
  <c r="H123" i="5"/>
  <c r="F131" i="5"/>
  <c r="H131" i="5"/>
  <c r="F139" i="5"/>
  <c r="H139" i="5"/>
  <c r="F147" i="5"/>
  <c r="H147" i="5"/>
  <c r="F155" i="5"/>
  <c r="H155" i="5"/>
  <c r="F163" i="5"/>
  <c r="H163" i="5"/>
  <c r="F171" i="5"/>
  <c r="H171" i="5"/>
  <c r="F179" i="5"/>
  <c r="H179" i="5"/>
  <c r="F187" i="5"/>
  <c r="H187" i="5"/>
  <c r="F195" i="5"/>
  <c r="H195" i="5"/>
  <c r="F203" i="5"/>
  <c r="H203" i="5"/>
  <c r="F211" i="5"/>
  <c r="H211" i="5"/>
  <c r="F219" i="5"/>
  <c r="H219" i="5"/>
  <c r="F227" i="5"/>
  <c r="H227" i="5"/>
  <c r="F235" i="5"/>
  <c r="H235" i="5"/>
  <c r="F243" i="5"/>
  <c r="H243" i="5"/>
  <c r="F251" i="5"/>
  <c r="H251" i="5"/>
  <c r="F259" i="5"/>
  <c r="H259" i="5"/>
  <c r="F267" i="5"/>
  <c r="H267" i="5"/>
  <c r="F275" i="5"/>
  <c r="H275" i="5"/>
  <c r="F283" i="5"/>
  <c r="H283" i="5"/>
  <c r="F67" i="5"/>
  <c r="H67" i="5"/>
  <c r="F75" i="5"/>
  <c r="H75" i="5"/>
  <c r="F83" i="5"/>
  <c r="H83" i="5"/>
  <c r="F91" i="5"/>
  <c r="H91" i="5"/>
  <c r="F68" i="5"/>
  <c r="H68" i="5"/>
  <c r="H70" i="5"/>
  <c r="F70" i="5"/>
  <c r="F76" i="5"/>
  <c r="H76" i="5"/>
  <c r="H78" i="5"/>
  <c r="F78" i="5"/>
  <c r="F84" i="5"/>
  <c r="H84" i="5"/>
  <c r="H86" i="5"/>
  <c r="F86" i="5"/>
  <c r="F92" i="5"/>
  <c r="H92" i="5"/>
  <c r="H94" i="5"/>
  <c r="F94" i="5"/>
  <c r="F100" i="5"/>
  <c r="H100" i="5"/>
  <c r="H102" i="5"/>
  <c r="F102" i="5"/>
  <c r="F108" i="5"/>
  <c r="H108" i="5"/>
  <c r="H110" i="5"/>
  <c r="F110" i="5"/>
  <c r="F116" i="5"/>
  <c r="H116" i="5"/>
  <c r="H118" i="5"/>
  <c r="F118" i="5"/>
  <c r="F124" i="5"/>
  <c r="H124" i="5"/>
  <c r="H126" i="5"/>
  <c r="F126" i="5"/>
  <c r="F132" i="5"/>
  <c r="H132" i="5"/>
  <c r="H134" i="5"/>
  <c r="F134" i="5"/>
  <c r="F140" i="5"/>
  <c r="H140" i="5"/>
  <c r="H142" i="5"/>
  <c r="F142" i="5"/>
  <c r="F148" i="5"/>
  <c r="H148" i="5"/>
  <c r="H150" i="5"/>
  <c r="F150" i="5"/>
  <c r="F156" i="5"/>
  <c r="H156" i="5"/>
  <c r="H158" i="5"/>
  <c r="F158" i="5"/>
  <c r="F164" i="5"/>
  <c r="H164" i="5"/>
  <c r="H166" i="5"/>
  <c r="F166" i="5"/>
  <c r="F172" i="5"/>
  <c r="H172" i="5"/>
  <c r="H174" i="5"/>
  <c r="F174" i="5"/>
  <c r="F180" i="5"/>
  <c r="H180" i="5"/>
  <c r="H182" i="5"/>
  <c r="F182" i="5"/>
  <c r="F188" i="5"/>
  <c r="H188" i="5"/>
  <c r="H190" i="5"/>
  <c r="F190" i="5"/>
  <c r="F196" i="5"/>
  <c r="H196" i="5"/>
  <c r="H198" i="5"/>
  <c r="F198" i="5"/>
  <c r="F204" i="5"/>
  <c r="H204" i="5"/>
  <c r="H206" i="5"/>
  <c r="F206" i="5"/>
  <c r="F212" i="5"/>
  <c r="H212" i="5"/>
  <c r="H214" i="5"/>
  <c r="F214" i="5"/>
  <c r="F220" i="5"/>
  <c r="H220" i="5"/>
  <c r="H222" i="5"/>
  <c r="F222" i="5"/>
  <c r="F228" i="5"/>
  <c r="H228" i="5"/>
  <c r="H230" i="5"/>
  <c r="F230" i="5"/>
  <c r="F236" i="5"/>
  <c r="H236" i="5"/>
  <c r="H238" i="5"/>
  <c r="F238" i="5"/>
  <c r="F244" i="5"/>
  <c r="H244" i="5"/>
  <c r="H246" i="5"/>
  <c r="F246" i="5"/>
  <c r="F252" i="5"/>
  <c r="H252" i="5"/>
  <c r="H254" i="5"/>
  <c r="F254" i="5"/>
  <c r="F260" i="5"/>
  <c r="H260" i="5"/>
  <c r="H262" i="5"/>
  <c r="F262" i="5"/>
  <c r="F268" i="5"/>
  <c r="H268" i="5"/>
  <c r="H270" i="5"/>
  <c r="F270" i="5"/>
  <c r="F276" i="5"/>
  <c r="H276" i="5"/>
  <c r="H278" i="5"/>
  <c r="F278" i="5"/>
  <c r="F284" i="5"/>
  <c r="H284" i="5"/>
  <c r="H286" i="5"/>
  <c r="F286" i="5"/>
  <c r="F295" i="5"/>
  <c r="H295" i="5"/>
  <c r="F303" i="5"/>
  <c r="H303" i="5"/>
  <c r="F311" i="5"/>
  <c r="H311" i="5"/>
  <c r="F319" i="5"/>
  <c r="H319" i="5"/>
  <c r="F327" i="5"/>
  <c r="H327" i="5"/>
  <c r="F335" i="5"/>
  <c r="H335" i="5"/>
  <c r="F343" i="5"/>
  <c r="H343" i="5"/>
  <c r="F351" i="5"/>
  <c r="H351" i="5"/>
  <c r="F359" i="5"/>
  <c r="H359" i="5"/>
  <c r="F367" i="5"/>
  <c r="H367" i="5"/>
  <c r="H71" i="5"/>
  <c r="F71" i="5"/>
  <c r="H79" i="5"/>
  <c r="F79" i="5"/>
  <c r="H87" i="5"/>
  <c r="F87" i="5"/>
  <c r="H95" i="5"/>
  <c r="F95" i="5"/>
  <c r="H103" i="5"/>
  <c r="F103" i="5"/>
  <c r="H111" i="5"/>
  <c r="F111" i="5"/>
  <c r="H119" i="5"/>
  <c r="F119" i="5"/>
  <c r="H127" i="5"/>
  <c r="F127" i="5"/>
  <c r="H135" i="5"/>
  <c r="F135" i="5"/>
  <c r="H143" i="5"/>
  <c r="F143" i="5"/>
  <c r="H151" i="5"/>
  <c r="F151" i="5"/>
  <c r="H159" i="5"/>
  <c r="F159" i="5"/>
  <c r="H167" i="5"/>
  <c r="F167" i="5"/>
  <c r="H175" i="5"/>
  <c r="F175" i="5"/>
  <c r="H183" i="5"/>
  <c r="F183" i="5"/>
  <c r="H191" i="5"/>
  <c r="F191" i="5"/>
  <c r="H199" i="5"/>
  <c r="F199" i="5"/>
  <c r="H207" i="5"/>
  <c r="F207" i="5"/>
  <c r="H215" i="5"/>
  <c r="F215" i="5"/>
  <c r="H223" i="5"/>
  <c r="F223" i="5"/>
  <c r="H231" i="5"/>
  <c r="F231" i="5"/>
  <c r="H239" i="5"/>
  <c r="F239" i="5"/>
  <c r="H247" i="5"/>
  <c r="F247" i="5"/>
  <c r="H255" i="5"/>
  <c r="F255" i="5"/>
  <c r="H263" i="5"/>
  <c r="F263" i="5"/>
  <c r="H271" i="5"/>
  <c r="F271" i="5"/>
  <c r="H279" i="5"/>
  <c r="F279" i="5"/>
  <c r="H287" i="5"/>
  <c r="F287" i="5"/>
  <c r="H418" i="5"/>
  <c r="F418" i="5"/>
  <c r="H426" i="5"/>
  <c r="F426" i="5"/>
  <c r="H434" i="5"/>
  <c r="F434" i="5"/>
  <c r="H442" i="5"/>
  <c r="F442" i="5"/>
  <c r="H450" i="5"/>
  <c r="F450" i="5"/>
  <c r="H458" i="5"/>
  <c r="F458" i="5"/>
  <c r="H466" i="5"/>
  <c r="F466" i="5"/>
  <c r="H474" i="5"/>
  <c r="F474" i="5"/>
  <c r="H482" i="5"/>
  <c r="F482" i="5"/>
  <c r="H490" i="5"/>
  <c r="F490" i="5"/>
  <c r="H498" i="5"/>
  <c r="F498" i="5"/>
  <c r="H506" i="5"/>
  <c r="F506" i="5"/>
  <c r="H514" i="5"/>
  <c r="F514" i="5"/>
  <c r="H369" i="5"/>
  <c r="F369" i="5"/>
  <c r="F371" i="5"/>
  <c r="H371" i="5"/>
  <c r="H373" i="5"/>
  <c r="F373" i="5"/>
  <c r="F375" i="5"/>
  <c r="H375" i="5"/>
  <c r="H377" i="5"/>
  <c r="F377" i="5"/>
  <c r="F379" i="5"/>
  <c r="H379" i="5"/>
  <c r="H381" i="5"/>
  <c r="F381" i="5"/>
  <c r="F383" i="5"/>
  <c r="H383" i="5"/>
  <c r="H385" i="5"/>
  <c r="F385" i="5"/>
  <c r="F387" i="5"/>
  <c r="H387" i="5"/>
  <c r="H389" i="5"/>
  <c r="F389" i="5"/>
  <c r="F391" i="5"/>
  <c r="H391" i="5"/>
  <c r="H393" i="5"/>
  <c r="F393" i="5"/>
  <c r="F395" i="5"/>
  <c r="H395" i="5"/>
  <c r="H397" i="5"/>
  <c r="F397" i="5"/>
  <c r="F399" i="5"/>
  <c r="H399" i="5"/>
  <c r="H401" i="5"/>
  <c r="F401" i="5"/>
  <c r="F403" i="5"/>
  <c r="H403" i="5"/>
  <c r="H405" i="5"/>
  <c r="F405" i="5"/>
  <c r="F407" i="5"/>
  <c r="H407" i="5"/>
  <c r="H409" i="5"/>
  <c r="F409" i="5"/>
  <c r="F411" i="5"/>
  <c r="H411" i="5"/>
  <c r="H413" i="5"/>
  <c r="F413" i="5"/>
  <c r="F419" i="5"/>
  <c r="H419" i="5"/>
  <c r="H421" i="5"/>
  <c r="F421" i="5"/>
  <c r="F427" i="5"/>
  <c r="H427" i="5"/>
  <c r="H429" i="5"/>
  <c r="F429" i="5"/>
  <c r="F435" i="5"/>
  <c r="H435" i="5"/>
  <c r="H437" i="5"/>
  <c r="F437" i="5"/>
  <c r="F443" i="5"/>
  <c r="H443" i="5"/>
  <c r="H445" i="5"/>
  <c r="F445" i="5"/>
  <c r="F451" i="5"/>
  <c r="H451" i="5"/>
  <c r="H453" i="5"/>
  <c r="F453" i="5"/>
  <c r="F459" i="5"/>
  <c r="H459" i="5"/>
  <c r="H461" i="5"/>
  <c r="F461" i="5"/>
  <c r="F467" i="5"/>
  <c r="H467" i="5"/>
  <c r="H469" i="5"/>
  <c r="F469" i="5"/>
  <c r="F475" i="5"/>
  <c r="H475" i="5"/>
  <c r="H477" i="5"/>
  <c r="F477" i="5"/>
  <c r="F483" i="5"/>
  <c r="H483" i="5"/>
  <c r="H485" i="5"/>
  <c r="F485" i="5"/>
  <c r="F491" i="5"/>
  <c r="H491" i="5"/>
  <c r="H493" i="5"/>
  <c r="F493" i="5"/>
  <c r="F499" i="5"/>
  <c r="H499" i="5"/>
  <c r="H501" i="5"/>
  <c r="F501" i="5"/>
  <c r="F507" i="5"/>
  <c r="H507" i="5"/>
  <c r="H509" i="5"/>
  <c r="F509" i="5"/>
  <c r="F515" i="5"/>
  <c r="H515" i="5"/>
  <c r="H517" i="5"/>
  <c r="F517" i="5"/>
  <c r="H525" i="5"/>
  <c r="F525" i="5"/>
  <c r="H533" i="5"/>
  <c r="F533" i="5"/>
  <c r="H541" i="5"/>
  <c r="F541" i="5"/>
  <c r="H549" i="5"/>
  <c r="F549" i="5"/>
  <c r="H557" i="5"/>
  <c r="F557" i="5"/>
  <c r="H565" i="5"/>
  <c r="F565" i="5"/>
  <c r="H573" i="5"/>
  <c r="F573" i="5"/>
  <c r="H581" i="5"/>
  <c r="F581" i="5"/>
  <c r="F414" i="5"/>
  <c r="H414" i="5"/>
  <c r="F422" i="5"/>
  <c r="H422" i="5"/>
  <c r="F430" i="5"/>
  <c r="H430" i="5"/>
  <c r="F438" i="5"/>
  <c r="H438" i="5"/>
  <c r="F446" i="5"/>
  <c r="H446" i="5"/>
  <c r="F454" i="5"/>
  <c r="H454" i="5"/>
  <c r="F462" i="5"/>
  <c r="H462" i="5"/>
  <c r="F470" i="5"/>
  <c r="H470" i="5"/>
  <c r="F478" i="5"/>
  <c r="H478" i="5"/>
  <c r="F486" i="5"/>
  <c r="H486" i="5"/>
  <c r="F494" i="5"/>
  <c r="H494" i="5"/>
  <c r="F502" i="5"/>
  <c r="H502" i="5"/>
  <c r="F510" i="5"/>
  <c r="H510" i="5"/>
  <c r="H582" i="5"/>
  <c r="F582" i="5"/>
  <c r="F584" i="5"/>
  <c r="H584" i="5"/>
  <c r="H586" i="5"/>
  <c r="F586" i="5"/>
  <c r="F588" i="5"/>
  <c r="H588" i="5"/>
  <c r="H590" i="5"/>
  <c r="F590" i="5"/>
  <c r="F592" i="5"/>
  <c r="H592" i="5"/>
  <c r="H594" i="5"/>
  <c r="F594" i="5"/>
  <c r="F596" i="5"/>
  <c r="H596" i="5"/>
  <c r="F600" i="5"/>
  <c r="H600" i="5"/>
  <c r="H602" i="5"/>
  <c r="F602" i="5"/>
  <c r="F604" i="5"/>
  <c r="H604" i="5"/>
  <c r="H606" i="5"/>
  <c r="F606" i="5"/>
  <c r="F608" i="5"/>
  <c r="H608" i="5"/>
  <c r="H610" i="5"/>
  <c r="F610" i="5"/>
  <c r="F612" i="5"/>
  <c r="H612" i="5"/>
  <c r="H614" i="5"/>
  <c r="F614" i="5"/>
  <c r="F616" i="5"/>
  <c r="H616" i="5"/>
  <c r="H618" i="5"/>
  <c r="F618" i="5"/>
  <c r="F620" i="5"/>
  <c r="H620" i="5"/>
  <c r="H622" i="5"/>
  <c r="F622" i="5"/>
  <c r="F624" i="5"/>
  <c r="H624" i="5"/>
  <c r="H626" i="5"/>
  <c r="F626" i="5"/>
  <c r="F628" i="5"/>
  <c r="H628" i="5"/>
  <c r="H630" i="5"/>
  <c r="F630" i="5"/>
  <c r="F632" i="5"/>
  <c r="H632" i="5"/>
  <c r="H634" i="5"/>
  <c r="F634" i="5"/>
  <c r="F636" i="5"/>
  <c r="H636" i="5"/>
  <c r="H638" i="5"/>
  <c r="F638" i="5"/>
  <c r="F640" i="5"/>
  <c r="H640" i="5"/>
  <c r="H642" i="5"/>
  <c r="F642" i="5"/>
  <c r="F644" i="5"/>
  <c r="H644" i="5"/>
  <c r="H646" i="5"/>
  <c r="F646" i="5"/>
  <c r="F648" i="5"/>
  <c r="H648" i="5"/>
  <c r="H650" i="5"/>
  <c r="F650" i="5"/>
  <c r="F652" i="5"/>
  <c r="H652" i="5"/>
  <c r="H654" i="5"/>
  <c r="F654" i="5"/>
  <c r="F656" i="5"/>
  <c r="H656" i="5"/>
  <c r="H658" i="5"/>
  <c r="F658" i="5"/>
  <c r="F660" i="5"/>
  <c r="H660" i="5"/>
  <c r="H662" i="5"/>
  <c r="F662" i="5"/>
  <c r="F664" i="5"/>
  <c r="H664" i="5"/>
  <c r="H666" i="5"/>
  <c r="F666" i="5"/>
  <c r="F668" i="5"/>
  <c r="H668" i="5"/>
  <c r="H670" i="5"/>
  <c r="F670" i="5"/>
  <c r="F672" i="5"/>
  <c r="H672" i="5"/>
  <c r="H674" i="5"/>
  <c r="F674" i="5"/>
  <c r="F676" i="5"/>
  <c r="H676" i="5"/>
  <c r="H678" i="5"/>
  <c r="F678" i="5"/>
  <c r="F680" i="5"/>
  <c r="H680" i="5"/>
  <c r="H682" i="5"/>
  <c r="F682" i="5"/>
  <c r="F684" i="5"/>
  <c r="H684" i="5"/>
  <c r="H686" i="5"/>
  <c r="F686" i="5"/>
  <c r="F688" i="5"/>
  <c r="H688" i="5"/>
  <c r="H690" i="5"/>
  <c r="F690" i="5"/>
  <c r="F692" i="5"/>
  <c r="H692" i="5"/>
  <c r="H694" i="5"/>
  <c r="F694" i="5"/>
  <c r="F696" i="5"/>
  <c r="H696" i="5"/>
  <c r="H698" i="5"/>
  <c r="F698" i="5"/>
  <c r="F700" i="5"/>
  <c r="H700" i="5"/>
  <c r="H702" i="5"/>
  <c r="F702" i="5"/>
  <c r="F704" i="5"/>
  <c r="H704" i="5"/>
  <c r="H706" i="5"/>
  <c r="F706" i="5"/>
  <c r="F708" i="5"/>
  <c r="H708" i="5"/>
  <c r="H710" i="5"/>
  <c r="F710" i="5"/>
  <c r="F712" i="5"/>
  <c r="H712" i="5"/>
  <c r="H714" i="5"/>
  <c r="F714" i="5"/>
  <c r="F716" i="5"/>
  <c r="H716" i="5"/>
  <c r="H718" i="5"/>
  <c r="F718" i="5"/>
  <c r="F720" i="5"/>
  <c r="H720" i="5"/>
  <c r="H722" i="5"/>
  <c r="F722" i="5"/>
  <c r="F724" i="5"/>
  <c r="H724" i="5"/>
  <c r="H726" i="5"/>
  <c r="F726" i="5"/>
  <c r="F728" i="5"/>
  <c r="H728" i="5"/>
  <c r="H730" i="5"/>
  <c r="F730" i="5"/>
  <c r="F732" i="5"/>
  <c r="H732" i="5"/>
  <c r="H734" i="5"/>
  <c r="F734" i="5"/>
  <c r="F736" i="5"/>
  <c r="H736" i="5"/>
  <c r="H738" i="5"/>
  <c r="F738" i="5"/>
  <c r="F740" i="5"/>
  <c r="H740" i="5"/>
  <c r="H742" i="5"/>
  <c r="F742" i="5"/>
  <c r="F744" i="5"/>
  <c r="H744" i="5"/>
  <c r="H746" i="5"/>
  <c r="F746" i="5"/>
  <c r="F748" i="5"/>
  <c r="H748" i="5"/>
  <c r="AW8" i="9"/>
  <c r="BF14" i="5" l="1"/>
  <c r="BH14" i="5" s="1"/>
  <c r="BB15" i="5"/>
  <c r="BD15" i="5"/>
  <c r="BB13" i="5"/>
  <c r="BG13" i="5" s="1"/>
  <c r="BJ13" i="5"/>
  <c r="BF13" i="5" s="1"/>
  <c r="D118" i="4"/>
  <c r="BH13" i="5" l="1"/>
  <c r="D114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G11" i="5" l="1"/>
  <c r="BN11" i="5" l="1"/>
  <c r="B3" i="4"/>
  <c r="D2" i="5"/>
  <c r="AF6" i="9"/>
  <c r="AI6" i="9"/>
  <c r="AP6" i="9"/>
  <c r="AO6" i="5"/>
  <c r="AQ6" i="5"/>
  <c r="AN6" i="9"/>
  <c r="AQ6" i="9"/>
  <c r="AJ6" i="9"/>
  <c r="AU6" i="5"/>
  <c r="AO6" i="9"/>
  <c r="AM6" i="9"/>
  <c r="AL6" i="5"/>
  <c r="AK6" i="9"/>
  <c r="AV6" i="5"/>
  <c r="AN6" i="5"/>
  <c r="AR6" i="9"/>
  <c r="AM6" i="5"/>
  <c r="AL6" i="9"/>
  <c r="AT6" i="5"/>
  <c r="AR6" i="5"/>
  <c r="AP6" i="5"/>
  <c r="AG6" i="9"/>
  <c r="AS6" i="5"/>
  <c r="AH6" i="9"/>
  <c r="AK6" i="5"/>
  <c r="J102" i="4" l="1"/>
  <c r="J101" i="4"/>
  <c r="D50" i="4" l="1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J89" i="4" l="1"/>
  <c r="D89" i="4"/>
  <c r="D97" i="4" l="1"/>
  <c r="B21" i="10"/>
  <c r="B19" i="10"/>
  <c r="B15" i="10"/>
  <c r="B13" i="10"/>
  <c r="B11" i="10"/>
  <c r="D90" i="4" l="1"/>
  <c r="C60" i="7" l="1"/>
  <c r="C48" i="7"/>
  <c r="C39" i="7"/>
  <c r="C27" i="7"/>
  <c r="C20" i="7"/>
  <c r="C15" i="7"/>
  <c r="C5" i="7"/>
  <c r="C5" i="9" l="1"/>
  <c r="BK11" i="5" l="1"/>
  <c r="BL11" i="5"/>
  <c r="BM11" i="5" l="1"/>
  <c r="D88" i="4"/>
  <c r="AW7" i="9" l="1"/>
  <c r="AW9" i="9"/>
  <c r="AW10" i="9"/>
  <c r="AW11" i="9"/>
  <c r="AW12" i="9"/>
  <c r="AW13" i="9"/>
  <c r="AW14" i="9"/>
  <c r="AW15" i="9"/>
  <c r="AW16" i="9"/>
  <c r="AW17" i="9"/>
  <c r="AW18" i="9"/>
  <c r="AW19" i="9"/>
  <c r="AW20" i="9"/>
  <c r="AW21" i="9"/>
  <c r="AW22" i="9"/>
  <c r="AW23" i="9"/>
  <c r="AW24" i="9"/>
  <c r="AW25" i="9"/>
  <c r="AW26" i="9"/>
  <c r="AW27" i="9"/>
  <c r="AW28" i="9"/>
  <c r="AW29" i="9"/>
  <c r="AW30" i="9"/>
  <c r="AW31" i="9"/>
  <c r="AW32" i="9"/>
  <c r="AW33" i="9"/>
  <c r="AW34" i="9"/>
  <c r="AW35" i="9"/>
  <c r="AW36" i="9"/>
  <c r="AW37" i="9"/>
  <c r="AW38" i="9"/>
  <c r="AW39" i="9"/>
  <c r="AW40" i="9"/>
  <c r="AW41" i="9"/>
  <c r="AW42" i="9"/>
  <c r="AW43" i="9"/>
  <c r="AW44" i="9"/>
  <c r="AW45" i="9"/>
  <c r="AW46" i="9"/>
  <c r="AW47" i="9"/>
  <c r="AW48" i="9"/>
  <c r="AW49" i="9"/>
  <c r="AW50" i="9"/>
  <c r="AW51" i="9"/>
  <c r="AW52" i="9"/>
  <c r="AW53" i="9"/>
  <c r="AW54" i="9"/>
  <c r="AW55" i="9"/>
  <c r="AW56" i="9"/>
  <c r="AW57" i="9"/>
  <c r="AW58" i="9"/>
  <c r="AW59" i="9"/>
  <c r="AW60" i="9"/>
  <c r="AW61" i="9"/>
  <c r="AW62" i="9"/>
  <c r="AW63" i="9"/>
  <c r="AW64" i="9"/>
  <c r="AW65" i="9"/>
  <c r="AW66" i="9"/>
  <c r="AW67" i="9"/>
  <c r="AW68" i="9"/>
  <c r="AW69" i="9"/>
  <c r="AW70" i="9"/>
  <c r="AW71" i="9"/>
  <c r="AW72" i="9"/>
  <c r="AW73" i="9"/>
  <c r="AW74" i="9"/>
  <c r="AW75" i="9"/>
  <c r="AW76" i="9"/>
  <c r="AW77" i="9"/>
  <c r="AW78" i="9"/>
  <c r="AW79" i="9"/>
  <c r="AW80" i="9"/>
  <c r="AW81" i="9"/>
  <c r="AW82" i="9"/>
  <c r="AW83" i="9"/>
  <c r="AW84" i="9"/>
  <c r="AW85" i="9"/>
  <c r="AW86" i="9"/>
  <c r="AW87" i="9"/>
  <c r="AW88" i="9"/>
  <c r="AW89" i="9"/>
  <c r="AW90" i="9"/>
  <c r="AW91" i="9"/>
  <c r="AW92" i="9"/>
  <c r="AW93" i="9"/>
  <c r="AW94" i="9"/>
  <c r="AW95" i="9"/>
  <c r="AW96" i="9"/>
  <c r="AW97" i="9"/>
  <c r="AW98" i="9"/>
  <c r="AW99" i="9"/>
  <c r="AW100" i="9"/>
  <c r="AW101" i="9"/>
  <c r="AW102" i="9"/>
  <c r="AW103" i="9"/>
  <c r="AW104" i="9"/>
  <c r="AW105" i="9"/>
  <c r="AW106" i="9"/>
  <c r="AW107" i="9"/>
  <c r="AW108" i="9"/>
  <c r="AW109" i="9"/>
  <c r="AW110" i="9"/>
  <c r="AW111" i="9"/>
  <c r="AW112" i="9"/>
  <c r="AW113" i="9"/>
  <c r="AW114" i="9"/>
  <c r="AW115" i="9"/>
  <c r="AW116" i="9"/>
  <c r="AW117" i="9"/>
  <c r="AW118" i="9"/>
  <c r="AW119" i="9"/>
  <c r="AW120" i="9"/>
  <c r="AW121" i="9"/>
  <c r="AW122" i="9"/>
  <c r="AW123" i="9"/>
  <c r="AW124" i="9"/>
  <c r="AW125" i="9"/>
  <c r="AW126" i="9"/>
  <c r="AW127" i="9"/>
  <c r="AW128" i="9"/>
  <c r="AW129" i="9"/>
  <c r="AW130" i="9"/>
  <c r="AW131" i="9"/>
  <c r="AW132" i="9"/>
  <c r="AW133" i="9"/>
  <c r="AW134" i="9"/>
  <c r="AW135" i="9"/>
  <c r="AW136" i="9"/>
  <c r="AW137" i="9"/>
  <c r="AW138" i="9"/>
  <c r="AW139" i="9"/>
  <c r="AW140" i="9"/>
  <c r="AW141" i="9"/>
  <c r="AW142" i="9"/>
  <c r="AW143" i="9"/>
  <c r="AW144" i="9"/>
  <c r="AW145" i="9"/>
  <c r="AW146" i="9"/>
  <c r="AW147" i="9"/>
  <c r="AW148" i="9"/>
  <c r="AW149" i="9"/>
  <c r="AW150" i="9"/>
  <c r="AW151" i="9"/>
  <c r="AW152" i="9"/>
  <c r="AW153" i="9"/>
  <c r="AW154" i="9"/>
  <c r="AW155" i="9"/>
  <c r="AW156" i="9"/>
  <c r="AW157" i="9"/>
  <c r="AW158" i="9"/>
  <c r="AW159" i="9"/>
  <c r="AW160" i="9"/>
  <c r="AW161" i="9"/>
  <c r="AW162" i="9"/>
  <c r="AW163" i="9"/>
  <c r="AW164" i="9"/>
  <c r="AW165" i="9"/>
  <c r="AW166" i="9"/>
  <c r="AW167" i="9"/>
  <c r="AW168" i="9"/>
  <c r="AW169" i="9"/>
  <c r="AW170" i="9"/>
  <c r="AW171" i="9"/>
  <c r="AW172" i="9"/>
  <c r="AW173" i="9"/>
  <c r="AW174" i="9"/>
  <c r="AW175" i="9"/>
  <c r="AW176" i="9"/>
  <c r="AW177" i="9"/>
  <c r="AW178" i="9"/>
  <c r="AW179" i="9"/>
  <c r="AW180" i="9"/>
  <c r="AW181" i="9"/>
  <c r="AW182" i="9"/>
  <c r="AW183" i="9"/>
  <c r="AW184" i="9"/>
  <c r="AW185" i="9"/>
  <c r="AW186" i="9"/>
  <c r="AW187" i="9"/>
  <c r="AW188" i="9"/>
  <c r="AW189" i="9"/>
  <c r="AW190" i="9"/>
  <c r="AW191" i="9"/>
  <c r="AW192" i="9"/>
  <c r="AW193" i="9"/>
  <c r="AW194" i="9"/>
  <c r="AW195" i="9"/>
  <c r="AW196" i="9"/>
  <c r="AW197" i="9"/>
  <c r="AW198" i="9"/>
  <c r="AW199" i="9"/>
  <c r="AW200" i="9"/>
  <c r="AW201" i="9"/>
  <c r="AW202" i="9"/>
  <c r="AW203" i="9"/>
  <c r="AW204" i="9"/>
  <c r="AW205" i="9"/>
  <c r="AW206" i="9"/>
  <c r="AW207" i="9"/>
  <c r="AW208" i="9"/>
  <c r="AW209" i="9"/>
  <c r="AW210" i="9"/>
  <c r="AW211" i="9"/>
  <c r="AW212" i="9"/>
  <c r="AW213" i="9"/>
  <c r="AW214" i="9"/>
  <c r="AW215" i="9"/>
  <c r="AW216" i="9"/>
  <c r="AW217" i="9"/>
  <c r="AW218" i="9"/>
  <c r="AW219" i="9"/>
  <c r="AW220" i="9"/>
  <c r="AW221" i="9"/>
  <c r="AW222" i="9"/>
  <c r="AW223" i="9"/>
  <c r="AW224" i="9"/>
  <c r="AW225" i="9"/>
  <c r="AW226" i="9"/>
  <c r="AW227" i="9"/>
  <c r="AW228" i="9"/>
  <c r="AW229" i="9"/>
  <c r="AW230" i="9"/>
  <c r="AW231" i="9"/>
  <c r="AW232" i="9"/>
  <c r="AW233" i="9"/>
  <c r="AW234" i="9"/>
  <c r="AW235" i="9"/>
  <c r="AW236" i="9"/>
  <c r="AW237" i="9"/>
  <c r="AW238" i="9"/>
  <c r="AW239" i="9"/>
  <c r="AW240" i="9"/>
  <c r="AW241" i="9"/>
  <c r="AW242" i="9"/>
  <c r="AW243" i="9"/>
  <c r="AW244" i="9"/>
  <c r="AW245" i="9"/>
  <c r="AW246" i="9"/>
  <c r="AW247" i="9"/>
  <c r="AW248" i="9"/>
  <c r="AW249" i="9"/>
  <c r="AW250" i="9"/>
  <c r="AW251" i="9"/>
  <c r="AW252" i="9"/>
  <c r="AW253" i="9"/>
  <c r="AW254" i="9"/>
  <c r="AW255" i="9"/>
  <c r="AW256" i="9"/>
  <c r="AW257" i="9"/>
  <c r="AW258" i="9"/>
  <c r="AW259" i="9"/>
  <c r="AW260" i="9"/>
  <c r="AW261" i="9"/>
  <c r="AW262" i="9"/>
  <c r="AW263" i="9"/>
  <c r="AW264" i="9"/>
  <c r="AW265" i="9"/>
  <c r="AW266" i="9"/>
  <c r="AW267" i="9"/>
  <c r="AW268" i="9"/>
  <c r="AW269" i="9"/>
  <c r="AW270" i="9"/>
  <c r="AW271" i="9"/>
  <c r="AW272" i="9"/>
  <c r="AW273" i="9"/>
  <c r="AW274" i="9"/>
  <c r="AW275" i="9"/>
  <c r="AW276" i="9"/>
  <c r="AW277" i="9"/>
  <c r="AW278" i="9"/>
  <c r="AW279" i="9"/>
  <c r="AW280" i="9"/>
  <c r="AW281" i="9"/>
  <c r="AW282" i="9"/>
  <c r="AW283" i="9"/>
  <c r="AW284" i="9"/>
  <c r="AW285" i="9"/>
  <c r="AW286" i="9"/>
  <c r="AW287" i="9"/>
  <c r="AW288" i="9"/>
  <c r="AW289" i="9"/>
  <c r="AW290" i="9"/>
  <c r="AW291" i="9"/>
  <c r="AW292" i="9"/>
  <c r="AW293" i="9"/>
  <c r="AW294" i="9"/>
  <c r="AW295" i="9"/>
  <c r="AW296" i="9"/>
  <c r="AW297" i="9"/>
  <c r="AW298" i="9"/>
  <c r="AW299" i="9"/>
  <c r="AW300" i="9"/>
  <c r="AW301" i="9"/>
  <c r="AW302" i="9"/>
  <c r="AW303" i="9"/>
  <c r="AW304" i="9"/>
  <c r="AW305" i="9"/>
  <c r="AW306" i="9"/>
  <c r="AW307" i="9"/>
  <c r="AW308" i="9"/>
  <c r="AW309" i="9"/>
  <c r="AW310" i="9"/>
  <c r="AW311" i="9"/>
  <c r="AW312" i="9"/>
  <c r="AW313" i="9"/>
  <c r="AW314" i="9"/>
  <c r="AW315" i="9"/>
  <c r="AW316" i="9"/>
  <c r="AW317" i="9"/>
  <c r="AW318" i="9"/>
  <c r="AW319" i="9"/>
  <c r="AW320" i="9"/>
  <c r="AW321" i="9"/>
  <c r="AW322" i="9"/>
  <c r="AW323" i="9"/>
  <c r="AW324" i="9"/>
  <c r="AW325" i="9"/>
  <c r="AW326" i="9"/>
  <c r="AW327" i="9"/>
  <c r="AW328" i="9"/>
  <c r="AW329" i="9"/>
  <c r="AW330" i="9"/>
  <c r="AW331" i="9"/>
  <c r="AW332" i="9"/>
  <c r="AW333" i="9"/>
  <c r="AW334" i="9"/>
  <c r="AW335" i="9"/>
  <c r="AW336" i="9"/>
  <c r="AW337" i="9"/>
  <c r="AW338" i="9"/>
  <c r="AW339" i="9"/>
  <c r="AW340" i="9"/>
  <c r="AW341" i="9"/>
  <c r="AW342" i="9"/>
  <c r="AW343" i="9"/>
  <c r="AW344" i="9"/>
  <c r="AW345" i="9"/>
  <c r="AW346" i="9"/>
  <c r="AW347" i="9"/>
  <c r="AW348" i="9"/>
  <c r="AW349" i="9"/>
  <c r="AW350" i="9"/>
  <c r="AW351" i="9"/>
  <c r="AW352" i="9"/>
  <c r="AW353" i="9"/>
  <c r="AW354" i="9"/>
  <c r="AW355" i="9"/>
  <c r="AW356" i="9"/>
  <c r="AW357" i="9"/>
  <c r="AW358" i="9"/>
  <c r="AW359" i="9"/>
  <c r="AW360" i="9"/>
  <c r="AW361" i="9"/>
  <c r="AW362" i="9"/>
  <c r="AW363" i="9"/>
  <c r="AW364" i="9"/>
  <c r="AW365" i="9"/>
  <c r="AW366" i="9"/>
  <c r="AW367" i="9"/>
  <c r="AW368" i="9"/>
  <c r="AW369" i="9"/>
  <c r="AW370" i="9"/>
  <c r="AW371" i="9"/>
  <c r="AW372" i="9"/>
  <c r="AW373" i="9"/>
  <c r="AW374" i="9"/>
  <c r="AW375" i="9"/>
  <c r="AW376" i="9"/>
  <c r="AW377" i="9"/>
  <c r="AW378" i="9"/>
  <c r="AW379" i="9"/>
  <c r="AW380" i="9"/>
  <c r="AW381" i="9"/>
  <c r="AW382" i="9"/>
  <c r="AW383" i="9"/>
  <c r="AW384" i="9"/>
  <c r="AW385" i="9"/>
  <c r="AW386" i="9"/>
  <c r="AW387" i="9"/>
  <c r="AW388" i="9"/>
  <c r="AW389" i="9"/>
  <c r="AW390" i="9"/>
  <c r="AW391" i="9"/>
  <c r="AW392" i="9"/>
  <c r="AW393" i="9"/>
  <c r="AW394" i="9"/>
  <c r="AW395" i="9"/>
  <c r="AW396" i="9"/>
  <c r="AW397" i="9"/>
  <c r="AW398" i="9"/>
  <c r="AW399" i="9"/>
  <c r="AW400" i="9"/>
  <c r="AW401" i="9"/>
  <c r="AW402" i="9"/>
  <c r="AW403" i="9"/>
  <c r="AW404" i="9"/>
  <c r="AW405" i="9"/>
  <c r="AW406" i="9"/>
  <c r="AW407" i="9"/>
  <c r="AW408" i="9"/>
  <c r="AW409" i="9"/>
  <c r="AW410" i="9"/>
  <c r="AW411" i="9"/>
  <c r="AW412" i="9"/>
  <c r="AW413" i="9"/>
  <c r="AW414" i="9"/>
  <c r="AW415" i="9"/>
  <c r="AW416" i="9"/>
  <c r="AW417" i="9"/>
  <c r="AW418" i="9"/>
  <c r="AW419" i="9"/>
  <c r="AW420" i="9"/>
  <c r="AW421" i="9"/>
  <c r="AW422" i="9"/>
  <c r="AW423" i="9"/>
  <c r="AW424" i="9"/>
  <c r="AW425" i="9"/>
  <c r="AW426" i="9"/>
  <c r="AW427" i="9"/>
  <c r="AW428" i="9"/>
  <c r="AW429" i="9"/>
  <c r="AW430" i="9"/>
  <c r="AW431" i="9"/>
  <c r="AW432" i="9"/>
  <c r="AW433" i="9"/>
  <c r="AW434" i="9"/>
  <c r="AW435" i="9"/>
  <c r="AW436" i="9"/>
  <c r="AW437" i="9"/>
  <c r="AW438" i="9"/>
  <c r="AW439" i="9"/>
  <c r="AW440" i="9"/>
  <c r="AW441" i="9"/>
  <c r="AW442" i="9"/>
  <c r="AW443" i="9"/>
  <c r="AW444" i="9"/>
  <c r="AW445" i="9"/>
  <c r="AW446" i="9"/>
  <c r="AW447" i="9"/>
  <c r="AW448" i="9"/>
  <c r="AW449" i="9"/>
  <c r="AW450" i="9"/>
  <c r="AW451" i="9"/>
  <c r="AW452" i="9"/>
  <c r="AW453" i="9"/>
  <c r="AW454" i="9"/>
  <c r="AW455" i="9"/>
  <c r="AW456" i="9"/>
  <c r="AW457" i="9"/>
  <c r="AW458" i="9"/>
  <c r="AW459" i="9"/>
  <c r="AW460" i="9"/>
  <c r="AW461" i="9"/>
  <c r="AW462" i="9"/>
  <c r="AW463" i="9"/>
  <c r="AW464" i="9"/>
  <c r="AW465" i="9"/>
  <c r="AW466" i="9"/>
  <c r="AW467" i="9"/>
  <c r="AW468" i="9"/>
  <c r="AW469" i="9"/>
  <c r="AW470" i="9"/>
  <c r="AW471" i="9"/>
  <c r="AW472" i="9"/>
  <c r="AW473" i="9"/>
  <c r="AW474" i="9"/>
  <c r="AW475" i="9"/>
  <c r="AW476" i="9"/>
  <c r="AW477" i="9"/>
  <c r="AW478" i="9"/>
  <c r="AW479" i="9"/>
  <c r="AW480" i="9"/>
  <c r="AW481" i="9"/>
  <c r="AW482" i="9"/>
  <c r="AW483" i="9"/>
  <c r="AW484" i="9"/>
  <c r="AW485" i="9"/>
  <c r="AW486" i="9"/>
  <c r="AW487" i="9"/>
  <c r="AW488" i="9"/>
  <c r="AW489" i="9"/>
  <c r="AW490" i="9"/>
  <c r="AW491" i="9"/>
  <c r="AW492" i="9"/>
  <c r="AW493" i="9"/>
  <c r="AW494" i="9"/>
  <c r="AW495" i="9"/>
  <c r="AW496" i="9"/>
  <c r="AW497" i="9"/>
  <c r="AW498" i="9"/>
  <c r="AW499" i="9"/>
  <c r="AW500" i="9"/>
  <c r="AW501" i="9"/>
  <c r="AW502" i="9"/>
  <c r="AW503" i="9"/>
  <c r="AW504" i="9"/>
  <c r="AW505" i="9"/>
  <c r="AW506" i="9"/>
  <c r="AW507" i="9"/>
  <c r="AW508" i="9"/>
  <c r="AW509" i="9"/>
  <c r="AW510" i="9"/>
  <c r="AW511" i="9"/>
  <c r="AW512" i="9"/>
  <c r="AW513" i="9"/>
  <c r="AW514" i="9"/>
  <c r="AW515" i="9"/>
  <c r="AW516" i="9"/>
  <c r="AW517" i="9"/>
  <c r="AW518" i="9"/>
  <c r="AW519" i="9"/>
  <c r="AW520" i="9"/>
  <c r="AW521" i="9"/>
  <c r="AW522" i="9"/>
  <c r="AW523" i="9"/>
  <c r="AW524" i="9"/>
  <c r="AW525" i="9"/>
  <c r="AW526" i="9"/>
  <c r="AW527" i="9"/>
  <c r="AW528" i="9"/>
  <c r="AW529" i="9"/>
  <c r="AW530" i="9"/>
  <c r="AW531" i="9"/>
  <c r="AW532" i="9"/>
  <c r="AW533" i="9"/>
  <c r="AW534" i="9"/>
  <c r="AW535" i="9"/>
  <c r="AW536" i="9"/>
  <c r="AW537" i="9"/>
  <c r="AW538" i="9"/>
  <c r="AW539" i="9"/>
  <c r="AW540" i="9"/>
  <c r="AW541" i="9"/>
  <c r="AW542" i="9"/>
  <c r="AW543" i="9"/>
  <c r="AW544" i="9"/>
  <c r="AW545" i="9"/>
  <c r="AW546" i="9"/>
  <c r="AW547" i="9"/>
  <c r="AW548" i="9"/>
  <c r="AW549" i="9"/>
  <c r="AW550" i="9"/>
  <c r="AW551" i="9"/>
  <c r="AW552" i="9"/>
  <c r="AW553" i="9"/>
  <c r="AW554" i="9"/>
  <c r="AW555" i="9"/>
  <c r="AW556" i="9"/>
  <c r="AW557" i="9"/>
  <c r="AW558" i="9"/>
  <c r="AW559" i="9"/>
  <c r="AW560" i="9"/>
  <c r="AW561" i="9"/>
  <c r="AW562" i="9"/>
  <c r="AW563" i="9"/>
  <c r="AW564" i="9"/>
  <c r="AW565" i="9"/>
  <c r="AW566" i="9"/>
  <c r="AW567" i="9"/>
  <c r="AW568" i="9"/>
  <c r="AW569" i="9"/>
  <c r="AW570" i="9"/>
  <c r="AW571" i="9"/>
  <c r="AW572" i="9"/>
  <c r="AW573" i="9"/>
  <c r="AW574" i="9"/>
  <c r="AW575" i="9"/>
  <c r="AW576" i="9"/>
  <c r="AW577" i="9"/>
  <c r="AW578" i="9"/>
  <c r="AW579" i="9"/>
  <c r="AW580" i="9"/>
  <c r="AW581" i="9"/>
  <c r="AW582" i="9"/>
  <c r="AW583" i="9"/>
  <c r="AW584" i="9"/>
  <c r="AW585" i="9"/>
  <c r="AW586" i="9"/>
  <c r="AW587" i="9"/>
  <c r="AW588" i="9"/>
  <c r="AW589" i="9"/>
  <c r="AW590" i="9"/>
  <c r="AW591" i="9"/>
  <c r="AW592" i="9"/>
  <c r="AW593" i="9"/>
  <c r="AW594" i="9"/>
  <c r="AW595" i="9"/>
  <c r="AW596" i="9"/>
  <c r="AW597" i="9"/>
  <c r="AW598" i="9"/>
  <c r="AW599" i="9"/>
  <c r="AW600" i="9"/>
  <c r="AW601" i="9"/>
  <c r="AW602" i="9"/>
  <c r="AW603" i="9"/>
  <c r="AW604" i="9"/>
  <c r="AW605" i="9"/>
  <c r="AW606" i="9"/>
  <c r="AW607" i="9"/>
  <c r="AW608" i="9"/>
  <c r="AW609" i="9"/>
  <c r="AW610" i="9"/>
  <c r="AW611" i="9"/>
  <c r="AW612" i="9"/>
  <c r="AW613" i="9"/>
  <c r="AW614" i="9"/>
  <c r="AW615" i="9"/>
  <c r="AW616" i="9"/>
  <c r="AW617" i="9"/>
  <c r="AW618" i="9"/>
  <c r="AW619" i="9"/>
  <c r="AW620" i="9"/>
  <c r="AW621" i="9"/>
  <c r="AW622" i="9"/>
  <c r="AW623" i="9"/>
  <c r="AW624" i="9"/>
  <c r="AW625" i="9"/>
  <c r="AW626" i="9"/>
  <c r="AW627" i="9"/>
  <c r="AW628" i="9"/>
  <c r="AW629" i="9"/>
  <c r="AW630" i="9"/>
  <c r="AW631" i="9"/>
  <c r="AW632" i="9"/>
  <c r="AW633" i="9"/>
  <c r="AW634" i="9"/>
  <c r="AW635" i="9"/>
  <c r="AW636" i="9"/>
  <c r="AW637" i="9"/>
  <c r="AW638" i="9"/>
  <c r="AW639" i="9"/>
  <c r="AW640" i="9"/>
  <c r="AW641" i="9"/>
  <c r="AW642" i="9"/>
  <c r="AW643" i="9"/>
  <c r="AW644" i="9"/>
  <c r="AW645" i="9"/>
  <c r="AW646" i="9"/>
  <c r="AW647" i="9"/>
  <c r="AW648" i="9"/>
  <c r="AW649" i="9"/>
  <c r="AW650" i="9"/>
  <c r="AW651" i="9"/>
  <c r="AW652" i="9"/>
  <c r="AW653" i="9"/>
  <c r="AW654" i="9"/>
  <c r="AW655" i="9"/>
  <c r="AW656" i="9"/>
  <c r="AW657" i="9"/>
  <c r="AW658" i="9"/>
  <c r="AW659" i="9"/>
  <c r="AW660" i="9"/>
  <c r="AW661" i="9"/>
  <c r="AW662" i="9"/>
  <c r="AW663" i="9"/>
  <c r="AW664" i="9"/>
  <c r="AW665" i="9"/>
  <c r="AW666" i="9"/>
  <c r="AW667" i="9"/>
  <c r="AW668" i="9"/>
  <c r="AW669" i="9"/>
  <c r="AW670" i="9"/>
  <c r="AW671" i="9"/>
  <c r="AW672" i="9"/>
  <c r="AW673" i="9"/>
  <c r="AW674" i="9"/>
  <c r="AW675" i="9"/>
  <c r="AW676" i="9"/>
  <c r="AW677" i="9"/>
  <c r="AW678" i="9"/>
  <c r="AW679" i="9"/>
  <c r="AW680" i="9"/>
  <c r="AW681" i="9"/>
  <c r="AW682" i="9"/>
  <c r="AW683" i="9"/>
  <c r="AW684" i="9"/>
  <c r="AW685" i="9"/>
  <c r="AW686" i="9"/>
  <c r="AW687" i="9"/>
  <c r="AW688" i="9"/>
  <c r="AW689" i="9"/>
  <c r="AW690" i="9"/>
  <c r="AW691" i="9"/>
  <c r="AW692" i="9"/>
  <c r="AW693" i="9"/>
  <c r="AW694" i="9"/>
  <c r="AW695" i="9"/>
  <c r="AW696" i="9"/>
  <c r="AW697" i="9"/>
  <c r="AW698" i="9"/>
  <c r="AW699" i="9"/>
  <c r="AW700" i="9"/>
  <c r="AW701" i="9"/>
  <c r="AW702" i="9"/>
  <c r="AW703" i="9"/>
  <c r="AW704" i="9"/>
  <c r="AW705" i="9"/>
  <c r="AW706" i="9"/>
  <c r="AW707" i="9"/>
  <c r="AW708" i="9"/>
  <c r="AW709" i="9"/>
  <c r="AW710" i="9"/>
  <c r="AW711" i="9"/>
  <c r="AW712" i="9"/>
  <c r="AW713" i="9"/>
  <c r="AW714" i="9"/>
  <c r="AW715" i="9"/>
  <c r="AW716" i="9"/>
  <c r="AW717" i="9"/>
  <c r="AW718" i="9"/>
  <c r="AW719" i="9"/>
  <c r="AW720" i="9"/>
  <c r="AW721" i="9"/>
  <c r="AW722" i="9"/>
  <c r="AW723" i="9"/>
  <c r="AW724" i="9"/>
  <c r="AW725" i="9"/>
  <c r="AW726" i="9"/>
  <c r="AW727" i="9"/>
  <c r="AW728" i="9"/>
  <c r="AW729" i="9"/>
  <c r="AW730" i="9"/>
  <c r="AW731" i="9"/>
  <c r="AW732" i="9"/>
  <c r="AW733" i="9"/>
  <c r="AW734" i="9"/>
  <c r="AW735" i="9"/>
  <c r="AW736" i="9"/>
  <c r="AW737" i="9"/>
  <c r="AW738" i="9"/>
  <c r="AW739" i="9"/>
  <c r="AW740" i="9"/>
  <c r="AW741" i="9"/>
  <c r="AW742" i="9"/>
  <c r="AW743" i="9"/>
  <c r="AW744" i="9"/>
  <c r="AW745" i="9"/>
  <c r="AW746" i="9"/>
  <c r="AW747" i="9"/>
  <c r="AW748" i="9"/>
  <c r="AW749" i="9"/>
  <c r="AW750" i="9"/>
  <c r="D84" i="4" l="1"/>
  <c r="D85" i="4"/>
  <c r="D86" i="4"/>
  <c r="D87" i="4"/>
  <c r="D115" i="4"/>
  <c r="D116" i="4"/>
  <c r="C38" i="13" l="1"/>
  <c r="C45" i="13"/>
  <c r="C43" i="13"/>
  <c r="BI11" i="5"/>
  <c r="F11" i="5" s="1"/>
  <c r="H11" i="5" s="1"/>
  <c r="C42" i="13"/>
  <c r="C41" i="13"/>
  <c r="C40" i="13"/>
  <c r="F12" i="5"/>
  <c r="C46" i="13"/>
  <c r="C39" i="13"/>
  <c r="C48" i="13"/>
  <c r="C44" i="13"/>
  <c r="C47" i="13"/>
  <c r="C49" i="13"/>
  <c r="F8" i="5"/>
  <c r="C124" i="13"/>
  <c r="C126" i="13"/>
  <c r="C125" i="13"/>
  <c r="C127" i="13"/>
  <c r="C130" i="13"/>
  <c r="C128" i="13"/>
  <c r="C76" i="13"/>
  <c r="C103" i="13"/>
  <c r="C37" i="13"/>
  <c r="C35" i="13"/>
  <c r="C101" i="13"/>
  <c r="C97" i="13"/>
  <c r="C30" i="13"/>
  <c r="C100" i="13"/>
  <c r="C33" i="13"/>
  <c r="C29" i="13"/>
  <c r="C98" i="13"/>
  <c r="C31" i="13"/>
  <c r="C99" i="13"/>
  <c r="C32" i="13"/>
  <c r="H8" i="5" l="1"/>
  <c r="BB8" i="5"/>
  <c r="H12" i="5"/>
  <c r="BB12" i="5"/>
  <c r="BG12" i="5" s="1"/>
  <c r="BJ11" i="5"/>
  <c r="BD8" i="5" l="1"/>
  <c r="BJ8" i="5"/>
  <c r="BJ12" i="5"/>
  <c r="BD12" i="5"/>
  <c r="C74" i="13"/>
  <c r="C73" i="13"/>
  <c r="C72" i="13"/>
  <c r="C71" i="13"/>
  <c r="C70" i="13"/>
  <c r="G63" i="7"/>
  <c r="C63" i="7" s="1"/>
  <c r="B2" i="4" l="1"/>
  <c r="B3" i="13" s="1"/>
  <c r="B3" i="10"/>
  <c r="AW6" i="5"/>
  <c r="E8" i="9" l="1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338" i="9"/>
  <c r="E339" i="9"/>
  <c r="E340" i="9"/>
  <c r="E341" i="9"/>
  <c r="E342" i="9"/>
  <c r="E343" i="9"/>
  <c r="E344" i="9"/>
  <c r="E345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E501" i="9"/>
  <c r="E502" i="9"/>
  <c r="E503" i="9"/>
  <c r="E504" i="9"/>
  <c r="E505" i="9"/>
  <c r="E506" i="9"/>
  <c r="E507" i="9"/>
  <c r="E508" i="9"/>
  <c r="E509" i="9"/>
  <c r="E510" i="9"/>
  <c r="E511" i="9"/>
  <c r="E512" i="9"/>
  <c r="E513" i="9"/>
  <c r="E514" i="9"/>
  <c r="E515" i="9"/>
  <c r="E516" i="9"/>
  <c r="E517" i="9"/>
  <c r="E518" i="9"/>
  <c r="E519" i="9"/>
  <c r="E520" i="9"/>
  <c r="E521" i="9"/>
  <c r="E522" i="9"/>
  <c r="E523" i="9"/>
  <c r="E524" i="9"/>
  <c r="E525" i="9"/>
  <c r="E526" i="9"/>
  <c r="E527" i="9"/>
  <c r="E528" i="9"/>
  <c r="E529" i="9"/>
  <c r="E530" i="9"/>
  <c r="E531" i="9"/>
  <c r="E532" i="9"/>
  <c r="E533" i="9"/>
  <c r="E534" i="9"/>
  <c r="E535" i="9"/>
  <c r="E536" i="9"/>
  <c r="E537" i="9"/>
  <c r="E538" i="9"/>
  <c r="E539" i="9"/>
  <c r="E540" i="9"/>
  <c r="E541" i="9"/>
  <c r="E542" i="9"/>
  <c r="E543" i="9"/>
  <c r="E544" i="9"/>
  <c r="E545" i="9"/>
  <c r="E546" i="9"/>
  <c r="E547" i="9"/>
  <c r="E548" i="9"/>
  <c r="E549" i="9"/>
  <c r="E550" i="9"/>
  <c r="E551" i="9"/>
  <c r="E552" i="9"/>
  <c r="E553" i="9"/>
  <c r="E554" i="9"/>
  <c r="E555" i="9"/>
  <c r="E556" i="9"/>
  <c r="E557" i="9"/>
  <c r="E558" i="9"/>
  <c r="E559" i="9"/>
  <c r="E560" i="9"/>
  <c r="E561" i="9"/>
  <c r="E562" i="9"/>
  <c r="E563" i="9"/>
  <c r="E564" i="9"/>
  <c r="E565" i="9"/>
  <c r="E566" i="9"/>
  <c r="E567" i="9"/>
  <c r="E568" i="9"/>
  <c r="E569" i="9"/>
  <c r="E570" i="9"/>
  <c r="E571" i="9"/>
  <c r="E572" i="9"/>
  <c r="E573" i="9"/>
  <c r="E574" i="9"/>
  <c r="E575" i="9"/>
  <c r="E576" i="9"/>
  <c r="E577" i="9"/>
  <c r="E578" i="9"/>
  <c r="E579" i="9"/>
  <c r="E580" i="9"/>
  <c r="E581" i="9"/>
  <c r="E582" i="9"/>
  <c r="E583" i="9"/>
  <c r="E584" i="9"/>
  <c r="E585" i="9"/>
  <c r="E586" i="9"/>
  <c r="E587" i="9"/>
  <c r="E588" i="9"/>
  <c r="E589" i="9"/>
  <c r="E590" i="9"/>
  <c r="E591" i="9"/>
  <c r="E592" i="9"/>
  <c r="E593" i="9"/>
  <c r="E594" i="9"/>
  <c r="E595" i="9"/>
  <c r="E596" i="9"/>
  <c r="E597" i="9"/>
  <c r="E598" i="9"/>
  <c r="E599" i="9"/>
  <c r="E600" i="9"/>
  <c r="E601" i="9"/>
  <c r="E602" i="9"/>
  <c r="E603" i="9"/>
  <c r="E604" i="9"/>
  <c r="E605" i="9"/>
  <c r="E606" i="9"/>
  <c r="E607" i="9"/>
  <c r="E608" i="9"/>
  <c r="E609" i="9"/>
  <c r="E610" i="9"/>
  <c r="E611" i="9"/>
  <c r="E612" i="9"/>
  <c r="E613" i="9"/>
  <c r="E614" i="9"/>
  <c r="E615" i="9"/>
  <c r="E616" i="9"/>
  <c r="E617" i="9"/>
  <c r="E618" i="9"/>
  <c r="E619" i="9"/>
  <c r="E620" i="9"/>
  <c r="E621" i="9"/>
  <c r="E622" i="9"/>
  <c r="E623" i="9"/>
  <c r="E624" i="9"/>
  <c r="E625" i="9"/>
  <c r="E626" i="9"/>
  <c r="E627" i="9"/>
  <c r="E628" i="9"/>
  <c r="E629" i="9"/>
  <c r="E630" i="9"/>
  <c r="E631" i="9"/>
  <c r="E632" i="9"/>
  <c r="E633" i="9"/>
  <c r="E634" i="9"/>
  <c r="E635" i="9"/>
  <c r="E636" i="9"/>
  <c r="E637" i="9"/>
  <c r="E638" i="9"/>
  <c r="E639" i="9"/>
  <c r="E640" i="9"/>
  <c r="E641" i="9"/>
  <c r="E642" i="9"/>
  <c r="E643" i="9"/>
  <c r="E644" i="9"/>
  <c r="E645" i="9"/>
  <c r="E646" i="9"/>
  <c r="E647" i="9"/>
  <c r="E648" i="9"/>
  <c r="E649" i="9"/>
  <c r="E650" i="9"/>
  <c r="E651" i="9"/>
  <c r="E652" i="9"/>
  <c r="E653" i="9"/>
  <c r="E654" i="9"/>
  <c r="E655" i="9"/>
  <c r="E656" i="9"/>
  <c r="E657" i="9"/>
  <c r="E658" i="9"/>
  <c r="E659" i="9"/>
  <c r="E660" i="9"/>
  <c r="E661" i="9"/>
  <c r="E662" i="9"/>
  <c r="E663" i="9"/>
  <c r="E664" i="9"/>
  <c r="E665" i="9"/>
  <c r="E666" i="9"/>
  <c r="E667" i="9"/>
  <c r="E668" i="9"/>
  <c r="E669" i="9"/>
  <c r="E670" i="9"/>
  <c r="E671" i="9"/>
  <c r="E672" i="9"/>
  <c r="E673" i="9"/>
  <c r="E674" i="9"/>
  <c r="E675" i="9"/>
  <c r="E676" i="9"/>
  <c r="E677" i="9"/>
  <c r="E678" i="9"/>
  <c r="E679" i="9"/>
  <c r="E680" i="9"/>
  <c r="E681" i="9"/>
  <c r="E682" i="9"/>
  <c r="E683" i="9"/>
  <c r="E684" i="9"/>
  <c r="E685" i="9"/>
  <c r="E686" i="9"/>
  <c r="E687" i="9"/>
  <c r="E688" i="9"/>
  <c r="E689" i="9"/>
  <c r="E690" i="9"/>
  <c r="E691" i="9"/>
  <c r="E692" i="9"/>
  <c r="E693" i="9"/>
  <c r="E694" i="9"/>
  <c r="E695" i="9"/>
  <c r="E696" i="9"/>
  <c r="E697" i="9"/>
  <c r="E698" i="9"/>
  <c r="E699" i="9"/>
  <c r="E700" i="9"/>
  <c r="E701" i="9"/>
  <c r="E702" i="9"/>
  <c r="E703" i="9"/>
  <c r="E704" i="9"/>
  <c r="E705" i="9"/>
  <c r="E706" i="9"/>
  <c r="E707" i="9"/>
  <c r="E708" i="9"/>
  <c r="E709" i="9"/>
  <c r="E710" i="9"/>
  <c r="E711" i="9"/>
  <c r="E712" i="9"/>
  <c r="E713" i="9"/>
  <c r="E714" i="9"/>
  <c r="E715" i="9"/>
  <c r="E716" i="9"/>
  <c r="E717" i="9"/>
  <c r="E718" i="9"/>
  <c r="E719" i="9"/>
  <c r="E720" i="9"/>
  <c r="E721" i="9"/>
  <c r="E722" i="9"/>
  <c r="E723" i="9"/>
  <c r="E724" i="9"/>
  <c r="E725" i="9"/>
  <c r="E726" i="9"/>
  <c r="E727" i="9"/>
  <c r="E728" i="9"/>
  <c r="E729" i="9"/>
  <c r="E730" i="9"/>
  <c r="E731" i="9"/>
  <c r="E732" i="9"/>
  <c r="E733" i="9"/>
  <c r="E734" i="9"/>
  <c r="E735" i="9"/>
  <c r="E736" i="9"/>
  <c r="E737" i="9"/>
  <c r="E738" i="9"/>
  <c r="E739" i="9"/>
  <c r="E740" i="9"/>
  <c r="E741" i="9"/>
  <c r="E742" i="9"/>
  <c r="E743" i="9"/>
  <c r="E744" i="9"/>
  <c r="E745" i="9"/>
  <c r="E746" i="9"/>
  <c r="E747" i="9"/>
  <c r="E748" i="9"/>
  <c r="E749" i="9"/>
  <c r="E750" i="9"/>
  <c r="E7" i="9"/>
  <c r="D9" i="9" l="1"/>
  <c r="AU9" i="9"/>
  <c r="AS9" i="9" a="1"/>
  <c r="AS9" i="9" s="1"/>
  <c r="AU7" i="9"/>
  <c r="D7" i="9"/>
  <c r="AS7" i="9" a="1"/>
  <c r="AS7" i="9" s="1"/>
  <c r="D747" i="9"/>
  <c r="AU747" i="9"/>
  <c r="AS747" i="9" a="1"/>
  <c r="AS747" i="9" s="1"/>
  <c r="D739" i="9"/>
  <c r="AU739" i="9"/>
  <c r="AS739" i="9" a="1"/>
  <c r="AS739" i="9" s="1"/>
  <c r="D727" i="9"/>
  <c r="AU727" i="9"/>
  <c r="AS727" i="9" a="1"/>
  <c r="AS727" i="9" s="1"/>
  <c r="D719" i="9"/>
  <c r="AU719" i="9"/>
  <c r="AS719" i="9" a="1"/>
  <c r="AS719" i="9" s="1"/>
  <c r="D707" i="9"/>
  <c r="AU707" i="9"/>
  <c r="AS707" i="9" a="1"/>
  <c r="AS707" i="9" s="1"/>
  <c r="D695" i="9"/>
  <c r="AU695" i="9"/>
  <c r="AS695" i="9" a="1"/>
  <c r="AS695" i="9" s="1"/>
  <c r="D687" i="9"/>
  <c r="AU687" i="9"/>
  <c r="AS687" i="9" a="1"/>
  <c r="AS687" i="9" s="1"/>
  <c r="D679" i="9"/>
  <c r="AU679" i="9"/>
  <c r="AS679" i="9" a="1"/>
  <c r="AS679" i="9" s="1"/>
  <c r="D671" i="9"/>
  <c r="AU671" i="9"/>
  <c r="AS671" i="9" a="1"/>
  <c r="AS671" i="9" s="1"/>
  <c r="D663" i="9"/>
  <c r="AU663" i="9"/>
  <c r="AS663" i="9" a="1"/>
  <c r="AS663" i="9" s="1"/>
  <c r="D655" i="9"/>
  <c r="AU655" i="9"/>
  <c r="AS655" i="9" a="1"/>
  <c r="AS655" i="9" s="1"/>
  <c r="D647" i="9"/>
  <c r="AU647" i="9"/>
  <c r="AS647" i="9" a="1"/>
  <c r="AS647" i="9" s="1"/>
  <c r="D639" i="9"/>
  <c r="AU639" i="9"/>
  <c r="AS639" i="9" a="1"/>
  <c r="AS639" i="9" s="1"/>
  <c r="D635" i="9"/>
  <c r="AU635" i="9"/>
  <c r="AS635" i="9" a="1"/>
  <c r="AS635" i="9" s="1"/>
  <c r="D631" i="9"/>
  <c r="AU631" i="9"/>
  <c r="AS631" i="9" a="1"/>
  <c r="AS631" i="9" s="1"/>
  <c r="D627" i="9"/>
  <c r="AU627" i="9"/>
  <c r="AS627" i="9" a="1"/>
  <c r="AS627" i="9" s="1"/>
  <c r="D623" i="9"/>
  <c r="AU623" i="9"/>
  <c r="AS623" i="9" a="1"/>
  <c r="AS623" i="9" s="1"/>
  <c r="D619" i="9"/>
  <c r="AU619" i="9"/>
  <c r="AS619" i="9" a="1"/>
  <c r="AS619" i="9" s="1"/>
  <c r="D615" i="9"/>
  <c r="AU615" i="9"/>
  <c r="AS615" i="9" a="1"/>
  <c r="AS615" i="9" s="1"/>
  <c r="D611" i="9"/>
  <c r="AU611" i="9"/>
  <c r="AS611" i="9" a="1"/>
  <c r="AS611" i="9" s="1"/>
  <c r="AU607" i="9"/>
  <c r="D607" i="9"/>
  <c r="AS607" i="9" a="1"/>
  <c r="AS607" i="9" s="1"/>
  <c r="D603" i="9"/>
  <c r="AU603" i="9"/>
  <c r="AS603" i="9" a="1"/>
  <c r="AS603" i="9" s="1"/>
  <c r="D599" i="9"/>
  <c r="AU599" i="9"/>
  <c r="AS599" i="9" a="1"/>
  <c r="AS599" i="9" s="1"/>
  <c r="D595" i="9"/>
  <c r="AU595" i="9"/>
  <c r="AS595" i="9" a="1"/>
  <c r="AS595" i="9" s="1"/>
  <c r="D591" i="9"/>
  <c r="AU591" i="9"/>
  <c r="AS591" i="9" a="1"/>
  <c r="AS591" i="9" s="1"/>
  <c r="D587" i="9"/>
  <c r="AU587" i="9"/>
  <c r="AS587" i="9" a="1"/>
  <c r="AS587" i="9" s="1"/>
  <c r="D583" i="9"/>
  <c r="AU583" i="9"/>
  <c r="AS583" i="9" a="1"/>
  <c r="AS583" i="9" s="1"/>
  <c r="D579" i="9"/>
  <c r="AU579" i="9"/>
  <c r="AS579" i="9" a="1"/>
  <c r="AS579" i="9" s="1"/>
  <c r="D575" i="9"/>
  <c r="AU575" i="9"/>
  <c r="AS575" i="9" a="1"/>
  <c r="AS575" i="9" s="1"/>
  <c r="D571" i="9"/>
  <c r="AU571" i="9"/>
  <c r="AS571" i="9" a="1"/>
  <c r="AS571" i="9" s="1"/>
  <c r="D567" i="9"/>
  <c r="AU567" i="9"/>
  <c r="AS567" i="9" a="1"/>
  <c r="AS567" i="9" s="1"/>
  <c r="D563" i="9"/>
  <c r="AU563" i="9"/>
  <c r="AS563" i="9" a="1"/>
  <c r="AS563" i="9" s="1"/>
  <c r="D559" i="9"/>
  <c r="AU559" i="9"/>
  <c r="AS559" i="9" a="1"/>
  <c r="AS559" i="9" s="1"/>
  <c r="D555" i="9"/>
  <c r="AU555" i="9"/>
  <c r="AS555" i="9" a="1"/>
  <c r="AS555" i="9" s="1"/>
  <c r="D551" i="9"/>
  <c r="AU551" i="9"/>
  <c r="AS551" i="9" a="1"/>
  <c r="AS551" i="9" s="1"/>
  <c r="D547" i="9"/>
  <c r="AU547" i="9"/>
  <c r="AS547" i="9" a="1"/>
  <c r="AS547" i="9" s="1"/>
  <c r="D543" i="9"/>
  <c r="AU543" i="9"/>
  <c r="AS543" i="9" a="1"/>
  <c r="AS543" i="9" s="1"/>
  <c r="D539" i="9"/>
  <c r="AU539" i="9"/>
  <c r="AS539" i="9" a="1"/>
  <c r="AS539" i="9" s="1"/>
  <c r="D535" i="9"/>
  <c r="AU535" i="9"/>
  <c r="AS535" i="9" a="1"/>
  <c r="AS535" i="9" s="1"/>
  <c r="D531" i="9"/>
  <c r="AU531" i="9"/>
  <c r="AS531" i="9" a="1"/>
  <c r="AS531" i="9" s="1"/>
  <c r="D527" i="9"/>
  <c r="AU527" i="9"/>
  <c r="AS527" i="9" a="1"/>
  <c r="AS527" i="9" s="1"/>
  <c r="D523" i="9"/>
  <c r="AU523" i="9"/>
  <c r="AS523" i="9" a="1"/>
  <c r="AS523" i="9" s="1"/>
  <c r="D519" i="9"/>
  <c r="AU519" i="9"/>
  <c r="AS519" i="9" a="1"/>
  <c r="AS519" i="9" s="1"/>
  <c r="D515" i="9"/>
  <c r="AU515" i="9"/>
  <c r="AS515" i="9" a="1"/>
  <c r="AS515" i="9" s="1"/>
  <c r="D511" i="9"/>
  <c r="AU511" i="9"/>
  <c r="AS511" i="9" a="1"/>
  <c r="AS511" i="9" s="1"/>
  <c r="D507" i="9"/>
  <c r="AU507" i="9"/>
  <c r="AS507" i="9" a="1"/>
  <c r="AS507" i="9" s="1"/>
  <c r="D503" i="9"/>
  <c r="AU503" i="9"/>
  <c r="AS503" i="9" a="1"/>
  <c r="AS503" i="9" s="1"/>
  <c r="D499" i="9"/>
  <c r="AU499" i="9"/>
  <c r="AS499" i="9" a="1"/>
  <c r="AS499" i="9" s="1"/>
  <c r="AU495" i="9"/>
  <c r="D495" i="9"/>
  <c r="AS495" i="9" a="1"/>
  <c r="AS495" i="9" s="1"/>
  <c r="D491" i="9"/>
  <c r="AU491" i="9"/>
  <c r="AS491" i="9" a="1"/>
  <c r="AS491" i="9" s="1"/>
  <c r="D487" i="9"/>
  <c r="AU487" i="9"/>
  <c r="AS487" i="9" a="1"/>
  <c r="AS487" i="9" s="1"/>
  <c r="D483" i="9"/>
  <c r="AU483" i="9"/>
  <c r="AS483" i="9" a="1"/>
  <c r="AS483" i="9" s="1"/>
  <c r="D479" i="9"/>
  <c r="AU479" i="9"/>
  <c r="AS479" i="9" a="1"/>
  <c r="AS479" i="9" s="1"/>
  <c r="D475" i="9"/>
  <c r="AU475" i="9"/>
  <c r="AS475" i="9" a="1"/>
  <c r="AS475" i="9" s="1"/>
  <c r="D471" i="9"/>
  <c r="AU471" i="9"/>
  <c r="AS471" i="9" a="1"/>
  <c r="AS471" i="9" s="1"/>
  <c r="D467" i="9"/>
  <c r="AU467" i="9"/>
  <c r="AS467" i="9" a="1"/>
  <c r="AS467" i="9" s="1"/>
  <c r="D463" i="9"/>
  <c r="AU463" i="9"/>
  <c r="AS463" i="9" a="1"/>
  <c r="AS463" i="9" s="1"/>
  <c r="D459" i="9"/>
  <c r="AU459" i="9"/>
  <c r="AS459" i="9" a="1"/>
  <c r="AS459" i="9" s="1"/>
  <c r="D455" i="9"/>
  <c r="AU455" i="9"/>
  <c r="AS455" i="9" a="1"/>
  <c r="AS455" i="9" s="1"/>
  <c r="AU451" i="9"/>
  <c r="D451" i="9"/>
  <c r="AS451" i="9" a="1"/>
  <c r="AS451" i="9" s="1"/>
  <c r="D447" i="9"/>
  <c r="AU447" i="9"/>
  <c r="AS447" i="9" a="1"/>
  <c r="AS447" i="9" s="1"/>
  <c r="D443" i="9"/>
  <c r="AU443" i="9"/>
  <c r="AS443" i="9" a="1"/>
  <c r="AS443" i="9" s="1"/>
  <c r="D439" i="9"/>
  <c r="AU439" i="9"/>
  <c r="AS439" i="9" a="1"/>
  <c r="AS439" i="9" s="1"/>
  <c r="D435" i="9"/>
  <c r="AU435" i="9"/>
  <c r="AS435" i="9" a="1"/>
  <c r="AS435" i="9" s="1"/>
  <c r="D431" i="9"/>
  <c r="AU431" i="9"/>
  <c r="AS431" i="9" a="1"/>
  <c r="AS431" i="9" s="1"/>
  <c r="D427" i="9"/>
  <c r="AU427" i="9"/>
  <c r="AS427" i="9" a="1"/>
  <c r="AS427" i="9" s="1"/>
  <c r="D423" i="9"/>
  <c r="AU423" i="9"/>
  <c r="AS423" i="9" a="1"/>
  <c r="AS423" i="9" s="1"/>
  <c r="D419" i="9"/>
  <c r="AU419" i="9"/>
  <c r="AS419" i="9" a="1"/>
  <c r="AS419" i="9" s="1"/>
  <c r="D415" i="9"/>
  <c r="AU415" i="9"/>
  <c r="AS415" i="9" a="1"/>
  <c r="AS415" i="9" s="1"/>
  <c r="D411" i="9"/>
  <c r="AU411" i="9"/>
  <c r="AS411" i="9" a="1"/>
  <c r="AS411" i="9" s="1"/>
  <c r="D407" i="9"/>
  <c r="AU407" i="9"/>
  <c r="AS407" i="9" a="1"/>
  <c r="AS407" i="9" s="1"/>
  <c r="D403" i="9"/>
  <c r="AU403" i="9"/>
  <c r="AS403" i="9" a="1"/>
  <c r="AS403" i="9" s="1"/>
  <c r="D399" i="9"/>
  <c r="AU399" i="9"/>
  <c r="AS399" i="9" a="1"/>
  <c r="AS399" i="9" s="1"/>
  <c r="D395" i="9"/>
  <c r="AU395" i="9"/>
  <c r="AS395" i="9" a="1"/>
  <c r="AS395" i="9" s="1"/>
  <c r="D391" i="9"/>
  <c r="AU391" i="9"/>
  <c r="AS391" i="9" a="1"/>
  <c r="AS391" i="9" s="1"/>
  <c r="D387" i="9"/>
  <c r="AU387" i="9"/>
  <c r="AS387" i="9" a="1"/>
  <c r="AS387" i="9" s="1"/>
  <c r="D383" i="9"/>
  <c r="AU383" i="9"/>
  <c r="AS383" i="9" a="1"/>
  <c r="AS383" i="9" s="1"/>
  <c r="D379" i="9"/>
  <c r="AU379" i="9"/>
  <c r="AS379" i="9" a="1"/>
  <c r="AS379" i="9" s="1"/>
  <c r="D375" i="9"/>
  <c r="AU375" i="9"/>
  <c r="AS375" i="9" a="1"/>
  <c r="AS375" i="9" s="1"/>
  <c r="D371" i="9"/>
  <c r="AU371" i="9"/>
  <c r="AS371" i="9" a="1"/>
  <c r="AS371" i="9" s="1"/>
  <c r="D367" i="9"/>
  <c r="AU367" i="9"/>
  <c r="AS367" i="9" a="1"/>
  <c r="AS367" i="9" s="1"/>
  <c r="D363" i="9"/>
  <c r="AU363" i="9"/>
  <c r="AS363" i="9" a="1"/>
  <c r="AS363" i="9" s="1"/>
  <c r="D359" i="9"/>
  <c r="AU359" i="9"/>
  <c r="AS359" i="9" a="1"/>
  <c r="AS359" i="9" s="1"/>
  <c r="D355" i="9"/>
  <c r="AU355" i="9"/>
  <c r="AS355" i="9" a="1"/>
  <c r="AS355" i="9" s="1"/>
  <c r="D351" i="9"/>
  <c r="AU351" i="9"/>
  <c r="AS351" i="9" a="1"/>
  <c r="AS351" i="9" s="1"/>
  <c r="D347" i="9"/>
  <c r="AU347" i="9"/>
  <c r="AS347" i="9" a="1"/>
  <c r="AS347" i="9" s="1"/>
  <c r="D343" i="9"/>
  <c r="AU343" i="9"/>
  <c r="AS343" i="9" a="1"/>
  <c r="AS343" i="9" s="1"/>
  <c r="D339" i="9"/>
  <c r="AU339" i="9"/>
  <c r="AS339" i="9" a="1"/>
  <c r="AS339" i="9" s="1"/>
  <c r="D335" i="9"/>
  <c r="AU335" i="9"/>
  <c r="AS335" i="9" a="1"/>
  <c r="AS335" i="9" s="1"/>
  <c r="D331" i="9"/>
  <c r="AU331" i="9"/>
  <c r="AS331" i="9" a="1"/>
  <c r="AS331" i="9" s="1"/>
  <c r="D327" i="9"/>
  <c r="AU327" i="9"/>
  <c r="AS327" i="9" a="1"/>
  <c r="AS327" i="9" s="1"/>
  <c r="D323" i="9"/>
  <c r="AU323" i="9"/>
  <c r="AS323" i="9" a="1"/>
  <c r="AS323" i="9" s="1"/>
  <c r="D319" i="9"/>
  <c r="AU319" i="9"/>
  <c r="AS319" i="9" a="1"/>
  <c r="AS319" i="9" s="1"/>
  <c r="D315" i="9"/>
  <c r="AU315" i="9"/>
  <c r="AS315" i="9" a="1"/>
  <c r="AS315" i="9" s="1"/>
  <c r="D311" i="9"/>
  <c r="AU311" i="9"/>
  <c r="AS311" i="9" a="1"/>
  <c r="AS311" i="9" s="1"/>
  <c r="D307" i="9"/>
  <c r="AU307" i="9"/>
  <c r="AS307" i="9" a="1"/>
  <c r="AS307" i="9" s="1"/>
  <c r="D303" i="9"/>
  <c r="AU303" i="9"/>
  <c r="AS303" i="9" a="1"/>
  <c r="AS303" i="9" s="1"/>
  <c r="D299" i="9"/>
  <c r="AU299" i="9"/>
  <c r="AS299" i="9" a="1"/>
  <c r="AS299" i="9" s="1"/>
  <c r="D295" i="9"/>
  <c r="AU295" i="9"/>
  <c r="AS295" i="9" a="1"/>
  <c r="AS295" i="9" s="1"/>
  <c r="D291" i="9"/>
  <c r="AU291" i="9"/>
  <c r="AS291" i="9" a="1"/>
  <c r="AS291" i="9" s="1"/>
  <c r="D287" i="9"/>
  <c r="AU287" i="9"/>
  <c r="AS287" i="9" a="1"/>
  <c r="AS287" i="9" s="1"/>
  <c r="D283" i="9"/>
  <c r="AU283" i="9"/>
  <c r="AS283" i="9" a="1"/>
  <c r="AS283" i="9" s="1"/>
  <c r="D279" i="9"/>
  <c r="AU279" i="9"/>
  <c r="AS279" i="9" a="1"/>
  <c r="AS279" i="9" s="1"/>
  <c r="D275" i="9"/>
  <c r="AU275" i="9"/>
  <c r="AS275" i="9" a="1"/>
  <c r="AS275" i="9" s="1"/>
  <c r="D271" i="9"/>
  <c r="AU271" i="9"/>
  <c r="AS271" i="9" a="1"/>
  <c r="AS271" i="9" s="1"/>
  <c r="D267" i="9"/>
  <c r="AU267" i="9"/>
  <c r="AS267" i="9" a="1"/>
  <c r="AS267" i="9" s="1"/>
  <c r="D263" i="9"/>
  <c r="AU263" i="9"/>
  <c r="AS263" i="9" a="1"/>
  <c r="AS263" i="9" s="1"/>
  <c r="D259" i="9"/>
  <c r="AU259" i="9"/>
  <c r="AS259" i="9" a="1"/>
  <c r="AS259" i="9" s="1"/>
  <c r="D255" i="9"/>
  <c r="AU255" i="9"/>
  <c r="AS255" i="9" a="1"/>
  <c r="AS255" i="9" s="1"/>
  <c r="D251" i="9"/>
  <c r="AU251" i="9"/>
  <c r="AS251" i="9" a="1"/>
  <c r="AS251" i="9" s="1"/>
  <c r="D247" i="9"/>
  <c r="AU247" i="9"/>
  <c r="AS247" i="9" a="1"/>
  <c r="AS247" i="9" s="1"/>
  <c r="D243" i="9"/>
  <c r="AU243" i="9"/>
  <c r="AS243" i="9" a="1"/>
  <c r="AS243" i="9" s="1"/>
  <c r="D239" i="9"/>
  <c r="AU239" i="9"/>
  <c r="AS239" i="9" a="1"/>
  <c r="AS239" i="9" s="1"/>
  <c r="D235" i="9"/>
  <c r="AU235" i="9"/>
  <c r="AS235" i="9" a="1"/>
  <c r="AS235" i="9" s="1"/>
  <c r="D231" i="9"/>
  <c r="AU231" i="9"/>
  <c r="AS231" i="9" a="1"/>
  <c r="AS231" i="9" s="1"/>
  <c r="D227" i="9"/>
  <c r="AU227" i="9"/>
  <c r="AS227" i="9" a="1"/>
  <c r="AS227" i="9" s="1"/>
  <c r="D223" i="9"/>
  <c r="AU223" i="9"/>
  <c r="AS223" i="9" a="1"/>
  <c r="AS223" i="9" s="1"/>
  <c r="D219" i="9"/>
  <c r="AU219" i="9"/>
  <c r="AS219" i="9" a="1"/>
  <c r="AS219" i="9" s="1"/>
  <c r="D215" i="9"/>
  <c r="AU215" i="9"/>
  <c r="AS215" i="9" a="1"/>
  <c r="AS215" i="9" s="1"/>
  <c r="D211" i="9"/>
  <c r="AU211" i="9"/>
  <c r="AS211" i="9" a="1"/>
  <c r="AS211" i="9" s="1"/>
  <c r="D207" i="9"/>
  <c r="AU207" i="9"/>
  <c r="AS207" i="9" a="1"/>
  <c r="AS207" i="9" s="1"/>
  <c r="D203" i="9"/>
  <c r="AU203" i="9"/>
  <c r="AS203" i="9" a="1"/>
  <c r="AS203" i="9" s="1"/>
  <c r="D199" i="9"/>
  <c r="AU199" i="9"/>
  <c r="AS199" i="9" a="1"/>
  <c r="AS199" i="9" s="1"/>
  <c r="D195" i="9"/>
  <c r="AU195" i="9"/>
  <c r="AS195" i="9" a="1"/>
  <c r="AS195" i="9" s="1"/>
  <c r="D191" i="9"/>
  <c r="AU191" i="9"/>
  <c r="AS191" i="9" a="1"/>
  <c r="AS191" i="9" s="1"/>
  <c r="D187" i="9"/>
  <c r="AU187" i="9"/>
  <c r="AS187" i="9" a="1"/>
  <c r="AS187" i="9" s="1"/>
  <c r="D183" i="9"/>
  <c r="AU183" i="9"/>
  <c r="AS183" i="9" a="1"/>
  <c r="AS183" i="9" s="1"/>
  <c r="D179" i="9"/>
  <c r="AU179" i="9"/>
  <c r="AS179" i="9" a="1"/>
  <c r="AS179" i="9" s="1"/>
  <c r="D175" i="9"/>
  <c r="AU175" i="9"/>
  <c r="AS175" i="9" a="1"/>
  <c r="AS175" i="9" s="1"/>
  <c r="D171" i="9"/>
  <c r="AU171" i="9"/>
  <c r="AS171" i="9" a="1"/>
  <c r="AS171" i="9" s="1"/>
  <c r="D167" i="9"/>
  <c r="AU167" i="9"/>
  <c r="AS167" i="9" a="1"/>
  <c r="AS167" i="9" s="1"/>
  <c r="D163" i="9"/>
  <c r="AU163" i="9"/>
  <c r="AS163" i="9" a="1"/>
  <c r="AS163" i="9" s="1"/>
  <c r="D159" i="9"/>
  <c r="AU159" i="9"/>
  <c r="AS159" i="9" a="1"/>
  <c r="AS159" i="9" s="1"/>
  <c r="D155" i="9"/>
  <c r="AU155" i="9"/>
  <c r="AS155" i="9" a="1"/>
  <c r="AS155" i="9" s="1"/>
  <c r="D151" i="9"/>
  <c r="AU151" i="9"/>
  <c r="AS151" i="9" a="1"/>
  <c r="AS151" i="9" s="1"/>
  <c r="D147" i="9"/>
  <c r="AU147" i="9"/>
  <c r="AS147" i="9" a="1"/>
  <c r="AS147" i="9" s="1"/>
  <c r="D143" i="9"/>
  <c r="AU143" i="9"/>
  <c r="AS143" i="9" a="1"/>
  <c r="AS143" i="9" s="1"/>
  <c r="D139" i="9"/>
  <c r="AU139" i="9"/>
  <c r="AS139" i="9" a="1"/>
  <c r="AS139" i="9" s="1"/>
  <c r="D135" i="9"/>
  <c r="AU135" i="9"/>
  <c r="AS135" i="9" a="1"/>
  <c r="AS135" i="9" s="1"/>
  <c r="D131" i="9"/>
  <c r="AU131" i="9"/>
  <c r="AS131" i="9" a="1"/>
  <c r="AS131" i="9" s="1"/>
  <c r="D127" i="9"/>
  <c r="AU127" i="9"/>
  <c r="AS127" i="9" a="1"/>
  <c r="AS127" i="9" s="1"/>
  <c r="D123" i="9"/>
  <c r="AU123" i="9"/>
  <c r="AS123" i="9" a="1"/>
  <c r="AS123" i="9" s="1"/>
  <c r="D119" i="9"/>
  <c r="AU119" i="9"/>
  <c r="AS119" i="9" a="1"/>
  <c r="AS119" i="9" s="1"/>
  <c r="D115" i="9"/>
  <c r="AU115" i="9"/>
  <c r="AS115" i="9" a="1"/>
  <c r="AS115" i="9" s="1"/>
  <c r="D111" i="9"/>
  <c r="AU111" i="9"/>
  <c r="AS111" i="9" a="1"/>
  <c r="AS111" i="9" s="1"/>
  <c r="D107" i="9"/>
  <c r="AU107" i="9"/>
  <c r="AS107" i="9" a="1"/>
  <c r="AS107" i="9" s="1"/>
  <c r="D103" i="9"/>
  <c r="AU103" i="9"/>
  <c r="AS103" i="9" a="1"/>
  <c r="AS103" i="9" s="1"/>
  <c r="D99" i="9"/>
  <c r="AU99" i="9"/>
  <c r="AS99" i="9" a="1"/>
  <c r="AS99" i="9" s="1"/>
  <c r="D95" i="9"/>
  <c r="AU95" i="9"/>
  <c r="AS95" i="9" a="1"/>
  <c r="AS95" i="9" s="1"/>
  <c r="D91" i="9"/>
  <c r="AU91" i="9"/>
  <c r="AS91" i="9" a="1"/>
  <c r="AS91" i="9" s="1"/>
  <c r="D87" i="9"/>
  <c r="AU87" i="9"/>
  <c r="AS87" i="9" a="1"/>
  <c r="AS87" i="9" s="1"/>
  <c r="D83" i="9"/>
  <c r="AU83" i="9"/>
  <c r="AS83" i="9" a="1"/>
  <c r="AS83" i="9" s="1"/>
  <c r="D79" i="9"/>
  <c r="AU79" i="9"/>
  <c r="AS79" i="9" a="1"/>
  <c r="AS79" i="9" s="1"/>
  <c r="D75" i="9"/>
  <c r="AU75" i="9"/>
  <c r="AS75" i="9" a="1"/>
  <c r="AS75" i="9" s="1"/>
  <c r="D71" i="9"/>
  <c r="AU71" i="9"/>
  <c r="AS71" i="9" a="1"/>
  <c r="AS71" i="9" s="1"/>
  <c r="D67" i="9"/>
  <c r="AU67" i="9"/>
  <c r="AS67" i="9" a="1"/>
  <c r="AS67" i="9" s="1"/>
  <c r="D63" i="9"/>
  <c r="AU63" i="9"/>
  <c r="AS63" i="9" a="1"/>
  <c r="AS63" i="9" s="1"/>
  <c r="D59" i="9"/>
  <c r="AU59" i="9"/>
  <c r="AS59" i="9" a="1"/>
  <c r="AS59" i="9" s="1"/>
  <c r="D55" i="9"/>
  <c r="AU55" i="9"/>
  <c r="AS55" i="9" a="1"/>
  <c r="AS55" i="9" s="1"/>
  <c r="D51" i="9"/>
  <c r="AU51" i="9"/>
  <c r="AS51" i="9" a="1"/>
  <c r="AS51" i="9" s="1"/>
  <c r="D47" i="9"/>
  <c r="AU47" i="9"/>
  <c r="AS47" i="9" a="1"/>
  <c r="AS47" i="9" s="1"/>
  <c r="D43" i="9"/>
  <c r="AU43" i="9"/>
  <c r="AS43" i="9" a="1"/>
  <c r="AS43" i="9" s="1"/>
  <c r="D39" i="9"/>
  <c r="AU39" i="9"/>
  <c r="AS39" i="9" a="1"/>
  <c r="AS39" i="9" s="1"/>
  <c r="D35" i="9"/>
  <c r="AU35" i="9"/>
  <c r="AS35" i="9" a="1"/>
  <c r="AS35" i="9" s="1"/>
  <c r="D31" i="9"/>
  <c r="AU31" i="9"/>
  <c r="AS31" i="9" a="1"/>
  <c r="AS31" i="9" s="1"/>
  <c r="D27" i="9"/>
  <c r="AU27" i="9"/>
  <c r="AS27" i="9" a="1"/>
  <c r="AS27" i="9" s="1"/>
  <c r="AU23" i="9"/>
  <c r="D23" i="9"/>
  <c r="AS23" i="9" a="1"/>
  <c r="AS23" i="9" s="1"/>
  <c r="AU19" i="9"/>
  <c r="D19" i="9"/>
  <c r="AS19" i="9" a="1"/>
  <c r="AS19" i="9" s="1"/>
  <c r="AU15" i="9"/>
  <c r="D15" i="9"/>
  <c r="AS15" i="9" a="1"/>
  <c r="AS15" i="9" s="1"/>
  <c r="AX15" i="9" s="1"/>
  <c r="AU11" i="9"/>
  <c r="D11" i="9"/>
  <c r="AS11" i="9" a="1"/>
  <c r="AS11" i="9" s="1"/>
  <c r="AX11" i="9" s="1"/>
  <c r="D750" i="9"/>
  <c r="AU750" i="9"/>
  <c r="AS750" i="9" a="1"/>
  <c r="AS750" i="9" s="1"/>
  <c r="D746" i="9"/>
  <c r="AU746" i="9"/>
  <c r="AS746" i="9" a="1"/>
  <c r="AS746" i="9" s="1"/>
  <c r="D742" i="9"/>
  <c r="AU742" i="9"/>
  <c r="AS742" i="9" a="1"/>
  <c r="AS742" i="9" s="1"/>
  <c r="D738" i="9"/>
  <c r="AU738" i="9"/>
  <c r="AS738" i="9" a="1"/>
  <c r="AS738" i="9" s="1"/>
  <c r="D734" i="9"/>
  <c r="AU734" i="9"/>
  <c r="AS734" i="9" a="1"/>
  <c r="AS734" i="9" s="1"/>
  <c r="D730" i="9"/>
  <c r="AU730" i="9"/>
  <c r="AS730" i="9" a="1"/>
  <c r="AS730" i="9" s="1"/>
  <c r="D726" i="9"/>
  <c r="AU726" i="9"/>
  <c r="AS726" i="9" a="1"/>
  <c r="AS726" i="9" s="1"/>
  <c r="D722" i="9"/>
  <c r="AU722" i="9"/>
  <c r="AS722" i="9" a="1"/>
  <c r="AS722" i="9" s="1"/>
  <c r="D718" i="9"/>
  <c r="AU718" i="9"/>
  <c r="AS718" i="9" a="1"/>
  <c r="AS718" i="9" s="1"/>
  <c r="D714" i="9"/>
  <c r="AU714" i="9"/>
  <c r="AS714" i="9" a="1"/>
  <c r="AS714" i="9" s="1"/>
  <c r="D710" i="9"/>
  <c r="AU710" i="9"/>
  <c r="AS710" i="9" a="1"/>
  <c r="AS710" i="9" s="1"/>
  <c r="D706" i="9"/>
  <c r="AU706" i="9"/>
  <c r="AS706" i="9" a="1"/>
  <c r="AS706" i="9" s="1"/>
  <c r="D702" i="9"/>
  <c r="AU702" i="9"/>
  <c r="AS702" i="9" a="1"/>
  <c r="AS702" i="9" s="1"/>
  <c r="D698" i="9"/>
  <c r="AU698" i="9"/>
  <c r="AS698" i="9" a="1"/>
  <c r="AS698" i="9" s="1"/>
  <c r="D694" i="9"/>
  <c r="AU694" i="9"/>
  <c r="AS694" i="9" a="1"/>
  <c r="AS694" i="9" s="1"/>
  <c r="D690" i="9"/>
  <c r="AU690" i="9"/>
  <c r="AS690" i="9" a="1"/>
  <c r="AS690" i="9" s="1"/>
  <c r="D686" i="9"/>
  <c r="AU686" i="9"/>
  <c r="AS686" i="9" a="1"/>
  <c r="AS686" i="9" s="1"/>
  <c r="D682" i="9"/>
  <c r="AU682" i="9"/>
  <c r="AS682" i="9" a="1"/>
  <c r="AS682" i="9" s="1"/>
  <c r="D678" i="9"/>
  <c r="AU678" i="9"/>
  <c r="AS678" i="9" a="1"/>
  <c r="AS678" i="9" s="1"/>
  <c r="D674" i="9"/>
  <c r="AU674" i="9"/>
  <c r="AS674" i="9" a="1"/>
  <c r="AS674" i="9" s="1"/>
  <c r="D670" i="9"/>
  <c r="AU670" i="9"/>
  <c r="AS670" i="9" a="1"/>
  <c r="AS670" i="9" s="1"/>
  <c r="D666" i="9"/>
  <c r="AU666" i="9"/>
  <c r="AS666" i="9" a="1"/>
  <c r="AS666" i="9" s="1"/>
  <c r="D662" i="9"/>
  <c r="AU662" i="9"/>
  <c r="AS662" i="9" a="1"/>
  <c r="AS662" i="9" s="1"/>
  <c r="D658" i="9"/>
  <c r="AU658" i="9"/>
  <c r="AS658" i="9" a="1"/>
  <c r="AS658" i="9" s="1"/>
  <c r="D654" i="9"/>
  <c r="AU654" i="9"/>
  <c r="AS654" i="9" a="1"/>
  <c r="AS654" i="9" s="1"/>
  <c r="D650" i="9"/>
  <c r="AU650" i="9"/>
  <c r="AS650" i="9" a="1"/>
  <c r="AS650" i="9" s="1"/>
  <c r="D646" i="9"/>
  <c r="AU646" i="9"/>
  <c r="AS646" i="9" a="1"/>
  <c r="AS646" i="9" s="1"/>
  <c r="D642" i="9"/>
  <c r="AU642" i="9"/>
  <c r="AS642" i="9" a="1"/>
  <c r="AS642" i="9" s="1"/>
  <c r="D638" i="9"/>
  <c r="AU638" i="9"/>
  <c r="AS638" i="9" a="1"/>
  <c r="AS638" i="9" s="1"/>
  <c r="D634" i="9"/>
  <c r="AU634" i="9"/>
  <c r="AS634" i="9" a="1"/>
  <c r="AS634" i="9" s="1"/>
  <c r="D630" i="9"/>
  <c r="AU630" i="9"/>
  <c r="AS630" i="9" a="1"/>
  <c r="AS630" i="9" s="1"/>
  <c r="D626" i="9"/>
  <c r="AU626" i="9"/>
  <c r="AS626" i="9" a="1"/>
  <c r="AS626" i="9" s="1"/>
  <c r="D622" i="9"/>
  <c r="AU622" i="9"/>
  <c r="AS622" i="9" a="1"/>
  <c r="AS622" i="9" s="1"/>
  <c r="D618" i="9"/>
  <c r="AU618" i="9"/>
  <c r="AS618" i="9" a="1"/>
  <c r="AS618" i="9" s="1"/>
  <c r="D614" i="9"/>
  <c r="AU614" i="9"/>
  <c r="AS614" i="9" a="1"/>
  <c r="AS614" i="9" s="1"/>
  <c r="D610" i="9"/>
  <c r="AU610" i="9"/>
  <c r="AS610" i="9" a="1"/>
  <c r="AS610" i="9" s="1"/>
  <c r="D606" i="9"/>
  <c r="AU606" i="9"/>
  <c r="AS606" i="9" a="1"/>
  <c r="AS606" i="9" s="1"/>
  <c r="D602" i="9"/>
  <c r="AU602" i="9"/>
  <c r="AS602" i="9" a="1"/>
  <c r="AS602" i="9" s="1"/>
  <c r="D598" i="9"/>
  <c r="AU598" i="9"/>
  <c r="AS598" i="9" a="1"/>
  <c r="AS598" i="9" s="1"/>
  <c r="D594" i="9"/>
  <c r="AU594" i="9"/>
  <c r="AS594" i="9" a="1"/>
  <c r="AS594" i="9" s="1"/>
  <c r="D590" i="9"/>
  <c r="AU590" i="9"/>
  <c r="AS590" i="9" a="1"/>
  <c r="AS590" i="9" s="1"/>
  <c r="D586" i="9"/>
  <c r="AU586" i="9"/>
  <c r="AS586" i="9" a="1"/>
  <c r="AS586" i="9" s="1"/>
  <c r="D582" i="9"/>
  <c r="AU582" i="9"/>
  <c r="AS582" i="9" a="1"/>
  <c r="AS582" i="9" s="1"/>
  <c r="D578" i="9"/>
  <c r="AU578" i="9"/>
  <c r="AS578" i="9" a="1"/>
  <c r="AS578" i="9" s="1"/>
  <c r="D574" i="9"/>
  <c r="AU574" i="9"/>
  <c r="AS574" i="9" a="1"/>
  <c r="AS574" i="9" s="1"/>
  <c r="D570" i="9"/>
  <c r="AU570" i="9"/>
  <c r="AS570" i="9" a="1"/>
  <c r="AS570" i="9" s="1"/>
  <c r="D566" i="9"/>
  <c r="AU566" i="9"/>
  <c r="AS566" i="9" a="1"/>
  <c r="AS566" i="9" s="1"/>
  <c r="D562" i="9"/>
  <c r="AU562" i="9"/>
  <c r="AS562" i="9" a="1"/>
  <c r="AS562" i="9" s="1"/>
  <c r="D558" i="9"/>
  <c r="AU558" i="9"/>
  <c r="AS558" i="9" a="1"/>
  <c r="AS558" i="9" s="1"/>
  <c r="AU554" i="9"/>
  <c r="D554" i="9"/>
  <c r="AS554" i="9" a="1"/>
  <c r="AS554" i="9" s="1"/>
  <c r="D550" i="9"/>
  <c r="AU550" i="9"/>
  <c r="AS550" i="9" a="1"/>
  <c r="AS550" i="9" s="1"/>
  <c r="D546" i="9"/>
  <c r="AU546" i="9"/>
  <c r="AS546" i="9" a="1"/>
  <c r="AS546" i="9" s="1"/>
  <c r="D542" i="9"/>
  <c r="AU542" i="9"/>
  <c r="AS542" i="9" a="1"/>
  <c r="AS542" i="9" s="1"/>
  <c r="D538" i="9"/>
  <c r="AU538" i="9"/>
  <c r="AS538" i="9" a="1"/>
  <c r="AS538" i="9" s="1"/>
  <c r="D534" i="9"/>
  <c r="AU534" i="9"/>
  <c r="AS534" i="9" a="1"/>
  <c r="AS534" i="9" s="1"/>
  <c r="D530" i="9"/>
  <c r="AU530" i="9"/>
  <c r="AS530" i="9" a="1"/>
  <c r="AS530" i="9" s="1"/>
  <c r="D526" i="9"/>
  <c r="AU526" i="9"/>
  <c r="AS526" i="9" a="1"/>
  <c r="AS526" i="9" s="1"/>
  <c r="AU522" i="9"/>
  <c r="D522" i="9"/>
  <c r="AS522" i="9" a="1"/>
  <c r="AS522" i="9" s="1"/>
  <c r="D518" i="9"/>
  <c r="AU518" i="9"/>
  <c r="AS518" i="9" a="1"/>
  <c r="AS518" i="9" s="1"/>
  <c r="D514" i="9"/>
  <c r="AU514" i="9"/>
  <c r="AS514" i="9" a="1"/>
  <c r="AS514" i="9" s="1"/>
  <c r="D510" i="9"/>
  <c r="AU510" i="9"/>
  <c r="AS510" i="9" a="1"/>
  <c r="AS510" i="9" s="1"/>
  <c r="D506" i="9"/>
  <c r="AU506" i="9"/>
  <c r="AS506" i="9" a="1"/>
  <c r="AS506" i="9" s="1"/>
  <c r="D502" i="9"/>
  <c r="AU502" i="9"/>
  <c r="AS502" i="9" a="1"/>
  <c r="AS502" i="9" s="1"/>
  <c r="D498" i="9"/>
  <c r="AU498" i="9"/>
  <c r="AS498" i="9" a="1"/>
  <c r="AS498" i="9" s="1"/>
  <c r="D494" i="9"/>
  <c r="AU494" i="9"/>
  <c r="AS494" i="9" a="1"/>
  <c r="AS494" i="9" s="1"/>
  <c r="D490" i="9"/>
  <c r="AU490" i="9"/>
  <c r="AS490" i="9" a="1"/>
  <c r="AS490" i="9" s="1"/>
  <c r="D486" i="9"/>
  <c r="AU486" i="9"/>
  <c r="AS486" i="9" a="1"/>
  <c r="AS486" i="9" s="1"/>
  <c r="D482" i="9"/>
  <c r="AU482" i="9"/>
  <c r="AS482" i="9" a="1"/>
  <c r="AS482" i="9" s="1"/>
  <c r="D478" i="9"/>
  <c r="AU478" i="9"/>
  <c r="AS478" i="9" a="1"/>
  <c r="AS478" i="9" s="1"/>
  <c r="D474" i="9"/>
  <c r="AU474" i="9"/>
  <c r="AS474" i="9" a="1"/>
  <c r="AS474" i="9" s="1"/>
  <c r="D470" i="9"/>
  <c r="AU470" i="9"/>
  <c r="AS470" i="9" a="1"/>
  <c r="AS470" i="9" s="1"/>
  <c r="D466" i="9"/>
  <c r="AU466" i="9"/>
  <c r="AS466" i="9" a="1"/>
  <c r="AS466" i="9" s="1"/>
  <c r="D462" i="9"/>
  <c r="AU462" i="9"/>
  <c r="AS462" i="9" a="1"/>
  <c r="AS462" i="9" s="1"/>
  <c r="D458" i="9"/>
  <c r="AU458" i="9"/>
  <c r="AS458" i="9" a="1"/>
  <c r="AS458" i="9" s="1"/>
  <c r="D454" i="9"/>
  <c r="AU454" i="9"/>
  <c r="AS454" i="9" a="1"/>
  <c r="AS454" i="9" s="1"/>
  <c r="D450" i="9"/>
  <c r="AU450" i="9"/>
  <c r="AS450" i="9" a="1"/>
  <c r="AS450" i="9" s="1"/>
  <c r="D446" i="9"/>
  <c r="AU446" i="9"/>
  <c r="AS446" i="9" a="1"/>
  <c r="AS446" i="9" s="1"/>
  <c r="D442" i="9"/>
  <c r="AU442" i="9"/>
  <c r="AS442" i="9" a="1"/>
  <c r="AS442" i="9" s="1"/>
  <c r="D438" i="9"/>
  <c r="AU438" i="9"/>
  <c r="AS438" i="9" a="1"/>
  <c r="AS438" i="9" s="1"/>
  <c r="D434" i="9"/>
  <c r="AU434" i="9"/>
  <c r="AS434" i="9" a="1"/>
  <c r="AS434" i="9" s="1"/>
  <c r="AU430" i="9"/>
  <c r="D430" i="9"/>
  <c r="AS430" i="9" a="1"/>
  <c r="AS430" i="9" s="1"/>
  <c r="AU426" i="9"/>
  <c r="D426" i="9"/>
  <c r="AS426" i="9" a="1"/>
  <c r="AS426" i="9" s="1"/>
  <c r="D422" i="9"/>
  <c r="AU422" i="9"/>
  <c r="AS422" i="9" a="1"/>
  <c r="AS422" i="9" s="1"/>
  <c r="D418" i="9"/>
  <c r="AU418" i="9"/>
  <c r="AS418" i="9" a="1"/>
  <c r="AS418" i="9" s="1"/>
  <c r="D414" i="9"/>
  <c r="AU414" i="9"/>
  <c r="AS414" i="9" a="1"/>
  <c r="AS414" i="9" s="1"/>
  <c r="D410" i="9"/>
  <c r="AU410" i="9"/>
  <c r="AS410" i="9" a="1"/>
  <c r="AS410" i="9" s="1"/>
  <c r="D406" i="9"/>
  <c r="AU406" i="9"/>
  <c r="AS406" i="9" a="1"/>
  <c r="AS406" i="9" s="1"/>
  <c r="D402" i="9"/>
  <c r="AU402" i="9"/>
  <c r="AS402" i="9" a="1"/>
  <c r="AS402" i="9" s="1"/>
  <c r="AU398" i="9"/>
  <c r="D398" i="9"/>
  <c r="AS398" i="9" a="1"/>
  <c r="AS398" i="9" s="1"/>
  <c r="D394" i="9"/>
  <c r="AU394" i="9"/>
  <c r="AS394" i="9" a="1"/>
  <c r="AS394" i="9" s="1"/>
  <c r="D390" i="9"/>
  <c r="AU390" i="9"/>
  <c r="AS390" i="9" a="1"/>
  <c r="AS390" i="9" s="1"/>
  <c r="D386" i="9"/>
  <c r="AU386" i="9"/>
  <c r="AS386" i="9" a="1"/>
  <c r="AS386" i="9" s="1"/>
  <c r="AU382" i="9"/>
  <c r="D382" i="9"/>
  <c r="AS382" i="9" a="1"/>
  <c r="AS382" i="9" s="1"/>
  <c r="D378" i="9"/>
  <c r="AU378" i="9"/>
  <c r="AS378" i="9" a="1"/>
  <c r="AS378" i="9" s="1"/>
  <c r="D374" i="9"/>
  <c r="AU374" i="9"/>
  <c r="AS374" i="9" a="1"/>
  <c r="AS374" i="9" s="1"/>
  <c r="D370" i="9"/>
  <c r="AU370" i="9"/>
  <c r="AS370" i="9" a="1"/>
  <c r="AS370" i="9" s="1"/>
  <c r="AU366" i="9"/>
  <c r="D366" i="9"/>
  <c r="AS366" i="9" a="1"/>
  <c r="AS366" i="9" s="1"/>
  <c r="D362" i="9"/>
  <c r="AU362" i="9"/>
  <c r="AS362" i="9" a="1"/>
  <c r="AS362" i="9" s="1"/>
  <c r="D358" i="9"/>
  <c r="AU358" i="9"/>
  <c r="AS358" i="9" a="1"/>
  <c r="AS358" i="9" s="1"/>
  <c r="D354" i="9"/>
  <c r="AU354" i="9"/>
  <c r="AS354" i="9" a="1"/>
  <c r="AS354" i="9" s="1"/>
  <c r="AU350" i="9"/>
  <c r="D350" i="9"/>
  <c r="AS350" i="9" a="1"/>
  <c r="AS350" i="9" s="1"/>
  <c r="D346" i="9"/>
  <c r="AU346" i="9"/>
  <c r="AS346" i="9" a="1"/>
  <c r="AS346" i="9" s="1"/>
  <c r="D342" i="9"/>
  <c r="AU342" i="9"/>
  <c r="AS342" i="9" a="1"/>
  <c r="AS342" i="9" s="1"/>
  <c r="D338" i="9"/>
  <c r="AU338" i="9"/>
  <c r="AS338" i="9" a="1"/>
  <c r="AS338" i="9" s="1"/>
  <c r="D334" i="9"/>
  <c r="AU334" i="9"/>
  <c r="AS334" i="9" a="1"/>
  <c r="AS334" i="9" s="1"/>
  <c r="D330" i="9"/>
  <c r="AU330" i="9"/>
  <c r="AS330" i="9" a="1"/>
  <c r="AS330" i="9" s="1"/>
  <c r="D326" i="9"/>
  <c r="AU326" i="9"/>
  <c r="AS326" i="9" a="1"/>
  <c r="AS326" i="9" s="1"/>
  <c r="D322" i="9"/>
  <c r="AU322" i="9"/>
  <c r="AS322" i="9" a="1"/>
  <c r="AS322" i="9" s="1"/>
  <c r="D318" i="9"/>
  <c r="AU318" i="9"/>
  <c r="AS318" i="9" a="1"/>
  <c r="AS318" i="9" s="1"/>
  <c r="D314" i="9"/>
  <c r="AU314" i="9"/>
  <c r="AS314" i="9" a="1"/>
  <c r="AS314" i="9" s="1"/>
  <c r="D310" i="9"/>
  <c r="AU310" i="9"/>
  <c r="AS310" i="9" a="1"/>
  <c r="AS310" i="9" s="1"/>
  <c r="D306" i="9"/>
  <c r="AU306" i="9"/>
  <c r="AS306" i="9" a="1"/>
  <c r="AS306" i="9" s="1"/>
  <c r="D302" i="9"/>
  <c r="AU302" i="9"/>
  <c r="AS302" i="9" a="1"/>
  <c r="AS302" i="9" s="1"/>
  <c r="D298" i="9"/>
  <c r="AU298" i="9"/>
  <c r="AS298" i="9" a="1"/>
  <c r="AS298" i="9" s="1"/>
  <c r="AU294" i="9"/>
  <c r="D294" i="9"/>
  <c r="AS294" i="9" a="1"/>
  <c r="AS294" i="9" s="1"/>
  <c r="D290" i="9"/>
  <c r="AU290" i="9"/>
  <c r="AS290" i="9" a="1"/>
  <c r="AS290" i="9" s="1"/>
  <c r="D286" i="9"/>
  <c r="AU286" i="9"/>
  <c r="AS286" i="9" a="1"/>
  <c r="AS286" i="9" s="1"/>
  <c r="D282" i="9"/>
  <c r="AU282" i="9"/>
  <c r="AS282" i="9" a="1"/>
  <c r="AS282" i="9" s="1"/>
  <c r="D278" i="9"/>
  <c r="AU278" i="9"/>
  <c r="AS278" i="9" a="1"/>
  <c r="AS278" i="9" s="1"/>
  <c r="D274" i="9"/>
  <c r="AU274" i="9"/>
  <c r="AS274" i="9" a="1"/>
  <c r="AS274" i="9" s="1"/>
  <c r="AU270" i="9"/>
  <c r="D270" i="9"/>
  <c r="AS270" i="9" a="1"/>
  <c r="AS270" i="9" s="1"/>
  <c r="D266" i="9"/>
  <c r="AU266" i="9"/>
  <c r="AS266" i="9" a="1"/>
  <c r="AS266" i="9" s="1"/>
  <c r="D262" i="9"/>
  <c r="AU262" i="9"/>
  <c r="AS262" i="9" a="1"/>
  <c r="AS262" i="9" s="1"/>
  <c r="D258" i="9"/>
  <c r="AU258" i="9"/>
  <c r="AS258" i="9" a="1"/>
  <c r="AS258" i="9" s="1"/>
  <c r="AU254" i="9"/>
  <c r="D254" i="9"/>
  <c r="AS254" i="9" a="1"/>
  <c r="AS254" i="9" s="1"/>
  <c r="D250" i="9"/>
  <c r="AU250" i="9"/>
  <c r="AS250" i="9" a="1"/>
  <c r="AS250" i="9" s="1"/>
  <c r="D246" i="9"/>
  <c r="AU246" i="9"/>
  <c r="AS246" i="9" a="1"/>
  <c r="AS246" i="9" s="1"/>
  <c r="D242" i="9"/>
  <c r="AU242" i="9"/>
  <c r="AS242" i="9" a="1"/>
  <c r="AS242" i="9" s="1"/>
  <c r="AU238" i="9"/>
  <c r="D238" i="9"/>
  <c r="AS238" i="9" a="1"/>
  <c r="AS238" i="9" s="1"/>
  <c r="D234" i="9"/>
  <c r="AU234" i="9"/>
  <c r="AS234" i="9" a="1"/>
  <c r="AS234" i="9" s="1"/>
  <c r="D230" i="9"/>
  <c r="AU230" i="9"/>
  <c r="AS230" i="9" a="1"/>
  <c r="AS230" i="9" s="1"/>
  <c r="D226" i="9"/>
  <c r="AU226" i="9"/>
  <c r="AS226" i="9" a="1"/>
  <c r="AS226" i="9" s="1"/>
  <c r="AU222" i="9"/>
  <c r="D222" i="9"/>
  <c r="AS222" i="9" a="1"/>
  <c r="AS222" i="9" s="1"/>
  <c r="D218" i="9"/>
  <c r="AU218" i="9"/>
  <c r="AS218" i="9" a="1"/>
  <c r="AS218" i="9" s="1"/>
  <c r="D214" i="9"/>
  <c r="AU214" i="9"/>
  <c r="AS214" i="9" a="1"/>
  <c r="AS214" i="9" s="1"/>
  <c r="D210" i="9"/>
  <c r="AU210" i="9"/>
  <c r="AS210" i="9" a="1"/>
  <c r="AS210" i="9" s="1"/>
  <c r="D206" i="9"/>
  <c r="AU206" i="9"/>
  <c r="AS206" i="9" a="1"/>
  <c r="AS206" i="9" s="1"/>
  <c r="D202" i="9"/>
  <c r="AU202" i="9"/>
  <c r="AS202" i="9" a="1"/>
  <c r="AS202" i="9" s="1"/>
  <c r="AU198" i="9"/>
  <c r="D198" i="9"/>
  <c r="AS198" i="9" a="1"/>
  <c r="AS198" i="9" s="1"/>
  <c r="D194" i="9"/>
  <c r="AU194" i="9"/>
  <c r="AS194" i="9" a="1"/>
  <c r="AS194" i="9" s="1"/>
  <c r="D190" i="9"/>
  <c r="AU190" i="9"/>
  <c r="AS190" i="9" a="1"/>
  <c r="AS190" i="9" s="1"/>
  <c r="D186" i="9"/>
  <c r="AU186" i="9"/>
  <c r="AS186" i="9" a="1"/>
  <c r="AS186" i="9" s="1"/>
  <c r="D182" i="9"/>
  <c r="AU182" i="9"/>
  <c r="AS182" i="9" a="1"/>
  <c r="AS182" i="9" s="1"/>
  <c r="D178" i="9"/>
  <c r="AU178" i="9"/>
  <c r="AS178" i="9" a="1"/>
  <c r="AS178" i="9" s="1"/>
  <c r="D174" i="9"/>
  <c r="AU174" i="9"/>
  <c r="AS174" i="9" a="1"/>
  <c r="AS174" i="9" s="1"/>
  <c r="D170" i="9"/>
  <c r="AU170" i="9"/>
  <c r="AS170" i="9" a="1"/>
  <c r="AS170" i="9" s="1"/>
  <c r="AU166" i="9"/>
  <c r="D166" i="9"/>
  <c r="AS166" i="9" a="1"/>
  <c r="AS166" i="9" s="1"/>
  <c r="D162" i="9"/>
  <c r="AU162" i="9"/>
  <c r="AS162" i="9" a="1"/>
  <c r="AS162" i="9" s="1"/>
  <c r="D158" i="9"/>
  <c r="AU158" i="9"/>
  <c r="AS158" i="9" a="1"/>
  <c r="AS158" i="9" s="1"/>
  <c r="D154" i="9"/>
  <c r="AU154" i="9"/>
  <c r="AS154" i="9" a="1"/>
  <c r="AS154" i="9" s="1"/>
  <c r="D150" i="9"/>
  <c r="AU150" i="9"/>
  <c r="AS150" i="9" a="1"/>
  <c r="AS150" i="9" s="1"/>
  <c r="D146" i="9"/>
  <c r="AU146" i="9"/>
  <c r="AS146" i="9" a="1"/>
  <c r="AS146" i="9" s="1"/>
  <c r="D142" i="9"/>
  <c r="AU142" i="9"/>
  <c r="AS142" i="9" a="1"/>
  <c r="AS142" i="9" s="1"/>
  <c r="AU138" i="9"/>
  <c r="D138" i="9"/>
  <c r="AS138" i="9" a="1"/>
  <c r="AS138" i="9" s="1"/>
  <c r="D134" i="9"/>
  <c r="AU134" i="9"/>
  <c r="AS134" i="9" a="1"/>
  <c r="AS134" i="9" s="1"/>
  <c r="D130" i="9"/>
  <c r="AU130" i="9"/>
  <c r="AS130" i="9" a="1"/>
  <c r="AS130" i="9" s="1"/>
  <c r="D126" i="9"/>
  <c r="AU126" i="9"/>
  <c r="AS126" i="9" a="1"/>
  <c r="AS126" i="9" s="1"/>
  <c r="AU122" i="9"/>
  <c r="D122" i="9"/>
  <c r="AS122" i="9" a="1"/>
  <c r="AS122" i="9" s="1"/>
  <c r="D118" i="9"/>
  <c r="AU118" i="9"/>
  <c r="AS118" i="9" a="1"/>
  <c r="AS118" i="9" s="1"/>
  <c r="D114" i="9"/>
  <c r="AU114" i="9"/>
  <c r="AS114" i="9" a="1"/>
  <c r="AS114" i="9" s="1"/>
  <c r="AU110" i="9"/>
  <c r="D110" i="9"/>
  <c r="AS110" i="9" a="1"/>
  <c r="AS110" i="9" s="1"/>
  <c r="D106" i="9"/>
  <c r="AU106" i="9"/>
  <c r="AS106" i="9" a="1"/>
  <c r="AS106" i="9" s="1"/>
  <c r="D102" i="9"/>
  <c r="AU102" i="9"/>
  <c r="AS102" i="9" a="1"/>
  <c r="AS102" i="9" s="1"/>
  <c r="D98" i="9"/>
  <c r="AU98" i="9"/>
  <c r="AS98" i="9" a="1"/>
  <c r="AS98" i="9" s="1"/>
  <c r="AU94" i="9"/>
  <c r="D94" i="9"/>
  <c r="AS94" i="9" a="1"/>
  <c r="AS94" i="9" s="1"/>
  <c r="D90" i="9"/>
  <c r="AU90" i="9"/>
  <c r="AS90" i="9" a="1"/>
  <c r="AS90" i="9" s="1"/>
  <c r="D86" i="9"/>
  <c r="AU86" i="9"/>
  <c r="AS86" i="9" a="1"/>
  <c r="AS86" i="9" s="1"/>
  <c r="D82" i="9"/>
  <c r="AU82" i="9"/>
  <c r="AS82" i="9" a="1"/>
  <c r="AS82" i="9" s="1"/>
  <c r="D78" i="9"/>
  <c r="AU78" i="9"/>
  <c r="AS78" i="9" a="1"/>
  <c r="AS78" i="9" s="1"/>
  <c r="D74" i="9"/>
  <c r="AU74" i="9"/>
  <c r="AS74" i="9" a="1"/>
  <c r="AS74" i="9" s="1"/>
  <c r="D70" i="9"/>
  <c r="AU70" i="9"/>
  <c r="AS70" i="9" a="1"/>
  <c r="AS70" i="9" s="1"/>
  <c r="D66" i="9"/>
  <c r="AU66" i="9"/>
  <c r="AS66" i="9" a="1"/>
  <c r="AS66" i="9" s="1"/>
  <c r="D62" i="9"/>
  <c r="AU62" i="9"/>
  <c r="AS62" i="9" a="1"/>
  <c r="AS62" i="9" s="1"/>
  <c r="D58" i="9"/>
  <c r="AU58" i="9"/>
  <c r="AS58" i="9" a="1"/>
  <c r="AS58" i="9" s="1"/>
  <c r="D54" i="9"/>
  <c r="AU54" i="9"/>
  <c r="AS54" i="9" a="1"/>
  <c r="AS54" i="9" s="1"/>
  <c r="D50" i="9"/>
  <c r="AU50" i="9"/>
  <c r="AS50" i="9" a="1"/>
  <c r="AS50" i="9" s="1"/>
  <c r="D46" i="9"/>
  <c r="AU46" i="9"/>
  <c r="AS46" i="9" a="1"/>
  <c r="AS46" i="9" s="1"/>
  <c r="D42" i="9"/>
  <c r="AU42" i="9"/>
  <c r="AS42" i="9" a="1"/>
  <c r="AS42" i="9" s="1"/>
  <c r="D38" i="9"/>
  <c r="AU38" i="9"/>
  <c r="AS38" i="9" a="1"/>
  <c r="AS38" i="9" s="1"/>
  <c r="D34" i="9"/>
  <c r="AU34" i="9"/>
  <c r="AS34" i="9" a="1"/>
  <c r="AS34" i="9" s="1"/>
  <c r="D30" i="9"/>
  <c r="AU30" i="9"/>
  <c r="AS30" i="9" a="1"/>
  <c r="AS30" i="9" s="1"/>
  <c r="AU26" i="9"/>
  <c r="D26" i="9"/>
  <c r="AS26" i="9" a="1"/>
  <c r="AS26" i="9" s="1"/>
  <c r="D22" i="9"/>
  <c r="AU22" i="9"/>
  <c r="AS22" i="9" a="1"/>
  <c r="AS22" i="9" s="1"/>
  <c r="D18" i="9"/>
  <c r="AU18" i="9"/>
  <c r="AS18" i="9" a="1"/>
  <c r="AS18" i="9" s="1"/>
  <c r="D14" i="9"/>
  <c r="AU14" i="9"/>
  <c r="AS14" i="9" a="1"/>
  <c r="AS14" i="9" s="1"/>
  <c r="AX14" i="9" s="1"/>
  <c r="D743" i="9"/>
  <c r="AU743" i="9"/>
  <c r="AS743" i="9" a="1"/>
  <c r="AS743" i="9" s="1"/>
  <c r="D735" i="9"/>
  <c r="AU735" i="9"/>
  <c r="AS735" i="9" a="1"/>
  <c r="AS735" i="9" s="1"/>
  <c r="D731" i="9"/>
  <c r="AU731" i="9"/>
  <c r="AS731" i="9" a="1"/>
  <c r="AS731" i="9" s="1"/>
  <c r="D723" i="9"/>
  <c r="AU723" i="9"/>
  <c r="AS723" i="9" a="1"/>
  <c r="AS723" i="9" s="1"/>
  <c r="D715" i="9"/>
  <c r="AU715" i="9"/>
  <c r="AS715" i="9" a="1"/>
  <c r="AS715" i="9" s="1"/>
  <c r="D711" i="9"/>
  <c r="AU711" i="9"/>
  <c r="AS711" i="9" a="1"/>
  <c r="AS711" i="9" s="1"/>
  <c r="D703" i="9"/>
  <c r="AU703" i="9"/>
  <c r="AS703" i="9" a="1"/>
  <c r="AS703" i="9" s="1"/>
  <c r="D699" i="9"/>
  <c r="AU699" i="9"/>
  <c r="AS699" i="9" a="1"/>
  <c r="AS699" i="9" s="1"/>
  <c r="D691" i="9"/>
  <c r="AU691" i="9"/>
  <c r="AS691" i="9" a="1"/>
  <c r="AS691" i="9" s="1"/>
  <c r="D683" i="9"/>
  <c r="AU683" i="9"/>
  <c r="AS683" i="9" a="1"/>
  <c r="AS683" i="9" s="1"/>
  <c r="D675" i="9"/>
  <c r="AU675" i="9"/>
  <c r="AS675" i="9" a="1"/>
  <c r="AS675" i="9" s="1"/>
  <c r="D667" i="9"/>
  <c r="AU667" i="9"/>
  <c r="AS667" i="9" a="1"/>
  <c r="AS667" i="9" s="1"/>
  <c r="D659" i="9"/>
  <c r="AU659" i="9"/>
  <c r="AS659" i="9" a="1"/>
  <c r="AS659" i="9" s="1"/>
  <c r="D651" i="9"/>
  <c r="AU651" i="9"/>
  <c r="AS651" i="9" a="1"/>
  <c r="AS651" i="9" s="1"/>
  <c r="D643" i="9"/>
  <c r="AU643" i="9"/>
  <c r="AS643" i="9" a="1"/>
  <c r="AS643" i="9" s="1"/>
  <c r="D749" i="9"/>
  <c r="AU749" i="9"/>
  <c r="AS749" i="9" a="1"/>
  <c r="AS749" i="9" s="1"/>
  <c r="D745" i="9"/>
  <c r="AU745" i="9"/>
  <c r="AS745" i="9" a="1"/>
  <c r="AS745" i="9" s="1"/>
  <c r="AU741" i="9"/>
  <c r="D741" i="9"/>
  <c r="AS741" i="9" a="1"/>
  <c r="AS741" i="9" s="1"/>
  <c r="D737" i="9"/>
  <c r="AU737" i="9"/>
  <c r="AS737" i="9" a="1"/>
  <c r="AS737" i="9" s="1"/>
  <c r="D733" i="9"/>
  <c r="AU733" i="9"/>
  <c r="AS733" i="9" a="1"/>
  <c r="AS733" i="9" s="1"/>
  <c r="D729" i="9"/>
  <c r="AU729" i="9"/>
  <c r="AS729" i="9" a="1"/>
  <c r="AS729" i="9" s="1"/>
  <c r="AU725" i="9"/>
  <c r="D725" i="9"/>
  <c r="AS725" i="9" a="1"/>
  <c r="AS725" i="9" s="1"/>
  <c r="D721" i="9"/>
  <c r="AU721" i="9"/>
  <c r="AS721" i="9" a="1"/>
  <c r="AS721" i="9" s="1"/>
  <c r="D717" i="9"/>
  <c r="AU717" i="9"/>
  <c r="AS717" i="9" a="1"/>
  <c r="AS717" i="9" s="1"/>
  <c r="D713" i="9"/>
  <c r="AU713" i="9"/>
  <c r="AS713" i="9" a="1"/>
  <c r="AS713" i="9" s="1"/>
  <c r="AU709" i="9"/>
  <c r="D709" i="9"/>
  <c r="AS709" i="9" a="1"/>
  <c r="AS709" i="9" s="1"/>
  <c r="D705" i="9"/>
  <c r="AU705" i="9"/>
  <c r="AS705" i="9" a="1"/>
  <c r="AS705" i="9" s="1"/>
  <c r="D701" i="9"/>
  <c r="AU701" i="9"/>
  <c r="AS701" i="9" a="1"/>
  <c r="AS701" i="9" s="1"/>
  <c r="D697" i="9"/>
  <c r="AU697" i="9"/>
  <c r="AS697" i="9" a="1"/>
  <c r="AS697" i="9" s="1"/>
  <c r="AU693" i="9"/>
  <c r="D693" i="9"/>
  <c r="AS693" i="9" a="1"/>
  <c r="AS693" i="9" s="1"/>
  <c r="D689" i="9"/>
  <c r="AU689" i="9"/>
  <c r="AS689" i="9" a="1"/>
  <c r="AS689" i="9" s="1"/>
  <c r="D685" i="9"/>
  <c r="AU685" i="9"/>
  <c r="AS685" i="9" a="1"/>
  <c r="AS685" i="9" s="1"/>
  <c r="D681" i="9"/>
  <c r="AU681" i="9"/>
  <c r="AS681" i="9" a="1"/>
  <c r="AS681" i="9" s="1"/>
  <c r="AU677" i="9"/>
  <c r="D677" i="9"/>
  <c r="AS677" i="9" a="1"/>
  <c r="AS677" i="9" s="1"/>
  <c r="D673" i="9"/>
  <c r="AU673" i="9"/>
  <c r="AS673" i="9" a="1"/>
  <c r="AS673" i="9" s="1"/>
  <c r="D669" i="9"/>
  <c r="AU669" i="9"/>
  <c r="AS669" i="9" a="1"/>
  <c r="AS669" i="9" s="1"/>
  <c r="D665" i="9"/>
  <c r="AU665" i="9"/>
  <c r="AS665" i="9" a="1"/>
  <c r="AS665" i="9" s="1"/>
  <c r="AU661" i="9"/>
  <c r="D661" i="9"/>
  <c r="AS661" i="9" a="1"/>
  <c r="AS661" i="9" s="1"/>
  <c r="D657" i="9"/>
  <c r="AU657" i="9"/>
  <c r="AS657" i="9" a="1"/>
  <c r="AS657" i="9" s="1"/>
  <c r="D653" i="9"/>
  <c r="AU653" i="9"/>
  <c r="AS653" i="9" a="1"/>
  <c r="AS653" i="9" s="1"/>
  <c r="D649" i="9"/>
  <c r="AU649" i="9"/>
  <c r="AS649" i="9" a="1"/>
  <c r="AS649" i="9" s="1"/>
  <c r="AU645" i="9"/>
  <c r="D645" i="9"/>
  <c r="AS645" i="9" a="1"/>
  <c r="AS645" i="9" s="1"/>
  <c r="D641" i="9"/>
  <c r="AU641" i="9"/>
  <c r="AS641" i="9" a="1"/>
  <c r="AS641" i="9" s="1"/>
  <c r="D637" i="9"/>
  <c r="AU637" i="9"/>
  <c r="AS637" i="9" a="1"/>
  <c r="AS637" i="9" s="1"/>
  <c r="D633" i="9"/>
  <c r="AU633" i="9"/>
  <c r="AS633" i="9" a="1"/>
  <c r="AS633" i="9" s="1"/>
  <c r="AU629" i="9"/>
  <c r="D629" i="9"/>
  <c r="AS629" i="9" a="1"/>
  <c r="AS629" i="9" s="1"/>
  <c r="D625" i="9"/>
  <c r="AU625" i="9"/>
  <c r="AS625" i="9" a="1"/>
  <c r="AS625" i="9" s="1"/>
  <c r="D621" i="9"/>
  <c r="AU621" i="9"/>
  <c r="AS621" i="9" a="1"/>
  <c r="AS621" i="9" s="1"/>
  <c r="D617" i="9"/>
  <c r="AU617" i="9"/>
  <c r="AS617" i="9" a="1"/>
  <c r="AS617" i="9" s="1"/>
  <c r="AU613" i="9"/>
  <c r="D613" i="9"/>
  <c r="AS613" i="9" a="1"/>
  <c r="AS613" i="9" s="1"/>
  <c r="D609" i="9"/>
  <c r="AU609" i="9"/>
  <c r="AS609" i="9" a="1"/>
  <c r="AS609" i="9" s="1"/>
  <c r="D605" i="9"/>
  <c r="AU605" i="9"/>
  <c r="AS605" i="9" a="1"/>
  <c r="AS605" i="9" s="1"/>
  <c r="D601" i="9"/>
  <c r="AU601" i="9"/>
  <c r="AS601" i="9" a="1"/>
  <c r="AS601" i="9" s="1"/>
  <c r="AU597" i="9"/>
  <c r="D597" i="9"/>
  <c r="AS597" i="9" a="1"/>
  <c r="AS597" i="9" s="1"/>
  <c r="D593" i="9"/>
  <c r="AU593" i="9"/>
  <c r="AS593" i="9" a="1"/>
  <c r="AS593" i="9" s="1"/>
  <c r="D589" i="9"/>
  <c r="AU589" i="9"/>
  <c r="AS589" i="9" a="1"/>
  <c r="AS589" i="9" s="1"/>
  <c r="D585" i="9"/>
  <c r="AU585" i="9"/>
  <c r="AS585" i="9" a="1"/>
  <c r="AS585" i="9" s="1"/>
  <c r="AU581" i="9"/>
  <c r="D581" i="9"/>
  <c r="AS581" i="9" a="1"/>
  <c r="AS581" i="9" s="1"/>
  <c r="D577" i="9"/>
  <c r="AU577" i="9"/>
  <c r="AS577" i="9" a="1"/>
  <c r="AS577" i="9" s="1"/>
  <c r="D573" i="9"/>
  <c r="AU573" i="9"/>
  <c r="AS573" i="9" a="1"/>
  <c r="AS573" i="9" s="1"/>
  <c r="D569" i="9"/>
  <c r="AU569" i="9"/>
  <c r="AS569" i="9" a="1"/>
  <c r="AS569" i="9" s="1"/>
  <c r="AU565" i="9"/>
  <c r="D565" i="9"/>
  <c r="AS565" i="9" a="1"/>
  <c r="AS565" i="9" s="1"/>
  <c r="D561" i="9"/>
  <c r="AU561" i="9"/>
  <c r="AS561" i="9" a="1"/>
  <c r="AS561" i="9" s="1"/>
  <c r="D557" i="9"/>
  <c r="AU557" i="9"/>
  <c r="AS557" i="9" a="1"/>
  <c r="AS557" i="9" s="1"/>
  <c r="D553" i="9"/>
  <c r="AU553" i="9"/>
  <c r="AS553" i="9" a="1"/>
  <c r="AS553" i="9" s="1"/>
  <c r="AU549" i="9"/>
  <c r="D549" i="9"/>
  <c r="AS549" i="9" a="1"/>
  <c r="AS549" i="9" s="1"/>
  <c r="D545" i="9"/>
  <c r="AU545" i="9"/>
  <c r="AS545" i="9" a="1"/>
  <c r="AS545" i="9" s="1"/>
  <c r="D541" i="9"/>
  <c r="AU541" i="9"/>
  <c r="AS541" i="9" a="1"/>
  <c r="AS541" i="9" s="1"/>
  <c r="D537" i="9"/>
  <c r="AU537" i="9"/>
  <c r="AS537" i="9" a="1"/>
  <c r="AS537" i="9" s="1"/>
  <c r="AU533" i="9"/>
  <c r="D533" i="9"/>
  <c r="AS533" i="9" a="1"/>
  <c r="AS533" i="9" s="1"/>
  <c r="D529" i="9"/>
  <c r="AU529" i="9"/>
  <c r="AS529" i="9" a="1"/>
  <c r="AS529" i="9" s="1"/>
  <c r="D525" i="9"/>
  <c r="AU525" i="9"/>
  <c r="AS525" i="9" a="1"/>
  <c r="AS525" i="9" s="1"/>
  <c r="D521" i="9"/>
  <c r="AU521" i="9"/>
  <c r="AS521" i="9" a="1"/>
  <c r="AS521" i="9" s="1"/>
  <c r="AU517" i="9"/>
  <c r="D517" i="9"/>
  <c r="AS517" i="9" a="1"/>
  <c r="AS517" i="9" s="1"/>
  <c r="D513" i="9"/>
  <c r="AU513" i="9"/>
  <c r="AS513" i="9" a="1"/>
  <c r="AS513" i="9" s="1"/>
  <c r="D509" i="9"/>
  <c r="AU509" i="9"/>
  <c r="AS509" i="9" a="1"/>
  <c r="AS509" i="9" s="1"/>
  <c r="D505" i="9"/>
  <c r="AU505" i="9"/>
  <c r="AS505" i="9" a="1"/>
  <c r="AS505" i="9" s="1"/>
  <c r="AU501" i="9"/>
  <c r="D501" i="9"/>
  <c r="AS501" i="9" a="1"/>
  <c r="AS501" i="9" s="1"/>
  <c r="D497" i="9"/>
  <c r="AU497" i="9"/>
  <c r="AS497" i="9" a="1"/>
  <c r="AS497" i="9" s="1"/>
  <c r="D493" i="9"/>
  <c r="AU493" i="9"/>
  <c r="AS493" i="9" a="1"/>
  <c r="AS493" i="9" s="1"/>
  <c r="D489" i="9"/>
  <c r="AU489" i="9"/>
  <c r="AS489" i="9" a="1"/>
  <c r="AS489" i="9" s="1"/>
  <c r="AU485" i="9"/>
  <c r="D485" i="9"/>
  <c r="AS485" i="9" a="1"/>
  <c r="AS485" i="9" s="1"/>
  <c r="D481" i="9"/>
  <c r="AU481" i="9"/>
  <c r="AS481" i="9" a="1"/>
  <c r="AS481" i="9" s="1"/>
  <c r="D477" i="9"/>
  <c r="AU477" i="9"/>
  <c r="AS477" i="9" a="1"/>
  <c r="AS477" i="9" s="1"/>
  <c r="D473" i="9"/>
  <c r="AU473" i="9"/>
  <c r="AS473" i="9" a="1"/>
  <c r="AS473" i="9" s="1"/>
  <c r="AU469" i="9"/>
  <c r="D469" i="9"/>
  <c r="AS469" i="9" a="1"/>
  <c r="AS469" i="9" s="1"/>
  <c r="D465" i="9"/>
  <c r="AU465" i="9"/>
  <c r="AS465" i="9" a="1"/>
  <c r="AS465" i="9" s="1"/>
  <c r="D461" i="9"/>
  <c r="AU461" i="9"/>
  <c r="AS461" i="9" a="1"/>
  <c r="AS461" i="9" s="1"/>
  <c r="D457" i="9"/>
  <c r="AU457" i="9"/>
  <c r="AS457" i="9" a="1"/>
  <c r="AS457" i="9" s="1"/>
  <c r="D453" i="9"/>
  <c r="AU453" i="9"/>
  <c r="AS453" i="9" a="1"/>
  <c r="AS453" i="9" s="1"/>
  <c r="D449" i="9"/>
  <c r="AU449" i="9"/>
  <c r="AS449" i="9" a="1"/>
  <c r="AS449" i="9" s="1"/>
  <c r="AU445" i="9"/>
  <c r="D445" i="9"/>
  <c r="AS445" i="9" a="1"/>
  <c r="AS445" i="9" s="1"/>
  <c r="AU441" i="9"/>
  <c r="D441" i="9"/>
  <c r="AS441" i="9" a="1"/>
  <c r="AS441" i="9" s="1"/>
  <c r="AU437" i="9"/>
  <c r="D437" i="9"/>
  <c r="AS437" i="9" a="1"/>
  <c r="AS437" i="9" s="1"/>
  <c r="D433" i="9"/>
  <c r="AU433" i="9"/>
  <c r="AS433" i="9" a="1"/>
  <c r="AS433" i="9" s="1"/>
  <c r="D429" i="9"/>
  <c r="AU429" i="9"/>
  <c r="AS429" i="9" a="1"/>
  <c r="AS429" i="9" s="1"/>
  <c r="D425" i="9"/>
  <c r="AU425" i="9"/>
  <c r="AS425" i="9" a="1"/>
  <c r="AS425" i="9" s="1"/>
  <c r="D421" i="9"/>
  <c r="AU421" i="9"/>
  <c r="AS421" i="9" a="1"/>
  <c r="AS421" i="9" s="1"/>
  <c r="D417" i="9"/>
  <c r="AU417" i="9"/>
  <c r="AS417" i="9" a="1"/>
  <c r="AS417" i="9" s="1"/>
  <c r="AU413" i="9"/>
  <c r="D413" i="9"/>
  <c r="AS413" i="9" a="1"/>
  <c r="AS413" i="9" s="1"/>
  <c r="AU409" i="9"/>
  <c r="D409" i="9"/>
  <c r="AS409" i="9" a="1"/>
  <c r="AS409" i="9" s="1"/>
  <c r="D405" i="9"/>
  <c r="AU405" i="9"/>
  <c r="AS405" i="9" a="1"/>
  <c r="AS405" i="9" s="1"/>
  <c r="AU401" i="9"/>
  <c r="D401" i="9"/>
  <c r="AS401" i="9" a="1"/>
  <c r="AS401" i="9" s="1"/>
  <c r="D397" i="9"/>
  <c r="AU397" i="9"/>
  <c r="AS397" i="9" a="1"/>
  <c r="AS397" i="9" s="1"/>
  <c r="AU393" i="9"/>
  <c r="D393" i="9"/>
  <c r="AS393" i="9" a="1"/>
  <c r="AS393" i="9" s="1"/>
  <c r="D389" i="9"/>
  <c r="AU389" i="9"/>
  <c r="AS389" i="9" a="1"/>
  <c r="AS389" i="9" s="1"/>
  <c r="AU385" i="9"/>
  <c r="D385" i="9"/>
  <c r="AS385" i="9" a="1"/>
  <c r="AS385" i="9" s="1"/>
  <c r="D381" i="9"/>
  <c r="AU381" i="9"/>
  <c r="AS381" i="9" a="1"/>
  <c r="AS381" i="9" s="1"/>
  <c r="AU377" i="9"/>
  <c r="D377" i="9"/>
  <c r="AS377" i="9" a="1"/>
  <c r="AS377" i="9" s="1"/>
  <c r="D373" i="9"/>
  <c r="AU373" i="9"/>
  <c r="AS373" i="9" a="1"/>
  <c r="AS373" i="9" s="1"/>
  <c r="AU369" i="9"/>
  <c r="D369" i="9"/>
  <c r="AS369" i="9" a="1"/>
  <c r="AS369" i="9" s="1"/>
  <c r="D365" i="9"/>
  <c r="AU365" i="9"/>
  <c r="AS365" i="9" a="1"/>
  <c r="AS365" i="9" s="1"/>
  <c r="AU361" i="9"/>
  <c r="D361" i="9"/>
  <c r="AS361" i="9" a="1"/>
  <c r="AS361" i="9" s="1"/>
  <c r="D357" i="9"/>
  <c r="AU357" i="9"/>
  <c r="AS357" i="9" a="1"/>
  <c r="AS357" i="9" s="1"/>
  <c r="AU353" i="9"/>
  <c r="D353" i="9"/>
  <c r="AS353" i="9" a="1"/>
  <c r="AS353" i="9" s="1"/>
  <c r="D349" i="9"/>
  <c r="AU349" i="9"/>
  <c r="AS349" i="9" a="1"/>
  <c r="AS349" i="9" s="1"/>
  <c r="AU345" i="9"/>
  <c r="D345" i="9"/>
  <c r="AS345" i="9" a="1"/>
  <c r="AS345" i="9" s="1"/>
  <c r="D341" i="9"/>
  <c r="AU341" i="9"/>
  <c r="AS341" i="9" a="1"/>
  <c r="AS341" i="9" s="1"/>
  <c r="AU337" i="9"/>
  <c r="D337" i="9"/>
  <c r="AS337" i="9" a="1"/>
  <c r="AS337" i="9" s="1"/>
  <c r="D333" i="9"/>
  <c r="AU333" i="9"/>
  <c r="AS333" i="9" a="1"/>
  <c r="AS333" i="9" s="1"/>
  <c r="AU329" i="9"/>
  <c r="D329" i="9"/>
  <c r="AS329" i="9" a="1"/>
  <c r="AS329" i="9" s="1"/>
  <c r="D325" i="9"/>
  <c r="AU325" i="9"/>
  <c r="AS325" i="9" a="1"/>
  <c r="AS325" i="9" s="1"/>
  <c r="AU321" i="9"/>
  <c r="D321" i="9"/>
  <c r="AS321" i="9" a="1"/>
  <c r="AS321" i="9" s="1"/>
  <c r="D317" i="9"/>
  <c r="AU317" i="9"/>
  <c r="AS317" i="9" a="1"/>
  <c r="AS317" i="9" s="1"/>
  <c r="AU313" i="9"/>
  <c r="D313" i="9"/>
  <c r="AS313" i="9" a="1"/>
  <c r="AS313" i="9" s="1"/>
  <c r="D309" i="9"/>
  <c r="AU309" i="9"/>
  <c r="AS309" i="9" a="1"/>
  <c r="AS309" i="9" s="1"/>
  <c r="AU305" i="9"/>
  <c r="D305" i="9"/>
  <c r="AS305" i="9" a="1"/>
  <c r="AS305" i="9" s="1"/>
  <c r="D301" i="9"/>
  <c r="AU301" i="9"/>
  <c r="AS301" i="9" a="1"/>
  <c r="AS301" i="9" s="1"/>
  <c r="AU297" i="9"/>
  <c r="D297" i="9"/>
  <c r="AS297" i="9" a="1"/>
  <c r="AS297" i="9" s="1"/>
  <c r="D293" i="9"/>
  <c r="AU293" i="9"/>
  <c r="AS293" i="9" a="1"/>
  <c r="AS293" i="9" s="1"/>
  <c r="AU289" i="9"/>
  <c r="D289" i="9"/>
  <c r="AS289" i="9" a="1"/>
  <c r="AS289" i="9" s="1"/>
  <c r="D285" i="9"/>
  <c r="AU285" i="9"/>
  <c r="AS285" i="9" a="1"/>
  <c r="AS285" i="9" s="1"/>
  <c r="AU281" i="9"/>
  <c r="D281" i="9"/>
  <c r="AS281" i="9" a="1"/>
  <c r="AS281" i="9" s="1"/>
  <c r="D277" i="9"/>
  <c r="AU277" i="9"/>
  <c r="AS277" i="9" a="1"/>
  <c r="AS277" i="9" s="1"/>
  <c r="AU273" i="9"/>
  <c r="D273" i="9"/>
  <c r="AS273" i="9" a="1"/>
  <c r="AS273" i="9" s="1"/>
  <c r="D269" i="9"/>
  <c r="AU269" i="9"/>
  <c r="AS269" i="9" a="1"/>
  <c r="AS269" i="9" s="1"/>
  <c r="AU265" i="9"/>
  <c r="D265" i="9"/>
  <c r="AS265" i="9" a="1"/>
  <c r="AS265" i="9" s="1"/>
  <c r="D261" i="9"/>
  <c r="AU261" i="9"/>
  <c r="AS261" i="9" a="1"/>
  <c r="AS261" i="9" s="1"/>
  <c r="AU257" i="9"/>
  <c r="D257" i="9"/>
  <c r="AS257" i="9" a="1"/>
  <c r="AS257" i="9" s="1"/>
  <c r="D253" i="9"/>
  <c r="AU253" i="9"/>
  <c r="AS253" i="9" a="1"/>
  <c r="AS253" i="9" s="1"/>
  <c r="AU249" i="9"/>
  <c r="D249" i="9"/>
  <c r="AS249" i="9" a="1"/>
  <c r="AS249" i="9" s="1"/>
  <c r="D245" i="9"/>
  <c r="AU245" i="9"/>
  <c r="AS245" i="9" a="1"/>
  <c r="AS245" i="9" s="1"/>
  <c r="AU241" i="9"/>
  <c r="D241" i="9"/>
  <c r="AS241" i="9" a="1"/>
  <c r="AS241" i="9" s="1"/>
  <c r="D237" i="9"/>
  <c r="AU237" i="9"/>
  <c r="AS237" i="9" a="1"/>
  <c r="AS237" i="9" s="1"/>
  <c r="AU233" i="9"/>
  <c r="D233" i="9"/>
  <c r="AS233" i="9" a="1"/>
  <c r="AS233" i="9" s="1"/>
  <c r="D229" i="9"/>
  <c r="AU229" i="9"/>
  <c r="AS229" i="9" a="1"/>
  <c r="AS229" i="9" s="1"/>
  <c r="AU225" i="9"/>
  <c r="D225" i="9"/>
  <c r="AS225" i="9" a="1"/>
  <c r="AS225" i="9" s="1"/>
  <c r="D221" i="9"/>
  <c r="AU221" i="9"/>
  <c r="AS221" i="9" a="1"/>
  <c r="AS221" i="9" s="1"/>
  <c r="AU217" i="9"/>
  <c r="D217" i="9"/>
  <c r="AS217" i="9" a="1"/>
  <c r="AS217" i="9" s="1"/>
  <c r="D213" i="9"/>
  <c r="AU213" i="9"/>
  <c r="AS213" i="9" a="1"/>
  <c r="AS213" i="9" s="1"/>
  <c r="AU209" i="9"/>
  <c r="D209" i="9"/>
  <c r="AS209" i="9" a="1"/>
  <c r="AS209" i="9" s="1"/>
  <c r="D205" i="9"/>
  <c r="AU205" i="9"/>
  <c r="AS205" i="9" a="1"/>
  <c r="AS205" i="9" s="1"/>
  <c r="AU201" i="9"/>
  <c r="D201" i="9"/>
  <c r="AS201" i="9" a="1"/>
  <c r="AS201" i="9" s="1"/>
  <c r="D197" i="9"/>
  <c r="AU197" i="9"/>
  <c r="AS197" i="9" a="1"/>
  <c r="AS197" i="9" s="1"/>
  <c r="AU193" i="9"/>
  <c r="D193" i="9"/>
  <c r="AS193" i="9" a="1"/>
  <c r="AS193" i="9" s="1"/>
  <c r="D189" i="9"/>
  <c r="AU189" i="9"/>
  <c r="AS189" i="9" a="1"/>
  <c r="AS189" i="9" s="1"/>
  <c r="AU185" i="9"/>
  <c r="D185" i="9"/>
  <c r="AS185" i="9" a="1"/>
  <c r="AS185" i="9" s="1"/>
  <c r="D181" i="9"/>
  <c r="AU181" i="9"/>
  <c r="AS181" i="9" a="1"/>
  <c r="AS181" i="9" s="1"/>
  <c r="AU177" i="9"/>
  <c r="D177" i="9"/>
  <c r="AS177" i="9" a="1"/>
  <c r="AS177" i="9" s="1"/>
  <c r="D173" i="9"/>
  <c r="AU173" i="9"/>
  <c r="AS173" i="9" a="1"/>
  <c r="AS173" i="9" s="1"/>
  <c r="AU169" i="9"/>
  <c r="D169" i="9"/>
  <c r="AS169" i="9" a="1"/>
  <c r="AS169" i="9" s="1"/>
  <c r="D165" i="9"/>
  <c r="AU165" i="9"/>
  <c r="AS165" i="9" a="1"/>
  <c r="AS165" i="9" s="1"/>
  <c r="AU161" i="9"/>
  <c r="D161" i="9"/>
  <c r="AS161" i="9" a="1"/>
  <c r="AS161" i="9" s="1"/>
  <c r="D157" i="9"/>
  <c r="AU157" i="9"/>
  <c r="AS157" i="9" a="1"/>
  <c r="AS157" i="9" s="1"/>
  <c r="AU153" i="9"/>
  <c r="D153" i="9"/>
  <c r="AS153" i="9" a="1"/>
  <c r="AS153" i="9" s="1"/>
  <c r="D149" i="9"/>
  <c r="AU149" i="9"/>
  <c r="AS149" i="9" a="1"/>
  <c r="AS149" i="9" s="1"/>
  <c r="AU145" i="9"/>
  <c r="D145" i="9"/>
  <c r="AS145" i="9" a="1"/>
  <c r="AS145" i="9" s="1"/>
  <c r="D141" i="9"/>
  <c r="AU141" i="9"/>
  <c r="AS141" i="9" a="1"/>
  <c r="AS141" i="9" s="1"/>
  <c r="AU137" i="9"/>
  <c r="D137" i="9"/>
  <c r="AS137" i="9" a="1"/>
  <c r="AS137" i="9" s="1"/>
  <c r="AU133" i="9"/>
  <c r="D133" i="9"/>
  <c r="AS133" i="9" a="1"/>
  <c r="AS133" i="9" s="1"/>
  <c r="AU129" i="9"/>
  <c r="D129" i="9"/>
  <c r="AS129" i="9" a="1"/>
  <c r="AS129" i="9" s="1"/>
  <c r="D125" i="9"/>
  <c r="AU125" i="9"/>
  <c r="AS125" i="9" a="1"/>
  <c r="AS125" i="9" s="1"/>
  <c r="AU121" i="9"/>
  <c r="D121" i="9"/>
  <c r="AS121" i="9" a="1"/>
  <c r="AS121" i="9" s="1"/>
  <c r="AU117" i="9"/>
  <c r="D117" i="9"/>
  <c r="AS117" i="9" a="1"/>
  <c r="AS117" i="9" s="1"/>
  <c r="AU113" i="9"/>
  <c r="D113" i="9"/>
  <c r="AS113" i="9" a="1"/>
  <c r="AS113" i="9" s="1"/>
  <c r="D109" i="9"/>
  <c r="AU109" i="9"/>
  <c r="AS109" i="9" a="1"/>
  <c r="AS109" i="9" s="1"/>
  <c r="AU105" i="9"/>
  <c r="D105" i="9"/>
  <c r="AS105" i="9" a="1"/>
  <c r="AS105" i="9" s="1"/>
  <c r="AU101" i="9"/>
  <c r="D101" i="9"/>
  <c r="AS101" i="9" a="1"/>
  <c r="AS101" i="9" s="1"/>
  <c r="AU97" i="9"/>
  <c r="D97" i="9"/>
  <c r="AS97" i="9" a="1"/>
  <c r="AS97" i="9" s="1"/>
  <c r="D93" i="9"/>
  <c r="AU93" i="9"/>
  <c r="AS93" i="9" a="1"/>
  <c r="AS93" i="9" s="1"/>
  <c r="AU89" i="9"/>
  <c r="D89" i="9"/>
  <c r="AS89" i="9" a="1"/>
  <c r="AS89" i="9" s="1"/>
  <c r="AU85" i="9"/>
  <c r="D85" i="9"/>
  <c r="AS85" i="9" a="1"/>
  <c r="AS85" i="9" s="1"/>
  <c r="AU81" i="9"/>
  <c r="D81" i="9"/>
  <c r="AS81" i="9" a="1"/>
  <c r="AS81" i="9" s="1"/>
  <c r="D77" i="9"/>
  <c r="AU77" i="9"/>
  <c r="AS77" i="9" a="1"/>
  <c r="AS77" i="9" s="1"/>
  <c r="AU73" i="9"/>
  <c r="D73" i="9"/>
  <c r="AS73" i="9" a="1"/>
  <c r="AS73" i="9" s="1"/>
  <c r="AU69" i="9"/>
  <c r="D69" i="9"/>
  <c r="AS69" i="9" a="1"/>
  <c r="AS69" i="9" s="1"/>
  <c r="AU65" i="9"/>
  <c r="D65" i="9"/>
  <c r="AS65" i="9" a="1"/>
  <c r="AS65" i="9" s="1"/>
  <c r="D61" i="9"/>
  <c r="AU61" i="9"/>
  <c r="AS61" i="9" a="1"/>
  <c r="AS61" i="9" s="1"/>
  <c r="AU57" i="9"/>
  <c r="D57" i="9"/>
  <c r="AS57" i="9" a="1"/>
  <c r="AS57" i="9" s="1"/>
  <c r="AU53" i="9"/>
  <c r="D53" i="9"/>
  <c r="AS53" i="9" a="1"/>
  <c r="AS53" i="9" s="1"/>
  <c r="AU49" i="9"/>
  <c r="D49" i="9"/>
  <c r="AS49" i="9" a="1"/>
  <c r="AS49" i="9" s="1"/>
  <c r="D45" i="9"/>
  <c r="AU45" i="9"/>
  <c r="AS45" i="9" a="1"/>
  <c r="AS45" i="9" s="1"/>
  <c r="AU41" i="9"/>
  <c r="D41" i="9"/>
  <c r="AS41" i="9" a="1"/>
  <c r="AS41" i="9" s="1"/>
  <c r="AU37" i="9"/>
  <c r="D37" i="9"/>
  <c r="AS37" i="9" a="1"/>
  <c r="AS37" i="9" s="1"/>
  <c r="D33" i="9"/>
  <c r="AU33" i="9"/>
  <c r="AS33" i="9" a="1"/>
  <c r="AS33" i="9" s="1"/>
  <c r="D29" i="9"/>
  <c r="AU29" i="9"/>
  <c r="AS29" i="9" a="1"/>
  <c r="AS29" i="9" s="1"/>
  <c r="AU25" i="9"/>
  <c r="D25" i="9"/>
  <c r="AS25" i="9" a="1"/>
  <c r="AS25" i="9" s="1"/>
  <c r="AU21" i="9"/>
  <c r="D21" i="9"/>
  <c r="AS21" i="9" a="1"/>
  <c r="AS21" i="9" s="1"/>
  <c r="D17" i="9"/>
  <c r="AU17" i="9"/>
  <c r="AS17" i="9" a="1"/>
  <c r="AS17" i="9" s="1"/>
  <c r="AX17" i="9" s="1"/>
  <c r="D13" i="9"/>
  <c r="AU13" i="9"/>
  <c r="AS13" i="9" a="1"/>
  <c r="AS13" i="9" s="1"/>
  <c r="AX13" i="9" s="1"/>
  <c r="D748" i="9"/>
  <c r="AU748" i="9"/>
  <c r="AS748" i="9" a="1"/>
  <c r="AS748" i="9" s="1"/>
  <c r="D744" i="9"/>
  <c r="AU744" i="9"/>
  <c r="AS744" i="9" a="1"/>
  <c r="AS744" i="9" s="1"/>
  <c r="D740" i="9"/>
  <c r="AU740" i="9"/>
  <c r="AS740" i="9" a="1"/>
  <c r="AS740" i="9" s="1"/>
  <c r="D736" i="9"/>
  <c r="AU736" i="9"/>
  <c r="AS736" i="9" a="1"/>
  <c r="AS736" i="9" s="1"/>
  <c r="D732" i="9"/>
  <c r="AU732" i="9"/>
  <c r="AS732" i="9" a="1"/>
  <c r="AS732" i="9" s="1"/>
  <c r="D728" i="9"/>
  <c r="AU728" i="9"/>
  <c r="AS728" i="9" a="1"/>
  <c r="AS728" i="9" s="1"/>
  <c r="D724" i="9"/>
  <c r="AU724" i="9"/>
  <c r="AS724" i="9" a="1"/>
  <c r="AS724" i="9" s="1"/>
  <c r="D720" i="9"/>
  <c r="AU720" i="9"/>
  <c r="AS720" i="9" a="1"/>
  <c r="AS720" i="9" s="1"/>
  <c r="D716" i="9"/>
  <c r="AU716" i="9"/>
  <c r="AS716" i="9" a="1"/>
  <c r="AS716" i="9" s="1"/>
  <c r="D712" i="9"/>
  <c r="AU712" i="9"/>
  <c r="AS712" i="9" a="1"/>
  <c r="AS712" i="9" s="1"/>
  <c r="D708" i="9"/>
  <c r="AU708" i="9"/>
  <c r="AS708" i="9" a="1"/>
  <c r="AS708" i="9" s="1"/>
  <c r="D704" i="9"/>
  <c r="AU704" i="9"/>
  <c r="AS704" i="9" a="1"/>
  <c r="AS704" i="9" s="1"/>
  <c r="D700" i="9"/>
  <c r="AU700" i="9"/>
  <c r="AS700" i="9" a="1"/>
  <c r="AS700" i="9" s="1"/>
  <c r="D696" i="9"/>
  <c r="AU696" i="9"/>
  <c r="AS696" i="9" a="1"/>
  <c r="AS696" i="9" s="1"/>
  <c r="D692" i="9"/>
  <c r="AU692" i="9"/>
  <c r="AS692" i="9" a="1"/>
  <c r="AS692" i="9" s="1"/>
  <c r="D688" i="9"/>
  <c r="AU688" i="9"/>
  <c r="AS688" i="9" a="1"/>
  <c r="AS688" i="9" s="1"/>
  <c r="D684" i="9"/>
  <c r="AU684" i="9"/>
  <c r="AS684" i="9" a="1"/>
  <c r="AS684" i="9" s="1"/>
  <c r="D680" i="9"/>
  <c r="AU680" i="9"/>
  <c r="AS680" i="9" a="1"/>
  <c r="AS680" i="9" s="1"/>
  <c r="D676" i="9"/>
  <c r="AU676" i="9"/>
  <c r="AS676" i="9" a="1"/>
  <c r="AS676" i="9" s="1"/>
  <c r="D672" i="9"/>
  <c r="AU672" i="9"/>
  <c r="AS672" i="9" a="1"/>
  <c r="AS672" i="9" s="1"/>
  <c r="D668" i="9"/>
  <c r="AU668" i="9"/>
  <c r="AS668" i="9" a="1"/>
  <c r="AS668" i="9" s="1"/>
  <c r="D664" i="9"/>
  <c r="AU664" i="9"/>
  <c r="AS664" i="9" a="1"/>
  <c r="AS664" i="9" s="1"/>
  <c r="D660" i="9"/>
  <c r="AU660" i="9"/>
  <c r="AS660" i="9" a="1"/>
  <c r="AS660" i="9" s="1"/>
  <c r="D656" i="9"/>
  <c r="AU656" i="9"/>
  <c r="AS656" i="9" a="1"/>
  <c r="AS656" i="9" s="1"/>
  <c r="D652" i="9"/>
  <c r="AU652" i="9"/>
  <c r="AS652" i="9" a="1"/>
  <c r="AS652" i="9" s="1"/>
  <c r="D648" i="9"/>
  <c r="AU648" i="9"/>
  <c r="AS648" i="9" a="1"/>
  <c r="AS648" i="9" s="1"/>
  <c r="D644" i="9"/>
  <c r="AU644" i="9"/>
  <c r="AS644" i="9" a="1"/>
  <c r="AS644" i="9" s="1"/>
  <c r="D640" i="9"/>
  <c r="AU640" i="9"/>
  <c r="AS640" i="9" a="1"/>
  <c r="AS640" i="9" s="1"/>
  <c r="D636" i="9"/>
  <c r="AU636" i="9"/>
  <c r="AS636" i="9" a="1"/>
  <c r="AS636" i="9" s="1"/>
  <c r="D632" i="9"/>
  <c r="AU632" i="9"/>
  <c r="AS632" i="9" a="1"/>
  <c r="AS632" i="9" s="1"/>
  <c r="D628" i="9"/>
  <c r="AU628" i="9"/>
  <c r="AS628" i="9" a="1"/>
  <c r="AS628" i="9" s="1"/>
  <c r="D624" i="9"/>
  <c r="AU624" i="9"/>
  <c r="AS624" i="9" a="1"/>
  <c r="AS624" i="9" s="1"/>
  <c r="D620" i="9"/>
  <c r="AU620" i="9"/>
  <c r="AS620" i="9" a="1"/>
  <c r="AS620" i="9" s="1"/>
  <c r="D616" i="9"/>
  <c r="AU616" i="9"/>
  <c r="AS616" i="9" a="1"/>
  <c r="AS616" i="9" s="1"/>
  <c r="D612" i="9"/>
  <c r="AU612" i="9"/>
  <c r="AS612" i="9" a="1"/>
  <c r="AS612" i="9" s="1"/>
  <c r="D608" i="9"/>
  <c r="AU608" i="9"/>
  <c r="AS608" i="9" a="1"/>
  <c r="AS608" i="9" s="1"/>
  <c r="D604" i="9"/>
  <c r="AU604" i="9"/>
  <c r="AS604" i="9" a="1"/>
  <c r="AS604" i="9" s="1"/>
  <c r="D600" i="9"/>
  <c r="AU600" i="9"/>
  <c r="AS600" i="9" a="1"/>
  <c r="AS600" i="9" s="1"/>
  <c r="D596" i="9"/>
  <c r="AU596" i="9"/>
  <c r="AS596" i="9" a="1"/>
  <c r="AS596" i="9" s="1"/>
  <c r="D592" i="9"/>
  <c r="AU592" i="9"/>
  <c r="AS592" i="9" a="1"/>
  <c r="AS592" i="9" s="1"/>
  <c r="D588" i="9"/>
  <c r="AU588" i="9"/>
  <c r="AS588" i="9" a="1"/>
  <c r="AS588" i="9" s="1"/>
  <c r="D584" i="9"/>
  <c r="AU584" i="9"/>
  <c r="AS584" i="9" a="1"/>
  <c r="AS584" i="9" s="1"/>
  <c r="D580" i="9"/>
  <c r="AU580" i="9"/>
  <c r="AS580" i="9" a="1"/>
  <c r="AS580" i="9" s="1"/>
  <c r="D576" i="9"/>
  <c r="AU576" i="9"/>
  <c r="AS576" i="9" a="1"/>
  <c r="AS576" i="9" s="1"/>
  <c r="D572" i="9"/>
  <c r="AU572" i="9"/>
  <c r="AS572" i="9" a="1"/>
  <c r="AS572" i="9" s="1"/>
  <c r="D568" i="9"/>
  <c r="AU568" i="9"/>
  <c r="AS568" i="9" a="1"/>
  <c r="AS568" i="9" s="1"/>
  <c r="D564" i="9"/>
  <c r="AU564" i="9"/>
  <c r="AS564" i="9" a="1"/>
  <c r="AS564" i="9" s="1"/>
  <c r="D560" i="9"/>
  <c r="AU560" i="9"/>
  <c r="AS560" i="9" a="1"/>
  <c r="AS560" i="9" s="1"/>
  <c r="D556" i="9"/>
  <c r="AU556" i="9"/>
  <c r="AS556" i="9" a="1"/>
  <c r="AS556" i="9" s="1"/>
  <c r="D552" i="9"/>
  <c r="AU552" i="9"/>
  <c r="AS552" i="9" a="1"/>
  <c r="AS552" i="9" s="1"/>
  <c r="D548" i="9"/>
  <c r="AU548" i="9"/>
  <c r="AS548" i="9" a="1"/>
  <c r="AS548" i="9" s="1"/>
  <c r="D544" i="9"/>
  <c r="AU544" i="9"/>
  <c r="AS544" i="9" a="1"/>
  <c r="AS544" i="9" s="1"/>
  <c r="D540" i="9"/>
  <c r="AU540" i="9"/>
  <c r="AS540" i="9" a="1"/>
  <c r="AS540" i="9" s="1"/>
  <c r="D536" i="9"/>
  <c r="AU536" i="9"/>
  <c r="AS536" i="9" a="1"/>
  <c r="AS536" i="9" s="1"/>
  <c r="D532" i="9"/>
  <c r="AU532" i="9"/>
  <c r="AS532" i="9" a="1"/>
  <c r="AS532" i="9" s="1"/>
  <c r="D528" i="9"/>
  <c r="AU528" i="9"/>
  <c r="AS528" i="9" a="1"/>
  <c r="AS528" i="9" s="1"/>
  <c r="D524" i="9"/>
  <c r="AU524" i="9"/>
  <c r="AS524" i="9" a="1"/>
  <c r="AS524" i="9" s="1"/>
  <c r="D520" i="9"/>
  <c r="AU520" i="9"/>
  <c r="AS520" i="9" a="1"/>
  <c r="AS520" i="9" s="1"/>
  <c r="D516" i="9"/>
  <c r="AU516" i="9"/>
  <c r="AS516" i="9" a="1"/>
  <c r="AS516" i="9" s="1"/>
  <c r="D512" i="9"/>
  <c r="AU512" i="9"/>
  <c r="AS512" i="9" a="1"/>
  <c r="AS512" i="9" s="1"/>
  <c r="D508" i="9"/>
  <c r="AU508" i="9"/>
  <c r="AS508" i="9" a="1"/>
  <c r="AS508" i="9" s="1"/>
  <c r="D504" i="9"/>
  <c r="AU504" i="9"/>
  <c r="AS504" i="9" a="1"/>
  <c r="AS504" i="9" s="1"/>
  <c r="D500" i="9"/>
  <c r="AU500" i="9"/>
  <c r="AS500" i="9" a="1"/>
  <c r="AS500" i="9" s="1"/>
  <c r="D496" i="9"/>
  <c r="AU496" i="9"/>
  <c r="AS496" i="9" a="1"/>
  <c r="AS496" i="9" s="1"/>
  <c r="D492" i="9"/>
  <c r="AU492" i="9"/>
  <c r="AS492" i="9" a="1"/>
  <c r="AS492" i="9" s="1"/>
  <c r="D488" i="9"/>
  <c r="AU488" i="9"/>
  <c r="AS488" i="9" a="1"/>
  <c r="AS488" i="9" s="1"/>
  <c r="D484" i="9"/>
  <c r="AU484" i="9"/>
  <c r="AS484" i="9" a="1"/>
  <c r="AS484" i="9" s="1"/>
  <c r="D480" i="9"/>
  <c r="AU480" i="9"/>
  <c r="AS480" i="9" a="1"/>
  <c r="AS480" i="9" s="1"/>
  <c r="D476" i="9"/>
  <c r="AU476" i="9"/>
  <c r="AS476" i="9" a="1"/>
  <c r="AS476" i="9" s="1"/>
  <c r="D472" i="9"/>
  <c r="AU472" i="9"/>
  <c r="AS472" i="9" a="1"/>
  <c r="AS472" i="9" s="1"/>
  <c r="D468" i="9"/>
  <c r="AU468" i="9"/>
  <c r="AS468" i="9" a="1"/>
  <c r="AS468" i="9" s="1"/>
  <c r="D464" i="9"/>
  <c r="AU464" i="9"/>
  <c r="AS464" i="9" a="1"/>
  <c r="AS464" i="9" s="1"/>
  <c r="D460" i="9"/>
  <c r="AU460" i="9"/>
  <c r="AS460" i="9" a="1"/>
  <c r="AS460" i="9" s="1"/>
  <c r="D456" i="9"/>
  <c r="AU456" i="9"/>
  <c r="AS456" i="9" a="1"/>
  <c r="AS456" i="9" s="1"/>
  <c r="D452" i="9"/>
  <c r="AU452" i="9"/>
  <c r="AS452" i="9" a="1"/>
  <c r="AS452" i="9" s="1"/>
  <c r="D448" i="9"/>
  <c r="AU448" i="9"/>
  <c r="AS448" i="9" a="1"/>
  <c r="AS448" i="9" s="1"/>
  <c r="D444" i="9"/>
  <c r="AU444" i="9"/>
  <c r="AS444" i="9" a="1"/>
  <c r="AS444" i="9" s="1"/>
  <c r="D440" i="9"/>
  <c r="AU440" i="9"/>
  <c r="AS440" i="9" a="1"/>
  <c r="AS440" i="9" s="1"/>
  <c r="D436" i="9"/>
  <c r="AU436" i="9"/>
  <c r="AS436" i="9" a="1"/>
  <c r="AS436" i="9" s="1"/>
  <c r="D432" i="9"/>
  <c r="AU432" i="9"/>
  <c r="AS432" i="9" a="1"/>
  <c r="AS432" i="9" s="1"/>
  <c r="D428" i="9"/>
  <c r="AU428" i="9"/>
  <c r="AS428" i="9" a="1"/>
  <c r="AS428" i="9" s="1"/>
  <c r="D424" i="9"/>
  <c r="AU424" i="9"/>
  <c r="AS424" i="9" a="1"/>
  <c r="AS424" i="9" s="1"/>
  <c r="D420" i="9"/>
  <c r="AU420" i="9"/>
  <c r="AS420" i="9" a="1"/>
  <c r="AS420" i="9" s="1"/>
  <c r="D416" i="9"/>
  <c r="AU416" i="9"/>
  <c r="AS416" i="9" a="1"/>
  <c r="AS416" i="9" s="1"/>
  <c r="D412" i="9"/>
  <c r="AU412" i="9"/>
  <c r="AS412" i="9" a="1"/>
  <c r="AS412" i="9" s="1"/>
  <c r="D408" i="9"/>
  <c r="AU408" i="9"/>
  <c r="AS408" i="9" a="1"/>
  <c r="AS408" i="9" s="1"/>
  <c r="D404" i="9"/>
  <c r="AU404" i="9"/>
  <c r="AS404" i="9" a="1"/>
  <c r="AS404" i="9" s="1"/>
  <c r="D400" i="9"/>
  <c r="AU400" i="9"/>
  <c r="AS400" i="9" a="1"/>
  <c r="AS400" i="9" s="1"/>
  <c r="D396" i="9"/>
  <c r="AU396" i="9"/>
  <c r="AS396" i="9" a="1"/>
  <c r="AS396" i="9" s="1"/>
  <c r="D392" i="9"/>
  <c r="AU392" i="9"/>
  <c r="AS392" i="9" a="1"/>
  <c r="AS392" i="9" s="1"/>
  <c r="D388" i="9"/>
  <c r="AU388" i="9"/>
  <c r="AS388" i="9" a="1"/>
  <c r="AS388" i="9" s="1"/>
  <c r="D384" i="9"/>
  <c r="AU384" i="9"/>
  <c r="AS384" i="9" a="1"/>
  <c r="AS384" i="9" s="1"/>
  <c r="AU380" i="9"/>
  <c r="D380" i="9"/>
  <c r="AS380" i="9" a="1"/>
  <c r="AS380" i="9" s="1"/>
  <c r="D376" i="9"/>
  <c r="AU376" i="9"/>
  <c r="AS376" i="9" a="1"/>
  <c r="AS376" i="9" s="1"/>
  <c r="D372" i="9"/>
  <c r="AU372" i="9"/>
  <c r="AS372" i="9" a="1"/>
  <c r="AS372" i="9" s="1"/>
  <c r="D368" i="9"/>
  <c r="AU368" i="9"/>
  <c r="AS368" i="9" a="1"/>
  <c r="AS368" i="9" s="1"/>
  <c r="D364" i="9"/>
  <c r="AU364" i="9"/>
  <c r="AS364" i="9" a="1"/>
  <c r="AS364" i="9" s="1"/>
  <c r="D360" i="9"/>
  <c r="AU360" i="9"/>
  <c r="AS360" i="9" a="1"/>
  <c r="AS360" i="9" s="1"/>
  <c r="D356" i="9"/>
  <c r="AU356" i="9"/>
  <c r="AS356" i="9" a="1"/>
  <c r="AS356" i="9" s="1"/>
  <c r="D352" i="9"/>
  <c r="AU352" i="9"/>
  <c r="AS352" i="9" a="1"/>
  <c r="AS352" i="9" s="1"/>
  <c r="D348" i="9"/>
  <c r="AU348" i="9"/>
  <c r="AS348" i="9" a="1"/>
  <c r="AS348" i="9" s="1"/>
  <c r="D344" i="9"/>
  <c r="AU344" i="9"/>
  <c r="AS344" i="9" a="1"/>
  <c r="AS344" i="9" s="1"/>
  <c r="AU340" i="9"/>
  <c r="D340" i="9"/>
  <c r="AS340" i="9" a="1"/>
  <c r="AS340" i="9" s="1"/>
  <c r="D336" i="9"/>
  <c r="AU336" i="9"/>
  <c r="AS336" i="9" a="1"/>
  <c r="AS336" i="9" s="1"/>
  <c r="D332" i="9"/>
  <c r="AU332" i="9"/>
  <c r="AS332" i="9" a="1"/>
  <c r="AS332" i="9" s="1"/>
  <c r="D328" i="9"/>
  <c r="AU328" i="9"/>
  <c r="AS328" i="9" a="1"/>
  <c r="AS328" i="9" s="1"/>
  <c r="AU324" i="9"/>
  <c r="D324" i="9"/>
  <c r="AS324" i="9" a="1"/>
  <c r="AS324" i="9" s="1"/>
  <c r="D320" i="9"/>
  <c r="AU320" i="9"/>
  <c r="AS320" i="9" a="1"/>
  <c r="AS320" i="9" s="1"/>
  <c r="D316" i="9"/>
  <c r="AU316" i="9"/>
  <c r="AS316" i="9" a="1"/>
  <c r="AS316" i="9" s="1"/>
  <c r="D312" i="9"/>
  <c r="AU312" i="9"/>
  <c r="AS312" i="9" a="1"/>
  <c r="AS312" i="9" s="1"/>
  <c r="AU308" i="9"/>
  <c r="D308" i="9"/>
  <c r="AS308" i="9" a="1"/>
  <c r="AS308" i="9" s="1"/>
  <c r="D304" i="9"/>
  <c r="AU304" i="9"/>
  <c r="AS304" i="9" a="1"/>
  <c r="AS304" i="9" s="1"/>
  <c r="D300" i="9"/>
  <c r="AU300" i="9"/>
  <c r="AS300" i="9" a="1"/>
  <c r="AS300" i="9" s="1"/>
  <c r="D296" i="9"/>
  <c r="AU296" i="9"/>
  <c r="AS296" i="9" a="1"/>
  <c r="AS296" i="9" s="1"/>
  <c r="D292" i="9"/>
  <c r="AU292" i="9"/>
  <c r="AS292" i="9" a="1"/>
  <c r="AS292" i="9" s="1"/>
  <c r="D288" i="9"/>
  <c r="AU288" i="9"/>
  <c r="AS288" i="9" a="1"/>
  <c r="AS288" i="9" s="1"/>
  <c r="D284" i="9"/>
  <c r="AU284" i="9"/>
  <c r="AS284" i="9" a="1"/>
  <c r="AS284" i="9" s="1"/>
  <c r="D280" i="9"/>
  <c r="AU280" i="9"/>
  <c r="AS280" i="9" a="1"/>
  <c r="AS280" i="9" s="1"/>
  <c r="D276" i="9"/>
  <c r="AU276" i="9"/>
  <c r="AS276" i="9" a="1"/>
  <c r="AS276" i="9" s="1"/>
  <c r="D272" i="9"/>
  <c r="AU272" i="9"/>
  <c r="AS272" i="9" a="1"/>
  <c r="AS272" i="9" s="1"/>
  <c r="D268" i="9"/>
  <c r="AU268" i="9"/>
  <c r="AS268" i="9" a="1"/>
  <c r="AS268" i="9" s="1"/>
  <c r="D264" i="9"/>
  <c r="AU264" i="9"/>
  <c r="AS264" i="9" a="1"/>
  <c r="AS264" i="9" s="1"/>
  <c r="D260" i="9"/>
  <c r="AU260" i="9"/>
  <c r="AS260" i="9" a="1"/>
  <c r="AS260" i="9" s="1"/>
  <c r="D256" i="9"/>
  <c r="AU256" i="9"/>
  <c r="AS256" i="9" a="1"/>
  <c r="AS256" i="9" s="1"/>
  <c r="D252" i="9"/>
  <c r="AU252" i="9"/>
  <c r="AS252" i="9" a="1"/>
  <c r="AS252" i="9" s="1"/>
  <c r="D248" i="9"/>
  <c r="AU248" i="9"/>
  <c r="AS248" i="9" a="1"/>
  <c r="AS248" i="9" s="1"/>
  <c r="D244" i="9"/>
  <c r="AU244" i="9"/>
  <c r="AS244" i="9" a="1"/>
  <c r="AS244" i="9" s="1"/>
  <c r="D240" i="9"/>
  <c r="AU240" i="9"/>
  <c r="AS240" i="9" a="1"/>
  <c r="AS240" i="9" s="1"/>
  <c r="D236" i="9"/>
  <c r="AU236" i="9"/>
  <c r="AS236" i="9" a="1"/>
  <c r="AS236" i="9" s="1"/>
  <c r="D232" i="9"/>
  <c r="AU232" i="9"/>
  <c r="AS232" i="9" a="1"/>
  <c r="AS232" i="9" s="1"/>
  <c r="D228" i="9"/>
  <c r="AU228" i="9"/>
  <c r="AS228" i="9" a="1"/>
  <c r="AS228" i="9" s="1"/>
  <c r="D224" i="9"/>
  <c r="AU224" i="9"/>
  <c r="AS224" i="9" a="1"/>
  <c r="AS224" i="9" s="1"/>
  <c r="D220" i="9"/>
  <c r="AU220" i="9"/>
  <c r="AS220" i="9" a="1"/>
  <c r="AS220" i="9" s="1"/>
  <c r="D216" i="9"/>
  <c r="AU216" i="9"/>
  <c r="AS216" i="9" a="1"/>
  <c r="AS216" i="9" s="1"/>
  <c r="D212" i="9"/>
  <c r="AU212" i="9"/>
  <c r="AS212" i="9" a="1"/>
  <c r="AS212" i="9" s="1"/>
  <c r="D208" i="9"/>
  <c r="AU208" i="9"/>
  <c r="AS208" i="9" a="1"/>
  <c r="AS208" i="9" s="1"/>
  <c r="D204" i="9"/>
  <c r="AU204" i="9"/>
  <c r="AS204" i="9" a="1"/>
  <c r="AS204" i="9" s="1"/>
  <c r="D200" i="9"/>
  <c r="AU200" i="9"/>
  <c r="AS200" i="9" a="1"/>
  <c r="AS200" i="9" s="1"/>
  <c r="D196" i="9"/>
  <c r="AU196" i="9"/>
  <c r="AS196" i="9" a="1"/>
  <c r="AS196" i="9" s="1"/>
  <c r="D192" i="9"/>
  <c r="AU192" i="9"/>
  <c r="AS192" i="9" a="1"/>
  <c r="AS192" i="9" s="1"/>
  <c r="D188" i="9"/>
  <c r="AU188" i="9"/>
  <c r="AS188" i="9" a="1"/>
  <c r="AS188" i="9" s="1"/>
  <c r="D184" i="9"/>
  <c r="AU184" i="9"/>
  <c r="AS184" i="9" a="1"/>
  <c r="AS184" i="9" s="1"/>
  <c r="AU180" i="9"/>
  <c r="D180" i="9"/>
  <c r="AS180" i="9" a="1"/>
  <c r="AS180" i="9" s="1"/>
  <c r="D176" i="9"/>
  <c r="AU176" i="9"/>
  <c r="AS176" i="9" a="1"/>
  <c r="AS176" i="9" s="1"/>
  <c r="D172" i="9"/>
  <c r="AU172" i="9"/>
  <c r="AS172" i="9" a="1"/>
  <c r="AS172" i="9" s="1"/>
  <c r="D168" i="9"/>
  <c r="AU168" i="9"/>
  <c r="AS168" i="9" a="1"/>
  <c r="AS168" i="9" s="1"/>
  <c r="D164" i="9"/>
  <c r="AU164" i="9"/>
  <c r="AS164" i="9" a="1"/>
  <c r="AS164" i="9" s="1"/>
  <c r="D160" i="9"/>
  <c r="AU160" i="9"/>
  <c r="AS160" i="9" a="1"/>
  <c r="AS160" i="9" s="1"/>
  <c r="AU156" i="9"/>
  <c r="D156" i="9"/>
  <c r="AS156" i="9" a="1"/>
  <c r="AS156" i="9" s="1"/>
  <c r="D152" i="9"/>
  <c r="AU152" i="9"/>
  <c r="AS152" i="9" a="1"/>
  <c r="AS152" i="9" s="1"/>
  <c r="AU148" i="9"/>
  <c r="D148" i="9"/>
  <c r="AS148" i="9" a="1"/>
  <c r="AS148" i="9" s="1"/>
  <c r="D144" i="9"/>
  <c r="AU144" i="9"/>
  <c r="AS144" i="9" a="1"/>
  <c r="AS144" i="9" s="1"/>
  <c r="D140" i="9"/>
  <c r="AU140" i="9"/>
  <c r="AS140" i="9" a="1"/>
  <c r="AS140" i="9" s="1"/>
  <c r="D136" i="9"/>
  <c r="AU136" i="9"/>
  <c r="AS136" i="9" a="1"/>
  <c r="AS136" i="9" s="1"/>
  <c r="AU132" i="9"/>
  <c r="D132" i="9"/>
  <c r="AS132" i="9" a="1"/>
  <c r="AS132" i="9" s="1"/>
  <c r="AU128" i="9"/>
  <c r="D128" i="9"/>
  <c r="AS128" i="9" a="1"/>
  <c r="AS128" i="9" s="1"/>
  <c r="AU124" i="9"/>
  <c r="D124" i="9"/>
  <c r="AS124" i="9" a="1"/>
  <c r="AS124" i="9" s="1"/>
  <c r="D120" i="9"/>
  <c r="AU120" i="9"/>
  <c r="AS120" i="9" a="1"/>
  <c r="AS120" i="9" s="1"/>
  <c r="D116" i="9"/>
  <c r="AU116" i="9"/>
  <c r="AS116" i="9" a="1"/>
  <c r="AS116" i="9" s="1"/>
  <c r="D112" i="9"/>
  <c r="AU112" i="9"/>
  <c r="AS112" i="9" a="1"/>
  <c r="AS112" i="9" s="1"/>
  <c r="AU108" i="9"/>
  <c r="D108" i="9"/>
  <c r="AS108" i="9" a="1"/>
  <c r="AS108" i="9" s="1"/>
  <c r="D104" i="9"/>
  <c r="AU104" i="9"/>
  <c r="AS104" i="9" a="1"/>
  <c r="AS104" i="9" s="1"/>
  <c r="AU100" i="9"/>
  <c r="D100" i="9"/>
  <c r="AS100" i="9" a="1"/>
  <c r="AS100" i="9" s="1"/>
  <c r="D96" i="9"/>
  <c r="AU96" i="9"/>
  <c r="AS96" i="9" a="1"/>
  <c r="AS96" i="9" s="1"/>
  <c r="AU92" i="9"/>
  <c r="D92" i="9"/>
  <c r="AS92" i="9" a="1"/>
  <c r="AS92" i="9" s="1"/>
  <c r="D88" i="9"/>
  <c r="AU88" i="9"/>
  <c r="AS88" i="9" a="1"/>
  <c r="AS88" i="9" s="1"/>
  <c r="D84" i="9"/>
  <c r="AU84" i="9"/>
  <c r="AS84" i="9" a="1"/>
  <c r="AS84" i="9" s="1"/>
  <c r="D80" i="9"/>
  <c r="AU80" i="9"/>
  <c r="AS80" i="9" a="1"/>
  <c r="AS80" i="9" s="1"/>
  <c r="D76" i="9"/>
  <c r="AU76" i="9"/>
  <c r="AS76" i="9" a="1"/>
  <c r="AS76" i="9" s="1"/>
  <c r="D72" i="9"/>
  <c r="AU72" i="9"/>
  <c r="AS72" i="9" a="1"/>
  <c r="AS72" i="9" s="1"/>
  <c r="D68" i="9"/>
  <c r="AU68" i="9"/>
  <c r="AS68" i="9" a="1"/>
  <c r="AS68" i="9" s="1"/>
  <c r="D64" i="9"/>
  <c r="AU64" i="9"/>
  <c r="AS64" i="9" a="1"/>
  <c r="AS64" i="9" s="1"/>
  <c r="AU60" i="9"/>
  <c r="D60" i="9"/>
  <c r="AS60" i="9" a="1"/>
  <c r="AS60" i="9" s="1"/>
  <c r="D56" i="9"/>
  <c r="AU56" i="9"/>
  <c r="AS56" i="9" a="1"/>
  <c r="AS56" i="9" s="1"/>
  <c r="AU52" i="9"/>
  <c r="D52" i="9"/>
  <c r="AS52" i="9" a="1"/>
  <c r="AS52" i="9" s="1"/>
  <c r="D48" i="9"/>
  <c r="AU48" i="9"/>
  <c r="AS48" i="9" a="1"/>
  <c r="AS48" i="9" s="1"/>
  <c r="AU44" i="9"/>
  <c r="D44" i="9"/>
  <c r="AS44" i="9" a="1"/>
  <c r="AS44" i="9" s="1"/>
  <c r="D40" i="9"/>
  <c r="AU40" i="9"/>
  <c r="AS40" i="9" a="1"/>
  <c r="AS40" i="9" s="1"/>
  <c r="AU36" i="9"/>
  <c r="D36" i="9"/>
  <c r="AS36" i="9" a="1"/>
  <c r="AS36" i="9" s="1"/>
  <c r="AU32" i="9"/>
  <c r="D32" i="9"/>
  <c r="AS32" i="9" a="1"/>
  <c r="AS32" i="9" s="1"/>
  <c r="AU28" i="9"/>
  <c r="D28" i="9"/>
  <c r="AS28" i="9" a="1"/>
  <c r="AS28" i="9" s="1"/>
  <c r="AU20" i="9"/>
  <c r="D20" i="9"/>
  <c r="AS20" i="9" a="1"/>
  <c r="AS20" i="9" s="1"/>
  <c r="D16" i="9"/>
  <c r="AU16" i="9"/>
  <c r="AS16" i="9" a="1"/>
  <c r="AS16" i="9" s="1"/>
  <c r="AX16" i="9" s="1"/>
  <c r="D12" i="9"/>
  <c r="AV12" i="9" s="1"/>
  <c r="AU12" i="9"/>
  <c r="AU10" i="9"/>
  <c r="D10" i="9"/>
  <c r="AV10" i="9" s="1"/>
  <c r="AS10" i="9" a="1"/>
  <c r="AS10" i="9" s="1"/>
  <c r="AU8" i="9"/>
  <c r="D8" i="9"/>
  <c r="AV8" i="9" s="1"/>
  <c r="AU24" i="9"/>
  <c r="D24" i="9"/>
  <c r="AS24" i="9" a="1"/>
  <c r="AS24" i="9" s="1"/>
  <c r="AX24" i="9" s="1"/>
  <c r="AV36" i="9"/>
  <c r="AX749" i="9"/>
  <c r="AV749" i="9"/>
  <c r="AX741" i="9"/>
  <c r="AV741" i="9"/>
  <c r="AV737" i="9"/>
  <c r="AX737" i="9"/>
  <c r="AX729" i="9"/>
  <c r="AV729" i="9"/>
  <c r="AV721" i="9"/>
  <c r="AX721" i="9"/>
  <c r="AX713" i="9"/>
  <c r="AV713" i="9"/>
  <c r="AX709" i="9"/>
  <c r="AV709" i="9"/>
  <c r="AX701" i="9"/>
  <c r="AV701" i="9"/>
  <c r="AV693" i="9"/>
  <c r="AX693" i="9"/>
  <c r="AV685" i="9"/>
  <c r="AX685" i="9"/>
  <c r="AX677" i="9"/>
  <c r="AV677" i="9"/>
  <c r="AV673" i="9"/>
  <c r="AX673" i="9"/>
  <c r="AX665" i="9"/>
  <c r="AV665" i="9"/>
  <c r="AV657" i="9"/>
  <c r="AX657" i="9"/>
  <c r="AX649" i="9"/>
  <c r="AV649" i="9"/>
  <c r="AV641" i="9"/>
  <c r="AX641" i="9"/>
  <c r="AX637" i="9"/>
  <c r="AV637" i="9"/>
  <c r="AV629" i="9"/>
  <c r="AX629" i="9"/>
  <c r="AX621" i="9"/>
  <c r="AV621" i="9"/>
  <c r="AV613" i="9"/>
  <c r="AX613" i="9"/>
  <c r="AV605" i="9"/>
  <c r="AX605" i="9"/>
  <c r="AX597" i="9"/>
  <c r="AV597" i="9"/>
  <c r="AV593" i="9"/>
  <c r="AX593" i="9"/>
  <c r="AX585" i="9"/>
  <c r="AV585" i="9"/>
  <c r="AV577" i="9"/>
  <c r="AX577" i="9"/>
  <c r="AV573" i="9"/>
  <c r="AX573" i="9"/>
  <c r="AX565" i="9"/>
  <c r="AV565" i="9"/>
  <c r="AX557" i="9"/>
  <c r="AV557" i="9"/>
  <c r="AX553" i="9"/>
  <c r="AV553" i="9"/>
  <c r="AV545" i="9"/>
  <c r="AX545" i="9"/>
  <c r="AV541" i="9"/>
  <c r="AX541" i="9"/>
  <c r="AX533" i="9"/>
  <c r="AV533" i="9"/>
  <c r="AX525" i="9"/>
  <c r="AV525" i="9"/>
  <c r="AV517" i="9"/>
  <c r="AX517" i="9"/>
  <c r="AV513" i="9"/>
  <c r="AX513" i="9"/>
  <c r="AX505" i="9"/>
  <c r="AV505" i="9"/>
  <c r="AV497" i="9"/>
  <c r="AX497" i="9"/>
  <c r="AX489" i="9"/>
  <c r="AV489" i="9"/>
  <c r="AV481" i="9"/>
  <c r="AX481" i="9"/>
  <c r="AX477" i="9"/>
  <c r="AV477" i="9"/>
  <c r="AX469" i="9"/>
  <c r="AV469" i="9"/>
  <c r="AX461" i="9"/>
  <c r="AV461" i="9"/>
  <c r="AX453" i="9"/>
  <c r="AV453" i="9"/>
  <c r="AX445" i="9"/>
  <c r="AV445" i="9"/>
  <c r="AX437" i="9"/>
  <c r="AV437" i="9"/>
  <c r="AX429" i="9"/>
  <c r="AV429" i="9"/>
  <c r="AX421" i="9"/>
  <c r="AV421" i="9"/>
  <c r="AX413" i="9"/>
  <c r="AV413" i="9"/>
  <c r="AX405" i="9"/>
  <c r="AV405" i="9"/>
  <c r="AX397" i="9"/>
  <c r="AV397" i="9"/>
  <c r="AX389" i="9"/>
  <c r="AV389" i="9"/>
  <c r="AX381" i="9"/>
  <c r="AV381" i="9"/>
  <c r="AX373" i="9"/>
  <c r="AV373" i="9"/>
  <c r="AX365" i="9"/>
  <c r="AV365" i="9"/>
  <c r="AX357" i="9"/>
  <c r="AV357" i="9"/>
  <c r="AX349" i="9"/>
  <c r="AV349" i="9"/>
  <c r="AX341" i="9"/>
  <c r="AV341" i="9"/>
  <c r="AX333" i="9"/>
  <c r="AV333" i="9"/>
  <c r="AX329" i="9"/>
  <c r="AV329" i="9"/>
  <c r="AX321" i="9"/>
  <c r="AV321" i="9"/>
  <c r="AX313" i="9"/>
  <c r="AV313" i="9"/>
  <c r="AX305" i="9"/>
  <c r="AV305" i="9"/>
  <c r="AX297" i="9"/>
  <c r="AV297" i="9"/>
  <c r="AX289" i="9"/>
  <c r="AV289" i="9"/>
  <c r="AX281" i="9"/>
  <c r="AV281" i="9"/>
  <c r="AX273" i="9"/>
  <c r="AV273" i="9"/>
  <c r="AX265" i="9"/>
  <c r="AV265" i="9"/>
  <c r="AX257" i="9"/>
  <c r="AV257" i="9"/>
  <c r="AX253" i="9"/>
  <c r="AV253" i="9"/>
  <c r="AX245" i="9"/>
  <c r="AV245" i="9"/>
  <c r="AX237" i="9"/>
  <c r="AV237" i="9"/>
  <c r="AX229" i="9"/>
  <c r="AV229" i="9"/>
  <c r="AX213" i="9"/>
  <c r="AV213" i="9"/>
  <c r="AX747" i="9"/>
  <c r="AV747" i="9"/>
  <c r="AX743" i="9"/>
  <c r="AV743" i="9"/>
  <c r="AX739" i="9"/>
  <c r="AV739" i="9"/>
  <c r="AX735" i="9"/>
  <c r="AV735" i="9"/>
  <c r="AX731" i="9"/>
  <c r="AV731" i="9"/>
  <c r="AX727" i="9"/>
  <c r="AV727" i="9"/>
  <c r="AX723" i="9"/>
  <c r="AV723" i="9"/>
  <c r="AX719" i="9"/>
  <c r="AV719" i="9"/>
  <c r="AX715" i="9"/>
  <c r="AV715" i="9"/>
  <c r="AX711" i="9"/>
  <c r="AV711" i="9"/>
  <c r="AX707" i="9"/>
  <c r="AV707" i="9"/>
  <c r="AX703" i="9"/>
  <c r="AV703" i="9"/>
  <c r="AX699" i="9"/>
  <c r="AV699" i="9"/>
  <c r="AX695" i="9"/>
  <c r="AV695" i="9"/>
  <c r="AX691" i="9"/>
  <c r="AV691" i="9"/>
  <c r="AX687" i="9"/>
  <c r="AV687" i="9"/>
  <c r="AX683" i="9"/>
  <c r="AV683" i="9"/>
  <c r="AX679" i="9"/>
  <c r="AV679" i="9"/>
  <c r="AX675" i="9"/>
  <c r="AV675" i="9"/>
  <c r="AX671" i="9"/>
  <c r="AV671" i="9"/>
  <c r="AX667" i="9"/>
  <c r="AV667" i="9"/>
  <c r="AX663" i="9"/>
  <c r="AV663" i="9"/>
  <c r="AX659" i="9"/>
  <c r="AV659" i="9"/>
  <c r="AX655" i="9"/>
  <c r="AV655" i="9"/>
  <c r="AX651" i="9"/>
  <c r="AV651" i="9"/>
  <c r="AX647" i="9"/>
  <c r="AV647" i="9"/>
  <c r="AX643" i="9"/>
  <c r="AV643" i="9"/>
  <c r="AX639" i="9"/>
  <c r="AV639" i="9"/>
  <c r="AX635" i="9"/>
  <c r="AV635" i="9"/>
  <c r="AX631" i="9"/>
  <c r="AV631" i="9"/>
  <c r="AX627" i="9"/>
  <c r="AV627" i="9"/>
  <c r="AX623" i="9"/>
  <c r="AV623" i="9"/>
  <c r="AX619" i="9"/>
  <c r="AV619" i="9"/>
  <c r="AX615" i="9"/>
  <c r="AV615" i="9"/>
  <c r="AX611" i="9"/>
  <c r="AV611" i="9"/>
  <c r="AX607" i="9"/>
  <c r="AV607" i="9"/>
  <c r="AX603" i="9"/>
  <c r="AV603" i="9"/>
  <c r="AX599" i="9"/>
  <c r="AV599" i="9"/>
  <c r="AX595" i="9"/>
  <c r="AV595" i="9"/>
  <c r="AX591" i="9"/>
  <c r="AV591" i="9"/>
  <c r="AX587" i="9"/>
  <c r="AV587" i="9"/>
  <c r="AX583" i="9"/>
  <c r="AV583" i="9"/>
  <c r="AX579" i="9"/>
  <c r="AV579" i="9"/>
  <c r="AX575" i="9"/>
  <c r="AV575" i="9"/>
  <c r="AX571" i="9"/>
  <c r="AV571" i="9"/>
  <c r="AX567" i="9"/>
  <c r="AV567" i="9"/>
  <c r="AX563" i="9"/>
  <c r="AV563" i="9"/>
  <c r="AX559" i="9"/>
  <c r="AV559" i="9"/>
  <c r="AX555" i="9"/>
  <c r="AV555" i="9"/>
  <c r="AX551" i="9"/>
  <c r="AV551" i="9"/>
  <c r="AX547" i="9"/>
  <c r="AV547" i="9"/>
  <c r="AX543" i="9"/>
  <c r="AV543" i="9"/>
  <c r="AX539" i="9"/>
  <c r="AV539" i="9"/>
  <c r="AX535" i="9"/>
  <c r="AV535" i="9"/>
  <c r="AX531" i="9"/>
  <c r="AV531" i="9"/>
  <c r="AX527" i="9"/>
  <c r="AV527" i="9"/>
  <c r="AX523" i="9"/>
  <c r="AV523" i="9"/>
  <c r="AX519" i="9"/>
  <c r="AV519" i="9"/>
  <c r="AX515" i="9"/>
  <c r="AV515" i="9"/>
  <c r="AX511" i="9"/>
  <c r="AV511" i="9"/>
  <c r="AX507" i="9"/>
  <c r="AV507" i="9"/>
  <c r="AX503" i="9"/>
  <c r="AV503" i="9"/>
  <c r="AX499" i="9"/>
  <c r="AV499" i="9"/>
  <c r="AX495" i="9"/>
  <c r="AV495" i="9"/>
  <c r="AX491" i="9"/>
  <c r="AV491" i="9"/>
  <c r="AX487" i="9"/>
  <c r="AV487" i="9"/>
  <c r="AX483" i="9"/>
  <c r="AV483" i="9"/>
  <c r="AX479" i="9"/>
  <c r="AV479" i="9"/>
  <c r="AX475" i="9"/>
  <c r="AV475" i="9"/>
  <c r="AX471" i="9"/>
  <c r="AV471" i="9"/>
  <c r="AX467" i="9"/>
  <c r="AV467" i="9"/>
  <c r="AX463" i="9"/>
  <c r="AV463" i="9"/>
  <c r="AX459" i="9"/>
  <c r="AV459" i="9"/>
  <c r="AX455" i="9"/>
  <c r="AV455" i="9"/>
  <c r="AX451" i="9"/>
  <c r="AV451" i="9"/>
  <c r="AX447" i="9"/>
  <c r="AV447" i="9"/>
  <c r="AX443" i="9"/>
  <c r="AV443" i="9"/>
  <c r="AX439" i="9"/>
  <c r="AV439" i="9"/>
  <c r="AX435" i="9"/>
  <c r="AV435" i="9"/>
  <c r="AX431" i="9"/>
  <c r="AV431" i="9"/>
  <c r="AX427" i="9"/>
  <c r="AV427" i="9"/>
  <c r="AX423" i="9"/>
  <c r="AV423" i="9"/>
  <c r="AX419" i="9"/>
  <c r="AV419" i="9"/>
  <c r="AX415" i="9"/>
  <c r="AV415" i="9"/>
  <c r="AX411" i="9"/>
  <c r="AV411" i="9"/>
  <c r="AX407" i="9"/>
  <c r="AV407" i="9"/>
  <c r="AX403" i="9"/>
  <c r="AV403" i="9"/>
  <c r="AX399" i="9"/>
  <c r="AV399" i="9"/>
  <c r="AX395" i="9"/>
  <c r="AV395" i="9"/>
  <c r="AX391" i="9"/>
  <c r="AV391" i="9"/>
  <c r="AX387" i="9"/>
  <c r="AV387" i="9"/>
  <c r="AX383" i="9"/>
  <c r="AV383" i="9"/>
  <c r="AX379" i="9"/>
  <c r="AV379" i="9"/>
  <c r="AX375" i="9"/>
  <c r="AV375" i="9"/>
  <c r="AX371" i="9"/>
  <c r="AV371" i="9"/>
  <c r="AX367" i="9"/>
  <c r="AV367" i="9"/>
  <c r="AX363" i="9"/>
  <c r="AV363" i="9"/>
  <c r="AX359" i="9"/>
  <c r="AV359" i="9"/>
  <c r="AX355" i="9"/>
  <c r="AV355" i="9"/>
  <c r="AX351" i="9"/>
  <c r="AV351" i="9"/>
  <c r="AX347" i="9"/>
  <c r="AV347" i="9"/>
  <c r="AX343" i="9"/>
  <c r="AV343" i="9"/>
  <c r="AX339" i="9"/>
  <c r="AV339" i="9"/>
  <c r="AX335" i="9"/>
  <c r="AV335" i="9"/>
  <c r="AX331" i="9"/>
  <c r="AV331" i="9"/>
  <c r="AX327" i="9"/>
  <c r="AV327" i="9"/>
  <c r="AX323" i="9"/>
  <c r="AV323" i="9"/>
  <c r="AX319" i="9"/>
  <c r="AV319" i="9"/>
  <c r="AX315" i="9"/>
  <c r="AV315" i="9"/>
  <c r="AX311" i="9"/>
  <c r="AV311" i="9"/>
  <c r="AX307" i="9"/>
  <c r="AV307" i="9"/>
  <c r="AX303" i="9"/>
  <c r="AV303" i="9"/>
  <c r="AX299" i="9"/>
  <c r="AV299" i="9"/>
  <c r="AX295" i="9"/>
  <c r="AV295" i="9"/>
  <c r="AX291" i="9"/>
  <c r="AV291" i="9"/>
  <c r="AX287" i="9"/>
  <c r="AV287" i="9"/>
  <c r="AX283" i="9"/>
  <c r="AV283" i="9"/>
  <c r="AX279" i="9"/>
  <c r="AV279" i="9"/>
  <c r="AX275" i="9"/>
  <c r="AV275" i="9"/>
  <c r="AX271" i="9"/>
  <c r="AV271" i="9"/>
  <c r="AX267" i="9"/>
  <c r="AV267" i="9"/>
  <c r="AX263" i="9"/>
  <c r="AV263" i="9"/>
  <c r="AX259" i="9"/>
  <c r="AV259" i="9"/>
  <c r="AX255" i="9"/>
  <c r="AV255" i="9"/>
  <c r="AX251" i="9"/>
  <c r="AV251" i="9"/>
  <c r="AX247" i="9"/>
  <c r="AV247" i="9"/>
  <c r="AX243" i="9"/>
  <c r="AV243" i="9"/>
  <c r="AX239" i="9"/>
  <c r="AV239" i="9"/>
  <c r="AX235" i="9"/>
  <c r="AV235" i="9"/>
  <c r="AX231" i="9"/>
  <c r="AV231" i="9"/>
  <c r="AX227" i="9"/>
  <c r="AV227" i="9"/>
  <c r="AX223" i="9"/>
  <c r="AV223" i="9"/>
  <c r="AX219" i="9"/>
  <c r="AV219" i="9"/>
  <c r="AX215" i="9"/>
  <c r="AV215" i="9"/>
  <c r="AX211" i="9"/>
  <c r="AV211" i="9"/>
  <c r="AX207" i="9"/>
  <c r="AV207" i="9"/>
  <c r="AX203" i="9"/>
  <c r="AV203" i="9"/>
  <c r="AX199" i="9"/>
  <c r="AV199" i="9"/>
  <c r="AX195" i="9"/>
  <c r="AV195" i="9"/>
  <c r="AX191" i="9"/>
  <c r="AV191" i="9"/>
  <c r="AX187" i="9"/>
  <c r="AV187" i="9"/>
  <c r="AX183" i="9"/>
  <c r="AV183" i="9"/>
  <c r="AV111" i="9"/>
  <c r="AX111" i="9"/>
  <c r="AV107" i="9"/>
  <c r="AX107" i="9"/>
  <c r="AV103" i="9"/>
  <c r="AX103" i="9"/>
  <c r="AV99" i="9"/>
  <c r="AX99" i="9"/>
  <c r="AV95" i="9"/>
  <c r="AX95" i="9"/>
  <c r="AV91" i="9"/>
  <c r="AX91" i="9"/>
  <c r="AV87" i="9"/>
  <c r="AX87" i="9"/>
  <c r="AV83" i="9"/>
  <c r="AX83" i="9"/>
  <c r="AV79" i="9"/>
  <c r="AX79" i="9"/>
  <c r="AV75" i="9"/>
  <c r="AX75" i="9"/>
  <c r="AV71" i="9"/>
  <c r="AX71" i="9"/>
  <c r="AV67" i="9"/>
  <c r="AX67" i="9"/>
  <c r="AV63" i="9"/>
  <c r="AX63" i="9"/>
  <c r="AV59" i="9"/>
  <c r="AX59" i="9"/>
  <c r="AV55" i="9"/>
  <c r="AX55" i="9"/>
  <c r="AX51" i="9"/>
  <c r="AV51" i="9"/>
  <c r="AV47" i="9"/>
  <c r="AX47" i="9"/>
  <c r="AV43" i="9"/>
  <c r="AX43" i="9"/>
  <c r="AV39" i="9"/>
  <c r="AX39" i="9"/>
  <c r="AX35" i="9"/>
  <c r="AV35" i="9"/>
  <c r="AX31" i="9"/>
  <c r="AV31" i="9"/>
  <c r="AX27" i="9"/>
  <c r="AV27" i="9"/>
  <c r="AV23" i="9"/>
  <c r="AX23" i="9"/>
  <c r="AV19" i="9"/>
  <c r="AX19" i="9"/>
  <c r="AV15" i="9"/>
  <c r="AV11" i="9"/>
  <c r="AX750" i="9"/>
  <c r="AV750" i="9"/>
  <c r="AX746" i="9"/>
  <c r="AV746" i="9"/>
  <c r="AX742" i="9"/>
  <c r="AV742" i="9"/>
  <c r="AX738" i="9"/>
  <c r="AV738" i="9"/>
  <c r="AX734" i="9"/>
  <c r="AV734" i="9"/>
  <c r="AX730" i="9"/>
  <c r="AV730" i="9"/>
  <c r="AX726" i="9"/>
  <c r="AV726" i="9"/>
  <c r="AX722" i="9"/>
  <c r="AV722" i="9"/>
  <c r="AX718" i="9"/>
  <c r="AV718" i="9"/>
  <c r="AX714" i="9"/>
  <c r="AV714" i="9"/>
  <c r="AX710" i="9"/>
  <c r="AV710" i="9"/>
  <c r="AX706" i="9"/>
  <c r="AV706" i="9"/>
  <c r="AX702" i="9"/>
  <c r="AV702" i="9"/>
  <c r="AX698" i="9"/>
  <c r="AV698" i="9"/>
  <c r="AX694" i="9"/>
  <c r="AV694" i="9"/>
  <c r="AX690" i="9"/>
  <c r="AV690" i="9"/>
  <c r="AX686" i="9"/>
  <c r="AV686" i="9"/>
  <c r="AX682" i="9"/>
  <c r="AV682" i="9"/>
  <c r="AX678" i="9"/>
  <c r="AV678" i="9"/>
  <c r="AX674" i="9"/>
  <c r="AV674" i="9"/>
  <c r="AX670" i="9"/>
  <c r="AV670" i="9"/>
  <c r="AX666" i="9"/>
  <c r="AV666" i="9"/>
  <c r="AX662" i="9"/>
  <c r="AV662" i="9"/>
  <c r="AX658" i="9"/>
  <c r="AV658" i="9"/>
  <c r="AX654" i="9"/>
  <c r="AV654" i="9"/>
  <c r="AX650" i="9"/>
  <c r="AV650" i="9"/>
  <c r="AX646" i="9"/>
  <c r="AV646" i="9"/>
  <c r="AX642" i="9"/>
  <c r="AV642" i="9"/>
  <c r="AX638" i="9"/>
  <c r="AV638" i="9"/>
  <c r="AX634" i="9"/>
  <c r="AV634" i="9"/>
  <c r="AX630" i="9"/>
  <c r="AV630" i="9"/>
  <c r="AX626" i="9"/>
  <c r="AV626" i="9"/>
  <c r="AX622" i="9"/>
  <c r="AV622" i="9"/>
  <c r="AX618" i="9"/>
  <c r="AV618" i="9"/>
  <c r="AX614" i="9"/>
  <c r="AV614" i="9"/>
  <c r="AX610" i="9"/>
  <c r="AV610" i="9"/>
  <c r="AX606" i="9"/>
  <c r="AV606" i="9"/>
  <c r="AX602" i="9"/>
  <c r="AV602" i="9"/>
  <c r="AX598" i="9"/>
  <c r="AV598" i="9"/>
  <c r="AX594" i="9"/>
  <c r="AV594" i="9"/>
  <c r="AX590" i="9"/>
  <c r="AV590" i="9"/>
  <c r="AX586" i="9"/>
  <c r="AV586" i="9"/>
  <c r="AX582" i="9"/>
  <c r="AV582" i="9"/>
  <c r="AX578" i="9"/>
  <c r="AV578" i="9"/>
  <c r="AX574" i="9"/>
  <c r="AV574" i="9"/>
  <c r="AX570" i="9"/>
  <c r="AV570" i="9"/>
  <c r="AX566" i="9"/>
  <c r="AV566" i="9"/>
  <c r="AX562" i="9"/>
  <c r="AV562" i="9"/>
  <c r="AX558" i="9"/>
  <c r="AV558" i="9"/>
  <c r="AX554" i="9"/>
  <c r="AV554" i="9"/>
  <c r="AX550" i="9"/>
  <c r="AV550" i="9"/>
  <c r="AX546" i="9"/>
  <c r="AV546" i="9"/>
  <c r="AX542" i="9"/>
  <c r="AV542" i="9"/>
  <c r="AX538" i="9"/>
  <c r="AV538" i="9"/>
  <c r="AX534" i="9"/>
  <c r="AV534" i="9"/>
  <c r="AX530" i="9"/>
  <c r="AV530" i="9"/>
  <c r="AX526" i="9"/>
  <c r="AV526" i="9"/>
  <c r="AX522" i="9"/>
  <c r="AV522" i="9"/>
  <c r="AX518" i="9"/>
  <c r="AV518" i="9"/>
  <c r="AX514" i="9"/>
  <c r="AV514" i="9"/>
  <c r="AX510" i="9"/>
  <c r="AV510" i="9"/>
  <c r="AX506" i="9"/>
  <c r="AV506" i="9"/>
  <c r="AX502" i="9"/>
  <c r="AV502" i="9"/>
  <c r="AX498" i="9"/>
  <c r="AV498" i="9"/>
  <c r="AX494" i="9"/>
  <c r="AV494" i="9"/>
  <c r="AX490" i="9"/>
  <c r="AV490" i="9"/>
  <c r="AX486" i="9"/>
  <c r="AV486" i="9"/>
  <c r="AX482" i="9"/>
  <c r="AV482" i="9"/>
  <c r="AX478" i="9"/>
  <c r="AV478" i="9"/>
  <c r="AX474" i="9"/>
  <c r="AV474" i="9"/>
  <c r="AX470" i="9"/>
  <c r="AV470" i="9"/>
  <c r="AX466" i="9"/>
  <c r="AV466" i="9"/>
  <c r="AX462" i="9"/>
  <c r="AV462" i="9"/>
  <c r="AX458" i="9"/>
  <c r="AV458" i="9"/>
  <c r="AX454" i="9"/>
  <c r="AV454" i="9"/>
  <c r="AX450" i="9"/>
  <c r="AV450" i="9"/>
  <c r="AX446" i="9"/>
  <c r="AV446" i="9"/>
  <c r="AX442" i="9"/>
  <c r="AV442" i="9"/>
  <c r="AX438" i="9"/>
  <c r="AV438" i="9"/>
  <c r="AX434" i="9"/>
  <c r="AV434" i="9"/>
  <c r="AX430" i="9"/>
  <c r="AV430" i="9"/>
  <c r="AX426" i="9"/>
  <c r="AV426" i="9"/>
  <c r="AX422" i="9"/>
  <c r="AV422" i="9"/>
  <c r="AX418" i="9"/>
  <c r="AV418" i="9"/>
  <c r="AX414" i="9"/>
  <c r="AV414" i="9"/>
  <c r="AX410" i="9"/>
  <c r="AV410" i="9"/>
  <c r="AX406" i="9"/>
  <c r="AV406" i="9"/>
  <c r="AX402" i="9"/>
  <c r="AV402" i="9"/>
  <c r="AX398" i="9"/>
  <c r="AV398" i="9"/>
  <c r="AX394" i="9"/>
  <c r="AV394" i="9"/>
  <c r="AX390" i="9"/>
  <c r="AV390" i="9"/>
  <c r="AX386" i="9"/>
  <c r="AV386" i="9"/>
  <c r="AX382" i="9"/>
  <c r="AV382" i="9"/>
  <c r="AX378" i="9"/>
  <c r="AV378" i="9"/>
  <c r="AX374" i="9"/>
  <c r="AV374" i="9"/>
  <c r="AX370" i="9"/>
  <c r="AV370" i="9"/>
  <c r="AV366" i="9"/>
  <c r="AX366" i="9"/>
  <c r="AX362" i="9"/>
  <c r="AV362" i="9"/>
  <c r="AV358" i="9"/>
  <c r="AX358" i="9"/>
  <c r="AX354" i="9"/>
  <c r="AV354" i="9"/>
  <c r="AV350" i="9"/>
  <c r="AX350" i="9"/>
  <c r="AX346" i="9"/>
  <c r="AV346" i="9"/>
  <c r="AV342" i="9"/>
  <c r="AX342" i="9"/>
  <c r="AX338" i="9"/>
  <c r="AV338" i="9"/>
  <c r="AV334" i="9"/>
  <c r="AX334" i="9"/>
  <c r="AX330" i="9"/>
  <c r="AV330" i="9"/>
  <c r="AV326" i="9"/>
  <c r="AX326" i="9"/>
  <c r="AX322" i="9"/>
  <c r="AV322" i="9"/>
  <c r="AV318" i="9"/>
  <c r="AX318" i="9"/>
  <c r="AX314" i="9"/>
  <c r="AV314" i="9"/>
  <c r="AV310" i="9"/>
  <c r="AX310" i="9"/>
  <c r="AX306" i="9"/>
  <c r="AV306" i="9"/>
  <c r="AV302" i="9"/>
  <c r="AX302" i="9"/>
  <c r="AX298" i="9"/>
  <c r="AV298" i="9"/>
  <c r="AV294" i="9"/>
  <c r="AX294" i="9"/>
  <c r="AX290" i="9"/>
  <c r="AV290" i="9"/>
  <c r="AV286" i="9"/>
  <c r="AX286" i="9"/>
  <c r="AX282" i="9"/>
  <c r="AV282" i="9"/>
  <c r="AV278" i="9"/>
  <c r="AX278" i="9"/>
  <c r="AX274" i="9"/>
  <c r="AV274" i="9"/>
  <c r="AV270" i="9"/>
  <c r="AX270" i="9"/>
  <c r="AX266" i="9"/>
  <c r="AV266" i="9"/>
  <c r="AV262" i="9"/>
  <c r="AX262" i="9"/>
  <c r="AX258" i="9"/>
  <c r="AV258" i="9"/>
  <c r="AV254" i="9"/>
  <c r="AX254" i="9"/>
  <c r="AX250" i="9"/>
  <c r="AV250" i="9"/>
  <c r="AV246" i="9"/>
  <c r="AX246" i="9"/>
  <c r="AX242" i="9"/>
  <c r="AV242" i="9"/>
  <c r="AV238" i="9"/>
  <c r="AX238" i="9"/>
  <c r="AX234" i="9"/>
  <c r="AV234" i="9"/>
  <c r="AV230" i="9"/>
  <c r="AX230" i="9"/>
  <c r="AX226" i="9"/>
  <c r="AV226" i="9"/>
  <c r="AV222" i="9"/>
  <c r="AX222" i="9"/>
  <c r="AX218" i="9"/>
  <c r="AV218" i="9"/>
  <c r="AV214" i="9"/>
  <c r="AX214" i="9"/>
  <c r="AX210" i="9"/>
  <c r="AV210" i="9"/>
  <c r="AV206" i="9"/>
  <c r="AX206" i="9"/>
  <c r="AX202" i="9"/>
  <c r="AV202" i="9"/>
  <c r="AV198" i="9"/>
  <c r="AX198" i="9"/>
  <c r="AX194" i="9"/>
  <c r="AV194" i="9"/>
  <c r="AV190" i="9"/>
  <c r="AX190" i="9"/>
  <c r="AX186" i="9"/>
  <c r="AV186" i="9"/>
  <c r="AX110" i="9"/>
  <c r="AV110" i="9"/>
  <c r="AX106" i="9"/>
  <c r="AV106" i="9"/>
  <c r="AX102" i="9"/>
  <c r="AV102" i="9"/>
  <c r="AX98" i="9"/>
  <c r="AV98" i="9"/>
  <c r="AX94" i="9"/>
  <c r="AV94" i="9"/>
  <c r="AX90" i="9"/>
  <c r="AV90" i="9"/>
  <c r="AX86" i="9"/>
  <c r="AV86" i="9"/>
  <c r="AX82" i="9"/>
  <c r="AV82" i="9"/>
  <c r="AX78" i="9"/>
  <c r="AV78" i="9"/>
  <c r="AX74" i="9"/>
  <c r="AV74" i="9"/>
  <c r="AX70" i="9"/>
  <c r="AV70" i="9"/>
  <c r="AX66" i="9"/>
  <c r="AV66" i="9"/>
  <c r="AX62" i="9"/>
  <c r="AV62" i="9"/>
  <c r="AX58" i="9"/>
  <c r="AV58" i="9"/>
  <c r="AX54" i="9"/>
  <c r="AV54" i="9"/>
  <c r="AV50" i="9"/>
  <c r="AX50" i="9"/>
  <c r="AV46" i="9"/>
  <c r="AX46" i="9"/>
  <c r="AV42" i="9"/>
  <c r="AX42" i="9"/>
  <c r="AV38" i="9"/>
  <c r="AX38" i="9"/>
  <c r="AV34" i="9"/>
  <c r="AX34" i="9"/>
  <c r="AV30" i="9"/>
  <c r="AX30" i="9"/>
  <c r="AV26" i="9"/>
  <c r="AX26" i="9"/>
  <c r="AV22" i="9"/>
  <c r="AX22" i="9"/>
  <c r="AV18" i="9"/>
  <c r="AX18" i="9"/>
  <c r="AV14" i="9"/>
  <c r="AX745" i="9"/>
  <c r="AV745" i="9"/>
  <c r="AX733" i="9"/>
  <c r="AV733" i="9"/>
  <c r="AV725" i="9"/>
  <c r="AX725" i="9"/>
  <c r="AV717" i="9"/>
  <c r="AX717" i="9"/>
  <c r="AV705" i="9"/>
  <c r="AX705" i="9"/>
  <c r="AX697" i="9"/>
  <c r="AV697" i="9"/>
  <c r="AV689" i="9"/>
  <c r="AX689" i="9"/>
  <c r="AX681" i="9"/>
  <c r="AV681" i="9"/>
  <c r="AX669" i="9"/>
  <c r="AV669" i="9"/>
  <c r="AV661" i="9"/>
  <c r="AX661" i="9"/>
  <c r="AV653" i="9"/>
  <c r="AX653" i="9"/>
  <c r="AX645" i="9"/>
  <c r="AV645" i="9"/>
  <c r="AX633" i="9"/>
  <c r="AV633" i="9"/>
  <c r="AV625" i="9"/>
  <c r="AX625" i="9"/>
  <c r="AX617" i="9"/>
  <c r="AV617" i="9"/>
  <c r="AV609" i="9"/>
  <c r="AX609" i="9"/>
  <c r="AX601" i="9"/>
  <c r="AV601" i="9"/>
  <c r="AX589" i="9"/>
  <c r="AV589" i="9"/>
  <c r="AV581" i="9"/>
  <c r="AX581" i="9"/>
  <c r="AX569" i="9"/>
  <c r="AV569" i="9"/>
  <c r="AV561" i="9"/>
  <c r="AX561" i="9"/>
  <c r="AV549" i="9"/>
  <c r="AX549" i="9"/>
  <c r="AX537" i="9"/>
  <c r="AV537" i="9"/>
  <c r="AV529" i="9"/>
  <c r="AX529" i="9"/>
  <c r="AX521" i="9"/>
  <c r="AV521" i="9"/>
  <c r="AX509" i="9"/>
  <c r="AV509" i="9"/>
  <c r="AV501" i="9"/>
  <c r="AX501" i="9"/>
  <c r="AV493" i="9"/>
  <c r="AX493" i="9"/>
  <c r="AX485" i="9"/>
  <c r="AV485" i="9"/>
  <c r="AX473" i="9"/>
  <c r="AV473" i="9"/>
  <c r="AV465" i="9"/>
  <c r="AX465" i="9"/>
  <c r="AV457" i="9"/>
  <c r="AX457" i="9"/>
  <c r="AV449" i="9"/>
  <c r="AX449" i="9"/>
  <c r="AX441" i="9"/>
  <c r="AV441" i="9"/>
  <c r="AV433" i="9"/>
  <c r="AX433" i="9"/>
  <c r="AX425" i="9"/>
  <c r="AV425" i="9"/>
  <c r="AV417" i="9"/>
  <c r="AX417" i="9"/>
  <c r="AX409" i="9"/>
  <c r="AV409" i="9"/>
  <c r="AV401" i="9"/>
  <c r="AX401" i="9"/>
  <c r="AX393" i="9"/>
  <c r="AV393" i="9"/>
  <c r="AV385" i="9"/>
  <c r="AX385" i="9"/>
  <c r="AX377" i="9"/>
  <c r="AV377" i="9"/>
  <c r="AX369" i="9"/>
  <c r="AV369" i="9"/>
  <c r="AX361" i="9"/>
  <c r="AV361" i="9"/>
  <c r="AX353" i="9"/>
  <c r="AV353" i="9"/>
  <c r="AX345" i="9"/>
  <c r="AV345" i="9"/>
  <c r="AX337" i="9"/>
  <c r="AV337" i="9"/>
  <c r="AX325" i="9"/>
  <c r="AV325" i="9"/>
  <c r="AX317" i="9"/>
  <c r="AV317" i="9"/>
  <c r="AX309" i="9"/>
  <c r="AV309" i="9"/>
  <c r="AX301" i="9"/>
  <c r="AV301" i="9"/>
  <c r="AX293" i="9"/>
  <c r="AV293" i="9"/>
  <c r="AX285" i="9"/>
  <c r="AV285" i="9"/>
  <c r="AX277" i="9"/>
  <c r="AV277" i="9"/>
  <c r="AX269" i="9"/>
  <c r="AV269" i="9"/>
  <c r="AX261" i="9"/>
  <c r="AV261" i="9"/>
  <c r="AX249" i="9"/>
  <c r="AV249" i="9"/>
  <c r="AX241" i="9"/>
  <c r="AV241" i="9"/>
  <c r="AX233" i="9"/>
  <c r="AV233" i="9"/>
  <c r="AX225" i="9"/>
  <c r="AV225" i="9"/>
  <c r="AX221" i="9"/>
  <c r="AV221" i="9"/>
  <c r="AX217" i="9"/>
  <c r="AV217" i="9"/>
  <c r="AX209" i="9"/>
  <c r="AV209" i="9"/>
  <c r="AX205" i="9"/>
  <c r="AV205" i="9"/>
  <c r="AX201" i="9"/>
  <c r="AV201" i="9"/>
  <c r="AX197" i="9"/>
  <c r="AV197" i="9"/>
  <c r="AX193" i="9"/>
  <c r="AV193" i="9"/>
  <c r="AX189" i="9"/>
  <c r="AV189" i="9"/>
  <c r="AX185" i="9"/>
  <c r="AV185" i="9"/>
  <c r="AV109" i="9"/>
  <c r="AX109" i="9"/>
  <c r="AV105" i="9"/>
  <c r="AX105" i="9"/>
  <c r="AV101" i="9"/>
  <c r="AX101" i="9"/>
  <c r="AV97" i="9"/>
  <c r="AX97" i="9"/>
  <c r="AV93" i="9"/>
  <c r="AX93" i="9"/>
  <c r="AV89" i="9"/>
  <c r="AX89" i="9"/>
  <c r="AV85" i="9"/>
  <c r="AX85" i="9"/>
  <c r="AV81" i="9"/>
  <c r="AX81" i="9"/>
  <c r="AV77" i="9"/>
  <c r="AX77" i="9"/>
  <c r="AV73" i="9"/>
  <c r="AX73" i="9"/>
  <c r="AV69" i="9"/>
  <c r="AX69" i="9"/>
  <c r="AV65" i="9"/>
  <c r="AX65" i="9"/>
  <c r="AV61" i="9"/>
  <c r="AX61" i="9"/>
  <c r="AV57" i="9"/>
  <c r="AX57" i="9"/>
  <c r="AV53" i="9"/>
  <c r="AX53" i="9"/>
  <c r="AV49" i="9"/>
  <c r="AX49" i="9"/>
  <c r="AV45" i="9"/>
  <c r="AX45" i="9"/>
  <c r="AV41" i="9"/>
  <c r="AX41" i="9"/>
  <c r="AV37" i="9"/>
  <c r="AX37" i="9"/>
  <c r="AV33" i="9"/>
  <c r="AX33" i="9"/>
  <c r="AV29" i="9"/>
  <c r="AX29" i="9"/>
  <c r="AV25" i="9"/>
  <c r="AX25" i="9"/>
  <c r="AV21" i="9"/>
  <c r="AX21" i="9"/>
  <c r="AV17" i="9"/>
  <c r="AV13" i="9"/>
  <c r="AV9" i="9"/>
  <c r="AV7" i="9"/>
  <c r="AX7" i="9"/>
  <c r="AX748" i="9"/>
  <c r="AV748" i="9"/>
  <c r="AX744" i="9"/>
  <c r="AV744" i="9"/>
  <c r="AX740" i="9"/>
  <c r="AV740" i="9"/>
  <c r="AX736" i="9"/>
  <c r="AV736" i="9"/>
  <c r="AX732" i="9"/>
  <c r="AV732" i="9"/>
  <c r="AX728" i="9"/>
  <c r="AV728" i="9"/>
  <c r="AX724" i="9"/>
  <c r="AV724" i="9"/>
  <c r="AX720" i="9"/>
  <c r="AV720" i="9"/>
  <c r="AX716" i="9"/>
  <c r="AV716" i="9"/>
  <c r="AX712" i="9"/>
  <c r="AV712" i="9"/>
  <c r="AX708" i="9"/>
  <c r="AV708" i="9"/>
  <c r="AX704" i="9"/>
  <c r="AV704" i="9"/>
  <c r="AX700" i="9"/>
  <c r="AV700" i="9"/>
  <c r="AX696" i="9"/>
  <c r="AV696" i="9"/>
  <c r="AX692" i="9"/>
  <c r="AV692" i="9"/>
  <c r="AX688" i="9"/>
  <c r="AV688" i="9"/>
  <c r="AX684" i="9"/>
  <c r="AV684" i="9"/>
  <c r="AX680" i="9"/>
  <c r="AV680" i="9"/>
  <c r="AX676" i="9"/>
  <c r="AV676" i="9"/>
  <c r="AX672" i="9"/>
  <c r="AV672" i="9"/>
  <c r="AX668" i="9"/>
  <c r="AV668" i="9"/>
  <c r="AX664" i="9"/>
  <c r="AV664" i="9"/>
  <c r="AX660" i="9"/>
  <c r="AV660" i="9"/>
  <c r="AX656" i="9"/>
  <c r="AV656" i="9"/>
  <c r="AX652" i="9"/>
  <c r="AV652" i="9"/>
  <c r="AX648" i="9"/>
  <c r="AV648" i="9"/>
  <c r="AX644" i="9"/>
  <c r="AV644" i="9"/>
  <c r="AX640" i="9"/>
  <c r="AV640" i="9"/>
  <c r="AX636" i="9"/>
  <c r="AV636" i="9"/>
  <c r="AX632" i="9"/>
  <c r="AV632" i="9"/>
  <c r="AX628" i="9"/>
  <c r="AV628" i="9"/>
  <c r="AX624" i="9"/>
  <c r="AV624" i="9"/>
  <c r="AX620" i="9"/>
  <c r="AV620" i="9"/>
  <c r="AX616" i="9"/>
  <c r="AV616" i="9"/>
  <c r="AX612" i="9"/>
  <c r="AV612" i="9"/>
  <c r="AX608" i="9"/>
  <c r="AV608" i="9"/>
  <c r="AX604" i="9"/>
  <c r="AV604" i="9"/>
  <c r="AX600" i="9"/>
  <c r="AV600" i="9"/>
  <c r="AX596" i="9"/>
  <c r="AV596" i="9"/>
  <c r="AX592" i="9"/>
  <c r="AV592" i="9"/>
  <c r="AX588" i="9"/>
  <c r="AV588" i="9"/>
  <c r="AX584" i="9"/>
  <c r="AV584" i="9"/>
  <c r="AX580" i="9"/>
  <c r="AV580" i="9"/>
  <c r="AX576" i="9"/>
  <c r="AV576" i="9"/>
  <c r="AX572" i="9"/>
  <c r="AV572" i="9"/>
  <c r="AX568" i="9"/>
  <c r="AV568" i="9"/>
  <c r="AX564" i="9"/>
  <c r="AV564" i="9"/>
  <c r="AX560" i="9"/>
  <c r="AV560" i="9"/>
  <c r="AX556" i="9"/>
  <c r="AV556" i="9"/>
  <c r="AX552" i="9"/>
  <c r="AV552" i="9"/>
  <c r="AX548" i="9"/>
  <c r="AV548" i="9"/>
  <c r="AX544" i="9"/>
  <c r="AV544" i="9"/>
  <c r="AX540" i="9"/>
  <c r="AV540" i="9"/>
  <c r="AX536" i="9"/>
  <c r="AV536" i="9"/>
  <c r="AX532" i="9"/>
  <c r="AV532" i="9"/>
  <c r="AX528" i="9"/>
  <c r="AV528" i="9"/>
  <c r="AX524" i="9"/>
  <c r="AV524" i="9"/>
  <c r="AX520" i="9"/>
  <c r="AV520" i="9"/>
  <c r="AX516" i="9"/>
  <c r="AV516" i="9"/>
  <c r="AX512" i="9"/>
  <c r="AV512" i="9"/>
  <c r="AX508" i="9"/>
  <c r="AV508" i="9"/>
  <c r="AX504" i="9"/>
  <c r="AV504" i="9"/>
  <c r="AX500" i="9"/>
  <c r="AV500" i="9"/>
  <c r="AX496" i="9"/>
  <c r="AV496" i="9"/>
  <c r="AX492" i="9"/>
  <c r="AV492" i="9"/>
  <c r="AX488" i="9"/>
  <c r="AV488" i="9"/>
  <c r="AX484" i="9"/>
  <c r="AV484" i="9"/>
  <c r="AX480" i="9"/>
  <c r="AV480" i="9"/>
  <c r="AX476" i="9"/>
  <c r="AV476" i="9"/>
  <c r="AX472" i="9"/>
  <c r="AV472" i="9"/>
  <c r="AX468" i="9"/>
  <c r="AV468" i="9"/>
  <c r="AX464" i="9"/>
  <c r="AV464" i="9"/>
  <c r="AX460" i="9"/>
  <c r="AV460" i="9"/>
  <c r="AX456" i="9"/>
  <c r="AV456" i="9"/>
  <c r="AX452" i="9"/>
  <c r="AV452" i="9"/>
  <c r="AX448" i="9"/>
  <c r="AV448" i="9"/>
  <c r="AX444" i="9"/>
  <c r="AV444" i="9"/>
  <c r="AX440" i="9"/>
  <c r="AV440" i="9"/>
  <c r="AX436" i="9"/>
  <c r="AV436" i="9"/>
  <c r="AX432" i="9"/>
  <c r="AV432" i="9"/>
  <c r="AX428" i="9"/>
  <c r="AV428" i="9"/>
  <c r="AX424" i="9"/>
  <c r="AV424" i="9"/>
  <c r="AX420" i="9"/>
  <c r="AV420" i="9"/>
  <c r="AX416" i="9"/>
  <c r="AV416" i="9"/>
  <c r="AX412" i="9"/>
  <c r="AV412" i="9"/>
  <c r="AX408" i="9"/>
  <c r="AV408" i="9"/>
  <c r="AX404" i="9"/>
  <c r="AV404" i="9"/>
  <c r="AX400" i="9"/>
  <c r="AV400" i="9"/>
  <c r="AX396" i="9"/>
  <c r="AV396" i="9"/>
  <c r="AX392" i="9"/>
  <c r="AV392" i="9"/>
  <c r="AX388" i="9"/>
  <c r="AV388" i="9"/>
  <c r="AX384" i="9"/>
  <c r="AV384" i="9"/>
  <c r="AX380" i="9"/>
  <c r="AV380" i="9"/>
  <c r="AX376" i="9"/>
  <c r="AV376" i="9"/>
  <c r="AX372" i="9"/>
  <c r="AV372" i="9"/>
  <c r="AX368" i="9"/>
  <c r="AV368" i="9"/>
  <c r="AX364" i="9"/>
  <c r="AV364" i="9"/>
  <c r="AX360" i="9"/>
  <c r="AV360" i="9"/>
  <c r="AX356" i="9"/>
  <c r="AV356" i="9"/>
  <c r="AX352" i="9"/>
  <c r="AV352" i="9"/>
  <c r="AX348" i="9"/>
  <c r="AV348" i="9"/>
  <c r="AX344" i="9"/>
  <c r="AV344" i="9"/>
  <c r="AX340" i="9"/>
  <c r="AV340" i="9"/>
  <c r="AX336" i="9"/>
  <c r="AV336" i="9"/>
  <c r="AX332" i="9"/>
  <c r="AV332" i="9"/>
  <c r="AX328" i="9"/>
  <c r="AV328" i="9"/>
  <c r="AX324" i="9"/>
  <c r="AV324" i="9"/>
  <c r="AX320" i="9"/>
  <c r="AV320" i="9"/>
  <c r="AX316" i="9"/>
  <c r="AV316" i="9"/>
  <c r="AX312" i="9"/>
  <c r="AV312" i="9"/>
  <c r="AX308" i="9"/>
  <c r="AV308" i="9"/>
  <c r="AX304" i="9"/>
  <c r="AV304" i="9"/>
  <c r="AX300" i="9"/>
  <c r="AV300" i="9"/>
  <c r="AX296" i="9"/>
  <c r="AV296" i="9"/>
  <c r="AX292" i="9"/>
  <c r="AV292" i="9"/>
  <c r="AX288" i="9"/>
  <c r="AV288" i="9"/>
  <c r="AX284" i="9"/>
  <c r="AV284" i="9"/>
  <c r="AX280" i="9"/>
  <c r="AV280" i="9"/>
  <c r="AX276" i="9"/>
  <c r="AV276" i="9"/>
  <c r="AX272" i="9"/>
  <c r="AV272" i="9"/>
  <c r="AX268" i="9"/>
  <c r="AV268" i="9"/>
  <c r="AX264" i="9"/>
  <c r="AV264" i="9"/>
  <c r="AX260" i="9"/>
  <c r="AV260" i="9"/>
  <c r="AX256" i="9"/>
  <c r="AV256" i="9"/>
  <c r="AX252" i="9"/>
  <c r="AV252" i="9"/>
  <c r="AX248" i="9"/>
  <c r="AV248" i="9"/>
  <c r="AX244" i="9"/>
  <c r="AV244" i="9"/>
  <c r="AX240" i="9"/>
  <c r="AV240" i="9"/>
  <c r="AX236" i="9"/>
  <c r="AV236" i="9"/>
  <c r="AX232" i="9"/>
  <c r="AV232" i="9"/>
  <c r="AX228" i="9"/>
  <c r="AV228" i="9"/>
  <c r="AX224" i="9"/>
  <c r="AV224" i="9"/>
  <c r="AX220" i="9"/>
  <c r="AV220" i="9"/>
  <c r="AX216" i="9"/>
  <c r="AV216" i="9"/>
  <c r="AX212" i="9"/>
  <c r="AV212" i="9"/>
  <c r="AX208" i="9"/>
  <c r="AV208" i="9"/>
  <c r="AX204" i="9"/>
  <c r="AV204" i="9"/>
  <c r="AX200" i="9"/>
  <c r="AV200" i="9"/>
  <c r="AX196" i="9"/>
  <c r="AV196" i="9"/>
  <c r="AX192" i="9"/>
  <c r="AV192" i="9"/>
  <c r="AX188" i="9"/>
  <c r="AV188" i="9"/>
  <c r="AX184" i="9"/>
  <c r="AV184" i="9"/>
  <c r="AV112" i="9"/>
  <c r="AX112" i="9"/>
  <c r="AV108" i="9"/>
  <c r="AX108" i="9"/>
  <c r="AV104" i="9"/>
  <c r="AX104" i="9"/>
  <c r="AV100" i="9"/>
  <c r="AX100" i="9"/>
  <c r="AV96" i="9"/>
  <c r="AX96" i="9"/>
  <c r="AV92" i="9"/>
  <c r="AX92" i="9"/>
  <c r="AV88" i="9"/>
  <c r="AX88" i="9"/>
  <c r="AV84" i="9"/>
  <c r="AX84" i="9"/>
  <c r="AV80" i="9"/>
  <c r="AX80" i="9"/>
  <c r="AV76" i="9"/>
  <c r="AX76" i="9"/>
  <c r="AV72" i="9"/>
  <c r="AX72" i="9"/>
  <c r="AV68" i="9"/>
  <c r="AX68" i="9"/>
  <c r="AV64" i="9"/>
  <c r="AX64" i="9"/>
  <c r="AV60" i="9"/>
  <c r="AX60" i="9"/>
  <c r="AV56" i="9"/>
  <c r="AX56" i="9"/>
  <c r="AV52" i="9"/>
  <c r="AX52" i="9"/>
  <c r="AX48" i="9"/>
  <c r="AV48" i="9"/>
  <c r="AX44" i="9"/>
  <c r="AV44" i="9"/>
  <c r="AX40" i="9"/>
  <c r="AV40" i="9"/>
  <c r="AV32" i="9"/>
  <c r="AX32" i="9"/>
  <c r="AV28" i="9"/>
  <c r="AX28" i="9"/>
  <c r="AV24" i="9"/>
  <c r="AX20" i="9"/>
  <c r="AV20" i="9"/>
  <c r="AV16" i="9"/>
  <c r="BD11" i="5"/>
  <c r="BA11" i="5"/>
  <c r="AV179" i="9"/>
  <c r="AX179" i="9"/>
  <c r="AV175" i="9"/>
  <c r="AX175" i="9"/>
  <c r="AV171" i="9"/>
  <c r="AX171" i="9"/>
  <c r="AX167" i="9"/>
  <c r="AV167" i="9"/>
  <c r="AX163" i="9"/>
  <c r="AV163" i="9"/>
  <c r="AX159" i="9"/>
  <c r="AV159" i="9"/>
  <c r="AX155" i="9"/>
  <c r="AV155" i="9"/>
  <c r="AX151" i="9"/>
  <c r="AV151" i="9"/>
  <c r="AX147" i="9"/>
  <c r="AV147" i="9"/>
  <c r="AX143" i="9"/>
  <c r="AV143" i="9"/>
  <c r="AX139" i="9"/>
  <c r="AV139" i="9"/>
  <c r="AX135" i="9"/>
  <c r="AV135" i="9"/>
  <c r="AX131" i="9"/>
  <c r="AV131" i="9"/>
  <c r="AX127" i="9"/>
  <c r="AV127" i="9"/>
  <c r="AX123" i="9"/>
  <c r="AV123" i="9"/>
  <c r="AX119" i="9"/>
  <c r="AV119" i="9"/>
  <c r="AX115" i="9"/>
  <c r="AV115" i="9"/>
  <c r="AV182" i="9"/>
  <c r="AX182" i="9"/>
  <c r="AX178" i="9"/>
  <c r="AV178" i="9"/>
  <c r="AX174" i="9"/>
  <c r="AV174" i="9"/>
  <c r="AX170" i="9"/>
  <c r="AV170" i="9"/>
  <c r="AX166" i="9"/>
  <c r="AV166" i="9"/>
  <c r="AX162" i="9"/>
  <c r="AV162" i="9"/>
  <c r="AX158" i="9"/>
  <c r="AV158" i="9"/>
  <c r="AX154" i="9"/>
  <c r="AV154" i="9"/>
  <c r="AX150" i="9"/>
  <c r="AV150" i="9"/>
  <c r="AX146" i="9"/>
  <c r="AV146" i="9"/>
  <c r="AX142" i="9"/>
  <c r="AV142" i="9"/>
  <c r="AX138" i="9"/>
  <c r="AV138" i="9"/>
  <c r="AX134" i="9"/>
  <c r="AV134" i="9"/>
  <c r="AX130" i="9"/>
  <c r="AV130" i="9"/>
  <c r="AX126" i="9"/>
  <c r="AV126" i="9"/>
  <c r="AX122" i="9"/>
  <c r="AV122" i="9"/>
  <c r="AX118" i="9"/>
  <c r="AV118" i="9"/>
  <c r="AX114" i="9"/>
  <c r="AV114" i="9"/>
  <c r="AX181" i="9"/>
  <c r="AV181" i="9"/>
  <c r="AV177" i="9"/>
  <c r="AX177" i="9"/>
  <c r="AX173" i="9"/>
  <c r="AV173" i="9"/>
  <c r="AX169" i="9"/>
  <c r="AV169" i="9"/>
  <c r="AV165" i="9"/>
  <c r="AX165" i="9"/>
  <c r="AV161" i="9"/>
  <c r="AX161" i="9"/>
  <c r="AV157" i="9"/>
  <c r="AX157" i="9"/>
  <c r="AV153" i="9"/>
  <c r="AX153" i="9"/>
  <c r="AV149" i="9"/>
  <c r="AX149" i="9"/>
  <c r="AV145" i="9"/>
  <c r="AX145" i="9"/>
  <c r="AV141" i="9"/>
  <c r="AX141" i="9"/>
  <c r="AV137" i="9"/>
  <c r="AX137" i="9"/>
  <c r="AV133" i="9"/>
  <c r="AX133" i="9"/>
  <c r="AV129" i="9"/>
  <c r="AX129" i="9"/>
  <c r="AV125" i="9"/>
  <c r="AX125" i="9"/>
  <c r="AV121" i="9"/>
  <c r="AX121" i="9"/>
  <c r="AV117" i="9"/>
  <c r="AX117" i="9"/>
  <c r="AV113" i="9"/>
  <c r="AX113" i="9"/>
  <c r="AX180" i="9"/>
  <c r="AV180" i="9"/>
  <c r="AX176" i="9"/>
  <c r="AV176" i="9"/>
  <c r="AX172" i="9"/>
  <c r="AV172" i="9"/>
  <c r="AX168" i="9"/>
  <c r="AV168" i="9"/>
  <c r="AX164" i="9"/>
  <c r="AV164" i="9"/>
  <c r="AX160" i="9"/>
  <c r="AV160" i="9"/>
  <c r="AX156" i="9"/>
  <c r="AV156" i="9"/>
  <c r="AX152" i="9"/>
  <c r="AV152" i="9"/>
  <c r="AX148" i="9"/>
  <c r="AV148" i="9"/>
  <c r="AX144" i="9"/>
  <c r="AV144" i="9"/>
  <c r="AX140" i="9"/>
  <c r="AV140" i="9"/>
  <c r="AX136" i="9"/>
  <c r="AV136" i="9"/>
  <c r="AX132" i="9"/>
  <c r="AV132" i="9"/>
  <c r="AX128" i="9"/>
  <c r="AV128" i="9"/>
  <c r="AX124" i="9"/>
  <c r="AV124" i="9"/>
  <c r="AX120" i="9"/>
  <c r="AV120" i="9"/>
  <c r="AX116" i="9"/>
  <c r="AV116" i="9"/>
  <c r="AZ11" i="5"/>
  <c r="BB11" i="5"/>
  <c r="D3" i="7"/>
  <c r="B3" i="9"/>
  <c r="B3" i="5"/>
  <c r="K6" i="9"/>
  <c r="N6" i="9"/>
  <c r="AC6" i="9"/>
  <c r="U6" i="9"/>
  <c r="AE6" i="9"/>
  <c r="J6" i="9"/>
  <c r="T6" i="9"/>
  <c r="S6" i="9"/>
  <c r="I6" i="9"/>
  <c r="AD6" i="9"/>
  <c r="W6" i="9"/>
  <c r="O6" i="9"/>
  <c r="V6" i="9"/>
  <c r="AB6" i="9"/>
  <c r="Q6" i="9"/>
  <c r="Z6" i="9"/>
  <c r="R6" i="9"/>
  <c r="AA6" i="9"/>
  <c r="L6" i="9"/>
  <c r="M6" i="9"/>
  <c r="P6" i="9"/>
  <c r="G6" i="9"/>
  <c r="H6" i="9"/>
  <c r="Y6" i="9"/>
  <c r="X6" i="9"/>
  <c r="AS12" i="9" l="1" a="1"/>
  <c r="AS12" i="9" s="1"/>
  <c r="AX12" i="9" s="1"/>
  <c r="AS8" i="9" a="1"/>
  <c r="AS8" i="9" s="1"/>
  <c r="AX8" i="9" s="1"/>
  <c r="F43" i="13" s="1"/>
  <c r="AX9" i="9"/>
  <c r="AX36" i="9"/>
  <c r="AX10" i="9"/>
  <c r="AF6" i="5"/>
  <c r="AC6" i="5"/>
  <c r="V6" i="5"/>
  <c r="L6" i="5"/>
  <c r="Q6" i="5"/>
  <c r="AI6" i="5"/>
  <c r="AH6" i="5"/>
  <c r="AG6" i="5"/>
  <c r="W6" i="5"/>
  <c r="M6" i="5"/>
  <c r="S6" i="5"/>
  <c r="N6" i="5"/>
  <c r="P6" i="5"/>
  <c r="Z6" i="5"/>
  <c r="AA6" i="5"/>
  <c r="AD6" i="5"/>
  <c r="T6" i="5"/>
  <c r="AE6" i="5"/>
  <c r="AJ6" i="5"/>
  <c r="O6" i="5"/>
  <c r="X6" i="5"/>
  <c r="AB6" i="5"/>
  <c r="R6" i="5"/>
  <c r="U6" i="5"/>
  <c r="Y6" i="5"/>
  <c r="F120" i="13" l="1"/>
  <c r="F25" i="13"/>
  <c r="F93" i="13"/>
  <c r="F66" i="13"/>
  <c r="F121" i="13"/>
  <c r="F45" i="13"/>
  <c r="F38" i="13"/>
  <c r="F94" i="13"/>
  <c r="F26" i="13"/>
  <c r="F67" i="13"/>
  <c r="AX11" i="5" a="1"/>
  <c r="AX11" i="5" s="1"/>
  <c r="BE11" i="5" s="1"/>
  <c r="F42" i="13" a="1"/>
  <c r="F42" i="13" s="1"/>
  <c r="F129" i="13" a="1"/>
  <c r="F41" i="13" a="1"/>
  <c r="F41" i="13" s="1"/>
  <c r="F76" i="13" a="1"/>
  <c r="F76" i="13" s="1"/>
  <c r="F40" i="13" a="1"/>
  <c r="F40" i="13" s="1"/>
  <c r="F125" i="13" a="1"/>
  <c r="F70" i="13" a="1"/>
  <c r="F70" i="13" s="1"/>
  <c r="F75" i="13" a="1"/>
  <c r="F75" i="13" s="1"/>
  <c r="F101" i="13" a="1"/>
  <c r="F101" i="13" s="1"/>
  <c r="F44" i="13" a="1"/>
  <c r="F44" i="13" s="1"/>
  <c r="F100" i="13" a="1"/>
  <c r="F100" i="13" s="1"/>
  <c r="F127" i="13" a="1"/>
  <c r="F73" i="13" a="1"/>
  <c r="F98" i="13" a="1"/>
  <c r="F98" i="13" s="1"/>
  <c r="F48" i="13" a="1"/>
  <c r="F48" i="13" s="1"/>
  <c r="F71" i="13" a="1"/>
  <c r="F71" i="13" s="1"/>
  <c r="F72" i="13" a="1"/>
  <c r="F72" i="13" s="1"/>
  <c r="F103" i="13" a="1"/>
  <c r="F103" i="13" s="1"/>
  <c r="F99" i="13" a="1"/>
  <c r="F99" i="13" s="1"/>
  <c r="F130" i="13" a="1"/>
  <c r="F130" i="13" s="1"/>
  <c r="F46" i="13" a="1"/>
  <c r="F74" i="13" a="1"/>
  <c r="F74" i="13" s="1"/>
  <c r="F39" i="13" a="1"/>
  <c r="F39" i="13" s="1"/>
  <c r="F124" i="13" a="1"/>
  <c r="F124" i="13" s="1"/>
  <c r="F128" i="13" a="1"/>
  <c r="F128" i="13" s="1"/>
  <c r="F47" i="13" a="1"/>
  <c r="F47" i="13" s="1"/>
  <c r="F126" i="13" a="1"/>
  <c r="F126" i="13" s="1"/>
  <c r="F11" i="13" a="1"/>
  <c r="F11" i="13" s="1"/>
  <c r="F97" i="13" a="1"/>
  <c r="F97" i="13" s="1"/>
  <c r="F102" i="13" a="1"/>
  <c r="F102" i="13" s="1"/>
  <c r="F49" i="13" a="1"/>
  <c r="F49" i="13" s="1"/>
  <c r="AX14" i="5" a="1"/>
  <c r="AX14" i="5" s="1"/>
  <c r="AX15" i="5" a="1"/>
  <c r="AX15" i="5" s="1"/>
  <c r="BE15" i="5" s="1"/>
  <c r="F46" i="13"/>
  <c r="AX12" i="5" a="1"/>
  <c r="AX12" i="5" s="1"/>
  <c r="BE12" i="5" s="1"/>
  <c r="BF12" i="5" s="1"/>
  <c r="AX8" i="5" a="1"/>
  <c r="AX8" i="5" s="1"/>
  <c r="BE8" i="5" s="1"/>
  <c r="F129" i="13"/>
  <c r="F125" i="13"/>
  <c r="F127" i="13"/>
  <c r="F73" i="13"/>
  <c r="F51" i="13" a="1"/>
  <c r="F51" i="13" s="1"/>
  <c r="G51" i="13" s="1"/>
  <c r="F123" i="13" a="1"/>
  <c r="F123" i="13" s="1"/>
  <c r="G123" i="13" s="1"/>
  <c r="F78" i="13" a="1"/>
  <c r="F78" i="13" s="1"/>
  <c r="G78" i="13" s="1"/>
  <c r="F110" i="13" a="1"/>
  <c r="F110" i="13" s="1"/>
  <c r="F10" i="13" a="1"/>
  <c r="F10" i="13" s="1"/>
  <c r="G10" i="13" s="1"/>
  <c r="F105" i="13" a="1"/>
  <c r="F105" i="13" s="1"/>
  <c r="G105" i="13" s="1"/>
  <c r="B36" i="4" a="1"/>
  <c r="B36" i="4" s="1"/>
  <c r="H2" i="16" s="1"/>
  <c r="B47" i="4" a="1"/>
  <c r="B47" i="4" s="1"/>
  <c r="S2" i="16" s="1"/>
  <c r="B38" i="4" a="1"/>
  <c r="B38" i="4" s="1"/>
  <c r="J2" i="16" s="1"/>
  <c r="B35" i="4" a="1"/>
  <c r="B35" i="4" s="1"/>
  <c r="B37" i="4" a="1"/>
  <c r="B37" i="4" s="1"/>
  <c r="I2" i="16" s="1"/>
  <c r="D4" i="9" a="1"/>
  <c r="D4" i="9" s="1"/>
  <c r="F107" i="13" a="1"/>
  <c r="F107" i="13" s="1"/>
  <c r="F112" i="13" a="1"/>
  <c r="F112" i="13" s="1"/>
  <c r="F117" i="13" a="1"/>
  <c r="F117" i="13" s="1"/>
  <c r="F122" i="13" a="1"/>
  <c r="F122" i="13" s="1"/>
  <c r="F114" i="13" a="1"/>
  <c r="F114" i="13" s="1"/>
  <c r="F106" i="13" a="1"/>
  <c r="F106" i="13" s="1"/>
  <c r="F113" i="13" a="1"/>
  <c r="F113" i="13" s="1"/>
  <c r="F104" i="13" a="1"/>
  <c r="F104" i="13" s="1"/>
  <c r="F79" i="13" a="1"/>
  <c r="F79" i="13" s="1"/>
  <c r="F108" i="13" a="1"/>
  <c r="F108" i="13" s="1"/>
  <c r="F111" i="13" a="1"/>
  <c r="F111" i="13" s="1"/>
  <c r="F119" i="13" a="1"/>
  <c r="F119" i="13" s="1"/>
  <c r="F116" i="13" a="1"/>
  <c r="F116" i="13" s="1"/>
  <c r="F8" i="13" a="1"/>
  <c r="F8" i="13" s="1"/>
  <c r="F5" i="13" a="1"/>
  <c r="F5" i="13" s="1"/>
  <c r="F3" i="13" a="1"/>
  <c r="F3" i="13" s="1"/>
  <c r="I3" i="13" s="1"/>
  <c r="F52" i="13" a="1"/>
  <c r="F52" i="13" s="1"/>
  <c r="F118" i="13" a="1"/>
  <c r="F118" i="13" s="1"/>
  <c r="F115" i="13" a="1"/>
  <c r="F115" i="13" s="1"/>
  <c r="F109" i="13" a="1"/>
  <c r="F109" i="13" s="1"/>
  <c r="F7" i="13" a="1"/>
  <c r="F7" i="13" s="1"/>
  <c r="B46" i="4" a="1"/>
  <c r="B46" i="4" s="1"/>
  <c r="R2" i="16" s="1"/>
  <c r="F87" i="13" a="1"/>
  <c r="F87" i="13" s="1"/>
  <c r="F83" i="13" a="1"/>
  <c r="F83" i="13" s="1"/>
  <c r="F92" i="13" a="1"/>
  <c r="F92" i="13" s="1"/>
  <c r="F88" i="13" a="1"/>
  <c r="F88" i="13" s="1"/>
  <c r="F84" i="13" a="1"/>
  <c r="F84" i="13" s="1"/>
  <c r="F95" i="13" a="1"/>
  <c r="F95" i="13" s="1"/>
  <c r="F91" i="13" a="1"/>
  <c r="F91" i="13" s="1"/>
  <c r="F89" i="13" a="1"/>
  <c r="F89" i="13" s="1"/>
  <c r="F85" i="13" a="1"/>
  <c r="F85" i="13" s="1"/>
  <c r="F81" i="13" a="1"/>
  <c r="F81" i="13" s="1"/>
  <c r="F90" i="13" a="1"/>
  <c r="F90" i="13" s="1"/>
  <c r="F86" i="13" a="1"/>
  <c r="F86" i="13" s="1"/>
  <c r="F82" i="13" a="1"/>
  <c r="F82" i="13" s="1"/>
  <c r="F68" i="13" a="1"/>
  <c r="F68" i="13" s="1"/>
  <c r="F64" i="13" a="1"/>
  <c r="F64" i="13" s="1"/>
  <c r="F62" i="13" a="1"/>
  <c r="F62" i="13" s="1"/>
  <c r="F60" i="13" a="1"/>
  <c r="F60" i="13" s="1"/>
  <c r="F58" i="13" a="1"/>
  <c r="F58" i="13" s="1"/>
  <c r="F56" i="13" a="1"/>
  <c r="F56" i="13" s="1"/>
  <c r="F54" i="13" a="1"/>
  <c r="F54" i="13" s="1"/>
  <c r="F65" i="13" a="1"/>
  <c r="F65" i="13" s="1"/>
  <c r="F63" i="13" a="1"/>
  <c r="F63" i="13" s="1"/>
  <c r="F61" i="13" a="1"/>
  <c r="F61" i="13" s="1"/>
  <c r="F59" i="13" a="1"/>
  <c r="F59" i="13" s="1"/>
  <c r="F57" i="13" a="1"/>
  <c r="F57" i="13" s="1"/>
  <c r="F55" i="13" a="1"/>
  <c r="F55" i="13" s="1"/>
  <c r="F37" i="13" a="1"/>
  <c r="F37" i="13" s="1"/>
  <c r="F27" i="13" a="1"/>
  <c r="F27" i="13" s="1"/>
  <c r="F23" i="13" a="1"/>
  <c r="F23" i="13" s="1"/>
  <c r="F21" i="13" a="1"/>
  <c r="F21" i="13" s="1"/>
  <c r="F19" i="13" a="1"/>
  <c r="F19" i="13" s="1"/>
  <c r="F17" i="13" a="1"/>
  <c r="F17" i="13" s="1"/>
  <c r="F15" i="13" a="1"/>
  <c r="F15" i="13" s="1"/>
  <c r="F13" i="13" a="1"/>
  <c r="F13" i="13" s="1"/>
  <c r="F24" i="13" a="1"/>
  <c r="F24" i="13" s="1"/>
  <c r="F22" i="13" a="1"/>
  <c r="F22" i="13" s="1"/>
  <c r="F20" i="13" a="1"/>
  <c r="F20" i="13" s="1"/>
  <c r="F18" i="13" a="1"/>
  <c r="F18" i="13" s="1"/>
  <c r="F16" i="13" a="1"/>
  <c r="F16" i="13" s="1"/>
  <c r="F14" i="13" a="1"/>
  <c r="F14" i="13" s="1"/>
  <c r="F69" i="13" a="1"/>
  <c r="F69" i="13" s="1"/>
  <c r="G69" i="13" s="1"/>
  <c r="F50" i="13" a="1"/>
  <c r="F50" i="13" s="1"/>
  <c r="F77" i="13" a="1"/>
  <c r="F77" i="13" s="1"/>
  <c r="F96" i="13" a="1"/>
  <c r="F96" i="13" s="1"/>
  <c r="G96" i="13" s="1"/>
  <c r="F9" i="13" a="1"/>
  <c r="F9" i="13" s="1"/>
  <c r="F36" i="13" a="1"/>
  <c r="F36" i="13" s="1"/>
  <c r="F28" i="13" a="1"/>
  <c r="F28" i="13" s="1"/>
  <c r="F80" i="13" a="1"/>
  <c r="F80" i="13" s="1"/>
  <c r="F53" i="13" a="1"/>
  <c r="F53" i="13" s="1"/>
  <c r="F12" i="13" a="1"/>
  <c r="F12" i="13" s="1"/>
  <c r="F31" i="13" a="1"/>
  <c r="F31" i="13" s="1"/>
  <c r="F29" i="13" a="1"/>
  <c r="F29" i="13" s="1"/>
  <c r="F30" i="13" a="1"/>
  <c r="F30" i="13" s="1"/>
  <c r="F33" i="13" a="1"/>
  <c r="F33" i="13" s="1"/>
  <c r="F32" i="13" a="1"/>
  <c r="F32" i="13" s="1"/>
  <c r="F34" i="13" a="1"/>
  <c r="F34" i="13" s="1"/>
  <c r="F35" i="13" a="1"/>
  <c r="F35" i="13" s="1"/>
  <c r="B7" i="4"/>
  <c r="D93" i="13" l="1"/>
  <c r="D25" i="13"/>
  <c r="D66" i="13"/>
  <c r="D120" i="13"/>
  <c r="BF8" i="5"/>
  <c r="BG8" i="5"/>
  <c r="BF15" i="5"/>
  <c r="BG15" i="5"/>
  <c r="D38" i="13"/>
  <c r="D121" i="13"/>
  <c r="D94" i="13"/>
  <c r="D26" i="13"/>
  <c r="D67" i="13"/>
  <c r="D45" i="13"/>
  <c r="D43" i="13"/>
  <c r="BH12" i="5"/>
  <c r="G2" i="16"/>
  <c r="E11" i="17"/>
  <c r="D11" i="15"/>
  <c r="BF11" i="5"/>
  <c r="B33" i="4" s="1" a="1"/>
  <c r="E25" i="13" l="1"/>
  <c r="E66" i="13"/>
  <c r="E93" i="13"/>
  <c r="E120" i="13"/>
  <c r="BH8" i="5"/>
  <c r="BH15" i="5"/>
  <c r="E67" i="13"/>
  <c r="E94" i="13"/>
  <c r="E38" i="13"/>
  <c r="E26" i="13"/>
  <c r="E121" i="13"/>
  <c r="E45" i="13"/>
  <c r="B32" i="4" a="1"/>
  <c r="B32" i="4" s="1"/>
  <c r="E43" i="13"/>
  <c r="B33" i="4"/>
  <c r="BG11" i="5"/>
  <c r="BH11" i="5" s="1"/>
  <c r="BE751" i="5"/>
  <c r="E65" i="7"/>
  <c r="E54" i="7"/>
  <c r="E47" i="7"/>
  <c r="G64" i="7"/>
  <c r="C64" i="7" s="1"/>
  <c r="G62" i="7"/>
  <c r="C62" i="7" s="1"/>
  <c r="G61" i="7"/>
  <c r="C61" i="7" s="1"/>
  <c r="G53" i="7"/>
  <c r="C53" i="7" s="1"/>
  <c r="G52" i="7"/>
  <c r="C52" i="7" s="1"/>
  <c r="G51" i="7"/>
  <c r="C51" i="7" s="1"/>
  <c r="G50" i="7"/>
  <c r="C50" i="7" s="1"/>
  <c r="G49" i="7"/>
  <c r="G46" i="7"/>
  <c r="C46" i="7" s="1"/>
  <c r="G45" i="7"/>
  <c r="C45" i="7" s="1"/>
  <c r="G44" i="7"/>
  <c r="C44" i="7" s="1"/>
  <c r="G43" i="7"/>
  <c r="C43" i="7" s="1"/>
  <c r="G42" i="7"/>
  <c r="C42" i="7" s="1"/>
  <c r="G41" i="7"/>
  <c r="C41" i="7" s="1"/>
  <c r="G40" i="7"/>
  <c r="C40" i="7" s="1"/>
  <c r="E38" i="7"/>
  <c r="G28" i="7"/>
  <c r="C28" i="7" s="1"/>
  <c r="G29" i="7"/>
  <c r="C29" i="7" s="1"/>
  <c r="G30" i="7"/>
  <c r="C30" i="7" s="1"/>
  <c r="G31" i="7"/>
  <c r="C31" i="7" s="1"/>
  <c r="G37" i="7"/>
  <c r="C37" i="7" s="1"/>
  <c r="G36" i="7"/>
  <c r="C36" i="7" s="1"/>
  <c r="G35" i="7"/>
  <c r="C35" i="7" s="1"/>
  <c r="G34" i="7"/>
  <c r="C34" i="7" s="1"/>
  <c r="G33" i="7"/>
  <c r="C33" i="7" s="1"/>
  <c r="E26" i="7"/>
  <c r="G21" i="7"/>
  <c r="C21" i="7" s="1"/>
  <c r="G25" i="7"/>
  <c r="C25" i="7" s="1"/>
  <c r="G24" i="7"/>
  <c r="C24" i="7" s="1"/>
  <c r="G23" i="7"/>
  <c r="C23" i="7" s="1"/>
  <c r="G22" i="7"/>
  <c r="C22" i="7" s="1"/>
  <c r="E19" i="7"/>
  <c r="G18" i="7"/>
  <c r="C18" i="7" s="1"/>
  <c r="G17" i="7"/>
  <c r="C17" i="7" s="1"/>
  <c r="G16" i="7"/>
  <c r="C16" i="7" s="1"/>
  <c r="G7" i="7"/>
  <c r="C7" i="7" s="1"/>
  <c r="G8" i="7"/>
  <c r="C8" i="7" s="1"/>
  <c r="G11" i="7"/>
  <c r="C11" i="7" s="1"/>
  <c r="G12" i="7"/>
  <c r="C12" i="7" s="1"/>
  <c r="G13" i="7"/>
  <c r="C13" i="7" s="1"/>
  <c r="G6" i="7"/>
  <c r="C6" i="7" s="1"/>
  <c r="E14" i="7"/>
  <c r="G54" i="7" l="1"/>
  <c r="C49" i="7"/>
  <c r="G19" i="7"/>
  <c r="F19" i="7" s="1"/>
  <c r="G47" i="7"/>
  <c r="G65" i="7"/>
  <c r="G26" i="7"/>
  <c r="G38" i="7"/>
  <c r="F47" i="7"/>
  <c r="G14" i="7"/>
  <c r="B34" i="4" l="1"/>
  <c r="F2" i="16" s="1"/>
  <c r="E137" i="13"/>
  <c r="C54" i="7"/>
  <c r="E133" i="13"/>
  <c r="C19" i="7"/>
  <c r="E135" i="13"/>
  <c r="C38" i="7"/>
  <c r="E134" i="13"/>
  <c r="C26" i="7"/>
  <c r="E139" i="13"/>
  <c r="C65" i="7"/>
  <c r="C47" i="7"/>
  <c r="E136" i="13"/>
  <c r="E132" i="13"/>
  <c r="C14" i="7"/>
  <c r="F26" i="7"/>
  <c r="F38" i="7"/>
  <c r="F14" i="7"/>
  <c r="E131" i="13" l="1"/>
  <c r="F54" i="7"/>
  <c r="F65" i="7" l="1"/>
  <c r="G77" i="13" l="1"/>
  <c r="G50" i="13"/>
  <c r="G28" i="13"/>
  <c r="G79" i="13"/>
  <c r="G52" i="13"/>
  <c r="D42" i="13" l="1" a="1"/>
  <c r="D42" i="13" s="1"/>
  <c r="D40" i="13" a="1"/>
  <c r="D40" i="13" s="1"/>
  <c r="D41" i="13" a="1"/>
  <c r="D41" i="13" s="1"/>
  <c r="D49" i="13" a="1"/>
  <c r="D49" i="13" s="1"/>
  <c r="D48" i="13" a="1"/>
  <c r="D48" i="13" s="1"/>
  <c r="D39" i="13" a="1"/>
  <c r="D39" i="13" s="1"/>
  <c r="D44" i="13" a="1"/>
  <c r="D44" i="13" s="1"/>
  <c r="D47" i="13" a="1"/>
  <c r="D47" i="13" s="1"/>
  <c r="D46" i="13" a="1"/>
  <c r="D46" i="13" s="1"/>
  <c r="D10" i="13" a="1"/>
  <c r="D10" i="13" s="1"/>
  <c r="D11" i="13" a="1"/>
  <c r="D11" i="13" s="1"/>
  <c r="D106" i="13" a="1"/>
  <c r="D106" i="13" s="1"/>
  <c r="D105" i="13" a="1"/>
  <c r="D105" i="13" s="1"/>
  <c r="D79" i="13" a="1"/>
  <c r="D79" i="13" s="1"/>
  <c r="D78" i="13" a="1"/>
  <c r="D78" i="13" s="1"/>
  <c r="D52" i="13" a="1"/>
  <c r="D52" i="13" s="1"/>
  <c r="D51" i="13" a="1"/>
  <c r="D51" i="13" s="1"/>
  <c r="B45" i="4" a="1"/>
  <c r="B45" i="4" s="1"/>
  <c r="Q2" i="16" s="1"/>
  <c r="B40" i="4" a="1"/>
  <c r="B40" i="4" s="1"/>
  <c r="L2" i="16" s="1"/>
  <c r="B39" i="4" a="1"/>
  <c r="B39" i="4" s="1"/>
  <c r="K2" i="16" s="1"/>
  <c r="B44" i="4" a="1"/>
  <c r="B44" i="4" s="1"/>
  <c r="P2" i="16" s="1"/>
  <c r="D122" i="13" a="1"/>
  <c r="D122" i="13" s="1"/>
  <c r="D119" i="13" a="1"/>
  <c r="D119" i="13" s="1"/>
  <c r="D108" i="13" a="1"/>
  <c r="D108" i="13" s="1"/>
  <c r="D115" i="13" a="1"/>
  <c r="D115" i="13" s="1"/>
  <c r="D110" i="13" a="1"/>
  <c r="D110" i="13" s="1"/>
  <c r="D114" i="13" a="1"/>
  <c r="D114" i="13" s="1"/>
  <c r="D118" i="13" a="1"/>
  <c r="D118" i="13" s="1"/>
  <c r="D107" i="13" a="1"/>
  <c r="D107" i="13" s="1"/>
  <c r="D116" i="13" a="1"/>
  <c r="D116" i="13" s="1"/>
  <c r="D112" i="13" a="1"/>
  <c r="D112" i="13" s="1"/>
  <c r="D113" i="13" a="1"/>
  <c r="D113" i="13" s="1"/>
  <c r="D117" i="13" a="1"/>
  <c r="D117" i="13" s="1"/>
  <c r="D109" i="13" a="1"/>
  <c r="D109" i="13" s="1"/>
  <c r="D111" i="13" a="1"/>
  <c r="D111" i="13" s="1"/>
  <c r="D60" i="13" a="1"/>
  <c r="D60" i="13" s="1"/>
  <c r="D55" i="13" a="1"/>
  <c r="D55" i="13" s="1"/>
  <c r="D63" i="13" a="1"/>
  <c r="D63" i="13" s="1"/>
  <c r="D54" i="13" a="1"/>
  <c r="D54" i="13" s="1"/>
  <c r="D58" i="13" a="1"/>
  <c r="D58" i="13" s="1"/>
  <c r="D23" i="13" a="1"/>
  <c r="D23" i="13" s="1"/>
  <c r="D86" i="13" a="1"/>
  <c r="D86" i="13" s="1"/>
  <c r="D59" i="13" a="1"/>
  <c r="D59" i="13" s="1"/>
  <c r="D85" i="13" a="1"/>
  <c r="D85" i="13" s="1"/>
  <c r="D83" i="13" a="1"/>
  <c r="D83" i="13" s="1"/>
  <c r="D13" i="13" a="1"/>
  <c r="D13" i="13" s="1"/>
  <c r="D81" i="13" a="1"/>
  <c r="D81" i="13" s="1"/>
  <c r="D65" i="13" a="1"/>
  <c r="D65" i="13" s="1"/>
  <c r="D91" i="13" a="1"/>
  <c r="D91" i="13" s="1"/>
  <c r="D24" i="13" a="1"/>
  <c r="D24" i="13" s="1"/>
  <c r="D21" i="13" a="1"/>
  <c r="D21" i="13" s="1"/>
  <c r="D89" i="13" a="1"/>
  <c r="D89" i="13" s="1"/>
  <c r="D87" i="13" a="1"/>
  <c r="D87" i="13" s="1"/>
  <c r="D22" i="13" a="1"/>
  <c r="D22" i="13" s="1"/>
  <c r="D56" i="13" a="1"/>
  <c r="D56" i="13" s="1"/>
  <c r="D92" i="13" a="1"/>
  <c r="D92" i="13" s="1"/>
  <c r="D61" i="13" a="1"/>
  <c r="D61" i="13" s="1"/>
  <c r="D90" i="13" a="1"/>
  <c r="D90" i="13" s="1"/>
  <c r="D16" i="13" a="1"/>
  <c r="D16" i="13" s="1"/>
  <c r="D64" i="13" a="1"/>
  <c r="D64" i="13" s="1"/>
  <c r="D15" i="13" a="1"/>
  <c r="D15" i="13" s="1"/>
  <c r="D57" i="13" a="1"/>
  <c r="D57" i="13" s="1"/>
  <c r="D88" i="13" a="1"/>
  <c r="D88" i="13" s="1"/>
  <c r="D14" i="13" a="1"/>
  <c r="D14" i="13" s="1"/>
  <c r="D27" i="13" a="1"/>
  <c r="D27" i="13" s="1"/>
  <c r="D95" i="13" a="1"/>
  <c r="D95" i="13" s="1"/>
  <c r="D62" i="13" a="1"/>
  <c r="D62" i="13" s="1"/>
  <c r="D17" i="13" a="1"/>
  <c r="D17" i="13" s="1"/>
  <c r="D82" i="13" a="1"/>
  <c r="D82" i="13" s="1"/>
  <c r="D20" i="13" a="1"/>
  <c r="D20" i="13" s="1"/>
  <c r="D84" i="13" a="1"/>
  <c r="D84" i="13" s="1"/>
  <c r="D68" i="13" a="1"/>
  <c r="D68" i="13" s="1"/>
  <c r="D19" i="13" a="1"/>
  <c r="D19" i="13" s="1"/>
  <c r="D18" i="13" a="1"/>
  <c r="D18" i="13" s="1"/>
  <c r="D12" i="13" a="1"/>
  <c r="D12" i="13" s="1"/>
  <c r="D37" i="13" a="1"/>
  <c r="D37" i="13" s="1"/>
  <c r="D80" i="13" a="1"/>
  <c r="D80" i="13" s="1"/>
  <c r="D53" i="13" a="1"/>
  <c r="D53" i="13" s="1"/>
  <c r="E42" i="13" a="1"/>
  <c r="BG751" i="5"/>
  <c r="E40" i="13" l="1" a="1"/>
  <c r="E40" i="13" s="1"/>
  <c r="E42" i="13"/>
  <c r="E41" i="13" a="1"/>
  <c r="E41" i="13" s="1"/>
  <c r="E124" i="13" a="1"/>
  <c r="E124" i="13" s="1"/>
  <c r="E46" i="13" a="1"/>
  <c r="E46" i="13" s="1"/>
  <c r="E129" i="13" a="1"/>
  <c r="E129" i="13" s="1"/>
  <c r="E39" i="13" a="1"/>
  <c r="E39" i="13" s="1"/>
  <c r="E7" i="13" a="1"/>
  <c r="E7" i="13" s="1"/>
  <c r="E49" i="13" a="1"/>
  <c r="E49" i="13" s="1"/>
  <c r="E50" i="13" a="1"/>
  <c r="E50" i="13" s="1"/>
  <c r="E8" i="13" a="1"/>
  <c r="E8" i="13" s="1"/>
  <c r="E48" i="13" a="1"/>
  <c r="E48" i="13" s="1"/>
  <c r="E47" i="13" a="1"/>
  <c r="E47" i="13" s="1"/>
  <c r="E127" i="13" a="1"/>
  <c r="E127" i="13" s="1"/>
  <c r="E125" i="13" a="1"/>
  <c r="E125" i="13" s="1"/>
  <c r="E128" i="13" a="1"/>
  <c r="E128" i="13" s="1"/>
  <c r="E77" i="13" a="1"/>
  <c r="E77" i="13" s="1"/>
  <c r="E44" i="13" a="1"/>
  <c r="E44" i="13" s="1"/>
  <c r="E130" i="13" a="1"/>
  <c r="E130" i="13" s="1"/>
  <c r="E104" i="13" a="1"/>
  <c r="E104" i="13" s="1"/>
  <c r="E126" i="13" a="1"/>
  <c r="E126" i="13" s="1"/>
  <c r="E3" i="13" a="1"/>
  <c r="E3" i="13" s="1"/>
  <c r="E2" i="16"/>
  <c r="E101" i="13" a="1"/>
  <c r="E101" i="13" s="1"/>
  <c r="E70" i="13" a="1"/>
  <c r="E79" i="13" a="1"/>
  <c r="E79" i="13" s="1"/>
  <c r="H79" i="13" s="1"/>
  <c r="E78" i="13" a="1"/>
  <c r="E78" i="13" s="1"/>
  <c r="E36" i="13" a="1"/>
  <c r="E36" i="13" s="1"/>
  <c r="G36" i="13" s="1"/>
  <c r="H36" i="13" s="1"/>
  <c r="E105" i="13" a="1"/>
  <c r="E105" i="13" s="1"/>
  <c r="E52" i="13" a="1"/>
  <c r="E52" i="13" s="1"/>
  <c r="H52" i="13" s="1"/>
  <c r="E96" i="13" a="1"/>
  <c r="E96" i="13" s="1"/>
  <c r="E35" i="13" a="1"/>
  <c r="E35" i="13" s="1"/>
  <c r="E22" i="13" a="1"/>
  <c r="E22" i="13" s="1"/>
  <c r="E106" i="13" a="1"/>
  <c r="E106" i="13" s="1"/>
  <c r="G106" i="13" s="1"/>
  <c r="H106" i="13" s="1"/>
  <c r="G7" i="13"/>
  <c r="E12" i="13" a="1"/>
  <c r="E12" i="13" s="1"/>
  <c r="E74" i="13" a="1"/>
  <c r="E74" i="13" s="1"/>
  <c r="E21" i="13" a="1"/>
  <c r="E21" i="13" s="1"/>
  <c r="E58" i="13" a="1"/>
  <c r="E58" i="13" s="1"/>
  <c r="E10" i="13" a="1"/>
  <c r="E10" i="13" s="1"/>
  <c r="E51" i="13" a="1"/>
  <c r="E51" i="13" s="1"/>
  <c r="E11" i="13" a="1"/>
  <c r="E11" i="13" s="1"/>
  <c r="B31" i="4" a="1"/>
  <c r="B31" i="4" s="1"/>
  <c r="C2" i="16" s="1"/>
  <c r="D2" i="16"/>
  <c r="B30" i="4" a="1"/>
  <c r="B30" i="4" s="1"/>
  <c r="C11" i="17" s="1"/>
  <c r="B42" i="4"/>
  <c r="N2" i="16" s="1"/>
  <c r="E116" i="13" a="1"/>
  <c r="E116" i="13" s="1"/>
  <c r="E110" i="13" a="1"/>
  <c r="E110" i="13" s="1"/>
  <c r="E108" i="13" a="1"/>
  <c r="E108" i="13" s="1"/>
  <c r="E122" i="13" a="1"/>
  <c r="E122" i="13" s="1"/>
  <c r="E109" i="13" a="1"/>
  <c r="E109" i="13" s="1"/>
  <c r="E31" i="13" a="1"/>
  <c r="E31" i="13" s="1"/>
  <c r="E99" i="13" a="1"/>
  <c r="E99" i="13" s="1"/>
  <c r="E34" i="13" a="1"/>
  <c r="E34" i="13" s="1"/>
  <c r="E53" i="13" a="1"/>
  <c r="E53" i="13" s="1"/>
  <c r="E69" i="13" a="1"/>
  <c r="E69" i="13" s="1"/>
  <c r="E73" i="13" a="1"/>
  <c r="E73" i="13" s="1"/>
  <c r="E76" i="13" a="1"/>
  <c r="E76" i="13" s="1"/>
  <c r="E61" i="13" a="1"/>
  <c r="E61" i="13" s="1"/>
  <c r="E23" i="13" a="1"/>
  <c r="E23" i="13" s="1"/>
  <c r="E20" i="13" a="1"/>
  <c r="E20" i="13" s="1"/>
  <c r="E114" i="13" a="1"/>
  <c r="E114" i="13" s="1"/>
  <c r="E117" i="13" a="1"/>
  <c r="E117" i="13" s="1"/>
  <c r="E111" i="13" a="1"/>
  <c r="E111" i="13" s="1"/>
  <c r="E115" i="13" a="1"/>
  <c r="E115" i="13" s="1"/>
  <c r="E71" i="13" a="1"/>
  <c r="E71" i="13" s="1"/>
  <c r="E60" i="13" a="1"/>
  <c r="E60" i="13" s="1"/>
  <c r="E113" i="13" a="1"/>
  <c r="E113" i="13" s="1"/>
  <c r="E119" i="13" a="1"/>
  <c r="E119" i="13" s="1"/>
  <c r="G104" i="13"/>
  <c r="E5" i="13" a="1"/>
  <c r="E5" i="13" s="1"/>
  <c r="E6" i="13" a="1"/>
  <c r="E6" i="13" s="1"/>
  <c r="E37" i="13" a="1"/>
  <c r="E37" i="13" s="1"/>
  <c r="E29" i="13" a="1"/>
  <c r="E29" i="13" s="1"/>
  <c r="E28" i="13" a="1"/>
  <c r="E28" i="13" s="1"/>
  <c r="E14" i="13" a="1"/>
  <c r="E14" i="13" s="1"/>
  <c r="E80" i="13" a="1"/>
  <c r="E80" i="13" s="1"/>
  <c r="E30" i="13" a="1"/>
  <c r="E30" i="13" s="1"/>
  <c r="E75" i="13" a="1"/>
  <c r="E75" i="13" s="1"/>
  <c r="E102" i="13" a="1"/>
  <c r="E102" i="13" s="1"/>
  <c r="E103" i="13" a="1"/>
  <c r="E103" i="13" s="1"/>
  <c r="E32" i="13" a="1"/>
  <c r="E32" i="13" s="1"/>
  <c r="E97" i="13" a="1"/>
  <c r="E97" i="13" s="1"/>
  <c r="E81" i="13" a="1"/>
  <c r="E81" i="13" s="1"/>
  <c r="E95" i="13" a="1"/>
  <c r="E95" i="13" s="1"/>
  <c r="E57" i="13" a="1"/>
  <c r="E57" i="13" s="1"/>
  <c r="E112" i="13" a="1"/>
  <c r="E112" i="13" s="1"/>
  <c r="E123" i="13" a="1"/>
  <c r="E123" i="13" s="1"/>
  <c r="E107" i="13" a="1"/>
  <c r="E107" i="13" s="1"/>
  <c r="E118" i="13" a="1"/>
  <c r="E118" i="13" s="1"/>
  <c r="BF751" i="5"/>
  <c r="E9" i="13" a="1"/>
  <c r="E9" i="13" s="1"/>
  <c r="D4" i="5" a="1"/>
  <c r="E98" i="13" a="1"/>
  <c r="E98" i="13" s="1"/>
  <c r="E72" i="13" a="1"/>
  <c r="E72" i="13" s="1"/>
  <c r="E33" i="13" a="1"/>
  <c r="E33" i="13" s="1"/>
  <c r="E100" i="13" a="1"/>
  <c r="E100" i="13" s="1"/>
  <c r="E59" i="13" a="1"/>
  <c r="E59" i="13" s="1"/>
  <c r="E64" i="13" a="1"/>
  <c r="E64" i="13" s="1"/>
  <c r="E65" i="13" a="1"/>
  <c r="E65" i="13" s="1"/>
  <c r="E86" i="13" a="1"/>
  <c r="E86" i="13" s="1"/>
  <c r="E87" i="13" a="1"/>
  <c r="E87" i="13" s="1"/>
  <c r="E83" i="13" a="1"/>
  <c r="E83" i="13" s="1"/>
  <c r="E85" i="13" a="1"/>
  <c r="E85" i="13" s="1"/>
  <c r="E54" i="13" a="1"/>
  <c r="E54" i="13" s="1"/>
  <c r="E89" i="13" a="1"/>
  <c r="E89" i="13" s="1"/>
  <c r="E55" i="13" a="1"/>
  <c r="E55" i="13" s="1"/>
  <c r="E24" i="13" a="1"/>
  <c r="E24" i="13" s="1"/>
  <c r="E19" i="13" a="1"/>
  <c r="E19" i="13" s="1"/>
  <c r="E84" i="13" a="1"/>
  <c r="E84" i="13" s="1"/>
  <c r="E91" i="13" a="1"/>
  <c r="E91" i="13" s="1"/>
  <c r="E16" i="13" a="1"/>
  <c r="E16" i="13" s="1"/>
  <c r="E18" i="13" a="1"/>
  <c r="E18" i="13" s="1"/>
  <c r="E68" i="13" a="1"/>
  <c r="E68" i="13" s="1"/>
  <c r="E90" i="13" a="1"/>
  <c r="E90" i="13" s="1"/>
  <c r="E88" i="13" a="1"/>
  <c r="E88" i="13" s="1"/>
  <c r="E27" i="13" a="1"/>
  <c r="E27" i="13" s="1"/>
  <c r="E13" i="13" a="1"/>
  <c r="E13" i="13" s="1"/>
  <c r="E15" i="13" a="1"/>
  <c r="E15" i="13" s="1"/>
  <c r="E92" i="13" a="1"/>
  <c r="E92" i="13" s="1"/>
  <c r="E17" i="13" a="1"/>
  <c r="E17" i="13" s="1"/>
  <c r="E82" i="13" a="1"/>
  <c r="E82" i="13" s="1"/>
  <c r="E56" i="13" a="1"/>
  <c r="E56" i="13" s="1"/>
  <c r="E62" i="13" a="1"/>
  <c r="E62" i="13" s="1"/>
  <c r="E63" i="13" a="1"/>
  <c r="E63" i="13" s="1"/>
  <c r="G11" i="13"/>
  <c r="H11" i="13" s="1"/>
  <c r="E70" i="13"/>
  <c r="D4" i="5"/>
  <c r="BH751" i="5"/>
  <c r="B41" i="4" l="1"/>
  <c r="M2" i="16" s="1"/>
  <c r="B43" i="4"/>
  <c r="L4" i="13"/>
  <c r="B4" i="13" s="1"/>
  <c r="H3" i="13"/>
  <c r="G3" i="13"/>
  <c r="B29" i="4"/>
  <c r="B2" i="16" s="1"/>
  <c r="C11" i="15"/>
  <c r="O2" i="16" l="1"/>
  <c r="C13" i="15"/>
  <c r="H4" i="13"/>
  <c r="E12" i="17" s="1"/>
  <c r="G4" i="13"/>
  <c r="C12" i="15" s="1"/>
  <c r="D5" i="9"/>
  <c r="C12" i="17" l="1"/>
  <c r="D12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Michal ROVŇANÍK</author>
  </authors>
  <commentList>
    <comment ref="A25" authorId="0" shapeId="0" xr:uid="{00000000-0006-0000-0000-000001000000}">
      <text>
        <r>
          <rPr>
            <sz val="9"/>
            <color indexed="81"/>
            <rFont val="Tahoma"/>
            <family val="2"/>
            <charset val="238"/>
          </rPr>
          <t>pre zadanie nového riadku stlačte ľavý ALT + ENTER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URDA</author>
  </authors>
  <commentList>
    <comment ref="A6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38"/>
          </rPr>
          <t>Licencie IPS:</t>
        </r>
        <r>
          <rPr>
            <sz val="9"/>
            <color indexed="81"/>
            <rFont val="Tahoma"/>
            <family val="2"/>
            <charset val="238"/>
          </rPr>
          <t xml:space="preserve">
Mnt_D2000 v.10 Enterprise: 6 000€
Mnt_EMS v. 1.0: 2 480€
Mnt_REMS v. 1.0: 18 000€
SELT v. 3: 5 200€</t>
        </r>
      </text>
    </comment>
    <comment ref="B6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38"/>
          </rPr>
          <t>Usmernenie - povinné polia:</t>
        </r>
        <r>
          <rPr>
            <sz val="9"/>
            <color indexed="81"/>
            <rFont val="Tahoma"/>
            <family val="2"/>
            <charset val="238"/>
          </rPr>
          <t xml:space="preserve">
Ak </t>
        </r>
        <r>
          <rPr>
            <i/>
            <sz val="9"/>
            <color indexed="81"/>
            <rFont val="Tahoma"/>
            <family val="2"/>
            <charset val="238"/>
          </rPr>
          <t>Typ</t>
        </r>
        <r>
          <rPr>
            <sz val="9"/>
            <color indexed="81"/>
            <rFont val="Tahoma"/>
            <family val="2"/>
            <charset val="238"/>
          </rPr>
          <t xml:space="preserve"> nákladu je:
1. v </t>
        </r>
        <r>
          <rPr>
            <b/>
            <sz val="9"/>
            <color indexed="81"/>
            <rFont val="Tahoma"/>
            <family val="2"/>
            <charset val="238"/>
          </rPr>
          <t>človekodňoch</t>
        </r>
        <r>
          <rPr>
            <sz val="9"/>
            <color indexed="81"/>
            <rFont val="Tahoma"/>
            <family val="2"/>
            <charset val="238"/>
          </rPr>
          <t xml:space="preserve">, potom sú povinné:
   - </t>
        </r>
        <r>
          <rPr>
            <i/>
            <sz val="9"/>
            <color indexed="81"/>
            <rFont val="Tahoma"/>
            <family val="2"/>
            <charset val="238"/>
          </rPr>
          <t>Stredisko</t>
        </r>
        <r>
          <rPr>
            <sz val="9"/>
            <color indexed="81"/>
            <rFont val="Tahoma"/>
            <family val="2"/>
            <charset val="238"/>
          </rPr>
          <t xml:space="preserve">
   - </t>
        </r>
        <r>
          <rPr>
            <i/>
            <sz val="9"/>
            <color indexed="81"/>
            <rFont val="Tahoma"/>
            <family val="2"/>
            <charset val="238"/>
          </rPr>
          <t>Hodina</t>
        </r>
        <r>
          <rPr>
            <sz val="9"/>
            <color indexed="81"/>
            <rFont val="Tahoma"/>
            <family val="2"/>
            <charset val="238"/>
          </rPr>
          <t xml:space="preserve">
   - </t>
        </r>
        <r>
          <rPr>
            <i/>
            <sz val="9"/>
            <color indexed="81"/>
            <rFont val="Tahoma"/>
            <family val="2"/>
            <charset val="238"/>
          </rPr>
          <t>Komponent SZ</t>
        </r>
        <r>
          <rPr>
            <sz val="9"/>
            <color indexed="81"/>
            <rFont val="Tahoma"/>
            <family val="2"/>
            <charset val="238"/>
          </rPr>
          <t xml:space="preserve">
2. v </t>
        </r>
        <r>
          <rPr>
            <b/>
            <sz val="9"/>
            <color indexed="81"/>
            <rFont val="Tahoma"/>
            <family val="2"/>
            <charset val="238"/>
          </rPr>
          <t xml:space="preserve">eurách </t>
        </r>
        <r>
          <rPr>
            <sz val="9"/>
            <color indexed="81"/>
            <rFont val="Tahoma"/>
            <family val="2"/>
            <charset val="238"/>
          </rPr>
          <t xml:space="preserve">alebo v </t>
        </r>
        <r>
          <rPr>
            <b/>
            <sz val="9"/>
            <color indexed="81"/>
            <rFont val="Tahoma"/>
            <family val="2"/>
            <charset val="238"/>
          </rPr>
          <t>kusoch</t>
        </r>
        <r>
          <rPr>
            <sz val="9"/>
            <color indexed="81"/>
            <rFont val="Tahoma"/>
            <family val="2"/>
            <charset val="238"/>
          </rPr>
          <t xml:space="preserve">, potom je nutné:
   - </t>
        </r>
        <r>
          <rPr>
            <i/>
            <sz val="9"/>
            <color indexed="81"/>
            <rFont val="Tahoma"/>
            <family val="2"/>
            <charset val="238"/>
          </rPr>
          <t>Stredisko</t>
        </r>
        <r>
          <rPr>
            <sz val="9"/>
            <color indexed="81"/>
            <rFont val="Tahoma"/>
            <family val="2"/>
            <charset val="238"/>
          </rPr>
          <t xml:space="preserve"> -</t>
        </r>
        <r>
          <rPr>
            <b/>
            <i/>
            <sz val="9"/>
            <color indexed="81"/>
            <rFont val="Tahoma"/>
            <family val="2"/>
            <charset val="238"/>
          </rPr>
          <t xml:space="preserve"> </t>
        </r>
        <r>
          <rPr>
            <i/>
            <sz val="9"/>
            <color indexed="10"/>
            <rFont val="Tahoma"/>
            <family val="2"/>
            <charset val="238"/>
          </rPr>
          <t>nevyplniť</t>
        </r>
        <r>
          <rPr>
            <sz val="9"/>
            <color indexed="81"/>
            <rFont val="Tahoma"/>
            <family val="2"/>
            <charset val="238"/>
          </rPr>
          <t xml:space="preserve"> (Delete)
   - </t>
        </r>
        <r>
          <rPr>
            <i/>
            <sz val="9"/>
            <color indexed="81"/>
            <rFont val="Tahoma"/>
            <family val="2"/>
            <charset val="238"/>
          </rPr>
          <t>Komponent SZ</t>
        </r>
      </text>
    </comment>
    <comment ref="D6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38"/>
          </rPr>
          <t>Popis hodín:</t>
        </r>
        <r>
          <rPr>
            <sz val="9"/>
            <color indexed="81"/>
            <rFont val="Tahoma"/>
            <family val="2"/>
            <charset val="238"/>
          </rPr>
          <t xml:space="preserve">
Hodiny sa zadávajú v človekodňoch (viď nižšie).
- </t>
        </r>
        <r>
          <rPr>
            <i/>
            <sz val="9"/>
            <color indexed="81"/>
            <rFont val="Tahoma"/>
            <family val="2"/>
            <charset val="238"/>
          </rPr>
          <t>štandardná:</t>
        </r>
        <r>
          <rPr>
            <sz val="9"/>
            <color indexed="81"/>
            <rFont val="Tahoma"/>
            <family val="2"/>
            <charset val="238"/>
          </rPr>
          <t xml:space="preserve"> zamestnanec je využitý počas štandardného pracovného času.  1 čldeň = 8 člhod.
- </t>
        </r>
        <r>
          <rPr>
            <i/>
            <sz val="9"/>
            <color indexed="81"/>
            <rFont val="Tahoma"/>
            <family val="2"/>
            <charset val="238"/>
          </rPr>
          <t>pohotovosť aktívna:</t>
        </r>
        <r>
          <rPr>
            <sz val="9"/>
            <color indexed="81"/>
            <rFont val="Tahoma"/>
            <family val="2"/>
            <charset val="238"/>
          </rPr>
          <t xml:space="preserve"> zamestnanec vykonáva pracovnú činnosť mimo štandardného pracovného času. 1 čldeň = 8 člhod.
</t>
        </r>
        <r>
          <rPr>
            <i/>
            <sz val="9"/>
            <color indexed="81"/>
            <rFont val="Tahoma"/>
            <family val="2"/>
            <charset val="238"/>
          </rPr>
          <t>- Lx - pracovný deň</t>
        </r>
        <r>
          <rPr>
            <sz val="9"/>
            <color indexed="81"/>
            <rFont val="Tahoma"/>
            <family val="2"/>
            <charset val="238"/>
          </rPr>
          <t xml:space="preserve">: zamestnanec je k dispozícií mimo štandardného pracovného času počas pracovného dňa. 
1 čldeň = 16 člhod.
</t>
        </r>
        <r>
          <rPr>
            <i/>
            <sz val="9"/>
            <color indexed="81"/>
            <rFont val="Tahoma"/>
            <family val="2"/>
            <charset val="238"/>
          </rPr>
          <t xml:space="preserve">- Lx -sobota: </t>
        </r>
        <r>
          <rPr>
            <sz val="9"/>
            <color indexed="81"/>
            <rFont val="Tahoma"/>
            <family val="2"/>
            <charset val="238"/>
          </rPr>
          <t>zamestnanec je k dispozícií počas soboty.
1 čldeň = 24 člhod.</t>
        </r>
        <r>
          <rPr>
            <i/>
            <sz val="9"/>
            <color indexed="81"/>
            <rFont val="Tahoma"/>
            <family val="2"/>
            <charset val="238"/>
          </rPr>
          <t xml:space="preserve">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  <r>
          <rPr>
            <i/>
            <sz val="9"/>
            <color indexed="81"/>
            <rFont val="Tahoma"/>
            <family val="2"/>
            <charset val="238"/>
          </rPr>
          <t xml:space="preserve">- Lx -nedeľa/sviatok: </t>
        </r>
        <r>
          <rPr>
            <sz val="9"/>
            <color indexed="81"/>
            <rFont val="Tahoma"/>
            <family val="2"/>
            <charset val="238"/>
          </rPr>
          <t>zamestnanec je k dispozícií počas nedele alebo sviatku.
1 čldeň = 24 člhod.</t>
        </r>
      </text>
    </comment>
    <comment ref="E6" authorId="0" shapeId="0" xr:uid="{00000000-0006-0000-0100-000004000000}">
      <text>
        <r>
          <rPr>
            <sz val="9"/>
            <color indexed="81"/>
            <rFont val="Tahoma"/>
            <family val="2"/>
            <charset val="238"/>
          </rPr>
          <t>MUL: pravidelná aktualizácia/údržba licencií
SLA: HelpDesk, držanie pohotovosti a riešenie vzniknutých situácii
AS: aktualizácia systému na vyžiadanie zákazníka</t>
        </r>
      </text>
    </comment>
    <comment ref="BI6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38"/>
          </rPr>
          <t>Peter URDA:</t>
        </r>
        <r>
          <rPr>
            <sz val="9"/>
            <color indexed="81"/>
            <rFont val="Tahoma"/>
            <family val="2"/>
            <charset val="238"/>
          </rPr>
          <t xml:space="preserve">
tarifa sa vypočíta v prípade, ak:
1. ide o pracovnú pozíciu, t.j. pracovníka </t>
        </r>
        <r>
          <rPr>
            <b/>
            <sz val="9"/>
            <color indexed="81"/>
            <rFont val="Tahoma"/>
            <family val="2"/>
            <charset val="238"/>
          </rPr>
          <t>a sú</t>
        </r>
        <r>
          <rPr>
            <sz val="9"/>
            <color indexed="81"/>
            <rFont val="Tahoma"/>
            <family val="2"/>
            <charset val="238"/>
          </rPr>
          <t xml:space="preserve"> vyplnenné polia stredisko, hodina, komponent SZ
</t>
        </r>
        <r>
          <rPr>
            <b/>
            <sz val="9"/>
            <color indexed="81"/>
            <rFont val="Tahoma"/>
            <family val="2"/>
            <charset val="238"/>
          </rPr>
          <t>alebo</t>
        </r>
        <r>
          <rPr>
            <sz val="9"/>
            <color indexed="81"/>
            <rFont val="Tahoma"/>
            <family val="2"/>
            <charset val="238"/>
          </rPr>
          <t xml:space="preserve">
2. </t>
        </r>
        <r>
          <rPr>
            <b/>
            <sz val="9"/>
            <color indexed="81"/>
            <rFont val="Tahoma"/>
            <family val="2"/>
            <charset val="238"/>
          </rPr>
          <t>ne</t>
        </r>
        <r>
          <rPr>
            <sz val="9"/>
            <color indexed="81"/>
            <rFont val="Tahoma"/>
            <family val="2"/>
            <charset val="238"/>
          </rPr>
          <t xml:space="preserve">ide o pracovnú pozíciu, t.j. pracovníka </t>
        </r>
        <r>
          <rPr>
            <b/>
            <sz val="9"/>
            <color indexed="81"/>
            <rFont val="Tahoma"/>
            <family val="2"/>
            <charset val="238"/>
          </rPr>
          <t>a nie sú</t>
        </r>
        <r>
          <rPr>
            <sz val="9"/>
            <color indexed="81"/>
            <rFont val="Tahoma"/>
            <family val="2"/>
            <charset val="238"/>
          </rPr>
          <t xml:space="preserve"> vyplnenné polia stredisko, hodina </t>
        </r>
        <r>
          <rPr>
            <b/>
            <sz val="9"/>
            <color indexed="81"/>
            <rFont val="Tahoma"/>
            <family val="2"/>
            <charset val="238"/>
          </rPr>
          <t>a je</t>
        </r>
        <r>
          <rPr>
            <sz val="9"/>
            <color indexed="81"/>
            <rFont val="Tahoma"/>
            <family val="2"/>
            <charset val="238"/>
          </rPr>
          <t xml:space="preserve"> vyplnené pole komponent SZ
</t>
        </r>
      </text>
    </comment>
    <comment ref="BN6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38"/>
          </rPr>
          <t>Peter URDA:</t>
        </r>
        <r>
          <rPr>
            <sz val="9"/>
            <color indexed="81"/>
            <rFont val="Tahoma"/>
            <family val="2"/>
            <charset val="238"/>
          </rPr>
          <t xml:space="preserve">
pri ostatných typov VRZov je Fáza vypĺňaná, nie počítaná.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URDA</author>
  </authors>
  <commentList>
    <comment ref="B6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38"/>
          </rPr>
          <t>Usmernenie:</t>
        </r>
        <r>
          <rPr>
            <sz val="9"/>
            <color indexed="81"/>
            <rFont val="Tahoma"/>
            <family val="2"/>
            <charset val="238"/>
          </rPr>
          <t xml:space="preserve">
Potrebné vyplniť aj </t>
        </r>
        <r>
          <rPr>
            <i/>
            <sz val="9"/>
            <color indexed="81"/>
            <rFont val="Tahoma"/>
            <family val="2"/>
            <charset val="238"/>
          </rPr>
          <t>Komponent SZ.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URDA</author>
  </authors>
  <commentList>
    <comment ref="B49" authorId="0" shapeId="0" xr:uid="{00000000-0006-0000-0400-000002000000}">
      <text>
        <r>
          <rPr>
            <sz val="9"/>
            <color indexed="81"/>
            <rFont val="Tahoma"/>
            <family val="2"/>
            <charset val="238"/>
          </rPr>
          <t>Gas Storage Optimalisation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URDA</author>
    <author>Michal ROVŇANÍK</author>
  </authors>
  <commentList>
    <comment ref="Q1" authorId="0" shapeId="0" xr:uid="{00000000-0006-0000-0700-000001000000}">
      <text>
        <r>
          <rPr>
            <b/>
            <sz val="9"/>
            <color indexed="81"/>
            <rFont val="Tahoma"/>
            <family val="2"/>
            <charset val="238"/>
          </rPr>
          <t>Peter URDA:</t>
        </r>
        <r>
          <rPr>
            <sz val="9"/>
            <color indexed="81"/>
            <rFont val="Tahoma"/>
            <family val="2"/>
            <charset val="238"/>
          </rPr>
          <t xml:space="preserve">
PA výpočet:
- 40% zo sadzby = cca čistá hodina práce (mzda+odvody)
- 1,5 - príplatok (drahší) za nadčas </t>
        </r>
      </text>
    </comment>
    <comment ref="J2" authorId="1" shapeId="0" xr:uid="{00000000-0006-0000-0700-000002000000}">
      <text>
        <r>
          <rPr>
            <b/>
            <sz val="9"/>
            <color indexed="81"/>
            <rFont val="Tahoma"/>
            <family val="2"/>
            <charset val="238"/>
          </rPr>
          <t>Michal ROVŇANÍK:</t>
        </r>
        <r>
          <rPr>
            <sz val="9"/>
            <color indexed="81"/>
            <rFont val="Tahoma"/>
            <family val="2"/>
            <charset val="238"/>
          </rPr>
          <t xml:space="preserve">
Náklady materskej firmy
</t>
        </r>
        <r>
          <rPr>
            <b/>
            <sz val="9"/>
            <color indexed="81"/>
            <rFont val="Tahoma"/>
            <family val="2"/>
            <charset val="238"/>
          </rPr>
          <t xml:space="preserve">PU:
</t>
        </r>
        <r>
          <rPr>
            <sz val="9"/>
            <color indexed="81"/>
            <rFont val="Tahoma"/>
            <family val="2"/>
            <charset val="238"/>
          </rPr>
          <t>aktualizované vo verzii 5. Sadzby nie sú rozdelené podľa strediska.</t>
        </r>
      </text>
    </comment>
    <comment ref="K2" authorId="1" shapeId="0" xr:uid="{00000000-0006-0000-0700-000003000000}">
      <text>
        <r>
          <rPr>
            <b/>
            <sz val="9"/>
            <color indexed="81"/>
            <rFont val="Tahoma"/>
            <family val="2"/>
            <charset val="238"/>
          </rPr>
          <t>Michal ROVŇANÍK:</t>
        </r>
        <r>
          <rPr>
            <sz val="9"/>
            <color indexed="81"/>
            <rFont val="Tahoma"/>
            <family val="2"/>
            <charset val="238"/>
          </rPr>
          <t xml:space="preserve">
Náklady materskej firmy + transakčná prirážka
</t>
        </r>
        <r>
          <rPr>
            <b/>
            <sz val="9"/>
            <color indexed="81"/>
            <rFont val="Tahoma"/>
            <family val="2"/>
            <charset val="238"/>
          </rPr>
          <t>PU:</t>
        </r>
        <r>
          <rPr>
            <sz val="9"/>
            <color indexed="81"/>
            <rFont val="Tahoma"/>
            <family val="2"/>
            <charset val="238"/>
          </rPr>
          <t xml:space="preserve">
vo verzii 5 vymazané z dôvodu neaktualnosti.</t>
        </r>
      </text>
    </comment>
    <comment ref="J89" authorId="0" shapeId="0" xr:uid="{00000000-0006-0000-0700-000004000000}">
      <text>
        <r>
          <rPr>
            <b/>
            <sz val="9"/>
            <color indexed="81"/>
            <rFont val="Tahoma"/>
            <family val="2"/>
            <charset val="238"/>
          </rPr>
          <t>Peter URDA:</t>
        </r>
        <r>
          <rPr>
            <sz val="9"/>
            <color indexed="81"/>
            <rFont val="Tahoma"/>
            <family val="2"/>
            <charset val="238"/>
          </rPr>
          <t xml:space="preserve">
- amortizácia na km
- cena paliva za liter
- spotreba</t>
        </r>
      </text>
    </comment>
  </commentList>
</comments>
</file>

<file path=xl/sharedStrings.xml><?xml version="1.0" encoding="utf-8"?>
<sst xmlns="http://schemas.openxmlformats.org/spreadsheetml/2006/main" count="1494" uniqueCount="458">
  <si>
    <t>Hodnota</t>
  </si>
  <si>
    <t>Parameter</t>
  </si>
  <si>
    <t>3S</t>
  </si>
  <si>
    <t>Podiel priamych miezd na tvorbe fondu odmien - tím</t>
  </si>
  <si>
    <t>Náklad</t>
  </si>
  <si>
    <t>Názov</t>
  </si>
  <si>
    <t>Zákazník</t>
  </si>
  <si>
    <t>Solventnosť, platobná disciplína</t>
  </si>
  <si>
    <t>Menové riziká</t>
  </si>
  <si>
    <t>Politická nestabilita / politické vzťahy</t>
  </si>
  <si>
    <t>Právne povedomie zákazníka, nerešpektovanie zmluvných podmienok</t>
  </si>
  <si>
    <t>Zmena objemu</t>
  </si>
  <si>
    <t>Teritoriálne riziko</t>
  </si>
  <si>
    <t>Dodávatelia / sub-dodávatelia / partneri</t>
  </si>
  <si>
    <t>Integrácia, protiplnenia 3S a partnerov</t>
  </si>
  <si>
    <t>Nepotvrdené termíny dodávok</t>
  </si>
  <si>
    <t>Neadekvátne back-to-back dohody</t>
  </si>
  <si>
    <t>CUST</t>
  </si>
  <si>
    <t>LEG</t>
  </si>
  <si>
    <t>Legislatívny rozsah a podmienky</t>
  </si>
  <si>
    <t>Neodhadnuteľné zmeny v legislatívnych a rozpočtových podmienkach</t>
  </si>
  <si>
    <t>Požiadavky na mlčanlivosť / dôvernosť</t>
  </si>
  <si>
    <t>Platby za licencie / patenty</t>
  </si>
  <si>
    <t>Porušenie národnej legislatívy a kultúry</t>
  </si>
  <si>
    <t>Exportné podmienky</t>
  </si>
  <si>
    <t>Zmluva / ziskovosť</t>
  </si>
  <si>
    <t>Nedostatočne špecifikované požiadavky, zafixované cenové dohody</t>
  </si>
  <si>
    <t>Kritické termínové záväzky s významnými konzekvenciami pri nesplnení</t>
  </si>
  <si>
    <t>Kritické servisné záväzky (spoľahlivosť, výkon, dostupnosť)</t>
  </si>
  <si>
    <t>Zábezpeky / ručenie za straty pri oneskorení, záruka a iné zmluvné dojednania</t>
  </si>
  <si>
    <t>Neadekvátnosť testovacích (akceptačných) procedúr</t>
  </si>
  <si>
    <t>Dohody o rozšírení rozsahu kontraktu, obnovovanie / ukončenie kontraktu</t>
  </si>
  <si>
    <t>Neadekvátny proces zmenového riadenia</t>
  </si>
  <si>
    <t>Nezvykle dlhé záručné lehoty (HW &gt; 3 roky; SW &gt; 12 mesiacov)</t>
  </si>
  <si>
    <t>Dlhodobé servisné záväzky</t>
  </si>
  <si>
    <t>CONT</t>
  </si>
  <si>
    <t>TECH</t>
  </si>
  <si>
    <t>Nová technológia / nové riešenie</t>
  </si>
  <si>
    <t>Použitie neautorizovaných produktov a komponentov</t>
  </si>
  <si>
    <t>Vysoký počet produktov / komponentov / interfejsov na integráciu</t>
  </si>
  <si>
    <t>Výrazný podiel zákaznickych úprav produktu (customizácia)</t>
  </si>
  <si>
    <t>Špecifické požiadavky na bezpečnosť (military)</t>
  </si>
  <si>
    <t>Nesprávny odhad (napr. nedostatočný detail rozpracovania) / chyby nacenenia</t>
  </si>
  <si>
    <t>Zvýšené požiadavky na testovanie</t>
  </si>
  <si>
    <t>Plnenie aktuálnych noriem a štandardov</t>
  </si>
  <si>
    <t>PROJ</t>
  </si>
  <si>
    <t>Projektový manažment / ĽZ</t>
  </si>
  <si>
    <t>Zručnosti / skúsenosti projektového týmu</t>
  </si>
  <si>
    <t>Nedostatok kapacít na kľúčových pozíciách (PM, SA, QM, CM???) / dostupnosť pracovníkov</t>
  </si>
  <si>
    <t>Závislosť na kľúčových pracovníkoch (vlastných / zákazníkových / dodávateľových)</t>
  </si>
  <si>
    <t>Nedostatočná stabilina projektovej štruktúry</t>
  </si>
  <si>
    <t>Vysoký počet partnerov / komunikačné bariéry (jazyk, heterogénnosť kultúrneho prostredia)</t>
  </si>
  <si>
    <t>Infraštruktúra / logistika</t>
  </si>
  <si>
    <t>LOG</t>
  </si>
  <si>
    <t>lokálna infraštruktúra / komunikačná infraštruktúra</t>
  </si>
  <si>
    <t>Obstarávanie / nákup / organizácia / logistika</t>
  </si>
  <si>
    <t>Poškodenie pri preprave / strata</t>
  </si>
  <si>
    <t>hodnota</t>
  </si>
  <si>
    <t>riziko</t>
  </si>
  <si>
    <t>váha (v %)</t>
  </si>
  <si>
    <t>Technické riziká</t>
  </si>
  <si>
    <t>HW</t>
  </si>
  <si>
    <t>SW</t>
  </si>
  <si>
    <t>WORKS</t>
  </si>
  <si>
    <t>PROV</t>
  </si>
  <si>
    <t>∑</t>
  </si>
  <si>
    <t xml:space="preserve">hardware </t>
  </si>
  <si>
    <t>software</t>
  </si>
  <si>
    <t>práce</t>
  </si>
  <si>
    <t>provízie</t>
  </si>
  <si>
    <t>Hrubá marža (GM)</t>
  </si>
  <si>
    <t>SG&amp;A na 1 hodinu výkonu</t>
  </si>
  <si>
    <t>Dátum podpisu</t>
  </si>
  <si>
    <t>CIS_POLOŽKY</t>
  </si>
  <si>
    <t>interné práce</t>
  </si>
  <si>
    <t>nákup 3S</t>
  </si>
  <si>
    <t>cestovné náhrady (stravné, diéty, ubytovanie)</t>
  </si>
  <si>
    <t>číselník typov položiek tvoriacich štruktúru zákazky</t>
  </si>
  <si>
    <t>licencie</t>
  </si>
  <si>
    <t>licencie D2000</t>
  </si>
  <si>
    <t>licencie SELT</t>
  </si>
  <si>
    <t>TRAVEL</t>
  </si>
  <si>
    <t>CIS_KATEGÓRIE</t>
  </si>
  <si>
    <t>Fakturácia</t>
  </si>
  <si>
    <t>skup. - interné práce</t>
  </si>
  <si>
    <t>skup. - nákup 3S</t>
  </si>
  <si>
    <t>MJ</t>
  </si>
  <si>
    <t>čld.</t>
  </si>
  <si>
    <t>EUR</t>
  </si>
  <si>
    <t>číselník typov + skupiny položiek (použité pre výnosy)</t>
  </si>
  <si>
    <t>*** prázdna ***</t>
  </si>
  <si>
    <t>Zákazka</t>
  </si>
  <si>
    <t>Začiatok</t>
  </si>
  <si>
    <t>Koncový zákazník</t>
  </si>
  <si>
    <t>Partner</t>
  </si>
  <si>
    <t>Zmeny</t>
  </si>
  <si>
    <t>(editovateľné)</t>
  </si>
  <si>
    <t>presales</t>
  </si>
  <si>
    <t>Podiel priamych miezd na tvorbe fondu odmien - projektový manažér</t>
  </si>
  <si>
    <t>N_Typ</t>
  </si>
  <si>
    <t>N_Kateg</t>
  </si>
  <si>
    <t>N_MJ</t>
  </si>
  <si>
    <t>N_Direct</t>
  </si>
  <si>
    <t>N_SGA</t>
  </si>
  <si>
    <t>N_Total</t>
  </si>
  <si>
    <t>N_Amount</t>
  </si>
  <si>
    <t>V_Typ</t>
  </si>
  <si>
    <t>V_Kateg</t>
  </si>
  <si>
    <t>V_Total</t>
  </si>
  <si>
    <t>spolu</t>
  </si>
  <si>
    <t>Čas na ceste</t>
  </si>
  <si>
    <t>SALES</t>
  </si>
  <si>
    <t>Stredisko</t>
  </si>
  <si>
    <t>CIS_STREDISKO</t>
  </si>
  <si>
    <t>SELT</t>
  </si>
  <si>
    <t>CIS_STREDISKO_WO</t>
  </si>
  <si>
    <t>N_Center</t>
  </si>
  <si>
    <t>N_Výkon</t>
  </si>
  <si>
    <t>V_Výkon</t>
  </si>
  <si>
    <t>riziká</t>
  </si>
  <si>
    <t>Service Level Agreement</t>
  </si>
  <si>
    <t>pohotovosť aktívna</t>
  </si>
  <si>
    <t>CIS_HOURS</t>
  </si>
  <si>
    <t>Hodina</t>
  </si>
  <si>
    <t>štandardná</t>
  </si>
  <si>
    <t>ST</t>
  </si>
  <si>
    <t>PP</t>
  </si>
  <si>
    <t>PA</t>
  </si>
  <si>
    <t>Application Support</t>
  </si>
  <si>
    <t>Maintenance + Upgrade Licenses</t>
  </si>
  <si>
    <t>CIS_PART</t>
  </si>
  <si>
    <t>MUL</t>
  </si>
  <si>
    <t>SLA</t>
  </si>
  <si>
    <t>AS</t>
  </si>
  <si>
    <t>Maintenance &amp; Upgrade Licenses</t>
  </si>
  <si>
    <t>Pracovník</t>
  </si>
  <si>
    <t>FINANCE</t>
  </si>
  <si>
    <t>Náklady spolu:</t>
  </si>
  <si>
    <t>Fakturácia spolu:</t>
  </si>
  <si>
    <t>Typ</t>
  </si>
  <si>
    <t>Typ/Kategória</t>
  </si>
  <si>
    <t>Kategória</t>
  </si>
  <si>
    <t>Komponent SZ</t>
  </si>
  <si>
    <t>CIS_PEOPLE</t>
  </si>
  <si>
    <t>Antolík Vladislav</t>
  </si>
  <si>
    <t>finančné náklady</t>
  </si>
  <si>
    <t>Druh</t>
  </si>
  <si>
    <t>Fáza</t>
  </si>
  <si>
    <t>Datum</t>
  </si>
  <si>
    <t>Sum</t>
  </si>
  <si>
    <t>číslo verzie</t>
  </si>
  <si>
    <t>fáza</t>
  </si>
  <si>
    <t>revidovaný</t>
  </si>
  <si>
    <t>_R</t>
  </si>
  <si>
    <t>nie</t>
  </si>
  <si>
    <t>N_ItemsCount</t>
  </si>
  <si>
    <t>N_Tariff</t>
  </si>
  <si>
    <t>ks</t>
  </si>
  <si>
    <t>licencie IPS</t>
  </si>
  <si>
    <t>Názov konta</t>
  </si>
  <si>
    <t>Dátum kontraktu</t>
  </si>
  <si>
    <t>Obchodník</t>
  </si>
  <si>
    <t>Mnt_EMS v. 1.0</t>
  </si>
  <si>
    <t>Mnt_REMS v. 1.0</t>
  </si>
  <si>
    <t>M0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</si>
  <si>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</si>
  <si>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</si>
  <si>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</si>
  <si>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</si>
  <si>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</si>
  <si>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</si>
  <si>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</si>
  <si>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</si>
  <si>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</si>
  <si>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</si>
  <si>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</si>
  <si>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</si>
  <si>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</si>
  <si>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</si>
  <si>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</si>
  <si>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</si>
  <si>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</si>
  <si>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</si>
  <si>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</si>
  <si>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</si>
  <si>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</si>
  <si>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</si>
  <si>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</si>
  <si>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</si>
  <si>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</si>
  <si>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TransferFrom</t>
  </si>
  <si>
    <t>TranferTo</t>
  </si>
  <si>
    <t>IsTransfer</t>
  </si>
  <si>
    <t>Mf0</t>
  </si>
  <si>
    <t>Mf1</t>
  </si>
  <si>
    <t>Mf2</t>
  </si>
  <si>
    <t>Mf3</t>
  </si>
  <si>
    <t>Mf4</t>
  </si>
  <si>
    <t>Mf5</t>
  </si>
  <si>
    <t>Mf6</t>
  </si>
  <si>
    <t>Mf7</t>
  </si>
  <si>
    <t>Mf8</t>
  </si>
  <si>
    <t>Mf9</t>
  </si>
  <si>
    <t>Mf10</t>
  </si>
  <si>
    <t>Mf11</t>
  </si>
  <si>
    <t>Mf12</t>
  </si>
  <si>
    <t>Mf13</t>
  </si>
  <si>
    <t>Mf14</t>
  </si>
  <si>
    <t>Mf15</t>
  </si>
  <si>
    <t>Mf16</t>
  </si>
  <si>
    <t>Mf17</t>
  </si>
  <si>
    <t>Mf18</t>
  </si>
  <si>
    <t>Mf19</t>
  </si>
  <si>
    <t>Mf20</t>
  </si>
  <si>
    <t>Mf21</t>
  </si>
  <si>
    <t>Mf22</t>
  </si>
  <si>
    <t>Mf23</t>
  </si>
  <si>
    <t>Mf24</t>
  </si>
  <si>
    <t>Mf25</t>
  </si>
  <si>
    <t>L1 - PD</t>
  </si>
  <si>
    <t>L1 - sobota</t>
  </si>
  <si>
    <t>L1 - nedeľa</t>
  </si>
  <si>
    <t>L2 - PD</t>
  </si>
  <si>
    <t>L2 - sobota</t>
  </si>
  <si>
    <t>L2 - nedeľa</t>
  </si>
  <si>
    <t>L1 - pracovný deň</t>
  </si>
  <si>
    <t>L1 - nedeľa/sviatok</t>
  </si>
  <si>
    <t>L2 - pracovný deň</t>
  </si>
  <si>
    <t>L2 - nedeľa/sviatok</t>
  </si>
  <si>
    <t>TRAVEL - km</t>
  </si>
  <si>
    <t>km</t>
  </si>
  <si>
    <t>cestovné náhrady (amortizácia + palivo)</t>
  </si>
  <si>
    <t>Výnosy</t>
  </si>
  <si>
    <t>Sadzba</t>
  </si>
  <si>
    <t>Náklady v Eur</t>
  </si>
  <si>
    <t>SG&amp;A percento z plánovaných výnosov</t>
  </si>
  <si>
    <t>Analytik</t>
  </si>
  <si>
    <t>Analytik (junior)</t>
  </si>
  <si>
    <t>Architekt softvérového riešenia</t>
  </si>
  <si>
    <t>Dokumentarista</t>
  </si>
  <si>
    <t>IT špecialista</t>
  </si>
  <si>
    <t>IT špecialista (junior)</t>
  </si>
  <si>
    <t>Kontrakt manažér</t>
  </si>
  <si>
    <t>Konzultant (junior)</t>
  </si>
  <si>
    <t>Konzultant</t>
  </si>
  <si>
    <t>Programátor (junior)</t>
  </si>
  <si>
    <t>Programátor</t>
  </si>
  <si>
    <t>Projektový manažér (junior)</t>
  </si>
  <si>
    <t>Projektový manažér</t>
  </si>
  <si>
    <t>Tester</t>
  </si>
  <si>
    <t>Msq_Part1</t>
  </si>
  <si>
    <t>Msq_Part2</t>
  </si>
  <si>
    <t>SKONTROLUJ TYP AŽ</t>
  </si>
  <si>
    <t>FÁZA!</t>
  </si>
  <si>
    <t>NULOVÁ HODINOVÁ</t>
  </si>
  <si>
    <t>SADZBA!</t>
  </si>
  <si>
    <t>Mnt_D2000 v.10 Enterprise</t>
  </si>
  <si>
    <t>Phase</t>
  </si>
  <si>
    <t>IT</t>
  </si>
  <si>
    <t>company</t>
  </si>
  <si>
    <t>Akvizícia</t>
  </si>
  <si>
    <t>náklady akvizície</t>
  </si>
  <si>
    <t>ACQ</t>
  </si>
  <si>
    <t>Acquisition</t>
  </si>
  <si>
    <t>Spolu</t>
  </si>
  <si>
    <t>: čas na ceste</t>
  </si>
  <si>
    <t>Profit</t>
  </si>
  <si>
    <t>Costs_Total</t>
  </si>
  <si>
    <t>Costs_work</t>
  </si>
  <si>
    <t>Costs_licences</t>
  </si>
  <si>
    <t>Costs_3P</t>
  </si>
  <si>
    <t>Costs_risk</t>
  </si>
  <si>
    <t>Revenues_Total</t>
  </si>
  <si>
    <t>Revenues_work</t>
  </si>
  <si>
    <t>Revenues_licences</t>
  </si>
  <si>
    <t>Revenues_3P</t>
  </si>
  <si>
    <t>Hours_work</t>
  </si>
  <si>
    <t>Hours_travel</t>
  </si>
  <si>
    <t>Avg_CostHour</t>
  </si>
  <si>
    <t>Avg_RevenuesHour</t>
  </si>
  <si>
    <t>ER_OwnRatio</t>
  </si>
  <si>
    <t>Profylaxis_hours</t>
  </si>
  <si>
    <t>Profylaxis_Revenues</t>
  </si>
  <si>
    <t>Zrealizovaná fakturácia</t>
  </si>
  <si>
    <t>PX</t>
  </si>
  <si>
    <t>Prophylaxis</t>
  </si>
  <si>
    <t>čas na ceste</t>
  </si>
  <si>
    <t>Calc_N_Typ</t>
  </si>
  <si>
    <t>IsTravelTime</t>
  </si>
  <si>
    <t>zrealizované</t>
  </si>
  <si>
    <t>Protokol o preskúmaní ponuky</t>
  </si>
  <si>
    <t xml:space="preserve">Číslo ponuky </t>
  </si>
  <si>
    <t>Predmet ponuky</t>
  </si>
  <si>
    <r>
      <rPr>
        <b/>
        <sz val="12"/>
        <color theme="1"/>
        <rFont val="Calibri"/>
        <family val="2"/>
        <charset val="238"/>
        <scheme val="minor"/>
      </rPr>
      <t>Za vytvorenie ponuky zodpovedá Seller</t>
    </r>
    <r>
      <rPr>
        <sz val="11"/>
        <color theme="1"/>
        <rFont val="Calibri"/>
        <family val="2"/>
        <charset val="238"/>
        <scheme val="minor"/>
      </rPr>
      <t xml:space="preserve"> 
</t>
    </r>
    <r>
      <rPr>
        <sz val="8"/>
        <color theme="1"/>
        <rFont val="Calibri"/>
        <family val="2"/>
        <charset val="238"/>
        <scheme val="minor"/>
      </rPr>
      <t>(uviesť meno)</t>
    </r>
  </si>
  <si>
    <t>Číslo realizačného projektu</t>
  </si>
  <si>
    <t>Parametre VRZ</t>
  </si>
  <si>
    <t>Seller  zabezpečí preskúmanie  ponuky kompetentnými pracovníkmi:</t>
  </si>
  <si>
    <t>Ponuku preskúmal</t>
  </si>
  <si>
    <t xml:space="preserve"> Komentár - pripomienky</t>
  </si>
  <si>
    <t>Podpis</t>
  </si>
  <si>
    <t>Dátum</t>
  </si>
  <si>
    <r>
      <t xml:space="preserve">Head of PM
</t>
    </r>
    <r>
      <rPr>
        <sz val="8"/>
        <color theme="1"/>
        <rFont val="Calibri"/>
        <family val="2"/>
        <charset val="238"/>
        <scheme val="minor"/>
      </rPr>
      <t>Meno:</t>
    </r>
  </si>
  <si>
    <r>
      <t xml:space="preserve">Contract Manager
</t>
    </r>
    <r>
      <rPr>
        <sz val="8"/>
        <color theme="1"/>
        <rFont val="Calibri"/>
        <family val="2"/>
        <charset val="238"/>
        <scheme val="minor"/>
      </rPr>
      <t>Meno:</t>
    </r>
  </si>
  <si>
    <r>
      <t xml:space="preserve">Project Manager
</t>
    </r>
    <r>
      <rPr>
        <sz val="8"/>
        <color theme="1"/>
        <rFont val="Calibri"/>
        <family val="2"/>
        <charset val="238"/>
        <scheme val="minor"/>
      </rPr>
      <t>Meno:</t>
    </r>
  </si>
  <si>
    <r>
      <t xml:space="preserve">CFO/PM Controller
</t>
    </r>
    <r>
      <rPr>
        <sz val="8"/>
        <color theme="1"/>
        <rFont val="Calibri"/>
        <family val="2"/>
        <charset val="238"/>
        <scheme val="minor"/>
      </rPr>
      <t>Meno:</t>
    </r>
  </si>
  <si>
    <r>
      <t xml:space="preserve">Architect
</t>
    </r>
    <r>
      <rPr>
        <sz val="8"/>
        <color theme="1"/>
        <rFont val="Calibri"/>
        <family val="2"/>
        <charset val="238"/>
        <scheme val="minor"/>
      </rPr>
      <t>Meno:</t>
    </r>
  </si>
  <si>
    <t>Za zapracovanie pripomienok zodpovedá Seller</t>
  </si>
  <si>
    <t>Pripomienky boli zapracované</t>
  </si>
  <si>
    <t>Podpis:</t>
  </si>
  <si>
    <t>Dátum:</t>
  </si>
  <si>
    <t>Ak pripomienky neboli zapracované v plnom rozsahu, predloží Seller ponuku znovu na preskúmanie.</t>
  </si>
  <si>
    <t>Uloženie ponuky v papierovej forme:</t>
  </si>
  <si>
    <t>Architekt</t>
  </si>
  <si>
    <t>Hrubá Marža IPS (GM_IPS)</t>
  </si>
  <si>
    <t>Požadovaná marža</t>
  </si>
  <si>
    <t>Center</t>
  </si>
  <si>
    <t>GM_IPS_Required</t>
  </si>
  <si>
    <t>WoAccount</t>
  </si>
  <si>
    <t>Architect</t>
  </si>
  <si>
    <t>Contract_Manager</t>
  </si>
  <si>
    <t>SLA_hours</t>
  </si>
  <si>
    <t>SLA_Revenues</t>
  </si>
  <si>
    <t>čas na ceste - fakturácia</t>
  </si>
  <si>
    <t>Zrealizované</t>
  </si>
  <si>
    <t>Calc_V_Typ</t>
  </si>
  <si>
    <r>
      <t>CEO/Konateľ</t>
    </r>
    <r>
      <rPr>
        <sz val="11"/>
        <color theme="1"/>
        <rFont val="Calibri"/>
        <family val="2"/>
        <charset val="238"/>
        <scheme val="minor"/>
      </rPr>
      <t xml:space="preserve">
</t>
    </r>
    <r>
      <rPr>
        <sz val="8"/>
        <color theme="1"/>
        <rFont val="Calibri"/>
        <family val="2"/>
        <charset val="238"/>
        <scheme val="minor"/>
      </rPr>
      <t>Meno:</t>
    </r>
  </si>
  <si>
    <t>Názov projektu</t>
  </si>
  <si>
    <r>
      <rPr>
        <b/>
        <sz val="12"/>
        <color theme="1"/>
        <rFont val="Calibri"/>
        <family val="2"/>
        <charset val="238"/>
        <scheme val="minor"/>
      </rPr>
      <t>Za zmenu rozpočtu zodpovedá</t>
    </r>
    <r>
      <rPr>
        <sz val="11"/>
        <color theme="1"/>
        <rFont val="Calibri"/>
        <family val="2"/>
        <charset val="238"/>
        <scheme val="minor"/>
      </rPr>
      <t xml:space="preserve"> 
</t>
    </r>
    <r>
      <rPr>
        <sz val="8"/>
        <color theme="1"/>
        <rFont val="Calibri"/>
        <family val="2"/>
        <charset val="238"/>
        <scheme val="minor"/>
      </rPr>
      <t>(uviesť meno)</t>
    </r>
  </si>
  <si>
    <t>Parametre prvotného (zobchodovaného) VRZ:</t>
  </si>
  <si>
    <t xml:space="preserve">Náklady: </t>
  </si>
  <si>
    <t xml:space="preserve">Fakturácia: </t>
  </si>
  <si>
    <t xml:space="preserve">GM: </t>
  </si>
  <si>
    <t xml:space="preserve">GM_IPS:  </t>
  </si>
  <si>
    <t>Parametre preplánovacieho VRZ:</t>
  </si>
  <si>
    <t>Odôvodnenie zmeny:</t>
  </si>
  <si>
    <t>Zmenu rozpočtu preskúmal</t>
  </si>
  <si>
    <t>Za zapracovanie pripomienok zodpovedá CM</t>
  </si>
  <si>
    <t>Podpísaný protokol spolu s preplánovacím VRZ odovzdá papierovo aj elektronicky Contract Manager na oddeleni financii (PM Controller) a následne bude zapracovaný do aplikácie WO.</t>
  </si>
  <si>
    <t>Mnt_Loco</t>
  </si>
  <si>
    <t>Mnt_WebSuite v.1</t>
  </si>
  <si>
    <r>
      <t xml:space="preserve">CFO
</t>
    </r>
    <r>
      <rPr>
        <sz val="8"/>
        <color theme="1"/>
        <rFont val="Calibri"/>
        <family val="2"/>
        <charset val="238"/>
        <scheme val="minor"/>
      </rPr>
      <t>Meno:</t>
    </r>
  </si>
  <si>
    <r>
      <t xml:space="preserve">CEO/Konateľ
</t>
    </r>
    <r>
      <rPr>
        <sz val="8"/>
        <color theme="1"/>
        <rFont val="Calibri"/>
        <family val="2"/>
        <charset val="238"/>
        <scheme val="minor"/>
      </rPr>
      <t>Meno:</t>
    </r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</si>
  <si>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</si>
  <si>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</si>
  <si>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</si>
  <si>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</si>
  <si>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</si>
  <si>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</si>
  <si>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</si>
  <si>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</si>
  <si>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</si>
  <si>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</si>
  <si>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</si>
  <si>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M37</t>
  </si>
  <si>
    <t>člh.</t>
  </si>
  <si>
    <t>akvizícia</t>
  </si>
  <si>
    <t>realizácia</t>
  </si>
  <si>
    <t>Mf26</t>
  </si>
  <si>
    <t>Mf27</t>
  </si>
  <si>
    <t>Mf28</t>
  </si>
  <si>
    <t>Mf29</t>
  </si>
  <si>
    <t>Mf30</t>
  </si>
  <si>
    <t>Mf31</t>
  </si>
  <si>
    <t>Mf32</t>
  </si>
  <si>
    <t>Mf33</t>
  </si>
  <si>
    <t>Mf34</t>
  </si>
  <si>
    <t>Mf35</t>
  </si>
  <si>
    <t>Mf36</t>
  </si>
  <si>
    <t>Mf37</t>
  </si>
  <si>
    <t>test</t>
  </si>
  <si>
    <t>Protokol o zmene rozpočtu zákazky</t>
  </si>
  <si>
    <t>Vynaložené náklady IPS</t>
  </si>
  <si>
    <t>Vynaložené náklady 3S</t>
  </si>
  <si>
    <t>IPS náklady [Eur]</t>
  </si>
  <si>
    <t>Mnt_SELT v.5</t>
  </si>
  <si>
    <t>Mnt_DLMS</t>
  </si>
  <si>
    <t>Mnt_MCD</t>
  </si>
  <si>
    <t>Mnt_MOP</t>
  </si>
  <si>
    <t>Mnt_GSO</t>
  </si>
  <si>
    <t>3S: Zhodnotený nakupovaný HW</t>
  </si>
  <si>
    <t>3S: Zhodnotený nakupovaný SW</t>
  </si>
  <si>
    <t>Práce: Spracovanie štúdií</t>
  </si>
  <si>
    <t>Práce: Inštalácia a konfigurácia HW vybavenia - IT</t>
  </si>
  <si>
    <t>Práce: Inštalácia,konfigurácia SW vybavenia - IT</t>
  </si>
  <si>
    <t>Práce: Konfigurácia a parametrizácia aplikačného SW vybavenia</t>
  </si>
  <si>
    <t>Práce: Analytické práce projektov, DNR</t>
  </si>
  <si>
    <t>Práce: Kontrakt a projekt manažment</t>
  </si>
  <si>
    <t>Práce: Inžiniering, poradenstvo</t>
  </si>
  <si>
    <t>Práce: Školenia a konzultácie</t>
  </si>
  <si>
    <t>Práce: Testovanie a skúšobná prevádzka</t>
  </si>
  <si>
    <t>3S: Dopravné výkony</t>
  </si>
  <si>
    <t>3S: Predané služby tretích strán</t>
  </si>
  <si>
    <t>Servis: Dostupnosť servisu + hotline [SLA]</t>
  </si>
  <si>
    <t>Servis: Dostupnosť servisu - L3 podpora [SLA]</t>
  </si>
  <si>
    <t>Servis: Profylaktická podpora [AS]</t>
  </si>
  <si>
    <t>Práce: Realizovaný vývoj a úpravy aplikačného SW vybavenia</t>
  </si>
  <si>
    <t>Servis: Aplikačný rozvoj [AS]</t>
  </si>
  <si>
    <t>3S: Tržby za predaj tovaru</t>
  </si>
  <si>
    <t>AA</t>
  </si>
  <si>
    <t>3S: Udržiavacie SW poplatky tretích strán [3S]</t>
  </si>
  <si>
    <t>3S: Udržiavacie HW poplatky tretích strán [3S]</t>
  </si>
  <si>
    <t>Mnt_Udržiavacie SW poplatky zákazkového SW [MUL]</t>
  </si>
  <si>
    <t>Travel</t>
  </si>
  <si>
    <t>EUM</t>
  </si>
  <si>
    <t>ETS</t>
  </si>
  <si>
    <r>
      <t>Kópiu ponuky s protokolom o jej preskúmaní a príslušný VRZ uloží Seller v aplikácii</t>
    </r>
    <r>
      <rPr>
        <b/>
        <sz val="10"/>
        <color theme="4"/>
        <rFont val="Calibri"/>
        <family val="2"/>
        <charset val="238"/>
        <scheme val="minor"/>
      </rPr>
      <t xml:space="preserve"> Dopyt&amp;Ponuky</t>
    </r>
    <r>
      <rPr>
        <sz val="10"/>
        <color theme="1"/>
        <rFont val="Calibri"/>
        <family val="2"/>
        <charset val="238"/>
        <scheme val="minor"/>
      </rPr>
      <t>. Originál podpísaného protokolu s kompletnou dokumentáciou (ponuka, VRZ) odovzdá na oddelení financií (PM Controller), resp. na Back Office – podpora obchodu.</t>
    </r>
  </si>
  <si>
    <t>Mnt_D2000 v12</t>
  </si>
  <si>
    <t>licencie EMS</t>
  </si>
  <si>
    <t>licencie REMS</t>
  </si>
  <si>
    <t>licencie Loco</t>
  </si>
  <si>
    <t>licencie WebSuite</t>
  </si>
  <si>
    <t>licencie Gas Storage Optimalisation</t>
  </si>
  <si>
    <t>licencie DLMS</t>
  </si>
  <si>
    <t>licencie Mobilný klient pre Dashboard</t>
  </si>
  <si>
    <t>licencie Modul Optimalizácií a predikcií</t>
  </si>
  <si>
    <t>Mnt_EMS v2</t>
  </si>
  <si>
    <t>Mnt_TDMS</t>
  </si>
  <si>
    <t>licencie TDMS Demo Server</t>
  </si>
  <si>
    <t>Mnt: Udržiavacie SW poplatky EMS v2</t>
  </si>
  <si>
    <t>Mnt: Udržiavacie SW poplatky Loco</t>
  </si>
  <si>
    <t>Mnt: Udržiavacie SW poplatky SELT v5</t>
  </si>
  <si>
    <t>Mnt: Udržiavacie SW poplatky GSO</t>
  </si>
  <si>
    <t>Mnt: Udržiavacie SW poplatky zákazkového SW</t>
  </si>
  <si>
    <t xml:space="preserve">Nedostatočná technická kompetentnosť </t>
  </si>
  <si>
    <t>Nedostatočná právomoc rozhodnúť na strane projektového tímu zákazníka (PjM)</t>
  </si>
  <si>
    <t/>
  </si>
  <si>
    <t>ENVIRO</t>
  </si>
  <si>
    <t>Environmentálne riziká</t>
  </si>
  <si>
    <t>Silné zmluvné požiadavky zákazníka týkajúce ochrany ŽP (vysoké sankcie, vysoké vyvolané náklady)</t>
  </si>
  <si>
    <t>Prenos zodpovednosti za likvidáciu odpadov vznikajúcich pri projekte na dodávateľa (nákladovosť, organizačná náročnosť)</t>
  </si>
  <si>
    <t>Nedodržanie povinností v oblasti environmentu ako podstatné porušenie zmluvy</t>
  </si>
  <si>
    <t>Projektový koordinátor</t>
  </si>
  <si>
    <t>licencie PPTE</t>
  </si>
  <si>
    <t>Mnt_D2000 v21</t>
  </si>
  <si>
    <t>Mnt_D2000 v22</t>
  </si>
  <si>
    <t>Mnt_D2000 v23</t>
  </si>
  <si>
    <t>Mnt_SELT_MOD</t>
  </si>
  <si>
    <t>licencie SELT_MOD</t>
  </si>
  <si>
    <t>Mnt: Udržiavacie SW poplatky SELT_MOD</t>
  </si>
  <si>
    <t>Mnt: Udržiavacie SW poplatky REMS v. 1.0</t>
  </si>
  <si>
    <t>SDS</t>
  </si>
  <si>
    <t>ITS</t>
  </si>
  <si>
    <t>D2000</t>
  </si>
  <si>
    <t>Mnt_D2000 v24</t>
  </si>
  <si>
    <t>Mnt_PPTE v2</t>
  </si>
  <si>
    <t>Mnt_ISAG v1</t>
  </si>
  <si>
    <t>licencie ISAG</t>
  </si>
  <si>
    <t>Mnt: Udržiavacie SW poplatky Mnt_PPTE v2</t>
  </si>
  <si>
    <t>Mnt: Udržiavacie SW poplatky ISAG v1</t>
  </si>
  <si>
    <t>19_0</t>
  </si>
  <si>
    <t>Programátor (študent)</t>
  </si>
  <si>
    <t>Mnt_D2000 v25</t>
  </si>
  <si>
    <t>Mnt_SELT Trading Web Basic</t>
  </si>
  <si>
    <t>Mnt: Udržiavacie SW poplatky SELT Trading Web Basic</t>
  </si>
  <si>
    <t>Mnt: Udržiavacie SW poplatky D2000 v22</t>
  </si>
  <si>
    <t>Mnt: Udržiavacie SW poplatky D2000 v23</t>
  </si>
  <si>
    <t>Mnt: Udržiavacie SW poplatky D2000 v24</t>
  </si>
  <si>
    <t>Mnt: Udržiavacie SW poplatky D2000 v25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</si>
</sst>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6" formatCode="#,##0\ &quot;€&quot;;[Red]\-#,##0\ &quot;€&quot;"/>
    <numFmt numFmtId="42" formatCode="_-* #,##0\ &quot;€&quot;_-;\-* #,##0\ &quot;€&quot;_-;_-* &quot;-&quot;\ &quot;€&quot;_-;_-@_-"/>
    <numFmt numFmtId="164" formatCode="_-* #,##0.00\ _€_-;\-* #,##0.00\ _€_-;_-* &quot;-&quot;??\ _€_-;_-@_-"/>
    <numFmt numFmtId="165" formatCode="&quot;+ &quot;#,##0;[Red]&quot;- &quot;#,##0"/>
    <numFmt numFmtId="166" formatCode="_-* #,##0.0\ _€_-;\-* #,##0.0\ _€_-;_-* &quot;-&quot;??\ _€_-;_-@_-"/>
    <numFmt numFmtId="167" formatCode="_-* #,##0\ _€_-;\-* #,##0\ _€_-;_-* &quot;-&quot;??\ _€_-;_-@_-"/>
    <numFmt numFmtId="168" formatCode="#,##0.0;[Red]\-#,##0.0;&quot;&quot;"/>
    <numFmt numFmtId="169" formatCode="0.0%"/>
    <numFmt numFmtId="170" formatCode="m/yy"/>
    <numFmt numFmtId="171" formatCode="#,##0\ _€;[Red]\-#,##0\ _€;&quot;&quot;"/>
    <numFmt numFmtId="172" formatCode="0.0%;[Red]\-0.0%"/>
    <numFmt numFmtId="173" formatCode="0.0%;[Yellow]\-0.0%"/>
    <numFmt numFmtId="174" formatCode="0.0%;[Red]0.0%;0;[Red]\ @"/>
    <numFmt numFmtId="175" formatCode="#,##0;[Red]\-#,##0;&quot;&quot;"/>
    <numFmt numFmtId="176" formatCode="&quot;&quot;"/>
    <numFmt numFmtId="177" formatCode="d\.m\.yyyy"/>
    <numFmt numFmtId="178" formatCode="#&quot; +&quot;"/>
    <numFmt numFmtId="179" formatCode="_-* #,##0.0\ &quot;€&quot;_-;\-* #,##0.0\ &quot;€&quot;_-;_-* &quot;-&quot;?\ &quot;€&quot;_-;_-@_-"/>
  </numFmts>
  <fonts count="49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6"/>
      <color theme="1"/>
      <name val="Calibri"/>
      <family val="2"/>
      <charset val="238"/>
      <scheme val="minor"/>
    </font>
    <font>
      <b/>
      <i/>
      <sz val="16"/>
      <color theme="1"/>
      <name val="Calibri"/>
      <family val="2"/>
      <charset val="238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b/>
      <sz val="12"/>
      <color rgb="FF9C0006"/>
      <name val="Calibri"/>
      <family val="2"/>
      <charset val="238"/>
      <scheme val="minor"/>
    </font>
    <font>
      <b/>
      <sz val="12"/>
      <color rgb="FF006100"/>
      <name val="Calibri"/>
      <family val="2"/>
      <charset val="238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2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b/>
      <i/>
      <sz val="10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b/>
      <i/>
      <sz val="9"/>
      <color theme="1"/>
      <name val="Calibri"/>
      <family val="2"/>
      <charset val="238"/>
      <scheme val="minor"/>
    </font>
    <font>
      <b/>
      <sz val="12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 val="double"/>
      <sz val="18"/>
      <color theme="1"/>
      <name val="Calibri"/>
      <family val="2"/>
      <scheme val="minor"/>
    </font>
    <font>
      <b/>
      <sz val="12"/>
      <color rgb="FFF8F8F8"/>
      <name val="Calibri"/>
      <family val="2"/>
      <scheme val="minor"/>
    </font>
    <font>
      <sz val="11"/>
      <color theme="1" tint="0.499984740745262"/>
      <name val="Calibri"/>
      <family val="2"/>
      <charset val="238"/>
      <scheme val="minor"/>
    </font>
    <font>
      <i/>
      <sz val="9"/>
      <color indexed="81"/>
      <name val="Tahoma"/>
      <family val="2"/>
      <charset val="238"/>
    </font>
    <font>
      <b/>
      <i/>
      <sz val="9"/>
      <color indexed="81"/>
      <name val="Tahoma"/>
      <family val="2"/>
      <charset val="238"/>
    </font>
    <font>
      <i/>
      <sz val="9"/>
      <color indexed="10"/>
      <name val="Tahoma"/>
      <family val="2"/>
      <charset val="238"/>
    </font>
    <font>
      <sz val="11"/>
      <color rgb="FFFF000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1"/>
      <color theme="1"/>
      <name val="Calibri"/>
      <family val="2"/>
    </font>
    <font>
      <b/>
      <sz val="12"/>
      <color rgb="FFFF0000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13"/>
      <color theme="1"/>
      <name val="Calibri"/>
      <family val="2"/>
      <charset val="238"/>
      <scheme val="minor"/>
    </font>
    <font>
      <b/>
      <i/>
      <sz val="11"/>
      <color theme="4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u/>
      <sz val="11"/>
      <color theme="1"/>
      <name val="Calibri"/>
      <family val="2"/>
      <charset val="238"/>
      <scheme val="minor"/>
    </font>
    <font>
      <b/>
      <sz val="10"/>
      <color theme="4"/>
      <name val="Calibri"/>
      <family val="2"/>
      <charset val="238"/>
      <scheme val="minor"/>
    </font>
    <font>
      <b/>
      <sz val="12"/>
      <color theme="0" tint="-0.14999847407452621"/>
      <name val="Calibri"/>
      <family val="2"/>
      <scheme val="minor"/>
    </font>
    <font>
      <sz val="8"/>
      <color theme="0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theme="0" tint="-0.25098422193060094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gray125">
        <fgColor theme="0" tint="-0.149967955565050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gradientFill degree="90">
        <stop position="0">
          <color theme="0" tint="-0.25098422193060094"/>
        </stop>
        <stop position="1">
          <color theme="1"/>
        </stop>
      </gradient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double">
        <color auto="1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thin">
        <color theme="0" tint="-0.34998626667073579"/>
      </right>
      <top/>
      <bottom style="double">
        <color theme="0" tint="-0.34998626667073579"/>
      </bottom>
      <diagonal/>
    </border>
    <border>
      <left/>
      <right/>
      <top style="double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</cellStyleXfs>
  <cellXfs count="265">
    <xf numFmtId="0" fontId="0" fillId="0" borderId="0" xfId="0"/>
    <xf numFmtId="164" fontId="2" fillId="5" borderId="0" xfId="1" applyFont="1" applyFill="1" applyBorder="1" applyAlignment="1" applyProtection="1">
      <alignment horizontal="center"/>
      <protection locked="0"/>
    </xf>
    <xf numFmtId="167" fontId="2" fillId="5" borderId="0" xfId="1" applyNumberFormat="1" applyFont="1" applyFill="1" applyBorder="1" applyProtection="1">
      <protection locked="0"/>
    </xf>
    <xf numFmtId="164" fontId="2" fillId="5" borderId="10" xfId="1" applyFont="1" applyFill="1" applyBorder="1" applyAlignment="1" applyProtection="1">
      <alignment horizontal="center"/>
      <protection locked="0"/>
    </xf>
    <xf numFmtId="167" fontId="2" fillId="5" borderId="10" xfId="1" applyNumberFormat="1" applyFont="1" applyFill="1" applyBorder="1" applyProtection="1">
      <protection locked="0"/>
    </xf>
    <xf numFmtId="0" fontId="0" fillId="0" borderId="1" xfId="0" applyBorder="1" applyProtection="1">
      <protection hidden="1"/>
    </xf>
    <xf numFmtId="0" fontId="0" fillId="0" borderId="2" xfId="0" applyBorder="1" applyProtection="1">
      <protection hidden="1"/>
    </xf>
    <xf numFmtId="0" fontId="4" fillId="0" borderId="2" xfId="0" applyFont="1" applyBorder="1" applyAlignment="1" applyProtection="1">
      <alignment horizontal="center"/>
      <protection hidden="1"/>
    </xf>
    <xf numFmtId="0" fontId="4" fillId="0" borderId="3" xfId="0" applyFont="1" applyBorder="1" applyAlignment="1" applyProtection="1">
      <alignment horizontal="right"/>
      <protection hidden="1"/>
    </xf>
    <xf numFmtId="0" fontId="0" fillId="0" borderId="0" xfId="0" applyProtection="1">
      <protection hidden="1"/>
    </xf>
    <xf numFmtId="0" fontId="7" fillId="0" borderId="4" xfId="0" applyFont="1" applyBorder="1" applyProtection="1">
      <protection hidden="1"/>
    </xf>
    <xf numFmtId="166" fontId="13" fillId="0" borderId="0" xfId="4" applyNumberFormat="1" applyFont="1" applyFill="1" applyBorder="1" applyAlignment="1" applyProtection="1">
      <alignment horizontal="right"/>
      <protection hidden="1"/>
    </xf>
    <xf numFmtId="166" fontId="14" fillId="0" borderId="0" xfId="3" applyNumberFormat="1" applyFont="1" applyFill="1" applyBorder="1" applyAlignment="1" applyProtection="1">
      <alignment horizontal="right"/>
      <protection hidden="1"/>
    </xf>
    <xf numFmtId="0" fontId="5" fillId="0" borderId="0" xfId="0" applyFont="1" applyProtection="1">
      <protection hidden="1"/>
    </xf>
    <xf numFmtId="0" fontId="7" fillId="0" borderId="0" xfId="0" applyFont="1" applyProtection="1">
      <protection hidden="1"/>
    </xf>
    <xf numFmtId="164" fontId="6" fillId="0" borderId="0" xfId="0" applyNumberFormat="1" applyFont="1" applyAlignment="1" applyProtection="1">
      <alignment horizontal="right"/>
      <protection hidden="1"/>
    </xf>
    <xf numFmtId="164" fontId="21" fillId="0" borderId="0" xfId="0" applyNumberFormat="1" applyFont="1" applyAlignment="1" applyProtection="1">
      <alignment horizontal="right"/>
      <protection hidden="1"/>
    </xf>
    <xf numFmtId="0" fontId="15" fillId="2" borderId="4" xfId="0" applyFont="1" applyFill="1" applyBorder="1" applyProtection="1">
      <protection hidden="1"/>
    </xf>
    <xf numFmtId="0" fontId="15" fillId="2" borderId="0" xfId="0" applyFont="1" applyFill="1" applyProtection="1">
      <protection hidden="1"/>
    </xf>
    <xf numFmtId="0" fontId="9" fillId="2" borderId="0" xfId="0" applyFont="1" applyFill="1" applyAlignment="1" applyProtection="1">
      <alignment horizontal="center"/>
      <protection hidden="1"/>
    </xf>
    <xf numFmtId="166" fontId="15" fillId="2" borderId="0" xfId="1" applyNumberFormat="1" applyFont="1" applyFill="1" applyBorder="1" applyProtection="1">
      <protection hidden="1"/>
    </xf>
    <xf numFmtId="9" fontId="15" fillId="2" borderId="5" xfId="2" applyFont="1" applyFill="1" applyBorder="1" applyProtection="1">
      <protection hidden="1"/>
    </xf>
    <xf numFmtId="0" fontId="3" fillId="0" borderId="0" xfId="0" applyFont="1" applyProtection="1">
      <protection hidden="1"/>
    </xf>
    <xf numFmtId="0" fontId="2" fillId="0" borderId="4" xfId="0" applyFont="1" applyBorder="1" applyAlignment="1" applyProtection="1">
      <alignment horizontal="left" indent="1"/>
      <protection hidden="1"/>
    </xf>
    <xf numFmtId="0" fontId="2" fillId="0" borderId="0" xfId="0" applyFont="1" applyProtection="1">
      <protection hidden="1"/>
    </xf>
    <xf numFmtId="168" fontId="2" fillId="0" borderId="0" xfId="1" applyNumberFormat="1" applyFont="1" applyBorder="1" applyProtection="1">
      <protection hidden="1"/>
    </xf>
    <xf numFmtId="169" fontId="2" fillId="0" borderId="0" xfId="2" applyNumberFormat="1" applyFont="1" applyBorder="1" applyProtection="1">
      <protection hidden="1"/>
    </xf>
    <xf numFmtId="0" fontId="2" fillId="0" borderId="5" xfId="0" applyFont="1" applyBorder="1" applyProtection="1">
      <protection hidden="1"/>
    </xf>
    <xf numFmtId="0" fontId="3" fillId="2" borderId="0" xfId="0" applyFont="1" applyFill="1" applyProtection="1">
      <protection hidden="1"/>
    </xf>
    <xf numFmtId="166" fontId="15" fillId="2" borderId="0" xfId="1" applyNumberFormat="1" applyFont="1" applyFill="1" applyBorder="1" applyAlignment="1" applyProtection="1">
      <alignment horizontal="right"/>
      <protection hidden="1"/>
    </xf>
    <xf numFmtId="0" fontId="2" fillId="0" borderId="4" xfId="0" applyFont="1" applyBorder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0" fontId="2" fillId="0" borderId="5" xfId="0" applyFont="1" applyBorder="1" applyAlignment="1" applyProtection="1">
      <alignment horizontal="left"/>
      <protection hidden="1"/>
    </xf>
    <xf numFmtId="164" fontId="2" fillId="0" borderId="5" xfId="0" applyNumberFormat="1" applyFont="1" applyBorder="1" applyProtection="1">
      <protection hidden="1"/>
    </xf>
    <xf numFmtId="0" fontId="2" fillId="0" borderId="6" xfId="0" applyFont="1" applyBorder="1" applyProtection="1">
      <protection hidden="1"/>
    </xf>
    <xf numFmtId="0" fontId="2" fillId="0" borderId="7" xfId="0" applyFont="1" applyBorder="1" applyProtection="1">
      <protection hidden="1"/>
    </xf>
    <xf numFmtId="168" fontId="2" fillId="0" borderId="7" xfId="1" applyNumberFormat="1" applyFont="1" applyBorder="1" applyProtection="1">
      <protection hidden="1"/>
    </xf>
    <xf numFmtId="0" fontId="2" fillId="0" borderId="8" xfId="0" applyFont="1" applyBorder="1" applyProtection="1">
      <protection hidden="1"/>
    </xf>
    <xf numFmtId="0" fontId="0" fillId="0" borderId="3" xfId="0" applyBorder="1" applyProtection="1">
      <protection hidden="1"/>
    </xf>
    <xf numFmtId="0" fontId="0" fillId="0" borderId="4" xfId="0" applyBorder="1" applyProtection="1">
      <protection hidden="1"/>
    </xf>
    <xf numFmtId="0" fontId="16" fillId="0" borderId="0" xfId="0" applyFont="1" applyProtection="1">
      <protection hidden="1"/>
    </xf>
    <xf numFmtId="0" fontId="0" fillId="0" borderId="5" xfId="0" applyBorder="1" applyProtection="1">
      <protection hidden="1"/>
    </xf>
    <xf numFmtId="0" fontId="10" fillId="0" borderId="4" xfId="0" applyFont="1" applyBorder="1" applyAlignment="1" applyProtection="1">
      <alignment horizontal="center"/>
      <protection hidden="1"/>
    </xf>
    <xf numFmtId="0" fontId="10" fillId="0" borderId="0" xfId="0" applyFont="1" applyAlignment="1" applyProtection="1">
      <alignment horizontal="center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0" fontId="10" fillId="0" borderId="5" xfId="0" applyFont="1" applyBorder="1" applyAlignment="1" applyProtection="1">
      <alignment horizontal="center"/>
      <protection hidden="1"/>
    </xf>
    <xf numFmtId="0" fontId="20" fillId="2" borderId="5" xfId="0" applyFont="1" applyFill="1" applyBorder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horizontal="left"/>
      <protection hidden="1"/>
    </xf>
    <xf numFmtId="0" fontId="7" fillId="0" borderId="5" xfId="0" applyFont="1" applyBorder="1" applyProtection="1">
      <protection hidden="1"/>
    </xf>
    <xf numFmtId="0" fontId="15" fillId="2" borderId="1" xfId="0" applyFont="1" applyFill="1" applyBorder="1" applyProtection="1">
      <protection hidden="1"/>
    </xf>
    <xf numFmtId="0" fontId="15" fillId="2" borderId="2" xfId="0" applyFont="1" applyFill="1" applyBorder="1" applyProtection="1">
      <protection hidden="1"/>
    </xf>
    <xf numFmtId="0" fontId="9" fillId="2" borderId="2" xfId="0" applyFont="1" applyFill="1" applyBorder="1" applyAlignment="1" applyProtection="1">
      <alignment horizontal="center"/>
      <protection hidden="1"/>
    </xf>
    <xf numFmtId="0" fontId="3" fillId="2" borderId="3" xfId="0" applyFont="1" applyFill="1" applyBorder="1" applyProtection="1">
      <protection hidden="1"/>
    </xf>
    <xf numFmtId="164" fontId="2" fillId="0" borderId="0" xfId="1" applyFont="1" applyFill="1" applyBorder="1" applyProtection="1">
      <protection hidden="1"/>
    </xf>
    <xf numFmtId="0" fontId="2" fillId="0" borderId="10" xfId="0" applyFont="1" applyBorder="1" applyProtection="1">
      <protection hidden="1"/>
    </xf>
    <xf numFmtId="164" fontId="2" fillId="0" borderId="10" xfId="1" applyFont="1" applyFill="1" applyBorder="1" applyProtection="1">
      <protection hidden="1"/>
    </xf>
    <xf numFmtId="0" fontId="2" fillId="0" borderId="11" xfId="0" applyFont="1" applyBorder="1" applyProtection="1">
      <protection hidden="1"/>
    </xf>
    <xf numFmtId="164" fontId="2" fillId="0" borderId="0" xfId="1" applyFont="1" applyFill="1" applyBorder="1" applyAlignment="1" applyProtection="1">
      <alignment horizontal="center"/>
      <protection hidden="1"/>
    </xf>
    <xf numFmtId="166" fontId="2" fillId="0" borderId="0" xfId="1" applyNumberFormat="1" applyFont="1" applyFill="1" applyBorder="1" applyProtection="1">
      <protection hidden="1"/>
    </xf>
    <xf numFmtId="0" fontId="3" fillId="2" borderId="5" xfId="0" applyFont="1" applyFill="1" applyBorder="1" applyProtection="1">
      <protection hidden="1"/>
    </xf>
    <xf numFmtId="164" fontId="3" fillId="2" borderId="5" xfId="1" applyFont="1" applyFill="1" applyBorder="1" applyProtection="1">
      <protection hidden="1"/>
    </xf>
    <xf numFmtId="164" fontId="2" fillId="0" borderId="5" xfId="1" applyFont="1" applyFill="1" applyBorder="1" applyProtection="1">
      <protection hidden="1"/>
    </xf>
    <xf numFmtId="164" fontId="2" fillId="0" borderId="11" xfId="1" applyFont="1" applyFill="1" applyBorder="1" applyProtection="1">
      <protection hidden="1"/>
    </xf>
    <xf numFmtId="0" fontId="0" fillId="0" borderId="6" xfId="0" applyBorder="1" applyProtection="1">
      <protection hidden="1"/>
    </xf>
    <xf numFmtId="0" fontId="0" fillId="0" borderId="12" xfId="0" applyBorder="1" applyProtection="1">
      <protection hidden="1"/>
    </xf>
    <xf numFmtId="164" fontId="2" fillId="0" borderId="12" xfId="1" applyFont="1" applyFill="1" applyBorder="1" applyAlignment="1" applyProtection="1">
      <alignment horizontal="center"/>
      <protection hidden="1"/>
    </xf>
    <xf numFmtId="166" fontId="2" fillId="0" borderId="12" xfId="1" applyNumberFormat="1" applyFont="1" applyFill="1" applyBorder="1" applyProtection="1">
      <protection hidden="1"/>
    </xf>
    <xf numFmtId="164" fontId="2" fillId="0" borderId="12" xfId="1" applyFont="1" applyFill="1" applyBorder="1" applyProtection="1">
      <protection hidden="1"/>
    </xf>
    <xf numFmtId="0" fontId="0" fillId="0" borderId="13" xfId="0" applyBorder="1" applyProtection="1">
      <protection hidden="1"/>
    </xf>
    <xf numFmtId="0" fontId="8" fillId="0" borderId="0" xfId="0" applyFont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0" fontId="2" fillId="6" borderId="0" xfId="0" applyFont="1" applyFill="1" applyProtection="1">
      <protection hidden="1"/>
    </xf>
    <xf numFmtId="164" fontId="2" fillId="0" borderId="0" xfId="1" applyFont="1" applyProtection="1">
      <protection hidden="1"/>
    </xf>
    <xf numFmtId="2" fontId="2" fillId="0" borderId="0" xfId="0" applyNumberFormat="1" applyFont="1" applyProtection="1">
      <protection hidden="1"/>
    </xf>
    <xf numFmtId="0" fontId="2" fillId="7" borderId="0" xfId="0" applyFont="1" applyFill="1" applyProtection="1">
      <protection hidden="1"/>
    </xf>
    <xf numFmtId="0" fontId="0" fillId="0" borderId="0" xfId="0" applyAlignment="1" applyProtection="1">
      <alignment horizontal="right"/>
      <protection hidden="1"/>
    </xf>
    <xf numFmtId="0" fontId="22" fillId="0" borderId="0" xfId="0" applyFont="1" applyAlignment="1" applyProtection="1">
      <alignment horizontal="right" vertical="center"/>
      <protection hidden="1"/>
    </xf>
    <xf numFmtId="0" fontId="0" fillId="0" borderId="0" xfId="0" applyAlignment="1" applyProtection="1">
      <alignment horizontal="right" vertical="center"/>
      <protection hidden="1"/>
    </xf>
    <xf numFmtId="0" fontId="0" fillId="0" borderId="0" xfId="0" applyAlignment="1" applyProtection="1">
      <alignment vertical="center"/>
      <protection hidden="1"/>
    </xf>
    <xf numFmtId="0" fontId="22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1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70" fontId="15" fillId="2" borderId="0" xfId="0" applyNumberFormat="1" applyFont="1" applyFill="1" applyAlignment="1" applyProtection="1">
      <alignment horizontal="center" vertical="center" shrinkToFit="1"/>
      <protection hidden="1"/>
    </xf>
    <xf numFmtId="3" fontId="9" fillId="0" borderId="0" xfId="1" applyNumberFormat="1" applyFont="1" applyBorder="1" applyAlignment="1" applyProtection="1">
      <alignment horizontal="right" shrinkToFit="1"/>
      <protection locked="0"/>
    </xf>
    <xf numFmtId="3" fontId="9" fillId="0" borderId="0" xfId="1" applyNumberFormat="1" applyFont="1" applyFill="1" applyBorder="1" applyAlignment="1" applyProtection="1">
      <alignment horizontal="right" shrinkToFit="1"/>
      <protection locked="0"/>
    </xf>
    <xf numFmtId="3" fontId="9" fillId="0" borderId="7" xfId="1" applyNumberFormat="1" applyFont="1" applyBorder="1" applyAlignment="1" applyProtection="1">
      <alignment horizontal="right" shrinkToFit="1"/>
      <protection locked="0"/>
    </xf>
    <xf numFmtId="171" fontId="2" fillId="0" borderId="5" xfId="1" applyNumberFormat="1" applyFont="1" applyBorder="1" applyAlignment="1" applyProtection="1">
      <alignment shrinkToFit="1"/>
      <protection hidden="1"/>
    </xf>
    <xf numFmtId="171" fontId="2" fillId="0" borderId="8" xfId="1" applyNumberFormat="1" applyFont="1" applyBorder="1" applyAlignment="1" applyProtection="1">
      <alignment shrinkToFit="1"/>
      <protection hidden="1"/>
    </xf>
    <xf numFmtId="49" fontId="0" fillId="0" borderId="2" xfId="0" applyNumberFormat="1" applyBorder="1" applyProtection="1">
      <protection hidden="1"/>
    </xf>
    <xf numFmtId="49" fontId="0" fillId="0" borderId="0" xfId="0" applyNumberFormat="1" applyProtection="1">
      <protection hidden="1"/>
    </xf>
    <xf numFmtId="49" fontId="10" fillId="0" borderId="0" xfId="0" applyNumberFormat="1" applyFont="1" applyAlignment="1" applyProtection="1">
      <alignment horizontal="center"/>
      <protection hidden="1"/>
    </xf>
    <xf numFmtId="49" fontId="2" fillId="0" borderId="0" xfId="0" applyNumberFormat="1" applyFont="1" applyAlignment="1" applyProtection="1">
      <alignment horizontal="left"/>
      <protection locked="0"/>
    </xf>
    <xf numFmtId="49" fontId="2" fillId="0" borderId="7" xfId="0" applyNumberFormat="1" applyFont="1" applyBorder="1" applyAlignment="1" applyProtection="1">
      <alignment horizontal="left"/>
      <protection locked="0"/>
    </xf>
    <xf numFmtId="0" fontId="2" fillId="0" borderId="0" xfId="0" applyFont="1" applyAlignment="1" applyProtection="1">
      <alignment horizontal="left"/>
      <protection locked="0"/>
    </xf>
    <xf numFmtId="0" fontId="2" fillId="0" borderId="7" xfId="0" applyFont="1" applyBorder="1" applyAlignment="1" applyProtection="1">
      <alignment horizontal="left"/>
      <protection hidden="1"/>
    </xf>
    <xf numFmtId="0" fontId="2" fillId="0" borderId="7" xfId="0" applyFont="1" applyBorder="1" applyAlignment="1" applyProtection="1">
      <alignment horizontal="left"/>
      <protection locked="0"/>
    </xf>
    <xf numFmtId="0" fontId="2" fillId="0" borderId="4" xfId="0" applyFont="1" applyBorder="1" applyAlignment="1" applyProtection="1">
      <alignment horizontal="left"/>
      <protection locked="0"/>
    </xf>
    <xf numFmtId="0" fontId="2" fillId="0" borderId="6" xfId="0" applyFont="1" applyBorder="1" applyAlignment="1" applyProtection="1">
      <alignment horizontal="left"/>
      <protection locked="0"/>
    </xf>
    <xf numFmtId="3" fontId="9" fillId="0" borderId="7" xfId="1" applyNumberFormat="1" applyFont="1" applyFill="1" applyBorder="1" applyAlignment="1" applyProtection="1">
      <alignment horizontal="right" shrinkToFit="1"/>
      <protection locked="0"/>
    </xf>
    <xf numFmtId="0" fontId="24" fillId="2" borderId="0" xfId="0" applyFont="1" applyFill="1" applyProtection="1">
      <protection hidden="1"/>
    </xf>
    <xf numFmtId="164" fontId="8" fillId="0" borderId="0" xfId="0" applyNumberFormat="1" applyFont="1" applyProtection="1">
      <protection hidden="1"/>
    </xf>
    <xf numFmtId="0" fontId="25" fillId="8" borderId="4" xfId="0" applyFont="1" applyFill="1" applyBorder="1" applyProtection="1">
      <protection hidden="1"/>
    </xf>
    <xf numFmtId="0" fontId="15" fillId="8" borderId="0" xfId="0" applyFont="1" applyFill="1" applyProtection="1">
      <protection hidden="1"/>
    </xf>
    <xf numFmtId="0" fontId="9" fillId="8" borderId="0" xfId="0" applyFont="1" applyFill="1" applyAlignment="1" applyProtection="1">
      <alignment horizontal="center"/>
      <protection hidden="1"/>
    </xf>
    <xf numFmtId="169" fontId="3" fillId="8" borderId="0" xfId="2" applyNumberFormat="1" applyFont="1" applyFill="1" applyBorder="1" applyProtection="1">
      <protection hidden="1"/>
    </xf>
    <xf numFmtId="9" fontId="15" fillId="8" borderId="5" xfId="2" applyFont="1" applyFill="1" applyBorder="1" applyProtection="1">
      <protection hidden="1"/>
    </xf>
    <xf numFmtId="0" fontId="25" fillId="8" borderId="0" xfId="0" applyFont="1" applyFill="1" applyProtection="1">
      <protection hidden="1"/>
    </xf>
    <xf numFmtId="0" fontId="26" fillId="8" borderId="0" xfId="0" applyFont="1" applyFill="1" applyProtection="1">
      <protection hidden="1"/>
    </xf>
    <xf numFmtId="166" fontId="25" fillId="8" borderId="0" xfId="1" applyNumberFormat="1" applyFont="1" applyFill="1" applyBorder="1" applyProtection="1">
      <protection hidden="1"/>
    </xf>
    <xf numFmtId="164" fontId="27" fillId="8" borderId="0" xfId="1" applyFont="1" applyFill="1" applyBorder="1" applyProtection="1">
      <protection hidden="1"/>
    </xf>
    <xf numFmtId="9" fontId="25" fillId="8" borderId="5" xfId="2" applyFont="1" applyFill="1" applyBorder="1" applyProtection="1">
      <protection hidden="1"/>
    </xf>
    <xf numFmtId="0" fontId="29" fillId="8" borderId="0" xfId="0" applyFont="1" applyFill="1" applyProtection="1">
      <protection hidden="1"/>
    </xf>
    <xf numFmtId="173" fontId="29" fillId="8" borderId="0" xfId="2" applyNumberFormat="1" applyFont="1" applyFill="1" applyBorder="1" applyProtection="1">
      <protection hidden="1"/>
    </xf>
    <xf numFmtId="172" fontId="3" fillId="2" borderId="0" xfId="2" applyNumberFormat="1" applyFont="1" applyFill="1" applyBorder="1" applyProtection="1">
      <protection hidden="1"/>
    </xf>
    <xf numFmtId="174" fontId="19" fillId="0" borderId="5" xfId="2" applyNumberFormat="1" applyFont="1" applyBorder="1" applyAlignment="1" applyProtection="1">
      <alignment horizontal="right"/>
      <protection hidden="1"/>
    </xf>
    <xf numFmtId="174" fontId="19" fillId="0" borderId="0" xfId="2" applyNumberFormat="1" applyFont="1" applyBorder="1" applyAlignment="1" applyProtection="1">
      <alignment horizontal="right"/>
      <protection hidden="1"/>
    </xf>
    <xf numFmtId="167" fontId="25" fillId="8" borderId="0" xfId="1" applyNumberFormat="1" applyFont="1" applyFill="1" applyBorder="1" applyAlignment="1" applyProtection="1">
      <alignment horizontal="right"/>
      <protection hidden="1"/>
    </xf>
    <xf numFmtId="167" fontId="15" fillId="2" borderId="0" xfId="1" applyNumberFormat="1" applyFont="1" applyFill="1" applyBorder="1" applyAlignment="1" applyProtection="1">
      <alignment horizontal="right"/>
      <protection hidden="1"/>
    </xf>
    <xf numFmtId="175" fontId="2" fillId="0" borderId="0" xfId="1" applyNumberFormat="1" applyFont="1" applyBorder="1" applyAlignment="1" applyProtection="1">
      <alignment horizontal="right" indent="2"/>
      <protection hidden="1"/>
    </xf>
    <xf numFmtId="167" fontId="25" fillId="8" borderId="0" xfId="1" applyNumberFormat="1" applyFont="1" applyFill="1" applyBorder="1" applyProtection="1">
      <protection hidden="1"/>
    </xf>
    <xf numFmtId="167" fontId="15" fillId="2" borderId="0" xfId="1" applyNumberFormat="1" applyFont="1" applyFill="1" applyBorder="1" applyProtection="1">
      <protection hidden="1"/>
    </xf>
    <xf numFmtId="49" fontId="30" fillId="0" borderId="0" xfId="0" applyNumberFormat="1" applyFont="1" applyAlignment="1" applyProtection="1">
      <alignment horizontal="right"/>
      <protection hidden="1"/>
    </xf>
    <xf numFmtId="6" fontId="30" fillId="0" borderId="0" xfId="0" applyNumberFormat="1" applyFont="1" applyProtection="1">
      <protection hidden="1"/>
    </xf>
    <xf numFmtId="0" fontId="30" fillId="0" borderId="0" xfId="0" applyFont="1" applyAlignment="1" applyProtection="1">
      <alignment horizontal="right"/>
      <protection hidden="1"/>
    </xf>
    <xf numFmtId="165" fontId="6" fillId="0" borderId="0" xfId="0" applyNumberFormat="1" applyFont="1" applyAlignment="1">
      <alignment horizontal="right"/>
    </xf>
    <xf numFmtId="0" fontId="34" fillId="0" borderId="0" xfId="0" applyFont="1"/>
    <xf numFmtId="0" fontId="0" fillId="0" borderId="7" xfId="0" applyBorder="1" applyProtection="1">
      <protection hidden="1"/>
    </xf>
    <xf numFmtId="176" fontId="15" fillId="2" borderId="0" xfId="0" applyNumberFormat="1" applyFont="1" applyFill="1" applyAlignment="1" applyProtection="1">
      <alignment horizontal="center" vertical="center" shrinkToFit="1"/>
      <protection hidden="1"/>
    </xf>
    <xf numFmtId="177" fontId="34" fillId="0" borderId="0" xfId="0" applyNumberFormat="1" applyFont="1"/>
    <xf numFmtId="177" fontId="0" fillId="0" borderId="0" xfId="0" applyNumberFormat="1"/>
    <xf numFmtId="0" fontId="35" fillId="0" borderId="0" xfId="0" applyFont="1" applyProtection="1">
      <protection hidden="1"/>
    </xf>
    <xf numFmtId="178" fontId="10" fillId="0" borderId="0" xfId="0" quotePrefix="1" applyNumberFormat="1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vertical="center"/>
      <protection hidden="1"/>
    </xf>
    <xf numFmtId="0" fontId="3" fillId="2" borderId="4" xfId="0" applyFont="1" applyFill="1" applyBorder="1" applyAlignment="1" applyProtection="1">
      <alignment vertical="center"/>
      <protection hidden="1"/>
    </xf>
    <xf numFmtId="49" fontId="3" fillId="2" borderId="0" xfId="0" applyNumberFormat="1" applyFont="1" applyFill="1" applyAlignment="1" applyProtection="1">
      <alignment vertical="center"/>
      <protection hidden="1"/>
    </xf>
    <xf numFmtId="49" fontId="3" fillId="2" borderId="0" xfId="0" applyNumberFormat="1" applyFont="1" applyFill="1" applyAlignment="1" applyProtection="1">
      <alignment vertical="center" wrapText="1"/>
      <protection hidden="1"/>
    </xf>
    <xf numFmtId="0" fontId="3" fillId="2" borderId="0" xfId="0" applyFont="1" applyFill="1" applyAlignment="1" applyProtection="1">
      <alignment vertical="center"/>
      <protection hidden="1"/>
    </xf>
    <xf numFmtId="170" fontId="3" fillId="2" borderId="0" xfId="0" applyNumberFormat="1" applyFont="1" applyFill="1" applyAlignment="1" applyProtection="1">
      <alignment horizontal="center" vertical="center" shrinkToFit="1"/>
      <protection hidden="1"/>
    </xf>
    <xf numFmtId="176" fontId="3" fillId="2" borderId="0" xfId="0" applyNumberFormat="1" applyFont="1" applyFill="1" applyAlignment="1" applyProtection="1">
      <alignment horizontal="center" vertical="center" shrinkToFit="1"/>
      <protection hidden="1"/>
    </xf>
    <xf numFmtId="0" fontId="36" fillId="2" borderId="5" xfId="0" applyFont="1" applyFill="1" applyBorder="1" applyAlignment="1" applyProtection="1">
      <alignment horizontal="center" vertical="center"/>
      <protection hidden="1"/>
    </xf>
    <xf numFmtId="14" fontId="0" fillId="0" borderId="16" xfId="0" applyNumberFormat="1" applyBorder="1" applyAlignment="1" applyProtection="1">
      <alignment vertical="center"/>
      <protection locked="0"/>
    </xf>
    <xf numFmtId="0" fontId="22" fillId="0" borderId="0" xfId="0" applyFont="1" applyAlignment="1" applyProtection="1">
      <alignment vertical="center"/>
      <protection hidden="1"/>
    </xf>
    <xf numFmtId="0" fontId="37" fillId="0" borderId="1" xfId="0" applyFont="1" applyBorder="1" applyProtection="1">
      <protection hidden="1"/>
    </xf>
    <xf numFmtId="0" fontId="37" fillId="0" borderId="2" xfId="0" applyFont="1" applyBorder="1" applyProtection="1">
      <protection hidden="1"/>
    </xf>
    <xf numFmtId="0" fontId="38" fillId="0" borderId="0" xfId="0" applyFont="1"/>
    <xf numFmtId="0" fontId="39" fillId="0" borderId="0" xfId="0" applyFont="1"/>
    <xf numFmtId="14" fontId="0" fillId="0" borderId="0" xfId="0" applyNumberFormat="1"/>
    <xf numFmtId="0" fontId="19" fillId="0" borderId="20" xfId="0" applyFont="1" applyBorder="1" applyAlignment="1">
      <alignment vertical="top"/>
    </xf>
    <xf numFmtId="0" fontId="0" fillId="0" borderId="20" xfId="0" applyBorder="1" applyAlignment="1">
      <alignment wrapText="1"/>
    </xf>
    <xf numFmtId="0" fontId="19" fillId="0" borderId="20" xfId="0" applyFont="1" applyBorder="1" applyAlignment="1">
      <alignment horizontal="left" vertical="top" wrapText="1"/>
    </xf>
    <xf numFmtId="3" fontId="42" fillId="9" borderId="1" xfId="0" applyNumberFormat="1" applyFont="1" applyFill="1" applyBorder="1" applyAlignment="1" applyProtection="1">
      <alignment vertical="center" wrapText="1"/>
      <protection hidden="1"/>
    </xf>
    <xf numFmtId="42" fontId="0" fillId="0" borderId="0" xfId="0" applyNumberFormat="1"/>
    <xf numFmtId="9" fontId="0" fillId="0" borderId="0" xfId="2" applyFont="1"/>
    <xf numFmtId="0" fontId="42" fillId="9" borderId="6" xfId="0" applyFont="1" applyFill="1" applyBorder="1" applyAlignment="1" applyProtection="1">
      <alignment vertical="center" wrapText="1"/>
      <protection hidden="1"/>
    </xf>
    <xf numFmtId="0" fontId="22" fillId="0" borderId="20" xfId="0" applyFont="1" applyBorder="1"/>
    <xf numFmtId="0" fontId="0" fillId="0" borderId="18" xfId="0" applyBorder="1" applyAlignment="1">
      <alignment wrapText="1"/>
    </xf>
    <xf numFmtId="0" fontId="0" fillId="0" borderId="19" xfId="0" applyBorder="1" applyAlignment="1" applyProtection="1">
      <alignment horizontal="left" vertical="center" wrapText="1" indent="2"/>
      <protection locked="0"/>
    </xf>
    <xf numFmtId="0" fontId="0" fillId="0" borderId="19" xfId="0" applyBorder="1" applyAlignment="1" applyProtection="1">
      <alignment horizontal="left" vertical="center" indent="2"/>
      <protection locked="0"/>
    </xf>
    <xf numFmtId="0" fontId="0" fillId="0" borderId="19" xfId="0" applyBorder="1" applyAlignment="1" applyProtection="1">
      <alignment horizontal="left" indent="2"/>
      <protection locked="0"/>
    </xf>
    <xf numFmtId="0" fontId="0" fillId="0" borderId="0" xfId="0" applyAlignment="1" applyProtection="1">
      <alignment horizontal="left" vertical="center" indent="2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9" fillId="0" borderId="0" xfId="0" applyFont="1"/>
    <xf numFmtId="0" fontId="43" fillId="0" borderId="0" xfId="0" applyFont="1"/>
    <xf numFmtId="0" fontId="34" fillId="0" borderId="0" xfId="0" applyFont="1" applyProtection="1">
      <protection hidden="1"/>
    </xf>
    <xf numFmtId="0" fontId="45" fillId="0" borderId="4" xfId="0" applyFont="1" applyBorder="1" applyProtection="1">
      <protection hidden="1"/>
    </xf>
    <xf numFmtId="169" fontId="27" fillId="8" borderId="0" xfId="2" applyNumberFormat="1" applyFont="1" applyFill="1" applyBorder="1" applyProtection="1">
      <protection hidden="1"/>
    </xf>
    <xf numFmtId="0" fontId="22" fillId="0" borderId="0" xfId="0" applyFont="1" applyProtection="1">
      <protection hidden="1"/>
    </xf>
    <xf numFmtId="0" fontId="46" fillId="0" borderId="4" xfId="0" applyFont="1" applyBorder="1" applyAlignment="1" applyProtection="1">
      <alignment horizontal="center"/>
      <protection hidden="1"/>
    </xf>
    <xf numFmtId="0" fontId="46" fillId="0" borderId="0" xfId="0" applyFont="1" applyAlignment="1" applyProtection="1">
      <alignment horizontal="right"/>
      <protection hidden="1"/>
    </xf>
    <xf numFmtId="42" fontId="46" fillId="0" borderId="0" xfId="0" applyNumberFormat="1" applyFont="1" applyAlignment="1" applyProtection="1">
      <alignment horizontal="center"/>
      <protection hidden="1"/>
    </xf>
    <xf numFmtId="0" fontId="46" fillId="0" borderId="0" xfId="0" applyFont="1" applyAlignment="1" applyProtection="1">
      <alignment horizontal="center"/>
      <protection hidden="1"/>
    </xf>
    <xf numFmtId="10" fontId="46" fillId="0" borderId="0" xfId="0" applyNumberFormat="1" applyFont="1" applyAlignment="1" applyProtection="1">
      <alignment horizontal="center"/>
      <protection locked="0"/>
    </xf>
    <xf numFmtId="165" fontId="6" fillId="0" borderId="0" xfId="0" applyNumberFormat="1" applyFont="1" applyAlignment="1" applyProtection="1">
      <alignment horizontal="right"/>
      <protection hidden="1"/>
    </xf>
    <xf numFmtId="165" fontId="6" fillId="0" borderId="5" xfId="0" applyNumberFormat="1" applyFont="1" applyBorder="1" applyAlignment="1" applyProtection="1">
      <alignment horizontal="right"/>
      <protection hidden="1"/>
    </xf>
    <xf numFmtId="179" fontId="42" fillId="9" borderId="2" xfId="0" applyNumberFormat="1" applyFont="1" applyFill="1" applyBorder="1" applyAlignment="1" applyProtection="1">
      <alignment vertical="center" wrapText="1"/>
      <protection locked="0"/>
    </xf>
    <xf numFmtId="0" fontId="42" fillId="9" borderId="2" xfId="0" applyFont="1" applyFill="1" applyBorder="1" applyAlignment="1" applyProtection="1">
      <alignment vertical="top" wrapText="1"/>
      <protection hidden="1"/>
    </xf>
    <xf numFmtId="179" fontId="42" fillId="9" borderId="3" xfId="0" applyNumberFormat="1" applyFont="1" applyFill="1" applyBorder="1" applyAlignment="1" applyProtection="1">
      <alignment vertical="top" wrapText="1"/>
      <protection locked="0"/>
    </xf>
    <xf numFmtId="0" fontId="42" fillId="9" borderId="7" xfId="0" applyFont="1" applyFill="1" applyBorder="1" applyAlignment="1" applyProtection="1">
      <alignment vertical="center" wrapText="1"/>
      <protection locked="0"/>
    </xf>
    <xf numFmtId="0" fontId="42" fillId="9" borderId="7" xfId="0" applyFont="1" applyFill="1" applyBorder="1" applyAlignment="1" applyProtection="1">
      <alignment vertical="top" wrapText="1"/>
      <protection hidden="1"/>
    </xf>
    <xf numFmtId="0" fontId="42" fillId="9" borderId="8" xfId="0" applyFont="1" applyFill="1" applyBorder="1" applyAlignment="1" applyProtection="1">
      <alignment vertical="top" wrapText="1"/>
      <protection locked="0"/>
    </xf>
    <xf numFmtId="0" fontId="19" fillId="0" borderId="20" xfId="0" applyFont="1" applyBorder="1" applyAlignment="1">
      <alignment vertical="top" wrapText="1"/>
    </xf>
    <xf numFmtId="0" fontId="0" fillId="0" borderId="2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2" fillId="0" borderId="0" xfId="0" applyFont="1" applyAlignment="1">
      <alignment vertical="top" wrapText="1"/>
    </xf>
    <xf numFmtId="14" fontId="34" fillId="0" borderId="0" xfId="0" applyNumberFormat="1" applyFont="1"/>
    <xf numFmtId="0" fontId="2" fillId="0" borderId="24" xfId="0" applyFont="1" applyBorder="1" applyProtection="1">
      <protection hidden="1"/>
    </xf>
    <xf numFmtId="0" fontId="2" fillId="6" borderId="24" xfId="0" applyFont="1" applyFill="1" applyBorder="1" applyProtection="1">
      <protection hidden="1"/>
    </xf>
    <xf numFmtId="164" fontId="2" fillId="0" borderId="24" xfId="1" applyFont="1" applyBorder="1" applyProtection="1">
      <protection hidden="1"/>
    </xf>
    <xf numFmtId="0" fontId="19" fillId="0" borderId="19" xfId="0" applyFont="1" applyBorder="1" applyAlignment="1" applyProtection="1">
      <alignment horizontal="left" vertical="top" wrapText="1"/>
      <protection hidden="1"/>
    </xf>
    <xf numFmtId="0" fontId="42" fillId="9" borderId="0" xfId="0" applyFont="1" applyFill="1" applyAlignment="1" applyProtection="1">
      <alignment vertical="center" wrapText="1"/>
      <protection hidden="1"/>
    </xf>
    <xf numFmtId="3" fontId="42" fillId="9" borderId="2" xfId="0" applyNumberFormat="1" applyFont="1" applyFill="1" applyBorder="1" applyAlignment="1" applyProtection="1">
      <alignment vertical="center" wrapText="1"/>
      <protection hidden="1"/>
    </xf>
    <xf numFmtId="0" fontId="42" fillId="9" borderId="7" xfId="0" applyFont="1" applyFill="1" applyBorder="1" applyAlignment="1" applyProtection="1">
      <alignment vertical="center" wrapText="1"/>
      <protection hidden="1"/>
    </xf>
    <xf numFmtId="172" fontId="48" fillId="2" borderId="0" xfId="2" applyNumberFormat="1" applyFont="1" applyFill="1" applyBorder="1" applyProtection="1"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0" fillId="0" borderId="17" xfId="0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16" xfId="0" applyBorder="1" applyAlignment="1" applyProtection="1">
      <alignment horizontal="left" vertical="top" wrapText="1"/>
      <protection locked="0"/>
    </xf>
    <xf numFmtId="0" fontId="0" fillId="0" borderId="14" xfId="0" applyBorder="1" applyAlignment="1" applyProtection="1">
      <alignment horizontal="left" vertical="top" wrapText="1"/>
      <protection locked="0"/>
    </xf>
    <xf numFmtId="0" fontId="23" fillId="0" borderId="0" xfId="0" applyFont="1" applyAlignment="1" applyProtection="1">
      <alignment horizontal="center" vertical="center"/>
      <protection hidden="1"/>
    </xf>
    <xf numFmtId="0" fontId="22" fillId="0" borderId="16" xfId="0" applyFont="1" applyBorder="1" applyAlignment="1" applyProtection="1">
      <alignment horizontal="left" vertical="center"/>
      <protection hidden="1"/>
    </xf>
    <xf numFmtId="0" fontId="22" fillId="0" borderId="14" xfId="0" applyFont="1" applyBorder="1" applyAlignment="1" applyProtection="1">
      <alignment horizontal="left" vertical="center"/>
      <protection hidden="1"/>
    </xf>
    <xf numFmtId="0" fontId="0" fillId="0" borderId="16" xfId="0" applyBorder="1" applyAlignment="1" applyProtection="1">
      <alignment horizontal="left" vertical="center"/>
      <protection hidden="1"/>
    </xf>
    <xf numFmtId="0" fontId="0" fillId="0" borderId="14" xfId="0" applyBorder="1" applyAlignment="1" applyProtection="1">
      <alignment horizontal="left" vertical="center"/>
      <protection hidden="1"/>
    </xf>
    <xf numFmtId="0" fontId="28" fillId="0" borderId="4" xfId="0" applyFont="1" applyBorder="1" applyAlignment="1" applyProtection="1">
      <alignment horizontal="left" indent="2"/>
      <protection hidden="1"/>
    </xf>
    <xf numFmtId="0" fontId="28" fillId="0" borderId="0" xfId="0" applyFont="1" applyAlignment="1" applyProtection="1">
      <alignment horizontal="left" indent="2"/>
      <protection hidden="1"/>
    </xf>
    <xf numFmtId="0" fontId="16" fillId="0" borderId="9" xfId="0" applyFont="1" applyBorder="1" applyAlignment="1" applyProtection="1">
      <alignment horizontal="left"/>
      <protection hidden="1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2" fillId="0" borderId="18" xfId="0" applyFont="1" applyBorder="1" applyAlignment="1" applyProtection="1">
      <alignment horizontal="center" vertical="top" wrapText="1"/>
      <protection locked="0"/>
    </xf>
    <xf numFmtId="0" fontId="2" fillId="0" borderId="19" xfId="0" applyFont="1" applyBorder="1" applyAlignment="1" applyProtection="1">
      <alignment horizontal="center" vertical="top" wrapText="1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19" fillId="0" borderId="18" xfId="0" applyFont="1" applyBorder="1" applyAlignment="1" applyProtection="1">
      <alignment horizontal="left" vertical="top" wrapText="1"/>
      <protection hidden="1"/>
    </xf>
    <xf numFmtId="0" fontId="19" fillId="0" borderId="25" xfId="0" applyFont="1" applyBorder="1" applyAlignment="1" applyProtection="1">
      <alignment horizontal="left" vertical="top" wrapText="1"/>
      <protection hidden="1"/>
    </xf>
    <xf numFmtId="0" fontId="42" fillId="9" borderId="2" xfId="0" applyFont="1" applyFill="1" applyBorder="1" applyAlignment="1" applyProtection="1">
      <alignment horizontal="left" vertical="top" wrapText="1"/>
      <protection hidden="1"/>
    </xf>
    <xf numFmtId="0" fontId="42" fillId="9" borderId="3" xfId="0" applyFont="1" applyFill="1" applyBorder="1" applyAlignment="1" applyProtection="1">
      <alignment horizontal="left" vertical="top" wrapText="1"/>
      <protection hidden="1"/>
    </xf>
    <xf numFmtId="0" fontId="42" fillId="9" borderId="0" xfId="0" applyFont="1" applyFill="1" applyAlignment="1" applyProtection="1">
      <alignment horizontal="left" vertical="top" wrapText="1"/>
      <protection hidden="1"/>
    </xf>
    <xf numFmtId="0" fontId="42" fillId="9" borderId="5" xfId="0" applyFont="1" applyFill="1" applyBorder="1" applyAlignment="1" applyProtection="1">
      <alignment horizontal="left" vertical="top" wrapText="1"/>
      <protection hidden="1"/>
    </xf>
    <xf numFmtId="0" fontId="42" fillId="9" borderId="7" xfId="0" applyFont="1" applyFill="1" applyBorder="1" applyAlignment="1" applyProtection="1">
      <alignment horizontal="left" vertical="top" wrapText="1"/>
      <protection hidden="1"/>
    </xf>
    <xf numFmtId="0" fontId="42" fillId="9" borderId="8" xfId="0" applyFont="1" applyFill="1" applyBorder="1" applyAlignment="1" applyProtection="1">
      <alignment horizontal="left" vertical="top" wrapText="1"/>
      <protection hidden="1"/>
    </xf>
    <xf numFmtId="0" fontId="41" fillId="0" borderId="1" xfId="0" applyFont="1" applyBorder="1" applyAlignment="1" applyProtection="1">
      <alignment horizontal="left" vertical="center" wrapText="1" indent="1"/>
      <protection hidden="1"/>
    </xf>
    <xf numFmtId="0" fontId="41" fillId="0" borderId="2" xfId="0" applyFont="1" applyBorder="1" applyAlignment="1" applyProtection="1">
      <alignment horizontal="left" vertical="center" wrapText="1" indent="1"/>
      <protection hidden="1"/>
    </xf>
    <xf numFmtId="0" fontId="41" fillId="0" borderId="3" xfId="0" applyFont="1" applyBorder="1" applyAlignment="1" applyProtection="1">
      <alignment horizontal="left" vertical="center" wrapText="1" indent="1"/>
      <protection hidden="1"/>
    </xf>
    <xf numFmtId="0" fontId="19" fillId="0" borderId="18" xfId="0" applyFont="1" applyBorder="1" applyAlignment="1">
      <alignment horizontal="left" vertical="top"/>
    </xf>
    <xf numFmtId="0" fontId="19" fillId="0" borderId="19" xfId="0" applyFont="1" applyBorder="1" applyAlignment="1">
      <alignment horizontal="left" vertical="top"/>
    </xf>
    <xf numFmtId="0" fontId="40" fillId="0" borderId="1" xfId="0" applyFont="1" applyBorder="1" applyAlignment="1" applyProtection="1">
      <alignment horizontal="left" vertical="center" wrapText="1" indent="1"/>
      <protection locked="0"/>
    </xf>
    <xf numFmtId="0" fontId="40" fillId="0" borderId="2" xfId="0" applyFont="1" applyBorder="1" applyAlignment="1" applyProtection="1">
      <alignment horizontal="left" vertical="center" wrapText="1" indent="1"/>
      <protection locked="0"/>
    </xf>
    <xf numFmtId="0" fontId="40" fillId="0" borderId="3" xfId="0" applyFont="1" applyBorder="1" applyAlignment="1" applyProtection="1">
      <alignment horizontal="left" vertical="center" wrapText="1" indent="1"/>
      <protection locked="0"/>
    </xf>
    <xf numFmtId="0" fontId="40" fillId="0" borderId="6" xfId="0" applyFont="1" applyBorder="1" applyAlignment="1" applyProtection="1">
      <alignment horizontal="left" vertical="center" wrapText="1" indent="1"/>
      <protection locked="0"/>
    </xf>
    <xf numFmtId="0" fontId="40" fillId="0" borderId="7" xfId="0" applyFont="1" applyBorder="1" applyAlignment="1" applyProtection="1">
      <alignment horizontal="left" vertical="center" wrapText="1" indent="1"/>
      <protection locked="0"/>
    </xf>
    <xf numFmtId="0" fontId="40" fillId="0" borderId="8" xfId="0" applyFont="1" applyBorder="1" applyAlignment="1" applyProtection="1">
      <alignment horizontal="left" vertical="center" wrapText="1" indent="1"/>
      <protection locked="0"/>
    </xf>
    <xf numFmtId="0" fontId="41" fillId="0" borderId="21" xfId="0" applyFont="1" applyBorder="1" applyAlignment="1">
      <alignment horizontal="left" vertical="center" wrapText="1" indent="1"/>
    </xf>
    <xf numFmtId="0" fontId="41" fillId="0" borderId="22" xfId="0" applyFont="1" applyBorder="1" applyAlignment="1">
      <alignment horizontal="left" vertical="center" wrapText="1" indent="1"/>
    </xf>
    <xf numFmtId="0" fontId="41" fillId="0" borderId="23" xfId="0" applyFont="1" applyBorder="1" applyAlignment="1">
      <alignment horizontal="left" vertical="center" wrapText="1" indent="1"/>
    </xf>
    <xf numFmtId="0" fontId="41" fillId="0" borderId="21" xfId="0" applyFont="1" applyBorder="1" applyAlignment="1" applyProtection="1">
      <alignment horizontal="left" vertical="center" wrapText="1" indent="1"/>
      <protection locked="0"/>
    </xf>
    <xf numFmtId="0" fontId="41" fillId="0" borderId="22" xfId="0" applyFont="1" applyBorder="1" applyAlignment="1" applyProtection="1">
      <alignment horizontal="left" vertical="center" wrapText="1" indent="1"/>
      <protection locked="0"/>
    </xf>
    <xf numFmtId="0" fontId="41" fillId="0" borderId="23" xfId="0" applyFont="1" applyBorder="1" applyAlignment="1" applyProtection="1">
      <alignment horizontal="left" vertical="center" wrapText="1" indent="1"/>
      <protection locked="0"/>
    </xf>
    <xf numFmtId="0" fontId="40" fillId="0" borderId="21" xfId="0" applyFont="1" applyBorder="1" applyAlignment="1" applyProtection="1">
      <alignment horizontal="left" vertical="center" wrapText="1" indent="1"/>
      <protection locked="0"/>
    </xf>
    <xf numFmtId="0" fontId="40" fillId="0" borderId="22" xfId="0" applyFont="1" applyBorder="1" applyAlignment="1" applyProtection="1">
      <alignment horizontal="left" vertical="center" wrapText="1" indent="1"/>
      <protection locked="0"/>
    </xf>
    <xf numFmtId="0" fontId="40" fillId="0" borderId="23" xfId="0" applyFont="1" applyBorder="1" applyAlignment="1" applyProtection="1">
      <alignment horizontal="left" vertical="center" wrapText="1" indent="1"/>
      <protection locked="0"/>
    </xf>
    <xf numFmtId="0" fontId="19" fillId="0" borderId="19" xfId="0" applyFont="1" applyBorder="1" applyAlignment="1" applyProtection="1">
      <alignment horizontal="left" vertical="top" wrapText="1"/>
      <protection hidden="1"/>
    </xf>
    <xf numFmtId="3" fontId="42" fillId="9" borderId="1" xfId="0" applyNumberFormat="1" applyFont="1" applyFill="1" applyBorder="1" applyAlignment="1" applyProtection="1">
      <alignment horizontal="left" vertical="center"/>
      <protection hidden="1"/>
    </xf>
    <xf numFmtId="3" fontId="42" fillId="9" borderId="2" xfId="0" applyNumberFormat="1" applyFont="1" applyFill="1" applyBorder="1" applyAlignment="1" applyProtection="1">
      <alignment horizontal="left" vertical="center"/>
      <protection hidden="1"/>
    </xf>
    <xf numFmtId="3" fontId="42" fillId="9" borderId="6" xfId="0" applyNumberFormat="1" applyFont="1" applyFill="1" applyBorder="1" applyAlignment="1" applyProtection="1">
      <alignment horizontal="left" vertical="center"/>
      <protection hidden="1"/>
    </xf>
    <xf numFmtId="3" fontId="42" fillId="9" borderId="7" xfId="0" applyNumberFormat="1" applyFont="1" applyFill="1" applyBorder="1" applyAlignment="1" applyProtection="1">
      <alignment horizontal="left" vertical="center"/>
      <protection hidden="1"/>
    </xf>
    <xf numFmtId="0" fontId="40" fillId="0" borderId="1" xfId="0" applyFont="1" applyBorder="1" applyAlignment="1">
      <alignment horizontal="left" vertical="center" wrapText="1" indent="1"/>
    </xf>
    <xf numFmtId="0" fontId="40" fillId="0" borderId="2" xfId="0" applyFont="1" applyBorder="1" applyAlignment="1">
      <alignment horizontal="left" vertical="center" wrapText="1" indent="1"/>
    </xf>
    <xf numFmtId="0" fontId="40" fillId="0" borderId="3" xfId="0" applyFont="1" applyBorder="1" applyAlignment="1">
      <alignment horizontal="left" vertical="center" wrapText="1" indent="1"/>
    </xf>
    <xf numFmtId="0" fontId="40" fillId="0" borderId="6" xfId="0" applyFont="1" applyBorder="1" applyAlignment="1">
      <alignment horizontal="left" vertical="center" wrapText="1" indent="1"/>
    </xf>
    <xf numFmtId="0" fontId="40" fillId="0" borderId="7" xfId="0" applyFont="1" applyBorder="1" applyAlignment="1">
      <alignment horizontal="left" vertical="center" wrapText="1" indent="1"/>
    </xf>
    <xf numFmtId="0" fontId="40" fillId="0" borderId="8" xfId="0" applyFont="1" applyBorder="1" applyAlignment="1">
      <alignment horizontal="left" vertical="center" wrapText="1" indent="1"/>
    </xf>
    <xf numFmtId="0" fontId="34" fillId="0" borderId="21" xfId="0" applyFont="1" applyBorder="1" applyAlignment="1" applyProtection="1">
      <alignment horizontal="left" vertical="center" wrapText="1"/>
      <protection locked="0"/>
    </xf>
    <xf numFmtId="0" fontId="34" fillId="0" borderId="22" xfId="0" applyFont="1" applyBorder="1" applyAlignment="1" applyProtection="1">
      <alignment horizontal="left" vertical="center" wrapText="1"/>
      <protection locked="0"/>
    </xf>
    <xf numFmtId="0" fontId="34" fillId="0" borderId="23" xfId="0" applyFont="1" applyBorder="1" applyAlignment="1" applyProtection="1">
      <alignment horizontal="left" vertical="center" wrapText="1"/>
      <protection locked="0"/>
    </xf>
    <xf numFmtId="0" fontId="2" fillId="0" borderId="1" xfId="0" applyFont="1" applyBorder="1" applyAlignment="1" applyProtection="1">
      <alignment horizontal="center" vertical="top" wrapText="1"/>
      <protection locked="0"/>
    </xf>
    <xf numFmtId="0" fontId="2" fillId="0" borderId="3" xfId="0" applyFont="1" applyBorder="1" applyAlignment="1" applyProtection="1">
      <alignment horizontal="center" vertical="top" wrapText="1"/>
      <protection locked="0"/>
    </xf>
    <xf numFmtId="0" fontId="2" fillId="0" borderId="6" xfId="0" applyFont="1" applyBorder="1" applyAlignment="1" applyProtection="1">
      <alignment horizontal="center" vertical="top" wrapText="1"/>
      <protection locked="0"/>
    </xf>
    <xf numFmtId="0" fontId="2" fillId="0" borderId="8" xfId="0" applyFont="1" applyBorder="1" applyAlignment="1" applyProtection="1">
      <alignment horizontal="center" vertical="top" wrapText="1"/>
      <protection locked="0"/>
    </xf>
  </cellXfs>
  <cellStyles count="5">
    <cellStyle name="Bad" xfId="4" builtinId="27"/>
    <cellStyle name="Comma" xfId="1" builtinId="3"/>
    <cellStyle name="Good" xfId="3" builtinId="26"/>
    <cellStyle name="Normal" xfId="0" builtinId="0"/>
    <cellStyle name="Percent" xfId="2" builtinId="5"/>
  </cellStyles>
  <dxfs count="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1"/>
    </dxf>
    <dxf>
      <numFmt numFmtId="180" formatCode="&quot;&quot;;&quot;&quot;;&quot;&quot;;&quot;&quot;"/>
      <fill>
        <patternFill patternType="gray0625">
          <bgColor theme="0" tint="-4.9989318521683403E-2"/>
        </patternFill>
      </fill>
    </dxf>
    <dxf>
      <numFmt numFmtId="180" formatCode="&quot;&quot;;&quot;&quot;;&quot;&quot;;&quot;&quot;"/>
      <fill>
        <patternFill patternType="gray0625">
          <bgColor theme="0" tint="-4.9989318521683403E-2"/>
        </patternFill>
      </fill>
    </dxf>
    <dxf>
      <numFmt numFmtId="180" formatCode="&quot;&quot;;&quot;&quot;;&quot;&quot;;&quot;&quot;"/>
      <fill>
        <patternFill patternType="gray0625">
          <bgColor theme="0" tint="-4.9989318521683403E-2"/>
        </patternFill>
      </fill>
    </dxf>
    <dxf>
      <font>
        <b/>
        <i val="0"/>
        <color rgb="FFFF0000"/>
      </font>
      <numFmt numFmtId="0" formatCode="General"/>
      <fill>
        <patternFill patternType="none">
          <bgColor auto="1"/>
        </patternFill>
      </fill>
    </dxf>
    <dxf>
      <numFmt numFmtId="180" formatCode="&quot;&quot;;&quot;&quot;;&quot;&quot;;&quot;&quot;"/>
      <fill>
        <patternFill patternType="gray0625">
          <bgColor theme="0" tint="-4.9989318521683403E-2"/>
        </patternFill>
      </fill>
    </dxf>
    <dxf>
      <numFmt numFmtId="180" formatCode="&quot;&quot;;&quot;&quot;;&quot;&quot;;&quot;&quot;"/>
      <fill>
        <patternFill patternType="gray0625">
          <bgColor theme="0" tint="-4.9989318521683403E-2"/>
        </patternFill>
      </fill>
    </dxf>
    <dxf>
      <font>
        <b/>
        <i val="0"/>
        <color rgb="FFFF0000"/>
      </font>
      <numFmt numFmtId="0" formatCode="General"/>
      <fill>
        <patternFill patternType="none">
          <bgColor auto="1"/>
        </patternFill>
      </fill>
    </dxf>
    <dxf>
      <numFmt numFmtId="180" formatCode="&quot;&quot;;&quot;&quot;;&quot;&quot;;&quot;&quot;"/>
      <fill>
        <patternFill patternType="gray0625">
          <bgColor theme="0" tint="-4.9989318521683403E-2"/>
        </patternFill>
      </fill>
    </dxf>
    <dxf>
      <numFmt numFmtId="180" formatCode="&quot;&quot;;&quot;&quot;;&quot;&quot;;&quot;&quot;"/>
      <fill>
        <patternFill patternType="gray0625">
          <bgColor theme="0" tint="-4.9989318521683403E-2"/>
        </patternFill>
      </fill>
    </dxf>
    <dxf>
      <numFmt numFmtId="180" formatCode="&quot;&quot;;&quot;&quot;;&quot;&quot;;&quot;&quot;"/>
      <fill>
        <patternFill patternType="gray0625">
          <bgColor theme="0" tint="-4.9989318521683403E-2"/>
        </patternFill>
      </fill>
    </dxf>
    <dxf>
      <font>
        <b/>
        <i val="0"/>
        <color rgb="FFFF0000"/>
      </font>
      <numFmt numFmtId="0" formatCode="General"/>
      <fill>
        <patternFill patternType="none">
          <bgColor auto="1"/>
        </patternFill>
      </fill>
    </dxf>
    <dxf>
      <numFmt numFmtId="180" formatCode="&quot;&quot;;&quot;&quot;;&quot;&quot;;&quot;&quot;"/>
      <fill>
        <patternFill patternType="gray0625">
          <bgColor theme="0" tint="-4.9989318521683403E-2"/>
        </patternFill>
      </fill>
    </dxf>
    <dxf>
      <numFmt numFmtId="180" formatCode="&quot;&quot;;&quot;&quot;;&quot;&quot;;&quot;&quot;"/>
      <fill>
        <patternFill patternType="gray0625"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numFmt numFmtId="164" formatCode="_-* #,##0.00\ _€_-;\-* #,##0.00\ _€_-;_-* &quot;-&quot;??\ _€_-;_-@_-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numFmt numFmtId="164" formatCode="_-* #,##0.00\ _€_-;\-* #,##0.00\ _€_-;_-* &quot;-&quot;??\ _€_-;_-@_-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-* #,##0.00\ _€_-;\-* #,##0.00\ _€_-;_-* &quot;-&quot;??\ _€_-;_-@_-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numFmt numFmtId="164" formatCode="_-* #,##0.00\ _€_-;\-* #,##0.00\ _€_-;_-* &quot;-&quot;??\ _€_-;_-@_-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-* #,##0.00\ _€_-;\-* #,##0.00\ _€_-;_-* &quot;-&quot;??\ _€_-;_-@_-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center" textRotation="0" indent="0" justifyLastLine="0" readingOrder="0"/>
      <protection locked="1" hidden="1"/>
    </dxf>
    <dxf>
      <numFmt numFmtId="180" formatCode="&quot;&quot;;&quot;&quot;;&quot;&quot;;&quot;&quot;"/>
      <fill>
        <patternFill patternType="gray0625">
          <bgColor theme="0" tint="-4.9989318521683403E-2"/>
        </patternFill>
      </fill>
    </dxf>
    <dxf>
      <numFmt numFmtId="180" formatCode="&quot;&quot;;&quot;&quot;;&quot;&quot;;&quot;&quot;"/>
      <fill>
        <patternFill patternType="gray0625">
          <bgColor theme="0" tint="-4.9989318521683403E-2"/>
        </patternFill>
      </fill>
    </dxf>
    <dxf>
      <font>
        <b/>
        <i val="0"/>
        <color rgb="FFFF0000"/>
      </font>
      <numFmt numFmtId="0" formatCode="General"/>
      <fill>
        <patternFill patternType="none">
          <bgColor auto="1"/>
        </patternFill>
      </fill>
    </dxf>
    <dxf>
      <numFmt numFmtId="180" formatCode="&quot;&quot;;&quot;&quot;;&quot;&quot;;&quot;&quot;"/>
      <fill>
        <patternFill patternType="gray0625">
          <bgColor theme="0" tint="-4.9989318521683403E-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numFmt numFmtId="180" formatCode="&quot;&quot;;&quot;&quot;;&quot;&quot;;&quot;&quot;"/>
      <fill>
        <patternFill patternType="gray0625">
          <bgColor theme="0" tint="-4.9989318521683403E-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numFmt numFmtId="180" formatCode="&quot;&quot;;&quot;&quot;;&quot;&quot;;&quot;&quot;"/>
      <fill>
        <patternFill patternType="gray0625">
          <bgColor theme="0" tint="-4.9989318521683403E-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80" formatCode="&quot;&quot;;&quot;&quot;;&quot;&quot;;&quot;&quot;"/>
      <fill>
        <patternFill patternType="gray0625">
          <bgColor theme="0" tint="-4.9989318521683403E-2"/>
        </patternFill>
      </fill>
    </dxf>
    <dxf>
      <font>
        <b/>
        <i val="0"/>
        <color rgb="FFFF0000"/>
      </font>
      <numFmt numFmtId="0" formatCode="General"/>
      <fill>
        <patternFill patternType="none">
          <bgColor auto="1"/>
        </patternFill>
      </fill>
    </dxf>
    <dxf>
      <numFmt numFmtId="180" formatCode="&quot;&quot;;&quot;&quot;;&quot;&quot;;&quot;&quot;"/>
      <fill>
        <patternFill patternType="gray0625">
          <bgColor theme="0" tint="-4.9989318521683403E-2"/>
        </patternFill>
      </fill>
    </dxf>
    <dxf>
      <font>
        <b/>
        <i val="0"/>
        <color rgb="FFFF0000"/>
      </font>
      <numFmt numFmtId="0" formatCode="General"/>
      <fill>
        <patternFill patternType="none">
          <bgColor auto="1"/>
        </patternFill>
      </fill>
    </dxf>
    <dxf>
      <numFmt numFmtId="180" formatCode="&quot;&quot;;&quot;&quot;;&quot;&quot;;&quot;&quot;"/>
      <fill>
        <patternFill patternType="gray0625">
          <bgColor theme="0" tint="-4.9989318521683403E-2"/>
        </patternFill>
      </fill>
    </dxf>
  </dxfs>
  <tableStyles count="0" defaultTableStyle="TableStyleMedium2" defaultPivotStyle="PivotStyleLight16"/>
  <colors>
    <mruColors>
      <color rgb="FFF8F8F8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723900</xdr:colOff>
          <xdr:row>2</xdr:row>
          <xdr:rowOff>19050</xdr:rowOff>
        </xdr:to>
        <xdr:sp macro="" textlink="">
          <xdr:nvSpPr>
            <xdr:cNvPr id="20505" name="Button 25" hidden="1">
              <a:extLst>
                <a:ext uri="{63B3BB69-23CF-44E3-9099-C40C66FF867C}">
                  <a14:compatExt spid="_x0000_s20505"/>
                </a:ext>
                <a:ext uri="{FF2B5EF4-FFF2-40B4-BE49-F238E27FC236}">
                  <a16:creationId xmlns:a16="http://schemas.microsoft.com/office/drawing/2014/main" id="{00000000-0008-0000-0100-00001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Vlož riadok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714375</xdr:colOff>
          <xdr:row>2</xdr:row>
          <xdr:rowOff>28575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3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Vlož riadok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Costs" displayName="TableCosts" ref="AZ6:BP751" totalsRowCount="1" headerRowDxfId="64" dataDxfId="63">
  <autoFilter ref="AZ6:BP750" xr:uid="{00000000-0009-0000-0100-000001000000}"/>
  <tableColumns count="17">
    <tableColumn id="1" xr3:uid="{00000000-0010-0000-0000-000001000000}" name="N_Typ" dataDxfId="62" totalsRowDxfId="61">
      <calculatedColumnFormula>IF(G7=1,B7,"")</calculatedColumnFormula>
    </tableColumn>
    <tableColumn id="8" xr3:uid="{00000000-0010-0000-0000-000008000000}" name="N_Center" dataDxfId="60" totalsRowDxfId="59">
      <calculatedColumnFormula>IF(G7=1,C7,"")</calculatedColumnFormula>
    </tableColumn>
    <tableColumn id="2" xr3:uid="{00000000-0010-0000-0000-000002000000}" name="N_Kateg" dataDxfId="58" totalsRowDxfId="57">
      <calculatedColumnFormula>IF(G7=1,F7,"")</calculatedColumnFormula>
    </tableColumn>
    <tableColumn id="9" xr3:uid="{00000000-0010-0000-0000-000009000000}" name="N_Výkon" dataDxfId="56" totalsRowDxfId="55">
      <calculatedColumnFormula>IF(OR(E7="",LEFT(TableCosts[[#This Row],[Calc_N_Typ]],18)="Vynaložené náklady"),"",VLOOKUP(E7,Tab_Parts,2,0))</calculatedColumnFormula>
    </tableColumn>
    <tableColumn id="3" xr3:uid="{00000000-0010-0000-0000-000003000000}" name="N_MJ" dataDxfId="54" totalsRowDxfId="53">
      <calculatedColumnFormula>IF(G7=1,H7,"")</calculatedColumnFormula>
    </tableColumn>
    <tableColumn id="7" xr3:uid="{00000000-0010-0000-0000-000007000000}" name="N_Amount" totalsRowFunction="custom" dataDxfId="52" totalsRowDxfId="51">
      <calculatedColumnFormula>IF(G7=1,AX7,0)</calculatedColumnFormula>
      <totalsRowFormula>SUBTOTAL(109,BE7:BE750)</totalsRowFormula>
    </tableColumn>
    <tableColumn id="4" xr3:uid="{00000000-0010-0000-0000-000004000000}" name="N_Direct" totalsRowFunction="custom" dataDxfId="50" totalsRowDxfId="49" dataCellStyle="Comma">
      <calculatedColumnFormula>TableCosts[[#This Row],[N_Amount]]*TableCosts[[#This Row],[N_Tariff]]*TableCosts[[#This Row],[N_ItemsCount]]</calculatedColumnFormula>
      <totalsRowFormula>SUBTOTAL(109,BF7:BF750)</totalsRowFormula>
    </tableColumn>
    <tableColumn id="5" xr3:uid="{00000000-0010-0000-0000-000005000000}" name="N_SGA" totalsRowFunction="custom" dataDxfId="48" totalsRowDxfId="47" dataCellStyle="Comma">
      <calculatedColumnFormula>IF(G7=1,IF(TableCosts[[#This Row],[N_Kateg]]="interné práce",TableCosts[[#This Row],[N_Amount]]*8*PAR_SGA_PERHOUR,0),0)</calculatedColumnFormula>
      <totalsRowFormula>SUBTOTAL(109,BG7:BG750)</totalsRowFormula>
    </tableColumn>
    <tableColumn id="6" xr3:uid="{00000000-0010-0000-0000-000006000000}" name="N_Total" totalsRowFunction="custom" dataDxfId="46" totalsRowDxfId="45" dataCellStyle="Comma">
      <calculatedColumnFormula>SUM(TableCosts[[#This Row],[N_Direct]:[N_SGA]])</calculatedColumnFormula>
      <totalsRowFormula>SUBTOTAL(109,BH7:BH750)</totalsRowFormula>
    </tableColumn>
    <tableColumn id="10" xr3:uid="{00000000-0010-0000-0000-00000A000000}" name="N_Tariff" dataDxfId="44" totalsRowDxfId="43">
      <calculatedColumnFormula>IF(G7=1,IF(OR(AND(NOT(ISERROR(VLOOKUP(TableCosts[[#This Row],[Calc_N_Typ]],Cis_WorkPositions,1,0))),C7&lt;&gt;"",D7&lt;&gt;"",E7&lt;&gt;""),AND(ISERROR(VLOOKUP(TableCosts[[#This Row],[Calc_N_Typ]],Cis_WorkPositions,1,0)),C7="",D7="",E7&lt;&gt;""),LEFT(TableCosts[[#This Row],[Calc_N_Typ]],18)="Vynaložené náklady"),VLOOKUP(C7&amp;TableCosts[[#This Row],[Calc_N_Typ]],TRAN_STRITEMS_LABEL,VLOOKUP(D7,Tab_Hours,3,0),0),NA()),0)</calculatedColumnFormula>
    </tableColumn>
    <tableColumn id="11" xr3:uid="{00000000-0010-0000-0000-00000B000000}" name="N_ItemsCount" dataDxfId="42" totalsRowDxfId="41">
      <calculatedColumnFormula>IF(G7=1,IF(H7="čld.",VLOOKUP(D7,Tab_Hours,4,0),1),0)</calculatedColumnFormula>
    </tableColumn>
    <tableColumn id="12" xr3:uid="{00000000-0010-0000-0000-00000C000000}" name="TransferFrom" dataDxfId="40" totalsRowDxfId="39">
      <calculatedColumnFormula>IF(G7=1,IFERROR(VLOOKUP(B7,IpsLicences,2,0),IF(C7="",Par_Center,C7)),"")</calculatedColumnFormula>
    </tableColumn>
    <tableColumn id="13" xr3:uid="{00000000-0010-0000-0000-00000D000000}" name="TranferTo" dataDxfId="38" totalsRowDxfId="37">
      <calculatedColumnFormula>IF(G7=1,Par_Center,"")</calculatedColumnFormula>
    </tableColumn>
    <tableColumn id="14" xr3:uid="{00000000-0010-0000-0000-00000E000000}" name="IsTransfer" dataDxfId="36" totalsRowDxfId="35">
      <calculatedColumnFormula>IF(G7=1,IF(TableCosts[[#This Row],[TransferFrom]]=TableCosts[[#This Row],[TranferTo]],0,1),"")</calculatedColumnFormula>
    </tableColumn>
    <tableColumn id="15" xr3:uid="{00000000-0010-0000-0000-00000F000000}" name="Phase" dataDxfId="34" totalsRowDxfId="33">
      <calculatedColumnFormula>IF(G7=1,IF(E7="ACQ","akvizícia","realizácia"),"")</calculatedColumnFormula>
    </tableColumn>
    <tableColumn id="16" xr3:uid="{00000000-0010-0000-0000-000010000000}" name="Calc_N_Typ" dataDxfId="32" totalsRowDxfId="31">
      <calculatedColumnFormula>IF(RIGHT(B7,LEN(Par_LabelTravelTime))=Par_LabelTravelTime,LEFT(B7,LEN(B7)-LEN(Par_LabelTravelTime)),B7)</calculatedColumnFormula>
    </tableColumn>
    <tableColumn id="17" xr3:uid="{00000000-0010-0000-0000-000011000000}" name="IsTravelTime" dataDxfId="30" totalsRowDxfId="29">
      <calculatedColumnFormula>IF(RIGHT(B7,LEN(Par_LabelTravelTime))=Par_LabelTravelTime,1,0)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Invs" displayName="TableInvs" ref="AU6:AZ750" totalsRowShown="0" headerRowDxfId="15" dataDxfId="14">
  <autoFilter ref="AU6:AZ750" xr:uid="{00000000-0009-0000-0100-000002000000}"/>
  <tableColumns count="6">
    <tableColumn id="1" xr3:uid="{00000000-0010-0000-0100-000001000000}" name="V_Typ" dataDxfId="13">
      <calculatedColumnFormula>IF(E7=1,VLOOKUP(B7,Tran_RevenuesList,2,0),"")</calculatedColumnFormula>
    </tableColumn>
    <tableColumn id="3" xr3:uid="{00000000-0010-0000-0100-000003000000}" name="V_Kateg" dataDxfId="12">
      <calculatedColumnFormula>IF(E7=1,D7,"")</calculatedColumnFormula>
    </tableColumn>
    <tableColumn id="2" xr3:uid="{00000000-0010-0000-0100-000002000000}" name="V_Výkon" dataDxfId="11">
      <calculatedColumnFormula>IF(C7="","",VLOOKUP(C7,Tab_Parts,2,0))</calculatedColumnFormula>
    </tableColumn>
    <tableColumn id="5" xr3:uid="{00000000-0010-0000-0100-000005000000}" name="V_Total" dataDxfId="10">
      <calculatedColumnFormula>IF(E7=1,AS7,0)</calculatedColumnFormula>
    </tableColumn>
    <tableColumn id="4" xr3:uid="{00000000-0010-0000-0100-000004000000}" name="Calc_V_Typ" dataDxfId="9">
      <calculatedColumnFormula>IF(RIGHT(B7,LEN(Par_LabelTravelTime))=Par_LabelTravelTime,LEFT(B7,LEN(B7)-LEN(Par_LabelTravelTime)),B7)</calculatedColumnFormula>
    </tableColumn>
    <tableColumn id="6" xr3:uid="{00000000-0010-0000-0100-000006000000}" name="IsTravelTime" dataDxfId="8">
      <calculatedColumnFormula array="1">IF(OR(RIGHT(B7,LEN(Par_LabelTravelTime))=Par_LabelTravelTime,B7="čas na ceste - fakturácia"),1,0)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_ErrMessage" displayName="Tab_ErrMessage" ref="AJ1:AK3" totalsRowShown="0" headerRowDxfId="7" dataDxfId="6">
  <autoFilter ref="AJ1:AK3" xr:uid="{00000000-0009-0000-0100-000003000000}"/>
  <tableColumns count="2">
    <tableColumn id="1" xr3:uid="{00000000-0010-0000-0200-000001000000}" name="Msq_Part1" dataDxfId="5"/>
    <tableColumn id="2" xr3:uid="{00000000-0010-0000-0200-000002000000}" name="Msq_Part2" dataDxfId="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_GMRequired" displayName="Tab_GMRequired" ref="AM1:AN6" totalsRowShown="0" headerRowDxfId="3" dataDxfId="2">
  <autoFilter ref="AM1:AN6" xr:uid="{00000000-0009-0000-0100-000004000000}"/>
  <tableColumns count="2">
    <tableColumn id="1" xr3:uid="{00000000-0010-0000-0300-000001000000}" name="Center" dataDxfId="1"/>
    <tableColumn id="2" xr3:uid="{00000000-0010-0000-0300-000002000000}" name="GM_IPS_Requir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5.xml"/><Relationship Id="rId4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0"/>
    <pageSetUpPr fitToPage="1"/>
  </sheetPr>
  <dimension ref="A3:H44"/>
  <sheetViews>
    <sheetView showGridLines="0" tabSelected="1" workbookViewId="0">
      <selection activeCell="C17" sqref="C17:D17"/>
    </sheetView>
  </sheetViews>
  <sheetFormatPr defaultColWidth="9.140625" defaultRowHeight="15" x14ac:dyDescent="0.25"/>
  <cols>
    <col min="1" max="1" width="18.85546875" style="75" customWidth="1"/>
    <col min="2" max="2" width="10.7109375" style="9" customWidth="1"/>
    <col min="3" max="16384" width="9.140625" style="9"/>
  </cols>
  <sheetData>
    <row r="3" spans="1:8" thickBot="1" x14ac:dyDescent="0.35">
      <c r="B3" s="197" t="str">
        <f>"Vnútorný rozbor zákazky (v. "&amp;PAR_XLS_VERSION&amp;")"</f>
        <v>Vnútorný rozbor zákazky (v. 19_0)</v>
      </c>
      <c r="C3" s="197"/>
      <c r="D3" s="197"/>
      <c r="E3" s="197"/>
      <c r="F3" s="197"/>
      <c r="G3" s="197"/>
    </row>
    <row r="11" spans="1:8" ht="39.75" customHeight="1" x14ac:dyDescent="0.25">
      <c r="A11" s="76" t="s">
        <v>91</v>
      </c>
      <c r="B11" s="203" t="str">
        <f>IF(Par_WoAccountName="","nedef.",Par_WoAccountName)</f>
        <v>nedef.</v>
      </c>
      <c r="C11" s="204"/>
      <c r="D11" s="204"/>
      <c r="E11" s="204"/>
      <c r="F11" s="204"/>
      <c r="G11" s="204"/>
      <c r="H11" s="204"/>
    </row>
    <row r="12" spans="1:8" ht="15" customHeight="1" x14ac:dyDescent="0.3">
      <c r="A12" s="76"/>
      <c r="B12" s="79"/>
      <c r="C12" s="79"/>
      <c r="D12" s="79"/>
      <c r="E12" s="79"/>
      <c r="F12" s="79"/>
      <c r="G12" s="79"/>
      <c r="H12" s="79"/>
    </row>
    <row r="13" spans="1:8" ht="39.75" customHeight="1" x14ac:dyDescent="0.25">
      <c r="A13" s="77" t="s">
        <v>93</v>
      </c>
      <c r="B13" s="205">
        <f>Par_EndConsumer</f>
        <v>0</v>
      </c>
      <c r="C13" s="206"/>
      <c r="D13" s="206"/>
      <c r="E13" s="206"/>
      <c r="F13" s="206"/>
      <c r="G13" s="206"/>
      <c r="H13" s="206"/>
    </row>
    <row r="14" spans="1:8" ht="15" customHeight="1" x14ac:dyDescent="0.3">
      <c r="A14" s="77"/>
      <c r="B14" s="80"/>
      <c r="C14" s="80"/>
      <c r="D14" s="80"/>
      <c r="E14" s="80"/>
      <c r="F14" s="80"/>
      <c r="G14" s="80"/>
      <c r="H14" s="80"/>
    </row>
    <row r="15" spans="1:8" ht="39.75" customHeight="1" x14ac:dyDescent="0.3">
      <c r="A15" s="77" t="s">
        <v>94</v>
      </c>
      <c r="B15" s="205">
        <f>Par_Partner</f>
        <v>0</v>
      </c>
      <c r="C15" s="206"/>
      <c r="D15" s="206"/>
      <c r="E15" s="206"/>
      <c r="F15" s="206"/>
      <c r="G15" s="206"/>
      <c r="H15" s="206"/>
    </row>
    <row r="16" spans="1:8" ht="15" customHeight="1" x14ac:dyDescent="0.3">
      <c r="A16" s="77"/>
      <c r="B16" s="80"/>
      <c r="C16" s="80"/>
      <c r="D16" s="80"/>
      <c r="E16" s="80"/>
      <c r="F16" s="80"/>
      <c r="G16" s="80"/>
      <c r="H16" s="80"/>
    </row>
    <row r="17" spans="1:8" ht="24" customHeight="1" x14ac:dyDescent="0.25">
      <c r="A17" s="77" t="s">
        <v>92</v>
      </c>
      <c r="B17" s="141">
        <v>45658</v>
      </c>
      <c r="C17" s="202" t="s">
        <v>96</v>
      </c>
      <c r="D17" s="202"/>
    </row>
    <row r="18" spans="1:8" ht="15" customHeight="1" x14ac:dyDescent="0.25">
      <c r="A18" s="77"/>
      <c r="B18" s="78"/>
    </row>
    <row r="19" spans="1:8" ht="24" customHeight="1" x14ac:dyDescent="0.25">
      <c r="A19" s="77" t="s">
        <v>111</v>
      </c>
      <c r="B19" s="205">
        <f>Par_SalesPerson</f>
        <v>0</v>
      </c>
      <c r="C19" s="206"/>
      <c r="D19" s="206"/>
      <c r="E19" s="78"/>
      <c r="F19" s="78"/>
      <c r="G19" s="78"/>
      <c r="H19" s="78"/>
    </row>
    <row r="20" spans="1:8" ht="15" customHeight="1" x14ac:dyDescent="0.25">
      <c r="A20" s="77"/>
      <c r="B20" s="80"/>
      <c r="C20" s="80"/>
      <c r="D20" s="80"/>
      <c r="E20" s="80"/>
      <c r="F20" s="80"/>
      <c r="G20" s="80"/>
      <c r="H20" s="80"/>
    </row>
    <row r="21" spans="1:8" ht="24" customHeight="1" x14ac:dyDescent="0.25">
      <c r="A21" s="77" t="s">
        <v>112</v>
      </c>
      <c r="B21" s="205">
        <f>Par_Center</f>
        <v>0</v>
      </c>
      <c r="C21" s="206"/>
      <c r="D21" s="206"/>
      <c r="E21" s="78"/>
      <c r="F21" s="78"/>
      <c r="G21" s="78"/>
      <c r="H21" s="78"/>
    </row>
    <row r="22" spans="1:8" ht="15" customHeight="1" x14ac:dyDescent="0.25">
      <c r="A22" s="77"/>
      <c r="B22" s="80"/>
      <c r="C22" s="80"/>
      <c r="D22" s="80"/>
      <c r="E22" s="80"/>
      <c r="F22" s="80"/>
      <c r="G22" s="80"/>
      <c r="H22" s="80"/>
    </row>
    <row r="23" spans="1:8" ht="24" customHeight="1" x14ac:dyDescent="0.25">
      <c r="A23" s="77"/>
      <c r="B23" s="80"/>
      <c r="C23" s="80"/>
      <c r="D23" s="80"/>
      <c r="E23" s="78"/>
      <c r="F23" s="78"/>
      <c r="G23" s="78"/>
      <c r="H23" s="78"/>
    </row>
    <row r="25" spans="1:8" x14ac:dyDescent="0.25">
      <c r="A25" s="75" t="s">
        <v>95</v>
      </c>
      <c r="B25" s="198"/>
      <c r="C25" s="199"/>
      <c r="D25" s="199"/>
      <c r="E25" s="199"/>
      <c r="F25" s="199"/>
      <c r="G25" s="199"/>
      <c r="H25" s="199"/>
    </row>
    <row r="26" spans="1:8" x14ac:dyDescent="0.25">
      <c r="B26" s="198"/>
      <c r="C26" s="199"/>
      <c r="D26" s="199"/>
      <c r="E26" s="199"/>
      <c r="F26" s="199"/>
      <c r="G26" s="199"/>
      <c r="H26" s="199"/>
    </row>
    <row r="27" spans="1:8" x14ac:dyDescent="0.25">
      <c r="B27" s="198"/>
      <c r="C27" s="199"/>
      <c r="D27" s="199"/>
      <c r="E27" s="199"/>
      <c r="F27" s="199"/>
      <c r="G27" s="199"/>
      <c r="H27" s="199"/>
    </row>
    <row r="28" spans="1:8" x14ac:dyDescent="0.25">
      <c r="B28" s="198"/>
      <c r="C28" s="199"/>
      <c r="D28" s="199"/>
      <c r="E28" s="199"/>
      <c r="F28" s="199"/>
      <c r="G28" s="199"/>
      <c r="H28" s="199"/>
    </row>
    <row r="29" spans="1:8" x14ac:dyDescent="0.25">
      <c r="B29" s="198"/>
      <c r="C29" s="199"/>
      <c r="D29" s="199"/>
      <c r="E29" s="199"/>
      <c r="F29" s="199"/>
      <c r="G29" s="199"/>
      <c r="H29" s="199"/>
    </row>
    <row r="30" spans="1:8" x14ac:dyDescent="0.25">
      <c r="B30" s="198"/>
      <c r="C30" s="199"/>
      <c r="D30" s="199"/>
      <c r="E30" s="199"/>
      <c r="F30" s="199"/>
      <c r="G30" s="199"/>
      <c r="H30" s="199"/>
    </row>
    <row r="31" spans="1:8" x14ac:dyDescent="0.25">
      <c r="B31" s="198"/>
      <c r="C31" s="199"/>
      <c r="D31" s="199"/>
      <c r="E31" s="199"/>
      <c r="F31" s="199"/>
      <c r="G31" s="199"/>
      <c r="H31" s="199"/>
    </row>
    <row r="32" spans="1:8" x14ac:dyDescent="0.25">
      <c r="B32" s="198"/>
      <c r="C32" s="199"/>
      <c r="D32" s="199"/>
      <c r="E32" s="199"/>
      <c r="F32" s="199"/>
      <c r="G32" s="199"/>
      <c r="H32" s="199"/>
    </row>
    <row r="33" spans="2:8" x14ac:dyDescent="0.25">
      <c r="B33" s="198"/>
      <c r="C33" s="199"/>
      <c r="D33" s="199"/>
      <c r="E33" s="199"/>
      <c r="F33" s="199"/>
      <c r="G33" s="199"/>
      <c r="H33" s="199"/>
    </row>
    <row r="34" spans="2:8" x14ac:dyDescent="0.25">
      <c r="B34" s="198"/>
      <c r="C34" s="199"/>
      <c r="D34" s="199"/>
      <c r="E34" s="199"/>
      <c r="F34" s="199"/>
      <c r="G34" s="199"/>
      <c r="H34" s="199"/>
    </row>
    <row r="35" spans="2:8" x14ac:dyDescent="0.25">
      <c r="B35" s="198"/>
      <c r="C35" s="199"/>
      <c r="D35" s="199"/>
      <c r="E35" s="199"/>
      <c r="F35" s="199"/>
      <c r="G35" s="199"/>
      <c r="H35" s="199"/>
    </row>
    <row r="36" spans="2:8" x14ac:dyDescent="0.25">
      <c r="B36" s="198"/>
      <c r="C36" s="199"/>
      <c r="D36" s="199"/>
      <c r="E36" s="199"/>
      <c r="F36" s="199"/>
      <c r="G36" s="199"/>
      <c r="H36" s="199"/>
    </row>
    <row r="37" spans="2:8" x14ac:dyDescent="0.25">
      <c r="B37" s="198"/>
      <c r="C37" s="199"/>
      <c r="D37" s="199"/>
      <c r="E37" s="199"/>
      <c r="F37" s="199"/>
      <c r="G37" s="199"/>
      <c r="H37" s="199"/>
    </row>
    <row r="38" spans="2:8" x14ac:dyDescent="0.25">
      <c r="B38" s="198"/>
      <c r="C38" s="199"/>
      <c r="D38" s="199"/>
      <c r="E38" s="199"/>
      <c r="F38" s="199"/>
      <c r="G38" s="199"/>
      <c r="H38" s="199"/>
    </row>
    <row r="39" spans="2:8" x14ac:dyDescent="0.25">
      <c r="B39" s="198"/>
      <c r="C39" s="199"/>
      <c r="D39" s="199"/>
      <c r="E39" s="199"/>
      <c r="F39" s="199"/>
      <c r="G39" s="199"/>
      <c r="H39" s="199"/>
    </row>
    <row r="40" spans="2:8" x14ac:dyDescent="0.25">
      <c r="B40" s="198"/>
      <c r="C40" s="199"/>
      <c r="D40" s="199"/>
      <c r="E40" s="199"/>
      <c r="F40" s="199"/>
      <c r="G40" s="199"/>
      <c r="H40" s="199"/>
    </row>
    <row r="41" spans="2:8" x14ac:dyDescent="0.25">
      <c r="B41" s="198"/>
      <c r="C41" s="199"/>
      <c r="D41" s="199"/>
      <c r="E41" s="199"/>
      <c r="F41" s="199"/>
      <c r="G41" s="199"/>
      <c r="H41" s="199"/>
    </row>
    <row r="42" spans="2:8" x14ac:dyDescent="0.25">
      <c r="B42" s="198"/>
      <c r="C42" s="199"/>
      <c r="D42" s="199"/>
      <c r="E42" s="199"/>
      <c r="F42" s="199"/>
      <c r="G42" s="199"/>
      <c r="H42" s="199"/>
    </row>
    <row r="43" spans="2:8" x14ac:dyDescent="0.25">
      <c r="B43" s="198"/>
      <c r="C43" s="199"/>
      <c r="D43" s="199"/>
      <c r="E43" s="199"/>
      <c r="F43" s="199"/>
      <c r="G43" s="199"/>
      <c r="H43" s="199"/>
    </row>
    <row r="44" spans="2:8" x14ac:dyDescent="0.25">
      <c r="B44" s="200"/>
      <c r="C44" s="201"/>
      <c r="D44" s="201"/>
      <c r="E44" s="201"/>
      <c r="F44" s="201"/>
      <c r="G44" s="201"/>
      <c r="H44" s="201"/>
    </row>
  </sheetData>
  <mergeCells count="8">
    <mergeCell ref="B3:G3"/>
    <mergeCell ref="B25:H44"/>
    <mergeCell ref="C17:D17"/>
    <mergeCell ref="B11:H11"/>
    <mergeCell ref="B15:H15"/>
    <mergeCell ref="B13:H13"/>
    <mergeCell ref="B19:D19"/>
    <mergeCell ref="B21:D21"/>
  </mergeCells>
  <pageMargins left="0.7" right="0.7" top="0.75" bottom="0.75" header="0.3" footer="0.3"/>
  <pageSetup paperSize="9" scale="98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9" tint="0.79998168889431442"/>
    <pageSetUpPr fitToPage="1"/>
  </sheetPr>
  <dimension ref="A2:BP751"/>
  <sheetViews>
    <sheetView showGridLines="0" zoomScaleNormal="100" workbookViewId="0">
      <pane xSplit="11" ySplit="6" topLeftCell="L19" activePane="bottomRight" state="frozen"/>
      <selection activeCell="G19" sqref="G19"/>
      <selection pane="topRight" activeCell="G19" sqref="G19"/>
      <selection pane="bottomLeft" activeCell="G19" sqref="G19"/>
      <selection pane="bottomRight" activeCell="C17" sqref="C17"/>
    </sheetView>
  </sheetViews>
  <sheetFormatPr defaultColWidth="9.140625" defaultRowHeight="15" x14ac:dyDescent="0.25"/>
  <cols>
    <col min="1" max="1" width="1.28515625" style="9" customWidth="1"/>
    <col min="2" max="2" width="20.140625" style="9" customWidth="1"/>
    <col min="3" max="3" width="7.85546875" style="90" customWidth="1"/>
    <col min="4" max="4" width="15.28515625" style="90" customWidth="1"/>
    <col min="5" max="5" width="7.5703125" style="90" customWidth="1"/>
    <col min="6" max="6" width="16.42578125" style="9" bestFit="1" customWidth="1"/>
    <col min="7" max="7" width="2" style="9" hidden="1" customWidth="1"/>
    <col min="8" max="8" width="5.28515625" style="9" bestFit="1" customWidth="1"/>
    <col min="9" max="9" width="9.5703125" style="9" bestFit="1" customWidth="1"/>
    <col min="10" max="10" width="12.140625" style="9" hidden="1" customWidth="1"/>
    <col min="11" max="11" width="26.28515625" style="9" customWidth="1"/>
    <col min="12" max="50" width="7.85546875" style="9" customWidth="1"/>
    <col min="51" max="51" width="9.140625" style="9" customWidth="1"/>
    <col min="52" max="52" width="8.85546875" style="9" hidden="1" customWidth="1"/>
    <col min="53" max="53" width="11.7109375" style="9" hidden="1" customWidth="1"/>
    <col min="54" max="54" width="10.7109375" style="9" hidden="1" customWidth="1"/>
    <col min="55" max="55" width="27.5703125" style="9" hidden="1" customWidth="1"/>
    <col min="56" max="56" width="8.28515625" style="9" hidden="1" customWidth="1"/>
    <col min="57" max="57" width="12.85546875" style="9" hidden="1" customWidth="1"/>
    <col min="58" max="58" width="11" style="9" hidden="1" customWidth="1"/>
    <col min="59" max="59" width="9.42578125" style="9" hidden="1" customWidth="1"/>
    <col min="60" max="60" width="10.140625" style="9" hidden="1" customWidth="1"/>
    <col min="61" max="61" width="10.42578125" style="9" hidden="1" customWidth="1"/>
    <col min="62" max="62" width="16.140625" style="9" hidden="1" customWidth="1"/>
    <col min="63" max="63" width="15.140625" style="9" hidden="1" customWidth="1"/>
    <col min="64" max="64" width="11.85546875" style="9" hidden="1" customWidth="1"/>
    <col min="65" max="65" width="12" style="9" hidden="1" customWidth="1"/>
    <col min="66" max="66" width="8.85546875" style="9" hidden="1" customWidth="1"/>
    <col min="67" max="67" width="13.5703125" style="9" hidden="1" customWidth="1"/>
    <col min="68" max="68" width="14.5703125" style="9" hidden="1" customWidth="1"/>
    <col min="69" max="16384" width="9.140625" style="9"/>
  </cols>
  <sheetData>
    <row r="2" spans="1:68" ht="15.6" x14ac:dyDescent="0.3">
      <c r="B2" s="143"/>
      <c r="C2" s="89"/>
      <c r="D2" s="144" t="str">
        <f>IF(INPUT_WO_PLANSTART="","Zadaj dátum plánovaného začiatku v časti Info!","")</f>
        <v/>
      </c>
      <c r="E2" s="89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38"/>
    </row>
    <row r="3" spans="1:68" ht="23.45" x14ac:dyDescent="0.45">
      <c r="B3" s="207" t="str">
        <f>PAR_WO_Label&amp;" - Náklady"</f>
        <v>nedef. - Náklady</v>
      </c>
      <c r="C3" s="208"/>
      <c r="D3" s="208"/>
      <c r="E3" s="208"/>
      <c r="F3" s="208"/>
      <c r="G3" s="208"/>
      <c r="H3" s="208"/>
      <c r="I3" s="208"/>
      <c r="J3" s="208"/>
      <c r="K3" s="208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X3" s="41"/>
    </row>
    <row r="4" spans="1:68" x14ac:dyDescent="0.25">
      <c r="B4" s="39"/>
      <c r="C4" s="122" t="s">
        <v>137</v>
      </c>
      <c r="D4" s="123">
        <f t="array" ref="D4">SUM(TableCosts[N_Direct])</f>
        <v>0</v>
      </c>
      <c r="L4" s="131" t="s">
        <v>164</v>
      </c>
      <c r="M4" s="131" t="s">
        <v>165</v>
      </c>
      <c r="N4" s="131" t="s">
        <v>166</v>
      </c>
      <c r="O4" s="131" t="s">
        <v>167</v>
      </c>
      <c r="P4" s="131" t="s">
        <v>168</v>
      </c>
      <c r="Q4" s="131" t="s">
        <v>169</v>
      </c>
      <c r="R4" s="131" t="s">
        <v>170</v>
      </c>
      <c r="S4" s="131" t="s">
        <v>171</v>
      </c>
      <c r="T4" s="131" t="s">
        <v>172</v>
      </c>
      <c r="U4" s="131" t="s">
        <v>173</v>
      </c>
      <c r="V4" s="131" t="s">
        <v>174</v>
      </c>
      <c r="W4" s="131" t="s">
        <v>175</v>
      </c>
      <c r="X4" s="131" t="s">
        <v>176</v>
      </c>
      <c r="Y4" s="131" t="s">
        <v>177</v>
      </c>
      <c r="Z4" s="131" t="s">
        <v>178</v>
      </c>
      <c r="AA4" s="131" t="s">
        <v>179</v>
      </c>
      <c r="AB4" s="131" t="s">
        <v>180</v>
      </c>
      <c r="AC4" s="131" t="s">
        <v>181</v>
      </c>
      <c r="AD4" s="131" t="s">
        <v>182</v>
      </c>
      <c r="AE4" s="131" t="s">
        <v>183</v>
      </c>
      <c r="AF4" s="131" t="s">
        <v>184</v>
      </c>
      <c r="AG4" s="131" t="s">
        <v>185</v>
      </c>
      <c r="AH4" s="131" t="s">
        <v>186</v>
      </c>
      <c r="AI4" s="131" t="s">
        <v>187</v>
      </c>
      <c r="AJ4" s="131" t="s">
        <v>188</v>
      </c>
      <c r="AK4" s="131" t="s">
        <v>189</v>
      </c>
      <c r="AL4" s="131" t="s">
        <v>342</v>
      </c>
      <c r="AM4" s="131" t="s">
        <v>343</v>
      </c>
      <c r="AN4" s="131" t="s">
        <v>344</v>
      </c>
      <c r="AO4" s="131" t="s">
        <v>345</v>
      </c>
      <c r="AP4" s="131" t="s">
        <v>346</v>
      </c>
      <c r="AQ4" s="131" t="s">
        <v>347</v>
      </c>
      <c r="AR4" s="131" t="s">
        <v>348</v>
      </c>
      <c r="AS4" s="131" t="s">
        <v>349</v>
      </c>
      <c r="AT4" s="131" t="s">
        <v>350</v>
      </c>
      <c r="AU4" s="131" t="s">
        <v>351</v>
      </c>
      <c r="AV4" s="131" t="s">
        <v>352</v>
      </c>
      <c r="AW4" s="131" t="s">
        <v>353</v>
      </c>
      <c r="AX4" s="41"/>
    </row>
    <row r="5" spans="1:68" s="43" customFormat="1" ht="10.15" x14ac:dyDescent="0.2">
      <c r="B5" s="42"/>
      <c r="C5" s="91"/>
      <c r="D5" s="91"/>
      <c r="E5" s="91"/>
      <c r="L5" s="44">
        <v>0</v>
      </c>
      <c r="M5" s="44">
        <v>1</v>
      </c>
      <c r="N5" s="44">
        <v>2</v>
      </c>
      <c r="O5" s="44">
        <v>3</v>
      </c>
      <c r="P5" s="44">
        <v>4</v>
      </c>
      <c r="Q5" s="44">
        <v>5</v>
      </c>
      <c r="R5" s="44">
        <v>6</v>
      </c>
      <c r="S5" s="44">
        <v>7</v>
      </c>
      <c r="T5" s="44">
        <v>8</v>
      </c>
      <c r="U5" s="44">
        <v>9</v>
      </c>
      <c r="V5" s="44">
        <v>10</v>
      </c>
      <c r="W5" s="44">
        <v>11</v>
      </c>
      <c r="X5" s="44">
        <v>12</v>
      </c>
      <c r="Y5" s="44">
        <v>13</v>
      </c>
      <c r="Z5" s="44">
        <v>14</v>
      </c>
      <c r="AA5" s="44">
        <v>15</v>
      </c>
      <c r="AB5" s="44">
        <v>16</v>
      </c>
      <c r="AC5" s="44">
        <v>17</v>
      </c>
      <c r="AD5" s="44">
        <v>18</v>
      </c>
      <c r="AE5" s="44">
        <v>19</v>
      </c>
      <c r="AF5" s="44">
        <v>20</v>
      </c>
      <c r="AG5" s="44">
        <v>21</v>
      </c>
      <c r="AH5" s="44">
        <v>22</v>
      </c>
      <c r="AI5" s="44">
        <v>23</v>
      </c>
      <c r="AJ5" s="44">
        <v>24</v>
      </c>
      <c r="AK5" s="44">
        <v>25</v>
      </c>
      <c r="AL5" s="44">
        <v>26</v>
      </c>
      <c r="AM5" s="44">
        <v>27</v>
      </c>
      <c r="AN5" s="44">
        <v>28</v>
      </c>
      <c r="AO5" s="44">
        <v>29</v>
      </c>
      <c r="AP5" s="44">
        <v>30</v>
      </c>
      <c r="AQ5" s="44">
        <v>31</v>
      </c>
      <c r="AR5" s="44">
        <v>32</v>
      </c>
      <c r="AS5" s="44">
        <v>33</v>
      </c>
      <c r="AT5" s="44">
        <v>34</v>
      </c>
      <c r="AU5" s="44">
        <v>35</v>
      </c>
      <c r="AV5" s="44">
        <v>36</v>
      </c>
      <c r="AW5" s="132">
        <v>37</v>
      </c>
      <c r="AX5" s="45"/>
    </row>
    <row r="6" spans="1:68" s="133" customFormat="1" ht="30" x14ac:dyDescent="0.25">
      <c r="B6" s="134" t="s">
        <v>139</v>
      </c>
      <c r="C6" s="135" t="s">
        <v>112</v>
      </c>
      <c r="D6" s="135" t="s">
        <v>123</v>
      </c>
      <c r="E6" s="136" t="s">
        <v>142</v>
      </c>
      <c r="F6" s="137" t="s">
        <v>141</v>
      </c>
      <c r="G6" s="137"/>
      <c r="H6" s="137" t="s">
        <v>86</v>
      </c>
      <c r="I6" s="137" t="s">
        <v>135</v>
      </c>
      <c r="J6" s="137"/>
      <c r="K6" s="137" t="s">
        <v>5</v>
      </c>
      <c r="L6" s="138">
        <f t="shared" ref="L6:AW6" si="0">IterateMonth(PAR_WO_Contracted,L$5)</f>
        <v>45658</v>
      </c>
      <c r="M6" s="138">
        <f t="shared" si="0"/>
        <v>45689</v>
      </c>
      <c r="N6" s="138">
        <f t="shared" si="0"/>
        <v>45717</v>
      </c>
      <c r="O6" s="138">
        <f t="shared" si="0"/>
        <v>45748</v>
      </c>
      <c r="P6" s="138">
        <f t="shared" si="0"/>
        <v>45778</v>
      </c>
      <c r="Q6" s="138">
        <f t="shared" si="0"/>
        <v>45809</v>
      </c>
      <c r="R6" s="138">
        <f t="shared" si="0"/>
        <v>45839</v>
      </c>
      <c r="S6" s="138">
        <f t="shared" si="0"/>
        <v>45870</v>
      </c>
      <c r="T6" s="138">
        <f t="shared" si="0"/>
        <v>45901</v>
      </c>
      <c r="U6" s="138">
        <f t="shared" si="0"/>
        <v>45931</v>
      </c>
      <c r="V6" s="138">
        <f t="shared" si="0"/>
        <v>45962</v>
      </c>
      <c r="W6" s="138">
        <f t="shared" si="0"/>
        <v>45992</v>
      </c>
      <c r="X6" s="138">
        <f t="shared" si="0"/>
        <v>46023</v>
      </c>
      <c r="Y6" s="138">
        <f t="shared" si="0"/>
        <v>46054</v>
      </c>
      <c r="Z6" s="138">
        <f t="shared" si="0"/>
        <v>46082</v>
      </c>
      <c r="AA6" s="138">
        <f t="shared" si="0"/>
        <v>46113</v>
      </c>
      <c r="AB6" s="138">
        <f t="shared" si="0"/>
        <v>46143</v>
      </c>
      <c r="AC6" s="138">
        <f t="shared" si="0"/>
        <v>46174</v>
      </c>
      <c r="AD6" s="138">
        <f t="shared" si="0"/>
        <v>46204</v>
      </c>
      <c r="AE6" s="138">
        <f t="shared" si="0"/>
        <v>46235</v>
      </c>
      <c r="AF6" s="138">
        <f t="shared" si="0"/>
        <v>46266</v>
      </c>
      <c r="AG6" s="138">
        <f t="shared" si="0"/>
        <v>46296</v>
      </c>
      <c r="AH6" s="138">
        <f t="shared" si="0"/>
        <v>46327</v>
      </c>
      <c r="AI6" s="138">
        <f t="shared" si="0"/>
        <v>46357</v>
      </c>
      <c r="AJ6" s="138">
        <f t="shared" si="0"/>
        <v>46388</v>
      </c>
      <c r="AK6" s="138">
        <f t="shared" si="0"/>
        <v>46419</v>
      </c>
      <c r="AL6" s="138">
        <f t="shared" si="0"/>
        <v>46447</v>
      </c>
      <c r="AM6" s="138">
        <f t="shared" si="0"/>
        <v>46478</v>
      </c>
      <c r="AN6" s="138">
        <f t="shared" si="0"/>
        <v>46508</v>
      </c>
      <c r="AO6" s="138">
        <f t="shared" si="0"/>
        <v>46539</v>
      </c>
      <c r="AP6" s="138">
        <f t="shared" si="0"/>
        <v>46569</v>
      </c>
      <c r="AQ6" s="138">
        <f t="shared" si="0"/>
        <v>46600</v>
      </c>
      <c r="AR6" s="138">
        <f t="shared" si="0"/>
        <v>46631</v>
      </c>
      <c r="AS6" s="138">
        <f t="shared" si="0"/>
        <v>46661</v>
      </c>
      <c r="AT6" s="138">
        <f t="shared" si="0"/>
        <v>46692</v>
      </c>
      <c r="AU6" s="138">
        <f t="shared" si="0"/>
        <v>46722</v>
      </c>
      <c r="AV6" s="138">
        <f t="shared" si="0"/>
        <v>46753</v>
      </c>
      <c r="AW6" s="139">
        <f t="shared" si="0"/>
        <v>46784</v>
      </c>
      <c r="AX6" s="140" t="s">
        <v>65</v>
      </c>
      <c r="AZ6" s="133" t="s">
        <v>99</v>
      </c>
      <c r="BA6" s="133" t="s">
        <v>116</v>
      </c>
      <c r="BB6" s="133" t="s">
        <v>100</v>
      </c>
      <c r="BC6" s="133" t="s">
        <v>117</v>
      </c>
      <c r="BD6" s="133" t="s">
        <v>101</v>
      </c>
      <c r="BE6" s="133" t="s">
        <v>105</v>
      </c>
      <c r="BF6" s="133" t="s">
        <v>102</v>
      </c>
      <c r="BG6" s="133" t="s">
        <v>103</v>
      </c>
      <c r="BH6" s="133" t="s">
        <v>104</v>
      </c>
      <c r="BI6" s="133" t="s">
        <v>156</v>
      </c>
      <c r="BJ6" s="133" t="s">
        <v>155</v>
      </c>
      <c r="BK6" s="133" t="s">
        <v>190</v>
      </c>
      <c r="BL6" s="133" t="s">
        <v>191</v>
      </c>
      <c r="BM6" s="133" t="s">
        <v>192</v>
      </c>
      <c r="BN6" s="142" t="s">
        <v>257</v>
      </c>
      <c r="BO6" s="142" t="s">
        <v>287</v>
      </c>
      <c r="BP6" s="142" t="s">
        <v>288</v>
      </c>
    </row>
    <row r="7" spans="1:68" s="24" customFormat="1" ht="12.75" x14ac:dyDescent="0.2">
      <c r="B7" s="97" t="s">
        <v>90</v>
      </c>
      <c r="C7" s="92"/>
      <c r="D7" s="92"/>
      <c r="E7" s="92"/>
      <c r="F7" s="31" t="str">
        <f>IF(G7=1,IF(ISERROR(TableCosts[[#This Row],[N_Tariff]]),Err_Message1,IF(TableCosts[[#This Row],[N_Tariff]]=0,Err_Message2,VLOOKUP(C7&amp;TableCosts[[#This Row],[Calc_N_Typ]],TRAN_STRITEMS_LABEL,5,FALSE))),"")</f>
        <v/>
      </c>
      <c r="G7" s="31">
        <f t="shared" ref="G7:G10" si="1">IF(B7="",0,IF(LEFT(B7,3)="***",-1,1))</f>
        <v>-1</v>
      </c>
      <c r="H7" s="31" t="str">
        <f>IF(G7=1,IFERROR(VLOOKUP(F7,Tab_ErrMessage[],2,0),VLOOKUP(C7&amp;TableCosts[[#This Row],[Calc_N_Typ]],TRAN_STRITEMS_LABEL,4,FALSE)),"")</f>
        <v/>
      </c>
      <c r="I7" s="94"/>
      <c r="J7" s="94"/>
      <c r="K7" s="94" t="s">
        <v>260</v>
      </c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5"/>
      <c r="AI7" s="85"/>
      <c r="AJ7" s="84"/>
      <c r="AK7" s="84"/>
      <c r="AL7" s="84"/>
      <c r="AM7" s="84"/>
      <c r="AN7" s="84"/>
      <c r="AO7" s="84"/>
      <c r="AP7" s="84"/>
      <c r="AQ7" s="84"/>
      <c r="AR7" s="84"/>
      <c r="AS7" s="84"/>
      <c r="AT7" s="84"/>
      <c r="AU7" s="84"/>
      <c r="AV7" s="84"/>
      <c r="AW7" s="84"/>
      <c r="AX7" s="87">
        <f t="array" ref="AX7">IF(G7=1,SUM((ROW(M0)=ROW(AW7))*(M0+M1_+M2_+M3_+M4_+M5_+M6_+M7_+M8_+M9_+M10_+M11_+M12_+M13_+M14_+M15_+M16_+M17_+M18_+M19_+M20_+M21_+M22_+M23_+M24_+M25_+M26_+M27_+M28_+M29_+M30_+M31_+M32_+M33_+M34_+M35_+M36_+M37_)),0)</f>
        <v>0</v>
      </c>
      <c r="AZ7" s="24" t="str">
        <f t="shared" ref="AZ7:AZ10" si="2">IF(G7=1,B7,"")</f>
        <v/>
      </c>
      <c r="BA7" s="24" t="str">
        <f t="shared" ref="BA7:BA10" si="3">IF(G7=1,C7,"")</f>
        <v/>
      </c>
      <c r="BB7" s="24" t="str">
        <f t="shared" ref="BB7:BB10" si="4">IF(G7=1,F7,"")</f>
        <v/>
      </c>
      <c r="BC7" s="24" t="str">
        <f>IF(OR(E7="",LEFT(TableCosts[[#This Row],[Calc_N_Typ]],18)="Vynaložené náklady"),"",VLOOKUP(E7,Tab_Parts,2,0))</f>
        <v/>
      </c>
      <c r="BD7" s="24" t="str">
        <f t="shared" ref="BD7:BD10" si="5">IF(G7=1,H7,"")</f>
        <v/>
      </c>
      <c r="BE7" s="24">
        <f t="shared" ref="BE7:BE10" si="6">IF(G7=1,AX7,0)</f>
        <v>0</v>
      </c>
      <c r="BF7" s="72">
        <f>TableCosts[[#This Row],[N_Amount]]*TableCosts[[#This Row],[N_Tariff]]*TableCosts[[#This Row],[N_ItemsCount]]</f>
        <v>0</v>
      </c>
      <c r="BG7" s="72">
        <f>IF(G7=1,IF(TableCosts[[#This Row],[N_Kateg]]="interné práce",TableCosts[[#This Row],[N_Amount]]*8*PAR_SGA_PERHOUR,0),0)</f>
        <v>0</v>
      </c>
      <c r="BH7" s="72">
        <f>SUM(TableCosts[[#This Row],[N_Direct]:[N_SGA]])</f>
        <v>0</v>
      </c>
      <c r="BI7" s="24">
        <f>IF(G7=1,IF(OR(AND(NOT(ISERROR(VLOOKUP(TableCosts[[#This Row],[Calc_N_Typ]],Cis_WorkPositions,1,0))),C7&lt;&gt;"",D7&lt;&gt;"",E7&lt;&gt;""),AND(ISERROR(VLOOKUP(TableCosts[[#This Row],[Calc_N_Typ]],Cis_WorkPositions,1,0)),C7="",D7="",E7&lt;&gt;""),LEFT(TableCosts[[#This Row],[Calc_N_Typ]],18)="Vynaložené náklady"),VLOOKUP(C7&amp;TableCosts[[#This Row],[Calc_N_Typ]],TRAN_STRITEMS_LABEL,VLOOKUP(D7,Tab_Hours,3,0),0),NA()),0)</f>
        <v>0</v>
      </c>
      <c r="BJ7" s="24">
        <f t="shared" ref="BJ7:BJ10" si="7">IF(G7=1,IF(H7="čld.",VLOOKUP(D7,Tab_Hours,4,0),1),0)</f>
        <v>0</v>
      </c>
      <c r="BK7" s="24" t="str">
        <f t="shared" ref="BK7:BK10" si="8">IF(G7=1,IFERROR(VLOOKUP(B7,IpsLicences,2,0),IF(C7="",Par_Center,C7)),"")</f>
        <v/>
      </c>
      <c r="BL7" s="24" t="str">
        <f t="shared" ref="BL7:BL10" si="9">IF(G7=1,Par_Center,"")</f>
        <v/>
      </c>
      <c r="BM7" s="24" t="str">
        <f>IF(G7=1,IF(TableCosts[[#This Row],[TransferFrom]]=TableCosts[[#This Row],[TranferTo]],0,1),"")</f>
        <v/>
      </c>
      <c r="BN7" s="24" t="str">
        <f t="shared" ref="BN7:BN10" si="10">IF(G7=1,IF(E7="ACQ","akvizícia","realizácia"),"")</f>
        <v/>
      </c>
      <c r="BO7" s="24" t="str">
        <f t="shared" ref="BO7:BO10" si="11">IF(RIGHT(B7,LEN(Par_LabelTravelTime))=Par_LabelTravelTime,LEFT(B7,LEN(B7)-LEN(Par_LabelTravelTime)),B7)</f>
        <v>*** prázdna ***</v>
      </c>
      <c r="BP7" s="24">
        <f t="shared" ref="BP7:BP10" si="12">IF(RIGHT(B7,LEN(Par_LabelTravelTime))=Par_LabelTravelTime,1,0)</f>
        <v>0</v>
      </c>
    </row>
    <row r="8" spans="1:68" s="24" customFormat="1" ht="12.75" x14ac:dyDescent="0.2">
      <c r="B8" s="97" t="s">
        <v>61</v>
      </c>
      <c r="C8" s="92"/>
      <c r="D8" s="92"/>
      <c r="E8" s="92" t="s">
        <v>262</v>
      </c>
      <c r="F8" s="31" t="str">
        <f>IF(G8=1,IF(ISERROR(TableCosts[[#This Row],[N_Tariff]]),Err_Message1,IF(TableCosts[[#This Row],[N_Tariff]]=0,Err_Message2,VLOOKUP(C8&amp;TableCosts[[#This Row],[Calc_N_Typ]],TRAN_STRITEMS_LABEL,5,FALSE))),"")</f>
        <v>nákup 3S</v>
      </c>
      <c r="G8" s="31">
        <f t="shared" si="1"/>
        <v>1</v>
      </c>
      <c r="H8" s="31" t="str">
        <f>IF(G8=1,IFERROR(VLOOKUP(F8,Tab_ErrMessage[],2,0),VLOOKUP(C8&amp;TableCosts[[#This Row],[Calc_N_Typ]],TRAN_STRITEMS_LABEL,4,FALSE)),"")</f>
        <v>EUR</v>
      </c>
      <c r="I8" s="94"/>
      <c r="J8" s="94"/>
      <c r="K8" s="94" t="s">
        <v>261</v>
      </c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  <c r="AH8" s="85"/>
      <c r="AI8" s="85"/>
      <c r="AJ8" s="84"/>
      <c r="AK8" s="84"/>
      <c r="AL8" s="84"/>
      <c r="AM8" s="84"/>
      <c r="AN8" s="84"/>
      <c r="AO8" s="84"/>
      <c r="AP8" s="84"/>
      <c r="AQ8" s="84"/>
      <c r="AR8" s="84"/>
      <c r="AS8" s="84"/>
      <c r="AT8" s="84"/>
      <c r="AU8" s="84"/>
      <c r="AV8" s="84"/>
      <c r="AW8" s="84"/>
      <c r="AX8" s="87">
        <f t="array" ref="AX8">IF(G8=1,SUM((ROW(M0)=ROW(AW8))*(M0+M1_+M2_+M3_+M4_+M5_+M6_+M7_+M8_+M9_+M10_+M11_+M12_+M13_+M14_+M15_+M16_+M17_+M18_+M19_+M20_+M21_+M22_+M23_+M24_+M25_+M26_+M27_+M28_+M29_+M30_+M31_+M32_+M33_+M34_+M35_+M36_+M37_)),0)</f>
        <v>0</v>
      </c>
      <c r="AZ8" s="24" t="str">
        <f t="shared" si="2"/>
        <v>HW</v>
      </c>
      <c r="BA8" s="24">
        <f t="shared" si="3"/>
        <v>0</v>
      </c>
      <c r="BB8" s="24" t="str">
        <f t="shared" si="4"/>
        <v>nákup 3S</v>
      </c>
      <c r="BC8" s="24" t="str">
        <f>IF(OR(E8="",LEFT(TableCosts[[#This Row],[Calc_N_Typ]],18)="Vynaložené náklady"),"",VLOOKUP(E8,Tab_Parts,2,0))</f>
        <v>Acquisition</v>
      </c>
      <c r="BD8" s="24" t="str">
        <f t="shared" si="5"/>
        <v>EUR</v>
      </c>
      <c r="BE8" s="24">
        <f t="shared" si="6"/>
        <v>0</v>
      </c>
      <c r="BF8" s="72">
        <f>TableCosts[[#This Row],[N_Amount]]*TableCosts[[#This Row],[N_Tariff]]*TableCosts[[#This Row],[N_ItemsCount]]</f>
        <v>0</v>
      </c>
      <c r="BG8" s="72">
        <f>IF(G8=1,IF(TableCosts[[#This Row],[N_Kateg]]="interné práce",TableCosts[[#This Row],[N_Amount]]*8*PAR_SGA_PERHOUR,0),0)</f>
        <v>0</v>
      </c>
      <c r="BH8" s="72">
        <f>SUM(TableCosts[[#This Row],[N_Direct]:[N_SGA]])</f>
        <v>0</v>
      </c>
      <c r="BI8" s="24">
        <f>IF(G8=1,IF(OR(AND(NOT(ISERROR(VLOOKUP(TableCosts[[#This Row],[Calc_N_Typ]],Cis_WorkPositions,1,0))),C8&lt;&gt;"",D8&lt;&gt;"",E8&lt;&gt;""),AND(ISERROR(VLOOKUP(TableCosts[[#This Row],[Calc_N_Typ]],Cis_WorkPositions,1,0)),C8="",D8="",E8&lt;&gt;""),LEFT(TableCosts[[#This Row],[Calc_N_Typ]],18)="Vynaložené náklady"),VLOOKUP(C8&amp;TableCosts[[#This Row],[Calc_N_Typ]],TRAN_STRITEMS_LABEL,VLOOKUP(D8,Tab_Hours,3,0),0),NA()),0)</f>
        <v>1</v>
      </c>
      <c r="BJ8" s="24">
        <f t="shared" si="7"/>
        <v>1</v>
      </c>
      <c r="BK8" s="24">
        <f t="shared" si="8"/>
        <v>0</v>
      </c>
      <c r="BL8" s="24">
        <f t="shared" si="9"/>
        <v>0</v>
      </c>
      <c r="BM8" s="24">
        <f>IF(G8=1,IF(TableCosts[[#This Row],[TransferFrom]]=TableCosts[[#This Row],[TranferTo]],0,1),"")</f>
        <v>0</v>
      </c>
      <c r="BN8" s="24" t="str">
        <f t="shared" si="10"/>
        <v>akvizícia</v>
      </c>
      <c r="BO8" s="24" t="str">
        <f t="shared" si="11"/>
        <v>HW</v>
      </c>
      <c r="BP8" s="24">
        <f t="shared" si="12"/>
        <v>0</v>
      </c>
    </row>
    <row r="9" spans="1:68" s="24" customFormat="1" ht="13.9" x14ac:dyDescent="0.3">
      <c r="B9" s="97"/>
      <c r="C9" s="92"/>
      <c r="D9" s="92"/>
      <c r="E9" s="92"/>
      <c r="F9" s="31" t="str">
        <f>IF(G9=1,IF(ISERROR(TableCosts[[#This Row],[N_Tariff]]),Err_Message1,IF(TableCosts[[#This Row],[N_Tariff]]=0,Err_Message2,VLOOKUP(C9&amp;TableCosts[[#This Row],[Calc_N_Typ]],TRAN_STRITEMS_LABEL,5,FALSE))),"")</f>
        <v/>
      </c>
      <c r="G9" s="31">
        <f t="shared" si="1"/>
        <v>0</v>
      </c>
      <c r="H9" s="31" t="str">
        <f>IF(G9=1,IFERROR(VLOOKUP(F9,Tab_ErrMessage[],2,0),VLOOKUP(C9&amp;TableCosts[[#This Row],[Calc_N_Typ]],TRAN_STRITEMS_LABEL,4,FALSE)),"")</f>
        <v/>
      </c>
      <c r="I9" s="94"/>
      <c r="J9" s="94"/>
      <c r="K9" s="9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  <c r="AH9" s="85"/>
      <c r="AI9" s="85"/>
      <c r="AJ9" s="84"/>
      <c r="AK9" s="84"/>
      <c r="AL9" s="84"/>
      <c r="AM9" s="84"/>
      <c r="AN9" s="84"/>
      <c r="AO9" s="84"/>
      <c r="AP9" s="84"/>
      <c r="AQ9" s="84"/>
      <c r="AR9" s="84"/>
      <c r="AS9" s="84"/>
      <c r="AT9" s="84"/>
      <c r="AU9" s="84"/>
      <c r="AV9" s="84"/>
      <c r="AW9" s="84"/>
      <c r="AX9" s="87">
        <f t="array" ref="AX9">IF(G9=1,SUM((ROW(M0)=ROW(AW9))*(M0+M1_+M2_+M3_+M4_+M5_+M6_+M7_+M8_+M9_+M10_+M11_+M12_+M13_+M14_+M15_+M16_+M17_+M18_+M19_+M20_+M21_+M22_+M23_+M24_+M25_+M26_+M27_+M28_+M29_+M30_+M31_+M32_+M33_+M34_+M35_+M36_+M37_)),0)</f>
        <v>0</v>
      </c>
      <c r="AZ9" s="24" t="str">
        <f t="shared" si="2"/>
        <v/>
      </c>
      <c r="BA9" s="24" t="str">
        <f t="shared" si="3"/>
        <v/>
      </c>
      <c r="BB9" s="24" t="str">
        <f t="shared" si="4"/>
        <v/>
      </c>
      <c r="BC9" s="24" t="str">
        <f>IF(OR(E9="",LEFT(TableCosts[[#This Row],[Calc_N_Typ]],18)="Vynaložené náklady"),"",VLOOKUP(E9,Tab_Parts,2,0))</f>
        <v/>
      </c>
      <c r="BD9" s="24" t="str">
        <f t="shared" si="5"/>
        <v/>
      </c>
      <c r="BE9" s="24">
        <f t="shared" si="6"/>
        <v>0</v>
      </c>
      <c r="BF9" s="72">
        <f>TableCosts[[#This Row],[N_Amount]]*TableCosts[[#This Row],[N_Tariff]]*TableCosts[[#This Row],[N_ItemsCount]]</f>
        <v>0</v>
      </c>
      <c r="BG9" s="72">
        <f>IF(G9=1,IF(TableCosts[[#This Row],[N_Kateg]]="interné práce",TableCosts[[#This Row],[N_Amount]]*8*PAR_SGA_PERHOUR,0),0)</f>
        <v>0</v>
      </c>
      <c r="BH9" s="72">
        <f>SUM(TableCosts[[#This Row],[N_Direct]:[N_SGA]])</f>
        <v>0</v>
      </c>
      <c r="BI9" s="24">
        <f>IF(G9=1,IF(OR(AND(NOT(ISERROR(VLOOKUP(TableCosts[[#This Row],[Calc_N_Typ]],Cis_WorkPositions,1,0))),C9&lt;&gt;"",D9&lt;&gt;"",E9&lt;&gt;""),AND(ISERROR(VLOOKUP(TableCosts[[#This Row],[Calc_N_Typ]],Cis_WorkPositions,1,0)),C9="",D9="",E9&lt;&gt;""),LEFT(TableCosts[[#This Row],[Calc_N_Typ]],18)="Vynaložené náklady"),VLOOKUP(C9&amp;TableCosts[[#This Row],[Calc_N_Typ]],TRAN_STRITEMS_LABEL,VLOOKUP(D9,Tab_Hours,3,0),0),NA()),0)</f>
        <v>0</v>
      </c>
      <c r="BJ9" s="24">
        <f t="shared" si="7"/>
        <v>0</v>
      </c>
      <c r="BK9" s="24" t="str">
        <f t="shared" si="8"/>
        <v/>
      </c>
      <c r="BL9" s="24" t="str">
        <f t="shared" si="9"/>
        <v/>
      </c>
      <c r="BM9" s="24" t="str">
        <f>IF(G9=1,IF(TableCosts[[#This Row],[TransferFrom]]=TableCosts[[#This Row],[TranferTo]],0,1),"")</f>
        <v/>
      </c>
      <c r="BN9" s="24" t="str">
        <f t="shared" si="10"/>
        <v/>
      </c>
      <c r="BO9" s="24">
        <f t="shared" si="11"/>
        <v>0</v>
      </c>
      <c r="BP9" s="24">
        <f t="shared" si="12"/>
        <v>0</v>
      </c>
    </row>
    <row r="10" spans="1:68" s="24" customFormat="1" ht="12.75" x14ac:dyDescent="0.2">
      <c r="B10" s="97" t="s">
        <v>90</v>
      </c>
      <c r="C10" s="92"/>
      <c r="D10" s="92"/>
      <c r="E10" s="92"/>
      <c r="F10" s="31" t="str">
        <f>IF(G10=1,IF(ISERROR(TableCosts[[#This Row],[N_Tariff]]),Err_Message1,IF(TableCosts[[#This Row],[N_Tariff]]=0,Err_Message2,VLOOKUP(C10&amp;TableCosts[[#This Row],[Calc_N_Typ]],TRAN_STRITEMS_LABEL,5,FALSE))),"")</f>
        <v/>
      </c>
      <c r="G10" s="31">
        <f t="shared" si="1"/>
        <v>-1</v>
      </c>
      <c r="H10" s="31" t="str">
        <f>IF(G10=1,IFERROR(VLOOKUP(F10,Tab_ErrMessage[],2,0),VLOOKUP(C10&amp;TableCosts[[#This Row],[Calc_N_Typ]],TRAN_STRITEMS_LABEL,4,FALSE)),"")</f>
        <v/>
      </c>
      <c r="I10" s="94"/>
      <c r="J10" s="94"/>
      <c r="K10" s="94" t="s">
        <v>129</v>
      </c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5"/>
      <c r="AI10" s="85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7">
        <f t="array" ref="AX10">IF(G10=1,SUM((ROW(M0)=ROW(AW10))*(M0+M1_+M2_+M3_+M4_+M5_+M6_+M7_+M8_+M9_+M10_+M11_+M12_+M13_+M14_+M15_+M16_+M17_+M18_+M19_+M20_+M21_+M22_+M23_+M24_+M25_+M26_+M27_+M28_+M29_+M30_+M31_+M32_+M33_+M34_+M35_+M36_+M37_)),0)</f>
        <v>0</v>
      </c>
      <c r="AZ10" s="24" t="str">
        <f t="shared" si="2"/>
        <v/>
      </c>
      <c r="BA10" s="24" t="str">
        <f t="shared" si="3"/>
        <v/>
      </c>
      <c r="BB10" s="24" t="str">
        <f t="shared" si="4"/>
        <v/>
      </c>
      <c r="BC10" s="24" t="str">
        <f>IF(OR(E10="",LEFT(TableCosts[[#This Row],[Calc_N_Typ]],18)="Vynaložené náklady"),"",VLOOKUP(E10,Tab_Parts,2,0))</f>
        <v/>
      </c>
      <c r="BD10" s="24" t="str">
        <f t="shared" si="5"/>
        <v/>
      </c>
      <c r="BE10" s="24">
        <f t="shared" si="6"/>
        <v>0</v>
      </c>
      <c r="BF10" s="72">
        <f>TableCosts[[#This Row],[N_Amount]]*TableCosts[[#This Row],[N_Tariff]]*TableCosts[[#This Row],[N_ItemsCount]]</f>
        <v>0</v>
      </c>
      <c r="BG10" s="72">
        <f>IF(G10=1,IF(TableCosts[[#This Row],[N_Kateg]]="interné práce",TableCosts[[#This Row],[N_Amount]]*8*PAR_SGA_PERHOUR,0),0)</f>
        <v>0</v>
      </c>
      <c r="BH10" s="72">
        <f>SUM(TableCosts[[#This Row],[N_Direct]:[N_SGA]])</f>
        <v>0</v>
      </c>
      <c r="BI10" s="24">
        <f>IF(G10=1,IF(OR(AND(NOT(ISERROR(VLOOKUP(TableCosts[[#This Row],[Calc_N_Typ]],Cis_WorkPositions,1,0))),C10&lt;&gt;"",D10&lt;&gt;"",E10&lt;&gt;""),AND(ISERROR(VLOOKUP(TableCosts[[#This Row],[Calc_N_Typ]],Cis_WorkPositions,1,0)),C10="",D10="",E10&lt;&gt;""),LEFT(TableCosts[[#This Row],[Calc_N_Typ]],18)="Vynaložené náklady"),VLOOKUP(C10&amp;TableCosts[[#This Row],[Calc_N_Typ]],TRAN_STRITEMS_LABEL,VLOOKUP(D10,Tab_Hours,3,0),0),NA()),0)</f>
        <v>0</v>
      </c>
      <c r="BJ10" s="24">
        <f t="shared" si="7"/>
        <v>0</v>
      </c>
      <c r="BK10" s="24" t="str">
        <f t="shared" si="8"/>
        <v/>
      </c>
      <c r="BL10" s="24" t="str">
        <f t="shared" si="9"/>
        <v/>
      </c>
      <c r="BM10" s="24" t="str">
        <f>IF(G10=1,IF(TableCosts[[#This Row],[TransferFrom]]=TableCosts[[#This Row],[TranferTo]],0,1),"")</f>
        <v/>
      </c>
      <c r="BN10" s="24" t="str">
        <f t="shared" si="10"/>
        <v/>
      </c>
      <c r="BO10" s="24" t="str">
        <f t="shared" si="11"/>
        <v>*** prázdna ***</v>
      </c>
      <c r="BP10" s="24">
        <f t="shared" si="12"/>
        <v>0</v>
      </c>
    </row>
    <row r="11" spans="1:68" s="24" customFormat="1" ht="12.75" x14ac:dyDescent="0.2">
      <c r="B11" s="97"/>
      <c r="C11" s="92"/>
      <c r="D11" s="92"/>
      <c r="E11" s="92" t="s">
        <v>131</v>
      </c>
      <c r="F11" s="31" t="str">
        <f>IF(G11=1,IF(ISERROR(TableCosts[[#This Row],[N_Tariff]]),Err_Message1,IF(TableCosts[[#This Row],[N_Tariff]]=0,Err_Message2,VLOOKUP(C11&amp;TableCosts[[#This Row],[Calc_N_Typ]],TRAN_STRITEMS_LABEL,5,FALSE))),"")</f>
        <v/>
      </c>
      <c r="G11" s="31">
        <f t="shared" ref="G11" si="13">IF(B11="",0,IF(LEFT(B11,3)="***",-1,1))</f>
        <v>0</v>
      </c>
      <c r="H11" s="31" t="str">
        <f>IF(G11=1,IFERROR(VLOOKUP(F11,Tab_ErrMessage[],2,0),VLOOKUP(C11&amp;TableCosts[[#This Row],[Calc_N_Typ]],TRAN_STRITEMS_LABEL,4,FALSE)),"")</f>
        <v/>
      </c>
      <c r="I11" s="94"/>
      <c r="J11" s="94"/>
      <c r="K11" s="9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5"/>
      <c r="AI11" s="85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7">
        <f t="array" ref="AX11">IF(G11=1,SUM((ROW(M0)=ROW(AW11))*(M0+M1_+M2_+M3_+M4_+M5_+M6_+M7_+M8_+M9_+M10_+M11_+M12_+M13_+M14_+M15_+M16_+M17_+M18_+M19_+M20_+M21_+M22_+M23_+M24_+M25_+M26_+M27_+M28_+M29_+M30_+M31_+M32_+M33_+M34_+M35_+M36_+M37_)),0)</f>
        <v>0</v>
      </c>
      <c r="AZ11" s="24" t="str">
        <f t="shared" ref="AZ11" si="14">IF(G11=1,B11,"")</f>
        <v/>
      </c>
      <c r="BA11" s="24" t="str">
        <f>IF(G11=1,C11,"")</f>
        <v/>
      </c>
      <c r="BB11" s="24" t="str">
        <f t="shared" ref="BB11" si="15">IF(G11=1,F11,"")</f>
        <v/>
      </c>
      <c r="BC11" s="24" t="str">
        <f>IF(OR(E11="",LEFT(TableCosts[[#This Row],[Calc_N_Typ]],18)="Vynaložené náklady"),"",VLOOKUP(E11,Tab_Parts,2,0))</f>
        <v>Maintenance &amp; Upgrade Licenses</v>
      </c>
      <c r="BD11" s="24" t="str">
        <f t="shared" ref="BD11" si="16">IF(G11=1,H11,"")</f>
        <v/>
      </c>
      <c r="BE11" s="24">
        <f t="shared" ref="BE11" si="17">IF(G11=1,AX11,0)</f>
        <v>0</v>
      </c>
      <c r="BF11" s="72">
        <f>TableCosts[[#This Row],[N_Amount]]*TableCosts[[#This Row],[N_Tariff]]*TableCosts[[#This Row],[N_ItemsCount]]</f>
        <v>0</v>
      </c>
      <c r="BG11" s="72">
        <f>IF(G11=1,IF(TableCosts[[#This Row],[N_Kateg]]="interné práce",TableCosts[[#This Row],[N_Amount]]*8*PAR_SGA_PERHOUR,0),0)</f>
        <v>0</v>
      </c>
      <c r="BH11" s="72">
        <f>SUM(TableCosts[[#This Row],[N_Direct]:[N_SGA]])</f>
        <v>0</v>
      </c>
      <c r="BI11" s="24">
        <f>IF(G11=1,IF(OR(AND(NOT(ISERROR(VLOOKUP(TableCosts[[#This Row],[Calc_N_Typ]],Cis_WorkPositions,1,0))),C11&lt;&gt;"",D11&lt;&gt;"",E11&lt;&gt;""),AND(ISERROR(VLOOKUP(TableCosts[[#This Row],[Calc_N_Typ]],Cis_WorkPositions,1,0)),C11="",D11="",E11&lt;&gt;""),LEFT(TableCosts[[#This Row],[Calc_N_Typ]],18)="Vynaložené náklady"),VLOOKUP(C11&amp;TableCosts[[#This Row],[Calc_N_Typ]],TRAN_STRITEMS_LABEL,VLOOKUP(D11,Tab_Hours,3,0),0),NA()),0)</f>
        <v>0</v>
      </c>
      <c r="BJ11" s="24">
        <f t="shared" ref="BJ11" si="18">IF(G11=1,IF(H11="čld.",VLOOKUP(D11,Tab_Hours,4,0),1),0)</f>
        <v>0</v>
      </c>
      <c r="BK11" s="24" t="str">
        <f t="shared" ref="BK11" si="19">IF(G11=1,IFERROR(VLOOKUP(B11,IpsLicences,2,0),IF(C11="",Par_Center,C11)),"")</f>
        <v/>
      </c>
      <c r="BL11" s="24" t="str">
        <f t="shared" ref="BL11" si="20">IF(G11=1,Par_Center,"")</f>
        <v/>
      </c>
      <c r="BM11" s="24" t="str">
        <f>IF(G11=1,IF(TableCosts[[#This Row],[TransferFrom]]=TableCosts[[#This Row],[TranferTo]],0,1),"")</f>
        <v/>
      </c>
      <c r="BN11" s="24" t="str">
        <f t="shared" ref="BN11" si="21">IF(G11=1,IF(E11="ACQ","akvizícia","realizácia"),"")</f>
        <v/>
      </c>
      <c r="BO11" s="24">
        <f t="shared" ref="BO11" si="22">IF(RIGHT(B11,LEN(Par_LabelTravelTime))=Par_LabelTravelTime,LEFT(B11,LEN(B11)-LEN(Par_LabelTravelTime)),B11)</f>
        <v>0</v>
      </c>
      <c r="BP11" s="24">
        <f t="shared" ref="BP11" si="23">IF(RIGHT(B11,LEN(Par_LabelTravelTime))=Par_LabelTravelTime,1,0)</f>
        <v>0</v>
      </c>
    </row>
    <row r="12" spans="1:68" s="24" customFormat="1" ht="13.9" x14ac:dyDescent="0.3">
      <c r="B12" s="97"/>
      <c r="C12" s="92"/>
      <c r="D12" s="92"/>
      <c r="E12" s="92"/>
      <c r="F12" s="31" t="str">
        <f>IF(G12=1,IF(ISERROR(TableCosts[[#This Row],[N_Tariff]]),Err_Message1,IF(TableCosts[[#This Row],[N_Tariff]]=0,Err_Message2,VLOOKUP(C12&amp;TableCosts[[#This Row],[Calc_N_Typ]],TRAN_STRITEMS_LABEL,5,FALSE))),"")</f>
        <v/>
      </c>
      <c r="G12" s="31">
        <f t="shared" ref="G12:G75" si="24">IF(B12="",0,IF(LEFT(B12,3)="***",-1,1))</f>
        <v>0</v>
      </c>
      <c r="H12" s="31" t="str">
        <f>IF(G12=1,IFERROR(VLOOKUP(F12,Tab_ErrMessage[],2,0),VLOOKUP(C12&amp;TableCosts[[#This Row],[Calc_N_Typ]],TRAN_STRITEMS_LABEL,4,FALSE)),"")</f>
        <v/>
      </c>
      <c r="I12" s="94"/>
      <c r="J12" s="94"/>
      <c r="K12" s="9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5"/>
      <c r="AI12" s="85"/>
      <c r="AJ12" s="84"/>
      <c r="AK12" s="84"/>
      <c r="AL12" s="84"/>
      <c r="AM12" s="84"/>
      <c r="AN12" s="84"/>
      <c r="AO12" s="84"/>
      <c r="AP12" s="84"/>
      <c r="AQ12" s="84"/>
      <c r="AR12" s="84"/>
      <c r="AS12" s="84"/>
      <c r="AT12" s="84"/>
      <c r="AU12" s="84"/>
      <c r="AV12" s="84"/>
      <c r="AW12" s="84"/>
      <c r="AX12" s="87">
        <f t="array" ref="AX12">IF(G12=1,SUM((ROW(M0)=ROW(AW12))*(M0+M1_+M2_+M3_+M4_+M5_+M6_+M7_+M8_+M9_+M10_+M11_+M12_+M13_+M14_+M15_+M16_+M17_+M18_+M19_+M20_+M21_+M22_+M23_+M24_+M25_+M26_+M27_+M28_+M29_+M30_+M31_+M32_+M33_+M34_+M35_+M36_+M37_)),0)</f>
        <v>0</v>
      </c>
      <c r="AZ12" s="24" t="str">
        <f t="shared" ref="AZ12:AZ75" si="25">IF(G12=1,B12,"")</f>
        <v/>
      </c>
      <c r="BA12" s="24" t="str">
        <f t="shared" ref="BA12:BA75" si="26">IF(G12=1,C12,"")</f>
        <v/>
      </c>
      <c r="BB12" s="24" t="str">
        <f t="shared" ref="BB12:BB75" si="27">IF(G12=1,F12,"")</f>
        <v/>
      </c>
      <c r="BC12" s="24" t="str">
        <f>IF(OR(E12="",LEFT(TableCosts[[#This Row],[Calc_N_Typ]],18)="Vynaložené náklady"),"",VLOOKUP(E12,Tab_Parts,2,0))</f>
        <v/>
      </c>
      <c r="BD12" s="24" t="str">
        <f t="shared" ref="BD12:BD75" si="28">IF(G12=1,H12,"")</f>
        <v/>
      </c>
      <c r="BE12" s="24">
        <f t="shared" ref="BE12:BE75" si="29">IF(G12=1,AX12,0)</f>
        <v>0</v>
      </c>
      <c r="BF12" s="72">
        <f>TableCosts[[#This Row],[N_Amount]]*TableCosts[[#This Row],[N_Tariff]]*TableCosts[[#This Row],[N_ItemsCount]]</f>
        <v>0</v>
      </c>
      <c r="BG12" s="72">
        <f>IF(G12=1,IF(TableCosts[[#This Row],[N_Kateg]]="interné práce",TableCosts[[#This Row],[N_Amount]]*8*PAR_SGA_PERHOUR,0),0)</f>
        <v>0</v>
      </c>
      <c r="BH12" s="72">
        <f>SUM(TableCosts[[#This Row],[N_Direct]:[N_SGA]])</f>
        <v>0</v>
      </c>
      <c r="BI12" s="24">
        <f>IF(G12=1,IF(OR(AND(NOT(ISERROR(VLOOKUP(TableCosts[[#This Row],[Calc_N_Typ]],Cis_WorkPositions,1,0))),C12&lt;&gt;"",D12&lt;&gt;"",E12&lt;&gt;""),AND(ISERROR(VLOOKUP(TableCosts[[#This Row],[Calc_N_Typ]],Cis_WorkPositions,1,0)),C12="",D12="",E12&lt;&gt;""),LEFT(TableCosts[[#This Row],[Calc_N_Typ]],18)="Vynaložené náklady"),VLOOKUP(C12&amp;TableCosts[[#This Row],[Calc_N_Typ]],TRAN_STRITEMS_LABEL,VLOOKUP(D12,Tab_Hours,3,0),0),NA()),0)</f>
        <v>0</v>
      </c>
      <c r="BJ12" s="24">
        <f t="shared" ref="BJ12:BJ75" si="30">IF(G12=1,IF(H12="čld.",VLOOKUP(D12,Tab_Hours,4,0),1),0)</f>
        <v>0</v>
      </c>
      <c r="BK12" s="24" t="str">
        <f t="shared" ref="BK12:BK75" si="31">IF(G12=1,IFERROR(VLOOKUP(B12,IpsLicences,2,0),IF(C12="",Par_Center,C12)),"")</f>
        <v/>
      </c>
      <c r="BL12" s="24" t="str">
        <f t="shared" ref="BL12:BL75" si="32">IF(G12=1,Par_Center,"")</f>
        <v/>
      </c>
      <c r="BM12" s="24" t="str">
        <f>IF(G12=1,IF(TableCosts[[#This Row],[TransferFrom]]=TableCosts[[#This Row],[TranferTo]],0,1),"")</f>
        <v/>
      </c>
      <c r="BN12" s="24" t="str">
        <f t="shared" ref="BN12:BN75" si="33">IF(G12=1,IF(E12="ACQ","akvizícia","realizácia"),"")</f>
        <v/>
      </c>
      <c r="BO12" s="24">
        <f t="shared" ref="BO12:BO75" si="34">IF(RIGHT(B12,LEN(Par_LabelTravelTime))=Par_LabelTravelTime,LEFT(B12,LEN(B12)-LEN(Par_LabelTravelTime)),B12)</f>
        <v>0</v>
      </c>
      <c r="BP12" s="24">
        <f t="shared" ref="BP12:BP75" si="35">IF(RIGHT(B12,LEN(Par_LabelTravelTime))=Par_LabelTravelTime,1,0)</f>
        <v>0</v>
      </c>
    </row>
    <row r="13" spans="1:68" s="24" customFormat="1" ht="13.9" x14ac:dyDescent="0.3">
      <c r="B13" s="97"/>
      <c r="C13" s="92"/>
      <c r="D13" s="92"/>
      <c r="E13" s="92"/>
      <c r="F13" s="31" t="str">
        <f>IF(G13=1,IF(ISERROR(TableCosts[[#This Row],[N_Tariff]]),Err_Message1,IF(TableCosts[[#This Row],[N_Tariff]]=0,Err_Message2,VLOOKUP(C13&amp;TableCosts[[#This Row],[Calc_N_Typ]],TRAN_STRITEMS_LABEL,5,FALSE))),"")</f>
        <v/>
      </c>
      <c r="G13" s="31">
        <f t="shared" si="24"/>
        <v>0</v>
      </c>
      <c r="H13" s="31" t="str">
        <f>IF(G13=1,IFERROR(VLOOKUP(F13,Tab_ErrMessage[],2,0),VLOOKUP(C13&amp;TableCosts[[#This Row],[Calc_N_Typ]],TRAN_STRITEMS_LABEL,4,FALSE)),"")</f>
        <v/>
      </c>
      <c r="I13" s="94"/>
      <c r="J13" s="94"/>
      <c r="K13" s="9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  <c r="AI13" s="84"/>
      <c r="AJ13" s="84"/>
      <c r="AK13" s="84"/>
      <c r="AL13" s="84"/>
      <c r="AM13" s="84"/>
      <c r="AN13" s="84"/>
      <c r="AO13" s="84"/>
      <c r="AP13" s="84"/>
      <c r="AQ13" s="84"/>
      <c r="AR13" s="84"/>
      <c r="AS13" s="84"/>
      <c r="AT13" s="84"/>
      <c r="AU13" s="84"/>
      <c r="AV13" s="84"/>
      <c r="AW13" s="84"/>
      <c r="AX13" s="87">
        <f t="array" ref="AX13">IF(G13=1,SUM((ROW(M0)=ROW(AW13))*(M0+M1_+M2_+M3_+M4_+M5_+M6_+M7_+M8_+M9_+M10_+M11_+M12_+M13_+M14_+M15_+M16_+M17_+M18_+M19_+M20_+M21_+M22_+M23_+M24_+M25_+M26_+M27_+M28_+M29_+M30_+M31_+M32_+M33_+M34_+M35_+M36_+M37_)),0)</f>
        <v>0</v>
      </c>
      <c r="AZ13" s="24" t="str">
        <f t="shared" si="25"/>
        <v/>
      </c>
      <c r="BA13" s="24" t="str">
        <f t="shared" si="26"/>
        <v/>
      </c>
      <c r="BB13" s="24" t="str">
        <f t="shared" si="27"/>
        <v/>
      </c>
      <c r="BC13" s="24" t="str">
        <f>IF(OR(E13="",LEFT(TableCosts[[#This Row],[Calc_N_Typ]],18)="Vynaložené náklady"),"",VLOOKUP(E13,Tab_Parts,2,0))</f>
        <v/>
      </c>
      <c r="BD13" s="24" t="str">
        <f t="shared" si="28"/>
        <v/>
      </c>
      <c r="BE13" s="24">
        <f t="shared" si="29"/>
        <v>0</v>
      </c>
      <c r="BF13" s="72">
        <f>TableCosts[[#This Row],[N_Amount]]*TableCosts[[#This Row],[N_Tariff]]*TableCosts[[#This Row],[N_ItemsCount]]</f>
        <v>0</v>
      </c>
      <c r="BG13" s="72">
        <f>IF(G13=1,IF(TableCosts[[#This Row],[N_Kateg]]="interné práce",TableCosts[[#This Row],[N_Amount]]*8*PAR_SGA_PERHOUR,0),0)</f>
        <v>0</v>
      </c>
      <c r="BH13" s="72">
        <f>SUM(TableCosts[[#This Row],[N_Direct]:[N_SGA]])</f>
        <v>0</v>
      </c>
      <c r="BI13" s="24">
        <f>IF(G13=1,IF(OR(AND(NOT(ISERROR(VLOOKUP(TableCosts[[#This Row],[Calc_N_Typ]],Cis_WorkPositions,1,0))),C13&lt;&gt;"",D13&lt;&gt;"",E13&lt;&gt;""),AND(ISERROR(VLOOKUP(TableCosts[[#This Row],[Calc_N_Typ]],Cis_WorkPositions,1,0)),C13="",D13="",E13&lt;&gt;""),LEFT(TableCosts[[#This Row],[Calc_N_Typ]],18)="Vynaložené náklady"),VLOOKUP(C13&amp;TableCosts[[#This Row],[Calc_N_Typ]],TRAN_STRITEMS_LABEL,VLOOKUP(D13,Tab_Hours,3,0),0),NA()),0)</f>
        <v>0</v>
      </c>
      <c r="BJ13" s="24">
        <f t="shared" si="30"/>
        <v>0</v>
      </c>
      <c r="BK13" s="24" t="str">
        <f t="shared" si="31"/>
        <v/>
      </c>
      <c r="BL13" s="24" t="str">
        <f t="shared" si="32"/>
        <v/>
      </c>
      <c r="BM13" s="24" t="str">
        <f>IF(G13=1,IF(TableCosts[[#This Row],[TransferFrom]]=TableCosts[[#This Row],[TranferTo]],0,1),"")</f>
        <v/>
      </c>
      <c r="BN13" s="24" t="str">
        <f t="shared" si="33"/>
        <v/>
      </c>
      <c r="BO13" s="24">
        <f t="shared" si="34"/>
        <v>0</v>
      </c>
      <c r="BP13" s="24">
        <f t="shared" si="35"/>
        <v>0</v>
      </c>
    </row>
    <row r="14" spans="1:68" s="24" customFormat="1" ht="13.9" x14ac:dyDescent="0.3">
      <c r="B14" s="97"/>
      <c r="C14" s="92"/>
      <c r="D14" s="92"/>
      <c r="E14" s="92"/>
      <c r="F14" s="31" t="str">
        <f>IF(G14=1,IF(ISERROR(TableCosts[[#This Row],[N_Tariff]]),Err_Message1,IF(TableCosts[[#This Row],[N_Tariff]]=0,Err_Message2,VLOOKUP(C14&amp;TableCosts[[#This Row],[Calc_N_Typ]],TRAN_STRITEMS_LABEL,5,FALSE))),"")</f>
        <v/>
      </c>
      <c r="G14" s="31">
        <f t="shared" si="24"/>
        <v>0</v>
      </c>
      <c r="H14" s="31" t="str">
        <f>IF(G14=1,IFERROR(VLOOKUP(F14,Tab_ErrMessage[],2,0),VLOOKUP(C14&amp;TableCosts[[#This Row],[Calc_N_Typ]],TRAN_STRITEMS_LABEL,4,FALSE)),"")</f>
        <v/>
      </c>
      <c r="I14" s="94"/>
      <c r="J14" s="94"/>
      <c r="K14" s="9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5"/>
      <c r="AI14" s="85"/>
      <c r="AJ14" s="84"/>
      <c r="AK14" s="84"/>
      <c r="AL14" s="84"/>
      <c r="AM14" s="84"/>
      <c r="AN14" s="84"/>
      <c r="AO14" s="84"/>
      <c r="AP14" s="84"/>
      <c r="AQ14" s="84"/>
      <c r="AR14" s="84"/>
      <c r="AS14" s="84"/>
      <c r="AT14" s="84"/>
      <c r="AU14" s="84"/>
      <c r="AV14" s="84"/>
      <c r="AW14" s="84"/>
      <c r="AX14" s="87">
        <f t="array" ref="AX14">IF(G14=1,SUM((ROW(M0)=ROW(AW14))*(M0+M1_+M2_+M3_+M4_+M5_+M6_+M7_+M8_+M9_+M10_+M11_+M12_+M13_+M14_+M15_+M16_+M17_+M18_+M19_+M20_+M21_+M22_+M23_+M24_+M25_+M26_+M27_+M28_+M29_+M30_+M31_+M32_+M33_+M34_+M35_+M36_+M37_)),0)</f>
        <v>0</v>
      </c>
      <c r="AZ14" s="24" t="str">
        <f t="shared" si="25"/>
        <v/>
      </c>
      <c r="BA14" s="24" t="str">
        <f t="shared" si="26"/>
        <v/>
      </c>
      <c r="BB14" s="24" t="str">
        <f t="shared" si="27"/>
        <v/>
      </c>
      <c r="BC14" s="24" t="str">
        <f>IF(OR(E14="",LEFT(TableCosts[[#This Row],[Calc_N_Typ]],18)="Vynaložené náklady"),"",VLOOKUP(E14,Tab_Parts,2,0))</f>
        <v/>
      </c>
      <c r="BD14" s="24" t="str">
        <f t="shared" si="28"/>
        <v/>
      </c>
      <c r="BE14" s="24">
        <f t="shared" si="29"/>
        <v>0</v>
      </c>
      <c r="BF14" s="72">
        <f>TableCosts[[#This Row],[N_Amount]]*TableCosts[[#This Row],[N_Tariff]]*TableCosts[[#This Row],[N_ItemsCount]]</f>
        <v>0</v>
      </c>
      <c r="BG14" s="72">
        <f>IF(G14=1,IF(TableCosts[[#This Row],[N_Kateg]]="interné práce",TableCosts[[#This Row],[N_Amount]]*8*PAR_SGA_PERHOUR,0),0)</f>
        <v>0</v>
      </c>
      <c r="BH14" s="72">
        <f>SUM(TableCosts[[#This Row],[N_Direct]:[N_SGA]])</f>
        <v>0</v>
      </c>
      <c r="BI14" s="24">
        <f>IF(G14=1,IF(OR(AND(NOT(ISERROR(VLOOKUP(TableCosts[[#This Row],[Calc_N_Typ]],Cis_WorkPositions,1,0))),C14&lt;&gt;"",D14&lt;&gt;"",E14&lt;&gt;""),AND(ISERROR(VLOOKUP(TableCosts[[#This Row],[Calc_N_Typ]],Cis_WorkPositions,1,0)),C14="",D14="",E14&lt;&gt;""),LEFT(TableCosts[[#This Row],[Calc_N_Typ]],18)="Vynaložené náklady"),VLOOKUP(C14&amp;TableCosts[[#This Row],[Calc_N_Typ]],TRAN_STRITEMS_LABEL,VLOOKUP(D14,Tab_Hours,3,0),0),NA()),0)</f>
        <v>0</v>
      </c>
      <c r="BJ14" s="24">
        <f t="shared" si="30"/>
        <v>0</v>
      </c>
      <c r="BK14" s="24" t="str">
        <f t="shared" si="31"/>
        <v/>
      </c>
      <c r="BL14" s="24" t="str">
        <f t="shared" si="32"/>
        <v/>
      </c>
      <c r="BM14" s="24" t="str">
        <f>IF(G14=1,IF(TableCosts[[#This Row],[TransferFrom]]=TableCosts[[#This Row],[TranferTo]],0,1),"")</f>
        <v/>
      </c>
      <c r="BN14" s="24" t="str">
        <f t="shared" si="33"/>
        <v/>
      </c>
      <c r="BO14" s="24">
        <f t="shared" si="34"/>
        <v>0</v>
      </c>
      <c r="BP14" s="24">
        <f t="shared" si="35"/>
        <v>0</v>
      </c>
    </row>
    <row r="15" spans="1:68" s="24" customFormat="1" ht="13.9" x14ac:dyDescent="0.3">
      <c r="B15" s="97"/>
      <c r="C15" s="92"/>
      <c r="D15" s="92"/>
      <c r="E15" s="92"/>
      <c r="F15" s="31" t="str">
        <f>IF(G15=1,IF(ISERROR(TableCosts[[#This Row],[N_Tariff]]),Err_Message1,IF(TableCosts[[#This Row],[N_Tariff]]=0,Err_Message2,VLOOKUP(C15&amp;TableCosts[[#This Row],[Calc_N_Typ]],TRAN_STRITEMS_LABEL,5,FALSE))),"")</f>
        <v/>
      </c>
      <c r="G15" s="31">
        <f t="shared" si="24"/>
        <v>0</v>
      </c>
      <c r="H15" s="31" t="str">
        <f>IF(G15=1,IFERROR(VLOOKUP(F15,Tab_ErrMessage[],2,0),VLOOKUP(C15&amp;TableCosts[[#This Row],[Calc_N_Typ]],TRAN_STRITEMS_LABEL,4,FALSE)),"")</f>
        <v/>
      </c>
      <c r="I15" s="94"/>
      <c r="J15" s="94"/>
      <c r="K15" s="9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5"/>
      <c r="AI15" s="85"/>
      <c r="AJ15" s="84"/>
      <c r="AK15" s="84"/>
      <c r="AL15" s="84"/>
      <c r="AM15" s="84"/>
      <c r="AN15" s="84"/>
      <c r="AO15" s="84"/>
      <c r="AP15" s="84"/>
      <c r="AQ15" s="84"/>
      <c r="AR15" s="84"/>
      <c r="AS15" s="84"/>
      <c r="AT15" s="84"/>
      <c r="AU15" s="84"/>
      <c r="AV15" s="84"/>
      <c r="AW15" s="84"/>
      <c r="AX15" s="87">
        <f t="array" ref="AX15">IF(G15=1,SUM((ROW(M0)=ROW(AW15))*(M0+M1_+M2_+M3_+M4_+M5_+M6_+M7_+M8_+M9_+M10_+M11_+M12_+M13_+M14_+M15_+M16_+M17_+M18_+M19_+M20_+M21_+M22_+M23_+M24_+M25_+M26_+M27_+M28_+M29_+M30_+M31_+M32_+M33_+M34_+M35_+M36_+M37_)),0)</f>
        <v>0</v>
      </c>
      <c r="AZ15" s="24" t="str">
        <f t="shared" si="25"/>
        <v/>
      </c>
      <c r="BA15" s="24" t="str">
        <f t="shared" si="26"/>
        <v/>
      </c>
      <c r="BB15" s="24" t="str">
        <f t="shared" si="27"/>
        <v/>
      </c>
      <c r="BC15" s="24" t="str">
        <f>IF(OR(E15="",LEFT(TableCosts[[#This Row],[Calc_N_Typ]],18)="Vynaložené náklady"),"",VLOOKUP(E15,Tab_Parts,2,0))</f>
        <v/>
      </c>
      <c r="BD15" s="24" t="str">
        <f t="shared" si="28"/>
        <v/>
      </c>
      <c r="BE15" s="24">
        <f t="shared" si="29"/>
        <v>0</v>
      </c>
      <c r="BF15" s="72">
        <f>TableCosts[[#This Row],[N_Amount]]*TableCosts[[#This Row],[N_Tariff]]*TableCosts[[#This Row],[N_ItemsCount]]</f>
        <v>0</v>
      </c>
      <c r="BG15" s="72">
        <f>IF(G15=1,IF(TableCosts[[#This Row],[N_Kateg]]="interné práce",TableCosts[[#This Row],[N_Amount]]*8*PAR_SGA_PERHOUR,0),0)</f>
        <v>0</v>
      </c>
      <c r="BH15" s="72">
        <f>SUM(TableCosts[[#This Row],[N_Direct]:[N_SGA]])</f>
        <v>0</v>
      </c>
      <c r="BI15" s="24">
        <f>IF(G15=1,IF(OR(AND(NOT(ISERROR(VLOOKUP(TableCosts[[#This Row],[Calc_N_Typ]],Cis_WorkPositions,1,0))),C15&lt;&gt;"",D15&lt;&gt;"",E15&lt;&gt;""),AND(ISERROR(VLOOKUP(TableCosts[[#This Row],[Calc_N_Typ]],Cis_WorkPositions,1,0)),C15="",D15="",E15&lt;&gt;""),LEFT(TableCosts[[#This Row],[Calc_N_Typ]],18)="Vynaložené náklady"),VLOOKUP(C15&amp;TableCosts[[#This Row],[Calc_N_Typ]],TRAN_STRITEMS_LABEL,VLOOKUP(D15,Tab_Hours,3,0),0),NA()),0)</f>
        <v>0</v>
      </c>
      <c r="BJ15" s="24">
        <f t="shared" si="30"/>
        <v>0</v>
      </c>
      <c r="BK15" s="24" t="str">
        <f t="shared" si="31"/>
        <v/>
      </c>
      <c r="BL15" s="24" t="str">
        <f t="shared" si="32"/>
        <v/>
      </c>
      <c r="BM15" s="24" t="str">
        <f>IF(G15=1,IF(TableCosts[[#This Row],[TransferFrom]]=TableCosts[[#This Row],[TranferTo]],0,1),"")</f>
        <v/>
      </c>
      <c r="BN15" s="24" t="str">
        <f t="shared" si="33"/>
        <v/>
      </c>
      <c r="BO15" s="24">
        <f t="shared" si="34"/>
        <v>0</v>
      </c>
      <c r="BP15" s="24">
        <f t="shared" si="35"/>
        <v>0</v>
      </c>
    </row>
    <row r="16" spans="1:68" s="24" customFormat="1" ht="13.9" x14ac:dyDescent="0.3">
      <c r="B16" s="97"/>
      <c r="C16" s="92"/>
      <c r="D16" s="92"/>
      <c r="E16" s="92"/>
      <c r="F16" s="31" t="str">
        <f>IF(G16=1,IF(ISERROR(TableCosts[[#This Row],[N_Tariff]]),Err_Message1,IF(TableCosts[[#This Row],[N_Tariff]]=0,Err_Message2,VLOOKUP(C16&amp;TableCosts[[#This Row],[Calc_N_Typ]],TRAN_STRITEMS_LABEL,5,FALSE))),"")</f>
        <v/>
      </c>
      <c r="G16" s="31">
        <f t="shared" si="24"/>
        <v>0</v>
      </c>
      <c r="H16" s="31" t="str">
        <f>IF(G16=1,IFERROR(VLOOKUP(F16,Tab_ErrMessage[],2,0),VLOOKUP(C16&amp;TableCosts[[#This Row],[Calc_N_Typ]],TRAN_STRITEMS_LABEL,4,FALSE)),"")</f>
        <v/>
      </c>
      <c r="I16" s="94"/>
      <c r="J16" s="94"/>
      <c r="K16" s="9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  <c r="AI16" s="84"/>
      <c r="AJ16" s="84"/>
      <c r="AK16" s="84"/>
      <c r="AL16" s="84"/>
      <c r="AM16" s="84"/>
      <c r="AN16" s="84"/>
      <c r="AO16" s="84"/>
      <c r="AP16" s="84"/>
      <c r="AQ16" s="84"/>
      <c r="AR16" s="84"/>
      <c r="AS16" s="84"/>
      <c r="AT16" s="84"/>
      <c r="AU16" s="84"/>
      <c r="AV16" s="84"/>
      <c r="AW16" s="84"/>
      <c r="AX16" s="87">
        <f t="array" ref="AX16">IF(G16=1,SUM((ROW(M0)=ROW(AW16))*(M0+M1_+M2_+M3_+M4_+M5_+M6_+M7_+M8_+M9_+M10_+M11_+M12_+M13_+M14_+M15_+M16_+M17_+M18_+M19_+M20_+M21_+M22_+M23_+M24_+M25_+M26_+M27_+M28_+M29_+M30_+M31_+M32_+M33_+M34_+M35_+M36_+M37_)),0)</f>
        <v>0</v>
      </c>
      <c r="AZ16" s="24" t="str">
        <f t="shared" si="25"/>
        <v/>
      </c>
      <c r="BA16" s="24" t="str">
        <f t="shared" si="26"/>
        <v/>
      </c>
      <c r="BB16" s="24" t="str">
        <f t="shared" si="27"/>
        <v/>
      </c>
      <c r="BC16" s="24" t="str">
        <f>IF(OR(E16="",LEFT(TableCosts[[#This Row],[Calc_N_Typ]],18)="Vynaložené náklady"),"",VLOOKUP(E16,Tab_Parts,2,0))</f>
        <v/>
      </c>
      <c r="BD16" s="24" t="str">
        <f t="shared" si="28"/>
        <v/>
      </c>
      <c r="BE16" s="24">
        <f t="shared" si="29"/>
        <v>0</v>
      </c>
      <c r="BF16" s="72">
        <f>TableCosts[[#This Row],[N_Amount]]*TableCosts[[#This Row],[N_Tariff]]*TableCosts[[#This Row],[N_ItemsCount]]</f>
        <v>0</v>
      </c>
      <c r="BG16" s="72">
        <f>IF(G16=1,IF(TableCosts[[#This Row],[N_Kateg]]="interné práce",TableCosts[[#This Row],[N_Amount]]*8*PAR_SGA_PERHOUR,0),0)</f>
        <v>0</v>
      </c>
      <c r="BH16" s="72">
        <f>SUM(TableCosts[[#This Row],[N_Direct]:[N_SGA]])</f>
        <v>0</v>
      </c>
      <c r="BI16" s="24">
        <f>IF(G16=1,IF(OR(AND(NOT(ISERROR(VLOOKUP(TableCosts[[#This Row],[Calc_N_Typ]],Cis_WorkPositions,1,0))),C16&lt;&gt;"",D16&lt;&gt;"",E16&lt;&gt;""),AND(ISERROR(VLOOKUP(TableCosts[[#This Row],[Calc_N_Typ]],Cis_WorkPositions,1,0)),C16="",D16="",E16&lt;&gt;""),LEFT(TableCosts[[#This Row],[Calc_N_Typ]],18)="Vynaložené náklady"),VLOOKUP(C16&amp;TableCosts[[#This Row],[Calc_N_Typ]],TRAN_STRITEMS_LABEL,VLOOKUP(D16,Tab_Hours,3,0),0),NA()),0)</f>
        <v>0</v>
      </c>
      <c r="BJ16" s="24">
        <f t="shared" si="30"/>
        <v>0</v>
      </c>
      <c r="BK16" s="24" t="str">
        <f t="shared" si="31"/>
        <v/>
      </c>
      <c r="BL16" s="24" t="str">
        <f t="shared" si="32"/>
        <v/>
      </c>
      <c r="BM16" s="24" t="str">
        <f>IF(G16=1,IF(TableCosts[[#This Row],[TransferFrom]]=TableCosts[[#This Row],[TranferTo]],0,1),"")</f>
        <v/>
      </c>
      <c r="BN16" s="24" t="str">
        <f t="shared" si="33"/>
        <v/>
      </c>
      <c r="BO16" s="24">
        <f t="shared" si="34"/>
        <v>0</v>
      </c>
      <c r="BP16" s="24">
        <f t="shared" si="35"/>
        <v>0</v>
      </c>
    </row>
    <row r="17" spans="2:68" s="24" customFormat="1" ht="13.9" x14ac:dyDescent="0.3">
      <c r="B17" s="97"/>
      <c r="C17" s="92"/>
      <c r="D17" s="92"/>
      <c r="E17" s="92"/>
      <c r="F17" s="31" t="str">
        <f>IF(G17=1,IF(ISERROR(TableCosts[[#This Row],[N_Tariff]]),Err_Message1,IF(TableCosts[[#This Row],[N_Tariff]]=0,Err_Message2,VLOOKUP(C17&amp;TableCosts[[#This Row],[Calc_N_Typ]],TRAN_STRITEMS_LABEL,5,FALSE))),"")</f>
        <v/>
      </c>
      <c r="G17" s="31">
        <f t="shared" si="24"/>
        <v>0</v>
      </c>
      <c r="H17" s="31" t="str">
        <f>IF(G17=1,IFERROR(VLOOKUP(F17,Tab_ErrMessage[],2,0),VLOOKUP(C17&amp;TableCosts[[#This Row],[Calc_N_Typ]],TRAN_STRITEMS_LABEL,4,FALSE)),"")</f>
        <v/>
      </c>
      <c r="I17" s="94"/>
      <c r="J17" s="94"/>
      <c r="K17" s="9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  <c r="AH17" s="84"/>
      <c r="AI17" s="84"/>
      <c r="AJ17" s="84"/>
      <c r="AK17" s="84"/>
      <c r="AL17" s="84"/>
      <c r="AM17" s="84"/>
      <c r="AN17" s="84"/>
      <c r="AO17" s="84"/>
      <c r="AP17" s="84"/>
      <c r="AQ17" s="84"/>
      <c r="AR17" s="84"/>
      <c r="AS17" s="84"/>
      <c r="AT17" s="84"/>
      <c r="AU17" s="84"/>
      <c r="AV17" s="84"/>
      <c r="AW17" s="84"/>
      <c r="AX17" s="87">
        <f t="array" ref="AX17">IF(G17=1,SUM((ROW(M0)=ROW(AW17))*(M0+M1_+M2_+M3_+M4_+M5_+M6_+M7_+M8_+M9_+M10_+M11_+M12_+M13_+M14_+M15_+M16_+M17_+M18_+M19_+M20_+M21_+M22_+M23_+M24_+M25_+M26_+M27_+M28_+M29_+M30_+M31_+M32_+M33_+M34_+M35_+M36_+M37_)),0)</f>
        <v>0</v>
      </c>
      <c r="AZ17" s="24" t="str">
        <f t="shared" si="25"/>
        <v/>
      </c>
      <c r="BA17" s="24" t="str">
        <f t="shared" si="26"/>
        <v/>
      </c>
      <c r="BB17" s="24" t="str">
        <f t="shared" si="27"/>
        <v/>
      </c>
      <c r="BC17" s="24" t="str">
        <f>IF(OR(E17="",LEFT(TableCosts[[#This Row],[Calc_N_Typ]],18)="Vynaložené náklady"),"",VLOOKUP(E17,Tab_Parts,2,0))</f>
        <v/>
      </c>
      <c r="BD17" s="24" t="str">
        <f t="shared" si="28"/>
        <v/>
      </c>
      <c r="BE17" s="24">
        <f t="shared" si="29"/>
        <v>0</v>
      </c>
      <c r="BF17" s="72">
        <f>TableCosts[[#This Row],[N_Amount]]*TableCosts[[#This Row],[N_Tariff]]*TableCosts[[#This Row],[N_ItemsCount]]</f>
        <v>0</v>
      </c>
      <c r="BG17" s="72">
        <f>IF(G17=1,IF(TableCosts[[#This Row],[N_Kateg]]="interné práce",TableCosts[[#This Row],[N_Amount]]*8*PAR_SGA_PERHOUR,0),0)</f>
        <v>0</v>
      </c>
      <c r="BH17" s="72">
        <f>SUM(TableCosts[[#This Row],[N_Direct]:[N_SGA]])</f>
        <v>0</v>
      </c>
      <c r="BI17" s="24">
        <f>IF(G17=1,IF(OR(AND(NOT(ISERROR(VLOOKUP(TableCosts[[#This Row],[Calc_N_Typ]],Cis_WorkPositions,1,0))),C17&lt;&gt;"",D17&lt;&gt;"",E17&lt;&gt;""),AND(ISERROR(VLOOKUP(TableCosts[[#This Row],[Calc_N_Typ]],Cis_WorkPositions,1,0)),C17="",D17="",E17&lt;&gt;""),LEFT(TableCosts[[#This Row],[Calc_N_Typ]],18)="Vynaložené náklady"),VLOOKUP(C17&amp;TableCosts[[#This Row],[Calc_N_Typ]],TRAN_STRITEMS_LABEL,VLOOKUP(D17,Tab_Hours,3,0),0),NA()),0)</f>
        <v>0</v>
      </c>
      <c r="BJ17" s="24">
        <f t="shared" si="30"/>
        <v>0</v>
      </c>
      <c r="BK17" s="24" t="str">
        <f t="shared" si="31"/>
        <v/>
      </c>
      <c r="BL17" s="24" t="str">
        <f t="shared" si="32"/>
        <v/>
      </c>
      <c r="BM17" s="24" t="str">
        <f>IF(G17=1,IF(TableCosts[[#This Row],[TransferFrom]]=TableCosts[[#This Row],[TranferTo]],0,1),"")</f>
        <v/>
      </c>
      <c r="BN17" s="24" t="str">
        <f t="shared" si="33"/>
        <v/>
      </c>
      <c r="BO17" s="24">
        <f t="shared" si="34"/>
        <v>0</v>
      </c>
      <c r="BP17" s="24">
        <f t="shared" si="35"/>
        <v>0</v>
      </c>
    </row>
    <row r="18" spans="2:68" s="24" customFormat="1" ht="13.9" x14ac:dyDescent="0.3">
      <c r="B18" s="97"/>
      <c r="C18" s="92"/>
      <c r="D18" s="92"/>
      <c r="E18" s="92"/>
      <c r="F18" s="31" t="str">
        <f>IF(G18=1,IF(ISERROR(TableCosts[[#This Row],[N_Tariff]]),Err_Message1,IF(TableCosts[[#This Row],[N_Tariff]]=0,Err_Message2,VLOOKUP(C18&amp;TableCosts[[#This Row],[Calc_N_Typ]],TRAN_STRITEMS_LABEL,5,FALSE))),"")</f>
        <v/>
      </c>
      <c r="G18" s="31">
        <f t="shared" si="24"/>
        <v>0</v>
      </c>
      <c r="H18" s="31" t="str">
        <f>IF(G18=1,IFERROR(VLOOKUP(F18,Tab_ErrMessage[],2,0),VLOOKUP(C18&amp;TableCosts[[#This Row],[Calc_N_Typ]],TRAN_STRITEMS_LABEL,4,FALSE)),"")</f>
        <v/>
      </c>
      <c r="I18" s="94"/>
      <c r="J18" s="94"/>
      <c r="K18" s="9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84"/>
      <c r="AW18" s="84"/>
      <c r="AX18" s="87">
        <f t="array" ref="AX18">IF(G18=1,SUM((ROW(M0)=ROW(AW18))*(M0+M1_+M2_+M3_+M4_+M5_+M6_+M7_+M8_+M9_+M10_+M11_+M12_+M13_+M14_+M15_+M16_+M17_+M18_+M19_+M20_+M21_+M22_+M23_+M24_+M25_+M26_+M27_+M28_+M29_+M30_+M31_+M32_+M33_+M34_+M35_+M36_+M37_)),0)</f>
        <v>0</v>
      </c>
      <c r="AZ18" s="24" t="str">
        <f t="shared" si="25"/>
        <v/>
      </c>
      <c r="BA18" s="24" t="str">
        <f t="shared" si="26"/>
        <v/>
      </c>
      <c r="BB18" s="24" t="str">
        <f t="shared" si="27"/>
        <v/>
      </c>
      <c r="BC18" s="24" t="str">
        <f>IF(OR(E18="",LEFT(TableCosts[[#This Row],[Calc_N_Typ]],18)="Vynaložené náklady"),"",VLOOKUP(E18,Tab_Parts,2,0))</f>
        <v/>
      </c>
      <c r="BD18" s="24" t="str">
        <f t="shared" si="28"/>
        <v/>
      </c>
      <c r="BE18" s="24">
        <f t="shared" si="29"/>
        <v>0</v>
      </c>
      <c r="BF18" s="72">
        <f>TableCosts[[#This Row],[N_Amount]]*TableCosts[[#This Row],[N_Tariff]]*TableCosts[[#This Row],[N_ItemsCount]]</f>
        <v>0</v>
      </c>
      <c r="BG18" s="72">
        <f>IF(G18=1,IF(TableCosts[[#This Row],[N_Kateg]]="interné práce",TableCosts[[#This Row],[N_Amount]]*8*PAR_SGA_PERHOUR,0),0)</f>
        <v>0</v>
      </c>
      <c r="BH18" s="72">
        <f>SUM(TableCosts[[#This Row],[N_Direct]:[N_SGA]])</f>
        <v>0</v>
      </c>
      <c r="BI18" s="24">
        <f>IF(G18=1,IF(OR(AND(NOT(ISERROR(VLOOKUP(TableCosts[[#This Row],[Calc_N_Typ]],Cis_WorkPositions,1,0))),C18&lt;&gt;"",D18&lt;&gt;"",E18&lt;&gt;""),AND(ISERROR(VLOOKUP(TableCosts[[#This Row],[Calc_N_Typ]],Cis_WorkPositions,1,0)),C18="",D18="",E18&lt;&gt;""),LEFT(TableCosts[[#This Row],[Calc_N_Typ]],18)="Vynaložené náklady"),VLOOKUP(C18&amp;TableCosts[[#This Row],[Calc_N_Typ]],TRAN_STRITEMS_LABEL,VLOOKUP(D18,Tab_Hours,3,0),0),NA()),0)</f>
        <v>0</v>
      </c>
      <c r="BJ18" s="24">
        <f t="shared" si="30"/>
        <v>0</v>
      </c>
      <c r="BK18" s="24" t="str">
        <f t="shared" si="31"/>
        <v/>
      </c>
      <c r="BL18" s="24" t="str">
        <f t="shared" si="32"/>
        <v/>
      </c>
      <c r="BM18" s="24" t="str">
        <f>IF(G18=1,IF(TableCosts[[#This Row],[TransferFrom]]=TableCosts[[#This Row],[TranferTo]],0,1),"")</f>
        <v/>
      </c>
      <c r="BN18" s="24" t="str">
        <f t="shared" si="33"/>
        <v/>
      </c>
      <c r="BO18" s="24">
        <f t="shared" si="34"/>
        <v>0</v>
      </c>
      <c r="BP18" s="24">
        <f t="shared" si="35"/>
        <v>0</v>
      </c>
    </row>
    <row r="19" spans="2:68" s="24" customFormat="1" ht="13.9" x14ac:dyDescent="0.3">
      <c r="B19" s="97"/>
      <c r="C19" s="92"/>
      <c r="D19" s="92"/>
      <c r="E19" s="92"/>
      <c r="F19" s="31" t="str">
        <f>IF(G19=1,IF(ISERROR(TableCosts[[#This Row],[N_Tariff]]),Err_Message1,IF(TableCosts[[#This Row],[N_Tariff]]=0,Err_Message2,VLOOKUP(C19&amp;TableCosts[[#This Row],[Calc_N_Typ]],TRAN_STRITEMS_LABEL,5,FALSE))),"")</f>
        <v/>
      </c>
      <c r="G19" s="31">
        <f t="shared" si="24"/>
        <v>0</v>
      </c>
      <c r="H19" s="31" t="str">
        <f>IF(G19=1,IFERROR(VLOOKUP(F19,Tab_ErrMessage[],2,0),VLOOKUP(C19&amp;TableCosts[[#This Row],[Calc_N_Typ]],TRAN_STRITEMS_LABEL,4,FALSE)),"")</f>
        <v/>
      </c>
      <c r="I19" s="94"/>
      <c r="J19" s="94"/>
      <c r="K19" s="9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4"/>
      <c r="AS19" s="84"/>
      <c r="AT19" s="84"/>
      <c r="AU19" s="84"/>
      <c r="AV19" s="84"/>
      <c r="AW19" s="84"/>
      <c r="AX19" s="87">
        <f t="array" ref="AX19">IF(G19=1,SUM((ROW(M0)=ROW(AW19))*(M0+M1_+M2_+M3_+M4_+M5_+M6_+M7_+M8_+M9_+M10_+M11_+M12_+M13_+M14_+M15_+M16_+M17_+M18_+M19_+M20_+M21_+M22_+M23_+M24_+M25_+M26_+M27_+M28_+M29_+M30_+M31_+M32_+M33_+M34_+M35_+M36_+M37_)),0)</f>
        <v>0</v>
      </c>
      <c r="AZ19" s="24" t="str">
        <f t="shared" si="25"/>
        <v/>
      </c>
      <c r="BA19" s="24" t="str">
        <f t="shared" si="26"/>
        <v/>
      </c>
      <c r="BB19" s="24" t="str">
        <f t="shared" si="27"/>
        <v/>
      </c>
      <c r="BC19" s="24" t="str">
        <f>IF(OR(E19="",LEFT(TableCosts[[#This Row],[Calc_N_Typ]],18)="Vynaložené náklady"),"",VLOOKUP(E19,Tab_Parts,2,0))</f>
        <v/>
      </c>
      <c r="BD19" s="24" t="str">
        <f t="shared" si="28"/>
        <v/>
      </c>
      <c r="BE19" s="24">
        <f t="shared" si="29"/>
        <v>0</v>
      </c>
      <c r="BF19" s="72">
        <f>TableCosts[[#This Row],[N_Amount]]*TableCosts[[#This Row],[N_Tariff]]*TableCosts[[#This Row],[N_ItemsCount]]</f>
        <v>0</v>
      </c>
      <c r="BG19" s="72">
        <f>IF(G19=1,IF(TableCosts[[#This Row],[N_Kateg]]="interné práce",TableCosts[[#This Row],[N_Amount]]*8*PAR_SGA_PERHOUR,0),0)</f>
        <v>0</v>
      </c>
      <c r="BH19" s="72">
        <f>SUM(TableCosts[[#This Row],[N_Direct]:[N_SGA]])</f>
        <v>0</v>
      </c>
      <c r="BI19" s="24">
        <f>IF(G19=1,IF(OR(AND(NOT(ISERROR(VLOOKUP(TableCosts[[#This Row],[Calc_N_Typ]],Cis_WorkPositions,1,0))),C19&lt;&gt;"",D19&lt;&gt;"",E19&lt;&gt;""),AND(ISERROR(VLOOKUP(TableCosts[[#This Row],[Calc_N_Typ]],Cis_WorkPositions,1,0)),C19="",D19="",E19&lt;&gt;""),LEFT(TableCosts[[#This Row],[Calc_N_Typ]],18)="Vynaložené náklady"),VLOOKUP(C19&amp;TableCosts[[#This Row],[Calc_N_Typ]],TRAN_STRITEMS_LABEL,VLOOKUP(D19,Tab_Hours,3,0),0),NA()),0)</f>
        <v>0</v>
      </c>
      <c r="BJ19" s="24">
        <f t="shared" si="30"/>
        <v>0</v>
      </c>
      <c r="BK19" s="24" t="str">
        <f t="shared" si="31"/>
        <v/>
      </c>
      <c r="BL19" s="24" t="str">
        <f t="shared" si="32"/>
        <v/>
      </c>
      <c r="BM19" s="24" t="str">
        <f>IF(G19=1,IF(TableCosts[[#This Row],[TransferFrom]]=TableCosts[[#This Row],[TranferTo]],0,1),"")</f>
        <v/>
      </c>
      <c r="BN19" s="24" t="str">
        <f t="shared" si="33"/>
        <v/>
      </c>
      <c r="BO19" s="24">
        <f t="shared" si="34"/>
        <v>0</v>
      </c>
      <c r="BP19" s="24">
        <f t="shared" si="35"/>
        <v>0</v>
      </c>
    </row>
    <row r="20" spans="2:68" s="24" customFormat="1" ht="13.9" x14ac:dyDescent="0.3">
      <c r="B20" s="97"/>
      <c r="C20" s="92"/>
      <c r="D20" s="94"/>
      <c r="E20" s="92"/>
      <c r="F20" s="31" t="str">
        <f>IF(G20=1,IF(ISERROR(TableCosts[[#This Row],[N_Tariff]]),Err_Message1,IF(TableCosts[[#This Row],[N_Tariff]]=0,Err_Message2,VLOOKUP(C20&amp;TableCosts[[#This Row],[Calc_N_Typ]],TRAN_STRITEMS_LABEL,5,FALSE))),"")</f>
        <v/>
      </c>
      <c r="G20" s="31">
        <f t="shared" si="24"/>
        <v>0</v>
      </c>
      <c r="H20" s="31" t="str">
        <f>IF(G20=1,IFERROR(VLOOKUP(F20,Tab_ErrMessage[],2,0),VLOOKUP(C20&amp;TableCosts[[#This Row],[Calc_N_Typ]],TRAN_STRITEMS_LABEL,4,FALSE)),"")</f>
        <v/>
      </c>
      <c r="I20" s="94"/>
      <c r="J20" s="94"/>
      <c r="K20" s="9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  <c r="AI20" s="84"/>
      <c r="AJ20" s="84"/>
      <c r="AK20" s="84"/>
      <c r="AL20" s="84"/>
      <c r="AM20" s="84"/>
      <c r="AN20" s="84"/>
      <c r="AO20" s="84"/>
      <c r="AP20" s="84"/>
      <c r="AQ20" s="84"/>
      <c r="AR20" s="84"/>
      <c r="AS20" s="84"/>
      <c r="AT20" s="84"/>
      <c r="AU20" s="84"/>
      <c r="AV20" s="84"/>
      <c r="AW20" s="84"/>
      <c r="AX20" s="87">
        <f t="array" ref="AX20">IF(G20=1,SUM((ROW(M0)=ROW(AW20))*(M0+M1_+M2_+M3_+M4_+M5_+M6_+M7_+M8_+M9_+M10_+M11_+M12_+M13_+M14_+M15_+M16_+M17_+M18_+M19_+M20_+M21_+M22_+M23_+M24_+M25_+M26_+M27_+M28_+M29_+M30_+M31_+M32_+M33_+M34_+M35_+M36_+M37_)),0)</f>
        <v>0</v>
      </c>
      <c r="AZ20" s="24" t="str">
        <f t="shared" si="25"/>
        <v/>
      </c>
      <c r="BA20" s="24" t="str">
        <f t="shared" si="26"/>
        <v/>
      </c>
      <c r="BB20" s="24" t="str">
        <f t="shared" si="27"/>
        <v/>
      </c>
      <c r="BC20" s="24" t="str">
        <f>IF(OR(E20="",LEFT(TableCosts[[#This Row],[Calc_N_Typ]],18)="Vynaložené náklady"),"",VLOOKUP(E20,Tab_Parts,2,0))</f>
        <v/>
      </c>
      <c r="BD20" s="24" t="str">
        <f t="shared" si="28"/>
        <v/>
      </c>
      <c r="BE20" s="24">
        <f t="shared" si="29"/>
        <v>0</v>
      </c>
      <c r="BF20" s="72">
        <f>TableCosts[[#This Row],[N_Amount]]*TableCosts[[#This Row],[N_Tariff]]*TableCosts[[#This Row],[N_ItemsCount]]</f>
        <v>0</v>
      </c>
      <c r="BG20" s="72">
        <f>IF(G20=1,IF(TableCosts[[#This Row],[N_Kateg]]="interné práce",TableCosts[[#This Row],[N_Amount]]*8*PAR_SGA_PERHOUR,0),0)</f>
        <v>0</v>
      </c>
      <c r="BH20" s="72">
        <f>SUM(TableCosts[[#This Row],[N_Direct]:[N_SGA]])</f>
        <v>0</v>
      </c>
      <c r="BI20" s="24">
        <f>IF(G20=1,IF(OR(AND(NOT(ISERROR(VLOOKUP(TableCosts[[#This Row],[Calc_N_Typ]],Cis_WorkPositions,1,0))),C20&lt;&gt;"",D20&lt;&gt;"",E20&lt;&gt;""),AND(ISERROR(VLOOKUP(TableCosts[[#This Row],[Calc_N_Typ]],Cis_WorkPositions,1,0)),C20="",D20="",E20&lt;&gt;""),LEFT(TableCosts[[#This Row],[Calc_N_Typ]],18)="Vynaložené náklady"),VLOOKUP(C20&amp;TableCosts[[#This Row],[Calc_N_Typ]],TRAN_STRITEMS_LABEL,VLOOKUP(D20,Tab_Hours,3,0),0),NA()),0)</f>
        <v>0</v>
      </c>
      <c r="BJ20" s="24">
        <f t="shared" si="30"/>
        <v>0</v>
      </c>
      <c r="BK20" s="24" t="str">
        <f t="shared" si="31"/>
        <v/>
      </c>
      <c r="BL20" s="24" t="str">
        <f t="shared" si="32"/>
        <v/>
      </c>
      <c r="BM20" s="24" t="str">
        <f>IF(G20=1,IF(TableCosts[[#This Row],[TransferFrom]]=TableCosts[[#This Row],[TranferTo]],0,1),"")</f>
        <v/>
      </c>
      <c r="BN20" s="24" t="str">
        <f t="shared" si="33"/>
        <v/>
      </c>
      <c r="BO20" s="24">
        <f t="shared" si="34"/>
        <v>0</v>
      </c>
      <c r="BP20" s="24">
        <f t="shared" si="35"/>
        <v>0</v>
      </c>
    </row>
    <row r="21" spans="2:68" s="24" customFormat="1" ht="12.75" x14ac:dyDescent="0.2">
      <c r="B21" s="97" t="s">
        <v>90</v>
      </c>
      <c r="C21" s="92"/>
      <c r="D21" s="92"/>
      <c r="E21" s="92"/>
      <c r="F21" s="31" t="str">
        <f>IF(G21=1,IF(ISERROR(TableCosts[[#This Row],[N_Tariff]]),Err_Message1,IF(TableCosts[[#This Row],[N_Tariff]]=0,Err_Message2,VLOOKUP(C21&amp;TableCosts[[#This Row],[Calc_N_Typ]],TRAN_STRITEMS_LABEL,5,FALSE))),"")</f>
        <v/>
      </c>
      <c r="G21" s="31">
        <f t="shared" si="24"/>
        <v>-1</v>
      </c>
      <c r="H21" s="31" t="str">
        <f>IF(G21=1,IFERROR(VLOOKUP(F21,Tab_ErrMessage[],2,0),VLOOKUP(C21&amp;TableCosts[[#This Row],[Calc_N_Typ]],TRAN_STRITEMS_LABEL,4,FALSE)),"")</f>
        <v/>
      </c>
      <c r="I21" s="94"/>
      <c r="J21" s="94"/>
      <c r="K21" s="94" t="s">
        <v>120</v>
      </c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4"/>
      <c r="AS21" s="84"/>
      <c r="AT21" s="84"/>
      <c r="AU21" s="84"/>
      <c r="AV21" s="84"/>
      <c r="AW21" s="84"/>
      <c r="AX21" s="87">
        <f t="array" ref="AX21">IF(G21=1,SUM((ROW(M0)=ROW(AW21))*(M0+M1_+M2_+M3_+M4_+M5_+M6_+M7_+M8_+M9_+M10_+M11_+M12_+M13_+M14_+M15_+M16_+M17_+M18_+M19_+M20_+M21_+M22_+M23_+M24_+M25_+M26_+M27_+M28_+M29_+M30_+M31_+M32_+M33_+M34_+M35_+M36_+M37_)),0)</f>
        <v>0</v>
      </c>
      <c r="AZ21" s="24" t="str">
        <f t="shared" si="25"/>
        <v/>
      </c>
      <c r="BA21" s="24" t="str">
        <f t="shared" si="26"/>
        <v/>
      </c>
      <c r="BB21" s="24" t="str">
        <f t="shared" si="27"/>
        <v/>
      </c>
      <c r="BC21" s="24" t="str">
        <f>IF(OR(E21="",LEFT(TableCosts[[#This Row],[Calc_N_Typ]],18)="Vynaložené náklady"),"",VLOOKUP(E21,Tab_Parts,2,0))</f>
        <v/>
      </c>
      <c r="BD21" s="24" t="str">
        <f t="shared" si="28"/>
        <v/>
      </c>
      <c r="BE21" s="24">
        <f t="shared" si="29"/>
        <v>0</v>
      </c>
      <c r="BF21" s="72">
        <f>TableCosts[[#This Row],[N_Amount]]*TableCosts[[#This Row],[N_Tariff]]*TableCosts[[#This Row],[N_ItemsCount]]</f>
        <v>0</v>
      </c>
      <c r="BG21" s="72">
        <f>IF(G21=1,IF(TableCosts[[#This Row],[N_Kateg]]="interné práce",TableCosts[[#This Row],[N_Amount]]*8*PAR_SGA_PERHOUR,0),0)</f>
        <v>0</v>
      </c>
      <c r="BH21" s="72">
        <f>SUM(TableCosts[[#This Row],[N_Direct]:[N_SGA]])</f>
        <v>0</v>
      </c>
      <c r="BI21" s="24">
        <f>IF(G21=1,IF(OR(AND(NOT(ISERROR(VLOOKUP(TableCosts[[#This Row],[Calc_N_Typ]],Cis_WorkPositions,1,0))),C21&lt;&gt;"",D21&lt;&gt;"",E21&lt;&gt;""),AND(ISERROR(VLOOKUP(TableCosts[[#This Row],[Calc_N_Typ]],Cis_WorkPositions,1,0)),C21="",D21="",E21&lt;&gt;""),LEFT(TableCosts[[#This Row],[Calc_N_Typ]],18)="Vynaložené náklady"),VLOOKUP(C21&amp;TableCosts[[#This Row],[Calc_N_Typ]],TRAN_STRITEMS_LABEL,VLOOKUP(D21,Tab_Hours,3,0),0),NA()),0)</f>
        <v>0</v>
      </c>
      <c r="BJ21" s="24">
        <f t="shared" si="30"/>
        <v>0</v>
      </c>
      <c r="BK21" s="24" t="str">
        <f t="shared" si="31"/>
        <v/>
      </c>
      <c r="BL21" s="24" t="str">
        <f t="shared" si="32"/>
        <v/>
      </c>
      <c r="BM21" s="24" t="str">
        <f>IF(G21=1,IF(TableCosts[[#This Row],[TransferFrom]]=TableCosts[[#This Row],[TranferTo]],0,1),"")</f>
        <v/>
      </c>
      <c r="BN21" s="24" t="str">
        <f t="shared" si="33"/>
        <v/>
      </c>
      <c r="BO21" s="24" t="str">
        <f t="shared" si="34"/>
        <v>*** prázdna ***</v>
      </c>
      <c r="BP21" s="24">
        <f t="shared" si="35"/>
        <v>0</v>
      </c>
    </row>
    <row r="22" spans="2:68" s="24" customFormat="1" ht="13.9" x14ac:dyDescent="0.3">
      <c r="B22" s="97"/>
      <c r="C22" s="92"/>
      <c r="D22" s="92"/>
      <c r="E22" s="92" t="s">
        <v>132</v>
      </c>
      <c r="F22" s="31" t="str">
        <f>IF(G22=1,IF(ISERROR(TableCosts[[#This Row],[N_Tariff]]),Err_Message1,IF(TableCosts[[#This Row],[N_Tariff]]=0,Err_Message2,VLOOKUP(C22&amp;TableCosts[[#This Row],[Calc_N_Typ]],TRAN_STRITEMS_LABEL,5,FALSE))),"")</f>
        <v/>
      </c>
      <c r="G22" s="31">
        <f t="shared" si="24"/>
        <v>0</v>
      </c>
      <c r="H22" s="31" t="str">
        <f>IF(G22=1,IFERROR(VLOOKUP(F22,Tab_ErrMessage[],2,0),VLOOKUP(C22&amp;TableCosts[[#This Row],[Calc_N_Typ]],TRAN_STRITEMS_LABEL,4,FALSE)),"")</f>
        <v/>
      </c>
      <c r="I22" s="94"/>
      <c r="J22" s="94"/>
      <c r="K22" s="9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84"/>
      <c r="AW22" s="84"/>
      <c r="AX22" s="87">
        <f t="array" ref="AX22">IF(G22=1,SUM((ROW(M0)=ROW(AW22))*(M0+M1_+M2_+M3_+M4_+M5_+M6_+M7_+M8_+M9_+M10_+M11_+M12_+M13_+M14_+M15_+M16_+M17_+M18_+M19_+M20_+M21_+M22_+M23_+M24_+M25_+M26_+M27_+M28_+M29_+M30_+M31_+M32_+M33_+M34_+M35_+M36_+M37_)),0)</f>
        <v>0</v>
      </c>
      <c r="AZ22" s="24" t="str">
        <f t="shared" si="25"/>
        <v/>
      </c>
      <c r="BA22" s="24" t="str">
        <f t="shared" si="26"/>
        <v/>
      </c>
      <c r="BB22" s="24" t="str">
        <f t="shared" si="27"/>
        <v/>
      </c>
      <c r="BC22" s="24" t="str">
        <f>IF(OR(E22="",LEFT(TableCosts[[#This Row],[Calc_N_Typ]],18)="Vynaložené náklady"),"",VLOOKUP(E22,Tab_Parts,2,0))</f>
        <v>Service Level Agreement</v>
      </c>
      <c r="BD22" s="24" t="str">
        <f t="shared" si="28"/>
        <v/>
      </c>
      <c r="BE22" s="24">
        <f t="shared" si="29"/>
        <v>0</v>
      </c>
      <c r="BF22" s="72">
        <f>TableCosts[[#This Row],[N_Amount]]*TableCosts[[#This Row],[N_Tariff]]*TableCosts[[#This Row],[N_ItemsCount]]</f>
        <v>0</v>
      </c>
      <c r="BG22" s="72">
        <f>IF(G22=1,IF(TableCosts[[#This Row],[N_Kateg]]="interné práce",TableCosts[[#This Row],[N_Amount]]*8*PAR_SGA_PERHOUR,0),0)</f>
        <v>0</v>
      </c>
      <c r="BH22" s="72">
        <f>SUM(TableCosts[[#This Row],[N_Direct]:[N_SGA]])</f>
        <v>0</v>
      </c>
      <c r="BI22" s="24">
        <f>IF(G22=1,IF(OR(AND(NOT(ISERROR(VLOOKUP(TableCosts[[#This Row],[Calc_N_Typ]],Cis_WorkPositions,1,0))),C22&lt;&gt;"",D22&lt;&gt;"",E22&lt;&gt;""),AND(ISERROR(VLOOKUP(TableCosts[[#This Row],[Calc_N_Typ]],Cis_WorkPositions,1,0)),C22="",D22="",E22&lt;&gt;""),LEFT(TableCosts[[#This Row],[Calc_N_Typ]],18)="Vynaložené náklady"),VLOOKUP(C22&amp;TableCosts[[#This Row],[Calc_N_Typ]],TRAN_STRITEMS_LABEL,VLOOKUP(D22,Tab_Hours,3,0),0),NA()),0)</f>
        <v>0</v>
      </c>
      <c r="BJ22" s="24">
        <f t="shared" si="30"/>
        <v>0</v>
      </c>
      <c r="BK22" s="24" t="str">
        <f t="shared" si="31"/>
        <v/>
      </c>
      <c r="BL22" s="24" t="str">
        <f t="shared" si="32"/>
        <v/>
      </c>
      <c r="BM22" s="24" t="str">
        <f>IF(G22=1,IF(TableCosts[[#This Row],[TransferFrom]]=TableCosts[[#This Row],[TranferTo]],0,1),"")</f>
        <v/>
      </c>
      <c r="BN22" s="24" t="str">
        <f t="shared" si="33"/>
        <v/>
      </c>
      <c r="BO22" s="24">
        <f t="shared" si="34"/>
        <v>0</v>
      </c>
      <c r="BP22" s="24">
        <f t="shared" si="35"/>
        <v>0</v>
      </c>
    </row>
    <row r="23" spans="2:68" s="24" customFormat="1" ht="13.9" x14ac:dyDescent="0.3">
      <c r="B23" s="97"/>
      <c r="C23" s="92"/>
      <c r="D23" s="92"/>
      <c r="E23" s="92"/>
      <c r="F23" s="31" t="str">
        <f>IF(G23=1,IF(ISERROR(TableCosts[[#This Row],[N_Tariff]]),Err_Message1,IF(TableCosts[[#This Row],[N_Tariff]]=0,Err_Message2,VLOOKUP(C23&amp;TableCosts[[#This Row],[Calc_N_Typ]],TRAN_STRITEMS_LABEL,5,FALSE))),"")</f>
        <v/>
      </c>
      <c r="G23" s="31">
        <f t="shared" si="24"/>
        <v>0</v>
      </c>
      <c r="H23" s="31" t="str">
        <f>IF(G23=1,IFERROR(VLOOKUP(F23,Tab_ErrMessage[],2,0),VLOOKUP(C23&amp;TableCosts[[#This Row],[Calc_N_Typ]],TRAN_STRITEMS_LABEL,4,FALSE)),"")</f>
        <v/>
      </c>
      <c r="I23" s="94"/>
      <c r="J23" s="94"/>
      <c r="K23" s="9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  <c r="AI23" s="84"/>
      <c r="AJ23" s="84"/>
      <c r="AK23" s="84"/>
      <c r="AL23" s="84"/>
      <c r="AM23" s="84"/>
      <c r="AN23" s="84"/>
      <c r="AO23" s="84"/>
      <c r="AP23" s="84"/>
      <c r="AQ23" s="84"/>
      <c r="AR23" s="84"/>
      <c r="AS23" s="84"/>
      <c r="AT23" s="84"/>
      <c r="AU23" s="84"/>
      <c r="AV23" s="84"/>
      <c r="AW23" s="84"/>
      <c r="AX23" s="87">
        <f t="array" ref="AX23">IF(G23=1,SUM((ROW(M0)=ROW(AW23))*(M0+M1_+M2_+M3_+M4_+M5_+M6_+M7_+M8_+M9_+M10_+M11_+M12_+M13_+M14_+M15_+M16_+M17_+M18_+M19_+M20_+M21_+M22_+M23_+M24_+M25_+M26_+M27_+M28_+M29_+M30_+M31_+M32_+M33_+M34_+M35_+M36_+M37_)),0)</f>
        <v>0</v>
      </c>
      <c r="AZ23" s="24" t="str">
        <f t="shared" si="25"/>
        <v/>
      </c>
      <c r="BA23" s="24" t="str">
        <f t="shared" si="26"/>
        <v/>
      </c>
      <c r="BB23" s="24" t="str">
        <f t="shared" si="27"/>
        <v/>
      </c>
      <c r="BC23" s="24" t="str">
        <f>IF(OR(E23="",LEFT(TableCosts[[#This Row],[Calc_N_Typ]],18)="Vynaložené náklady"),"",VLOOKUP(E23,Tab_Parts,2,0))</f>
        <v/>
      </c>
      <c r="BD23" s="24" t="str">
        <f t="shared" si="28"/>
        <v/>
      </c>
      <c r="BE23" s="24">
        <f t="shared" si="29"/>
        <v>0</v>
      </c>
      <c r="BF23" s="72">
        <f>TableCosts[[#This Row],[N_Amount]]*TableCosts[[#This Row],[N_Tariff]]*TableCosts[[#This Row],[N_ItemsCount]]</f>
        <v>0</v>
      </c>
      <c r="BG23" s="72">
        <f>IF(G23=1,IF(TableCosts[[#This Row],[N_Kateg]]="interné práce",TableCosts[[#This Row],[N_Amount]]*8*PAR_SGA_PERHOUR,0),0)</f>
        <v>0</v>
      </c>
      <c r="BH23" s="72">
        <f>SUM(TableCosts[[#This Row],[N_Direct]:[N_SGA]])</f>
        <v>0</v>
      </c>
      <c r="BI23" s="24">
        <f>IF(G23=1,IF(OR(AND(NOT(ISERROR(VLOOKUP(TableCosts[[#This Row],[Calc_N_Typ]],Cis_WorkPositions,1,0))),C23&lt;&gt;"",D23&lt;&gt;"",E23&lt;&gt;""),AND(ISERROR(VLOOKUP(TableCosts[[#This Row],[Calc_N_Typ]],Cis_WorkPositions,1,0)),C23="",D23="",E23&lt;&gt;""),LEFT(TableCosts[[#This Row],[Calc_N_Typ]],18)="Vynaložené náklady"),VLOOKUP(C23&amp;TableCosts[[#This Row],[Calc_N_Typ]],TRAN_STRITEMS_LABEL,VLOOKUP(D23,Tab_Hours,3,0),0),NA()),0)</f>
        <v>0</v>
      </c>
      <c r="BJ23" s="24">
        <f t="shared" si="30"/>
        <v>0</v>
      </c>
      <c r="BK23" s="24" t="str">
        <f t="shared" si="31"/>
        <v/>
      </c>
      <c r="BL23" s="24" t="str">
        <f t="shared" si="32"/>
        <v/>
      </c>
      <c r="BM23" s="24" t="str">
        <f>IF(G23=1,IF(TableCosts[[#This Row],[TransferFrom]]=TableCosts[[#This Row],[TranferTo]],0,1),"")</f>
        <v/>
      </c>
      <c r="BN23" s="24" t="str">
        <f t="shared" si="33"/>
        <v/>
      </c>
      <c r="BO23" s="24">
        <f t="shared" si="34"/>
        <v>0</v>
      </c>
      <c r="BP23" s="24">
        <f t="shared" si="35"/>
        <v>0</v>
      </c>
    </row>
    <row r="24" spans="2:68" s="24" customFormat="1" ht="13.9" x14ac:dyDescent="0.3">
      <c r="B24" s="97"/>
      <c r="C24" s="92"/>
      <c r="D24" s="92"/>
      <c r="E24" s="92"/>
      <c r="F24" s="31" t="str">
        <f>IF(G24=1,IF(ISERROR(TableCosts[[#This Row],[N_Tariff]]),Err_Message1,IF(TableCosts[[#This Row],[N_Tariff]]=0,Err_Message2,VLOOKUP(C24&amp;TableCosts[[#This Row],[Calc_N_Typ]],TRAN_STRITEMS_LABEL,5,FALSE))),"")</f>
        <v/>
      </c>
      <c r="G24" s="31">
        <f t="shared" si="24"/>
        <v>0</v>
      </c>
      <c r="H24" s="31" t="str">
        <f>IF(G24=1,IFERROR(VLOOKUP(F24,Tab_ErrMessage[],2,0),VLOOKUP(C24&amp;TableCosts[[#This Row],[Calc_N_Typ]],TRAN_STRITEMS_LABEL,4,FALSE)),"")</f>
        <v/>
      </c>
      <c r="I24" s="94"/>
      <c r="J24" s="94"/>
      <c r="K24" s="9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  <c r="AI24" s="84"/>
      <c r="AJ24" s="84"/>
      <c r="AK24" s="84"/>
      <c r="AL24" s="84"/>
      <c r="AM24" s="84"/>
      <c r="AN24" s="84"/>
      <c r="AO24" s="84"/>
      <c r="AP24" s="84"/>
      <c r="AQ24" s="84"/>
      <c r="AR24" s="84"/>
      <c r="AS24" s="84"/>
      <c r="AT24" s="84"/>
      <c r="AU24" s="84"/>
      <c r="AV24" s="84"/>
      <c r="AW24" s="84"/>
      <c r="AX24" s="87">
        <f t="array" ref="AX24">IF(G24=1,SUM((ROW(M0)=ROW(AW24))*(M0+M1_+M2_+M3_+M4_+M5_+M6_+M7_+M8_+M9_+M10_+M11_+M12_+M13_+M14_+M15_+M16_+M17_+M18_+M19_+M20_+M21_+M22_+M23_+M24_+M25_+M26_+M27_+M28_+M29_+M30_+M31_+M32_+M33_+M34_+M35_+M36_+M37_)),0)</f>
        <v>0</v>
      </c>
      <c r="AZ24" s="24" t="str">
        <f t="shared" si="25"/>
        <v/>
      </c>
      <c r="BA24" s="24" t="str">
        <f t="shared" si="26"/>
        <v/>
      </c>
      <c r="BB24" s="24" t="str">
        <f t="shared" si="27"/>
        <v/>
      </c>
      <c r="BC24" s="24" t="str">
        <f>IF(OR(E24="",LEFT(TableCosts[[#This Row],[Calc_N_Typ]],18)="Vynaložené náklady"),"",VLOOKUP(E24,Tab_Parts,2,0))</f>
        <v/>
      </c>
      <c r="BD24" s="24" t="str">
        <f t="shared" si="28"/>
        <v/>
      </c>
      <c r="BE24" s="24">
        <f t="shared" si="29"/>
        <v>0</v>
      </c>
      <c r="BF24" s="72">
        <f>TableCosts[[#This Row],[N_Amount]]*TableCosts[[#This Row],[N_Tariff]]*TableCosts[[#This Row],[N_ItemsCount]]</f>
        <v>0</v>
      </c>
      <c r="BG24" s="72">
        <f>IF(G24=1,IF(TableCosts[[#This Row],[N_Kateg]]="interné práce",TableCosts[[#This Row],[N_Amount]]*8*PAR_SGA_PERHOUR,0),0)</f>
        <v>0</v>
      </c>
      <c r="BH24" s="72">
        <f>SUM(TableCosts[[#This Row],[N_Direct]:[N_SGA]])</f>
        <v>0</v>
      </c>
      <c r="BI24" s="24">
        <f>IF(G24=1,IF(OR(AND(NOT(ISERROR(VLOOKUP(TableCosts[[#This Row],[Calc_N_Typ]],Cis_WorkPositions,1,0))),C24&lt;&gt;"",D24&lt;&gt;"",E24&lt;&gt;""),AND(ISERROR(VLOOKUP(TableCosts[[#This Row],[Calc_N_Typ]],Cis_WorkPositions,1,0)),C24="",D24="",E24&lt;&gt;""),LEFT(TableCosts[[#This Row],[Calc_N_Typ]],18)="Vynaložené náklady"),VLOOKUP(C24&amp;TableCosts[[#This Row],[Calc_N_Typ]],TRAN_STRITEMS_LABEL,VLOOKUP(D24,Tab_Hours,3,0),0),NA()),0)</f>
        <v>0</v>
      </c>
      <c r="BJ24" s="24">
        <f t="shared" si="30"/>
        <v>0</v>
      </c>
      <c r="BK24" s="24" t="str">
        <f t="shared" si="31"/>
        <v/>
      </c>
      <c r="BL24" s="24" t="str">
        <f t="shared" si="32"/>
        <v/>
      </c>
      <c r="BM24" s="24" t="str">
        <f>IF(G24=1,IF(TableCosts[[#This Row],[TransferFrom]]=TableCosts[[#This Row],[TranferTo]],0,1),"")</f>
        <v/>
      </c>
      <c r="BN24" s="24" t="str">
        <f t="shared" si="33"/>
        <v/>
      </c>
      <c r="BO24" s="24">
        <f t="shared" si="34"/>
        <v>0</v>
      </c>
      <c r="BP24" s="24">
        <f t="shared" si="35"/>
        <v>0</v>
      </c>
    </row>
    <row r="25" spans="2:68" s="24" customFormat="1" ht="13.9" x14ac:dyDescent="0.3">
      <c r="B25" s="97"/>
      <c r="C25" s="92"/>
      <c r="D25" s="92"/>
      <c r="E25" s="92"/>
      <c r="F25" s="31" t="str">
        <f>IF(G25=1,IF(ISERROR(TableCosts[[#This Row],[N_Tariff]]),Err_Message1,IF(TableCosts[[#This Row],[N_Tariff]]=0,Err_Message2,VLOOKUP(C25&amp;TableCosts[[#This Row],[Calc_N_Typ]],TRAN_STRITEMS_LABEL,5,FALSE))),"")</f>
        <v/>
      </c>
      <c r="G25" s="31">
        <f t="shared" si="24"/>
        <v>0</v>
      </c>
      <c r="H25" s="31" t="str">
        <f>IF(G25=1,IFERROR(VLOOKUP(F25,Tab_ErrMessage[],2,0),VLOOKUP(C25&amp;TableCosts[[#This Row],[Calc_N_Typ]],TRAN_STRITEMS_LABEL,4,FALSE)),"")</f>
        <v/>
      </c>
      <c r="I25" s="94"/>
      <c r="J25" s="94"/>
      <c r="K25" s="9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84"/>
      <c r="AN25" s="84"/>
      <c r="AO25" s="84"/>
      <c r="AP25" s="84"/>
      <c r="AQ25" s="84"/>
      <c r="AR25" s="84"/>
      <c r="AS25" s="84"/>
      <c r="AT25" s="84"/>
      <c r="AU25" s="84"/>
      <c r="AV25" s="84"/>
      <c r="AW25" s="84"/>
      <c r="AX25" s="87">
        <f t="array" ref="AX25">IF(G25=1,SUM((ROW(M0)=ROW(AW25))*(M0+M1_+M2_+M3_+M4_+M5_+M6_+M7_+M8_+M9_+M10_+M11_+M12_+M13_+M14_+M15_+M16_+M17_+M18_+M19_+M20_+M21_+M22_+M23_+M24_+M25_+M26_+M27_+M28_+M29_+M30_+M31_+M32_+M33_+M34_+M35_+M36_+M37_)),0)</f>
        <v>0</v>
      </c>
      <c r="AZ25" s="24" t="str">
        <f t="shared" si="25"/>
        <v/>
      </c>
      <c r="BA25" s="24" t="str">
        <f t="shared" si="26"/>
        <v/>
      </c>
      <c r="BB25" s="24" t="str">
        <f t="shared" si="27"/>
        <v/>
      </c>
      <c r="BC25" s="24" t="str">
        <f>IF(OR(E25="",LEFT(TableCosts[[#This Row],[Calc_N_Typ]],18)="Vynaložené náklady"),"",VLOOKUP(E25,Tab_Parts,2,0))</f>
        <v/>
      </c>
      <c r="BD25" s="24" t="str">
        <f t="shared" si="28"/>
        <v/>
      </c>
      <c r="BE25" s="24">
        <f t="shared" si="29"/>
        <v>0</v>
      </c>
      <c r="BF25" s="72">
        <f>TableCosts[[#This Row],[N_Amount]]*TableCosts[[#This Row],[N_Tariff]]*TableCosts[[#This Row],[N_ItemsCount]]</f>
        <v>0</v>
      </c>
      <c r="BG25" s="72">
        <f>IF(G25=1,IF(TableCosts[[#This Row],[N_Kateg]]="interné práce",TableCosts[[#This Row],[N_Amount]]*8*PAR_SGA_PERHOUR,0),0)</f>
        <v>0</v>
      </c>
      <c r="BH25" s="72">
        <f>SUM(TableCosts[[#This Row],[N_Direct]:[N_SGA]])</f>
        <v>0</v>
      </c>
      <c r="BI25" s="24">
        <f>IF(G25=1,IF(OR(AND(NOT(ISERROR(VLOOKUP(TableCosts[[#This Row],[Calc_N_Typ]],Cis_WorkPositions,1,0))),C25&lt;&gt;"",D25&lt;&gt;"",E25&lt;&gt;""),AND(ISERROR(VLOOKUP(TableCosts[[#This Row],[Calc_N_Typ]],Cis_WorkPositions,1,0)),C25="",D25="",E25&lt;&gt;""),LEFT(TableCosts[[#This Row],[Calc_N_Typ]],18)="Vynaložené náklady"),VLOOKUP(C25&amp;TableCosts[[#This Row],[Calc_N_Typ]],TRAN_STRITEMS_LABEL,VLOOKUP(D25,Tab_Hours,3,0),0),NA()),0)</f>
        <v>0</v>
      </c>
      <c r="BJ25" s="24">
        <f t="shared" si="30"/>
        <v>0</v>
      </c>
      <c r="BK25" s="24" t="str">
        <f t="shared" si="31"/>
        <v/>
      </c>
      <c r="BL25" s="24" t="str">
        <f t="shared" si="32"/>
        <v/>
      </c>
      <c r="BM25" s="24" t="str">
        <f>IF(G25=1,IF(TableCosts[[#This Row],[TransferFrom]]=TableCosts[[#This Row],[TranferTo]],0,1),"")</f>
        <v/>
      </c>
      <c r="BN25" s="24" t="str">
        <f t="shared" si="33"/>
        <v/>
      </c>
      <c r="BO25" s="24">
        <f t="shared" si="34"/>
        <v>0</v>
      </c>
      <c r="BP25" s="24">
        <f t="shared" si="35"/>
        <v>0</v>
      </c>
    </row>
    <row r="26" spans="2:68" s="24" customFormat="1" ht="13.9" x14ac:dyDescent="0.3">
      <c r="B26" s="97"/>
      <c r="C26" s="92"/>
      <c r="D26" s="92"/>
      <c r="E26" s="92"/>
      <c r="F26" s="31" t="str">
        <f>IF(G26=1,IF(ISERROR(TableCosts[[#This Row],[N_Tariff]]),Err_Message1,IF(TableCosts[[#This Row],[N_Tariff]]=0,Err_Message2,VLOOKUP(C26&amp;TableCosts[[#This Row],[Calc_N_Typ]],TRAN_STRITEMS_LABEL,5,FALSE))),"")</f>
        <v/>
      </c>
      <c r="G26" s="31">
        <f t="shared" si="24"/>
        <v>0</v>
      </c>
      <c r="H26" s="31" t="str">
        <f>IF(G26=1,IFERROR(VLOOKUP(F26,Tab_ErrMessage[],2,0),VLOOKUP(C26&amp;TableCosts[[#This Row],[Calc_N_Typ]],TRAN_STRITEMS_LABEL,4,FALSE)),"")</f>
        <v/>
      </c>
      <c r="I26" s="94"/>
      <c r="J26" s="94"/>
      <c r="K26" s="9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84"/>
      <c r="AI26" s="84"/>
      <c r="AJ26" s="84"/>
      <c r="AK26" s="84"/>
      <c r="AL26" s="84"/>
      <c r="AM26" s="84"/>
      <c r="AN26" s="84"/>
      <c r="AO26" s="84"/>
      <c r="AP26" s="84"/>
      <c r="AQ26" s="84"/>
      <c r="AR26" s="84"/>
      <c r="AS26" s="84"/>
      <c r="AT26" s="84"/>
      <c r="AU26" s="84"/>
      <c r="AV26" s="84"/>
      <c r="AW26" s="84"/>
      <c r="AX26" s="87">
        <f t="array" ref="AX26">IF(G26=1,SUM((ROW(M0)=ROW(AW26))*(M0+M1_+M2_+M3_+M4_+M5_+M6_+M7_+M8_+M9_+M10_+M11_+M12_+M13_+M14_+M15_+M16_+M17_+M18_+M19_+M20_+M21_+M22_+M23_+M24_+M25_+M26_+M27_+M28_+M29_+M30_+M31_+M32_+M33_+M34_+M35_+M36_+M37_)),0)</f>
        <v>0</v>
      </c>
      <c r="AZ26" s="24" t="str">
        <f t="shared" si="25"/>
        <v/>
      </c>
      <c r="BA26" s="24" t="str">
        <f t="shared" si="26"/>
        <v/>
      </c>
      <c r="BB26" s="24" t="str">
        <f t="shared" si="27"/>
        <v/>
      </c>
      <c r="BC26" s="24" t="str">
        <f>IF(OR(E26="",LEFT(TableCosts[[#This Row],[Calc_N_Typ]],18)="Vynaložené náklady"),"",VLOOKUP(E26,Tab_Parts,2,0))</f>
        <v/>
      </c>
      <c r="BD26" s="24" t="str">
        <f t="shared" si="28"/>
        <v/>
      </c>
      <c r="BE26" s="24">
        <f t="shared" si="29"/>
        <v>0</v>
      </c>
      <c r="BF26" s="72">
        <f>TableCosts[[#This Row],[N_Amount]]*TableCosts[[#This Row],[N_Tariff]]*TableCosts[[#This Row],[N_ItemsCount]]</f>
        <v>0</v>
      </c>
      <c r="BG26" s="72">
        <f>IF(G26=1,IF(TableCosts[[#This Row],[N_Kateg]]="interné práce",TableCosts[[#This Row],[N_Amount]]*8*PAR_SGA_PERHOUR,0),0)</f>
        <v>0</v>
      </c>
      <c r="BH26" s="72">
        <f>SUM(TableCosts[[#This Row],[N_Direct]:[N_SGA]])</f>
        <v>0</v>
      </c>
      <c r="BI26" s="24">
        <f>IF(G26=1,IF(OR(AND(NOT(ISERROR(VLOOKUP(TableCosts[[#This Row],[Calc_N_Typ]],Cis_WorkPositions,1,0))),C26&lt;&gt;"",D26&lt;&gt;"",E26&lt;&gt;""),AND(ISERROR(VLOOKUP(TableCosts[[#This Row],[Calc_N_Typ]],Cis_WorkPositions,1,0)),C26="",D26="",E26&lt;&gt;""),LEFT(TableCosts[[#This Row],[Calc_N_Typ]],18)="Vynaložené náklady"),VLOOKUP(C26&amp;TableCosts[[#This Row],[Calc_N_Typ]],TRAN_STRITEMS_LABEL,VLOOKUP(D26,Tab_Hours,3,0),0),NA()),0)</f>
        <v>0</v>
      </c>
      <c r="BJ26" s="24">
        <f t="shared" si="30"/>
        <v>0</v>
      </c>
      <c r="BK26" s="24" t="str">
        <f t="shared" si="31"/>
        <v/>
      </c>
      <c r="BL26" s="24" t="str">
        <f t="shared" si="32"/>
        <v/>
      </c>
      <c r="BM26" s="24" t="str">
        <f>IF(G26=1,IF(TableCosts[[#This Row],[TransferFrom]]=TableCosts[[#This Row],[TranferTo]],0,1),"")</f>
        <v/>
      </c>
      <c r="BN26" s="24" t="str">
        <f t="shared" si="33"/>
        <v/>
      </c>
      <c r="BO26" s="24">
        <f t="shared" si="34"/>
        <v>0</v>
      </c>
      <c r="BP26" s="24">
        <f t="shared" si="35"/>
        <v>0</v>
      </c>
    </row>
    <row r="27" spans="2:68" s="24" customFormat="1" ht="13.9" x14ac:dyDescent="0.3">
      <c r="B27" s="97"/>
      <c r="C27" s="92"/>
      <c r="D27" s="92"/>
      <c r="E27" s="92"/>
      <c r="F27" s="31" t="str">
        <f>IF(G27=1,IF(ISERROR(TableCosts[[#This Row],[N_Tariff]]),Err_Message1,IF(TableCosts[[#This Row],[N_Tariff]]=0,Err_Message2,VLOOKUP(C27&amp;TableCosts[[#This Row],[Calc_N_Typ]],TRAN_STRITEMS_LABEL,5,FALSE))),"")</f>
        <v/>
      </c>
      <c r="G27" s="31">
        <f t="shared" si="24"/>
        <v>0</v>
      </c>
      <c r="H27" s="31" t="str">
        <f>IF(G27=1,IFERROR(VLOOKUP(F27,Tab_ErrMessage[],2,0),VLOOKUP(C27&amp;TableCosts[[#This Row],[Calc_N_Typ]],TRAN_STRITEMS_LABEL,4,FALSE)),"")</f>
        <v/>
      </c>
      <c r="I27" s="94"/>
      <c r="J27" s="94"/>
      <c r="K27" s="9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4"/>
      <c r="AJ27" s="84"/>
      <c r="AK27" s="84"/>
      <c r="AL27" s="84"/>
      <c r="AM27" s="84"/>
      <c r="AN27" s="84"/>
      <c r="AO27" s="84"/>
      <c r="AP27" s="84"/>
      <c r="AQ27" s="84"/>
      <c r="AR27" s="84"/>
      <c r="AS27" s="84"/>
      <c r="AT27" s="84"/>
      <c r="AU27" s="84"/>
      <c r="AV27" s="84"/>
      <c r="AW27" s="84"/>
      <c r="AX27" s="87">
        <f t="array" ref="AX27">IF(G27=1,SUM((ROW(M0)=ROW(AW27))*(M0+M1_+M2_+M3_+M4_+M5_+M6_+M7_+M8_+M9_+M10_+M11_+M12_+M13_+M14_+M15_+M16_+M17_+M18_+M19_+M20_+M21_+M22_+M23_+M24_+M25_+M26_+M27_+M28_+M29_+M30_+M31_+M32_+M33_+M34_+M35_+M36_+M37_)),0)</f>
        <v>0</v>
      </c>
      <c r="AZ27" s="24" t="str">
        <f t="shared" si="25"/>
        <v/>
      </c>
      <c r="BA27" s="24" t="str">
        <f t="shared" si="26"/>
        <v/>
      </c>
      <c r="BB27" s="24" t="str">
        <f t="shared" si="27"/>
        <v/>
      </c>
      <c r="BC27" s="24" t="str">
        <f>IF(OR(E27="",LEFT(TableCosts[[#This Row],[Calc_N_Typ]],18)="Vynaložené náklady"),"",VLOOKUP(E27,Tab_Parts,2,0))</f>
        <v/>
      </c>
      <c r="BD27" s="24" t="str">
        <f t="shared" si="28"/>
        <v/>
      </c>
      <c r="BE27" s="24">
        <f t="shared" si="29"/>
        <v>0</v>
      </c>
      <c r="BF27" s="72">
        <f>TableCosts[[#This Row],[N_Amount]]*TableCosts[[#This Row],[N_Tariff]]*TableCosts[[#This Row],[N_ItemsCount]]</f>
        <v>0</v>
      </c>
      <c r="BG27" s="72">
        <f>IF(G27=1,IF(TableCosts[[#This Row],[N_Kateg]]="interné práce",TableCosts[[#This Row],[N_Amount]]*8*PAR_SGA_PERHOUR,0),0)</f>
        <v>0</v>
      </c>
      <c r="BH27" s="72">
        <f>SUM(TableCosts[[#This Row],[N_Direct]:[N_SGA]])</f>
        <v>0</v>
      </c>
      <c r="BI27" s="24">
        <f>IF(G27=1,IF(OR(AND(NOT(ISERROR(VLOOKUP(TableCosts[[#This Row],[Calc_N_Typ]],Cis_WorkPositions,1,0))),C27&lt;&gt;"",D27&lt;&gt;"",E27&lt;&gt;""),AND(ISERROR(VLOOKUP(TableCosts[[#This Row],[Calc_N_Typ]],Cis_WorkPositions,1,0)),C27="",D27="",E27&lt;&gt;""),LEFT(TableCosts[[#This Row],[Calc_N_Typ]],18)="Vynaložené náklady"),VLOOKUP(C27&amp;TableCosts[[#This Row],[Calc_N_Typ]],TRAN_STRITEMS_LABEL,VLOOKUP(D27,Tab_Hours,3,0),0),NA()),0)</f>
        <v>0</v>
      </c>
      <c r="BJ27" s="24">
        <f t="shared" si="30"/>
        <v>0</v>
      </c>
      <c r="BK27" s="24" t="str">
        <f t="shared" si="31"/>
        <v/>
      </c>
      <c r="BL27" s="24" t="str">
        <f t="shared" si="32"/>
        <v/>
      </c>
      <c r="BM27" s="24" t="str">
        <f>IF(G27=1,IF(TableCosts[[#This Row],[TransferFrom]]=TableCosts[[#This Row],[TranferTo]],0,1),"")</f>
        <v/>
      </c>
      <c r="BN27" s="24" t="str">
        <f t="shared" si="33"/>
        <v/>
      </c>
      <c r="BO27" s="24">
        <f t="shared" si="34"/>
        <v>0</v>
      </c>
      <c r="BP27" s="24">
        <f t="shared" si="35"/>
        <v>0</v>
      </c>
    </row>
    <row r="28" spans="2:68" s="24" customFormat="1" ht="13.9" x14ac:dyDescent="0.3">
      <c r="B28" s="97"/>
      <c r="C28" s="92"/>
      <c r="D28" s="92"/>
      <c r="E28" s="92"/>
      <c r="F28" s="31" t="str">
        <f>IF(G28=1,IF(ISERROR(TableCosts[[#This Row],[N_Tariff]]),Err_Message1,IF(TableCosts[[#This Row],[N_Tariff]]=0,Err_Message2,VLOOKUP(C28&amp;TableCosts[[#This Row],[Calc_N_Typ]],TRAN_STRITEMS_LABEL,5,FALSE))),"")</f>
        <v/>
      </c>
      <c r="G28" s="31">
        <f t="shared" si="24"/>
        <v>0</v>
      </c>
      <c r="H28" s="31" t="str">
        <f>IF(G28=1,IFERROR(VLOOKUP(F28,Tab_ErrMessage[],2,0),VLOOKUP(C28&amp;TableCosts[[#This Row],[Calc_N_Typ]],TRAN_STRITEMS_LABEL,4,FALSE)),"")</f>
        <v/>
      </c>
      <c r="I28" s="94"/>
      <c r="J28" s="94"/>
      <c r="K28" s="9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  <c r="AI28" s="84"/>
      <c r="AJ28" s="84"/>
      <c r="AK28" s="84"/>
      <c r="AL28" s="84"/>
      <c r="AM28" s="84"/>
      <c r="AN28" s="84"/>
      <c r="AO28" s="84"/>
      <c r="AP28" s="84"/>
      <c r="AQ28" s="84"/>
      <c r="AR28" s="84"/>
      <c r="AS28" s="84"/>
      <c r="AT28" s="84"/>
      <c r="AU28" s="84"/>
      <c r="AV28" s="84"/>
      <c r="AW28" s="84"/>
      <c r="AX28" s="87">
        <f t="array" ref="AX28">IF(G28=1,SUM((ROW(M0)=ROW(AW28))*(M0+M1_+M2_+M3_+M4_+M5_+M6_+M7_+M8_+M9_+M10_+M11_+M12_+M13_+M14_+M15_+M16_+M17_+M18_+M19_+M20_+M21_+M22_+M23_+M24_+M25_+M26_+M27_+M28_+M29_+M30_+M31_+M32_+M33_+M34_+M35_+M36_+M37_)),0)</f>
        <v>0</v>
      </c>
      <c r="AZ28" s="24" t="str">
        <f t="shared" si="25"/>
        <v/>
      </c>
      <c r="BA28" s="24" t="str">
        <f t="shared" si="26"/>
        <v/>
      </c>
      <c r="BB28" s="24" t="str">
        <f t="shared" si="27"/>
        <v/>
      </c>
      <c r="BC28" s="24" t="str">
        <f>IF(OR(E28="",LEFT(TableCosts[[#This Row],[Calc_N_Typ]],18)="Vynaložené náklady"),"",VLOOKUP(E28,Tab_Parts,2,0))</f>
        <v/>
      </c>
      <c r="BD28" s="24" t="str">
        <f t="shared" si="28"/>
        <v/>
      </c>
      <c r="BE28" s="24">
        <f t="shared" si="29"/>
        <v>0</v>
      </c>
      <c r="BF28" s="72">
        <f>TableCosts[[#This Row],[N_Amount]]*TableCosts[[#This Row],[N_Tariff]]*TableCosts[[#This Row],[N_ItemsCount]]</f>
        <v>0</v>
      </c>
      <c r="BG28" s="72">
        <f>IF(G28=1,IF(TableCosts[[#This Row],[N_Kateg]]="interné práce",TableCosts[[#This Row],[N_Amount]]*8*PAR_SGA_PERHOUR,0),0)</f>
        <v>0</v>
      </c>
      <c r="BH28" s="72">
        <f>SUM(TableCosts[[#This Row],[N_Direct]:[N_SGA]])</f>
        <v>0</v>
      </c>
      <c r="BI28" s="24">
        <f>IF(G28=1,IF(OR(AND(NOT(ISERROR(VLOOKUP(TableCosts[[#This Row],[Calc_N_Typ]],Cis_WorkPositions,1,0))),C28&lt;&gt;"",D28&lt;&gt;"",E28&lt;&gt;""),AND(ISERROR(VLOOKUP(TableCosts[[#This Row],[Calc_N_Typ]],Cis_WorkPositions,1,0)),C28="",D28="",E28&lt;&gt;""),LEFT(TableCosts[[#This Row],[Calc_N_Typ]],18)="Vynaložené náklady"),VLOOKUP(C28&amp;TableCosts[[#This Row],[Calc_N_Typ]],TRAN_STRITEMS_LABEL,VLOOKUP(D28,Tab_Hours,3,0),0),NA()),0)</f>
        <v>0</v>
      </c>
      <c r="BJ28" s="24">
        <f t="shared" si="30"/>
        <v>0</v>
      </c>
      <c r="BK28" s="24" t="str">
        <f t="shared" si="31"/>
        <v/>
      </c>
      <c r="BL28" s="24" t="str">
        <f t="shared" si="32"/>
        <v/>
      </c>
      <c r="BM28" s="24" t="str">
        <f>IF(G28=1,IF(TableCosts[[#This Row],[TransferFrom]]=TableCosts[[#This Row],[TranferTo]],0,1),"")</f>
        <v/>
      </c>
      <c r="BN28" s="24" t="str">
        <f t="shared" si="33"/>
        <v/>
      </c>
      <c r="BO28" s="24">
        <f t="shared" si="34"/>
        <v>0</v>
      </c>
      <c r="BP28" s="24">
        <f t="shared" si="35"/>
        <v>0</v>
      </c>
    </row>
    <row r="29" spans="2:68" s="24" customFormat="1" ht="13.9" x14ac:dyDescent="0.3">
      <c r="B29" s="97"/>
      <c r="C29" s="92"/>
      <c r="D29" s="92"/>
      <c r="E29" s="92"/>
      <c r="F29" s="31" t="str">
        <f>IF(G29=1,IF(ISERROR(TableCosts[[#This Row],[N_Tariff]]),Err_Message1,IF(TableCosts[[#This Row],[N_Tariff]]=0,Err_Message2,VLOOKUP(C29&amp;TableCosts[[#This Row],[Calc_N_Typ]],TRAN_STRITEMS_LABEL,5,FALSE))),"")</f>
        <v/>
      </c>
      <c r="G29" s="31">
        <f t="shared" si="24"/>
        <v>0</v>
      </c>
      <c r="H29" s="31" t="str">
        <f>IF(G29=1,IFERROR(VLOOKUP(F29,Tab_ErrMessage[],2,0),VLOOKUP(C29&amp;TableCosts[[#This Row],[Calc_N_Typ]],TRAN_STRITEMS_LABEL,4,FALSE)),"")</f>
        <v/>
      </c>
      <c r="I29" s="94"/>
      <c r="J29" s="94"/>
      <c r="K29" s="9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H29" s="84"/>
      <c r="AI29" s="84"/>
      <c r="AJ29" s="84"/>
      <c r="AK29" s="84"/>
      <c r="AL29" s="84"/>
      <c r="AM29" s="84"/>
      <c r="AN29" s="84"/>
      <c r="AO29" s="84"/>
      <c r="AP29" s="84"/>
      <c r="AQ29" s="84"/>
      <c r="AR29" s="84"/>
      <c r="AS29" s="84"/>
      <c r="AT29" s="84"/>
      <c r="AU29" s="84"/>
      <c r="AV29" s="84"/>
      <c r="AW29" s="84"/>
      <c r="AX29" s="87">
        <f t="array" ref="AX29">IF(G29=1,SUM((ROW(M0)=ROW(AW29))*(M0+M1_+M2_+M3_+M4_+M5_+M6_+M7_+M8_+M9_+M10_+M11_+M12_+M13_+M14_+M15_+M16_+M17_+M18_+M19_+M20_+M21_+M22_+M23_+M24_+M25_+M26_+M27_+M28_+M29_+M30_+M31_+M32_+M33_+M34_+M35_+M36_+M37_)),0)</f>
        <v>0</v>
      </c>
      <c r="AZ29" s="24" t="str">
        <f t="shared" si="25"/>
        <v/>
      </c>
      <c r="BA29" s="24" t="str">
        <f t="shared" si="26"/>
        <v/>
      </c>
      <c r="BB29" s="24" t="str">
        <f t="shared" si="27"/>
        <v/>
      </c>
      <c r="BC29" s="24" t="str">
        <f>IF(OR(E29="",LEFT(TableCosts[[#This Row],[Calc_N_Typ]],18)="Vynaložené náklady"),"",VLOOKUP(E29,Tab_Parts,2,0))</f>
        <v/>
      </c>
      <c r="BD29" s="24" t="str">
        <f t="shared" si="28"/>
        <v/>
      </c>
      <c r="BE29" s="24">
        <f t="shared" si="29"/>
        <v>0</v>
      </c>
      <c r="BF29" s="72">
        <f>TableCosts[[#This Row],[N_Amount]]*TableCosts[[#This Row],[N_Tariff]]*TableCosts[[#This Row],[N_ItemsCount]]</f>
        <v>0</v>
      </c>
      <c r="BG29" s="72">
        <f>IF(G29=1,IF(TableCosts[[#This Row],[N_Kateg]]="interné práce",TableCosts[[#This Row],[N_Amount]]*8*PAR_SGA_PERHOUR,0),0)</f>
        <v>0</v>
      </c>
      <c r="BH29" s="72">
        <f>SUM(TableCosts[[#This Row],[N_Direct]:[N_SGA]])</f>
        <v>0</v>
      </c>
      <c r="BI29" s="24">
        <f>IF(G29=1,IF(OR(AND(NOT(ISERROR(VLOOKUP(TableCosts[[#This Row],[Calc_N_Typ]],Cis_WorkPositions,1,0))),C29&lt;&gt;"",D29&lt;&gt;"",E29&lt;&gt;""),AND(ISERROR(VLOOKUP(TableCosts[[#This Row],[Calc_N_Typ]],Cis_WorkPositions,1,0)),C29="",D29="",E29&lt;&gt;""),LEFT(TableCosts[[#This Row],[Calc_N_Typ]],18)="Vynaložené náklady"),VLOOKUP(C29&amp;TableCosts[[#This Row],[Calc_N_Typ]],TRAN_STRITEMS_LABEL,VLOOKUP(D29,Tab_Hours,3,0),0),NA()),0)</f>
        <v>0</v>
      </c>
      <c r="BJ29" s="24">
        <f t="shared" si="30"/>
        <v>0</v>
      </c>
      <c r="BK29" s="24" t="str">
        <f t="shared" si="31"/>
        <v/>
      </c>
      <c r="BL29" s="24" t="str">
        <f t="shared" si="32"/>
        <v/>
      </c>
      <c r="BM29" s="24" t="str">
        <f>IF(G29=1,IF(TableCosts[[#This Row],[TransferFrom]]=TableCosts[[#This Row],[TranferTo]],0,1),"")</f>
        <v/>
      </c>
      <c r="BN29" s="24" t="str">
        <f t="shared" si="33"/>
        <v/>
      </c>
      <c r="BO29" s="24">
        <f t="shared" si="34"/>
        <v>0</v>
      </c>
      <c r="BP29" s="24">
        <f t="shared" si="35"/>
        <v>0</v>
      </c>
    </row>
    <row r="30" spans="2:68" s="24" customFormat="1" ht="12.75" x14ac:dyDescent="0.2">
      <c r="B30" s="97" t="s">
        <v>90</v>
      </c>
      <c r="C30" s="92"/>
      <c r="D30" s="92"/>
      <c r="E30" s="92"/>
      <c r="F30" s="31" t="str">
        <f>IF(G30=1,IF(ISERROR(TableCosts[[#This Row],[N_Tariff]]),Err_Message1,IF(TableCosts[[#This Row],[N_Tariff]]=0,Err_Message2,VLOOKUP(C30&amp;TableCosts[[#This Row],[Calc_N_Typ]],TRAN_STRITEMS_LABEL,5,FALSE))),"")</f>
        <v/>
      </c>
      <c r="G30" s="31">
        <f t="shared" si="24"/>
        <v>-1</v>
      </c>
      <c r="H30" s="31" t="str">
        <f>IF(G30=1,IFERROR(VLOOKUP(F30,Tab_ErrMessage[],2,0),VLOOKUP(C30&amp;TableCosts[[#This Row],[Calc_N_Typ]],TRAN_STRITEMS_LABEL,4,FALSE)),"")</f>
        <v/>
      </c>
      <c r="I30" s="94"/>
      <c r="J30" s="94"/>
      <c r="K30" s="94" t="s">
        <v>128</v>
      </c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84"/>
      <c r="AN30" s="84"/>
      <c r="AO30" s="84"/>
      <c r="AP30" s="84"/>
      <c r="AQ30" s="84"/>
      <c r="AR30" s="84"/>
      <c r="AS30" s="84"/>
      <c r="AT30" s="84"/>
      <c r="AU30" s="84"/>
      <c r="AV30" s="84"/>
      <c r="AW30" s="84"/>
      <c r="AX30" s="87">
        <f t="array" ref="AX30">IF(G30=1,SUM((ROW(M0)=ROW(AW30))*(M0+M1_+M2_+M3_+M4_+M5_+M6_+M7_+M8_+M9_+M10_+M11_+M12_+M13_+M14_+M15_+M16_+M17_+M18_+M19_+M20_+M21_+M22_+M23_+M24_+M25_+M26_+M27_+M28_+M29_+M30_+M31_+M32_+M33_+M34_+M35_+M36_+M37_)),0)</f>
        <v>0</v>
      </c>
      <c r="AZ30" s="24" t="str">
        <f t="shared" si="25"/>
        <v/>
      </c>
      <c r="BA30" s="24" t="str">
        <f t="shared" si="26"/>
        <v/>
      </c>
      <c r="BB30" s="24" t="str">
        <f t="shared" si="27"/>
        <v/>
      </c>
      <c r="BC30" s="24" t="str">
        <f>IF(OR(E30="",LEFT(TableCosts[[#This Row],[Calc_N_Typ]],18)="Vynaložené náklady"),"",VLOOKUP(E30,Tab_Parts,2,0))</f>
        <v/>
      </c>
      <c r="BD30" s="24" t="str">
        <f t="shared" si="28"/>
        <v/>
      </c>
      <c r="BE30" s="24">
        <f t="shared" si="29"/>
        <v>0</v>
      </c>
      <c r="BF30" s="72">
        <f>TableCosts[[#This Row],[N_Amount]]*TableCosts[[#This Row],[N_Tariff]]*TableCosts[[#This Row],[N_ItemsCount]]</f>
        <v>0</v>
      </c>
      <c r="BG30" s="72">
        <f>IF(G30=1,IF(TableCosts[[#This Row],[N_Kateg]]="interné práce",TableCosts[[#This Row],[N_Amount]]*8*PAR_SGA_PERHOUR,0),0)</f>
        <v>0</v>
      </c>
      <c r="BH30" s="72">
        <f>SUM(TableCosts[[#This Row],[N_Direct]:[N_SGA]])</f>
        <v>0</v>
      </c>
      <c r="BI30" s="24">
        <f>IF(G30=1,IF(OR(AND(NOT(ISERROR(VLOOKUP(TableCosts[[#This Row],[Calc_N_Typ]],Cis_WorkPositions,1,0))),C30&lt;&gt;"",D30&lt;&gt;"",E30&lt;&gt;""),AND(ISERROR(VLOOKUP(TableCosts[[#This Row],[Calc_N_Typ]],Cis_WorkPositions,1,0)),C30="",D30="",E30&lt;&gt;""),LEFT(TableCosts[[#This Row],[Calc_N_Typ]],18)="Vynaložené náklady"),VLOOKUP(C30&amp;TableCosts[[#This Row],[Calc_N_Typ]],TRAN_STRITEMS_LABEL,VLOOKUP(D30,Tab_Hours,3,0),0),NA()),0)</f>
        <v>0</v>
      </c>
      <c r="BJ30" s="24">
        <f t="shared" si="30"/>
        <v>0</v>
      </c>
      <c r="BK30" s="24" t="str">
        <f t="shared" si="31"/>
        <v/>
      </c>
      <c r="BL30" s="24" t="str">
        <f t="shared" si="32"/>
        <v/>
      </c>
      <c r="BM30" s="24" t="str">
        <f>IF(G30=1,IF(TableCosts[[#This Row],[TransferFrom]]=TableCosts[[#This Row],[TranferTo]],0,1),"")</f>
        <v/>
      </c>
      <c r="BN30" s="24" t="str">
        <f t="shared" si="33"/>
        <v/>
      </c>
      <c r="BO30" s="24" t="str">
        <f t="shared" si="34"/>
        <v>*** prázdna ***</v>
      </c>
      <c r="BP30" s="24">
        <f t="shared" si="35"/>
        <v>0</v>
      </c>
    </row>
    <row r="31" spans="2:68" s="24" customFormat="1" ht="13.9" x14ac:dyDescent="0.3">
      <c r="B31" s="97"/>
      <c r="C31" s="92"/>
      <c r="D31" s="92"/>
      <c r="E31" s="92" t="s">
        <v>133</v>
      </c>
      <c r="F31" s="31" t="str">
        <f>IF(G31=1,IF(ISERROR(TableCosts[[#This Row],[N_Tariff]]),Err_Message1,IF(TableCosts[[#This Row],[N_Tariff]]=0,Err_Message2,VLOOKUP(C31&amp;TableCosts[[#This Row],[Calc_N_Typ]],TRAN_STRITEMS_LABEL,5,FALSE))),"")</f>
        <v/>
      </c>
      <c r="G31" s="31">
        <f t="shared" si="24"/>
        <v>0</v>
      </c>
      <c r="H31" s="31" t="str">
        <f>IF(G31=1,IFERROR(VLOOKUP(F31,Tab_ErrMessage[],2,0),VLOOKUP(C31&amp;TableCosts[[#This Row],[Calc_N_Typ]],TRAN_STRITEMS_LABEL,4,FALSE)),"")</f>
        <v/>
      </c>
      <c r="I31" s="94"/>
      <c r="J31" s="94"/>
      <c r="K31" s="9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84"/>
      <c r="AN31" s="84"/>
      <c r="AO31" s="84"/>
      <c r="AP31" s="84"/>
      <c r="AQ31" s="84"/>
      <c r="AR31" s="84"/>
      <c r="AS31" s="84"/>
      <c r="AT31" s="84"/>
      <c r="AU31" s="84"/>
      <c r="AV31" s="84"/>
      <c r="AW31" s="84"/>
      <c r="AX31" s="87">
        <f t="array" ref="AX31">IF(G31=1,SUM((ROW(M0)=ROW(AW31))*(M0+M1_+M2_+M3_+M4_+M5_+M6_+M7_+M8_+M9_+M10_+M11_+M12_+M13_+M14_+M15_+M16_+M17_+M18_+M19_+M20_+M21_+M22_+M23_+M24_+M25_+M26_+M27_+M28_+M29_+M30_+M31_+M32_+M33_+M34_+M35_+M36_+M37_)),0)</f>
        <v>0</v>
      </c>
      <c r="AZ31" s="24" t="str">
        <f t="shared" si="25"/>
        <v/>
      </c>
      <c r="BA31" s="24" t="str">
        <f t="shared" si="26"/>
        <v/>
      </c>
      <c r="BB31" s="24" t="str">
        <f t="shared" si="27"/>
        <v/>
      </c>
      <c r="BC31" s="24" t="str">
        <f>IF(OR(E31="",LEFT(TableCosts[[#This Row],[Calc_N_Typ]],18)="Vynaložené náklady"),"",VLOOKUP(E31,Tab_Parts,2,0))</f>
        <v>Application Support</v>
      </c>
      <c r="BD31" s="24" t="str">
        <f t="shared" si="28"/>
        <v/>
      </c>
      <c r="BE31" s="24">
        <f t="shared" si="29"/>
        <v>0</v>
      </c>
      <c r="BF31" s="72">
        <f>TableCosts[[#This Row],[N_Amount]]*TableCosts[[#This Row],[N_Tariff]]*TableCosts[[#This Row],[N_ItemsCount]]</f>
        <v>0</v>
      </c>
      <c r="BG31" s="72">
        <f>IF(G31=1,IF(TableCosts[[#This Row],[N_Kateg]]="interné práce",TableCosts[[#This Row],[N_Amount]]*8*PAR_SGA_PERHOUR,0),0)</f>
        <v>0</v>
      </c>
      <c r="BH31" s="72">
        <f>SUM(TableCosts[[#This Row],[N_Direct]:[N_SGA]])</f>
        <v>0</v>
      </c>
      <c r="BI31" s="24">
        <f>IF(G31=1,IF(OR(AND(NOT(ISERROR(VLOOKUP(TableCosts[[#This Row],[Calc_N_Typ]],Cis_WorkPositions,1,0))),C31&lt;&gt;"",D31&lt;&gt;"",E31&lt;&gt;""),AND(ISERROR(VLOOKUP(TableCosts[[#This Row],[Calc_N_Typ]],Cis_WorkPositions,1,0)),C31="",D31="",E31&lt;&gt;""),LEFT(TableCosts[[#This Row],[Calc_N_Typ]],18)="Vynaložené náklady"),VLOOKUP(C31&amp;TableCosts[[#This Row],[Calc_N_Typ]],TRAN_STRITEMS_LABEL,VLOOKUP(D31,Tab_Hours,3,0),0),NA()),0)</f>
        <v>0</v>
      </c>
      <c r="BJ31" s="24">
        <f t="shared" si="30"/>
        <v>0</v>
      </c>
      <c r="BK31" s="24" t="str">
        <f t="shared" si="31"/>
        <v/>
      </c>
      <c r="BL31" s="24" t="str">
        <f t="shared" si="32"/>
        <v/>
      </c>
      <c r="BM31" s="24" t="str">
        <f>IF(G31=1,IF(TableCosts[[#This Row],[TransferFrom]]=TableCosts[[#This Row],[TranferTo]],0,1),"")</f>
        <v/>
      </c>
      <c r="BN31" s="24" t="str">
        <f t="shared" si="33"/>
        <v/>
      </c>
      <c r="BO31" s="24">
        <f t="shared" si="34"/>
        <v>0</v>
      </c>
      <c r="BP31" s="24">
        <f t="shared" si="35"/>
        <v>0</v>
      </c>
    </row>
    <row r="32" spans="2:68" s="24" customFormat="1" ht="13.9" x14ac:dyDescent="0.3">
      <c r="B32" s="97"/>
      <c r="C32" s="92"/>
      <c r="D32" s="92"/>
      <c r="E32" s="92"/>
      <c r="F32" s="31" t="str">
        <f>IF(G32=1,IF(ISERROR(TableCosts[[#This Row],[N_Tariff]]),Err_Message1,IF(TableCosts[[#This Row],[N_Tariff]]=0,Err_Message2,VLOOKUP(C32&amp;TableCosts[[#This Row],[Calc_N_Typ]],TRAN_STRITEMS_LABEL,5,FALSE))),"")</f>
        <v/>
      </c>
      <c r="G32" s="31">
        <f t="shared" si="24"/>
        <v>0</v>
      </c>
      <c r="H32" s="31" t="str">
        <f>IF(G32=1,IFERROR(VLOOKUP(F32,Tab_ErrMessage[],2,0),VLOOKUP(C32&amp;TableCosts[[#This Row],[Calc_N_Typ]],TRAN_STRITEMS_LABEL,4,FALSE)),"")</f>
        <v/>
      </c>
      <c r="I32" s="94"/>
      <c r="J32" s="94"/>
      <c r="K32" s="9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84"/>
      <c r="AN32" s="84"/>
      <c r="AO32" s="84"/>
      <c r="AP32" s="84"/>
      <c r="AQ32" s="84"/>
      <c r="AR32" s="84"/>
      <c r="AS32" s="84"/>
      <c r="AT32" s="84"/>
      <c r="AU32" s="84"/>
      <c r="AV32" s="84"/>
      <c r="AW32" s="84"/>
      <c r="AX32" s="87">
        <f t="array" ref="AX32">IF(G32=1,SUM((ROW(M0)=ROW(AW32))*(M0+M1_+M2_+M3_+M4_+M5_+M6_+M7_+M8_+M9_+M10_+M11_+M12_+M13_+M14_+M15_+M16_+M17_+M18_+M19_+M20_+M21_+M22_+M23_+M24_+M25_+M26_+M27_+M28_+M29_+M30_+M31_+M32_+M33_+M34_+M35_+M36_+M37_)),0)</f>
        <v>0</v>
      </c>
      <c r="AZ32" s="24" t="str">
        <f t="shared" si="25"/>
        <v/>
      </c>
      <c r="BA32" s="24" t="str">
        <f t="shared" si="26"/>
        <v/>
      </c>
      <c r="BB32" s="24" t="str">
        <f t="shared" si="27"/>
        <v/>
      </c>
      <c r="BC32" s="24" t="str">
        <f>IF(OR(E32="",LEFT(TableCosts[[#This Row],[Calc_N_Typ]],18)="Vynaložené náklady"),"",VLOOKUP(E32,Tab_Parts,2,0))</f>
        <v/>
      </c>
      <c r="BD32" s="24" t="str">
        <f t="shared" si="28"/>
        <v/>
      </c>
      <c r="BE32" s="24">
        <f t="shared" si="29"/>
        <v>0</v>
      </c>
      <c r="BF32" s="72">
        <f>TableCosts[[#This Row],[N_Amount]]*TableCosts[[#This Row],[N_Tariff]]*TableCosts[[#This Row],[N_ItemsCount]]</f>
        <v>0</v>
      </c>
      <c r="BG32" s="72">
        <f>IF(G32=1,IF(TableCosts[[#This Row],[N_Kateg]]="interné práce",TableCosts[[#This Row],[N_Amount]]*8*PAR_SGA_PERHOUR,0),0)</f>
        <v>0</v>
      </c>
      <c r="BH32" s="72">
        <f>SUM(TableCosts[[#This Row],[N_Direct]:[N_SGA]])</f>
        <v>0</v>
      </c>
      <c r="BI32" s="24">
        <f>IF(G32=1,IF(OR(AND(NOT(ISERROR(VLOOKUP(TableCosts[[#This Row],[Calc_N_Typ]],Cis_WorkPositions,1,0))),C32&lt;&gt;"",D32&lt;&gt;"",E32&lt;&gt;""),AND(ISERROR(VLOOKUP(TableCosts[[#This Row],[Calc_N_Typ]],Cis_WorkPositions,1,0)),C32="",D32="",E32&lt;&gt;""),LEFT(TableCosts[[#This Row],[Calc_N_Typ]],18)="Vynaložené náklady"),VLOOKUP(C32&amp;TableCosts[[#This Row],[Calc_N_Typ]],TRAN_STRITEMS_LABEL,VLOOKUP(D32,Tab_Hours,3,0),0),NA()),0)</f>
        <v>0</v>
      </c>
      <c r="BJ32" s="24">
        <f t="shared" si="30"/>
        <v>0</v>
      </c>
      <c r="BK32" s="24" t="str">
        <f t="shared" si="31"/>
        <v/>
      </c>
      <c r="BL32" s="24" t="str">
        <f t="shared" si="32"/>
        <v/>
      </c>
      <c r="BM32" s="24" t="str">
        <f>IF(G32=1,IF(TableCosts[[#This Row],[TransferFrom]]=TableCosts[[#This Row],[TranferTo]],0,1),"")</f>
        <v/>
      </c>
      <c r="BN32" s="24" t="str">
        <f t="shared" si="33"/>
        <v/>
      </c>
      <c r="BO32" s="24">
        <f t="shared" si="34"/>
        <v>0</v>
      </c>
      <c r="BP32" s="24">
        <f t="shared" si="35"/>
        <v>0</v>
      </c>
    </row>
    <row r="33" spans="2:68" s="24" customFormat="1" ht="12.75" x14ac:dyDescent="0.2">
      <c r="B33" s="97"/>
      <c r="C33" s="92"/>
      <c r="D33" s="92"/>
      <c r="E33" s="92"/>
      <c r="F33" s="31" t="str">
        <f>IF(G33=1,IF(ISERROR(TableCosts[[#This Row],[N_Tariff]]),Err_Message1,IF(TableCosts[[#This Row],[N_Tariff]]=0,Err_Message2,VLOOKUP(C33&amp;TableCosts[[#This Row],[Calc_N_Typ]],TRAN_STRITEMS_LABEL,5,FALSE))),"")</f>
        <v/>
      </c>
      <c r="G33" s="31">
        <f t="shared" si="24"/>
        <v>0</v>
      </c>
      <c r="H33" s="31" t="str">
        <f>IF(G33=1,IFERROR(VLOOKUP(F33,Tab_ErrMessage[],2,0),VLOOKUP(C33&amp;TableCosts[[#This Row],[Calc_N_Typ]],TRAN_STRITEMS_LABEL,4,FALSE)),"")</f>
        <v/>
      </c>
      <c r="I33" s="94"/>
      <c r="J33" s="94"/>
      <c r="K33" s="9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  <c r="AI33" s="84"/>
      <c r="AJ33" s="84"/>
      <c r="AK33" s="84"/>
      <c r="AL33" s="84"/>
      <c r="AM33" s="84"/>
      <c r="AN33" s="84"/>
      <c r="AO33" s="84"/>
      <c r="AP33" s="84"/>
      <c r="AQ33" s="84"/>
      <c r="AR33" s="84"/>
      <c r="AS33" s="84"/>
      <c r="AT33" s="84"/>
      <c r="AU33" s="84"/>
      <c r="AV33" s="84"/>
      <c r="AW33" s="84"/>
      <c r="AX33" s="87">
        <f t="array" ref="AX33">IF(G33=1,SUM((ROW(M0)=ROW(AW33))*(M0+M1_+M2_+M3_+M4_+M5_+M6_+M7_+M8_+M9_+M10_+M11_+M12_+M13_+M14_+M15_+M16_+M17_+M18_+M19_+M20_+M21_+M22_+M23_+M24_+M25_+M26_+M27_+M28_+M29_+M30_+M31_+M32_+M33_+M34_+M35_+M36_+M37_)),0)</f>
        <v>0</v>
      </c>
      <c r="AZ33" s="24" t="str">
        <f t="shared" si="25"/>
        <v/>
      </c>
      <c r="BA33" s="24" t="str">
        <f t="shared" si="26"/>
        <v/>
      </c>
      <c r="BB33" s="24" t="str">
        <f t="shared" si="27"/>
        <v/>
      </c>
      <c r="BC33" s="24" t="str">
        <f>IF(OR(E33="",LEFT(TableCosts[[#This Row],[Calc_N_Typ]],18)="Vynaložené náklady"),"",VLOOKUP(E33,Tab_Parts,2,0))</f>
        <v/>
      </c>
      <c r="BD33" s="24" t="str">
        <f t="shared" si="28"/>
        <v/>
      </c>
      <c r="BE33" s="24">
        <f t="shared" si="29"/>
        <v>0</v>
      </c>
      <c r="BF33" s="72">
        <f>TableCosts[[#This Row],[N_Amount]]*TableCosts[[#This Row],[N_Tariff]]*TableCosts[[#This Row],[N_ItemsCount]]</f>
        <v>0</v>
      </c>
      <c r="BG33" s="72">
        <f>IF(G33=1,IF(TableCosts[[#This Row],[N_Kateg]]="interné práce",TableCosts[[#This Row],[N_Amount]]*8*PAR_SGA_PERHOUR,0),0)</f>
        <v>0</v>
      </c>
      <c r="BH33" s="72">
        <f>SUM(TableCosts[[#This Row],[N_Direct]:[N_SGA]])</f>
        <v>0</v>
      </c>
      <c r="BI33" s="24">
        <f>IF(G33=1,IF(OR(AND(NOT(ISERROR(VLOOKUP(TableCosts[[#This Row],[Calc_N_Typ]],Cis_WorkPositions,1,0))),C33&lt;&gt;"",D33&lt;&gt;"",E33&lt;&gt;""),AND(ISERROR(VLOOKUP(TableCosts[[#This Row],[Calc_N_Typ]],Cis_WorkPositions,1,0)),C33="",D33="",E33&lt;&gt;""),LEFT(TableCosts[[#This Row],[Calc_N_Typ]],18)="Vynaložené náklady"),VLOOKUP(C33&amp;TableCosts[[#This Row],[Calc_N_Typ]],TRAN_STRITEMS_LABEL,VLOOKUP(D33,Tab_Hours,3,0),0),NA()),0)</f>
        <v>0</v>
      </c>
      <c r="BJ33" s="24">
        <f t="shared" si="30"/>
        <v>0</v>
      </c>
      <c r="BK33" s="24" t="str">
        <f t="shared" si="31"/>
        <v/>
      </c>
      <c r="BL33" s="24" t="str">
        <f t="shared" si="32"/>
        <v/>
      </c>
      <c r="BM33" s="24" t="str">
        <f>IF(G33=1,IF(TableCosts[[#This Row],[TransferFrom]]=TableCosts[[#This Row],[TranferTo]],0,1),"")</f>
        <v/>
      </c>
      <c r="BN33" s="24" t="str">
        <f t="shared" si="33"/>
        <v/>
      </c>
      <c r="BO33" s="24">
        <f t="shared" si="34"/>
        <v>0</v>
      </c>
      <c r="BP33" s="24">
        <f t="shared" si="35"/>
        <v>0</v>
      </c>
    </row>
    <row r="34" spans="2:68" s="24" customFormat="1" ht="12.75" x14ac:dyDescent="0.2">
      <c r="B34" s="97"/>
      <c r="C34" s="92"/>
      <c r="D34" s="92"/>
      <c r="E34" s="92"/>
      <c r="F34" s="31" t="str">
        <f>IF(G34=1,IF(ISERROR(TableCosts[[#This Row],[N_Tariff]]),Err_Message1,IF(TableCosts[[#This Row],[N_Tariff]]=0,Err_Message2,VLOOKUP(C34&amp;TableCosts[[#This Row],[Calc_N_Typ]],TRAN_STRITEMS_LABEL,5,FALSE))),"")</f>
        <v/>
      </c>
      <c r="G34" s="31">
        <f t="shared" si="24"/>
        <v>0</v>
      </c>
      <c r="H34" s="31" t="str">
        <f>IF(G34=1,IFERROR(VLOOKUP(F34,Tab_ErrMessage[],2,0),VLOOKUP(C34&amp;TableCosts[[#This Row],[Calc_N_Typ]],TRAN_STRITEMS_LABEL,4,FALSE)),"")</f>
        <v/>
      </c>
      <c r="I34" s="94"/>
      <c r="J34" s="94"/>
      <c r="K34" s="9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7">
        <f t="array" ref="AX34">IF(G34=1,SUM((ROW(M0)=ROW(AW34))*(M0+M1_+M2_+M3_+M4_+M5_+M6_+M7_+M8_+M9_+M10_+M11_+M12_+M13_+M14_+M15_+M16_+M17_+M18_+M19_+M20_+M21_+M22_+M23_+M24_+M25_+M26_+M27_+M28_+M29_+M30_+M31_+M32_+M33_+M34_+M35_+M36_+M37_)),0)</f>
        <v>0</v>
      </c>
      <c r="AZ34" s="24" t="str">
        <f t="shared" si="25"/>
        <v/>
      </c>
      <c r="BA34" s="24" t="str">
        <f t="shared" si="26"/>
        <v/>
      </c>
      <c r="BB34" s="24" t="str">
        <f t="shared" si="27"/>
        <v/>
      </c>
      <c r="BC34" s="24" t="str">
        <f>IF(OR(E34="",LEFT(TableCosts[[#This Row],[Calc_N_Typ]],18)="Vynaložené náklady"),"",VLOOKUP(E34,Tab_Parts,2,0))</f>
        <v/>
      </c>
      <c r="BD34" s="24" t="str">
        <f t="shared" si="28"/>
        <v/>
      </c>
      <c r="BE34" s="24">
        <f t="shared" si="29"/>
        <v>0</v>
      </c>
      <c r="BF34" s="72">
        <f>TableCosts[[#This Row],[N_Amount]]*TableCosts[[#This Row],[N_Tariff]]*TableCosts[[#This Row],[N_ItemsCount]]</f>
        <v>0</v>
      </c>
      <c r="BG34" s="72">
        <f>IF(G34=1,IF(TableCosts[[#This Row],[N_Kateg]]="interné práce",TableCosts[[#This Row],[N_Amount]]*8*PAR_SGA_PERHOUR,0),0)</f>
        <v>0</v>
      </c>
      <c r="BH34" s="72">
        <f>SUM(TableCosts[[#This Row],[N_Direct]:[N_SGA]])</f>
        <v>0</v>
      </c>
      <c r="BI34" s="24">
        <f>IF(G34=1,IF(OR(AND(NOT(ISERROR(VLOOKUP(TableCosts[[#This Row],[Calc_N_Typ]],Cis_WorkPositions,1,0))),C34&lt;&gt;"",D34&lt;&gt;"",E34&lt;&gt;""),AND(ISERROR(VLOOKUP(TableCosts[[#This Row],[Calc_N_Typ]],Cis_WorkPositions,1,0)),C34="",D34="",E34&lt;&gt;""),LEFT(TableCosts[[#This Row],[Calc_N_Typ]],18)="Vynaložené náklady"),VLOOKUP(C34&amp;TableCosts[[#This Row],[Calc_N_Typ]],TRAN_STRITEMS_LABEL,VLOOKUP(D34,Tab_Hours,3,0),0),NA()),0)</f>
        <v>0</v>
      </c>
      <c r="BJ34" s="24">
        <f t="shared" si="30"/>
        <v>0</v>
      </c>
      <c r="BK34" s="24" t="str">
        <f t="shared" si="31"/>
        <v/>
      </c>
      <c r="BL34" s="24" t="str">
        <f t="shared" si="32"/>
        <v/>
      </c>
      <c r="BM34" s="24" t="str">
        <f>IF(G34=1,IF(TableCosts[[#This Row],[TransferFrom]]=TableCosts[[#This Row],[TranferTo]],0,1),"")</f>
        <v/>
      </c>
      <c r="BN34" s="24" t="str">
        <f t="shared" si="33"/>
        <v/>
      </c>
      <c r="BO34" s="24">
        <f t="shared" si="34"/>
        <v>0</v>
      </c>
      <c r="BP34" s="24">
        <f t="shared" si="35"/>
        <v>0</v>
      </c>
    </row>
    <row r="35" spans="2:68" s="24" customFormat="1" ht="12.75" x14ac:dyDescent="0.2">
      <c r="B35" s="97"/>
      <c r="C35" s="92"/>
      <c r="D35" s="92"/>
      <c r="E35" s="92"/>
      <c r="F35" s="31" t="str">
        <f>IF(G35=1,IF(ISERROR(TableCosts[[#This Row],[N_Tariff]]),Err_Message1,IF(TableCosts[[#This Row],[N_Tariff]]=0,Err_Message2,VLOOKUP(C35&amp;TableCosts[[#This Row],[Calc_N_Typ]],TRAN_STRITEMS_LABEL,5,FALSE))),"")</f>
        <v/>
      </c>
      <c r="G35" s="31">
        <f t="shared" si="24"/>
        <v>0</v>
      </c>
      <c r="H35" s="31" t="str">
        <f>IF(G35=1,IFERROR(VLOOKUP(F35,Tab_ErrMessage[],2,0),VLOOKUP(C35&amp;TableCosts[[#This Row],[Calc_N_Typ]],TRAN_STRITEMS_LABEL,4,FALSE)),"")</f>
        <v/>
      </c>
      <c r="I35" s="94"/>
      <c r="J35" s="94"/>
      <c r="K35" s="9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84"/>
      <c r="AN35" s="84"/>
      <c r="AO35" s="84"/>
      <c r="AP35" s="84"/>
      <c r="AQ35" s="84"/>
      <c r="AR35" s="84"/>
      <c r="AS35" s="84"/>
      <c r="AT35" s="84"/>
      <c r="AU35" s="84"/>
      <c r="AV35" s="84"/>
      <c r="AW35" s="84"/>
      <c r="AX35" s="87">
        <f t="array" ref="AX35">IF(G35=1,SUM((ROW(M0)=ROW(AW35))*(M0+M1_+M2_+M3_+M4_+M5_+M6_+M7_+M8_+M9_+M10_+M11_+M12_+M13_+M14_+M15_+M16_+M17_+M18_+M19_+M20_+M21_+M22_+M23_+M24_+M25_+M26_+M27_+M28_+M29_+M30_+M31_+M32_+M33_+M34_+M35_+M36_+M37_)),0)</f>
        <v>0</v>
      </c>
      <c r="AZ35" s="24" t="str">
        <f t="shared" si="25"/>
        <v/>
      </c>
      <c r="BA35" s="24" t="str">
        <f t="shared" si="26"/>
        <v/>
      </c>
      <c r="BB35" s="24" t="str">
        <f t="shared" si="27"/>
        <v/>
      </c>
      <c r="BC35" s="24" t="str">
        <f>IF(OR(E35="",LEFT(TableCosts[[#This Row],[Calc_N_Typ]],18)="Vynaložené náklady"),"",VLOOKUP(E35,Tab_Parts,2,0))</f>
        <v/>
      </c>
      <c r="BD35" s="24" t="str">
        <f t="shared" si="28"/>
        <v/>
      </c>
      <c r="BE35" s="24">
        <f t="shared" si="29"/>
        <v>0</v>
      </c>
      <c r="BF35" s="72">
        <f>TableCosts[[#This Row],[N_Amount]]*TableCosts[[#This Row],[N_Tariff]]*TableCosts[[#This Row],[N_ItemsCount]]</f>
        <v>0</v>
      </c>
      <c r="BG35" s="72">
        <f>IF(G35=1,IF(TableCosts[[#This Row],[N_Kateg]]="interné práce",TableCosts[[#This Row],[N_Amount]]*8*PAR_SGA_PERHOUR,0),0)</f>
        <v>0</v>
      </c>
      <c r="BH35" s="72">
        <f>SUM(TableCosts[[#This Row],[N_Direct]:[N_SGA]])</f>
        <v>0</v>
      </c>
      <c r="BI35" s="24">
        <f>IF(G35=1,IF(OR(AND(NOT(ISERROR(VLOOKUP(TableCosts[[#This Row],[Calc_N_Typ]],Cis_WorkPositions,1,0))),C35&lt;&gt;"",D35&lt;&gt;"",E35&lt;&gt;""),AND(ISERROR(VLOOKUP(TableCosts[[#This Row],[Calc_N_Typ]],Cis_WorkPositions,1,0)),C35="",D35="",E35&lt;&gt;""),LEFT(TableCosts[[#This Row],[Calc_N_Typ]],18)="Vynaložené náklady"),VLOOKUP(C35&amp;TableCosts[[#This Row],[Calc_N_Typ]],TRAN_STRITEMS_LABEL,VLOOKUP(D35,Tab_Hours,3,0),0),NA()),0)</f>
        <v>0</v>
      </c>
      <c r="BJ35" s="24">
        <f t="shared" si="30"/>
        <v>0</v>
      </c>
      <c r="BK35" s="24" t="str">
        <f t="shared" si="31"/>
        <v/>
      </c>
      <c r="BL35" s="24" t="str">
        <f t="shared" si="32"/>
        <v/>
      </c>
      <c r="BM35" s="24" t="str">
        <f>IF(G35=1,IF(TableCosts[[#This Row],[TransferFrom]]=TableCosts[[#This Row],[TranferTo]],0,1),"")</f>
        <v/>
      </c>
      <c r="BN35" s="24" t="str">
        <f t="shared" si="33"/>
        <v/>
      </c>
      <c r="BO35" s="24">
        <f t="shared" si="34"/>
        <v>0</v>
      </c>
      <c r="BP35" s="24">
        <f t="shared" si="35"/>
        <v>0</v>
      </c>
    </row>
    <row r="36" spans="2:68" s="24" customFormat="1" ht="12.75" x14ac:dyDescent="0.2">
      <c r="B36" s="97"/>
      <c r="C36" s="92"/>
      <c r="D36" s="92"/>
      <c r="E36" s="92"/>
      <c r="F36" s="31" t="str">
        <f>IF(G36=1,IF(ISERROR(TableCosts[[#This Row],[N_Tariff]]),Err_Message1,IF(TableCosts[[#This Row],[N_Tariff]]=0,Err_Message2,VLOOKUP(C36&amp;TableCosts[[#This Row],[Calc_N_Typ]],TRAN_STRITEMS_LABEL,5,FALSE))),"")</f>
        <v/>
      </c>
      <c r="G36" s="31">
        <f t="shared" si="24"/>
        <v>0</v>
      </c>
      <c r="H36" s="31" t="str">
        <f>IF(G36=1,IFERROR(VLOOKUP(F36,Tab_ErrMessage[],2,0),VLOOKUP(C36&amp;TableCosts[[#This Row],[Calc_N_Typ]],TRAN_STRITEMS_LABEL,4,FALSE)),"")</f>
        <v/>
      </c>
      <c r="I36" s="94"/>
      <c r="J36" s="94"/>
      <c r="K36" s="9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84"/>
      <c r="AN36" s="84"/>
      <c r="AO36" s="84"/>
      <c r="AP36" s="84"/>
      <c r="AQ36" s="84"/>
      <c r="AR36" s="84"/>
      <c r="AS36" s="84"/>
      <c r="AT36" s="84"/>
      <c r="AU36" s="84"/>
      <c r="AV36" s="84"/>
      <c r="AW36" s="84"/>
      <c r="AX36" s="87">
        <f t="array" ref="AX36">IF(G36=1,SUM((ROW(M0)=ROW(AW36))*(M0+M1_+M2_+M3_+M4_+M5_+M6_+M7_+M8_+M9_+M10_+M11_+M12_+M13_+M14_+M15_+M16_+M17_+M18_+M19_+M20_+M21_+M22_+M23_+M24_+M25_+M26_+M27_+M28_+M29_+M30_+M31_+M32_+M33_+M34_+M35_+M36_+M37_)),0)</f>
        <v>0</v>
      </c>
      <c r="AZ36" s="24" t="str">
        <f t="shared" si="25"/>
        <v/>
      </c>
      <c r="BA36" s="24" t="str">
        <f t="shared" si="26"/>
        <v/>
      </c>
      <c r="BB36" s="24" t="str">
        <f t="shared" si="27"/>
        <v/>
      </c>
      <c r="BC36" s="24" t="str">
        <f>IF(OR(E36="",LEFT(TableCosts[[#This Row],[Calc_N_Typ]],18)="Vynaložené náklady"),"",VLOOKUP(E36,Tab_Parts,2,0))</f>
        <v/>
      </c>
      <c r="BD36" s="24" t="str">
        <f t="shared" si="28"/>
        <v/>
      </c>
      <c r="BE36" s="24">
        <f t="shared" si="29"/>
        <v>0</v>
      </c>
      <c r="BF36" s="72">
        <f>TableCosts[[#This Row],[N_Amount]]*TableCosts[[#This Row],[N_Tariff]]*TableCosts[[#This Row],[N_ItemsCount]]</f>
        <v>0</v>
      </c>
      <c r="BG36" s="72">
        <f>IF(G36=1,IF(TableCosts[[#This Row],[N_Kateg]]="interné práce",TableCosts[[#This Row],[N_Amount]]*8*PAR_SGA_PERHOUR,0),0)</f>
        <v>0</v>
      </c>
      <c r="BH36" s="72">
        <f>SUM(TableCosts[[#This Row],[N_Direct]:[N_SGA]])</f>
        <v>0</v>
      </c>
      <c r="BI36" s="24">
        <f>IF(G36=1,IF(OR(AND(NOT(ISERROR(VLOOKUP(TableCosts[[#This Row],[Calc_N_Typ]],Cis_WorkPositions,1,0))),C36&lt;&gt;"",D36&lt;&gt;"",E36&lt;&gt;""),AND(ISERROR(VLOOKUP(TableCosts[[#This Row],[Calc_N_Typ]],Cis_WorkPositions,1,0)),C36="",D36="",E36&lt;&gt;""),LEFT(TableCosts[[#This Row],[Calc_N_Typ]],18)="Vynaložené náklady"),VLOOKUP(C36&amp;TableCosts[[#This Row],[Calc_N_Typ]],TRAN_STRITEMS_LABEL,VLOOKUP(D36,Tab_Hours,3,0),0),NA()),0)</f>
        <v>0</v>
      </c>
      <c r="BJ36" s="24">
        <f t="shared" si="30"/>
        <v>0</v>
      </c>
      <c r="BK36" s="24" t="str">
        <f t="shared" si="31"/>
        <v/>
      </c>
      <c r="BL36" s="24" t="str">
        <f t="shared" si="32"/>
        <v/>
      </c>
      <c r="BM36" s="24" t="str">
        <f>IF(G36=1,IF(TableCosts[[#This Row],[TransferFrom]]=TableCosts[[#This Row],[TranferTo]],0,1),"")</f>
        <v/>
      </c>
      <c r="BN36" s="24" t="str">
        <f t="shared" si="33"/>
        <v/>
      </c>
      <c r="BO36" s="24">
        <f t="shared" si="34"/>
        <v>0</v>
      </c>
      <c r="BP36" s="24">
        <f t="shared" si="35"/>
        <v>0</v>
      </c>
    </row>
    <row r="37" spans="2:68" s="24" customFormat="1" ht="12.75" x14ac:dyDescent="0.2">
      <c r="B37" s="97"/>
      <c r="C37" s="92"/>
      <c r="D37" s="92"/>
      <c r="E37" s="92"/>
      <c r="F37" s="31" t="str">
        <f>IF(G37=1,IF(ISERROR(TableCosts[[#This Row],[N_Tariff]]),Err_Message1,IF(TableCosts[[#This Row],[N_Tariff]]=0,Err_Message2,VLOOKUP(C37&amp;TableCosts[[#This Row],[Calc_N_Typ]],TRAN_STRITEMS_LABEL,5,FALSE))),"")</f>
        <v/>
      </c>
      <c r="G37" s="31">
        <f t="shared" si="24"/>
        <v>0</v>
      </c>
      <c r="H37" s="31" t="str">
        <f>IF(G37=1,IFERROR(VLOOKUP(F37,Tab_ErrMessage[],2,0),VLOOKUP(C37&amp;TableCosts[[#This Row],[Calc_N_Typ]],TRAN_STRITEMS_LABEL,4,FALSE)),"")</f>
        <v/>
      </c>
      <c r="I37" s="94"/>
      <c r="J37" s="94"/>
      <c r="K37" s="9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84"/>
      <c r="AJ37" s="84"/>
      <c r="AK37" s="84"/>
      <c r="AL37" s="84"/>
      <c r="AM37" s="84"/>
      <c r="AN37" s="84"/>
      <c r="AO37" s="84"/>
      <c r="AP37" s="84"/>
      <c r="AQ37" s="84"/>
      <c r="AR37" s="84"/>
      <c r="AS37" s="84"/>
      <c r="AT37" s="84"/>
      <c r="AU37" s="84"/>
      <c r="AV37" s="84"/>
      <c r="AW37" s="84"/>
      <c r="AX37" s="87">
        <f t="array" ref="AX37">IF(G37=1,SUM((ROW(M0)=ROW(AW37))*(M0+M1_+M2_+M3_+M4_+M5_+M6_+M7_+M8_+M9_+M10_+M11_+M12_+M13_+M14_+M15_+M16_+M17_+M18_+M19_+M20_+M21_+M22_+M23_+M24_+M25_+M26_+M27_+M28_+M29_+M30_+M31_+M32_+M33_+M34_+M35_+M36_+M37_)),0)</f>
        <v>0</v>
      </c>
      <c r="AZ37" s="24" t="str">
        <f t="shared" si="25"/>
        <v/>
      </c>
      <c r="BA37" s="24" t="str">
        <f t="shared" si="26"/>
        <v/>
      </c>
      <c r="BB37" s="24" t="str">
        <f t="shared" si="27"/>
        <v/>
      </c>
      <c r="BC37" s="24" t="str">
        <f>IF(OR(E37="",LEFT(TableCosts[[#This Row],[Calc_N_Typ]],18)="Vynaložené náklady"),"",VLOOKUP(E37,Tab_Parts,2,0))</f>
        <v/>
      </c>
      <c r="BD37" s="24" t="str">
        <f t="shared" si="28"/>
        <v/>
      </c>
      <c r="BE37" s="24">
        <f t="shared" si="29"/>
        <v>0</v>
      </c>
      <c r="BF37" s="72">
        <f>TableCosts[[#This Row],[N_Amount]]*TableCosts[[#This Row],[N_Tariff]]*TableCosts[[#This Row],[N_ItemsCount]]</f>
        <v>0</v>
      </c>
      <c r="BG37" s="72">
        <f>IF(G37=1,IF(TableCosts[[#This Row],[N_Kateg]]="interné práce",TableCosts[[#This Row],[N_Amount]]*8*PAR_SGA_PERHOUR,0),0)</f>
        <v>0</v>
      </c>
      <c r="BH37" s="72">
        <f>SUM(TableCosts[[#This Row],[N_Direct]:[N_SGA]])</f>
        <v>0</v>
      </c>
      <c r="BI37" s="24">
        <f>IF(G37=1,IF(OR(AND(NOT(ISERROR(VLOOKUP(TableCosts[[#This Row],[Calc_N_Typ]],Cis_WorkPositions,1,0))),C37&lt;&gt;"",D37&lt;&gt;"",E37&lt;&gt;""),AND(ISERROR(VLOOKUP(TableCosts[[#This Row],[Calc_N_Typ]],Cis_WorkPositions,1,0)),C37="",D37="",E37&lt;&gt;""),LEFT(TableCosts[[#This Row],[Calc_N_Typ]],18)="Vynaložené náklady"),VLOOKUP(C37&amp;TableCosts[[#This Row],[Calc_N_Typ]],TRAN_STRITEMS_LABEL,VLOOKUP(D37,Tab_Hours,3,0),0),NA()),0)</f>
        <v>0</v>
      </c>
      <c r="BJ37" s="24">
        <f t="shared" si="30"/>
        <v>0</v>
      </c>
      <c r="BK37" s="24" t="str">
        <f t="shared" si="31"/>
        <v/>
      </c>
      <c r="BL37" s="24" t="str">
        <f t="shared" si="32"/>
        <v/>
      </c>
      <c r="BM37" s="24" t="str">
        <f>IF(G37=1,IF(TableCosts[[#This Row],[TransferFrom]]=TableCosts[[#This Row],[TranferTo]],0,1),"")</f>
        <v/>
      </c>
      <c r="BN37" s="24" t="str">
        <f t="shared" si="33"/>
        <v/>
      </c>
      <c r="BO37" s="24">
        <f t="shared" si="34"/>
        <v>0</v>
      </c>
      <c r="BP37" s="24">
        <f t="shared" si="35"/>
        <v>0</v>
      </c>
    </row>
    <row r="38" spans="2:68" s="24" customFormat="1" ht="12.75" x14ac:dyDescent="0.2">
      <c r="B38" s="97"/>
      <c r="C38" s="92"/>
      <c r="D38" s="92"/>
      <c r="E38" s="92"/>
      <c r="F38" s="31" t="str">
        <f>IF(G38=1,IF(ISERROR(TableCosts[[#This Row],[N_Tariff]]),Err_Message1,IF(TableCosts[[#This Row],[N_Tariff]]=0,Err_Message2,VLOOKUP(C38&amp;TableCosts[[#This Row],[Calc_N_Typ]],TRAN_STRITEMS_LABEL,5,FALSE))),"")</f>
        <v/>
      </c>
      <c r="G38" s="31">
        <f t="shared" si="24"/>
        <v>0</v>
      </c>
      <c r="H38" s="31" t="str">
        <f>IF(G38=1,IFERROR(VLOOKUP(F38,Tab_ErrMessage[],2,0),VLOOKUP(C38&amp;TableCosts[[#This Row],[Calc_N_Typ]],TRAN_STRITEMS_LABEL,4,FALSE)),"")</f>
        <v/>
      </c>
      <c r="I38" s="94"/>
      <c r="J38" s="94"/>
      <c r="K38" s="9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84"/>
      <c r="AJ38" s="84"/>
      <c r="AK38" s="84"/>
      <c r="AL38" s="84"/>
      <c r="AM38" s="84"/>
      <c r="AN38" s="84"/>
      <c r="AO38" s="84"/>
      <c r="AP38" s="84"/>
      <c r="AQ38" s="84"/>
      <c r="AR38" s="84"/>
      <c r="AS38" s="84"/>
      <c r="AT38" s="84"/>
      <c r="AU38" s="84"/>
      <c r="AV38" s="84"/>
      <c r="AW38" s="84"/>
      <c r="AX38" s="87">
        <f t="array" ref="AX38">IF(G38=1,SUM((ROW(M0)=ROW(AW38))*(M0+M1_+M2_+M3_+M4_+M5_+M6_+M7_+M8_+M9_+M10_+M11_+M12_+M13_+M14_+M15_+M16_+M17_+M18_+M19_+M20_+M21_+M22_+M23_+M24_+M25_+M26_+M27_+M28_+M29_+M30_+M31_+M32_+M33_+M34_+M35_+M36_+M37_)),0)</f>
        <v>0</v>
      </c>
      <c r="AZ38" s="24" t="str">
        <f t="shared" si="25"/>
        <v/>
      </c>
      <c r="BA38" s="24" t="str">
        <f t="shared" si="26"/>
        <v/>
      </c>
      <c r="BB38" s="24" t="str">
        <f t="shared" si="27"/>
        <v/>
      </c>
      <c r="BC38" s="24" t="str">
        <f>IF(OR(E38="",LEFT(TableCosts[[#This Row],[Calc_N_Typ]],18)="Vynaložené náklady"),"",VLOOKUP(E38,Tab_Parts,2,0))</f>
        <v/>
      </c>
      <c r="BD38" s="24" t="str">
        <f t="shared" si="28"/>
        <v/>
      </c>
      <c r="BE38" s="24">
        <f t="shared" si="29"/>
        <v>0</v>
      </c>
      <c r="BF38" s="72">
        <f>TableCosts[[#This Row],[N_Amount]]*TableCosts[[#This Row],[N_Tariff]]*TableCosts[[#This Row],[N_ItemsCount]]</f>
        <v>0</v>
      </c>
      <c r="BG38" s="72">
        <f>IF(G38=1,IF(TableCosts[[#This Row],[N_Kateg]]="interné práce",TableCosts[[#This Row],[N_Amount]]*8*PAR_SGA_PERHOUR,0),0)</f>
        <v>0</v>
      </c>
      <c r="BH38" s="72">
        <f>SUM(TableCosts[[#This Row],[N_Direct]:[N_SGA]])</f>
        <v>0</v>
      </c>
      <c r="BI38" s="24">
        <f>IF(G38=1,IF(OR(AND(NOT(ISERROR(VLOOKUP(TableCosts[[#This Row],[Calc_N_Typ]],Cis_WorkPositions,1,0))),C38&lt;&gt;"",D38&lt;&gt;"",E38&lt;&gt;""),AND(ISERROR(VLOOKUP(TableCosts[[#This Row],[Calc_N_Typ]],Cis_WorkPositions,1,0)),C38="",D38="",E38&lt;&gt;""),LEFT(TableCosts[[#This Row],[Calc_N_Typ]],18)="Vynaložené náklady"),VLOOKUP(C38&amp;TableCosts[[#This Row],[Calc_N_Typ]],TRAN_STRITEMS_LABEL,VLOOKUP(D38,Tab_Hours,3,0),0),NA()),0)</f>
        <v>0</v>
      </c>
      <c r="BJ38" s="24">
        <f t="shared" si="30"/>
        <v>0</v>
      </c>
      <c r="BK38" s="24" t="str">
        <f t="shared" si="31"/>
        <v/>
      </c>
      <c r="BL38" s="24" t="str">
        <f t="shared" si="32"/>
        <v/>
      </c>
      <c r="BM38" s="24" t="str">
        <f>IF(G38=1,IF(TableCosts[[#This Row],[TransferFrom]]=TableCosts[[#This Row],[TranferTo]],0,1),"")</f>
        <v/>
      </c>
      <c r="BN38" s="24" t="str">
        <f t="shared" si="33"/>
        <v/>
      </c>
      <c r="BO38" s="24">
        <f t="shared" si="34"/>
        <v>0</v>
      </c>
      <c r="BP38" s="24">
        <f t="shared" si="35"/>
        <v>0</v>
      </c>
    </row>
    <row r="39" spans="2:68" s="24" customFormat="1" ht="12.75" x14ac:dyDescent="0.2">
      <c r="B39" s="97"/>
      <c r="C39" s="92"/>
      <c r="D39" s="92"/>
      <c r="E39" s="92"/>
      <c r="F39" s="31" t="str">
        <f>IF(G39=1,IF(ISERROR(TableCosts[[#This Row],[N_Tariff]]),Err_Message1,IF(TableCosts[[#This Row],[N_Tariff]]=0,Err_Message2,VLOOKUP(C39&amp;TableCosts[[#This Row],[Calc_N_Typ]],TRAN_STRITEMS_LABEL,5,FALSE))),"")</f>
        <v/>
      </c>
      <c r="G39" s="31">
        <f t="shared" si="24"/>
        <v>0</v>
      </c>
      <c r="H39" s="31" t="str">
        <f>IF(G39=1,IFERROR(VLOOKUP(F39,Tab_ErrMessage[],2,0),VLOOKUP(C39&amp;TableCosts[[#This Row],[Calc_N_Typ]],TRAN_STRITEMS_LABEL,4,FALSE)),"")</f>
        <v/>
      </c>
      <c r="I39" s="94"/>
      <c r="J39" s="94"/>
      <c r="K39" s="9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  <c r="AI39" s="84"/>
      <c r="AJ39" s="84"/>
      <c r="AK39" s="84"/>
      <c r="AL39" s="84"/>
      <c r="AM39" s="84"/>
      <c r="AN39" s="84"/>
      <c r="AO39" s="84"/>
      <c r="AP39" s="84"/>
      <c r="AQ39" s="84"/>
      <c r="AR39" s="84"/>
      <c r="AS39" s="84"/>
      <c r="AT39" s="84"/>
      <c r="AU39" s="84"/>
      <c r="AV39" s="84"/>
      <c r="AW39" s="84"/>
      <c r="AX39" s="87">
        <f t="array" ref="AX39">IF(G39=1,SUM((ROW(M0)=ROW(AW39))*(M0+M1_+M2_+M3_+M4_+M5_+M6_+M7_+M8_+M9_+M10_+M11_+M12_+M13_+M14_+M15_+M16_+M17_+M18_+M19_+M20_+M21_+M22_+M23_+M24_+M25_+M26_+M27_+M28_+M29_+M30_+M31_+M32_+M33_+M34_+M35_+M36_+M37_)),0)</f>
        <v>0</v>
      </c>
      <c r="AZ39" s="24" t="str">
        <f t="shared" si="25"/>
        <v/>
      </c>
      <c r="BA39" s="24" t="str">
        <f t="shared" si="26"/>
        <v/>
      </c>
      <c r="BB39" s="24" t="str">
        <f t="shared" si="27"/>
        <v/>
      </c>
      <c r="BC39" s="24" t="str">
        <f>IF(OR(E39="",LEFT(TableCosts[[#This Row],[Calc_N_Typ]],18)="Vynaložené náklady"),"",VLOOKUP(E39,Tab_Parts,2,0))</f>
        <v/>
      </c>
      <c r="BD39" s="24" t="str">
        <f t="shared" si="28"/>
        <v/>
      </c>
      <c r="BE39" s="24">
        <f t="shared" si="29"/>
        <v>0</v>
      </c>
      <c r="BF39" s="72">
        <f>TableCosts[[#This Row],[N_Amount]]*TableCosts[[#This Row],[N_Tariff]]*TableCosts[[#This Row],[N_ItemsCount]]</f>
        <v>0</v>
      </c>
      <c r="BG39" s="72">
        <f>IF(G39=1,IF(TableCosts[[#This Row],[N_Kateg]]="interné práce",TableCosts[[#This Row],[N_Amount]]*8*PAR_SGA_PERHOUR,0),0)</f>
        <v>0</v>
      </c>
      <c r="BH39" s="72">
        <f>SUM(TableCosts[[#This Row],[N_Direct]:[N_SGA]])</f>
        <v>0</v>
      </c>
      <c r="BI39" s="24">
        <f>IF(G39=1,IF(OR(AND(NOT(ISERROR(VLOOKUP(TableCosts[[#This Row],[Calc_N_Typ]],Cis_WorkPositions,1,0))),C39&lt;&gt;"",D39&lt;&gt;"",E39&lt;&gt;""),AND(ISERROR(VLOOKUP(TableCosts[[#This Row],[Calc_N_Typ]],Cis_WorkPositions,1,0)),C39="",D39="",E39&lt;&gt;""),LEFT(TableCosts[[#This Row],[Calc_N_Typ]],18)="Vynaložené náklady"),VLOOKUP(C39&amp;TableCosts[[#This Row],[Calc_N_Typ]],TRAN_STRITEMS_LABEL,VLOOKUP(D39,Tab_Hours,3,0),0),NA()),0)</f>
        <v>0</v>
      </c>
      <c r="BJ39" s="24">
        <f t="shared" si="30"/>
        <v>0</v>
      </c>
      <c r="BK39" s="24" t="str">
        <f t="shared" si="31"/>
        <v/>
      </c>
      <c r="BL39" s="24" t="str">
        <f t="shared" si="32"/>
        <v/>
      </c>
      <c r="BM39" s="24" t="str">
        <f>IF(G39=1,IF(TableCosts[[#This Row],[TransferFrom]]=TableCosts[[#This Row],[TranferTo]],0,1),"")</f>
        <v/>
      </c>
      <c r="BN39" s="24" t="str">
        <f t="shared" si="33"/>
        <v/>
      </c>
      <c r="BO39" s="24">
        <f t="shared" si="34"/>
        <v>0</v>
      </c>
      <c r="BP39" s="24">
        <f t="shared" si="35"/>
        <v>0</v>
      </c>
    </row>
    <row r="40" spans="2:68" s="24" customFormat="1" ht="12.75" x14ac:dyDescent="0.2">
      <c r="B40" s="97" t="s">
        <v>90</v>
      </c>
      <c r="C40" s="92"/>
      <c r="D40" s="92"/>
      <c r="E40" s="92"/>
      <c r="F40" s="31" t="str">
        <f>IF(G40=1,IF(ISERROR(TableCosts[[#This Row],[N_Tariff]]),Err_Message1,IF(TableCosts[[#This Row],[N_Tariff]]=0,Err_Message2,VLOOKUP(C40&amp;TableCosts[[#This Row],[Calc_N_Typ]],TRAN_STRITEMS_LABEL,5,FALSE))),"")</f>
        <v/>
      </c>
      <c r="G40" s="31">
        <f t="shared" si="24"/>
        <v>-1</v>
      </c>
      <c r="H40" s="31" t="str">
        <f>IF(G40=1,IFERROR(VLOOKUP(F40,Tab_ErrMessage[],2,0),VLOOKUP(C40&amp;TableCosts[[#This Row],[Calc_N_Typ]],TRAN_STRITEMS_LABEL,4,FALSE)),"")</f>
        <v/>
      </c>
      <c r="I40" s="94"/>
      <c r="J40" s="94"/>
      <c r="K40" s="94" t="s">
        <v>285</v>
      </c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4"/>
      <c r="AS40" s="84"/>
      <c r="AT40" s="84"/>
      <c r="AU40" s="84"/>
      <c r="AV40" s="84"/>
      <c r="AW40" s="84"/>
      <c r="AX40" s="87">
        <f t="array" ref="AX40">IF(G40=1,SUM((ROW(M0)=ROW(AW40))*(M0+M1_+M2_+M3_+M4_+M5_+M6_+M7_+M8_+M9_+M10_+M11_+M12_+M13_+M14_+M15_+M16_+M17_+M18_+M19_+M20_+M21_+M22_+M23_+M24_+M25_+M26_+M27_+M28_+M29_+M30_+M31_+M32_+M33_+M34_+M35_+M36_+M37_)),0)</f>
        <v>0</v>
      </c>
      <c r="AZ40" s="24" t="str">
        <f t="shared" si="25"/>
        <v/>
      </c>
      <c r="BA40" s="24" t="str">
        <f t="shared" si="26"/>
        <v/>
      </c>
      <c r="BB40" s="24" t="str">
        <f t="shared" si="27"/>
        <v/>
      </c>
      <c r="BC40" s="24" t="str">
        <f>IF(OR(E40="",LEFT(TableCosts[[#This Row],[Calc_N_Typ]],18)="Vynaložené náklady"),"",VLOOKUP(E40,Tab_Parts,2,0))</f>
        <v/>
      </c>
      <c r="BD40" s="24" t="str">
        <f t="shared" si="28"/>
        <v/>
      </c>
      <c r="BE40" s="24">
        <f t="shared" si="29"/>
        <v>0</v>
      </c>
      <c r="BF40" s="72">
        <f>TableCosts[[#This Row],[N_Amount]]*TableCosts[[#This Row],[N_Tariff]]*TableCosts[[#This Row],[N_ItemsCount]]</f>
        <v>0</v>
      </c>
      <c r="BG40" s="72">
        <f>IF(G40=1,IF(TableCosts[[#This Row],[N_Kateg]]="interné práce",TableCosts[[#This Row],[N_Amount]]*8*PAR_SGA_PERHOUR,0),0)</f>
        <v>0</v>
      </c>
      <c r="BH40" s="72">
        <f>SUM(TableCosts[[#This Row],[N_Direct]:[N_SGA]])</f>
        <v>0</v>
      </c>
      <c r="BI40" s="24">
        <f>IF(G40=1,IF(OR(AND(NOT(ISERROR(VLOOKUP(TableCosts[[#This Row],[Calc_N_Typ]],Cis_WorkPositions,1,0))),C40&lt;&gt;"",D40&lt;&gt;"",E40&lt;&gt;""),AND(ISERROR(VLOOKUP(TableCosts[[#This Row],[Calc_N_Typ]],Cis_WorkPositions,1,0)),C40="",D40="",E40&lt;&gt;""),LEFT(TableCosts[[#This Row],[Calc_N_Typ]],18)="Vynaložené náklady"),VLOOKUP(C40&amp;TableCosts[[#This Row],[Calc_N_Typ]],TRAN_STRITEMS_LABEL,VLOOKUP(D40,Tab_Hours,3,0),0),NA()),0)</f>
        <v>0</v>
      </c>
      <c r="BJ40" s="24">
        <f t="shared" si="30"/>
        <v>0</v>
      </c>
      <c r="BK40" s="24" t="str">
        <f t="shared" si="31"/>
        <v/>
      </c>
      <c r="BL40" s="24" t="str">
        <f t="shared" si="32"/>
        <v/>
      </c>
      <c r="BM40" s="24" t="str">
        <f>IF(G40=1,IF(TableCosts[[#This Row],[TransferFrom]]=TableCosts[[#This Row],[TranferTo]],0,1),"")</f>
        <v/>
      </c>
      <c r="BN40" s="24" t="str">
        <f t="shared" si="33"/>
        <v/>
      </c>
      <c r="BO40" s="24" t="str">
        <f t="shared" si="34"/>
        <v>*** prázdna ***</v>
      </c>
      <c r="BP40" s="24">
        <f t="shared" si="35"/>
        <v>0</v>
      </c>
    </row>
    <row r="41" spans="2:68" s="24" customFormat="1" ht="12.75" x14ac:dyDescent="0.2">
      <c r="B41" s="97"/>
      <c r="C41" s="92"/>
      <c r="D41" s="92"/>
      <c r="E41" s="92" t="s">
        <v>284</v>
      </c>
      <c r="F41" s="31" t="str">
        <f>IF(G41=1,IF(ISERROR(TableCosts[[#This Row],[N_Tariff]]),Err_Message1,IF(TableCosts[[#This Row],[N_Tariff]]=0,Err_Message2,VLOOKUP(C41&amp;TableCosts[[#This Row],[Calc_N_Typ]],TRAN_STRITEMS_LABEL,5,FALSE))),"")</f>
        <v/>
      </c>
      <c r="G41" s="31">
        <f t="shared" si="24"/>
        <v>0</v>
      </c>
      <c r="H41" s="31" t="str">
        <f>IF(G41=1,IFERROR(VLOOKUP(F41,Tab_ErrMessage[],2,0),VLOOKUP(C41&amp;TableCosts[[#This Row],[Calc_N_Typ]],TRAN_STRITEMS_LABEL,4,FALSE)),"")</f>
        <v/>
      </c>
      <c r="I41" s="94"/>
      <c r="J41" s="94"/>
      <c r="K41" s="9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4"/>
      <c r="AS41" s="84"/>
      <c r="AT41" s="84"/>
      <c r="AU41" s="84"/>
      <c r="AV41" s="84"/>
      <c r="AW41" s="84"/>
      <c r="AX41" s="87">
        <f t="array" ref="AX41">IF(G41=1,SUM((ROW(M0)=ROW(AW41))*(M0+M1_+M2_+M3_+M4_+M5_+M6_+M7_+M8_+M9_+M10_+M11_+M12_+M13_+M14_+M15_+M16_+M17_+M18_+M19_+M20_+M21_+M22_+M23_+M24_+M25_+M26_+M27_+M28_+M29_+M30_+M31_+M32_+M33_+M34_+M35_+M36_+M37_)),0)</f>
        <v>0</v>
      </c>
      <c r="AZ41" s="24" t="str">
        <f t="shared" si="25"/>
        <v/>
      </c>
      <c r="BA41" s="24" t="str">
        <f t="shared" si="26"/>
        <v/>
      </c>
      <c r="BB41" s="24" t="str">
        <f t="shared" si="27"/>
        <v/>
      </c>
      <c r="BC41" s="24" t="str">
        <f>IF(OR(E41="",LEFT(TableCosts[[#This Row],[Calc_N_Typ]],18)="Vynaložené náklady"),"",VLOOKUP(E41,Tab_Parts,2,0))</f>
        <v>Prophylaxis</v>
      </c>
      <c r="BD41" s="24" t="str">
        <f t="shared" si="28"/>
        <v/>
      </c>
      <c r="BE41" s="24">
        <f t="shared" si="29"/>
        <v>0</v>
      </c>
      <c r="BF41" s="72">
        <f>TableCosts[[#This Row],[N_Amount]]*TableCosts[[#This Row],[N_Tariff]]*TableCosts[[#This Row],[N_ItemsCount]]</f>
        <v>0</v>
      </c>
      <c r="BG41" s="72">
        <f>IF(G41=1,IF(TableCosts[[#This Row],[N_Kateg]]="interné práce",TableCosts[[#This Row],[N_Amount]]*8*PAR_SGA_PERHOUR,0),0)</f>
        <v>0</v>
      </c>
      <c r="BH41" s="72">
        <f>SUM(TableCosts[[#This Row],[N_Direct]:[N_SGA]])</f>
        <v>0</v>
      </c>
      <c r="BI41" s="24">
        <f>IF(G41=1,IF(OR(AND(NOT(ISERROR(VLOOKUP(TableCosts[[#This Row],[Calc_N_Typ]],Cis_WorkPositions,1,0))),C41&lt;&gt;"",D41&lt;&gt;"",E41&lt;&gt;""),AND(ISERROR(VLOOKUP(TableCosts[[#This Row],[Calc_N_Typ]],Cis_WorkPositions,1,0)),C41="",D41="",E41&lt;&gt;""),LEFT(TableCosts[[#This Row],[Calc_N_Typ]],18)="Vynaložené náklady"),VLOOKUP(C41&amp;TableCosts[[#This Row],[Calc_N_Typ]],TRAN_STRITEMS_LABEL,VLOOKUP(D41,Tab_Hours,3,0),0),NA()),0)</f>
        <v>0</v>
      </c>
      <c r="BJ41" s="24">
        <f t="shared" si="30"/>
        <v>0</v>
      </c>
      <c r="BK41" s="24" t="str">
        <f t="shared" si="31"/>
        <v/>
      </c>
      <c r="BL41" s="24" t="str">
        <f t="shared" si="32"/>
        <v/>
      </c>
      <c r="BM41" s="24" t="str">
        <f>IF(G41=1,IF(TableCosts[[#This Row],[TransferFrom]]=TableCosts[[#This Row],[TranferTo]],0,1),"")</f>
        <v/>
      </c>
      <c r="BN41" s="24" t="str">
        <f t="shared" si="33"/>
        <v/>
      </c>
      <c r="BO41" s="24">
        <f t="shared" si="34"/>
        <v>0</v>
      </c>
      <c r="BP41" s="24">
        <f t="shared" si="35"/>
        <v>0</v>
      </c>
    </row>
    <row r="42" spans="2:68" s="24" customFormat="1" ht="12.75" x14ac:dyDescent="0.2">
      <c r="B42" s="97"/>
      <c r="C42" s="92"/>
      <c r="D42" s="92"/>
      <c r="E42" s="92"/>
      <c r="F42" s="31" t="str">
        <f>IF(G42=1,IF(ISERROR(TableCosts[[#This Row],[N_Tariff]]),Err_Message1,IF(TableCosts[[#This Row],[N_Tariff]]=0,Err_Message2,VLOOKUP(C42&amp;TableCosts[[#This Row],[Calc_N_Typ]],TRAN_STRITEMS_LABEL,5,FALSE))),"")</f>
        <v/>
      </c>
      <c r="G42" s="31">
        <f t="shared" si="24"/>
        <v>0</v>
      </c>
      <c r="H42" s="31" t="str">
        <f>IF(G42=1,IFERROR(VLOOKUP(F42,Tab_ErrMessage[],2,0),VLOOKUP(C42&amp;TableCosts[[#This Row],[Calc_N_Typ]],TRAN_STRITEMS_LABEL,4,FALSE)),"")</f>
        <v/>
      </c>
      <c r="I42" s="94"/>
      <c r="J42" s="94"/>
      <c r="K42" s="9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4"/>
      <c r="AS42" s="84"/>
      <c r="AT42" s="84"/>
      <c r="AU42" s="84"/>
      <c r="AV42" s="84"/>
      <c r="AW42" s="84"/>
      <c r="AX42" s="87">
        <f t="array" ref="AX42">IF(G42=1,SUM((ROW(M0)=ROW(AW42))*(M0+M1_+M2_+M3_+M4_+M5_+M6_+M7_+M8_+M9_+M10_+M11_+M12_+M13_+M14_+M15_+M16_+M17_+M18_+M19_+M20_+M21_+M22_+M23_+M24_+M25_+M26_+M27_+M28_+M29_+M30_+M31_+M32_+M33_+M34_+M35_+M36_+M37_)),0)</f>
        <v>0</v>
      </c>
      <c r="AZ42" s="24" t="str">
        <f t="shared" si="25"/>
        <v/>
      </c>
      <c r="BA42" s="24" t="str">
        <f t="shared" si="26"/>
        <v/>
      </c>
      <c r="BB42" s="24" t="str">
        <f t="shared" si="27"/>
        <v/>
      </c>
      <c r="BC42" s="24" t="str">
        <f>IF(OR(E42="",LEFT(TableCosts[[#This Row],[Calc_N_Typ]],18)="Vynaložené náklady"),"",VLOOKUP(E42,Tab_Parts,2,0))</f>
        <v/>
      </c>
      <c r="BD42" s="24" t="str">
        <f t="shared" si="28"/>
        <v/>
      </c>
      <c r="BE42" s="24">
        <f t="shared" si="29"/>
        <v>0</v>
      </c>
      <c r="BF42" s="72">
        <f>TableCosts[[#This Row],[N_Amount]]*TableCosts[[#This Row],[N_Tariff]]*TableCosts[[#This Row],[N_ItemsCount]]</f>
        <v>0</v>
      </c>
      <c r="BG42" s="72">
        <f>IF(G42=1,IF(TableCosts[[#This Row],[N_Kateg]]="interné práce",TableCosts[[#This Row],[N_Amount]]*8*PAR_SGA_PERHOUR,0),0)</f>
        <v>0</v>
      </c>
      <c r="BH42" s="72">
        <f>SUM(TableCosts[[#This Row],[N_Direct]:[N_SGA]])</f>
        <v>0</v>
      </c>
      <c r="BI42" s="24">
        <f>IF(G42=1,IF(OR(AND(NOT(ISERROR(VLOOKUP(TableCosts[[#This Row],[Calc_N_Typ]],Cis_WorkPositions,1,0))),C42&lt;&gt;"",D42&lt;&gt;"",E42&lt;&gt;""),AND(ISERROR(VLOOKUP(TableCosts[[#This Row],[Calc_N_Typ]],Cis_WorkPositions,1,0)),C42="",D42="",E42&lt;&gt;""),LEFT(TableCosts[[#This Row],[Calc_N_Typ]],18)="Vynaložené náklady"),VLOOKUP(C42&amp;TableCosts[[#This Row],[Calc_N_Typ]],TRAN_STRITEMS_LABEL,VLOOKUP(D42,Tab_Hours,3,0),0),NA()),0)</f>
        <v>0</v>
      </c>
      <c r="BJ42" s="24">
        <f t="shared" si="30"/>
        <v>0</v>
      </c>
      <c r="BK42" s="24" t="str">
        <f t="shared" si="31"/>
        <v/>
      </c>
      <c r="BL42" s="24" t="str">
        <f t="shared" si="32"/>
        <v/>
      </c>
      <c r="BM42" s="24" t="str">
        <f>IF(G42=1,IF(TableCosts[[#This Row],[TransferFrom]]=TableCosts[[#This Row],[TranferTo]],0,1),"")</f>
        <v/>
      </c>
      <c r="BN42" s="24" t="str">
        <f t="shared" si="33"/>
        <v/>
      </c>
      <c r="BO42" s="24">
        <f t="shared" si="34"/>
        <v>0</v>
      </c>
      <c r="BP42" s="24">
        <f t="shared" si="35"/>
        <v>0</v>
      </c>
    </row>
    <row r="43" spans="2:68" s="24" customFormat="1" ht="12.75" x14ac:dyDescent="0.2">
      <c r="B43" s="97"/>
      <c r="C43" s="92"/>
      <c r="D43" s="92"/>
      <c r="E43" s="92"/>
      <c r="F43" s="31" t="str">
        <f>IF(G43=1,IF(ISERROR(TableCosts[[#This Row],[N_Tariff]]),Err_Message1,IF(TableCosts[[#This Row],[N_Tariff]]=0,Err_Message2,VLOOKUP(C43&amp;TableCosts[[#This Row],[Calc_N_Typ]],TRAN_STRITEMS_LABEL,5,FALSE))),"")</f>
        <v/>
      </c>
      <c r="G43" s="31">
        <f t="shared" si="24"/>
        <v>0</v>
      </c>
      <c r="H43" s="31" t="str">
        <f>IF(G43=1,IFERROR(VLOOKUP(F43,Tab_ErrMessage[],2,0),VLOOKUP(C43&amp;TableCosts[[#This Row],[Calc_N_Typ]],TRAN_STRITEMS_LABEL,4,FALSE)),"")</f>
        <v/>
      </c>
      <c r="I43" s="94"/>
      <c r="J43" s="94"/>
      <c r="K43" s="9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4"/>
      <c r="AS43" s="84"/>
      <c r="AT43" s="84"/>
      <c r="AU43" s="84"/>
      <c r="AV43" s="84"/>
      <c r="AW43" s="84"/>
      <c r="AX43" s="87">
        <f t="array" ref="AX43">IF(G43=1,SUM((ROW(M0)=ROW(AW43))*(M0+M1_+M2_+M3_+M4_+M5_+M6_+M7_+M8_+M9_+M10_+M11_+M12_+M13_+M14_+M15_+M16_+M17_+M18_+M19_+M20_+M21_+M22_+M23_+M24_+M25_+M26_+M27_+M28_+M29_+M30_+M31_+M32_+M33_+M34_+M35_+M36_+M37_)),0)</f>
        <v>0</v>
      </c>
      <c r="AZ43" s="24" t="str">
        <f t="shared" si="25"/>
        <v/>
      </c>
      <c r="BA43" s="24" t="str">
        <f t="shared" si="26"/>
        <v/>
      </c>
      <c r="BB43" s="24" t="str">
        <f t="shared" si="27"/>
        <v/>
      </c>
      <c r="BC43" s="24" t="str">
        <f>IF(OR(E43="",LEFT(TableCosts[[#This Row],[Calc_N_Typ]],18)="Vynaložené náklady"),"",VLOOKUP(E43,Tab_Parts,2,0))</f>
        <v/>
      </c>
      <c r="BD43" s="24" t="str">
        <f t="shared" si="28"/>
        <v/>
      </c>
      <c r="BE43" s="24">
        <f t="shared" si="29"/>
        <v>0</v>
      </c>
      <c r="BF43" s="72">
        <f>TableCosts[[#This Row],[N_Amount]]*TableCosts[[#This Row],[N_Tariff]]*TableCosts[[#This Row],[N_ItemsCount]]</f>
        <v>0</v>
      </c>
      <c r="BG43" s="72">
        <f>IF(G43=1,IF(TableCosts[[#This Row],[N_Kateg]]="interné práce",TableCosts[[#This Row],[N_Amount]]*8*PAR_SGA_PERHOUR,0),0)</f>
        <v>0</v>
      </c>
      <c r="BH43" s="72">
        <f>SUM(TableCosts[[#This Row],[N_Direct]:[N_SGA]])</f>
        <v>0</v>
      </c>
      <c r="BI43" s="24">
        <f>IF(G43=1,IF(OR(AND(NOT(ISERROR(VLOOKUP(TableCosts[[#This Row],[Calc_N_Typ]],Cis_WorkPositions,1,0))),C43&lt;&gt;"",D43&lt;&gt;"",E43&lt;&gt;""),AND(ISERROR(VLOOKUP(TableCosts[[#This Row],[Calc_N_Typ]],Cis_WorkPositions,1,0)),C43="",D43="",E43&lt;&gt;""),LEFT(TableCosts[[#This Row],[Calc_N_Typ]],18)="Vynaložené náklady"),VLOOKUP(C43&amp;TableCosts[[#This Row],[Calc_N_Typ]],TRAN_STRITEMS_LABEL,VLOOKUP(D43,Tab_Hours,3,0),0),NA()),0)</f>
        <v>0</v>
      </c>
      <c r="BJ43" s="24">
        <f t="shared" si="30"/>
        <v>0</v>
      </c>
      <c r="BK43" s="24" t="str">
        <f t="shared" si="31"/>
        <v/>
      </c>
      <c r="BL43" s="24" t="str">
        <f t="shared" si="32"/>
        <v/>
      </c>
      <c r="BM43" s="24" t="str">
        <f>IF(G43=1,IF(TableCosts[[#This Row],[TransferFrom]]=TableCosts[[#This Row],[TranferTo]],0,1),"")</f>
        <v/>
      </c>
      <c r="BN43" s="24" t="str">
        <f t="shared" si="33"/>
        <v/>
      </c>
      <c r="BO43" s="24">
        <f t="shared" si="34"/>
        <v>0</v>
      </c>
      <c r="BP43" s="24">
        <f t="shared" si="35"/>
        <v>0</v>
      </c>
    </row>
    <row r="44" spans="2:68" s="24" customFormat="1" ht="12.75" x14ac:dyDescent="0.2">
      <c r="B44" s="97"/>
      <c r="C44" s="92"/>
      <c r="D44" s="92"/>
      <c r="E44" s="92"/>
      <c r="F44" s="31" t="str">
        <f>IF(G44=1,IF(ISERROR(TableCosts[[#This Row],[N_Tariff]]),Err_Message1,IF(TableCosts[[#This Row],[N_Tariff]]=0,Err_Message2,VLOOKUP(C44&amp;TableCosts[[#This Row],[Calc_N_Typ]],TRAN_STRITEMS_LABEL,5,FALSE))),"")</f>
        <v/>
      </c>
      <c r="G44" s="31">
        <f t="shared" si="24"/>
        <v>0</v>
      </c>
      <c r="H44" s="31" t="str">
        <f>IF(G44=1,IFERROR(VLOOKUP(F44,Tab_ErrMessage[],2,0),VLOOKUP(C44&amp;TableCosts[[#This Row],[Calc_N_Typ]],TRAN_STRITEMS_LABEL,4,FALSE)),"")</f>
        <v/>
      </c>
      <c r="I44" s="94"/>
      <c r="J44" s="94"/>
      <c r="K44" s="9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  <c r="AI44" s="84"/>
      <c r="AJ44" s="84"/>
      <c r="AK44" s="84"/>
      <c r="AL44" s="84"/>
      <c r="AM44" s="84"/>
      <c r="AN44" s="84"/>
      <c r="AO44" s="84"/>
      <c r="AP44" s="84"/>
      <c r="AQ44" s="84"/>
      <c r="AR44" s="84"/>
      <c r="AS44" s="84"/>
      <c r="AT44" s="84"/>
      <c r="AU44" s="84"/>
      <c r="AV44" s="84"/>
      <c r="AW44" s="84"/>
      <c r="AX44" s="87">
        <f t="array" ref="AX44">IF(G44=1,SUM((ROW(M0)=ROW(AW44))*(M0+M1_+M2_+M3_+M4_+M5_+M6_+M7_+M8_+M9_+M10_+M11_+M12_+M13_+M14_+M15_+M16_+M17_+M18_+M19_+M20_+M21_+M22_+M23_+M24_+M25_+M26_+M27_+M28_+M29_+M30_+M31_+M32_+M33_+M34_+M35_+M36_+M37_)),0)</f>
        <v>0</v>
      </c>
      <c r="AZ44" s="24" t="str">
        <f t="shared" si="25"/>
        <v/>
      </c>
      <c r="BA44" s="24" t="str">
        <f t="shared" si="26"/>
        <v/>
      </c>
      <c r="BB44" s="24" t="str">
        <f t="shared" si="27"/>
        <v/>
      </c>
      <c r="BC44" s="24" t="str">
        <f>IF(OR(E44="",LEFT(TableCosts[[#This Row],[Calc_N_Typ]],18)="Vynaložené náklady"),"",VLOOKUP(E44,Tab_Parts,2,0))</f>
        <v/>
      </c>
      <c r="BD44" s="24" t="str">
        <f t="shared" si="28"/>
        <v/>
      </c>
      <c r="BE44" s="24">
        <f t="shared" si="29"/>
        <v>0</v>
      </c>
      <c r="BF44" s="72">
        <f>TableCosts[[#This Row],[N_Amount]]*TableCosts[[#This Row],[N_Tariff]]*TableCosts[[#This Row],[N_ItemsCount]]</f>
        <v>0</v>
      </c>
      <c r="BG44" s="72">
        <f>IF(G44=1,IF(TableCosts[[#This Row],[N_Kateg]]="interné práce",TableCosts[[#This Row],[N_Amount]]*8*PAR_SGA_PERHOUR,0),0)</f>
        <v>0</v>
      </c>
      <c r="BH44" s="72">
        <f>SUM(TableCosts[[#This Row],[N_Direct]:[N_SGA]])</f>
        <v>0</v>
      </c>
      <c r="BI44" s="24">
        <f>IF(G44=1,IF(OR(AND(NOT(ISERROR(VLOOKUP(TableCosts[[#This Row],[Calc_N_Typ]],Cis_WorkPositions,1,0))),C44&lt;&gt;"",D44&lt;&gt;"",E44&lt;&gt;""),AND(ISERROR(VLOOKUP(TableCosts[[#This Row],[Calc_N_Typ]],Cis_WorkPositions,1,0)),C44="",D44="",E44&lt;&gt;""),LEFT(TableCosts[[#This Row],[Calc_N_Typ]],18)="Vynaložené náklady"),VLOOKUP(C44&amp;TableCosts[[#This Row],[Calc_N_Typ]],TRAN_STRITEMS_LABEL,VLOOKUP(D44,Tab_Hours,3,0),0),NA()),0)</f>
        <v>0</v>
      </c>
      <c r="BJ44" s="24">
        <f t="shared" si="30"/>
        <v>0</v>
      </c>
      <c r="BK44" s="24" t="str">
        <f t="shared" si="31"/>
        <v/>
      </c>
      <c r="BL44" s="24" t="str">
        <f t="shared" si="32"/>
        <v/>
      </c>
      <c r="BM44" s="24" t="str">
        <f>IF(G44=1,IF(TableCosts[[#This Row],[TransferFrom]]=TableCosts[[#This Row],[TranferTo]],0,1),"")</f>
        <v/>
      </c>
      <c r="BN44" s="24" t="str">
        <f t="shared" si="33"/>
        <v/>
      </c>
      <c r="BO44" s="24">
        <f t="shared" si="34"/>
        <v>0</v>
      </c>
      <c r="BP44" s="24">
        <f t="shared" si="35"/>
        <v>0</v>
      </c>
    </row>
    <row r="45" spans="2:68" s="24" customFormat="1" ht="12.75" x14ac:dyDescent="0.2">
      <c r="B45" s="97"/>
      <c r="C45" s="92"/>
      <c r="D45" s="92"/>
      <c r="E45" s="92"/>
      <c r="F45" s="31" t="str">
        <f>IF(G45=1,IF(ISERROR(TableCosts[[#This Row],[N_Tariff]]),Err_Message1,IF(TableCosts[[#This Row],[N_Tariff]]=0,Err_Message2,VLOOKUP(C45&amp;TableCosts[[#This Row],[Calc_N_Typ]],TRAN_STRITEMS_LABEL,5,FALSE))),"")</f>
        <v/>
      </c>
      <c r="G45" s="31">
        <f t="shared" si="24"/>
        <v>0</v>
      </c>
      <c r="H45" s="31" t="str">
        <f>IF(G45=1,IFERROR(VLOOKUP(F45,Tab_ErrMessage[],2,0),VLOOKUP(C45&amp;TableCosts[[#This Row],[Calc_N_Typ]],TRAN_STRITEMS_LABEL,4,FALSE)),"")</f>
        <v/>
      </c>
      <c r="I45" s="94"/>
      <c r="J45" s="94"/>
      <c r="K45" s="9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4"/>
      <c r="AL45" s="84"/>
      <c r="AM45" s="84"/>
      <c r="AN45" s="84"/>
      <c r="AO45" s="84"/>
      <c r="AP45" s="84"/>
      <c r="AQ45" s="84"/>
      <c r="AR45" s="84"/>
      <c r="AS45" s="84"/>
      <c r="AT45" s="84"/>
      <c r="AU45" s="84"/>
      <c r="AV45" s="84"/>
      <c r="AW45" s="84"/>
      <c r="AX45" s="87">
        <f t="array" ref="AX45">IF(G45=1,SUM((ROW(M0)=ROW(AW45))*(M0+M1_+M2_+M3_+M4_+M5_+M6_+M7_+M8_+M9_+M10_+M11_+M12_+M13_+M14_+M15_+M16_+M17_+M18_+M19_+M20_+M21_+M22_+M23_+M24_+M25_+M26_+M27_+M28_+M29_+M30_+M31_+M32_+M33_+M34_+M35_+M36_+M37_)),0)</f>
        <v>0</v>
      </c>
      <c r="AZ45" s="24" t="str">
        <f t="shared" si="25"/>
        <v/>
      </c>
      <c r="BA45" s="24" t="str">
        <f t="shared" si="26"/>
        <v/>
      </c>
      <c r="BB45" s="24" t="str">
        <f t="shared" si="27"/>
        <v/>
      </c>
      <c r="BC45" s="24" t="str">
        <f>IF(OR(E45="",LEFT(TableCosts[[#This Row],[Calc_N_Typ]],18)="Vynaložené náklady"),"",VLOOKUP(E45,Tab_Parts,2,0))</f>
        <v/>
      </c>
      <c r="BD45" s="24" t="str">
        <f t="shared" si="28"/>
        <v/>
      </c>
      <c r="BE45" s="24">
        <f t="shared" si="29"/>
        <v>0</v>
      </c>
      <c r="BF45" s="72">
        <f>TableCosts[[#This Row],[N_Amount]]*TableCosts[[#This Row],[N_Tariff]]*TableCosts[[#This Row],[N_ItemsCount]]</f>
        <v>0</v>
      </c>
      <c r="BG45" s="72">
        <f>IF(G45=1,IF(TableCosts[[#This Row],[N_Kateg]]="interné práce",TableCosts[[#This Row],[N_Amount]]*8*PAR_SGA_PERHOUR,0),0)</f>
        <v>0</v>
      </c>
      <c r="BH45" s="72">
        <f>SUM(TableCosts[[#This Row],[N_Direct]:[N_SGA]])</f>
        <v>0</v>
      </c>
      <c r="BI45" s="24">
        <f>IF(G45=1,IF(OR(AND(NOT(ISERROR(VLOOKUP(TableCosts[[#This Row],[Calc_N_Typ]],Cis_WorkPositions,1,0))),C45&lt;&gt;"",D45&lt;&gt;"",E45&lt;&gt;""),AND(ISERROR(VLOOKUP(TableCosts[[#This Row],[Calc_N_Typ]],Cis_WorkPositions,1,0)),C45="",D45="",E45&lt;&gt;""),LEFT(TableCosts[[#This Row],[Calc_N_Typ]],18)="Vynaložené náklady"),VLOOKUP(C45&amp;TableCosts[[#This Row],[Calc_N_Typ]],TRAN_STRITEMS_LABEL,VLOOKUP(D45,Tab_Hours,3,0),0),NA()),0)</f>
        <v>0</v>
      </c>
      <c r="BJ45" s="24">
        <f t="shared" si="30"/>
        <v>0</v>
      </c>
      <c r="BK45" s="24" t="str">
        <f t="shared" si="31"/>
        <v/>
      </c>
      <c r="BL45" s="24" t="str">
        <f t="shared" si="32"/>
        <v/>
      </c>
      <c r="BM45" s="24" t="str">
        <f>IF(G45=1,IF(TableCosts[[#This Row],[TransferFrom]]=TableCosts[[#This Row],[TranferTo]],0,1),"")</f>
        <v/>
      </c>
      <c r="BN45" s="24" t="str">
        <f t="shared" si="33"/>
        <v/>
      </c>
      <c r="BO45" s="24">
        <f t="shared" si="34"/>
        <v>0</v>
      </c>
      <c r="BP45" s="24">
        <f t="shared" si="35"/>
        <v>0</v>
      </c>
    </row>
    <row r="46" spans="2:68" s="24" customFormat="1" ht="12.75" x14ac:dyDescent="0.2">
      <c r="B46" s="97"/>
      <c r="C46" s="92"/>
      <c r="D46" s="92"/>
      <c r="E46" s="92"/>
      <c r="F46" s="31" t="str">
        <f>IF(G46=1,IF(ISERROR(TableCosts[[#This Row],[N_Tariff]]),Err_Message1,IF(TableCosts[[#This Row],[N_Tariff]]=0,Err_Message2,VLOOKUP(C46&amp;TableCosts[[#This Row],[Calc_N_Typ]],TRAN_STRITEMS_LABEL,5,FALSE))),"")</f>
        <v/>
      </c>
      <c r="G46" s="31">
        <f t="shared" si="24"/>
        <v>0</v>
      </c>
      <c r="H46" s="31" t="str">
        <f>IF(G46=1,IFERROR(VLOOKUP(F46,Tab_ErrMessage[],2,0),VLOOKUP(C46&amp;TableCosts[[#This Row],[Calc_N_Typ]],TRAN_STRITEMS_LABEL,4,FALSE)),"")</f>
        <v/>
      </c>
      <c r="I46" s="94"/>
      <c r="J46" s="94"/>
      <c r="K46" s="9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4"/>
      <c r="AL46" s="84"/>
      <c r="AM46" s="84"/>
      <c r="AN46" s="84"/>
      <c r="AO46" s="84"/>
      <c r="AP46" s="84"/>
      <c r="AQ46" s="84"/>
      <c r="AR46" s="84"/>
      <c r="AS46" s="84"/>
      <c r="AT46" s="84"/>
      <c r="AU46" s="84"/>
      <c r="AV46" s="84"/>
      <c r="AW46" s="84"/>
      <c r="AX46" s="87">
        <f t="array" ref="AX46">IF(G46=1,SUM((ROW(M0)=ROW(AW46))*(M0+M1_+M2_+M3_+M4_+M5_+M6_+M7_+M8_+M9_+M10_+M11_+M12_+M13_+M14_+M15_+M16_+M17_+M18_+M19_+M20_+M21_+M22_+M23_+M24_+M25_+M26_+M27_+M28_+M29_+M30_+M31_+M32_+M33_+M34_+M35_+M36_+M37_)),0)</f>
        <v>0</v>
      </c>
      <c r="AZ46" s="24" t="str">
        <f t="shared" si="25"/>
        <v/>
      </c>
      <c r="BA46" s="24" t="str">
        <f t="shared" si="26"/>
        <v/>
      </c>
      <c r="BB46" s="24" t="str">
        <f t="shared" si="27"/>
        <v/>
      </c>
      <c r="BC46" s="24" t="str">
        <f>IF(OR(E46="",LEFT(TableCosts[[#This Row],[Calc_N_Typ]],18)="Vynaložené náklady"),"",VLOOKUP(E46,Tab_Parts,2,0))</f>
        <v/>
      </c>
      <c r="BD46" s="24" t="str">
        <f t="shared" si="28"/>
        <v/>
      </c>
      <c r="BE46" s="24">
        <f t="shared" si="29"/>
        <v>0</v>
      </c>
      <c r="BF46" s="72">
        <f>TableCosts[[#This Row],[N_Amount]]*TableCosts[[#This Row],[N_Tariff]]*TableCosts[[#This Row],[N_ItemsCount]]</f>
        <v>0</v>
      </c>
      <c r="BG46" s="72">
        <f>IF(G46=1,IF(TableCosts[[#This Row],[N_Kateg]]="interné práce",TableCosts[[#This Row],[N_Amount]]*8*PAR_SGA_PERHOUR,0),0)</f>
        <v>0</v>
      </c>
      <c r="BH46" s="72">
        <f>SUM(TableCosts[[#This Row],[N_Direct]:[N_SGA]])</f>
        <v>0</v>
      </c>
      <c r="BI46" s="24">
        <f>IF(G46=1,IF(OR(AND(NOT(ISERROR(VLOOKUP(TableCosts[[#This Row],[Calc_N_Typ]],Cis_WorkPositions,1,0))),C46&lt;&gt;"",D46&lt;&gt;"",E46&lt;&gt;""),AND(ISERROR(VLOOKUP(TableCosts[[#This Row],[Calc_N_Typ]],Cis_WorkPositions,1,0)),C46="",D46="",E46&lt;&gt;""),LEFT(TableCosts[[#This Row],[Calc_N_Typ]],18)="Vynaložené náklady"),VLOOKUP(C46&amp;TableCosts[[#This Row],[Calc_N_Typ]],TRAN_STRITEMS_LABEL,VLOOKUP(D46,Tab_Hours,3,0),0),NA()),0)</f>
        <v>0</v>
      </c>
      <c r="BJ46" s="24">
        <f t="shared" si="30"/>
        <v>0</v>
      </c>
      <c r="BK46" s="24" t="str">
        <f t="shared" si="31"/>
        <v/>
      </c>
      <c r="BL46" s="24" t="str">
        <f t="shared" si="32"/>
        <v/>
      </c>
      <c r="BM46" s="24" t="str">
        <f>IF(G46=1,IF(TableCosts[[#This Row],[TransferFrom]]=TableCosts[[#This Row],[TranferTo]],0,1),"")</f>
        <v/>
      </c>
      <c r="BN46" s="24" t="str">
        <f t="shared" si="33"/>
        <v/>
      </c>
      <c r="BO46" s="24">
        <f t="shared" si="34"/>
        <v>0</v>
      </c>
      <c r="BP46" s="24">
        <f t="shared" si="35"/>
        <v>0</v>
      </c>
    </row>
    <row r="47" spans="2:68" s="24" customFormat="1" ht="12.75" x14ac:dyDescent="0.2">
      <c r="B47" s="97"/>
      <c r="C47" s="92"/>
      <c r="D47" s="92"/>
      <c r="E47" s="92"/>
      <c r="F47" s="31" t="str">
        <f>IF(G47=1,IF(ISERROR(TableCosts[[#This Row],[N_Tariff]]),Err_Message1,IF(TableCosts[[#This Row],[N_Tariff]]=0,Err_Message2,VLOOKUP(C47&amp;TableCosts[[#This Row],[Calc_N_Typ]],TRAN_STRITEMS_LABEL,5,FALSE))),"")</f>
        <v/>
      </c>
      <c r="G47" s="31">
        <f t="shared" si="24"/>
        <v>0</v>
      </c>
      <c r="H47" s="31" t="str">
        <f>IF(G47=1,IFERROR(VLOOKUP(F47,Tab_ErrMessage[],2,0),VLOOKUP(C47&amp;TableCosts[[#This Row],[Calc_N_Typ]],TRAN_STRITEMS_LABEL,4,FALSE)),"")</f>
        <v/>
      </c>
      <c r="I47" s="94"/>
      <c r="J47" s="94"/>
      <c r="K47" s="9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4"/>
      <c r="AL47" s="84"/>
      <c r="AM47" s="84"/>
      <c r="AN47" s="84"/>
      <c r="AO47" s="84"/>
      <c r="AP47" s="84"/>
      <c r="AQ47" s="84"/>
      <c r="AR47" s="84"/>
      <c r="AS47" s="84"/>
      <c r="AT47" s="84"/>
      <c r="AU47" s="84"/>
      <c r="AV47" s="84"/>
      <c r="AW47" s="84"/>
      <c r="AX47" s="87">
        <f t="array" ref="AX47">IF(G47=1,SUM((ROW(M0)=ROW(AW47))*(M0+M1_+M2_+M3_+M4_+M5_+M6_+M7_+M8_+M9_+M10_+M11_+M12_+M13_+M14_+M15_+M16_+M17_+M18_+M19_+M20_+M21_+M22_+M23_+M24_+M25_+M26_+M27_+M28_+M29_+M30_+M31_+M32_+M33_+M34_+M35_+M36_+M37_)),0)</f>
        <v>0</v>
      </c>
      <c r="AZ47" s="24" t="str">
        <f t="shared" si="25"/>
        <v/>
      </c>
      <c r="BA47" s="24" t="str">
        <f t="shared" si="26"/>
        <v/>
      </c>
      <c r="BB47" s="24" t="str">
        <f t="shared" si="27"/>
        <v/>
      </c>
      <c r="BC47" s="24" t="str">
        <f>IF(OR(E47="",LEFT(TableCosts[[#This Row],[Calc_N_Typ]],18)="Vynaložené náklady"),"",VLOOKUP(E47,Tab_Parts,2,0))</f>
        <v/>
      </c>
      <c r="BD47" s="24" t="str">
        <f t="shared" si="28"/>
        <v/>
      </c>
      <c r="BE47" s="24">
        <f t="shared" si="29"/>
        <v>0</v>
      </c>
      <c r="BF47" s="72">
        <f>TableCosts[[#This Row],[N_Amount]]*TableCosts[[#This Row],[N_Tariff]]*TableCosts[[#This Row],[N_ItemsCount]]</f>
        <v>0</v>
      </c>
      <c r="BG47" s="72">
        <f>IF(G47=1,IF(TableCosts[[#This Row],[N_Kateg]]="interné práce",TableCosts[[#This Row],[N_Amount]]*8*PAR_SGA_PERHOUR,0),0)</f>
        <v>0</v>
      </c>
      <c r="BH47" s="72">
        <f>SUM(TableCosts[[#This Row],[N_Direct]:[N_SGA]])</f>
        <v>0</v>
      </c>
      <c r="BI47" s="24">
        <f>IF(G47=1,IF(OR(AND(NOT(ISERROR(VLOOKUP(TableCosts[[#This Row],[Calc_N_Typ]],Cis_WorkPositions,1,0))),C47&lt;&gt;"",D47&lt;&gt;"",E47&lt;&gt;""),AND(ISERROR(VLOOKUP(TableCosts[[#This Row],[Calc_N_Typ]],Cis_WorkPositions,1,0)),C47="",D47="",E47&lt;&gt;""),LEFT(TableCosts[[#This Row],[Calc_N_Typ]],18)="Vynaložené náklady"),VLOOKUP(C47&amp;TableCosts[[#This Row],[Calc_N_Typ]],TRAN_STRITEMS_LABEL,VLOOKUP(D47,Tab_Hours,3,0),0),NA()),0)</f>
        <v>0</v>
      </c>
      <c r="BJ47" s="24">
        <f t="shared" si="30"/>
        <v>0</v>
      </c>
      <c r="BK47" s="24" t="str">
        <f t="shared" si="31"/>
        <v/>
      </c>
      <c r="BL47" s="24" t="str">
        <f t="shared" si="32"/>
        <v/>
      </c>
      <c r="BM47" s="24" t="str">
        <f>IF(G47=1,IF(TableCosts[[#This Row],[TransferFrom]]=TableCosts[[#This Row],[TranferTo]],0,1),"")</f>
        <v/>
      </c>
      <c r="BN47" s="24" t="str">
        <f t="shared" si="33"/>
        <v/>
      </c>
      <c r="BO47" s="24">
        <f t="shared" si="34"/>
        <v>0</v>
      </c>
      <c r="BP47" s="24">
        <f t="shared" si="35"/>
        <v>0</v>
      </c>
    </row>
    <row r="48" spans="2:68" s="24" customFormat="1" ht="12.75" x14ac:dyDescent="0.2">
      <c r="B48" s="97"/>
      <c r="C48" s="92"/>
      <c r="D48" s="92"/>
      <c r="E48" s="92"/>
      <c r="F48" s="31" t="str">
        <f>IF(G48=1,IF(ISERROR(TableCosts[[#This Row],[N_Tariff]]),Err_Message1,IF(TableCosts[[#This Row],[N_Tariff]]=0,Err_Message2,VLOOKUP(C48&amp;TableCosts[[#This Row],[Calc_N_Typ]],TRAN_STRITEMS_LABEL,5,FALSE))),"")</f>
        <v/>
      </c>
      <c r="G48" s="31">
        <f t="shared" si="24"/>
        <v>0</v>
      </c>
      <c r="H48" s="31" t="str">
        <f>IF(G48=1,IFERROR(VLOOKUP(F48,Tab_ErrMessage[],2,0),VLOOKUP(C48&amp;TableCosts[[#This Row],[Calc_N_Typ]],TRAN_STRITEMS_LABEL,4,FALSE)),"")</f>
        <v/>
      </c>
      <c r="I48" s="94"/>
      <c r="J48" s="94"/>
      <c r="K48" s="9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84"/>
      <c r="AN48" s="84"/>
      <c r="AO48" s="84"/>
      <c r="AP48" s="84"/>
      <c r="AQ48" s="84"/>
      <c r="AR48" s="84"/>
      <c r="AS48" s="84"/>
      <c r="AT48" s="84"/>
      <c r="AU48" s="84"/>
      <c r="AV48" s="84"/>
      <c r="AW48" s="84"/>
      <c r="AX48" s="87">
        <f t="array" ref="AX48">IF(G48=1,SUM((ROW(M0)=ROW(AW48))*(M0+M1_+M2_+M3_+M4_+M5_+M6_+M7_+M8_+M9_+M10_+M11_+M12_+M13_+M14_+M15_+M16_+M17_+M18_+M19_+M20_+M21_+M22_+M23_+M24_+M25_+M26_+M27_+M28_+M29_+M30_+M31_+M32_+M33_+M34_+M35_+M36_+M37_)),0)</f>
        <v>0</v>
      </c>
      <c r="AZ48" s="24" t="str">
        <f t="shared" si="25"/>
        <v/>
      </c>
      <c r="BA48" s="24" t="str">
        <f t="shared" si="26"/>
        <v/>
      </c>
      <c r="BB48" s="24" t="str">
        <f t="shared" si="27"/>
        <v/>
      </c>
      <c r="BC48" s="24" t="str">
        <f>IF(OR(E48="",LEFT(TableCosts[[#This Row],[Calc_N_Typ]],18)="Vynaložené náklady"),"",VLOOKUP(E48,Tab_Parts,2,0))</f>
        <v/>
      </c>
      <c r="BD48" s="24" t="str">
        <f t="shared" si="28"/>
        <v/>
      </c>
      <c r="BE48" s="24">
        <f t="shared" si="29"/>
        <v>0</v>
      </c>
      <c r="BF48" s="72">
        <f>TableCosts[[#This Row],[N_Amount]]*TableCosts[[#This Row],[N_Tariff]]*TableCosts[[#This Row],[N_ItemsCount]]</f>
        <v>0</v>
      </c>
      <c r="BG48" s="72">
        <f>IF(G48=1,IF(TableCosts[[#This Row],[N_Kateg]]="interné práce",TableCosts[[#This Row],[N_Amount]]*8*PAR_SGA_PERHOUR,0),0)</f>
        <v>0</v>
      </c>
      <c r="BH48" s="72">
        <f>SUM(TableCosts[[#This Row],[N_Direct]:[N_SGA]])</f>
        <v>0</v>
      </c>
      <c r="BI48" s="24">
        <f>IF(G48=1,IF(OR(AND(NOT(ISERROR(VLOOKUP(TableCosts[[#This Row],[Calc_N_Typ]],Cis_WorkPositions,1,0))),C48&lt;&gt;"",D48&lt;&gt;"",E48&lt;&gt;""),AND(ISERROR(VLOOKUP(TableCosts[[#This Row],[Calc_N_Typ]],Cis_WorkPositions,1,0)),C48="",D48="",E48&lt;&gt;""),LEFT(TableCosts[[#This Row],[Calc_N_Typ]],18)="Vynaložené náklady"),VLOOKUP(C48&amp;TableCosts[[#This Row],[Calc_N_Typ]],TRAN_STRITEMS_LABEL,VLOOKUP(D48,Tab_Hours,3,0),0),NA()),0)</f>
        <v>0</v>
      </c>
      <c r="BJ48" s="24">
        <f t="shared" si="30"/>
        <v>0</v>
      </c>
      <c r="BK48" s="24" t="str">
        <f t="shared" si="31"/>
        <v/>
      </c>
      <c r="BL48" s="24" t="str">
        <f t="shared" si="32"/>
        <v/>
      </c>
      <c r="BM48" s="24" t="str">
        <f>IF(G48=1,IF(TableCosts[[#This Row],[TransferFrom]]=TableCosts[[#This Row],[TranferTo]],0,1),"")</f>
        <v/>
      </c>
      <c r="BN48" s="24" t="str">
        <f t="shared" si="33"/>
        <v/>
      </c>
      <c r="BO48" s="24">
        <f t="shared" si="34"/>
        <v>0</v>
      </c>
      <c r="BP48" s="24">
        <f t="shared" si="35"/>
        <v>0</v>
      </c>
    </row>
    <row r="49" spans="2:68" s="24" customFormat="1" ht="12.75" x14ac:dyDescent="0.2">
      <c r="B49" s="97"/>
      <c r="C49" s="92"/>
      <c r="D49" s="92"/>
      <c r="E49" s="92"/>
      <c r="F49" s="31" t="str">
        <f>IF(G49=1,IF(ISERROR(TableCosts[[#This Row],[N_Tariff]]),Err_Message1,IF(TableCosts[[#This Row],[N_Tariff]]=0,Err_Message2,VLOOKUP(C49&amp;TableCosts[[#This Row],[Calc_N_Typ]],TRAN_STRITEMS_LABEL,5,FALSE))),"")</f>
        <v/>
      </c>
      <c r="G49" s="31">
        <f t="shared" si="24"/>
        <v>0</v>
      </c>
      <c r="H49" s="31" t="str">
        <f>IF(G49=1,IFERROR(VLOOKUP(F49,Tab_ErrMessage[],2,0),VLOOKUP(C49&amp;TableCosts[[#This Row],[Calc_N_Typ]],TRAN_STRITEMS_LABEL,4,FALSE)),"")</f>
        <v/>
      </c>
      <c r="I49" s="94"/>
      <c r="J49" s="94"/>
      <c r="K49" s="9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  <c r="AL49" s="84"/>
      <c r="AM49" s="84"/>
      <c r="AN49" s="84"/>
      <c r="AO49" s="84"/>
      <c r="AP49" s="84"/>
      <c r="AQ49" s="84"/>
      <c r="AR49" s="84"/>
      <c r="AS49" s="84"/>
      <c r="AT49" s="84"/>
      <c r="AU49" s="84"/>
      <c r="AV49" s="84"/>
      <c r="AW49" s="84"/>
      <c r="AX49" s="87">
        <f t="array" ref="AX49">IF(G49=1,SUM((ROW(M0)=ROW(AW49))*(M0+M1_+M2_+M3_+M4_+M5_+M6_+M7_+M8_+M9_+M10_+M11_+M12_+M13_+M14_+M15_+M16_+M17_+M18_+M19_+M20_+M21_+M22_+M23_+M24_+M25_+M26_+M27_+M28_+M29_+M30_+M31_+M32_+M33_+M34_+M35_+M36_+M37_)),0)</f>
        <v>0</v>
      </c>
      <c r="AZ49" s="24" t="str">
        <f t="shared" si="25"/>
        <v/>
      </c>
      <c r="BA49" s="24" t="str">
        <f t="shared" si="26"/>
        <v/>
      </c>
      <c r="BB49" s="24" t="str">
        <f t="shared" si="27"/>
        <v/>
      </c>
      <c r="BC49" s="24" t="str">
        <f>IF(OR(E49="",LEFT(TableCosts[[#This Row],[Calc_N_Typ]],18)="Vynaložené náklady"),"",VLOOKUP(E49,Tab_Parts,2,0))</f>
        <v/>
      </c>
      <c r="BD49" s="24" t="str">
        <f t="shared" si="28"/>
        <v/>
      </c>
      <c r="BE49" s="24">
        <f t="shared" si="29"/>
        <v>0</v>
      </c>
      <c r="BF49" s="72">
        <f>TableCosts[[#This Row],[N_Amount]]*TableCosts[[#This Row],[N_Tariff]]*TableCosts[[#This Row],[N_ItemsCount]]</f>
        <v>0</v>
      </c>
      <c r="BG49" s="72">
        <f>IF(G49=1,IF(TableCosts[[#This Row],[N_Kateg]]="interné práce",TableCosts[[#This Row],[N_Amount]]*8*PAR_SGA_PERHOUR,0),0)</f>
        <v>0</v>
      </c>
      <c r="BH49" s="72">
        <f>SUM(TableCosts[[#This Row],[N_Direct]:[N_SGA]])</f>
        <v>0</v>
      </c>
      <c r="BI49" s="24">
        <f>IF(G49=1,IF(OR(AND(NOT(ISERROR(VLOOKUP(TableCosts[[#This Row],[Calc_N_Typ]],Cis_WorkPositions,1,0))),C49&lt;&gt;"",D49&lt;&gt;"",E49&lt;&gt;""),AND(ISERROR(VLOOKUP(TableCosts[[#This Row],[Calc_N_Typ]],Cis_WorkPositions,1,0)),C49="",D49="",E49&lt;&gt;""),LEFT(TableCosts[[#This Row],[Calc_N_Typ]],18)="Vynaložené náklady"),VLOOKUP(C49&amp;TableCosts[[#This Row],[Calc_N_Typ]],TRAN_STRITEMS_LABEL,VLOOKUP(D49,Tab_Hours,3,0),0),NA()),0)</f>
        <v>0</v>
      </c>
      <c r="BJ49" s="24">
        <f t="shared" si="30"/>
        <v>0</v>
      </c>
      <c r="BK49" s="24" t="str">
        <f t="shared" si="31"/>
        <v/>
      </c>
      <c r="BL49" s="24" t="str">
        <f t="shared" si="32"/>
        <v/>
      </c>
      <c r="BM49" s="24" t="str">
        <f>IF(G49=1,IF(TableCosts[[#This Row],[TransferFrom]]=TableCosts[[#This Row],[TranferTo]],0,1),"")</f>
        <v/>
      </c>
      <c r="BN49" s="24" t="str">
        <f t="shared" si="33"/>
        <v/>
      </c>
      <c r="BO49" s="24">
        <f t="shared" si="34"/>
        <v>0</v>
      </c>
      <c r="BP49" s="24">
        <f t="shared" si="35"/>
        <v>0</v>
      </c>
    </row>
    <row r="50" spans="2:68" s="24" customFormat="1" ht="12.75" x14ac:dyDescent="0.2">
      <c r="B50" s="97"/>
      <c r="C50" s="92"/>
      <c r="D50" s="92"/>
      <c r="E50" s="92"/>
      <c r="F50" s="31" t="str">
        <f>IF(G50=1,IF(ISERROR(TableCosts[[#This Row],[N_Tariff]]),Err_Message1,IF(TableCosts[[#This Row],[N_Tariff]]=0,Err_Message2,VLOOKUP(C50&amp;TableCosts[[#This Row],[Calc_N_Typ]],TRAN_STRITEMS_LABEL,5,FALSE))),"")</f>
        <v/>
      </c>
      <c r="G50" s="31">
        <f t="shared" si="24"/>
        <v>0</v>
      </c>
      <c r="H50" s="31" t="str">
        <f>IF(G50=1,IFERROR(VLOOKUP(F50,Tab_ErrMessage[],2,0),VLOOKUP(C50&amp;TableCosts[[#This Row],[Calc_N_Typ]],TRAN_STRITEMS_LABEL,4,FALSE)),"")</f>
        <v/>
      </c>
      <c r="I50" s="94"/>
      <c r="J50" s="94"/>
      <c r="K50" s="9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7">
        <f t="array" ref="AX50">IF(G50=1,SUM((ROW(M0)=ROW(AW50))*(M0+M1_+M2_+M3_+M4_+M5_+M6_+M7_+M8_+M9_+M10_+M11_+M12_+M13_+M14_+M15_+M16_+M17_+M18_+M19_+M20_+M21_+M22_+M23_+M24_+M25_+M26_+M27_+M28_+M29_+M30_+M31_+M32_+M33_+M34_+M35_+M36_+M37_)),0)</f>
        <v>0</v>
      </c>
      <c r="AZ50" s="24" t="str">
        <f t="shared" si="25"/>
        <v/>
      </c>
      <c r="BA50" s="24" t="str">
        <f t="shared" si="26"/>
        <v/>
      </c>
      <c r="BB50" s="24" t="str">
        <f t="shared" si="27"/>
        <v/>
      </c>
      <c r="BC50" s="24" t="str">
        <f>IF(OR(E50="",LEFT(TableCosts[[#This Row],[Calc_N_Typ]],18)="Vynaložené náklady"),"",VLOOKUP(E50,Tab_Parts,2,0))</f>
        <v/>
      </c>
      <c r="BD50" s="24" t="str">
        <f t="shared" si="28"/>
        <v/>
      </c>
      <c r="BE50" s="24">
        <f t="shared" si="29"/>
        <v>0</v>
      </c>
      <c r="BF50" s="72">
        <f>TableCosts[[#This Row],[N_Amount]]*TableCosts[[#This Row],[N_Tariff]]*TableCosts[[#This Row],[N_ItemsCount]]</f>
        <v>0</v>
      </c>
      <c r="BG50" s="72">
        <f>IF(G50=1,IF(TableCosts[[#This Row],[N_Kateg]]="interné práce",TableCosts[[#This Row],[N_Amount]]*8*PAR_SGA_PERHOUR,0),0)</f>
        <v>0</v>
      </c>
      <c r="BH50" s="72">
        <f>SUM(TableCosts[[#This Row],[N_Direct]:[N_SGA]])</f>
        <v>0</v>
      </c>
      <c r="BI50" s="24">
        <f>IF(G50=1,IF(OR(AND(NOT(ISERROR(VLOOKUP(TableCosts[[#This Row],[Calc_N_Typ]],Cis_WorkPositions,1,0))),C50&lt;&gt;"",D50&lt;&gt;"",E50&lt;&gt;""),AND(ISERROR(VLOOKUP(TableCosts[[#This Row],[Calc_N_Typ]],Cis_WorkPositions,1,0)),C50="",D50="",E50&lt;&gt;""),LEFT(TableCosts[[#This Row],[Calc_N_Typ]],18)="Vynaložené náklady"),VLOOKUP(C50&amp;TableCosts[[#This Row],[Calc_N_Typ]],TRAN_STRITEMS_LABEL,VLOOKUP(D50,Tab_Hours,3,0),0),NA()),0)</f>
        <v>0</v>
      </c>
      <c r="BJ50" s="24">
        <f t="shared" si="30"/>
        <v>0</v>
      </c>
      <c r="BK50" s="24" t="str">
        <f t="shared" si="31"/>
        <v/>
      </c>
      <c r="BL50" s="24" t="str">
        <f t="shared" si="32"/>
        <v/>
      </c>
      <c r="BM50" s="24" t="str">
        <f>IF(G50=1,IF(TableCosts[[#This Row],[TransferFrom]]=TableCosts[[#This Row],[TranferTo]],0,1),"")</f>
        <v/>
      </c>
      <c r="BN50" s="24" t="str">
        <f t="shared" si="33"/>
        <v/>
      </c>
      <c r="BO50" s="24">
        <f t="shared" si="34"/>
        <v>0</v>
      </c>
      <c r="BP50" s="24">
        <f t="shared" si="35"/>
        <v>0</v>
      </c>
    </row>
    <row r="51" spans="2:68" s="24" customFormat="1" ht="12.75" x14ac:dyDescent="0.2">
      <c r="B51" s="97"/>
      <c r="C51" s="92"/>
      <c r="D51" s="92"/>
      <c r="E51" s="92"/>
      <c r="F51" s="31" t="str">
        <f>IF(G51=1,IF(ISERROR(TableCosts[[#This Row],[N_Tariff]]),Err_Message1,IF(TableCosts[[#This Row],[N_Tariff]]=0,Err_Message2,VLOOKUP(C51&amp;TableCosts[[#This Row],[Calc_N_Typ]],TRAN_STRITEMS_LABEL,5,FALSE))),"")</f>
        <v/>
      </c>
      <c r="G51" s="31">
        <f t="shared" si="24"/>
        <v>0</v>
      </c>
      <c r="H51" s="31" t="str">
        <f>IF(G51=1,IFERROR(VLOOKUP(F51,Tab_ErrMessage[],2,0),VLOOKUP(C51&amp;TableCosts[[#This Row],[Calc_N_Typ]],TRAN_STRITEMS_LABEL,4,FALSE)),"")</f>
        <v/>
      </c>
      <c r="I51" s="94"/>
      <c r="J51" s="94"/>
      <c r="K51" s="9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4"/>
      <c r="AL51" s="84"/>
      <c r="AM51" s="84"/>
      <c r="AN51" s="84"/>
      <c r="AO51" s="84"/>
      <c r="AP51" s="84"/>
      <c r="AQ51" s="84"/>
      <c r="AR51" s="84"/>
      <c r="AS51" s="84"/>
      <c r="AT51" s="84"/>
      <c r="AU51" s="84"/>
      <c r="AV51" s="84"/>
      <c r="AW51" s="84"/>
      <c r="AX51" s="87">
        <f t="array" ref="AX51">IF(G51=1,SUM((ROW(M0)=ROW(AW51))*(M0+M1_+M2_+M3_+M4_+M5_+M6_+M7_+M8_+M9_+M10_+M11_+M12_+M13_+M14_+M15_+M16_+M17_+M18_+M19_+M20_+M21_+M22_+M23_+M24_+M25_+M26_+M27_+M28_+M29_+M30_+M31_+M32_+M33_+M34_+M35_+M36_+M37_)),0)</f>
        <v>0</v>
      </c>
      <c r="AZ51" s="24" t="str">
        <f t="shared" si="25"/>
        <v/>
      </c>
      <c r="BA51" s="24" t="str">
        <f t="shared" si="26"/>
        <v/>
      </c>
      <c r="BB51" s="24" t="str">
        <f t="shared" si="27"/>
        <v/>
      </c>
      <c r="BC51" s="24" t="str">
        <f>IF(OR(E51="",LEFT(TableCosts[[#This Row],[Calc_N_Typ]],18)="Vynaložené náklady"),"",VLOOKUP(E51,Tab_Parts,2,0))</f>
        <v/>
      </c>
      <c r="BD51" s="24" t="str">
        <f t="shared" si="28"/>
        <v/>
      </c>
      <c r="BE51" s="24">
        <f t="shared" si="29"/>
        <v>0</v>
      </c>
      <c r="BF51" s="72">
        <f>TableCosts[[#This Row],[N_Amount]]*TableCosts[[#This Row],[N_Tariff]]*TableCosts[[#This Row],[N_ItemsCount]]</f>
        <v>0</v>
      </c>
      <c r="BG51" s="72">
        <f>IF(G51=1,IF(TableCosts[[#This Row],[N_Kateg]]="interné práce",TableCosts[[#This Row],[N_Amount]]*8*PAR_SGA_PERHOUR,0),0)</f>
        <v>0</v>
      </c>
      <c r="BH51" s="72">
        <f>SUM(TableCosts[[#This Row],[N_Direct]:[N_SGA]])</f>
        <v>0</v>
      </c>
      <c r="BI51" s="24">
        <f>IF(G51=1,IF(OR(AND(NOT(ISERROR(VLOOKUP(TableCosts[[#This Row],[Calc_N_Typ]],Cis_WorkPositions,1,0))),C51&lt;&gt;"",D51&lt;&gt;"",E51&lt;&gt;""),AND(ISERROR(VLOOKUP(TableCosts[[#This Row],[Calc_N_Typ]],Cis_WorkPositions,1,0)),C51="",D51="",E51&lt;&gt;""),LEFT(TableCosts[[#This Row],[Calc_N_Typ]],18)="Vynaložené náklady"),VLOOKUP(C51&amp;TableCosts[[#This Row],[Calc_N_Typ]],TRAN_STRITEMS_LABEL,VLOOKUP(D51,Tab_Hours,3,0),0),NA()),0)</f>
        <v>0</v>
      </c>
      <c r="BJ51" s="24">
        <f t="shared" si="30"/>
        <v>0</v>
      </c>
      <c r="BK51" s="24" t="str">
        <f t="shared" si="31"/>
        <v/>
      </c>
      <c r="BL51" s="24" t="str">
        <f t="shared" si="32"/>
        <v/>
      </c>
      <c r="BM51" s="24" t="str">
        <f>IF(G51=1,IF(TableCosts[[#This Row],[TransferFrom]]=TableCosts[[#This Row],[TranferTo]],0,1),"")</f>
        <v/>
      </c>
      <c r="BN51" s="24" t="str">
        <f t="shared" si="33"/>
        <v/>
      </c>
      <c r="BO51" s="24">
        <f t="shared" si="34"/>
        <v>0</v>
      </c>
      <c r="BP51" s="24">
        <f t="shared" si="35"/>
        <v>0</v>
      </c>
    </row>
    <row r="52" spans="2:68" s="24" customFormat="1" ht="12.75" x14ac:dyDescent="0.2">
      <c r="B52" s="97"/>
      <c r="C52" s="92"/>
      <c r="D52" s="92"/>
      <c r="E52" s="92"/>
      <c r="F52" s="31" t="str">
        <f>IF(G52=1,IF(ISERROR(TableCosts[[#This Row],[N_Tariff]]),Err_Message1,IF(TableCosts[[#This Row],[N_Tariff]]=0,Err_Message2,VLOOKUP(C52&amp;TableCosts[[#This Row],[Calc_N_Typ]],TRAN_STRITEMS_LABEL,5,FALSE))),"")</f>
        <v/>
      </c>
      <c r="G52" s="31">
        <f t="shared" si="24"/>
        <v>0</v>
      </c>
      <c r="H52" s="31" t="str">
        <f>IF(G52=1,IFERROR(VLOOKUP(F52,Tab_ErrMessage[],2,0),VLOOKUP(C52&amp;TableCosts[[#This Row],[Calc_N_Typ]],TRAN_STRITEMS_LABEL,4,FALSE)),"")</f>
        <v/>
      </c>
      <c r="I52" s="94"/>
      <c r="J52" s="94"/>
      <c r="K52" s="9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  <c r="AM52" s="84"/>
      <c r="AN52" s="84"/>
      <c r="AO52" s="84"/>
      <c r="AP52" s="84"/>
      <c r="AQ52" s="84"/>
      <c r="AR52" s="84"/>
      <c r="AS52" s="84"/>
      <c r="AT52" s="84"/>
      <c r="AU52" s="84"/>
      <c r="AV52" s="84"/>
      <c r="AW52" s="84"/>
      <c r="AX52" s="87">
        <f t="array" ref="AX52">IF(G52=1,SUM((ROW(M0)=ROW(AW52))*(M0+M1_+M2_+M3_+M4_+M5_+M6_+M7_+M8_+M9_+M10_+M11_+M12_+M13_+M14_+M15_+M16_+M17_+M18_+M19_+M20_+M21_+M22_+M23_+M24_+M25_+M26_+M27_+M28_+M29_+M30_+M31_+M32_+M33_+M34_+M35_+M36_+M37_)),0)</f>
        <v>0</v>
      </c>
      <c r="AZ52" s="24" t="str">
        <f t="shared" si="25"/>
        <v/>
      </c>
      <c r="BA52" s="24" t="str">
        <f t="shared" si="26"/>
        <v/>
      </c>
      <c r="BB52" s="24" t="str">
        <f t="shared" si="27"/>
        <v/>
      </c>
      <c r="BC52" s="24" t="str">
        <f>IF(OR(E52="",LEFT(TableCosts[[#This Row],[Calc_N_Typ]],18)="Vynaložené náklady"),"",VLOOKUP(E52,Tab_Parts,2,0))</f>
        <v/>
      </c>
      <c r="BD52" s="24" t="str">
        <f t="shared" si="28"/>
        <v/>
      </c>
      <c r="BE52" s="24">
        <f t="shared" si="29"/>
        <v>0</v>
      </c>
      <c r="BF52" s="72">
        <f>TableCosts[[#This Row],[N_Amount]]*TableCosts[[#This Row],[N_Tariff]]*TableCosts[[#This Row],[N_ItemsCount]]</f>
        <v>0</v>
      </c>
      <c r="BG52" s="72">
        <f>IF(G52=1,IF(TableCosts[[#This Row],[N_Kateg]]="interné práce",TableCosts[[#This Row],[N_Amount]]*8*PAR_SGA_PERHOUR,0),0)</f>
        <v>0</v>
      </c>
      <c r="BH52" s="72">
        <f>SUM(TableCosts[[#This Row],[N_Direct]:[N_SGA]])</f>
        <v>0</v>
      </c>
      <c r="BI52" s="24">
        <f>IF(G52=1,IF(OR(AND(NOT(ISERROR(VLOOKUP(TableCosts[[#This Row],[Calc_N_Typ]],Cis_WorkPositions,1,0))),C52&lt;&gt;"",D52&lt;&gt;"",E52&lt;&gt;""),AND(ISERROR(VLOOKUP(TableCosts[[#This Row],[Calc_N_Typ]],Cis_WorkPositions,1,0)),C52="",D52="",E52&lt;&gt;""),LEFT(TableCosts[[#This Row],[Calc_N_Typ]],18)="Vynaložené náklady"),VLOOKUP(C52&amp;TableCosts[[#This Row],[Calc_N_Typ]],TRAN_STRITEMS_LABEL,VLOOKUP(D52,Tab_Hours,3,0),0),NA()),0)</f>
        <v>0</v>
      </c>
      <c r="BJ52" s="24">
        <f t="shared" si="30"/>
        <v>0</v>
      </c>
      <c r="BK52" s="24" t="str">
        <f t="shared" si="31"/>
        <v/>
      </c>
      <c r="BL52" s="24" t="str">
        <f t="shared" si="32"/>
        <v/>
      </c>
      <c r="BM52" s="24" t="str">
        <f>IF(G52=1,IF(TableCosts[[#This Row],[TransferFrom]]=TableCosts[[#This Row],[TranferTo]],0,1),"")</f>
        <v/>
      </c>
      <c r="BN52" s="24" t="str">
        <f t="shared" si="33"/>
        <v/>
      </c>
      <c r="BO52" s="24">
        <f t="shared" si="34"/>
        <v>0</v>
      </c>
      <c r="BP52" s="24">
        <f t="shared" si="35"/>
        <v>0</v>
      </c>
    </row>
    <row r="53" spans="2:68" s="24" customFormat="1" ht="12.75" x14ac:dyDescent="0.2">
      <c r="B53" s="97"/>
      <c r="C53" s="92"/>
      <c r="D53" s="92"/>
      <c r="E53" s="92"/>
      <c r="F53" s="31" t="str">
        <f>IF(G53=1,IF(ISERROR(TableCosts[[#This Row],[N_Tariff]]),Err_Message1,IF(TableCosts[[#This Row],[N_Tariff]]=0,Err_Message2,VLOOKUP(C53&amp;TableCosts[[#This Row],[Calc_N_Typ]],TRAN_STRITEMS_LABEL,5,FALSE))),"")</f>
        <v/>
      </c>
      <c r="G53" s="31">
        <f t="shared" si="24"/>
        <v>0</v>
      </c>
      <c r="H53" s="31" t="str">
        <f>IF(G53=1,IFERROR(VLOOKUP(F53,Tab_ErrMessage[],2,0),VLOOKUP(C53&amp;TableCosts[[#This Row],[Calc_N_Typ]],TRAN_STRITEMS_LABEL,4,FALSE)),"")</f>
        <v/>
      </c>
      <c r="I53" s="94"/>
      <c r="J53" s="94"/>
      <c r="K53" s="9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4"/>
      <c r="AL53" s="84"/>
      <c r="AM53" s="84"/>
      <c r="AN53" s="84"/>
      <c r="AO53" s="84"/>
      <c r="AP53" s="84"/>
      <c r="AQ53" s="84"/>
      <c r="AR53" s="84"/>
      <c r="AS53" s="84"/>
      <c r="AT53" s="84"/>
      <c r="AU53" s="84"/>
      <c r="AV53" s="84"/>
      <c r="AW53" s="84"/>
      <c r="AX53" s="87">
        <f t="array" ref="AX53">IF(G53=1,SUM((ROW(M0)=ROW(AW53))*(M0+M1_+M2_+M3_+M4_+M5_+M6_+M7_+M8_+M9_+M10_+M11_+M12_+M13_+M14_+M15_+M16_+M17_+M18_+M19_+M20_+M21_+M22_+M23_+M24_+M25_+M26_+M27_+M28_+M29_+M30_+M31_+M32_+M33_+M34_+M35_+M36_+M37_)),0)</f>
        <v>0</v>
      </c>
      <c r="AZ53" s="24" t="str">
        <f t="shared" si="25"/>
        <v/>
      </c>
      <c r="BA53" s="24" t="str">
        <f t="shared" si="26"/>
        <v/>
      </c>
      <c r="BB53" s="24" t="str">
        <f t="shared" si="27"/>
        <v/>
      </c>
      <c r="BC53" s="24" t="str">
        <f>IF(OR(E53="",LEFT(TableCosts[[#This Row],[Calc_N_Typ]],18)="Vynaložené náklady"),"",VLOOKUP(E53,Tab_Parts,2,0))</f>
        <v/>
      </c>
      <c r="BD53" s="24" t="str">
        <f t="shared" si="28"/>
        <v/>
      </c>
      <c r="BE53" s="24">
        <f t="shared" si="29"/>
        <v>0</v>
      </c>
      <c r="BF53" s="72">
        <f>TableCosts[[#This Row],[N_Amount]]*TableCosts[[#This Row],[N_Tariff]]*TableCosts[[#This Row],[N_ItemsCount]]</f>
        <v>0</v>
      </c>
      <c r="BG53" s="72">
        <f>IF(G53=1,IF(TableCosts[[#This Row],[N_Kateg]]="interné práce",TableCosts[[#This Row],[N_Amount]]*8*PAR_SGA_PERHOUR,0),0)</f>
        <v>0</v>
      </c>
      <c r="BH53" s="72">
        <f>SUM(TableCosts[[#This Row],[N_Direct]:[N_SGA]])</f>
        <v>0</v>
      </c>
      <c r="BI53" s="24">
        <f>IF(G53=1,IF(OR(AND(NOT(ISERROR(VLOOKUP(TableCosts[[#This Row],[Calc_N_Typ]],Cis_WorkPositions,1,0))),C53&lt;&gt;"",D53&lt;&gt;"",E53&lt;&gt;""),AND(ISERROR(VLOOKUP(TableCosts[[#This Row],[Calc_N_Typ]],Cis_WorkPositions,1,0)),C53="",D53="",E53&lt;&gt;""),LEFT(TableCosts[[#This Row],[Calc_N_Typ]],18)="Vynaložené náklady"),VLOOKUP(C53&amp;TableCosts[[#This Row],[Calc_N_Typ]],TRAN_STRITEMS_LABEL,VLOOKUP(D53,Tab_Hours,3,0),0),NA()),0)</f>
        <v>0</v>
      </c>
      <c r="BJ53" s="24">
        <f t="shared" si="30"/>
        <v>0</v>
      </c>
      <c r="BK53" s="24" t="str">
        <f t="shared" si="31"/>
        <v/>
      </c>
      <c r="BL53" s="24" t="str">
        <f t="shared" si="32"/>
        <v/>
      </c>
      <c r="BM53" s="24" t="str">
        <f>IF(G53=1,IF(TableCosts[[#This Row],[TransferFrom]]=TableCosts[[#This Row],[TranferTo]],0,1),"")</f>
        <v/>
      </c>
      <c r="BN53" s="24" t="str">
        <f t="shared" si="33"/>
        <v/>
      </c>
      <c r="BO53" s="24">
        <f t="shared" si="34"/>
        <v>0</v>
      </c>
      <c r="BP53" s="24">
        <f t="shared" si="35"/>
        <v>0</v>
      </c>
    </row>
    <row r="54" spans="2:68" s="24" customFormat="1" ht="12.75" x14ac:dyDescent="0.2">
      <c r="B54" s="97"/>
      <c r="C54" s="92"/>
      <c r="D54" s="92"/>
      <c r="E54" s="92"/>
      <c r="F54" s="31" t="str">
        <f>IF(G54=1,IF(ISERROR(TableCosts[[#This Row],[N_Tariff]]),Err_Message1,IF(TableCosts[[#This Row],[N_Tariff]]=0,Err_Message2,VLOOKUP(C54&amp;TableCosts[[#This Row],[Calc_N_Typ]],TRAN_STRITEMS_LABEL,5,FALSE))),"")</f>
        <v/>
      </c>
      <c r="G54" s="31">
        <f t="shared" si="24"/>
        <v>0</v>
      </c>
      <c r="H54" s="31" t="str">
        <f>IF(G54=1,IFERROR(VLOOKUP(F54,Tab_ErrMessage[],2,0),VLOOKUP(C54&amp;TableCosts[[#This Row],[Calc_N_Typ]],TRAN_STRITEMS_LABEL,4,FALSE)),"")</f>
        <v/>
      </c>
      <c r="I54" s="94"/>
      <c r="J54" s="94"/>
      <c r="K54" s="9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84"/>
      <c r="AN54" s="84"/>
      <c r="AO54" s="84"/>
      <c r="AP54" s="84"/>
      <c r="AQ54" s="84"/>
      <c r="AR54" s="84"/>
      <c r="AS54" s="84"/>
      <c r="AT54" s="84"/>
      <c r="AU54" s="84"/>
      <c r="AV54" s="84"/>
      <c r="AW54" s="84"/>
      <c r="AX54" s="87">
        <f t="array" ref="AX54">IF(G54=1,SUM((ROW(M0)=ROW(AW54))*(M0+M1_+M2_+M3_+M4_+M5_+M6_+M7_+M8_+M9_+M10_+M11_+M12_+M13_+M14_+M15_+M16_+M17_+M18_+M19_+M20_+M21_+M22_+M23_+M24_+M25_+M26_+M27_+M28_+M29_+M30_+M31_+M32_+M33_+M34_+M35_+M36_+M37_)),0)</f>
        <v>0</v>
      </c>
      <c r="AZ54" s="24" t="str">
        <f t="shared" si="25"/>
        <v/>
      </c>
      <c r="BA54" s="24" t="str">
        <f t="shared" si="26"/>
        <v/>
      </c>
      <c r="BB54" s="24" t="str">
        <f t="shared" si="27"/>
        <v/>
      </c>
      <c r="BC54" s="24" t="str">
        <f>IF(OR(E54="",LEFT(TableCosts[[#This Row],[Calc_N_Typ]],18)="Vynaložené náklady"),"",VLOOKUP(E54,Tab_Parts,2,0))</f>
        <v/>
      </c>
      <c r="BD54" s="24" t="str">
        <f t="shared" si="28"/>
        <v/>
      </c>
      <c r="BE54" s="24">
        <f t="shared" si="29"/>
        <v>0</v>
      </c>
      <c r="BF54" s="72">
        <f>TableCosts[[#This Row],[N_Amount]]*TableCosts[[#This Row],[N_Tariff]]*TableCosts[[#This Row],[N_ItemsCount]]</f>
        <v>0</v>
      </c>
      <c r="BG54" s="72">
        <f>IF(G54=1,IF(TableCosts[[#This Row],[N_Kateg]]="interné práce",TableCosts[[#This Row],[N_Amount]]*8*PAR_SGA_PERHOUR,0),0)</f>
        <v>0</v>
      </c>
      <c r="BH54" s="72">
        <f>SUM(TableCosts[[#This Row],[N_Direct]:[N_SGA]])</f>
        <v>0</v>
      </c>
      <c r="BI54" s="24">
        <f>IF(G54=1,IF(OR(AND(NOT(ISERROR(VLOOKUP(TableCosts[[#This Row],[Calc_N_Typ]],Cis_WorkPositions,1,0))),C54&lt;&gt;"",D54&lt;&gt;"",E54&lt;&gt;""),AND(ISERROR(VLOOKUP(TableCosts[[#This Row],[Calc_N_Typ]],Cis_WorkPositions,1,0)),C54="",D54="",E54&lt;&gt;""),LEFT(TableCosts[[#This Row],[Calc_N_Typ]],18)="Vynaložené náklady"),VLOOKUP(C54&amp;TableCosts[[#This Row],[Calc_N_Typ]],TRAN_STRITEMS_LABEL,VLOOKUP(D54,Tab_Hours,3,0),0),NA()),0)</f>
        <v>0</v>
      </c>
      <c r="BJ54" s="24">
        <f t="shared" si="30"/>
        <v>0</v>
      </c>
      <c r="BK54" s="24" t="str">
        <f t="shared" si="31"/>
        <v/>
      </c>
      <c r="BL54" s="24" t="str">
        <f t="shared" si="32"/>
        <v/>
      </c>
      <c r="BM54" s="24" t="str">
        <f>IF(G54=1,IF(TableCosts[[#This Row],[TransferFrom]]=TableCosts[[#This Row],[TranferTo]],0,1),"")</f>
        <v/>
      </c>
      <c r="BN54" s="24" t="str">
        <f t="shared" si="33"/>
        <v/>
      </c>
      <c r="BO54" s="24">
        <f t="shared" si="34"/>
        <v>0</v>
      </c>
      <c r="BP54" s="24">
        <f t="shared" si="35"/>
        <v>0</v>
      </c>
    </row>
    <row r="55" spans="2:68" s="24" customFormat="1" ht="12.75" x14ac:dyDescent="0.2">
      <c r="B55" s="97"/>
      <c r="C55" s="92"/>
      <c r="D55" s="92"/>
      <c r="E55" s="92"/>
      <c r="F55" s="31" t="str">
        <f>IF(G55=1,IF(ISERROR(TableCosts[[#This Row],[N_Tariff]]),Err_Message1,IF(TableCosts[[#This Row],[N_Tariff]]=0,Err_Message2,VLOOKUP(C55&amp;TableCosts[[#This Row],[Calc_N_Typ]],TRAN_STRITEMS_LABEL,5,FALSE))),"")</f>
        <v/>
      </c>
      <c r="G55" s="31">
        <f t="shared" si="24"/>
        <v>0</v>
      </c>
      <c r="H55" s="31" t="str">
        <f>IF(G55=1,IFERROR(VLOOKUP(F55,Tab_ErrMessage[],2,0),VLOOKUP(C55&amp;TableCosts[[#This Row],[Calc_N_Typ]],TRAN_STRITEMS_LABEL,4,FALSE)),"")</f>
        <v/>
      </c>
      <c r="I55" s="94"/>
      <c r="J55" s="94"/>
      <c r="K55" s="9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4"/>
      <c r="AL55" s="84"/>
      <c r="AM55" s="84"/>
      <c r="AN55" s="84"/>
      <c r="AO55" s="84"/>
      <c r="AP55" s="84"/>
      <c r="AQ55" s="84"/>
      <c r="AR55" s="84"/>
      <c r="AS55" s="84"/>
      <c r="AT55" s="84"/>
      <c r="AU55" s="84"/>
      <c r="AV55" s="84"/>
      <c r="AW55" s="84"/>
      <c r="AX55" s="87">
        <f t="array" ref="AX55">IF(G55=1,SUM((ROW(M0)=ROW(AW55))*(M0+M1_+M2_+M3_+M4_+M5_+M6_+M7_+M8_+M9_+M10_+M11_+M12_+M13_+M14_+M15_+M16_+M17_+M18_+M19_+M20_+M21_+M22_+M23_+M24_+M25_+M26_+M27_+M28_+M29_+M30_+M31_+M32_+M33_+M34_+M35_+M36_+M37_)),0)</f>
        <v>0</v>
      </c>
      <c r="AZ55" s="24" t="str">
        <f t="shared" si="25"/>
        <v/>
      </c>
      <c r="BA55" s="24" t="str">
        <f t="shared" si="26"/>
        <v/>
      </c>
      <c r="BB55" s="24" t="str">
        <f t="shared" si="27"/>
        <v/>
      </c>
      <c r="BC55" s="24" t="str">
        <f>IF(OR(E55="",LEFT(TableCosts[[#This Row],[Calc_N_Typ]],18)="Vynaložené náklady"),"",VLOOKUP(E55,Tab_Parts,2,0))</f>
        <v/>
      </c>
      <c r="BD55" s="24" t="str">
        <f t="shared" si="28"/>
        <v/>
      </c>
      <c r="BE55" s="24">
        <f t="shared" si="29"/>
        <v>0</v>
      </c>
      <c r="BF55" s="72">
        <f>TableCosts[[#This Row],[N_Amount]]*TableCosts[[#This Row],[N_Tariff]]*TableCosts[[#This Row],[N_ItemsCount]]</f>
        <v>0</v>
      </c>
      <c r="BG55" s="72">
        <f>IF(G55=1,IF(TableCosts[[#This Row],[N_Kateg]]="interné práce",TableCosts[[#This Row],[N_Amount]]*8*PAR_SGA_PERHOUR,0),0)</f>
        <v>0</v>
      </c>
      <c r="BH55" s="72">
        <f>SUM(TableCosts[[#This Row],[N_Direct]:[N_SGA]])</f>
        <v>0</v>
      </c>
      <c r="BI55" s="24">
        <f>IF(G55=1,IF(OR(AND(NOT(ISERROR(VLOOKUP(TableCosts[[#This Row],[Calc_N_Typ]],Cis_WorkPositions,1,0))),C55&lt;&gt;"",D55&lt;&gt;"",E55&lt;&gt;""),AND(ISERROR(VLOOKUP(TableCosts[[#This Row],[Calc_N_Typ]],Cis_WorkPositions,1,0)),C55="",D55="",E55&lt;&gt;""),LEFT(TableCosts[[#This Row],[Calc_N_Typ]],18)="Vynaložené náklady"),VLOOKUP(C55&amp;TableCosts[[#This Row],[Calc_N_Typ]],TRAN_STRITEMS_LABEL,VLOOKUP(D55,Tab_Hours,3,0),0),NA()),0)</f>
        <v>0</v>
      </c>
      <c r="BJ55" s="24">
        <f t="shared" si="30"/>
        <v>0</v>
      </c>
      <c r="BK55" s="24" t="str">
        <f t="shared" si="31"/>
        <v/>
      </c>
      <c r="BL55" s="24" t="str">
        <f t="shared" si="32"/>
        <v/>
      </c>
      <c r="BM55" s="24" t="str">
        <f>IF(G55=1,IF(TableCosts[[#This Row],[TransferFrom]]=TableCosts[[#This Row],[TranferTo]],0,1),"")</f>
        <v/>
      </c>
      <c r="BN55" s="24" t="str">
        <f t="shared" si="33"/>
        <v/>
      </c>
      <c r="BO55" s="24">
        <f t="shared" si="34"/>
        <v>0</v>
      </c>
      <c r="BP55" s="24">
        <f t="shared" si="35"/>
        <v>0</v>
      </c>
    </row>
    <row r="56" spans="2:68" s="24" customFormat="1" ht="12.75" x14ac:dyDescent="0.2">
      <c r="B56" s="97"/>
      <c r="C56" s="92"/>
      <c r="D56" s="92"/>
      <c r="E56" s="92"/>
      <c r="F56" s="31" t="str">
        <f>IF(G56=1,IF(ISERROR(TableCosts[[#This Row],[N_Tariff]]),Err_Message1,IF(TableCosts[[#This Row],[N_Tariff]]=0,Err_Message2,VLOOKUP(C56&amp;TableCosts[[#This Row],[Calc_N_Typ]],TRAN_STRITEMS_LABEL,5,FALSE))),"")</f>
        <v/>
      </c>
      <c r="G56" s="31">
        <f t="shared" si="24"/>
        <v>0</v>
      </c>
      <c r="H56" s="31" t="str">
        <f>IF(G56=1,IFERROR(VLOOKUP(F56,Tab_ErrMessage[],2,0),VLOOKUP(C56&amp;TableCosts[[#This Row],[Calc_N_Typ]],TRAN_STRITEMS_LABEL,4,FALSE)),"")</f>
        <v/>
      </c>
      <c r="I56" s="94"/>
      <c r="J56" s="94"/>
      <c r="K56" s="9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84"/>
      <c r="AN56" s="84"/>
      <c r="AO56" s="84"/>
      <c r="AP56" s="84"/>
      <c r="AQ56" s="84"/>
      <c r="AR56" s="84"/>
      <c r="AS56" s="84"/>
      <c r="AT56" s="84"/>
      <c r="AU56" s="84"/>
      <c r="AV56" s="84"/>
      <c r="AW56" s="84"/>
      <c r="AX56" s="87">
        <f t="array" ref="AX56">IF(G56=1,SUM((ROW(M0)=ROW(AW56))*(M0+M1_+M2_+M3_+M4_+M5_+M6_+M7_+M8_+M9_+M10_+M11_+M12_+M13_+M14_+M15_+M16_+M17_+M18_+M19_+M20_+M21_+M22_+M23_+M24_+M25_+M26_+M27_+M28_+M29_+M30_+M31_+M32_+M33_+M34_+M35_+M36_+M37_)),0)</f>
        <v>0</v>
      </c>
      <c r="AZ56" s="24" t="str">
        <f t="shared" si="25"/>
        <v/>
      </c>
      <c r="BA56" s="24" t="str">
        <f t="shared" si="26"/>
        <v/>
      </c>
      <c r="BB56" s="24" t="str">
        <f t="shared" si="27"/>
        <v/>
      </c>
      <c r="BC56" s="24" t="str">
        <f>IF(OR(E56="",LEFT(TableCosts[[#This Row],[Calc_N_Typ]],18)="Vynaložené náklady"),"",VLOOKUP(E56,Tab_Parts,2,0))</f>
        <v/>
      </c>
      <c r="BD56" s="24" t="str">
        <f t="shared" si="28"/>
        <v/>
      </c>
      <c r="BE56" s="24">
        <f t="shared" si="29"/>
        <v>0</v>
      </c>
      <c r="BF56" s="72">
        <f>TableCosts[[#This Row],[N_Amount]]*TableCosts[[#This Row],[N_Tariff]]*TableCosts[[#This Row],[N_ItemsCount]]</f>
        <v>0</v>
      </c>
      <c r="BG56" s="72">
        <f>IF(G56=1,IF(TableCosts[[#This Row],[N_Kateg]]="interné práce",TableCosts[[#This Row],[N_Amount]]*8*PAR_SGA_PERHOUR,0),0)</f>
        <v>0</v>
      </c>
      <c r="BH56" s="72">
        <f>SUM(TableCosts[[#This Row],[N_Direct]:[N_SGA]])</f>
        <v>0</v>
      </c>
      <c r="BI56" s="24">
        <f>IF(G56=1,IF(OR(AND(NOT(ISERROR(VLOOKUP(TableCosts[[#This Row],[Calc_N_Typ]],Cis_WorkPositions,1,0))),C56&lt;&gt;"",D56&lt;&gt;"",E56&lt;&gt;""),AND(ISERROR(VLOOKUP(TableCosts[[#This Row],[Calc_N_Typ]],Cis_WorkPositions,1,0)),C56="",D56="",E56&lt;&gt;""),LEFT(TableCosts[[#This Row],[Calc_N_Typ]],18)="Vynaložené náklady"),VLOOKUP(C56&amp;TableCosts[[#This Row],[Calc_N_Typ]],TRAN_STRITEMS_LABEL,VLOOKUP(D56,Tab_Hours,3,0),0),NA()),0)</f>
        <v>0</v>
      </c>
      <c r="BJ56" s="24">
        <f t="shared" si="30"/>
        <v>0</v>
      </c>
      <c r="BK56" s="24" t="str">
        <f t="shared" si="31"/>
        <v/>
      </c>
      <c r="BL56" s="24" t="str">
        <f t="shared" si="32"/>
        <v/>
      </c>
      <c r="BM56" s="24" t="str">
        <f>IF(G56=1,IF(TableCosts[[#This Row],[TransferFrom]]=TableCosts[[#This Row],[TranferTo]],0,1),"")</f>
        <v/>
      </c>
      <c r="BN56" s="24" t="str">
        <f t="shared" si="33"/>
        <v/>
      </c>
      <c r="BO56" s="24">
        <f t="shared" si="34"/>
        <v>0</v>
      </c>
      <c r="BP56" s="24">
        <f t="shared" si="35"/>
        <v>0</v>
      </c>
    </row>
    <row r="57" spans="2:68" s="24" customFormat="1" ht="12.75" x14ac:dyDescent="0.2">
      <c r="B57" s="97"/>
      <c r="C57" s="92"/>
      <c r="D57" s="92"/>
      <c r="E57" s="92"/>
      <c r="F57" s="31" t="str">
        <f>IF(G57=1,IF(ISERROR(TableCosts[[#This Row],[N_Tariff]]),Err_Message1,IF(TableCosts[[#This Row],[N_Tariff]]=0,Err_Message2,VLOOKUP(C57&amp;TableCosts[[#This Row],[Calc_N_Typ]],TRAN_STRITEMS_LABEL,5,FALSE))),"")</f>
        <v/>
      </c>
      <c r="G57" s="31">
        <f t="shared" si="24"/>
        <v>0</v>
      </c>
      <c r="H57" s="31" t="str">
        <f>IF(G57=1,IFERROR(VLOOKUP(F57,Tab_ErrMessage[],2,0),VLOOKUP(C57&amp;TableCosts[[#This Row],[Calc_N_Typ]],TRAN_STRITEMS_LABEL,4,FALSE)),"")</f>
        <v/>
      </c>
      <c r="I57" s="94"/>
      <c r="J57" s="94"/>
      <c r="K57" s="9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84"/>
      <c r="AN57" s="84"/>
      <c r="AO57" s="84"/>
      <c r="AP57" s="84"/>
      <c r="AQ57" s="84"/>
      <c r="AR57" s="84"/>
      <c r="AS57" s="84"/>
      <c r="AT57" s="84"/>
      <c r="AU57" s="84"/>
      <c r="AV57" s="84"/>
      <c r="AW57" s="84"/>
      <c r="AX57" s="87">
        <f t="array" ref="AX57">IF(G57=1,SUM((ROW(M0)=ROW(AW57))*(M0+M1_+M2_+M3_+M4_+M5_+M6_+M7_+M8_+M9_+M10_+M11_+M12_+M13_+M14_+M15_+M16_+M17_+M18_+M19_+M20_+M21_+M22_+M23_+M24_+M25_+M26_+M27_+M28_+M29_+M30_+M31_+M32_+M33_+M34_+M35_+M36_+M37_)),0)</f>
        <v>0</v>
      </c>
      <c r="AZ57" s="24" t="str">
        <f t="shared" si="25"/>
        <v/>
      </c>
      <c r="BA57" s="24" t="str">
        <f t="shared" si="26"/>
        <v/>
      </c>
      <c r="BB57" s="24" t="str">
        <f t="shared" si="27"/>
        <v/>
      </c>
      <c r="BC57" s="24" t="str">
        <f>IF(OR(E57="",LEFT(TableCosts[[#This Row],[Calc_N_Typ]],18)="Vynaložené náklady"),"",VLOOKUP(E57,Tab_Parts,2,0))</f>
        <v/>
      </c>
      <c r="BD57" s="24" t="str">
        <f t="shared" si="28"/>
        <v/>
      </c>
      <c r="BE57" s="24">
        <f t="shared" si="29"/>
        <v>0</v>
      </c>
      <c r="BF57" s="72">
        <f>TableCosts[[#This Row],[N_Amount]]*TableCosts[[#This Row],[N_Tariff]]*TableCosts[[#This Row],[N_ItemsCount]]</f>
        <v>0</v>
      </c>
      <c r="BG57" s="72">
        <f>IF(G57=1,IF(TableCosts[[#This Row],[N_Kateg]]="interné práce",TableCosts[[#This Row],[N_Amount]]*8*PAR_SGA_PERHOUR,0),0)</f>
        <v>0</v>
      </c>
      <c r="BH57" s="72">
        <f>SUM(TableCosts[[#This Row],[N_Direct]:[N_SGA]])</f>
        <v>0</v>
      </c>
      <c r="BI57" s="24">
        <f>IF(G57=1,IF(OR(AND(NOT(ISERROR(VLOOKUP(TableCosts[[#This Row],[Calc_N_Typ]],Cis_WorkPositions,1,0))),C57&lt;&gt;"",D57&lt;&gt;"",E57&lt;&gt;""),AND(ISERROR(VLOOKUP(TableCosts[[#This Row],[Calc_N_Typ]],Cis_WorkPositions,1,0)),C57="",D57="",E57&lt;&gt;""),LEFT(TableCosts[[#This Row],[Calc_N_Typ]],18)="Vynaložené náklady"),VLOOKUP(C57&amp;TableCosts[[#This Row],[Calc_N_Typ]],TRAN_STRITEMS_LABEL,VLOOKUP(D57,Tab_Hours,3,0),0),NA()),0)</f>
        <v>0</v>
      </c>
      <c r="BJ57" s="24">
        <f t="shared" si="30"/>
        <v>0</v>
      </c>
      <c r="BK57" s="24" t="str">
        <f t="shared" si="31"/>
        <v/>
      </c>
      <c r="BL57" s="24" t="str">
        <f t="shared" si="32"/>
        <v/>
      </c>
      <c r="BM57" s="24" t="str">
        <f>IF(G57=1,IF(TableCosts[[#This Row],[TransferFrom]]=TableCosts[[#This Row],[TranferTo]],0,1),"")</f>
        <v/>
      </c>
      <c r="BN57" s="24" t="str">
        <f t="shared" si="33"/>
        <v/>
      </c>
      <c r="BO57" s="24">
        <f t="shared" si="34"/>
        <v>0</v>
      </c>
      <c r="BP57" s="24">
        <f t="shared" si="35"/>
        <v>0</v>
      </c>
    </row>
    <row r="58" spans="2:68" s="24" customFormat="1" ht="12.75" x14ac:dyDescent="0.2">
      <c r="B58" s="97"/>
      <c r="C58" s="92"/>
      <c r="D58" s="92"/>
      <c r="E58" s="92"/>
      <c r="F58" s="31" t="str">
        <f>IF(G58=1,IF(ISERROR(TableCosts[[#This Row],[N_Tariff]]),Err_Message1,IF(TableCosts[[#This Row],[N_Tariff]]=0,Err_Message2,VLOOKUP(C58&amp;TableCosts[[#This Row],[Calc_N_Typ]],TRAN_STRITEMS_LABEL,5,FALSE))),"")</f>
        <v/>
      </c>
      <c r="G58" s="31">
        <f t="shared" si="24"/>
        <v>0</v>
      </c>
      <c r="H58" s="31" t="str">
        <f>IF(G58=1,IFERROR(VLOOKUP(F58,Tab_ErrMessage[],2,0),VLOOKUP(C58&amp;TableCosts[[#This Row],[Calc_N_Typ]],TRAN_STRITEMS_LABEL,4,FALSE)),"")</f>
        <v/>
      </c>
      <c r="I58" s="94"/>
      <c r="J58" s="94"/>
      <c r="K58" s="9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84"/>
      <c r="AN58" s="84"/>
      <c r="AO58" s="84"/>
      <c r="AP58" s="84"/>
      <c r="AQ58" s="84"/>
      <c r="AR58" s="84"/>
      <c r="AS58" s="84"/>
      <c r="AT58" s="84"/>
      <c r="AU58" s="84"/>
      <c r="AV58" s="84"/>
      <c r="AW58" s="84"/>
      <c r="AX58" s="87">
        <f t="array" ref="AX58">IF(G58=1,SUM((ROW(M0)=ROW(AW58))*(M0+M1_+M2_+M3_+M4_+M5_+M6_+M7_+M8_+M9_+M10_+M11_+M12_+M13_+M14_+M15_+M16_+M17_+M18_+M19_+M20_+M21_+M22_+M23_+M24_+M25_+M26_+M27_+M28_+M29_+M30_+M31_+M32_+M33_+M34_+M35_+M36_+M37_)),0)</f>
        <v>0</v>
      </c>
      <c r="AZ58" s="24" t="str">
        <f t="shared" si="25"/>
        <v/>
      </c>
      <c r="BA58" s="24" t="str">
        <f t="shared" si="26"/>
        <v/>
      </c>
      <c r="BB58" s="24" t="str">
        <f t="shared" si="27"/>
        <v/>
      </c>
      <c r="BC58" s="24" t="str">
        <f>IF(OR(E58="",LEFT(TableCosts[[#This Row],[Calc_N_Typ]],18)="Vynaložené náklady"),"",VLOOKUP(E58,Tab_Parts,2,0))</f>
        <v/>
      </c>
      <c r="BD58" s="24" t="str">
        <f t="shared" si="28"/>
        <v/>
      </c>
      <c r="BE58" s="24">
        <f t="shared" si="29"/>
        <v>0</v>
      </c>
      <c r="BF58" s="72">
        <f>TableCosts[[#This Row],[N_Amount]]*TableCosts[[#This Row],[N_Tariff]]*TableCosts[[#This Row],[N_ItemsCount]]</f>
        <v>0</v>
      </c>
      <c r="BG58" s="72">
        <f>IF(G58=1,IF(TableCosts[[#This Row],[N_Kateg]]="interné práce",TableCosts[[#This Row],[N_Amount]]*8*PAR_SGA_PERHOUR,0),0)</f>
        <v>0</v>
      </c>
      <c r="BH58" s="72">
        <f>SUM(TableCosts[[#This Row],[N_Direct]:[N_SGA]])</f>
        <v>0</v>
      </c>
      <c r="BI58" s="24">
        <f>IF(G58=1,IF(OR(AND(NOT(ISERROR(VLOOKUP(TableCosts[[#This Row],[Calc_N_Typ]],Cis_WorkPositions,1,0))),C58&lt;&gt;"",D58&lt;&gt;"",E58&lt;&gt;""),AND(ISERROR(VLOOKUP(TableCosts[[#This Row],[Calc_N_Typ]],Cis_WorkPositions,1,0)),C58="",D58="",E58&lt;&gt;""),LEFT(TableCosts[[#This Row],[Calc_N_Typ]],18)="Vynaložené náklady"),VLOOKUP(C58&amp;TableCosts[[#This Row],[Calc_N_Typ]],TRAN_STRITEMS_LABEL,VLOOKUP(D58,Tab_Hours,3,0),0),NA()),0)</f>
        <v>0</v>
      </c>
      <c r="BJ58" s="24">
        <f t="shared" si="30"/>
        <v>0</v>
      </c>
      <c r="BK58" s="24" t="str">
        <f t="shared" si="31"/>
        <v/>
      </c>
      <c r="BL58" s="24" t="str">
        <f t="shared" si="32"/>
        <v/>
      </c>
      <c r="BM58" s="24" t="str">
        <f>IF(G58=1,IF(TableCosts[[#This Row],[TransferFrom]]=TableCosts[[#This Row],[TranferTo]],0,1),"")</f>
        <v/>
      </c>
      <c r="BN58" s="24" t="str">
        <f t="shared" si="33"/>
        <v/>
      </c>
      <c r="BO58" s="24">
        <f t="shared" si="34"/>
        <v>0</v>
      </c>
      <c r="BP58" s="24">
        <f t="shared" si="35"/>
        <v>0</v>
      </c>
    </row>
    <row r="59" spans="2:68" s="24" customFormat="1" ht="12.75" x14ac:dyDescent="0.2">
      <c r="B59" s="97"/>
      <c r="C59" s="92"/>
      <c r="D59" s="92"/>
      <c r="E59" s="92"/>
      <c r="F59" s="31" t="str">
        <f>IF(G59=1,IF(ISERROR(TableCosts[[#This Row],[N_Tariff]]),Err_Message1,IF(TableCosts[[#This Row],[N_Tariff]]=0,Err_Message2,VLOOKUP(C59&amp;TableCosts[[#This Row],[Calc_N_Typ]],TRAN_STRITEMS_LABEL,5,FALSE))),"")</f>
        <v/>
      </c>
      <c r="G59" s="31">
        <f t="shared" si="24"/>
        <v>0</v>
      </c>
      <c r="H59" s="31" t="str">
        <f>IF(G59=1,IFERROR(VLOOKUP(F59,Tab_ErrMessage[],2,0),VLOOKUP(C59&amp;TableCosts[[#This Row],[Calc_N_Typ]],TRAN_STRITEMS_LABEL,4,FALSE)),"")</f>
        <v/>
      </c>
      <c r="I59" s="94"/>
      <c r="J59" s="94"/>
      <c r="K59" s="9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84"/>
      <c r="AN59" s="84"/>
      <c r="AO59" s="84"/>
      <c r="AP59" s="84"/>
      <c r="AQ59" s="84"/>
      <c r="AR59" s="84"/>
      <c r="AS59" s="84"/>
      <c r="AT59" s="84"/>
      <c r="AU59" s="84"/>
      <c r="AV59" s="84"/>
      <c r="AW59" s="84"/>
      <c r="AX59" s="87">
        <f t="array" ref="AX59">IF(G59=1,SUM((ROW(M0)=ROW(AW59))*(M0+M1_+M2_+M3_+M4_+M5_+M6_+M7_+M8_+M9_+M10_+M11_+M12_+M13_+M14_+M15_+M16_+M17_+M18_+M19_+M20_+M21_+M22_+M23_+M24_+M25_+M26_+M27_+M28_+M29_+M30_+M31_+M32_+M33_+M34_+M35_+M36_+M37_)),0)</f>
        <v>0</v>
      </c>
      <c r="AZ59" s="24" t="str">
        <f t="shared" si="25"/>
        <v/>
      </c>
      <c r="BA59" s="24" t="str">
        <f t="shared" si="26"/>
        <v/>
      </c>
      <c r="BB59" s="24" t="str">
        <f t="shared" si="27"/>
        <v/>
      </c>
      <c r="BC59" s="24" t="str">
        <f>IF(OR(E59="",LEFT(TableCosts[[#This Row],[Calc_N_Typ]],18)="Vynaložené náklady"),"",VLOOKUP(E59,Tab_Parts,2,0))</f>
        <v/>
      </c>
      <c r="BD59" s="24" t="str">
        <f t="shared" si="28"/>
        <v/>
      </c>
      <c r="BE59" s="24">
        <f t="shared" si="29"/>
        <v>0</v>
      </c>
      <c r="BF59" s="72">
        <f>TableCosts[[#This Row],[N_Amount]]*TableCosts[[#This Row],[N_Tariff]]*TableCosts[[#This Row],[N_ItemsCount]]</f>
        <v>0</v>
      </c>
      <c r="BG59" s="72">
        <f>IF(G59=1,IF(TableCosts[[#This Row],[N_Kateg]]="interné práce",TableCosts[[#This Row],[N_Amount]]*8*PAR_SGA_PERHOUR,0),0)</f>
        <v>0</v>
      </c>
      <c r="BH59" s="72">
        <f>SUM(TableCosts[[#This Row],[N_Direct]:[N_SGA]])</f>
        <v>0</v>
      </c>
      <c r="BI59" s="24">
        <f>IF(G59=1,IF(OR(AND(NOT(ISERROR(VLOOKUP(TableCosts[[#This Row],[Calc_N_Typ]],Cis_WorkPositions,1,0))),C59&lt;&gt;"",D59&lt;&gt;"",E59&lt;&gt;""),AND(ISERROR(VLOOKUP(TableCosts[[#This Row],[Calc_N_Typ]],Cis_WorkPositions,1,0)),C59="",D59="",E59&lt;&gt;""),LEFT(TableCosts[[#This Row],[Calc_N_Typ]],18)="Vynaložené náklady"),VLOOKUP(C59&amp;TableCosts[[#This Row],[Calc_N_Typ]],TRAN_STRITEMS_LABEL,VLOOKUP(D59,Tab_Hours,3,0),0),NA()),0)</f>
        <v>0</v>
      </c>
      <c r="BJ59" s="24">
        <f t="shared" si="30"/>
        <v>0</v>
      </c>
      <c r="BK59" s="24" t="str">
        <f t="shared" si="31"/>
        <v/>
      </c>
      <c r="BL59" s="24" t="str">
        <f t="shared" si="32"/>
        <v/>
      </c>
      <c r="BM59" s="24" t="str">
        <f>IF(G59=1,IF(TableCosts[[#This Row],[TransferFrom]]=TableCosts[[#This Row],[TranferTo]],0,1),"")</f>
        <v/>
      </c>
      <c r="BN59" s="24" t="str">
        <f t="shared" si="33"/>
        <v/>
      </c>
      <c r="BO59" s="24">
        <f t="shared" si="34"/>
        <v>0</v>
      </c>
      <c r="BP59" s="24">
        <f t="shared" si="35"/>
        <v>0</v>
      </c>
    </row>
    <row r="60" spans="2:68" s="24" customFormat="1" ht="12.75" x14ac:dyDescent="0.2">
      <c r="B60" s="97"/>
      <c r="C60" s="92"/>
      <c r="D60" s="92"/>
      <c r="E60" s="92"/>
      <c r="F60" s="31" t="str">
        <f>IF(G60=1,IF(ISERROR(TableCosts[[#This Row],[N_Tariff]]),Err_Message1,IF(TableCosts[[#This Row],[N_Tariff]]=0,Err_Message2,VLOOKUP(C60&amp;TableCosts[[#This Row],[Calc_N_Typ]],TRAN_STRITEMS_LABEL,5,FALSE))),"")</f>
        <v/>
      </c>
      <c r="G60" s="31">
        <f t="shared" si="24"/>
        <v>0</v>
      </c>
      <c r="H60" s="31" t="str">
        <f>IF(G60=1,IFERROR(VLOOKUP(F60,Tab_ErrMessage[],2,0),VLOOKUP(C60&amp;TableCosts[[#This Row],[Calc_N_Typ]],TRAN_STRITEMS_LABEL,4,FALSE)),"")</f>
        <v/>
      </c>
      <c r="I60" s="94"/>
      <c r="J60" s="94"/>
      <c r="K60" s="9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84"/>
      <c r="AN60" s="84"/>
      <c r="AO60" s="84"/>
      <c r="AP60" s="84"/>
      <c r="AQ60" s="84"/>
      <c r="AR60" s="84"/>
      <c r="AS60" s="84"/>
      <c r="AT60" s="84"/>
      <c r="AU60" s="84"/>
      <c r="AV60" s="84"/>
      <c r="AW60" s="84"/>
      <c r="AX60" s="87">
        <f t="array" ref="AX60">IF(G60=1,SUM((ROW(M0)=ROW(AW60))*(M0+M1_+M2_+M3_+M4_+M5_+M6_+M7_+M8_+M9_+M10_+M11_+M12_+M13_+M14_+M15_+M16_+M17_+M18_+M19_+M20_+M21_+M22_+M23_+M24_+M25_+M26_+M27_+M28_+M29_+M30_+M31_+M32_+M33_+M34_+M35_+M36_+M37_)),0)</f>
        <v>0</v>
      </c>
      <c r="AZ60" s="24" t="str">
        <f t="shared" si="25"/>
        <v/>
      </c>
      <c r="BA60" s="24" t="str">
        <f t="shared" si="26"/>
        <v/>
      </c>
      <c r="BB60" s="24" t="str">
        <f t="shared" si="27"/>
        <v/>
      </c>
      <c r="BC60" s="24" t="str">
        <f>IF(OR(E60="",LEFT(TableCosts[[#This Row],[Calc_N_Typ]],18)="Vynaložené náklady"),"",VLOOKUP(E60,Tab_Parts,2,0))</f>
        <v/>
      </c>
      <c r="BD60" s="24" t="str">
        <f t="shared" si="28"/>
        <v/>
      </c>
      <c r="BE60" s="24">
        <f t="shared" si="29"/>
        <v>0</v>
      </c>
      <c r="BF60" s="72">
        <f>TableCosts[[#This Row],[N_Amount]]*TableCosts[[#This Row],[N_Tariff]]*TableCosts[[#This Row],[N_ItemsCount]]</f>
        <v>0</v>
      </c>
      <c r="BG60" s="72">
        <f>IF(G60=1,IF(TableCosts[[#This Row],[N_Kateg]]="interné práce",TableCosts[[#This Row],[N_Amount]]*8*PAR_SGA_PERHOUR,0),0)</f>
        <v>0</v>
      </c>
      <c r="BH60" s="72">
        <f>SUM(TableCosts[[#This Row],[N_Direct]:[N_SGA]])</f>
        <v>0</v>
      </c>
      <c r="BI60" s="24">
        <f>IF(G60=1,IF(OR(AND(NOT(ISERROR(VLOOKUP(TableCosts[[#This Row],[Calc_N_Typ]],Cis_WorkPositions,1,0))),C60&lt;&gt;"",D60&lt;&gt;"",E60&lt;&gt;""),AND(ISERROR(VLOOKUP(TableCosts[[#This Row],[Calc_N_Typ]],Cis_WorkPositions,1,0)),C60="",D60="",E60&lt;&gt;""),LEFT(TableCosts[[#This Row],[Calc_N_Typ]],18)="Vynaložené náklady"),VLOOKUP(C60&amp;TableCosts[[#This Row],[Calc_N_Typ]],TRAN_STRITEMS_LABEL,VLOOKUP(D60,Tab_Hours,3,0),0),NA()),0)</f>
        <v>0</v>
      </c>
      <c r="BJ60" s="24">
        <f t="shared" si="30"/>
        <v>0</v>
      </c>
      <c r="BK60" s="24" t="str">
        <f t="shared" si="31"/>
        <v/>
      </c>
      <c r="BL60" s="24" t="str">
        <f t="shared" si="32"/>
        <v/>
      </c>
      <c r="BM60" s="24" t="str">
        <f>IF(G60=1,IF(TableCosts[[#This Row],[TransferFrom]]=TableCosts[[#This Row],[TranferTo]],0,1),"")</f>
        <v/>
      </c>
      <c r="BN60" s="24" t="str">
        <f t="shared" si="33"/>
        <v/>
      </c>
      <c r="BO60" s="24">
        <f t="shared" si="34"/>
        <v>0</v>
      </c>
      <c r="BP60" s="24">
        <f t="shared" si="35"/>
        <v>0</v>
      </c>
    </row>
    <row r="61" spans="2:68" s="24" customFormat="1" ht="12.75" x14ac:dyDescent="0.2">
      <c r="B61" s="97"/>
      <c r="C61" s="92"/>
      <c r="D61" s="92"/>
      <c r="E61" s="92"/>
      <c r="F61" s="31" t="str">
        <f>IF(G61=1,IF(ISERROR(TableCosts[[#This Row],[N_Tariff]]),Err_Message1,IF(TableCosts[[#This Row],[N_Tariff]]=0,Err_Message2,VLOOKUP(C61&amp;TableCosts[[#This Row],[Calc_N_Typ]],TRAN_STRITEMS_LABEL,5,FALSE))),"")</f>
        <v/>
      </c>
      <c r="G61" s="31">
        <f t="shared" si="24"/>
        <v>0</v>
      </c>
      <c r="H61" s="31" t="str">
        <f>IF(G61=1,IFERROR(VLOOKUP(F61,Tab_ErrMessage[],2,0),VLOOKUP(C61&amp;TableCosts[[#This Row],[Calc_N_Typ]],TRAN_STRITEMS_LABEL,4,FALSE)),"")</f>
        <v/>
      </c>
      <c r="I61" s="94"/>
      <c r="J61" s="94"/>
      <c r="K61" s="9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84"/>
      <c r="AN61" s="84"/>
      <c r="AO61" s="84"/>
      <c r="AP61" s="84"/>
      <c r="AQ61" s="84"/>
      <c r="AR61" s="84"/>
      <c r="AS61" s="84"/>
      <c r="AT61" s="84"/>
      <c r="AU61" s="84"/>
      <c r="AV61" s="84"/>
      <c r="AW61" s="84"/>
      <c r="AX61" s="87">
        <f t="array" ref="AX61">IF(G61=1,SUM((ROW(M0)=ROW(AW61))*(M0+M1_+M2_+M3_+M4_+M5_+M6_+M7_+M8_+M9_+M10_+M11_+M12_+M13_+M14_+M15_+M16_+M17_+M18_+M19_+M20_+M21_+M22_+M23_+M24_+M25_+M26_+M27_+M28_+M29_+M30_+M31_+M32_+M33_+M34_+M35_+M36_+M37_)),0)</f>
        <v>0</v>
      </c>
      <c r="AZ61" s="24" t="str">
        <f t="shared" si="25"/>
        <v/>
      </c>
      <c r="BA61" s="24" t="str">
        <f t="shared" si="26"/>
        <v/>
      </c>
      <c r="BB61" s="24" t="str">
        <f t="shared" si="27"/>
        <v/>
      </c>
      <c r="BC61" s="24" t="str">
        <f>IF(OR(E61="",LEFT(TableCosts[[#This Row],[Calc_N_Typ]],18)="Vynaložené náklady"),"",VLOOKUP(E61,Tab_Parts,2,0))</f>
        <v/>
      </c>
      <c r="BD61" s="24" t="str">
        <f t="shared" si="28"/>
        <v/>
      </c>
      <c r="BE61" s="24">
        <f t="shared" si="29"/>
        <v>0</v>
      </c>
      <c r="BF61" s="72">
        <f>TableCosts[[#This Row],[N_Amount]]*TableCosts[[#This Row],[N_Tariff]]*TableCosts[[#This Row],[N_ItemsCount]]</f>
        <v>0</v>
      </c>
      <c r="BG61" s="72">
        <f>IF(G61=1,IF(TableCosts[[#This Row],[N_Kateg]]="interné práce",TableCosts[[#This Row],[N_Amount]]*8*PAR_SGA_PERHOUR,0),0)</f>
        <v>0</v>
      </c>
      <c r="BH61" s="72">
        <f>SUM(TableCosts[[#This Row],[N_Direct]:[N_SGA]])</f>
        <v>0</v>
      </c>
      <c r="BI61" s="24">
        <f>IF(G61=1,IF(OR(AND(NOT(ISERROR(VLOOKUP(TableCosts[[#This Row],[Calc_N_Typ]],Cis_WorkPositions,1,0))),C61&lt;&gt;"",D61&lt;&gt;"",E61&lt;&gt;""),AND(ISERROR(VLOOKUP(TableCosts[[#This Row],[Calc_N_Typ]],Cis_WorkPositions,1,0)),C61="",D61="",E61&lt;&gt;""),LEFT(TableCosts[[#This Row],[Calc_N_Typ]],18)="Vynaložené náklady"),VLOOKUP(C61&amp;TableCosts[[#This Row],[Calc_N_Typ]],TRAN_STRITEMS_LABEL,VLOOKUP(D61,Tab_Hours,3,0),0),NA()),0)</f>
        <v>0</v>
      </c>
      <c r="BJ61" s="24">
        <f t="shared" si="30"/>
        <v>0</v>
      </c>
      <c r="BK61" s="24" t="str">
        <f t="shared" si="31"/>
        <v/>
      </c>
      <c r="BL61" s="24" t="str">
        <f t="shared" si="32"/>
        <v/>
      </c>
      <c r="BM61" s="24" t="str">
        <f>IF(G61=1,IF(TableCosts[[#This Row],[TransferFrom]]=TableCosts[[#This Row],[TranferTo]],0,1),"")</f>
        <v/>
      </c>
      <c r="BN61" s="24" t="str">
        <f t="shared" si="33"/>
        <v/>
      </c>
      <c r="BO61" s="24">
        <f t="shared" si="34"/>
        <v>0</v>
      </c>
      <c r="BP61" s="24">
        <f t="shared" si="35"/>
        <v>0</v>
      </c>
    </row>
    <row r="62" spans="2:68" s="24" customFormat="1" ht="12.75" x14ac:dyDescent="0.2">
      <c r="B62" s="97"/>
      <c r="C62" s="92"/>
      <c r="D62" s="92"/>
      <c r="E62" s="92"/>
      <c r="F62" s="31" t="str">
        <f>IF(G62=1,IF(ISERROR(TableCosts[[#This Row],[N_Tariff]]),Err_Message1,IF(TableCosts[[#This Row],[N_Tariff]]=0,Err_Message2,VLOOKUP(C62&amp;TableCosts[[#This Row],[Calc_N_Typ]],TRAN_STRITEMS_LABEL,5,FALSE))),"")</f>
        <v/>
      </c>
      <c r="G62" s="31">
        <f t="shared" si="24"/>
        <v>0</v>
      </c>
      <c r="H62" s="31" t="str">
        <f>IF(G62=1,IFERROR(VLOOKUP(F62,Tab_ErrMessage[],2,0),VLOOKUP(C62&amp;TableCosts[[#This Row],[Calc_N_Typ]],TRAN_STRITEMS_LABEL,4,FALSE)),"")</f>
        <v/>
      </c>
      <c r="I62" s="94"/>
      <c r="J62" s="94"/>
      <c r="K62" s="9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4"/>
      <c r="AL62" s="84"/>
      <c r="AM62" s="84"/>
      <c r="AN62" s="84"/>
      <c r="AO62" s="84"/>
      <c r="AP62" s="84"/>
      <c r="AQ62" s="84"/>
      <c r="AR62" s="84"/>
      <c r="AS62" s="84"/>
      <c r="AT62" s="84"/>
      <c r="AU62" s="84"/>
      <c r="AV62" s="84"/>
      <c r="AW62" s="84"/>
      <c r="AX62" s="87">
        <f t="array" ref="AX62">IF(G62=1,SUM((ROW(M0)=ROW(AW62))*(M0+M1_+M2_+M3_+M4_+M5_+M6_+M7_+M8_+M9_+M10_+M11_+M12_+M13_+M14_+M15_+M16_+M17_+M18_+M19_+M20_+M21_+M22_+M23_+M24_+M25_+M26_+M27_+M28_+M29_+M30_+M31_+M32_+M33_+M34_+M35_+M36_+M37_)),0)</f>
        <v>0</v>
      </c>
      <c r="AZ62" s="24" t="str">
        <f t="shared" si="25"/>
        <v/>
      </c>
      <c r="BA62" s="24" t="str">
        <f t="shared" si="26"/>
        <v/>
      </c>
      <c r="BB62" s="24" t="str">
        <f t="shared" si="27"/>
        <v/>
      </c>
      <c r="BC62" s="24" t="str">
        <f>IF(OR(E62="",LEFT(TableCosts[[#This Row],[Calc_N_Typ]],18)="Vynaložené náklady"),"",VLOOKUP(E62,Tab_Parts,2,0))</f>
        <v/>
      </c>
      <c r="BD62" s="24" t="str">
        <f t="shared" si="28"/>
        <v/>
      </c>
      <c r="BE62" s="24">
        <f t="shared" si="29"/>
        <v>0</v>
      </c>
      <c r="BF62" s="72">
        <f>TableCosts[[#This Row],[N_Amount]]*TableCosts[[#This Row],[N_Tariff]]*TableCosts[[#This Row],[N_ItemsCount]]</f>
        <v>0</v>
      </c>
      <c r="BG62" s="72">
        <f>IF(G62=1,IF(TableCosts[[#This Row],[N_Kateg]]="interné práce",TableCosts[[#This Row],[N_Amount]]*8*PAR_SGA_PERHOUR,0),0)</f>
        <v>0</v>
      </c>
      <c r="BH62" s="72">
        <f>SUM(TableCosts[[#This Row],[N_Direct]:[N_SGA]])</f>
        <v>0</v>
      </c>
      <c r="BI62" s="24">
        <f>IF(G62=1,IF(OR(AND(NOT(ISERROR(VLOOKUP(TableCosts[[#This Row],[Calc_N_Typ]],Cis_WorkPositions,1,0))),C62&lt;&gt;"",D62&lt;&gt;"",E62&lt;&gt;""),AND(ISERROR(VLOOKUP(TableCosts[[#This Row],[Calc_N_Typ]],Cis_WorkPositions,1,0)),C62="",D62="",E62&lt;&gt;""),LEFT(TableCosts[[#This Row],[Calc_N_Typ]],18)="Vynaložené náklady"),VLOOKUP(C62&amp;TableCosts[[#This Row],[Calc_N_Typ]],TRAN_STRITEMS_LABEL,VLOOKUP(D62,Tab_Hours,3,0),0),NA()),0)</f>
        <v>0</v>
      </c>
      <c r="BJ62" s="24">
        <f t="shared" si="30"/>
        <v>0</v>
      </c>
      <c r="BK62" s="24" t="str">
        <f t="shared" si="31"/>
        <v/>
      </c>
      <c r="BL62" s="24" t="str">
        <f t="shared" si="32"/>
        <v/>
      </c>
      <c r="BM62" s="24" t="str">
        <f>IF(G62=1,IF(TableCosts[[#This Row],[TransferFrom]]=TableCosts[[#This Row],[TranferTo]],0,1),"")</f>
        <v/>
      </c>
      <c r="BN62" s="24" t="str">
        <f t="shared" si="33"/>
        <v/>
      </c>
      <c r="BO62" s="24">
        <f t="shared" si="34"/>
        <v>0</v>
      </c>
      <c r="BP62" s="24">
        <f t="shared" si="35"/>
        <v>0</v>
      </c>
    </row>
    <row r="63" spans="2:68" s="24" customFormat="1" ht="12.75" x14ac:dyDescent="0.2">
      <c r="B63" s="97"/>
      <c r="C63" s="92"/>
      <c r="D63" s="92"/>
      <c r="E63" s="92"/>
      <c r="F63" s="31" t="str">
        <f>IF(G63=1,IF(ISERROR(TableCosts[[#This Row],[N_Tariff]]),Err_Message1,IF(TableCosts[[#This Row],[N_Tariff]]=0,Err_Message2,VLOOKUP(C63&amp;TableCosts[[#This Row],[Calc_N_Typ]],TRAN_STRITEMS_LABEL,5,FALSE))),"")</f>
        <v/>
      </c>
      <c r="G63" s="31">
        <f t="shared" si="24"/>
        <v>0</v>
      </c>
      <c r="H63" s="31" t="str">
        <f>IF(G63=1,IFERROR(VLOOKUP(F63,Tab_ErrMessage[],2,0),VLOOKUP(C63&amp;TableCosts[[#This Row],[Calc_N_Typ]],TRAN_STRITEMS_LABEL,4,FALSE)),"")</f>
        <v/>
      </c>
      <c r="I63" s="94"/>
      <c r="J63" s="94"/>
      <c r="K63" s="9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84"/>
      <c r="AW63" s="84"/>
      <c r="AX63" s="87">
        <f t="array" ref="AX63">IF(G63=1,SUM((ROW(M0)=ROW(AW63))*(M0+M1_+M2_+M3_+M4_+M5_+M6_+M7_+M8_+M9_+M10_+M11_+M12_+M13_+M14_+M15_+M16_+M17_+M18_+M19_+M20_+M21_+M22_+M23_+M24_+M25_+M26_+M27_+M28_+M29_+M30_+M31_+M32_+M33_+M34_+M35_+M36_+M37_)),0)</f>
        <v>0</v>
      </c>
      <c r="AZ63" s="24" t="str">
        <f t="shared" si="25"/>
        <v/>
      </c>
      <c r="BA63" s="24" t="str">
        <f t="shared" si="26"/>
        <v/>
      </c>
      <c r="BB63" s="24" t="str">
        <f t="shared" si="27"/>
        <v/>
      </c>
      <c r="BC63" s="24" t="str">
        <f>IF(OR(E63="",LEFT(TableCosts[[#This Row],[Calc_N_Typ]],18)="Vynaložené náklady"),"",VLOOKUP(E63,Tab_Parts,2,0))</f>
        <v/>
      </c>
      <c r="BD63" s="24" t="str">
        <f t="shared" si="28"/>
        <v/>
      </c>
      <c r="BE63" s="24">
        <f t="shared" si="29"/>
        <v>0</v>
      </c>
      <c r="BF63" s="72">
        <f>TableCosts[[#This Row],[N_Amount]]*TableCosts[[#This Row],[N_Tariff]]*TableCosts[[#This Row],[N_ItemsCount]]</f>
        <v>0</v>
      </c>
      <c r="BG63" s="72">
        <f>IF(G63=1,IF(TableCosts[[#This Row],[N_Kateg]]="interné práce",TableCosts[[#This Row],[N_Amount]]*8*PAR_SGA_PERHOUR,0),0)</f>
        <v>0</v>
      </c>
      <c r="BH63" s="72">
        <f>SUM(TableCosts[[#This Row],[N_Direct]:[N_SGA]])</f>
        <v>0</v>
      </c>
      <c r="BI63" s="24">
        <f>IF(G63=1,IF(OR(AND(NOT(ISERROR(VLOOKUP(TableCosts[[#This Row],[Calc_N_Typ]],Cis_WorkPositions,1,0))),C63&lt;&gt;"",D63&lt;&gt;"",E63&lt;&gt;""),AND(ISERROR(VLOOKUP(TableCosts[[#This Row],[Calc_N_Typ]],Cis_WorkPositions,1,0)),C63="",D63="",E63&lt;&gt;""),LEFT(TableCosts[[#This Row],[Calc_N_Typ]],18)="Vynaložené náklady"),VLOOKUP(C63&amp;TableCosts[[#This Row],[Calc_N_Typ]],TRAN_STRITEMS_LABEL,VLOOKUP(D63,Tab_Hours,3,0),0),NA()),0)</f>
        <v>0</v>
      </c>
      <c r="BJ63" s="24">
        <f t="shared" si="30"/>
        <v>0</v>
      </c>
      <c r="BK63" s="24" t="str">
        <f t="shared" si="31"/>
        <v/>
      </c>
      <c r="BL63" s="24" t="str">
        <f t="shared" si="32"/>
        <v/>
      </c>
      <c r="BM63" s="24" t="str">
        <f>IF(G63=1,IF(TableCosts[[#This Row],[TransferFrom]]=TableCosts[[#This Row],[TranferTo]],0,1),"")</f>
        <v/>
      </c>
      <c r="BN63" s="24" t="str">
        <f t="shared" si="33"/>
        <v/>
      </c>
      <c r="BO63" s="24">
        <f t="shared" si="34"/>
        <v>0</v>
      </c>
      <c r="BP63" s="24">
        <f t="shared" si="35"/>
        <v>0</v>
      </c>
    </row>
    <row r="64" spans="2:68" s="24" customFormat="1" ht="12.75" x14ac:dyDescent="0.2">
      <c r="B64" s="97"/>
      <c r="C64" s="92"/>
      <c r="D64" s="92"/>
      <c r="E64" s="92"/>
      <c r="F64" s="31" t="str">
        <f>IF(G64=1,IF(ISERROR(TableCosts[[#This Row],[N_Tariff]]),Err_Message1,IF(TableCosts[[#This Row],[N_Tariff]]=0,Err_Message2,VLOOKUP(C64&amp;TableCosts[[#This Row],[Calc_N_Typ]],TRAN_STRITEMS_LABEL,5,FALSE))),"")</f>
        <v/>
      </c>
      <c r="G64" s="31">
        <f t="shared" si="24"/>
        <v>0</v>
      </c>
      <c r="H64" s="31" t="str">
        <f>IF(G64=1,IFERROR(VLOOKUP(F64,Tab_ErrMessage[],2,0),VLOOKUP(C64&amp;TableCosts[[#This Row],[Calc_N_Typ]],TRAN_STRITEMS_LABEL,4,FALSE)),"")</f>
        <v/>
      </c>
      <c r="I64" s="94"/>
      <c r="J64" s="94"/>
      <c r="K64" s="9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4"/>
      <c r="AW64" s="84"/>
      <c r="AX64" s="87">
        <f t="array" ref="AX64">IF(G64=1,SUM((ROW(M0)=ROW(AW64))*(M0+M1_+M2_+M3_+M4_+M5_+M6_+M7_+M8_+M9_+M10_+M11_+M12_+M13_+M14_+M15_+M16_+M17_+M18_+M19_+M20_+M21_+M22_+M23_+M24_+M25_+M26_+M27_+M28_+M29_+M30_+M31_+M32_+M33_+M34_+M35_+M36_+M37_)),0)</f>
        <v>0</v>
      </c>
      <c r="AZ64" s="24" t="str">
        <f t="shared" si="25"/>
        <v/>
      </c>
      <c r="BA64" s="24" t="str">
        <f t="shared" si="26"/>
        <v/>
      </c>
      <c r="BB64" s="24" t="str">
        <f t="shared" si="27"/>
        <v/>
      </c>
      <c r="BC64" s="24" t="str">
        <f>IF(OR(E64="",LEFT(TableCosts[[#This Row],[Calc_N_Typ]],18)="Vynaložené náklady"),"",VLOOKUP(E64,Tab_Parts,2,0))</f>
        <v/>
      </c>
      <c r="BD64" s="24" t="str">
        <f t="shared" si="28"/>
        <v/>
      </c>
      <c r="BE64" s="24">
        <f t="shared" si="29"/>
        <v>0</v>
      </c>
      <c r="BF64" s="72">
        <f>TableCosts[[#This Row],[N_Amount]]*TableCosts[[#This Row],[N_Tariff]]*TableCosts[[#This Row],[N_ItemsCount]]</f>
        <v>0</v>
      </c>
      <c r="BG64" s="72">
        <f>IF(G64=1,IF(TableCosts[[#This Row],[N_Kateg]]="interné práce",TableCosts[[#This Row],[N_Amount]]*8*PAR_SGA_PERHOUR,0),0)</f>
        <v>0</v>
      </c>
      <c r="BH64" s="72">
        <f>SUM(TableCosts[[#This Row],[N_Direct]:[N_SGA]])</f>
        <v>0</v>
      </c>
      <c r="BI64" s="24">
        <f>IF(G64=1,IF(OR(AND(NOT(ISERROR(VLOOKUP(TableCosts[[#This Row],[Calc_N_Typ]],Cis_WorkPositions,1,0))),C64&lt;&gt;"",D64&lt;&gt;"",E64&lt;&gt;""),AND(ISERROR(VLOOKUP(TableCosts[[#This Row],[Calc_N_Typ]],Cis_WorkPositions,1,0)),C64="",D64="",E64&lt;&gt;""),LEFT(TableCosts[[#This Row],[Calc_N_Typ]],18)="Vynaložené náklady"),VLOOKUP(C64&amp;TableCosts[[#This Row],[Calc_N_Typ]],TRAN_STRITEMS_LABEL,VLOOKUP(D64,Tab_Hours,3,0),0),NA()),0)</f>
        <v>0</v>
      </c>
      <c r="BJ64" s="24">
        <f t="shared" si="30"/>
        <v>0</v>
      </c>
      <c r="BK64" s="24" t="str">
        <f t="shared" si="31"/>
        <v/>
      </c>
      <c r="BL64" s="24" t="str">
        <f t="shared" si="32"/>
        <v/>
      </c>
      <c r="BM64" s="24" t="str">
        <f>IF(G64=1,IF(TableCosts[[#This Row],[TransferFrom]]=TableCosts[[#This Row],[TranferTo]],0,1),"")</f>
        <v/>
      </c>
      <c r="BN64" s="24" t="str">
        <f t="shared" si="33"/>
        <v/>
      </c>
      <c r="BO64" s="24">
        <f t="shared" si="34"/>
        <v>0</v>
      </c>
      <c r="BP64" s="24">
        <f t="shared" si="35"/>
        <v>0</v>
      </c>
    </row>
    <row r="65" spans="2:68" s="24" customFormat="1" ht="12.75" x14ac:dyDescent="0.2">
      <c r="B65" s="97"/>
      <c r="C65" s="92"/>
      <c r="D65" s="92"/>
      <c r="E65" s="92"/>
      <c r="F65" s="31" t="str">
        <f>IF(G65=1,IF(ISERROR(TableCosts[[#This Row],[N_Tariff]]),Err_Message1,IF(TableCosts[[#This Row],[N_Tariff]]=0,Err_Message2,VLOOKUP(C65&amp;TableCosts[[#This Row],[Calc_N_Typ]],TRAN_STRITEMS_LABEL,5,FALSE))),"")</f>
        <v/>
      </c>
      <c r="G65" s="31">
        <f t="shared" si="24"/>
        <v>0</v>
      </c>
      <c r="H65" s="31" t="str">
        <f>IF(G65=1,IFERROR(VLOOKUP(F65,Tab_ErrMessage[],2,0),VLOOKUP(C65&amp;TableCosts[[#This Row],[Calc_N_Typ]],TRAN_STRITEMS_LABEL,4,FALSE)),"")</f>
        <v/>
      </c>
      <c r="I65" s="94"/>
      <c r="J65" s="94"/>
      <c r="K65" s="9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4"/>
      <c r="AL65" s="84"/>
      <c r="AM65" s="84"/>
      <c r="AN65" s="84"/>
      <c r="AO65" s="84"/>
      <c r="AP65" s="84"/>
      <c r="AQ65" s="84"/>
      <c r="AR65" s="84"/>
      <c r="AS65" s="84"/>
      <c r="AT65" s="84"/>
      <c r="AU65" s="84"/>
      <c r="AV65" s="84"/>
      <c r="AW65" s="84"/>
      <c r="AX65" s="87">
        <f t="array" ref="AX65">IF(G65=1,SUM((ROW(M0)=ROW(AW65))*(M0+M1_+M2_+M3_+M4_+M5_+M6_+M7_+M8_+M9_+M10_+M11_+M12_+M13_+M14_+M15_+M16_+M17_+M18_+M19_+M20_+M21_+M22_+M23_+M24_+M25_+M26_+M27_+M28_+M29_+M30_+M31_+M32_+M33_+M34_+M35_+M36_+M37_)),0)</f>
        <v>0</v>
      </c>
      <c r="AZ65" s="24" t="str">
        <f t="shared" si="25"/>
        <v/>
      </c>
      <c r="BA65" s="24" t="str">
        <f t="shared" si="26"/>
        <v/>
      </c>
      <c r="BB65" s="24" t="str">
        <f t="shared" si="27"/>
        <v/>
      </c>
      <c r="BC65" s="24" t="str">
        <f>IF(OR(E65="",LEFT(TableCosts[[#This Row],[Calc_N_Typ]],18)="Vynaložené náklady"),"",VLOOKUP(E65,Tab_Parts,2,0))</f>
        <v/>
      </c>
      <c r="BD65" s="24" t="str">
        <f t="shared" si="28"/>
        <v/>
      </c>
      <c r="BE65" s="24">
        <f t="shared" si="29"/>
        <v>0</v>
      </c>
      <c r="BF65" s="72">
        <f>TableCosts[[#This Row],[N_Amount]]*TableCosts[[#This Row],[N_Tariff]]*TableCosts[[#This Row],[N_ItemsCount]]</f>
        <v>0</v>
      </c>
      <c r="BG65" s="72">
        <f>IF(G65=1,IF(TableCosts[[#This Row],[N_Kateg]]="interné práce",TableCosts[[#This Row],[N_Amount]]*8*PAR_SGA_PERHOUR,0),0)</f>
        <v>0</v>
      </c>
      <c r="BH65" s="72">
        <f>SUM(TableCosts[[#This Row],[N_Direct]:[N_SGA]])</f>
        <v>0</v>
      </c>
      <c r="BI65" s="24">
        <f>IF(G65=1,IF(OR(AND(NOT(ISERROR(VLOOKUP(TableCosts[[#This Row],[Calc_N_Typ]],Cis_WorkPositions,1,0))),C65&lt;&gt;"",D65&lt;&gt;"",E65&lt;&gt;""),AND(ISERROR(VLOOKUP(TableCosts[[#This Row],[Calc_N_Typ]],Cis_WorkPositions,1,0)),C65="",D65="",E65&lt;&gt;""),LEFT(TableCosts[[#This Row],[Calc_N_Typ]],18)="Vynaložené náklady"),VLOOKUP(C65&amp;TableCosts[[#This Row],[Calc_N_Typ]],TRAN_STRITEMS_LABEL,VLOOKUP(D65,Tab_Hours,3,0),0),NA()),0)</f>
        <v>0</v>
      </c>
      <c r="BJ65" s="24">
        <f t="shared" si="30"/>
        <v>0</v>
      </c>
      <c r="BK65" s="24" t="str">
        <f t="shared" si="31"/>
        <v/>
      </c>
      <c r="BL65" s="24" t="str">
        <f t="shared" si="32"/>
        <v/>
      </c>
      <c r="BM65" s="24" t="str">
        <f>IF(G65=1,IF(TableCosts[[#This Row],[TransferFrom]]=TableCosts[[#This Row],[TranferTo]],0,1),"")</f>
        <v/>
      </c>
      <c r="BN65" s="24" t="str">
        <f t="shared" si="33"/>
        <v/>
      </c>
      <c r="BO65" s="24">
        <f t="shared" si="34"/>
        <v>0</v>
      </c>
      <c r="BP65" s="24">
        <f t="shared" si="35"/>
        <v>0</v>
      </c>
    </row>
    <row r="66" spans="2:68" s="24" customFormat="1" ht="12.75" x14ac:dyDescent="0.2">
      <c r="B66" s="97"/>
      <c r="C66" s="92"/>
      <c r="D66" s="92"/>
      <c r="E66" s="92"/>
      <c r="F66" s="31" t="str">
        <f>IF(G66=1,IF(ISERROR(TableCosts[[#This Row],[N_Tariff]]),Err_Message1,IF(TableCosts[[#This Row],[N_Tariff]]=0,Err_Message2,VLOOKUP(C66&amp;TableCosts[[#This Row],[Calc_N_Typ]],TRAN_STRITEMS_LABEL,5,FALSE))),"")</f>
        <v/>
      </c>
      <c r="G66" s="31">
        <f t="shared" si="24"/>
        <v>0</v>
      </c>
      <c r="H66" s="31" t="str">
        <f>IF(G66=1,IFERROR(VLOOKUP(F66,Tab_ErrMessage[],2,0),VLOOKUP(C66&amp;TableCosts[[#This Row],[Calc_N_Typ]],TRAN_STRITEMS_LABEL,4,FALSE)),"")</f>
        <v/>
      </c>
      <c r="I66" s="94"/>
      <c r="J66" s="94"/>
      <c r="K66" s="9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4"/>
      <c r="AL66" s="84"/>
      <c r="AM66" s="84"/>
      <c r="AN66" s="84"/>
      <c r="AO66" s="84"/>
      <c r="AP66" s="84"/>
      <c r="AQ66" s="84"/>
      <c r="AR66" s="84"/>
      <c r="AS66" s="84"/>
      <c r="AT66" s="84"/>
      <c r="AU66" s="84"/>
      <c r="AV66" s="84"/>
      <c r="AW66" s="84"/>
      <c r="AX66" s="87">
        <f t="array" ref="AX66">IF(G66=1,SUM((ROW(M0)=ROW(AW66))*(M0+M1_+M2_+M3_+M4_+M5_+M6_+M7_+M8_+M9_+M10_+M11_+M12_+M13_+M14_+M15_+M16_+M17_+M18_+M19_+M20_+M21_+M22_+M23_+M24_+M25_+M26_+M27_+M28_+M29_+M30_+M31_+M32_+M33_+M34_+M35_+M36_+M37_)),0)</f>
        <v>0</v>
      </c>
      <c r="AZ66" s="24" t="str">
        <f t="shared" si="25"/>
        <v/>
      </c>
      <c r="BA66" s="24" t="str">
        <f t="shared" si="26"/>
        <v/>
      </c>
      <c r="BB66" s="24" t="str">
        <f t="shared" si="27"/>
        <v/>
      </c>
      <c r="BC66" s="24" t="str">
        <f>IF(OR(E66="",LEFT(TableCosts[[#This Row],[Calc_N_Typ]],18)="Vynaložené náklady"),"",VLOOKUP(E66,Tab_Parts,2,0))</f>
        <v/>
      </c>
      <c r="BD66" s="24" t="str">
        <f t="shared" si="28"/>
        <v/>
      </c>
      <c r="BE66" s="24">
        <f t="shared" si="29"/>
        <v>0</v>
      </c>
      <c r="BF66" s="72">
        <f>TableCosts[[#This Row],[N_Amount]]*TableCosts[[#This Row],[N_Tariff]]*TableCosts[[#This Row],[N_ItemsCount]]</f>
        <v>0</v>
      </c>
      <c r="BG66" s="72">
        <f>IF(G66=1,IF(TableCosts[[#This Row],[N_Kateg]]="interné práce",TableCosts[[#This Row],[N_Amount]]*8*PAR_SGA_PERHOUR,0),0)</f>
        <v>0</v>
      </c>
      <c r="BH66" s="72">
        <f>SUM(TableCosts[[#This Row],[N_Direct]:[N_SGA]])</f>
        <v>0</v>
      </c>
      <c r="BI66" s="24">
        <f>IF(G66=1,IF(OR(AND(NOT(ISERROR(VLOOKUP(TableCosts[[#This Row],[Calc_N_Typ]],Cis_WorkPositions,1,0))),C66&lt;&gt;"",D66&lt;&gt;"",E66&lt;&gt;""),AND(ISERROR(VLOOKUP(TableCosts[[#This Row],[Calc_N_Typ]],Cis_WorkPositions,1,0)),C66="",D66="",E66&lt;&gt;""),LEFT(TableCosts[[#This Row],[Calc_N_Typ]],18)="Vynaložené náklady"),VLOOKUP(C66&amp;TableCosts[[#This Row],[Calc_N_Typ]],TRAN_STRITEMS_LABEL,VLOOKUP(D66,Tab_Hours,3,0),0),NA()),0)</f>
        <v>0</v>
      </c>
      <c r="BJ66" s="24">
        <f t="shared" si="30"/>
        <v>0</v>
      </c>
      <c r="BK66" s="24" t="str">
        <f t="shared" si="31"/>
        <v/>
      </c>
      <c r="BL66" s="24" t="str">
        <f t="shared" si="32"/>
        <v/>
      </c>
      <c r="BM66" s="24" t="str">
        <f>IF(G66=1,IF(TableCosts[[#This Row],[TransferFrom]]=TableCosts[[#This Row],[TranferTo]],0,1),"")</f>
        <v/>
      </c>
      <c r="BN66" s="24" t="str">
        <f t="shared" si="33"/>
        <v/>
      </c>
      <c r="BO66" s="24">
        <f t="shared" si="34"/>
        <v>0</v>
      </c>
      <c r="BP66" s="24">
        <f t="shared" si="35"/>
        <v>0</v>
      </c>
    </row>
    <row r="67" spans="2:68" s="24" customFormat="1" ht="12.75" x14ac:dyDescent="0.2">
      <c r="B67" s="97"/>
      <c r="C67" s="92"/>
      <c r="D67" s="92"/>
      <c r="E67" s="92"/>
      <c r="F67" s="31" t="str">
        <f>IF(G67=1,IF(ISERROR(TableCosts[[#This Row],[N_Tariff]]),Err_Message1,IF(TableCosts[[#This Row],[N_Tariff]]=0,Err_Message2,VLOOKUP(C67&amp;TableCosts[[#This Row],[Calc_N_Typ]],TRAN_STRITEMS_LABEL,5,FALSE))),"")</f>
        <v/>
      </c>
      <c r="G67" s="31">
        <f t="shared" si="24"/>
        <v>0</v>
      </c>
      <c r="H67" s="31" t="str">
        <f>IF(G67=1,IFERROR(VLOOKUP(F67,Tab_ErrMessage[],2,0),VLOOKUP(C67&amp;TableCosts[[#This Row],[Calc_N_Typ]],TRAN_STRITEMS_LABEL,4,FALSE)),"")</f>
        <v/>
      </c>
      <c r="I67" s="94"/>
      <c r="J67" s="94"/>
      <c r="K67" s="9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4"/>
      <c r="AL67" s="84"/>
      <c r="AM67" s="84"/>
      <c r="AN67" s="84"/>
      <c r="AO67" s="84"/>
      <c r="AP67" s="84"/>
      <c r="AQ67" s="84"/>
      <c r="AR67" s="84"/>
      <c r="AS67" s="84"/>
      <c r="AT67" s="84"/>
      <c r="AU67" s="84"/>
      <c r="AV67" s="84"/>
      <c r="AW67" s="84"/>
      <c r="AX67" s="87">
        <f t="array" ref="AX67">IF(G67=1,SUM((ROW(M0)=ROW(AW67))*(M0+M1_+M2_+M3_+M4_+M5_+M6_+M7_+M8_+M9_+M10_+M11_+M12_+M13_+M14_+M15_+M16_+M17_+M18_+M19_+M20_+M21_+M22_+M23_+M24_+M25_+M26_+M27_+M28_+M29_+M30_+M31_+M32_+M33_+M34_+M35_+M36_+M37_)),0)</f>
        <v>0</v>
      </c>
      <c r="AZ67" s="24" t="str">
        <f t="shared" si="25"/>
        <v/>
      </c>
      <c r="BA67" s="24" t="str">
        <f t="shared" si="26"/>
        <v/>
      </c>
      <c r="BB67" s="24" t="str">
        <f t="shared" si="27"/>
        <v/>
      </c>
      <c r="BC67" s="24" t="str">
        <f>IF(OR(E67="",LEFT(TableCosts[[#This Row],[Calc_N_Typ]],18)="Vynaložené náklady"),"",VLOOKUP(E67,Tab_Parts,2,0))</f>
        <v/>
      </c>
      <c r="BD67" s="24" t="str">
        <f t="shared" si="28"/>
        <v/>
      </c>
      <c r="BE67" s="24">
        <f t="shared" si="29"/>
        <v>0</v>
      </c>
      <c r="BF67" s="72">
        <f>TableCosts[[#This Row],[N_Amount]]*TableCosts[[#This Row],[N_Tariff]]*TableCosts[[#This Row],[N_ItemsCount]]</f>
        <v>0</v>
      </c>
      <c r="BG67" s="72">
        <f>IF(G67=1,IF(TableCosts[[#This Row],[N_Kateg]]="interné práce",TableCosts[[#This Row],[N_Amount]]*8*PAR_SGA_PERHOUR,0),0)</f>
        <v>0</v>
      </c>
      <c r="BH67" s="72">
        <f>SUM(TableCosts[[#This Row],[N_Direct]:[N_SGA]])</f>
        <v>0</v>
      </c>
      <c r="BI67" s="24">
        <f>IF(G67=1,IF(OR(AND(NOT(ISERROR(VLOOKUP(TableCosts[[#This Row],[Calc_N_Typ]],Cis_WorkPositions,1,0))),C67&lt;&gt;"",D67&lt;&gt;"",E67&lt;&gt;""),AND(ISERROR(VLOOKUP(TableCosts[[#This Row],[Calc_N_Typ]],Cis_WorkPositions,1,0)),C67="",D67="",E67&lt;&gt;""),LEFT(TableCosts[[#This Row],[Calc_N_Typ]],18)="Vynaložené náklady"),VLOOKUP(C67&amp;TableCosts[[#This Row],[Calc_N_Typ]],TRAN_STRITEMS_LABEL,VLOOKUP(D67,Tab_Hours,3,0),0),NA()),0)</f>
        <v>0</v>
      </c>
      <c r="BJ67" s="24">
        <f t="shared" si="30"/>
        <v>0</v>
      </c>
      <c r="BK67" s="24" t="str">
        <f t="shared" si="31"/>
        <v/>
      </c>
      <c r="BL67" s="24" t="str">
        <f t="shared" si="32"/>
        <v/>
      </c>
      <c r="BM67" s="24" t="str">
        <f>IF(G67=1,IF(TableCosts[[#This Row],[TransferFrom]]=TableCosts[[#This Row],[TranferTo]],0,1),"")</f>
        <v/>
      </c>
      <c r="BN67" s="24" t="str">
        <f t="shared" si="33"/>
        <v/>
      </c>
      <c r="BO67" s="24">
        <f t="shared" si="34"/>
        <v>0</v>
      </c>
      <c r="BP67" s="24">
        <f t="shared" si="35"/>
        <v>0</v>
      </c>
    </row>
    <row r="68" spans="2:68" s="24" customFormat="1" ht="12.75" x14ac:dyDescent="0.2">
      <c r="B68" s="97"/>
      <c r="C68" s="92"/>
      <c r="D68" s="92"/>
      <c r="E68" s="92"/>
      <c r="F68" s="31" t="str">
        <f>IF(G68=1,IF(ISERROR(TableCosts[[#This Row],[N_Tariff]]),Err_Message1,IF(TableCosts[[#This Row],[N_Tariff]]=0,Err_Message2,VLOOKUP(C68&amp;TableCosts[[#This Row],[Calc_N_Typ]],TRAN_STRITEMS_LABEL,5,FALSE))),"")</f>
        <v/>
      </c>
      <c r="G68" s="31">
        <f t="shared" si="24"/>
        <v>0</v>
      </c>
      <c r="H68" s="31" t="str">
        <f>IF(G68=1,IFERROR(VLOOKUP(F68,Tab_ErrMessage[],2,0),VLOOKUP(C68&amp;TableCosts[[#This Row],[Calc_N_Typ]],TRAN_STRITEMS_LABEL,4,FALSE)),"")</f>
        <v/>
      </c>
      <c r="I68" s="94"/>
      <c r="J68" s="94"/>
      <c r="K68" s="9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4"/>
      <c r="AL68" s="84"/>
      <c r="AM68" s="84"/>
      <c r="AN68" s="84"/>
      <c r="AO68" s="84"/>
      <c r="AP68" s="84"/>
      <c r="AQ68" s="84"/>
      <c r="AR68" s="84"/>
      <c r="AS68" s="84"/>
      <c r="AT68" s="84"/>
      <c r="AU68" s="84"/>
      <c r="AV68" s="84"/>
      <c r="AW68" s="84"/>
      <c r="AX68" s="87">
        <f t="array" ref="AX68">IF(G68=1,SUM((ROW(M0)=ROW(AW68))*(M0+M1_+M2_+M3_+M4_+M5_+M6_+M7_+M8_+M9_+M10_+M11_+M12_+M13_+M14_+M15_+M16_+M17_+M18_+M19_+M20_+M21_+M22_+M23_+M24_+M25_+M26_+M27_+M28_+M29_+M30_+M31_+M32_+M33_+M34_+M35_+M36_+M37_)),0)</f>
        <v>0</v>
      </c>
      <c r="AZ68" s="24" t="str">
        <f t="shared" si="25"/>
        <v/>
      </c>
      <c r="BA68" s="24" t="str">
        <f t="shared" si="26"/>
        <v/>
      </c>
      <c r="BB68" s="24" t="str">
        <f t="shared" si="27"/>
        <v/>
      </c>
      <c r="BC68" s="24" t="str">
        <f>IF(OR(E68="",LEFT(TableCosts[[#This Row],[Calc_N_Typ]],18)="Vynaložené náklady"),"",VLOOKUP(E68,Tab_Parts,2,0))</f>
        <v/>
      </c>
      <c r="BD68" s="24" t="str">
        <f t="shared" si="28"/>
        <v/>
      </c>
      <c r="BE68" s="24">
        <f t="shared" si="29"/>
        <v>0</v>
      </c>
      <c r="BF68" s="72">
        <f>TableCosts[[#This Row],[N_Amount]]*TableCosts[[#This Row],[N_Tariff]]*TableCosts[[#This Row],[N_ItemsCount]]</f>
        <v>0</v>
      </c>
      <c r="BG68" s="72">
        <f>IF(G68=1,IF(TableCosts[[#This Row],[N_Kateg]]="interné práce",TableCosts[[#This Row],[N_Amount]]*8*PAR_SGA_PERHOUR,0),0)</f>
        <v>0</v>
      </c>
      <c r="BH68" s="72">
        <f>SUM(TableCosts[[#This Row],[N_Direct]:[N_SGA]])</f>
        <v>0</v>
      </c>
      <c r="BI68" s="24">
        <f>IF(G68=1,IF(OR(AND(NOT(ISERROR(VLOOKUP(TableCosts[[#This Row],[Calc_N_Typ]],Cis_WorkPositions,1,0))),C68&lt;&gt;"",D68&lt;&gt;"",E68&lt;&gt;""),AND(ISERROR(VLOOKUP(TableCosts[[#This Row],[Calc_N_Typ]],Cis_WorkPositions,1,0)),C68="",D68="",E68&lt;&gt;""),LEFT(TableCosts[[#This Row],[Calc_N_Typ]],18)="Vynaložené náklady"),VLOOKUP(C68&amp;TableCosts[[#This Row],[Calc_N_Typ]],TRAN_STRITEMS_LABEL,VLOOKUP(D68,Tab_Hours,3,0),0),NA()),0)</f>
        <v>0</v>
      </c>
      <c r="BJ68" s="24">
        <f t="shared" si="30"/>
        <v>0</v>
      </c>
      <c r="BK68" s="24" t="str">
        <f t="shared" si="31"/>
        <v/>
      </c>
      <c r="BL68" s="24" t="str">
        <f t="shared" si="32"/>
        <v/>
      </c>
      <c r="BM68" s="24" t="str">
        <f>IF(G68=1,IF(TableCosts[[#This Row],[TransferFrom]]=TableCosts[[#This Row],[TranferTo]],0,1),"")</f>
        <v/>
      </c>
      <c r="BN68" s="24" t="str">
        <f t="shared" si="33"/>
        <v/>
      </c>
      <c r="BO68" s="24">
        <f t="shared" si="34"/>
        <v>0</v>
      </c>
      <c r="BP68" s="24">
        <f t="shared" si="35"/>
        <v>0</v>
      </c>
    </row>
    <row r="69" spans="2:68" s="24" customFormat="1" ht="12.75" x14ac:dyDescent="0.2">
      <c r="B69" s="97"/>
      <c r="C69" s="92"/>
      <c r="D69" s="92"/>
      <c r="E69" s="92"/>
      <c r="F69" s="31" t="str">
        <f>IF(G69=1,IF(ISERROR(TableCosts[[#This Row],[N_Tariff]]),Err_Message1,IF(TableCosts[[#This Row],[N_Tariff]]=0,Err_Message2,VLOOKUP(C69&amp;TableCosts[[#This Row],[Calc_N_Typ]],TRAN_STRITEMS_LABEL,5,FALSE))),"")</f>
        <v/>
      </c>
      <c r="G69" s="31">
        <f t="shared" si="24"/>
        <v>0</v>
      </c>
      <c r="H69" s="31" t="str">
        <f>IF(G69=1,IFERROR(VLOOKUP(F69,Tab_ErrMessage[],2,0),VLOOKUP(C69&amp;TableCosts[[#This Row],[Calc_N_Typ]],TRAN_STRITEMS_LABEL,4,FALSE)),"")</f>
        <v/>
      </c>
      <c r="I69" s="94"/>
      <c r="J69" s="94"/>
      <c r="K69" s="9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4"/>
      <c r="AL69" s="84"/>
      <c r="AM69" s="84"/>
      <c r="AN69" s="84"/>
      <c r="AO69" s="84"/>
      <c r="AP69" s="84"/>
      <c r="AQ69" s="84"/>
      <c r="AR69" s="84"/>
      <c r="AS69" s="84"/>
      <c r="AT69" s="84"/>
      <c r="AU69" s="84"/>
      <c r="AV69" s="84"/>
      <c r="AW69" s="84"/>
      <c r="AX69" s="87">
        <f t="array" ref="AX69">IF(G69=1,SUM((ROW(M0)=ROW(AW69))*(M0+M1_+M2_+M3_+M4_+M5_+M6_+M7_+M8_+M9_+M10_+M11_+M12_+M13_+M14_+M15_+M16_+M17_+M18_+M19_+M20_+M21_+M22_+M23_+M24_+M25_+M26_+M27_+M28_+M29_+M30_+M31_+M32_+M33_+M34_+M35_+M36_+M37_)),0)</f>
        <v>0</v>
      </c>
      <c r="AZ69" s="24" t="str">
        <f t="shared" si="25"/>
        <v/>
      </c>
      <c r="BA69" s="24" t="str">
        <f t="shared" si="26"/>
        <v/>
      </c>
      <c r="BB69" s="24" t="str">
        <f t="shared" si="27"/>
        <v/>
      </c>
      <c r="BC69" s="24" t="str">
        <f>IF(OR(E69="",LEFT(TableCosts[[#This Row],[Calc_N_Typ]],18)="Vynaložené náklady"),"",VLOOKUP(E69,Tab_Parts,2,0))</f>
        <v/>
      </c>
      <c r="BD69" s="24" t="str">
        <f t="shared" si="28"/>
        <v/>
      </c>
      <c r="BE69" s="24">
        <f t="shared" si="29"/>
        <v>0</v>
      </c>
      <c r="BF69" s="72">
        <f>TableCosts[[#This Row],[N_Amount]]*TableCosts[[#This Row],[N_Tariff]]*TableCosts[[#This Row],[N_ItemsCount]]</f>
        <v>0</v>
      </c>
      <c r="BG69" s="72">
        <f>IF(G69=1,IF(TableCosts[[#This Row],[N_Kateg]]="interné práce",TableCosts[[#This Row],[N_Amount]]*8*PAR_SGA_PERHOUR,0),0)</f>
        <v>0</v>
      </c>
      <c r="BH69" s="72">
        <f>SUM(TableCosts[[#This Row],[N_Direct]:[N_SGA]])</f>
        <v>0</v>
      </c>
      <c r="BI69" s="24">
        <f>IF(G69=1,IF(OR(AND(NOT(ISERROR(VLOOKUP(TableCosts[[#This Row],[Calc_N_Typ]],Cis_WorkPositions,1,0))),C69&lt;&gt;"",D69&lt;&gt;"",E69&lt;&gt;""),AND(ISERROR(VLOOKUP(TableCosts[[#This Row],[Calc_N_Typ]],Cis_WorkPositions,1,0)),C69="",D69="",E69&lt;&gt;""),LEFT(TableCosts[[#This Row],[Calc_N_Typ]],18)="Vynaložené náklady"),VLOOKUP(C69&amp;TableCosts[[#This Row],[Calc_N_Typ]],TRAN_STRITEMS_LABEL,VLOOKUP(D69,Tab_Hours,3,0),0),NA()),0)</f>
        <v>0</v>
      </c>
      <c r="BJ69" s="24">
        <f t="shared" si="30"/>
        <v>0</v>
      </c>
      <c r="BK69" s="24" t="str">
        <f t="shared" si="31"/>
        <v/>
      </c>
      <c r="BL69" s="24" t="str">
        <f t="shared" si="32"/>
        <v/>
      </c>
      <c r="BM69" s="24" t="str">
        <f>IF(G69=1,IF(TableCosts[[#This Row],[TransferFrom]]=TableCosts[[#This Row],[TranferTo]],0,1),"")</f>
        <v/>
      </c>
      <c r="BN69" s="24" t="str">
        <f t="shared" si="33"/>
        <v/>
      </c>
      <c r="BO69" s="24">
        <f t="shared" si="34"/>
        <v>0</v>
      </c>
      <c r="BP69" s="24">
        <f t="shared" si="35"/>
        <v>0</v>
      </c>
    </row>
    <row r="70" spans="2:68" s="24" customFormat="1" ht="12.75" x14ac:dyDescent="0.2">
      <c r="B70" s="97"/>
      <c r="C70" s="92"/>
      <c r="D70" s="92"/>
      <c r="E70" s="92"/>
      <c r="F70" s="31" t="str">
        <f>IF(G70=1,IF(ISERROR(TableCosts[[#This Row],[N_Tariff]]),Err_Message1,IF(TableCosts[[#This Row],[N_Tariff]]=0,Err_Message2,VLOOKUP(C70&amp;TableCosts[[#This Row],[Calc_N_Typ]],TRAN_STRITEMS_LABEL,5,FALSE))),"")</f>
        <v/>
      </c>
      <c r="G70" s="31">
        <f t="shared" si="24"/>
        <v>0</v>
      </c>
      <c r="H70" s="31" t="str">
        <f>IF(G70=1,IFERROR(VLOOKUP(F70,Tab_ErrMessage[],2,0),VLOOKUP(C70&amp;TableCosts[[#This Row],[Calc_N_Typ]],TRAN_STRITEMS_LABEL,4,FALSE)),"")</f>
        <v/>
      </c>
      <c r="I70" s="94"/>
      <c r="J70" s="94"/>
      <c r="K70" s="9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  <c r="AM70" s="84"/>
      <c r="AN70" s="84"/>
      <c r="AO70" s="84"/>
      <c r="AP70" s="84"/>
      <c r="AQ70" s="84"/>
      <c r="AR70" s="84"/>
      <c r="AS70" s="84"/>
      <c r="AT70" s="84"/>
      <c r="AU70" s="84"/>
      <c r="AV70" s="84"/>
      <c r="AW70" s="84"/>
      <c r="AX70" s="87">
        <f t="array" ref="AX70">IF(G70=1,SUM((ROW(M0)=ROW(AW70))*(M0+M1_+M2_+M3_+M4_+M5_+M6_+M7_+M8_+M9_+M10_+M11_+M12_+M13_+M14_+M15_+M16_+M17_+M18_+M19_+M20_+M21_+M22_+M23_+M24_+M25_+M26_+M27_+M28_+M29_+M30_+M31_+M32_+M33_+M34_+M35_+M36_+M37_)),0)</f>
        <v>0</v>
      </c>
      <c r="AZ70" s="24" t="str">
        <f t="shared" si="25"/>
        <v/>
      </c>
      <c r="BA70" s="24" t="str">
        <f t="shared" si="26"/>
        <v/>
      </c>
      <c r="BB70" s="24" t="str">
        <f t="shared" si="27"/>
        <v/>
      </c>
      <c r="BC70" s="24" t="str">
        <f>IF(OR(E70="",LEFT(TableCosts[[#This Row],[Calc_N_Typ]],18)="Vynaložené náklady"),"",VLOOKUP(E70,Tab_Parts,2,0))</f>
        <v/>
      </c>
      <c r="BD70" s="24" t="str">
        <f t="shared" si="28"/>
        <v/>
      </c>
      <c r="BE70" s="24">
        <f t="shared" si="29"/>
        <v>0</v>
      </c>
      <c r="BF70" s="72">
        <f>TableCosts[[#This Row],[N_Amount]]*TableCosts[[#This Row],[N_Tariff]]*TableCosts[[#This Row],[N_ItemsCount]]</f>
        <v>0</v>
      </c>
      <c r="BG70" s="72">
        <f>IF(G70=1,IF(TableCosts[[#This Row],[N_Kateg]]="interné práce",TableCosts[[#This Row],[N_Amount]]*8*PAR_SGA_PERHOUR,0),0)</f>
        <v>0</v>
      </c>
      <c r="BH70" s="72">
        <f>SUM(TableCosts[[#This Row],[N_Direct]:[N_SGA]])</f>
        <v>0</v>
      </c>
      <c r="BI70" s="24">
        <f>IF(G70=1,IF(OR(AND(NOT(ISERROR(VLOOKUP(TableCosts[[#This Row],[Calc_N_Typ]],Cis_WorkPositions,1,0))),C70&lt;&gt;"",D70&lt;&gt;"",E70&lt;&gt;""),AND(ISERROR(VLOOKUP(TableCosts[[#This Row],[Calc_N_Typ]],Cis_WorkPositions,1,0)),C70="",D70="",E70&lt;&gt;""),LEFT(TableCosts[[#This Row],[Calc_N_Typ]],18)="Vynaložené náklady"),VLOOKUP(C70&amp;TableCosts[[#This Row],[Calc_N_Typ]],TRAN_STRITEMS_LABEL,VLOOKUP(D70,Tab_Hours,3,0),0),NA()),0)</f>
        <v>0</v>
      </c>
      <c r="BJ70" s="24">
        <f t="shared" si="30"/>
        <v>0</v>
      </c>
      <c r="BK70" s="24" t="str">
        <f t="shared" si="31"/>
        <v/>
      </c>
      <c r="BL70" s="24" t="str">
        <f t="shared" si="32"/>
        <v/>
      </c>
      <c r="BM70" s="24" t="str">
        <f>IF(G70=1,IF(TableCosts[[#This Row],[TransferFrom]]=TableCosts[[#This Row],[TranferTo]],0,1),"")</f>
        <v/>
      </c>
      <c r="BN70" s="24" t="str">
        <f t="shared" si="33"/>
        <v/>
      </c>
      <c r="BO70" s="24">
        <f t="shared" si="34"/>
        <v>0</v>
      </c>
      <c r="BP70" s="24">
        <f t="shared" si="35"/>
        <v>0</v>
      </c>
    </row>
    <row r="71" spans="2:68" s="24" customFormat="1" ht="12.75" x14ac:dyDescent="0.2">
      <c r="B71" s="97"/>
      <c r="C71" s="92"/>
      <c r="D71" s="92"/>
      <c r="E71" s="92"/>
      <c r="F71" s="31" t="str">
        <f>IF(G71=1,IF(ISERROR(TableCosts[[#This Row],[N_Tariff]]),Err_Message1,IF(TableCosts[[#This Row],[N_Tariff]]=0,Err_Message2,VLOOKUP(C71&amp;TableCosts[[#This Row],[Calc_N_Typ]],TRAN_STRITEMS_LABEL,5,FALSE))),"")</f>
        <v/>
      </c>
      <c r="G71" s="31">
        <f t="shared" si="24"/>
        <v>0</v>
      </c>
      <c r="H71" s="31" t="str">
        <f>IF(G71=1,IFERROR(VLOOKUP(F71,Tab_ErrMessage[],2,0),VLOOKUP(C71&amp;TableCosts[[#This Row],[Calc_N_Typ]],TRAN_STRITEMS_LABEL,4,FALSE)),"")</f>
        <v/>
      </c>
      <c r="I71" s="94"/>
      <c r="J71" s="94"/>
      <c r="K71" s="9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  <c r="AJ71" s="84"/>
      <c r="AK71" s="84"/>
      <c r="AL71" s="84"/>
      <c r="AM71" s="84"/>
      <c r="AN71" s="84"/>
      <c r="AO71" s="84"/>
      <c r="AP71" s="84"/>
      <c r="AQ71" s="84"/>
      <c r="AR71" s="84"/>
      <c r="AS71" s="84"/>
      <c r="AT71" s="84"/>
      <c r="AU71" s="84"/>
      <c r="AV71" s="84"/>
      <c r="AW71" s="84"/>
      <c r="AX71" s="87">
        <f t="array" ref="AX71">IF(G71=1,SUM((ROW(M0)=ROW(AW71))*(M0+M1_+M2_+M3_+M4_+M5_+M6_+M7_+M8_+M9_+M10_+M11_+M12_+M13_+M14_+M15_+M16_+M17_+M18_+M19_+M20_+M21_+M22_+M23_+M24_+M25_+M26_+M27_+M28_+M29_+M30_+M31_+M32_+M33_+M34_+M35_+M36_+M37_)),0)</f>
        <v>0</v>
      </c>
      <c r="AZ71" s="24" t="str">
        <f t="shared" si="25"/>
        <v/>
      </c>
      <c r="BA71" s="24" t="str">
        <f t="shared" si="26"/>
        <v/>
      </c>
      <c r="BB71" s="24" t="str">
        <f t="shared" si="27"/>
        <v/>
      </c>
      <c r="BC71" s="24" t="str">
        <f>IF(OR(E71="",LEFT(TableCosts[[#This Row],[Calc_N_Typ]],18)="Vynaložené náklady"),"",VLOOKUP(E71,Tab_Parts,2,0))</f>
        <v/>
      </c>
      <c r="BD71" s="24" t="str">
        <f t="shared" si="28"/>
        <v/>
      </c>
      <c r="BE71" s="24">
        <f t="shared" si="29"/>
        <v>0</v>
      </c>
      <c r="BF71" s="72">
        <f>TableCosts[[#This Row],[N_Amount]]*TableCosts[[#This Row],[N_Tariff]]*TableCosts[[#This Row],[N_ItemsCount]]</f>
        <v>0</v>
      </c>
      <c r="BG71" s="72">
        <f>IF(G71=1,IF(TableCosts[[#This Row],[N_Kateg]]="interné práce",TableCosts[[#This Row],[N_Amount]]*8*PAR_SGA_PERHOUR,0),0)</f>
        <v>0</v>
      </c>
      <c r="BH71" s="72">
        <f>SUM(TableCosts[[#This Row],[N_Direct]:[N_SGA]])</f>
        <v>0</v>
      </c>
      <c r="BI71" s="24">
        <f>IF(G71=1,IF(OR(AND(NOT(ISERROR(VLOOKUP(TableCosts[[#This Row],[Calc_N_Typ]],Cis_WorkPositions,1,0))),C71&lt;&gt;"",D71&lt;&gt;"",E71&lt;&gt;""),AND(ISERROR(VLOOKUP(TableCosts[[#This Row],[Calc_N_Typ]],Cis_WorkPositions,1,0)),C71="",D71="",E71&lt;&gt;""),LEFT(TableCosts[[#This Row],[Calc_N_Typ]],18)="Vynaložené náklady"),VLOOKUP(C71&amp;TableCosts[[#This Row],[Calc_N_Typ]],TRAN_STRITEMS_LABEL,VLOOKUP(D71,Tab_Hours,3,0),0),NA()),0)</f>
        <v>0</v>
      </c>
      <c r="BJ71" s="24">
        <f t="shared" si="30"/>
        <v>0</v>
      </c>
      <c r="BK71" s="24" t="str">
        <f t="shared" si="31"/>
        <v/>
      </c>
      <c r="BL71" s="24" t="str">
        <f t="shared" si="32"/>
        <v/>
      </c>
      <c r="BM71" s="24" t="str">
        <f>IF(G71=1,IF(TableCosts[[#This Row],[TransferFrom]]=TableCosts[[#This Row],[TranferTo]],0,1),"")</f>
        <v/>
      </c>
      <c r="BN71" s="24" t="str">
        <f t="shared" si="33"/>
        <v/>
      </c>
      <c r="BO71" s="24">
        <f t="shared" si="34"/>
        <v>0</v>
      </c>
      <c r="BP71" s="24">
        <f t="shared" si="35"/>
        <v>0</v>
      </c>
    </row>
    <row r="72" spans="2:68" s="24" customFormat="1" ht="12.75" x14ac:dyDescent="0.2">
      <c r="B72" s="97"/>
      <c r="C72" s="92"/>
      <c r="D72" s="92"/>
      <c r="E72" s="92"/>
      <c r="F72" s="31" t="str">
        <f>IF(G72=1,IF(ISERROR(TableCosts[[#This Row],[N_Tariff]]),Err_Message1,IF(TableCosts[[#This Row],[N_Tariff]]=0,Err_Message2,VLOOKUP(C72&amp;TableCosts[[#This Row],[Calc_N_Typ]],TRAN_STRITEMS_LABEL,5,FALSE))),"")</f>
        <v/>
      </c>
      <c r="G72" s="31">
        <f t="shared" si="24"/>
        <v>0</v>
      </c>
      <c r="H72" s="31" t="str">
        <f>IF(G72=1,IFERROR(VLOOKUP(F72,Tab_ErrMessage[],2,0),VLOOKUP(C72&amp;TableCosts[[#This Row],[Calc_N_Typ]],TRAN_STRITEMS_LABEL,4,FALSE)),"")</f>
        <v/>
      </c>
      <c r="I72" s="94"/>
      <c r="J72" s="94"/>
      <c r="K72" s="9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4"/>
      <c r="AL72" s="84"/>
      <c r="AM72" s="84"/>
      <c r="AN72" s="84"/>
      <c r="AO72" s="84"/>
      <c r="AP72" s="84"/>
      <c r="AQ72" s="84"/>
      <c r="AR72" s="84"/>
      <c r="AS72" s="84"/>
      <c r="AT72" s="84"/>
      <c r="AU72" s="84"/>
      <c r="AV72" s="84"/>
      <c r="AW72" s="84"/>
      <c r="AX72" s="87">
        <f t="array" ref="AX72">IF(G72=1,SUM((ROW(M0)=ROW(AW72))*(M0+M1_+M2_+M3_+M4_+M5_+M6_+M7_+M8_+M9_+M10_+M11_+M12_+M13_+M14_+M15_+M16_+M17_+M18_+M19_+M20_+M21_+M22_+M23_+M24_+M25_+M26_+M27_+M28_+M29_+M30_+M31_+M32_+M33_+M34_+M35_+M36_+M37_)),0)</f>
        <v>0</v>
      </c>
      <c r="AZ72" s="24" t="str">
        <f t="shared" si="25"/>
        <v/>
      </c>
      <c r="BA72" s="24" t="str">
        <f t="shared" si="26"/>
        <v/>
      </c>
      <c r="BB72" s="24" t="str">
        <f t="shared" si="27"/>
        <v/>
      </c>
      <c r="BC72" s="24" t="str">
        <f>IF(OR(E72="",LEFT(TableCosts[[#This Row],[Calc_N_Typ]],18)="Vynaložené náklady"),"",VLOOKUP(E72,Tab_Parts,2,0))</f>
        <v/>
      </c>
      <c r="BD72" s="24" t="str">
        <f t="shared" si="28"/>
        <v/>
      </c>
      <c r="BE72" s="24">
        <f t="shared" si="29"/>
        <v>0</v>
      </c>
      <c r="BF72" s="72">
        <f>TableCosts[[#This Row],[N_Amount]]*TableCosts[[#This Row],[N_Tariff]]*TableCosts[[#This Row],[N_ItemsCount]]</f>
        <v>0</v>
      </c>
      <c r="BG72" s="72">
        <f>IF(G72=1,IF(TableCosts[[#This Row],[N_Kateg]]="interné práce",TableCosts[[#This Row],[N_Amount]]*8*PAR_SGA_PERHOUR,0),0)</f>
        <v>0</v>
      </c>
      <c r="BH72" s="72">
        <f>SUM(TableCosts[[#This Row],[N_Direct]:[N_SGA]])</f>
        <v>0</v>
      </c>
      <c r="BI72" s="24">
        <f>IF(G72=1,IF(OR(AND(NOT(ISERROR(VLOOKUP(TableCosts[[#This Row],[Calc_N_Typ]],Cis_WorkPositions,1,0))),C72&lt;&gt;"",D72&lt;&gt;"",E72&lt;&gt;""),AND(ISERROR(VLOOKUP(TableCosts[[#This Row],[Calc_N_Typ]],Cis_WorkPositions,1,0)),C72="",D72="",E72&lt;&gt;""),LEFT(TableCosts[[#This Row],[Calc_N_Typ]],18)="Vynaložené náklady"),VLOOKUP(C72&amp;TableCosts[[#This Row],[Calc_N_Typ]],TRAN_STRITEMS_LABEL,VLOOKUP(D72,Tab_Hours,3,0),0),NA()),0)</f>
        <v>0</v>
      </c>
      <c r="BJ72" s="24">
        <f t="shared" si="30"/>
        <v>0</v>
      </c>
      <c r="BK72" s="24" t="str">
        <f t="shared" si="31"/>
        <v/>
      </c>
      <c r="BL72" s="24" t="str">
        <f t="shared" si="32"/>
        <v/>
      </c>
      <c r="BM72" s="24" t="str">
        <f>IF(G72=1,IF(TableCosts[[#This Row],[TransferFrom]]=TableCosts[[#This Row],[TranferTo]],0,1),"")</f>
        <v/>
      </c>
      <c r="BN72" s="24" t="str">
        <f t="shared" si="33"/>
        <v/>
      </c>
      <c r="BO72" s="24">
        <f t="shared" si="34"/>
        <v>0</v>
      </c>
      <c r="BP72" s="24">
        <f t="shared" si="35"/>
        <v>0</v>
      </c>
    </row>
    <row r="73" spans="2:68" s="24" customFormat="1" ht="12.75" x14ac:dyDescent="0.2">
      <c r="B73" s="97"/>
      <c r="C73" s="92"/>
      <c r="D73" s="92"/>
      <c r="E73" s="92"/>
      <c r="F73" s="31" t="str">
        <f>IF(G73=1,IF(ISERROR(TableCosts[[#This Row],[N_Tariff]]),Err_Message1,IF(TableCosts[[#This Row],[N_Tariff]]=0,Err_Message2,VLOOKUP(C73&amp;TableCosts[[#This Row],[Calc_N_Typ]],TRAN_STRITEMS_LABEL,5,FALSE))),"")</f>
        <v/>
      </c>
      <c r="G73" s="31">
        <f t="shared" si="24"/>
        <v>0</v>
      </c>
      <c r="H73" s="31" t="str">
        <f>IF(G73=1,IFERROR(VLOOKUP(F73,Tab_ErrMessage[],2,0),VLOOKUP(C73&amp;TableCosts[[#This Row],[Calc_N_Typ]],TRAN_STRITEMS_LABEL,4,FALSE)),"")</f>
        <v/>
      </c>
      <c r="I73" s="94"/>
      <c r="J73" s="94"/>
      <c r="K73" s="9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4"/>
      <c r="AL73" s="84"/>
      <c r="AM73" s="84"/>
      <c r="AN73" s="84"/>
      <c r="AO73" s="84"/>
      <c r="AP73" s="84"/>
      <c r="AQ73" s="84"/>
      <c r="AR73" s="84"/>
      <c r="AS73" s="84"/>
      <c r="AT73" s="84"/>
      <c r="AU73" s="84"/>
      <c r="AV73" s="84"/>
      <c r="AW73" s="84"/>
      <c r="AX73" s="87">
        <f t="array" ref="AX73">IF(G73=1,SUM((ROW(M0)=ROW(AW73))*(M0+M1_+M2_+M3_+M4_+M5_+M6_+M7_+M8_+M9_+M10_+M11_+M12_+M13_+M14_+M15_+M16_+M17_+M18_+M19_+M20_+M21_+M22_+M23_+M24_+M25_+M26_+M27_+M28_+M29_+M30_+M31_+M32_+M33_+M34_+M35_+M36_+M37_)),0)</f>
        <v>0</v>
      </c>
      <c r="AZ73" s="24" t="str">
        <f t="shared" si="25"/>
        <v/>
      </c>
      <c r="BA73" s="24" t="str">
        <f t="shared" si="26"/>
        <v/>
      </c>
      <c r="BB73" s="24" t="str">
        <f t="shared" si="27"/>
        <v/>
      </c>
      <c r="BC73" s="24" t="str">
        <f>IF(OR(E73="",LEFT(TableCosts[[#This Row],[Calc_N_Typ]],18)="Vynaložené náklady"),"",VLOOKUP(E73,Tab_Parts,2,0))</f>
        <v/>
      </c>
      <c r="BD73" s="24" t="str">
        <f t="shared" si="28"/>
        <v/>
      </c>
      <c r="BE73" s="24">
        <f t="shared" si="29"/>
        <v>0</v>
      </c>
      <c r="BF73" s="72">
        <f>TableCosts[[#This Row],[N_Amount]]*TableCosts[[#This Row],[N_Tariff]]*TableCosts[[#This Row],[N_ItemsCount]]</f>
        <v>0</v>
      </c>
      <c r="BG73" s="72">
        <f>IF(G73=1,IF(TableCosts[[#This Row],[N_Kateg]]="interné práce",TableCosts[[#This Row],[N_Amount]]*8*PAR_SGA_PERHOUR,0),0)</f>
        <v>0</v>
      </c>
      <c r="BH73" s="72">
        <f>SUM(TableCosts[[#This Row],[N_Direct]:[N_SGA]])</f>
        <v>0</v>
      </c>
      <c r="BI73" s="24">
        <f>IF(G73=1,IF(OR(AND(NOT(ISERROR(VLOOKUP(TableCosts[[#This Row],[Calc_N_Typ]],Cis_WorkPositions,1,0))),C73&lt;&gt;"",D73&lt;&gt;"",E73&lt;&gt;""),AND(ISERROR(VLOOKUP(TableCosts[[#This Row],[Calc_N_Typ]],Cis_WorkPositions,1,0)),C73="",D73="",E73&lt;&gt;""),LEFT(TableCosts[[#This Row],[Calc_N_Typ]],18)="Vynaložené náklady"),VLOOKUP(C73&amp;TableCosts[[#This Row],[Calc_N_Typ]],TRAN_STRITEMS_LABEL,VLOOKUP(D73,Tab_Hours,3,0),0),NA()),0)</f>
        <v>0</v>
      </c>
      <c r="BJ73" s="24">
        <f t="shared" si="30"/>
        <v>0</v>
      </c>
      <c r="BK73" s="24" t="str">
        <f t="shared" si="31"/>
        <v/>
      </c>
      <c r="BL73" s="24" t="str">
        <f t="shared" si="32"/>
        <v/>
      </c>
      <c r="BM73" s="24" t="str">
        <f>IF(G73=1,IF(TableCosts[[#This Row],[TransferFrom]]=TableCosts[[#This Row],[TranferTo]],0,1),"")</f>
        <v/>
      </c>
      <c r="BN73" s="24" t="str">
        <f t="shared" si="33"/>
        <v/>
      </c>
      <c r="BO73" s="24">
        <f t="shared" si="34"/>
        <v>0</v>
      </c>
      <c r="BP73" s="24">
        <f t="shared" si="35"/>
        <v>0</v>
      </c>
    </row>
    <row r="74" spans="2:68" s="24" customFormat="1" ht="12.75" x14ac:dyDescent="0.2">
      <c r="B74" s="97"/>
      <c r="C74" s="92"/>
      <c r="D74" s="92"/>
      <c r="E74" s="92"/>
      <c r="F74" s="31" t="str">
        <f>IF(G74=1,IF(ISERROR(TableCosts[[#This Row],[N_Tariff]]),Err_Message1,IF(TableCosts[[#This Row],[N_Tariff]]=0,Err_Message2,VLOOKUP(C74&amp;TableCosts[[#This Row],[Calc_N_Typ]],TRAN_STRITEMS_LABEL,5,FALSE))),"")</f>
        <v/>
      </c>
      <c r="G74" s="31">
        <f t="shared" si="24"/>
        <v>0</v>
      </c>
      <c r="H74" s="31" t="str">
        <f>IF(G74=1,IFERROR(VLOOKUP(F74,Tab_ErrMessage[],2,0),VLOOKUP(C74&amp;TableCosts[[#This Row],[Calc_N_Typ]],TRAN_STRITEMS_LABEL,4,FALSE)),"")</f>
        <v/>
      </c>
      <c r="I74" s="94"/>
      <c r="J74" s="94"/>
      <c r="K74" s="9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  <c r="AL74" s="84"/>
      <c r="AM74" s="84"/>
      <c r="AN74" s="84"/>
      <c r="AO74" s="84"/>
      <c r="AP74" s="84"/>
      <c r="AQ74" s="84"/>
      <c r="AR74" s="84"/>
      <c r="AS74" s="84"/>
      <c r="AT74" s="84"/>
      <c r="AU74" s="84"/>
      <c r="AV74" s="84"/>
      <c r="AW74" s="84"/>
      <c r="AX74" s="87">
        <f t="array" ref="AX74">IF(G74=1,SUM((ROW(M0)=ROW(AW74))*(M0+M1_+M2_+M3_+M4_+M5_+M6_+M7_+M8_+M9_+M10_+M11_+M12_+M13_+M14_+M15_+M16_+M17_+M18_+M19_+M20_+M21_+M22_+M23_+M24_+M25_+M26_+M27_+M28_+M29_+M30_+M31_+M32_+M33_+M34_+M35_+M36_+M37_)),0)</f>
        <v>0</v>
      </c>
      <c r="AZ74" s="24" t="str">
        <f t="shared" si="25"/>
        <v/>
      </c>
      <c r="BA74" s="24" t="str">
        <f t="shared" si="26"/>
        <v/>
      </c>
      <c r="BB74" s="24" t="str">
        <f t="shared" si="27"/>
        <v/>
      </c>
      <c r="BC74" s="24" t="str">
        <f>IF(OR(E74="",LEFT(TableCosts[[#This Row],[Calc_N_Typ]],18)="Vynaložené náklady"),"",VLOOKUP(E74,Tab_Parts,2,0))</f>
        <v/>
      </c>
      <c r="BD74" s="24" t="str">
        <f t="shared" si="28"/>
        <v/>
      </c>
      <c r="BE74" s="24">
        <f t="shared" si="29"/>
        <v>0</v>
      </c>
      <c r="BF74" s="72">
        <f>TableCosts[[#This Row],[N_Amount]]*TableCosts[[#This Row],[N_Tariff]]*TableCosts[[#This Row],[N_ItemsCount]]</f>
        <v>0</v>
      </c>
      <c r="BG74" s="72">
        <f>IF(G74=1,IF(TableCosts[[#This Row],[N_Kateg]]="interné práce",TableCosts[[#This Row],[N_Amount]]*8*PAR_SGA_PERHOUR,0),0)</f>
        <v>0</v>
      </c>
      <c r="BH74" s="72">
        <f>SUM(TableCosts[[#This Row],[N_Direct]:[N_SGA]])</f>
        <v>0</v>
      </c>
      <c r="BI74" s="24">
        <f>IF(G74=1,IF(OR(AND(NOT(ISERROR(VLOOKUP(TableCosts[[#This Row],[Calc_N_Typ]],Cis_WorkPositions,1,0))),C74&lt;&gt;"",D74&lt;&gt;"",E74&lt;&gt;""),AND(ISERROR(VLOOKUP(TableCosts[[#This Row],[Calc_N_Typ]],Cis_WorkPositions,1,0)),C74="",D74="",E74&lt;&gt;""),LEFT(TableCosts[[#This Row],[Calc_N_Typ]],18)="Vynaložené náklady"),VLOOKUP(C74&amp;TableCosts[[#This Row],[Calc_N_Typ]],TRAN_STRITEMS_LABEL,VLOOKUP(D74,Tab_Hours,3,0),0),NA()),0)</f>
        <v>0</v>
      </c>
      <c r="BJ74" s="24">
        <f t="shared" si="30"/>
        <v>0</v>
      </c>
      <c r="BK74" s="24" t="str">
        <f t="shared" si="31"/>
        <v/>
      </c>
      <c r="BL74" s="24" t="str">
        <f t="shared" si="32"/>
        <v/>
      </c>
      <c r="BM74" s="24" t="str">
        <f>IF(G74=1,IF(TableCosts[[#This Row],[TransferFrom]]=TableCosts[[#This Row],[TranferTo]],0,1),"")</f>
        <v/>
      </c>
      <c r="BN74" s="24" t="str">
        <f t="shared" si="33"/>
        <v/>
      </c>
      <c r="BO74" s="24">
        <f t="shared" si="34"/>
        <v>0</v>
      </c>
      <c r="BP74" s="24">
        <f t="shared" si="35"/>
        <v>0</v>
      </c>
    </row>
    <row r="75" spans="2:68" s="24" customFormat="1" ht="12.75" x14ac:dyDescent="0.2">
      <c r="B75" s="97"/>
      <c r="C75" s="92"/>
      <c r="D75" s="92"/>
      <c r="E75" s="92"/>
      <c r="F75" s="31" t="str">
        <f>IF(G75=1,IF(ISERROR(TableCosts[[#This Row],[N_Tariff]]),Err_Message1,IF(TableCosts[[#This Row],[N_Tariff]]=0,Err_Message2,VLOOKUP(C75&amp;TableCosts[[#This Row],[Calc_N_Typ]],TRAN_STRITEMS_LABEL,5,FALSE))),"")</f>
        <v/>
      </c>
      <c r="G75" s="31">
        <f t="shared" si="24"/>
        <v>0</v>
      </c>
      <c r="H75" s="31" t="str">
        <f>IF(G75=1,IFERROR(VLOOKUP(F75,Tab_ErrMessage[],2,0),VLOOKUP(C75&amp;TableCosts[[#This Row],[Calc_N_Typ]],TRAN_STRITEMS_LABEL,4,FALSE)),"")</f>
        <v/>
      </c>
      <c r="I75" s="94"/>
      <c r="J75" s="94"/>
      <c r="K75" s="9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4"/>
      <c r="AL75" s="84"/>
      <c r="AM75" s="84"/>
      <c r="AN75" s="84"/>
      <c r="AO75" s="84"/>
      <c r="AP75" s="84"/>
      <c r="AQ75" s="84"/>
      <c r="AR75" s="84"/>
      <c r="AS75" s="84"/>
      <c r="AT75" s="84"/>
      <c r="AU75" s="84"/>
      <c r="AV75" s="84"/>
      <c r="AW75" s="84"/>
      <c r="AX75" s="87">
        <f t="array" ref="AX75">IF(G75=1,SUM((ROW(M0)=ROW(AW75))*(M0+M1_+M2_+M3_+M4_+M5_+M6_+M7_+M8_+M9_+M10_+M11_+M12_+M13_+M14_+M15_+M16_+M17_+M18_+M19_+M20_+M21_+M22_+M23_+M24_+M25_+M26_+M27_+M28_+M29_+M30_+M31_+M32_+M33_+M34_+M35_+M36_+M37_)),0)</f>
        <v>0</v>
      </c>
      <c r="AZ75" s="24" t="str">
        <f t="shared" si="25"/>
        <v/>
      </c>
      <c r="BA75" s="24" t="str">
        <f t="shared" si="26"/>
        <v/>
      </c>
      <c r="BB75" s="24" t="str">
        <f t="shared" si="27"/>
        <v/>
      </c>
      <c r="BC75" s="24" t="str">
        <f>IF(OR(E75="",LEFT(TableCosts[[#This Row],[Calc_N_Typ]],18)="Vynaložené náklady"),"",VLOOKUP(E75,Tab_Parts,2,0))</f>
        <v/>
      </c>
      <c r="BD75" s="24" t="str">
        <f t="shared" si="28"/>
        <v/>
      </c>
      <c r="BE75" s="24">
        <f t="shared" si="29"/>
        <v>0</v>
      </c>
      <c r="BF75" s="72">
        <f>TableCosts[[#This Row],[N_Amount]]*TableCosts[[#This Row],[N_Tariff]]*TableCosts[[#This Row],[N_ItemsCount]]</f>
        <v>0</v>
      </c>
      <c r="BG75" s="72">
        <f>IF(G75=1,IF(TableCosts[[#This Row],[N_Kateg]]="interné práce",TableCosts[[#This Row],[N_Amount]]*8*PAR_SGA_PERHOUR,0),0)</f>
        <v>0</v>
      </c>
      <c r="BH75" s="72">
        <f>SUM(TableCosts[[#This Row],[N_Direct]:[N_SGA]])</f>
        <v>0</v>
      </c>
      <c r="BI75" s="24">
        <f>IF(G75=1,IF(OR(AND(NOT(ISERROR(VLOOKUP(TableCosts[[#This Row],[Calc_N_Typ]],Cis_WorkPositions,1,0))),C75&lt;&gt;"",D75&lt;&gt;"",E75&lt;&gt;""),AND(ISERROR(VLOOKUP(TableCosts[[#This Row],[Calc_N_Typ]],Cis_WorkPositions,1,0)),C75="",D75="",E75&lt;&gt;""),LEFT(TableCosts[[#This Row],[Calc_N_Typ]],18)="Vynaložené náklady"),VLOOKUP(C75&amp;TableCosts[[#This Row],[Calc_N_Typ]],TRAN_STRITEMS_LABEL,VLOOKUP(D75,Tab_Hours,3,0),0),NA()),0)</f>
        <v>0</v>
      </c>
      <c r="BJ75" s="24">
        <f t="shared" si="30"/>
        <v>0</v>
      </c>
      <c r="BK75" s="24" t="str">
        <f t="shared" si="31"/>
        <v/>
      </c>
      <c r="BL75" s="24" t="str">
        <f t="shared" si="32"/>
        <v/>
      </c>
      <c r="BM75" s="24" t="str">
        <f>IF(G75=1,IF(TableCosts[[#This Row],[TransferFrom]]=TableCosts[[#This Row],[TranferTo]],0,1),"")</f>
        <v/>
      </c>
      <c r="BN75" s="24" t="str">
        <f t="shared" si="33"/>
        <v/>
      </c>
      <c r="BO75" s="24">
        <f t="shared" si="34"/>
        <v>0</v>
      </c>
      <c r="BP75" s="24">
        <f t="shared" si="35"/>
        <v>0</v>
      </c>
    </row>
    <row r="76" spans="2:68" s="24" customFormat="1" ht="12.75" x14ac:dyDescent="0.2">
      <c r="B76" s="97"/>
      <c r="C76" s="92"/>
      <c r="D76" s="92"/>
      <c r="E76" s="92"/>
      <c r="F76" s="31" t="str">
        <f>IF(G76=1,IF(ISERROR(TableCosts[[#This Row],[N_Tariff]]),Err_Message1,IF(TableCosts[[#This Row],[N_Tariff]]=0,Err_Message2,VLOOKUP(C76&amp;TableCosts[[#This Row],[Calc_N_Typ]],TRAN_STRITEMS_LABEL,5,FALSE))),"")</f>
        <v/>
      </c>
      <c r="G76" s="31">
        <f t="shared" ref="G76:G139" si="36">IF(B76="",0,IF(LEFT(B76,3)="***",-1,1))</f>
        <v>0</v>
      </c>
      <c r="H76" s="31" t="str">
        <f>IF(G76=1,IFERROR(VLOOKUP(F76,Tab_ErrMessage[],2,0),VLOOKUP(C76&amp;TableCosts[[#This Row],[Calc_N_Typ]],TRAN_STRITEMS_LABEL,4,FALSE)),"")</f>
        <v/>
      </c>
      <c r="I76" s="94"/>
      <c r="J76" s="94"/>
      <c r="K76" s="9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4"/>
      <c r="AL76" s="84"/>
      <c r="AM76" s="84"/>
      <c r="AN76" s="84"/>
      <c r="AO76" s="84"/>
      <c r="AP76" s="84"/>
      <c r="AQ76" s="84"/>
      <c r="AR76" s="84"/>
      <c r="AS76" s="84"/>
      <c r="AT76" s="84"/>
      <c r="AU76" s="84"/>
      <c r="AV76" s="84"/>
      <c r="AW76" s="84"/>
      <c r="AX76" s="87">
        <f t="array" ref="AX76">IF(G76=1,SUM((ROW(M0)=ROW(AW76))*(M0+M1_+M2_+M3_+M4_+M5_+M6_+M7_+M8_+M9_+M10_+M11_+M12_+M13_+M14_+M15_+M16_+M17_+M18_+M19_+M20_+M21_+M22_+M23_+M24_+M25_+M26_+M27_+M28_+M29_+M30_+M31_+M32_+M33_+M34_+M35_+M36_+M37_)),0)</f>
        <v>0</v>
      </c>
      <c r="AZ76" s="24" t="str">
        <f t="shared" ref="AZ76:AZ139" si="37">IF(G76=1,B76,"")</f>
        <v/>
      </c>
      <c r="BA76" s="24" t="str">
        <f t="shared" ref="BA76:BA139" si="38">IF(G76=1,C76,"")</f>
        <v/>
      </c>
      <c r="BB76" s="24" t="str">
        <f t="shared" ref="BB76:BB139" si="39">IF(G76=1,F76,"")</f>
        <v/>
      </c>
      <c r="BC76" s="24" t="str">
        <f>IF(OR(E76="",LEFT(TableCosts[[#This Row],[Calc_N_Typ]],18)="Vynaložené náklady"),"",VLOOKUP(E76,Tab_Parts,2,0))</f>
        <v/>
      </c>
      <c r="BD76" s="24" t="str">
        <f t="shared" ref="BD76:BD139" si="40">IF(G76=1,H76,"")</f>
        <v/>
      </c>
      <c r="BE76" s="24">
        <f t="shared" ref="BE76:BE139" si="41">IF(G76=1,AX76,0)</f>
        <v>0</v>
      </c>
      <c r="BF76" s="72">
        <f>TableCosts[[#This Row],[N_Amount]]*TableCosts[[#This Row],[N_Tariff]]*TableCosts[[#This Row],[N_ItemsCount]]</f>
        <v>0</v>
      </c>
      <c r="BG76" s="72">
        <f>IF(G76=1,IF(TableCosts[[#This Row],[N_Kateg]]="interné práce",TableCosts[[#This Row],[N_Amount]]*8*PAR_SGA_PERHOUR,0),0)</f>
        <v>0</v>
      </c>
      <c r="BH76" s="72">
        <f>SUM(TableCosts[[#This Row],[N_Direct]:[N_SGA]])</f>
        <v>0</v>
      </c>
      <c r="BI76" s="24">
        <f>IF(G76=1,IF(OR(AND(NOT(ISERROR(VLOOKUP(TableCosts[[#This Row],[Calc_N_Typ]],Cis_WorkPositions,1,0))),C76&lt;&gt;"",D76&lt;&gt;"",E76&lt;&gt;""),AND(ISERROR(VLOOKUP(TableCosts[[#This Row],[Calc_N_Typ]],Cis_WorkPositions,1,0)),C76="",D76="",E76&lt;&gt;""),LEFT(TableCosts[[#This Row],[Calc_N_Typ]],18)="Vynaložené náklady"),VLOOKUP(C76&amp;TableCosts[[#This Row],[Calc_N_Typ]],TRAN_STRITEMS_LABEL,VLOOKUP(D76,Tab_Hours,3,0),0),NA()),0)</f>
        <v>0</v>
      </c>
      <c r="BJ76" s="24">
        <f t="shared" ref="BJ76:BJ139" si="42">IF(G76=1,IF(H76="čld.",VLOOKUP(D76,Tab_Hours,4,0),1),0)</f>
        <v>0</v>
      </c>
      <c r="BK76" s="24" t="str">
        <f t="shared" ref="BK76:BK139" si="43">IF(G76=1,IFERROR(VLOOKUP(B76,IpsLicences,2,0),IF(C76="",Par_Center,C76)),"")</f>
        <v/>
      </c>
      <c r="BL76" s="24" t="str">
        <f t="shared" ref="BL76:BL139" si="44">IF(G76=1,Par_Center,"")</f>
        <v/>
      </c>
      <c r="BM76" s="24" t="str">
        <f>IF(G76=1,IF(TableCosts[[#This Row],[TransferFrom]]=TableCosts[[#This Row],[TranferTo]],0,1),"")</f>
        <v/>
      </c>
      <c r="BN76" s="24" t="str">
        <f t="shared" ref="BN76:BN139" si="45">IF(G76=1,IF(E76="ACQ","akvizícia","realizácia"),"")</f>
        <v/>
      </c>
      <c r="BO76" s="24">
        <f t="shared" ref="BO76:BO139" si="46">IF(RIGHT(B76,LEN(Par_LabelTravelTime))=Par_LabelTravelTime,LEFT(B76,LEN(B76)-LEN(Par_LabelTravelTime)),B76)</f>
        <v>0</v>
      </c>
      <c r="BP76" s="24">
        <f t="shared" ref="BP76:BP139" si="47">IF(RIGHT(B76,LEN(Par_LabelTravelTime))=Par_LabelTravelTime,1,0)</f>
        <v>0</v>
      </c>
    </row>
    <row r="77" spans="2:68" s="24" customFormat="1" ht="12.75" x14ac:dyDescent="0.2">
      <c r="B77" s="97"/>
      <c r="C77" s="92"/>
      <c r="D77" s="92"/>
      <c r="E77" s="92"/>
      <c r="F77" s="31" t="str">
        <f>IF(G77=1,IF(ISERROR(TableCosts[[#This Row],[N_Tariff]]),Err_Message1,IF(TableCosts[[#This Row],[N_Tariff]]=0,Err_Message2,VLOOKUP(C77&amp;TableCosts[[#This Row],[Calc_N_Typ]],TRAN_STRITEMS_LABEL,5,FALSE))),"")</f>
        <v/>
      </c>
      <c r="G77" s="31">
        <f t="shared" si="36"/>
        <v>0</v>
      </c>
      <c r="H77" s="31" t="str">
        <f>IF(G77=1,IFERROR(VLOOKUP(F77,Tab_ErrMessage[],2,0),VLOOKUP(C77&amp;TableCosts[[#This Row],[Calc_N_Typ]],TRAN_STRITEMS_LABEL,4,FALSE)),"")</f>
        <v/>
      </c>
      <c r="I77" s="94"/>
      <c r="J77" s="94"/>
      <c r="K77" s="9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  <c r="AL77" s="84"/>
      <c r="AM77" s="84"/>
      <c r="AN77" s="84"/>
      <c r="AO77" s="84"/>
      <c r="AP77" s="84"/>
      <c r="AQ77" s="84"/>
      <c r="AR77" s="84"/>
      <c r="AS77" s="84"/>
      <c r="AT77" s="84"/>
      <c r="AU77" s="84"/>
      <c r="AV77" s="84"/>
      <c r="AW77" s="84"/>
      <c r="AX77" s="87">
        <f t="array" ref="AX77">IF(G77=1,SUM((ROW(M0)=ROW(AW77))*(M0+M1_+M2_+M3_+M4_+M5_+M6_+M7_+M8_+M9_+M10_+M11_+M12_+M13_+M14_+M15_+M16_+M17_+M18_+M19_+M20_+M21_+M22_+M23_+M24_+M25_+M26_+M27_+M28_+M29_+M30_+M31_+M32_+M33_+M34_+M35_+M36_+M37_)),0)</f>
        <v>0</v>
      </c>
      <c r="AZ77" s="24" t="str">
        <f t="shared" si="37"/>
        <v/>
      </c>
      <c r="BA77" s="24" t="str">
        <f t="shared" si="38"/>
        <v/>
      </c>
      <c r="BB77" s="24" t="str">
        <f t="shared" si="39"/>
        <v/>
      </c>
      <c r="BC77" s="24" t="str">
        <f>IF(OR(E77="",LEFT(TableCosts[[#This Row],[Calc_N_Typ]],18)="Vynaložené náklady"),"",VLOOKUP(E77,Tab_Parts,2,0))</f>
        <v/>
      </c>
      <c r="BD77" s="24" t="str">
        <f t="shared" si="40"/>
        <v/>
      </c>
      <c r="BE77" s="24">
        <f t="shared" si="41"/>
        <v>0</v>
      </c>
      <c r="BF77" s="72">
        <f>TableCosts[[#This Row],[N_Amount]]*TableCosts[[#This Row],[N_Tariff]]*TableCosts[[#This Row],[N_ItemsCount]]</f>
        <v>0</v>
      </c>
      <c r="BG77" s="72">
        <f>IF(G77=1,IF(TableCosts[[#This Row],[N_Kateg]]="interné práce",TableCosts[[#This Row],[N_Amount]]*8*PAR_SGA_PERHOUR,0),0)</f>
        <v>0</v>
      </c>
      <c r="BH77" s="72">
        <f>SUM(TableCosts[[#This Row],[N_Direct]:[N_SGA]])</f>
        <v>0</v>
      </c>
      <c r="BI77" s="24">
        <f>IF(G77=1,IF(OR(AND(NOT(ISERROR(VLOOKUP(TableCosts[[#This Row],[Calc_N_Typ]],Cis_WorkPositions,1,0))),C77&lt;&gt;"",D77&lt;&gt;"",E77&lt;&gt;""),AND(ISERROR(VLOOKUP(TableCosts[[#This Row],[Calc_N_Typ]],Cis_WorkPositions,1,0)),C77="",D77="",E77&lt;&gt;""),LEFT(TableCosts[[#This Row],[Calc_N_Typ]],18)="Vynaložené náklady"),VLOOKUP(C77&amp;TableCosts[[#This Row],[Calc_N_Typ]],TRAN_STRITEMS_LABEL,VLOOKUP(D77,Tab_Hours,3,0),0),NA()),0)</f>
        <v>0</v>
      </c>
      <c r="BJ77" s="24">
        <f t="shared" si="42"/>
        <v>0</v>
      </c>
      <c r="BK77" s="24" t="str">
        <f t="shared" si="43"/>
        <v/>
      </c>
      <c r="BL77" s="24" t="str">
        <f t="shared" si="44"/>
        <v/>
      </c>
      <c r="BM77" s="24" t="str">
        <f>IF(G77=1,IF(TableCosts[[#This Row],[TransferFrom]]=TableCosts[[#This Row],[TranferTo]],0,1),"")</f>
        <v/>
      </c>
      <c r="BN77" s="24" t="str">
        <f t="shared" si="45"/>
        <v/>
      </c>
      <c r="BO77" s="24">
        <f t="shared" si="46"/>
        <v>0</v>
      </c>
      <c r="BP77" s="24">
        <f t="shared" si="47"/>
        <v>0</v>
      </c>
    </row>
    <row r="78" spans="2:68" s="24" customFormat="1" ht="12.75" x14ac:dyDescent="0.2">
      <c r="B78" s="97"/>
      <c r="C78" s="92"/>
      <c r="D78" s="92"/>
      <c r="E78" s="92"/>
      <c r="F78" s="31" t="str">
        <f>IF(G78=1,IF(ISERROR(TableCosts[[#This Row],[N_Tariff]]),Err_Message1,IF(TableCosts[[#This Row],[N_Tariff]]=0,Err_Message2,VLOOKUP(C78&amp;TableCosts[[#This Row],[Calc_N_Typ]],TRAN_STRITEMS_LABEL,5,FALSE))),"")</f>
        <v/>
      </c>
      <c r="G78" s="31">
        <f t="shared" si="36"/>
        <v>0</v>
      </c>
      <c r="H78" s="31" t="str">
        <f>IF(G78=1,IFERROR(VLOOKUP(F78,Tab_ErrMessage[],2,0),VLOOKUP(C78&amp;TableCosts[[#This Row],[Calc_N_Typ]],TRAN_STRITEMS_LABEL,4,FALSE)),"")</f>
        <v/>
      </c>
      <c r="I78" s="94"/>
      <c r="J78" s="94"/>
      <c r="K78" s="9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84"/>
      <c r="AI78" s="84"/>
      <c r="AJ78" s="84"/>
      <c r="AK78" s="84"/>
      <c r="AL78" s="84"/>
      <c r="AM78" s="84"/>
      <c r="AN78" s="84"/>
      <c r="AO78" s="84"/>
      <c r="AP78" s="84"/>
      <c r="AQ78" s="84"/>
      <c r="AR78" s="84"/>
      <c r="AS78" s="84"/>
      <c r="AT78" s="84"/>
      <c r="AU78" s="84"/>
      <c r="AV78" s="84"/>
      <c r="AW78" s="84"/>
      <c r="AX78" s="87">
        <f t="array" ref="AX78">IF(G78=1,SUM((ROW(M0)=ROW(AW78))*(M0+M1_+M2_+M3_+M4_+M5_+M6_+M7_+M8_+M9_+M10_+M11_+M12_+M13_+M14_+M15_+M16_+M17_+M18_+M19_+M20_+M21_+M22_+M23_+M24_+M25_+M26_+M27_+M28_+M29_+M30_+M31_+M32_+M33_+M34_+M35_+M36_+M37_)),0)</f>
        <v>0</v>
      </c>
      <c r="AZ78" s="24" t="str">
        <f t="shared" si="37"/>
        <v/>
      </c>
      <c r="BA78" s="24" t="str">
        <f t="shared" si="38"/>
        <v/>
      </c>
      <c r="BB78" s="24" t="str">
        <f t="shared" si="39"/>
        <v/>
      </c>
      <c r="BC78" s="24" t="str">
        <f>IF(OR(E78="",LEFT(TableCosts[[#This Row],[Calc_N_Typ]],18)="Vynaložené náklady"),"",VLOOKUP(E78,Tab_Parts,2,0))</f>
        <v/>
      </c>
      <c r="BD78" s="24" t="str">
        <f t="shared" si="40"/>
        <v/>
      </c>
      <c r="BE78" s="24">
        <f t="shared" si="41"/>
        <v>0</v>
      </c>
      <c r="BF78" s="72">
        <f>TableCosts[[#This Row],[N_Amount]]*TableCosts[[#This Row],[N_Tariff]]*TableCosts[[#This Row],[N_ItemsCount]]</f>
        <v>0</v>
      </c>
      <c r="BG78" s="72">
        <f>IF(G78=1,IF(TableCosts[[#This Row],[N_Kateg]]="interné práce",TableCosts[[#This Row],[N_Amount]]*8*PAR_SGA_PERHOUR,0),0)</f>
        <v>0</v>
      </c>
      <c r="BH78" s="72">
        <f>SUM(TableCosts[[#This Row],[N_Direct]:[N_SGA]])</f>
        <v>0</v>
      </c>
      <c r="BI78" s="24">
        <f>IF(G78=1,IF(OR(AND(NOT(ISERROR(VLOOKUP(TableCosts[[#This Row],[Calc_N_Typ]],Cis_WorkPositions,1,0))),C78&lt;&gt;"",D78&lt;&gt;"",E78&lt;&gt;""),AND(ISERROR(VLOOKUP(TableCosts[[#This Row],[Calc_N_Typ]],Cis_WorkPositions,1,0)),C78="",D78="",E78&lt;&gt;""),LEFT(TableCosts[[#This Row],[Calc_N_Typ]],18)="Vynaložené náklady"),VLOOKUP(C78&amp;TableCosts[[#This Row],[Calc_N_Typ]],TRAN_STRITEMS_LABEL,VLOOKUP(D78,Tab_Hours,3,0),0),NA()),0)</f>
        <v>0</v>
      </c>
      <c r="BJ78" s="24">
        <f t="shared" si="42"/>
        <v>0</v>
      </c>
      <c r="BK78" s="24" t="str">
        <f t="shared" si="43"/>
        <v/>
      </c>
      <c r="BL78" s="24" t="str">
        <f t="shared" si="44"/>
        <v/>
      </c>
      <c r="BM78" s="24" t="str">
        <f>IF(G78=1,IF(TableCosts[[#This Row],[TransferFrom]]=TableCosts[[#This Row],[TranferTo]],0,1),"")</f>
        <v/>
      </c>
      <c r="BN78" s="24" t="str">
        <f t="shared" si="45"/>
        <v/>
      </c>
      <c r="BO78" s="24">
        <f t="shared" si="46"/>
        <v>0</v>
      </c>
      <c r="BP78" s="24">
        <f t="shared" si="47"/>
        <v>0</v>
      </c>
    </row>
    <row r="79" spans="2:68" s="24" customFormat="1" ht="12.75" x14ac:dyDescent="0.2">
      <c r="B79" s="97"/>
      <c r="C79" s="92"/>
      <c r="D79" s="92"/>
      <c r="E79" s="92"/>
      <c r="F79" s="31" t="str">
        <f>IF(G79=1,IF(ISERROR(TableCosts[[#This Row],[N_Tariff]]),Err_Message1,IF(TableCosts[[#This Row],[N_Tariff]]=0,Err_Message2,VLOOKUP(C79&amp;TableCosts[[#This Row],[Calc_N_Typ]],TRAN_STRITEMS_LABEL,5,FALSE))),"")</f>
        <v/>
      </c>
      <c r="G79" s="31">
        <f t="shared" si="36"/>
        <v>0</v>
      </c>
      <c r="H79" s="31" t="str">
        <f>IF(G79=1,IFERROR(VLOOKUP(F79,Tab_ErrMessage[],2,0),VLOOKUP(C79&amp;TableCosts[[#This Row],[Calc_N_Typ]],TRAN_STRITEMS_LABEL,4,FALSE)),"")</f>
        <v/>
      </c>
      <c r="I79" s="94"/>
      <c r="J79" s="94"/>
      <c r="K79" s="9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4"/>
      <c r="AL79" s="84"/>
      <c r="AM79" s="84"/>
      <c r="AN79" s="84"/>
      <c r="AO79" s="84"/>
      <c r="AP79" s="84"/>
      <c r="AQ79" s="84"/>
      <c r="AR79" s="84"/>
      <c r="AS79" s="84"/>
      <c r="AT79" s="84"/>
      <c r="AU79" s="84"/>
      <c r="AV79" s="84"/>
      <c r="AW79" s="84"/>
      <c r="AX79" s="87">
        <f t="array" ref="AX79">IF(G79=1,SUM((ROW(M0)=ROW(AW79))*(M0+M1_+M2_+M3_+M4_+M5_+M6_+M7_+M8_+M9_+M10_+M11_+M12_+M13_+M14_+M15_+M16_+M17_+M18_+M19_+M20_+M21_+M22_+M23_+M24_+M25_+M26_+M27_+M28_+M29_+M30_+M31_+M32_+M33_+M34_+M35_+M36_+M37_)),0)</f>
        <v>0</v>
      </c>
      <c r="AZ79" s="24" t="str">
        <f t="shared" si="37"/>
        <v/>
      </c>
      <c r="BA79" s="24" t="str">
        <f t="shared" si="38"/>
        <v/>
      </c>
      <c r="BB79" s="24" t="str">
        <f t="shared" si="39"/>
        <v/>
      </c>
      <c r="BC79" s="24" t="str">
        <f>IF(OR(E79="",LEFT(TableCosts[[#This Row],[Calc_N_Typ]],18)="Vynaložené náklady"),"",VLOOKUP(E79,Tab_Parts,2,0))</f>
        <v/>
      </c>
      <c r="BD79" s="24" t="str">
        <f t="shared" si="40"/>
        <v/>
      </c>
      <c r="BE79" s="24">
        <f t="shared" si="41"/>
        <v>0</v>
      </c>
      <c r="BF79" s="72">
        <f>TableCosts[[#This Row],[N_Amount]]*TableCosts[[#This Row],[N_Tariff]]*TableCosts[[#This Row],[N_ItemsCount]]</f>
        <v>0</v>
      </c>
      <c r="BG79" s="72">
        <f>IF(G79=1,IF(TableCosts[[#This Row],[N_Kateg]]="interné práce",TableCosts[[#This Row],[N_Amount]]*8*PAR_SGA_PERHOUR,0),0)</f>
        <v>0</v>
      </c>
      <c r="BH79" s="72">
        <f>SUM(TableCosts[[#This Row],[N_Direct]:[N_SGA]])</f>
        <v>0</v>
      </c>
      <c r="BI79" s="24">
        <f>IF(G79=1,IF(OR(AND(NOT(ISERROR(VLOOKUP(TableCosts[[#This Row],[Calc_N_Typ]],Cis_WorkPositions,1,0))),C79&lt;&gt;"",D79&lt;&gt;"",E79&lt;&gt;""),AND(ISERROR(VLOOKUP(TableCosts[[#This Row],[Calc_N_Typ]],Cis_WorkPositions,1,0)),C79="",D79="",E79&lt;&gt;""),LEFT(TableCosts[[#This Row],[Calc_N_Typ]],18)="Vynaložené náklady"),VLOOKUP(C79&amp;TableCosts[[#This Row],[Calc_N_Typ]],TRAN_STRITEMS_LABEL,VLOOKUP(D79,Tab_Hours,3,0),0),NA()),0)</f>
        <v>0</v>
      </c>
      <c r="BJ79" s="24">
        <f t="shared" si="42"/>
        <v>0</v>
      </c>
      <c r="BK79" s="24" t="str">
        <f t="shared" si="43"/>
        <v/>
      </c>
      <c r="BL79" s="24" t="str">
        <f t="shared" si="44"/>
        <v/>
      </c>
      <c r="BM79" s="24" t="str">
        <f>IF(G79=1,IF(TableCosts[[#This Row],[TransferFrom]]=TableCosts[[#This Row],[TranferTo]],0,1),"")</f>
        <v/>
      </c>
      <c r="BN79" s="24" t="str">
        <f t="shared" si="45"/>
        <v/>
      </c>
      <c r="BO79" s="24">
        <f t="shared" si="46"/>
        <v>0</v>
      </c>
      <c r="BP79" s="24">
        <f t="shared" si="47"/>
        <v>0</v>
      </c>
    </row>
    <row r="80" spans="2:68" s="24" customFormat="1" ht="12.75" x14ac:dyDescent="0.2">
      <c r="B80" s="97"/>
      <c r="C80" s="92"/>
      <c r="D80" s="92"/>
      <c r="E80" s="92"/>
      <c r="F80" s="31" t="str">
        <f>IF(G80=1,IF(ISERROR(TableCosts[[#This Row],[N_Tariff]]),Err_Message1,IF(TableCosts[[#This Row],[N_Tariff]]=0,Err_Message2,VLOOKUP(C80&amp;TableCosts[[#This Row],[Calc_N_Typ]],TRAN_STRITEMS_LABEL,5,FALSE))),"")</f>
        <v/>
      </c>
      <c r="G80" s="31">
        <f t="shared" si="36"/>
        <v>0</v>
      </c>
      <c r="H80" s="31" t="str">
        <f>IF(G80=1,IFERROR(VLOOKUP(F80,Tab_ErrMessage[],2,0),VLOOKUP(C80&amp;TableCosts[[#This Row],[Calc_N_Typ]],TRAN_STRITEMS_LABEL,4,FALSE)),"")</f>
        <v/>
      </c>
      <c r="I80" s="94"/>
      <c r="J80" s="94"/>
      <c r="K80" s="9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4"/>
      <c r="AL80" s="84"/>
      <c r="AM80" s="84"/>
      <c r="AN80" s="84"/>
      <c r="AO80" s="84"/>
      <c r="AP80" s="84"/>
      <c r="AQ80" s="84"/>
      <c r="AR80" s="84"/>
      <c r="AS80" s="84"/>
      <c r="AT80" s="84"/>
      <c r="AU80" s="84"/>
      <c r="AV80" s="84"/>
      <c r="AW80" s="84"/>
      <c r="AX80" s="87">
        <f t="array" ref="AX80">IF(G80=1,SUM((ROW(M0)=ROW(AW80))*(M0+M1_+M2_+M3_+M4_+M5_+M6_+M7_+M8_+M9_+M10_+M11_+M12_+M13_+M14_+M15_+M16_+M17_+M18_+M19_+M20_+M21_+M22_+M23_+M24_+M25_+M26_+M27_+M28_+M29_+M30_+M31_+M32_+M33_+M34_+M35_+M36_+M37_)),0)</f>
        <v>0</v>
      </c>
      <c r="AZ80" s="24" t="str">
        <f t="shared" si="37"/>
        <v/>
      </c>
      <c r="BA80" s="24" t="str">
        <f t="shared" si="38"/>
        <v/>
      </c>
      <c r="BB80" s="24" t="str">
        <f t="shared" si="39"/>
        <v/>
      </c>
      <c r="BC80" s="24" t="str">
        <f>IF(OR(E80="",LEFT(TableCosts[[#This Row],[Calc_N_Typ]],18)="Vynaložené náklady"),"",VLOOKUP(E80,Tab_Parts,2,0))</f>
        <v/>
      </c>
      <c r="BD80" s="24" t="str">
        <f t="shared" si="40"/>
        <v/>
      </c>
      <c r="BE80" s="24">
        <f t="shared" si="41"/>
        <v>0</v>
      </c>
      <c r="BF80" s="72">
        <f>TableCosts[[#This Row],[N_Amount]]*TableCosts[[#This Row],[N_Tariff]]*TableCosts[[#This Row],[N_ItemsCount]]</f>
        <v>0</v>
      </c>
      <c r="BG80" s="72">
        <f>IF(G80=1,IF(TableCosts[[#This Row],[N_Kateg]]="interné práce",TableCosts[[#This Row],[N_Amount]]*8*PAR_SGA_PERHOUR,0),0)</f>
        <v>0</v>
      </c>
      <c r="BH80" s="72">
        <f>SUM(TableCosts[[#This Row],[N_Direct]:[N_SGA]])</f>
        <v>0</v>
      </c>
      <c r="BI80" s="24">
        <f>IF(G80=1,IF(OR(AND(NOT(ISERROR(VLOOKUP(TableCosts[[#This Row],[Calc_N_Typ]],Cis_WorkPositions,1,0))),C80&lt;&gt;"",D80&lt;&gt;"",E80&lt;&gt;""),AND(ISERROR(VLOOKUP(TableCosts[[#This Row],[Calc_N_Typ]],Cis_WorkPositions,1,0)),C80="",D80="",E80&lt;&gt;""),LEFT(TableCosts[[#This Row],[Calc_N_Typ]],18)="Vynaložené náklady"),VLOOKUP(C80&amp;TableCosts[[#This Row],[Calc_N_Typ]],TRAN_STRITEMS_LABEL,VLOOKUP(D80,Tab_Hours,3,0),0),NA()),0)</f>
        <v>0</v>
      </c>
      <c r="BJ80" s="24">
        <f t="shared" si="42"/>
        <v>0</v>
      </c>
      <c r="BK80" s="24" t="str">
        <f t="shared" si="43"/>
        <v/>
      </c>
      <c r="BL80" s="24" t="str">
        <f t="shared" si="44"/>
        <v/>
      </c>
      <c r="BM80" s="24" t="str">
        <f>IF(G80=1,IF(TableCosts[[#This Row],[TransferFrom]]=TableCosts[[#This Row],[TranferTo]],0,1),"")</f>
        <v/>
      </c>
      <c r="BN80" s="24" t="str">
        <f t="shared" si="45"/>
        <v/>
      </c>
      <c r="BO80" s="24">
        <f t="shared" si="46"/>
        <v>0</v>
      </c>
      <c r="BP80" s="24">
        <f t="shared" si="47"/>
        <v>0</v>
      </c>
    </row>
    <row r="81" spans="2:68" s="24" customFormat="1" ht="12.75" x14ac:dyDescent="0.2">
      <c r="B81" s="97"/>
      <c r="C81" s="92"/>
      <c r="D81" s="92"/>
      <c r="E81" s="92"/>
      <c r="F81" s="31" t="str">
        <f>IF(G81=1,IF(ISERROR(TableCosts[[#This Row],[N_Tariff]]),Err_Message1,IF(TableCosts[[#This Row],[N_Tariff]]=0,Err_Message2,VLOOKUP(C81&amp;TableCosts[[#This Row],[Calc_N_Typ]],TRAN_STRITEMS_LABEL,5,FALSE))),"")</f>
        <v/>
      </c>
      <c r="G81" s="31">
        <f t="shared" si="36"/>
        <v>0</v>
      </c>
      <c r="H81" s="31" t="str">
        <f>IF(G81=1,IFERROR(VLOOKUP(F81,Tab_ErrMessage[],2,0),VLOOKUP(C81&amp;TableCosts[[#This Row],[Calc_N_Typ]],TRAN_STRITEMS_LABEL,4,FALSE)),"")</f>
        <v/>
      </c>
      <c r="I81" s="94"/>
      <c r="J81" s="94"/>
      <c r="K81" s="9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4"/>
      <c r="AF81" s="84"/>
      <c r="AG81" s="84"/>
      <c r="AH81" s="84"/>
      <c r="AI81" s="84"/>
      <c r="AJ81" s="84"/>
      <c r="AK81" s="84"/>
      <c r="AL81" s="84"/>
      <c r="AM81" s="84"/>
      <c r="AN81" s="84"/>
      <c r="AO81" s="84"/>
      <c r="AP81" s="84"/>
      <c r="AQ81" s="84"/>
      <c r="AR81" s="84"/>
      <c r="AS81" s="84"/>
      <c r="AT81" s="84"/>
      <c r="AU81" s="84"/>
      <c r="AV81" s="84"/>
      <c r="AW81" s="84"/>
      <c r="AX81" s="87">
        <f t="array" ref="AX81">IF(G81=1,SUM((ROW(M0)=ROW(AW81))*(M0+M1_+M2_+M3_+M4_+M5_+M6_+M7_+M8_+M9_+M10_+M11_+M12_+M13_+M14_+M15_+M16_+M17_+M18_+M19_+M20_+M21_+M22_+M23_+M24_+M25_+M26_+M27_+M28_+M29_+M30_+M31_+M32_+M33_+M34_+M35_+M36_+M37_)),0)</f>
        <v>0</v>
      </c>
      <c r="AZ81" s="24" t="str">
        <f t="shared" si="37"/>
        <v/>
      </c>
      <c r="BA81" s="24" t="str">
        <f t="shared" si="38"/>
        <v/>
      </c>
      <c r="BB81" s="24" t="str">
        <f t="shared" si="39"/>
        <v/>
      </c>
      <c r="BC81" s="24" t="str">
        <f>IF(OR(E81="",LEFT(TableCosts[[#This Row],[Calc_N_Typ]],18)="Vynaložené náklady"),"",VLOOKUP(E81,Tab_Parts,2,0))</f>
        <v/>
      </c>
      <c r="BD81" s="24" t="str">
        <f t="shared" si="40"/>
        <v/>
      </c>
      <c r="BE81" s="24">
        <f t="shared" si="41"/>
        <v>0</v>
      </c>
      <c r="BF81" s="72">
        <f>TableCosts[[#This Row],[N_Amount]]*TableCosts[[#This Row],[N_Tariff]]*TableCosts[[#This Row],[N_ItemsCount]]</f>
        <v>0</v>
      </c>
      <c r="BG81" s="72">
        <f>IF(G81=1,IF(TableCosts[[#This Row],[N_Kateg]]="interné práce",TableCosts[[#This Row],[N_Amount]]*8*PAR_SGA_PERHOUR,0),0)</f>
        <v>0</v>
      </c>
      <c r="BH81" s="72">
        <f>SUM(TableCosts[[#This Row],[N_Direct]:[N_SGA]])</f>
        <v>0</v>
      </c>
      <c r="BI81" s="24">
        <f>IF(G81=1,IF(OR(AND(NOT(ISERROR(VLOOKUP(TableCosts[[#This Row],[Calc_N_Typ]],Cis_WorkPositions,1,0))),C81&lt;&gt;"",D81&lt;&gt;"",E81&lt;&gt;""),AND(ISERROR(VLOOKUP(TableCosts[[#This Row],[Calc_N_Typ]],Cis_WorkPositions,1,0)),C81="",D81="",E81&lt;&gt;""),LEFT(TableCosts[[#This Row],[Calc_N_Typ]],18)="Vynaložené náklady"),VLOOKUP(C81&amp;TableCosts[[#This Row],[Calc_N_Typ]],TRAN_STRITEMS_LABEL,VLOOKUP(D81,Tab_Hours,3,0),0),NA()),0)</f>
        <v>0</v>
      </c>
      <c r="BJ81" s="24">
        <f t="shared" si="42"/>
        <v>0</v>
      </c>
      <c r="BK81" s="24" t="str">
        <f t="shared" si="43"/>
        <v/>
      </c>
      <c r="BL81" s="24" t="str">
        <f t="shared" si="44"/>
        <v/>
      </c>
      <c r="BM81" s="24" t="str">
        <f>IF(G81=1,IF(TableCosts[[#This Row],[TransferFrom]]=TableCosts[[#This Row],[TranferTo]],0,1),"")</f>
        <v/>
      </c>
      <c r="BN81" s="24" t="str">
        <f t="shared" si="45"/>
        <v/>
      </c>
      <c r="BO81" s="24">
        <f t="shared" si="46"/>
        <v>0</v>
      </c>
      <c r="BP81" s="24">
        <f t="shared" si="47"/>
        <v>0</v>
      </c>
    </row>
    <row r="82" spans="2:68" s="24" customFormat="1" ht="12.75" x14ac:dyDescent="0.2">
      <c r="B82" s="97"/>
      <c r="C82" s="92"/>
      <c r="D82" s="92"/>
      <c r="E82" s="92"/>
      <c r="F82" s="31" t="str">
        <f>IF(G82=1,IF(ISERROR(TableCosts[[#This Row],[N_Tariff]]),Err_Message1,IF(TableCosts[[#This Row],[N_Tariff]]=0,Err_Message2,VLOOKUP(C82&amp;TableCosts[[#This Row],[Calc_N_Typ]],TRAN_STRITEMS_LABEL,5,FALSE))),"")</f>
        <v/>
      </c>
      <c r="G82" s="31">
        <f t="shared" si="36"/>
        <v>0</v>
      </c>
      <c r="H82" s="31" t="str">
        <f>IF(G82=1,IFERROR(VLOOKUP(F82,Tab_ErrMessage[],2,0),VLOOKUP(C82&amp;TableCosts[[#This Row],[Calc_N_Typ]],TRAN_STRITEMS_LABEL,4,FALSE)),"")</f>
        <v/>
      </c>
      <c r="I82" s="94"/>
      <c r="J82" s="94"/>
      <c r="K82" s="9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  <c r="AC82" s="84"/>
      <c r="AD82" s="84"/>
      <c r="AE82" s="84"/>
      <c r="AF82" s="84"/>
      <c r="AG82" s="84"/>
      <c r="AH82" s="84"/>
      <c r="AI82" s="84"/>
      <c r="AJ82" s="84"/>
      <c r="AK82" s="84"/>
      <c r="AL82" s="84"/>
      <c r="AM82" s="84"/>
      <c r="AN82" s="84"/>
      <c r="AO82" s="84"/>
      <c r="AP82" s="84"/>
      <c r="AQ82" s="84"/>
      <c r="AR82" s="84"/>
      <c r="AS82" s="84"/>
      <c r="AT82" s="84"/>
      <c r="AU82" s="84"/>
      <c r="AV82" s="84"/>
      <c r="AW82" s="84"/>
      <c r="AX82" s="87">
        <f t="array" ref="AX82">IF(G82=1,SUM((ROW(M0)=ROW(AW82))*(M0+M1_+M2_+M3_+M4_+M5_+M6_+M7_+M8_+M9_+M10_+M11_+M12_+M13_+M14_+M15_+M16_+M17_+M18_+M19_+M20_+M21_+M22_+M23_+M24_+M25_+M26_+M27_+M28_+M29_+M30_+M31_+M32_+M33_+M34_+M35_+M36_+M37_)),0)</f>
        <v>0</v>
      </c>
      <c r="AZ82" s="24" t="str">
        <f t="shared" si="37"/>
        <v/>
      </c>
      <c r="BA82" s="24" t="str">
        <f t="shared" si="38"/>
        <v/>
      </c>
      <c r="BB82" s="24" t="str">
        <f t="shared" si="39"/>
        <v/>
      </c>
      <c r="BC82" s="24" t="str">
        <f>IF(OR(E82="",LEFT(TableCosts[[#This Row],[Calc_N_Typ]],18)="Vynaložené náklady"),"",VLOOKUP(E82,Tab_Parts,2,0))</f>
        <v/>
      </c>
      <c r="BD82" s="24" t="str">
        <f t="shared" si="40"/>
        <v/>
      </c>
      <c r="BE82" s="24">
        <f t="shared" si="41"/>
        <v>0</v>
      </c>
      <c r="BF82" s="72">
        <f>TableCosts[[#This Row],[N_Amount]]*TableCosts[[#This Row],[N_Tariff]]*TableCosts[[#This Row],[N_ItemsCount]]</f>
        <v>0</v>
      </c>
      <c r="BG82" s="72">
        <f>IF(G82=1,IF(TableCosts[[#This Row],[N_Kateg]]="interné práce",TableCosts[[#This Row],[N_Amount]]*8*PAR_SGA_PERHOUR,0),0)</f>
        <v>0</v>
      </c>
      <c r="BH82" s="72">
        <f>SUM(TableCosts[[#This Row],[N_Direct]:[N_SGA]])</f>
        <v>0</v>
      </c>
      <c r="BI82" s="24">
        <f>IF(G82=1,IF(OR(AND(NOT(ISERROR(VLOOKUP(TableCosts[[#This Row],[Calc_N_Typ]],Cis_WorkPositions,1,0))),C82&lt;&gt;"",D82&lt;&gt;"",E82&lt;&gt;""),AND(ISERROR(VLOOKUP(TableCosts[[#This Row],[Calc_N_Typ]],Cis_WorkPositions,1,0)),C82="",D82="",E82&lt;&gt;""),LEFT(TableCosts[[#This Row],[Calc_N_Typ]],18)="Vynaložené náklady"),VLOOKUP(C82&amp;TableCosts[[#This Row],[Calc_N_Typ]],TRAN_STRITEMS_LABEL,VLOOKUP(D82,Tab_Hours,3,0),0),NA()),0)</f>
        <v>0</v>
      </c>
      <c r="BJ82" s="24">
        <f t="shared" si="42"/>
        <v>0</v>
      </c>
      <c r="BK82" s="24" t="str">
        <f t="shared" si="43"/>
        <v/>
      </c>
      <c r="BL82" s="24" t="str">
        <f t="shared" si="44"/>
        <v/>
      </c>
      <c r="BM82" s="24" t="str">
        <f>IF(G82=1,IF(TableCosts[[#This Row],[TransferFrom]]=TableCosts[[#This Row],[TranferTo]],0,1),"")</f>
        <v/>
      </c>
      <c r="BN82" s="24" t="str">
        <f t="shared" si="45"/>
        <v/>
      </c>
      <c r="BO82" s="24">
        <f t="shared" si="46"/>
        <v>0</v>
      </c>
      <c r="BP82" s="24">
        <f t="shared" si="47"/>
        <v>0</v>
      </c>
    </row>
    <row r="83" spans="2:68" s="24" customFormat="1" ht="12.75" x14ac:dyDescent="0.2">
      <c r="B83" s="97"/>
      <c r="C83" s="92"/>
      <c r="D83" s="92"/>
      <c r="E83" s="92"/>
      <c r="F83" s="31" t="str">
        <f>IF(G83=1,IF(ISERROR(TableCosts[[#This Row],[N_Tariff]]),Err_Message1,IF(TableCosts[[#This Row],[N_Tariff]]=0,Err_Message2,VLOOKUP(C83&amp;TableCosts[[#This Row],[Calc_N_Typ]],TRAN_STRITEMS_LABEL,5,FALSE))),"")</f>
        <v/>
      </c>
      <c r="G83" s="31">
        <f t="shared" si="36"/>
        <v>0</v>
      </c>
      <c r="H83" s="31" t="str">
        <f>IF(G83=1,IFERROR(VLOOKUP(F83,Tab_ErrMessage[],2,0),VLOOKUP(C83&amp;TableCosts[[#This Row],[Calc_N_Typ]],TRAN_STRITEMS_LABEL,4,FALSE)),"")</f>
        <v/>
      </c>
      <c r="I83" s="94"/>
      <c r="J83" s="94"/>
      <c r="K83" s="94"/>
      <c r="L83" s="84"/>
      <c r="M83" s="84"/>
      <c r="N83" s="84"/>
      <c r="O83" s="84"/>
      <c r="P83" s="84"/>
      <c r="Q83" s="84"/>
      <c r="R83" s="84"/>
      <c r="S83" s="84"/>
      <c r="T83" s="84"/>
      <c r="U83" s="84"/>
      <c r="V83" s="84"/>
      <c r="W83" s="84"/>
      <c r="X83" s="84"/>
      <c r="Y83" s="84"/>
      <c r="Z83" s="84"/>
      <c r="AA83" s="84"/>
      <c r="AB83" s="84"/>
      <c r="AC83" s="84"/>
      <c r="AD83" s="84"/>
      <c r="AE83" s="84"/>
      <c r="AF83" s="84"/>
      <c r="AG83" s="84"/>
      <c r="AH83" s="84"/>
      <c r="AI83" s="84"/>
      <c r="AJ83" s="84"/>
      <c r="AK83" s="84"/>
      <c r="AL83" s="84"/>
      <c r="AM83" s="84"/>
      <c r="AN83" s="84"/>
      <c r="AO83" s="84"/>
      <c r="AP83" s="84"/>
      <c r="AQ83" s="84"/>
      <c r="AR83" s="84"/>
      <c r="AS83" s="84"/>
      <c r="AT83" s="84"/>
      <c r="AU83" s="84"/>
      <c r="AV83" s="84"/>
      <c r="AW83" s="84"/>
      <c r="AX83" s="87">
        <f t="array" ref="AX83">IF(G83=1,SUM((ROW(M0)=ROW(AW83))*(M0+M1_+M2_+M3_+M4_+M5_+M6_+M7_+M8_+M9_+M10_+M11_+M12_+M13_+M14_+M15_+M16_+M17_+M18_+M19_+M20_+M21_+M22_+M23_+M24_+M25_+M26_+M27_+M28_+M29_+M30_+M31_+M32_+M33_+M34_+M35_+M36_+M37_)),0)</f>
        <v>0</v>
      </c>
      <c r="AZ83" s="24" t="str">
        <f t="shared" si="37"/>
        <v/>
      </c>
      <c r="BA83" s="24" t="str">
        <f t="shared" si="38"/>
        <v/>
      </c>
      <c r="BB83" s="24" t="str">
        <f t="shared" si="39"/>
        <v/>
      </c>
      <c r="BC83" s="24" t="str">
        <f>IF(OR(E83="",LEFT(TableCosts[[#This Row],[Calc_N_Typ]],18)="Vynaložené náklady"),"",VLOOKUP(E83,Tab_Parts,2,0))</f>
        <v/>
      </c>
      <c r="BD83" s="24" t="str">
        <f t="shared" si="40"/>
        <v/>
      </c>
      <c r="BE83" s="24">
        <f t="shared" si="41"/>
        <v>0</v>
      </c>
      <c r="BF83" s="72">
        <f>TableCosts[[#This Row],[N_Amount]]*TableCosts[[#This Row],[N_Tariff]]*TableCosts[[#This Row],[N_ItemsCount]]</f>
        <v>0</v>
      </c>
      <c r="BG83" s="72">
        <f>IF(G83=1,IF(TableCosts[[#This Row],[N_Kateg]]="interné práce",TableCosts[[#This Row],[N_Amount]]*8*PAR_SGA_PERHOUR,0),0)</f>
        <v>0</v>
      </c>
      <c r="BH83" s="72">
        <f>SUM(TableCosts[[#This Row],[N_Direct]:[N_SGA]])</f>
        <v>0</v>
      </c>
      <c r="BI83" s="24">
        <f>IF(G83=1,IF(OR(AND(NOT(ISERROR(VLOOKUP(TableCosts[[#This Row],[Calc_N_Typ]],Cis_WorkPositions,1,0))),C83&lt;&gt;"",D83&lt;&gt;"",E83&lt;&gt;""),AND(ISERROR(VLOOKUP(TableCosts[[#This Row],[Calc_N_Typ]],Cis_WorkPositions,1,0)),C83="",D83="",E83&lt;&gt;""),LEFT(TableCosts[[#This Row],[Calc_N_Typ]],18)="Vynaložené náklady"),VLOOKUP(C83&amp;TableCosts[[#This Row],[Calc_N_Typ]],TRAN_STRITEMS_LABEL,VLOOKUP(D83,Tab_Hours,3,0),0),NA()),0)</f>
        <v>0</v>
      </c>
      <c r="BJ83" s="24">
        <f t="shared" si="42"/>
        <v>0</v>
      </c>
      <c r="BK83" s="24" t="str">
        <f t="shared" si="43"/>
        <v/>
      </c>
      <c r="BL83" s="24" t="str">
        <f t="shared" si="44"/>
        <v/>
      </c>
      <c r="BM83" s="24" t="str">
        <f>IF(G83=1,IF(TableCosts[[#This Row],[TransferFrom]]=TableCosts[[#This Row],[TranferTo]],0,1),"")</f>
        <v/>
      </c>
      <c r="BN83" s="24" t="str">
        <f t="shared" si="45"/>
        <v/>
      </c>
      <c r="BO83" s="24">
        <f t="shared" si="46"/>
        <v>0</v>
      </c>
      <c r="BP83" s="24">
        <f t="shared" si="47"/>
        <v>0</v>
      </c>
    </row>
    <row r="84" spans="2:68" s="24" customFormat="1" ht="12.75" x14ac:dyDescent="0.2">
      <c r="B84" s="97"/>
      <c r="C84" s="92"/>
      <c r="D84" s="92"/>
      <c r="E84" s="92"/>
      <c r="F84" s="31" t="str">
        <f>IF(G84=1,IF(ISERROR(TableCosts[[#This Row],[N_Tariff]]),Err_Message1,IF(TableCosts[[#This Row],[N_Tariff]]=0,Err_Message2,VLOOKUP(C84&amp;TableCosts[[#This Row],[Calc_N_Typ]],TRAN_STRITEMS_LABEL,5,FALSE))),"")</f>
        <v/>
      </c>
      <c r="G84" s="31">
        <f t="shared" si="36"/>
        <v>0</v>
      </c>
      <c r="H84" s="31" t="str">
        <f>IF(G84=1,IFERROR(VLOOKUP(F84,Tab_ErrMessage[],2,0),VLOOKUP(C84&amp;TableCosts[[#This Row],[Calc_N_Typ]],TRAN_STRITEMS_LABEL,4,FALSE)),"")</f>
        <v/>
      </c>
      <c r="I84" s="94"/>
      <c r="J84" s="94"/>
      <c r="K84" s="94"/>
      <c r="L84" s="84"/>
      <c r="M84" s="84"/>
      <c r="N84" s="84"/>
      <c r="O84" s="84"/>
      <c r="P84" s="84"/>
      <c r="Q84" s="84"/>
      <c r="R84" s="84"/>
      <c r="S84" s="84"/>
      <c r="T84" s="84"/>
      <c r="U84" s="84"/>
      <c r="V84" s="84"/>
      <c r="W84" s="84"/>
      <c r="X84" s="84"/>
      <c r="Y84" s="84"/>
      <c r="Z84" s="84"/>
      <c r="AA84" s="84"/>
      <c r="AB84" s="84"/>
      <c r="AC84" s="84"/>
      <c r="AD84" s="84"/>
      <c r="AE84" s="84"/>
      <c r="AF84" s="84"/>
      <c r="AG84" s="84"/>
      <c r="AH84" s="84"/>
      <c r="AI84" s="84"/>
      <c r="AJ84" s="84"/>
      <c r="AK84" s="84"/>
      <c r="AL84" s="84"/>
      <c r="AM84" s="84"/>
      <c r="AN84" s="84"/>
      <c r="AO84" s="84"/>
      <c r="AP84" s="84"/>
      <c r="AQ84" s="84"/>
      <c r="AR84" s="84"/>
      <c r="AS84" s="84"/>
      <c r="AT84" s="84"/>
      <c r="AU84" s="84"/>
      <c r="AV84" s="84"/>
      <c r="AW84" s="84"/>
      <c r="AX84" s="87">
        <f t="array" ref="AX84">IF(G84=1,SUM((ROW(M0)=ROW(AW84))*(M0+M1_+M2_+M3_+M4_+M5_+M6_+M7_+M8_+M9_+M10_+M11_+M12_+M13_+M14_+M15_+M16_+M17_+M18_+M19_+M20_+M21_+M22_+M23_+M24_+M25_+M26_+M27_+M28_+M29_+M30_+M31_+M32_+M33_+M34_+M35_+M36_+M37_)),0)</f>
        <v>0</v>
      </c>
      <c r="AZ84" s="24" t="str">
        <f t="shared" si="37"/>
        <v/>
      </c>
      <c r="BA84" s="24" t="str">
        <f t="shared" si="38"/>
        <v/>
      </c>
      <c r="BB84" s="24" t="str">
        <f t="shared" si="39"/>
        <v/>
      </c>
      <c r="BC84" s="24" t="str">
        <f>IF(OR(E84="",LEFT(TableCosts[[#This Row],[Calc_N_Typ]],18)="Vynaložené náklady"),"",VLOOKUP(E84,Tab_Parts,2,0))</f>
        <v/>
      </c>
      <c r="BD84" s="24" t="str">
        <f t="shared" si="40"/>
        <v/>
      </c>
      <c r="BE84" s="24">
        <f t="shared" si="41"/>
        <v>0</v>
      </c>
      <c r="BF84" s="72">
        <f>TableCosts[[#This Row],[N_Amount]]*TableCosts[[#This Row],[N_Tariff]]*TableCosts[[#This Row],[N_ItemsCount]]</f>
        <v>0</v>
      </c>
      <c r="BG84" s="72">
        <f>IF(G84=1,IF(TableCosts[[#This Row],[N_Kateg]]="interné práce",TableCosts[[#This Row],[N_Amount]]*8*PAR_SGA_PERHOUR,0),0)</f>
        <v>0</v>
      </c>
      <c r="BH84" s="72">
        <f>SUM(TableCosts[[#This Row],[N_Direct]:[N_SGA]])</f>
        <v>0</v>
      </c>
      <c r="BI84" s="24">
        <f>IF(G84=1,IF(OR(AND(NOT(ISERROR(VLOOKUP(TableCosts[[#This Row],[Calc_N_Typ]],Cis_WorkPositions,1,0))),C84&lt;&gt;"",D84&lt;&gt;"",E84&lt;&gt;""),AND(ISERROR(VLOOKUP(TableCosts[[#This Row],[Calc_N_Typ]],Cis_WorkPositions,1,0)),C84="",D84="",E84&lt;&gt;""),LEFT(TableCosts[[#This Row],[Calc_N_Typ]],18)="Vynaložené náklady"),VLOOKUP(C84&amp;TableCosts[[#This Row],[Calc_N_Typ]],TRAN_STRITEMS_LABEL,VLOOKUP(D84,Tab_Hours,3,0),0),NA()),0)</f>
        <v>0</v>
      </c>
      <c r="BJ84" s="24">
        <f t="shared" si="42"/>
        <v>0</v>
      </c>
      <c r="BK84" s="24" t="str">
        <f t="shared" si="43"/>
        <v/>
      </c>
      <c r="BL84" s="24" t="str">
        <f t="shared" si="44"/>
        <v/>
      </c>
      <c r="BM84" s="24" t="str">
        <f>IF(G84=1,IF(TableCosts[[#This Row],[TransferFrom]]=TableCosts[[#This Row],[TranferTo]],0,1),"")</f>
        <v/>
      </c>
      <c r="BN84" s="24" t="str">
        <f t="shared" si="45"/>
        <v/>
      </c>
      <c r="BO84" s="24">
        <f t="shared" si="46"/>
        <v>0</v>
      </c>
      <c r="BP84" s="24">
        <f t="shared" si="47"/>
        <v>0</v>
      </c>
    </row>
    <row r="85" spans="2:68" s="24" customFormat="1" ht="12.75" x14ac:dyDescent="0.2">
      <c r="B85" s="97"/>
      <c r="C85" s="92"/>
      <c r="D85" s="92"/>
      <c r="E85" s="92"/>
      <c r="F85" s="31" t="str">
        <f>IF(G85=1,IF(ISERROR(TableCosts[[#This Row],[N_Tariff]]),Err_Message1,IF(TableCosts[[#This Row],[N_Tariff]]=0,Err_Message2,VLOOKUP(C85&amp;TableCosts[[#This Row],[Calc_N_Typ]],TRAN_STRITEMS_LABEL,5,FALSE))),"")</f>
        <v/>
      </c>
      <c r="G85" s="31">
        <f t="shared" si="36"/>
        <v>0</v>
      </c>
      <c r="H85" s="31" t="str">
        <f>IF(G85=1,IFERROR(VLOOKUP(F85,Tab_ErrMessage[],2,0),VLOOKUP(C85&amp;TableCosts[[#This Row],[Calc_N_Typ]],TRAN_STRITEMS_LABEL,4,FALSE)),"")</f>
        <v/>
      </c>
      <c r="I85" s="94"/>
      <c r="J85" s="94"/>
      <c r="K85" s="9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  <c r="AC85" s="84"/>
      <c r="AD85" s="84"/>
      <c r="AE85" s="84"/>
      <c r="AF85" s="84"/>
      <c r="AG85" s="84"/>
      <c r="AH85" s="84"/>
      <c r="AI85" s="84"/>
      <c r="AJ85" s="84"/>
      <c r="AK85" s="84"/>
      <c r="AL85" s="84"/>
      <c r="AM85" s="84"/>
      <c r="AN85" s="84"/>
      <c r="AO85" s="84"/>
      <c r="AP85" s="84"/>
      <c r="AQ85" s="84"/>
      <c r="AR85" s="84"/>
      <c r="AS85" s="84"/>
      <c r="AT85" s="84"/>
      <c r="AU85" s="84"/>
      <c r="AV85" s="84"/>
      <c r="AW85" s="84"/>
      <c r="AX85" s="87">
        <f t="array" ref="AX85">IF(G85=1,SUM((ROW(M0)=ROW(AW85))*(M0+M1_+M2_+M3_+M4_+M5_+M6_+M7_+M8_+M9_+M10_+M11_+M12_+M13_+M14_+M15_+M16_+M17_+M18_+M19_+M20_+M21_+M22_+M23_+M24_+M25_+M26_+M27_+M28_+M29_+M30_+M31_+M32_+M33_+M34_+M35_+M36_+M37_)),0)</f>
        <v>0</v>
      </c>
      <c r="AZ85" s="24" t="str">
        <f t="shared" si="37"/>
        <v/>
      </c>
      <c r="BA85" s="24" t="str">
        <f t="shared" si="38"/>
        <v/>
      </c>
      <c r="BB85" s="24" t="str">
        <f t="shared" si="39"/>
        <v/>
      </c>
      <c r="BC85" s="24" t="str">
        <f>IF(OR(E85="",LEFT(TableCosts[[#This Row],[Calc_N_Typ]],18)="Vynaložené náklady"),"",VLOOKUP(E85,Tab_Parts,2,0))</f>
        <v/>
      </c>
      <c r="BD85" s="24" t="str">
        <f t="shared" si="40"/>
        <v/>
      </c>
      <c r="BE85" s="24">
        <f t="shared" si="41"/>
        <v>0</v>
      </c>
      <c r="BF85" s="72">
        <f>TableCosts[[#This Row],[N_Amount]]*TableCosts[[#This Row],[N_Tariff]]*TableCosts[[#This Row],[N_ItemsCount]]</f>
        <v>0</v>
      </c>
      <c r="BG85" s="72">
        <f>IF(G85=1,IF(TableCosts[[#This Row],[N_Kateg]]="interné práce",TableCosts[[#This Row],[N_Amount]]*8*PAR_SGA_PERHOUR,0),0)</f>
        <v>0</v>
      </c>
      <c r="BH85" s="72">
        <f>SUM(TableCosts[[#This Row],[N_Direct]:[N_SGA]])</f>
        <v>0</v>
      </c>
      <c r="BI85" s="24">
        <f>IF(G85=1,IF(OR(AND(NOT(ISERROR(VLOOKUP(TableCosts[[#This Row],[Calc_N_Typ]],Cis_WorkPositions,1,0))),C85&lt;&gt;"",D85&lt;&gt;"",E85&lt;&gt;""),AND(ISERROR(VLOOKUP(TableCosts[[#This Row],[Calc_N_Typ]],Cis_WorkPositions,1,0)),C85="",D85="",E85&lt;&gt;""),LEFT(TableCosts[[#This Row],[Calc_N_Typ]],18)="Vynaložené náklady"),VLOOKUP(C85&amp;TableCosts[[#This Row],[Calc_N_Typ]],TRAN_STRITEMS_LABEL,VLOOKUP(D85,Tab_Hours,3,0),0),NA()),0)</f>
        <v>0</v>
      </c>
      <c r="BJ85" s="24">
        <f t="shared" si="42"/>
        <v>0</v>
      </c>
      <c r="BK85" s="24" t="str">
        <f t="shared" si="43"/>
        <v/>
      </c>
      <c r="BL85" s="24" t="str">
        <f t="shared" si="44"/>
        <v/>
      </c>
      <c r="BM85" s="24" t="str">
        <f>IF(G85=1,IF(TableCosts[[#This Row],[TransferFrom]]=TableCosts[[#This Row],[TranferTo]],0,1),"")</f>
        <v/>
      </c>
      <c r="BN85" s="24" t="str">
        <f t="shared" si="45"/>
        <v/>
      </c>
      <c r="BO85" s="24">
        <f t="shared" si="46"/>
        <v>0</v>
      </c>
      <c r="BP85" s="24">
        <f t="shared" si="47"/>
        <v>0</v>
      </c>
    </row>
    <row r="86" spans="2:68" s="24" customFormat="1" ht="12.75" x14ac:dyDescent="0.2">
      <c r="B86" s="97"/>
      <c r="C86" s="92"/>
      <c r="D86" s="92"/>
      <c r="E86" s="92"/>
      <c r="F86" s="31" t="str">
        <f>IF(G86=1,IF(ISERROR(TableCosts[[#This Row],[N_Tariff]]),Err_Message1,IF(TableCosts[[#This Row],[N_Tariff]]=0,Err_Message2,VLOOKUP(C86&amp;TableCosts[[#This Row],[Calc_N_Typ]],TRAN_STRITEMS_LABEL,5,FALSE))),"")</f>
        <v/>
      </c>
      <c r="G86" s="31">
        <f t="shared" si="36"/>
        <v>0</v>
      </c>
      <c r="H86" s="31" t="str">
        <f>IF(G86=1,IFERROR(VLOOKUP(F86,Tab_ErrMessage[],2,0),VLOOKUP(C86&amp;TableCosts[[#This Row],[Calc_N_Typ]],TRAN_STRITEMS_LABEL,4,FALSE)),"")</f>
        <v/>
      </c>
      <c r="I86" s="94"/>
      <c r="J86" s="94"/>
      <c r="K86" s="9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  <c r="AC86" s="84"/>
      <c r="AD86" s="84"/>
      <c r="AE86" s="84"/>
      <c r="AF86" s="84"/>
      <c r="AG86" s="84"/>
      <c r="AH86" s="84"/>
      <c r="AI86" s="84"/>
      <c r="AJ86" s="84"/>
      <c r="AK86" s="84"/>
      <c r="AL86" s="84"/>
      <c r="AM86" s="84"/>
      <c r="AN86" s="84"/>
      <c r="AO86" s="84"/>
      <c r="AP86" s="84"/>
      <c r="AQ86" s="84"/>
      <c r="AR86" s="84"/>
      <c r="AS86" s="84"/>
      <c r="AT86" s="84"/>
      <c r="AU86" s="84"/>
      <c r="AV86" s="84"/>
      <c r="AW86" s="84"/>
      <c r="AX86" s="87">
        <f t="array" ref="AX86">IF(G86=1,SUM((ROW(M0)=ROW(AW86))*(M0+M1_+M2_+M3_+M4_+M5_+M6_+M7_+M8_+M9_+M10_+M11_+M12_+M13_+M14_+M15_+M16_+M17_+M18_+M19_+M20_+M21_+M22_+M23_+M24_+M25_+M26_+M27_+M28_+M29_+M30_+M31_+M32_+M33_+M34_+M35_+M36_+M37_)),0)</f>
        <v>0</v>
      </c>
      <c r="AZ86" s="24" t="str">
        <f t="shared" si="37"/>
        <v/>
      </c>
      <c r="BA86" s="24" t="str">
        <f t="shared" si="38"/>
        <v/>
      </c>
      <c r="BB86" s="24" t="str">
        <f t="shared" si="39"/>
        <v/>
      </c>
      <c r="BC86" s="24" t="str">
        <f>IF(OR(E86="",LEFT(TableCosts[[#This Row],[Calc_N_Typ]],18)="Vynaložené náklady"),"",VLOOKUP(E86,Tab_Parts,2,0))</f>
        <v/>
      </c>
      <c r="BD86" s="24" t="str">
        <f t="shared" si="40"/>
        <v/>
      </c>
      <c r="BE86" s="24">
        <f t="shared" si="41"/>
        <v>0</v>
      </c>
      <c r="BF86" s="72">
        <f>TableCosts[[#This Row],[N_Amount]]*TableCosts[[#This Row],[N_Tariff]]*TableCosts[[#This Row],[N_ItemsCount]]</f>
        <v>0</v>
      </c>
      <c r="BG86" s="72">
        <f>IF(G86=1,IF(TableCosts[[#This Row],[N_Kateg]]="interné práce",TableCosts[[#This Row],[N_Amount]]*8*PAR_SGA_PERHOUR,0),0)</f>
        <v>0</v>
      </c>
      <c r="BH86" s="72">
        <f>SUM(TableCosts[[#This Row],[N_Direct]:[N_SGA]])</f>
        <v>0</v>
      </c>
      <c r="BI86" s="24">
        <f>IF(G86=1,IF(OR(AND(NOT(ISERROR(VLOOKUP(TableCosts[[#This Row],[Calc_N_Typ]],Cis_WorkPositions,1,0))),C86&lt;&gt;"",D86&lt;&gt;"",E86&lt;&gt;""),AND(ISERROR(VLOOKUP(TableCosts[[#This Row],[Calc_N_Typ]],Cis_WorkPositions,1,0)),C86="",D86="",E86&lt;&gt;""),LEFT(TableCosts[[#This Row],[Calc_N_Typ]],18)="Vynaložené náklady"),VLOOKUP(C86&amp;TableCosts[[#This Row],[Calc_N_Typ]],TRAN_STRITEMS_LABEL,VLOOKUP(D86,Tab_Hours,3,0),0),NA()),0)</f>
        <v>0</v>
      </c>
      <c r="BJ86" s="24">
        <f t="shared" si="42"/>
        <v>0</v>
      </c>
      <c r="BK86" s="24" t="str">
        <f t="shared" si="43"/>
        <v/>
      </c>
      <c r="BL86" s="24" t="str">
        <f t="shared" si="44"/>
        <v/>
      </c>
      <c r="BM86" s="24" t="str">
        <f>IF(G86=1,IF(TableCosts[[#This Row],[TransferFrom]]=TableCosts[[#This Row],[TranferTo]],0,1),"")</f>
        <v/>
      </c>
      <c r="BN86" s="24" t="str">
        <f t="shared" si="45"/>
        <v/>
      </c>
      <c r="BO86" s="24">
        <f t="shared" si="46"/>
        <v>0</v>
      </c>
      <c r="BP86" s="24">
        <f t="shared" si="47"/>
        <v>0</v>
      </c>
    </row>
    <row r="87" spans="2:68" s="24" customFormat="1" ht="12.75" x14ac:dyDescent="0.2">
      <c r="B87" s="97"/>
      <c r="C87" s="92"/>
      <c r="D87" s="92"/>
      <c r="E87" s="92"/>
      <c r="F87" s="31" t="str">
        <f>IF(G87=1,IF(ISERROR(TableCosts[[#This Row],[N_Tariff]]),Err_Message1,IF(TableCosts[[#This Row],[N_Tariff]]=0,Err_Message2,VLOOKUP(C87&amp;TableCosts[[#This Row],[Calc_N_Typ]],TRAN_STRITEMS_LABEL,5,FALSE))),"")</f>
        <v/>
      </c>
      <c r="G87" s="31">
        <f t="shared" si="36"/>
        <v>0</v>
      </c>
      <c r="H87" s="31" t="str">
        <f>IF(G87=1,IFERROR(VLOOKUP(F87,Tab_ErrMessage[],2,0),VLOOKUP(C87&amp;TableCosts[[#This Row],[Calc_N_Typ]],TRAN_STRITEMS_LABEL,4,FALSE)),"")</f>
        <v/>
      </c>
      <c r="I87" s="94"/>
      <c r="J87" s="94"/>
      <c r="K87" s="9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  <c r="W87" s="84"/>
      <c r="X87" s="84"/>
      <c r="Y87" s="84"/>
      <c r="Z87" s="84"/>
      <c r="AA87" s="84"/>
      <c r="AB87" s="84"/>
      <c r="AC87" s="84"/>
      <c r="AD87" s="84"/>
      <c r="AE87" s="84"/>
      <c r="AF87" s="84"/>
      <c r="AG87" s="84"/>
      <c r="AH87" s="84"/>
      <c r="AI87" s="84"/>
      <c r="AJ87" s="84"/>
      <c r="AK87" s="84"/>
      <c r="AL87" s="84"/>
      <c r="AM87" s="84"/>
      <c r="AN87" s="84"/>
      <c r="AO87" s="84"/>
      <c r="AP87" s="84"/>
      <c r="AQ87" s="84"/>
      <c r="AR87" s="84"/>
      <c r="AS87" s="84"/>
      <c r="AT87" s="84"/>
      <c r="AU87" s="84"/>
      <c r="AV87" s="84"/>
      <c r="AW87" s="84"/>
      <c r="AX87" s="87">
        <f t="array" ref="AX87">IF(G87=1,SUM((ROW(M0)=ROW(AW87))*(M0+M1_+M2_+M3_+M4_+M5_+M6_+M7_+M8_+M9_+M10_+M11_+M12_+M13_+M14_+M15_+M16_+M17_+M18_+M19_+M20_+M21_+M22_+M23_+M24_+M25_+M26_+M27_+M28_+M29_+M30_+M31_+M32_+M33_+M34_+M35_+M36_+M37_)),0)</f>
        <v>0</v>
      </c>
      <c r="AZ87" s="24" t="str">
        <f t="shared" si="37"/>
        <v/>
      </c>
      <c r="BA87" s="24" t="str">
        <f t="shared" si="38"/>
        <v/>
      </c>
      <c r="BB87" s="24" t="str">
        <f t="shared" si="39"/>
        <v/>
      </c>
      <c r="BC87" s="24" t="str">
        <f>IF(OR(E87="",LEFT(TableCosts[[#This Row],[Calc_N_Typ]],18)="Vynaložené náklady"),"",VLOOKUP(E87,Tab_Parts,2,0))</f>
        <v/>
      </c>
      <c r="BD87" s="24" t="str">
        <f t="shared" si="40"/>
        <v/>
      </c>
      <c r="BE87" s="24">
        <f t="shared" si="41"/>
        <v>0</v>
      </c>
      <c r="BF87" s="72">
        <f>TableCosts[[#This Row],[N_Amount]]*TableCosts[[#This Row],[N_Tariff]]*TableCosts[[#This Row],[N_ItemsCount]]</f>
        <v>0</v>
      </c>
      <c r="BG87" s="72">
        <f>IF(G87=1,IF(TableCosts[[#This Row],[N_Kateg]]="interné práce",TableCosts[[#This Row],[N_Amount]]*8*PAR_SGA_PERHOUR,0),0)</f>
        <v>0</v>
      </c>
      <c r="BH87" s="72">
        <f>SUM(TableCosts[[#This Row],[N_Direct]:[N_SGA]])</f>
        <v>0</v>
      </c>
      <c r="BI87" s="24">
        <f>IF(G87=1,IF(OR(AND(NOT(ISERROR(VLOOKUP(TableCosts[[#This Row],[Calc_N_Typ]],Cis_WorkPositions,1,0))),C87&lt;&gt;"",D87&lt;&gt;"",E87&lt;&gt;""),AND(ISERROR(VLOOKUP(TableCosts[[#This Row],[Calc_N_Typ]],Cis_WorkPositions,1,0)),C87="",D87="",E87&lt;&gt;""),LEFT(TableCosts[[#This Row],[Calc_N_Typ]],18)="Vynaložené náklady"),VLOOKUP(C87&amp;TableCosts[[#This Row],[Calc_N_Typ]],TRAN_STRITEMS_LABEL,VLOOKUP(D87,Tab_Hours,3,0),0),NA()),0)</f>
        <v>0</v>
      </c>
      <c r="BJ87" s="24">
        <f t="shared" si="42"/>
        <v>0</v>
      </c>
      <c r="BK87" s="24" t="str">
        <f t="shared" si="43"/>
        <v/>
      </c>
      <c r="BL87" s="24" t="str">
        <f t="shared" si="44"/>
        <v/>
      </c>
      <c r="BM87" s="24" t="str">
        <f>IF(G87=1,IF(TableCosts[[#This Row],[TransferFrom]]=TableCosts[[#This Row],[TranferTo]],0,1),"")</f>
        <v/>
      </c>
      <c r="BN87" s="24" t="str">
        <f t="shared" si="45"/>
        <v/>
      </c>
      <c r="BO87" s="24">
        <f t="shared" si="46"/>
        <v>0</v>
      </c>
      <c r="BP87" s="24">
        <f t="shared" si="47"/>
        <v>0</v>
      </c>
    </row>
    <row r="88" spans="2:68" s="24" customFormat="1" ht="12.75" x14ac:dyDescent="0.2">
      <c r="B88" s="97"/>
      <c r="C88" s="92"/>
      <c r="D88" s="92"/>
      <c r="E88" s="92"/>
      <c r="F88" s="31" t="str">
        <f>IF(G88=1,IF(ISERROR(TableCosts[[#This Row],[N_Tariff]]),Err_Message1,IF(TableCosts[[#This Row],[N_Tariff]]=0,Err_Message2,VLOOKUP(C88&amp;TableCosts[[#This Row],[Calc_N_Typ]],TRAN_STRITEMS_LABEL,5,FALSE))),"")</f>
        <v/>
      </c>
      <c r="G88" s="31">
        <f t="shared" si="36"/>
        <v>0</v>
      </c>
      <c r="H88" s="31" t="str">
        <f>IF(G88=1,IFERROR(VLOOKUP(F88,Tab_ErrMessage[],2,0),VLOOKUP(C88&amp;TableCosts[[#This Row],[Calc_N_Typ]],TRAN_STRITEMS_LABEL,4,FALSE)),"")</f>
        <v/>
      </c>
      <c r="I88" s="94"/>
      <c r="J88" s="94"/>
      <c r="K88" s="94"/>
      <c r="L88" s="84"/>
      <c r="M88" s="84"/>
      <c r="N88" s="84"/>
      <c r="O88" s="84"/>
      <c r="P88" s="84"/>
      <c r="Q88" s="84"/>
      <c r="R88" s="84"/>
      <c r="S88" s="84"/>
      <c r="T88" s="84"/>
      <c r="U88" s="84"/>
      <c r="V88" s="84"/>
      <c r="W88" s="84"/>
      <c r="X88" s="84"/>
      <c r="Y88" s="84"/>
      <c r="Z88" s="84"/>
      <c r="AA88" s="84"/>
      <c r="AB88" s="84"/>
      <c r="AC88" s="84"/>
      <c r="AD88" s="84"/>
      <c r="AE88" s="84"/>
      <c r="AF88" s="84"/>
      <c r="AG88" s="84"/>
      <c r="AH88" s="84"/>
      <c r="AI88" s="84"/>
      <c r="AJ88" s="84"/>
      <c r="AK88" s="84"/>
      <c r="AL88" s="84"/>
      <c r="AM88" s="84"/>
      <c r="AN88" s="84"/>
      <c r="AO88" s="84"/>
      <c r="AP88" s="84"/>
      <c r="AQ88" s="84"/>
      <c r="AR88" s="84"/>
      <c r="AS88" s="84"/>
      <c r="AT88" s="84"/>
      <c r="AU88" s="84"/>
      <c r="AV88" s="84"/>
      <c r="AW88" s="84"/>
      <c r="AX88" s="87">
        <f t="array" ref="AX88">IF(G88=1,SUM((ROW(M0)=ROW(AW88))*(M0+M1_+M2_+M3_+M4_+M5_+M6_+M7_+M8_+M9_+M10_+M11_+M12_+M13_+M14_+M15_+M16_+M17_+M18_+M19_+M20_+M21_+M22_+M23_+M24_+M25_+M26_+M27_+M28_+M29_+M30_+M31_+M32_+M33_+M34_+M35_+M36_+M37_)),0)</f>
        <v>0</v>
      </c>
      <c r="AZ88" s="24" t="str">
        <f t="shared" si="37"/>
        <v/>
      </c>
      <c r="BA88" s="24" t="str">
        <f t="shared" si="38"/>
        <v/>
      </c>
      <c r="BB88" s="24" t="str">
        <f t="shared" si="39"/>
        <v/>
      </c>
      <c r="BC88" s="24" t="str">
        <f>IF(OR(E88="",LEFT(TableCosts[[#This Row],[Calc_N_Typ]],18)="Vynaložené náklady"),"",VLOOKUP(E88,Tab_Parts,2,0))</f>
        <v/>
      </c>
      <c r="BD88" s="24" t="str">
        <f t="shared" si="40"/>
        <v/>
      </c>
      <c r="BE88" s="24">
        <f t="shared" si="41"/>
        <v>0</v>
      </c>
      <c r="BF88" s="72">
        <f>TableCosts[[#This Row],[N_Amount]]*TableCosts[[#This Row],[N_Tariff]]*TableCosts[[#This Row],[N_ItemsCount]]</f>
        <v>0</v>
      </c>
      <c r="BG88" s="72">
        <f>IF(G88=1,IF(TableCosts[[#This Row],[N_Kateg]]="interné práce",TableCosts[[#This Row],[N_Amount]]*8*PAR_SGA_PERHOUR,0),0)</f>
        <v>0</v>
      </c>
      <c r="BH88" s="72">
        <f>SUM(TableCosts[[#This Row],[N_Direct]:[N_SGA]])</f>
        <v>0</v>
      </c>
      <c r="BI88" s="24">
        <f>IF(G88=1,IF(OR(AND(NOT(ISERROR(VLOOKUP(TableCosts[[#This Row],[Calc_N_Typ]],Cis_WorkPositions,1,0))),C88&lt;&gt;"",D88&lt;&gt;"",E88&lt;&gt;""),AND(ISERROR(VLOOKUP(TableCosts[[#This Row],[Calc_N_Typ]],Cis_WorkPositions,1,0)),C88="",D88="",E88&lt;&gt;""),LEFT(TableCosts[[#This Row],[Calc_N_Typ]],18)="Vynaložené náklady"),VLOOKUP(C88&amp;TableCosts[[#This Row],[Calc_N_Typ]],TRAN_STRITEMS_LABEL,VLOOKUP(D88,Tab_Hours,3,0),0),NA()),0)</f>
        <v>0</v>
      </c>
      <c r="BJ88" s="24">
        <f t="shared" si="42"/>
        <v>0</v>
      </c>
      <c r="BK88" s="24" t="str">
        <f t="shared" si="43"/>
        <v/>
      </c>
      <c r="BL88" s="24" t="str">
        <f t="shared" si="44"/>
        <v/>
      </c>
      <c r="BM88" s="24" t="str">
        <f>IF(G88=1,IF(TableCosts[[#This Row],[TransferFrom]]=TableCosts[[#This Row],[TranferTo]],0,1),"")</f>
        <v/>
      </c>
      <c r="BN88" s="24" t="str">
        <f t="shared" si="45"/>
        <v/>
      </c>
      <c r="BO88" s="24">
        <f t="shared" si="46"/>
        <v>0</v>
      </c>
      <c r="BP88" s="24">
        <f t="shared" si="47"/>
        <v>0</v>
      </c>
    </row>
    <row r="89" spans="2:68" s="24" customFormat="1" ht="12.75" x14ac:dyDescent="0.2">
      <c r="B89" s="97"/>
      <c r="C89" s="92"/>
      <c r="D89" s="92"/>
      <c r="E89" s="92"/>
      <c r="F89" s="31" t="str">
        <f>IF(G89=1,IF(ISERROR(TableCosts[[#This Row],[N_Tariff]]),Err_Message1,IF(TableCosts[[#This Row],[N_Tariff]]=0,Err_Message2,VLOOKUP(C89&amp;TableCosts[[#This Row],[Calc_N_Typ]],TRAN_STRITEMS_LABEL,5,FALSE))),"")</f>
        <v/>
      </c>
      <c r="G89" s="31">
        <f t="shared" si="36"/>
        <v>0</v>
      </c>
      <c r="H89" s="31" t="str">
        <f>IF(G89=1,IFERROR(VLOOKUP(F89,Tab_ErrMessage[],2,0),VLOOKUP(C89&amp;TableCosts[[#This Row],[Calc_N_Typ]],TRAN_STRITEMS_LABEL,4,FALSE)),"")</f>
        <v/>
      </c>
      <c r="I89" s="94"/>
      <c r="J89" s="94"/>
      <c r="K89" s="9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  <c r="AC89" s="84"/>
      <c r="AD89" s="84"/>
      <c r="AE89" s="84"/>
      <c r="AF89" s="84"/>
      <c r="AG89" s="84"/>
      <c r="AH89" s="84"/>
      <c r="AI89" s="84"/>
      <c r="AJ89" s="84"/>
      <c r="AK89" s="84"/>
      <c r="AL89" s="84"/>
      <c r="AM89" s="84"/>
      <c r="AN89" s="84"/>
      <c r="AO89" s="84"/>
      <c r="AP89" s="84"/>
      <c r="AQ89" s="84"/>
      <c r="AR89" s="84"/>
      <c r="AS89" s="84"/>
      <c r="AT89" s="84"/>
      <c r="AU89" s="84"/>
      <c r="AV89" s="84"/>
      <c r="AW89" s="84"/>
      <c r="AX89" s="87">
        <f t="array" ref="AX89">IF(G89=1,SUM((ROW(M0)=ROW(AW89))*(M0+M1_+M2_+M3_+M4_+M5_+M6_+M7_+M8_+M9_+M10_+M11_+M12_+M13_+M14_+M15_+M16_+M17_+M18_+M19_+M20_+M21_+M22_+M23_+M24_+M25_+M26_+M27_+M28_+M29_+M30_+M31_+M32_+M33_+M34_+M35_+M36_+M37_)),0)</f>
        <v>0</v>
      </c>
      <c r="AZ89" s="24" t="str">
        <f t="shared" si="37"/>
        <v/>
      </c>
      <c r="BA89" s="24" t="str">
        <f t="shared" si="38"/>
        <v/>
      </c>
      <c r="BB89" s="24" t="str">
        <f t="shared" si="39"/>
        <v/>
      </c>
      <c r="BC89" s="24" t="str">
        <f>IF(OR(E89="",LEFT(TableCosts[[#This Row],[Calc_N_Typ]],18)="Vynaložené náklady"),"",VLOOKUP(E89,Tab_Parts,2,0))</f>
        <v/>
      </c>
      <c r="BD89" s="24" t="str">
        <f t="shared" si="40"/>
        <v/>
      </c>
      <c r="BE89" s="24">
        <f t="shared" si="41"/>
        <v>0</v>
      </c>
      <c r="BF89" s="72">
        <f>TableCosts[[#This Row],[N_Amount]]*TableCosts[[#This Row],[N_Tariff]]*TableCosts[[#This Row],[N_ItemsCount]]</f>
        <v>0</v>
      </c>
      <c r="BG89" s="72">
        <f>IF(G89=1,IF(TableCosts[[#This Row],[N_Kateg]]="interné práce",TableCosts[[#This Row],[N_Amount]]*8*PAR_SGA_PERHOUR,0),0)</f>
        <v>0</v>
      </c>
      <c r="BH89" s="72">
        <f>SUM(TableCosts[[#This Row],[N_Direct]:[N_SGA]])</f>
        <v>0</v>
      </c>
      <c r="BI89" s="24">
        <f>IF(G89=1,IF(OR(AND(NOT(ISERROR(VLOOKUP(TableCosts[[#This Row],[Calc_N_Typ]],Cis_WorkPositions,1,0))),C89&lt;&gt;"",D89&lt;&gt;"",E89&lt;&gt;""),AND(ISERROR(VLOOKUP(TableCosts[[#This Row],[Calc_N_Typ]],Cis_WorkPositions,1,0)),C89="",D89="",E89&lt;&gt;""),LEFT(TableCosts[[#This Row],[Calc_N_Typ]],18)="Vynaložené náklady"),VLOOKUP(C89&amp;TableCosts[[#This Row],[Calc_N_Typ]],TRAN_STRITEMS_LABEL,VLOOKUP(D89,Tab_Hours,3,0),0),NA()),0)</f>
        <v>0</v>
      </c>
      <c r="BJ89" s="24">
        <f t="shared" si="42"/>
        <v>0</v>
      </c>
      <c r="BK89" s="24" t="str">
        <f t="shared" si="43"/>
        <v/>
      </c>
      <c r="BL89" s="24" t="str">
        <f t="shared" si="44"/>
        <v/>
      </c>
      <c r="BM89" s="24" t="str">
        <f>IF(G89=1,IF(TableCosts[[#This Row],[TransferFrom]]=TableCosts[[#This Row],[TranferTo]],0,1),"")</f>
        <v/>
      </c>
      <c r="BN89" s="24" t="str">
        <f t="shared" si="45"/>
        <v/>
      </c>
      <c r="BO89" s="24">
        <f t="shared" si="46"/>
        <v>0</v>
      </c>
      <c r="BP89" s="24">
        <f t="shared" si="47"/>
        <v>0</v>
      </c>
    </row>
    <row r="90" spans="2:68" s="24" customFormat="1" ht="12.75" x14ac:dyDescent="0.2">
      <c r="B90" s="97"/>
      <c r="C90" s="92"/>
      <c r="D90" s="92"/>
      <c r="E90" s="92"/>
      <c r="F90" s="31" t="str">
        <f>IF(G90=1,IF(ISERROR(TableCosts[[#This Row],[N_Tariff]]),Err_Message1,IF(TableCosts[[#This Row],[N_Tariff]]=0,Err_Message2,VLOOKUP(C90&amp;TableCosts[[#This Row],[Calc_N_Typ]],TRAN_STRITEMS_LABEL,5,FALSE))),"")</f>
        <v/>
      </c>
      <c r="G90" s="31">
        <f t="shared" si="36"/>
        <v>0</v>
      </c>
      <c r="H90" s="31" t="str">
        <f>IF(G90=1,IFERROR(VLOOKUP(F90,Tab_ErrMessage[],2,0),VLOOKUP(C90&amp;TableCosts[[#This Row],[Calc_N_Typ]],TRAN_STRITEMS_LABEL,4,FALSE)),"")</f>
        <v/>
      </c>
      <c r="I90" s="94"/>
      <c r="J90" s="94"/>
      <c r="K90" s="9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  <c r="AC90" s="84"/>
      <c r="AD90" s="84"/>
      <c r="AE90" s="84"/>
      <c r="AF90" s="84"/>
      <c r="AG90" s="84"/>
      <c r="AH90" s="84"/>
      <c r="AI90" s="84"/>
      <c r="AJ90" s="84"/>
      <c r="AK90" s="84"/>
      <c r="AL90" s="84"/>
      <c r="AM90" s="84"/>
      <c r="AN90" s="84"/>
      <c r="AO90" s="84"/>
      <c r="AP90" s="84"/>
      <c r="AQ90" s="84"/>
      <c r="AR90" s="84"/>
      <c r="AS90" s="84"/>
      <c r="AT90" s="84"/>
      <c r="AU90" s="84"/>
      <c r="AV90" s="84"/>
      <c r="AW90" s="84"/>
      <c r="AX90" s="87">
        <f t="array" ref="AX90">IF(G90=1,SUM((ROW(M0)=ROW(AW90))*(M0+M1_+M2_+M3_+M4_+M5_+M6_+M7_+M8_+M9_+M10_+M11_+M12_+M13_+M14_+M15_+M16_+M17_+M18_+M19_+M20_+M21_+M22_+M23_+M24_+M25_+M26_+M27_+M28_+M29_+M30_+M31_+M32_+M33_+M34_+M35_+M36_+M37_)),0)</f>
        <v>0</v>
      </c>
      <c r="AZ90" s="24" t="str">
        <f t="shared" si="37"/>
        <v/>
      </c>
      <c r="BA90" s="24" t="str">
        <f t="shared" si="38"/>
        <v/>
      </c>
      <c r="BB90" s="24" t="str">
        <f t="shared" si="39"/>
        <v/>
      </c>
      <c r="BC90" s="24" t="str">
        <f>IF(OR(E90="",LEFT(TableCosts[[#This Row],[Calc_N_Typ]],18)="Vynaložené náklady"),"",VLOOKUP(E90,Tab_Parts,2,0))</f>
        <v/>
      </c>
      <c r="BD90" s="24" t="str">
        <f t="shared" si="40"/>
        <v/>
      </c>
      <c r="BE90" s="24">
        <f t="shared" si="41"/>
        <v>0</v>
      </c>
      <c r="BF90" s="72">
        <f>TableCosts[[#This Row],[N_Amount]]*TableCosts[[#This Row],[N_Tariff]]*TableCosts[[#This Row],[N_ItemsCount]]</f>
        <v>0</v>
      </c>
      <c r="BG90" s="72">
        <f>IF(G90=1,IF(TableCosts[[#This Row],[N_Kateg]]="interné práce",TableCosts[[#This Row],[N_Amount]]*8*PAR_SGA_PERHOUR,0),0)</f>
        <v>0</v>
      </c>
      <c r="BH90" s="72">
        <f>SUM(TableCosts[[#This Row],[N_Direct]:[N_SGA]])</f>
        <v>0</v>
      </c>
      <c r="BI90" s="24">
        <f>IF(G90=1,IF(OR(AND(NOT(ISERROR(VLOOKUP(TableCosts[[#This Row],[Calc_N_Typ]],Cis_WorkPositions,1,0))),C90&lt;&gt;"",D90&lt;&gt;"",E90&lt;&gt;""),AND(ISERROR(VLOOKUP(TableCosts[[#This Row],[Calc_N_Typ]],Cis_WorkPositions,1,0)),C90="",D90="",E90&lt;&gt;""),LEFT(TableCosts[[#This Row],[Calc_N_Typ]],18)="Vynaložené náklady"),VLOOKUP(C90&amp;TableCosts[[#This Row],[Calc_N_Typ]],TRAN_STRITEMS_LABEL,VLOOKUP(D90,Tab_Hours,3,0),0),NA()),0)</f>
        <v>0</v>
      </c>
      <c r="BJ90" s="24">
        <f t="shared" si="42"/>
        <v>0</v>
      </c>
      <c r="BK90" s="24" t="str">
        <f t="shared" si="43"/>
        <v/>
      </c>
      <c r="BL90" s="24" t="str">
        <f t="shared" si="44"/>
        <v/>
      </c>
      <c r="BM90" s="24" t="str">
        <f>IF(G90=1,IF(TableCosts[[#This Row],[TransferFrom]]=TableCosts[[#This Row],[TranferTo]],0,1),"")</f>
        <v/>
      </c>
      <c r="BN90" s="24" t="str">
        <f t="shared" si="45"/>
        <v/>
      </c>
      <c r="BO90" s="24">
        <f t="shared" si="46"/>
        <v>0</v>
      </c>
      <c r="BP90" s="24">
        <f t="shared" si="47"/>
        <v>0</v>
      </c>
    </row>
    <row r="91" spans="2:68" s="24" customFormat="1" ht="12.75" x14ac:dyDescent="0.2">
      <c r="B91" s="97"/>
      <c r="C91" s="92"/>
      <c r="D91" s="92"/>
      <c r="E91" s="92"/>
      <c r="F91" s="31" t="str">
        <f>IF(G91=1,IF(ISERROR(TableCosts[[#This Row],[N_Tariff]]),Err_Message1,IF(TableCosts[[#This Row],[N_Tariff]]=0,Err_Message2,VLOOKUP(C91&amp;TableCosts[[#This Row],[Calc_N_Typ]],TRAN_STRITEMS_LABEL,5,FALSE))),"")</f>
        <v/>
      </c>
      <c r="G91" s="31">
        <f t="shared" si="36"/>
        <v>0</v>
      </c>
      <c r="H91" s="31" t="str">
        <f>IF(G91=1,IFERROR(VLOOKUP(F91,Tab_ErrMessage[],2,0),VLOOKUP(C91&amp;TableCosts[[#This Row],[Calc_N_Typ]],TRAN_STRITEMS_LABEL,4,FALSE)),"")</f>
        <v/>
      </c>
      <c r="I91" s="94"/>
      <c r="J91" s="94"/>
      <c r="K91" s="94"/>
      <c r="L91" s="84"/>
      <c r="M91" s="84"/>
      <c r="N91" s="84"/>
      <c r="O91" s="84"/>
      <c r="P91" s="84"/>
      <c r="Q91" s="84"/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  <c r="AC91" s="84"/>
      <c r="AD91" s="84"/>
      <c r="AE91" s="84"/>
      <c r="AF91" s="84"/>
      <c r="AG91" s="84"/>
      <c r="AH91" s="84"/>
      <c r="AI91" s="84"/>
      <c r="AJ91" s="84"/>
      <c r="AK91" s="84"/>
      <c r="AL91" s="84"/>
      <c r="AM91" s="84"/>
      <c r="AN91" s="84"/>
      <c r="AO91" s="84"/>
      <c r="AP91" s="84"/>
      <c r="AQ91" s="84"/>
      <c r="AR91" s="84"/>
      <c r="AS91" s="84"/>
      <c r="AT91" s="84"/>
      <c r="AU91" s="84"/>
      <c r="AV91" s="84"/>
      <c r="AW91" s="84"/>
      <c r="AX91" s="87">
        <f t="array" ref="AX91">IF(G91=1,SUM((ROW(M0)=ROW(AW91))*(M0+M1_+M2_+M3_+M4_+M5_+M6_+M7_+M8_+M9_+M10_+M11_+M12_+M13_+M14_+M15_+M16_+M17_+M18_+M19_+M20_+M21_+M22_+M23_+M24_+M25_+M26_+M27_+M28_+M29_+M30_+M31_+M32_+M33_+M34_+M35_+M36_+M37_)),0)</f>
        <v>0</v>
      </c>
      <c r="AZ91" s="24" t="str">
        <f t="shared" si="37"/>
        <v/>
      </c>
      <c r="BA91" s="24" t="str">
        <f t="shared" si="38"/>
        <v/>
      </c>
      <c r="BB91" s="24" t="str">
        <f t="shared" si="39"/>
        <v/>
      </c>
      <c r="BC91" s="24" t="str">
        <f>IF(OR(E91="",LEFT(TableCosts[[#This Row],[Calc_N_Typ]],18)="Vynaložené náklady"),"",VLOOKUP(E91,Tab_Parts,2,0))</f>
        <v/>
      </c>
      <c r="BD91" s="24" t="str">
        <f t="shared" si="40"/>
        <v/>
      </c>
      <c r="BE91" s="24">
        <f t="shared" si="41"/>
        <v>0</v>
      </c>
      <c r="BF91" s="72">
        <f>TableCosts[[#This Row],[N_Amount]]*TableCosts[[#This Row],[N_Tariff]]*TableCosts[[#This Row],[N_ItemsCount]]</f>
        <v>0</v>
      </c>
      <c r="BG91" s="72">
        <f>IF(G91=1,IF(TableCosts[[#This Row],[N_Kateg]]="interné práce",TableCosts[[#This Row],[N_Amount]]*8*PAR_SGA_PERHOUR,0),0)</f>
        <v>0</v>
      </c>
      <c r="BH91" s="72">
        <f>SUM(TableCosts[[#This Row],[N_Direct]:[N_SGA]])</f>
        <v>0</v>
      </c>
      <c r="BI91" s="24">
        <f>IF(G91=1,IF(OR(AND(NOT(ISERROR(VLOOKUP(TableCosts[[#This Row],[Calc_N_Typ]],Cis_WorkPositions,1,0))),C91&lt;&gt;"",D91&lt;&gt;"",E91&lt;&gt;""),AND(ISERROR(VLOOKUP(TableCosts[[#This Row],[Calc_N_Typ]],Cis_WorkPositions,1,0)),C91="",D91="",E91&lt;&gt;""),LEFT(TableCosts[[#This Row],[Calc_N_Typ]],18)="Vynaložené náklady"),VLOOKUP(C91&amp;TableCosts[[#This Row],[Calc_N_Typ]],TRAN_STRITEMS_LABEL,VLOOKUP(D91,Tab_Hours,3,0),0),NA()),0)</f>
        <v>0</v>
      </c>
      <c r="BJ91" s="24">
        <f t="shared" si="42"/>
        <v>0</v>
      </c>
      <c r="BK91" s="24" t="str">
        <f t="shared" si="43"/>
        <v/>
      </c>
      <c r="BL91" s="24" t="str">
        <f t="shared" si="44"/>
        <v/>
      </c>
      <c r="BM91" s="24" t="str">
        <f>IF(G91=1,IF(TableCosts[[#This Row],[TransferFrom]]=TableCosts[[#This Row],[TranferTo]],0,1),"")</f>
        <v/>
      </c>
      <c r="BN91" s="24" t="str">
        <f t="shared" si="45"/>
        <v/>
      </c>
      <c r="BO91" s="24">
        <f t="shared" si="46"/>
        <v>0</v>
      </c>
      <c r="BP91" s="24">
        <f t="shared" si="47"/>
        <v>0</v>
      </c>
    </row>
    <row r="92" spans="2:68" s="24" customFormat="1" ht="12.75" x14ac:dyDescent="0.2">
      <c r="B92" s="97"/>
      <c r="C92" s="92"/>
      <c r="D92" s="92"/>
      <c r="E92" s="92"/>
      <c r="F92" s="31" t="str">
        <f>IF(G92=1,IF(ISERROR(TableCosts[[#This Row],[N_Tariff]]),Err_Message1,IF(TableCosts[[#This Row],[N_Tariff]]=0,Err_Message2,VLOOKUP(C92&amp;TableCosts[[#This Row],[Calc_N_Typ]],TRAN_STRITEMS_LABEL,5,FALSE))),"")</f>
        <v/>
      </c>
      <c r="G92" s="31">
        <f t="shared" si="36"/>
        <v>0</v>
      </c>
      <c r="H92" s="31" t="str">
        <f>IF(G92=1,IFERROR(VLOOKUP(F92,Tab_ErrMessage[],2,0),VLOOKUP(C92&amp;TableCosts[[#This Row],[Calc_N_Typ]],TRAN_STRITEMS_LABEL,4,FALSE)),"")</f>
        <v/>
      </c>
      <c r="I92" s="94"/>
      <c r="J92" s="94"/>
      <c r="K92" s="9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4"/>
      <c r="AJ92" s="84"/>
      <c r="AK92" s="84"/>
      <c r="AL92" s="84"/>
      <c r="AM92" s="84"/>
      <c r="AN92" s="84"/>
      <c r="AO92" s="84"/>
      <c r="AP92" s="84"/>
      <c r="AQ92" s="84"/>
      <c r="AR92" s="84"/>
      <c r="AS92" s="84"/>
      <c r="AT92" s="84"/>
      <c r="AU92" s="84"/>
      <c r="AV92" s="84"/>
      <c r="AW92" s="84"/>
      <c r="AX92" s="87">
        <f t="array" ref="AX92">IF(G92=1,SUM((ROW(M0)=ROW(AW92))*(M0+M1_+M2_+M3_+M4_+M5_+M6_+M7_+M8_+M9_+M10_+M11_+M12_+M13_+M14_+M15_+M16_+M17_+M18_+M19_+M20_+M21_+M22_+M23_+M24_+M25_+M26_+M27_+M28_+M29_+M30_+M31_+M32_+M33_+M34_+M35_+M36_+M37_)),0)</f>
        <v>0</v>
      </c>
      <c r="AZ92" s="24" t="str">
        <f t="shared" si="37"/>
        <v/>
      </c>
      <c r="BA92" s="24" t="str">
        <f t="shared" si="38"/>
        <v/>
      </c>
      <c r="BB92" s="24" t="str">
        <f t="shared" si="39"/>
        <v/>
      </c>
      <c r="BC92" s="24" t="str">
        <f>IF(OR(E92="",LEFT(TableCosts[[#This Row],[Calc_N_Typ]],18)="Vynaložené náklady"),"",VLOOKUP(E92,Tab_Parts,2,0))</f>
        <v/>
      </c>
      <c r="BD92" s="24" t="str">
        <f t="shared" si="40"/>
        <v/>
      </c>
      <c r="BE92" s="24">
        <f t="shared" si="41"/>
        <v>0</v>
      </c>
      <c r="BF92" s="72">
        <f>TableCosts[[#This Row],[N_Amount]]*TableCosts[[#This Row],[N_Tariff]]*TableCosts[[#This Row],[N_ItemsCount]]</f>
        <v>0</v>
      </c>
      <c r="BG92" s="72">
        <f>IF(G92=1,IF(TableCosts[[#This Row],[N_Kateg]]="interné práce",TableCosts[[#This Row],[N_Amount]]*8*PAR_SGA_PERHOUR,0),0)</f>
        <v>0</v>
      </c>
      <c r="BH92" s="72">
        <f>SUM(TableCosts[[#This Row],[N_Direct]:[N_SGA]])</f>
        <v>0</v>
      </c>
      <c r="BI92" s="24">
        <f>IF(G92=1,IF(OR(AND(NOT(ISERROR(VLOOKUP(TableCosts[[#This Row],[Calc_N_Typ]],Cis_WorkPositions,1,0))),C92&lt;&gt;"",D92&lt;&gt;"",E92&lt;&gt;""),AND(ISERROR(VLOOKUP(TableCosts[[#This Row],[Calc_N_Typ]],Cis_WorkPositions,1,0)),C92="",D92="",E92&lt;&gt;""),LEFT(TableCosts[[#This Row],[Calc_N_Typ]],18)="Vynaložené náklady"),VLOOKUP(C92&amp;TableCosts[[#This Row],[Calc_N_Typ]],TRAN_STRITEMS_LABEL,VLOOKUP(D92,Tab_Hours,3,0),0),NA()),0)</f>
        <v>0</v>
      </c>
      <c r="BJ92" s="24">
        <f t="shared" si="42"/>
        <v>0</v>
      </c>
      <c r="BK92" s="24" t="str">
        <f t="shared" si="43"/>
        <v/>
      </c>
      <c r="BL92" s="24" t="str">
        <f t="shared" si="44"/>
        <v/>
      </c>
      <c r="BM92" s="24" t="str">
        <f>IF(G92=1,IF(TableCosts[[#This Row],[TransferFrom]]=TableCosts[[#This Row],[TranferTo]],0,1),"")</f>
        <v/>
      </c>
      <c r="BN92" s="24" t="str">
        <f t="shared" si="45"/>
        <v/>
      </c>
      <c r="BO92" s="24">
        <f t="shared" si="46"/>
        <v>0</v>
      </c>
      <c r="BP92" s="24">
        <f t="shared" si="47"/>
        <v>0</v>
      </c>
    </row>
    <row r="93" spans="2:68" s="24" customFormat="1" ht="12.75" x14ac:dyDescent="0.2">
      <c r="B93" s="97"/>
      <c r="C93" s="92"/>
      <c r="D93" s="92"/>
      <c r="E93" s="92"/>
      <c r="F93" s="31" t="str">
        <f>IF(G93=1,IF(ISERROR(TableCosts[[#This Row],[N_Tariff]]),Err_Message1,IF(TableCosts[[#This Row],[N_Tariff]]=0,Err_Message2,VLOOKUP(C93&amp;TableCosts[[#This Row],[Calc_N_Typ]],TRAN_STRITEMS_LABEL,5,FALSE))),"")</f>
        <v/>
      </c>
      <c r="G93" s="31">
        <f t="shared" si="36"/>
        <v>0</v>
      </c>
      <c r="H93" s="31" t="str">
        <f>IF(G93=1,IFERROR(VLOOKUP(F93,Tab_ErrMessage[],2,0),VLOOKUP(C93&amp;TableCosts[[#This Row],[Calc_N_Typ]],TRAN_STRITEMS_LABEL,4,FALSE)),"")</f>
        <v/>
      </c>
      <c r="I93" s="94"/>
      <c r="J93" s="94"/>
      <c r="K93" s="9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  <c r="AJ93" s="84"/>
      <c r="AK93" s="84"/>
      <c r="AL93" s="84"/>
      <c r="AM93" s="84"/>
      <c r="AN93" s="84"/>
      <c r="AO93" s="84"/>
      <c r="AP93" s="84"/>
      <c r="AQ93" s="84"/>
      <c r="AR93" s="84"/>
      <c r="AS93" s="84"/>
      <c r="AT93" s="84"/>
      <c r="AU93" s="84"/>
      <c r="AV93" s="84"/>
      <c r="AW93" s="84"/>
      <c r="AX93" s="87">
        <f t="array" ref="AX93">IF(G93=1,SUM((ROW(M0)=ROW(AW93))*(M0+M1_+M2_+M3_+M4_+M5_+M6_+M7_+M8_+M9_+M10_+M11_+M12_+M13_+M14_+M15_+M16_+M17_+M18_+M19_+M20_+M21_+M22_+M23_+M24_+M25_+M26_+M27_+M28_+M29_+M30_+M31_+M32_+M33_+M34_+M35_+M36_+M37_)),0)</f>
        <v>0</v>
      </c>
      <c r="AZ93" s="24" t="str">
        <f t="shared" si="37"/>
        <v/>
      </c>
      <c r="BA93" s="24" t="str">
        <f t="shared" si="38"/>
        <v/>
      </c>
      <c r="BB93" s="24" t="str">
        <f t="shared" si="39"/>
        <v/>
      </c>
      <c r="BC93" s="24" t="str">
        <f>IF(OR(E93="",LEFT(TableCosts[[#This Row],[Calc_N_Typ]],18)="Vynaložené náklady"),"",VLOOKUP(E93,Tab_Parts,2,0))</f>
        <v/>
      </c>
      <c r="BD93" s="24" t="str">
        <f t="shared" si="40"/>
        <v/>
      </c>
      <c r="BE93" s="24">
        <f t="shared" si="41"/>
        <v>0</v>
      </c>
      <c r="BF93" s="72">
        <f>TableCosts[[#This Row],[N_Amount]]*TableCosts[[#This Row],[N_Tariff]]*TableCosts[[#This Row],[N_ItemsCount]]</f>
        <v>0</v>
      </c>
      <c r="BG93" s="72">
        <f>IF(G93=1,IF(TableCosts[[#This Row],[N_Kateg]]="interné práce",TableCosts[[#This Row],[N_Amount]]*8*PAR_SGA_PERHOUR,0),0)</f>
        <v>0</v>
      </c>
      <c r="BH93" s="72">
        <f>SUM(TableCosts[[#This Row],[N_Direct]:[N_SGA]])</f>
        <v>0</v>
      </c>
      <c r="BI93" s="24">
        <f>IF(G93=1,IF(OR(AND(NOT(ISERROR(VLOOKUP(TableCosts[[#This Row],[Calc_N_Typ]],Cis_WorkPositions,1,0))),C93&lt;&gt;"",D93&lt;&gt;"",E93&lt;&gt;""),AND(ISERROR(VLOOKUP(TableCosts[[#This Row],[Calc_N_Typ]],Cis_WorkPositions,1,0)),C93="",D93="",E93&lt;&gt;""),LEFT(TableCosts[[#This Row],[Calc_N_Typ]],18)="Vynaložené náklady"),VLOOKUP(C93&amp;TableCosts[[#This Row],[Calc_N_Typ]],TRAN_STRITEMS_LABEL,VLOOKUP(D93,Tab_Hours,3,0),0),NA()),0)</f>
        <v>0</v>
      </c>
      <c r="BJ93" s="24">
        <f t="shared" si="42"/>
        <v>0</v>
      </c>
      <c r="BK93" s="24" t="str">
        <f t="shared" si="43"/>
        <v/>
      </c>
      <c r="BL93" s="24" t="str">
        <f t="shared" si="44"/>
        <v/>
      </c>
      <c r="BM93" s="24" t="str">
        <f>IF(G93=1,IF(TableCosts[[#This Row],[TransferFrom]]=TableCosts[[#This Row],[TranferTo]],0,1),"")</f>
        <v/>
      </c>
      <c r="BN93" s="24" t="str">
        <f t="shared" si="45"/>
        <v/>
      </c>
      <c r="BO93" s="24">
        <f t="shared" si="46"/>
        <v>0</v>
      </c>
      <c r="BP93" s="24">
        <f t="shared" si="47"/>
        <v>0</v>
      </c>
    </row>
    <row r="94" spans="2:68" s="24" customFormat="1" ht="12.75" x14ac:dyDescent="0.2">
      <c r="B94" s="97"/>
      <c r="C94" s="92"/>
      <c r="D94" s="92"/>
      <c r="E94" s="92"/>
      <c r="F94" s="31" t="str">
        <f>IF(G94=1,IF(ISERROR(TableCosts[[#This Row],[N_Tariff]]),Err_Message1,IF(TableCosts[[#This Row],[N_Tariff]]=0,Err_Message2,VLOOKUP(C94&amp;TableCosts[[#This Row],[Calc_N_Typ]],TRAN_STRITEMS_LABEL,5,FALSE))),"")</f>
        <v/>
      </c>
      <c r="G94" s="31">
        <f t="shared" si="36"/>
        <v>0</v>
      </c>
      <c r="H94" s="31" t="str">
        <f>IF(G94=1,IFERROR(VLOOKUP(F94,Tab_ErrMessage[],2,0),VLOOKUP(C94&amp;TableCosts[[#This Row],[Calc_N_Typ]],TRAN_STRITEMS_LABEL,4,FALSE)),"")</f>
        <v/>
      </c>
      <c r="I94" s="94"/>
      <c r="J94" s="94"/>
      <c r="K94" s="94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  <c r="W94" s="84"/>
      <c r="X94" s="84"/>
      <c r="Y94" s="84"/>
      <c r="Z94" s="84"/>
      <c r="AA94" s="84"/>
      <c r="AB94" s="84"/>
      <c r="AC94" s="84"/>
      <c r="AD94" s="84"/>
      <c r="AE94" s="84"/>
      <c r="AF94" s="84"/>
      <c r="AG94" s="84"/>
      <c r="AH94" s="84"/>
      <c r="AI94" s="84"/>
      <c r="AJ94" s="84"/>
      <c r="AK94" s="84"/>
      <c r="AL94" s="84"/>
      <c r="AM94" s="84"/>
      <c r="AN94" s="84"/>
      <c r="AO94" s="84"/>
      <c r="AP94" s="84"/>
      <c r="AQ94" s="84"/>
      <c r="AR94" s="84"/>
      <c r="AS94" s="84"/>
      <c r="AT94" s="84"/>
      <c r="AU94" s="84"/>
      <c r="AV94" s="84"/>
      <c r="AW94" s="84"/>
      <c r="AX94" s="87">
        <f t="array" ref="AX94">IF(G94=1,SUM((ROW(M0)=ROW(AW94))*(M0+M1_+M2_+M3_+M4_+M5_+M6_+M7_+M8_+M9_+M10_+M11_+M12_+M13_+M14_+M15_+M16_+M17_+M18_+M19_+M20_+M21_+M22_+M23_+M24_+M25_+M26_+M27_+M28_+M29_+M30_+M31_+M32_+M33_+M34_+M35_+M36_+M37_)),0)</f>
        <v>0</v>
      </c>
      <c r="AZ94" s="24" t="str">
        <f t="shared" si="37"/>
        <v/>
      </c>
      <c r="BA94" s="24" t="str">
        <f t="shared" si="38"/>
        <v/>
      </c>
      <c r="BB94" s="24" t="str">
        <f t="shared" si="39"/>
        <v/>
      </c>
      <c r="BC94" s="24" t="str">
        <f>IF(OR(E94="",LEFT(TableCosts[[#This Row],[Calc_N_Typ]],18)="Vynaložené náklady"),"",VLOOKUP(E94,Tab_Parts,2,0))</f>
        <v/>
      </c>
      <c r="BD94" s="24" t="str">
        <f t="shared" si="40"/>
        <v/>
      </c>
      <c r="BE94" s="24">
        <f t="shared" si="41"/>
        <v>0</v>
      </c>
      <c r="BF94" s="72">
        <f>TableCosts[[#This Row],[N_Amount]]*TableCosts[[#This Row],[N_Tariff]]*TableCosts[[#This Row],[N_ItemsCount]]</f>
        <v>0</v>
      </c>
      <c r="BG94" s="72">
        <f>IF(G94=1,IF(TableCosts[[#This Row],[N_Kateg]]="interné práce",TableCosts[[#This Row],[N_Amount]]*8*PAR_SGA_PERHOUR,0),0)</f>
        <v>0</v>
      </c>
      <c r="BH94" s="72">
        <f>SUM(TableCosts[[#This Row],[N_Direct]:[N_SGA]])</f>
        <v>0</v>
      </c>
      <c r="BI94" s="24">
        <f>IF(G94=1,IF(OR(AND(NOT(ISERROR(VLOOKUP(TableCosts[[#This Row],[Calc_N_Typ]],Cis_WorkPositions,1,0))),C94&lt;&gt;"",D94&lt;&gt;"",E94&lt;&gt;""),AND(ISERROR(VLOOKUP(TableCosts[[#This Row],[Calc_N_Typ]],Cis_WorkPositions,1,0)),C94="",D94="",E94&lt;&gt;""),LEFT(TableCosts[[#This Row],[Calc_N_Typ]],18)="Vynaložené náklady"),VLOOKUP(C94&amp;TableCosts[[#This Row],[Calc_N_Typ]],TRAN_STRITEMS_LABEL,VLOOKUP(D94,Tab_Hours,3,0),0),NA()),0)</f>
        <v>0</v>
      </c>
      <c r="BJ94" s="24">
        <f t="shared" si="42"/>
        <v>0</v>
      </c>
      <c r="BK94" s="24" t="str">
        <f t="shared" si="43"/>
        <v/>
      </c>
      <c r="BL94" s="24" t="str">
        <f t="shared" si="44"/>
        <v/>
      </c>
      <c r="BM94" s="24" t="str">
        <f>IF(G94=1,IF(TableCosts[[#This Row],[TransferFrom]]=TableCosts[[#This Row],[TranferTo]],0,1),"")</f>
        <v/>
      </c>
      <c r="BN94" s="24" t="str">
        <f t="shared" si="45"/>
        <v/>
      </c>
      <c r="BO94" s="24">
        <f t="shared" si="46"/>
        <v>0</v>
      </c>
      <c r="BP94" s="24">
        <f t="shared" si="47"/>
        <v>0</v>
      </c>
    </row>
    <row r="95" spans="2:68" s="24" customFormat="1" ht="12.75" x14ac:dyDescent="0.2">
      <c r="B95" s="97"/>
      <c r="C95" s="92"/>
      <c r="D95" s="92"/>
      <c r="E95" s="92"/>
      <c r="F95" s="31" t="str">
        <f>IF(G95=1,IF(ISERROR(TableCosts[[#This Row],[N_Tariff]]),Err_Message1,IF(TableCosts[[#This Row],[N_Tariff]]=0,Err_Message2,VLOOKUP(C95&amp;TableCosts[[#This Row],[Calc_N_Typ]],TRAN_STRITEMS_LABEL,5,FALSE))),"")</f>
        <v/>
      </c>
      <c r="G95" s="31">
        <f t="shared" si="36"/>
        <v>0</v>
      </c>
      <c r="H95" s="31" t="str">
        <f>IF(G95=1,IFERROR(VLOOKUP(F95,Tab_ErrMessage[],2,0),VLOOKUP(C95&amp;TableCosts[[#This Row],[Calc_N_Typ]],TRAN_STRITEMS_LABEL,4,FALSE)),"")</f>
        <v/>
      </c>
      <c r="I95" s="94"/>
      <c r="J95" s="94"/>
      <c r="K95" s="9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4"/>
      <c r="AJ95" s="84"/>
      <c r="AK95" s="84"/>
      <c r="AL95" s="84"/>
      <c r="AM95" s="84"/>
      <c r="AN95" s="84"/>
      <c r="AO95" s="84"/>
      <c r="AP95" s="84"/>
      <c r="AQ95" s="84"/>
      <c r="AR95" s="84"/>
      <c r="AS95" s="84"/>
      <c r="AT95" s="84"/>
      <c r="AU95" s="84"/>
      <c r="AV95" s="84"/>
      <c r="AW95" s="84"/>
      <c r="AX95" s="87">
        <f t="array" ref="AX95">IF(G95=1,SUM((ROW(M0)=ROW(AW95))*(M0+M1_+M2_+M3_+M4_+M5_+M6_+M7_+M8_+M9_+M10_+M11_+M12_+M13_+M14_+M15_+M16_+M17_+M18_+M19_+M20_+M21_+M22_+M23_+M24_+M25_+M26_+M27_+M28_+M29_+M30_+M31_+M32_+M33_+M34_+M35_+M36_+M37_)),0)</f>
        <v>0</v>
      </c>
      <c r="AZ95" s="24" t="str">
        <f t="shared" si="37"/>
        <v/>
      </c>
      <c r="BA95" s="24" t="str">
        <f t="shared" si="38"/>
        <v/>
      </c>
      <c r="BB95" s="24" t="str">
        <f t="shared" si="39"/>
        <v/>
      </c>
      <c r="BC95" s="24" t="str">
        <f>IF(OR(E95="",LEFT(TableCosts[[#This Row],[Calc_N_Typ]],18)="Vynaložené náklady"),"",VLOOKUP(E95,Tab_Parts,2,0))</f>
        <v/>
      </c>
      <c r="BD95" s="24" t="str">
        <f t="shared" si="40"/>
        <v/>
      </c>
      <c r="BE95" s="24">
        <f t="shared" si="41"/>
        <v>0</v>
      </c>
      <c r="BF95" s="72">
        <f>TableCosts[[#This Row],[N_Amount]]*TableCosts[[#This Row],[N_Tariff]]*TableCosts[[#This Row],[N_ItemsCount]]</f>
        <v>0</v>
      </c>
      <c r="BG95" s="72">
        <f>IF(G95=1,IF(TableCosts[[#This Row],[N_Kateg]]="interné práce",TableCosts[[#This Row],[N_Amount]]*8*PAR_SGA_PERHOUR,0),0)</f>
        <v>0</v>
      </c>
      <c r="BH95" s="72">
        <f>SUM(TableCosts[[#This Row],[N_Direct]:[N_SGA]])</f>
        <v>0</v>
      </c>
      <c r="BI95" s="24">
        <f>IF(G95=1,IF(OR(AND(NOT(ISERROR(VLOOKUP(TableCosts[[#This Row],[Calc_N_Typ]],Cis_WorkPositions,1,0))),C95&lt;&gt;"",D95&lt;&gt;"",E95&lt;&gt;""),AND(ISERROR(VLOOKUP(TableCosts[[#This Row],[Calc_N_Typ]],Cis_WorkPositions,1,0)),C95="",D95="",E95&lt;&gt;""),LEFT(TableCosts[[#This Row],[Calc_N_Typ]],18)="Vynaložené náklady"),VLOOKUP(C95&amp;TableCosts[[#This Row],[Calc_N_Typ]],TRAN_STRITEMS_LABEL,VLOOKUP(D95,Tab_Hours,3,0),0),NA()),0)</f>
        <v>0</v>
      </c>
      <c r="BJ95" s="24">
        <f t="shared" si="42"/>
        <v>0</v>
      </c>
      <c r="BK95" s="24" t="str">
        <f t="shared" si="43"/>
        <v/>
      </c>
      <c r="BL95" s="24" t="str">
        <f t="shared" si="44"/>
        <v/>
      </c>
      <c r="BM95" s="24" t="str">
        <f>IF(G95=1,IF(TableCosts[[#This Row],[TransferFrom]]=TableCosts[[#This Row],[TranferTo]],0,1),"")</f>
        <v/>
      </c>
      <c r="BN95" s="24" t="str">
        <f t="shared" si="45"/>
        <v/>
      </c>
      <c r="BO95" s="24">
        <f t="shared" si="46"/>
        <v>0</v>
      </c>
      <c r="BP95" s="24">
        <f t="shared" si="47"/>
        <v>0</v>
      </c>
    </row>
    <row r="96" spans="2:68" s="24" customFormat="1" ht="12.75" x14ac:dyDescent="0.2">
      <c r="B96" s="97"/>
      <c r="C96" s="92"/>
      <c r="D96" s="92"/>
      <c r="E96" s="92"/>
      <c r="F96" s="31" t="str">
        <f>IF(G96=1,IF(ISERROR(TableCosts[[#This Row],[N_Tariff]]),Err_Message1,IF(TableCosts[[#This Row],[N_Tariff]]=0,Err_Message2,VLOOKUP(C96&amp;TableCosts[[#This Row],[Calc_N_Typ]],TRAN_STRITEMS_LABEL,5,FALSE))),"")</f>
        <v/>
      </c>
      <c r="G96" s="31">
        <f t="shared" si="36"/>
        <v>0</v>
      </c>
      <c r="H96" s="31" t="str">
        <f>IF(G96=1,IFERROR(VLOOKUP(F96,Tab_ErrMessage[],2,0),VLOOKUP(C96&amp;TableCosts[[#This Row],[Calc_N_Typ]],TRAN_STRITEMS_LABEL,4,FALSE)),"")</f>
        <v/>
      </c>
      <c r="I96" s="94"/>
      <c r="J96" s="94"/>
      <c r="K96" s="9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4"/>
      <c r="AJ96" s="84"/>
      <c r="AK96" s="84"/>
      <c r="AL96" s="84"/>
      <c r="AM96" s="84"/>
      <c r="AN96" s="84"/>
      <c r="AO96" s="84"/>
      <c r="AP96" s="84"/>
      <c r="AQ96" s="84"/>
      <c r="AR96" s="84"/>
      <c r="AS96" s="84"/>
      <c r="AT96" s="84"/>
      <c r="AU96" s="84"/>
      <c r="AV96" s="84"/>
      <c r="AW96" s="84"/>
      <c r="AX96" s="87">
        <f t="array" ref="AX96">IF(G96=1,SUM((ROW(M0)=ROW(AW96))*(M0+M1_+M2_+M3_+M4_+M5_+M6_+M7_+M8_+M9_+M10_+M11_+M12_+M13_+M14_+M15_+M16_+M17_+M18_+M19_+M20_+M21_+M22_+M23_+M24_+M25_+M26_+M27_+M28_+M29_+M30_+M31_+M32_+M33_+M34_+M35_+M36_+M37_)),0)</f>
        <v>0</v>
      </c>
      <c r="AZ96" s="24" t="str">
        <f t="shared" si="37"/>
        <v/>
      </c>
      <c r="BA96" s="24" t="str">
        <f t="shared" si="38"/>
        <v/>
      </c>
      <c r="BB96" s="24" t="str">
        <f t="shared" si="39"/>
        <v/>
      </c>
      <c r="BC96" s="24" t="str">
        <f>IF(OR(E96="",LEFT(TableCosts[[#This Row],[Calc_N_Typ]],18)="Vynaložené náklady"),"",VLOOKUP(E96,Tab_Parts,2,0))</f>
        <v/>
      </c>
      <c r="BD96" s="24" t="str">
        <f t="shared" si="40"/>
        <v/>
      </c>
      <c r="BE96" s="24">
        <f t="shared" si="41"/>
        <v>0</v>
      </c>
      <c r="BF96" s="72">
        <f>TableCosts[[#This Row],[N_Amount]]*TableCosts[[#This Row],[N_Tariff]]*TableCosts[[#This Row],[N_ItemsCount]]</f>
        <v>0</v>
      </c>
      <c r="BG96" s="72">
        <f>IF(G96=1,IF(TableCosts[[#This Row],[N_Kateg]]="interné práce",TableCosts[[#This Row],[N_Amount]]*8*PAR_SGA_PERHOUR,0),0)</f>
        <v>0</v>
      </c>
      <c r="BH96" s="72">
        <f>SUM(TableCosts[[#This Row],[N_Direct]:[N_SGA]])</f>
        <v>0</v>
      </c>
      <c r="BI96" s="24">
        <f>IF(G96=1,IF(OR(AND(NOT(ISERROR(VLOOKUP(TableCosts[[#This Row],[Calc_N_Typ]],Cis_WorkPositions,1,0))),C96&lt;&gt;"",D96&lt;&gt;"",E96&lt;&gt;""),AND(ISERROR(VLOOKUP(TableCosts[[#This Row],[Calc_N_Typ]],Cis_WorkPositions,1,0)),C96="",D96="",E96&lt;&gt;""),LEFT(TableCosts[[#This Row],[Calc_N_Typ]],18)="Vynaložené náklady"),VLOOKUP(C96&amp;TableCosts[[#This Row],[Calc_N_Typ]],TRAN_STRITEMS_LABEL,VLOOKUP(D96,Tab_Hours,3,0),0),NA()),0)</f>
        <v>0</v>
      </c>
      <c r="BJ96" s="24">
        <f t="shared" si="42"/>
        <v>0</v>
      </c>
      <c r="BK96" s="24" t="str">
        <f t="shared" si="43"/>
        <v/>
      </c>
      <c r="BL96" s="24" t="str">
        <f t="shared" si="44"/>
        <v/>
      </c>
      <c r="BM96" s="24" t="str">
        <f>IF(G96=1,IF(TableCosts[[#This Row],[TransferFrom]]=TableCosts[[#This Row],[TranferTo]],0,1),"")</f>
        <v/>
      </c>
      <c r="BN96" s="24" t="str">
        <f t="shared" si="45"/>
        <v/>
      </c>
      <c r="BO96" s="24">
        <f t="shared" si="46"/>
        <v>0</v>
      </c>
      <c r="BP96" s="24">
        <f t="shared" si="47"/>
        <v>0</v>
      </c>
    </row>
    <row r="97" spans="2:68" s="24" customFormat="1" ht="12.75" x14ac:dyDescent="0.2">
      <c r="B97" s="97"/>
      <c r="C97" s="92"/>
      <c r="D97" s="92"/>
      <c r="E97" s="92"/>
      <c r="F97" s="31" t="str">
        <f>IF(G97=1,IF(ISERROR(TableCosts[[#This Row],[N_Tariff]]),Err_Message1,IF(TableCosts[[#This Row],[N_Tariff]]=0,Err_Message2,VLOOKUP(C97&amp;TableCosts[[#This Row],[Calc_N_Typ]],TRAN_STRITEMS_LABEL,5,FALSE))),"")</f>
        <v/>
      </c>
      <c r="G97" s="31">
        <f t="shared" si="36"/>
        <v>0</v>
      </c>
      <c r="H97" s="31" t="str">
        <f>IF(G97=1,IFERROR(VLOOKUP(F97,Tab_ErrMessage[],2,0),VLOOKUP(C97&amp;TableCosts[[#This Row],[Calc_N_Typ]],TRAN_STRITEMS_LABEL,4,FALSE)),"")</f>
        <v/>
      </c>
      <c r="I97" s="94"/>
      <c r="J97" s="94"/>
      <c r="K97" s="9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4"/>
      <c r="AJ97" s="84"/>
      <c r="AK97" s="84"/>
      <c r="AL97" s="84"/>
      <c r="AM97" s="84"/>
      <c r="AN97" s="84"/>
      <c r="AO97" s="84"/>
      <c r="AP97" s="84"/>
      <c r="AQ97" s="84"/>
      <c r="AR97" s="84"/>
      <c r="AS97" s="84"/>
      <c r="AT97" s="84"/>
      <c r="AU97" s="84"/>
      <c r="AV97" s="84"/>
      <c r="AW97" s="84"/>
      <c r="AX97" s="87">
        <f t="array" ref="AX97">IF(G97=1,SUM((ROW(M0)=ROW(AW97))*(M0+M1_+M2_+M3_+M4_+M5_+M6_+M7_+M8_+M9_+M10_+M11_+M12_+M13_+M14_+M15_+M16_+M17_+M18_+M19_+M20_+M21_+M22_+M23_+M24_+M25_+M26_+M27_+M28_+M29_+M30_+M31_+M32_+M33_+M34_+M35_+M36_+M37_)),0)</f>
        <v>0</v>
      </c>
      <c r="AZ97" s="24" t="str">
        <f t="shared" si="37"/>
        <v/>
      </c>
      <c r="BA97" s="24" t="str">
        <f t="shared" si="38"/>
        <v/>
      </c>
      <c r="BB97" s="24" t="str">
        <f t="shared" si="39"/>
        <v/>
      </c>
      <c r="BC97" s="24" t="str">
        <f>IF(OR(E97="",LEFT(TableCosts[[#This Row],[Calc_N_Typ]],18)="Vynaložené náklady"),"",VLOOKUP(E97,Tab_Parts,2,0))</f>
        <v/>
      </c>
      <c r="BD97" s="24" t="str">
        <f t="shared" si="40"/>
        <v/>
      </c>
      <c r="BE97" s="24">
        <f t="shared" si="41"/>
        <v>0</v>
      </c>
      <c r="BF97" s="72">
        <f>TableCosts[[#This Row],[N_Amount]]*TableCosts[[#This Row],[N_Tariff]]*TableCosts[[#This Row],[N_ItemsCount]]</f>
        <v>0</v>
      </c>
      <c r="BG97" s="72">
        <f>IF(G97=1,IF(TableCosts[[#This Row],[N_Kateg]]="interné práce",TableCosts[[#This Row],[N_Amount]]*8*PAR_SGA_PERHOUR,0),0)</f>
        <v>0</v>
      </c>
      <c r="BH97" s="72">
        <f>SUM(TableCosts[[#This Row],[N_Direct]:[N_SGA]])</f>
        <v>0</v>
      </c>
      <c r="BI97" s="24">
        <f>IF(G97=1,IF(OR(AND(NOT(ISERROR(VLOOKUP(TableCosts[[#This Row],[Calc_N_Typ]],Cis_WorkPositions,1,0))),C97&lt;&gt;"",D97&lt;&gt;"",E97&lt;&gt;""),AND(ISERROR(VLOOKUP(TableCosts[[#This Row],[Calc_N_Typ]],Cis_WorkPositions,1,0)),C97="",D97="",E97&lt;&gt;""),LEFT(TableCosts[[#This Row],[Calc_N_Typ]],18)="Vynaložené náklady"),VLOOKUP(C97&amp;TableCosts[[#This Row],[Calc_N_Typ]],TRAN_STRITEMS_LABEL,VLOOKUP(D97,Tab_Hours,3,0),0),NA()),0)</f>
        <v>0</v>
      </c>
      <c r="BJ97" s="24">
        <f t="shared" si="42"/>
        <v>0</v>
      </c>
      <c r="BK97" s="24" t="str">
        <f t="shared" si="43"/>
        <v/>
      </c>
      <c r="BL97" s="24" t="str">
        <f t="shared" si="44"/>
        <v/>
      </c>
      <c r="BM97" s="24" t="str">
        <f>IF(G97=1,IF(TableCosts[[#This Row],[TransferFrom]]=TableCosts[[#This Row],[TranferTo]],0,1),"")</f>
        <v/>
      </c>
      <c r="BN97" s="24" t="str">
        <f t="shared" si="45"/>
        <v/>
      </c>
      <c r="BO97" s="24">
        <f t="shared" si="46"/>
        <v>0</v>
      </c>
      <c r="BP97" s="24">
        <f t="shared" si="47"/>
        <v>0</v>
      </c>
    </row>
    <row r="98" spans="2:68" s="24" customFormat="1" ht="12.75" x14ac:dyDescent="0.2">
      <c r="B98" s="97"/>
      <c r="C98" s="92"/>
      <c r="D98" s="92"/>
      <c r="E98" s="92"/>
      <c r="F98" s="31" t="str">
        <f>IF(G98=1,IF(ISERROR(TableCosts[[#This Row],[N_Tariff]]),Err_Message1,IF(TableCosts[[#This Row],[N_Tariff]]=0,Err_Message2,VLOOKUP(C98&amp;TableCosts[[#This Row],[Calc_N_Typ]],TRAN_STRITEMS_LABEL,5,FALSE))),"")</f>
        <v/>
      </c>
      <c r="G98" s="31">
        <f t="shared" si="36"/>
        <v>0</v>
      </c>
      <c r="H98" s="31" t="str">
        <f>IF(G98=1,IFERROR(VLOOKUP(F98,Tab_ErrMessage[],2,0),VLOOKUP(C98&amp;TableCosts[[#This Row],[Calc_N_Typ]],TRAN_STRITEMS_LABEL,4,FALSE)),"")</f>
        <v/>
      </c>
      <c r="I98" s="94"/>
      <c r="J98" s="94"/>
      <c r="K98" s="9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4"/>
      <c r="AJ98" s="84"/>
      <c r="AK98" s="84"/>
      <c r="AL98" s="84"/>
      <c r="AM98" s="84"/>
      <c r="AN98" s="84"/>
      <c r="AO98" s="84"/>
      <c r="AP98" s="84"/>
      <c r="AQ98" s="84"/>
      <c r="AR98" s="84"/>
      <c r="AS98" s="84"/>
      <c r="AT98" s="84"/>
      <c r="AU98" s="84"/>
      <c r="AV98" s="84"/>
      <c r="AW98" s="84"/>
      <c r="AX98" s="87">
        <f t="array" ref="AX98">IF(G98=1,SUM((ROW(M0)=ROW(AW98))*(M0+M1_+M2_+M3_+M4_+M5_+M6_+M7_+M8_+M9_+M10_+M11_+M12_+M13_+M14_+M15_+M16_+M17_+M18_+M19_+M20_+M21_+M22_+M23_+M24_+M25_+M26_+M27_+M28_+M29_+M30_+M31_+M32_+M33_+M34_+M35_+M36_+M37_)),0)</f>
        <v>0</v>
      </c>
      <c r="AZ98" s="24" t="str">
        <f t="shared" si="37"/>
        <v/>
      </c>
      <c r="BA98" s="24" t="str">
        <f t="shared" si="38"/>
        <v/>
      </c>
      <c r="BB98" s="24" t="str">
        <f t="shared" si="39"/>
        <v/>
      </c>
      <c r="BC98" s="24" t="str">
        <f>IF(OR(E98="",LEFT(TableCosts[[#This Row],[Calc_N_Typ]],18)="Vynaložené náklady"),"",VLOOKUP(E98,Tab_Parts,2,0))</f>
        <v/>
      </c>
      <c r="BD98" s="24" t="str">
        <f t="shared" si="40"/>
        <v/>
      </c>
      <c r="BE98" s="24">
        <f t="shared" si="41"/>
        <v>0</v>
      </c>
      <c r="BF98" s="72">
        <f>TableCosts[[#This Row],[N_Amount]]*TableCosts[[#This Row],[N_Tariff]]*TableCosts[[#This Row],[N_ItemsCount]]</f>
        <v>0</v>
      </c>
      <c r="BG98" s="72">
        <f>IF(G98=1,IF(TableCosts[[#This Row],[N_Kateg]]="interné práce",TableCosts[[#This Row],[N_Amount]]*8*PAR_SGA_PERHOUR,0),0)</f>
        <v>0</v>
      </c>
      <c r="BH98" s="72">
        <f>SUM(TableCosts[[#This Row],[N_Direct]:[N_SGA]])</f>
        <v>0</v>
      </c>
      <c r="BI98" s="24">
        <f>IF(G98=1,IF(OR(AND(NOT(ISERROR(VLOOKUP(TableCosts[[#This Row],[Calc_N_Typ]],Cis_WorkPositions,1,0))),C98&lt;&gt;"",D98&lt;&gt;"",E98&lt;&gt;""),AND(ISERROR(VLOOKUP(TableCosts[[#This Row],[Calc_N_Typ]],Cis_WorkPositions,1,0)),C98="",D98="",E98&lt;&gt;""),LEFT(TableCosts[[#This Row],[Calc_N_Typ]],18)="Vynaložené náklady"),VLOOKUP(C98&amp;TableCosts[[#This Row],[Calc_N_Typ]],TRAN_STRITEMS_LABEL,VLOOKUP(D98,Tab_Hours,3,0),0),NA()),0)</f>
        <v>0</v>
      </c>
      <c r="BJ98" s="24">
        <f t="shared" si="42"/>
        <v>0</v>
      </c>
      <c r="BK98" s="24" t="str">
        <f t="shared" si="43"/>
        <v/>
      </c>
      <c r="BL98" s="24" t="str">
        <f t="shared" si="44"/>
        <v/>
      </c>
      <c r="BM98" s="24" t="str">
        <f>IF(G98=1,IF(TableCosts[[#This Row],[TransferFrom]]=TableCosts[[#This Row],[TranferTo]],0,1),"")</f>
        <v/>
      </c>
      <c r="BN98" s="24" t="str">
        <f t="shared" si="45"/>
        <v/>
      </c>
      <c r="BO98" s="24">
        <f t="shared" si="46"/>
        <v>0</v>
      </c>
      <c r="BP98" s="24">
        <f t="shared" si="47"/>
        <v>0</v>
      </c>
    </row>
    <row r="99" spans="2:68" s="24" customFormat="1" ht="12.75" x14ac:dyDescent="0.2">
      <c r="B99" s="97"/>
      <c r="C99" s="92"/>
      <c r="D99" s="92"/>
      <c r="E99" s="92"/>
      <c r="F99" s="31" t="str">
        <f>IF(G99=1,IF(ISERROR(TableCosts[[#This Row],[N_Tariff]]),Err_Message1,IF(TableCosts[[#This Row],[N_Tariff]]=0,Err_Message2,VLOOKUP(C99&amp;TableCosts[[#This Row],[Calc_N_Typ]],TRAN_STRITEMS_LABEL,5,FALSE))),"")</f>
        <v/>
      </c>
      <c r="G99" s="31">
        <f t="shared" si="36"/>
        <v>0</v>
      </c>
      <c r="H99" s="31" t="str">
        <f>IF(G99=1,IFERROR(VLOOKUP(F99,Tab_ErrMessage[],2,0),VLOOKUP(C99&amp;TableCosts[[#This Row],[Calc_N_Typ]],TRAN_STRITEMS_LABEL,4,FALSE)),"")</f>
        <v/>
      </c>
      <c r="I99" s="94"/>
      <c r="J99" s="94"/>
      <c r="K99" s="9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4"/>
      <c r="AJ99" s="84"/>
      <c r="AK99" s="84"/>
      <c r="AL99" s="84"/>
      <c r="AM99" s="84"/>
      <c r="AN99" s="84"/>
      <c r="AO99" s="84"/>
      <c r="AP99" s="84"/>
      <c r="AQ99" s="84"/>
      <c r="AR99" s="84"/>
      <c r="AS99" s="84"/>
      <c r="AT99" s="84"/>
      <c r="AU99" s="84"/>
      <c r="AV99" s="84"/>
      <c r="AW99" s="84"/>
      <c r="AX99" s="87">
        <f t="array" ref="AX99">IF(G99=1,SUM((ROW(M0)=ROW(AW99))*(M0+M1_+M2_+M3_+M4_+M5_+M6_+M7_+M8_+M9_+M10_+M11_+M12_+M13_+M14_+M15_+M16_+M17_+M18_+M19_+M20_+M21_+M22_+M23_+M24_+M25_+M26_+M27_+M28_+M29_+M30_+M31_+M32_+M33_+M34_+M35_+M36_+M37_)),0)</f>
        <v>0</v>
      </c>
      <c r="AZ99" s="24" t="str">
        <f t="shared" si="37"/>
        <v/>
      </c>
      <c r="BA99" s="24" t="str">
        <f t="shared" si="38"/>
        <v/>
      </c>
      <c r="BB99" s="24" t="str">
        <f t="shared" si="39"/>
        <v/>
      </c>
      <c r="BC99" s="24" t="str">
        <f>IF(OR(E99="",LEFT(TableCosts[[#This Row],[Calc_N_Typ]],18)="Vynaložené náklady"),"",VLOOKUP(E99,Tab_Parts,2,0))</f>
        <v/>
      </c>
      <c r="BD99" s="24" t="str">
        <f t="shared" si="40"/>
        <v/>
      </c>
      <c r="BE99" s="24">
        <f t="shared" si="41"/>
        <v>0</v>
      </c>
      <c r="BF99" s="72">
        <f>TableCosts[[#This Row],[N_Amount]]*TableCosts[[#This Row],[N_Tariff]]*TableCosts[[#This Row],[N_ItemsCount]]</f>
        <v>0</v>
      </c>
      <c r="BG99" s="72">
        <f>IF(G99=1,IF(TableCosts[[#This Row],[N_Kateg]]="interné práce",TableCosts[[#This Row],[N_Amount]]*8*PAR_SGA_PERHOUR,0),0)</f>
        <v>0</v>
      </c>
      <c r="BH99" s="72">
        <f>SUM(TableCosts[[#This Row],[N_Direct]:[N_SGA]])</f>
        <v>0</v>
      </c>
      <c r="BI99" s="24">
        <f>IF(G99=1,IF(OR(AND(NOT(ISERROR(VLOOKUP(TableCosts[[#This Row],[Calc_N_Typ]],Cis_WorkPositions,1,0))),C99&lt;&gt;"",D99&lt;&gt;"",E99&lt;&gt;""),AND(ISERROR(VLOOKUP(TableCosts[[#This Row],[Calc_N_Typ]],Cis_WorkPositions,1,0)),C99="",D99="",E99&lt;&gt;""),LEFT(TableCosts[[#This Row],[Calc_N_Typ]],18)="Vynaložené náklady"),VLOOKUP(C99&amp;TableCosts[[#This Row],[Calc_N_Typ]],TRAN_STRITEMS_LABEL,VLOOKUP(D99,Tab_Hours,3,0),0),NA()),0)</f>
        <v>0</v>
      </c>
      <c r="BJ99" s="24">
        <f t="shared" si="42"/>
        <v>0</v>
      </c>
      <c r="BK99" s="24" t="str">
        <f t="shared" si="43"/>
        <v/>
      </c>
      <c r="BL99" s="24" t="str">
        <f t="shared" si="44"/>
        <v/>
      </c>
      <c r="BM99" s="24" t="str">
        <f>IF(G99=1,IF(TableCosts[[#This Row],[TransferFrom]]=TableCosts[[#This Row],[TranferTo]],0,1),"")</f>
        <v/>
      </c>
      <c r="BN99" s="24" t="str">
        <f t="shared" si="45"/>
        <v/>
      </c>
      <c r="BO99" s="24">
        <f t="shared" si="46"/>
        <v>0</v>
      </c>
      <c r="BP99" s="24">
        <f t="shared" si="47"/>
        <v>0</v>
      </c>
    </row>
    <row r="100" spans="2:68" s="24" customFormat="1" ht="12.75" x14ac:dyDescent="0.2">
      <c r="B100" s="97"/>
      <c r="C100" s="92"/>
      <c r="D100" s="92"/>
      <c r="E100" s="92"/>
      <c r="F100" s="31" t="str">
        <f>IF(G100=1,IF(ISERROR(TableCosts[[#This Row],[N_Tariff]]),Err_Message1,IF(TableCosts[[#This Row],[N_Tariff]]=0,Err_Message2,VLOOKUP(C100&amp;TableCosts[[#This Row],[Calc_N_Typ]],TRAN_STRITEMS_LABEL,5,FALSE))),"")</f>
        <v/>
      </c>
      <c r="G100" s="31">
        <f t="shared" si="36"/>
        <v>0</v>
      </c>
      <c r="H100" s="31" t="str">
        <f>IF(G100=1,IFERROR(VLOOKUP(F100,Tab_ErrMessage[],2,0),VLOOKUP(C100&amp;TableCosts[[#This Row],[Calc_N_Typ]],TRAN_STRITEMS_LABEL,4,FALSE)),"")</f>
        <v/>
      </c>
      <c r="I100" s="94"/>
      <c r="J100" s="94"/>
      <c r="K100" s="9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4"/>
      <c r="AF100" s="84"/>
      <c r="AG100" s="84"/>
      <c r="AH100" s="84"/>
      <c r="AI100" s="84"/>
      <c r="AJ100" s="84"/>
      <c r="AK100" s="84"/>
      <c r="AL100" s="84"/>
      <c r="AM100" s="84"/>
      <c r="AN100" s="84"/>
      <c r="AO100" s="84"/>
      <c r="AP100" s="84"/>
      <c r="AQ100" s="84"/>
      <c r="AR100" s="84"/>
      <c r="AS100" s="84"/>
      <c r="AT100" s="84"/>
      <c r="AU100" s="84"/>
      <c r="AV100" s="84"/>
      <c r="AW100" s="84"/>
      <c r="AX100" s="87">
        <f t="array" ref="AX100">IF(G100=1,SUM((ROW(M0)=ROW(AW100))*(M0+M1_+M2_+M3_+M4_+M5_+M6_+M7_+M8_+M9_+M10_+M11_+M12_+M13_+M14_+M15_+M16_+M17_+M18_+M19_+M20_+M21_+M22_+M23_+M24_+M25_+M26_+M27_+M28_+M29_+M30_+M31_+M32_+M33_+M34_+M35_+M36_+M37_)),0)</f>
        <v>0</v>
      </c>
      <c r="AZ100" s="24" t="str">
        <f t="shared" si="37"/>
        <v/>
      </c>
      <c r="BA100" s="24" t="str">
        <f t="shared" si="38"/>
        <v/>
      </c>
      <c r="BB100" s="24" t="str">
        <f t="shared" si="39"/>
        <v/>
      </c>
      <c r="BC100" s="24" t="str">
        <f>IF(OR(E100="",LEFT(TableCosts[[#This Row],[Calc_N_Typ]],18)="Vynaložené náklady"),"",VLOOKUP(E100,Tab_Parts,2,0))</f>
        <v/>
      </c>
      <c r="BD100" s="24" t="str">
        <f t="shared" si="40"/>
        <v/>
      </c>
      <c r="BE100" s="24">
        <f t="shared" si="41"/>
        <v>0</v>
      </c>
      <c r="BF100" s="72">
        <f>TableCosts[[#This Row],[N_Amount]]*TableCosts[[#This Row],[N_Tariff]]*TableCosts[[#This Row],[N_ItemsCount]]</f>
        <v>0</v>
      </c>
      <c r="BG100" s="72">
        <f>IF(G100=1,IF(TableCosts[[#This Row],[N_Kateg]]="interné práce",TableCosts[[#This Row],[N_Amount]]*8*PAR_SGA_PERHOUR,0),0)</f>
        <v>0</v>
      </c>
      <c r="BH100" s="72">
        <f>SUM(TableCosts[[#This Row],[N_Direct]:[N_SGA]])</f>
        <v>0</v>
      </c>
      <c r="BI100" s="24">
        <f>IF(G100=1,IF(OR(AND(NOT(ISERROR(VLOOKUP(TableCosts[[#This Row],[Calc_N_Typ]],Cis_WorkPositions,1,0))),C100&lt;&gt;"",D100&lt;&gt;"",E100&lt;&gt;""),AND(ISERROR(VLOOKUP(TableCosts[[#This Row],[Calc_N_Typ]],Cis_WorkPositions,1,0)),C100="",D100="",E100&lt;&gt;""),LEFT(TableCosts[[#This Row],[Calc_N_Typ]],18)="Vynaložené náklady"),VLOOKUP(C100&amp;TableCosts[[#This Row],[Calc_N_Typ]],TRAN_STRITEMS_LABEL,VLOOKUP(D100,Tab_Hours,3,0),0),NA()),0)</f>
        <v>0</v>
      </c>
      <c r="BJ100" s="24">
        <f t="shared" si="42"/>
        <v>0</v>
      </c>
      <c r="BK100" s="24" t="str">
        <f t="shared" si="43"/>
        <v/>
      </c>
      <c r="BL100" s="24" t="str">
        <f t="shared" si="44"/>
        <v/>
      </c>
      <c r="BM100" s="24" t="str">
        <f>IF(G100=1,IF(TableCosts[[#This Row],[TransferFrom]]=TableCosts[[#This Row],[TranferTo]],0,1),"")</f>
        <v/>
      </c>
      <c r="BN100" s="24" t="str">
        <f t="shared" si="45"/>
        <v/>
      </c>
      <c r="BO100" s="24">
        <f t="shared" si="46"/>
        <v>0</v>
      </c>
      <c r="BP100" s="24">
        <f t="shared" si="47"/>
        <v>0</v>
      </c>
    </row>
    <row r="101" spans="2:68" s="24" customFormat="1" ht="12.75" x14ac:dyDescent="0.2">
      <c r="B101" s="97"/>
      <c r="C101" s="92"/>
      <c r="D101" s="92"/>
      <c r="E101" s="92"/>
      <c r="F101" s="31" t="str">
        <f>IF(G101=1,IF(ISERROR(TableCosts[[#This Row],[N_Tariff]]),Err_Message1,IF(TableCosts[[#This Row],[N_Tariff]]=0,Err_Message2,VLOOKUP(C101&amp;TableCosts[[#This Row],[Calc_N_Typ]],TRAN_STRITEMS_LABEL,5,FALSE))),"")</f>
        <v/>
      </c>
      <c r="G101" s="31">
        <f t="shared" si="36"/>
        <v>0</v>
      </c>
      <c r="H101" s="31" t="str">
        <f>IF(G101=1,IFERROR(VLOOKUP(F101,Tab_ErrMessage[],2,0),VLOOKUP(C101&amp;TableCosts[[#This Row],[Calc_N_Typ]],TRAN_STRITEMS_LABEL,4,FALSE)),"")</f>
        <v/>
      </c>
      <c r="I101" s="94"/>
      <c r="J101" s="94"/>
      <c r="K101" s="9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4"/>
      <c r="AJ101" s="84"/>
      <c r="AK101" s="84"/>
      <c r="AL101" s="84"/>
      <c r="AM101" s="84"/>
      <c r="AN101" s="84"/>
      <c r="AO101" s="84"/>
      <c r="AP101" s="84"/>
      <c r="AQ101" s="84"/>
      <c r="AR101" s="84"/>
      <c r="AS101" s="84"/>
      <c r="AT101" s="84"/>
      <c r="AU101" s="84"/>
      <c r="AV101" s="84"/>
      <c r="AW101" s="84"/>
      <c r="AX101" s="87">
        <f t="array" ref="AX101">IF(G101=1,SUM((ROW(M0)=ROW(AW101))*(M0+M1_+M2_+M3_+M4_+M5_+M6_+M7_+M8_+M9_+M10_+M11_+M12_+M13_+M14_+M15_+M16_+M17_+M18_+M19_+M20_+M21_+M22_+M23_+M24_+M25_+M26_+M27_+M28_+M29_+M30_+M31_+M32_+M33_+M34_+M35_+M36_+M37_)),0)</f>
        <v>0</v>
      </c>
      <c r="AZ101" s="24" t="str">
        <f t="shared" si="37"/>
        <v/>
      </c>
      <c r="BA101" s="24" t="str">
        <f t="shared" si="38"/>
        <v/>
      </c>
      <c r="BB101" s="24" t="str">
        <f t="shared" si="39"/>
        <v/>
      </c>
      <c r="BC101" s="24" t="str">
        <f>IF(OR(E101="",LEFT(TableCosts[[#This Row],[Calc_N_Typ]],18)="Vynaložené náklady"),"",VLOOKUP(E101,Tab_Parts,2,0))</f>
        <v/>
      </c>
      <c r="BD101" s="24" t="str">
        <f t="shared" si="40"/>
        <v/>
      </c>
      <c r="BE101" s="24">
        <f t="shared" si="41"/>
        <v>0</v>
      </c>
      <c r="BF101" s="72">
        <f>TableCosts[[#This Row],[N_Amount]]*TableCosts[[#This Row],[N_Tariff]]*TableCosts[[#This Row],[N_ItemsCount]]</f>
        <v>0</v>
      </c>
      <c r="BG101" s="72">
        <f>IF(G101=1,IF(TableCosts[[#This Row],[N_Kateg]]="interné práce",TableCosts[[#This Row],[N_Amount]]*8*PAR_SGA_PERHOUR,0),0)</f>
        <v>0</v>
      </c>
      <c r="BH101" s="72">
        <f>SUM(TableCosts[[#This Row],[N_Direct]:[N_SGA]])</f>
        <v>0</v>
      </c>
      <c r="BI101" s="24">
        <f>IF(G101=1,IF(OR(AND(NOT(ISERROR(VLOOKUP(TableCosts[[#This Row],[Calc_N_Typ]],Cis_WorkPositions,1,0))),C101&lt;&gt;"",D101&lt;&gt;"",E101&lt;&gt;""),AND(ISERROR(VLOOKUP(TableCosts[[#This Row],[Calc_N_Typ]],Cis_WorkPositions,1,0)),C101="",D101="",E101&lt;&gt;""),LEFT(TableCosts[[#This Row],[Calc_N_Typ]],18)="Vynaložené náklady"),VLOOKUP(C101&amp;TableCosts[[#This Row],[Calc_N_Typ]],TRAN_STRITEMS_LABEL,VLOOKUP(D101,Tab_Hours,3,0),0),NA()),0)</f>
        <v>0</v>
      </c>
      <c r="BJ101" s="24">
        <f t="shared" si="42"/>
        <v>0</v>
      </c>
      <c r="BK101" s="24" t="str">
        <f t="shared" si="43"/>
        <v/>
      </c>
      <c r="BL101" s="24" t="str">
        <f t="shared" si="44"/>
        <v/>
      </c>
      <c r="BM101" s="24" t="str">
        <f>IF(G101=1,IF(TableCosts[[#This Row],[TransferFrom]]=TableCosts[[#This Row],[TranferTo]],0,1),"")</f>
        <v/>
      </c>
      <c r="BN101" s="24" t="str">
        <f t="shared" si="45"/>
        <v/>
      </c>
      <c r="BO101" s="24">
        <f t="shared" si="46"/>
        <v>0</v>
      </c>
      <c r="BP101" s="24">
        <f t="shared" si="47"/>
        <v>0</v>
      </c>
    </row>
    <row r="102" spans="2:68" s="24" customFormat="1" ht="12.75" x14ac:dyDescent="0.2">
      <c r="B102" s="97"/>
      <c r="C102" s="92"/>
      <c r="D102" s="92"/>
      <c r="E102" s="92"/>
      <c r="F102" s="31" t="str">
        <f>IF(G102=1,IF(ISERROR(TableCosts[[#This Row],[N_Tariff]]),Err_Message1,IF(TableCosts[[#This Row],[N_Tariff]]=0,Err_Message2,VLOOKUP(C102&amp;TableCosts[[#This Row],[Calc_N_Typ]],TRAN_STRITEMS_LABEL,5,FALSE))),"")</f>
        <v/>
      </c>
      <c r="G102" s="31">
        <f t="shared" si="36"/>
        <v>0</v>
      </c>
      <c r="H102" s="31" t="str">
        <f>IF(G102=1,IFERROR(VLOOKUP(F102,Tab_ErrMessage[],2,0),VLOOKUP(C102&amp;TableCosts[[#This Row],[Calc_N_Typ]],TRAN_STRITEMS_LABEL,4,FALSE)),"")</f>
        <v/>
      </c>
      <c r="I102" s="94"/>
      <c r="J102" s="94"/>
      <c r="K102" s="9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  <c r="W102" s="84"/>
      <c r="X102" s="84"/>
      <c r="Y102" s="84"/>
      <c r="Z102" s="84"/>
      <c r="AA102" s="84"/>
      <c r="AB102" s="84"/>
      <c r="AC102" s="84"/>
      <c r="AD102" s="84"/>
      <c r="AE102" s="84"/>
      <c r="AF102" s="84"/>
      <c r="AG102" s="84"/>
      <c r="AH102" s="84"/>
      <c r="AI102" s="84"/>
      <c r="AJ102" s="84"/>
      <c r="AK102" s="84"/>
      <c r="AL102" s="84"/>
      <c r="AM102" s="84"/>
      <c r="AN102" s="84"/>
      <c r="AO102" s="84"/>
      <c r="AP102" s="84"/>
      <c r="AQ102" s="84"/>
      <c r="AR102" s="84"/>
      <c r="AS102" s="84"/>
      <c r="AT102" s="84"/>
      <c r="AU102" s="84"/>
      <c r="AV102" s="84"/>
      <c r="AW102" s="84"/>
      <c r="AX102" s="87">
        <f t="array" ref="AX102">IF(G102=1,SUM((ROW(M0)=ROW(AW102))*(M0+M1_+M2_+M3_+M4_+M5_+M6_+M7_+M8_+M9_+M10_+M11_+M12_+M13_+M14_+M15_+M16_+M17_+M18_+M19_+M20_+M21_+M22_+M23_+M24_+M25_+M26_+M27_+M28_+M29_+M30_+M31_+M32_+M33_+M34_+M35_+M36_+M37_)),0)</f>
        <v>0</v>
      </c>
      <c r="AZ102" s="24" t="str">
        <f t="shared" si="37"/>
        <v/>
      </c>
      <c r="BA102" s="24" t="str">
        <f t="shared" si="38"/>
        <v/>
      </c>
      <c r="BB102" s="24" t="str">
        <f t="shared" si="39"/>
        <v/>
      </c>
      <c r="BC102" s="24" t="str">
        <f>IF(OR(E102="",LEFT(TableCosts[[#This Row],[Calc_N_Typ]],18)="Vynaložené náklady"),"",VLOOKUP(E102,Tab_Parts,2,0))</f>
        <v/>
      </c>
      <c r="BD102" s="24" t="str">
        <f t="shared" si="40"/>
        <v/>
      </c>
      <c r="BE102" s="24">
        <f t="shared" si="41"/>
        <v>0</v>
      </c>
      <c r="BF102" s="72">
        <f>TableCosts[[#This Row],[N_Amount]]*TableCosts[[#This Row],[N_Tariff]]*TableCosts[[#This Row],[N_ItemsCount]]</f>
        <v>0</v>
      </c>
      <c r="BG102" s="72">
        <f>IF(G102=1,IF(TableCosts[[#This Row],[N_Kateg]]="interné práce",TableCosts[[#This Row],[N_Amount]]*8*PAR_SGA_PERHOUR,0),0)</f>
        <v>0</v>
      </c>
      <c r="BH102" s="72">
        <f>SUM(TableCosts[[#This Row],[N_Direct]:[N_SGA]])</f>
        <v>0</v>
      </c>
      <c r="BI102" s="24">
        <f>IF(G102=1,IF(OR(AND(NOT(ISERROR(VLOOKUP(TableCosts[[#This Row],[Calc_N_Typ]],Cis_WorkPositions,1,0))),C102&lt;&gt;"",D102&lt;&gt;"",E102&lt;&gt;""),AND(ISERROR(VLOOKUP(TableCosts[[#This Row],[Calc_N_Typ]],Cis_WorkPositions,1,0)),C102="",D102="",E102&lt;&gt;""),LEFT(TableCosts[[#This Row],[Calc_N_Typ]],18)="Vynaložené náklady"),VLOOKUP(C102&amp;TableCosts[[#This Row],[Calc_N_Typ]],TRAN_STRITEMS_LABEL,VLOOKUP(D102,Tab_Hours,3,0),0),NA()),0)</f>
        <v>0</v>
      </c>
      <c r="BJ102" s="24">
        <f t="shared" si="42"/>
        <v>0</v>
      </c>
      <c r="BK102" s="24" t="str">
        <f t="shared" si="43"/>
        <v/>
      </c>
      <c r="BL102" s="24" t="str">
        <f t="shared" si="44"/>
        <v/>
      </c>
      <c r="BM102" s="24" t="str">
        <f>IF(G102=1,IF(TableCosts[[#This Row],[TransferFrom]]=TableCosts[[#This Row],[TranferTo]],0,1),"")</f>
        <v/>
      </c>
      <c r="BN102" s="24" t="str">
        <f t="shared" si="45"/>
        <v/>
      </c>
      <c r="BO102" s="24">
        <f t="shared" si="46"/>
        <v>0</v>
      </c>
      <c r="BP102" s="24">
        <f t="shared" si="47"/>
        <v>0</v>
      </c>
    </row>
    <row r="103" spans="2:68" s="24" customFormat="1" ht="12.75" x14ac:dyDescent="0.2">
      <c r="B103" s="97"/>
      <c r="C103" s="92"/>
      <c r="D103" s="92"/>
      <c r="E103" s="92"/>
      <c r="F103" s="31" t="str">
        <f>IF(G103=1,IF(ISERROR(TableCosts[[#This Row],[N_Tariff]]),Err_Message1,IF(TableCosts[[#This Row],[N_Tariff]]=0,Err_Message2,VLOOKUP(C103&amp;TableCosts[[#This Row],[Calc_N_Typ]],TRAN_STRITEMS_LABEL,5,FALSE))),"")</f>
        <v/>
      </c>
      <c r="G103" s="31">
        <f t="shared" si="36"/>
        <v>0</v>
      </c>
      <c r="H103" s="31" t="str">
        <f>IF(G103=1,IFERROR(VLOOKUP(F103,Tab_ErrMessage[],2,0),VLOOKUP(C103&amp;TableCosts[[#This Row],[Calc_N_Typ]],TRAN_STRITEMS_LABEL,4,FALSE)),"")</f>
        <v/>
      </c>
      <c r="I103" s="94"/>
      <c r="J103" s="94"/>
      <c r="K103" s="9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  <c r="AC103" s="84"/>
      <c r="AD103" s="84"/>
      <c r="AE103" s="84"/>
      <c r="AF103" s="84"/>
      <c r="AG103" s="84"/>
      <c r="AH103" s="84"/>
      <c r="AI103" s="84"/>
      <c r="AJ103" s="84"/>
      <c r="AK103" s="84"/>
      <c r="AL103" s="84"/>
      <c r="AM103" s="84"/>
      <c r="AN103" s="84"/>
      <c r="AO103" s="84"/>
      <c r="AP103" s="84"/>
      <c r="AQ103" s="84"/>
      <c r="AR103" s="84"/>
      <c r="AS103" s="84"/>
      <c r="AT103" s="84"/>
      <c r="AU103" s="84"/>
      <c r="AV103" s="84"/>
      <c r="AW103" s="84"/>
      <c r="AX103" s="87">
        <f t="array" ref="AX103">IF(G103=1,SUM((ROW(M0)=ROW(AW103))*(M0+M1_+M2_+M3_+M4_+M5_+M6_+M7_+M8_+M9_+M10_+M11_+M12_+M13_+M14_+M15_+M16_+M17_+M18_+M19_+M20_+M21_+M22_+M23_+M24_+M25_+M26_+M27_+M28_+M29_+M30_+M31_+M32_+M33_+M34_+M35_+M36_+M37_)),0)</f>
        <v>0</v>
      </c>
      <c r="AZ103" s="24" t="str">
        <f t="shared" si="37"/>
        <v/>
      </c>
      <c r="BA103" s="24" t="str">
        <f t="shared" si="38"/>
        <v/>
      </c>
      <c r="BB103" s="24" t="str">
        <f t="shared" si="39"/>
        <v/>
      </c>
      <c r="BC103" s="24" t="str">
        <f>IF(OR(E103="",LEFT(TableCosts[[#This Row],[Calc_N_Typ]],18)="Vynaložené náklady"),"",VLOOKUP(E103,Tab_Parts,2,0))</f>
        <v/>
      </c>
      <c r="BD103" s="24" t="str">
        <f t="shared" si="40"/>
        <v/>
      </c>
      <c r="BE103" s="24">
        <f t="shared" si="41"/>
        <v>0</v>
      </c>
      <c r="BF103" s="72">
        <f>TableCosts[[#This Row],[N_Amount]]*TableCosts[[#This Row],[N_Tariff]]*TableCosts[[#This Row],[N_ItemsCount]]</f>
        <v>0</v>
      </c>
      <c r="BG103" s="72">
        <f>IF(G103=1,IF(TableCosts[[#This Row],[N_Kateg]]="interné práce",TableCosts[[#This Row],[N_Amount]]*8*PAR_SGA_PERHOUR,0),0)</f>
        <v>0</v>
      </c>
      <c r="BH103" s="72">
        <f>SUM(TableCosts[[#This Row],[N_Direct]:[N_SGA]])</f>
        <v>0</v>
      </c>
      <c r="BI103" s="24">
        <f>IF(G103=1,IF(OR(AND(NOT(ISERROR(VLOOKUP(TableCosts[[#This Row],[Calc_N_Typ]],Cis_WorkPositions,1,0))),C103&lt;&gt;"",D103&lt;&gt;"",E103&lt;&gt;""),AND(ISERROR(VLOOKUP(TableCosts[[#This Row],[Calc_N_Typ]],Cis_WorkPositions,1,0)),C103="",D103="",E103&lt;&gt;""),LEFT(TableCosts[[#This Row],[Calc_N_Typ]],18)="Vynaložené náklady"),VLOOKUP(C103&amp;TableCosts[[#This Row],[Calc_N_Typ]],TRAN_STRITEMS_LABEL,VLOOKUP(D103,Tab_Hours,3,0),0),NA()),0)</f>
        <v>0</v>
      </c>
      <c r="BJ103" s="24">
        <f t="shared" si="42"/>
        <v>0</v>
      </c>
      <c r="BK103" s="24" t="str">
        <f t="shared" si="43"/>
        <v/>
      </c>
      <c r="BL103" s="24" t="str">
        <f t="shared" si="44"/>
        <v/>
      </c>
      <c r="BM103" s="24" t="str">
        <f>IF(G103=1,IF(TableCosts[[#This Row],[TransferFrom]]=TableCosts[[#This Row],[TranferTo]],0,1),"")</f>
        <v/>
      </c>
      <c r="BN103" s="24" t="str">
        <f t="shared" si="45"/>
        <v/>
      </c>
      <c r="BO103" s="24">
        <f t="shared" si="46"/>
        <v>0</v>
      </c>
      <c r="BP103" s="24">
        <f t="shared" si="47"/>
        <v>0</v>
      </c>
    </row>
    <row r="104" spans="2:68" s="24" customFormat="1" ht="12.75" x14ac:dyDescent="0.2">
      <c r="B104" s="97"/>
      <c r="C104" s="92"/>
      <c r="D104" s="92"/>
      <c r="E104" s="92"/>
      <c r="F104" s="31" t="str">
        <f>IF(G104=1,IF(ISERROR(TableCosts[[#This Row],[N_Tariff]]),Err_Message1,IF(TableCosts[[#This Row],[N_Tariff]]=0,Err_Message2,VLOOKUP(C104&amp;TableCosts[[#This Row],[Calc_N_Typ]],TRAN_STRITEMS_LABEL,5,FALSE))),"")</f>
        <v/>
      </c>
      <c r="G104" s="31">
        <f t="shared" si="36"/>
        <v>0</v>
      </c>
      <c r="H104" s="31" t="str">
        <f>IF(G104=1,IFERROR(VLOOKUP(F104,Tab_ErrMessage[],2,0),VLOOKUP(C104&amp;TableCosts[[#This Row],[Calc_N_Typ]],TRAN_STRITEMS_LABEL,4,FALSE)),"")</f>
        <v/>
      </c>
      <c r="I104" s="94"/>
      <c r="J104" s="94"/>
      <c r="K104" s="94"/>
      <c r="L104" s="84"/>
      <c r="M104" s="84"/>
      <c r="N104" s="84"/>
      <c r="O104" s="84"/>
      <c r="P104" s="84"/>
      <c r="Q104" s="84"/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  <c r="AC104" s="84"/>
      <c r="AD104" s="84"/>
      <c r="AE104" s="84"/>
      <c r="AF104" s="84"/>
      <c r="AG104" s="84"/>
      <c r="AH104" s="84"/>
      <c r="AI104" s="84"/>
      <c r="AJ104" s="84"/>
      <c r="AK104" s="84"/>
      <c r="AL104" s="84"/>
      <c r="AM104" s="84"/>
      <c r="AN104" s="84"/>
      <c r="AO104" s="84"/>
      <c r="AP104" s="84"/>
      <c r="AQ104" s="84"/>
      <c r="AR104" s="84"/>
      <c r="AS104" s="84"/>
      <c r="AT104" s="84"/>
      <c r="AU104" s="84"/>
      <c r="AV104" s="84"/>
      <c r="AW104" s="84"/>
      <c r="AX104" s="87">
        <f t="array" ref="AX104">IF(G104=1,SUM((ROW(M0)=ROW(AW104))*(M0+M1_+M2_+M3_+M4_+M5_+M6_+M7_+M8_+M9_+M10_+M11_+M12_+M13_+M14_+M15_+M16_+M17_+M18_+M19_+M20_+M21_+M22_+M23_+M24_+M25_+M26_+M27_+M28_+M29_+M30_+M31_+M32_+M33_+M34_+M35_+M36_+M37_)),0)</f>
        <v>0</v>
      </c>
      <c r="AZ104" s="24" t="str">
        <f t="shared" si="37"/>
        <v/>
      </c>
      <c r="BA104" s="24" t="str">
        <f t="shared" si="38"/>
        <v/>
      </c>
      <c r="BB104" s="24" t="str">
        <f t="shared" si="39"/>
        <v/>
      </c>
      <c r="BC104" s="24" t="str">
        <f>IF(OR(E104="",LEFT(TableCosts[[#This Row],[Calc_N_Typ]],18)="Vynaložené náklady"),"",VLOOKUP(E104,Tab_Parts,2,0))</f>
        <v/>
      </c>
      <c r="BD104" s="24" t="str">
        <f t="shared" si="40"/>
        <v/>
      </c>
      <c r="BE104" s="24">
        <f t="shared" si="41"/>
        <v>0</v>
      </c>
      <c r="BF104" s="72">
        <f>TableCosts[[#This Row],[N_Amount]]*TableCosts[[#This Row],[N_Tariff]]*TableCosts[[#This Row],[N_ItemsCount]]</f>
        <v>0</v>
      </c>
      <c r="BG104" s="72">
        <f>IF(G104=1,IF(TableCosts[[#This Row],[N_Kateg]]="interné práce",TableCosts[[#This Row],[N_Amount]]*8*PAR_SGA_PERHOUR,0),0)</f>
        <v>0</v>
      </c>
      <c r="BH104" s="72">
        <f>SUM(TableCosts[[#This Row],[N_Direct]:[N_SGA]])</f>
        <v>0</v>
      </c>
      <c r="BI104" s="24">
        <f>IF(G104=1,IF(OR(AND(NOT(ISERROR(VLOOKUP(TableCosts[[#This Row],[Calc_N_Typ]],Cis_WorkPositions,1,0))),C104&lt;&gt;"",D104&lt;&gt;"",E104&lt;&gt;""),AND(ISERROR(VLOOKUP(TableCosts[[#This Row],[Calc_N_Typ]],Cis_WorkPositions,1,0)),C104="",D104="",E104&lt;&gt;""),LEFT(TableCosts[[#This Row],[Calc_N_Typ]],18)="Vynaložené náklady"),VLOOKUP(C104&amp;TableCosts[[#This Row],[Calc_N_Typ]],TRAN_STRITEMS_LABEL,VLOOKUP(D104,Tab_Hours,3,0),0),NA()),0)</f>
        <v>0</v>
      </c>
      <c r="BJ104" s="24">
        <f t="shared" si="42"/>
        <v>0</v>
      </c>
      <c r="BK104" s="24" t="str">
        <f t="shared" si="43"/>
        <v/>
      </c>
      <c r="BL104" s="24" t="str">
        <f t="shared" si="44"/>
        <v/>
      </c>
      <c r="BM104" s="24" t="str">
        <f>IF(G104=1,IF(TableCosts[[#This Row],[TransferFrom]]=TableCosts[[#This Row],[TranferTo]],0,1),"")</f>
        <v/>
      </c>
      <c r="BN104" s="24" t="str">
        <f t="shared" si="45"/>
        <v/>
      </c>
      <c r="BO104" s="24">
        <f t="shared" si="46"/>
        <v>0</v>
      </c>
      <c r="BP104" s="24">
        <f t="shared" si="47"/>
        <v>0</v>
      </c>
    </row>
    <row r="105" spans="2:68" s="24" customFormat="1" ht="12.75" x14ac:dyDescent="0.2">
      <c r="B105" s="97"/>
      <c r="C105" s="92"/>
      <c r="D105" s="92"/>
      <c r="E105" s="92"/>
      <c r="F105" s="31" t="str">
        <f>IF(G105=1,IF(ISERROR(TableCosts[[#This Row],[N_Tariff]]),Err_Message1,IF(TableCosts[[#This Row],[N_Tariff]]=0,Err_Message2,VLOOKUP(C105&amp;TableCosts[[#This Row],[Calc_N_Typ]],TRAN_STRITEMS_LABEL,5,FALSE))),"")</f>
        <v/>
      </c>
      <c r="G105" s="31">
        <f t="shared" si="36"/>
        <v>0</v>
      </c>
      <c r="H105" s="31" t="str">
        <f>IF(G105=1,IFERROR(VLOOKUP(F105,Tab_ErrMessage[],2,0),VLOOKUP(C105&amp;TableCosts[[#This Row],[Calc_N_Typ]],TRAN_STRITEMS_LABEL,4,FALSE)),"")</f>
        <v/>
      </c>
      <c r="I105" s="94"/>
      <c r="J105" s="94"/>
      <c r="K105" s="94"/>
      <c r="L105" s="84"/>
      <c r="M105" s="84"/>
      <c r="N105" s="84"/>
      <c r="O105" s="84"/>
      <c r="P105" s="84"/>
      <c r="Q105" s="84"/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  <c r="AC105" s="84"/>
      <c r="AD105" s="84"/>
      <c r="AE105" s="84"/>
      <c r="AF105" s="84"/>
      <c r="AG105" s="84"/>
      <c r="AH105" s="84"/>
      <c r="AI105" s="84"/>
      <c r="AJ105" s="84"/>
      <c r="AK105" s="84"/>
      <c r="AL105" s="84"/>
      <c r="AM105" s="84"/>
      <c r="AN105" s="84"/>
      <c r="AO105" s="84"/>
      <c r="AP105" s="84"/>
      <c r="AQ105" s="84"/>
      <c r="AR105" s="84"/>
      <c r="AS105" s="84"/>
      <c r="AT105" s="84"/>
      <c r="AU105" s="84"/>
      <c r="AV105" s="84"/>
      <c r="AW105" s="84"/>
      <c r="AX105" s="87">
        <f t="array" ref="AX105">IF(G105=1,SUM((ROW(M0)=ROW(AW105))*(M0+M1_+M2_+M3_+M4_+M5_+M6_+M7_+M8_+M9_+M10_+M11_+M12_+M13_+M14_+M15_+M16_+M17_+M18_+M19_+M20_+M21_+M22_+M23_+M24_+M25_+M26_+M27_+M28_+M29_+M30_+M31_+M32_+M33_+M34_+M35_+M36_+M37_)),0)</f>
        <v>0</v>
      </c>
      <c r="AZ105" s="24" t="str">
        <f t="shared" si="37"/>
        <v/>
      </c>
      <c r="BA105" s="24" t="str">
        <f t="shared" si="38"/>
        <v/>
      </c>
      <c r="BB105" s="24" t="str">
        <f t="shared" si="39"/>
        <v/>
      </c>
      <c r="BC105" s="24" t="str">
        <f>IF(OR(E105="",LEFT(TableCosts[[#This Row],[Calc_N_Typ]],18)="Vynaložené náklady"),"",VLOOKUP(E105,Tab_Parts,2,0))</f>
        <v/>
      </c>
      <c r="BD105" s="24" t="str">
        <f t="shared" si="40"/>
        <v/>
      </c>
      <c r="BE105" s="24">
        <f t="shared" si="41"/>
        <v>0</v>
      </c>
      <c r="BF105" s="72">
        <f>TableCosts[[#This Row],[N_Amount]]*TableCosts[[#This Row],[N_Tariff]]*TableCosts[[#This Row],[N_ItemsCount]]</f>
        <v>0</v>
      </c>
      <c r="BG105" s="72">
        <f>IF(G105=1,IF(TableCosts[[#This Row],[N_Kateg]]="interné práce",TableCosts[[#This Row],[N_Amount]]*8*PAR_SGA_PERHOUR,0),0)</f>
        <v>0</v>
      </c>
      <c r="BH105" s="72">
        <f>SUM(TableCosts[[#This Row],[N_Direct]:[N_SGA]])</f>
        <v>0</v>
      </c>
      <c r="BI105" s="24">
        <f>IF(G105=1,IF(OR(AND(NOT(ISERROR(VLOOKUP(TableCosts[[#This Row],[Calc_N_Typ]],Cis_WorkPositions,1,0))),C105&lt;&gt;"",D105&lt;&gt;"",E105&lt;&gt;""),AND(ISERROR(VLOOKUP(TableCosts[[#This Row],[Calc_N_Typ]],Cis_WorkPositions,1,0)),C105="",D105="",E105&lt;&gt;""),LEFT(TableCosts[[#This Row],[Calc_N_Typ]],18)="Vynaložené náklady"),VLOOKUP(C105&amp;TableCosts[[#This Row],[Calc_N_Typ]],TRAN_STRITEMS_LABEL,VLOOKUP(D105,Tab_Hours,3,0),0),NA()),0)</f>
        <v>0</v>
      </c>
      <c r="BJ105" s="24">
        <f t="shared" si="42"/>
        <v>0</v>
      </c>
      <c r="BK105" s="24" t="str">
        <f t="shared" si="43"/>
        <v/>
      </c>
      <c r="BL105" s="24" t="str">
        <f t="shared" si="44"/>
        <v/>
      </c>
      <c r="BM105" s="24" t="str">
        <f>IF(G105=1,IF(TableCosts[[#This Row],[TransferFrom]]=TableCosts[[#This Row],[TranferTo]],0,1),"")</f>
        <v/>
      </c>
      <c r="BN105" s="24" t="str">
        <f t="shared" si="45"/>
        <v/>
      </c>
      <c r="BO105" s="24">
        <f t="shared" si="46"/>
        <v>0</v>
      </c>
      <c r="BP105" s="24">
        <f t="shared" si="47"/>
        <v>0</v>
      </c>
    </row>
    <row r="106" spans="2:68" s="24" customFormat="1" ht="12.75" x14ac:dyDescent="0.2">
      <c r="B106" s="97"/>
      <c r="C106" s="92"/>
      <c r="D106" s="92"/>
      <c r="E106" s="92"/>
      <c r="F106" s="31" t="str">
        <f>IF(G106=1,IF(ISERROR(TableCosts[[#This Row],[N_Tariff]]),Err_Message1,IF(TableCosts[[#This Row],[N_Tariff]]=0,Err_Message2,VLOOKUP(C106&amp;TableCosts[[#This Row],[Calc_N_Typ]],TRAN_STRITEMS_LABEL,5,FALSE))),"")</f>
        <v/>
      </c>
      <c r="G106" s="31">
        <f t="shared" si="36"/>
        <v>0</v>
      </c>
      <c r="H106" s="31" t="str">
        <f>IF(G106=1,IFERROR(VLOOKUP(F106,Tab_ErrMessage[],2,0),VLOOKUP(C106&amp;TableCosts[[#This Row],[Calc_N_Typ]],TRAN_STRITEMS_LABEL,4,FALSE)),"")</f>
        <v/>
      </c>
      <c r="I106" s="94"/>
      <c r="J106" s="94"/>
      <c r="K106" s="9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  <c r="W106" s="84"/>
      <c r="X106" s="84"/>
      <c r="Y106" s="84"/>
      <c r="Z106" s="84"/>
      <c r="AA106" s="84"/>
      <c r="AB106" s="84"/>
      <c r="AC106" s="84"/>
      <c r="AD106" s="84"/>
      <c r="AE106" s="84"/>
      <c r="AF106" s="84"/>
      <c r="AG106" s="84"/>
      <c r="AH106" s="84"/>
      <c r="AI106" s="84"/>
      <c r="AJ106" s="84"/>
      <c r="AK106" s="84"/>
      <c r="AL106" s="84"/>
      <c r="AM106" s="84"/>
      <c r="AN106" s="84"/>
      <c r="AO106" s="84"/>
      <c r="AP106" s="84"/>
      <c r="AQ106" s="84"/>
      <c r="AR106" s="84"/>
      <c r="AS106" s="84"/>
      <c r="AT106" s="84"/>
      <c r="AU106" s="84"/>
      <c r="AV106" s="84"/>
      <c r="AW106" s="84"/>
      <c r="AX106" s="87">
        <f t="array" ref="AX106">IF(G106=1,SUM((ROW(M0)=ROW(AW106))*(M0+M1_+M2_+M3_+M4_+M5_+M6_+M7_+M8_+M9_+M10_+M11_+M12_+M13_+M14_+M15_+M16_+M17_+M18_+M19_+M20_+M21_+M22_+M23_+M24_+M25_+M26_+M27_+M28_+M29_+M30_+M31_+M32_+M33_+M34_+M35_+M36_+M37_)),0)</f>
        <v>0</v>
      </c>
      <c r="AZ106" s="24" t="str">
        <f t="shared" si="37"/>
        <v/>
      </c>
      <c r="BA106" s="24" t="str">
        <f t="shared" si="38"/>
        <v/>
      </c>
      <c r="BB106" s="24" t="str">
        <f t="shared" si="39"/>
        <v/>
      </c>
      <c r="BC106" s="24" t="str">
        <f>IF(OR(E106="",LEFT(TableCosts[[#This Row],[Calc_N_Typ]],18)="Vynaložené náklady"),"",VLOOKUP(E106,Tab_Parts,2,0))</f>
        <v/>
      </c>
      <c r="BD106" s="24" t="str">
        <f t="shared" si="40"/>
        <v/>
      </c>
      <c r="BE106" s="24">
        <f t="shared" si="41"/>
        <v>0</v>
      </c>
      <c r="BF106" s="72">
        <f>TableCosts[[#This Row],[N_Amount]]*TableCosts[[#This Row],[N_Tariff]]*TableCosts[[#This Row],[N_ItemsCount]]</f>
        <v>0</v>
      </c>
      <c r="BG106" s="72">
        <f>IF(G106=1,IF(TableCosts[[#This Row],[N_Kateg]]="interné práce",TableCosts[[#This Row],[N_Amount]]*8*PAR_SGA_PERHOUR,0),0)</f>
        <v>0</v>
      </c>
      <c r="BH106" s="72">
        <f>SUM(TableCosts[[#This Row],[N_Direct]:[N_SGA]])</f>
        <v>0</v>
      </c>
      <c r="BI106" s="24">
        <f>IF(G106=1,IF(OR(AND(NOT(ISERROR(VLOOKUP(TableCosts[[#This Row],[Calc_N_Typ]],Cis_WorkPositions,1,0))),C106&lt;&gt;"",D106&lt;&gt;"",E106&lt;&gt;""),AND(ISERROR(VLOOKUP(TableCosts[[#This Row],[Calc_N_Typ]],Cis_WorkPositions,1,0)),C106="",D106="",E106&lt;&gt;""),LEFT(TableCosts[[#This Row],[Calc_N_Typ]],18)="Vynaložené náklady"),VLOOKUP(C106&amp;TableCosts[[#This Row],[Calc_N_Typ]],TRAN_STRITEMS_LABEL,VLOOKUP(D106,Tab_Hours,3,0),0),NA()),0)</f>
        <v>0</v>
      </c>
      <c r="BJ106" s="24">
        <f t="shared" si="42"/>
        <v>0</v>
      </c>
      <c r="BK106" s="24" t="str">
        <f t="shared" si="43"/>
        <v/>
      </c>
      <c r="BL106" s="24" t="str">
        <f t="shared" si="44"/>
        <v/>
      </c>
      <c r="BM106" s="24" t="str">
        <f>IF(G106=1,IF(TableCosts[[#This Row],[TransferFrom]]=TableCosts[[#This Row],[TranferTo]],0,1),"")</f>
        <v/>
      </c>
      <c r="BN106" s="24" t="str">
        <f t="shared" si="45"/>
        <v/>
      </c>
      <c r="BO106" s="24">
        <f t="shared" si="46"/>
        <v>0</v>
      </c>
      <c r="BP106" s="24">
        <f t="shared" si="47"/>
        <v>0</v>
      </c>
    </row>
    <row r="107" spans="2:68" s="24" customFormat="1" ht="12.75" x14ac:dyDescent="0.2">
      <c r="B107" s="97"/>
      <c r="C107" s="92"/>
      <c r="D107" s="92"/>
      <c r="E107" s="92"/>
      <c r="F107" s="31" t="str">
        <f>IF(G107=1,IF(ISERROR(TableCosts[[#This Row],[N_Tariff]]),Err_Message1,IF(TableCosts[[#This Row],[N_Tariff]]=0,Err_Message2,VLOOKUP(C107&amp;TableCosts[[#This Row],[Calc_N_Typ]],TRAN_STRITEMS_LABEL,5,FALSE))),"")</f>
        <v/>
      </c>
      <c r="G107" s="31">
        <f t="shared" si="36"/>
        <v>0</v>
      </c>
      <c r="H107" s="31" t="str">
        <f>IF(G107=1,IFERROR(VLOOKUP(F107,Tab_ErrMessage[],2,0),VLOOKUP(C107&amp;TableCosts[[#This Row],[Calc_N_Typ]],TRAN_STRITEMS_LABEL,4,FALSE)),"")</f>
        <v/>
      </c>
      <c r="I107" s="94"/>
      <c r="J107" s="94"/>
      <c r="K107" s="9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  <c r="W107" s="84"/>
      <c r="X107" s="84"/>
      <c r="Y107" s="84"/>
      <c r="Z107" s="84"/>
      <c r="AA107" s="84"/>
      <c r="AB107" s="84"/>
      <c r="AC107" s="84"/>
      <c r="AD107" s="84"/>
      <c r="AE107" s="84"/>
      <c r="AF107" s="84"/>
      <c r="AG107" s="84"/>
      <c r="AH107" s="84"/>
      <c r="AI107" s="84"/>
      <c r="AJ107" s="84"/>
      <c r="AK107" s="84"/>
      <c r="AL107" s="84"/>
      <c r="AM107" s="84"/>
      <c r="AN107" s="84"/>
      <c r="AO107" s="84"/>
      <c r="AP107" s="84"/>
      <c r="AQ107" s="84"/>
      <c r="AR107" s="84"/>
      <c r="AS107" s="84"/>
      <c r="AT107" s="84"/>
      <c r="AU107" s="84"/>
      <c r="AV107" s="84"/>
      <c r="AW107" s="84"/>
      <c r="AX107" s="87">
        <f t="array" ref="AX107">IF(G107=1,SUM((ROW(M0)=ROW(AW107))*(M0+M1_+M2_+M3_+M4_+M5_+M6_+M7_+M8_+M9_+M10_+M11_+M12_+M13_+M14_+M15_+M16_+M17_+M18_+M19_+M20_+M21_+M22_+M23_+M24_+M25_+M26_+M27_+M28_+M29_+M30_+M31_+M32_+M33_+M34_+M35_+M36_+M37_)),0)</f>
        <v>0</v>
      </c>
      <c r="AZ107" s="24" t="str">
        <f t="shared" si="37"/>
        <v/>
      </c>
      <c r="BA107" s="24" t="str">
        <f t="shared" si="38"/>
        <v/>
      </c>
      <c r="BB107" s="24" t="str">
        <f t="shared" si="39"/>
        <v/>
      </c>
      <c r="BC107" s="24" t="str">
        <f>IF(OR(E107="",LEFT(TableCosts[[#This Row],[Calc_N_Typ]],18)="Vynaložené náklady"),"",VLOOKUP(E107,Tab_Parts,2,0))</f>
        <v/>
      </c>
      <c r="BD107" s="24" t="str">
        <f t="shared" si="40"/>
        <v/>
      </c>
      <c r="BE107" s="24">
        <f t="shared" si="41"/>
        <v>0</v>
      </c>
      <c r="BF107" s="72">
        <f>TableCosts[[#This Row],[N_Amount]]*TableCosts[[#This Row],[N_Tariff]]*TableCosts[[#This Row],[N_ItemsCount]]</f>
        <v>0</v>
      </c>
      <c r="BG107" s="72">
        <f>IF(G107=1,IF(TableCosts[[#This Row],[N_Kateg]]="interné práce",TableCosts[[#This Row],[N_Amount]]*8*PAR_SGA_PERHOUR,0),0)</f>
        <v>0</v>
      </c>
      <c r="BH107" s="72">
        <f>SUM(TableCosts[[#This Row],[N_Direct]:[N_SGA]])</f>
        <v>0</v>
      </c>
      <c r="BI107" s="24">
        <f>IF(G107=1,IF(OR(AND(NOT(ISERROR(VLOOKUP(TableCosts[[#This Row],[Calc_N_Typ]],Cis_WorkPositions,1,0))),C107&lt;&gt;"",D107&lt;&gt;"",E107&lt;&gt;""),AND(ISERROR(VLOOKUP(TableCosts[[#This Row],[Calc_N_Typ]],Cis_WorkPositions,1,0)),C107="",D107="",E107&lt;&gt;""),LEFT(TableCosts[[#This Row],[Calc_N_Typ]],18)="Vynaložené náklady"),VLOOKUP(C107&amp;TableCosts[[#This Row],[Calc_N_Typ]],TRAN_STRITEMS_LABEL,VLOOKUP(D107,Tab_Hours,3,0),0),NA()),0)</f>
        <v>0</v>
      </c>
      <c r="BJ107" s="24">
        <f t="shared" si="42"/>
        <v>0</v>
      </c>
      <c r="BK107" s="24" t="str">
        <f t="shared" si="43"/>
        <v/>
      </c>
      <c r="BL107" s="24" t="str">
        <f t="shared" si="44"/>
        <v/>
      </c>
      <c r="BM107" s="24" t="str">
        <f>IF(G107=1,IF(TableCosts[[#This Row],[TransferFrom]]=TableCosts[[#This Row],[TranferTo]],0,1),"")</f>
        <v/>
      </c>
      <c r="BN107" s="24" t="str">
        <f t="shared" si="45"/>
        <v/>
      </c>
      <c r="BO107" s="24">
        <f t="shared" si="46"/>
        <v>0</v>
      </c>
      <c r="BP107" s="24">
        <f t="shared" si="47"/>
        <v>0</v>
      </c>
    </row>
    <row r="108" spans="2:68" s="24" customFormat="1" ht="12.75" x14ac:dyDescent="0.2">
      <c r="B108" s="97"/>
      <c r="C108" s="92"/>
      <c r="D108" s="92"/>
      <c r="E108" s="92"/>
      <c r="F108" s="31" t="str">
        <f>IF(G108=1,IF(ISERROR(TableCosts[[#This Row],[N_Tariff]]),Err_Message1,IF(TableCosts[[#This Row],[N_Tariff]]=0,Err_Message2,VLOOKUP(C108&amp;TableCosts[[#This Row],[Calc_N_Typ]],TRAN_STRITEMS_LABEL,5,FALSE))),"")</f>
        <v/>
      </c>
      <c r="G108" s="31">
        <f t="shared" si="36"/>
        <v>0</v>
      </c>
      <c r="H108" s="31" t="str">
        <f>IF(G108=1,IFERROR(VLOOKUP(F108,Tab_ErrMessage[],2,0),VLOOKUP(C108&amp;TableCosts[[#This Row],[Calc_N_Typ]],TRAN_STRITEMS_LABEL,4,FALSE)),"")</f>
        <v/>
      </c>
      <c r="I108" s="94"/>
      <c r="J108" s="94"/>
      <c r="K108" s="9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  <c r="W108" s="84"/>
      <c r="X108" s="84"/>
      <c r="Y108" s="84"/>
      <c r="Z108" s="84"/>
      <c r="AA108" s="84"/>
      <c r="AB108" s="84"/>
      <c r="AC108" s="84"/>
      <c r="AD108" s="84"/>
      <c r="AE108" s="84"/>
      <c r="AF108" s="84"/>
      <c r="AG108" s="84"/>
      <c r="AH108" s="84"/>
      <c r="AI108" s="84"/>
      <c r="AJ108" s="84"/>
      <c r="AK108" s="84"/>
      <c r="AL108" s="84"/>
      <c r="AM108" s="84"/>
      <c r="AN108" s="84"/>
      <c r="AO108" s="84"/>
      <c r="AP108" s="84"/>
      <c r="AQ108" s="84"/>
      <c r="AR108" s="84"/>
      <c r="AS108" s="84"/>
      <c r="AT108" s="84"/>
      <c r="AU108" s="84"/>
      <c r="AV108" s="84"/>
      <c r="AW108" s="84"/>
      <c r="AX108" s="87">
        <f t="array" ref="AX108">IF(G108=1,SUM((ROW(M0)=ROW(AW108))*(M0+M1_+M2_+M3_+M4_+M5_+M6_+M7_+M8_+M9_+M10_+M11_+M12_+M13_+M14_+M15_+M16_+M17_+M18_+M19_+M20_+M21_+M22_+M23_+M24_+M25_+M26_+M27_+M28_+M29_+M30_+M31_+M32_+M33_+M34_+M35_+M36_+M37_)),0)</f>
        <v>0</v>
      </c>
      <c r="AZ108" s="24" t="str">
        <f t="shared" si="37"/>
        <v/>
      </c>
      <c r="BA108" s="24" t="str">
        <f t="shared" si="38"/>
        <v/>
      </c>
      <c r="BB108" s="24" t="str">
        <f t="shared" si="39"/>
        <v/>
      </c>
      <c r="BC108" s="24" t="str">
        <f>IF(OR(E108="",LEFT(TableCosts[[#This Row],[Calc_N_Typ]],18)="Vynaložené náklady"),"",VLOOKUP(E108,Tab_Parts,2,0))</f>
        <v/>
      </c>
      <c r="BD108" s="24" t="str">
        <f t="shared" si="40"/>
        <v/>
      </c>
      <c r="BE108" s="24">
        <f t="shared" si="41"/>
        <v>0</v>
      </c>
      <c r="BF108" s="72">
        <f>TableCosts[[#This Row],[N_Amount]]*TableCosts[[#This Row],[N_Tariff]]*TableCosts[[#This Row],[N_ItemsCount]]</f>
        <v>0</v>
      </c>
      <c r="BG108" s="72">
        <f>IF(G108=1,IF(TableCosts[[#This Row],[N_Kateg]]="interné práce",TableCosts[[#This Row],[N_Amount]]*8*PAR_SGA_PERHOUR,0),0)</f>
        <v>0</v>
      </c>
      <c r="BH108" s="72">
        <f>SUM(TableCosts[[#This Row],[N_Direct]:[N_SGA]])</f>
        <v>0</v>
      </c>
      <c r="BI108" s="24">
        <f>IF(G108=1,IF(OR(AND(NOT(ISERROR(VLOOKUP(TableCosts[[#This Row],[Calc_N_Typ]],Cis_WorkPositions,1,0))),C108&lt;&gt;"",D108&lt;&gt;"",E108&lt;&gt;""),AND(ISERROR(VLOOKUP(TableCosts[[#This Row],[Calc_N_Typ]],Cis_WorkPositions,1,0)),C108="",D108="",E108&lt;&gt;""),LEFT(TableCosts[[#This Row],[Calc_N_Typ]],18)="Vynaložené náklady"),VLOOKUP(C108&amp;TableCosts[[#This Row],[Calc_N_Typ]],TRAN_STRITEMS_LABEL,VLOOKUP(D108,Tab_Hours,3,0),0),NA()),0)</f>
        <v>0</v>
      </c>
      <c r="BJ108" s="24">
        <f t="shared" si="42"/>
        <v>0</v>
      </c>
      <c r="BK108" s="24" t="str">
        <f t="shared" si="43"/>
        <v/>
      </c>
      <c r="BL108" s="24" t="str">
        <f t="shared" si="44"/>
        <v/>
      </c>
      <c r="BM108" s="24" t="str">
        <f>IF(G108=1,IF(TableCosts[[#This Row],[TransferFrom]]=TableCosts[[#This Row],[TranferTo]],0,1),"")</f>
        <v/>
      </c>
      <c r="BN108" s="24" t="str">
        <f t="shared" si="45"/>
        <v/>
      </c>
      <c r="BO108" s="24">
        <f t="shared" si="46"/>
        <v>0</v>
      </c>
      <c r="BP108" s="24">
        <f t="shared" si="47"/>
        <v>0</v>
      </c>
    </row>
    <row r="109" spans="2:68" s="24" customFormat="1" ht="12.75" x14ac:dyDescent="0.2">
      <c r="B109" s="97"/>
      <c r="C109" s="92"/>
      <c r="D109" s="92"/>
      <c r="E109" s="92"/>
      <c r="F109" s="31" t="str">
        <f>IF(G109=1,IF(ISERROR(TableCosts[[#This Row],[N_Tariff]]),Err_Message1,IF(TableCosts[[#This Row],[N_Tariff]]=0,Err_Message2,VLOOKUP(C109&amp;TableCosts[[#This Row],[Calc_N_Typ]],TRAN_STRITEMS_LABEL,5,FALSE))),"")</f>
        <v/>
      </c>
      <c r="G109" s="31">
        <f t="shared" si="36"/>
        <v>0</v>
      </c>
      <c r="H109" s="31" t="str">
        <f>IF(G109=1,IFERROR(VLOOKUP(F109,Tab_ErrMessage[],2,0),VLOOKUP(C109&amp;TableCosts[[#This Row],[Calc_N_Typ]],TRAN_STRITEMS_LABEL,4,FALSE)),"")</f>
        <v/>
      </c>
      <c r="I109" s="94"/>
      <c r="J109" s="94"/>
      <c r="K109" s="94"/>
      <c r="L109" s="84"/>
      <c r="M109" s="84"/>
      <c r="N109" s="84"/>
      <c r="O109" s="84"/>
      <c r="P109" s="84"/>
      <c r="Q109" s="84"/>
      <c r="R109" s="84"/>
      <c r="S109" s="84"/>
      <c r="T109" s="84"/>
      <c r="U109" s="84"/>
      <c r="V109" s="84"/>
      <c r="W109" s="84"/>
      <c r="X109" s="84"/>
      <c r="Y109" s="84"/>
      <c r="Z109" s="84"/>
      <c r="AA109" s="84"/>
      <c r="AB109" s="84"/>
      <c r="AC109" s="84"/>
      <c r="AD109" s="84"/>
      <c r="AE109" s="84"/>
      <c r="AF109" s="84"/>
      <c r="AG109" s="84"/>
      <c r="AH109" s="84"/>
      <c r="AI109" s="84"/>
      <c r="AJ109" s="84"/>
      <c r="AK109" s="84"/>
      <c r="AL109" s="84"/>
      <c r="AM109" s="84"/>
      <c r="AN109" s="84"/>
      <c r="AO109" s="84"/>
      <c r="AP109" s="84"/>
      <c r="AQ109" s="84"/>
      <c r="AR109" s="84"/>
      <c r="AS109" s="84"/>
      <c r="AT109" s="84"/>
      <c r="AU109" s="84"/>
      <c r="AV109" s="84"/>
      <c r="AW109" s="84"/>
      <c r="AX109" s="87">
        <f t="array" ref="AX109">IF(G109=1,SUM((ROW(M0)=ROW(AW109))*(M0+M1_+M2_+M3_+M4_+M5_+M6_+M7_+M8_+M9_+M10_+M11_+M12_+M13_+M14_+M15_+M16_+M17_+M18_+M19_+M20_+M21_+M22_+M23_+M24_+M25_+M26_+M27_+M28_+M29_+M30_+M31_+M32_+M33_+M34_+M35_+M36_+M37_)),0)</f>
        <v>0</v>
      </c>
      <c r="AZ109" s="24" t="str">
        <f t="shared" si="37"/>
        <v/>
      </c>
      <c r="BA109" s="24" t="str">
        <f t="shared" si="38"/>
        <v/>
      </c>
      <c r="BB109" s="24" t="str">
        <f t="shared" si="39"/>
        <v/>
      </c>
      <c r="BC109" s="24" t="str">
        <f>IF(OR(E109="",LEFT(TableCosts[[#This Row],[Calc_N_Typ]],18)="Vynaložené náklady"),"",VLOOKUP(E109,Tab_Parts,2,0))</f>
        <v/>
      </c>
      <c r="BD109" s="24" t="str">
        <f t="shared" si="40"/>
        <v/>
      </c>
      <c r="BE109" s="24">
        <f t="shared" si="41"/>
        <v>0</v>
      </c>
      <c r="BF109" s="72">
        <f>TableCosts[[#This Row],[N_Amount]]*TableCosts[[#This Row],[N_Tariff]]*TableCosts[[#This Row],[N_ItemsCount]]</f>
        <v>0</v>
      </c>
      <c r="BG109" s="72">
        <f>IF(G109=1,IF(TableCosts[[#This Row],[N_Kateg]]="interné práce",TableCosts[[#This Row],[N_Amount]]*8*PAR_SGA_PERHOUR,0),0)</f>
        <v>0</v>
      </c>
      <c r="BH109" s="72">
        <f>SUM(TableCosts[[#This Row],[N_Direct]:[N_SGA]])</f>
        <v>0</v>
      </c>
      <c r="BI109" s="24">
        <f>IF(G109=1,IF(OR(AND(NOT(ISERROR(VLOOKUP(TableCosts[[#This Row],[Calc_N_Typ]],Cis_WorkPositions,1,0))),C109&lt;&gt;"",D109&lt;&gt;"",E109&lt;&gt;""),AND(ISERROR(VLOOKUP(TableCosts[[#This Row],[Calc_N_Typ]],Cis_WorkPositions,1,0)),C109="",D109="",E109&lt;&gt;""),LEFT(TableCosts[[#This Row],[Calc_N_Typ]],18)="Vynaložené náklady"),VLOOKUP(C109&amp;TableCosts[[#This Row],[Calc_N_Typ]],TRAN_STRITEMS_LABEL,VLOOKUP(D109,Tab_Hours,3,0),0),NA()),0)</f>
        <v>0</v>
      </c>
      <c r="BJ109" s="24">
        <f t="shared" si="42"/>
        <v>0</v>
      </c>
      <c r="BK109" s="24" t="str">
        <f t="shared" si="43"/>
        <v/>
      </c>
      <c r="BL109" s="24" t="str">
        <f t="shared" si="44"/>
        <v/>
      </c>
      <c r="BM109" s="24" t="str">
        <f>IF(G109=1,IF(TableCosts[[#This Row],[TransferFrom]]=TableCosts[[#This Row],[TranferTo]],0,1),"")</f>
        <v/>
      </c>
      <c r="BN109" s="24" t="str">
        <f t="shared" si="45"/>
        <v/>
      </c>
      <c r="BO109" s="24">
        <f t="shared" si="46"/>
        <v>0</v>
      </c>
      <c r="BP109" s="24">
        <f t="shared" si="47"/>
        <v>0</v>
      </c>
    </row>
    <row r="110" spans="2:68" s="24" customFormat="1" ht="12.75" x14ac:dyDescent="0.2">
      <c r="B110" s="97"/>
      <c r="C110" s="92"/>
      <c r="D110" s="92"/>
      <c r="E110" s="92"/>
      <c r="F110" s="31" t="str">
        <f>IF(G110=1,IF(ISERROR(TableCosts[[#This Row],[N_Tariff]]),Err_Message1,IF(TableCosts[[#This Row],[N_Tariff]]=0,Err_Message2,VLOOKUP(C110&amp;TableCosts[[#This Row],[Calc_N_Typ]],TRAN_STRITEMS_LABEL,5,FALSE))),"")</f>
        <v/>
      </c>
      <c r="G110" s="31">
        <f t="shared" si="36"/>
        <v>0</v>
      </c>
      <c r="H110" s="31" t="str">
        <f>IF(G110=1,IFERROR(VLOOKUP(F110,Tab_ErrMessage[],2,0),VLOOKUP(C110&amp;TableCosts[[#This Row],[Calc_N_Typ]],TRAN_STRITEMS_LABEL,4,FALSE)),"")</f>
        <v/>
      </c>
      <c r="I110" s="94"/>
      <c r="J110" s="94"/>
      <c r="K110" s="9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4"/>
      <c r="Z110" s="84"/>
      <c r="AA110" s="84"/>
      <c r="AB110" s="84"/>
      <c r="AC110" s="84"/>
      <c r="AD110" s="84"/>
      <c r="AE110" s="84"/>
      <c r="AF110" s="84"/>
      <c r="AG110" s="84"/>
      <c r="AH110" s="84"/>
      <c r="AI110" s="84"/>
      <c r="AJ110" s="84"/>
      <c r="AK110" s="84"/>
      <c r="AL110" s="84"/>
      <c r="AM110" s="84"/>
      <c r="AN110" s="84"/>
      <c r="AO110" s="84"/>
      <c r="AP110" s="84"/>
      <c r="AQ110" s="84"/>
      <c r="AR110" s="84"/>
      <c r="AS110" s="84"/>
      <c r="AT110" s="84"/>
      <c r="AU110" s="84"/>
      <c r="AV110" s="84"/>
      <c r="AW110" s="84"/>
      <c r="AX110" s="87">
        <f t="array" ref="AX110">IF(G110=1,SUM((ROW(M0)=ROW(AW110))*(M0+M1_+M2_+M3_+M4_+M5_+M6_+M7_+M8_+M9_+M10_+M11_+M12_+M13_+M14_+M15_+M16_+M17_+M18_+M19_+M20_+M21_+M22_+M23_+M24_+M25_+M26_+M27_+M28_+M29_+M30_+M31_+M32_+M33_+M34_+M35_+M36_+M37_)),0)</f>
        <v>0</v>
      </c>
      <c r="AZ110" s="24" t="str">
        <f t="shared" si="37"/>
        <v/>
      </c>
      <c r="BA110" s="24" t="str">
        <f t="shared" si="38"/>
        <v/>
      </c>
      <c r="BB110" s="24" t="str">
        <f t="shared" si="39"/>
        <v/>
      </c>
      <c r="BC110" s="24" t="str">
        <f>IF(OR(E110="",LEFT(TableCosts[[#This Row],[Calc_N_Typ]],18)="Vynaložené náklady"),"",VLOOKUP(E110,Tab_Parts,2,0))</f>
        <v/>
      </c>
      <c r="BD110" s="24" t="str">
        <f t="shared" si="40"/>
        <v/>
      </c>
      <c r="BE110" s="24">
        <f t="shared" si="41"/>
        <v>0</v>
      </c>
      <c r="BF110" s="72">
        <f>TableCosts[[#This Row],[N_Amount]]*TableCosts[[#This Row],[N_Tariff]]*TableCosts[[#This Row],[N_ItemsCount]]</f>
        <v>0</v>
      </c>
      <c r="BG110" s="72">
        <f>IF(G110=1,IF(TableCosts[[#This Row],[N_Kateg]]="interné práce",TableCosts[[#This Row],[N_Amount]]*8*PAR_SGA_PERHOUR,0),0)</f>
        <v>0</v>
      </c>
      <c r="BH110" s="72">
        <f>SUM(TableCosts[[#This Row],[N_Direct]:[N_SGA]])</f>
        <v>0</v>
      </c>
      <c r="BI110" s="24">
        <f>IF(G110=1,IF(OR(AND(NOT(ISERROR(VLOOKUP(TableCosts[[#This Row],[Calc_N_Typ]],Cis_WorkPositions,1,0))),C110&lt;&gt;"",D110&lt;&gt;"",E110&lt;&gt;""),AND(ISERROR(VLOOKUP(TableCosts[[#This Row],[Calc_N_Typ]],Cis_WorkPositions,1,0)),C110="",D110="",E110&lt;&gt;""),LEFT(TableCosts[[#This Row],[Calc_N_Typ]],18)="Vynaložené náklady"),VLOOKUP(C110&amp;TableCosts[[#This Row],[Calc_N_Typ]],TRAN_STRITEMS_LABEL,VLOOKUP(D110,Tab_Hours,3,0),0),NA()),0)</f>
        <v>0</v>
      </c>
      <c r="BJ110" s="24">
        <f t="shared" si="42"/>
        <v>0</v>
      </c>
      <c r="BK110" s="24" t="str">
        <f t="shared" si="43"/>
        <v/>
      </c>
      <c r="BL110" s="24" t="str">
        <f t="shared" si="44"/>
        <v/>
      </c>
      <c r="BM110" s="24" t="str">
        <f>IF(G110=1,IF(TableCosts[[#This Row],[TransferFrom]]=TableCosts[[#This Row],[TranferTo]],0,1),"")</f>
        <v/>
      </c>
      <c r="BN110" s="24" t="str">
        <f t="shared" si="45"/>
        <v/>
      </c>
      <c r="BO110" s="24">
        <f t="shared" si="46"/>
        <v>0</v>
      </c>
      <c r="BP110" s="24">
        <f t="shared" si="47"/>
        <v>0</v>
      </c>
    </row>
    <row r="111" spans="2:68" s="24" customFormat="1" ht="12.75" x14ac:dyDescent="0.2">
      <c r="B111" s="97"/>
      <c r="C111" s="92"/>
      <c r="D111" s="92"/>
      <c r="E111" s="92"/>
      <c r="F111" s="31" t="str">
        <f>IF(G111=1,IF(ISERROR(TableCosts[[#This Row],[N_Tariff]]),Err_Message1,IF(TableCosts[[#This Row],[N_Tariff]]=0,Err_Message2,VLOOKUP(C111&amp;TableCosts[[#This Row],[Calc_N_Typ]],TRAN_STRITEMS_LABEL,5,FALSE))),"")</f>
        <v/>
      </c>
      <c r="G111" s="31">
        <f t="shared" si="36"/>
        <v>0</v>
      </c>
      <c r="H111" s="31" t="str">
        <f>IF(G111=1,IFERROR(VLOOKUP(F111,Tab_ErrMessage[],2,0),VLOOKUP(C111&amp;TableCosts[[#This Row],[Calc_N_Typ]],TRAN_STRITEMS_LABEL,4,FALSE)),"")</f>
        <v/>
      </c>
      <c r="I111" s="94"/>
      <c r="J111" s="94"/>
      <c r="K111" s="94"/>
      <c r="L111" s="84"/>
      <c r="M111" s="84"/>
      <c r="N111" s="84"/>
      <c r="O111" s="84"/>
      <c r="P111" s="84"/>
      <c r="Q111" s="84"/>
      <c r="R111" s="84"/>
      <c r="S111" s="84"/>
      <c r="T111" s="84"/>
      <c r="U111" s="84"/>
      <c r="V111" s="84"/>
      <c r="W111" s="84"/>
      <c r="X111" s="84"/>
      <c r="Y111" s="84"/>
      <c r="Z111" s="84"/>
      <c r="AA111" s="84"/>
      <c r="AB111" s="84"/>
      <c r="AC111" s="84"/>
      <c r="AD111" s="84"/>
      <c r="AE111" s="84"/>
      <c r="AF111" s="84"/>
      <c r="AG111" s="84"/>
      <c r="AH111" s="84"/>
      <c r="AI111" s="84"/>
      <c r="AJ111" s="84"/>
      <c r="AK111" s="84"/>
      <c r="AL111" s="84"/>
      <c r="AM111" s="84"/>
      <c r="AN111" s="84"/>
      <c r="AO111" s="84"/>
      <c r="AP111" s="84"/>
      <c r="AQ111" s="84"/>
      <c r="AR111" s="84"/>
      <c r="AS111" s="84"/>
      <c r="AT111" s="84"/>
      <c r="AU111" s="84"/>
      <c r="AV111" s="84"/>
      <c r="AW111" s="84"/>
      <c r="AX111" s="87">
        <f t="array" ref="AX111">IF(G111=1,SUM((ROW(M0)=ROW(AW111))*(M0+M1_+M2_+M3_+M4_+M5_+M6_+M7_+M8_+M9_+M10_+M11_+M12_+M13_+M14_+M15_+M16_+M17_+M18_+M19_+M20_+M21_+M22_+M23_+M24_+M25_+M26_+M27_+M28_+M29_+M30_+M31_+M32_+M33_+M34_+M35_+M36_+M37_)),0)</f>
        <v>0</v>
      </c>
      <c r="AZ111" s="24" t="str">
        <f t="shared" si="37"/>
        <v/>
      </c>
      <c r="BA111" s="24" t="str">
        <f t="shared" si="38"/>
        <v/>
      </c>
      <c r="BB111" s="24" t="str">
        <f t="shared" si="39"/>
        <v/>
      </c>
      <c r="BC111" s="24" t="str">
        <f>IF(OR(E111="",LEFT(TableCosts[[#This Row],[Calc_N_Typ]],18)="Vynaložené náklady"),"",VLOOKUP(E111,Tab_Parts,2,0))</f>
        <v/>
      </c>
      <c r="BD111" s="24" t="str">
        <f t="shared" si="40"/>
        <v/>
      </c>
      <c r="BE111" s="24">
        <f t="shared" si="41"/>
        <v>0</v>
      </c>
      <c r="BF111" s="72">
        <f>TableCosts[[#This Row],[N_Amount]]*TableCosts[[#This Row],[N_Tariff]]*TableCosts[[#This Row],[N_ItemsCount]]</f>
        <v>0</v>
      </c>
      <c r="BG111" s="72">
        <f>IF(G111=1,IF(TableCosts[[#This Row],[N_Kateg]]="interné práce",TableCosts[[#This Row],[N_Amount]]*8*PAR_SGA_PERHOUR,0),0)</f>
        <v>0</v>
      </c>
      <c r="BH111" s="72">
        <f>SUM(TableCosts[[#This Row],[N_Direct]:[N_SGA]])</f>
        <v>0</v>
      </c>
      <c r="BI111" s="24">
        <f>IF(G111=1,IF(OR(AND(NOT(ISERROR(VLOOKUP(TableCosts[[#This Row],[Calc_N_Typ]],Cis_WorkPositions,1,0))),C111&lt;&gt;"",D111&lt;&gt;"",E111&lt;&gt;""),AND(ISERROR(VLOOKUP(TableCosts[[#This Row],[Calc_N_Typ]],Cis_WorkPositions,1,0)),C111="",D111="",E111&lt;&gt;""),LEFT(TableCosts[[#This Row],[Calc_N_Typ]],18)="Vynaložené náklady"),VLOOKUP(C111&amp;TableCosts[[#This Row],[Calc_N_Typ]],TRAN_STRITEMS_LABEL,VLOOKUP(D111,Tab_Hours,3,0),0),NA()),0)</f>
        <v>0</v>
      </c>
      <c r="BJ111" s="24">
        <f t="shared" si="42"/>
        <v>0</v>
      </c>
      <c r="BK111" s="24" t="str">
        <f t="shared" si="43"/>
        <v/>
      </c>
      <c r="BL111" s="24" t="str">
        <f t="shared" si="44"/>
        <v/>
      </c>
      <c r="BM111" s="24" t="str">
        <f>IF(G111=1,IF(TableCosts[[#This Row],[TransferFrom]]=TableCosts[[#This Row],[TranferTo]],0,1),"")</f>
        <v/>
      </c>
      <c r="BN111" s="24" t="str">
        <f t="shared" si="45"/>
        <v/>
      </c>
      <c r="BO111" s="24">
        <f t="shared" si="46"/>
        <v>0</v>
      </c>
      <c r="BP111" s="24">
        <f t="shared" si="47"/>
        <v>0</v>
      </c>
    </row>
    <row r="112" spans="2:68" s="24" customFormat="1" ht="12.75" x14ac:dyDescent="0.2">
      <c r="B112" s="97"/>
      <c r="C112" s="92"/>
      <c r="D112" s="92"/>
      <c r="E112" s="92"/>
      <c r="F112" s="31" t="str">
        <f>IF(G112=1,IF(ISERROR(TableCosts[[#This Row],[N_Tariff]]),Err_Message1,IF(TableCosts[[#This Row],[N_Tariff]]=0,Err_Message2,VLOOKUP(C112&amp;TableCosts[[#This Row],[Calc_N_Typ]],TRAN_STRITEMS_LABEL,5,FALSE))),"")</f>
        <v/>
      </c>
      <c r="G112" s="31">
        <f t="shared" si="36"/>
        <v>0</v>
      </c>
      <c r="H112" s="31" t="str">
        <f>IF(G112=1,IFERROR(VLOOKUP(F112,Tab_ErrMessage[],2,0),VLOOKUP(C112&amp;TableCosts[[#This Row],[Calc_N_Typ]],TRAN_STRITEMS_LABEL,4,FALSE)),"")</f>
        <v/>
      </c>
      <c r="I112" s="94"/>
      <c r="J112" s="94"/>
      <c r="K112" s="94"/>
      <c r="L112" s="84"/>
      <c r="M112" s="84"/>
      <c r="N112" s="84"/>
      <c r="O112" s="84"/>
      <c r="P112" s="84"/>
      <c r="Q112" s="84"/>
      <c r="R112" s="84"/>
      <c r="S112" s="84"/>
      <c r="T112" s="84"/>
      <c r="U112" s="84"/>
      <c r="V112" s="84"/>
      <c r="W112" s="84"/>
      <c r="X112" s="84"/>
      <c r="Y112" s="84"/>
      <c r="Z112" s="84"/>
      <c r="AA112" s="84"/>
      <c r="AB112" s="84"/>
      <c r="AC112" s="84"/>
      <c r="AD112" s="84"/>
      <c r="AE112" s="84"/>
      <c r="AF112" s="84"/>
      <c r="AG112" s="84"/>
      <c r="AH112" s="84"/>
      <c r="AI112" s="84"/>
      <c r="AJ112" s="84"/>
      <c r="AK112" s="84"/>
      <c r="AL112" s="84"/>
      <c r="AM112" s="84"/>
      <c r="AN112" s="84"/>
      <c r="AO112" s="84"/>
      <c r="AP112" s="84"/>
      <c r="AQ112" s="84"/>
      <c r="AR112" s="84"/>
      <c r="AS112" s="84"/>
      <c r="AT112" s="84"/>
      <c r="AU112" s="84"/>
      <c r="AV112" s="84"/>
      <c r="AW112" s="84"/>
      <c r="AX112" s="87">
        <f t="array" ref="AX112">IF(G112=1,SUM((ROW(M0)=ROW(AW112))*(M0+M1_+M2_+M3_+M4_+M5_+M6_+M7_+M8_+M9_+M10_+M11_+M12_+M13_+M14_+M15_+M16_+M17_+M18_+M19_+M20_+M21_+M22_+M23_+M24_+M25_+M26_+M27_+M28_+M29_+M30_+M31_+M32_+M33_+M34_+M35_+M36_+M37_)),0)</f>
        <v>0</v>
      </c>
      <c r="AZ112" s="24" t="str">
        <f t="shared" si="37"/>
        <v/>
      </c>
      <c r="BA112" s="24" t="str">
        <f t="shared" si="38"/>
        <v/>
      </c>
      <c r="BB112" s="24" t="str">
        <f t="shared" si="39"/>
        <v/>
      </c>
      <c r="BC112" s="24" t="str">
        <f>IF(OR(E112="",LEFT(TableCosts[[#This Row],[Calc_N_Typ]],18)="Vynaložené náklady"),"",VLOOKUP(E112,Tab_Parts,2,0))</f>
        <v/>
      </c>
      <c r="BD112" s="24" t="str">
        <f t="shared" si="40"/>
        <v/>
      </c>
      <c r="BE112" s="24">
        <f t="shared" si="41"/>
        <v>0</v>
      </c>
      <c r="BF112" s="72">
        <f>TableCosts[[#This Row],[N_Amount]]*TableCosts[[#This Row],[N_Tariff]]*TableCosts[[#This Row],[N_ItemsCount]]</f>
        <v>0</v>
      </c>
      <c r="BG112" s="72">
        <f>IF(G112=1,IF(TableCosts[[#This Row],[N_Kateg]]="interné práce",TableCosts[[#This Row],[N_Amount]]*8*PAR_SGA_PERHOUR,0),0)</f>
        <v>0</v>
      </c>
      <c r="BH112" s="72">
        <f>SUM(TableCosts[[#This Row],[N_Direct]:[N_SGA]])</f>
        <v>0</v>
      </c>
      <c r="BI112" s="24">
        <f>IF(G112=1,IF(OR(AND(NOT(ISERROR(VLOOKUP(TableCosts[[#This Row],[Calc_N_Typ]],Cis_WorkPositions,1,0))),C112&lt;&gt;"",D112&lt;&gt;"",E112&lt;&gt;""),AND(ISERROR(VLOOKUP(TableCosts[[#This Row],[Calc_N_Typ]],Cis_WorkPositions,1,0)),C112="",D112="",E112&lt;&gt;""),LEFT(TableCosts[[#This Row],[Calc_N_Typ]],18)="Vynaložené náklady"),VLOOKUP(C112&amp;TableCosts[[#This Row],[Calc_N_Typ]],TRAN_STRITEMS_LABEL,VLOOKUP(D112,Tab_Hours,3,0),0),NA()),0)</f>
        <v>0</v>
      </c>
      <c r="BJ112" s="24">
        <f t="shared" si="42"/>
        <v>0</v>
      </c>
      <c r="BK112" s="24" t="str">
        <f t="shared" si="43"/>
        <v/>
      </c>
      <c r="BL112" s="24" t="str">
        <f t="shared" si="44"/>
        <v/>
      </c>
      <c r="BM112" s="24" t="str">
        <f>IF(G112=1,IF(TableCosts[[#This Row],[TransferFrom]]=TableCosts[[#This Row],[TranferTo]],0,1),"")</f>
        <v/>
      </c>
      <c r="BN112" s="24" t="str">
        <f t="shared" si="45"/>
        <v/>
      </c>
      <c r="BO112" s="24">
        <f t="shared" si="46"/>
        <v>0</v>
      </c>
      <c r="BP112" s="24">
        <f t="shared" si="47"/>
        <v>0</v>
      </c>
    </row>
    <row r="113" spans="2:68" s="24" customFormat="1" ht="12.75" x14ac:dyDescent="0.2">
      <c r="B113" s="97"/>
      <c r="C113" s="92"/>
      <c r="D113" s="92"/>
      <c r="E113" s="92"/>
      <c r="F113" s="31" t="str">
        <f>IF(G113=1,IF(ISERROR(TableCosts[[#This Row],[N_Tariff]]),Err_Message1,IF(TableCosts[[#This Row],[N_Tariff]]=0,Err_Message2,VLOOKUP(C113&amp;TableCosts[[#This Row],[Calc_N_Typ]],TRAN_STRITEMS_LABEL,5,FALSE))),"")</f>
        <v/>
      </c>
      <c r="G113" s="31">
        <f t="shared" si="36"/>
        <v>0</v>
      </c>
      <c r="H113" s="31" t="str">
        <f>IF(G113=1,IFERROR(VLOOKUP(F113,Tab_ErrMessage[],2,0),VLOOKUP(C113&amp;TableCosts[[#This Row],[Calc_N_Typ]],TRAN_STRITEMS_LABEL,4,FALSE)),"")</f>
        <v/>
      </c>
      <c r="I113" s="94"/>
      <c r="J113" s="94"/>
      <c r="K113" s="9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  <c r="W113" s="84"/>
      <c r="X113" s="84"/>
      <c r="Y113" s="84"/>
      <c r="Z113" s="84"/>
      <c r="AA113" s="84"/>
      <c r="AB113" s="84"/>
      <c r="AC113" s="84"/>
      <c r="AD113" s="84"/>
      <c r="AE113" s="84"/>
      <c r="AF113" s="84"/>
      <c r="AG113" s="84"/>
      <c r="AH113" s="84"/>
      <c r="AI113" s="84"/>
      <c r="AJ113" s="84"/>
      <c r="AK113" s="84"/>
      <c r="AL113" s="84"/>
      <c r="AM113" s="84"/>
      <c r="AN113" s="84"/>
      <c r="AO113" s="84"/>
      <c r="AP113" s="84"/>
      <c r="AQ113" s="84"/>
      <c r="AR113" s="84"/>
      <c r="AS113" s="84"/>
      <c r="AT113" s="84"/>
      <c r="AU113" s="84"/>
      <c r="AV113" s="84"/>
      <c r="AW113" s="84"/>
      <c r="AX113" s="87">
        <f t="array" ref="AX113">IF(G113=1,SUM((ROW(M0)=ROW(AW113))*(M0+M1_+M2_+M3_+M4_+M5_+M6_+M7_+M8_+M9_+M10_+M11_+M12_+M13_+M14_+M15_+M16_+M17_+M18_+M19_+M20_+M21_+M22_+M23_+M24_+M25_+M26_+M27_+M28_+M29_+M30_+M31_+M32_+M33_+M34_+M35_+M36_+M37_)),0)</f>
        <v>0</v>
      </c>
      <c r="AZ113" s="24" t="str">
        <f t="shared" si="37"/>
        <v/>
      </c>
      <c r="BA113" s="24" t="str">
        <f t="shared" si="38"/>
        <v/>
      </c>
      <c r="BB113" s="24" t="str">
        <f t="shared" si="39"/>
        <v/>
      </c>
      <c r="BC113" s="24" t="str">
        <f>IF(OR(E113="",LEFT(TableCosts[[#This Row],[Calc_N_Typ]],18)="Vynaložené náklady"),"",VLOOKUP(E113,Tab_Parts,2,0))</f>
        <v/>
      </c>
      <c r="BD113" s="24" t="str">
        <f t="shared" si="40"/>
        <v/>
      </c>
      <c r="BE113" s="24">
        <f t="shared" si="41"/>
        <v>0</v>
      </c>
      <c r="BF113" s="72">
        <f>TableCosts[[#This Row],[N_Amount]]*TableCosts[[#This Row],[N_Tariff]]*TableCosts[[#This Row],[N_ItemsCount]]</f>
        <v>0</v>
      </c>
      <c r="BG113" s="72">
        <f>IF(G113=1,IF(TableCosts[[#This Row],[N_Kateg]]="interné práce",TableCosts[[#This Row],[N_Amount]]*8*PAR_SGA_PERHOUR,0),0)</f>
        <v>0</v>
      </c>
      <c r="BH113" s="72">
        <f>SUM(TableCosts[[#This Row],[N_Direct]:[N_SGA]])</f>
        <v>0</v>
      </c>
      <c r="BI113" s="24">
        <f>IF(G113=1,IF(OR(AND(NOT(ISERROR(VLOOKUP(TableCosts[[#This Row],[Calc_N_Typ]],Cis_WorkPositions,1,0))),C113&lt;&gt;"",D113&lt;&gt;"",E113&lt;&gt;""),AND(ISERROR(VLOOKUP(TableCosts[[#This Row],[Calc_N_Typ]],Cis_WorkPositions,1,0)),C113="",D113="",E113&lt;&gt;""),LEFT(TableCosts[[#This Row],[Calc_N_Typ]],18)="Vynaložené náklady"),VLOOKUP(C113&amp;TableCosts[[#This Row],[Calc_N_Typ]],TRAN_STRITEMS_LABEL,VLOOKUP(D113,Tab_Hours,3,0),0),NA()),0)</f>
        <v>0</v>
      </c>
      <c r="BJ113" s="24">
        <f t="shared" si="42"/>
        <v>0</v>
      </c>
      <c r="BK113" s="24" t="str">
        <f t="shared" si="43"/>
        <v/>
      </c>
      <c r="BL113" s="24" t="str">
        <f t="shared" si="44"/>
        <v/>
      </c>
      <c r="BM113" s="24" t="str">
        <f>IF(G113=1,IF(TableCosts[[#This Row],[TransferFrom]]=TableCosts[[#This Row],[TranferTo]],0,1),"")</f>
        <v/>
      </c>
      <c r="BN113" s="24" t="str">
        <f t="shared" si="45"/>
        <v/>
      </c>
      <c r="BO113" s="24">
        <f t="shared" si="46"/>
        <v>0</v>
      </c>
      <c r="BP113" s="24">
        <f t="shared" si="47"/>
        <v>0</v>
      </c>
    </row>
    <row r="114" spans="2:68" s="24" customFormat="1" ht="12.75" x14ac:dyDescent="0.2">
      <c r="B114" s="97"/>
      <c r="C114" s="92"/>
      <c r="D114" s="92"/>
      <c r="E114" s="92"/>
      <c r="F114" s="31" t="str">
        <f>IF(G114=1,IF(ISERROR(TableCosts[[#This Row],[N_Tariff]]),Err_Message1,IF(TableCosts[[#This Row],[N_Tariff]]=0,Err_Message2,VLOOKUP(C114&amp;TableCosts[[#This Row],[Calc_N_Typ]],TRAN_STRITEMS_LABEL,5,FALSE))),"")</f>
        <v/>
      </c>
      <c r="G114" s="31">
        <f t="shared" si="36"/>
        <v>0</v>
      </c>
      <c r="H114" s="31" t="str">
        <f>IF(G114=1,IFERROR(VLOOKUP(F114,Tab_ErrMessage[],2,0),VLOOKUP(C114&amp;TableCosts[[#This Row],[Calc_N_Typ]],TRAN_STRITEMS_LABEL,4,FALSE)),"")</f>
        <v/>
      </c>
      <c r="I114" s="94"/>
      <c r="J114" s="94"/>
      <c r="K114" s="9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Z114" s="84"/>
      <c r="AA114" s="84"/>
      <c r="AB114" s="84"/>
      <c r="AC114" s="84"/>
      <c r="AD114" s="84"/>
      <c r="AE114" s="84"/>
      <c r="AF114" s="84"/>
      <c r="AG114" s="84"/>
      <c r="AH114" s="84"/>
      <c r="AI114" s="84"/>
      <c r="AJ114" s="84"/>
      <c r="AK114" s="84"/>
      <c r="AL114" s="84"/>
      <c r="AM114" s="84"/>
      <c r="AN114" s="84"/>
      <c r="AO114" s="84"/>
      <c r="AP114" s="84"/>
      <c r="AQ114" s="84"/>
      <c r="AR114" s="84"/>
      <c r="AS114" s="84"/>
      <c r="AT114" s="84"/>
      <c r="AU114" s="84"/>
      <c r="AV114" s="84"/>
      <c r="AW114" s="84"/>
      <c r="AX114" s="87">
        <f t="array" ref="AX114">IF(G114=1,SUM((ROW(M0)=ROW(AW114))*(M0+M1_+M2_+M3_+M4_+M5_+M6_+M7_+M8_+M9_+M10_+M11_+M12_+M13_+M14_+M15_+M16_+M17_+M18_+M19_+M20_+M21_+M22_+M23_+M24_+M25_+M26_+M27_+M28_+M29_+M30_+M31_+M32_+M33_+M34_+M35_+M36_+M37_)),0)</f>
        <v>0</v>
      </c>
      <c r="AZ114" s="24" t="str">
        <f t="shared" si="37"/>
        <v/>
      </c>
      <c r="BA114" s="24" t="str">
        <f t="shared" si="38"/>
        <v/>
      </c>
      <c r="BB114" s="24" t="str">
        <f t="shared" si="39"/>
        <v/>
      </c>
      <c r="BC114" s="24" t="str">
        <f>IF(OR(E114="",LEFT(TableCosts[[#This Row],[Calc_N_Typ]],18)="Vynaložené náklady"),"",VLOOKUP(E114,Tab_Parts,2,0))</f>
        <v/>
      </c>
      <c r="BD114" s="24" t="str">
        <f t="shared" si="40"/>
        <v/>
      </c>
      <c r="BE114" s="24">
        <f t="shared" si="41"/>
        <v>0</v>
      </c>
      <c r="BF114" s="72">
        <f>TableCosts[[#This Row],[N_Amount]]*TableCosts[[#This Row],[N_Tariff]]*TableCosts[[#This Row],[N_ItemsCount]]</f>
        <v>0</v>
      </c>
      <c r="BG114" s="72">
        <f>IF(G114=1,IF(TableCosts[[#This Row],[N_Kateg]]="interné práce",TableCosts[[#This Row],[N_Amount]]*8*PAR_SGA_PERHOUR,0),0)</f>
        <v>0</v>
      </c>
      <c r="BH114" s="72">
        <f>SUM(TableCosts[[#This Row],[N_Direct]:[N_SGA]])</f>
        <v>0</v>
      </c>
      <c r="BI114" s="24">
        <f>IF(G114=1,IF(OR(AND(NOT(ISERROR(VLOOKUP(TableCosts[[#This Row],[Calc_N_Typ]],Cis_WorkPositions,1,0))),C114&lt;&gt;"",D114&lt;&gt;"",E114&lt;&gt;""),AND(ISERROR(VLOOKUP(TableCosts[[#This Row],[Calc_N_Typ]],Cis_WorkPositions,1,0)),C114="",D114="",E114&lt;&gt;""),LEFT(TableCosts[[#This Row],[Calc_N_Typ]],18)="Vynaložené náklady"),VLOOKUP(C114&amp;TableCosts[[#This Row],[Calc_N_Typ]],TRAN_STRITEMS_LABEL,VLOOKUP(D114,Tab_Hours,3,0),0),NA()),0)</f>
        <v>0</v>
      </c>
      <c r="BJ114" s="24">
        <f t="shared" si="42"/>
        <v>0</v>
      </c>
      <c r="BK114" s="24" t="str">
        <f t="shared" si="43"/>
        <v/>
      </c>
      <c r="BL114" s="24" t="str">
        <f t="shared" si="44"/>
        <v/>
      </c>
      <c r="BM114" s="24" t="str">
        <f>IF(G114=1,IF(TableCosts[[#This Row],[TransferFrom]]=TableCosts[[#This Row],[TranferTo]],0,1),"")</f>
        <v/>
      </c>
      <c r="BN114" s="24" t="str">
        <f t="shared" si="45"/>
        <v/>
      </c>
      <c r="BO114" s="24">
        <f t="shared" si="46"/>
        <v>0</v>
      </c>
      <c r="BP114" s="24">
        <f t="shared" si="47"/>
        <v>0</v>
      </c>
    </row>
    <row r="115" spans="2:68" s="24" customFormat="1" ht="12.75" x14ac:dyDescent="0.2">
      <c r="B115" s="97"/>
      <c r="C115" s="92"/>
      <c r="D115" s="92"/>
      <c r="E115" s="92"/>
      <c r="F115" s="31" t="str">
        <f>IF(G115=1,IF(ISERROR(TableCosts[[#This Row],[N_Tariff]]),Err_Message1,IF(TableCosts[[#This Row],[N_Tariff]]=0,Err_Message2,VLOOKUP(C115&amp;TableCosts[[#This Row],[Calc_N_Typ]],TRAN_STRITEMS_LABEL,5,FALSE))),"")</f>
        <v/>
      </c>
      <c r="G115" s="31">
        <f t="shared" si="36"/>
        <v>0</v>
      </c>
      <c r="H115" s="31" t="str">
        <f>IF(G115=1,IFERROR(VLOOKUP(F115,Tab_ErrMessage[],2,0),VLOOKUP(C115&amp;TableCosts[[#This Row],[Calc_N_Typ]],TRAN_STRITEMS_LABEL,4,FALSE)),"")</f>
        <v/>
      </c>
      <c r="I115" s="94"/>
      <c r="J115" s="94"/>
      <c r="K115" s="9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4"/>
      <c r="Z115" s="84"/>
      <c r="AA115" s="84"/>
      <c r="AB115" s="84"/>
      <c r="AC115" s="84"/>
      <c r="AD115" s="84"/>
      <c r="AE115" s="84"/>
      <c r="AF115" s="84"/>
      <c r="AG115" s="84"/>
      <c r="AH115" s="84"/>
      <c r="AI115" s="84"/>
      <c r="AJ115" s="84"/>
      <c r="AK115" s="84"/>
      <c r="AL115" s="84"/>
      <c r="AM115" s="84"/>
      <c r="AN115" s="84"/>
      <c r="AO115" s="84"/>
      <c r="AP115" s="84"/>
      <c r="AQ115" s="84"/>
      <c r="AR115" s="84"/>
      <c r="AS115" s="84"/>
      <c r="AT115" s="84"/>
      <c r="AU115" s="84"/>
      <c r="AV115" s="84"/>
      <c r="AW115" s="84"/>
      <c r="AX115" s="87">
        <f t="array" ref="AX115">IF(G115=1,SUM((ROW(M0)=ROW(AW115))*(M0+M1_+M2_+M3_+M4_+M5_+M6_+M7_+M8_+M9_+M10_+M11_+M12_+M13_+M14_+M15_+M16_+M17_+M18_+M19_+M20_+M21_+M22_+M23_+M24_+M25_+M26_+M27_+M28_+M29_+M30_+M31_+M32_+M33_+M34_+M35_+M36_+M37_)),0)</f>
        <v>0</v>
      </c>
      <c r="AZ115" s="24" t="str">
        <f t="shared" si="37"/>
        <v/>
      </c>
      <c r="BA115" s="24" t="str">
        <f t="shared" si="38"/>
        <v/>
      </c>
      <c r="BB115" s="24" t="str">
        <f t="shared" si="39"/>
        <v/>
      </c>
      <c r="BC115" s="24" t="str">
        <f>IF(OR(E115="",LEFT(TableCosts[[#This Row],[Calc_N_Typ]],18)="Vynaložené náklady"),"",VLOOKUP(E115,Tab_Parts,2,0))</f>
        <v/>
      </c>
      <c r="BD115" s="24" t="str">
        <f t="shared" si="40"/>
        <v/>
      </c>
      <c r="BE115" s="24">
        <f t="shared" si="41"/>
        <v>0</v>
      </c>
      <c r="BF115" s="72">
        <f>TableCosts[[#This Row],[N_Amount]]*TableCosts[[#This Row],[N_Tariff]]*TableCosts[[#This Row],[N_ItemsCount]]</f>
        <v>0</v>
      </c>
      <c r="BG115" s="72">
        <f>IF(G115=1,IF(TableCosts[[#This Row],[N_Kateg]]="interné práce",TableCosts[[#This Row],[N_Amount]]*8*PAR_SGA_PERHOUR,0),0)</f>
        <v>0</v>
      </c>
      <c r="BH115" s="72">
        <f>SUM(TableCosts[[#This Row],[N_Direct]:[N_SGA]])</f>
        <v>0</v>
      </c>
      <c r="BI115" s="24">
        <f>IF(G115=1,IF(OR(AND(NOT(ISERROR(VLOOKUP(TableCosts[[#This Row],[Calc_N_Typ]],Cis_WorkPositions,1,0))),C115&lt;&gt;"",D115&lt;&gt;"",E115&lt;&gt;""),AND(ISERROR(VLOOKUP(TableCosts[[#This Row],[Calc_N_Typ]],Cis_WorkPositions,1,0)),C115="",D115="",E115&lt;&gt;""),LEFT(TableCosts[[#This Row],[Calc_N_Typ]],18)="Vynaložené náklady"),VLOOKUP(C115&amp;TableCosts[[#This Row],[Calc_N_Typ]],TRAN_STRITEMS_LABEL,VLOOKUP(D115,Tab_Hours,3,0),0),NA()),0)</f>
        <v>0</v>
      </c>
      <c r="BJ115" s="24">
        <f t="shared" si="42"/>
        <v>0</v>
      </c>
      <c r="BK115" s="24" t="str">
        <f t="shared" si="43"/>
        <v/>
      </c>
      <c r="BL115" s="24" t="str">
        <f t="shared" si="44"/>
        <v/>
      </c>
      <c r="BM115" s="24" t="str">
        <f>IF(G115=1,IF(TableCosts[[#This Row],[TransferFrom]]=TableCosts[[#This Row],[TranferTo]],0,1),"")</f>
        <v/>
      </c>
      <c r="BN115" s="24" t="str">
        <f t="shared" si="45"/>
        <v/>
      </c>
      <c r="BO115" s="24">
        <f t="shared" si="46"/>
        <v>0</v>
      </c>
      <c r="BP115" s="24">
        <f t="shared" si="47"/>
        <v>0</v>
      </c>
    </row>
    <row r="116" spans="2:68" s="24" customFormat="1" ht="12.75" x14ac:dyDescent="0.2">
      <c r="B116" s="97"/>
      <c r="C116" s="92"/>
      <c r="D116" s="92"/>
      <c r="E116" s="92"/>
      <c r="F116" s="31" t="str">
        <f>IF(G116=1,IF(ISERROR(TableCosts[[#This Row],[N_Tariff]]),Err_Message1,IF(TableCosts[[#This Row],[N_Tariff]]=0,Err_Message2,VLOOKUP(C116&amp;TableCosts[[#This Row],[Calc_N_Typ]],TRAN_STRITEMS_LABEL,5,FALSE))),"")</f>
        <v/>
      </c>
      <c r="G116" s="31">
        <f t="shared" si="36"/>
        <v>0</v>
      </c>
      <c r="H116" s="31" t="str">
        <f>IF(G116=1,IFERROR(VLOOKUP(F116,Tab_ErrMessage[],2,0),VLOOKUP(C116&amp;TableCosts[[#This Row],[Calc_N_Typ]],TRAN_STRITEMS_LABEL,4,FALSE)),"")</f>
        <v/>
      </c>
      <c r="I116" s="94"/>
      <c r="J116" s="94"/>
      <c r="K116" s="9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  <c r="Y116" s="84"/>
      <c r="Z116" s="84"/>
      <c r="AA116" s="84"/>
      <c r="AB116" s="84"/>
      <c r="AC116" s="84"/>
      <c r="AD116" s="84"/>
      <c r="AE116" s="84"/>
      <c r="AF116" s="84"/>
      <c r="AG116" s="84"/>
      <c r="AH116" s="84"/>
      <c r="AI116" s="84"/>
      <c r="AJ116" s="84"/>
      <c r="AK116" s="84"/>
      <c r="AL116" s="84"/>
      <c r="AM116" s="84"/>
      <c r="AN116" s="84"/>
      <c r="AO116" s="84"/>
      <c r="AP116" s="84"/>
      <c r="AQ116" s="84"/>
      <c r="AR116" s="84"/>
      <c r="AS116" s="84"/>
      <c r="AT116" s="84"/>
      <c r="AU116" s="84"/>
      <c r="AV116" s="84"/>
      <c r="AW116" s="84"/>
      <c r="AX116" s="87">
        <f t="array" ref="AX116">IF(G116=1,SUM((ROW(M0)=ROW(AW116))*(M0+M1_+M2_+M3_+M4_+M5_+M6_+M7_+M8_+M9_+M10_+M11_+M12_+M13_+M14_+M15_+M16_+M17_+M18_+M19_+M20_+M21_+M22_+M23_+M24_+M25_+M26_+M27_+M28_+M29_+M30_+M31_+M32_+M33_+M34_+M35_+M36_+M37_)),0)</f>
        <v>0</v>
      </c>
      <c r="AZ116" s="24" t="str">
        <f t="shared" si="37"/>
        <v/>
      </c>
      <c r="BA116" s="24" t="str">
        <f t="shared" si="38"/>
        <v/>
      </c>
      <c r="BB116" s="24" t="str">
        <f t="shared" si="39"/>
        <v/>
      </c>
      <c r="BC116" s="24" t="str">
        <f>IF(OR(E116="",LEFT(TableCosts[[#This Row],[Calc_N_Typ]],18)="Vynaložené náklady"),"",VLOOKUP(E116,Tab_Parts,2,0))</f>
        <v/>
      </c>
      <c r="BD116" s="24" t="str">
        <f t="shared" si="40"/>
        <v/>
      </c>
      <c r="BE116" s="24">
        <f t="shared" si="41"/>
        <v>0</v>
      </c>
      <c r="BF116" s="72">
        <f>TableCosts[[#This Row],[N_Amount]]*TableCosts[[#This Row],[N_Tariff]]*TableCosts[[#This Row],[N_ItemsCount]]</f>
        <v>0</v>
      </c>
      <c r="BG116" s="72">
        <f>IF(G116=1,IF(TableCosts[[#This Row],[N_Kateg]]="interné práce",TableCosts[[#This Row],[N_Amount]]*8*PAR_SGA_PERHOUR,0),0)</f>
        <v>0</v>
      </c>
      <c r="BH116" s="72">
        <f>SUM(TableCosts[[#This Row],[N_Direct]:[N_SGA]])</f>
        <v>0</v>
      </c>
      <c r="BI116" s="24">
        <f>IF(G116=1,IF(OR(AND(NOT(ISERROR(VLOOKUP(TableCosts[[#This Row],[Calc_N_Typ]],Cis_WorkPositions,1,0))),C116&lt;&gt;"",D116&lt;&gt;"",E116&lt;&gt;""),AND(ISERROR(VLOOKUP(TableCosts[[#This Row],[Calc_N_Typ]],Cis_WorkPositions,1,0)),C116="",D116="",E116&lt;&gt;""),LEFT(TableCosts[[#This Row],[Calc_N_Typ]],18)="Vynaložené náklady"),VLOOKUP(C116&amp;TableCosts[[#This Row],[Calc_N_Typ]],TRAN_STRITEMS_LABEL,VLOOKUP(D116,Tab_Hours,3,0),0),NA()),0)</f>
        <v>0</v>
      </c>
      <c r="BJ116" s="24">
        <f t="shared" si="42"/>
        <v>0</v>
      </c>
      <c r="BK116" s="24" t="str">
        <f t="shared" si="43"/>
        <v/>
      </c>
      <c r="BL116" s="24" t="str">
        <f t="shared" si="44"/>
        <v/>
      </c>
      <c r="BM116" s="24" t="str">
        <f>IF(G116=1,IF(TableCosts[[#This Row],[TransferFrom]]=TableCosts[[#This Row],[TranferTo]],0,1),"")</f>
        <v/>
      </c>
      <c r="BN116" s="24" t="str">
        <f t="shared" si="45"/>
        <v/>
      </c>
      <c r="BO116" s="24">
        <f t="shared" si="46"/>
        <v>0</v>
      </c>
      <c r="BP116" s="24">
        <f t="shared" si="47"/>
        <v>0</v>
      </c>
    </row>
    <row r="117" spans="2:68" s="24" customFormat="1" ht="12.75" x14ac:dyDescent="0.2">
      <c r="B117" s="97"/>
      <c r="C117" s="92"/>
      <c r="D117" s="92"/>
      <c r="E117" s="92"/>
      <c r="F117" s="31" t="str">
        <f>IF(G117=1,IF(ISERROR(TableCosts[[#This Row],[N_Tariff]]),Err_Message1,IF(TableCosts[[#This Row],[N_Tariff]]=0,Err_Message2,VLOOKUP(C117&amp;TableCosts[[#This Row],[Calc_N_Typ]],TRAN_STRITEMS_LABEL,5,FALSE))),"")</f>
        <v/>
      </c>
      <c r="G117" s="31">
        <f t="shared" si="36"/>
        <v>0</v>
      </c>
      <c r="H117" s="31" t="str">
        <f>IF(G117=1,IFERROR(VLOOKUP(F117,Tab_ErrMessage[],2,0),VLOOKUP(C117&amp;TableCosts[[#This Row],[Calc_N_Typ]],TRAN_STRITEMS_LABEL,4,FALSE)),"")</f>
        <v/>
      </c>
      <c r="I117" s="94"/>
      <c r="J117" s="94"/>
      <c r="K117" s="9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  <c r="AB117" s="84"/>
      <c r="AC117" s="84"/>
      <c r="AD117" s="84"/>
      <c r="AE117" s="84"/>
      <c r="AF117" s="84"/>
      <c r="AG117" s="84"/>
      <c r="AH117" s="84"/>
      <c r="AI117" s="84"/>
      <c r="AJ117" s="84"/>
      <c r="AK117" s="84"/>
      <c r="AL117" s="84"/>
      <c r="AM117" s="84"/>
      <c r="AN117" s="84"/>
      <c r="AO117" s="84"/>
      <c r="AP117" s="84"/>
      <c r="AQ117" s="84"/>
      <c r="AR117" s="84"/>
      <c r="AS117" s="84"/>
      <c r="AT117" s="84"/>
      <c r="AU117" s="84"/>
      <c r="AV117" s="84"/>
      <c r="AW117" s="84"/>
      <c r="AX117" s="87">
        <f t="array" ref="AX117">IF(G117=1,SUM((ROW(M0)=ROW(AW117))*(M0+M1_+M2_+M3_+M4_+M5_+M6_+M7_+M8_+M9_+M10_+M11_+M12_+M13_+M14_+M15_+M16_+M17_+M18_+M19_+M20_+M21_+M22_+M23_+M24_+M25_+M26_+M27_+M28_+M29_+M30_+M31_+M32_+M33_+M34_+M35_+M36_+M37_)),0)</f>
        <v>0</v>
      </c>
      <c r="AZ117" s="24" t="str">
        <f t="shared" si="37"/>
        <v/>
      </c>
      <c r="BA117" s="24" t="str">
        <f t="shared" si="38"/>
        <v/>
      </c>
      <c r="BB117" s="24" t="str">
        <f t="shared" si="39"/>
        <v/>
      </c>
      <c r="BC117" s="24" t="str">
        <f>IF(OR(E117="",LEFT(TableCosts[[#This Row],[Calc_N_Typ]],18)="Vynaložené náklady"),"",VLOOKUP(E117,Tab_Parts,2,0))</f>
        <v/>
      </c>
      <c r="BD117" s="24" t="str">
        <f t="shared" si="40"/>
        <v/>
      </c>
      <c r="BE117" s="24">
        <f t="shared" si="41"/>
        <v>0</v>
      </c>
      <c r="BF117" s="72">
        <f>TableCosts[[#This Row],[N_Amount]]*TableCosts[[#This Row],[N_Tariff]]*TableCosts[[#This Row],[N_ItemsCount]]</f>
        <v>0</v>
      </c>
      <c r="BG117" s="72">
        <f>IF(G117=1,IF(TableCosts[[#This Row],[N_Kateg]]="interné práce",TableCosts[[#This Row],[N_Amount]]*8*PAR_SGA_PERHOUR,0),0)</f>
        <v>0</v>
      </c>
      <c r="BH117" s="72">
        <f>SUM(TableCosts[[#This Row],[N_Direct]:[N_SGA]])</f>
        <v>0</v>
      </c>
      <c r="BI117" s="24">
        <f>IF(G117=1,IF(OR(AND(NOT(ISERROR(VLOOKUP(TableCosts[[#This Row],[Calc_N_Typ]],Cis_WorkPositions,1,0))),C117&lt;&gt;"",D117&lt;&gt;"",E117&lt;&gt;""),AND(ISERROR(VLOOKUP(TableCosts[[#This Row],[Calc_N_Typ]],Cis_WorkPositions,1,0)),C117="",D117="",E117&lt;&gt;""),LEFT(TableCosts[[#This Row],[Calc_N_Typ]],18)="Vynaložené náklady"),VLOOKUP(C117&amp;TableCosts[[#This Row],[Calc_N_Typ]],TRAN_STRITEMS_LABEL,VLOOKUP(D117,Tab_Hours,3,0),0),NA()),0)</f>
        <v>0</v>
      </c>
      <c r="BJ117" s="24">
        <f t="shared" si="42"/>
        <v>0</v>
      </c>
      <c r="BK117" s="24" t="str">
        <f t="shared" si="43"/>
        <v/>
      </c>
      <c r="BL117" s="24" t="str">
        <f t="shared" si="44"/>
        <v/>
      </c>
      <c r="BM117" s="24" t="str">
        <f>IF(G117=1,IF(TableCosts[[#This Row],[TransferFrom]]=TableCosts[[#This Row],[TranferTo]],0,1),"")</f>
        <v/>
      </c>
      <c r="BN117" s="24" t="str">
        <f t="shared" si="45"/>
        <v/>
      </c>
      <c r="BO117" s="24">
        <f t="shared" si="46"/>
        <v>0</v>
      </c>
      <c r="BP117" s="24">
        <f t="shared" si="47"/>
        <v>0</v>
      </c>
    </row>
    <row r="118" spans="2:68" s="24" customFormat="1" ht="12.75" x14ac:dyDescent="0.2">
      <c r="B118" s="97"/>
      <c r="C118" s="92"/>
      <c r="D118" s="92"/>
      <c r="E118" s="92"/>
      <c r="F118" s="31" t="str">
        <f>IF(G118=1,IF(ISERROR(TableCosts[[#This Row],[N_Tariff]]),Err_Message1,IF(TableCosts[[#This Row],[N_Tariff]]=0,Err_Message2,VLOOKUP(C118&amp;TableCosts[[#This Row],[Calc_N_Typ]],TRAN_STRITEMS_LABEL,5,FALSE))),"")</f>
        <v/>
      </c>
      <c r="G118" s="31">
        <f t="shared" si="36"/>
        <v>0</v>
      </c>
      <c r="H118" s="31" t="str">
        <f>IF(G118=1,IFERROR(VLOOKUP(F118,Tab_ErrMessage[],2,0),VLOOKUP(C118&amp;TableCosts[[#This Row],[Calc_N_Typ]],TRAN_STRITEMS_LABEL,4,FALSE)),"")</f>
        <v/>
      </c>
      <c r="I118" s="94"/>
      <c r="J118" s="94"/>
      <c r="K118" s="9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  <c r="AA118" s="84"/>
      <c r="AB118" s="84"/>
      <c r="AC118" s="84"/>
      <c r="AD118" s="84"/>
      <c r="AE118" s="84"/>
      <c r="AF118" s="84"/>
      <c r="AG118" s="84"/>
      <c r="AH118" s="84"/>
      <c r="AI118" s="84"/>
      <c r="AJ118" s="84"/>
      <c r="AK118" s="84"/>
      <c r="AL118" s="84"/>
      <c r="AM118" s="84"/>
      <c r="AN118" s="84"/>
      <c r="AO118" s="84"/>
      <c r="AP118" s="84"/>
      <c r="AQ118" s="84"/>
      <c r="AR118" s="84"/>
      <c r="AS118" s="84"/>
      <c r="AT118" s="84"/>
      <c r="AU118" s="84"/>
      <c r="AV118" s="84"/>
      <c r="AW118" s="84"/>
      <c r="AX118" s="87">
        <f t="array" ref="AX118">IF(G118=1,SUM((ROW(M0)=ROW(AW118))*(M0+M1_+M2_+M3_+M4_+M5_+M6_+M7_+M8_+M9_+M10_+M11_+M12_+M13_+M14_+M15_+M16_+M17_+M18_+M19_+M20_+M21_+M22_+M23_+M24_+M25_+M26_+M27_+M28_+M29_+M30_+M31_+M32_+M33_+M34_+M35_+M36_+M37_)),0)</f>
        <v>0</v>
      </c>
      <c r="AZ118" s="24" t="str">
        <f t="shared" si="37"/>
        <v/>
      </c>
      <c r="BA118" s="24" t="str">
        <f t="shared" si="38"/>
        <v/>
      </c>
      <c r="BB118" s="24" t="str">
        <f t="shared" si="39"/>
        <v/>
      </c>
      <c r="BC118" s="24" t="str">
        <f>IF(OR(E118="",LEFT(TableCosts[[#This Row],[Calc_N_Typ]],18)="Vynaložené náklady"),"",VLOOKUP(E118,Tab_Parts,2,0))</f>
        <v/>
      </c>
      <c r="BD118" s="24" t="str">
        <f t="shared" si="40"/>
        <v/>
      </c>
      <c r="BE118" s="24">
        <f t="shared" si="41"/>
        <v>0</v>
      </c>
      <c r="BF118" s="72">
        <f>TableCosts[[#This Row],[N_Amount]]*TableCosts[[#This Row],[N_Tariff]]*TableCosts[[#This Row],[N_ItemsCount]]</f>
        <v>0</v>
      </c>
      <c r="BG118" s="72">
        <f>IF(G118=1,IF(TableCosts[[#This Row],[N_Kateg]]="interné práce",TableCosts[[#This Row],[N_Amount]]*8*PAR_SGA_PERHOUR,0),0)</f>
        <v>0</v>
      </c>
      <c r="BH118" s="72">
        <f>SUM(TableCosts[[#This Row],[N_Direct]:[N_SGA]])</f>
        <v>0</v>
      </c>
      <c r="BI118" s="24">
        <f>IF(G118=1,IF(OR(AND(NOT(ISERROR(VLOOKUP(TableCosts[[#This Row],[Calc_N_Typ]],Cis_WorkPositions,1,0))),C118&lt;&gt;"",D118&lt;&gt;"",E118&lt;&gt;""),AND(ISERROR(VLOOKUP(TableCosts[[#This Row],[Calc_N_Typ]],Cis_WorkPositions,1,0)),C118="",D118="",E118&lt;&gt;""),LEFT(TableCosts[[#This Row],[Calc_N_Typ]],18)="Vynaložené náklady"),VLOOKUP(C118&amp;TableCosts[[#This Row],[Calc_N_Typ]],TRAN_STRITEMS_LABEL,VLOOKUP(D118,Tab_Hours,3,0),0),NA()),0)</f>
        <v>0</v>
      </c>
      <c r="BJ118" s="24">
        <f t="shared" si="42"/>
        <v>0</v>
      </c>
      <c r="BK118" s="24" t="str">
        <f t="shared" si="43"/>
        <v/>
      </c>
      <c r="BL118" s="24" t="str">
        <f t="shared" si="44"/>
        <v/>
      </c>
      <c r="BM118" s="24" t="str">
        <f>IF(G118=1,IF(TableCosts[[#This Row],[TransferFrom]]=TableCosts[[#This Row],[TranferTo]],0,1),"")</f>
        <v/>
      </c>
      <c r="BN118" s="24" t="str">
        <f t="shared" si="45"/>
        <v/>
      </c>
      <c r="BO118" s="24">
        <f t="shared" si="46"/>
        <v>0</v>
      </c>
      <c r="BP118" s="24">
        <f t="shared" si="47"/>
        <v>0</v>
      </c>
    </row>
    <row r="119" spans="2:68" s="24" customFormat="1" ht="12.75" x14ac:dyDescent="0.2">
      <c r="B119" s="97"/>
      <c r="C119" s="92"/>
      <c r="D119" s="92"/>
      <c r="E119" s="92"/>
      <c r="F119" s="31" t="str">
        <f>IF(G119=1,IF(ISERROR(TableCosts[[#This Row],[N_Tariff]]),Err_Message1,IF(TableCosts[[#This Row],[N_Tariff]]=0,Err_Message2,VLOOKUP(C119&amp;TableCosts[[#This Row],[Calc_N_Typ]],TRAN_STRITEMS_LABEL,5,FALSE))),"")</f>
        <v/>
      </c>
      <c r="G119" s="31">
        <f t="shared" si="36"/>
        <v>0</v>
      </c>
      <c r="H119" s="31" t="str">
        <f>IF(G119=1,IFERROR(VLOOKUP(F119,Tab_ErrMessage[],2,0),VLOOKUP(C119&amp;TableCosts[[#This Row],[Calc_N_Typ]],TRAN_STRITEMS_LABEL,4,FALSE)),"")</f>
        <v/>
      </c>
      <c r="I119" s="94"/>
      <c r="J119" s="94"/>
      <c r="K119" s="9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 s="84"/>
      <c r="AB119" s="84"/>
      <c r="AC119" s="84"/>
      <c r="AD119" s="84"/>
      <c r="AE119" s="84"/>
      <c r="AF119" s="84"/>
      <c r="AG119" s="84"/>
      <c r="AH119" s="84"/>
      <c r="AI119" s="84"/>
      <c r="AJ119" s="84"/>
      <c r="AK119" s="84"/>
      <c r="AL119" s="84"/>
      <c r="AM119" s="84"/>
      <c r="AN119" s="84"/>
      <c r="AO119" s="84"/>
      <c r="AP119" s="84"/>
      <c r="AQ119" s="84"/>
      <c r="AR119" s="84"/>
      <c r="AS119" s="84"/>
      <c r="AT119" s="84"/>
      <c r="AU119" s="84"/>
      <c r="AV119" s="84"/>
      <c r="AW119" s="84"/>
      <c r="AX119" s="87">
        <f t="array" ref="AX119">IF(G119=1,SUM((ROW(M0)=ROW(AW119))*(M0+M1_+M2_+M3_+M4_+M5_+M6_+M7_+M8_+M9_+M10_+M11_+M12_+M13_+M14_+M15_+M16_+M17_+M18_+M19_+M20_+M21_+M22_+M23_+M24_+M25_+M26_+M27_+M28_+M29_+M30_+M31_+M32_+M33_+M34_+M35_+M36_+M37_)),0)</f>
        <v>0</v>
      </c>
      <c r="AZ119" s="24" t="str">
        <f t="shared" si="37"/>
        <v/>
      </c>
      <c r="BA119" s="24" t="str">
        <f t="shared" si="38"/>
        <v/>
      </c>
      <c r="BB119" s="24" t="str">
        <f t="shared" si="39"/>
        <v/>
      </c>
      <c r="BC119" s="24" t="str">
        <f>IF(OR(E119="",LEFT(TableCosts[[#This Row],[Calc_N_Typ]],18)="Vynaložené náklady"),"",VLOOKUP(E119,Tab_Parts,2,0))</f>
        <v/>
      </c>
      <c r="BD119" s="24" t="str">
        <f t="shared" si="40"/>
        <v/>
      </c>
      <c r="BE119" s="24">
        <f t="shared" si="41"/>
        <v>0</v>
      </c>
      <c r="BF119" s="72">
        <f>TableCosts[[#This Row],[N_Amount]]*TableCosts[[#This Row],[N_Tariff]]*TableCosts[[#This Row],[N_ItemsCount]]</f>
        <v>0</v>
      </c>
      <c r="BG119" s="72">
        <f>IF(G119=1,IF(TableCosts[[#This Row],[N_Kateg]]="interné práce",TableCosts[[#This Row],[N_Amount]]*8*PAR_SGA_PERHOUR,0),0)</f>
        <v>0</v>
      </c>
      <c r="BH119" s="72">
        <f>SUM(TableCosts[[#This Row],[N_Direct]:[N_SGA]])</f>
        <v>0</v>
      </c>
      <c r="BI119" s="24">
        <f>IF(G119=1,IF(OR(AND(NOT(ISERROR(VLOOKUP(TableCosts[[#This Row],[Calc_N_Typ]],Cis_WorkPositions,1,0))),C119&lt;&gt;"",D119&lt;&gt;"",E119&lt;&gt;""),AND(ISERROR(VLOOKUP(TableCosts[[#This Row],[Calc_N_Typ]],Cis_WorkPositions,1,0)),C119="",D119="",E119&lt;&gt;""),LEFT(TableCosts[[#This Row],[Calc_N_Typ]],18)="Vynaložené náklady"),VLOOKUP(C119&amp;TableCosts[[#This Row],[Calc_N_Typ]],TRAN_STRITEMS_LABEL,VLOOKUP(D119,Tab_Hours,3,0),0),NA()),0)</f>
        <v>0</v>
      </c>
      <c r="BJ119" s="24">
        <f t="shared" si="42"/>
        <v>0</v>
      </c>
      <c r="BK119" s="24" t="str">
        <f t="shared" si="43"/>
        <v/>
      </c>
      <c r="BL119" s="24" t="str">
        <f t="shared" si="44"/>
        <v/>
      </c>
      <c r="BM119" s="24" t="str">
        <f>IF(G119=1,IF(TableCosts[[#This Row],[TransferFrom]]=TableCosts[[#This Row],[TranferTo]],0,1),"")</f>
        <v/>
      </c>
      <c r="BN119" s="24" t="str">
        <f t="shared" si="45"/>
        <v/>
      </c>
      <c r="BO119" s="24">
        <f t="shared" si="46"/>
        <v>0</v>
      </c>
      <c r="BP119" s="24">
        <f t="shared" si="47"/>
        <v>0</v>
      </c>
    </row>
    <row r="120" spans="2:68" s="24" customFormat="1" ht="12.75" x14ac:dyDescent="0.2">
      <c r="B120" s="97"/>
      <c r="C120" s="92"/>
      <c r="D120" s="92"/>
      <c r="E120" s="92"/>
      <c r="F120" s="31" t="str">
        <f>IF(G120=1,IF(ISERROR(TableCosts[[#This Row],[N_Tariff]]),Err_Message1,IF(TableCosts[[#This Row],[N_Tariff]]=0,Err_Message2,VLOOKUP(C120&amp;TableCosts[[#This Row],[Calc_N_Typ]],TRAN_STRITEMS_LABEL,5,FALSE))),"")</f>
        <v/>
      </c>
      <c r="G120" s="31">
        <f t="shared" si="36"/>
        <v>0</v>
      </c>
      <c r="H120" s="31" t="str">
        <f>IF(G120=1,IFERROR(VLOOKUP(F120,Tab_ErrMessage[],2,0),VLOOKUP(C120&amp;TableCosts[[#This Row],[Calc_N_Typ]],TRAN_STRITEMS_LABEL,4,FALSE)),"")</f>
        <v/>
      </c>
      <c r="I120" s="94"/>
      <c r="J120" s="94"/>
      <c r="K120" s="9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  <c r="AA120" s="84"/>
      <c r="AB120" s="84"/>
      <c r="AC120" s="84"/>
      <c r="AD120" s="84"/>
      <c r="AE120" s="84"/>
      <c r="AF120" s="84"/>
      <c r="AG120" s="84"/>
      <c r="AH120" s="84"/>
      <c r="AI120" s="84"/>
      <c r="AJ120" s="84"/>
      <c r="AK120" s="84"/>
      <c r="AL120" s="84"/>
      <c r="AM120" s="84"/>
      <c r="AN120" s="84"/>
      <c r="AO120" s="84"/>
      <c r="AP120" s="84"/>
      <c r="AQ120" s="84"/>
      <c r="AR120" s="84"/>
      <c r="AS120" s="84"/>
      <c r="AT120" s="84"/>
      <c r="AU120" s="84"/>
      <c r="AV120" s="84"/>
      <c r="AW120" s="84"/>
      <c r="AX120" s="87">
        <f t="array" ref="AX120">IF(G120=1,SUM((ROW(M0)=ROW(AW120))*(M0+M1_+M2_+M3_+M4_+M5_+M6_+M7_+M8_+M9_+M10_+M11_+M12_+M13_+M14_+M15_+M16_+M17_+M18_+M19_+M20_+M21_+M22_+M23_+M24_+M25_+M26_+M27_+M28_+M29_+M30_+M31_+M32_+M33_+M34_+M35_+M36_+M37_)),0)</f>
        <v>0</v>
      </c>
      <c r="AZ120" s="24" t="str">
        <f t="shared" si="37"/>
        <v/>
      </c>
      <c r="BA120" s="24" t="str">
        <f t="shared" si="38"/>
        <v/>
      </c>
      <c r="BB120" s="24" t="str">
        <f t="shared" si="39"/>
        <v/>
      </c>
      <c r="BC120" s="24" t="str">
        <f>IF(OR(E120="",LEFT(TableCosts[[#This Row],[Calc_N_Typ]],18)="Vynaložené náklady"),"",VLOOKUP(E120,Tab_Parts,2,0))</f>
        <v/>
      </c>
      <c r="BD120" s="24" t="str">
        <f t="shared" si="40"/>
        <v/>
      </c>
      <c r="BE120" s="24">
        <f t="shared" si="41"/>
        <v>0</v>
      </c>
      <c r="BF120" s="72">
        <f>TableCosts[[#This Row],[N_Amount]]*TableCosts[[#This Row],[N_Tariff]]*TableCosts[[#This Row],[N_ItemsCount]]</f>
        <v>0</v>
      </c>
      <c r="BG120" s="72">
        <f>IF(G120=1,IF(TableCosts[[#This Row],[N_Kateg]]="interné práce",TableCosts[[#This Row],[N_Amount]]*8*PAR_SGA_PERHOUR,0),0)</f>
        <v>0</v>
      </c>
      <c r="BH120" s="72">
        <f>SUM(TableCosts[[#This Row],[N_Direct]:[N_SGA]])</f>
        <v>0</v>
      </c>
      <c r="BI120" s="24">
        <f>IF(G120=1,IF(OR(AND(NOT(ISERROR(VLOOKUP(TableCosts[[#This Row],[Calc_N_Typ]],Cis_WorkPositions,1,0))),C120&lt;&gt;"",D120&lt;&gt;"",E120&lt;&gt;""),AND(ISERROR(VLOOKUP(TableCosts[[#This Row],[Calc_N_Typ]],Cis_WorkPositions,1,0)),C120="",D120="",E120&lt;&gt;""),LEFT(TableCosts[[#This Row],[Calc_N_Typ]],18)="Vynaložené náklady"),VLOOKUP(C120&amp;TableCosts[[#This Row],[Calc_N_Typ]],TRAN_STRITEMS_LABEL,VLOOKUP(D120,Tab_Hours,3,0),0),NA()),0)</f>
        <v>0</v>
      </c>
      <c r="BJ120" s="24">
        <f t="shared" si="42"/>
        <v>0</v>
      </c>
      <c r="BK120" s="24" t="str">
        <f t="shared" si="43"/>
        <v/>
      </c>
      <c r="BL120" s="24" t="str">
        <f t="shared" si="44"/>
        <v/>
      </c>
      <c r="BM120" s="24" t="str">
        <f>IF(G120=1,IF(TableCosts[[#This Row],[TransferFrom]]=TableCosts[[#This Row],[TranferTo]],0,1),"")</f>
        <v/>
      </c>
      <c r="BN120" s="24" t="str">
        <f t="shared" si="45"/>
        <v/>
      </c>
      <c r="BO120" s="24">
        <f t="shared" si="46"/>
        <v>0</v>
      </c>
      <c r="BP120" s="24">
        <f t="shared" si="47"/>
        <v>0</v>
      </c>
    </row>
    <row r="121" spans="2:68" s="24" customFormat="1" ht="12.75" x14ac:dyDescent="0.2">
      <c r="B121" s="97"/>
      <c r="C121" s="92"/>
      <c r="D121" s="92"/>
      <c r="E121" s="92"/>
      <c r="F121" s="31" t="str">
        <f>IF(G121=1,IF(ISERROR(TableCosts[[#This Row],[N_Tariff]]),Err_Message1,IF(TableCosts[[#This Row],[N_Tariff]]=0,Err_Message2,VLOOKUP(C121&amp;TableCosts[[#This Row],[Calc_N_Typ]],TRAN_STRITEMS_LABEL,5,FALSE))),"")</f>
        <v/>
      </c>
      <c r="G121" s="31">
        <f t="shared" si="36"/>
        <v>0</v>
      </c>
      <c r="H121" s="31" t="str">
        <f>IF(G121=1,IFERROR(VLOOKUP(F121,Tab_ErrMessage[],2,0),VLOOKUP(C121&amp;TableCosts[[#This Row],[Calc_N_Typ]],TRAN_STRITEMS_LABEL,4,FALSE)),"")</f>
        <v/>
      </c>
      <c r="I121" s="94"/>
      <c r="J121" s="94"/>
      <c r="K121" s="9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 s="84"/>
      <c r="AB121" s="84"/>
      <c r="AC121" s="84"/>
      <c r="AD121" s="84"/>
      <c r="AE121" s="84"/>
      <c r="AF121" s="84"/>
      <c r="AG121" s="84"/>
      <c r="AH121" s="84"/>
      <c r="AI121" s="84"/>
      <c r="AJ121" s="84"/>
      <c r="AK121" s="84"/>
      <c r="AL121" s="84"/>
      <c r="AM121" s="84"/>
      <c r="AN121" s="84"/>
      <c r="AO121" s="84"/>
      <c r="AP121" s="84"/>
      <c r="AQ121" s="84"/>
      <c r="AR121" s="84"/>
      <c r="AS121" s="84"/>
      <c r="AT121" s="84"/>
      <c r="AU121" s="84"/>
      <c r="AV121" s="84"/>
      <c r="AW121" s="84"/>
      <c r="AX121" s="87">
        <f t="array" ref="AX121">IF(G121=1,SUM((ROW(M0)=ROW(AW121))*(M0+M1_+M2_+M3_+M4_+M5_+M6_+M7_+M8_+M9_+M10_+M11_+M12_+M13_+M14_+M15_+M16_+M17_+M18_+M19_+M20_+M21_+M22_+M23_+M24_+M25_+M26_+M27_+M28_+M29_+M30_+M31_+M32_+M33_+M34_+M35_+M36_+M37_)),0)</f>
        <v>0</v>
      </c>
      <c r="AZ121" s="24" t="str">
        <f t="shared" si="37"/>
        <v/>
      </c>
      <c r="BA121" s="24" t="str">
        <f t="shared" si="38"/>
        <v/>
      </c>
      <c r="BB121" s="24" t="str">
        <f t="shared" si="39"/>
        <v/>
      </c>
      <c r="BC121" s="24" t="str">
        <f>IF(OR(E121="",LEFT(TableCosts[[#This Row],[Calc_N_Typ]],18)="Vynaložené náklady"),"",VLOOKUP(E121,Tab_Parts,2,0))</f>
        <v/>
      </c>
      <c r="BD121" s="24" t="str">
        <f t="shared" si="40"/>
        <v/>
      </c>
      <c r="BE121" s="24">
        <f t="shared" si="41"/>
        <v>0</v>
      </c>
      <c r="BF121" s="72">
        <f>TableCosts[[#This Row],[N_Amount]]*TableCosts[[#This Row],[N_Tariff]]*TableCosts[[#This Row],[N_ItemsCount]]</f>
        <v>0</v>
      </c>
      <c r="BG121" s="72">
        <f>IF(G121=1,IF(TableCosts[[#This Row],[N_Kateg]]="interné práce",TableCosts[[#This Row],[N_Amount]]*8*PAR_SGA_PERHOUR,0),0)</f>
        <v>0</v>
      </c>
      <c r="BH121" s="72">
        <f>SUM(TableCosts[[#This Row],[N_Direct]:[N_SGA]])</f>
        <v>0</v>
      </c>
      <c r="BI121" s="24">
        <f>IF(G121=1,IF(OR(AND(NOT(ISERROR(VLOOKUP(TableCosts[[#This Row],[Calc_N_Typ]],Cis_WorkPositions,1,0))),C121&lt;&gt;"",D121&lt;&gt;"",E121&lt;&gt;""),AND(ISERROR(VLOOKUP(TableCosts[[#This Row],[Calc_N_Typ]],Cis_WorkPositions,1,0)),C121="",D121="",E121&lt;&gt;""),LEFT(TableCosts[[#This Row],[Calc_N_Typ]],18)="Vynaložené náklady"),VLOOKUP(C121&amp;TableCosts[[#This Row],[Calc_N_Typ]],TRAN_STRITEMS_LABEL,VLOOKUP(D121,Tab_Hours,3,0),0),NA()),0)</f>
        <v>0</v>
      </c>
      <c r="BJ121" s="24">
        <f t="shared" si="42"/>
        <v>0</v>
      </c>
      <c r="BK121" s="24" t="str">
        <f t="shared" si="43"/>
        <v/>
      </c>
      <c r="BL121" s="24" t="str">
        <f t="shared" si="44"/>
        <v/>
      </c>
      <c r="BM121" s="24" t="str">
        <f>IF(G121=1,IF(TableCosts[[#This Row],[TransferFrom]]=TableCosts[[#This Row],[TranferTo]],0,1),"")</f>
        <v/>
      </c>
      <c r="BN121" s="24" t="str">
        <f t="shared" si="45"/>
        <v/>
      </c>
      <c r="BO121" s="24">
        <f t="shared" si="46"/>
        <v>0</v>
      </c>
      <c r="BP121" s="24">
        <f t="shared" si="47"/>
        <v>0</v>
      </c>
    </row>
    <row r="122" spans="2:68" s="24" customFormat="1" ht="12.75" x14ac:dyDescent="0.2">
      <c r="B122" s="97"/>
      <c r="C122" s="92"/>
      <c r="D122" s="92"/>
      <c r="E122" s="92"/>
      <c r="F122" s="31" t="str">
        <f>IF(G122=1,IF(ISERROR(TableCosts[[#This Row],[N_Tariff]]),Err_Message1,IF(TableCosts[[#This Row],[N_Tariff]]=0,Err_Message2,VLOOKUP(C122&amp;TableCosts[[#This Row],[Calc_N_Typ]],TRAN_STRITEMS_LABEL,5,FALSE))),"")</f>
        <v/>
      </c>
      <c r="G122" s="31">
        <f t="shared" si="36"/>
        <v>0</v>
      </c>
      <c r="H122" s="31" t="str">
        <f>IF(G122=1,IFERROR(VLOOKUP(F122,Tab_ErrMessage[],2,0),VLOOKUP(C122&amp;TableCosts[[#This Row],[Calc_N_Typ]],TRAN_STRITEMS_LABEL,4,FALSE)),"")</f>
        <v/>
      </c>
      <c r="I122" s="94"/>
      <c r="J122" s="94"/>
      <c r="K122" s="94"/>
      <c r="L122" s="84"/>
      <c r="M122" s="84"/>
      <c r="N122" s="84"/>
      <c r="O122" s="84"/>
      <c r="P122" s="84"/>
      <c r="Q122" s="84"/>
      <c r="R122" s="84"/>
      <c r="S122" s="84"/>
      <c r="T122" s="84"/>
      <c r="U122" s="84"/>
      <c r="V122" s="84"/>
      <c r="W122" s="84"/>
      <c r="X122" s="84"/>
      <c r="Y122" s="84"/>
      <c r="Z122" s="84"/>
      <c r="AA122" s="84"/>
      <c r="AB122" s="84"/>
      <c r="AC122" s="84"/>
      <c r="AD122" s="84"/>
      <c r="AE122" s="84"/>
      <c r="AF122" s="84"/>
      <c r="AG122" s="84"/>
      <c r="AH122" s="84"/>
      <c r="AI122" s="84"/>
      <c r="AJ122" s="84"/>
      <c r="AK122" s="84"/>
      <c r="AL122" s="84"/>
      <c r="AM122" s="84"/>
      <c r="AN122" s="84"/>
      <c r="AO122" s="84"/>
      <c r="AP122" s="84"/>
      <c r="AQ122" s="84"/>
      <c r="AR122" s="84"/>
      <c r="AS122" s="84"/>
      <c r="AT122" s="84"/>
      <c r="AU122" s="84"/>
      <c r="AV122" s="84"/>
      <c r="AW122" s="84"/>
      <c r="AX122" s="87">
        <f t="array" ref="AX122">IF(G122=1,SUM((ROW(M0)=ROW(AW122))*(M0+M1_+M2_+M3_+M4_+M5_+M6_+M7_+M8_+M9_+M10_+M11_+M12_+M13_+M14_+M15_+M16_+M17_+M18_+M19_+M20_+M21_+M22_+M23_+M24_+M25_+M26_+M27_+M28_+M29_+M30_+M31_+M32_+M33_+M34_+M35_+M36_+M37_)),0)</f>
        <v>0</v>
      </c>
      <c r="AZ122" s="24" t="str">
        <f t="shared" si="37"/>
        <v/>
      </c>
      <c r="BA122" s="24" t="str">
        <f t="shared" si="38"/>
        <v/>
      </c>
      <c r="BB122" s="24" t="str">
        <f t="shared" si="39"/>
        <v/>
      </c>
      <c r="BC122" s="24" t="str">
        <f>IF(OR(E122="",LEFT(TableCosts[[#This Row],[Calc_N_Typ]],18)="Vynaložené náklady"),"",VLOOKUP(E122,Tab_Parts,2,0))</f>
        <v/>
      </c>
      <c r="BD122" s="24" t="str">
        <f t="shared" si="40"/>
        <v/>
      </c>
      <c r="BE122" s="24">
        <f t="shared" si="41"/>
        <v>0</v>
      </c>
      <c r="BF122" s="72">
        <f>TableCosts[[#This Row],[N_Amount]]*TableCosts[[#This Row],[N_Tariff]]*TableCosts[[#This Row],[N_ItemsCount]]</f>
        <v>0</v>
      </c>
      <c r="BG122" s="72">
        <f>IF(G122=1,IF(TableCosts[[#This Row],[N_Kateg]]="interné práce",TableCosts[[#This Row],[N_Amount]]*8*PAR_SGA_PERHOUR,0),0)</f>
        <v>0</v>
      </c>
      <c r="BH122" s="72">
        <f>SUM(TableCosts[[#This Row],[N_Direct]:[N_SGA]])</f>
        <v>0</v>
      </c>
      <c r="BI122" s="24">
        <f>IF(G122=1,IF(OR(AND(NOT(ISERROR(VLOOKUP(TableCosts[[#This Row],[Calc_N_Typ]],Cis_WorkPositions,1,0))),C122&lt;&gt;"",D122&lt;&gt;"",E122&lt;&gt;""),AND(ISERROR(VLOOKUP(TableCosts[[#This Row],[Calc_N_Typ]],Cis_WorkPositions,1,0)),C122="",D122="",E122&lt;&gt;""),LEFT(TableCosts[[#This Row],[Calc_N_Typ]],18)="Vynaložené náklady"),VLOOKUP(C122&amp;TableCosts[[#This Row],[Calc_N_Typ]],TRAN_STRITEMS_LABEL,VLOOKUP(D122,Tab_Hours,3,0),0),NA()),0)</f>
        <v>0</v>
      </c>
      <c r="BJ122" s="24">
        <f t="shared" si="42"/>
        <v>0</v>
      </c>
      <c r="BK122" s="24" t="str">
        <f t="shared" si="43"/>
        <v/>
      </c>
      <c r="BL122" s="24" t="str">
        <f t="shared" si="44"/>
        <v/>
      </c>
      <c r="BM122" s="24" t="str">
        <f>IF(G122=1,IF(TableCosts[[#This Row],[TransferFrom]]=TableCosts[[#This Row],[TranferTo]],0,1),"")</f>
        <v/>
      </c>
      <c r="BN122" s="24" t="str">
        <f t="shared" si="45"/>
        <v/>
      </c>
      <c r="BO122" s="24">
        <f t="shared" si="46"/>
        <v>0</v>
      </c>
      <c r="BP122" s="24">
        <f t="shared" si="47"/>
        <v>0</v>
      </c>
    </row>
    <row r="123" spans="2:68" s="24" customFormat="1" ht="12.75" x14ac:dyDescent="0.2">
      <c r="B123" s="97"/>
      <c r="C123" s="92"/>
      <c r="D123" s="92"/>
      <c r="E123" s="92"/>
      <c r="F123" s="31" t="str">
        <f>IF(G123=1,IF(ISERROR(TableCosts[[#This Row],[N_Tariff]]),Err_Message1,IF(TableCosts[[#This Row],[N_Tariff]]=0,Err_Message2,VLOOKUP(C123&amp;TableCosts[[#This Row],[Calc_N_Typ]],TRAN_STRITEMS_LABEL,5,FALSE))),"")</f>
        <v/>
      </c>
      <c r="G123" s="31">
        <f t="shared" si="36"/>
        <v>0</v>
      </c>
      <c r="H123" s="31" t="str">
        <f>IF(G123=1,IFERROR(VLOOKUP(F123,Tab_ErrMessage[],2,0),VLOOKUP(C123&amp;TableCosts[[#This Row],[Calc_N_Typ]],TRAN_STRITEMS_LABEL,4,FALSE)),"")</f>
        <v/>
      </c>
      <c r="I123" s="94"/>
      <c r="J123" s="94"/>
      <c r="K123" s="9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  <c r="AH123" s="84"/>
      <c r="AI123" s="84"/>
      <c r="AJ123" s="84"/>
      <c r="AK123" s="84"/>
      <c r="AL123" s="84"/>
      <c r="AM123" s="84"/>
      <c r="AN123" s="84"/>
      <c r="AO123" s="84"/>
      <c r="AP123" s="84"/>
      <c r="AQ123" s="84"/>
      <c r="AR123" s="84"/>
      <c r="AS123" s="84"/>
      <c r="AT123" s="84"/>
      <c r="AU123" s="84"/>
      <c r="AV123" s="84"/>
      <c r="AW123" s="84"/>
      <c r="AX123" s="87">
        <f t="array" ref="AX123">IF(G123=1,SUM((ROW(M0)=ROW(AW123))*(M0+M1_+M2_+M3_+M4_+M5_+M6_+M7_+M8_+M9_+M10_+M11_+M12_+M13_+M14_+M15_+M16_+M17_+M18_+M19_+M20_+M21_+M22_+M23_+M24_+M25_+M26_+M27_+M28_+M29_+M30_+M31_+M32_+M33_+M34_+M35_+M36_+M37_)),0)</f>
        <v>0</v>
      </c>
      <c r="AZ123" s="24" t="str">
        <f t="shared" si="37"/>
        <v/>
      </c>
      <c r="BA123" s="24" t="str">
        <f t="shared" si="38"/>
        <v/>
      </c>
      <c r="BB123" s="24" t="str">
        <f t="shared" si="39"/>
        <v/>
      </c>
      <c r="BC123" s="24" t="str">
        <f>IF(OR(E123="",LEFT(TableCosts[[#This Row],[Calc_N_Typ]],18)="Vynaložené náklady"),"",VLOOKUP(E123,Tab_Parts,2,0))</f>
        <v/>
      </c>
      <c r="BD123" s="24" t="str">
        <f t="shared" si="40"/>
        <v/>
      </c>
      <c r="BE123" s="24">
        <f t="shared" si="41"/>
        <v>0</v>
      </c>
      <c r="BF123" s="72">
        <f>TableCosts[[#This Row],[N_Amount]]*TableCosts[[#This Row],[N_Tariff]]*TableCosts[[#This Row],[N_ItemsCount]]</f>
        <v>0</v>
      </c>
      <c r="BG123" s="72">
        <f>IF(G123=1,IF(TableCosts[[#This Row],[N_Kateg]]="interné práce",TableCosts[[#This Row],[N_Amount]]*8*PAR_SGA_PERHOUR,0),0)</f>
        <v>0</v>
      </c>
      <c r="BH123" s="72">
        <f>SUM(TableCosts[[#This Row],[N_Direct]:[N_SGA]])</f>
        <v>0</v>
      </c>
      <c r="BI123" s="24">
        <f>IF(G123=1,IF(OR(AND(NOT(ISERROR(VLOOKUP(TableCosts[[#This Row],[Calc_N_Typ]],Cis_WorkPositions,1,0))),C123&lt;&gt;"",D123&lt;&gt;"",E123&lt;&gt;""),AND(ISERROR(VLOOKUP(TableCosts[[#This Row],[Calc_N_Typ]],Cis_WorkPositions,1,0)),C123="",D123="",E123&lt;&gt;""),LEFT(TableCosts[[#This Row],[Calc_N_Typ]],18)="Vynaložené náklady"),VLOOKUP(C123&amp;TableCosts[[#This Row],[Calc_N_Typ]],TRAN_STRITEMS_LABEL,VLOOKUP(D123,Tab_Hours,3,0),0),NA()),0)</f>
        <v>0</v>
      </c>
      <c r="BJ123" s="24">
        <f t="shared" si="42"/>
        <v>0</v>
      </c>
      <c r="BK123" s="24" t="str">
        <f t="shared" si="43"/>
        <v/>
      </c>
      <c r="BL123" s="24" t="str">
        <f t="shared" si="44"/>
        <v/>
      </c>
      <c r="BM123" s="24" t="str">
        <f>IF(G123=1,IF(TableCosts[[#This Row],[TransferFrom]]=TableCosts[[#This Row],[TranferTo]],0,1),"")</f>
        <v/>
      </c>
      <c r="BN123" s="24" t="str">
        <f t="shared" si="45"/>
        <v/>
      </c>
      <c r="BO123" s="24">
        <f t="shared" si="46"/>
        <v>0</v>
      </c>
      <c r="BP123" s="24">
        <f t="shared" si="47"/>
        <v>0</v>
      </c>
    </row>
    <row r="124" spans="2:68" s="24" customFormat="1" ht="12.75" x14ac:dyDescent="0.2">
      <c r="B124" s="97"/>
      <c r="C124" s="92"/>
      <c r="D124" s="92"/>
      <c r="E124" s="92"/>
      <c r="F124" s="31" t="str">
        <f>IF(G124=1,IF(ISERROR(TableCosts[[#This Row],[N_Tariff]]),Err_Message1,IF(TableCosts[[#This Row],[N_Tariff]]=0,Err_Message2,VLOOKUP(C124&amp;TableCosts[[#This Row],[Calc_N_Typ]],TRAN_STRITEMS_LABEL,5,FALSE))),"")</f>
        <v/>
      </c>
      <c r="G124" s="31">
        <f t="shared" si="36"/>
        <v>0</v>
      </c>
      <c r="H124" s="31" t="str">
        <f>IF(G124=1,IFERROR(VLOOKUP(F124,Tab_ErrMessage[],2,0),VLOOKUP(C124&amp;TableCosts[[#This Row],[Calc_N_Typ]],TRAN_STRITEMS_LABEL,4,FALSE)),"")</f>
        <v/>
      </c>
      <c r="I124" s="94"/>
      <c r="J124" s="94"/>
      <c r="K124" s="9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 s="84"/>
      <c r="AB124" s="84"/>
      <c r="AC124" s="84"/>
      <c r="AD124" s="84"/>
      <c r="AE124" s="84"/>
      <c r="AF124" s="84"/>
      <c r="AG124" s="84"/>
      <c r="AH124" s="84"/>
      <c r="AI124" s="84"/>
      <c r="AJ124" s="84"/>
      <c r="AK124" s="84"/>
      <c r="AL124" s="84"/>
      <c r="AM124" s="84"/>
      <c r="AN124" s="84"/>
      <c r="AO124" s="84"/>
      <c r="AP124" s="84"/>
      <c r="AQ124" s="84"/>
      <c r="AR124" s="84"/>
      <c r="AS124" s="84"/>
      <c r="AT124" s="84"/>
      <c r="AU124" s="84"/>
      <c r="AV124" s="84"/>
      <c r="AW124" s="84"/>
      <c r="AX124" s="87">
        <f t="array" ref="AX124">IF(G124=1,SUM((ROW(M0)=ROW(AW124))*(M0+M1_+M2_+M3_+M4_+M5_+M6_+M7_+M8_+M9_+M10_+M11_+M12_+M13_+M14_+M15_+M16_+M17_+M18_+M19_+M20_+M21_+M22_+M23_+M24_+M25_+M26_+M27_+M28_+M29_+M30_+M31_+M32_+M33_+M34_+M35_+M36_+M37_)),0)</f>
        <v>0</v>
      </c>
      <c r="AZ124" s="24" t="str">
        <f t="shared" si="37"/>
        <v/>
      </c>
      <c r="BA124" s="24" t="str">
        <f t="shared" si="38"/>
        <v/>
      </c>
      <c r="BB124" s="24" t="str">
        <f t="shared" si="39"/>
        <v/>
      </c>
      <c r="BC124" s="24" t="str">
        <f>IF(OR(E124="",LEFT(TableCosts[[#This Row],[Calc_N_Typ]],18)="Vynaložené náklady"),"",VLOOKUP(E124,Tab_Parts,2,0))</f>
        <v/>
      </c>
      <c r="BD124" s="24" t="str">
        <f t="shared" si="40"/>
        <v/>
      </c>
      <c r="BE124" s="24">
        <f t="shared" si="41"/>
        <v>0</v>
      </c>
      <c r="BF124" s="72">
        <f>TableCosts[[#This Row],[N_Amount]]*TableCosts[[#This Row],[N_Tariff]]*TableCosts[[#This Row],[N_ItemsCount]]</f>
        <v>0</v>
      </c>
      <c r="BG124" s="72">
        <f>IF(G124=1,IF(TableCosts[[#This Row],[N_Kateg]]="interné práce",TableCosts[[#This Row],[N_Amount]]*8*PAR_SGA_PERHOUR,0),0)</f>
        <v>0</v>
      </c>
      <c r="BH124" s="72">
        <f>SUM(TableCosts[[#This Row],[N_Direct]:[N_SGA]])</f>
        <v>0</v>
      </c>
      <c r="BI124" s="24">
        <f>IF(G124=1,IF(OR(AND(NOT(ISERROR(VLOOKUP(TableCosts[[#This Row],[Calc_N_Typ]],Cis_WorkPositions,1,0))),C124&lt;&gt;"",D124&lt;&gt;"",E124&lt;&gt;""),AND(ISERROR(VLOOKUP(TableCosts[[#This Row],[Calc_N_Typ]],Cis_WorkPositions,1,0)),C124="",D124="",E124&lt;&gt;""),LEFT(TableCosts[[#This Row],[Calc_N_Typ]],18)="Vynaložené náklady"),VLOOKUP(C124&amp;TableCosts[[#This Row],[Calc_N_Typ]],TRAN_STRITEMS_LABEL,VLOOKUP(D124,Tab_Hours,3,0),0),NA()),0)</f>
        <v>0</v>
      </c>
      <c r="BJ124" s="24">
        <f t="shared" si="42"/>
        <v>0</v>
      </c>
      <c r="BK124" s="24" t="str">
        <f t="shared" si="43"/>
        <v/>
      </c>
      <c r="BL124" s="24" t="str">
        <f t="shared" si="44"/>
        <v/>
      </c>
      <c r="BM124" s="24" t="str">
        <f>IF(G124=1,IF(TableCosts[[#This Row],[TransferFrom]]=TableCosts[[#This Row],[TranferTo]],0,1),"")</f>
        <v/>
      </c>
      <c r="BN124" s="24" t="str">
        <f t="shared" si="45"/>
        <v/>
      </c>
      <c r="BO124" s="24">
        <f t="shared" si="46"/>
        <v>0</v>
      </c>
      <c r="BP124" s="24">
        <f t="shared" si="47"/>
        <v>0</v>
      </c>
    </row>
    <row r="125" spans="2:68" s="24" customFormat="1" ht="12.75" x14ac:dyDescent="0.2">
      <c r="B125" s="97"/>
      <c r="C125" s="92"/>
      <c r="D125" s="92"/>
      <c r="E125" s="92"/>
      <c r="F125" s="31" t="str">
        <f>IF(G125=1,IF(ISERROR(TableCosts[[#This Row],[N_Tariff]]),Err_Message1,IF(TableCosts[[#This Row],[N_Tariff]]=0,Err_Message2,VLOOKUP(C125&amp;TableCosts[[#This Row],[Calc_N_Typ]],TRAN_STRITEMS_LABEL,5,FALSE))),"")</f>
        <v/>
      </c>
      <c r="G125" s="31">
        <f t="shared" si="36"/>
        <v>0</v>
      </c>
      <c r="H125" s="31" t="str">
        <f>IF(G125=1,IFERROR(VLOOKUP(F125,Tab_ErrMessage[],2,0),VLOOKUP(C125&amp;TableCosts[[#This Row],[Calc_N_Typ]],TRAN_STRITEMS_LABEL,4,FALSE)),"")</f>
        <v/>
      </c>
      <c r="I125" s="94"/>
      <c r="J125" s="94"/>
      <c r="K125" s="9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  <c r="AA125" s="84"/>
      <c r="AB125" s="84"/>
      <c r="AC125" s="84"/>
      <c r="AD125" s="84"/>
      <c r="AE125" s="84"/>
      <c r="AF125" s="84"/>
      <c r="AG125" s="84"/>
      <c r="AH125" s="84"/>
      <c r="AI125" s="84"/>
      <c r="AJ125" s="84"/>
      <c r="AK125" s="84"/>
      <c r="AL125" s="84"/>
      <c r="AM125" s="84"/>
      <c r="AN125" s="84"/>
      <c r="AO125" s="84"/>
      <c r="AP125" s="84"/>
      <c r="AQ125" s="84"/>
      <c r="AR125" s="84"/>
      <c r="AS125" s="84"/>
      <c r="AT125" s="84"/>
      <c r="AU125" s="84"/>
      <c r="AV125" s="84"/>
      <c r="AW125" s="84"/>
      <c r="AX125" s="87">
        <f t="array" ref="AX125">IF(G125=1,SUM((ROW(M0)=ROW(AW125))*(M0+M1_+M2_+M3_+M4_+M5_+M6_+M7_+M8_+M9_+M10_+M11_+M12_+M13_+M14_+M15_+M16_+M17_+M18_+M19_+M20_+M21_+M22_+M23_+M24_+M25_+M26_+M27_+M28_+M29_+M30_+M31_+M32_+M33_+M34_+M35_+M36_+M37_)),0)</f>
        <v>0</v>
      </c>
      <c r="AZ125" s="24" t="str">
        <f t="shared" si="37"/>
        <v/>
      </c>
      <c r="BA125" s="24" t="str">
        <f t="shared" si="38"/>
        <v/>
      </c>
      <c r="BB125" s="24" t="str">
        <f t="shared" si="39"/>
        <v/>
      </c>
      <c r="BC125" s="24" t="str">
        <f>IF(OR(E125="",LEFT(TableCosts[[#This Row],[Calc_N_Typ]],18)="Vynaložené náklady"),"",VLOOKUP(E125,Tab_Parts,2,0))</f>
        <v/>
      </c>
      <c r="BD125" s="24" t="str">
        <f t="shared" si="40"/>
        <v/>
      </c>
      <c r="BE125" s="24">
        <f t="shared" si="41"/>
        <v>0</v>
      </c>
      <c r="BF125" s="72">
        <f>TableCosts[[#This Row],[N_Amount]]*TableCosts[[#This Row],[N_Tariff]]*TableCosts[[#This Row],[N_ItemsCount]]</f>
        <v>0</v>
      </c>
      <c r="BG125" s="72">
        <f>IF(G125=1,IF(TableCosts[[#This Row],[N_Kateg]]="interné práce",TableCosts[[#This Row],[N_Amount]]*8*PAR_SGA_PERHOUR,0),0)</f>
        <v>0</v>
      </c>
      <c r="BH125" s="72">
        <f>SUM(TableCosts[[#This Row],[N_Direct]:[N_SGA]])</f>
        <v>0</v>
      </c>
      <c r="BI125" s="24">
        <f>IF(G125=1,IF(OR(AND(NOT(ISERROR(VLOOKUP(TableCosts[[#This Row],[Calc_N_Typ]],Cis_WorkPositions,1,0))),C125&lt;&gt;"",D125&lt;&gt;"",E125&lt;&gt;""),AND(ISERROR(VLOOKUP(TableCosts[[#This Row],[Calc_N_Typ]],Cis_WorkPositions,1,0)),C125="",D125="",E125&lt;&gt;""),LEFT(TableCosts[[#This Row],[Calc_N_Typ]],18)="Vynaložené náklady"),VLOOKUP(C125&amp;TableCosts[[#This Row],[Calc_N_Typ]],TRAN_STRITEMS_LABEL,VLOOKUP(D125,Tab_Hours,3,0),0),NA()),0)</f>
        <v>0</v>
      </c>
      <c r="BJ125" s="24">
        <f t="shared" si="42"/>
        <v>0</v>
      </c>
      <c r="BK125" s="24" t="str">
        <f t="shared" si="43"/>
        <v/>
      </c>
      <c r="BL125" s="24" t="str">
        <f t="shared" si="44"/>
        <v/>
      </c>
      <c r="BM125" s="24" t="str">
        <f>IF(G125=1,IF(TableCosts[[#This Row],[TransferFrom]]=TableCosts[[#This Row],[TranferTo]],0,1),"")</f>
        <v/>
      </c>
      <c r="BN125" s="24" t="str">
        <f t="shared" si="45"/>
        <v/>
      </c>
      <c r="BO125" s="24">
        <f t="shared" si="46"/>
        <v>0</v>
      </c>
      <c r="BP125" s="24">
        <f t="shared" si="47"/>
        <v>0</v>
      </c>
    </row>
    <row r="126" spans="2:68" s="24" customFormat="1" ht="12.75" x14ac:dyDescent="0.2">
      <c r="B126" s="97"/>
      <c r="C126" s="92"/>
      <c r="D126" s="92"/>
      <c r="E126" s="92"/>
      <c r="F126" s="31" t="str">
        <f>IF(G126=1,IF(ISERROR(TableCosts[[#This Row],[N_Tariff]]),Err_Message1,IF(TableCosts[[#This Row],[N_Tariff]]=0,Err_Message2,VLOOKUP(C126&amp;TableCosts[[#This Row],[Calc_N_Typ]],TRAN_STRITEMS_LABEL,5,FALSE))),"")</f>
        <v/>
      </c>
      <c r="G126" s="31">
        <f t="shared" si="36"/>
        <v>0</v>
      </c>
      <c r="H126" s="31" t="str">
        <f>IF(G126=1,IFERROR(VLOOKUP(F126,Tab_ErrMessage[],2,0),VLOOKUP(C126&amp;TableCosts[[#This Row],[Calc_N_Typ]],TRAN_STRITEMS_LABEL,4,FALSE)),"")</f>
        <v/>
      </c>
      <c r="I126" s="94"/>
      <c r="J126" s="94"/>
      <c r="K126" s="9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  <c r="AA126" s="84"/>
      <c r="AB126" s="84"/>
      <c r="AC126" s="84"/>
      <c r="AD126" s="84"/>
      <c r="AE126" s="84"/>
      <c r="AF126" s="84"/>
      <c r="AG126" s="84"/>
      <c r="AH126" s="84"/>
      <c r="AI126" s="84"/>
      <c r="AJ126" s="84"/>
      <c r="AK126" s="84"/>
      <c r="AL126" s="84"/>
      <c r="AM126" s="84"/>
      <c r="AN126" s="84"/>
      <c r="AO126" s="84"/>
      <c r="AP126" s="84"/>
      <c r="AQ126" s="84"/>
      <c r="AR126" s="84"/>
      <c r="AS126" s="84"/>
      <c r="AT126" s="84"/>
      <c r="AU126" s="84"/>
      <c r="AV126" s="84"/>
      <c r="AW126" s="84"/>
      <c r="AX126" s="87">
        <f t="array" ref="AX126">IF(G126=1,SUM((ROW(M0)=ROW(AW126))*(M0+M1_+M2_+M3_+M4_+M5_+M6_+M7_+M8_+M9_+M10_+M11_+M12_+M13_+M14_+M15_+M16_+M17_+M18_+M19_+M20_+M21_+M22_+M23_+M24_+M25_+M26_+M27_+M28_+M29_+M30_+M31_+M32_+M33_+M34_+M35_+M36_+M37_)),0)</f>
        <v>0</v>
      </c>
      <c r="AZ126" s="24" t="str">
        <f t="shared" si="37"/>
        <v/>
      </c>
      <c r="BA126" s="24" t="str">
        <f t="shared" si="38"/>
        <v/>
      </c>
      <c r="BB126" s="24" t="str">
        <f t="shared" si="39"/>
        <v/>
      </c>
      <c r="BC126" s="24" t="str">
        <f>IF(OR(E126="",LEFT(TableCosts[[#This Row],[Calc_N_Typ]],18)="Vynaložené náklady"),"",VLOOKUP(E126,Tab_Parts,2,0))</f>
        <v/>
      </c>
      <c r="BD126" s="24" t="str">
        <f t="shared" si="40"/>
        <v/>
      </c>
      <c r="BE126" s="24">
        <f t="shared" si="41"/>
        <v>0</v>
      </c>
      <c r="BF126" s="72">
        <f>TableCosts[[#This Row],[N_Amount]]*TableCosts[[#This Row],[N_Tariff]]*TableCosts[[#This Row],[N_ItemsCount]]</f>
        <v>0</v>
      </c>
      <c r="BG126" s="72">
        <f>IF(G126=1,IF(TableCosts[[#This Row],[N_Kateg]]="interné práce",TableCosts[[#This Row],[N_Amount]]*8*PAR_SGA_PERHOUR,0),0)</f>
        <v>0</v>
      </c>
      <c r="BH126" s="72">
        <f>SUM(TableCosts[[#This Row],[N_Direct]:[N_SGA]])</f>
        <v>0</v>
      </c>
      <c r="BI126" s="24">
        <f>IF(G126=1,IF(OR(AND(NOT(ISERROR(VLOOKUP(TableCosts[[#This Row],[Calc_N_Typ]],Cis_WorkPositions,1,0))),C126&lt;&gt;"",D126&lt;&gt;"",E126&lt;&gt;""),AND(ISERROR(VLOOKUP(TableCosts[[#This Row],[Calc_N_Typ]],Cis_WorkPositions,1,0)),C126="",D126="",E126&lt;&gt;""),LEFT(TableCosts[[#This Row],[Calc_N_Typ]],18)="Vynaložené náklady"),VLOOKUP(C126&amp;TableCosts[[#This Row],[Calc_N_Typ]],TRAN_STRITEMS_LABEL,VLOOKUP(D126,Tab_Hours,3,0),0),NA()),0)</f>
        <v>0</v>
      </c>
      <c r="BJ126" s="24">
        <f t="shared" si="42"/>
        <v>0</v>
      </c>
      <c r="BK126" s="24" t="str">
        <f t="shared" si="43"/>
        <v/>
      </c>
      <c r="BL126" s="24" t="str">
        <f t="shared" si="44"/>
        <v/>
      </c>
      <c r="BM126" s="24" t="str">
        <f>IF(G126=1,IF(TableCosts[[#This Row],[TransferFrom]]=TableCosts[[#This Row],[TranferTo]],0,1),"")</f>
        <v/>
      </c>
      <c r="BN126" s="24" t="str">
        <f t="shared" si="45"/>
        <v/>
      </c>
      <c r="BO126" s="24">
        <f t="shared" si="46"/>
        <v>0</v>
      </c>
      <c r="BP126" s="24">
        <f t="shared" si="47"/>
        <v>0</v>
      </c>
    </row>
    <row r="127" spans="2:68" s="24" customFormat="1" ht="12.75" x14ac:dyDescent="0.2">
      <c r="B127" s="97"/>
      <c r="C127" s="92"/>
      <c r="D127" s="92"/>
      <c r="E127" s="92"/>
      <c r="F127" s="31" t="str">
        <f>IF(G127=1,IF(ISERROR(TableCosts[[#This Row],[N_Tariff]]),Err_Message1,IF(TableCosts[[#This Row],[N_Tariff]]=0,Err_Message2,VLOOKUP(C127&amp;TableCosts[[#This Row],[Calc_N_Typ]],TRAN_STRITEMS_LABEL,5,FALSE))),"")</f>
        <v/>
      </c>
      <c r="G127" s="31">
        <f t="shared" si="36"/>
        <v>0</v>
      </c>
      <c r="H127" s="31" t="str">
        <f>IF(G127=1,IFERROR(VLOOKUP(F127,Tab_ErrMessage[],2,0),VLOOKUP(C127&amp;TableCosts[[#This Row],[Calc_N_Typ]],TRAN_STRITEMS_LABEL,4,FALSE)),"")</f>
        <v/>
      </c>
      <c r="I127" s="94"/>
      <c r="J127" s="94"/>
      <c r="K127" s="9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  <c r="AA127" s="84"/>
      <c r="AB127" s="84"/>
      <c r="AC127" s="84"/>
      <c r="AD127" s="84"/>
      <c r="AE127" s="84"/>
      <c r="AF127" s="84"/>
      <c r="AG127" s="84"/>
      <c r="AH127" s="84"/>
      <c r="AI127" s="84"/>
      <c r="AJ127" s="84"/>
      <c r="AK127" s="84"/>
      <c r="AL127" s="84"/>
      <c r="AM127" s="84"/>
      <c r="AN127" s="84"/>
      <c r="AO127" s="84"/>
      <c r="AP127" s="84"/>
      <c r="AQ127" s="84"/>
      <c r="AR127" s="84"/>
      <c r="AS127" s="84"/>
      <c r="AT127" s="84"/>
      <c r="AU127" s="84"/>
      <c r="AV127" s="84"/>
      <c r="AW127" s="84"/>
      <c r="AX127" s="87">
        <f t="array" ref="AX127">IF(G127=1,SUM((ROW(M0)=ROW(AW127))*(M0+M1_+M2_+M3_+M4_+M5_+M6_+M7_+M8_+M9_+M10_+M11_+M12_+M13_+M14_+M15_+M16_+M17_+M18_+M19_+M20_+M21_+M22_+M23_+M24_+M25_+M26_+M27_+M28_+M29_+M30_+M31_+M32_+M33_+M34_+M35_+M36_+M37_)),0)</f>
        <v>0</v>
      </c>
      <c r="AZ127" s="24" t="str">
        <f t="shared" si="37"/>
        <v/>
      </c>
      <c r="BA127" s="24" t="str">
        <f t="shared" si="38"/>
        <v/>
      </c>
      <c r="BB127" s="24" t="str">
        <f t="shared" si="39"/>
        <v/>
      </c>
      <c r="BC127" s="24" t="str">
        <f>IF(OR(E127="",LEFT(TableCosts[[#This Row],[Calc_N_Typ]],18)="Vynaložené náklady"),"",VLOOKUP(E127,Tab_Parts,2,0))</f>
        <v/>
      </c>
      <c r="BD127" s="24" t="str">
        <f t="shared" si="40"/>
        <v/>
      </c>
      <c r="BE127" s="24">
        <f t="shared" si="41"/>
        <v>0</v>
      </c>
      <c r="BF127" s="72">
        <f>TableCosts[[#This Row],[N_Amount]]*TableCosts[[#This Row],[N_Tariff]]*TableCosts[[#This Row],[N_ItemsCount]]</f>
        <v>0</v>
      </c>
      <c r="BG127" s="72">
        <f>IF(G127=1,IF(TableCosts[[#This Row],[N_Kateg]]="interné práce",TableCosts[[#This Row],[N_Amount]]*8*PAR_SGA_PERHOUR,0),0)</f>
        <v>0</v>
      </c>
      <c r="BH127" s="72">
        <f>SUM(TableCosts[[#This Row],[N_Direct]:[N_SGA]])</f>
        <v>0</v>
      </c>
      <c r="BI127" s="24">
        <f>IF(G127=1,IF(OR(AND(NOT(ISERROR(VLOOKUP(TableCosts[[#This Row],[Calc_N_Typ]],Cis_WorkPositions,1,0))),C127&lt;&gt;"",D127&lt;&gt;"",E127&lt;&gt;""),AND(ISERROR(VLOOKUP(TableCosts[[#This Row],[Calc_N_Typ]],Cis_WorkPositions,1,0)),C127="",D127="",E127&lt;&gt;""),LEFT(TableCosts[[#This Row],[Calc_N_Typ]],18)="Vynaložené náklady"),VLOOKUP(C127&amp;TableCosts[[#This Row],[Calc_N_Typ]],TRAN_STRITEMS_LABEL,VLOOKUP(D127,Tab_Hours,3,0),0),NA()),0)</f>
        <v>0</v>
      </c>
      <c r="BJ127" s="24">
        <f t="shared" si="42"/>
        <v>0</v>
      </c>
      <c r="BK127" s="24" t="str">
        <f t="shared" si="43"/>
        <v/>
      </c>
      <c r="BL127" s="24" t="str">
        <f t="shared" si="44"/>
        <v/>
      </c>
      <c r="BM127" s="24" t="str">
        <f>IF(G127=1,IF(TableCosts[[#This Row],[TransferFrom]]=TableCosts[[#This Row],[TranferTo]],0,1),"")</f>
        <v/>
      </c>
      <c r="BN127" s="24" t="str">
        <f t="shared" si="45"/>
        <v/>
      </c>
      <c r="BO127" s="24">
        <f t="shared" si="46"/>
        <v>0</v>
      </c>
      <c r="BP127" s="24">
        <f t="shared" si="47"/>
        <v>0</v>
      </c>
    </row>
    <row r="128" spans="2:68" s="24" customFormat="1" ht="12.75" x14ac:dyDescent="0.2">
      <c r="B128" s="97"/>
      <c r="C128" s="92"/>
      <c r="D128" s="92"/>
      <c r="E128" s="92"/>
      <c r="F128" s="31" t="str">
        <f>IF(G128=1,IF(ISERROR(TableCosts[[#This Row],[N_Tariff]]),Err_Message1,IF(TableCosts[[#This Row],[N_Tariff]]=0,Err_Message2,VLOOKUP(C128&amp;TableCosts[[#This Row],[Calc_N_Typ]],TRAN_STRITEMS_LABEL,5,FALSE))),"")</f>
        <v/>
      </c>
      <c r="G128" s="31">
        <f t="shared" si="36"/>
        <v>0</v>
      </c>
      <c r="H128" s="31" t="str">
        <f>IF(G128=1,IFERROR(VLOOKUP(F128,Tab_ErrMessage[],2,0),VLOOKUP(C128&amp;TableCosts[[#This Row],[Calc_N_Typ]],TRAN_STRITEMS_LABEL,4,FALSE)),"")</f>
        <v/>
      </c>
      <c r="I128" s="94"/>
      <c r="J128" s="94"/>
      <c r="K128" s="94"/>
      <c r="L128" s="84"/>
      <c r="M128" s="84"/>
      <c r="N128" s="84"/>
      <c r="O128" s="84"/>
      <c r="P128" s="84"/>
      <c r="Q128" s="84"/>
      <c r="R128" s="84"/>
      <c r="S128" s="84"/>
      <c r="T128" s="84"/>
      <c r="U128" s="84"/>
      <c r="V128" s="84"/>
      <c r="W128" s="84"/>
      <c r="X128" s="84"/>
      <c r="Y128" s="84"/>
      <c r="Z128" s="84"/>
      <c r="AA128" s="84"/>
      <c r="AB128" s="84"/>
      <c r="AC128" s="84"/>
      <c r="AD128" s="84"/>
      <c r="AE128" s="84"/>
      <c r="AF128" s="84"/>
      <c r="AG128" s="84"/>
      <c r="AH128" s="84"/>
      <c r="AI128" s="84"/>
      <c r="AJ128" s="84"/>
      <c r="AK128" s="84"/>
      <c r="AL128" s="84"/>
      <c r="AM128" s="84"/>
      <c r="AN128" s="84"/>
      <c r="AO128" s="84"/>
      <c r="AP128" s="84"/>
      <c r="AQ128" s="84"/>
      <c r="AR128" s="84"/>
      <c r="AS128" s="84"/>
      <c r="AT128" s="84"/>
      <c r="AU128" s="84"/>
      <c r="AV128" s="84"/>
      <c r="AW128" s="84"/>
      <c r="AX128" s="87">
        <f t="array" ref="AX128">IF(G128=1,SUM((ROW(M0)=ROW(AW128))*(M0+M1_+M2_+M3_+M4_+M5_+M6_+M7_+M8_+M9_+M10_+M11_+M12_+M13_+M14_+M15_+M16_+M17_+M18_+M19_+M20_+M21_+M22_+M23_+M24_+M25_+M26_+M27_+M28_+M29_+M30_+M31_+M32_+M33_+M34_+M35_+M36_+M37_)),0)</f>
        <v>0</v>
      </c>
      <c r="AZ128" s="24" t="str">
        <f t="shared" si="37"/>
        <v/>
      </c>
      <c r="BA128" s="24" t="str">
        <f t="shared" si="38"/>
        <v/>
      </c>
      <c r="BB128" s="24" t="str">
        <f t="shared" si="39"/>
        <v/>
      </c>
      <c r="BC128" s="24" t="str">
        <f>IF(OR(E128="",LEFT(TableCosts[[#This Row],[Calc_N_Typ]],18)="Vynaložené náklady"),"",VLOOKUP(E128,Tab_Parts,2,0))</f>
        <v/>
      </c>
      <c r="BD128" s="24" t="str">
        <f t="shared" si="40"/>
        <v/>
      </c>
      <c r="BE128" s="24">
        <f t="shared" si="41"/>
        <v>0</v>
      </c>
      <c r="BF128" s="72">
        <f>TableCosts[[#This Row],[N_Amount]]*TableCosts[[#This Row],[N_Tariff]]*TableCosts[[#This Row],[N_ItemsCount]]</f>
        <v>0</v>
      </c>
      <c r="BG128" s="72">
        <f>IF(G128=1,IF(TableCosts[[#This Row],[N_Kateg]]="interné práce",TableCosts[[#This Row],[N_Amount]]*8*PAR_SGA_PERHOUR,0),0)</f>
        <v>0</v>
      </c>
      <c r="BH128" s="72">
        <f>SUM(TableCosts[[#This Row],[N_Direct]:[N_SGA]])</f>
        <v>0</v>
      </c>
      <c r="BI128" s="24">
        <f>IF(G128=1,IF(OR(AND(NOT(ISERROR(VLOOKUP(TableCosts[[#This Row],[Calc_N_Typ]],Cis_WorkPositions,1,0))),C128&lt;&gt;"",D128&lt;&gt;"",E128&lt;&gt;""),AND(ISERROR(VLOOKUP(TableCosts[[#This Row],[Calc_N_Typ]],Cis_WorkPositions,1,0)),C128="",D128="",E128&lt;&gt;""),LEFT(TableCosts[[#This Row],[Calc_N_Typ]],18)="Vynaložené náklady"),VLOOKUP(C128&amp;TableCosts[[#This Row],[Calc_N_Typ]],TRAN_STRITEMS_LABEL,VLOOKUP(D128,Tab_Hours,3,0),0),NA()),0)</f>
        <v>0</v>
      </c>
      <c r="BJ128" s="24">
        <f t="shared" si="42"/>
        <v>0</v>
      </c>
      <c r="BK128" s="24" t="str">
        <f t="shared" si="43"/>
        <v/>
      </c>
      <c r="BL128" s="24" t="str">
        <f t="shared" si="44"/>
        <v/>
      </c>
      <c r="BM128" s="24" t="str">
        <f>IF(G128=1,IF(TableCosts[[#This Row],[TransferFrom]]=TableCosts[[#This Row],[TranferTo]],0,1),"")</f>
        <v/>
      </c>
      <c r="BN128" s="24" t="str">
        <f t="shared" si="45"/>
        <v/>
      </c>
      <c r="BO128" s="24">
        <f t="shared" si="46"/>
        <v>0</v>
      </c>
      <c r="BP128" s="24">
        <f t="shared" si="47"/>
        <v>0</v>
      </c>
    </row>
    <row r="129" spans="2:68" s="24" customFormat="1" ht="12.75" x14ac:dyDescent="0.2">
      <c r="B129" s="97"/>
      <c r="C129" s="92"/>
      <c r="D129" s="92"/>
      <c r="E129" s="92"/>
      <c r="F129" s="31" t="str">
        <f>IF(G129=1,IF(ISERROR(TableCosts[[#This Row],[N_Tariff]]),Err_Message1,IF(TableCosts[[#This Row],[N_Tariff]]=0,Err_Message2,VLOOKUP(C129&amp;TableCosts[[#This Row],[Calc_N_Typ]],TRAN_STRITEMS_LABEL,5,FALSE))),"")</f>
        <v/>
      </c>
      <c r="G129" s="31">
        <f t="shared" si="36"/>
        <v>0</v>
      </c>
      <c r="H129" s="31" t="str">
        <f>IF(G129=1,IFERROR(VLOOKUP(F129,Tab_ErrMessage[],2,0),VLOOKUP(C129&amp;TableCosts[[#This Row],[Calc_N_Typ]],TRAN_STRITEMS_LABEL,4,FALSE)),"")</f>
        <v/>
      </c>
      <c r="I129" s="94"/>
      <c r="J129" s="94"/>
      <c r="K129" s="9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  <c r="Y129" s="84"/>
      <c r="Z129" s="84"/>
      <c r="AA129" s="84"/>
      <c r="AB129" s="84"/>
      <c r="AC129" s="84"/>
      <c r="AD129" s="84"/>
      <c r="AE129" s="84"/>
      <c r="AF129" s="84"/>
      <c r="AG129" s="84"/>
      <c r="AH129" s="84"/>
      <c r="AI129" s="84"/>
      <c r="AJ129" s="84"/>
      <c r="AK129" s="84"/>
      <c r="AL129" s="84"/>
      <c r="AM129" s="84"/>
      <c r="AN129" s="84"/>
      <c r="AO129" s="84"/>
      <c r="AP129" s="84"/>
      <c r="AQ129" s="84"/>
      <c r="AR129" s="84"/>
      <c r="AS129" s="84"/>
      <c r="AT129" s="84"/>
      <c r="AU129" s="84"/>
      <c r="AV129" s="84"/>
      <c r="AW129" s="84"/>
      <c r="AX129" s="87">
        <f t="array" ref="AX129">IF(G129=1,SUM((ROW(M0)=ROW(AW129))*(M0+M1_+M2_+M3_+M4_+M5_+M6_+M7_+M8_+M9_+M10_+M11_+M12_+M13_+M14_+M15_+M16_+M17_+M18_+M19_+M20_+M21_+M22_+M23_+M24_+M25_+M26_+M27_+M28_+M29_+M30_+M31_+M32_+M33_+M34_+M35_+M36_+M37_)),0)</f>
        <v>0</v>
      </c>
      <c r="AZ129" s="24" t="str">
        <f t="shared" si="37"/>
        <v/>
      </c>
      <c r="BA129" s="24" t="str">
        <f t="shared" si="38"/>
        <v/>
      </c>
      <c r="BB129" s="24" t="str">
        <f t="shared" si="39"/>
        <v/>
      </c>
      <c r="BC129" s="24" t="str">
        <f>IF(OR(E129="",LEFT(TableCosts[[#This Row],[Calc_N_Typ]],18)="Vynaložené náklady"),"",VLOOKUP(E129,Tab_Parts,2,0))</f>
        <v/>
      </c>
      <c r="BD129" s="24" t="str">
        <f t="shared" si="40"/>
        <v/>
      </c>
      <c r="BE129" s="24">
        <f t="shared" si="41"/>
        <v>0</v>
      </c>
      <c r="BF129" s="72">
        <f>TableCosts[[#This Row],[N_Amount]]*TableCosts[[#This Row],[N_Tariff]]*TableCosts[[#This Row],[N_ItemsCount]]</f>
        <v>0</v>
      </c>
      <c r="BG129" s="72">
        <f>IF(G129=1,IF(TableCosts[[#This Row],[N_Kateg]]="interné práce",TableCosts[[#This Row],[N_Amount]]*8*PAR_SGA_PERHOUR,0),0)</f>
        <v>0</v>
      </c>
      <c r="BH129" s="72">
        <f>SUM(TableCosts[[#This Row],[N_Direct]:[N_SGA]])</f>
        <v>0</v>
      </c>
      <c r="BI129" s="24">
        <f>IF(G129=1,IF(OR(AND(NOT(ISERROR(VLOOKUP(TableCosts[[#This Row],[Calc_N_Typ]],Cis_WorkPositions,1,0))),C129&lt;&gt;"",D129&lt;&gt;"",E129&lt;&gt;""),AND(ISERROR(VLOOKUP(TableCosts[[#This Row],[Calc_N_Typ]],Cis_WorkPositions,1,0)),C129="",D129="",E129&lt;&gt;""),LEFT(TableCosts[[#This Row],[Calc_N_Typ]],18)="Vynaložené náklady"),VLOOKUP(C129&amp;TableCosts[[#This Row],[Calc_N_Typ]],TRAN_STRITEMS_LABEL,VLOOKUP(D129,Tab_Hours,3,0),0),NA()),0)</f>
        <v>0</v>
      </c>
      <c r="BJ129" s="24">
        <f t="shared" si="42"/>
        <v>0</v>
      </c>
      <c r="BK129" s="24" t="str">
        <f t="shared" si="43"/>
        <v/>
      </c>
      <c r="BL129" s="24" t="str">
        <f t="shared" si="44"/>
        <v/>
      </c>
      <c r="BM129" s="24" t="str">
        <f>IF(G129=1,IF(TableCosts[[#This Row],[TransferFrom]]=TableCosts[[#This Row],[TranferTo]],0,1),"")</f>
        <v/>
      </c>
      <c r="BN129" s="24" t="str">
        <f t="shared" si="45"/>
        <v/>
      </c>
      <c r="BO129" s="24">
        <f t="shared" si="46"/>
        <v>0</v>
      </c>
      <c r="BP129" s="24">
        <f t="shared" si="47"/>
        <v>0</v>
      </c>
    </row>
    <row r="130" spans="2:68" s="24" customFormat="1" ht="12.75" x14ac:dyDescent="0.2">
      <c r="B130" s="97"/>
      <c r="C130" s="92"/>
      <c r="D130" s="92"/>
      <c r="E130" s="92"/>
      <c r="F130" s="31" t="str">
        <f>IF(G130=1,IF(ISERROR(TableCosts[[#This Row],[N_Tariff]]),Err_Message1,IF(TableCosts[[#This Row],[N_Tariff]]=0,Err_Message2,VLOOKUP(C130&amp;TableCosts[[#This Row],[Calc_N_Typ]],TRAN_STRITEMS_LABEL,5,FALSE))),"")</f>
        <v/>
      </c>
      <c r="G130" s="31">
        <f t="shared" si="36"/>
        <v>0</v>
      </c>
      <c r="H130" s="31" t="str">
        <f>IF(G130=1,IFERROR(VLOOKUP(F130,Tab_ErrMessage[],2,0),VLOOKUP(C130&amp;TableCosts[[#This Row],[Calc_N_Typ]],TRAN_STRITEMS_LABEL,4,FALSE)),"")</f>
        <v/>
      </c>
      <c r="I130" s="94"/>
      <c r="J130" s="94"/>
      <c r="K130" s="9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  <c r="AA130" s="84"/>
      <c r="AB130" s="84"/>
      <c r="AC130" s="84"/>
      <c r="AD130" s="84"/>
      <c r="AE130" s="84"/>
      <c r="AF130" s="84"/>
      <c r="AG130" s="84"/>
      <c r="AH130" s="84"/>
      <c r="AI130" s="84"/>
      <c r="AJ130" s="84"/>
      <c r="AK130" s="84"/>
      <c r="AL130" s="84"/>
      <c r="AM130" s="84"/>
      <c r="AN130" s="84"/>
      <c r="AO130" s="84"/>
      <c r="AP130" s="84"/>
      <c r="AQ130" s="84"/>
      <c r="AR130" s="84"/>
      <c r="AS130" s="84"/>
      <c r="AT130" s="84"/>
      <c r="AU130" s="84"/>
      <c r="AV130" s="84"/>
      <c r="AW130" s="84"/>
      <c r="AX130" s="87">
        <f t="array" ref="AX130">IF(G130=1,SUM((ROW(M0)=ROW(AW130))*(M0+M1_+M2_+M3_+M4_+M5_+M6_+M7_+M8_+M9_+M10_+M11_+M12_+M13_+M14_+M15_+M16_+M17_+M18_+M19_+M20_+M21_+M22_+M23_+M24_+M25_+M26_+M27_+M28_+M29_+M30_+M31_+M32_+M33_+M34_+M35_+M36_+M37_)),0)</f>
        <v>0</v>
      </c>
      <c r="AZ130" s="24" t="str">
        <f t="shared" si="37"/>
        <v/>
      </c>
      <c r="BA130" s="24" t="str">
        <f t="shared" si="38"/>
        <v/>
      </c>
      <c r="BB130" s="24" t="str">
        <f t="shared" si="39"/>
        <v/>
      </c>
      <c r="BC130" s="24" t="str">
        <f>IF(OR(E130="",LEFT(TableCosts[[#This Row],[Calc_N_Typ]],18)="Vynaložené náklady"),"",VLOOKUP(E130,Tab_Parts,2,0))</f>
        <v/>
      </c>
      <c r="BD130" s="24" t="str">
        <f t="shared" si="40"/>
        <v/>
      </c>
      <c r="BE130" s="24">
        <f t="shared" si="41"/>
        <v>0</v>
      </c>
      <c r="BF130" s="72">
        <f>TableCosts[[#This Row],[N_Amount]]*TableCosts[[#This Row],[N_Tariff]]*TableCosts[[#This Row],[N_ItemsCount]]</f>
        <v>0</v>
      </c>
      <c r="BG130" s="72">
        <f>IF(G130=1,IF(TableCosts[[#This Row],[N_Kateg]]="interné práce",TableCosts[[#This Row],[N_Amount]]*8*PAR_SGA_PERHOUR,0),0)</f>
        <v>0</v>
      </c>
      <c r="BH130" s="72">
        <f>SUM(TableCosts[[#This Row],[N_Direct]:[N_SGA]])</f>
        <v>0</v>
      </c>
      <c r="BI130" s="24">
        <f>IF(G130=1,IF(OR(AND(NOT(ISERROR(VLOOKUP(TableCosts[[#This Row],[Calc_N_Typ]],Cis_WorkPositions,1,0))),C130&lt;&gt;"",D130&lt;&gt;"",E130&lt;&gt;""),AND(ISERROR(VLOOKUP(TableCosts[[#This Row],[Calc_N_Typ]],Cis_WorkPositions,1,0)),C130="",D130="",E130&lt;&gt;""),LEFT(TableCosts[[#This Row],[Calc_N_Typ]],18)="Vynaložené náklady"),VLOOKUP(C130&amp;TableCosts[[#This Row],[Calc_N_Typ]],TRAN_STRITEMS_LABEL,VLOOKUP(D130,Tab_Hours,3,0),0),NA()),0)</f>
        <v>0</v>
      </c>
      <c r="BJ130" s="24">
        <f t="shared" si="42"/>
        <v>0</v>
      </c>
      <c r="BK130" s="24" t="str">
        <f t="shared" si="43"/>
        <v/>
      </c>
      <c r="BL130" s="24" t="str">
        <f t="shared" si="44"/>
        <v/>
      </c>
      <c r="BM130" s="24" t="str">
        <f>IF(G130=1,IF(TableCosts[[#This Row],[TransferFrom]]=TableCosts[[#This Row],[TranferTo]],0,1),"")</f>
        <v/>
      </c>
      <c r="BN130" s="24" t="str">
        <f t="shared" si="45"/>
        <v/>
      </c>
      <c r="BO130" s="24">
        <f t="shared" si="46"/>
        <v>0</v>
      </c>
      <c r="BP130" s="24">
        <f t="shared" si="47"/>
        <v>0</v>
      </c>
    </row>
    <row r="131" spans="2:68" s="24" customFormat="1" ht="12.75" x14ac:dyDescent="0.2">
      <c r="B131" s="97"/>
      <c r="C131" s="92"/>
      <c r="D131" s="92"/>
      <c r="E131" s="92"/>
      <c r="F131" s="31" t="str">
        <f>IF(G131=1,IF(ISERROR(TableCosts[[#This Row],[N_Tariff]]),Err_Message1,IF(TableCosts[[#This Row],[N_Tariff]]=0,Err_Message2,VLOOKUP(C131&amp;TableCosts[[#This Row],[Calc_N_Typ]],TRAN_STRITEMS_LABEL,5,FALSE))),"")</f>
        <v/>
      </c>
      <c r="G131" s="31">
        <f t="shared" si="36"/>
        <v>0</v>
      </c>
      <c r="H131" s="31" t="str">
        <f>IF(G131=1,IFERROR(VLOOKUP(F131,Tab_ErrMessage[],2,0),VLOOKUP(C131&amp;TableCosts[[#This Row],[Calc_N_Typ]],TRAN_STRITEMS_LABEL,4,FALSE)),"")</f>
        <v/>
      </c>
      <c r="I131" s="94"/>
      <c r="J131" s="94"/>
      <c r="K131" s="9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4"/>
      <c r="AF131" s="84"/>
      <c r="AG131" s="84"/>
      <c r="AH131" s="84"/>
      <c r="AI131" s="84"/>
      <c r="AJ131" s="84"/>
      <c r="AK131" s="84"/>
      <c r="AL131" s="84"/>
      <c r="AM131" s="84"/>
      <c r="AN131" s="84"/>
      <c r="AO131" s="84"/>
      <c r="AP131" s="84"/>
      <c r="AQ131" s="84"/>
      <c r="AR131" s="84"/>
      <c r="AS131" s="84"/>
      <c r="AT131" s="84"/>
      <c r="AU131" s="84"/>
      <c r="AV131" s="84"/>
      <c r="AW131" s="84"/>
      <c r="AX131" s="87">
        <f t="array" ref="AX131">IF(G131=1,SUM((ROW(M0)=ROW(AW131))*(M0+M1_+M2_+M3_+M4_+M5_+M6_+M7_+M8_+M9_+M10_+M11_+M12_+M13_+M14_+M15_+M16_+M17_+M18_+M19_+M20_+M21_+M22_+M23_+M24_+M25_+M26_+M27_+M28_+M29_+M30_+M31_+M32_+M33_+M34_+M35_+M36_+M37_)),0)</f>
        <v>0</v>
      </c>
      <c r="AZ131" s="24" t="str">
        <f t="shared" si="37"/>
        <v/>
      </c>
      <c r="BA131" s="24" t="str">
        <f t="shared" si="38"/>
        <v/>
      </c>
      <c r="BB131" s="24" t="str">
        <f t="shared" si="39"/>
        <v/>
      </c>
      <c r="BC131" s="24" t="str">
        <f>IF(OR(E131="",LEFT(TableCosts[[#This Row],[Calc_N_Typ]],18)="Vynaložené náklady"),"",VLOOKUP(E131,Tab_Parts,2,0))</f>
        <v/>
      </c>
      <c r="BD131" s="24" t="str">
        <f t="shared" si="40"/>
        <v/>
      </c>
      <c r="BE131" s="24">
        <f t="shared" si="41"/>
        <v>0</v>
      </c>
      <c r="BF131" s="72">
        <f>TableCosts[[#This Row],[N_Amount]]*TableCosts[[#This Row],[N_Tariff]]*TableCosts[[#This Row],[N_ItemsCount]]</f>
        <v>0</v>
      </c>
      <c r="BG131" s="72">
        <f>IF(G131=1,IF(TableCosts[[#This Row],[N_Kateg]]="interné práce",TableCosts[[#This Row],[N_Amount]]*8*PAR_SGA_PERHOUR,0),0)</f>
        <v>0</v>
      </c>
      <c r="BH131" s="72">
        <f>SUM(TableCosts[[#This Row],[N_Direct]:[N_SGA]])</f>
        <v>0</v>
      </c>
      <c r="BI131" s="24">
        <f>IF(G131=1,IF(OR(AND(NOT(ISERROR(VLOOKUP(TableCosts[[#This Row],[Calc_N_Typ]],Cis_WorkPositions,1,0))),C131&lt;&gt;"",D131&lt;&gt;"",E131&lt;&gt;""),AND(ISERROR(VLOOKUP(TableCosts[[#This Row],[Calc_N_Typ]],Cis_WorkPositions,1,0)),C131="",D131="",E131&lt;&gt;""),LEFT(TableCosts[[#This Row],[Calc_N_Typ]],18)="Vynaložené náklady"),VLOOKUP(C131&amp;TableCosts[[#This Row],[Calc_N_Typ]],TRAN_STRITEMS_LABEL,VLOOKUP(D131,Tab_Hours,3,0),0),NA()),0)</f>
        <v>0</v>
      </c>
      <c r="BJ131" s="24">
        <f t="shared" si="42"/>
        <v>0</v>
      </c>
      <c r="BK131" s="24" t="str">
        <f t="shared" si="43"/>
        <v/>
      </c>
      <c r="BL131" s="24" t="str">
        <f t="shared" si="44"/>
        <v/>
      </c>
      <c r="BM131" s="24" t="str">
        <f>IF(G131=1,IF(TableCosts[[#This Row],[TransferFrom]]=TableCosts[[#This Row],[TranferTo]],0,1),"")</f>
        <v/>
      </c>
      <c r="BN131" s="24" t="str">
        <f t="shared" si="45"/>
        <v/>
      </c>
      <c r="BO131" s="24">
        <f t="shared" si="46"/>
        <v>0</v>
      </c>
      <c r="BP131" s="24">
        <f t="shared" si="47"/>
        <v>0</v>
      </c>
    </row>
    <row r="132" spans="2:68" s="24" customFormat="1" ht="12.75" x14ac:dyDescent="0.2">
      <c r="B132" s="97"/>
      <c r="C132" s="92"/>
      <c r="D132" s="92"/>
      <c r="E132" s="92"/>
      <c r="F132" s="31" t="str">
        <f>IF(G132=1,IF(ISERROR(TableCosts[[#This Row],[N_Tariff]]),Err_Message1,IF(TableCosts[[#This Row],[N_Tariff]]=0,Err_Message2,VLOOKUP(C132&amp;TableCosts[[#This Row],[Calc_N_Typ]],TRAN_STRITEMS_LABEL,5,FALSE))),"")</f>
        <v/>
      </c>
      <c r="G132" s="31">
        <f t="shared" si="36"/>
        <v>0</v>
      </c>
      <c r="H132" s="31" t="str">
        <f>IF(G132=1,IFERROR(VLOOKUP(F132,Tab_ErrMessage[],2,0),VLOOKUP(C132&amp;TableCosts[[#This Row],[Calc_N_Typ]],TRAN_STRITEMS_LABEL,4,FALSE)),"")</f>
        <v/>
      </c>
      <c r="I132" s="94"/>
      <c r="J132" s="94"/>
      <c r="K132" s="9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  <c r="AA132" s="84"/>
      <c r="AB132" s="84"/>
      <c r="AC132" s="84"/>
      <c r="AD132" s="84"/>
      <c r="AE132" s="84"/>
      <c r="AF132" s="84"/>
      <c r="AG132" s="84"/>
      <c r="AH132" s="84"/>
      <c r="AI132" s="84"/>
      <c r="AJ132" s="84"/>
      <c r="AK132" s="84"/>
      <c r="AL132" s="84"/>
      <c r="AM132" s="84"/>
      <c r="AN132" s="84"/>
      <c r="AO132" s="84"/>
      <c r="AP132" s="84"/>
      <c r="AQ132" s="84"/>
      <c r="AR132" s="84"/>
      <c r="AS132" s="84"/>
      <c r="AT132" s="84"/>
      <c r="AU132" s="84"/>
      <c r="AV132" s="84"/>
      <c r="AW132" s="84"/>
      <c r="AX132" s="87">
        <f t="array" ref="AX132">IF(G132=1,SUM((ROW(M0)=ROW(AW132))*(M0+M1_+M2_+M3_+M4_+M5_+M6_+M7_+M8_+M9_+M10_+M11_+M12_+M13_+M14_+M15_+M16_+M17_+M18_+M19_+M20_+M21_+M22_+M23_+M24_+M25_+M26_+M27_+M28_+M29_+M30_+M31_+M32_+M33_+M34_+M35_+M36_+M37_)),0)</f>
        <v>0</v>
      </c>
      <c r="AZ132" s="24" t="str">
        <f t="shared" si="37"/>
        <v/>
      </c>
      <c r="BA132" s="24" t="str">
        <f t="shared" si="38"/>
        <v/>
      </c>
      <c r="BB132" s="24" t="str">
        <f t="shared" si="39"/>
        <v/>
      </c>
      <c r="BC132" s="24" t="str">
        <f>IF(OR(E132="",LEFT(TableCosts[[#This Row],[Calc_N_Typ]],18)="Vynaložené náklady"),"",VLOOKUP(E132,Tab_Parts,2,0))</f>
        <v/>
      </c>
      <c r="BD132" s="24" t="str">
        <f t="shared" si="40"/>
        <v/>
      </c>
      <c r="BE132" s="24">
        <f t="shared" si="41"/>
        <v>0</v>
      </c>
      <c r="BF132" s="72">
        <f>TableCosts[[#This Row],[N_Amount]]*TableCosts[[#This Row],[N_Tariff]]*TableCosts[[#This Row],[N_ItemsCount]]</f>
        <v>0</v>
      </c>
      <c r="BG132" s="72">
        <f>IF(G132=1,IF(TableCosts[[#This Row],[N_Kateg]]="interné práce",TableCosts[[#This Row],[N_Amount]]*8*PAR_SGA_PERHOUR,0),0)</f>
        <v>0</v>
      </c>
      <c r="BH132" s="72">
        <f>SUM(TableCosts[[#This Row],[N_Direct]:[N_SGA]])</f>
        <v>0</v>
      </c>
      <c r="BI132" s="24">
        <f>IF(G132=1,IF(OR(AND(NOT(ISERROR(VLOOKUP(TableCosts[[#This Row],[Calc_N_Typ]],Cis_WorkPositions,1,0))),C132&lt;&gt;"",D132&lt;&gt;"",E132&lt;&gt;""),AND(ISERROR(VLOOKUP(TableCosts[[#This Row],[Calc_N_Typ]],Cis_WorkPositions,1,0)),C132="",D132="",E132&lt;&gt;""),LEFT(TableCosts[[#This Row],[Calc_N_Typ]],18)="Vynaložené náklady"),VLOOKUP(C132&amp;TableCosts[[#This Row],[Calc_N_Typ]],TRAN_STRITEMS_LABEL,VLOOKUP(D132,Tab_Hours,3,0),0),NA()),0)</f>
        <v>0</v>
      </c>
      <c r="BJ132" s="24">
        <f t="shared" si="42"/>
        <v>0</v>
      </c>
      <c r="BK132" s="24" t="str">
        <f t="shared" si="43"/>
        <v/>
      </c>
      <c r="BL132" s="24" t="str">
        <f t="shared" si="44"/>
        <v/>
      </c>
      <c r="BM132" s="24" t="str">
        <f>IF(G132=1,IF(TableCosts[[#This Row],[TransferFrom]]=TableCosts[[#This Row],[TranferTo]],0,1),"")</f>
        <v/>
      </c>
      <c r="BN132" s="24" t="str">
        <f t="shared" si="45"/>
        <v/>
      </c>
      <c r="BO132" s="24">
        <f t="shared" si="46"/>
        <v>0</v>
      </c>
      <c r="BP132" s="24">
        <f t="shared" si="47"/>
        <v>0</v>
      </c>
    </row>
    <row r="133" spans="2:68" s="24" customFormat="1" ht="12.75" x14ac:dyDescent="0.2">
      <c r="B133" s="97"/>
      <c r="C133" s="92"/>
      <c r="D133" s="92"/>
      <c r="E133" s="92"/>
      <c r="F133" s="31" t="str">
        <f>IF(G133=1,IF(ISERROR(TableCosts[[#This Row],[N_Tariff]]),Err_Message1,IF(TableCosts[[#This Row],[N_Tariff]]=0,Err_Message2,VLOOKUP(C133&amp;TableCosts[[#This Row],[Calc_N_Typ]],TRAN_STRITEMS_LABEL,5,FALSE))),"")</f>
        <v/>
      </c>
      <c r="G133" s="31">
        <f t="shared" si="36"/>
        <v>0</v>
      </c>
      <c r="H133" s="31" t="str">
        <f>IF(G133=1,IFERROR(VLOOKUP(F133,Tab_ErrMessage[],2,0),VLOOKUP(C133&amp;TableCosts[[#This Row],[Calc_N_Typ]],TRAN_STRITEMS_LABEL,4,FALSE)),"")</f>
        <v/>
      </c>
      <c r="I133" s="94"/>
      <c r="J133" s="94"/>
      <c r="K133" s="9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  <c r="AA133" s="84"/>
      <c r="AB133" s="84"/>
      <c r="AC133" s="84"/>
      <c r="AD133" s="84"/>
      <c r="AE133" s="84"/>
      <c r="AF133" s="84"/>
      <c r="AG133" s="84"/>
      <c r="AH133" s="84"/>
      <c r="AI133" s="84"/>
      <c r="AJ133" s="84"/>
      <c r="AK133" s="84"/>
      <c r="AL133" s="84"/>
      <c r="AM133" s="84"/>
      <c r="AN133" s="84"/>
      <c r="AO133" s="84"/>
      <c r="AP133" s="84"/>
      <c r="AQ133" s="84"/>
      <c r="AR133" s="84"/>
      <c r="AS133" s="84"/>
      <c r="AT133" s="84"/>
      <c r="AU133" s="84"/>
      <c r="AV133" s="84"/>
      <c r="AW133" s="84"/>
      <c r="AX133" s="87">
        <f t="array" ref="AX133">IF(G133=1,SUM((ROW(M0)=ROW(AW133))*(M0+M1_+M2_+M3_+M4_+M5_+M6_+M7_+M8_+M9_+M10_+M11_+M12_+M13_+M14_+M15_+M16_+M17_+M18_+M19_+M20_+M21_+M22_+M23_+M24_+M25_+M26_+M27_+M28_+M29_+M30_+M31_+M32_+M33_+M34_+M35_+M36_+M37_)),0)</f>
        <v>0</v>
      </c>
      <c r="AZ133" s="24" t="str">
        <f t="shared" si="37"/>
        <v/>
      </c>
      <c r="BA133" s="24" t="str">
        <f t="shared" si="38"/>
        <v/>
      </c>
      <c r="BB133" s="24" t="str">
        <f t="shared" si="39"/>
        <v/>
      </c>
      <c r="BC133" s="24" t="str">
        <f>IF(OR(E133="",LEFT(TableCosts[[#This Row],[Calc_N_Typ]],18)="Vynaložené náklady"),"",VLOOKUP(E133,Tab_Parts,2,0))</f>
        <v/>
      </c>
      <c r="BD133" s="24" t="str">
        <f t="shared" si="40"/>
        <v/>
      </c>
      <c r="BE133" s="24">
        <f t="shared" si="41"/>
        <v>0</v>
      </c>
      <c r="BF133" s="72">
        <f>TableCosts[[#This Row],[N_Amount]]*TableCosts[[#This Row],[N_Tariff]]*TableCosts[[#This Row],[N_ItemsCount]]</f>
        <v>0</v>
      </c>
      <c r="BG133" s="72">
        <f>IF(G133=1,IF(TableCosts[[#This Row],[N_Kateg]]="interné práce",TableCosts[[#This Row],[N_Amount]]*8*PAR_SGA_PERHOUR,0),0)</f>
        <v>0</v>
      </c>
      <c r="BH133" s="72">
        <f>SUM(TableCosts[[#This Row],[N_Direct]:[N_SGA]])</f>
        <v>0</v>
      </c>
      <c r="BI133" s="24">
        <f>IF(G133=1,IF(OR(AND(NOT(ISERROR(VLOOKUP(TableCosts[[#This Row],[Calc_N_Typ]],Cis_WorkPositions,1,0))),C133&lt;&gt;"",D133&lt;&gt;"",E133&lt;&gt;""),AND(ISERROR(VLOOKUP(TableCosts[[#This Row],[Calc_N_Typ]],Cis_WorkPositions,1,0)),C133="",D133="",E133&lt;&gt;""),LEFT(TableCosts[[#This Row],[Calc_N_Typ]],18)="Vynaložené náklady"),VLOOKUP(C133&amp;TableCosts[[#This Row],[Calc_N_Typ]],TRAN_STRITEMS_LABEL,VLOOKUP(D133,Tab_Hours,3,0),0),NA()),0)</f>
        <v>0</v>
      </c>
      <c r="BJ133" s="24">
        <f t="shared" si="42"/>
        <v>0</v>
      </c>
      <c r="BK133" s="24" t="str">
        <f t="shared" si="43"/>
        <v/>
      </c>
      <c r="BL133" s="24" t="str">
        <f t="shared" si="44"/>
        <v/>
      </c>
      <c r="BM133" s="24" t="str">
        <f>IF(G133=1,IF(TableCosts[[#This Row],[TransferFrom]]=TableCosts[[#This Row],[TranferTo]],0,1),"")</f>
        <v/>
      </c>
      <c r="BN133" s="24" t="str">
        <f t="shared" si="45"/>
        <v/>
      </c>
      <c r="BO133" s="24">
        <f t="shared" si="46"/>
        <v>0</v>
      </c>
      <c r="BP133" s="24">
        <f t="shared" si="47"/>
        <v>0</v>
      </c>
    </row>
    <row r="134" spans="2:68" s="24" customFormat="1" ht="12.75" x14ac:dyDescent="0.2">
      <c r="B134" s="97"/>
      <c r="C134" s="92"/>
      <c r="D134" s="92"/>
      <c r="E134" s="92"/>
      <c r="F134" s="31" t="str">
        <f>IF(G134=1,IF(ISERROR(TableCosts[[#This Row],[N_Tariff]]),Err_Message1,IF(TableCosts[[#This Row],[N_Tariff]]=0,Err_Message2,VLOOKUP(C134&amp;TableCosts[[#This Row],[Calc_N_Typ]],TRAN_STRITEMS_LABEL,5,FALSE))),"")</f>
        <v/>
      </c>
      <c r="G134" s="31">
        <f t="shared" si="36"/>
        <v>0</v>
      </c>
      <c r="H134" s="31" t="str">
        <f>IF(G134=1,IFERROR(VLOOKUP(F134,Tab_ErrMessage[],2,0),VLOOKUP(C134&amp;TableCosts[[#This Row],[Calc_N_Typ]],TRAN_STRITEMS_LABEL,4,FALSE)),"")</f>
        <v/>
      </c>
      <c r="I134" s="94"/>
      <c r="J134" s="94"/>
      <c r="K134" s="9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  <c r="Y134" s="84"/>
      <c r="Z134" s="84"/>
      <c r="AA134" s="84"/>
      <c r="AB134" s="84"/>
      <c r="AC134" s="84"/>
      <c r="AD134" s="84"/>
      <c r="AE134" s="84"/>
      <c r="AF134" s="84"/>
      <c r="AG134" s="84"/>
      <c r="AH134" s="84"/>
      <c r="AI134" s="84"/>
      <c r="AJ134" s="84"/>
      <c r="AK134" s="84"/>
      <c r="AL134" s="84"/>
      <c r="AM134" s="84"/>
      <c r="AN134" s="84"/>
      <c r="AO134" s="84"/>
      <c r="AP134" s="84"/>
      <c r="AQ134" s="84"/>
      <c r="AR134" s="84"/>
      <c r="AS134" s="84"/>
      <c r="AT134" s="84"/>
      <c r="AU134" s="84"/>
      <c r="AV134" s="84"/>
      <c r="AW134" s="84"/>
      <c r="AX134" s="87">
        <f t="array" ref="AX134">IF(G134=1,SUM((ROW(M0)=ROW(AW134))*(M0+M1_+M2_+M3_+M4_+M5_+M6_+M7_+M8_+M9_+M10_+M11_+M12_+M13_+M14_+M15_+M16_+M17_+M18_+M19_+M20_+M21_+M22_+M23_+M24_+M25_+M26_+M27_+M28_+M29_+M30_+M31_+M32_+M33_+M34_+M35_+M36_+M37_)),0)</f>
        <v>0</v>
      </c>
      <c r="AZ134" s="24" t="str">
        <f t="shared" si="37"/>
        <v/>
      </c>
      <c r="BA134" s="24" t="str">
        <f t="shared" si="38"/>
        <v/>
      </c>
      <c r="BB134" s="24" t="str">
        <f t="shared" si="39"/>
        <v/>
      </c>
      <c r="BC134" s="24" t="str">
        <f>IF(OR(E134="",LEFT(TableCosts[[#This Row],[Calc_N_Typ]],18)="Vynaložené náklady"),"",VLOOKUP(E134,Tab_Parts,2,0))</f>
        <v/>
      </c>
      <c r="BD134" s="24" t="str">
        <f t="shared" si="40"/>
        <v/>
      </c>
      <c r="BE134" s="24">
        <f t="shared" si="41"/>
        <v>0</v>
      </c>
      <c r="BF134" s="72">
        <f>TableCosts[[#This Row],[N_Amount]]*TableCosts[[#This Row],[N_Tariff]]*TableCosts[[#This Row],[N_ItemsCount]]</f>
        <v>0</v>
      </c>
      <c r="BG134" s="72">
        <f>IF(G134=1,IF(TableCosts[[#This Row],[N_Kateg]]="interné práce",TableCosts[[#This Row],[N_Amount]]*8*PAR_SGA_PERHOUR,0),0)</f>
        <v>0</v>
      </c>
      <c r="BH134" s="72">
        <f>SUM(TableCosts[[#This Row],[N_Direct]:[N_SGA]])</f>
        <v>0</v>
      </c>
      <c r="BI134" s="24">
        <f>IF(G134=1,IF(OR(AND(NOT(ISERROR(VLOOKUP(TableCosts[[#This Row],[Calc_N_Typ]],Cis_WorkPositions,1,0))),C134&lt;&gt;"",D134&lt;&gt;"",E134&lt;&gt;""),AND(ISERROR(VLOOKUP(TableCosts[[#This Row],[Calc_N_Typ]],Cis_WorkPositions,1,0)),C134="",D134="",E134&lt;&gt;""),LEFT(TableCosts[[#This Row],[Calc_N_Typ]],18)="Vynaložené náklady"),VLOOKUP(C134&amp;TableCosts[[#This Row],[Calc_N_Typ]],TRAN_STRITEMS_LABEL,VLOOKUP(D134,Tab_Hours,3,0),0),NA()),0)</f>
        <v>0</v>
      </c>
      <c r="BJ134" s="24">
        <f t="shared" si="42"/>
        <v>0</v>
      </c>
      <c r="BK134" s="24" t="str">
        <f t="shared" si="43"/>
        <v/>
      </c>
      <c r="BL134" s="24" t="str">
        <f t="shared" si="44"/>
        <v/>
      </c>
      <c r="BM134" s="24" t="str">
        <f>IF(G134=1,IF(TableCosts[[#This Row],[TransferFrom]]=TableCosts[[#This Row],[TranferTo]],0,1),"")</f>
        <v/>
      </c>
      <c r="BN134" s="24" t="str">
        <f t="shared" si="45"/>
        <v/>
      </c>
      <c r="BO134" s="24">
        <f t="shared" si="46"/>
        <v>0</v>
      </c>
      <c r="BP134" s="24">
        <f t="shared" si="47"/>
        <v>0</v>
      </c>
    </row>
    <row r="135" spans="2:68" s="24" customFormat="1" ht="12.75" x14ac:dyDescent="0.2">
      <c r="B135" s="97"/>
      <c r="C135" s="92"/>
      <c r="D135" s="92"/>
      <c r="E135" s="92"/>
      <c r="F135" s="31" t="str">
        <f>IF(G135=1,IF(ISERROR(TableCosts[[#This Row],[N_Tariff]]),Err_Message1,IF(TableCosts[[#This Row],[N_Tariff]]=0,Err_Message2,VLOOKUP(C135&amp;TableCosts[[#This Row],[Calc_N_Typ]],TRAN_STRITEMS_LABEL,5,FALSE))),"")</f>
        <v/>
      </c>
      <c r="G135" s="31">
        <f t="shared" si="36"/>
        <v>0</v>
      </c>
      <c r="H135" s="31" t="str">
        <f>IF(G135=1,IFERROR(VLOOKUP(F135,Tab_ErrMessage[],2,0),VLOOKUP(C135&amp;TableCosts[[#This Row],[Calc_N_Typ]],TRAN_STRITEMS_LABEL,4,FALSE)),"")</f>
        <v/>
      </c>
      <c r="I135" s="94"/>
      <c r="J135" s="94"/>
      <c r="K135" s="9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  <c r="AA135" s="84"/>
      <c r="AB135" s="84"/>
      <c r="AC135" s="84"/>
      <c r="AD135" s="84"/>
      <c r="AE135" s="84"/>
      <c r="AF135" s="84"/>
      <c r="AG135" s="84"/>
      <c r="AH135" s="84"/>
      <c r="AI135" s="84"/>
      <c r="AJ135" s="84"/>
      <c r="AK135" s="84"/>
      <c r="AL135" s="84"/>
      <c r="AM135" s="84"/>
      <c r="AN135" s="84"/>
      <c r="AO135" s="84"/>
      <c r="AP135" s="84"/>
      <c r="AQ135" s="84"/>
      <c r="AR135" s="84"/>
      <c r="AS135" s="84"/>
      <c r="AT135" s="84"/>
      <c r="AU135" s="84"/>
      <c r="AV135" s="84"/>
      <c r="AW135" s="84"/>
      <c r="AX135" s="87">
        <f t="array" ref="AX135">IF(G135=1,SUM((ROW(M0)=ROW(AW135))*(M0+M1_+M2_+M3_+M4_+M5_+M6_+M7_+M8_+M9_+M10_+M11_+M12_+M13_+M14_+M15_+M16_+M17_+M18_+M19_+M20_+M21_+M22_+M23_+M24_+M25_+M26_+M27_+M28_+M29_+M30_+M31_+M32_+M33_+M34_+M35_+M36_+M37_)),0)</f>
        <v>0</v>
      </c>
      <c r="AZ135" s="24" t="str">
        <f t="shared" si="37"/>
        <v/>
      </c>
      <c r="BA135" s="24" t="str">
        <f t="shared" si="38"/>
        <v/>
      </c>
      <c r="BB135" s="24" t="str">
        <f t="shared" si="39"/>
        <v/>
      </c>
      <c r="BC135" s="24" t="str">
        <f>IF(OR(E135="",LEFT(TableCosts[[#This Row],[Calc_N_Typ]],18)="Vynaložené náklady"),"",VLOOKUP(E135,Tab_Parts,2,0))</f>
        <v/>
      </c>
      <c r="BD135" s="24" t="str">
        <f t="shared" si="40"/>
        <v/>
      </c>
      <c r="BE135" s="24">
        <f t="shared" si="41"/>
        <v>0</v>
      </c>
      <c r="BF135" s="72">
        <f>TableCosts[[#This Row],[N_Amount]]*TableCosts[[#This Row],[N_Tariff]]*TableCosts[[#This Row],[N_ItemsCount]]</f>
        <v>0</v>
      </c>
      <c r="BG135" s="72">
        <f>IF(G135=1,IF(TableCosts[[#This Row],[N_Kateg]]="interné práce",TableCosts[[#This Row],[N_Amount]]*8*PAR_SGA_PERHOUR,0),0)</f>
        <v>0</v>
      </c>
      <c r="BH135" s="72">
        <f>SUM(TableCosts[[#This Row],[N_Direct]:[N_SGA]])</f>
        <v>0</v>
      </c>
      <c r="BI135" s="24">
        <f>IF(G135=1,IF(OR(AND(NOT(ISERROR(VLOOKUP(TableCosts[[#This Row],[Calc_N_Typ]],Cis_WorkPositions,1,0))),C135&lt;&gt;"",D135&lt;&gt;"",E135&lt;&gt;""),AND(ISERROR(VLOOKUP(TableCosts[[#This Row],[Calc_N_Typ]],Cis_WorkPositions,1,0)),C135="",D135="",E135&lt;&gt;""),LEFT(TableCosts[[#This Row],[Calc_N_Typ]],18)="Vynaložené náklady"),VLOOKUP(C135&amp;TableCosts[[#This Row],[Calc_N_Typ]],TRAN_STRITEMS_LABEL,VLOOKUP(D135,Tab_Hours,3,0),0),NA()),0)</f>
        <v>0</v>
      </c>
      <c r="BJ135" s="24">
        <f t="shared" si="42"/>
        <v>0</v>
      </c>
      <c r="BK135" s="24" t="str">
        <f t="shared" si="43"/>
        <v/>
      </c>
      <c r="BL135" s="24" t="str">
        <f t="shared" si="44"/>
        <v/>
      </c>
      <c r="BM135" s="24" t="str">
        <f>IF(G135=1,IF(TableCosts[[#This Row],[TransferFrom]]=TableCosts[[#This Row],[TranferTo]],0,1),"")</f>
        <v/>
      </c>
      <c r="BN135" s="24" t="str">
        <f t="shared" si="45"/>
        <v/>
      </c>
      <c r="BO135" s="24">
        <f t="shared" si="46"/>
        <v>0</v>
      </c>
      <c r="BP135" s="24">
        <f t="shared" si="47"/>
        <v>0</v>
      </c>
    </row>
    <row r="136" spans="2:68" s="24" customFormat="1" ht="12.75" x14ac:dyDescent="0.2">
      <c r="B136" s="97"/>
      <c r="C136" s="92"/>
      <c r="D136" s="92"/>
      <c r="E136" s="92"/>
      <c r="F136" s="31" t="str">
        <f>IF(G136=1,IF(ISERROR(TableCosts[[#This Row],[N_Tariff]]),Err_Message1,IF(TableCosts[[#This Row],[N_Tariff]]=0,Err_Message2,VLOOKUP(C136&amp;TableCosts[[#This Row],[Calc_N_Typ]],TRAN_STRITEMS_LABEL,5,FALSE))),"")</f>
        <v/>
      </c>
      <c r="G136" s="31">
        <f t="shared" si="36"/>
        <v>0</v>
      </c>
      <c r="H136" s="31" t="str">
        <f>IF(G136=1,IFERROR(VLOOKUP(F136,Tab_ErrMessage[],2,0),VLOOKUP(C136&amp;TableCosts[[#This Row],[Calc_N_Typ]],TRAN_STRITEMS_LABEL,4,FALSE)),"")</f>
        <v/>
      </c>
      <c r="I136" s="94"/>
      <c r="J136" s="94"/>
      <c r="K136" s="9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  <c r="AA136" s="84"/>
      <c r="AB136" s="84"/>
      <c r="AC136" s="84"/>
      <c r="AD136" s="84"/>
      <c r="AE136" s="84"/>
      <c r="AF136" s="84"/>
      <c r="AG136" s="84"/>
      <c r="AH136" s="84"/>
      <c r="AI136" s="84"/>
      <c r="AJ136" s="84"/>
      <c r="AK136" s="84"/>
      <c r="AL136" s="84"/>
      <c r="AM136" s="84"/>
      <c r="AN136" s="84"/>
      <c r="AO136" s="84"/>
      <c r="AP136" s="84"/>
      <c r="AQ136" s="84"/>
      <c r="AR136" s="84"/>
      <c r="AS136" s="84"/>
      <c r="AT136" s="84"/>
      <c r="AU136" s="84"/>
      <c r="AV136" s="84"/>
      <c r="AW136" s="84"/>
      <c r="AX136" s="87">
        <f t="array" ref="AX136">IF(G136=1,SUM((ROW(M0)=ROW(AW136))*(M0+M1_+M2_+M3_+M4_+M5_+M6_+M7_+M8_+M9_+M10_+M11_+M12_+M13_+M14_+M15_+M16_+M17_+M18_+M19_+M20_+M21_+M22_+M23_+M24_+M25_+M26_+M27_+M28_+M29_+M30_+M31_+M32_+M33_+M34_+M35_+M36_+M37_)),0)</f>
        <v>0</v>
      </c>
      <c r="AZ136" s="24" t="str">
        <f t="shared" si="37"/>
        <v/>
      </c>
      <c r="BA136" s="24" t="str">
        <f t="shared" si="38"/>
        <v/>
      </c>
      <c r="BB136" s="24" t="str">
        <f t="shared" si="39"/>
        <v/>
      </c>
      <c r="BC136" s="24" t="str">
        <f>IF(OR(E136="",LEFT(TableCosts[[#This Row],[Calc_N_Typ]],18)="Vynaložené náklady"),"",VLOOKUP(E136,Tab_Parts,2,0))</f>
        <v/>
      </c>
      <c r="BD136" s="24" t="str">
        <f t="shared" si="40"/>
        <v/>
      </c>
      <c r="BE136" s="24">
        <f t="shared" si="41"/>
        <v>0</v>
      </c>
      <c r="BF136" s="72">
        <f>TableCosts[[#This Row],[N_Amount]]*TableCosts[[#This Row],[N_Tariff]]*TableCosts[[#This Row],[N_ItemsCount]]</f>
        <v>0</v>
      </c>
      <c r="BG136" s="72">
        <f>IF(G136=1,IF(TableCosts[[#This Row],[N_Kateg]]="interné práce",TableCosts[[#This Row],[N_Amount]]*8*PAR_SGA_PERHOUR,0),0)</f>
        <v>0</v>
      </c>
      <c r="BH136" s="72">
        <f>SUM(TableCosts[[#This Row],[N_Direct]:[N_SGA]])</f>
        <v>0</v>
      </c>
      <c r="BI136" s="24">
        <f>IF(G136=1,IF(OR(AND(NOT(ISERROR(VLOOKUP(TableCosts[[#This Row],[Calc_N_Typ]],Cis_WorkPositions,1,0))),C136&lt;&gt;"",D136&lt;&gt;"",E136&lt;&gt;""),AND(ISERROR(VLOOKUP(TableCosts[[#This Row],[Calc_N_Typ]],Cis_WorkPositions,1,0)),C136="",D136="",E136&lt;&gt;""),LEFT(TableCosts[[#This Row],[Calc_N_Typ]],18)="Vynaložené náklady"),VLOOKUP(C136&amp;TableCosts[[#This Row],[Calc_N_Typ]],TRAN_STRITEMS_LABEL,VLOOKUP(D136,Tab_Hours,3,0),0),NA()),0)</f>
        <v>0</v>
      </c>
      <c r="BJ136" s="24">
        <f t="shared" si="42"/>
        <v>0</v>
      </c>
      <c r="BK136" s="24" t="str">
        <f t="shared" si="43"/>
        <v/>
      </c>
      <c r="BL136" s="24" t="str">
        <f t="shared" si="44"/>
        <v/>
      </c>
      <c r="BM136" s="24" t="str">
        <f>IF(G136=1,IF(TableCosts[[#This Row],[TransferFrom]]=TableCosts[[#This Row],[TranferTo]],0,1),"")</f>
        <v/>
      </c>
      <c r="BN136" s="24" t="str">
        <f t="shared" si="45"/>
        <v/>
      </c>
      <c r="BO136" s="24">
        <f t="shared" si="46"/>
        <v>0</v>
      </c>
      <c r="BP136" s="24">
        <f t="shared" si="47"/>
        <v>0</v>
      </c>
    </row>
    <row r="137" spans="2:68" s="24" customFormat="1" ht="12.75" x14ac:dyDescent="0.2">
      <c r="B137" s="97"/>
      <c r="C137" s="92"/>
      <c r="D137" s="92"/>
      <c r="E137" s="92"/>
      <c r="F137" s="31" t="str">
        <f>IF(G137=1,IF(ISERROR(TableCosts[[#This Row],[N_Tariff]]),Err_Message1,IF(TableCosts[[#This Row],[N_Tariff]]=0,Err_Message2,VLOOKUP(C137&amp;TableCosts[[#This Row],[Calc_N_Typ]],TRAN_STRITEMS_LABEL,5,FALSE))),"")</f>
        <v/>
      </c>
      <c r="G137" s="31">
        <f t="shared" si="36"/>
        <v>0</v>
      </c>
      <c r="H137" s="31" t="str">
        <f>IF(G137=1,IFERROR(VLOOKUP(F137,Tab_ErrMessage[],2,0),VLOOKUP(C137&amp;TableCosts[[#This Row],[Calc_N_Typ]],TRAN_STRITEMS_LABEL,4,FALSE)),"")</f>
        <v/>
      </c>
      <c r="I137" s="94"/>
      <c r="J137" s="94"/>
      <c r="K137" s="9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  <c r="AA137" s="84"/>
      <c r="AB137" s="84"/>
      <c r="AC137" s="84"/>
      <c r="AD137" s="84"/>
      <c r="AE137" s="84"/>
      <c r="AF137" s="84"/>
      <c r="AG137" s="84"/>
      <c r="AH137" s="84"/>
      <c r="AI137" s="84"/>
      <c r="AJ137" s="84"/>
      <c r="AK137" s="84"/>
      <c r="AL137" s="84"/>
      <c r="AM137" s="84"/>
      <c r="AN137" s="84"/>
      <c r="AO137" s="84"/>
      <c r="AP137" s="84"/>
      <c r="AQ137" s="84"/>
      <c r="AR137" s="84"/>
      <c r="AS137" s="84"/>
      <c r="AT137" s="84"/>
      <c r="AU137" s="84"/>
      <c r="AV137" s="84"/>
      <c r="AW137" s="84"/>
      <c r="AX137" s="87">
        <f t="array" ref="AX137">IF(G137=1,SUM((ROW(M0)=ROW(AW137))*(M0+M1_+M2_+M3_+M4_+M5_+M6_+M7_+M8_+M9_+M10_+M11_+M12_+M13_+M14_+M15_+M16_+M17_+M18_+M19_+M20_+M21_+M22_+M23_+M24_+M25_+M26_+M27_+M28_+M29_+M30_+M31_+M32_+M33_+M34_+M35_+M36_+M37_)),0)</f>
        <v>0</v>
      </c>
      <c r="AZ137" s="24" t="str">
        <f t="shared" si="37"/>
        <v/>
      </c>
      <c r="BA137" s="24" t="str">
        <f t="shared" si="38"/>
        <v/>
      </c>
      <c r="BB137" s="24" t="str">
        <f t="shared" si="39"/>
        <v/>
      </c>
      <c r="BC137" s="24" t="str">
        <f>IF(OR(E137="",LEFT(TableCosts[[#This Row],[Calc_N_Typ]],18)="Vynaložené náklady"),"",VLOOKUP(E137,Tab_Parts,2,0))</f>
        <v/>
      </c>
      <c r="BD137" s="24" t="str">
        <f t="shared" si="40"/>
        <v/>
      </c>
      <c r="BE137" s="24">
        <f t="shared" si="41"/>
        <v>0</v>
      </c>
      <c r="BF137" s="72">
        <f>TableCosts[[#This Row],[N_Amount]]*TableCosts[[#This Row],[N_Tariff]]*TableCosts[[#This Row],[N_ItemsCount]]</f>
        <v>0</v>
      </c>
      <c r="BG137" s="72">
        <f>IF(G137=1,IF(TableCosts[[#This Row],[N_Kateg]]="interné práce",TableCosts[[#This Row],[N_Amount]]*8*PAR_SGA_PERHOUR,0),0)</f>
        <v>0</v>
      </c>
      <c r="BH137" s="72">
        <f>SUM(TableCosts[[#This Row],[N_Direct]:[N_SGA]])</f>
        <v>0</v>
      </c>
      <c r="BI137" s="24">
        <f>IF(G137=1,IF(OR(AND(NOT(ISERROR(VLOOKUP(TableCosts[[#This Row],[Calc_N_Typ]],Cis_WorkPositions,1,0))),C137&lt;&gt;"",D137&lt;&gt;"",E137&lt;&gt;""),AND(ISERROR(VLOOKUP(TableCosts[[#This Row],[Calc_N_Typ]],Cis_WorkPositions,1,0)),C137="",D137="",E137&lt;&gt;""),LEFT(TableCosts[[#This Row],[Calc_N_Typ]],18)="Vynaložené náklady"),VLOOKUP(C137&amp;TableCosts[[#This Row],[Calc_N_Typ]],TRAN_STRITEMS_LABEL,VLOOKUP(D137,Tab_Hours,3,0),0),NA()),0)</f>
        <v>0</v>
      </c>
      <c r="BJ137" s="24">
        <f t="shared" si="42"/>
        <v>0</v>
      </c>
      <c r="BK137" s="24" t="str">
        <f t="shared" si="43"/>
        <v/>
      </c>
      <c r="BL137" s="24" t="str">
        <f t="shared" si="44"/>
        <v/>
      </c>
      <c r="BM137" s="24" t="str">
        <f>IF(G137=1,IF(TableCosts[[#This Row],[TransferFrom]]=TableCosts[[#This Row],[TranferTo]],0,1),"")</f>
        <v/>
      </c>
      <c r="BN137" s="24" t="str">
        <f t="shared" si="45"/>
        <v/>
      </c>
      <c r="BO137" s="24">
        <f t="shared" si="46"/>
        <v>0</v>
      </c>
      <c r="BP137" s="24">
        <f t="shared" si="47"/>
        <v>0</v>
      </c>
    </row>
    <row r="138" spans="2:68" s="24" customFormat="1" ht="12.75" x14ac:dyDescent="0.2">
      <c r="B138" s="97"/>
      <c r="C138" s="92"/>
      <c r="D138" s="92"/>
      <c r="E138" s="92"/>
      <c r="F138" s="31" t="str">
        <f>IF(G138=1,IF(ISERROR(TableCosts[[#This Row],[N_Tariff]]),Err_Message1,IF(TableCosts[[#This Row],[N_Tariff]]=0,Err_Message2,VLOOKUP(C138&amp;TableCosts[[#This Row],[Calc_N_Typ]],TRAN_STRITEMS_LABEL,5,FALSE))),"")</f>
        <v/>
      </c>
      <c r="G138" s="31">
        <f t="shared" si="36"/>
        <v>0</v>
      </c>
      <c r="H138" s="31" t="str">
        <f>IF(G138=1,IFERROR(VLOOKUP(F138,Tab_ErrMessage[],2,0),VLOOKUP(C138&amp;TableCosts[[#This Row],[Calc_N_Typ]],TRAN_STRITEMS_LABEL,4,FALSE)),"")</f>
        <v/>
      </c>
      <c r="I138" s="94"/>
      <c r="J138" s="94"/>
      <c r="K138" s="9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  <c r="AA138" s="84"/>
      <c r="AB138" s="84"/>
      <c r="AC138" s="84"/>
      <c r="AD138" s="84"/>
      <c r="AE138" s="84"/>
      <c r="AF138" s="84"/>
      <c r="AG138" s="84"/>
      <c r="AH138" s="84"/>
      <c r="AI138" s="84"/>
      <c r="AJ138" s="84"/>
      <c r="AK138" s="84"/>
      <c r="AL138" s="84"/>
      <c r="AM138" s="84"/>
      <c r="AN138" s="84"/>
      <c r="AO138" s="84"/>
      <c r="AP138" s="84"/>
      <c r="AQ138" s="84"/>
      <c r="AR138" s="84"/>
      <c r="AS138" s="84"/>
      <c r="AT138" s="84"/>
      <c r="AU138" s="84"/>
      <c r="AV138" s="84"/>
      <c r="AW138" s="84"/>
      <c r="AX138" s="87">
        <f t="array" ref="AX138">IF(G138=1,SUM((ROW(M0)=ROW(AW138))*(M0+M1_+M2_+M3_+M4_+M5_+M6_+M7_+M8_+M9_+M10_+M11_+M12_+M13_+M14_+M15_+M16_+M17_+M18_+M19_+M20_+M21_+M22_+M23_+M24_+M25_+M26_+M27_+M28_+M29_+M30_+M31_+M32_+M33_+M34_+M35_+M36_+M37_)),0)</f>
        <v>0</v>
      </c>
      <c r="AZ138" s="24" t="str">
        <f t="shared" si="37"/>
        <v/>
      </c>
      <c r="BA138" s="24" t="str">
        <f t="shared" si="38"/>
        <v/>
      </c>
      <c r="BB138" s="24" t="str">
        <f t="shared" si="39"/>
        <v/>
      </c>
      <c r="BC138" s="24" t="str">
        <f>IF(OR(E138="",LEFT(TableCosts[[#This Row],[Calc_N_Typ]],18)="Vynaložené náklady"),"",VLOOKUP(E138,Tab_Parts,2,0))</f>
        <v/>
      </c>
      <c r="BD138" s="24" t="str">
        <f t="shared" si="40"/>
        <v/>
      </c>
      <c r="BE138" s="24">
        <f t="shared" si="41"/>
        <v>0</v>
      </c>
      <c r="BF138" s="72">
        <f>TableCosts[[#This Row],[N_Amount]]*TableCosts[[#This Row],[N_Tariff]]*TableCosts[[#This Row],[N_ItemsCount]]</f>
        <v>0</v>
      </c>
      <c r="BG138" s="72">
        <f>IF(G138=1,IF(TableCosts[[#This Row],[N_Kateg]]="interné práce",TableCosts[[#This Row],[N_Amount]]*8*PAR_SGA_PERHOUR,0),0)</f>
        <v>0</v>
      </c>
      <c r="BH138" s="72">
        <f>SUM(TableCosts[[#This Row],[N_Direct]:[N_SGA]])</f>
        <v>0</v>
      </c>
      <c r="BI138" s="24">
        <f>IF(G138=1,IF(OR(AND(NOT(ISERROR(VLOOKUP(TableCosts[[#This Row],[Calc_N_Typ]],Cis_WorkPositions,1,0))),C138&lt;&gt;"",D138&lt;&gt;"",E138&lt;&gt;""),AND(ISERROR(VLOOKUP(TableCosts[[#This Row],[Calc_N_Typ]],Cis_WorkPositions,1,0)),C138="",D138="",E138&lt;&gt;""),LEFT(TableCosts[[#This Row],[Calc_N_Typ]],18)="Vynaložené náklady"),VLOOKUP(C138&amp;TableCosts[[#This Row],[Calc_N_Typ]],TRAN_STRITEMS_LABEL,VLOOKUP(D138,Tab_Hours,3,0),0),NA()),0)</f>
        <v>0</v>
      </c>
      <c r="BJ138" s="24">
        <f t="shared" si="42"/>
        <v>0</v>
      </c>
      <c r="BK138" s="24" t="str">
        <f t="shared" si="43"/>
        <v/>
      </c>
      <c r="BL138" s="24" t="str">
        <f t="shared" si="44"/>
        <v/>
      </c>
      <c r="BM138" s="24" t="str">
        <f>IF(G138=1,IF(TableCosts[[#This Row],[TransferFrom]]=TableCosts[[#This Row],[TranferTo]],0,1),"")</f>
        <v/>
      </c>
      <c r="BN138" s="24" t="str">
        <f t="shared" si="45"/>
        <v/>
      </c>
      <c r="BO138" s="24">
        <f t="shared" si="46"/>
        <v>0</v>
      </c>
      <c r="BP138" s="24">
        <f t="shared" si="47"/>
        <v>0</v>
      </c>
    </row>
    <row r="139" spans="2:68" s="24" customFormat="1" ht="12.75" x14ac:dyDescent="0.2">
      <c r="B139" s="97"/>
      <c r="C139" s="92"/>
      <c r="D139" s="92"/>
      <c r="E139" s="92"/>
      <c r="F139" s="31" t="str">
        <f>IF(G139=1,IF(ISERROR(TableCosts[[#This Row],[N_Tariff]]),Err_Message1,IF(TableCosts[[#This Row],[N_Tariff]]=0,Err_Message2,VLOOKUP(C139&amp;TableCosts[[#This Row],[Calc_N_Typ]],TRAN_STRITEMS_LABEL,5,FALSE))),"")</f>
        <v/>
      </c>
      <c r="G139" s="31">
        <f t="shared" si="36"/>
        <v>0</v>
      </c>
      <c r="H139" s="31" t="str">
        <f>IF(G139=1,IFERROR(VLOOKUP(F139,Tab_ErrMessage[],2,0),VLOOKUP(C139&amp;TableCosts[[#This Row],[Calc_N_Typ]],TRAN_STRITEMS_LABEL,4,FALSE)),"")</f>
        <v/>
      </c>
      <c r="I139" s="94"/>
      <c r="J139" s="94"/>
      <c r="K139" s="94"/>
      <c r="L139" s="84"/>
      <c r="M139" s="84"/>
      <c r="N139" s="84"/>
      <c r="O139" s="84"/>
      <c r="P139" s="84"/>
      <c r="Q139" s="84"/>
      <c r="R139" s="84"/>
      <c r="S139" s="84"/>
      <c r="T139" s="84"/>
      <c r="U139" s="84"/>
      <c r="V139" s="84"/>
      <c r="W139" s="84"/>
      <c r="X139" s="84"/>
      <c r="Y139" s="84"/>
      <c r="Z139" s="84"/>
      <c r="AA139" s="84"/>
      <c r="AB139" s="84"/>
      <c r="AC139" s="84"/>
      <c r="AD139" s="84"/>
      <c r="AE139" s="84"/>
      <c r="AF139" s="84"/>
      <c r="AG139" s="84"/>
      <c r="AH139" s="84"/>
      <c r="AI139" s="84"/>
      <c r="AJ139" s="84"/>
      <c r="AK139" s="84"/>
      <c r="AL139" s="84"/>
      <c r="AM139" s="84"/>
      <c r="AN139" s="84"/>
      <c r="AO139" s="84"/>
      <c r="AP139" s="84"/>
      <c r="AQ139" s="84"/>
      <c r="AR139" s="84"/>
      <c r="AS139" s="84"/>
      <c r="AT139" s="84"/>
      <c r="AU139" s="84"/>
      <c r="AV139" s="84"/>
      <c r="AW139" s="84"/>
      <c r="AX139" s="87">
        <f t="array" ref="AX139">IF(G139=1,SUM((ROW(M0)=ROW(AW139))*(M0+M1_+M2_+M3_+M4_+M5_+M6_+M7_+M8_+M9_+M10_+M11_+M12_+M13_+M14_+M15_+M16_+M17_+M18_+M19_+M20_+M21_+M22_+M23_+M24_+M25_+M26_+M27_+M28_+M29_+M30_+M31_+M32_+M33_+M34_+M35_+M36_+M37_)),0)</f>
        <v>0</v>
      </c>
      <c r="AZ139" s="24" t="str">
        <f t="shared" si="37"/>
        <v/>
      </c>
      <c r="BA139" s="24" t="str">
        <f t="shared" si="38"/>
        <v/>
      </c>
      <c r="BB139" s="24" t="str">
        <f t="shared" si="39"/>
        <v/>
      </c>
      <c r="BC139" s="24" t="str">
        <f>IF(OR(E139="",LEFT(TableCosts[[#This Row],[Calc_N_Typ]],18)="Vynaložené náklady"),"",VLOOKUP(E139,Tab_Parts,2,0))</f>
        <v/>
      </c>
      <c r="BD139" s="24" t="str">
        <f t="shared" si="40"/>
        <v/>
      </c>
      <c r="BE139" s="24">
        <f t="shared" si="41"/>
        <v>0</v>
      </c>
      <c r="BF139" s="72">
        <f>TableCosts[[#This Row],[N_Amount]]*TableCosts[[#This Row],[N_Tariff]]*TableCosts[[#This Row],[N_ItemsCount]]</f>
        <v>0</v>
      </c>
      <c r="BG139" s="72">
        <f>IF(G139=1,IF(TableCosts[[#This Row],[N_Kateg]]="interné práce",TableCosts[[#This Row],[N_Amount]]*8*PAR_SGA_PERHOUR,0),0)</f>
        <v>0</v>
      </c>
      <c r="BH139" s="72">
        <f>SUM(TableCosts[[#This Row],[N_Direct]:[N_SGA]])</f>
        <v>0</v>
      </c>
      <c r="BI139" s="24">
        <f>IF(G139=1,IF(OR(AND(NOT(ISERROR(VLOOKUP(TableCosts[[#This Row],[Calc_N_Typ]],Cis_WorkPositions,1,0))),C139&lt;&gt;"",D139&lt;&gt;"",E139&lt;&gt;""),AND(ISERROR(VLOOKUP(TableCosts[[#This Row],[Calc_N_Typ]],Cis_WorkPositions,1,0)),C139="",D139="",E139&lt;&gt;""),LEFT(TableCosts[[#This Row],[Calc_N_Typ]],18)="Vynaložené náklady"),VLOOKUP(C139&amp;TableCosts[[#This Row],[Calc_N_Typ]],TRAN_STRITEMS_LABEL,VLOOKUP(D139,Tab_Hours,3,0),0),NA()),0)</f>
        <v>0</v>
      </c>
      <c r="BJ139" s="24">
        <f t="shared" si="42"/>
        <v>0</v>
      </c>
      <c r="BK139" s="24" t="str">
        <f t="shared" si="43"/>
        <v/>
      </c>
      <c r="BL139" s="24" t="str">
        <f t="shared" si="44"/>
        <v/>
      </c>
      <c r="BM139" s="24" t="str">
        <f>IF(G139=1,IF(TableCosts[[#This Row],[TransferFrom]]=TableCosts[[#This Row],[TranferTo]],0,1),"")</f>
        <v/>
      </c>
      <c r="BN139" s="24" t="str">
        <f t="shared" si="45"/>
        <v/>
      </c>
      <c r="BO139" s="24">
        <f t="shared" si="46"/>
        <v>0</v>
      </c>
      <c r="BP139" s="24">
        <f t="shared" si="47"/>
        <v>0</v>
      </c>
    </row>
    <row r="140" spans="2:68" s="24" customFormat="1" ht="12.75" x14ac:dyDescent="0.2">
      <c r="B140" s="97"/>
      <c r="C140" s="92"/>
      <c r="D140" s="92"/>
      <c r="E140" s="92"/>
      <c r="F140" s="31" t="str">
        <f>IF(G140=1,IF(ISERROR(TableCosts[[#This Row],[N_Tariff]]),Err_Message1,IF(TableCosts[[#This Row],[N_Tariff]]=0,Err_Message2,VLOOKUP(C140&amp;TableCosts[[#This Row],[Calc_N_Typ]],TRAN_STRITEMS_LABEL,5,FALSE))),"")</f>
        <v/>
      </c>
      <c r="G140" s="31">
        <f t="shared" ref="G140:G203" si="48">IF(B140="",0,IF(LEFT(B140,3)="***",-1,1))</f>
        <v>0</v>
      </c>
      <c r="H140" s="31" t="str">
        <f>IF(G140=1,IFERROR(VLOOKUP(F140,Tab_ErrMessage[],2,0),VLOOKUP(C140&amp;TableCosts[[#This Row],[Calc_N_Typ]],TRAN_STRITEMS_LABEL,4,FALSE)),"")</f>
        <v/>
      </c>
      <c r="I140" s="94"/>
      <c r="J140" s="94"/>
      <c r="K140" s="94"/>
      <c r="L140" s="84"/>
      <c r="M140" s="84"/>
      <c r="N140" s="84"/>
      <c r="O140" s="84"/>
      <c r="P140" s="84"/>
      <c r="Q140" s="84"/>
      <c r="R140" s="84"/>
      <c r="S140" s="84"/>
      <c r="T140" s="84"/>
      <c r="U140" s="84"/>
      <c r="V140" s="84"/>
      <c r="W140" s="84"/>
      <c r="X140" s="84"/>
      <c r="Y140" s="84"/>
      <c r="Z140" s="84"/>
      <c r="AA140" s="84"/>
      <c r="AB140" s="84"/>
      <c r="AC140" s="84"/>
      <c r="AD140" s="84"/>
      <c r="AE140" s="84"/>
      <c r="AF140" s="84"/>
      <c r="AG140" s="84"/>
      <c r="AH140" s="84"/>
      <c r="AI140" s="84"/>
      <c r="AJ140" s="84"/>
      <c r="AK140" s="84"/>
      <c r="AL140" s="84"/>
      <c r="AM140" s="84"/>
      <c r="AN140" s="84"/>
      <c r="AO140" s="84"/>
      <c r="AP140" s="84"/>
      <c r="AQ140" s="84"/>
      <c r="AR140" s="84"/>
      <c r="AS140" s="84"/>
      <c r="AT140" s="84"/>
      <c r="AU140" s="84"/>
      <c r="AV140" s="84"/>
      <c r="AW140" s="84"/>
      <c r="AX140" s="87">
        <f t="array" ref="AX140">IF(G140=1,SUM((ROW(M0)=ROW(AW140))*(M0+M1_+M2_+M3_+M4_+M5_+M6_+M7_+M8_+M9_+M10_+M11_+M12_+M13_+M14_+M15_+M16_+M17_+M18_+M19_+M20_+M21_+M22_+M23_+M24_+M25_+M26_+M27_+M28_+M29_+M30_+M31_+M32_+M33_+M34_+M35_+M36_+M37_)),0)</f>
        <v>0</v>
      </c>
      <c r="AZ140" s="24" t="str">
        <f t="shared" ref="AZ140:AZ203" si="49">IF(G140=1,B140,"")</f>
        <v/>
      </c>
      <c r="BA140" s="24" t="str">
        <f t="shared" ref="BA140:BA203" si="50">IF(G140=1,C140,"")</f>
        <v/>
      </c>
      <c r="BB140" s="24" t="str">
        <f t="shared" ref="BB140:BB203" si="51">IF(G140=1,F140,"")</f>
        <v/>
      </c>
      <c r="BC140" s="24" t="str">
        <f>IF(OR(E140="",LEFT(TableCosts[[#This Row],[Calc_N_Typ]],18)="Vynaložené náklady"),"",VLOOKUP(E140,Tab_Parts,2,0))</f>
        <v/>
      </c>
      <c r="BD140" s="24" t="str">
        <f t="shared" ref="BD140:BD203" si="52">IF(G140=1,H140,"")</f>
        <v/>
      </c>
      <c r="BE140" s="24">
        <f t="shared" ref="BE140:BE203" si="53">IF(G140=1,AX140,0)</f>
        <v>0</v>
      </c>
      <c r="BF140" s="72">
        <f>TableCosts[[#This Row],[N_Amount]]*TableCosts[[#This Row],[N_Tariff]]*TableCosts[[#This Row],[N_ItemsCount]]</f>
        <v>0</v>
      </c>
      <c r="BG140" s="72">
        <f>IF(G140=1,IF(TableCosts[[#This Row],[N_Kateg]]="interné práce",TableCosts[[#This Row],[N_Amount]]*8*PAR_SGA_PERHOUR,0),0)</f>
        <v>0</v>
      </c>
      <c r="BH140" s="72">
        <f>SUM(TableCosts[[#This Row],[N_Direct]:[N_SGA]])</f>
        <v>0</v>
      </c>
      <c r="BI140" s="24">
        <f>IF(G140=1,IF(OR(AND(NOT(ISERROR(VLOOKUP(TableCosts[[#This Row],[Calc_N_Typ]],Cis_WorkPositions,1,0))),C140&lt;&gt;"",D140&lt;&gt;"",E140&lt;&gt;""),AND(ISERROR(VLOOKUP(TableCosts[[#This Row],[Calc_N_Typ]],Cis_WorkPositions,1,0)),C140="",D140="",E140&lt;&gt;""),LEFT(TableCosts[[#This Row],[Calc_N_Typ]],18)="Vynaložené náklady"),VLOOKUP(C140&amp;TableCosts[[#This Row],[Calc_N_Typ]],TRAN_STRITEMS_LABEL,VLOOKUP(D140,Tab_Hours,3,0),0),NA()),0)</f>
        <v>0</v>
      </c>
      <c r="BJ140" s="24">
        <f t="shared" ref="BJ140:BJ203" si="54">IF(G140=1,IF(H140="čld.",VLOOKUP(D140,Tab_Hours,4,0),1),0)</f>
        <v>0</v>
      </c>
      <c r="BK140" s="24" t="str">
        <f t="shared" ref="BK140:BK203" si="55">IF(G140=1,IFERROR(VLOOKUP(B140,IpsLicences,2,0),IF(C140="",Par_Center,C140)),"")</f>
        <v/>
      </c>
      <c r="BL140" s="24" t="str">
        <f t="shared" ref="BL140:BL203" si="56">IF(G140=1,Par_Center,"")</f>
        <v/>
      </c>
      <c r="BM140" s="24" t="str">
        <f>IF(G140=1,IF(TableCosts[[#This Row],[TransferFrom]]=TableCosts[[#This Row],[TranferTo]],0,1),"")</f>
        <v/>
      </c>
      <c r="BN140" s="24" t="str">
        <f t="shared" ref="BN140:BN203" si="57">IF(G140=1,IF(E140="ACQ","akvizícia","realizácia"),"")</f>
        <v/>
      </c>
      <c r="BO140" s="24">
        <f t="shared" ref="BO140:BO203" si="58">IF(RIGHT(B140,LEN(Par_LabelTravelTime))=Par_LabelTravelTime,LEFT(B140,LEN(B140)-LEN(Par_LabelTravelTime)),B140)</f>
        <v>0</v>
      </c>
      <c r="BP140" s="24">
        <f t="shared" ref="BP140:BP203" si="59">IF(RIGHT(B140,LEN(Par_LabelTravelTime))=Par_LabelTravelTime,1,0)</f>
        <v>0</v>
      </c>
    </row>
    <row r="141" spans="2:68" s="24" customFormat="1" ht="12.75" x14ac:dyDescent="0.2">
      <c r="B141" s="97"/>
      <c r="C141" s="92"/>
      <c r="D141" s="92"/>
      <c r="E141" s="92"/>
      <c r="F141" s="31" t="str">
        <f>IF(G141=1,IF(ISERROR(TableCosts[[#This Row],[N_Tariff]]),Err_Message1,IF(TableCosts[[#This Row],[N_Tariff]]=0,Err_Message2,VLOOKUP(C141&amp;TableCosts[[#This Row],[Calc_N_Typ]],TRAN_STRITEMS_LABEL,5,FALSE))),"")</f>
        <v/>
      </c>
      <c r="G141" s="31">
        <f t="shared" si="48"/>
        <v>0</v>
      </c>
      <c r="H141" s="31" t="str">
        <f>IF(G141=1,IFERROR(VLOOKUP(F141,Tab_ErrMessage[],2,0),VLOOKUP(C141&amp;TableCosts[[#This Row],[Calc_N_Typ]],TRAN_STRITEMS_LABEL,4,FALSE)),"")</f>
        <v/>
      </c>
      <c r="I141" s="94"/>
      <c r="J141" s="94"/>
      <c r="K141" s="9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  <c r="W141" s="84"/>
      <c r="X141" s="84"/>
      <c r="Y141" s="84"/>
      <c r="Z141" s="84"/>
      <c r="AA141" s="84"/>
      <c r="AB141" s="84"/>
      <c r="AC141" s="84"/>
      <c r="AD141" s="84"/>
      <c r="AE141" s="84"/>
      <c r="AF141" s="84"/>
      <c r="AG141" s="84"/>
      <c r="AH141" s="84"/>
      <c r="AI141" s="84"/>
      <c r="AJ141" s="84"/>
      <c r="AK141" s="84"/>
      <c r="AL141" s="84"/>
      <c r="AM141" s="84"/>
      <c r="AN141" s="84"/>
      <c r="AO141" s="84"/>
      <c r="AP141" s="84"/>
      <c r="AQ141" s="84"/>
      <c r="AR141" s="84"/>
      <c r="AS141" s="84"/>
      <c r="AT141" s="84"/>
      <c r="AU141" s="84"/>
      <c r="AV141" s="84"/>
      <c r="AW141" s="84"/>
      <c r="AX141" s="87">
        <f t="array" ref="AX141">IF(G141=1,SUM((ROW(M0)=ROW(AW141))*(M0+M1_+M2_+M3_+M4_+M5_+M6_+M7_+M8_+M9_+M10_+M11_+M12_+M13_+M14_+M15_+M16_+M17_+M18_+M19_+M20_+M21_+M22_+M23_+M24_+M25_+M26_+M27_+M28_+M29_+M30_+M31_+M32_+M33_+M34_+M35_+M36_+M37_)),0)</f>
        <v>0</v>
      </c>
      <c r="AZ141" s="24" t="str">
        <f t="shared" si="49"/>
        <v/>
      </c>
      <c r="BA141" s="24" t="str">
        <f t="shared" si="50"/>
        <v/>
      </c>
      <c r="BB141" s="24" t="str">
        <f t="shared" si="51"/>
        <v/>
      </c>
      <c r="BC141" s="24" t="str">
        <f>IF(OR(E141="",LEFT(TableCosts[[#This Row],[Calc_N_Typ]],18)="Vynaložené náklady"),"",VLOOKUP(E141,Tab_Parts,2,0))</f>
        <v/>
      </c>
      <c r="BD141" s="24" t="str">
        <f t="shared" si="52"/>
        <v/>
      </c>
      <c r="BE141" s="24">
        <f t="shared" si="53"/>
        <v>0</v>
      </c>
      <c r="BF141" s="72">
        <f>TableCosts[[#This Row],[N_Amount]]*TableCosts[[#This Row],[N_Tariff]]*TableCosts[[#This Row],[N_ItemsCount]]</f>
        <v>0</v>
      </c>
      <c r="BG141" s="72">
        <f>IF(G141=1,IF(TableCosts[[#This Row],[N_Kateg]]="interné práce",TableCosts[[#This Row],[N_Amount]]*8*PAR_SGA_PERHOUR,0),0)</f>
        <v>0</v>
      </c>
      <c r="BH141" s="72">
        <f>SUM(TableCosts[[#This Row],[N_Direct]:[N_SGA]])</f>
        <v>0</v>
      </c>
      <c r="BI141" s="24">
        <f>IF(G141=1,IF(OR(AND(NOT(ISERROR(VLOOKUP(TableCosts[[#This Row],[Calc_N_Typ]],Cis_WorkPositions,1,0))),C141&lt;&gt;"",D141&lt;&gt;"",E141&lt;&gt;""),AND(ISERROR(VLOOKUP(TableCosts[[#This Row],[Calc_N_Typ]],Cis_WorkPositions,1,0)),C141="",D141="",E141&lt;&gt;""),LEFT(TableCosts[[#This Row],[Calc_N_Typ]],18)="Vynaložené náklady"),VLOOKUP(C141&amp;TableCosts[[#This Row],[Calc_N_Typ]],TRAN_STRITEMS_LABEL,VLOOKUP(D141,Tab_Hours,3,0),0),NA()),0)</f>
        <v>0</v>
      </c>
      <c r="BJ141" s="24">
        <f t="shared" si="54"/>
        <v>0</v>
      </c>
      <c r="BK141" s="24" t="str">
        <f t="shared" si="55"/>
        <v/>
      </c>
      <c r="BL141" s="24" t="str">
        <f t="shared" si="56"/>
        <v/>
      </c>
      <c r="BM141" s="24" t="str">
        <f>IF(G141=1,IF(TableCosts[[#This Row],[TransferFrom]]=TableCosts[[#This Row],[TranferTo]],0,1),"")</f>
        <v/>
      </c>
      <c r="BN141" s="24" t="str">
        <f t="shared" si="57"/>
        <v/>
      </c>
      <c r="BO141" s="24">
        <f t="shared" si="58"/>
        <v>0</v>
      </c>
      <c r="BP141" s="24">
        <f t="shared" si="59"/>
        <v>0</v>
      </c>
    </row>
    <row r="142" spans="2:68" s="24" customFormat="1" ht="12.75" x14ac:dyDescent="0.2">
      <c r="B142" s="97"/>
      <c r="C142" s="92"/>
      <c r="D142" s="92"/>
      <c r="E142" s="92"/>
      <c r="F142" s="31" t="str">
        <f>IF(G142=1,IF(ISERROR(TableCosts[[#This Row],[N_Tariff]]),Err_Message1,IF(TableCosts[[#This Row],[N_Tariff]]=0,Err_Message2,VLOOKUP(C142&amp;TableCosts[[#This Row],[Calc_N_Typ]],TRAN_STRITEMS_LABEL,5,FALSE))),"")</f>
        <v/>
      </c>
      <c r="G142" s="31">
        <f t="shared" si="48"/>
        <v>0</v>
      </c>
      <c r="H142" s="31" t="str">
        <f>IF(G142=1,IFERROR(VLOOKUP(F142,Tab_ErrMessage[],2,0),VLOOKUP(C142&amp;TableCosts[[#This Row],[Calc_N_Typ]],TRAN_STRITEMS_LABEL,4,FALSE)),"")</f>
        <v/>
      </c>
      <c r="I142" s="94"/>
      <c r="J142" s="94"/>
      <c r="K142" s="94"/>
      <c r="L142" s="84"/>
      <c r="M142" s="84"/>
      <c r="N142" s="84"/>
      <c r="O142" s="84"/>
      <c r="P142" s="84"/>
      <c r="Q142" s="84"/>
      <c r="R142" s="84"/>
      <c r="S142" s="84"/>
      <c r="T142" s="84"/>
      <c r="U142" s="84"/>
      <c r="V142" s="84"/>
      <c r="W142" s="84"/>
      <c r="X142" s="84"/>
      <c r="Y142" s="84"/>
      <c r="Z142" s="84"/>
      <c r="AA142" s="84"/>
      <c r="AB142" s="84"/>
      <c r="AC142" s="84"/>
      <c r="AD142" s="84"/>
      <c r="AE142" s="84"/>
      <c r="AF142" s="84"/>
      <c r="AG142" s="84"/>
      <c r="AH142" s="84"/>
      <c r="AI142" s="84"/>
      <c r="AJ142" s="84"/>
      <c r="AK142" s="84"/>
      <c r="AL142" s="84"/>
      <c r="AM142" s="84"/>
      <c r="AN142" s="84"/>
      <c r="AO142" s="84"/>
      <c r="AP142" s="84"/>
      <c r="AQ142" s="84"/>
      <c r="AR142" s="84"/>
      <c r="AS142" s="84"/>
      <c r="AT142" s="84"/>
      <c r="AU142" s="84"/>
      <c r="AV142" s="84"/>
      <c r="AW142" s="84"/>
      <c r="AX142" s="87">
        <f t="array" ref="AX142">IF(G142=1,SUM((ROW(M0)=ROW(AW142))*(M0+M1_+M2_+M3_+M4_+M5_+M6_+M7_+M8_+M9_+M10_+M11_+M12_+M13_+M14_+M15_+M16_+M17_+M18_+M19_+M20_+M21_+M22_+M23_+M24_+M25_+M26_+M27_+M28_+M29_+M30_+M31_+M32_+M33_+M34_+M35_+M36_+M37_)),0)</f>
        <v>0</v>
      </c>
      <c r="AZ142" s="24" t="str">
        <f t="shared" si="49"/>
        <v/>
      </c>
      <c r="BA142" s="24" t="str">
        <f t="shared" si="50"/>
        <v/>
      </c>
      <c r="BB142" s="24" t="str">
        <f t="shared" si="51"/>
        <v/>
      </c>
      <c r="BC142" s="24" t="str">
        <f>IF(OR(E142="",LEFT(TableCosts[[#This Row],[Calc_N_Typ]],18)="Vynaložené náklady"),"",VLOOKUP(E142,Tab_Parts,2,0))</f>
        <v/>
      </c>
      <c r="BD142" s="24" t="str">
        <f t="shared" si="52"/>
        <v/>
      </c>
      <c r="BE142" s="24">
        <f t="shared" si="53"/>
        <v>0</v>
      </c>
      <c r="BF142" s="72">
        <f>TableCosts[[#This Row],[N_Amount]]*TableCosts[[#This Row],[N_Tariff]]*TableCosts[[#This Row],[N_ItemsCount]]</f>
        <v>0</v>
      </c>
      <c r="BG142" s="72">
        <f>IF(G142=1,IF(TableCosts[[#This Row],[N_Kateg]]="interné práce",TableCosts[[#This Row],[N_Amount]]*8*PAR_SGA_PERHOUR,0),0)</f>
        <v>0</v>
      </c>
      <c r="BH142" s="72">
        <f>SUM(TableCosts[[#This Row],[N_Direct]:[N_SGA]])</f>
        <v>0</v>
      </c>
      <c r="BI142" s="24">
        <f>IF(G142=1,IF(OR(AND(NOT(ISERROR(VLOOKUP(TableCosts[[#This Row],[Calc_N_Typ]],Cis_WorkPositions,1,0))),C142&lt;&gt;"",D142&lt;&gt;"",E142&lt;&gt;""),AND(ISERROR(VLOOKUP(TableCosts[[#This Row],[Calc_N_Typ]],Cis_WorkPositions,1,0)),C142="",D142="",E142&lt;&gt;""),LEFT(TableCosts[[#This Row],[Calc_N_Typ]],18)="Vynaložené náklady"),VLOOKUP(C142&amp;TableCosts[[#This Row],[Calc_N_Typ]],TRAN_STRITEMS_LABEL,VLOOKUP(D142,Tab_Hours,3,0),0),NA()),0)</f>
        <v>0</v>
      </c>
      <c r="BJ142" s="24">
        <f t="shared" si="54"/>
        <v>0</v>
      </c>
      <c r="BK142" s="24" t="str">
        <f t="shared" si="55"/>
        <v/>
      </c>
      <c r="BL142" s="24" t="str">
        <f t="shared" si="56"/>
        <v/>
      </c>
      <c r="BM142" s="24" t="str">
        <f>IF(G142=1,IF(TableCosts[[#This Row],[TransferFrom]]=TableCosts[[#This Row],[TranferTo]],0,1),"")</f>
        <v/>
      </c>
      <c r="BN142" s="24" t="str">
        <f t="shared" si="57"/>
        <v/>
      </c>
      <c r="BO142" s="24">
        <f t="shared" si="58"/>
        <v>0</v>
      </c>
      <c r="BP142" s="24">
        <f t="shared" si="59"/>
        <v>0</v>
      </c>
    </row>
    <row r="143" spans="2:68" s="24" customFormat="1" ht="12.75" x14ac:dyDescent="0.2">
      <c r="B143" s="97"/>
      <c r="C143" s="92"/>
      <c r="D143" s="92"/>
      <c r="E143" s="92"/>
      <c r="F143" s="31" t="str">
        <f>IF(G143=1,IF(ISERROR(TableCosts[[#This Row],[N_Tariff]]),Err_Message1,IF(TableCosts[[#This Row],[N_Tariff]]=0,Err_Message2,VLOOKUP(C143&amp;TableCosts[[#This Row],[Calc_N_Typ]],TRAN_STRITEMS_LABEL,5,FALSE))),"")</f>
        <v/>
      </c>
      <c r="G143" s="31">
        <f t="shared" si="48"/>
        <v>0</v>
      </c>
      <c r="H143" s="31" t="str">
        <f>IF(G143=1,IFERROR(VLOOKUP(F143,Tab_ErrMessage[],2,0),VLOOKUP(C143&amp;TableCosts[[#This Row],[Calc_N_Typ]],TRAN_STRITEMS_LABEL,4,FALSE)),"")</f>
        <v/>
      </c>
      <c r="I143" s="94"/>
      <c r="J143" s="94"/>
      <c r="K143" s="9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  <c r="W143" s="84"/>
      <c r="X143" s="84"/>
      <c r="Y143" s="84"/>
      <c r="Z143" s="84"/>
      <c r="AA143" s="84"/>
      <c r="AB143" s="84"/>
      <c r="AC143" s="84"/>
      <c r="AD143" s="84"/>
      <c r="AE143" s="84"/>
      <c r="AF143" s="84"/>
      <c r="AG143" s="84"/>
      <c r="AH143" s="84"/>
      <c r="AI143" s="84"/>
      <c r="AJ143" s="84"/>
      <c r="AK143" s="84"/>
      <c r="AL143" s="84"/>
      <c r="AM143" s="84"/>
      <c r="AN143" s="84"/>
      <c r="AO143" s="84"/>
      <c r="AP143" s="84"/>
      <c r="AQ143" s="84"/>
      <c r="AR143" s="84"/>
      <c r="AS143" s="84"/>
      <c r="AT143" s="84"/>
      <c r="AU143" s="84"/>
      <c r="AV143" s="84"/>
      <c r="AW143" s="84"/>
      <c r="AX143" s="87">
        <f t="array" ref="AX143">IF(G143=1,SUM((ROW(M0)=ROW(AW143))*(M0+M1_+M2_+M3_+M4_+M5_+M6_+M7_+M8_+M9_+M10_+M11_+M12_+M13_+M14_+M15_+M16_+M17_+M18_+M19_+M20_+M21_+M22_+M23_+M24_+M25_+M26_+M27_+M28_+M29_+M30_+M31_+M32_+M33_+M34_+M35_+M36_+M37_)),0)</f>
        <v>0</v>
      </c>
      <c r="AZ143" s="24" t="str">
        <f t="shared" si="49"/>
        <v/>
      </c>
      <c r="BA143" s="24" t="str">
        <f t="shared" si="50"/>
        <v/>
      </c>
      <c r="BB143" s="24" t="str">
        <f t="shared" si="51"/>
        <v/>
      </c>
      <c r="BC143" s="24" t="str">
        <f>IF(OR(E143="",LEFT(TableCosts[[#This Row],[Calc_N_Typ]],18)="Vynaložené náklady"),"",VLOOKUP(E143,Tab_Parts,2,0))</f>
        <v/>
      </c>
      <c r="BD143" s="24" t="str">
        <f t="shared" si="52"/>
        <v/>
      </c>
      <c r="BE143" s="24">
        <f t="shared" si="53"/>
        <v>0</v>
      </c>
      <c r="BF143" s="72">
        <f>TableCosts[[#This Row],[N_Amount]]*TableCosts[[#This Row],[N_Tariff]]*TableCosts[[#This Row],[N_ItemsCount]]</f>
        <v>0</v>
      </c>
      <c r="BG143" s="72">
        <f>IF(G143=1,IF(TableCosts[[#This Row],[N_Kateg]]="interné práce",TableCosts[[#This Row],[N_Amount]]*8*PAR_SGA_PERHOUR,0),0)</f>
        <v>0</v>
      </c>
      <c r="BH143" s="72">
        <f>SUM(TableCosts[[#This Row],[N_Direct]:[N_SGA]])</f>
        <v>0</v>
      </c>
      <c r="BI143" s="24">
        <f>IF(G143=1,IF(OR(AND(NOT(ISERROR(VLOOKUP(TableCosts[[#This Row],[Calc_N_Typ]],Cis_WorkPositions,1,0))),C143&lt;&gt;"",D143&lt;&gt;"",E143&lt;&gt;""),AND(ISERROR(VLOOKUP(TableCosts[[#This Row],[Calc_N_Typ]],Cis_WorkPositions,1,0)),C143="",D143="",E143&lt;&gt;""),LEFT(TableCosts[[#This Row],[Calc_N_Typ]],18)="Vynaložené náklady"),VLOOKUP(C143&amp;TableCosts[[#This Row],[Calc_N_Typ]],TRAN_STRITEMS_LABEL,VLOOKUP(D143,Tab_Hours,3,0),0),NA()),0)</f>
        <v>0</v>
      </c>
      <c r="BJ143" s="24">
        <f t="shared" si="54"/>
        <v>0</v>
      </c>
      <c r="BK143" s="24" t="str">
        <f t="shared" si="55"/>
        <v/>
      </c>
      <c r="BL143" s="24" t="str">
        <f t="shared" si="56"/>
        <v/>
      </c>
      <c r="BM143" s="24" t="str">
        <f>IF(G143=1,IF(TableCosts[[#This Row],[TransferFrom]]=TableCosts[[#This Row],[TranferTo]],0,1),"")</f>
        <v/>
      </c>
      <c r="BN143" s="24" t="str">
        <f t="shared" si="57"/>
        <v/>
      </c>
      <c r="BO143" s="24">
        <f t="shared" si="58"/>
        <v>0</v>
      </c>
      <c r="BP143" s="24">
        <f t="shared" si="59"/>
        <v>0</v>
      </c>
    </row>
    <row r="144" spans="2:68" s="24" customFormat="1" ht="12.75" x14ac:dyDescent="0.2">
      <c r="B144" s="97"/>
      <c r="C144" s="92"/>
      <c r="D144" s="92"/>
      <c r="E144" s="92"/>
      <c r="F144" s="31" t="str">
        <f>IF(G144=1,IF(ISERROR(TableCosts[[#This Row],[N_Tariff]]),Err_Message1,IF(TableCosts[[#This Row],[N_Tariff]]=0,Err_Message2,VLOOKUP(C144&amp;TableCosts[[#This Row],[Calc_N_Typ]],TRAN_STRITEMS_LABEL,5,FALSE))),"")</f>
        <v/>
      </c>
      <c r="G144" s="31">
        <f t="shared" si="48"/>
        <v>0</v>
      </c>
      <c r="H144" s="31" t="str">
        <f>IF(G144=1,IFERROR(VLOOKUP(F144,Tab_ErrMessage[],2,0),VLOOKUP(C144&amp;TableCosts[[#This Row],[Calc_N_Typ]],TRAN_STRITEMS_LABEL,4,FALSE)),"")</f>
        <v/>
      </c>
      <c r="I144" s="94"/>
      <c r="J144" s="94"/>
      <c r="K144" s="9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  <c r="W144" s="84"/>
      <c r="X144" s="84"/>
      <c r="Y144" s="84"/>
      <c r="Z144" s="84"/>
      <c r="AA144" s="84"/>
      <c r="AB144" s="84"/>
      <c r="AC144" s="84"/>
      <c r="AD144" s="84"/>
      <c r="AE144" s="84"/>
      <c r="AF144" s="84"/>
      <c r="AG144" s="84"/>
      <c r="AH144" s="84"/>
      <c r="AI144" s="84"/>
      <c r="AJ144" s="84"/>
      <c r="AK144" s="84"/>
      <c r="AL144" s="84"/>
      <c r="AM144" s="84"/>
      <c r="AN144" s="84"/>
      <c r="AO144" s="84"/>
      <c r="AP144" s="84"/>
      <c r="AQ144" s="84"/>
      <c r="AR144" s="84"/>
      <c r="AS144" s="84"/>
      <c r="AT144" s="84"/>
      <c r="AU144" s="84"/>
      <c r="AV144" s="84"/>
      <c r="AW144" s="84"/>
      <c r="AX144" s="87">
        <f t="array" ref="AX144">IF(G144=1,SUM((ROW(M0)=ROW(AW144))*(M0+M1_+M2_+M3_+M4_+M5_+M6_+M7_+M8_+M9_+M10_+M11_+M12_+M13_+M14_+M15_+M16_+M17_+M18_+M19_+M20_+M21_+M22_+M23_+M24_+M25_+M26_+M27_+M28_+M29_+M30_+M31_+M32_+M33_+M34_+M35_+M36_+M37_)),0)</f>
        <v>0</v>
      </c>
      <c r="AZ144" s="24" t="str">
        <f t="shared" si="49"/>
        <v/>
      </c>
      <c r="BA144" s="24" t="str">
        <f t="shared" si="50"/>
        <v/>
      </c>
      <c r="BB144" s="24" t="str">
        <f t="shared" si="51"/>
        <v/>
      </c>
      <c r="BC144" s="24" t="str">
        <f>IF(OR(E144="",LEFT(TableCosts[[#This Row],[Calc_N_Typ]],18)="Vynaložené náklady"),"",VLOOKUP(E144,Tab_Parts,2,0))</f>
        <v/>
      </c>
      <c r="BD144" s="24" t="str">
        <f t="shared" si="52"/>
        <v/>
      </c>
      <c r="BE144" s="24">
        <f t="shared" si="53"/>
        <v>0</v>
      </c>
      <c r="BF144" s="72">
        <f>TableCosts[[#This Row],[N_Amount]]*TableCosts[[#This Row],[N_Tariff]]*TableCosts[[#This Row],[N_ItemsCount]]</f>
        <v>0</v>
      </c>
      <c r="BG144" s="72">
        <f>IF(G144=1,IF(TableCosts[[#This Row],[N_Kateg]]="interné práce",TableCosts[[#This Row],[N_Amount]]*8*PAR_SGA_PERHOUR,0),0)</f>
        <v>0</v>
      </c>
      <c r="BH144" s="72">
        <f>SUM(TableCosts[[#This Row],[N_Direct]:[N_SGA]])</f>
        <v>0</v>
      </c>
      <c r="BI144" s="24">
        <f>IF(G144=1,IF(OR(AND(NOT(ISERROR(VLOOKUP(TableCosts[[#This Row],[Calc_N_Typ]],Cis_WorkPositions,1,0))),C144&lt;&gt;"",D144&lt;&gt;"",E144&lt;&gt;""),AND(ISERROR(VLOOKUP(TableCosts[[#This Row],[Calc_N_Typ]],Cis_WorkPositions,1,0)),C144="",D144="",E144&lt;&gt;""),LEFT(TableCosts[[#This Row],[Calc_N_Typ]],18)="Vynaložené náklady"),VLOOKUP(C144&amp;TableCosts[[#This Row],[Calc_N_Typ]],TRAN_STRITEMS_LABEL,VLOOKUP(D144,Tab_Hours,3,0),0),NA()),0)</f>
        <v>0</v>
      </c>
      <c r="BJ144" s="24">
        <f t="shared" si="54"/>
        <v>0</v>
      </c>
      <c r="BK144" s="24" t="str">
        <f t="shared" si="55"/>
        <v/>
      </c>
      <c r="BL144" s="24" t="str">
        <f t="shared" si="56"/>
        <v/>
      </c>
      <c r="BM144" s="24" t="str">
        <f>IF(G144=1,IF(TableCosts[[#This Row],[TransferFrom]]=TableCosts[[#This Row],[TranferTo]],0,1),"")</f>
        <v/>
      </c>
      <c r="BN144" s="24" t="str">
        <f t="shared" si="57"/>
        <v/>
      </c>
      <c r="BO144" s="24">
        <f t="shared" si="58"/>
        <v>0</v>
      </c>
      <c r="BP144" s="24">
        <f t="shared" si="59"/>
        <v>0</v>
      </c>
    </row>
    <row r="145" spans="2:68" s="24" customFormat="1" ht="12.75" x14ac:dyDescent="0.2">
      <c r="B145" s="97"/>
      <c r="C145" s="92"/>
      <c r="D145" s="92"/>
      <c r="E145" s="92"/>
      <c r="F145" s="31" t="str">
        <f>IF(G145=1,IF(ISERROR(TableCosts[[#This Row],[N_Tariff]]),Err_Message1,IF(TableCosts[[#This Row],[N_Tariff]]=0,Err_Message2,VLOOKUP(C145&amp;TableCosts[[#This Row],[Calc_N_Typ]],TRAN_STRITEMS_LABEL,5,FALSE))),"")</f>
        <v/>
      </c>
      <c r="G145" s="31">
        <f t="shared" si="48"/>
        <v>0</v>
      </c>
      <c r="H145" s="31" t="str">
        <f>IF(G145=1,IFERROR(VLOOKUP(F145,Tab_ErrMessage[],2,0),VLOOKUP(C145&amp;TableCosts[[#This Row],[Calc_N_Typ]],TRAN_STRITEMS_LABEL,4,FALSE)),"")</f>
        <v/>
      </c>
      <c r="I145" s="94"/>
      <c r="J145" s="94"/>
      <c r="K145" s="9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  <c r="W145" s="84"/>
      <c r="X145" s="84"/>
      <c r="Y145" s="84"/>
      <c r="Z145" s="84"/>
      <c r="AA145" s="84"/>
      <c r="AB145" s="84"/>
      <c r="AC145" s="84"/>
      <c r="AD145" s="84"/>
      <c r="AE145" s="84"/>
      <c r="AF145" s="84"/>
      <c r="AG145" s="84"/>
      <c r="AH145" s="84"/>
      <c r="AI145" s="84"/>
      <c r="AJ145" s="84"/>
      <c r="AK145" s="84"/>
      <c r="AL145" s="84"/>
      <c r="AM145" s="84"/>
      <c r="AN145" s="84"/>
      <c r="AO145" s="84"/>
      <c r="AP145" s="84"/>
      <c r="AQ145" s="84"/>
      <c r="AR145" s="84"/>
      <c r="AS145" s="84"/>
      <c r="AT145" s="84"/>
      <c r="AU145" s="84"/>
      <c r="AV145" s="84"/>
      <c r="AW145" s="84"/>
      <c r="AX145" s="87">
        <f t="array" ref="AX145">IF(G145=1,SUM((ROW(M0)=ROW(AW145))*(M0+M1_+M2_+M3_+M4_+M5_+M6_+M7_+M8_+M9_+M10_+M11_+M12_+M13_+M14_+M15_+M16_+M17_+M18_+M19_+M20_+M21_+M22_+M23_+M24_+M25_+M26_+M27_+M28_+M29_+M30_+M31_+M32_+M33_+M34_+M35_+M36_+M37_)),0)</f>
        <v>0</v>
      </c>
      <c r="AZ145" s="24" t="str">
        <f t="shared" si="49"/>
        <v/>
      </c>
      <c r="BA145" s="24" t="str">
        <f t="shared" si="50"/>
        <v/>
      </c>
      <c r="BB145" s="24" t="str">
        <f t="shared" si="51"/>
        <v/>
      </c>
      <c r="BC145" s="24" t="str">
        <f>IF(OR(E145="",LEFT(TableCosts[[#This Row],[Calc_N_Typ]],18)="Vynaložené náklady"),"",VLOOKUP(E145,Tab_Parts,2,0))</f>
        <v/>
      </c>
      <c r="BD145" s="24" t="str">
        <f t="shared" si="52"/>
        <v/>
      </c>
      <c r="BE145" s="24">
        <f t="shared" si="53"/>
        <v>0</v>
      </c>
      <c r="BF145" s="72">
        <f>TableCosts[[#This Row],[N_Amount]]*TableCosts[[#This Row],[N_Tariff]]*TableCosts[[#This Row],[N_ItemsCount]]</f>
        <v>0</v>
      </c>
      <c r="BG145" s="72">
        <f>IF(G145=1,IF(TableCosts[[#This Row],[N_Kateg]]="interné práce",TableCosts[[#This Row],[N_Amount]]*8*PAR_SGA_PERHOUR,0),0)</f>
        <v>0</v>
      </c>
      <c r="BH145" s="72">
        <f>SUM(TableCosts[[#This Row],[N_Direct]:[N_SGA]])</f>
        <v>0</v>
      </c>
      <c r="BI145" s="24">
        <f>IF(G145=1,IF(OR(AND(NOT(ISERROR(VLOOKUP(TableCosts[[#This Row],[Calc_N_Typ]],Cis_WorkPositions,1,0))),C145&lt;&gt;"",D145&lt;&gt;"",E145&lt;&gt;""),AND(ISERROR(VLOOKUP(TableCosts[[#This Row],[Calc_N_Typ]],Cis_WorkPositions,1,0)),C145="",D145="",E145&lt;&gt;""),LEFT(TableCosts[[#This Row],[Calc_N_Typ]],18)="Vynaložené náklady"),VLOOKUP(C145&amp;TableCosts[[#This Row],[Calc_N_Typ]],TRAN_STRITEMS_LABEL,VLOOKUP(D145,Tab_Hours,3,0),0),NA()),0)</f>
        <v>0</v>
      </c>
      <c r="BJ145" s="24">
        <f t="shared" si="54"/>
        <v>0</v>
      </c>
      <c r="BK145" s="24" t="str">
        <f t="shared" si="55"/>
        <v/>
      </c>
      <c r="BL145" s="24" t="str">
        <f t="shared" si="56"/>
        <v/>
      </c>
      <c r="BM145" s="24" t="str">
        <f>IF(G145=1,IF(TableCosts[[#This Row],[TransferFrom]]=TableCosts[[#This Row],[TranferTo]],0,1),"")</f>
        <v/>
      </c>
      <c r="BN145" s="24" t="str">
        <f t="shared" si="57"/>
        <v/>
      </c>
      <c r="BO145" s="24">
        <f t="shared" si="58"/>
        <v>0</v>
      </c>
      <c r="BP145" s="24">
        <f t="shared" si="59"/>
        <v>0</v>
      </c>
    </row>
    <row r="146" spans="2:68" s="24" customFormat="1" ht="12.75" x14ac:dyDescent="0.2">
      <c r="B146" s="97"/>
      <c r="C146" s="92"/>
      <c r="D146" s="92"/>
      <c r="E146" s="92"/>
      <c r="F146" s="31" t="str">
        <f>IF(G146=1,IF(ISERROR(TableCosts[[#This Row],[N_Tariff]]),Err_Message1,IF(TableCosts[[#This Row],[N_Tariff]]=0,Err_Message2,VLOOKUP(C146&amp;TableCosts[[#This Row],[Calc_N_Typ]],TRAN_STRITEMS_LABEL,5,FALSE))),"")</f>
        <v/>
      </c>
      <c r="G146" s="31">
        <f t="shared" si="48"/>
        <v>0</v>
      </c>
      <c r="H146" s="31" t="str">
        <f>IF(G146=1,IFERROR(VLOOKUP(F146,Tab_ErrMessage[],2,0),VLOOKUP(C146&amp;TableCosts[[#This Row],[Calc_N_Typ]],TRAN_STRITEMS_LABEL,4,FALSE)),"")</f>
        <v/>
      </c>
      <c r="I146" s="94"/>
      <c r="J146" s="94"/>
      <c r="K146" s="9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  <c r="W146" s="84"/>
      <c r="X146" s="84"/>
      <c r="Y146" s="84"/>
      <c r="Z146" s="84"/>
      <c r="AA146" s="84"/>
      <c r="AB146" s="84"/>
      <c r="AC146" s="84"/>
      <c r="AD146" s="84"/>
      <c r="AE146" s="84"/>
      <c r="AF146" s="84"/>
      <c r="AG146" s="84"/>
      <c r="AH146" s="84"/>
      <c r="AI146" s="84"/>
      <c r="AJ146" s="84"/>
      <c r="AK146" s="84"/>
      <c r="AL146" s="84"/>
      <c r="AM146" s="84"/>
      <c r="AN146" s="84"/>
      <c r="AO146" s="84"/>
      <c r="AP146" s="84"/>
      <c r="AQ146" s="84"/>
      <c r="AR146" s="84"/>
      <c r="AS146" s="84"/>
      <c r="AT146" s="84"/>
      <c r="AU146" s="84"/>
      <c r="AV146" s="84"/>
      <c r="AW146" s="84"/>
      <c r="AX146" s="87">
        <f t="array" ref="AX146">IF(G146=1,SUM((ROW(M0)=ROW(AW146))*(M0+M1_+M2_+M3_+M4_+M5_+M6_+M7_+M8_+M9_+M10_+M11_+M12_+M13_+M14_+M15_+M16_+M17_+M18_+M19_+M20_+M21_+M22_+M23_+M24_+M25_+M26_+M27_+M28_+M29_+M30_+M31_+M32_+M33_+M34_+M35_+M36_+M37_)),0)</f>
        <v>0</v>
      </c>
      <c r="AZ146" s="24" t="str">
        <f t="shared" si="49"/>
        <v/>
      </c>
      <c r="BA146" s="24" t="str">
        <f t="shared" si="50"/>
        <v/>
      </c>
      <c r="BB146" s="24" t="str">
        <f t="shared" si="51"/>
        <v/>
      </c>
      <c r="BC146" s="24" t="str">
        <f>IF(OR(E146="",LEFT(TableCosts[[#This Row],[Calc_N_Typ]],18)="Vynaložené náklady"),"",VLOOKUP(E146,Tab_Parts,2,0))</f>
        <v/>
      </c>
      <c r="BD146" s="24" t="str">
        <f t="shared" si="52"/>
        <v/>
      </c>
      <c r="BE146" s="24">
        <f t="shared" si="53"/>
        <v>0</v>
      </c>
      <c r="BF146" s="72">
        <f>TableCosts[[#This Row],[N_Amount]]*TableCosts[[#This Row],[N_Tariff]]*TableCosts[[#This Row],[N_ItemsCount]]</f>
        <v>0</v>
      </c>
      <c r="BG146" s="72">
        <f>IF(G146=1,IF(TableCosts[[#This Row],[N_Kateg]]="interné práce",TableCosts[[#This Row],[N_Amount]]*8*PAR_SGA_PERHOUR,0),0)</f>
        <v>0</v>
      </c>
      <c r="BH146" s="72">
        <f>SUM(TableCosts[[#This Row],[N_Direct]:[N_SGA]])</f>
        <v>0</v>
      </c>
      <c r="BI146" s="24">
        <f>IF(G146=1,IF(OR(AND(NOT(ISERROR(VLOOKUP(TableCosts[[#This Row],[Calc_N_Typ]],Cis_WorkPositions,1,0))),C146&lt;&gt;"",D146&lt;&gt;"",E146&lt;&gt;""),AND(ISERROR(VLOOKUP(TableCosts[[#This Row],[Calc_N_Typ]],Cis_WorkPositions,1,0)),C146="",D146="",E146&lt;&gt;""),LEFT(TableCosts[[#This Row],[Calc_N_Typ]],18)="Vynaložené náklady"),VLOOKUP(C146&amp;TableCosts[[#This Row],[Calc_N_Typ]],TRAN_STRITEMS_LABEL,VLOOKUP(D146,Tab_Hours,3,0),0),NA()),0)</f>
        <v>0</v>
      </c>
      <c r="BJ146" s="24">
        <f t="shared" si="54"/>
        <v>0</v>
      </c>
      <c r="BK146" s="24" t="str">
        <f t="shared" si="55"/>
        <v/>
      </c>
      <c r="BL146" s="24" t="str">
        <f t="shared" si="56"/>
        <v/>
      </c>
      <c r="BM146" s="24" t="str">
        <f>IF(G146=1,IF(TableCosts[[#This Row],[TransferFrom]]=TableCosts[[#This Row],[TranferTo]],0,1),"")</f>
        <v/>
      </c>
      <c r="BN146" s="24" t="str">
        <f t="shared" si="57"/>
        <v/>
      </c>
      <c r="BO146" s="24">
        <f t="shared" si="58"/>
        <v>0</v>
      </c>
      <c r="BP146" s="24">
        <f t="shared" si="59"/>
        <v>0</v>
      </c>
    </row>
    <row r="147" spans="2:68" s="24" customFormat="1" ht="12.75" x14ac:dyDescent="0.2">
      <c r="B147" s="97"/>
      <c r="C147" s="92"/>
      <c r="D147" s="92"/>
      <c r="E147" s="92"/>
      <c r="F147" s="31" t="str">
        <f>IF(G147=1,IF(ISERROR(TableCosts[[#This Row],[N_Tariff]]),Err_Message1,IF(TableCosts[[#This Row],[N_Tariff]]=0,Err_Message2,VLOOKUP(C147&amp;TableCosts[[#This Row],[Calc_N_Typ]],TRAN_STRITEMS_LABEL,5,FALSE))),"")</f>
        <v/>
      </c>
      <c r="G147" s="31">
        <f t="shared" si="48"/>
        <v>0</v>
      </c>
      <c r="H147" s="31" t="str">
        <f>IF(G147=1,IFERROR(VLOOKUP(F147,Tab_ErrMessage[],2,0),VLOOKUP(C147&amp;TableCosts[[#This Row],[Calc_N_Typ]],TRAN_STRITEMS_LABEL,4,FALSE)),"")</f>
        <v/>
      </c>
      <c r="I147" s="94"/>
      <c r="J147" s="94"/>
      <c r="K147" s="9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  <c r="W147" s="84"/>
      <c r="X147" s="84"/>
      <c r="Y147" s="84"/>
      <c r="Z147" s="84"/>
      <c r="AA147" s="84"/>
      <c r="AB147" s="84"/>
      <c r="AC147" s="84"/>
      <c r="AD147" s="84"/>
      <c r="AE147" s="84"/>
      <c r="AF147" s="84"/>
      <c r="AG147" s="84"/>
      <c r="AH147" s="84"/>
      <c r="AI147" s="84"/>
      <c r="AJ147" s="84"/>
      <c r="AK147" s="84"/>
      <c r="AL147" s="84"/>
      <c r="AM147" s="84"/>
      <c r="AN147" s="84"/>
      <c r="AO147" s="84"/>
      <c r="AP147" s="84"/>
      <c r="AQ147" s="84"/>
      <c r="AR147" s="84"/>
      <c r="AS147" s="84"/>
      <c r="AT147" s="84"/>
      <c r="AU147" s="84"/>
      <c r="AV147" s="84"/>
      <c r="AW147" s="84"/>
      <c r="AX147" s="87">
        <f t="array" ref="AX147">IF(G147=1,SUM((ROW(M0)=ROW(AW147))*(M0+M1_+M2_+M3_+M4_+M5_+M6_+M7_+M8_+M9_+M10_+M11_+M12_+M13_+M14_+M15_+M16_+M17_+M18_+M19_+M20_+M21_+M22_+M23_+M24_+M25_+M26_+M27_+M28_+M29_+M30_+M31_+M32_+M33_+M34_+M35_+M36_+M37_)),0)</f>
        <v>0</v>
      </c>
      <c r="AZ147" s="24" t="str">
        <f t="shared" si="49"/>
        <v/>
      </c>
      <c r="BA147" s="24" t="str">
        <f t="shared" si="50"/>
        <v/>
      </c>
      <c r="BB147" s="24" t="str">
        <f t="shared" si="51"/>
        <v/>
      </c>
      <c r="BC147" s="24" t="str">
        <f>IF(OR(E147="",LEFT(TableCosts[[#This Row],[Calc_N_Typ]],18)="Vynaložené náklady"),"",VLOOKUP(E147,Tab_Parts,2,0))</f>
        <v/>
      </c>
      <c r="BD147" s="24" t="str">
        <f t="shared" si="52"/>
        <v/>
      </c>
      <c r="BE147" s="24">
        <f t="shared" si="53"/>
        <v>0</v>
      </c>
      <c r="BF147" s="72">
        <f>TableCosts[[#This Row],[N_Amount]]*TableCosts[[#This Row],[N_Tariff]]*TableCosts[[#This Row],[N_ItemsCount]]</f>
        <v>0</v>
      </c>
      <c r="BG147" s="72">
        <f>IF(G147=1,IF(TableCosts[[#This Row],[N_Kateg]]="interné práce",TableCosts[[#This Row],[N_Amount]]*8*PAR_SGA_PERHOUR,0),0)</f>
        <v>0</v>
      </c>
      <c r="BH147" s="72">
        <f>SUM(TableCosts[[#This Row],[N_Direct]:[N_SGA]])</f>
        <v>0</v>
      </c>
      <c r="BI147" s="24">
        <f>IF(G147=1,IF(OR(AND(NOT(ISERROR(VLOOKUP(TableCosts[[#This Row],[Calc_N_Typ]],Cis_WorkPositions,1,0))),C147&lt;&gt;"",D147&lt;&gt;"",E147&lt;&gt;""),AND(ISERROR(VLOOKUP(TableCosts[[#This Row],[Calc_N_Typ]],Cis_WorkPositions,1,0)),C147="",D147="",E147&lt;&gt;""),LEFT(TableCosts[[#This Row],[Calc_N_Typ]],18)="Vynaložené náklady"),VLOOKUP(C147&amp;TableCosts[[#This Row],[Calc_N_Typ]],TRAN_STRITEMS_LABEL,VLOOKUP(D147,Tab_Hours,3,0),0),NA()),0)</f>
        <v>0</v>
      </c>
      <c r="BJ147" s="24">
        <f t="shared" si="54"/>
        <v>0</v>
      </c>
      <c r="BK147" s="24" t="str">
        <f t="shared" si="55"/>
        <v/>
      </c>
      <c r="BL147" s="24" t="str">
        <f t="shared" si="56"/>
        <v/>
      </c>
      <c r="BM147" s="24" t="str">
        <f>IF(G147=1,IF(TableCosts[[#This Row],[TransferFrom]]=TableCosts[[#This Row],[TranferTo]],0,1),"")</f>
        <v/>
      </c>
      <c r="BN147" s="24" t="str">
        <f t="shared" si="57"/>
        <v/>
      </c>
      <c r="BO147" s="24">
        <f t="shared" si="58"/>
        <v>0</v>
      </c>
      <c r="BP147" s="24">
        <f t="shared" si="59"/>
        <v>0</v>
      </c>
    </row>
    <row r="148" spans="2:68" s="24" customFormat="1" ht="12.75" x14ac:dyDescent="0.2">
      <c r="B148" s="97"/>
      <c r="C148" s="92"/>
      <c r="D148" s="92"/>
      <c r="E148" s="92"/>
      <c r="F148" s="31" t="str">
        <f>IF(G148=1,IF(ISERROR(TableCosts[[#This Row],[N_Tariff]]),Err_Message1,IF(TableCosts[[#This Row],[N_Tariff]]=0,Err_Message2,VLOOKUP(C148&amp;TableCosts[[#This Row],[Calc_N_Typ]],TRAN_STRITEMS_LABEL,5,FALSE))),"")</f>
        <v/>
      </c>
      <c r="G148" s="31">
        <f t="shared" si="48"/>
        <v>0</v>
      </c>
      <c r="H148" s="31" t="str">
        <f>IF(G148=1,IFERROR(VLOOKUP(F148,Tab_ErrMessage[],2,0),VLOOKUP(C148&amp;TableCosts[[#This Row],[Calc_N_Typ]],TRAN_STRITEMS_LABEL,4,FALSE)),"")</f>
        <v/>
      </c>
      <c r="I148" s="94"/>
      <c r="J148" s="94"/>
      <c r="K148" s="94"/>
      <c r="L148" s="84"/>
      <c r="M148" s="84"/>
      <c r="N148" s="84"/>
      <c r="O148" s="84"/>
      <c r="P148" s="84"/>
      <c r="Q148" s="84"/>
      <c r="R148" s="84"/>
      <c r="S148" s="84"/>
      <c r="T148" s="84"/>
      <c r="U148" s="84"/>
      <c r="V148" s="84"/>
      <c r="W148" s="84"/>
      <c r="X148" s="84"/>
      <c r="Y148" s="84"/>
      <c r="Z148" s="84"/>
      <c r="AA148" s="84"/>
      <c r="AB148" s="84"/>
      <c r="AC148" s="84"/>
      <c r="AD148" s="84"/>
      <c r="AE148" s="84"/>
      <c r="AF148" s="84"/>
      <c r="AG148" s="84"/>
      <c r="AH148" s="84"/>
      <c r="AI148" s="84"/>
      <c r="AJ148" s="84"/>
      <c r="AK148" s="84"/>
      <c r="AL148" s="84"/>
      <c r="AM148" s="84"/>
      <c r="AN148" s="84"/>
      <c r="AO148" s="84"/>
      <c r="AP148" s="84"/>
      <c r="AQ148" s="84"/>
      <c r="AR148" s="84"/>
      <c r="AS148" s="84"/>
      <c r="AT148" s="84"/>
      <c r="AU148" s="84"/>
      <c r="AV148" s="84"/>
      <c r="AW148" s="84"/>
      <c r="AX148" s="87">
        <f t="array" ref="AX148">IF(G148=1,SUM((ROW(M0)=ROW(AW148))*(M0+M1_+M2_+M3_+M4_+M5_+M6_+M7_+M8_+M9_+M10_+M11_+M12_+M13_+M14_+M15_+M16_+M17_+M18_+M19_+M20_+M21_+M22_+M23_+M24_+M25_+M26_+M27_+M28_+M29_+M30_+M31_+M32_+M33_+M34_+M35_+M36_+M37_)),0)</f>
        <v>0</v>
      </c>
      <c r="AZ148" s="24" t="str">
        <f t="shared" si="49"/>
        <v/>
      </c>
      <c r="BA148" s="24" t="str">
        <f t="shared" si="50"/>
        <v/>
      </c>
      <c r="BB148" s="24" t="str">
        <f t="shared" si="51"/>
        <v/>
      </c>
      <c r="BC148" s="24" t="str">
        <f>IF(OR(E148="",LEFT(TableCosts[[#This Row],[Calc_N_Typ]],18)="Vynaložené náklady"),"",VLOOKUP(E148,Tab_Parts,2,0))</f>
        <v/>
      </c>
      <c r="BD148" s="24" t="str">
        <f t="shared" si="52"/>
        <v/>
      </c>
      <c r="BE148" s="24">
        <f t="shared" si="53"/>
        <v>0</v>
      </c>
      <c r="BF148" s="72">
        <f>TableCosts[[#This Row],[N_Amount]]*TableCosts[[#This Row],[N_Tariff]]*TableCosts[[#This Row],[N_ItemsCount]]</f>
        <v>0</v>
      </c>
      <c r="BG148" s="72">
        <f>IF(G148=1,IF(TableCosts[[#This Row],[N_Kateg]]="interné práce",TableCosts[[#This Row],[N_Amount]]*8*PAR_SGA_PERHOUR,0),0)</f>
        <v>0</v>
      </c>
      <c r="BH148" s="72">
        <f>SUM(TableCosts[[#This Row],[N_Direct]:[N_SGA]])</f>
        <v>0</v>
      </c>
      <c r="BI148" s="24">
        <f>IF(G148=1,IF(OR(AND(NOT(ISERROR(VLOOKUP(TableCosts[[#This Row],[Calc_N_Typ]],Cis_WorkPositions,1,0))),C148&lt;&gt;"",D148&lt;&gt;"",E148&lt;&gt;""),AND(ISERROR(VLOOKUP(TableCosts[[#This Row],[Calc_N_Typ]],Cis_WorkPositions,1,0)),C148="",D148="",E148&lt;&gt;""),LEFT(TableCosts[[#This Row],[Calc_N_Typ]],18)="Vynaložené náklady"),VLOOKUP(C148&amp;TableCosts[[#This Row],[Calc_N_Typ]],TRAN_STRITEMS_LABEL,VLOOKUP(D148,Tab_Hours,3,0),0),NA()),0)</f>
        <v>0</v>
      </c>
      <c r="BJ148" s="24">
        <f t="shared" si="54"/>
        <v>0</v>
      </c>
      <c r="BK148" s="24" t="str">
        <f t="shared" si="55"/>
        <v/>
      </c>
      <c r="BL148" s="24" t="str">
        <f t="shared" si="56"/>
        <v/>
      </c>
      <c r="BM148" s="24" t="str">
        <f>IF(G148=1,IF(TableCosts[[#This Row],[TransferFrom]]=TableCosts[[#This Row],[TranferTo]],0,1),"")</f>
        <v/>
      </c>
      <c r="BN148" s="24" t="str">
        <f t="shared" si="57"/>
        <v/>
      </c>
      <c r="BO148" s="24">
        <f t="shared" si="58"/>
        <v>0</v>
      </c>
      <c r="BP148" s="24">
        <f t="shared" si="59"/>
        <v>0</v>
      </c>
    </row>
    <row r="149" spans="2:68" s="24" customFormat="1" ht="12.75" x14ac:dyDescent="0.2">
      <c r="B149" s="97"/>
      <c r="C149" s="92"/>
      <c r="D149" s="92"/>
      <c r="E149" s="92"/>
      <c r="F149" s="31" t="str">
        <f>IF(G149=1,IF(ISERROR(TableCosts[[#This Row],[N_Tariff]]),Err_Message1,IF(TableCosts[[#This Row],[N_Tariff]]=0,Err_Message2,VLOOKUP(C149&amp;TableCosts[[#This Row],[Calc_N_Typ]],TRAN_STRITEMS_LABEL,5,FALSE))),"")</f>
        <v/>
      </c>
      <c r="G149" s="31">
        <f t="shared" si="48"/>
        <v>0</v>
      </c>
      <c r="H149" s="31" t="str">
        <f>IF(G149=1,IFERROR(VLOOKUP(F149,Tab_ErrMessage[],2,0),VLOOKUP(C149&amp;TableCosts[[#This Row],[Calc_N_Typ]],TRAN_STRITEMS_LABEL,4,FALSE)),"")</f>
        <v/>
      </c>
      <c r="I149" s="94"/>
      <c r="J149" s="94"/>
      <c r="K149" s="94"/>
      <c r="L149" s="84"/>
      <c r="M149" s="84"/>
      <c r="N149" s="84"/>
      <c r="O149" s="84"/>
      <c r="P149" s="84"/>
      <c r="Q149" s="84"/>
      <c r="R149" s="84"/>
      <c r="S149" s="84"/>
      <c r="T149" s="84"/>
      <c r="U149" s="84"/>
      <c r="V149" s="84"/>
      <c r="W149" s="84"/>
      <c r="X149" s="84"/>
      <c r="Y149" s="84"/>
      <c r="Z149" s="84"/>
      <c r="AA149" s="84"/>
      <c r="AB149" s="84"/>
      <c r="AC149" s="84"/>
      <c r="AD149" s="84"/>
      <c r="AE149" s="84"/>
      <c r="AF149" s="84"/>
      <c r="AG149" s="84"/>
      <c r="AH149" s="84"/>
      <c r="AI149" s="84"/>
      <c r="AJ149" s="84"/>
      <c r="AK149" s="84"/>
      <c r="AL149" s="84"/>
      <c r="AM149" s="84"/>
      <c r="AN149" s="84"/>
      <c r="AO149" s="84"/>
      <c r="AP149" s="84"/>
      <c r="AQ149" s="84"/>
      <c r="AR149" s="84"/>
      <c r="AS149" s="84"/>
      <c r="AT149" s="84"/>
      <c r="AU149" s="84"/>
      <c r="AV149" s="84"/>
      <c r="AW149" s="84"/>
      <c r="AX149" s="87">
        <f t="array" ref="AX149">IF(G149=1,SUM((ROW(M0)=ROW(AW149))*(M0+M1_+M2_+M3_+M4_+M5_+M6_+M7_+M8_+M9_+M10_+M11_+M12_+M13_+M14_+M15_+M16_+M17_+M18_+M19_+M20_+M21_+M22_+M23_+M24_+M25_+M26_+M27_+M28_+M29_+M30_+M31_+M32_+M33_+M34_+M35_+M36_+M37_)),0)</f>
        <v>0</v>
      </c>
      <c r="AZ149" s="24" t="str">
        <f t="shared" si="49"/>
        <v/>
      </c>
      <c r="BA149" s="24" t="str">
        <f t="shared" si="50"/>
        <v/>
      </c>
      <c r="BB149" s="24" t="str">
        <f t="shared" si="51"/>
        <v/>
      </c>
      <c r="BC149" s="24" t="str">
        <f>IF(OR(E149="",LEFT(TableCosts[[#This Row],[Calc_N_Typ]],18)="Vynaložené náklady"),"",VLOOKUP(E149,Tab_Parts,2,0))</f>
        <v/>
      </c>
      <c r="BD149" s="24" t="str">
        <f t="shared" si="52"/>
        <v/>
      </c>
      <c r="BE149" s="24">
        <f t="shared" si="53"/>
        <v>0</v>
      </c>
      <c r="BF149" s="72">
        <f>TableCosts[[#This Row],[N_Amount]]*TableCosts[[#This Row],[N_Tariff]]*TableCosts[[#This Row],[N_ItemsCount]]</f>
        <v>0</v>
      </c>
      <c r="BG149" s="72">
        <f>IF(G149=1,IF(TableCosts[[#This Row],[N_Kateg]]="interné práce",TableCosts[[#This Row],[N_Amount]]*8*PAR_SGA_PERHOUR,0),0)</f>
        <v>0</v>
      </c>
      <c r="BH149" s="72">
        <f>SUM(TableCosts[[#This Row],[N_Direct]:[N_SGA]])</f>
        <v>0</v>
      </c>
      <c r="BI149" s="24">
        <f>IF(G149=1,IF(OR(AND(NOT(ISERROR(VLOOKUP(TableCosts[[#This Row],[Calc_N_Typ]],Cis_WorkPositions,1,0))),C149&lt;&gt;"",D149&lt;&gt;"",E149&lt;&gt;""),AND(ISERROR(VLOOKUP(TableCosts[[#This Row],[Calc_N_Typ]],Cis_WorkPositions,1,0)),C149="",D149="",E149&lt;&gt;""),LEFT(TableCosts[[#This Row],[Calc_N_Typ]],18)="Vynaložené náklady"),VLOOKUP(C149&amp;TableCosts[[#This Row],[Calc_N_Typ]],TRAN_STRITEMS_LABEL,VLOOKUP(D149,Tab_Hours,3,0),0),NA()),0)</f>
        <v>0</v>
      </c>
      <c r="BJ149" s="24">
        <f t="shared" si="54"/>
        <v>0</v>
      </c>
      <c r="BK149" s="24" t="str">
        <f t="shared" si="55"/>
        <v/>
      </c>
      <c r="BL149" s="24" t="str">
        <f t="shared" si="56"/>
        <v/>
      </c>
      <c r="BM149" s="24" t="str">
        <f>IF(G149=1,IF(TableCosts[[#This Row],[TransferFrom]]=TableCosts[[#This Row],[TranferTo]],0,1),"")</f>
        <v/>
      </c>
      <c r="BN149" s="24" t="str">
        <f t="shared" si="57"/>
        <v/>
      </c>
      <c r="BO149" s="24">
        <f t="shared" si="58"/>
        <v>0</v>
      </c>
      <c r="BP149" s="24">
        <f t="shared" si="59"/>
        <v>0</v>
      </c>
    </row>
    <row r="150" spans="2:68" s="24" customFormat="1" ht="12.75" x14ac:dyDescent="0.2">
      <c r="B150" s="97"/>
      <c r="C150" s="92"/>
      <c r="D150" s="92"/>
      <c r="E150" s="92"/>
      <c r="F150" s="31" t="str">
        <f>IF(G150=1,IF(ISERROR(TableCosts[[#This Row],[N_Tariff]]),Err_Message1,IF(TableCosts[[#This Row],[N_Tariff]]=0,Err_Message2,VLOOKUP(C150&amp;TableCosts[[#This Row],[Calc_N_Typ]],TRAN_STRITEMS_LABEL,5,FALSE))),"")</f>
        <v/>
      </c>
      <c r="G150" s="31">
        <f t="shared" si="48"/>
        <v>0</v>
      </c>
      <c r="H150" s="31" t="str">
        <f>IF(G150=1,IFERROR(VLOOKUP(F150,Tab_ErrMessage[],2,0),VLOOKUP(C150&amp;TableCosts[[#This Row],[Calc_N_Typ]],TRAN_STRITEMS_LABEL,4,FALSE)),"")</f>
        <v/>
      </c>
      <c r="I150" s="94"/>
      <c r="J150" s="94"/>
      <c r="K150" s="9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  <c r="W150" s="84"/>
      <c r="X150" s="84"/>
      <c r="Y150" s="84"/>
      <c r="Z150" s="84"/>
      <c r="AA150" s="84"/>
      <c r="AB150" s="84"/>
      <c r="AC150" s="84"/>
      <c r="AD150" s="84"/>
      <c r="AE150" s="84"/>
      <c r="AF150" s="84"/>
      <c r="AG150" s="84"/>
      <c r="AH150" s="84"/>
      <c r="AI150" s="84"/>
      <c r="AJ150" s="84"/>
      <c r="AK150" s="84"/>
      <c r="AL150" s="84"/>
      <c r="AM150" s="84"/>
      <c r="AN150" s="84"/>
      <c r="AO150" s="84"/>
      <c r="AP150" s="84"/>
      <c r="AQ150" s="84"/>
      <c r="AR150" s="84"/>
      <c r="AS150" s="84"/>
      <c r="AT150" s="84"/>
      <c r="AU150" s="84"/>
      <c r="AV150" s="84"/>
      <c r="AW150" s="84"/>
      <c r="AX150" s="87">
        <f t="array" ref="AX150">IF(G150=1,SUM((ROW(M0)=ROW(AW150))*(M0+M1_+M2_+M3_+M4_+M5_+M6_+M7_+M8_+M9_+M10_+M11_+M12_+M13_+M14_+M15_+M16_+M17_+M18_+M19_+M20_+M21_+M22_+M23_+M24_+M25_+M26_+M27_+M28_+M29_+M30_+M31_+M32_+M33_+M34_+M35_+M36_+M37_)),0)</f>
        <v>0</v>
      </c>
      <c r="AZ150" s="24" t="str">
        <f t="shared" si="49"/>
        <v/>
      </c>
      <c r="BA150" s="24" t="str">
        <f t="shared" si="50"/>
        <v/>
      </c>
      <c r="BB150" s="24" t="str">
        <f t="shared" si="51"/>
        <v/>
      </c>
      <c r="BC150" s="24" t="str">
        <f>IF(OR(E150="",LEFT(TableCosts[[#This Row],[Calc_N_Typ]],18)="Vynaložené náklady"),"",VLOOKUP(E150,Tab_Parts,2,0))</f>
        <v/>
      </c>
      <c r="BD150" s="24" t="str">
        <f t="shared" si="52"/>
        <v/>
      </c>
      <c r="BE150" s="24">
        <f t="shared" si="53"/>
        <v>0</v>
      </c>
      <c r="BF150" s="72">
        <f>TableCosts[[#This Row],[N_Amount]]*TableCosts[[#This Row],[N_Tariff]]*TableCosts[[#This Row],[N_ItemsCount]]</f>
        <v>0</v>
      </c>
      <c r="BG150" s="72">
        <f>IF(G150=1,IF(TableCosts[[#This Row],[N_Kateg]]="interné práce",TableCosts[[#This Row],[N_Amount]]*8*PAR_SGA_PERHOUR,0),0)</f>
        <v>0</v>
      </c>
      <c r="BH150" s="72">
        <f>SUM(TableCosts[[#This Row],[N_Direct]:[N_SGA]])</f>
        <v>0</v>
      </c>
      <c r="BI150" s="24">
        <f>IF(G150=1,IF(OR(AND(NOT(ISERROR(VLOOKUP(TableCosts[[#This Row],[Calc_N_Typ]],Cis_WorkPositions,1,0))),C150&lt;&gt;"",D150&lt;&gt;"",E150&lt;&gt;""),AND(ISERROR(VLOOKUP(TableCosts[[#This Row],[Calc_N_Typ]],Cis_WorkPositions,1,0)),C150="",D150="",E150&lt;&gt;""),LEFT(TableCosts[[#This Row],[Calc_N_Typ]],18)="Vynaložené náklady"),VLOOKUP(C150&amp;TableCosts[[#This Row],[Calc_N_Typ]],TRAN_STRITEMS_LABEL,VLOOKUP(D150,Tab_Hours,3,0),0),NA()),0)</f>
        <v>0</v>
      </c>
      <c r="BJ150" s="24">
        <f t="shared" si="54"/>
        <v>0</v>
      </c>
      <c r="BK150" s="24" t="str">
        <f t="shared" si="55"/>
        <v/>
      </c>
      <c r="BL150" s="24" t="str">
        <f t="shared" si="56"/>
        <v/>
      </c>
      <c r="BM150" s="24" t="str">
        <f>IF(G150=1,IF(TableCosts[[#This Row],[TransferFrom]]=TableCosts[[#This Row],[TranferTo]],0,1),"")</f>
        <v/>
      </c>
      <c r="BN150" s="24" t="str">
        <f t="shared" si="57"/>
        <v/>
      </c>
      <c r="BO150" s="24">
        <f t="shared" si="58"/>
        <v>0</v>
      </c>
      <c r="BP150" s="24">
        <f t="shared" si="59"/>
        <v>0</v>
      </c>
    </row>
    <row r="151" spans="2:68" s="24" customFormat="1" ht="12.75" x14ac:dyDescent="0.2">
      <c r="B151" s="97"/>
      <c r="C151" s="92"/>
      <c r="D151" s="92"/>
      <c r="E151" s="92"/>
      <c r="F151" s="31" t="str">
        <f>IF(G151=1,IF(ISERROR(TableCosts[[#This Row],[N_Tariff]]),Err_Message1,IF(TableCosts[[#This Row],[N_Tariff]]=0,Err_Message2,VLOOKUP(C151&amp;TableCosts[[#This Row],[Calc_N_Typ]],TRAN_STRITEMS_LABEL,5,FALSE))),"")</f>
        <v/>
      </c>
      <c r="G151" s="31">
        <f t="shared" si="48"/>
        <v>0</v>
      </c>
      <c r="H151" s="31" t="str">
        <f>IF(G151=1,IFERROR(VLOOKUP(F151,Tab_ErrMessage[],2,0),VLOOKUP(C151&amp;TableCosts[[#This Row],[Calc_N_Typ]],TRAN_STRITEMS_LABEL,4,FALSE)),"")</f>
        <v/>
      </c>
      <c r="I151" s="94"/>
      <c r="J151" s="94"/>
      <c r="K151" s="94"/>
      <c r="L151" s="84"/>
      <c r="M151" s="84"/>
      <c r="N151" s="84"/>
      <c r="O151" s="84"/>
      <c r="P151" s="84"/>
      <c r="Q151" s="84"/>
      <c r="R151" s="84"/>
      <c r="S151" s="84"/>
      <c r="T151" s="84"/>
      <c r="U151" s="84"/>
      <c r="V151" s="84"/>
      <c r="W151" s="84"/>
      <c r="X151" s="84"/>
      <c r="Y151" s="84"/>
      <c r="Z151" s="84"/>
      <c r="AA151" s="84"/>
      <c r="AB151" s="84"/>
      <c r="AC151" s="84"/>
      <c r="AD151" s="84"/>
      <c r="AE151" s="84"/>
      <c r="AF151" s="84"/>
      <c r="AG151" s="84"/>
      <c r="AH151" s="84"/>
      <c r="AI151" s="84"/>
      <c r="AJ151" s="84"/>
      <c r="AK151" s="84"/>
      <c r="AL151" s="84"/>
      <c r="AM151" s="84"/>
      <c r="AN151" s="84"/>
      <c r="AO151" s="84"/>
      <c r="AP151" s="84"/>
      <c r="AQ151" s="84"/>
      <c r="AR151" s="84"/>
      <c r="AS151" s="84"/>
      <c r="AT151" s="84"/>
      <c r="AU151" s="84"/>
      <c r="AV151" s="84"/>
      <c r="AW151" s="84"/>
      <c r="AX151" s="87">
        <f t="array" ref="AX151">IF(G151=1,SUM((ROW(M0)=ROW(AW151))*(M0+M1_+M2_+M3_+M4_+M5_+M6_+M7_+M8_+M9_+M10_+M11_+M12_+M13_+M14_+M15_+M16_+M17_+M18_+M19_+M20_+M21_+M22_+M23_+M24_+M25_+M26_+M27_+M28_+M29_+M30_+M31_+M32_+M33_+M34_+M35_+M36_+M37_)),0)</f>
        <v>0</v>
      </c>
      <c r="AZ151" s="24" t="str">
        <f t="shared" si="49"/>
        <v/>
      </c>
      <c r="BA151" s="24" t="str">
        <f t="shared" si="50"/>
        <v/>
      </c>
      <c r="BB151" s="24" t="str">
        <f t="shared" si="51"/>
        <v/>
      </c>
      <c r="BC151" s="24" t="str">
        <f>IF(OR(E151="",LEFT(TableCosts[[#This Row],[Calc_N_Typ]],18)="Vynaložené náklady"),"",VLOOKUP(E151,Tab_Parts,2,0))</f>
        <v/>
      </c>
      <c r="BD151" s="24" t="str">
        <f t="shared" si="52"/>
        <v/>
      </c>
      <c r="BE151" s="24">
        <f t="shared" si="53"/>
        <v>0</v>
      </c>
      <c r="BF151" s="72">
        <f>TableCosts[[#This Row],[N_Amount]]*TableCosts[[#This Row],[N_Tariff]]*TableCosts[[#This Row],[N_ItemsCount]]</f>
        <v>0</v>
      </c>
      <c r="BG151" s="72">
        <f>IF(G151=1,IF(TableCosts[[#This Row],[N_Kateg]]="interné práce",TableCosts[[#This Row],[N_Amount]]*8*PAR_SGA_PERHOUR,0),0)</f>
        <v>0</v>
      </c>
      <c r="BH151" s="72">
        <f>SUM(TableCosts[[#This Row],[N_Direct]:[N_SGA]])</f>
        <v>0</v>
      </c>
      <c r="BI151" s="24">
        <f>IF(G151=1,IF(OR(AND(NOT(ISERROR(VLOOKUP(TableCosts[[#This Row],[Calc_N_Typ]],Cis_WorkPositions,1,0))),C151&lt;&gt;"",D151&lt;&gt;"",E151&lt;&gt;""),AND(ISERROR(VLOOKUP(TableCosts[[#This Row],[Calc_N_Typ]],Cis_WorkPositions,1,0)),C151="",D151="",E151&lt;&gt;""),LEFT(TableCosts[[#This Row],[Calc_N_Typ]],18)="Vynaložené náklady"),VLOOKUP(C151&amp;TableCosts[[#This Row],[Calc_N_Typ]],TRAN_STRITEMS_LABEL,VLOOKUP(D151,Tab_Hours,3,0),0),NA()),0)</f>
        <v>0</v>
      </c>
      <c r="BJ151" s="24">
        <f t="shared" si="54"/>
        <v>0</v>
      </c>
      <c r="BK151" s="24" t="str">
        <f t="shared" si="55"/>
        <v/>
      </c>
      <c r="BL151" s="24" t="str">
        <f t="shared" si="56"/>
        <v/>
      </c>
      <c r="BM151" s="24" t="str">
        <f>IF(G151=1,IF(TableCosts[[#This Row],[TransferFrom]]=TableCosts[[#This Row],[TranferTo]],0,1),"")</f>
        <v/>
      </c>
      <c r="BN151" s="24" t="str">
        <f t="shared" si="57"/>
        <v/>
      </c>
      <c r="BO151" s="24">
        <f t="shared" si="58"/>
        <v>0</v>
      </c>
      <c r="BP151" s="24">
        <f t="shared" si="59"/>
        <v>0</v>
      </c>
    </row>
    <row r="152" spans="2:68" s="24" customFormat="1" ht="12.75" x14ac:dyDescent="0.2">
      <c r="B152" s="97"/>
      <c r="C152" s="92"/>
      <c r="D152" s="92"/>
      <c r="E152" s="92"/>
      <c r="F152" s="31" t="str">
        <f>IF(G152=1,IF(ISERROR(TableCosts[[#This Row],[N_Tariff]]),Err_Message1,IF(TableCosts[[#This Row],[N_Tariff]]=0,Err_Message2,VLOOKUP(C152&amp;TableCosts[[#This Row],[Calc_N_Typ]],TRAN_STRITEMS_LABEL,5,FALSE))),"")</f>
        <v/>
      </c>
      <c r="G152" s="31">
        <f t="shared" si="48"/>
        <v>0</v>
      </c>
      <c r="H152" s="31" t="str">
        <f>IF(G152=1,IFERROR(VLOOKUP(F152,Tab_ErrMessage[],2,0),VLOOKUP(C152&amp;TableCosts[[#This Row],[Calc_N_Typ]],TRAN_STRITEMS_LABEL,4,FALSE)),"")</f>
        <v/>
      </c>
      <c r="I152" s="94"/>
      <c r="J152" s="94"/>
      <c r="K152" s="94"/>
      <c r="L152" s="84"/>
      <c r="M152" s="84"/>
      <c r="N152" s="84"/>
      <c r="O152" s="84"/>
      <c r="P152" s="84"/>
      <c r="Q152" s="84"/>
      <c r="R152" s="84"/>
      <c r="S152" s="84"/>
      <c r="T152" s="84"/>
      <c r="U152" s="84"/>
      <c r="V152" s="84"/>
      <c r="W152" s="84"/>
      <c r="X152" s="84"/>
      <c r="Y152" s="84"/>
      <c r="Z152" s="84"/>
      <c r="AA152" s="84"/>
      <c r="AB152" s="84"/>
      <c r="AC152" s="84"/>
      <c r="AD152" s="84"/>
      <c r="AE152" s="84"/>
      <c r="AF152" s="84"/>
      <c r="AG152" s="84"/>
      <c r="AH152" s="84"/>
      <c r="AI152" s="84"/>
      <c r="AJ152" s="84"/>
      <c r="AK152" s="84"/>
      <c r="AL152" s="84"/>
      <c r="AM152" s="84"/>
      <c r="AN152" s="84"/>
      <c r="AO152" s="84"/>
      <c r="AP152" s="84"/>
      <c r="AQ152" s="84"/>
      <c r="AR152" s="84"/>
      <c r="AS152" s="84"/>
      <c r="AT152" s="84"/>
      <c r="AU152" s="84"/>
      <c r="AV152" s="84"/>
      <c r="AW152" s="84"/>
      <c r="AX152" s="87">
        <f t="array" ref="AX152">IF(G152=1,SUM((ROW(M0)=ROW(AW152))*(M0+M1_+M2_+M3_+M4_+M5_+M6_+M7_+M8_+M9_+M10_+M11_+M12_+M13_+M14_+M15_+M16_+M17_+M18_+M19_+M20_+M21_+M22_+M23_+M24_+M25_+M26_+M27_+M28_+M29_+M30_+M31_+M32_+M33_+M34_+M35_+M36_+M37_)),0)</f>
        <v>0</v>
      </c>
      <c r="AZ152" s="24" t="str">
        <f t="shared" si="49"/>
        <v/>
      </c>
      <c r="BA152" s="24" t="str">
        <f t="shared" si="50"/>
        <v/>
      </c>
      <c r="BB152" s="24" t="str">
        <f t="shared" si="51"/>
        <v/>
      </c>
      <c r="BC152" s="24" t="str">
        <f>IF(OR(E152="",LEFT(TableCosts[[#This Row],[Calc_N_Typ]],18)="Vynaložené náklady"),"",VLOOKUP(E152,Tab_Parts,2,0))</f>
        <v/>
      </c>
      <c r="BD152" s="24" t="str">
        <f t="shared" si="52"/>
        <v/>
      </c>
      <c r="BE152" s="24">
        <f t="shared" si="53"/>
        <v>0</v>
      </c>
      <c r="BF152" s="72">
        <f>TableCosts[[#This Row],[N_Amount]]*TableCosts[[#This Row],[N_Tariff]]*TableCosts[[#This Row],[N_ItemsCount]]</f>
        <v>0</v>
      </c>
      <c r="BG152" s="72">
        <f>IF(G152=1,IF(TableCosts[[#This Row],[N_Kateg]]="interné práce",TableCosts[[#This Row],[N_Amount]]*8*PAR_SGA_PERHOUR,0),0)</f>
        <v>0</v>
      </c>
      <c r="BH152" s="72">
        <f>SUM(TableCosts[[#This Row],[N_Direct]:[N_SGA]])</f>
        <v>0</v>
      </c>
      <c r="BI152" s="24">
        <f>IF(G152=1,IF(OR(AND(NOT(ISERROR(VLOOKUP(TableCosts[[#This Row],[Calc_N_Typ]],Cis_WorkPositions,1,0))),C152&lt;&gt;"",D152&lt;&gt;"",E152&lt;&gt;""),AND(ISERROR(VLOOKUP(TableCosts[[#This Row],[Calc_N_Typ]],Cis_WorkPositions,1,0)),C152="",D152="",E152&lt;&gt;""),LEFT(TableCosts[[#This Row],[Calc_N_Typ]],18)="Vynaložené náklady"),VLOOKUP(C152&amp;TableCosts[[#This Row],[Calc_N_Typ]],TRAN_STRITEMS_LABEL,VLOOKUP(D152,Tab_Hours,3,0),0),NA()),0)</f>
        <v>0</v>
      </c>
      <c r="BJ152" s="24">
        <f t="shared" si="54"/>
        <v>0</v>
      </c>
      <c r="BK152" s="24" t="str">
        <f t="shared" si="55"/>
        <v/>
      </c>
      <c r="BL152" s="24" t="str">
        <f t="shared" si="56"/>
        <v/>
      </c>
      <c r="BM152" s="24" t="str">
        <f>IF(G152=1,IF(TableCosts[[#This Row],[TransferFrom]]=TableCosts[[#This Row],[TranferTo]],0,1),"")</f>
        <v/>
      </c>
      <c r="BN152" s="24" t="str">
        <f t="shared" si="57"/>
        <v/>
      </c>
      <c r="BO152" s="24">
        <f t="shared" si="58"/>
        <v>0</v>
      </c>
      <c r="BP152" s="24">
        <f t="shared" si="59"/>
        <v>0</v>
      </c>
    </row>
    <row r="153" spans="2:68" s="24" customFormat="1" ht="12.75" x14ac:dyDescent="0.2">
      <c r="B153" s="97"/>
      <c r="C153" s="92"/>
      <c r="D153" s="92"/>
      <c r="E153" s="92"/>
      <c r="F153" s="31" t="str">
        <f>IF(G153=1,IF(ISERROR(TableCosts[[#This Row],[N_Tariff]]),Err_Message1,IF(TableCosts[[#This Row],[N_Tariff]]=0,Err_Message2,VLOOKUP(C153&amp;TableCosts[[#This Row],[Calc_N_Typ]],TRAN_STRITEMS_LABEL,5,FALSE))),"")</f>
        <v/>
      </c>
      <c r="G153" s="31">
        <f t="shared" si="48"/>
        <v>0</v>
      </c>
      <c r="H153" s="31" t="str">
        <f>IF(G153=1,IFERROR(VLOOKUP(F153,Tab_ErrMessage[],2,0),VLOOKUP(C153&amp;TableCosts[[#This Row],[Calc_N_Typ]],TRAN_STRITEMS_LABEL,4,FALSE)),"")</f>
        <v/>
      </c>
      <c r="I153" s="94"/>
      <c r="J153" s="94"/>
      <c r="K153" s="94"/>
      <c r="L153" s="84"/>
      <c r="M153" s="84"/>
      <c r="N153" s="84"/>
      <c r="O153" s="84"/>
      <c r="P153" s="84"/>
      <c r="Q153" s="84"/>
      <c r="R153" s="84"/>
      <c r="S153" s="84"/>
      <c r="T153" s="84"/>
      <c r="U153" s="84"/>
      <c r="V153" s="84"/>
      <c r="W153" s="84"/>
      <c r="X153" s="84"/>
      <c r="Y153" s="84"/>
      <c r="Z153" s="84"/>
      <c r="AA153" s="84"/>
      <c r="AB153" s="84"/>
      <c r="AC153" s="84"/>
      <c r="AD153" s="84"/>
      <c r="AE153" s="84"/>
      <c r="AF153" s="84"/>
      <c r="AG153" s="84"/>
      <c r="AH153" s="84"/>
      <c r="AI153" s="84"/>
      <c r="AJ153" s="84"/>
      <c r="AK153" s="84"/>
      <c r="AL153" s="84"/>
      <c r="AM153" s="84"/>
      <c r="AN153" s="84"/>
      <c r="AO153" s="84"/>
      <c r="AP153" s="84"/>
      <c r="AQ153" s="84"/>
      <c r="AR153" s="84"/>
      <c r="AS153" s="84"/>
      <c r="AT153" s="84"/>
      <c r="AU153" s="84"/>
      <c r="AV153" s="84"/>
      <c r="AW153" s="84"/>
      <c r="AX153" s="87">
        <f t="array" ref="AX153">IF(G153=1,SUM((ROW(M0)=ROW(AW153))*(M0+M1_+M2_+M3_+M4_+M5_+M6_+M7_+M8_+M9_+M10_+M11_+M12_+M13_+M14_+M15_+M16_+M17_+M18_+M19_+M20_+M21_+M22_+M23_+M24_+M25_+M26_+M27_+M28_+M29_+M30_+M31_+M32_+M33_+M34_+M35_+M36_+M37_)),0)</f>
        <v>0</v>
      </c>
      <c r="AZ153" s="24" t="str">
        <f t="shared" si="49"/>
        <v/>
      </c>
      <c r="BA153" s="24" t="str">
        <f t="shared" si="50"/>
        <v/>
      </c>
      <c r="BB153" s="24" t="str">
        <f t="shared" si="51"/>
        <v/>
      </c>
      <c r="BC153" s="24" t="str">
        <f>IF(OR(E153="",LEFT(TableCosts[[#This Row],[Calc_N_Typ]],18)="Vynaložené náklady"),"",VLOOKUP(E153,Tab_Parts,2,0))</f>
        <v/>
      </c>
      <c r="BD153" s="24" t="str">
        <f t="shared" si="52"/>
        <v/>
      </c>
      <c r="BE153" s="24">
        <f t="shared" si="53"/>
        <v>0</v>
      </c>
      <c r="BF153" s="72">
        <f>TableCosts[[#This Row],[N_Amount]]*TableCosts[[#This Row],[N_Tariff]]*TableCosts[[#This Row],[N_ItemsCount]]</f>
        <v>0</v>
      </c>
      <c r="BG153" s="72">
        <f>IF(G153=1,IF(TableCosts[[#This Row],[N_Kateg]]="interné práce",TableCosts[[#This Row],[N_Amount]]*8*PAR_SGA_PERHOUR,0),0)</f>
        <v>0</v>
      </c>
      <c r="BH153" s="72">
        <f>SUM(TableCosts[[#This Row],[N_Direct]:[N_SGA]])</f>
        <v>0</v>
      </c>
      <c r="BI153" s="24">
        <f>IF(G153=1,IF(OR(AND(NOT(ISERROR(VLOOKUP(TableCosts[[#This Row],[Calc_N_Typ]],Cis_WorkPositions,1,0))),C153&lt;&gt;"",D153&lt;&gt;"",E153&lt;&gt;""),AND(ISERROR(VLOOKUP(TableCosts[[#This Row],[Calc_N_Typ]],Cis_WorkPositions,1,0)),C153="",D153="",E153&lt;&gt;""),LEFT(TableCosts[[#This Row],[Calc_N_Typ]],18)="Vynaložené náklady"),VLOOKUP(C153&amp;TableCosts[[#This Row],[Calc_N_Typ]],TRAN_STRITEMS_LABEL,VLOOKUP(D153,Tab_Hours,3,0),0),NA()),0)</f>
        <v>0</v>
      </c>
      <c r="BJ153" s="24">
        <f t="shared" si="54"/>
        <v>0</v>
      </c>
      <c r="BK153" s="24" t="str">
        <f t="shared" si="55"/>
        <v/>
      </c>
      <c r="BL153" s="24" t="str">
        <f t="shared" si="56"/>
        <v/>
      </c>
      <c r="BM153" s="24" t="str">
        <f>IF(G153=1,IF(TableCosts[[#This Row],[TransferFrom]]=TableCosts[[#This Row],[TranferTo]],0,1),"")</f>
        <v/>
      </c>
      <c r="BN153" s="24" t="str">
        <f t="shared" si="57"/>
        <v/>
      </c>
      <c r="BO153" s="24">
        <f t="shared" si="58"/>
        <v>0</v>
      </c>
      <c r="BP153" s="24">
        <f t="shared" si="59"/>
        <v>0</v>
      </c>
    </row>
    <row r="154" spans="2:68" s="24" customFormat="1" ht="12.75" x14ac:dyDescent="0.2">
      <c r="B154" s="97"/>
      <c r="C154" s="92"/>
      <c r="D154" s="92"/>
      <c r="E154" s="92"/>
      <c r="F154" s="31" t="str">
        <f>IF(G154=1,IF(ISERROR(TableCosts[[#This Row],[N_Tariff]]),Err_Message1,IF(TableCosts[[#This Row],[N_Tariff]]=0,Err_Message2,VLOOKUP(C154&amp;TableCosts[[#This Row],[Calc_N_Typ]],TRAN_STRITEMS_LABEL,5,FALSE))),"")</f>
        <v/>
      </c>
      <c r="G154" s="31">
        <f t="shared" si="48"/>
        <v>0</v>
      </c>
      <c r="H154" s="31" t="str">
        <f>IF(G154=1,IFERROR(VLOOKUP(F154,Tab_ErrMessage[],2,0),VLOOKUP(C154&amp;TableCosts[[#This Row],[Calc_N_Typ]],TRAN_STRITEMS_LABEL,4,FALSE)),"")</f>
        <v/>
      </c>
      <c r="I154" s="94"/>
      <c r="J154" s="94"/>
      <c r="K154" s="9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  <c r="W154" s="84"/>
      <c r="X154" s="84"/>
      <c r="Y154" s="84"/>
      <c r="Z154" s="84"/>
      <c r="AA154" s="84"/>
      <c r="AB154" s="84"/>
      <c r="AC154" s="84"/>
      <c r="AD154" s="84"/>
      <c r="AE154" s="84"/>
      <c r="AF154" s="84"/>
      <c r="AG154" s="84"/>
      <c r="AH154" s="84"/>
      <c r="AI154" s="84"/>
      <c r="AJ154" s="84"/>
      <c r="AK154" s="84"/>
      <c r="AL154" s="84"/>
      <c r="AM154" s="84"/>
      <c r="AN154" s="84"/>
      <c r="AO154" s="84"/>
      <c r="AP154" s="84"/>
      <c r="AQ154" s="84"/>
      <c r="AR154" s="84"/>
      <c r="AS154" s="84"/>
      <c r="AT154" s="84"/>
      <c r="AU154" s="84"/>
      <c r="AV154" s="84"/>
      <c r="AW154" s="84"/>
      <c r="AX154" s="87">
        <f t="array" ref="AX154">IF(G154=1,SUM((ROW(M0)=ROW(AW154))*(M0+M1_+M2_+M3_+M4_+M5_+M6_+M7_+M8_+M9_+M10_+M11_+M12_+M13_+M14_+M15_+M16_+M17_+M18_+M19_+M20_+M21_+M22_+M23_+M24_+M25_+M26_+M27_+M28_+M29_+M30_+M31_+M32_+M33_+M34_+M35_+M36_+M37_)),0)</f>
        <v>0</v>
      </c>
      <c r="AZ154" s="24" t="str">
        <f t="shared" si="49"/>
        <v/>
      </c>
      <c r="BA154" s="24" t="str">
        <f t="shared" si="50"/>
        <v/>
      </c>
      <c r="BB154" s="24" t="str">
        <f t="shared" si="51"/>
        <v/>
      </c>
      <c r="BC154" s="24" t="str">
        <f>IF(OR(E154="",LEFT(TableCosts[[#This Row],[Calc_N_Typ]],18)="Vynaložené náklady"),"",VLOOKUP(E154,Tab_Parts,2,0))</f>
        <v/>
      </c>
      <c r="BD154" s="24" t="str">
        <f t="shared" si="52"/>
        <v/>
      </c>
      <c r="BE154" s="24">
        <f t="shared" si="53"/>
        <v>0</v>
      </c>
      <c r="BF154" s="72">
        <f>TableCosts[[#This Row],[N_Amount]]*TableCosts[[#This Row],[N_Tariff]]*TableCosts[[#This Row],[N_ItemsCount]]</f>
        <v>0</v>
      </c>
      <c r="BG154" s="72">
        <f>IF(G154=1,IF(TableCosts[[#This Row],[N_Kateg]]="interné práce",TableCosts[[#This Row],[N_Amount]]*8*PAR_SGA_PERHOUR,0),0)</f>
        <v>0</v>
      </c>
      <c r="BH154" s="72">
        <f>SUM(TableCosts[[#This Row],[N_Direct]:[N_SGA]])</f>
        <v>0</v>
      </c>
      <c r="BI154" s="24">
        <f>IF(G154=1,IF(OR(AND(NOT(ISERROR(VLOOKUP(TableCosts[[#This Row],[Calc_N_Typ]],Cis_WorkPositions,1,0))),C154&lt;&gt;"",D154&lt;&gt;"",E154&lt;&gt;""),AND(ISERROR(VLOOKUP(TableCosts[[#This Row],[Calc_N_Typ]],Cis_WorkPositions,1,0)),C154="",D154="",E154&lt;&gt;""),LEFT(TableCosts[[#This Row],[Calc_N_Typ]],18)="Vynaložené náklady"),VLOOKUP(C154&amp;TableCosts[[#This Row],[Calc_N_Typ]],TRAN_STRITEMS_LABEL,VLOOKUP(D154,Tab_Hours,3,0),0),NA()),0)</f>
        <v>0</v>
      </c>
      <c r="BJ154" s="24">
        <f t="shared" si="54"/>
        <v>0</v>
      </c>
      <c r="BK154" s="24" t="str">
        <f t="shared" si="55"/>
        <v/>
      </c>
      <c r="BL154" s="24" t="str">
        <f t="shared" si="56"/>
        <v/>
      </c>
      <c r="BM154" s="24" t="str">
        <f>IF(G154=1,IF(TableCosts[[#This Row],[TransferFrom]]=TableCosts[[#This Row],[TranferTo]],0,1),"")</f>
        <v/>
      </c>
      <c r="BN154" s="24" t="str">
        <f t="shared" si="57"/>
        <v/>
      </c>
      <c r="BO154" s="24">
        <f t="shared" si="58"/>
        <v>0</v>
      </c>
      <c r="BP154" s="24">
        <f t="shared" si="59"/>
        <v>0</v>
      </c>
    </row>
    <row r="155" spans="2:68" s="24" customFormat="1" ht="12.75" x14ac:dyDescent="0.2">
      <c r="B155" s="97"/>
      <c r="C155" s="92"/>
      <c r="D155" s="92"/>
      <c r="E155" s="92"/>
      <c r="F155" s="31" t="str">
        <f>IF(G155=1,IF(ISERROR(TableCosts[[#This Row],[N_Tariff]]),Err_Message1,IF(TableCosts[[#This Row],[N_Tariff]]=0,Err_Message2,VLOOKUP(C155&amp;TableCosts[[#This Row],[Calc_N_Typ]],TRAN_STRITEMS_LABEL,5,FALSE))),"")</f>
        <v/>
      </c>
      <c r="G155" s="31">
        <f t="shared" si="48"/>
        <v>0</v>
      </c>
      <c r="H155" s="31" t="str">
        <f>IF(G155=1,IFERROR(VLOOKUP(F155,Tab_ErrMessage[],2,0),VLOOKUP(C155&amp;TableCosts[[#This Row],[Calc_N_Typ]],TRAN_STRITEMS_LABEL,4,FALSE)),"")</f>
        <v/>
      </c>
      <c r="I155" s="94"/>
      <c r="J155" s="94"/>
      <c r="K155" s="9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  <c r="W155" s="84"/>
      <c r="X155" s="84"/>
      <c r="Y155" s="84"/>
      <c r="Z155" s="84"/>
      <c r="AA155" s="84"/>
      <c r="AB155" s="84"/>
      <c r="AC155" s="84"/>
      <c r="AD155" s="84"/>
      <c r="AE155" s="84"/>
      <c r="AF155" s="84"/>
      <c r="AG155" s="84"/>
      <c r="AH155" s="84"/>
      <c r="AI155" s="84"/>
      <c r="AJ155" s="84"/>
      <c r="AK155" s="84"/>
      <c r="AL155" s="84"/>
      <c r="AM155" s="84"/>
      <c r="AN155" s="84"/>
      <c r="AO155" s="84"/>
      <c r="AP155" s="84"/>
      <c r="AQ155" s="84"/>
      <c r="AR155" s="84"/>
      <c r="AS155" s="84"/>
      <c r="AT155" s="84"/>
      <c r="AU155" s="84"/>
      <c r="AV155" s="84"/>
      <c r="AW155" s="84"/>
      <c r="AX155" s="87">
        <f t="array" ref="AX155">IF(G155=1,SUM((ROW(M0)=ROW(AW155))*(M0+M1_+M2_+M3_+M4_+M5_+M6_+M7_+M8_+M9_+M10_+M11_+M12_+M13_+M14_+M15_+M16_+M17_+M18_+M19_+M20_+M21_+M22_+M23_+M24_+M25_+M26_+M27_+M28_+M29_+M30_+M31_+M32_+M33_+M34_+M35_+M36_+M37_)),0)</f>
        <v>0</v>
      </c>
      <c r="AZ155" s="24" t="str">
        <f t="shared" si="49"/>
        <v/>
      </c>
      <c r="BA155" s="24" t="str">
        <f t="shared" si="50"/>
        <v/>
      </c>
      <c r="BB155" s="24" t="str">
        <f t="shared" si="51"/>
        <v/>
      </c>
      <c r="BC155" s="24" t="str">
        <f>IF(OR(E155="",LEFT(TableCosts[[#This Row],[Calc_N_Typ]],18)="Vynaložené náklady"),"",VLOOKUP(E155,Tab_Parts,2,0))</f>
        <v/>
      </c>
      <c r="BD155" s="24" t="str">
        <f t="shared" si="52"/>
        <v/>
      </c>
      <c r="BE155" s="24">
        <f t="shared" si="53"/>
        <v>0</v>
      </c>
      <c r="BF155" s="72">
        <f>TableCosts[[#This Row],[N_Amount]]*TableCosts[[#This Row],[N_Tariff]]*TableCosts[[#This Row],[N_ItemsCount]]</f>
        <v>0</v>
      </c>
      <c r="BG155" s="72">
        <f>IF(G155=1,IF(TableCosts[[#This Row],[N_Kateg]]="interné práce",TableCosts[[#This Row],[N_Amount]]*8*PAR_SGA_PERHOUR,0),0)</f>
        <v>0</v>
      </c>
      <c r="BH155" s="72">
        <f>SUM(TableCosts[[#This Row],[N_Direct]:[N_SGA]])</f>
        <v>0</v>
      </c>
      <c r="BI155" s="24">
        <f>IF(G155=1,IF(OR(AND(NOT(ISERROR(VLOOKUP(TableCosts[[#This Row],[Calc_N_Typ]],Cis_WorkPositions,1,0))),C155&lt;&gt;"",D155&lt;&gt;"",E155&lt;&gt;""),AND(ISERROR(VLOOKUP(TableCosts[[#This Row],[Calc_N_Typ]],Cis_WorkPositions,1,0)),C155="",D155="",E155&lt;&gt;""),LEFT(TableCosts[[#This Row],[Calc_N_Typ]],18)="Vynaložené náklady"),VLOOKUP(C155&amp;TableCosts[[#This Row],[Calc_N_Typ]],TRAN_STRITEMS_LABEL,VLOOKUP(D155,Tab_Hours,3,0),0),NA()),0)</f>
        <v>0</v>
      </c>
      <c r="BJ155" s="24">
        <f t="shared" si="54"/>
        <v>0</v>
      </c>
      <c r="BK155" s="24" t="str">
        <f t="shared" si="55"/>
        <v/>
      </c>
      <c r="BL155" s="24" t="str">
        <f t="shared" si="56"/>
        <v/>
      </c>
      <c r="BM155" s="24" t="str">
        <f>IF(G155=1,IF(TableCosts[[#This Row],[TransferFrom]]=TableCosts[[#This Row],[TranferTo]],0,1),"")</f>
        <v/>
      </c>
      <c r="BN155" s="24" t="str">
        <f t="shared" si="57"/>
        <v/>
      </c>
      <c r="BO155" s="24">
        <f t="shared" si="58"/>
        <v>0</v>
      </c>
      <c r="BP155" s="24">
        <f t="shared" si="59"/>
        <v>0</v>
      </c>
    </row>
    <row r="156" spans="2:68" s="24" customFormat="1" ht="12.75" x14ac:dyDescent="0.2">
      <c r="B156" s="97"/>
      <c r="C156" s="92"/>
      <c r="D156" s="92"/>
      <c r="E156" s="92"/>
      <c r="F156" s="31" t="str">
        <f>IF(G156=1,IF(ISERROR(TableCosts[[#This Row],[N_Tariff]]),Err_Message1,IF(TableCosts[[#This Row],[N_Tariff]]=0,Err_Message2,VLOOKUP(C156&amp;TableCosts[[#This Row],[Calc_N_Typ]],TRAN_STRITEMS_LABEL,5,FALSE))),"")</f>
        <v/>
      </c>
      <c r="G156" s="31">
        <f t="shared" si="48"/>
        <v>0</v>
      </c>
      <c r="H156" s="31" t="str">
        <f>IF(G156=1,IFERROR(VLOOKUP(F156,Tab_ErrMessage[],2,0),VLOOKUP(C156&amp;TableCosts[[#This Row],[Calc_N_Typ]],TRAN_STRITEMS_LABEL,4,FALSE)),"")</f>
        <v/>
      </c>
      <c r="I156" s="94"/>
      <c r="J156" s="94"/>
      <c r="K156" s="94"/>
      <c r="L156" s="84"/>
      <c r="M156" s="84"/>
      <c r="N156" s="84"/>
      <c r="O156" s="84"/>
      <c r="P156" s="84"/>
      <c r="Q156" s="84"/>
      <c r="R156" s="84"/>
      <c r="S156" s="84"/>
      <c r="T156" s="84"/>
      <c r="U156" s="84"/>
      <c r="V156" s="84"/>
      <c r="W156" s="84"/>
      <c r="X156" s="84"/>
      <c r="Y156" s="84"/>
      <c r="Z156" s="84"/>
      <c r="AA156" s="84"/>
      <c r="AB156" s="84"/>
      <c r="AC156" s="84"/>
      <c r="AD156" s="84"/>
      <c r="AE156" s="84"/>
      <c r="AF156" s="84"/>
      <c r="AG156" s="84"/>
      <c r="AH156" s="84"/>
      <c r="AI156" s="84"/>
      <c r="AJ156" s="84"/>
      <c r="AK156" s="84"/>
      <c r="AL156" s="84"/>
      <c r="AM156" s="84"/>
      <c r="AN156" s="84"/>
      <c r="AO156" s="84"/>
      <c r="AP156" s="84"/>
      <c r="AQ156" s="84"/>
      <c r="AR156" s="84"/>
      <c r="AS156" s="84"/>
      <c r="AT156" s="84"/>
      <c r="AU156" s="84"/>
      <c r="AV156" s="84"/>
      <c r="AW156" s="84"/>
      <c r="AX156" s="87">
        <f t="array" ref="AX156">IF(G156=1,SUM((ROW(M0)=ROW(AW156))*(M0+M1_+M2_+M3_+M4_+M5_+M6_+M7_+M8_+M9_+M10_+M11_+M12_+M13_+M14_+M15_+M16_+M17_+M18_+M19_+M20_+M21_+M22_+M23_+M24_+M25_+M26_+M27_+M28_+M29_+M30_+M31_+M32_+M33_+M34_+M35_+M36_+M37_)),0)</f>
        <v>0</v>
      </c>
      <c r="AZ156" s="24" t="str">
        <f t="shared" si="49"/>
        <v/>
      </c>
      <c r="BA156" s="24" t="str">
        <f t="shared" si="50"/>
        <v/>
      </c>
      <c r="BB156" s="24" t="str">
        <f t="shared" si="51"/>
        <v/>
      </c>
      <c r="BC156" s="24" t="str">
        <f>IF(OR(E156="",LEFT(TableCosts[[#This Row],[Calc_N_Typ]],18)="Vynaložené náklady"),"",VLOOKUP(E156,Tab_Parts,2,0))</f>
        <v/>
      </c>
      <c r="BD156" s="24" t="str">
        <f t="shared" si="52"/>
        <v/>
      </c>
      <c r="BE156" s="24">
        <f t="shared" si="53"/>
        <v>0</v>
      </c>
      <c r="BF156" s="72">
        <f>TableCosts[[#This Row],[N_Amount]]*TableCosts[[#This Row],[N_Tariff]]*TableCosts[[#This Row],[N_ItemsCount]]</f>
        <v>0</v>
      </c>
      <c r="BG156" s="72">
        <f>IF(G156=1,IF(TableCosts[[#This Row],[N_Kateg]]="interné práce",TableCosts[[#This Row],[N_Amount]]*8*PAR_SGA_PERHOUR,0),0)</f>
        <v>0</v>
      </c>
      <c r="BH156" s="72">
        <f>SUM(TableCosts[[#This Row],[N_Direct]:[N_SGA]])</f>
        <v>0</v>
      </c>
      <c r="BI156" s="24">
        <f>IF(G156=1,IF(OR(AND(NOT(ISERROR(VLOOKUP(TableCosts[[#This Row],[Calc_N_Typ]],Cis_WorkPositions,1,0))),C156&lt;&gt;"",D156&lt;&gt;"",E156&lt;&gt;""),AND(ISERROR(VLOOKUP(TableCosts[[#This Row],[Calc_N_Typ]],Cis_WorkPositions,1,0)),C156="",D156="",E156&lt;&gt;""),LEFT(TableCosts[[#This Row],[Calc_N_Typ]],18)="Vynaložené náklady"),VLOOKUP(C156&amp;TableCosts[[#This Row],[Calc_N_Typ]],TRAN_STRITEMS_LABEL,VLOOKUP(D156,Tab_Hours,3,0),0),NA()),0)</f>
        <v>0</v>
      </c>
      <c r="BJ156" s="24">
        <f t="shared" si="54"/>
        <v>0</v>
      </c>
      <c r="BK156" s="24" t="str">
        <f t="shared" si="55"/>
        <v/>
      </c>
      <c r="BL156" s="24" t="str">
        <f t="shared" si="56"/>
        <v/>
      </c>
      <c r="BM156" s="24" t="str">
        <f>IF(G156=1,IF(TableCosts[[#This Row],[TransferFrom]]=TableCosts[[#This Row],[TranferTo]],0,1),"")</f>
        <v/>
      </c>
      <c r="BN156" s="24" t="str">
        <f t="shared" si="57"/>
        <v/>
      </c>
      <c r="BO156" s="24">
        <f t="shared" si="58"/>
        <v>0</v>
      </c>
      <c r="BP156" s="24">
        <f t="shared" si="59"/>
        <v>0</v>
      </c>
    </row>
    <row r="157" spans="2:68" s="24" customFormat="1" ht="12.75" x14ac:dyDescent="0.2">
      <c r="B157" s="97"/>
      <c r="C157" s="92"/>
      <c r="D157" s="92"/>
      <c r="E157" s="92"/>
      <c r="F157" s="31" t="str">
        <f>IF(G157=1,IF(ISERROR(TableCosts[[#This Row],[N_Tariff]]),Err_Message1,IF(TableCosts[[#This Row],[N_Tariff]]=0,Err_Message2,VLOOKUP(C157&amp;TableCosts[[#This Row],[Calc_N_Typ]],TRAN_STRITEMS_LABEL,5,FALSE))),"")</f>
        <v/>
      </c>
      <c r="G157" s="31">
        <f t="shared" si="48"/>
        <v>0</v>
      </c>
      <c r="H157" s="31" t="str">
        <f>IF(G157=1,IFERROR(VLOOKUP(F157,Tab_ErrMessage[],2,0),VLOOKUP(C157&amp;TableCosts[[#This Row],[Calc_N_Typ]],TRAN_STRITEMS_LABEL,4,FALSE)),"")</f>
        <v/>
      </c>
      <c r="I157" s="94"/>
      <c r="J157" s="94"/>
      <c r="K157" s="94"/>
      <c r="L157" s="84"/>
      <c r="M157" s="84"/>
      <c r="N157" s="84"/>
      <c r="O157" s="84"/>
      <c r="P157" s="84"/>
      <c r="Q157" s="84"/>
      <c r="R157" s="84"/>
      <c r="S157" s="84"/>
      <c r="T157" s="84"/>
      <c r="U157" s="84"/>
      <c r="V157" s="84"/>
      <c r="W157" s="84"/>
      <c r="X157" s="84"/>
      <c r="Y157" s="84"/>
      <c r="Z157" s="84"/>
      <c r="AA157" s="84"/>
      <c r="AB157" s="84"/>
      <c r="AC157" s="84"/>
      <c r="AD157" s="84"/>
      <c r="AE157" s="84"/>
      <c r="AF157" s="84"/>
      <c r="AG157" s="84"/>
      <c r="AH157" s="84"/>
      <c r="AI157" s="84"/>
      <c r="AJ157" s="84"/>
      <c r="AK157" s="84"/>
      <c r="AL157" s="84"/>
      <c r="AM157" s="84"/>
      <c r="AN157" s="84"/>
      <c r="AO157" s="84"/>
      <c r="AP157" s="84"/>
      <c r="AQ157" s="84"/>
      <c r="AR157" s="84"/>
      <c r="AS157" s="84"/>
      <c r="AT157" s="84"/>
      <c r="AU157" s="84"/>
      <c r="AV157" s="84"/>
      <c r="AW157" s="84"/>
      <c r="AX157" s="87">
        <f t="array" ref="AX157">IF(G157=1,SUM((ROW(M0)=ROW(AW157))*(M0+M1_+M2_+M3_+M4_+M5_+M6_+M7_+M8_+M9_+M10_+M11_+M12_+M13_+M14_+M15_+M16_+M17_+M18_+M19_+M20_+M21_+M22_+M23_+M24_+M25_+M26_+M27_+M28_+M29_+M30_+M31_+M32_+M33_+M34_+M35_+M36_+M37_)),0)</f>
        <v>0</v>
      </c>
      <c r="AZ157" s="24" t="str">
        <f t="shared" si="49"/>
        <v/>
      </c>
      <c r="BA157" s="24" t="str">
        <f t="shared" si="50"/>
        <v/>
      </c>
      <c r="BB157" s="24" t="str">
        <f t="shared" si="51"/>
        <v/>
      </c>
      <c r="BC157" s="24" t="str">
        <f>IF(OR(E157="",LEFT(TableCosts[[#This Row],[Calc_N_Typ]],18)="Vynaložené náklady"),"",VLOOKUP(E157,Tab_Parts,2,0))</f>
        <v/>
      </c>
      <c r="BD157" s="24" t="str">
        <f t="shared" si="52"/>
        <v/>
      </c>
      <c r="BE157" s="24">
        <f t="shared" si="53"/>
        <v>0</v>
      </c>
      <c r="BF157" s="72">
        <f>TableCosts[[#This Row],[N_Amount]]*TableCosts[[#This Row],[N_Tariff]]*TableCosts[[#This Row],[N_ItemsCount]]</f>
        <v>0</v>
      </c>
      <c r="BG157" s="72">
        <f>IF(G157=1,IF(TableCosts[[#This Row],[N_Kateg]]="interné práce",TableCosts[[#This Row],[N_Amount]]*8*PAR_SGA_PERHOUR,0),0)</f>
        <v>0</v>
      </c>
      <c r="BH157" s="72">
        <f>SUM(TableCosts[[#This Row],[N_Direct]:[N_SGA]])</f>
        <v>0</v>
      </c>
      <c r="BI157" s="24">
        <f>IF(G157=1,IF(OR(AND(NOT(ISERROR(VLOOKUP(TableCosts[[#This Row],[Calc_N_Typ]],Cis_WorkPositions,1,0))),C157&lt;&gt;"",D157&lt;&gt;"",E157&lt;&gt;""),AND(ISERROR(VLOOKUP(TableCosts[[#This Row],[Calc_N_Typ]],Cis_WorkPositions,1,0)),C157="",D157="",E157&lt;&gt;""),LEFT(TableCosts[[#This Row],[Calc_N_Typ]],18)="Vynaložené náklady"),VLOOKUP(C157&amp;TableCosts[[#This Row],[Calc_N_Typ]],TRAN_STRITEMS_LABEL,VLOOKUP(D157,Tab_Hours,3,0),0),NA()),0)</f>
        <v>0</v>
      </c>
      <c r="BJ157" s="24">
        <f t="shared" si="54"/>
        <v>0</v>
      </c>
      <c r="BK157" s="24" t="str">
        <f t="shared" si="55"/>
        <v/>
      </c>
      <c r="BL157" s="24" t="str">
        <f t="shared" si="56"/>
        <v/>
      </c>
      <c r="BM157" s="24" t="str">
        <f>IF(G157=1,IF(TableCosts[[#This Row],[TransferFrom]]=TableCosts[[#This Row],[TranferTo]],0,1),"")</f>
        <v/>
      </c>
      <c r="BN157" s="24" t="str">
        <f t="shared" si="57"/>
        <v/>
      </c>
      <c r="BO157" s="24">
        <f t="shared" si="58"/>
        <v>0</v>
      </c>
      <c r="BP157" s="24">
        <f t="shared" si="59"/>
        <v>0</v>
      </c>
    </row>
    <row r="158" spans="2:68" s="24" customFormat="1" ht="12.75" x14ac:dyDescent="0.2">
      <c r="B158" s="97"/>
      <c r="C158" s="92"/>
      <c r="D158" s="92"/>
      <c r="E158" s="92"/>
      <c r="F158" s="31" t="str">
        <f>IF(G158=1,IF(ISERROR(TableCosts[[#This Row],[N_Tariff]]),Err_Message1,IF(TableCosts[[#This Row],[N_Tariff]]=0,Err_Message2,VLOOKUP(C158&amp;TableCosts[[#This Row],[Calc_N_Typ]],TRAN_STRITEMS_LABEL,5,FALSE))),"")</f>
        <v/>
      </c>
      <c r="G158" s="31">
        <f t="shared" si="48"/>
        <v>0</v>
      </c>
      <c r="H158" s="31" t="str">
        <f>IF(G158=1,IFERROR(VLOOKUP(F158,Tab_ErrMessage[],2,0),VLOOKUP(C158&amp;TableCosts[[#This Row],[Calc_N_Typ]],TRAN_STRITEMS_LABEL,4,FALSE)),"")</f>
        <v/>
      </c>
      <c r="I158" s="94"/>
      <c r="J158" s="94"/>
      <c r="K158" s="94"/>
      <c r="L158" s="84"/>
      <c r="M158" s="84"/>
      <c r="N158" s="84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  <c r="AH158" s="84"/>
      <c r="AI158" s="84"/>
      <c r="AJ158" s="84"/>
      <c r="AK158" s="84"/>
      <c r="AL158" s="84"/>
      <c r="AM158" s="84"/>
      <c r="AN158" s="84"/>
      <c r="AO158" s="84"/>
      <c r="AP158" s="84"/>
      <c r="AQ158" s="84"/>
      <c r="AR158" s="84"/>
      <c r="AS158" s="84"/>
      <c r="AT158" s="84"/>
      <c r="AU158" s="84"/>
      <c r="AV158" s="84"/>
      <c r="AW158" s="84"/>
      <c r="AX158" s="87">
        <f t="array" ref="AX158">IF(G158=1,SUM((ROW(M0)=ROW(AW158))*(M0+M1_+M2_+M3_+M4_+M5_+M6_+M7_+M8_+M9_+M10_+M11_+M12_+M13_+M14_+M15_+M16_+M17_+M18_+M19_+M20_+M21_+M22_+M23_+M24_+M25_+M26_+M27_+M28_+M29_+M30_+M31_+M32_+M33_+M34_+M35_+M36_+M37_)),0)</f>
        <v>0</v>
      </c>
      <c r="AZ158" s="24" t="str">
        <f t="shared" si="49"/>
        <v/>
      </c>
      <c r="BA158" s="24" t="str">
        <f t="shared" si="50"/>
        <v/>
      </c>
      <c r="BB158" s="24" t="str">
        <f t="shared" si="51"/>
        <v/>
      </c>
      <c r="BC158" s="24" t="str">
        <f>IF(OR(E158="",LEFT(TableCosts[[#This Row],[Calc_N_Typ]],18)="Vynaložené náklady"),"",VLOOKUP(E158,Tab_Parts,2,0))</f>
        <v/>
      </c>
      <c r="BD158" s="24" t="str">
        <f t="shared" si="52"/>
        <v/>
      </c>
      <c r="BE158" s="24">
        <f t="shared" si="53"/>
        <v>0</v>
      </c>
      <c r="BF158" s="72">
        <f>TableCosts[[#This Row],[N_Amount]]*TableCosts[[#This Row],[N_Tariff]]*TableCosts[[#This Row],[N_ItemsCount]]</f>
        <v>0</v>
      </c>
      <c r="BG158" s="72">
        <f>IF(G158=1,IF(TableCosts[[#This Row],[N_Kateg]]="interné práce",TableCosts[[#This Row],[N_Amount]]*8*PAR_SGA_PERHOUR,0),0)</f>
        <v>0</v>
      </c>
      <c r="BH158" s="72">
        <f>SUM(TableCosts[[#This Row],[N_Direct]:[N_SGA]])</f>
        <v>0</v>
      </c>
      <c r="BI158" s="24">
        <f>IF(G158=1,IF(OR(AND(NOT(ISERROR(VLOOKUP(TableCosts[[#This Row],[Calc_N_Typ]],Cis_WorkPositions,1,0))),C158&lt;&gt;"",D158&lt;&gt;"",E158&lt;&gt;""),AND(ISERROR(VLOOKUP(TableCosts[[#This Row],[Calc_N_Typ]],Cis_WorkPositions,1,0)),C158="",D158="",E158&lt;&gt;""),LEFT(TableCosts[[#This Row],[Calc_N_Typ]],18)="Vynaložené náklady"),VLOOKUP(C158&amp;TableCosts[[#This Row],[Calc_N_Typ]],TRAN_STRITEMS_LABEL,VLOOKUP(D158,Tab_Hours,3,0),0),NA()),0)</f>
        <v>0</v>
      </c>
      <c r="BJ158" s="24">
        <f t="shared" si="54"/>
        <v>0</v>
      </c>
      <c r="BK158" s="24" t="str">
        <f t="shared" si="55"/>
        <v/>
      </c>
      <c r="BL158" s="24" t="str">
        <f t="shared" si="56"/>
        <v/>
      </c>
      <c r="BM158" s="24" t="str">
        <f>IF(G158=1,IF(TableCosts[[#This Row],[TransferFrom]]=TableCosts[[#This Row],[TranferTo]],0,1),"")</f>
        <v/>
      </c>
      <c r="BN158" s="24" t="str">
        <f t="shared" si="57"/>
        <v/>
      </c>
      <c r="BO158" s="24">
        <f t="shared" si="58"/>
        <v>0</v>
      </c>
      <c r="BP158" s="24">
        <f t="shared" si="59"/>
        <v>0</v>
      </c>
    </row>
    <row r="159" spans="2:68" s="24" customFormat="1" ht="12.75" x14ac:dyDescent="0.2">
      <c r="B159" s="97"/>
      <c r="C159" s="92"/>
      <c r="D159" s="92"/>
      <c r="E159" s="92"/>
      <c r="F159" s="31" t="str">
        <f>IF(G159=1,IF(ISERROR(TableCosts[[#This Row],[N_Tariff]]),Err_Message1,IF(TableCosts[[#This Row],[N_Tariff]]=0,Err_Message2,VLOOKUP(C159&amp;TableCosts[[#This Row],[Calc_N_Typ]],TRAN_STRITEMS_LABEL,5,FALSE))),"")</f>
        <v/>
      </c>
      <c r="G159" s="31">
        <f t="shared" si="48"/>
        <v>0</v>
      </c>
      <c r="H159" s="31" t="str">
        <f>IF(G159=1,IFERROR(VLOOKUP(F159,Tab_ErrMessage[],2,0),VLOOKUP(C159&amp;TableCosts[[#This Row],[Calc_N_Typ]],TRAN_STRITEMS_LABEL,4,FALSE)),"")</f>
        <v/>
      </c>
      <c r="I159" s="94"/>
      <c r="J159" s="94"/>
      <c r="K159" s="94"/>
      <c r="L159" s="84"/>
      <c r="M159" s="84"/>
      <c r="N159" s="84"/>
      <c r="O159" s="84"/>
      <c r="P159" s="84"/>
      <c r="Q159" s="84"/>
      <c r="R159" s="84"/>
      <c r="S159" s="84"/>
      <c r="T159" s="84"/>
      <c r="U159" s="84"/>
      <c r="V159" s="84"/>
      <c r="W159" s="84"/>
      <c r="X159" s="84"/>
      <c r="Y159" s="84"/>
      <c r="Z159" s="84"/>
      <c r="AA159" s="84"/>
      <c r="AB159" s="84"/>
      <c r="AC159" s="84"/>
      <c r="AD159" s="84"/>
      <c r="AE159" s="84"/>
      <c r="AF159" s="84"/>
      <c r="AG159" s="84"/>
      <c r="AH159" s="84"/>
      <c r="AI159" s="84"/>
      <c r="AJ159" s="84"/>
      <c r="AK159" s="84"/>
      <c r="AL159" s="84"/>
      <c r="AM159" s="84"/>
      <c r="AN159" s="84"/>
      <c r="AO159" s="84"/>
      <c r="AP159" s="84"/>
      <c r="AQ159" s="84"/>
      <c r="AR159" s="84"/>
      <c r="AS159" s="84"/>
      <c r="AT159" s="84"/>
      <c r="AU159" s="84"/>
      <c r="AV159" s="84"/>
      <c r="AW159" s="84"/>
      <c r="AX159" s="87">
        <f t="array" ref="AX159">IF(G159=1,SUM((ROW(M0)=ROW(AW159))*(M0+M1_+M2_+M3_+M4_+M5_+M6_+M7_+M8_+M9_+M10_+M11_+M12_+M13_+M14_+M15_+M16_+M17_+M18_+M19_+M20_+M21_+M22_+M23_+M24_+M25_+M26_+M27_+M28_+M29_+M30_+M31_+M32_+M33_+M34_+M35_+M36_+M37_)),0)</f>
        <v>0</v>
      </c>
      <c r="AZ159" s="24" t="str">
        <f t="shared" si="49"/>
        <v/>
      </c>
      <c r="BA159" s="24" t="str">
        <f t="shared" si="50"/>
        <v/>
      </c>
      <c r="BB159" s="24" t="str">
        <f t="shared" si="51"/>
        <v/>
      </c>
      <c r="BC159" s="24" t="str">
        <f>IF(OR(E159="",LEFT(TableCosts[[#This Row],[Calc_N_Typ]],18)="Vynaložené náklady"),"",VLOOKUP(E159,Tab_Parts,2,0))</f>
        <v/>
      </c>
      <c r="BD159" s="24" t="str">
        <f t="shared" si="52"/>
        <v/>
      </c>
      <c r="BE159" s="24">
        <f t="shared" si="53"/>
        <v>0</v>
      </c>
      <c r="BF159" s="72">
        <f>TableCosts[[#This Row],[N_Amount]]*TableCosts[[#This Row],[N_Tariff]]*TableCosts[[#This Row],[N_ItemsCount]]</f>
        <v>0</v>
      </c>
      <c r="BG159" s="72">
        <f>IF(G159=1,IF(TableCosts[[#This Row],[N_Kateg]]="interné práce",TableCosts[[#This Row],[N_Amount]]*8*PAR_SGA_PERHOUR,0),0)</f>
        <v>0</v>
      </c>
      <c r="BH159" s="72">
        <f>SUM(TableCosts[[#This Row],[N_Direct]:[N_SGA]])</f>
        <v>0</v>
      </c>
      <c r="BI159" s="24">
        <f>IF(G159=1,IF(OR(AND(NOT(ISERROR(VLOOKUP(TableCosts[[#This Row],[Calc_N_Typ]],Cis_WorkPositions,1,0))),C159&lt;&gt;"",D159&lt;&gt;"",E159&lt;&gt;""),AND(ISERROR(VLOOKUP(TableCosts[[#This Row],[Calc_N_Typ]],Cis_WorkPositions,1,0)),C159="",D159="",E159&lt;&gt;""),LEFT(TableCosts[[#This Row],[Calc_N_Typ]],18)="Vynaložené náklady"),VLOOKUP(C159&amp;TableCosts[[#This Row],[Calc_N_Typ]],TRAN_STRITEMS_LABEL,VLOOKUP(D159,Tab_Hours,3,0),0),NA()),0)</f>
        <v>0</v>
      </c>
      <c r="BJ159" s="24">
        <f t="shared" si="54"/>
        <v>0</v>
      </c>
      <c r="BK159" s="24" t="str">
        <f t="shared" si="55"/>
        <v/>
      </c>
      <c r="BL159" s="24" t="str">
        <f t="shared" si="56"/>
        <v/>
      </c>
      <c r="BM159" s="24" t="str">
        <f>IF(G159=1,IF(TableCosts[[#This Row],[TransferFrom]]=TableCosts[[#This Row],[TranferTo]],0,1),"")</f>
        <v/>
      </c>
      <c r="BN159" s="24" t="str">
        <f t="shared" si="57"/>
        <v/>
      </c>
      <c r="BO159" s="24">
        <f t="shared" si="58"/>
        <v>0</v>
      </c>
      <c r="BP159" s="24">
        <f t="shared" si="59"/>
        <v>0</v>
      </c>
    </row>
    <row r="160" spans="2:68" s="24" customFormat="1" ht="12.75" x14ac:dyDescent="0.2">
      <c r="B160" s="97"/>
      <c r="C160" s="92"/>
      <c r="D160" s="92"/>
      <c r="E160" s="92"/>
      <c r="F160" s="31" t="str">
        <f>IF(G160=1,IF(ISERROR(TableCosts[[#This Row],[N_Tariff]]),Err_Message1,IF(TableCosts[[#This Row],[N_Tariff]]=0,Err_Message2,VLOOKUP(C160&amp;TableCosts[[#This Row],[Calc_N_Typ]],TRAN_STRITEMS_LABEL,5,FALSE))),"")</f>
        <v/>
      </c>
      <c r="G160" s="31">
        <f t="shared" si="48"/>
        <v>0</v>
      </c>
      <c r="H160" s="31" t="str">
        <f>IF(G160=1,IFERROR(VLOOKUP(F160,Tab_ErrMessage[],2,0),VLOOKUP(C160&amp;TableCosts[[#This Row],[Calc_N_Typ]],TRAN_STRITEMS_LABEL,4,FALSE)),"")</f>
        <v/>
      </c>
      <c r="I160" s="94"/>
      <c r="J160" s="94"/>
      <c r="K160" s="94"/>
      <c r="L160" s="84"/>
      <c r="M160" s="84"/>
      <c r="N160" s="84"/>
      <c r="O160" s="84"/>
      <c r="P160" s="84"/>
      <c r="Q160" s="84"/>
      <c r="R160" s="84"/>
      <c r="S160" s="84"/>
      <c r="T160" s="84"/>
      <c r="U160" s="84"/>
      <c r="V160" s="84"/>
      <c r="W160" s="84"/>
      <c r="X160" s="84"/>
      <c r="Y160" s="84"/>
      <c r="Z160" s="84"/>
      <c r="AA160" s="84"/>
      <c r="AB160" s="84"/>
      <c r="AC160" s="84"/>
      <c r="AD160" s="84"/>
      <c r="AE160" s="84"/>
      <c r="AF160" s="84"/>
      <c r="AG160" s="84"/>
      <c r="AH160" s="84"/>
      <c r="AI160" s="84"/>
      <c r="AJ160" s="84"/>
      <c r="AK160" s="84"/>
      <c r="AL160" s="84"/>
      <c r="AM160" s="84"/>
      <c r="AN160" s="84"/>
      <c r="AO160" s="84"/>
      <c r="AP160" s="84"/>
      <c r="AQ160" s="84"/>
      <c r="AR160" s="84"/>
      <c r="AS160" s="84"/>
      <c r="AT160" s="84"/>
      <c r="AU160" s="84"/>
      <c r="AV160" s="84"/>
      <c r="AW160" s="84"/>
      <c r="AX160" s="87">
        <f t="array" ref="AX160">IF(G160=1,SUM((ROW(M0)=ROW(AW160))*(M0+M1_+M2_+M3_+M4_+M5_+M6_+M7_+M8_+M9_+M10_+M11_+M12_+M13_+M14_+M15_+M16_+M17_+M18_+M19_+M20_+M21_+M22_+M23_+M24_+M25_+M26_+M27_+M28_+M29_+M30_+M31_+M32_+M33_+M34_+M35_+M36_+M37_)),0)</f>
        <v>0</v>
      </c>
      <c r="AZ160" s="24" t="str">
        <f t="shared" si="49"/>
        <v/>
      </c>
      <c r="BA160" s="24" t="str">
        <f t="shared" si="50"/>
        <v/>
      </c>
      <c r="BB160" s="24" t="str">
        <f t="shared" si="51"/>
        <v/>
      </c>
      <c r="BC160" s="24" t="str">
        <f>IF(OR(E160="",LEFT(TableCosts[[#This Row],[Calc_N_Typ]],18)="Vynaložené náklady"),"",VLOOKUP(E160,Tab_Parts,2,0))</f>
        <v/>
      </c>
      <c r="BD160" s="24" t="str">
        <f t="shared" si="52"/>
        <v/>
      </c>
      <c r="BE160" s="24">
        <f t="shared" si="53"/>
        <v>0</v>
      </c>
      <c r="BF160" s="72">
        <f>TableCosts[[#This Row],[N_Amount]]*TableCosts[[#This Row],[N_Tariff]]*TableCosts[[#This Row],[N_ItemsCount]]</f>
        <v>0</v>
      </c>
      <c r="BG160" s="72">
        <f>IF(G160=1,IF(TableCosts[[#This Row],[N_Kateg]]="interné práce",TableCosts[[#This Row],[N_Amount]]*8*PAR_SGA_PERHOUR,0),0)</f>
        <v>0</v>
      </c>
      <c r="BH160" s="72">
        <f>SUM(TableCosts[[#This Row],[N_Direct]:[N_SGA]])</f>
        <v>0</v>
      </c>
      <c r="BI160" s="24">
        <f>IF(G160=1,IF(OR(AND(NOT(ISERROR(VLOOKUP(TableCosts[[#This Row],[Calc_N_Typ]],Cis_WorkPositions,1,0))),C160&lt;&gt;"",D160&lt;&gt;"",E160&lt;&gt;""),AND(ISERROR(VLOOKUP(TableCosts[[#This Row],[Calc_N_Typ]],Cis_WorkPositions,1,0)),C160="",D160="",E160&lt;&gt;""),LEFT(TableCosts[[#This Row],[Calc_N_Typ]],18)="Vynaložené náklady"),VLOOKUP(C160&amp;TableCosts[[#This Row],[Calc_N_Typ]],TRAN_STRITEMS_LABEL,VLOOKUP(D160,Tab_Hours,3,0),0),NA()),0)</f>
        <v>0</v>
      </c>
      <c r="BJ160" s="24">
        <f t="shared" si="54"/>
        <v>0</v>
      </c>
      <c r="BK160" s="24" t="str">
        <f t="shared" si="55"/>
        <v/>
      </c>
      <c r="BL160" s="24" t="str">
        <f t="shared" si="56"/>
        <v/>
      </c>
      <c r="BM160" s="24" t="str">
        <f>IF(G160=1,IF(TableCosts[[#This Row],[TransferFrom]]=TableCosts[[#This Row],[TranferTo]],0,1),"")</f>
        <v/>
      </c>
      <c r="BN160" s="24" t="str">
        <f t="shared" si="57"/>
        <v/>
      </c>
      <c r="BO160" s="24">
        <f t="shared" si="58"/>
        <v>0</v>
      </c>
      <c r="BP160" s="24">
        <f t="shared" si="59"/>
        <v>0</v>
      </c>
    </row>
    <row r="161" spans="2:68" s="24" customFormat="1" ht="12.75" x14ac:dyDescent="0.2">
      <c r="B161" s="97"/>
      <c r="C161" s="92"/>
      <c r="D161" s="92"/>
      <c r="E161" s="92"/>
      <c r="F161" s="31" t="str">
        <f>IF(G161=1,IF(ISERROR(TableCosts[[#This Row],[N_Tariff]]),Err_Message1,IF(TableCosts[[#This Row],[N_Tariff]]=0,Err_Message2,VLOOKUP(C161&amp;TableCosts[[#This Row],[Calc_N_Typ]],TRAN_STRITEMS_LABEL,5,FALSE))),"")</f>
        <v/>
      </c>
      <c r="G161" s="31">
        <f t="shared" si="48"/>
        <v>0</v>
      </c>
      <c r="H161" s="31" t="str">
        <f>IF(G161=1,IFERROR(VLOOKUP(F161,Tab_ErrMessage[],2,0),VLOOKUP(C161&amp;TableCosts[[#This Row],[Calc_N_Typ]],TRAN_STRITEMS_LABEL,4,FALSE)),"")</f>
        <v/>
      </c>
      <c r="I161" s="94"/>
      <c r="J161" s="94"/>
      <c r="K161" s="94"/>
      <c r="L161" s="84"/>
      <c r="M161" s="84"/>
      <c r="N161" s="84"/>
      <c r="O161" s="84"/>
      <c r="P161" s="84"/>
      <c r="Q161" s="84"/>
      <c r="R161" s="84"/>
      <c r="S161" s="84"/>
      <c r="T161" s="84"/>
      <c r="U161" s="84"/>
      <c r="V161" s="84"/>
      <c r="W161" s="84"/>
      <c r="X161" s="84"/>
      <c r="Y161" s="84"/>
      <c r="Z161" s="84"/>
      <c r="AA161" s="84"/>
      <c r="AB161" s="84"/>
      <c r="AC161" s="84"/>
      <c r="AD161" s="84"/>
      <c r="AE161" s="84"/>
      <c r="AF161" s="84"/>
      <c r="AG161" s="84"/>
      <c r="AH161" s="84"/>
      <c r="AI161" s="84"/>
      <c r="AJ161" s="84"/>
      <c r="AK161" s="84"/>
      <c r="AL161" s="84"/>
      <c r="AM161" s="84"/>
      <c r="AN161" s="84"/>
      <c r="AO161" s="84"/>
      <c r="AP161" s="84"/>
      <c r="AQ161" s="84"/>
      <c r="AR161" s="84"/>
      <c r="AS161" s="84"/>
      <c r="AT161" s="84"/>
      <c r="AU161" s="84"/>
      <c r="AV161" s="84"/>
      <c r="AW161" s="84"/>
      <c r="AX161" s="87">
        <f t="array" ref="AX161">IF(G161=1,SUM((ROW(M0)=ROW(AW161))*(M0+M1_+M2_+M3_+M4_+M5_+M6_+M7_+M8_+M9_+M10_+M11_+M12_+M13_+M14_+M15_+M16_+M17_+M18_+M19_+M20_+M21_+M22_+M23_+M24_+M25_+M26_+M27_+M28_+M29_+M30_+M31_+M32_+M33_+M34_+M35_+M36_+M37_)),0)</f>
        <v>0</v>
      </c>
      <c r="AZ161" s="24" t="str">
        <f t="shared" si="49"/>
        <v/>
      </c>
      <c r="BA161" s="24" t="str">
        <f t="shared" si="50"/>
        <v/>
      </c>
      <c r="BB161" s="24" t="str">
        <f t="shared" si="51"/>
        <v/>
      </c>
      <c r="BC161" s="24" t="str">
        <f>IF(OR(E161="",LEFT(TableCosts[[#This Row],[Calc_N_Typ]],18)="Vynaložené náklady"),"",VLOOKUP(E161,Tab_Parts,2,0))</f>
        <v/>
      </c>
      <c r="BD161" s="24" t="str">
        <f t="shared" si="52"/>
        <v/>
      </c>
      <c r="BE161" s="24">
        <f t="shared" si="53"/>
        <v>0</v>
      </c>
      <c r="BF161" s="72">
        <f>TableCosts[[#This Row],[N_Amount]]*TableCosts[[#This Row],[N_Tariff]]*TableCosts[[#This Row],[N_ItemsCount]]</f>
        <v>0</v>
      </c>
      <c r="BG161" s="72">
        <f>IF(G161=1,IF(TableCosts[[#This Row],[N_Kateg]]="interné práce",TableCosts[[#This Row],[N_Amount]]*8*PAR_SGA_PERHOUR,0),0)</f>
        <v>0</v>
      </c>
      <c r="BH161" s="72">
        <f>SUM(TableCosts[[#This Row],[N_Direct]:[N_SGA]])</f>
        <v>0</v>
      </c>
      <c r="BI161" s="24">
        <f>IF(G161=1,IF(OR(AND(NOT(ISERROR(VLOOKUP(TableCosts[[#This Row],[Calc_N_Typ]],Cis_WorkPositions,1,0))),C161&lt;&gt;"",D161&lt;&gt;"",E161&lt;&gt;""),AND(ISERROR(VLOOKUP(TableCosts[[#This Row],[Calc_N_Typ]],Cis_WorkPositions,1,0)),C161="",D161="",E161&lt;&gt;""),LEFT(TableCosts[[#This Row],[Calc_N_Typ]],18)="Vynaložené náklady"),VLOOKUP(C161&amp;TableCosts[[#This Row],[Calc_N_Typ]],TRAN_STRITEMS_LABEL,VLOOKUP(D161,Tab_Hours,3,0),0),NA()),0)</f>
        <v>0</v>
      </c>
      <c r="BJ161" s="24">
        <f t="shared" si="54"/>
        <v>0</v>
      </c>
      <c r="BK161" s="24" t="str">
        <f t="shared" si="55"/>
        <v/>
      </c>
      <c r="BL161" s="24" t="str">
        <f t="shared" si="56"/>
        <v/>
      </c>
      <c r="BM161" s="24" t="str">
        <f>IF(G161=1,IF(TableCosts[[#This Row],[TransferFrom]]=TableCosts[[#This Row],[TranferTo]],0,1),"")</f>
        <v/>
      </c>
      <c r="BN161" s="24" t="str">
        <f t="shared" si="57"/>
        <v/>
      </c>
      <c r="BO161" s="24">
        <f t="shared" si="58"/>
        <v>0</v>
      </c>
      <c r="BP161" s="24">
        <f t="shared" si="59"/>
        <v>0</v>
      </c>
    </row>
    <row r="162" spans="2:68" s="24" customFormat="1" ht="12.75" x14ac:dyDescent="0.2">
      <c r="B162" s="97"/>
      <c r="C162" s="92"/>
      <c r="D162" s="92"/>
      <c r="E162" s="92"/>
      <c r="F162" s="31" t="str">
        <f>IF(G162=1,IF(ISERROR(TableCosts[[#This Row],[N_Tariff]]),Err_Message1,IF(TableCosts[[#This Row],[N_Tariff]]=0,Err_Message2,VLOOKUP(C162&amp;TableCosts[[#This Row],[Calc_N_Typ]],TRAN_STRITEMS_LABEL,5,FALSE))),"")</f>
        <v/>
      </c>
      <c r="G162" s="31">
        <f t="shared" si="48"/>
        <v>0</v>
      </c>
      <c r="H162" s="31" t="str">
        <f>IF(G162=1,IFERROR(VLOOKUP(F162,Tab_ErrMessage[],2,0),VLOOKUP(C162&amp;TableCosts[[#This Row],[Calc_N_Typ]],TRAN_STRITEMS_LABEL,4,FALSE)),"")</f>
        <v/>
      </c>
      <c r="I162" s="94"/>
      <c r="J162" s="94"/>
      <c r="K162" s="9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  <c r="Y162" s="84"/>
      <c r="Z162" s="84"/>
      <c r="AA162" s="84"/>
      <c r="AB162" s="84"/>
      <c r="AC162" s="84"/>
      <c r="AD162" s="84"/>
      <c r="AE162" s="84"/>
      <c r="AF162" s="84"/>
      <c r="AG162" s="84"/>
      <c r="AH162" s="84"/>
      <c r="AI162" s="84"/>
      <c r="AJ162" s="84"/>
      <c r="AK162" s="84"/>
      <c r="AL162" s="84"/>
      <c r="AM162" s="84"/>
      <c r="AN162" s="84"/>
      <c r="AO162" s="84"/>
      <c r="AP162" s="84"/>
      <c r="AQ162" s="84"/>
      <c r="AR162" s="84"/>
      <c r="AS162" s="84"/>
      <c r="AT162" s="84"/>
      <c r="AU162" s="84"/>
      <c r="AV162" s="84"/>
      <c r="AW162" s="84"/>
      <c r="AX162" s="87">
        <f t="array" ref="AX162">IF(G162=1,SUM((ROW(M0)=ROW(AW162))*(M0+M1_+M2_+M3_+M4_+M5_+M6_+M7_+M8_+M9_+M10_+M11_+M12_+M13_+M14_+M15_+M16_+M17_+M18_+M19_+M20_+M21_+M22_+M23_+M24_+M25_+M26_+M27_+M28_+M29_+M30_+M31_+M32_+M33_+M34_+M35_+M36_+M37_)),0)</f>
        <v>0</v>
      </c>
      <c r="AZ162" s="24" t="str">
        <f t="shared" si="49"/>
        <v/>
      </c>
      <c r="BA162" s="24" t="str">
        <f t="shared" si="50"/>
        <v/>
      </c>
      <c r="BB162" s="24" t="str">
        <f t="shared" si="51"/>
        <v/>
      </c>
      <c r="BC162" s="24" t="str">
        <f>IF(OR(E162="",LEFT(TableCosts[[#This Row],[Calc_N_Typ]],18)="Vynaložené náklady"),"",VLOOKUP(E162,Tab_Parts,2,0))</f>
        <v/>
      </c>
      <c r="BD162" s="24" t="str">
        <f t="shared" si="52"/>
        <v/>
      </c>
      <c r="BE162" s="24">
        <f t="shared" si="53"/>
        <v>0</v>
      </c>
      <c r="BF162" s="72">
        <f>TableCosts[[#This Row],[N_Amount]]*TableCosts[[#This Row],[N_Tariff]]*TableCosts[[#This Row],[N_ItemsCount]]</f>
        <v>0</v>
      </c>
      <c r="BG162" s="72">
        <f>IF(G162=1,IF(TableCosts[[#This Row],[N_Kateg]]="interné práce",TableCosts[[#This Row],[N_Amount]]*8*PAR_SGA_PERHOUR,0),0)</f>
        <v>0</v>
      </c>
      <c r="BH162" s="72">
        <f>SUM(TableCosts[[#This Row],[N_Direct]:[N_SGA]])</f>
        <v>0</v>
      </c>
      <c r="BI162" s="24">
        <f>IF(G162=1,IF(OR(AND(NOT(ISERROR(VLOOKUP(TableCosts[[#This Row],[Calc_N_Typ]],Cis_WorkPositions,1,0))),C162&lt;&gt;"",D162&lt;&gt;"",E162&lt;&gt;""),AND(ISERROR(VLOOKUP(TableCosts[[#This Row],[Calc_N_Typ]],Cis_WorkPositions,1,0)),C162="",D162="",E162&lt;&gt;""),LEFT(TableCosts[[#This Row],[Calc_N_Typ]],18)="Vynaložené náklady"),VLOOKUP(C162&amp;TableCosts[[#This Row],[Calc_N_Typ]],TRAN_STRITEMS_LABEL,VLOOKUP(D162,Tab_Hours,3,0),0),NA()),0)</f>
        <v>0</v>
      </c>
      <c r="BJ162" s="24">
        <f t="shared" si="54"/>
        <v>0</v>
      </c>
      <c r="BK162" s="24" t="str">
        <f t="shared" si="55"/>
        <v/>
      </c>
      <c r="BL162" s="24" t="str">
        <f t="shared" si="56"/>
        <v/>
      </c>
      <c r="BM162" s="24" t="str">
        <f>IF(G162=1,IF(TableCosts[[#This Row],[TransferFrom]]=TableCosts[[#This Row],[TranferTo]],0,1),"")</f>
        <v/>
      </c>
      <c r="BN162" s="24" t="str">
        <f t="shared" si="57"/>
        <v/>
      </c>
      <c r="BO162" s="24">
        <f t="shared" si="58"/>
        <v>0</v>
      </c>
      <c r="BP162" s="24">
        <f t="shared" si="59"/>
        <v>0</v>
      </c>
    </row>
    <row r="163" spans="2:68" s="24" customFormat="1" ht="12.75" x14ac:dyDescent="0.2">
      <c r="B163" s="97"/>
      <c r="C163" s="92"/>
      <c r="D163" s="92"/>
      <c r="E163" s="92"/>
      <c r="F163" s="31" t="str">
        <f>IF(G163=1,IF(ISERROR(TableCosts[[#This Row],[N_Tariff]]),Err_Message1,IF(TableCosts[[#This Row],[N_Tariff]]=0,Err_Message2,VLOOKUP(C163&amp;TableCosts[[#This Row],[Calc_N_Typ]],TRAN_STRITEMS_LABEL,5,FALSE))),"")</f>
        <v/>
      </c>
      <c r="G163" s="31">
        <f t="shared" si="48"/>
        <v>0</v>
      </c>
      <c r="H163" s="31" t="str">
        <f>IF(G163=1,IFERROR(VLOOKUP(F163,Tab_ErrMessage[],2,0),VLOOKUP(C163&amp;TableCosts[[#This Row],[Calc_N_Typ]],TRAN_STRITEMS_LABEL,4,FALSE)),"")</f>
        <v/>
      </c>
      <c r="I163" s="94"/>
      <c r="J163" s="94"/>
      <c r="K163" s="94"/>
      <c r="L163" s="84"/>
      <c r="M163" s="84"/>
      <c r="N163" s="84"/>
      <c r="O163" s="84"/>
      <c r="P163" s="84"/>
      <c r="Q163" s="84"/>
      <c r="R163" s="84"/>
      <c r="S163" s="84"/>
      <c r="T163" s="84"/>
      <c r="U163" s="84"/>
      <c r="V163" s="84"/>
      <c r="W163" s="84"/>
      <c r="X163" s="84"/>
      <c r="Y163" s="84"/>
      <c r="Z163" s="84"/>
      <c r="AA163" s="84"/>
      <c r="AB163" s="84"/>
      <c r="AC163" s="84"/>
      <c r="AD163" s="84"/>
      <c r="AE163" s="84"/>
      <c r="AF163" s="84"/>
      <c r="AG163" s="84"/>
      <c r="AH163" s="84"/>
      <c r="AI163" s="84"/>
      <c r="AJ163" s="84"/>
      <c r="AK163" s="84"/>
      <c r="AL163" s="84"/>
      <c r="AM163" s="84"/>
      <c r="AN163" s="84"/>
      <c r="AO163" s="84"/>
      <c r="AP163" s="84"/>
      <c r="AQ163" s="84"/>
      <c r="AR163" s="84"/>
      <c r="AS163" s="84"/>
      <c r="AT163" s="84"/>
      <c r="AU163" s="84"/>
      <c r="AV163" s="84"/>
      <c r="AW163" s="84"/>
      <c r="AX163" s="87">
        <f t="array" ref="AX163">IF(G163=1,SUM((ROW(M0)=ROW(AW163))*(M0+M1_+M2_+M3_+M4_+M5_+M6_+M7_+M8_+M9_+M10_+M11_+M12_+M13_+M14_+M15_+M16_+M17_+M18_+M19_+M20_+M21_+M22_+M23_+M24_+M25_+M26_+M27_+M28_+M29_+M30_+M31_+M32_+M33_+M34_+M35_+M36_+M37_)),0)</f>
        <v>0</v>
      </c>
      <c r="AZ163" s="24" t="str">
        <f t="shared" si="49"/>
        <v/>
      </c>
      <c r="BA163" s="24" t="str">
        <f t="shared" si="50"/>
        <v/>
      </c>
      <c r="BB163" s="24" t="str">
        <f t="shared" si="51"/>
        <v/>
      </c>
      <c r="BC163" s="24" t="str">
        <f>IF(OR(E163="",LEFT(TableCosts[[#This Row],[Calc_N_Typ]],18)="Vynaložené náklady"),"",VLOOKUP(E163,Tab_Parts,2,0))</f>
        <v/>
      </c>
      <c r="BD163" s="24" t="str">
        <f t="shared" si="52"/>
        <v/>
      </c>
      <c r="BE163" s="24">
        <f t="shared" si="53"/>
        <v>0</v>
      </c>
      <c r="BF163" s="72">
        <f>TableCosts[[#This Row],[N_Amount]]*TableCosts[[#This Row],[N_Tariff]]*TableCosts[[#This Row],[N_ItemsCount]]</f>
        <v>0</v>
      </c>
      <c r="BG163" s="72">
        <f>IF(G163=1,IF(TableCosts[[#This Row],[N_Kateg]]="interné práce",TableCosts[[#This Row],[N_Amount]]*8*PAR_SGA_PERHOUR,0),0)</f>
        <v>0</v>
      </c>
      <c r="BH163" s="72">
        <f>SUM(TableCosts[[#This Row],[N_Direct]:[N_SGA]])</f>
        <v>0</v>
      </c>
      <c r="BI163" s="24">
        <f>IF(G163=1,IF(OR(AND(NOT(ISERROR(VLOOKUP(TableCosts[[#This Row],[Calc_N_Typ]],Cis_WorkPositions,1,0))),C163&lt;&gt;"",D163&lt;&gt;"",E163&lt;&gt;""),AND(ISERROR(VLOOKUP(TableCosts[[#This Row],[Calc_N_Typ]],Cis_WorkPositions,1,0)),C163="",D163="",E163&lt;&gt;""),LEFT(TableCosts[[#This Row],[Calc_N_Typ]],18)="Vynaložené náklady"),VLOOKUP(C163&amp;TableCosts[[#This Row],[Calc_N_Typ]],TRAN_STRITEMS_LABEL,VLOOKUP(D163,Tab_Hours,3,0),0),NA()),0)</f>
        <v>0</v>
      </c>
      <c r="BJ163" s="24">
        <f t="shared" si="54"/>
        <v>0</v>
      </c>
      <c r="BK163" s="24" t="str">
        <f t="shared" si="55"/>
        <v/>
      </c>
      <c r="BL163" s="24" t="str">
        <f t="shared" si="56"/>
        <v/>
      </c>
      <c r="BM163" s="24" t="str">
        <f>IF(G163=1,IF(TableCosts[[#This Row],[TransferFrom]]=TableCosts[[#This Row],[TranferTo]],0,1),"")</f>
        <v/>
      </c>
      <c r="BN163" s="24" t="str">
        <f t="shared" si="57"/>
        <v/>
      </c>
      <c r="BO163" s="24">
        <f t="shared" si="58"/>
        <v>0</v>
      </c>
      <c r="BP163" s="24">
        <f t="shared" si="59"/>
        <v>0</v>
      </c>
    </row>
    <row r="164" spans="2:68" s="24" customFormat="1" ht="12.75" x14ac:dyDescent="0.2">
      <c r="B164" s="97"/>
      <c r="C164" s="92"/>
      <c r="D164" s="92"/>
      <c r="E164" s="92"/>
      <c r="F164" s="31" t="str">
        <f>IF(G164=1,IF(ISERROR(TableCosts[[#This Row],[N_Tariff]]),Err_Message1,IF(TableCosts[[#This Row],[N_Tariff]]=0,Err_Message2,VLOOKUP(C164&amp;TableCosts[[#This Row],[Calc_N_Typ]],TRAN_STRITEMS_LABEL,5,FALSE))),"")</f>
        <v/>
      </c>
      <c r="G164" s="31">
        <f t="shared" si="48"/>
        <v>0</v>
      </c>
      <c r="H164" s="31" t="str">
        <f>IF(G164=1,IFERROR(VLOOKUP(F164,Tab_ErrMessage[],2,0),VLOOKUP(C164&amp;TableCosts[[#This Row],[Calc_N_Typ]],TRAN_STRITEMS_LABEL,4,FALSE)),"")</f>
        <v/>
      </c>
      <c r="I164" s="94"/>
      <c r="J164" s="94"/>
      <c r="K164" s="94"/>
      <c r="L164" s="84"/>
      <c r="M164" s="84"/>
      <c r="N164" s="84"/>
      <c r="O164" s="84"/>
      <c r="P164" s="84"/>
      <c r="Q164" s="84"/>
      <c r="R164" s="84"/>
      <c r="S164" s="84"/>
      <c r="T164" s="84"/>
      <c r="U164" s="84"/>
      <c r="V164" s="84"/>
      <c r="W164" s="84"/>
      <c r="X164" s="84"/>
      <c r="Y164" s="84"/>
      <c r="Z164" s="84"/>
      <c r="AA164" s="84"/>
      <c r="AB164" s="84"/>
      <c r="AC164" s="84"/>
      <c r="AD164" s="84"/>
      <c r="AE164" s="84"/>
      <c r="AF164" s="84"/>
      <c r="AG164" s="84"/>
      <c r="AH164" s="84"/>
      <c r="AI164" s="84"/>
      <c r="AJ164" s="84"/>
      <c r="AK164" s="84"/>
      <c r="AL164" s="84"/>
      <c r="AM164" s="84"/>
      <c r="AN164" s="84"/>
      <c r="AO164" s="84"/>
      <c r="AP164" s="84"/>
      <c r="AQ164" s="84"/>
      <c r="AR164" s="84"/>
      <c r="AS164" s="84"/>
      <c r="AT164" s="84"/>
      <c r="AU164" s="84"/>
      <c r="AV164" s="84"/>
      <c r="AW164" s="84"/>
      <c r="AX164" s="87">
        <f t="array" ref="AX164">IF(G164=1,SUM((ROW(M0)=ROW(AW164))*(M0+M1_+M2_+M3_+M4_+M5_+M6_+M7_+M8_+M9_+M10_+M11_+M12_+M13_+M14_+M15_+M16_+M17_+M18_+M19_+M20_+M21_+M22_+M23_+M24_+M25_+M26_+M27_+M28_+M29_+M30_+M31_+M32_+M33_+M34_+M35_+M36_+M37_)),0)</f>
        <v>0</v>
      </c>
      <c r="AZ164" s="24" t="str">
        <f t="shared" si="49"/>
        <v/>
      </c>
      <c r="BA164" s="24" t="str">
        <f t="shared" si="50"/>
        <v/>
      </c>
      <c r="BB164" s="24" t="str">
        <f t="shared" si="51"/>
        <v/>
      </c>
      <c r="BC164" s="24" t="str">
        <f>IF(OR(E164="",LEFT(TableCosts[[#This Row],[Calc_N_Typ]],18)="Vynaložené náklady"),"",VLOOKUP(E164,Tab_Parts,2,0))</f>
        <v/>
      </c>
      <c r="BD164" s="24" t="str">
        <f t="shared" si="52"/>
        <v/>
      </c>
      <c r="BE164" s="24">
        <f t="shared" si="53"/>
        <v>0</v>
      </c>
      <c r="BF164" s="72">
        <f>TableCosts[[#This Row],[N_Amount]]*TableCosts[[#This Row],[N_Tariff]]*TableCosts[[#This Row],[N_ItemsCount]]</f>
        <v>0</v>
      </c>
      <c r="BG164" s="72">
        <f>IF(G164=1,IF(TableCosts[[#This Row],[N_Kateg]]="interné práce",TableCosts[[#This Row],[N_Amount]]*8*PAR_SGA_PERHOUR,0),0)</f>
        <v>0</v>
      </c>
      <c r="BH164" s="72">
        <f>SUM(TableCosts[[#This Row],[N_Direct]:[N_SGA]])</f>
        <v>0</v>
      </c>
      <c r="BI164" s="24">
        <f>IF(G164=1,IF(OR(AND(NOT(ISERROR(VLOOKUP(TableCosts[[#This Row],[Calc_N_Typ]],Cis_WorkPositions,1,0))),C164&lt;&gt;"",D164&lt;&gt;"",E164&lt;&gt;""),AND(ISERROR(VLOOKUP(TableCosts[[#This Row],[Calc_N_Typ]],Cis_WorkPositions,1,0)),C164="",D164="",E164&lt;&gt;""),LEFT(TableCosts[[#This Row],[Calc_N_Typ]],18)="Vynaložené náklady"),VLOOKUP(C164&amp;TableCosts[[#This Row],[Calc_N_Typ]],TRAN_STRITEMS_LABEL,VLOOKUP(D164,Tab_Hours,3,0),0),NA()),0)</f>
        <v>0</v>
      </c>
      <c r="BJ164" s="24">
        <f t="shared" si="54"/>
        <v>0</v>
      </c>
      <c r="BK164" s="24" t="str">
        <f t="shared" si="55"/>
        <v/>
      </c>
      <c r="BL164" s="24" t="str">
        <f t="shared" si="56"/>
        <v/>
      </c>
      <c r="BM164" s="24" t="str">
        <f>IF(G164=1,IF(TableCosts[[#This Row],[TransferFrom]]=TableCosts[[#This Row],[TranferTo]],0,1),"")</f>
        <v/>
      </c>
      <c r="BN164" s="24" t="str">
        <f t="shared" si="57"/>
        <v/>
      </c>
      <c r="BO164" s="24">
        <f t="shared" si="58"/>
        <v>0</v>
      </c>
      <c r="BP164" s="24">
        <f t="shared" si="59"/>
        <v>0</v>
      </c>
    </row>
    <row r="165" spans="2:68" s="24" customFormat="1" ht="12.75" x14ac:dyDescent="0.2">
      <c r="B165" s="97"/>
      <c r="C165" s="92"/>
      <c r="D165" s="92"/>
      <c r="E165" s="92"/>
      <c r="F165" s="31" t="str">
        <f>IF(G165=1,IF(ISERROR(TableCosts[[#This Row],[N_Tariff]]),Err_Message1,IF(TableCosts[[#This Row],[N_Tariff]]=0,Err_Message2,VLOOKUP(C165&amp;TableCosts[[#This Row],[Calc_N_Typ]],TRAN_STRITEMS_LABEL,5,FALSE))),"")</f>
        <v/>
      </c>
      <c r="G165" s="31">
        <f t="shared" si="48"/>
        <v>0</v>
      </c>
      <c r="H165" s="31" t="str">
        <f>IF(G165=1,IFERROR(VLOOKUP(F165,Tab_ErrMessage[],2,0),VLOOKUP(C165&amp;TableCosts[[#This Row],[Calc_N_Typ]],TRAN_STRITEMS_LABEL,4,FALSE)),"")</f>
        <v/>
      </c>
      <c r="I165" s="94"/>
      <c r="J165" s="94"/>
      <c r="K165" s="94"/>
      <c r="L165" s="84"/>
      <c r="M165" s="84"/>
      <c r="N165" s="84"/>
      <c r="O165" s="84"/>
      <c r="P165" s="84"/>
      <c r="Q165" s="84"/>
      <c r="R165" s="84"/>
      <c r="S165" s="84"/>
      <c r="T165" s="84"/>
      <c r="U165" s="84"/>
      <c r="V165" s="84"/>
      <c r="W165" s="84"/>
      <c r="X165" s="84"/>
      <c r="Y165" s="84"/>
      <c r="Z165" s="84"/>
      <c r="AA165" s="84"/>
      <c r="AB165" s="84"/>
      <c r="AC165" s="84"/>
      <c r="AD165" s="84"/>
      <c r="AE165" s="84"/>
      <c r="AF165" s="84"/>
      <c r="AG165" s="84"/>
      <c r="AH165" s="84"/>
      <c r="AI165" s="84"/>
      <c r="AJ165" s="84"/>
      <c r="AK165" s="84"/>
      <c r="AL165" s="84"/>
      <c r="AM165" s="84"/>
      <c r="AN165" s="84"/>
      <c r="AO165" s="84"/>
      <c r="AP165" s="84"/>
      <c r="AQ165" s="84"/>
      <c r="AR165" s="84"/>
      <c r="AS165" s="84"/>
      <c r="AT165" s="84"/>
      <c r="AU165" s="84"/>
      <c r="AV165" s="84"/>
      <c r="AW165" s="84"/>
      <c r="AX165" s="87">
        <f t="array" ref="AX165">IF(G165=1,SUM((ROW(M0)=ROW(AW165))*(M0+M1_+M2_+M3_+M4_+M5_+M6_+M7_+M8_+M9_+M10_+M11_+M12_+M13_+M14_+M15_+M16_+M17_+M18_+M19_+M20_+M21_+M22_+M23_+M24_+M25_+M26_+M27_+M28_+M29_+M30_+M31_+M32_+M33_+M34_+M35_+M36_+M37_)),0)</f>
        <v>0</v>
      </c>
      <c r="AZ165" s="24" t="str">
        <f t="shared" si="49"/>
        <v/>
      </c>
      <c r="BA165" s="24" t="str">
        <f t="shared" si="50"/>
        <v/>
      </c>
      <c r="BB165" s="24" t="str">
        <f t="shared" si="51"/>
        <v/>
      </c>
      <c r="BC165" s="24" t="str">
        <f>IF(OR(E165="",LEFT(TableCosts[[#This Row],[Calc_N_Typ]],18)="Vynaložené náklady"),"",VLOOKUP(E165,Tab_Parts,2,0))</f>
        <v/>
      </c>
      <c r="BD165" s="24" t="str">
        <f t="shared" si="52"/>
        <v/>
      </c>
      <c r="BE165" s="24">
        <f t="shared" si="53"/>
        <v>0</v>
      </c>
      <c r="BF165" s="72">
        <f>TableCosts[[#This Row],[N_Amount]]*TableCosts[[#This Row],[N_Tariff]]*TableCosts[[#This Row],[N_ItemsCount]]</f>
        <v>0</v>
      </c>
      <c r="BG165" s="72">
        <f>IF(G165=1,IF(TableCosts[[#This Row],[N_Kateg]]="interné práce",TableCosts[[#This Row],[N_Amount]]*8*PAR_SGA_PERHOUR,0),0)</f>
        <v>0</v>
      </c>
      <c r="BH165" s="72">
        <f>SUM(TableCosts[[#This Row],[N_Direct]:[N_SGA]])</f>
        <v>0</v>
      </c>
      <c r="BI165" s="24">
        <f>IF(G165=1,IF(OR(AND(NOT(ISERROR(VLOOKUP(TableCosts[[#This Row],[Calc_N_Typ]],Cis_WorkPositions,1,0))),C165&lt;&gt;"",D165&lt;&gt;"",E165&lt;&gt;""),AND(ISERROR(VLOOKUP(TableCosts[[#This Row],[Calc_N_Typ]],Cis_WorkPositions,1,0)),C165="",D165="",E165&lt;&gt;""),LEFT(TableCosts[[#This Row],[Calc_N_Typ]],18)="Vynaložené náklady"),VLOOKUP(C165&amp;TableCosts[[#This Row],[Calc_N_Typ]],TRAN_STRITEMS_LABEL,VLOOKUP(D165,Tab_Hours,3,0),0),NA()),0)</f>
        <v>0</v>
      </c>
      <c r="BJ165" s="24">
        <f t="shared" si="54"/>
        <v>0</v>
      </c>
      <c r="BK165" s="24" t="str">
        <f t="shared" si="55"/>
        <v/>
      </c>
      <c r="BL165" s="24" t="str">
        <f t="shared" si="56"/>
        <v/>
      </c>
      <c r="BM165" s="24" t="str">
        <f>IF(G165=1,IF(TableCosts[[#This Row],[TransferFrom]]=TableCosts[[#This Row],[TranferTo]],0,1),"")</f>
        <v/>
      </c>
      <c r="BN165" s="24" t="str">
        <f t="shared" si="57"/>
        <v/>
      </c>
      <c r="BO165" s="24">
        <f t="shared" si="58"/>
        <v>0</v>
      </c>
      <c r="BP165" s="24">
        <f t="shared" si="59"/>
        <v>0</v>
      </c>
    </row>
    <row r="166" spans="2:68" s="24" customFormat="1" ht="12.75" x14ac:dyDescent="0.2">
      <c r="B166" s="97"/>
      <c r="C166" s="92"/>
      <c r="D166" s="92"/>
      <c r="E166" s="92"/>
      <c r="F166" s="31" t="str">
        <f>IF(G166=1,IF(ISERROR(TableCosts[[#This Row],[N_Tariff]]),Err_Message1,IF(TableCosts[[#This Row],[N_Tariff]]=0,Err_Message2,VLOOKUP(C166&amp;TableCosts[[#This Row],[Calc_N_Typ]],TRAN_STRITEMS_LABEL,5,FALSE))),"")</f>
        <v/>
      </c>
      <c r="G166" s="31">
        <f t="shared" si="48"/>
        <v>0</v>
      </c>
      <c r="H166" s="31" t="str">
        <f>IF(G166=1,IFERROR(VLOOKUP(F166,Tab_ErrMessage[],2,0),VLOOKUP(C166&amp;TableCosts[[#This Row],[Calc_N_Typ]],TRAN_STRITEMS_LABEL,4,FALSE)),"")</f>
        <v/>
      </c>
      <c r="I166" s="94"/>
      <c r="J166" s="94"/>
      <c r="K166" s="94"/>
      <c r="L166" s="84"/>
      <c r="M166" s="84"/>
      <c r="N166" s="84"/>
      <c r="O166" s="84"/>
      <c r="P166" s="84"/>
      <c r="Q166" s="84"/>
      <c r="R166" s="84"/>
      <c r="S166" s="84"/>
      <c r="T166" s="84"/>
      <c r="U166" s="84"/>
      <c r="V166" s="84"/>
      <c r="W166" s="84"/>
      <c r="X166" s="84"/>
      <c r="Y166" s="84"/>
      <c r="Z166" s="84"/>
      <c r="AA166" s="84"/>
      <c r="AB166" s="84"/>
      <c r="AC166" s="84"/>
      <c r="AD166" s="84"/>
      <c r="AE166" s="84"/>
      <c r="AF166" s="84"/>
      <c r="AG166" s="84"/>
      <c r="AH166" s="84"/>
      <c r="AI166" s="84"/>
      <c r="AJ166" s="84"/>
      <c r="AK166" s="84"/>
      <c r="AL166" s="84"/>
      <c r="AM166" s="84"/>
      <c r="AN166" s="84"/>
      <c r="AO166" s="84"/>
      <c r="AP166" s="84"/>
      <c r="AQ166" s="84"/>
      <c r="AR166" s="84"/>
      <c r="AS166" s="84"/>
      <c r="AT166" s="84"/>
      <c r="AU166" s="84"/>
      <c r="AV166" s="84"/>
      <c r="AW166" s="84"/>
      <c r="AX166" s="87">
        <f t="array" ref="AX166">IF(G166=1,SUM((ROW(M0)=ROW(AW166))*(M0+M1_+M2_+M3_+M4_+M5_+M6_+M7_+M8_+M9_+M10_+M11_+M12_+M13_+M14_+M15_+M16_+M17_+M18_+M19_+M20_+M21_+M22_+M23_+M24_+M25_+M26_+M27_+M28_+M29_+M30_+M31_+M32_+M33_+M34_+M35_+M36_+M37_)),0)</f>
        <v>0</v>
      </c>
      <c r="AZ166" s="24" t="str">
        <f t="shared" si="49"/>
        <v/>
      </c>
      <c r="BA166" s="24" t="str">
        <f t="shared" si="50"/>
        <v/>
      </c>
      <c r="BB166" s="24" t="str">
        <f t="shared" si="51"/>
        <v/>
      </c>
      <c r="BC166" s="24" t="str">
        <f>IF(OR(E166="",LEFT(TableCosts[[#This Row],[Calc_N_Typ]],18)="Vynaložené náklady"),"",VLOOKUP(E166,Tab_Parts,2,0))</f>
        <v/>
      </c>
      <c r="BD166" s="24" t="str">
        <f t="shared" si="52"/>
        <v/>
      </c>
      <c r="BE166" s="24">
        <f t="shared" si="53"/>
        <v>0</v>
      </c>
      <c r="BF166" s="72">
        <f>TableCosts[[#This Row],[N_Amount]]*TableCosts[[#This Row],[N_Tariff]]*TableCosts[[#This Row],[N_ItemsCount]]</f>
        <v>0</v>
      </c>
      <c r="BG166" s="72">
        <f>IF(G166=1,IF(TableCosts[[#This Row],[N_Kateg]]="interné práce",TableCosts[[#This Row],[N_Amount]]*8*PAR_SGA_PERHOUR,0),0)</f>
        <v>0</v>
      </c>
      <c r="BH166" s="72">
        <f>SUM(TableCosts[[#This Row],[N_Direct]:[N_SGA]])</f>
        <v>0</v>
      </c>
      <c r="BI166" s="24">
        <f>IF(G166=1,IF(OR(AND(NOT(ISERROR(VLOOKUP(TableCosts[[#This Row],[Calc_N_Typ]],Cis_WorkPositions,1,0))),C166&lt;&gt;"",D166&lt;&gt;"",E166&lt;&gt;""),AND(ISERROR(VLOOKUP(TableCosts[[#This Row],[Calc_N_Typ]],Cis_WorkPositions,1,0)),C166="",D166="",E166&lt;&gt;""),LEFT(TableCosts[[#This Row],[Calc_N_Typ]],18)="Vynaložené náklady"),VLOOKUP(C166&amp;TableCosts[[#This Row],[Calc_N_Typ]],TRAN_STRITEMS_LABEL,VLOOKUP(D166,Tab_Hours,3,0),0),NA()),0)</f>
        <v>0</v>
      </c>
      <c r="BJ166" s="24">
        <f t="shared" si="54"/>
        <v>0</v>
      </c>
      <c r="BK166" s="24" t="str">
        <f t="shared" si="55"/>
        <v/>
      </c>
      <c r="BL166" s="24" t="str">
        <f t="shared" si="56"/>
        <v/>
      </c>
      <c r="BM166" s="24" t="str">
        <f>IF(G166=1,IF(TableCosts[[#This Row],[TransferFrom]]=TableCosts[[#This Row],[TranferTo]],0,1),"")</f>
        <v/>
      </c>
      <c r="BN166" s="24" t="str">
        <f t="shared" si="57"/>
        <v/>
      </c>
      <c r="BO166" s="24">
        <f t="shared" si="58"/>
        <v>0</v>
      </c>
      <c r="BP166" s="24">
        <f t="shared" si="59"/>
        <v>0</v>
      </c>
    </row>
    <row r="167" spans="2:68" s="24" customFormat="1" ht="12.75" x14ac:dyDescent="0.2">
      <c r="B167" s="97"/>
      <c r="C167" s="92"/>
      <c r="D167" s="92"/>
      <c r="E167" s="92"/>
      <c r="F167" s="31" t="str">
        <f>IF(G167=1,IF(ISERROR(TableCosts[[#This Row],[N_Tariff]]),Err_Message1,IF(TableCosts[[#This Row],[N_Tariff]]=0,Err_Message2,VLOOKUP(C167&amp;TableCosts[[#This Row],[Calc_N_Typ]],TRAN_STRITEMS_LABEL,5,FALSE))),"")</f>
        <v/>
      </c>
      <c r="G167" s="31">
        <f t="shared" si="48"/>
        <v>0</v>
      </c>
      <c r="H167" s="31" t="str">
        <f>IF(G167=1,IFERROR(VLOOKUP(F167,Tab_ErrMessage[],2,0),VLOOKUP(C167&amp;TableCosts[[#This Row],[Calc_N_Typ]],TRAN_STRITEMS_LABEL,4,FALSE)),"")</f>
        <v/>
      </c>
      <c r="I167" s="94"/>
      <c r="J167" s="94"/>
      <c r="K167" s="94"/>
      <c r="L167" s="84"/>
      <c r="M167" s="84"/>
      <c r="N167" s="84"/>
      <c r="O167" s="84"/>
      <c r="P167" s="84"/>
      <c r="Q167" s="84"/>
      <c r="R167" s="84"/>
      <c r="S167" s="84"/>
      <c r="T167" s="84"/>
      <c r="U167" s="84"/>
      <c r="V167" s="84"/>
      <c r="W167" s="84"/>
      <c r="X167" s="84"/>
      <c r="Y167" s="84"/>
      <c r="Z167" s="84"/>
      <c r="AA167" s="84"/>
      <c r="AB167" s="84"/>
      <c r="AC167" s="84"/>
      <c r="AD167" s="84"/>
      <c r="AE167" s="84"/>
      <c r="AF167" s="84"/>
      <c r="AG167" s="84"/>
      <c r="AH167" s="84"/>
      <c r="AI167" s="84"/>
      <c r="AJ167" s="84"/>
      <c r="AK167" s="84"/>
      <c r="AL167" s="84"/>
      <c r="AM167" s="84"/>
      <c r="AN167" s="84"/>
      <c r="AO167" s="84"/>
      <c r="AP167" s="84"/>
      <c r="AQ167" s="84"/>
      <c r="AR167" s="84"/>
      <c r="AS167" s="84"/>
      <c r="AT167" s="84"/>
      <c r="AU167" s="84"/>
      <c r="AV167" s="84"/>
      <c r="AW167" s="84"/>
      <c r="AX167" s="87">
        <f t="array" ref="AX167">IF(G167=1,SUM((ROW(M0)=ROW(AW167))*(M0+M1_+M2_+M3_+M4_+M5_+M6_+M7_+M8_+M9_+M10_+M11_+M12_+M13_+M14_+M15_+M16_+M17_+M18_+M19_+M20_+M21_+M22_+M23_+M24_+M25_+M26_+M27_+M28_+M29_+M30_+M31_+M32_+M33_+M34_+M35_+M36_+M37_)),0)</f>
        <v>0</v>
      </c>
      <c r="AZ167" s="24" t="str">
        <f t="shared" si="49"/>
        <v/>
      </c>
      <c r="BA167" s="24" t="str">
        <f t="shared" si="50"/>
        <v/>
      </c>
      <c r="BB167" s="24" t="str">
        <f t="shared" si="51"/>
        <v/>
      </c>
      <c r="BC167" s="24" t="str">
        <f>IF(OR(E167="",LEFT(TableCosts[[#This Row],[Calc_N_Typ]],18)="Vynaložené náklady"),"",VLOOKUP(E167,Tab_Parts,2,0))</f>
        <v/>
      </c>
      <c r="BD167" s="24" t="str">
        <f t="shared" si="52"/>
        <v/>
      </c>
      <c r="BE167" s="24">
        <f t="shared" si="53"/>
        <v>0</v>
      </c>
      <c r="BF167" s="72">
        <f>TableCosts[[#This Row],[N_Amount]]*TableCosts[[#This Row],[N_Tariff]]*TableCosts[[#This Row],[N_ItemsCount]]</f>
        <v>0</v>
      </c>
      <c r="BG167" s="72">
        <f>IF(G167=1,IF(TableCosts[[#This Row],[N_Kateg]]="interné práce",TableCosts[[#This Row],[N_Amount]]*8*PAR_SGA_PERHOUR,0),0)</f>
        <v>0</v>
      </c>
      <c r="BH167" s="72">
        <f>SUM(TableCosts[[#This Row],[N_Direct]:[N_SGA]])</f>
        <v>0</v>
      </c>
      <c r="BI167" s="24">
        <f>IF(G167=1,IF(OR(AND(NOT(ISERROR(VLOOKUP(TableCosts[[#This Row],[Calc_N_Typ]],Cis_WorkPositions,1,0))),C167&lt;&gt;"",D167&lt;&gt;"",E167&lt;&gt;""),AND(ISERROR(VLOOKUP(TableCosts[[#This Row],[Calc_N_Typ]],Cis_WorkPositions,1,0)),C167="",D167="",E167&lt;&gt;""),LEFT(TableCosts[[#This Row],[Calc_N_Typ]],18)="Vynaložené náklady"),VLOOKUP(C167&amp;TableCosts[[#This Row],[Calc_N_Typ]],TRAN_STRITEMS_LABEL,VLOOKUP(D167,Tab_Hours,3,0),0),NA()),0)</f>
        <v>0</v>
      </c>
      <c r="BJ167" s="24">
        <f t="shared" si="54"/>
        <v>0</v>
      </c>
      <c r="BK167" s="24" t="str">
        <f t="shared" si="55"/>
        <v/>
      </c>
      <c r="BL167" s="24" t="str">
        <f t="shared" si="56"/>
        <v/>
      </c>
      <c r="BM167" s="24" t="str">
        <f>IF(G167=1,IF(TableCosts[[#This Row],[TransferFrom]]=TableCosts[[#This Row],[TranferTo]],0,1),"")</f>
        <v/>
      </c>
      <c r="BN167" s="24" t="str">
        <f t="shared" si="57"/>
        <v/>
      </c>
      <c r="BO167" s="24">
        <f t="shared" si="58"/>
        <v>0</v>
      </c>
      <c r="BP167" s="24">
        <f t="shared" si="59"/>
        <v>0</v>
      </c>
    </row>
    <row r="168" spans="2:68" s="24" customFormat="1" ht="12.75" x14ac:dyDescent="0.2">
      <c r="B168" s="97"/>
      <c r="C168" s="92"/>
      <c r="D168" s="92"/>
      <c r="E168" s="92"/>
      <c r="F168" s="31" t="str">
        <f>IF(G168=1,IF(ISERROR(TableCosts[[#This Row],[N_Tariff]]),Err_Message1,IF(TableCosts[[#This Row],[N_Tariff]]=0,Err_Message2,VLOOKUP(C168&amp;TableCosts[[#This Row],[Calc_N_Typ]],TRAN_STRITEMS_LABEL,5,FALSE))),"")</f>
        <v/>
      </c>
      <c r="G168" s="31">
        <f t="shared" si="48"/>
        <v>0</v>
      </c>
      <c r="H168" s="31" t="str">
        <f>IF(G168=1,IFERROR(VLOOKUP(F168,Tab_ErrMessage[],2,0),VLOOKUP(C168&amp;TableCosts[[#This Row],[Calc_N_Typ]],TRAN_STRITEMS_LABEL,4,FALSE)),"")</f>
        <v/>
      </c>
      <c r="I168" s="94"/>
      <c r="J168" s="94"/>
      <c r="K168" s="94"/>
      <c r="L168" s="84"/>
      <c r="M168" s="84"/>
      <c r="N168" s="84"/>
      <c r="O168" s="84"/>
      <c r="P168" s="84"/>
      <c r="Q168" s="84"/>
      <c r="R168" s="84"/>
      <c r="S168" s="84"/>
      <c r="T168" s="84"/>
      <c r="U168" s="84"/>
      <c r="V168" s="84"/>
      <c r="W168" s="84"/>
      <c r="X168" s="84"/>
      <c r="Y168" s="84"/>
      <c r="Z168" s="84"/>
      <c r="AA168" s="84"/>
      <c r="AB168" s="84"/>
      <c r="AC168" s="84"/>
      <c r="AD168" s="84"/>
      <c r="AE168" s="84"/>
      <c r="AF168" s="84"/>
      <c r="AG168" s="84"/>
      <c r="AH168" s="84"/>
      <c r="AI168" s="84"/>
      <c r="AJ168" s="84"/>
      <c r="AK168" s="84"/>
      <c r="AL168" s="84"/>
      <c r="AM168" s="84"/>
      <c r="AN168" s="84"/>
      <c r="AO168" s="84"/>
      <c r="AP168" s="84"/>
      <c r="AQ168" s="84"/>
      <c r="AR168" s="84"/>
      <c r="AS168" s="84"/>
      <c r="AT168" s="84"/>
      <c r="AU168" s="84"/>
      <c r="AV168" s="84"/>
      <c r="AW168" s="84"/>
      <c r="AX168" s="87">
        <f t="array" ref="AX168">IF(G168=1,SUM((ROW(M0)=ROW(AW168))*(M0+M1_+M2_+M3_+M4_+M5_+M6_+M7_+M8_+M9_+M10_+M11_+M12_+M13_+M14_+M15_+M16_+M17_+M18_+M19_+M20_+M21_+M22_+M23_+M24_+M25_+M26_+M27_+M28_+M29_+M30_+M31_+M32_+M33_+M34_+M35_+M36_+M37_)),0)</f>
        <v>0</v>
      </c>
      <c r="AZ168" s="24" t="str">
        <f t="shared" si="49"/>
        <v/>
      </c>
      <c r="BA168" s="24" t="str">
        <f t="shared" si="50"/>
        <v/>
      </c>
      <c r="BB168" s="24" t="str">
        <f t="shared" si="51"/>
        <v/>
      </c>
      <c r="BC168" s="24" t="str">
        <f>IF(OR(E168="",LEFT(TableCosts[[#This Row],[Calc_N_Typ]],18)="Vynaložené náklady"),"",VLOOKUP(E168,Tab_Parts,2,0))</f>
        <v/>
      </c>
      <c r="BD168" s="24" t="str">
        <f t="shared" si="52"/>
        <v/>
      </c>
      <c r="BE168" s="24">
        <f t="shared" si="53"/>
        <v>0</v>
      </c>
      <c r="BF168" s="72">
        <f>TableCosts[[#This Row],[N_Amount]]*TableCosts[[#This Row],[N_Tariff]]*TableCosts[[#This Row],[N_ItemsCount]]</f>
        <v>0</v>
      </c>
      <c r="BG168" s="72">
        <f>IF(G168=1,IF(TableCosts[[#This Row],[N_Kateg]]="interné práce",TableCosts[[#This Row],[N_Amount]]*8*PAR_SGA_PERHOUR,0),0)</f>
        <v>0</v>
      </c>
      <c r="BH168" s="72">
        <f>SUM(TableCosts[[#This Row],[N_Direct]:[N_SGA]])</f>
        <v>0</v>
      </c>
      <c r="BI168" s="24">
        <f>IF(G168=1,IF(OR(AND(NOT(ISERROR(VLOOKUP(TableCosts[[#This Row],[Calc_N_Typ]],Cis_WorkPositions,1,0))),C168&lt;&gt;"",D168&lt;&gt;"",E168&lt;&gt;""),AND(ISERROR(VLOOKUP(TableCosts[[#This Row],[Calc_N_Typ]],Cis_WorkPositions,1,0)),C168="",D168="",E168&lt;&gt;""),LEFT(TableCosts[[#This Row],[Calc_N_Typ]],18)="Vynaložené náklady"),VLOOKUP(C168&amp;TableCosts[[#This Row],[Calc_N_Typ]],TRAN_STRITEMS_LABEL,VLOOKUP(D168,Tab_Hours,3,0),0),NA()),0)</f>
        <v>0</v>
      </c>
      <c r="BJ168" s="24">
        <f t="shared" si="54"/>
        <v>0</v>
      </c>
      <c r="BK168" s="24" t="str">
        <f t="shared" si="55"/>
        <v/>
      </c>
      <c r="BL168" s="24" t="str">
        <f t="shared" si="56"/>
        <v/>
      </c>
      <c r="BM168" s="24" t="str">
        <f>IF(G168=1,IF(TableCosts[[#This Row],[TransferFrom]]=TableCosts[[#This Row],[TranferTo]],0,1),"")</f>
        <v/>
      </c>
      <c r="BN168" s="24" t="str">
        <f t="shared" si="57"/>
        <v/>
      </c>
      <c r="BO168" s="24">
        <f t="shared" si="58"/>
        <v>0</v>
      </c>
      <c r="BP168" s="24">
        <f t="shared" si="59"/>
        <v>0</v>
      </c>
    </row>
    <row r="169" spans="2:68" s="24" customFormat="1" ht="12.75" x14ac:dyDescent="0.2">
      <c r="B169" s="97"/>
      <c r="C169" s="92"/>
      <c r="D169" s="92"/>
      <c r="E169" s="92"/>
      <c r="F169" s="31" t="str">
        <f>IF(G169=1,IF(ISERROR(TableCosts[[#This Row],[N_Tariff]]),Err_Message1,IF(TableCosts[[#This Row],[N_Tariff]]=0,Err_Message2,VLOOKUP(C169&amp;TableCosts[[#This Row],[Calc_N_Typ]],TRAN_STRITEMS_LABEL,5,FALSE))),"")</f>
        <v/>
      </c>
      <c r="G169" s="31">
        <f t="shared" si="48"/>
        <v>0</v>
      </c>
      <c r="H169" s="31" t="str">
        <f>IF(G169=1,IFERROR(VLOOKUP(F169,Tab_ErrMessage[],2,0),VLOOKUP(C169&amp;TableCosts[[#This Row],[Calc_N_Typ]],TRAN_STRITEMS_LABEL,4,FALSE)),"")</f>
        <v/>
      </c>
      <c r="I169" s="94"/>
      <c r="J169" s="94"/>
      <c r="K169" s="94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84"/>
      <c r="W169" s="84"/>
      <c r="X169" s="84"/>
      <c r="Y169" s="84"/>
      <c r="Z169" s="84"/>
      <c r="AA169" s="84"/>
      <c r="AB169" s="84"/>
      <c r="AC169" s="84"/>
      <c r="AD169" s="84"/>
      <c r="AE169" s="84"/>
      <c r="AF169" s="84"/>
      <c r="AG169" s="84"/>
      <c r="AH169" s="84"/>
      <c r="AI169" s="84"/>
      <c r="AJ169" s="84"/>
      <c r="AK169" s="84"/>
      <c r="AL169" s="84"/>
      <c r="AM169" s="84"/>
      <c r="AN169" s="84"/>
      <c r="AO169" s="84"/>
      <c r="AP169" s="84"/>
      <c r="AQ169" s="84"/>
      <c r="AR169" s="84"/>
      <c r="AS169" s="84"/>
      <c r="AT169" s="84"/>
      <c r="AU169" s="84"/>
      <c r="AV169" s="84"/>
      <c r="AW169" s="84"/>
      <c r="AX169" s="87">
        <f t="array" ref="AX169">IF(G169=1,SUM((ROW(M0)=ROW(AW169))*(M0+M1_+M2_+M3_+M4_+M5_+M6_+M7_+M8_+M9_+M10_+M11_+M12_+M13_+M14_+M15_+M16_+M17_+M18_+M19_+M20_+M21_+M22_+M23_+M24_+M25_+M26_+M27_+M28_+M29_+M30_+M31_+M32_+M33_+M34_+M35_+M36_+M37_)),0)</f>
        <v>0</v>
      </c>
      <c r="AZ169" s="24" t="str">
        <f t="shared" si="49"/>
        <v/>
      </c>
      <c r="BA169" s="24" t="str">
        <f t="shared" si="50"/>
        <v/>
      </c>
      <c r="BB169" s="24" t="str">
        <f t="shared" si="51"/>
        <v/>
      </c>
      <c r="BC169" s="24" t="str">
        <f>IF(OR(E169="",LEFT(TableCosts[[#This Row],[Calc_N_Typ]],18)="Vynaložené náklady"),"",VLOOKUP(E169,Tab_Parts,2,0))</f>
        <v/>
      </c>
      <c r="BD169" s="24" t="str">
        <f t="shared" si="52"/>
        <v/>
      </c>
      <c r="BE169" s="24">
        <f t="shared" si="53"/>
        <v>0</v>
      </c>
      <c r="BF169" s="72">
        <f>TableCosts[[#This Row],[N_Amount]]*TableCosts[[#This Row],[N_Tariff]]*TableCosts[[#This Row],[N_ItemsCount]]</f>
        <v>0</v>
      </c>
      <c r="BG169" s="72">
        <f>IF(G169=1,IF(TableCosts[[#This Row],[N_Kateg]]="interné práce",TableCosts[[#This Row],[N_Amount]]*8*PAR_SGA_PERHOUR,0),0)</f>
        <v>0</v>
      </c>
      <c r="BH169" s="72">
        <f>SUM(TableCosts[[#This Row],[N_Direct]:[N_SGA]])</f>
        <v>0</v>
      </c>
      <c r="BI169" s="24">
        <f>IF(G169=1,IF(OR(AND(NOT(ISERROR(VLOOKUP(TableCosts[[#This Row],[Calc_N_Typ]],Cis_WorkPositions,1,0))),C169&lt;&gt;"",D169&lt;&gt;"",E169&lt;&gt;""),AND(ISERROR(VLOOKUP(TableCosts[[#This Row],[Calc_N_Typ]],Cis_WorkPositions,1,0)),C169="",D169="",E169&lt;&gt;""),LEFT(TableCosts[[#This Row],[Calc_N_Typ]],18)="Vynaložené náklady"),VLOOKUP(C169&amp;TableCosts[[#This Row],[Calc_N_Typ]],TRAN_STRITEMS_LABEL,VLOOKUP(D169,Tab_Hours,3,0),0),NA()),0)</f>
        <v>0</v>
      </c>
      <c r="BJ169" s="24">
        <f t="shared" si="54"/>
        <v>0</v>
      </c>
      <c r="BK169" s="24" t="str">
        <f t="shared" si="55"/>
        <v/>
      </c>
      <c r="BL169" s="24" t="str">
        <f t="shared" si="56"/>
        <v/>
      </c>
      <c r="BM169" s="24" t="str">
        <f>IF(G169=1,IF(TableCosts[[#This Row],[TransferFrom]]=TableCosts[[#This Row],[TranferTo]],0,1),"")</f>
        <v/>
      </c>
      <c r="BN169" s="24" t="str">
        <f t="shared" si="57"/>
        <v/>
      </c>
      <c r="BO169" s="24">
        <f t="shared" si="58"/>
        <v>0</v>
      </c>
      <c r="BP169" s="24">
        <f t="shared" si="59"/>
        <v>0</v>
      </c>
    </row>
    <row r="170" spans="2:68" s="24" customFormat="1" ht="12.75" x14ac:dyDescent="0.2">
      <c r="B170" s="97"/>
      <c r="C170" s="92"/>
      <c r="D170" s="92"/>
      <c r="E170" s="92"/>
      <c r="F170" s="31" t="str">
        <f>IF(G170=1,IF(ISERROR(TableCosts[[#This Row],[N_Tariff]]),Err_Message1,IF(TableCosts[[#This Row],[N_Tariff]]=0,Err_Message2,VLOOKUP(C170&amp;TableCosts[[#This Row],[Calc_N_Typ]],TRAN_STRITEMS_LABEL,5,FALSE))),"")</f>
        <v/>
      </c>
      <c r="G170" s="31">
        <f t="shared" si="48"/>
        <v>0</v>
      </c>
      <c r="H170" s="31" t="str">
        <f>IF(G170=1,IFERROR(VLOOKUP(F170,Tab_ErrMessage[],2,0),VLOOKUP(C170&amp;TableCosts[[#This Row],[Calc_N_Typ]],TRAN_STRITEMS_LABEL,4,FALSE)),"")</f>
        <v/>
      </c>
      <c r="I170" s="94"/>
      <c r="J170" s="94"/>
      <c r="K170" s="94"/>
      <c r="L170" s="84"/>
      <c r="M170" s="84"/>
      <c r="N170" s="84"/>
      <c r="O170" s="84"/>
      <c r="P170" s="84"/>
      <c r="Q170" s="84"/>
      <c r="R170" s="84"/>
      <c r="S170" s="84"/>
      <c r="T170" s="84"/>
      <c r="U170" s="84"/>
      <c r="V170" s="84"/>
      <c r="W170" s="84"/>
      <c r="X170" s="84"/>
      <c r="Y170" s="84"/>
      <c r="Z170" s="84"/>
      <c r="AA170" s="84"/>
      <c r="AB170" s="84"/>
      <c r="AC170" s="84"/>
      <c r="AD170" s="84"/>
      <c r="AE170" s="84"/>
      <c r="AF170" s="84"/>
      <c r="AG170" s="84"/>
      <c r="AH170" s="84"/>
      <c r="AI170" s="84"/>
      <c r="AJ170" s="84"/>
      <c r="AK170" s="84"/>
      <c r="AL170" s="84"/>
      <c r="AM170" s="84"/>
      <c r="AN170" s="84"/>
      <c r="AO170" s="84"/>
      <c r="AP170" s="84"/>
      <c r="AQ170" s="84"/>
      <c r="AR170" s="84"/>
      <c r="AS170" s="84"/>
      <c r="AT170" s="84"/>
      <c r="AU170" s="84"/>
      <c r="AV170" s="84"/>
      <c r="AW170" s="84"/>
      <c r="AX170" s="87">
        <f t="array" ref="AX170">IF(G170=1,SUM((ROW(M0)=ROW(AW170))*(M0+M1_+M2_+M3_+M4_+M5_+M6_+M7_+M8_+M9_+M10_+M11_+M12_+M13_+M14_+M15_+M16_+M17_+M18_+M19_+M20_+M21_+M22_+M23_+M24_+M25_+M26_+M27_+M28_+M29_+M30_+M31_+M32_+M33_+M34_+M35_+M36_+M37_)),0)</f>
        <v>0</v>
      </c>
      <c r="AZ170" s="24" t="str">
        <f t="shared" si="49"/>
        <v/>
      </c>
      <c r="BA170" s="24" t="str">
        <f t="shared" si="50"/>
        <v/>
      </c>
      <c r="BB170" s="24" t="str">
        <f t="shared" si="51"/>
        <v/>
      </c>
      <c r="BC170" s="24" t="str">
        <f>IF(OR(E170="",LEFT(TableCosts[[#This Row],[Calc_N_Typ]],18)="Vynaložené náklady"),"",VLOOKUP(E170,Tab_Parts,2,0))</f>
        <v/>
      </c>
      <c r="BD170" s="24" t="str">
        <f t="shared" si="52"/>
        <v/>
      </c>
      <c r="BE170" s="24">
        <f t="shared" si="53"/>
        <v>0</v>
      </c>
      <c r="BF170" s="72">
        <f>TableCosts[[#This Row],[N_Amount]]*TableCosts[[#This Row],[N_Tariff]]*TableCosts[[#This Row],[N_ItemsCount]]</f>
        <v>0</v>
      </c>
      <c r="BG170" s="72">
        <f>IF(G170=1,IF(TableCosts[[#This Row],[N_Kateg]]="interné práce",TableCosts[[#This Row],[N_Amount]]*8*PAR_SGA_PERHOUR,0),0)</f>
        <v>0</v>
      </c>
      <c r="BH170" s="72">
        <f>SUM(TableCosts[[#This Row],[N_Direct]:[N_SGA]])</f>
        <v>0</v>
      </c>
      <c r="BI170" s="24">
        <f>IF(G170=1,IF(OR(AND(NOT(ISERROR(VLOOKUP(TableCosts[[#This Row],[Calc_N_Typ]],Cis_WorkPositions,1,0))),C170&lt;&gt;"",D170&lt;&gt;"",E170&lt;&gt;""),AND(ISERROR(VLOOKUP(TableCosts[[#This Row],[Calc_N_Typ]],Cis_WorkPositions,1,0)),C170="",D170="",E170&lt;&gt;""),LEFT(TableCosts[[#This Row],[Calc_N_Typ]],18)="Vynaložené náklady"),VLOOKUP(C170&amp;TableCosts[[#This Row],[Calc_N_Typ]],TRAN_STRITEMS_LABEL,VLOOKUP(D170,Tab_Hours,3,0),0),NA()),0)</f>
        <v>0</v>
      </c>
      <c r="BJ170" s="24">
        <f t="shared" si="54"/>
        <v>0</v>
      </c>
      <c r="BK170" s="24" t="str">
        <f t="shared" si="55"/>
        <v/>
      </c>
      <c r="BL170" s="24" t="str">
        <f t="shared" si="56"/>
        <v/>
      </c>
      <c r="BM170" s="24" t="str">
        <f>IF(G170=1,IF(TableCosts[[#This Row],[TransferFrom]]=TableCosts[[#This Row],[TranferTo]],0,1),"")</f>
        <v/>
      </c>
      <c r="BN170" s="24" t="str">
        <f t="shared" si="57"/>
        <v/>
      </c>
      <c r="BO170" s="24">
        <f t="shared" si="58"/>
        <v>0</v>
      </c>
      <c r="BP170" s="24">
        <f t="shared" si="59"/>
        <v>0</v>
      </c>
    </row>
    <row r="171" spans="2:68" s="24" customFormat="1" ht="12.75" x14ac:dyDescent="0.2">
      <c r="B171" s="97"/>
      <c r="C171" s="92"/>
      <c r="D171" s="92"/>
      <c r="E171" s="92"/>
      <c r="F171" s="31" t="str">
        <f>IF(G171=1,IF(ISERROR(TableCosts[[#This Row],[N_Tariff]]),Err_Message1,IF(TableCosts[[#This Row],[N_Tariff]]=0,Err_Message2,VLOOKUP(C171&amp;TableCosts[[#This Row],[Calc_N_Typ]],TRAN_STRITEMS_LABEL,5,FALSE))),"")</f>
        <v/>
      </c>
      <c r="G171" s="31">
        <f t="shared" si="48"/>
        <v>0</v>
      </c>
      <c r="H171" s="31" t="str">
        <f>IF(G171=1,IFERROR(VLOOKUP(F171,Tab_ErrMessage[],2,0),VLOOKUP(C171&amp;TableCosts[[#This Row],[Calc_N_Typ]],TRAN_STRITEMS_LABEL,4,FALSE)),"")</f>
        <v/>
      </c>
      <c r="I171" s="94"/>
      <c r="J171" s="94"/>
      <c r="K171" s="94"/>
      <c r="L171" s="84"/>
      <c r="M171" s="84"/>
      <c r="N171" s="84"/>
      <c r="O171" s="84"/>
      <c r="P171" s="84"/>
      <c r="Q171" s="84"/>
      <c r="R171" s="84"/>
      <c r="S171" s="84"/>
      <c r="T171" s="84"/>
      <c r="U171" s="84"/>
      <c r="V171" s="84"/>
      <c r="W171" s="84"/>
      <c r="X171" s="84"/>
      <c r="Y171" s="84"/>
      <c r="Z171" s="84"/>
      <c r="AA171" s="84"/>
      <c r="AB171" s="84"/>
      <c r="AC171" s="84"/>
      <c r="AD171" s="84"/>
      <c r="AE171" s="84"/>
      <c r="AF171" s="84"/>
      <c r="AG171" s="84"/>
      <c r="AH171" s="84"/>
      <c r="AI171" s="84"/>
      <c r="AJ171" s="84"/>
      <c r="AK171" s="84"/>
      <c r="AL171" s="84"/>
      <c r="AM171" s="84"/>
      <c r="AN171" s="84"/>
      <c r="AO171" s="84"/>
      <c r="AP171" s="84"/>
      <c r="AQ171" s="84"/>
      <c r="AR171" s="84"/>
      <c r="AS171" s="84"/>
      <c r="AT171" s="84"/>
      <c r="AU171" s="84"/>
      <c r="AV171" s="84"/>
      <c r="AW171" s="84"/>
      <c r="AX171" s="87">
        <f t="array" ref="AX171">IF(G171=1,SUM((ROW(M0)=ROW(AW171))*(M0+M1_+M2_+M3_+M4_+M5_+M6_+M7_+M8_+M9_+M10_+M11_+M12_+M13_+M14_+M15_+M16_+M17_+M18_+M19_+M20_+M21_+M22_+M23_+M24_+M25_+M26_+M27_+M28_+M29_+M30_+M31_+M32_+M33_+M34_+M35_+M36_+M37_)),0)</f>
        <v>0</v>
      </c>
      <c r="AZ171" s="24" t="str">
        <f t="shared" si="49"/>
        <v/>
      </c>
      <c r="BA171" s="24" t="str">
        <f t="shared" si="50"/>
        <v/>
      </c>
      <c r="BB171" s="24" t="str">
        <f t="shared" si="51"/>
        <v/>
      </c>
      <c r="BC171" s="24" t="str">
        <f>IF(OR(E171="",LEFT(TableCosts[[#This Row],[Calc_N_Typ]],18)="Vynaložené náklady"),"",VLOOKUP(E171,Tab_Parts,2,0))</f>
        <v/>
      </c>
      <c r="BD171" s="24" t="str">
        <f t="shared" si="52"/>
        <v/>
      </c>
      <c r="BE171" s="24">
        <f t="shared" si="53"/>
        <v>0</v>
      </c>
      <c r="BF171" s="72">
        <f>TableCosts[[#This Row],[N_Amount]]*TableCosts[[#This Row],[N_Tariff]]*TableCosts[[#This Row],[N_ItemsCount]]</f>
        <v>0</v>
      </c>
      <c r="BG171" s="72">
        <f>IF(G171=1,IF(TableCosts[[#This Row],[N_Kateg]]="interné práce",TableCosts[[#This Row],[N_Amount]]*8*PAR_SGA_PERHOUR,0),0)</f>
        <v>0</v>
      </c>
      <c r="BH171" s="72">
        <f>SUM(TableCosts[[#This Row],[N_Direct]:[N_SGA]])</f>
        <v>0</v>
      </c>
      <c r="BI171" s="24">
        <f>IF(G171=1,IF(OR(AND(NOT(ISERROR(VLOOKUP(TableCosts[[#This Row],[Calc_N_Typ]],Cis_WorkPositions,1,0))),C171&lt;&gt;"",D171&lt;&gt;"",E171&lt;&gt;""),AND(ISERROR(VLOOKUP(TableCosts[[#This Row],[Calc_N_Typ]],Cis_WorkPositions,1,0)),C171="",D171="",E171&lt;&gt;""),LEFT(TableCosts[[#This Row],[Calc_N_Typ]],18)="Vynaložené náklady"),VLOOKUP(C171&amp;TableCosts[[#This Row],[Calc_N_Typ]],TRAN_STRITEMS_LABEL,VLOOKUP(D171,Tab_Hours,3,0),0),NA()),0)</f>
        <v>0</v>
      </c>
      <c r="BJ171" s="24">
        <f t="shared" si="54"/>
        <v>0</v>
      </c>
      <c r="BK171" s="24" t="str">
        <f t="shared" si="55"/>
        <v/>
      </c>
      <c r="BL171" s="24" t="str">
        <f t="shared" si="56"/>
        <v/>
      </c>
      <c r="BM171" s="24" t="str">
        <f>IF(G171=1,IF(TableCosts[[#This Row],[TransferFrom]]=TableCosts[[#This Row],[TranferTo]],0,1),"")</f>
        <v/>
      </c>
      <c r="BN171" s="24" t="str">
        <f t="shared" si="57"/>
        <v/>
      </c>
      <c r="BO171" s="24">
        <f t="shared" si="58"/>
        <v>0</v>
      </c>
      <c r="BP171" s="24">
        <f t="shared" si="59"/>
        <v>0</v>
      </c>
    </row>
    <row r="172" spans="2:68" s="24" customFormat="1" ht="12.75" x14ac:dyDescent="0.2">
      <c r="B172" s="97"/>
      <c r="C172" s="92"/>
      <c r="D172" s="92"/>
      <c r="E172" s="92"/>
      <c r="F172" s="31" t="str">
        <f>IF(G172=1,IF(ISERROR(TableCosts[[#This Row],[N_Tariff]]),Err_Message1,IF(TableCosts[[#This Row],[N_Tariff]]=0,Err_Message2,VLOOKUP(C172&amp;TableCosts[[#This Row],[Calc_N_Typ]],TRAN_STRITEMS_LABEL,5,FALSE))),"")</f>
        <v/>
      </c>
      <c r="G172" s="31">
        <f t="shared" si="48"/>
        <v>0</v>
      </c>
      <c r="H172" s="31" t="str">
        <f>IF(G172=1,IFERROR(VLOOKUP(F172,Tab_ErrMessage[],2,0),VLOOKUP(C172&amp;TableCosts[[#This Row],[Calc_N_Typ]],TRAN_STRITEMS_LABEL,4,FALSE)),"")</f>
        <v/>
      </c>
      <c r="I172" s="94"/>
      <c r="J172" s="94"/>
      <c r="K172" s="94"/>
      <c r="L172" s="84"/>
      <c r="M172" s="84"/>
      <c r="N172" s="84"/>
      <c r="O172" s="84"/>
      <c r="P172" s="84"/>
      <c r="Q172" s="84"/>
      <c r="R172" s="84"/>
      <c r="S172" s="84"/>
      <c r="T172" s="84"/>
      <c r="U172" s="84"/>
      <c r="V172" s="84"/>
      <c r="W172" s="84"/>
      <c r="X172" s="84"/>
      <c r="Y172" s="84"/>
      <c r="Z172" s="84"/>
      <c r="AA172" s="84"/>
      <c r="AB172" s="84"/>
      <c r="AC172" s="84"/>
      <c r="AD172" s="84"/>
      <c r="AE172" s="84"/>
      <c r="AF172" s="84"/>
      <c r="AG172" s="84"/>
      <c r="AH172" s="84"/>
      <c r="AI172" s="84"/>
      <c r="AJ172" s="84"/>
      <c r="AK172" s="84"/>
      <c r="AL172" s="84"/>
      <c r="AM172" s="84"/>
      <c r="AN172" s="84"/>
      <c r="AO172" s="84"/>
      <c r="AP172" s="84"/>
      <c r="AQ172" s="84"/>
      <c r="AR172" s="84"/>
      <c r="AS172" s="84"/>
      <c r="AT172" s="84"/>
      <c r="AU172" s="84"/>
      <c r="AV172" s="84"/>
      <c r="AW172" s="84"/>
      <c r="AX172" s="87">
        <f t="array" ref="AX172">IF(G172=1,SUM((ROW(M0)=ROW(AW172))*(M0+M1_+M2_+M3_+M4_+M5_+M6_+M7_+M8_+M9_+M10_+M11_+M12_+M13_+M14_+M15_+M16_+M17_+M18_+M19_+M20_+M21_+M22_+M23_+M24_+M25_+M26_+M27_+M28_+M29_+M30_+M31_+M32_+M33_+M34_+M35_+M36_+M37_)),0)</f>
        <v>0</v>
      </c>
      <c r="AZ172" s="24" t="str">
        <f t="shared" si="49"/>
        <v/>
      </c>
      <c r="BA172" s="24" t="str">
        <f t="shared" si="50"/>
        <v/>
      </c>
      <c r="BB172" s="24" t="str">
        <f t="shared" si="51"/>
        <v/>
      </c>
      <c r="BC172" s="24" t="str">
        <f>IF(OR(E172="",LEFT(TableCosts[[#This Row],[Calc_N_Typ]],18)="Vynaložené náklady"),"",VLOOKUP(E172,Tab_Parts,2,0))</f>
        <v/>
      </c>
      <c r="BD172" s="24" t="str">
        <f t="shared" si="52"/>
        <v/>
      </c>
      <c r="BE172" s="24">
        <f t="shared" si="53"/>
        <v>0</v>
      </c>
      <c r="BF172" s="72">
        <f>TableCosts[[#This Row],[N_Amount]]*TableCosts[[#This Row],[N_Tariff]]*TableCosts[[#This Row],[N_ItemsCount]]</f>
        <v>0</v>
      </c>
      <c r="BG172" s="72">
        <f>IF(G172=1,IF(TableCosts[[#This Row],[N_Kateg]]="interné práce",TableCosts[[#This Row],[N_Amount]]*8*PAR_SGA_PERHOUR,0),0)</f>
        <v>0</v>
      </c>
      <c r="BH172" s="72">
        <f>SUM(TableCosts[[#This Row],[N_Direct]:[N_SGA]])</f>
        <v>0</v>
      </c>
      <c r="BI172" s="24">
        <f>IF(G172=1,IF(OR(AND(NOT(ISERROR(VLOOKUP(TableCosts[[#This Row],[Calc_N_Typ]],Cis_WorkPositions,1,0))),C172&lt;&gt;"",D172&lt;&gt;"",E172&lt;&gt;""),AND(ISERROR(VLOOKUP(TableCosts[[#This Row],[Calc_N_Typ]],Cis_WorkPositions,1,0)),C172="",D172="",E172&lt;&gt;""),LEFT(TableCosts[[#This Row],[Calc_N_Typ]],18)="Vynaložené náklady"),VLOOKUP(C172&amp;TableCosts[[#This Row],[Calc_N_Typ]],TRAN_STRITEMS_LABEL,VLOOKUP(D172,Tab_Hours,3,0),0),NA()),0)</f>
        <v>0</v>
      </c>
      <c r="BJ172" s="24">
        <f t="shared" si="54"/>
        <v>0</v>
      </c>
      <c r="BK172" s="24" t="str">
        <f t="shared" si="55"/>
        <v/>
      </c>
      <c r="BL172" s="24" t="str">
        <f t="shared" si="56"/>
        <v/>
      </c>
      <c r="BM172" s="24" t="str">
        <f>IF(G172=1,IF(TableCosts[[#This Row],[TransferFrom]]=TableCosts[[#This Row],[TranferTo]],0,1),"")</f>
        <v/>
      </c>
      <c r="BN172" s="24" t="str">
        <f t="shared" si="57"/>
        <v/>
      </c>
      <c r="BO172" s="24">
        <f t="shared" si="58"/>
        <v>0</v>
      </c>
      <c r="BP172" s="24">
        <f t="shared" si="59"/>
        <v>0</v>
      </c>
    </row>
    <row r="173" spans="2:68" s="24" customFormat="1" ht="12.75" x14ac:dyDescent="0.2">
      <c r="B173" s="97"/>
      <c r="C173" s="92"/>
      <c r="D173" s="92"/>
      <c r="E173" s="92"/>
      <c r="F173" s="31" t="str">
        <f>IF(G173=1,IF(ISERROR(TableCosts[[#This Row],[N_Tariff]]),Err_Message1,IF(TableCosts[[#This Row],[N_Tariff]]=0,Err_Message2,VLOOKUP(C173&amp;TableCosts[[#This Row],[Calc_N_Typ]],TRAN_STRITEMS_LABEL,5,FALSE))),"")</f>
        <v/>
      </c>
      <c r="G173" s="31">
        <f t="shared" si="48"/>
        <v>0</v>
      </c>
      <c r="H173" s="31" t="str">
        <f>IF(G173=1,IFERROR(VLOOKUP(F173,Tab_ErrMessage[],2,0),VLOOKUP(C173&amp;TableCosts[[#This Row],[Calc_N_Typ]],TRAN_STRITEMS_LABEL,4,FALSE)),"")</f>
        <v/>
      </c>
      <c r="I173" s="94"/>
      <c r="J173" s="94"/>
      <c r="K173" s="94"/>
      <c r="L173" s="84"/>
      <c r="M173" s="84"/>
      <c r="N173" s="84"/>
      <c r="O173" s="84"/>
      <c r="P173" s="84"/>
      <c r="Q173" s="84"/>
      <c r="R173" s="84"/>
      <c r="S173" s="84"/>
      <c r="T173" s="84"/>
      <c r="U173" s="84"/>
      <c r="V173" s="84"/>
      <c r="W173" s="84"/>
      <c r="X173" s="84"/>
      <c r="Y173" s="84"/>
      <c r="Z173" s="84"/>
      <c r="AA173" s="84"/>
      <c r="AB173" s="84"/>
      <c r="AC173" s="84"/>
      <c r="AD173" s="84"/>
      <c r="AE173" s="84"/>
      <c r="AF173" s="84"/>
      <c r="AG173" s="84"/>
      <c r="AH173" s="84"/>
      <c r="AI173" s="84"/>
      <c r="AJ173" s="84"/>
      <c r="AK173" s="84"/>
      <c r="AL173" s="84"/>
      <c r="AM173" s="84"/>
      <c r="AN173" s="84"/>
      <c r="AO173" s="84"/>
      <c r="AP173" s="84"/>
      <c r="AQ173" s="84"/>
      <c r="AR173" s="84"/>
      <c r="AS173" s="84"/>
      <c r="AT173" s="84"/>
      <c r="AU173" s="84"/>
      <c r="AV173" s="84"/>
      <c r="AW173" s="84"/>
      <c r="AX173" s="87">
        <f t="array" ref="AX173">IF(G173=1,SUM((ROW(M0)=ROW(AW173))*(M0+M1_+M2_+M3_+M4_+M5_+M6_+M7_+M8_+M9_+M10_+M11_+M12_+M13_+M14_+M15_+M16_+M17_+M18_+M19_+M20_+M21_+M22_+M23_+M24_+M25_+M26_+M27_+M28_+M29_+M30_+M31_+M32_+M33_+M34_+M35_+M36_+M37_)),0)</f>
        <v>0</v>
      </c>
      <c r="AZ173" s="24" t="str">
        <f t="shared" si="49"/>
        <v/>
      </c>
      <c r="BA173" s="24" t="str">
        <f t="shared" si="50"/>
        <v/>
      </c>
      <c r="BB173" s="24" t="str">
        <f t="shared" si="51"/>
        <v/>
      </c>
      <c r="BC173" s="24" t="str">
        <f>IF(OR(E173="",LEFT(TableCosts[[#This Row],[Calc_N_Typ]],18)="Vynaložené náklady"),"",VLOOKUP(E173,Tab_Parts,2,0))</f>
        <v/>
      </c>
      <c r="BD173" s="24" t="str">
        <f t="shared" si="52"/>
        <v/>
      </c>
      <c r="BE173" s="24">
        <f t="shared" si="53"/>
        <v>0</v>
      </c>
      <c r="BF173" s="72">
        <f>TableCosts[[#This Row],[N_Amount]]*TableCosts[[#This Row],[N_Tariff]]*TableCosts[[#This Row],[N_ItemsCount]]</f>
        <v>0</v>
      </c>
      <c r="BG173" s="72">
        <f>IF(G173=1,IF(TableCosts[[#This Row],[N_Kateg]]="interné práce",TableCosts[[#This Row],[N_Amount]]*8*PAR_SGA_PERHOUR,0),0)</f>
        <v>0</v>
      </c>
      <c r="BH173" s="72">
        <f>SUM(TableCosts[[#This Row],[N_Direct]:[N_SGA]])</f>
        <v>0</v>
      </c>
      <c r="BI173" s="24">
        <f>IF(G173=1,IF(OR(AND(NOT(ISERROR(VLOOKUP(TableCosts[[#This Row],[Calc_N_Typ]],Cis_WorkPositions,1,0))),C173&lt;&gt;"",D173&lt;&gt;"",E173&lt;&gt;""),AND(ISERROR(VLOOKUP(TableCosts[[#This Row],[Calc_N_Typ]],Cis_WorkPositions,1,0)),C173="",D173="",E173&lt;&gt;""),LEFT(TableCosts[[#This Row],[Calc_N_Typ]],18)="Vynaložené náklady"),VLOOKUP(C173&amp;TableCosts[[#This Row],[Calc_N_Typ]],TRAN_STRITEMS_LABEL,VLOOKUP(D173,Tab_Hours,3,0),0),NA()),0)</f>
        <v>0</v>
      </c>
      <c r="BJ173" s="24">
        <f t="shared" si="54"/>
        <v>0</v>
      </c>
      <c r="BK173" s="24" t="str">
        <f t="shared" si="55"/>
        <v/>
      </c>
      <c r="BL173" s="24" t="str">
        <f t="shared" si="56"/>
        <v/>
      </c>
      <c r="BM173" s="24" t="str">
        <f>IF(G173=1,IF(TableCosts[[#This Row],[TransferFrom]]=TableCosts[[#This Row],[TranferTo]],0,1),"")</f>
        <v/>
      </c>
      <c r="BN173" s="24" t="str">
        <f t="shared" si="57"/>
        <v/>
      </c>
      <c r="BO173" s="24">
        <f t="shared" si="58"/>
        <v>0</v>
      </c>
      <c r="BP173" s="24">
        <f t="shared" si="59"/>
        <v>0</v>
      </c>
    </row>
    <row r="174" spans="2:68" s="24" customFormat="1" ht="12.75" x14ac:dyDescent="0.2">
      <c r="B174" s="97"/>
      <c r="C174" s="92"/>
      <c r="D174" s="92"/>
      <c r="E174" s="92"/>
      <c r="F174" s="31" t="str">
        <f>IF(G174=1,IF(ISERROR(TableCosts[[#This Row],[N_Tariff]]),Err_Message1,IF(TableCosts[[#This Row],[N_Tariff]]=0,Err_Message2,VLOOKUP(C174&amp;TableCosts[[#This Row],[Calc_N_Typ]],TRAN_STRITEMS_LABEL,5,FALSE))),"")</f>
        <v/>
      </c>
      <c r="G174" s="31">
        <f t="shared" si="48"/>
        <v>0</v>
      </c>
      <c r="H174" s="31" t="str">
        <f>IF(G174=1,IFERROR(VLOOKUP(F174,Tab_ErrMessage[],2,0),VLOOKUP(C174&amp;TableCosts[[#This Row],[Calc_N_Typ]],TRAN_STRITEMS_LABEL,4,FALSE)),"")</f>
        <v/>
      </c>
      <c r="I174" s="94"/>
      <c r="J174" s="94"/>
      <c r="K174" s="94"/>
      <c r="L174" s="84"/>
      <c r="M174" s="84"/>
      <c r="N174" s="84"/>
      <c r="O174" s="84"/>
      <c r="P174" s="84"/>
      <c r="Q174" s="84"/>
      <c r="R174" s="84"/>
      <c r="S174" s="84"/>
      <c r="T174" s="84"/>
      <c r="U174" s="84"/>
      <c r="V174" s="84"/>
      <c r="W174" s="84"/>
      <c r="X174" s="84"/>
      <c r="Y174" s="84"/>
      <c r="Z174" s="84"/>
      <c r="AA174" s="84"/>
      <c r="AB174" s="84"/>
      <c r="AC174" s="84"/>
      <c r="AD174" s="84"/>
      <c r="AE174" s="84"/>
      <c r="AF174" s="84"/>
      <c r="AG174" s="84"/>
      <c r="AH174" s="84"/>
      <c r="AI174" s="84"/>
      <c r="AJ174" s="84"/>
      <c r="AK174" s="84"/>
      <c r="AL174" s="84"/>
      <c r="AM174" s="84"/>
      <c r="AN174" s="84"/>
      <c r="AO174" s="84"/>
      <c r="AP174" s="84"/>
      <c r="AQ174" s="84"/>
      <c r="AR174" s="84"/>
      <c r="AS174" s="84"/>
      <c r="AT174" s="84"/>
      <c r="AU174" s="84"/>
      <c r="AV174" s="84"/>
      <c r="AW174" s="84"/>
      <c r="AX174" s="87">
        <f t="array" ref="AX174">IF(G174=1,SUM((ROW(M0)=ROW(AW174))*(M0+M1_+M2_+M3_+M4_+M5_+M6_+M7_+M8_+M9_+M10_+M11_+M12_+M13_+M14_+M15_+M16_+M17_+M18_+M19_+M20_+M21_+M22_+M23_+M24_+M25_+M26_+M27_+M28_+M29_+M30_+M31_+M32_+M33_+M34_+M35_+M36_+M37_)),0)</f>
        <v>0</v>
      </c>
      <c r="AZ174" s="24" t="str">
        <f t="shared" si="49"/>
        <v/>
      </c>
      <c r="BA174" s="24" t="str">
        <f t="shared" si="50"/>
        <v/>
      </c>
      <c r="BB174" s="24" t="str">
        <f t="shared" si="51"/>
        <v/>
      </c>
      <c r="BC174" s="24" t="str">
        <f>IF(OR(E174="",LEFT(TableCosts[[#This Row],[Calc_N_Typ]],18)="Vynaložené náklady"),"",VLOOKUP(E174,Tab_Parts,2,0))</f>
        <v/>
      </c>
      <c r="BD174" s="24" t="str">
        <f t="shared" si="52"/>
        <v/>
      </c>
      <c r="BE174" s="24">
        <f t="shared" si="53"/>
        <v>0</v>
      </c>
      <c r="BF174" s="72">
        <f>TableCosts[[#This Row],[N_Amount]]*TableCosts[[#This Row],[N_Tariff]]*TableCosts[[#This Row],[N_ItemsCount]]</f>
        <v>0</v>
      </c>
      <c r="BG174" s="72">
        <f>IF(G174=1,IF(TableCosts[[#This Row],[N_Kateg]]="interné práce",TableCosts[[#This Row],[N_Amount]]*8*PAR_SGA_PERHOUR,0),0)</f>
        <v>0</v>
      </c>
      <c r="BH174" s="72">
        <f>SUM(TableCosts[[#This Row],[N_Direct]:[N_SGA]])</f>
        <v>0</v>
      </c>
      <c r="BI174" s="24">
        <f>IF(G174=1,IF(OR(AND(NOT(ISERROR(VLOOKUP(TableCosts[[#This Row],[Calc_N_Typ]],Cis_WorkPositions,1,0))),C174&lt;&gt;"",D174&lt;&gt;"",E174&lt;&gt;""),AND(ISERROR(VLOOKUP(TableCosts[[#This Row],[Calc_N_Typ]],Cis_WorkPositions,1,0)),C174="",D174="",E174&lt;&gt;""),LEFT(TableCosts[[#This Row],[Calc_N_Typ]],18)="Vynaložené náklady"),VLOOKUP(C174&amp;TableCosts[[#This Row],[Calc_N_Typ]],TRAN_STRITEMS_LABEL,VLOOKUP(D174,Tab_Hours,3,0),0),NA()),0)</f>
        <v>0</v>
      </c>
      <c r="BJ174" s="24">
        <f t="shared" si="54"/>
        <v>0</v>
      </c>
      <c r="BK174" s="24" t="str">
        <f t="shared" si="55"/>
        <v/>
      </c>
      <c r="BL174" s="24" t="str">
        <f t="shared" si="56"/>
        <v/>
      </c>
      <c r="BM174" s="24" t="str">
        <f>IF(G174=1,IF(TableCosts[[#This Row],[TransferFrom]]=TableCosts[[#This Row],[TranferTo]],0,1),"")</f>
        <v/>
      </c>
      <c r="BN174" s="24" t="str">
        <f t="shared" si="57"/>
        <v/>
      </c>
      <c r="BO174" s="24">
        <f t="shared" si="58"/>
        <v>0</v>
      </c>
      <c r="BP174" s="24">
        <f t="shared" si="59"/>
        <v>0</v>
      </c>
    </row>
    <row r="175" spans="2:68" s="24" customFormat="1" ht="12.75" x14ac:dyDescent="0.2">
      <c r="B175" s="97"/>
      <c r="C175" s="92"/>
      <c r="D175" s="92"/>
      <c r="E175" s="92"/>
      <c r="F175" s="31" t="str">
        <f>IF(G175=1,IF(ISERROR(TableCosts[[#This Row],[N_Tariff]]),Err_Message1,IF(TableCosts[[#This Row],[N_Tariff]]=0,Err_Message2,VLOOKUP(C175&amp;TableCosts[[#This Row],[Calc_N_Typ]],TRAN_STRITEMS_LABEL,5,FALSE))),"")</f>
        <v/>
      </c>
      <c r="G175" s="31">
        <f t="shared" si="48"/>
        <v>0</v>
      </c>
      <c r="H175" s="31" t="str">
        <f>IF(G175=1,IFERROR(VLOOKUP(F175,Tab_ErrMessage[],2,0),VLOOKUP(C175&amp;TableCosts[[#This Row],[Calc_N_Typ]],TRAN_STRITEMS_LABEL,4,FALSE)),"")</f>
        <v/>
      </c>
      <c r="I175" s="94"/>
      <c r="J175" s="94"/>
      <c r="K175" s="94"/>
      <c r="L175" s="84"/>
      <c r="M175" s="84"/>
      <c r="N175" s="84"/>
      <c r="O175" s="84"/>
      <c r="P175" s="84"/>
      <c r="Q175" s="84"/>
      <c r="R175" s="84"/>
      <c r="S175" s="84"/>
      <c r="T175" s="84"/>
      <c r="U175" s="84"/>
      <c r="V175" s="84"/>
      <c r="W175" s="84"/>
      <c r="X175" s="84"/>
      <c r="Y175" s="84"/>
      <c r="Z175" s="84"/>
      <c r="AA175" s="84"/>
      <c r="AB175" s="84"/>
      <c r="AC175" s="84"/>
      <c r="AD175" s="84"/>
      <c r="AE175" s="84"/>
      <c r="AF175" s="84"/>
      <c r="AG175" s="84"/>
      <c r="AH175" s="84"/>
      <c r="AI175" s="84"/>
      <c r="AJ175" s="84"/>
      <c r="AK175" s="84"/>
      <c r="AL175" s="84"/>
      <c r="AM175" s="84"/>
      <c r="AN175" s="84"/>
      <c r="AO175" s="84"/>
      <c r="AP175" s="84"/>
      <c r="AQ175" s="84"/>
      <c r="AR175" s="84"/>
      <c r="AS175" s="84"/>
      <c r="AT175" s="84"/>
      <c r="AU175" s="84"/>
      <c r="AV175" s="84"/>
      <c r="AW175" s="84"/>
      <c r="AX175" s="87">
        <f t="array" ref="AX175">IF(G175=1,SUM((ROW(M0)=ROW(AW175))*(M0+M1_+M2_+M3_+M4_+M5_+M6_+M7_+M8_+M9_+M10_+M11_+M12_+M13_+M14_+M15_+M16_+M17_+M18_+M19_+M20_+M21_+M22_+M23_+M24_+M25_+M26_+M27_+M28_+M29_+M30_+M31_+M32_+M33_+M34_+M35_+M36_+M37_)),0)</f>
        <v>0</v>
      </c>
      <c r="AZ175" s="24" t="str">
        <f t="shared" si="49"/>
        <v/>
      </c>
      <c r="BA175" s="24" t="str">
        <f t="shared" si="50"/>
        <v/>
      </c>
      <c r="BB175" s="24" t="str">
        <f t="shared" si="51"/>
        <v/>
      </c>
      <c r="BC175" s="24" t="str">
        <f>IF(OR(E175="",LEFT(TableCosts[[#This Row],[Calc_N_Typ]],18)="Vynaložené náklady"),"",VLOOKUP(E175,Tab_Parts,2,0))</f>
        <v/>
      </c>
      <c r="BD175" s="24" t="str">
        <f t="shared" si="52"/>
        <v/>
      </c>
      <c r="BE175" s="24">
        <f t="shared" si="53"/>
        <v>0</v>
      </c>
      <c r="BF175" s="72">
        <f>TableCosts[[#This Row],[N_Amount]]*TableCosts[[#This Row],[N_Tariff]]*TableCosts[[#This Row],[N_ItemsCount]]</f>
        <v>0</v>
      </c>
      <c r="BG175" s="72">
        <f>IF(G175=1,IF(TableCosts[[#This Row],[N_Kateg]]="interné práce",TableCosts[[#This Row],[N_Amount]]*8*PAR_SGA_PERHOUR,0),0)</f>
        <v>0</v>
      </c>
      <c r="BH175" s="72">
        <f>SUM(TableCosts[[#This Row],[N_Direct]:[N_SGA]])</f>
        <v>0</v>
      </c>
      <c r="BI175" s="24">
        <f>IF(G175=1,IF(OR(AND(NOT(ISERROR(VLOOKUP(TableCosts[[#This Row],[Calc_N_Typ]],Cis_WorkPositions,1,0))),C175&lt;&gt;"",D175&lt;&gt;"",E175&lt;&gt;""),AND(ISERROR(VLOOKUP(TableCosts[[#This Row],[Calc_N_Typ]],Cis_WorkPositions,1,0)),C175="",D175="",E175&lt;&gt;""),LEFT(TableCosts[[#This Row],[Calc_N_Typ]],18)="Vynaložené náklady"),VLOOKUP(C175&amp;TableCosts[[#This Row],[Calc_N_Typ]],TRAN_STRITEMS_LABEL,VLOOKUP(D175,Tab_Hours,3,0),0),NA()),0)</f>
        <v>0</v>
      </c>
      <c r="BJ175" s="24">
        <f t="shared" si="54"/>
        <v>0</v>
      </c>
      <c r="BK175" s="24" t="str">
        <f t="shared" si="55"/>
        <v/>
      </c>
      <c r="BL175" s="24" t="str">
        <f t="shared" si="56"/>
        <v/>
      </c>
      <c r="BM175" s="24" t="str">
        <f>IF(G175=1,IF(TableCosts[[#This Row],[TransferFrom]]=TableCosts[[#This Row],[TranferTo]],0,1),"")</f>
        <v/>
      </c>
      <c r="BN175" s="24" t="str">
        <f t="shared" si="57"/>
        <v/>
      </c>
      <c r="BO175" s="24">
        <f t="shared" si="58"/>
        <v>0</v>
      </c>
      <c r="BP175" s="24">
        <f t="shared" si="59"/>
        <v>0</v>
      </c>
    </row>
    <row r="176" spans="2:68" s="24" customFormat="1" ht="12.75" x14ac:dyDescent="0.2">
      <c r="B176" s="97"/>
      <c r="C176" s="92"/>
      <c r="D176" s="92"/>
      <c r="E176" s="92"/>
      <c r="F176" s="31" t="str">
        <f>IF(G176=1,IF(ISERROR(TableCosts[[#This Row],[N_Tariff]]),Err_Message1,IF(TableCosts[[#This Row],[N_Tariff]]=0,Err_Message2,VLOOKUP(C176&amp;TableCosts[[#This Row],[Calc_N_Typ]],TRAN_STRITEMS_LABEL,5,FALSE))),"")</f>
        <v/>
      </c>
      <c r="G176" s="31">
        <f t="shared" si="48"/>
        <v>0</v>
      </c>
      <c r="H176" s="31" t="str">
        <f>IF(G176=1,IFERROR(VLOOKUP(F176,Tab_ErrMessage[],2,0),VLOOKUP(C176&amp;TableCosts[[#This Row],[Calc_N_Typ]],TRAN_STRITEMS_LABEL,4,FALSE)),"")</f>
        <v/>
      </c>
      <c r="I176" s="94"/>
      <c r="J176" s="94"/>
      <c r="K176" s="94"/>
      <c r="L176" s="84"/>
      <c r="M176" s="84"/>
      <c r="N176" s="84"/>
      <c r="O176" s="84"/>
      <c r="P176" s="84"/>
      <c r="Q176" s="84"/>
      <c r="R176" s="84"/>
      <c r="S176" s="84"/>
      <c r="T176" s="84"/>
      <c r="U176" s="84"/>
      <c r="V176" s="84"/>
      <c r="W176" s="84"/>
      <c r="X176" s="84"/>
      <c r="Y176" s="84"/>
      <c r="Z176" s="84"/>
      <c r="AA176" s="84"/>
      <c r="AB176" s="84"/>
      <c r="AC176" s="84"/>
      <c r="AD176" s="84"/>
      <c r="AE176" s="84"/>
      <c r="AF176" s="84"/>
      <c r="AG176" s="84"/>
      <c r="AH176" s="84"/>
      <c r="AI176" s="84"/>
      <c r="AJ176" s="84"/>
      <c r="AK176" s="84"/>
      <c r="AL176" s="84"/>
      <c r="AM176" s="84"/>
      <c r="AN176" s="84"/>
      <c r="AO176" s="84"/>
      <c r="AP176" s="84"/>
      <c r="AQ176" s="84"/>
      <c r="AR176" s="84"/>
      <c r="AS176" s="84"/>
      <c r="AT176" s="84"/>
      <c r="AU176" s="84"/>
      <c r="AV176" s="84"/>
      <c r="AW176" s="84"/>
      <c r="AX176" s="87">
        <f t="array" ref="AX176">IF(G176=1,SUM((ROW(M0)=ROW(AW176))*(M0+M1_+M2_+M3_+M4_+M5_+M6_+M7_+M8_+M9_+M10_+M11_+M12_+M13_+M14_+M15_+M16_+M17_+M18_+M19_+M20_+M21_+M22_+M23_+M24_+M25_+M26_+M27_+M28_+M29_+M30_+M31_+M32_+M33_+M34_+M35_+M36_+M37_)),0)</f>
        <v>0</v>
      </c>
      <c r="AZ176" s="24" t="str">
        <f t="shared" si="49"/>
        <v/>
      </c>
      <c r="BA176" s="24" t="str">
        <f t="shared" si="50"/>
        <v/>
      </c>
      <c r="BB176" s="24" t="str">
        <f t="shared" si="51"/>
        <v/>
      </c>
      <c r="BC176" s="24" t="str">
        <f>IF(OR(E176="",LEFT(TableCosts[[#This Row],[Calc_N_Typ]],18)="Vynaložené náklady"),"",VLOOKUP(E176,Tab_Parts,2,0))</f>
        <v/>
      </c>
      <c r="BD176" s="24" t="str">
        <f t="shared" si="52"/>
        <v/>
      </c>
      <c r="BE176" s="24">
        <f t="shared" si="53"/>
        <v>0</v>
      </c>
      <c r="BF176" s="72">
        <f>TableCosts[[#This Row],[N_Amount]]*TableCosts[[#This Row],[N_Tariff]]*TableCosts[[#This Row],[N_ItemsCount]]</f>
        <v>0</v>
      </c>
      <c r="BG176" s="72">
        <f>IF(G176=1,IF(TableCosts[[#This Row],[N_Kateg]]="interné práce",TableCosts[[#This Row],[N_Amount]]*8*PAR_SGA_PERHOUR,0),0)</f>
        <v>0</v>
      </c>
      <c r="BH176" s="72">
        <f>SUM(TableCosts[[#This Row],[N_Direct]:[N_SGA]])</f>
        <v>0</v>
      </c>
      <c r="BI176" s="24">
        <f>IF(G176=1,IF(OR(AND(NOT(ISERROR(VLOOKUP(TableCosts[[#This Row],[Calc_N_Typ]],Cis_WorkPositions,1,0))),C176&lt;&gt;"",D176&lt;&gt;"",E176&lt;&gt;""),AND(ISERROR(VLOOKUP(TableCosts[[#This Row],[Calc_N_Typ]],Cis_WorkPositions,1,0)),C176="",D176="",E176&lt;&gt;""),LEFT(TableCosts[[#This Row],[Calc_N_Typ]],18)="Vynaložené náklady"),VLOOKUP(C176&amp;TableCosts[[#This Row],[Calc_N_Typ]],TRAN_STRITEMS_LABEL,VLOOKUP(D176,Tab_Hours,3,0),0),NA()),0)</f>
        <v>0</v>
      </c>
      <c r="BJ176" s="24">
        <f t="shared" si="54"/>
        <v>0</v>
      </c>
      <c r="BK176" s="24" t="str">
        <f t="shared" si="55"/>
        <v/>
      </c>
      <c r="BL176" s="24" t="str">
        <f t="shared" si="56"/>
        <v/>
      </c>
      <c r="BM176" s="24" t="str">
        <f>IF(G176=1,IF(TableCosts[[#This Row],[TransferFrom]]=TableCosts[[#This Row],[TranferTo]],0,1),"")</f>
        <v/>
      </c>
      <c r="BN176" s="24" t="str">
        <f t="shared" si="57"/>
        <v/>
      </c>
      <c r="BO176" s="24">
        <f t="shared" si="58"/>
        <v>0</v>
      </c>
      <c r="BP176" s="24">
        <f t="shared" si="59"/>
        <v>0</v>
      </c>
    </row>
    <row r="177" spans="2:68" s="24" customFormat="1" ht="12.75" x14ac:dyDescent="0.2">
      <c r="B177" s="97"/>
      <c r="C177" s="92"/>
      <c r="D177" s="92"/>
      <c r="E177" s="92"/>
      <c r="F177" s="31" t="str">
        <f>IF(G177=1,IF(ISERROR(TableCosts[[#This Row],[N_Tariff]]),Err_Message1,IF(TableCosts[[#This Row],[N_Tariff]]=0,Err_Message2,VLOOKUP(C177&amp;TableCosts[[#This Row],[Calc_N_Typ]],TRAN_STRITEMS_LABEL,5,FALSE))),"")</f>
        <v/>
      </c>
      <c r="G177" s="31">
        <f t="shared" si="48"/>
        <v>0</v>
      </c>
      <c r="H177" s="31" t="str">
        <f>IF(G177=1,IFERROR(VLOOKUP(F177,Tab_ErrMessage[],2,0),VLOOKUP(C177&amp;TableCosts[[#This Row],[Calc_N_Typ]],TRAN_STRITEMS_LABEL,4,FALSE)),"")</f>
        <v/>
      </c>
      <c r="I177" s="94"/>
      <c r="J177" s="94"/>
      <c r="K177" s="94"/>
      <c r="L177" s="84"/>
      <c r="M177" s="84"/>
      <c r="N177" s="84"/>
      <c r="O177" s="84"/>
      <c r="P177" s="84"/>
      <c r="Q177" s="84"/>
      <c r="R177" s="84"/>
      <c r="S177" s="84"/>
      <c r="T177" s="84"/>
      <c r="U177" s="84"/>
      <c r="V177" s="84"/>
      <c r="W177" s="84"/>
      <c r="X177" s="84"/>
      <c r="Y177" s="84"/>
      <c r="Z177" s="84"/>
      <c r="AA177" s="84"/>
      <c r="AB177" s="84"/>
      <c r="AC177" s="84"/>
      <c r="AD177" s="84"/>
      <c r="AE177" s="84"/>
      <c r="AF177" s="84"/>
      <c r="AG177" s="84"/>
      <c r="AH177" s="84"/>
      <c r="AI177" s="84"/>
      <c r="AJ177" s="84"/>
      <c r="AK177" s="84"/>
      <c r="AL177" s="84"/>
      <c r="AM177" s="84"/>
      <c r="AN177" s="84"/>
      <c r="AO177" s="84"/>
      <c r="AP177" s="84"/>
      <c r="AQ177" s="84"/>
      <c r="AR177" s="84"/>
      <c r="AS177" s="84"/>
      <c r="AT177" s="84"/>
      <c r="AU177" s="84"/>
      <c r="AV177" s="84"/>
      <c r="AW177" s="84"/>
      <c r="AX177" s="87">
        <f t="array" ref="AX177">IF(G177=1,SUM((ROW(M0)=ROW(AW177))*(M0+M1_+M2_+M3_+M4_+M5_+M6_+M7_+M8_+M9_+M10_+M11_+M12_+M13_+M14_+M15_+M16_+M17_+M18_+M19_+M20_+M21_+M22_+M23_+M24_+M25_+M26_+M27_+M28_+M29_+M30_+M31_+M32_+M33_+M34_+M35_+M36_+M37_)),0)</f>
        <v>0</v>
      </c>
      <c r="AZ177" s="24" t="str">
        <f t="shared" si="49"/>
        <v/>
      </c>
      <c r="BA177" s="24" t="str">
        <f t="shared" si="50"/>
        <v/>
      </c>
      <c r="BB177" s="24" t="str">
        <f t="shared" si="51"/>
        <v/>
      </c>
      <c r="BC177" s="24" t="str">
        <f>IF(OR(E177="",LEFT(TableCosts[[#This Row],[Calc_N_Typ]],18)="Vynaložené náklady"),"",VLOOKUP(E177,Tab_Parts,2,0))</f>
        <v/>
      </c>
      <c r="BD177" s="24" t="str">
        <f t="shared" si="52"/>
        <v/>
      </c>
      <c r="BE177" s="24">
        <f t="shared" si="53"/>
        <v>0</v>
      </c>
      <c r="BF177" s="72">
        <f>TableCosts[[#This Row],[N_Amount]]*TableCosts[[#This Row],[N_Tariff]]*TableCosts[[#This Row],[N_ItemsCount]]</f>
        <v>0</v>
      </c>
      <c r="BG177" s="72">
        <f>IF(G177=1,IF(TableCosts[[#This Row],[N_Kateg]]="interné práce",TableCosts[[#This Row],[N_Amount]]*8*PAR_SGA_PERHOUR,0),0)</f>
        <v>0</v>
      </c>
      <c r="BH177" s="72">
        <f>SUM(TableCosts[[#This Row],[N_Direct]:[N_SGA]])</f>
        <v>0</v>
      </c>
      <c r="BI177" s="24">
        <f>IF(G177=1,IF(OR(AND(NOT(ISERROR(VLOOKUP(TableCosts[[#This Row],[Calc_N_Typ]],Cis_WorkPositions,1,0))),C177&lt;&gt;"",D177&lt;&gt;"",E177&lt;&gt;""),AND(ISERROR(VLOOKUP(TableCosts[[#This Row],[Calc_N_Typ]],Cis_WorkPositions,1,0)),C177="",D177="",E177&lt;&gt;""),LEFT(TableCosts[[#This Row],[Calc_N_Typ]],18)="Vynaložené náklady"),VLOOKUP(C177&amp;TableCosts[[#This Row],[Calc_N_Typ]],TRAN_STRITEMS_LABEL,VLOOKUP(D177,Tab_Hours,3,0),0),NA()),0)</f>
        <v>0</v>
      </c>
      <c r="BJ177" s="24">
        <f t="shared" si="54"/>
        <v>0</v>
      </c>
      <c r="BK177" s="24" t="str">
        <f t="shared" si="55"/>
        <v/>
      </c>
      <c r="BL177" s="24" t="str">
        <f t="shared" si="56"/>
        <v/>
      </c>
      <c r="BM177" s="24" t="str">
        <f>IF(G177=1,IF(TableCosts[[#This Row],[TransferFrom]]=TableCosts[[#This Row],[TranferTo]],0,1),"")</f>
        <v/>
      </c>
      <c r="BN177" s="24" t="str">
        <f t="shared" si="57"/>
        <v/>
      </c>
      <c r="BO177" s="24">
        <f t="shared" si="58"/>
        <v>0</v>
      </c>
      <c r="BP177" s="24">
        <f t="shared" si="59"/>
        <v>0</v>
      </c>
    </row>
    <row r="178" spans="2:68" s="24" customFormat="1" ht="12.75" x14ac:dyDescent="0.2">
      <c r="B178" s="97"/>
      <c r="C178" s="92"/>
      <c r="D178" s="92"/>
      <c r="E178" s="92"/>
      <c r="F178" s="31" t="str">
        <f>IF(G178=1,IF(ISERROR(TableCosts[[#This Row],[N_Tariff]]),Err_Message1,IF(TableCosts[[#This Row],[N_Tariff]]=0,Err_Message2,VLOOKUP(C178&amp;TableCosts[[#This Row],[Calc_N_Typ]],TRAN_STRITEMS_LABEL,5,FALSE))),"")</f>
        <v/>
      </c>
      <c r="G178" s="31">
        <f t="shared" si="48"/>
        <v>0</v>
      </c>
      <c r="H178" s="31" t="str">
        <f>IF(G178=1,IFERROR(VLOOKUP(F178,Tab_ErrMessage[],2,0),VLOOKUP(C178&amp;TableCosts[[#This Row],[Calc_N_Typ]],TRAN_STRITEMS_LABEL,4,FALSE)),"")</f>
        <v/>
      </c>
      <c r="I178" s="94"/>
      <c r="J178" s="94"/>
      <c r="K178" s="94"/>
      <c r="L178" s="84"/>
      <c r="M178" s="84"/>
      <c r="N178" s="84"/>
      <c r="O178" s="84"/>
      <c r="P178" s="84"/>
      <c r="Q178" s="84"/>
      <c r="R178" s="84"/>
      <c r="S178" s="84"/>
      <c r="T178" s="84"/>
      <c r="U178" s="84"/>
      <c r="V178" s="84"/>
      <c r="W178" s="84"/>
      <c r="X178" s="84"/>
      <c r="Y178" s="84"/>
      <c r="Z178" s="84"/>
      <c r="AA178" s="84"/>
      <c r="AB178" s="84"/>
      <c r="AC178" s="84"/>
      <c r="AD178" s="84"/>
      <c r="AE178" s="84"/>
      <c r="AF178" s="84"/>
      <c r="AG178" s="84"/>
      <c r="AH178" s="84"/>
      <c r="AI178" s="84"/>
      <c r="AJ178" s="84"/>
      <c r="AK178" s="84"/>
      <c r="AL178" s="84"/>
      <c r="AM178" s="84"/>
      <c r="AN178" s="84"/>
      <c r="AO178" s="84"/>
      <c r="AP178" s="84"/>
      <c r="AQ178" s="84"/>
      <c r="AR178" s="84"/>
      <c r="AS178" s="84"/>
      <c r="AT178" s="84"/>
      <c r="AU178" s="84"/>
      <c r="AV178" s="84"/>
      <c r="AW178" s="84"/>
      <c r="AX178" s="87">
        <f t="array" ref="AX178">IF(G178=1,SUM((ROW(M0)=ROW(AW178))*(M0+M1_+M2_+M3_+M4_+M5_+M6_+M7_+M8_+M9_+M10_+M11_+M12_+M13_+M14_+M15_+M16_+M17_+M18_+M19_+M20_+M21_+M22_+M23_+M24_+M25_+M26_+M27_+M28_+M29_+M30_+M31_+M32_+M33_+M34_+M35_+M36_+M37_)),0)</f>
        <v>0</v>
      </c>
      <c r="AZ178" s="24" t="str">
        <f t="shared" si="49"/>
        <v/>
      </c>
      <c r="BA178" s="24" t="str">
        <f t="shared" si="50"/>
        <v/>
      </c>
      <c r="BB178" s="24" t="str">
        <f t="shared" si="51"/>
        <v/>
      </c>
      <c r="BC178" s="24" t="str">
        <f>IF(OR(E178="",LEFT(TableCosts[[#This Row],[Calc_N_Typ]],18)="Vynaložené náklady"),"",VLOOKUP(E178,Tab_Parts,2,0))</f>
        <v/>
      </c>
      <c r="BD178" s="24" t="str">
        <f t="shared" si="52"/>
        <v/>
      </c>
      <c r="BE178" s="24">
        <f t="shared" si="53"/>
        <v>0</v>
      </c>
      <c r="BF178" s="72">
        <f>TableCosts[[#This Row],[N_Amount]]*TableCosts[[#This Row],[N_Tariff]]*TableCosts[[#This Row],[N_ItemsCount]]</f>
        <v>0</v>
      </c>
      <c r="BG178" s="72">
        <f>IF(G178=1,IF(TableCosts[[#This Row],[N_Kateg]]="interné práce",TableCosts[[#This Row],[N_Amount]]*8*PAR_SGA_PERHOUR,0),0)</f>
        <v>0</v>
      </c>
      <c r="BH178" s="72">
        <f>SUM(TableCosts[[#This Row],[N_Direct]:[N_SGA]])</f>
        <v>0</v>
      </c>
      <c r="BI178" s="24">
        <f>IF(G178=1,IF(OR(AND(NOT(ISERROR(VLOOKUP(TableCosts[[#This Row],[Calc_N_Typ]],Cis_WorkPositions,1,0))),C178&lt;&gt;"",D178&lt;&gt;"",E178&lt;&gt;""),AND(ISERROR(VLOOKUP(TableCosts[[#This Row],[Calc_N_Typ]],Cis_WorkPositions,1,0)),C178="",D178="",E178&lt;&gt;""),LEFT(TableCosts[[#This Row],[Calc_N_Typ]],18)="Vynaložené náklady"),VLOOKUP(C178&amp;TableCosts[[#This Row],[Calc_N_Typ]],TRAN_STRITEMS_LABEL,VLOOKUP(D178,Tab_Hours,3,0),0),NA()),0)</f>
        <v>0</v>
      </c>
      <c r="BJ178" s="24">
        <f t="shared" si="54"/>
        <v>0</v>
      </c>
      <c r="BK178" s="24" t="str">
        <f t="shared" si="55"/>
        <v/>
      </c>
      <c r="BL178" s="24" t="str">
        <f t="shared" si="56"/>
        <v/>
      </c>
      <c r="BM178" s="24" t="str">
        <f>IF(G178=1,IF(TableCosts[[#This Row],[TransferFrom]]=TableCosts[[#This Row],[TranferTo]],0,1),"")</f>
        <v/>
      </c>
      <c r="BN178" s="24" t="str">
        <f t="shared" si="57"/>
        <v/>
      </c>
      <c r="BO178" s="24">
        <f t="shared" si="58"/>
        <v>0</v>
      </c>
      <c r="BP178" s="24">
        <f t="shared" si="59"/>
        <v>0</v>
      </c>
    </row>
    <row r="179" spans="2:68" s="24" customFormat="1" ht="12.75" x14ac:dyDescent="0.2">
      <c r="B179" s="97"/>
      <c r="C179" s="92"/>
      <c r="D179" s="92"/>
      <c r="E179" s="92"/>
      <c r="F179" s="31" t="str">
        <f>IF(G179=1,IF(ISERROR(TableCosts[[#This Row],[N_Tariff]]),Err_Message1,IF(TableCosts[[#This Row],[N_Tariff]]=0,Err_Message2,VLOOKUP(C179&amp;TableCosts[[#This Row],[Calc_N_Typ]],TRAN_STRITEMS_LABEL,5,FALSE))),"")</f>
        <v/>
      </c>
      <c r="G179" s="31">
        <f t="shared" si="48"/>
        <v>0</v>
      </c>
      <c r="H179" s="31" t="str">
        <f>IF(G179=1,IFERROR(VLOOKUP(F179,Tab_ErrMessage[],2,0),VLOOKUP(C179&amp;TableCosts[[#This Row],[Calc_N_Typ]],TRAN_STRITEMS_LABEL,4,FALSE)),"")</f>
        <v/>
      </c>
      <c r="I179" s="94"/>
      <c r="J179" s="94"/>
      <c r="K179" s="94"/>
      <c r="L179" s="84"/>
      <c r="M179" s="84"/>
      <c r="N179" s="84"/>
      <c r="O179" s="84"/>
      <c r="P179" s="84"/>
      <c r="Q179" s="84"/>
      <c r="R179" s="84"/>
      <c r="S179" s="84"/>
      <c r="T179" s="84"/>
      <c r="U179" s="84"/>
      <c r="V179" s="84"/>
      <c r="W179" s="84"/>
      <c r="X179" s="84"/>
      <c r="Y179" s="84"/>
      <c r="Z179" s="84"/>
      <c r="AA179" s="84"/>
      <c r="AB179" s="84"/>
      <c r="AC179" s="84"/>
      <c r="AD179" s="84"/>
      <c r="AE179" s="84"/>
      <c r="AF179" s="84"/>
      <c r="AG179" s="84"/>
      <c r="AH179" s="84"/>
      <c r="AI179" s="84"/>
      <c r="AJ179" s="84"/>
      <c r="AK179" s="84"/>
      <c r="AL179" s="84"/>
      <c r="AM179" s="84"/>
      <c r="AN179" s="84"/>
      <c r="AO179" s="84"/>
      <c r="AP179" s="84"/>
      <c r="AQ179" s="84"/>
      <c r="AR179" s="84"/>
      <c r="AS179" s="84"/>
      <c r="AT179" s="84"/>
      <c r="AU179" s="84"/>
      <c r="AV179" s="84"/>
      <c r="AW179" s="84"/>
      <c r="AX179" s="87">
        <f t="array" ref="AX179">IF(G179=1,SUM((ROW(M0)=ROW(AW179))*(M0+M1_+M2_+M3_+M4_+M5_+M6_+M7_+M8_+M9_+M10_+M11_+M12_+M13_+M14_+M15_+M16_+M17_+M18_+M19_+M20_+M21_+M22_+M23_+M24_+M25_+M26_+M27_+M28_+M29_+M30_+M31_+M32_+M33_+M34_+M35_+M36_+M37_)),0)</f>
        <v>0</v>
      </c>
      <c r="AZ179" s="24" t="str">
        <f t="shared" si="49"/>
        <v/>
      </c>
      <c r="BA179" s="24" t="str">
        <f t="shared" si="50"/>
        <v/>
      </c>
      <c r="BB179" s="24" t="str">
        <f t="shared" si="51"/>
        <v/>
      </c>
      <c r="BC179" s="24" t="str">
        <f>IF(OR(E179="",LEFT(TableCosts[[#This Row],[Calc_N_Typ]],18)="Vynaložené náklady"),"",VLOOKUP(E179,Tab_Parts,2,0))</f>
        <v/>
      </c>
      <c r="BD179" s="24" t="str">
        <f t="shared" si="52"/>
        <v/>
      </c>
      <c r="BE179" s="24">
        <f t="shared" si="53"/>
        <v>0</v>
      </c>
      <c r="BF179" s="72">
        <f>TableCosts[[#This Row],[N_Amount]]*TableCosts[[#This Row],[N_Tariff]]*TableCosts[[#This Row],[N_ItemsCount]]</f>
        <v>0</v>
      </c>
      <c r="BG179" s="72">
        <f>IF(G179=1,IF(TableCosts[[#This Row],[N_Kateg]]="interné práce",TableCosts[[#This Row],[N_Amount]]*8*PAR_SGA_PERHOUR,0),0)</f>
        <v>0</v>
      </c>
      <c r="BH179" s="72">
        <f>SUM(TableCosts[[#This Row],[N_Direct]:[N_SGA]])</f>
        <v>0</v>
      </c>
      <c r="BI179" s="24">
        <f>IF(G179=1,IF(OR(AND(NOT(ISERROR(VLOOKUP(TableCosts[[#This Row],[Calc_N_Typ]],Cis_WorkPositions,1,0))),C179&lt;&gt;"",D179&lt;&gt;"",E179&lt;&gt;""),AND(ISERROR(VLOOKUP(TableCosts[[#This Row],[Calc_N_Typ]],Cis_WorkPositions,1,0)),C179="",D179="",E179&lt;&gt;""),LEFT(TableCosts[[#This Row],[Calc_N_Typ]],18)="Vynaložené náklady"),VLOOKUP(C179&amp;TableCosts[[#This Row],[Calc_N_Typ]],TRAN_STRITEMS_LABEL,VLOOKUP(D179,Tab_Hours,3,0),0),NA()),0)</f>
        <v>0</v>
      </c>
      <c r="BJ179" s="24">
        <f t="shared" si="54"/>
        <v>0</v>
      </c>
      <c r="BK179" s="24" t="str">
        <f t="shared" si="55"/>
        <v/>
      </c>
      <c r="BL179" s="24" t="str">
        <f t="shared" si="56"/>
        <v/>
      </c>
      <c r="BM179" s="24" t="str">
        <f>IF(G179=1,IF(TableCosts[[#This Row],[TransferFrom]]=TableCosts[[#This Row],[TranferTo]],0,1),"")</f>
        <v/>
      </c>
      <c r="BN179" s="24" t="str">
        <f t="shared" si="57"/>
        <v/>
      </c>
      <c r="BO179" s="24">
        <f t="shared" si="58"/>
        <v>0</v>
      </c>
      <c r="BP179" s="24">
        <f t="shared" si="59"/>
        <v>0</v>
      </c>
    </row>
    <row r="180" spans="2:68" s="24" customFormat="1" ht="12.75" x14ac:dyDescent="0.2">
      <c r="B180" s="97"/>
      <c r="C180" s="92"/>
      <c r="D180" s="92"/>
      <c r="E180" s="92"/>
      <c r="F180" s="31" t="str">
        <f>IF(G180=1,IF(ISERROR(TableCosts[[#This Row],[N_Tariff]]),Err_Message1,IF(TableCosts[[#This Row],[N_Tariff]]=0,Err_Message2,VLOOKUP(C180&amp;TableCosts[[#This Row],[Calc_N_Typ]],TRAN_STRITEMS_LABEL,5,FALSE))),"")</f>
        <v/>
      </c>
      <c r="G180" s="31">
        <f t="shared" si="48"/>
        <v>0</v>
      </c>
      <c r="H180" s="31" t="str">
        <f>IF(G180=1,IFERROR(VLOOKUP(F180,Tab_ErrMessage[],2,0),VLOOKUP(C180&amp;TableCosts[[#This Row],[Calc_N_Typ]],TRAN_STRITEMS_LABEL,4,FALSE)),"")</f>
        <v/>
      </c>
      <c r="I180" s="94"/>
      <c r="J180" s="94"/>
      <c r="K180" s="94"/>
      <c r="L180" s="84"/>
      <c r="M180" s="84"/>
      <c r="N180" s="84"/>
      <c r="O180" s="84"/>
      <c r="P180" s="84"/>
      <c r="Q180" s="84"/>
      <c r="R180" s="84"/>
      <c r="S180" s="84"/>
      <c r="T180" s="84"/>
      <c r="U180" s="84"/>
      <c r="V180" s="84"/>
      <c r="W180" s="84"/>
      <c r="X180" s="84"/>
      <c r="Y180" s="84"/>
      <c r="Z180" s="84"/>
      <c r="AA180" s="84"/>
      <c r="AB180" s="84"/>
      <c r="AC180" s="84"/>
      <c r="AD180" s="84"/>
      <c r="AE180" s="84"/>
      <c r="AF180" s="84"/>
      <c r="AG180" s="84"/>
      <c r="AH180" s="84"/>
      <c r="AI180" s="84"/>
      <c r="AJ180" s="84"/>
      <c r="AK180" s="84"/>
      <c r="AL180" s="84"/>
      <c r="AM180" s="84"/>
      <c r="AN180" s="84"/>
      <c r="AO180" s="84"/>
      <c r="AP180" s="84"/>
      <c r="AQ180" s="84"/>
      <c r="AR180" s="84"/>
      <c r="AS180" s="84"/>
      <c r="AT180" s="84"/>
      <c r="AU180" s="84"/>
      <c r="AV180" s="84"/>
      <c r="AW180" s="84"/>
      <c r="AX180" s="87">
        <f t="array" ref="AX180">IF(G180=1,SUM((ROW(M0)=ROW(AW180))*(M0+M1_+M2_+M3_+M4_+M5_+M6_+M7_+M8_+M9_+M10_+M11_+M12_+M13_+M14_+M15_+M16_+M17_+M18_+M19_+M20_+M21_+M22_+M23_+M24_+M25_+M26_+M27_+M28_+M29_+M30_+M31_+M32_+M33_+M34_+M35_+M36_+M37_)),0)</f>
        <v>0</v>
      </c>
      <c r="AZ180" s="24" t="str">
        <f t="shared" si="49"/>
        <v/>
      </c>
      <c r="BA180" s="24" t="str">
        <f t="shared" si="50"/>
        <v/>
      </c>
      <c r="BB180" s="24" t="str">
        <f t="shared" si="51"/>
        <v/>
      </c>
      <c r="BC180" s="24" t="str">
        <f>IF(OR(E180="",LEFT(TableCosts[[#This Row],[Calc_N_Typ]],18)="Vynaložené náklady"),"",VLOOKUP(E180,Tab_Parts,2,0))</f>
        <v/>
      </c>
      <c r="BD180" s="24" t="str">
        <f t="shared" si="52"/>
        <v/>
      </c>
      <c r="BE180" s="24">
        <f t="shared" si="53"/>
        <v>0</v>
      </c>
      <c r="BF180" s="72">
        <f>TableCosts[[#This Row],[N_Amount]]*TableCosts[[#This Row],[N_Tariff]]*TableCosts[[#This Row],[N_ItemsCount]]</f>
        <v>0</v>
      </c>
      <c r="BG180" s="72">
        <f>IF(G180=1,IF(TableCosts[[#This Row],[N_Kateg]]="interné práce",TableCosts[[#This Row],[N_Amount]]*8*PAR_SGA_PERHOUR,0),0)</f>
        <v>0</v>
      </c>
      <c r="BH180" s="72">
        <f>SUM(TableCosts[[#This Row],[N_Direct]:[N_SGA]])</f>
        <v>0</v>
      </c>
      <c r="BI180" s="24">
        <f>IF(G180=1,IF(OR(AND(NOT(ISERROR(VLOOKUP(TableCosts[[#This Row],[Calc_N_Typ]],Cis_WorkPositions,1,0))),C180&lt;&gt;"",D180&lt;&gt;"",E180&lt;&gt;""),AND(ISERROR(VLOOKUP(TableCosts[[#This Row],[Calc_N_Typ]],Cis_WorkPositions,1,0)),C180="",D180="",E180&lt;&gt;""),LEFT(TableCosts[[#This Row],[Calc_N_Typ]],18)="Vynaložené náklady"),VLOOKUP(C180&amp;TableCosts[[#This Row],[Calc_N_Typ]],TRAN_STRITEMS_LABEL,VLOOKUP(D180,Tab_Hours,3,0),0),NA()),0)</f>
        <v>0</v>
      </c>
      <c r="BJ180" s="24">
        <f t="shared" si="54"/>
        <v>0</v>
      </c>
      <c r="BK180" s="24" t="str">
        <f t="shared" si="55"/>
        <v/>
      </c>
      <c r="BL180" s="24" t="str">
        <f t="shared" si="56"/>
        <v/>
      </c>
      <c r="BM180" s="24" t="str">
        <f>IF(G180=1,IF(TableCosts[[#This Row],[TransferFrom]]=TableCosts[[#This Row],[TranferTo]],0,1),"")</f>
        <v/>
      </c>
      <c r="BN180" s="24" t="str">
        <f t="shared" si="57"/>
        <v/>
      </c>
      <c r="BO180" s="24">
        <f t="shared" si="58"/>
        <v>0</v>
      </c>
      <c r="BP180" s="24">
        <f t="shared" si="59"/>
        <v>0</v>
      </c>
    </row>
    <row r="181" spans="2:68" s="24" customFormat="1" ht="12.75" x14ac:dyDescent="0.2">
      <c r="B181" s="97"/>
      <c r="C181" s="92"/>
      <c r="D181" s="92"/>
      <c r="E181" s="92"/>
      <c r="F181" s="31" t="str">
        <f>IF(G181=1,IF(ISERROR(TableCosts[[#This Row],[N_Tariff]]),Err_Message1,IF(TableCosts[[#This Row],[N_Tariff]]=0,Err_Message2,VLOOKUP(C181&amp;TableCosts[[#This Row],[Calc_N_Typ]],TRAN_STRITEMS_LABEL,5,FALSE))),"")</f>
        <v/>
      </c>
      <c r="G181" s="31">
        <f t="shared" si="48"/>
        <v>0</v>
      </c>
      <c r="H181" s="31" t="str">
        <f>IF(G181=1,IFERROR(VLOOKUP(F181,Tab_ErrMessage[],2,0),VLOOKUP(C181&amp;TableCosts[[#This Row],[Calc_N_Typ]],TRAN_STRITEMS_LABEL,4,FALSE)),"")</f>
        <v/>
      </c>
      <c r="I181" s="94"/>
      <c r="J181" s="94"/>
      <c r="K181" s="94"/>
      <c r="L181" s="84"/>
      <c r="M181" s="84"/>
      <c r="N181" s="84"/>
      <c r="O181" s="84"/>
      <c r="P181" s="84"/>
      <c r="Q181" s="84"/>
      <c r="R181" s="84"/>
      <c r="S181" s="84"/>
      <c r="T181" s="84"/>
      <c r="U181" s="84"/>
      <c r="V181" s="84"/>
      <c r="W181" s="84"/>
      <c r="X181" s="84"/>
      <c r="Y181" s="84"/>
      <c r="Z181" s="84"/>
      <c r="AA181" s="84"/>
      <c r="AB181" s="84"/>
      <c r="AC181" s="84"/>
      <c r="AD181" s="84"/>
      <c r="AE181" s="84"/>
      <c r="AF181" s="84"/>
      <c r="AG181" s="84"/>
      <c r="AH181" s="84"/>
      <c r="AI181" s="84"/>
      <c r="AJ181" s="84"/>
      <c r="AK181" s="84"/>
      <c r="AL181" s="84"/>
      <c r="AM181" s="84"/>
      <c r="AN181" s="84"/>
      <c r="AO181" s="84"/>
      <c r="AP181" s="84"/>
      <c r="AQ181" s="84"/>
      <c r="AR181" s="84"/>
      <c r="AS181" s="84"/>
      <c r="AT181" s="84"/>
      <c r="AU181" s="84"/>
      <c r="AV181" s="84"/>
      <c r="AW181" s="84"/>
      <c r="AX181" s="87">
        <f t="array" ref="AX181">IF(G181=1,SUM((ROW(M0)=ROW(AW181))*(M0+M1_+M2_+M3_+M4_+M5_+M6_+M7_+M8_+M9_+M10_+M11_+M12_+M13_+M14_+M15_+M16_+M17_+M18_+M19_+M20_+M21_+M22_+M23_+M24_+M25_+M26_+M27_+M28_+M29_+M30_+M31_+M32_+M33_+M34_+M35_+M36_+M37_)),0)</f>
        <v>0</v>
      </c>
      <c r="AZ181" s="24" t="str">
        <f t="shared" si="49"/>
        <v/>
      </c>
      <c r="BA181" s="24" t="str">
        <f t="shared" si="50"/>
        <v/>
      </c>
      <c r="BB181" s="24" t="str">
        <f t="shared" si="51"/>
        <v/>
      </c>
      <c r="BC181" s="24" t="str">
        <f>IF(OR(E181="",LEFT(TableCosts[[#This Row],[Calc_N_Typ]],18)="Vynaložené náklady"),"",VLOOKUP(E181,Tab_Parts,2,0))</f>
        <v/>
      </c>
      <c r="BD181" s="24" t="str">
        <f t="shared" si="52"/>
        <v/>
      </c>
      <c r="BE181" s="24">
        <f t="shared" si="53"/>
        <v>0</v>
      </c>
      <c r="BF181" s="72">
        <f>TableCosts[[#This Row],[N_Amount]]*TableCosts[[#This Row],[N_Tariff]]*TableCosts[[#This Row],[N_ItemsCount]]</f>
        <v>0</v>
      </c>
      <c r="BG181" s="72">
        <f>IF(G181=1,IF(TableCosts[[#This Row],[N_Kateg]]="interné práce",TableCosts[[#This Row],[N_Amount]]*8*PAR_SGA_PERHOUR,0),0)</f>
        <v>0</v>
      </c>
      <c r="BH181" s="72">
        <f>SUM(TableCosts[[#This Row],[N_Direct]:[N_SGA]])</f>
        <v>0</v>
      </c>
      <c r="BI181" s="24">
        <f>IF(G181=1,IF(OR(AND(NOT(ISERROR(VLOOKUP(TableCosts[[#This Row],[Calc_N_Typ]],Cis_WorkPositions,1,0))),C181&lt;&gt;"",D181&lt;&gt;"",E181&lt;&gt;""),AND(ISERROR(VLOOKUP(TableCosts[[#This Row],[Calc_N_Typ]],Cis_WorkPositions,1,0)),C181="",D181="",E181&lt;&gt;""),LEFT(TableCosts[[#This Row],[Calc_N_Typ]],18)="Vynaložené náklady"),VLOOKUP(C181&amp;TableCosts[[#This Row],[Calc_N_Typ]],TRAN_STRITEMS_LABEL,VLOOKUP(D181,Tab_Hours,3,0),0),NA()),0)</f>
        <v>0</v>
      </c>
      <c r="BJ181" s="24">
        <f t="shared" si="54"/>
        <v>0</v>
      </c>
      <c r="BK181" s="24" t="str">
        <f t="shared" si="55"/>
        <v/>
      </c>
      <c r="BL181" s="24" t="str">
        <f t="shared" si="56"/>
        <v/>
      </c>
      <c r="BM181" s="24" t="str">
        <f>IF(G181=1,IF(TableCosts[[#This Row],[TransferFrom]]=TableCosts[[#This Row],[TranferTo]],0,1),"")</f>
        <v/>
      </c>
      <c r="BN181" s="24" t="str">
        <f t="shared" si="57"/>
        <v/>
      </c>
      <c r="BO181" s="24">
        <f t="shared" si="58"/>
        <v>0</v>
      </c>
      <c r="BP181" s="24">
        <f t="shared" si="59"/>
        <v>0</v>
      </c>
    </row>
    <row r="182" spans="2:68" s="24" customFormat="1" ht="12.75" x14ac:dyDescent="0.2">
      <c r="B182" s="97"/>
      <c r="C182" s="92"/>
      <c r="D182" s="92"/>
      <c r="E182" s="92"/>
      <c r="F182" s="31" t="str">
        <f>IF(G182=1,IF(ISERROR(TableCosts[[#This Row],[N_Tariff]]),Err_Message1,IF(TableCosts[[#This Row],[N_Tariff]]=0,Err_Message2,VLOOKUP(C182&amp;TableCosts[[#This Row],[Calc_N_Typ]],TRAN_STRITEMS_LABEL,5,FALSE))),"")</f>
        <v/>
      </c>
      <c r="G182" s="31">
        <f t="shared" si="48"/>
        <v>0</v>
      </c>
      <c r="H182" s="31" t="str">
        <f>IF(G182=1,IFERROR(VLOOKUP(F182,Tab_ErrMessage[],2,0),VLOOKUP(C182&amp;TableCosts[[#This Row],[Calc_N_Typ]],TRAN_STRITEMS_LABEL,4,FALSE)),"")</f>
        <v/>
      </c>
      <c r="I182" s="94"/>
      <c r="J182" s="94"/>
      <c r="K182" s="94"/>
      <c r="L182" s="84"/>
      <c r="M182" s="84"/>
      <c r="N182" s="84"/>
      <c r="O182" s="84"/>
      <c r="P182" s="84"/>
      <c r="Q182" s="84"/>
      <c r="R182" s="84"/>
      <c r="S182" s="84"/>
      <c r="T182" s="84"/>
      <c r="U182" s="84"/>
      <c r="V182" s="84"/>
      <c r="W182" s="84"/>
      <c r="X182" s="84"/>
      <c r="Y182" s="84"/>
      <c r="Z182" s="84"/>
      <c r="AA182" s="84"/>
      <c r="AB182" s="84"/>
      <c r="AC182" s="84"/>
      <c r="AD182" s="84"/>
      <c r="AE182" s="84"/>
      <c r="AF182" s="84"/>
      <c r="AG182" s="84"/>
      <c r="AH182" s="84"/>
      <c r="AI182" s="84"/>
      <c r="AJ182" s="84"/>
      <c r="AK182" s="84"/>
      <c r="AL182" s="84"/>
      <c r="AM182" s="84"/>
      <c r="AN182" s="84"/>
      <c r="AO182" s="84"/>
      <c r="AP182" s="84"/>
      <c r="AQ182" s="84"/>
      <c r="AR182" s="84"/>
      <c r="AS182" s="84"/>
      <c r="AT182" s="84"/>
      <c r="AU182" s="84"/>
      <c r="AV182" s="84"/>
      <c r="AW182" s="84"/>
      <c r="AX182" s="87">
        <f t="array" ref="AX182">IF(G182=1,SUM((ROW(M0)=ROW(AW182))*(M0+M1_+M2_+M3_+M4_+M5_+M6_+M7_+M8_+M9_+M10_+M11_+M12_+M13_+M14_+M15_+M16_+M17_+M18_+M19_+M20_+M21_+M22_+M23_+M24_+M25_+M26_+M27_+M28_+M29_+M30_+M31_+M32_+M33_+M34_+M35_+M36_+M37_)),0)</f>
        <v>0</v>
      </c>
      <c r="AZ182" s="24" t="str">
        <f t="shared" si="49"/>
        <v/>
      </c>
      <c r="BA182" s="24" t="str">
        <f t="shared" si="50"/>
        <v/>
      </c>
      <c r="BB182" s="24" t="str">
        <f t="shared" si="51"/>
        <v/>
      </c>
      <c r="BC182" s="24" t="str">
        <f>IF(OR(E182="",LEFT(TableCosts[[#This Row],[Calc_N_Typ]],18)="Vynaložené náklady"),"",VLOOKUP(E182,Tab_Parts,2,0))</f>
        <v/>
      </c>
      <c r="BD182" s="24" t="str">
        <f t="shared" si="52"/>
        <v/>
      </c>
      <c r="BE182" s="24">
        <f t="shared" si="53"/>
        <v>0</v>
      </c>
      <c r="BF182" s="72">
        <f>TableCosts[[#This Row],[N_Amount]]*TableCosts[[#This Row],[N_Tariff]]*TableCosts[[#This Row],[N_ItemsCount]]</f>
        <v>0</v>
      </c>
      <c r="BG182" s="72">
        <f>IF(G182=1,IF(TableCosts[[#This Row],[N_Kateg]]="interné práce",TableCosts[[#This Row],[N_Amount]]*8*PAR_SGA_PERHOUR,0),0)</f>
        <v>0</v>
      </c>
      <c r="BH182" s="72">
        <f>SUM(TableCosts[[#This Row],[N_Direct]:[N_SGA]])</f>
        <v>0</v>
      </c>
      <c r="BI182" s="24">
        <f>IF(G182=1,IF(OR(AND(NOT(ISERROR(VLOOKUP(TableCosts[[#This Row],[Calc_N_Typ]],Cis_WorkPositions,1,0))),C182&lt;&gt;"",D182&lt;&gt;"",E182&lt;&gt;""),AND(ISERROR(VLOOKUP(TableCosts[[#This Row],[Calc_N_Typ]],Cis_WorkPositions,1,0)),C182="",D182="",E182&lt;&gt;""),LEFT(TableCosts[[#This Row],[Calc_N_Typ]],18)="Vynaložené náklady"),VLOOKUP(C182&amp;TableCosts[[#This Row],[Calc_N_Typ]],TRAN_STRITEMS_LABEL,VLOOKUP(D182,Tab_Hours,3,0),0),NA()),0)</f>
        <v>0</v>
      </c>
      <c r="BJ182" s="24">
        <f t="shared" si="54"/>
        <v>0</v>
      </c>
      <c r="BK182" s="24" t="str">
        <f t="shared" si="55"/>
        <v/>
      </c>
      <c r="BL182" s="24" t="str">
        <f t="shared" si="56"/>
        <v/>
      </c>
      <c r="BM182" s="24" t="str">
        <f>IF(G182=1,IF(TableCosts[[#This Row],[TransferFrom]]=TableCosts[[#This Row],[TranferTo]],0,1),"")</f>
        <v/>
      </c>
      <c r="BN182" s="24" t="str">
        <f t="shared" si="57"/>
        <v/>
      </c>
      <c r="BO182" s="24">
        <f t="shared" si="58"/>
        <v>0</v>
      </c>
      <c r="BP182" s="24">
        <f t="shared" si="59"/>
        <v>0</v>
      </c>
    </row>
    <row r="183" spans="2:68" s="24" customFormat="1" ht="12.75" x14ac:dyDescent="0.2">
      <c r="B183" s="97"/>
      <c r="C183" s="92"/>
      <c r="D183" s="92"/>
      <c r="E183" s="92"/>
      <c r="F183" s="31" t="str">
        <f>IF(G183=1,IF(ISERROR(TableCosts[[#This Row],[N_Tariff]]),Err_Message1,IF(TableCosts[[#This Row],[N_Tariff]]=0,Err_Message2,VLOOKUP(C183&amp;TableCosts[[#This Row],[Calc_N_Typ]],TRAN_STRITEMS_LABEL,5,FALSE))),"")</f>
        <v/>
      </c>
      <c r="G183" s="31">
        <f t="shared" si="48"/>
        <v>0</v>
      </c>
      <c r="H183" s="31" t="str">
        <f>IF(G183=1,IFERROR(VLOOKUP(F183,Tab_ErrMessage[],2,0),VLOOKUP(C183&amp;TableCosts[[#This Row],[Calc_N_Typ]],TRAN_STRITEMS_LABEL,4,FALSE)),"")</f>
        <v/>
      </c>
      <c r="I183" s="94"/>
      <c r="J183" s="94"/>
      <c r="K183" s="94"/>
      <c r="L183" s="84"/>
      <c r="M183" s="84"/>
      <c r="N183" s="84"/>
      <c r="O183" s="84"/>
      <c r="P183" s="84"/>
      <c r="Q183" s="84"/>
      <c r="R183" s="84"/>
      <c r="S183" s="84"/>
      <c r="T183" s="84"/>
      <c r="U183" s="84"/>
      <c r="V183" s="84"/>
      <c r="W183" s="84"/>
      <c r="X183" s="84"/>
      <c r="Y183" s="84"/>
      <c r="Z183" s="84"/>
      <c r="AA183" s="84"/>
      <c r="AB183" s="84"/>
      <c r="AC183" s="84"/>
      <c r="AD183" s="84"/>
      <c r="AE183" s="84"/>
      <c r="AF183" s="84"/>
      <c r="AG183" s="84"/>
      <c r="AH183" s="84"/>
      <c r="AI183" s="84"/>
      <c r="AJ183" s="84"/>
      <c r="AK183" s="84"/>
      <c r="AL183" s="84"/>
      <c r="AM183" s="84"/>
      <c r="AN183" s="84"/>
      <c r="AO183" s="84"/>
      <c r="AP183" s="84"/>
      <c r="AQ183" s="84"/>
      <c r="AR183" s="84"/>
      <c r="AS183" s="84"/>
      <c r="AT183" s="84"/>
      <c r="AU183" s="84"/>
      <c r="AV183" s="84"/>
      <c r="AW183" s="84"/>
      <c r="AX183" s="87">
        <f t="array" ref="AX183">IF(G183=1,SUM((ROW(M0)=ROW(AW183))*(M0+M1_+M2_+M3_+M4_+M5_+M6_+M7_+M8_+M9_+M10_+M11_+M12_+M13_+M14_+M15_+M16_+M17_+M18_+M19_+M20_+M21_+M22_+M23_+M24_+M25_+M26_+M27_+M28_+M29_+M30_+M31_+M32_+M33_+M34_+M35_+M36_+M37_)),0)</f>
        <v>0</v>
      </c>
      <c r="AZ183" s="24" t="str">
        <f t="shared" si="49"/>
        <v/>
      </c>
      <c r="BA183" s="24" t="str">
        <f t="shared" si="50"/>
        <v/>
      </c>
      <c r="BB183" s="24" t="str">
        <f t="shared" si="51"/>
        <v/>
      </c>
      <c r="BC183" s="24" t="str">
        <f>IF(OR(E183="",LEFT(TableCosts[[#This Row],[Calc_N_Typ]],18)="Vynaložené náklady"),"",VLOOKUP(E183,Tab_Parts,2,0))</f>
        <v/>
      </c>
      <c r="BD183" s="24" t="str">
        <f t="shared" si="52"/>
        <v/>
      </c>
      <c r="BE183" s="24">
        <f t="shared" si="53"/>
        <v>0</v>
      </c>
      <c r="BF183" s="72">
        <f>TableCosts[[#This Row],[N_Amount]]*TableCosts[[#This Row],[N_Tariff]]*TableCosts[[#This Row],[N_ItemsCount]]</f>
        <v>0</v>
      </c>
      <c r="BG183" s="72">
        <f>IF(G183=1,IF(TableCosts[[#This Row],[N_Kateg]]="interné práce",TableCosts[[#This Row],[N_Amount]]*8*PAR_SGA_PERHOUR,0),0)</f>
        <v>0</v>
      </c>
      <c r="BH183" s="72">
        <f>SUM(TableCosts[[#This Row],[N_Direct]:[N_SGA]])</f>
        <v>0</v>
      </c>
      <c r="BI183" s="24">
        <f>IF(G183=1,IF(OR(AND(NOT(ISERROR(VLOOKUP(TableCosts[[#This Row],[Calc_N_Typ]],Cis_WorkPositions,1,0))),C183&lt;&gt;"",D183&lt;&gt;"",E183&lt;&gt;""),AND(ISERROR(VLOOKUP(TableCosts[[#This Row],[Calc_N_Typ]],Cis_WorkPositions,1,0)),C183="",D183="",E183&lt;&gt;""),LEFT(TableCosts[[#This Row],[Calc_N_Typ]],18)="Vynaložené náklady"),VLOOKUP(C183&amp;TableCosts[[#This Row],[Calc_N_Typ]],TRAN_STRITEMS_LABEL,VLOOKUP(D183,Tab_Hours,3,0),0),NA()),0)</f>
        <v>0</v>
      </c>
      <c r="BJ183" s="24">
        <f t="shared" si="54"/>
        <v>0</v>
      </c>
      <c r="BK183" s="24" t="str">
        <f t="shared" si="55"/>
        <v/>
      </c>
      <c r="BL183" s="24" t="str">
        <f t="shared" si="56"/>
        <v/>
      </c>
      <c r="BM183" s="24" t="str">
        <f>IF(G183=1,IF(TableCosts[[#This Row],[TransferFrom]]=TableCosts[[#This Row],[TranferTo]],0,1),"")</f>
        <v/>
      </c>
      <c r="BN183" s="24" t="str">
        <f t="shared" si="57"/>
        <v/>
      </c>
      <c r="BO183" s="24">
        <f t="shared" si="58"/>
        <v>0</v>
      </c>
      <c r="BP183" s="24">
        <f t="shared" si="59"/>
        <v>0</v>
      </c>
    </row>
    <row r="184" spans="2:68" s="24" customFormat="1" ht="12.75" x14ac:dyDescent="0.2">
      <c r="B184" s="97"/>
      <c r="C184" s="92"/>
      <c r="D184" s="92"/>
      <c r="E184" s="92"/>
      <c r="F184" s="31" t="str">
        <f>IF(G184=1,IF(ISERROR(TableCosts[[#This Row],[N_Tariff]]),Err_Message1,IF(TableCosts[[#This Row],[N_Tariff]]=0,Err_Message2,VLOOKUP(C184&amp;TableCosts[[#This Row],[Calc_N_Typ]],TRAN_STRITEMS_LABEL,5,FALSE))),"")</f>
        <v/>
      </c>
      <c r="G184" s="31">
        <f t="shared" si="48"/>
        <v>0</v>
      </c>
      <c r="H184" s="31" t="str">
        <f>IF(G184=1,IFERROR(VLOOKUP(F184,Tab_ErrMessage[],2,0),VLOOKUP(C184&amp;TableCosts[[#This Row],[Calc_N_Typ]],TRAN_STRITEMS_LABEL,4,FALSE)),"")</f>
        <v/>
      </c>
      <c r="I184" s="94"/>
      <c r="J184" s="94"/>
      <c r="K184" s="94"/>
      <c r="L184" s="84"/>
      <c r="M184" s="84"/>
      <c r="N184" s="84"/>
      <c r="O184" s="84"/>
      <c r="P184" s="84"/>
      <c r="Q184" s="84"/>
      <c r="R184" s="84"/>
      <c r="S184" s="84"/>
      <c r="T184" s="84"/>
      <c r="U184" s="84"/>
      <c r="V184" s="84"/>
      <c r="W184" s="84"/>
      <c r="X184" s="84"/>
      <c r="Y184" s="84"/>
      <c r="Z184" s="84"/>
      <c r="AA184" s="84"/>
      <c r="AB184" s="84"/>
      <c r="AC184" s="84"/>
      <c r="AD184" s="84"/>
      <c r="AE184" s="84"/>
      <c r="AF184" s="84"/>
      <c r="AG184" s="84"/>
      <c r="AH184" s="84"/>
      <c r="AI184" s="84"/>
      <c r="AJ184" s="84"/>
      <c r="AK184" s="84"/>
      <c r="AL184" s="84"/>
      <c r="AM184" s="84"/>
      <c r="AN184" s="84"/>
      <c r="AO184" s="84"/>
      <c r="AP184" s="84"/>
      <c r="AQ184" s="84"/>
      <c r="AR184" s="84"/>
      <c r="AS184" s="84"/>
      <c r="AT184" s="84"/>
      <c r="AU184" s="84"/>
      <c r="AV184" s="84"/>
      <c r="AW184" s="84"/>
      <c r="AX184" s="87">
        <f t="array" ref="AX184">IF(G184=1,SUM((ROW(M0)=ROW(AW184))*(M0+M1_+M2_+M3_+M4_+M5_+M6_+M7_+M8_+M9_+M10_+M11_+M12_+M13_+M14_+M15_+M16_+M17_+M18_+M19_+M20_+M21_+M22_+M23_+M24_+M25_+M26_+M27_+M28_+M29_+M30_+M31_+M32_+M33_+M34_+M35_+M36_+M37_)),0)</f>
        <v>0</v>
      </c>
      <c r="AZ184" s="24" t="str">
        <f t="shared" si="49"/>
        <v/>
      </c>
      <c r="BA184" s="24" t="str">
        <f t="shared" si="50"/>
        <v/>
      </c>
      <c r="BB184" s="24" t="str">
        <f t="shared" si="51"/>
        <v/>
      </c>
      <c r="BC184" s="24" t="str">
        <f>IF(OR(E184="",LEFT(TableCosts[[#This Row],[Calc_N_Typ]],18)="Vynaložené náklady"),"",VLOOKUP(E184,Tab_Parts,2,0))</f>
        <v/>
      </c>
      <c r="BD184" s="24" t="str">
        <f t="shared" si="52"/>
        <v/>
      </c>
      <c r="BE184" s="24">
        <f t="shared" si="53"/>
        <v>0</v>
      </c>
      <c r="BF184" s="72">
        <f>TableCosts[[#This Row],[N_Amount]]*TableCosts[[#This Row],[N_Tariff]]*TableCosts[[#This Row],[N_ItemsCount]]</f>
        <v>0</v>
      </c>
      <c r="BG184" s="72">
        <f>IF(G184=1,IF(TableCosts[[#This Row],[N_Kateg]]="interné práce",TableCosts[[#This Row],[N_Amount]]*8*PAR_SGA_PERHOUR,0),0)</f>
        <v>0</v>
      </c>
      <c r="BH184" s="72">
        <f>SUM(TableCosts[[#This Row],[N_Direct]:[N_SGA]])</f>
        <v>0</v>
      </c>
      <c r="BI184" s="24">
        <f>IF(G184=1,IF(OR(AND(NOT(ISERROR(VLOOKUP(TableCosts[[#This Row],[Calc_N_Typ]],Cis_WorkPositions,1,0))),C184&lt;&gt;"",D184&lt;&gt;"",E184&lt;&gt;""),AND(ISERROR(VLOOKUP(TableCosts[[#This Row],[Calc_N_Typ]],Cis_WorkPositions,1,0)),C184="",D184="",E184&lt;&gt;""),LEFT(TableCosts[[#This Row],[Calc_N_Typ]],18)="Vynaložené náklady"),VLOOKUP(C184&amp;TableCosts[[#This Row],[Calc_N_Typ]],TRAN_STRITEMS_LABEL,VLOOKUP(D184,Tab_Hours,3,0),0),NA()),0)</f>
        <v>0</v>
      </c>
      <c r="BJ184" s="24">
        <f t="shared" si="54"/>
        <v>0</v>
      </c>
      <c r="BK184" s="24" t="str">
        <f t="shared" si="55"/>
        <v/>
      </c>
      <c r="BL184" s="24" t="str">
        <f t="shared" si="56"/>
        <v/>
      </c>
      <c r="BM184" s="24" t="str">
        <f>IF(G184=1,IF(TableCosts[[#This Row],[TransferFrom]]=TableCosts[[#This Row],[TranferTo]],0,1),"")</f>
        <v/>
      </c>
      <c r="BN184" s="24" t="str">
        <f t="shared" si="57"/>
        <v/>
      </c>
      <c r="BO184" s="24">
        <f t="shared" si="58"/>
        <v>0</v>
      </c>
      <c r="BP184" s="24">
        <f t="shared" si="59"/>
        <v>0</v>
      </c>
    </row>
    <row r="185" spans="2:68" s="24" customFormat="1" ht="12.75" x14ac:dyDescent="0.2">
      <c r="B185" s="97"/>
      <c r="C185" s="92"/>
      <c r="D185" s="92"/>
      <c r="E185" s="92"/>
      <c r="F185" s="31" t="str">
        <f>IF(G185=1,IF(ISERROR(TableCosts[[#This Row],[N_Tariff]]),Err_Message1,IF(TableCosts[[#This Row],[N_Tariff]]=0,Err_Message2,VLOOKUP(C185&amp;TableCosts[[#This Row],[Calc_N_Typ]],TRAN_STRITEMS_LABEL,5,FALSE))),"")</f>
        <v/>
      </c>
      <c r="G185" s="31">
        <f t="shared" si="48"/>
        <v>0</v>
      </c>
      <c r="H185" s="31" t="str">
        <f>IF(G185=1,IFERROR(VLOOKUP(F185,Tab_ErrMessage[],2,0),VLOOKUP(C185&amp;TableCosts[[#This Row],[Calc_N_Typ]],TRAN_STRITEMS_LABEL,4,FALSE)),"")</f>
        <v/>
      </c>
      <c r="I185" s="94"/>
      <c r="J185" s="94"/>
      <c r="K185" s="94"/>
      <c r="L185" s="84"/>
      <c r="M185" s="84"/>
      <c r="N185" s="84"/>
      <c r="O185" s="84"/>
      <c r="P185" s="84"/>
      <c r="Q185" s="84"/>
      <c r="R185" s="84"/>
      <c r="S185" s="84"/>
      <c r="T185" s="84"/>
      <c r="U185" s="84"/>
      <c r="V185" s="84"/>
      <c r="W185" s="84"/>
      <c r="X185" s="84"/>
      <c r="Y185" s="84"/>
      <c r="Z185" s="84"/>
      <c r="AA185" s="84"/>
      <c r="AB185" s="84"/>
      <c r="AC185" s="84"/>
      <c r="AD185" s="84"/>
      <c r="AE185" s="84"/>
      <c r="AF185" s="84"/>
      <c r="AG185" s="84"/>
      <c r="AH185" s="84"/>
      <c r="AI185" s="84"/>
      <c r="AJ185" s="84"/>
      <c r="AK185" s="84"/>
      <c r="AL185" s="84"/>
      <c r="AM185" s="84"/>
      <c r="AN185" s="84"/>
      <c r="AO185" s="84"/>
      <c r="AP185" s="84"/>
      <c r="AQ185" s="84"/>
      <c r="AR185" s="84"/>
      <c r="AS185" s="84"/>
      <c r="AT185" s="84"/>
      <c r="AU185" s="84"/>
      <c r="AV185" s="84"/>
      <c r="AW185" s="84"/>
      <c r="AX185" s="87">
        <f t="array" ref="AX185">IF(G185=1,SUM((ROW(M0)=ROW(AW185))*(M0+M1_+M2_+M3_+M4_+M5_+M6_+M7_+M8_+M9_+M10_+M11_+M12_+M13_+M14_+M15_+M16_+M17_+M18_+M19_+M20_+M21_+M22_+M23_+M24_+M25_+M26_+M27_+M28_+M29_+M30_+M31_+M32_+M33_+M34_+M35_+M36_+M37_)),0)</f>
        <v>0</v>
      </c>
      <c r="AZ185" s="24" t="str">
        <f t="shared" si="49"/>
        <v/>
      </c>
      <c r="BA185" s="24" t="str">
        <f t="shared" si="50"/>
        <v/>
      </c>
      <c r="BB185" s="24" t="str">
        <f t="shared" si="51"/>
        <v/>
      </c>
      <c r="BC185" s="24" t="str">
        <f>IF(OR(E185="",LEFT(TableCosts[[#This Row],[Calc_N_Typ]],18)="Vynaložené náklady"),"",VLOOKUP(E185,Tab_Parts,2,0))</f>
        <v/>
      </c>
      <c r="BD185" s="24" t="str">
        <f t="shared" si="52"/>
        <v/>
      </c>
      <c r="BE185" s="24">
        <f t="shared" si="53"/>
        <v>0</v>
      </c>
      <c r="BF185" s="72">
        <f>TableCosts[[#This Row],[N_Amount]]*TableCosts[[#This Row],[N_Tariff]]*TableCosts[[#This Row],[N_ItemsCount]]</f>
        <v>0</v>
      </c>
      <c r="BG185" s="72">
        <f>IF(G185=1,IF(TableCosts[[#This Row],[N_Kateg]]="interné práce",TableCosts[[#This Row],[N_Amount]]*8*PAR_SGA_PERHOUR,0),0)</f>
        <v>0</v>
      </c>
      <c r="BH185" s="72">
        <f>SUM(TableCosts[[#This Row],[N_Direct]:[N_SGA]])</f>
        <v>0</v>
      </c>
      <c r="BI185" s="24">
        <f>IF(G185=1,IF(OR(AND(NOT(ISERROR(VLOOKUP(TableCosts[[#This Row],[Calc_N_Typ]],Cis_WorkPositions,1,0))),C185&lt;&gt;"",D185&lt;&gt;"",E185&lt;&gt;""),AND(ISERROR(VLOOKUP(TableCosts[[#This Row],[Calc_N_Typ]],Cis_WorkPositions,1,0)),C185="",D185="",E185&lt;&gt;""),LEFT(TableCosts[[#This Row],[Calc_N_Typ]],18)="Vynaložené náklady"),VLOOKUP(C185&amp;TableCosts[[#This Row],[Calc_N_Typ]],TRAN_STRITEMS_LABEL,VLOOKUP(D185,Tab_Hours,3,0),0),NA()),0)</f>
        <v>0</v>
      </c>
      <c r="BJ185" s="24">
        <f t="shared" si="54"/>
        <v>0</v>
      </c>
      <c r="BK185" s="24" t="str">
        <f t="shared" si="55"/>
        <v/>
      </c>
      <c r="BL185" s="24" t="str">
        <f t="shared" si="56"/>
        <v/>
      </c>
      <c r="BM185" s="24" t="str">
        <f>IF(G185=1,IF(TableCosts[[#This Row],[TransferFrom]]=TableCosts[[#This Row],[TranferTo]],0,1),"")</f>
        <v/>
      </c>
      <c r="BN185" s="24" t="str">
        <f t="shared" si="57"/>
        <v/>
      </c>
      <c r="BO185" s="24">
        <f t="shared" si="58"/>
        <v>0</v>
      </c>
      <c r="BP185" s="24">
        <f t="shared" si="59"/>
        <v>0</v>
      </c>
    </row>
    <row r="186" spans="2:68" s="24" customFormat="1" ht="12.75" x14ac:dyDescent="0.2">
      <c r="B186" s="97"/>
      <c r="C186" s="92"/>
      <c r="D186" s="92"/>
      <c r="E186" s="92"/>
      <c r="F186" s="31" t="str">
        <f>IF(G186=1,IF(ISERROR(TableCosts[[#This Row],[N_Tariff]]),Err_Message1,IF(TableCosts[[#This Row],[N_Tariff]]=0,Err_Message2,VLOOKUP(C186&amp;TableCosts[[#This Row],[Calc_N_Typ]],TRAN_STRITEMS_LABEL,5,FALSE))),"")</f>
        <v/>
      </c>
      <c r="G186" s="31">
        <f t="shared" si="48"/>
        <v>0</v>
      </c>
      <c r="H186" s="31" t="str">
        <f>IF(G186=1,IFERROR(VLOOKUP(F186,Tab_ErrMessage[],2,0),VLOOKUP(C186&amp;TableCosts[[#This Row],[Calc_N_Typ]],TRAN_STRITEMS_LABEL,4,FALSE)),"")</f>
        <v/>
      </c>
      <c r="I186" s="94"/>
      <c r="J186" s="94"/>
      <c r="K186" s="94"/>
      <c r="L186" s="84"/>
      <c r="M186" s="84"/>
      <c r="N186" s="84"/>
      <c r="O186" s="84"/>
      <c r="P186" s="84"/>
      <c r="Q186" s="84"/>
      <c r="R186" s="84"/>
      <c r="S186" s="84"/>
      <c r="T186" s="84"/>
      <c r="U186" s="84"/>
      <c r="V186" s="84"/>
      <c r="W186" s="84"/>
      <c r="X186" s="84"/>
      <c r="Y186" s="84"/>
      <c r="Z186" s="84"/>
      <c r="AA186" s="84"/>
      <c r="AB186" s="84"/>
      <c r="AC186" s="84"/>
      <c r="AD186" s="84"/>
      <c r="AE186" s="84"/>
      <c r="AF186" s="84"/>
      <c r="AG186" s="84"/>
      <c r="AH186" s="84"/>
      <c r="AI186" s="84"/>
      <c r="AJ186" s="84"/>
      <c r="AK186" s="84"/>
      <c r="AL186" s="84"/>
      <c r="AM186" s="84"/>
      <c r="AN186" s="84"/>
      <c r="AO186" s="84"/>
      <c r="AP186" s="84"/>
      <c r="AQ186" s="84"/>
      <c r="AR186" s="84"/>
      <c r="AS186" s="84"/>
      <c r="AT186" s="84"/>
      <c r="AU186" s="84"/>
      <c r="AV186" s="84"/>
      <c r="AW186" s="84"/>
      <c r="AX186" s="87">
        <f t="array" ref="AX186">IF(G186=1,SUM((ROW(M0)=ROW(AW186))*(M0+M1_+M2_+M3_+M4_+M5_+M6_+M7_+M8_+M9_+M10_+M11_+M12_+M13_+M14_+M15_+M16_+M17_+M18_+M19_+M20_+M21_+M22_+M23_+M24_+M25_+M26_+M27_+M28_+M29_+M30_+M31_+M32_+M33_+M34_+M35_+M36_+M37_)),0)</f>
        <v>0</v>
      </c>
      <c r="AZ186" s="24" t="str">
        <f t="shared" si="49"/>
        <v/>
      </c>
      <c r="BA186" s="24" t="str">
        <f t="shared" si="50"/>
        <v/>
      </c>
      <c r="BB186" s="24" t="str">
        <f t="shared" si="51"/>
        <v/>
      </c>
      <c r="BC186" s="24" t="str">
        <f>IF(OR(E186="",LEFT(TableCosts[[#This Row],[Calc_N_Typ]],18)="Vynaložené náklady"),"",VLOOKUP(E186,Tab_Parts,2,0))</f>
        <v/>
      </c>
      <c r="BD186" s="24" t="str">
        <f t="shared" si="52"/>
        <v/>
      </c>
      <c r="BE186" s="24">
        <f t="shared" si="53"/>
        <v>0</v>
      </c>
      <c r="BF186" s="72">
        <f>TableCosts[[#This Row],[N_Amount]]*TableCosts[[#This Row],[N_Tariff]]*TableCosts[[#This Row],[N_ItemsCount]]</f>
        <v>0</v>
      </c>
      <c r="BG186" s="72">
        <f>IF(G186=1,IF(TableCosts[[#This Row],[N_Kateg]]="interné práce",TableCosts[[#This Row],[N_Amount]]*8*PAR_SGA_PERHOUR,0),0)</f>
        <v>0</v>
      </c>
      <c r="BH186" s="72">
        <f>SUM(TableCosts[[#This Row],[N_Direct]:[N_SGA]])</f>
        <v>0</v>
      </c>
      <c r="BI186" s="24">
        <f>IF(G186=1,IF(OR(AND(NOT(ISERROR(VLOOKUP(TableCosts[[#This Row],[Calc_N_Typ]],Cis_WorkPositions,1,0))),C186&lt;&gt;"",D186&lt;&gt;"",E186&lt;&gt;""),AND(ISERROR(VLOOKUP(TableCosts[[#This Row],[Calc_N_Typ]],Cis_WorkPositions,1,0)),C186="",D186="",E186&lt;&gt;""),LEFT(TableCosts[[#This Row],[Calc_N_Typ]],18)="Vynaložené náklady"),VLOOKUP(C186&amp;TableCosts[[#This Row],[Calc_N_Typ]],TRAN_STRITEMS_LABEL,VLOOKUP(D186,Tab_Hours,3,0),0),NA()),0)</f>
        <v>0</v>
      </c>
      <c r="BJ186" s="24">
        <f t="shared" si="54"/>
        <v>0</v>
      </c>
      <c r="BK186" s="24" t="str">
        <f t="shared" si="55"/>
        <v/>
      </c>
      <c r="BL186" s="24" t="str">
        <f t="shared" si="56"/>
        <v/>
      </c>
      <c r="BM186" s="24" t="str">
        <f>IF(G186=1,IF(TableCosts[[#This Row],[TransferFrom]]=TableCosts[[#This Row],[TranferTo]],0,1),"")</f>
        <v/>
      </c>
      <c r="BN186" s="24" t="str">
        <f t="shared" si="57"/>
        <v/>
      </c>
      <c r="BO186" s="24">
        <f t="shared" si="58"/>
        <v>0</v>
      </c>
      <c r="BP186" s="24">
        <f t="shared" si="59"/>
        <v>0</v>
      </c>
    </row>
    <row r="187" spans="2:68" s="24" customFormat="1" ht="12.75" x14ac:dyDescent="0.2">
      <c r="B187" s="97"/>
      <c r="C187" s="92"/>
      <c r="D187" s="92"/>
      <c r="E187" s="92"/>
      <c r="F187" s="31" t="str">
        <f>IF(G187=1,IF(ISERROR(TableCosts[[#This Row],[N_Tariff]]),Err_Message1,IF(TableCosts[[#This Row],[N_Tariff]]=0,Err_Message2,VLOOKUP(C187&amp;TableCosts[[#This Row],[Calc_N_Typ]],TRAN_STRITEMS_LABEL,5,FALSE))),"")</f>
        <v/>
      </c>
      <c r="G187" s="31">
        <f t="shared" si="48"/>
        <v>0</v>
      </c>
      <c r="H187" s="31" t="str">
        <f>IF(G187=1,IFERROR(VLOOKUP(F187,Tab_ErrMessage[],2,0),VLOOKUP(C187&amp;TableCosts[[#This Row],[Calc_N_Typ]],TRAN_STRITEMS_LABEL,4,FALSE)),"")</f>
        <v/>
      </c>
      <c r="I187" s="94"/>
      <c r="J187" s="94"/>
      <c r="K187" s="94"/>
      <c r="L187" s="84"/>
      <c r="M187" s="84"/>
      <c r="N187" s="84"/>
      <c r="O187" s="84"/>
      <c r="P187" s="84"/>
      <c r="Q187" s="84"/>
      <c r="R187" s="84"/>
      <c r="S187" s="84"/>
      <c r="T187" s="84"/>
      <c r="U187" s="84"/>
      <c r="V187" s="84"/>
      <c r="W187" s="84"/>
      <c r="X187" s="84"/>
      <c r="Y187" s="84"/>
      <c r="Z187" s="84"/>
      <c r="AA187" s="84"/>
      <c r="AB187" s="84"/>
      <c r="AC187" s="84"/>
      <c r="AD187" s="84"/>
      <c r="AE187" s="84"/>
      <c r="AF187" s="84"/>
      <c r="AG187" s="84"/>
      <c r="AH187" s="84"/>
      <c r="AI187" s="84"/>
      <c r="AJ187" s="84"/>
      <c r="AK187" s="84"/>
      <c r="AL187" s="84"/>
      <c r="AM187" s="84"/>
      <c r="AN187" s="84"/>
      <c r="AO187" s="84"/>
      <c r="AP187" s="84"/>
      <c r="AQ187" s="84"/>
      <c r="AR187" s="84"/>
      <c r="AS187" s="84"/>
      <c r="AT187" s="84"/>
      <c r="AU187" s="84"/>
      <c r="AV187" s="84"/>
      <c r="AW187" s="84"/>
      <c r="AX187" s="87">
        <f t="array" ref="AX187">IF(G187=1,SUM((ROW(M0)=ROW(AW187))*(M0+M1_+M2_+M3_+M4_+M5_+M6_+M7_+M8_+M9_+M10_+M11_+M12_+M13_+M14_+M15_+M16_+M17_+M18_+M19_+M20_+M21_+M22_+M23_+M24_+M25_+M26_+M27_+M28_+M29_+M30_+M31_+M32_+M33_+M34_+M35_+M36_+M37_)),0)</f>
        <v>0</v>
      </c>
      <c r="AZ187" s="24" t="str">
        <f t="shared" si="49"/>
        <v/>
      </c>
      <c r="BA187" s="24" t="str">
        <f t="shared" si="50"/>
        <v/>
      </c>
      <c r="BB187" s="24" t="str">
        <f t="shared" si="51"/>
        <v/>
      </c>
      <c r="BC187" s="24" t="str">
        <f>IF(OR(E187="",LEFT(TableCosts[[#This Row],[Calc_N_Typ]],18)="Vynaložené náklady"),"",VLOOKUP(E187,Tab_Parts,2,0))</f>
        <v/>
      </c>
      <c r="BD187" s="24" t="str">
        <f t="shared" si="52"/>
        <v/>
      </c>
      <c r="BE187" s="24">
        <f t="shared" si="53"/>
        <v>0</v>
      </c>
      <c r="BF187" s="72">
        <f>TableCosts[[#This Row],[N_Amount]]*TableCosts[[#This Row],[N_Tariff]]*TableCosts[[#This Row],[N_ItemsCount]]</f>
        <v>0</v>
      </c>
      <c r="BG187" s="72">
        <f>IF(G187=1,IF(TableCosts[[#This Row],[N_Kateg]]="interné práce",TableCosts[[#This Row],[N_Amount]]*8*PAR_SGA_PERHOUR,0),0)</f>
        <v>0</v>
      </c>
      <c r="BH187" s="72">
        <f>SUM(TableCosts[[#This Row],[N_Direct]:[N_SGA]])</f>
        <v>0</v>
      </c>
      <c r="BI187" s="24">
        <f>IF(G187=1,IF(OR(AND(NOT(ISERROR(VLOOKUP(TableCosts[[#This Row],[Calc_N_Typ]],Cis_WorkPositions,1,0))),C187&lt;&gt;"",D187&lt;&gt;"",E187&lt;&gt;""),AND(ISERROR(VLOOKUP(TableCosts[[#This Row],[Calc_N_Typ]],Cis_WorkPositions,1,0)),C187="",D187="",E187&lt;&gt;""),LEFT(TableCosts[[#This Row],[Calc_N_Typ]],18)="Vynaložené náklady"),VLOOKUP(C187&amp;TableCosts[[#This Row],[Calc_N_Typ]],TRAN_STRITEMS_LABEL,VLOOKUP(D187,Tab_Hours,3,0),0),NA()),0)</f>
        <v>0</v>
      </c>
      <c r="BJ187" s="24">
        <f t="shared" si="54"/>
        <v>0</v>
      </c>
      <c r="BK187" s="24" t="str">
        <f t="shared" si="55"/>
        <v/>
      </c>
      <c r="BL187" s="24" t="str">
        <f t="shared" si="56"/>
        <v/>
      </c>
      <c r="BM187" s="24" t="str">
        <f>IF(G187=1,IF(TableCosts[[#This Row],[TransferFrom]]=TableCosts[[#This Row],[TranferTo]],0,1),"")</f>
        <v/>
      </c>
      <c r="BN187" s="24" t="str">
        <f t="shared" si="57"/>
        <v/>
      </c>
      <c r="BO187" s="24">
        <f t="shared" si="58"/>
        <v>0</v>
      </c>
      <c r="BP187" s="24">
        <f t="shared" si="59"/>
        <v>0</v>
      </c>
    </row>
    <row r="188" spans="2:68" s="24" customFormat="1" ht="12.75" x14ac:dyDescent="0.2">
      <c r="B188" s="97"/>
      <c r="C188" s="92"/>
      <c r="D188" s="92"/>
      <c r="E188" s="92"/>
      <c r="F188" s="31" t="str">
        <f>IF(G188=1,IF(ISERROR(TableCosts[[#This Row],[N_Tariff]]),Err_Message1,IF(TableCosts[[#This Row],[N_Tariff]]=0,Err_Message2,VLOOKUP(C188&amp;TableCosts[[#This Row],[Calc_N_Typ]],TRAN_STRITEMS_LABEL,5,FALSE))),"")</f>
        <v/>
      </c>
      <c r="G188" s="31">
        <f t="shared" si="48"/>
        <v>0</v>
      </c>
      <c r="H188" s="31" t="str">
        <f>IF(G188=1,IFERROR(VLOOKUP(F188,Tab_ErrMessage[],2,0),VLOOKUP(C188&amp;TableCosts[[#This Row],[Calc_N_Typ]],TRAN_STRITEMS_LABEL,4,FALSE)),"")</f>
        <v/>
      </c>
      <c r="I188" s="94"/>
      <c r="J188" s="94"/>
      <c r="K188" s="94"/>
      <c r="L188" s="84"/>
      <c r="M188" s="84"/>
      <c r="N188" s="84"/>
      <c r="O188" s="84"/>
      <c r="P188" s="84"/>
      <c r="Q188" s="84"/>
      <c r="R188" s="84"/>
      <c r="S188" s="84"/>
      <c r="T188" s="84"/>
      <c r="U188" s="84"/>
      <c r="V188" s="84"/>
      <c r="W188" s="84"/>
      <c r="X188" s="84"/>
      <c r="Y188" s="84"/>
      <c r="Z188" s="84"/>
      <c r="AA188" s="84"/>
      <c r="AB188" s="84"/>
      <c r="AC188" s="84"/>
      <c r="AD188" s="84"/>
      <c r="AE188" s="84"/>
      <c r="AF188" s="84"/>
      <c r="AG188" s="84"/>
      <c r="AH188" s="84"/>
      <c r="AI188" s="84"/>
      <c r="AJ188" s="84"/>
      <c r="AK188" s="84"/>
      <c r="AL188" s="84"/>
      <c r="AM188" s="84"/>
      <c r="AN188" s="84"/>
      <c r="AO188" s="84"/>
      <c r="AP188" s="84"/>
      <c r="AQ188" s="84"/>
      <c r="AR188" s="84"/>
      <c r="AS188" s="84"/>
      <c r="AT188" s="84"/>
      <c r="AU188" s="84"/>
      <c r="AV188" s="84"/>
      <c r="AW188" s="84"/>
      <c r="AX188" s="87">
        <f t="array" ref="AX188">IF(G188=1,SUM((ROW(M0)=ROW(AW188))*(M0+M1_+M2_+M3_+M4_+M5_+M6_+M7_+M8_+M9_+M10_+M11_+M12_+M13_+M14_+M15_+M16_+M17_+M18_+M19_+M20_+M21_+M22_+M23_+M24_+M25_+M26_+M27_+M28_+M29_+M30_+M31_+M32_+M33_+M34_+M35_+M36_+M37_)),0)</f>
        <v>0</v>
      </c>
      <c r="AZ188" s="24" t="str">
        <f t="shared" si="49"/>
        <v/>
      </c>
      <c r="BA188" s="24" t="str">
        <f t="shared" si="50"/>
        <v/>
      </c>
      <c r="BB188" s="24" t="str">
        <f t="shared" si="51"/>
        <v/>
      </c>
      <c r="BC188" s="24" t="str">
        <f>IF(OR(E188="",LEFT(TableCosts[[#This Row],[Calc_N_Typ]],18)="Vynaložené náklady"),"",VLOOKUP(E188,Tab_Parts,2,0))</f>
        <v/>
      </c>
      <c r="BD188" s="24" t="str">
        <f t="shared" si="52"/>
        <v/>
      </c>
      <c r="BE188" s="24">
        <f t="shared" si="53"/>
        <v>0</v>
      </c>
      <c r="BF188" s="72">
        <f>TableCosts[[#This Row],[N_Amount]]*TableCosts[[#This Row],[N_Tariff]]*TableCosts[[#This Row],[N_ItemsCount]]</f>
        <v>0</v>
      </c>
      <c r="BG188" s="72">
        <f>IF(G188=1,IF(TableCosts[[#This Row],[N_Kateg]]="interné práce",TableCosts[[#This Row],[N_Amount]]*8*PAR_SGA_PERHOUR,0),0)</f>
        <v>0</v>
      </c>
      <c r="BH188" s="72">
        <f>SUM(TableCosts[[#This Row],[N_Direct]:[N_SGA]])</f>
        <v>0</v>
      </c>
      <c r="BI188" s="24">
        <f>IF(G188=1,IF(OR(AND(NOT(ISERROR(VLOOKUP(TableCosts[[#This Row],[Calc_N_Typ]],Cis_WorkPositions,1,0))),C188&lt;&gt;"",D188&lt;&gt;"",E188&lt;&gt;""),AND(ISERROR(VLOOKUP(TableCosts[[#This Row],[Calc_N_Typ]],Cis_WorkPositions,1,0)),C188="",D188="",E188&lt;&gt;""),LEFT(TableCosts[[#This Row],[Calc_N_Typ]],18)="Vynaložené náklady"),VLOOKUP(C188&amp;TableCosts[[#This Row],[Calc_N_Typ]],TRAN_STRITEMS_LABEL,VLOOKUP(D188,Tab_Hours,3,0),0),NA()),0)</f>
        <v>0</v>
      </c>
      <c r="BJ188" s="24">
        <f t="shared" si="54"/>
        <v>0</v>
      </c>
      <c r="BK188" s="24" t="str">
        <f t="shared" si="55"/>
        <v/>
      </c>
      <c r="BL188" s="24" t="str">
        <f t="shared" si="56"/>
        <v/>
      </c>
      <c r="BM188" s="24" t="str">
        <f>IF(G188=1,IF(TableCosts[[#This Row],[TransferFrom]]=TableCosts[[#This Row],[TranferTo]],0,1),"")</f>
        <v/>
      </c>
      <c r="BN188" s="24" t="str">
        <f t="shared" si="57"/>
        <v/>
      </c>
      <c r="BO188" s="24">
        <f t="shared" si="58"/>
        <v>0</v>
      </c>
      <c r="BP188" s="24">
        <f t="shared" si="59"/>
        <v>0</v>
      </c>
    </row>
    <row r="189" spans="2:68" s="24" customFormat="1" ht="12.75" x14ac:dyDescent="0.2">
      <c r="B189" s="97"/>
      <c r="C189" s="92"/>
      <c r="D189" s="92"/>
      <c r="E189" s="92"/>
      <c r="F189" s="31" t="str">
        <f>IF(G189=1,IF(ISERROR(TableCosts[[#This Row],[N_Tariff]]),Err_Message1,IF(TableCosts[[#This Row],[N_Tariff]]=0,Err_Message2,VLOOKUP(C189&amp;TableCosts[[#This Row],[Calc_N_Typ]],TRAN_STRITEMS_LABEL,5,FALSE))),"")</f>
        <v/>
      </c>
      <c r="G189" s="31">
        <f t="shared" si="48"/>
        <v>0</v>
      </c>
      <c r="H189" s="31" t="str">
        <f>IF(G189=1,IFERROR(VLOOKUP(F189,Tab_ErrMessage[],2,0),VLOOKUP(C189&amp;TableCosts[[#This Row],[Calc_N_Typ]],TRAN_STRITEMS_LABEL,4,FALSE)),"")</f>
        <v/>
      </c>
      <c r="I189" s="94"/>
      <c r="J189" s="94"/>
      <c r="K189" s="94"/>
      <c r="L189" s="84"/>
      <c r="M189" s="84"/>
      <c r="N189" s="84"/>
      <c r="O189" s="84"/>
      <c r="P189" s="84"/>
      <c r="Q189" s="84"/>
      <c r="R189" s="84"/>
      <c r="S189" s="84"/>
      <c r="T189" s="84"/>
      <c r="U189" s="84"/>
      <c r="V189" s="84"/>
      <c r="W189" s="84"/>
      <c r="X189" s="84"/>
      <c r="Y189" s="84"/>
      <c r="Z189" s="84"/>
      <c r="AA189" s="84"/>
      <c r="AB189" s="84"/>
      <c r="AC189" s="84"/>
      <c r="AD189" s="84"/>
      <c r="AE189" s="84"/>
      <c r="AF189" s="84"/>
      <c r="AG189" s="84"/>
      <c r="AH189" s="84"/>
      <c r="AI189" s="84"/>
      <c r="AJ189" s="84"/>
      <c r="AK189" s="84"/>
      <c r="AL189" s="84"/>
      <c r="AM189" s="84"/>
      <c r="AN189" s="84"/>
      <c r="AO189" s="84"/>
      <c r="AP189" s="84"/>
      <c r="AQ189" s="84"/>
      <c r="AR189" s="84"/>
      <c r="AS189" s="84"/>
      <c r="AT189" s="84"/>
      <c r="AU189" s="84"/>
      <c r="AV189" s="84"/>
      <c r="AW189" s="84"/>
      <c r="AX189" s="87">
        <f t="array" ref="AX189">IF(G189=1,SUM((ROW(M0)=ROW(AW189))*(M0+M1_+M2_+M3_+M4_+M5_+M6_+M7_+M8_+M9_+M10_+M11_+M12_+M13_+M14_+M15_+M16_+M17_+M18_+M19_+M20_+M21_+M22_+M23_+M24_+M25_+M26_+M27_+M28_+M29_+M30_+M31_+M32_+M33_+M34_+M35_+M36_+M37_)),0)</f>
        <v>0</v>
      </c>
      <c r="AZ189" s="24" t="str">
        <f t="shared" si="49"/>
        <v/>
      </c>
      <c r="BA189" s="24" t="str">
        <f t="shared" si="50"/>
        <v/>
      </c>
      <c r="BB189" s="24" t="str">
        <f t="shared" si="51"/>
        <v/>
      </c>
      <c r="BC189" s="24" t="str">
        <f>IF(OR(E189="",LEFT(TableCosts[[#This Row],[Calc_N_Typ]],18)="Vynaložené náklady"),"",VLOOKUP(E189,Tab_Parts,2,0))</f>
        <v/>
      </c>
      <c r="BD189" s="24" t="str">
        <f t="shared" si="52"/>
        <v/>
      </c>
      <c r="BE189" s="24">
        <f t="shared" si="53"/>
        <v>0</v>
      </c>
      <c r="BF189" s="72">
        <f>TableCosts[[#This Row],[N_Amount]]*TableCosts[[#This Row],[N_Tariff]]*TableCosts[[#This Row],[N_ItemsCount]]</f>
        <v>0</v>
      </c>
      <c r="BG189" s="72">
        <f>IF(G189=1,IF(TableCosts[[#This Row],[N_Kateg]]="interné práce",TableCosts[[#This Row],[N_Amount]]*8*PAR_SGA_PERHOUR,0),0)</f>
        <v>0</v>
      </c>
      <c r="BH189" s="72">
        <f>SUM(TableCosts[[#This Row],[N_Direct]:[N_SGA]])</f>
        <v>0</v>
      </c>
      <c r="BI189" s="24">
        <f>IF(G189=1,IF(OR(AND(NOT(ISERROR(VLOOKUP(TableCosts[[#This Row],[Calc_N_Typ]],Cis_WorkPositions,1,0))),C189&lt;&gt;"",D189&lt;&gt;"",E189&lt;&gt;""),AND(ISERROR(VLOOKUP(TableCosts[[#This Row],[Calc_N_Typ]],Cis_WorkPositions,1,0)),C189="",D189="",E189&lt;&gt;""),LEFT(TableCosts[[#This Row],[Calc_N_Typ]],18)="Vynaložené náklady"),VLOOKUP(C189&amp;TableCosts[[#This Row],[Calc_N_Typ]],TRAN_STRITEMS_LABEL,VLOOKUP(D189,Tab_Hours,3,0),0),NA()),0)</f>
        <v>0</v>
      </c>
      <c r="BJ189" s="24">
        <f t="shared" si="54"/>
        <v>0</v>
      </c>
      <c r="BK189" s="24" t="str">
        <f t="shared" si="55"/>
        <v/>
      </c>
      <c r="BL189" s="24" t="str">
        <f t="shared" si="56"/>
        <v/>
      </c>
      <c r="BM189" s="24" t="str">
        <f>IF(G189=1,IF(TableCosts[[#This Row],[TransferFrom]]=TableCosts[[#This Row],[TranferTo]],0,1),"")</f>
        <v/>
      </c>
      <c r="BN189" s="24" t="str">
        <f t="shared" si="57"/>
        <v/>
      </c>
      <c r="BO189" s="24">
        <f t="shared" si="58"/>
        <v>0</v>
      </c>
      <c r="BP189" s="24">
        <f t="shared" si="59"/>
        <v>0</v>
      </c>
    </row>
    <row r="190" spans="2:68" s="24" customFormat="1" ht="12.75" x14ac:dyDescent="0.2">
      <c r="B190" s="97"/>
      <c r="C190" s="92"/>
      <c r="D190" s="92"/>
      <c r="E190" s="92"/>
      <c r="F190" s="31" t="str">
        <f>IF(G190=1,IF(ISERROR(TableCosts[[#This Row],[N_Tariff]]),Err_Message1,IF(TableCosts[[#This Row],[N_Tariff]]=0,Err_Message2,VLOOKUP(C190&amp;TableCosts[[#This Row],[Calc_N_Typ]],TRAN_STRITEMS_LABEL,5,FALSE))),"")</f>
        <v/>
      </c>
      <c r="G190" s="31">
        <f t="shared" si="48"/>
        <v>0</v>
      </c>
      <c r="H190" s="31" t="str">
        <f>IF(G190=1,IFERROR(VLOOKUP(F190,Tab_ErrMessage[],2,0),VLOOKUP(C190&amp;TableCosts[[#This Row],[Calc_N_Typ]],TRAN_STRITEMS_LABEL,4,FALSE)),"")</f>
        <v/>
      </c>
      <c r="I190" s="94"/>
      <c r="J190" s="94"/>
      <c r="K190" s="94"/>
      <c r="L190" s="84"/>
      <c r="M190" s="84"/>
      <c r="N190" s="84"/>
      <c r="O190" s="84"/>
      <c r="P190" s="84"/>
      <c r="Q190" s="84"/>
      <c r="R190" s="84"/>
      <c r="S190" s="84"/>
      <c r="T190" s="84"/>
      <c r="U190" s="84"/>
      <c r="V190" s="84"/>
      <c r="W190" s="84"/>
      <c r="X190" s="84"/>
      <c r="Y190" s="84"/>
      <c r="Z190" s="84"/>
      <c r="AA190" s="84"/>
      <c r="AB190" s="84"/>
      <c r="AC190" s="84"/>
      <c r="AD190" s="84"/>
      <c r="AE190" s="84"/>
      <c r="AF190" s="84"/>
      <c r="AG190" s="84"/>
      <c r="AH190" s="84"/>
      <c r="AI190" s="84"/>
      <c r="AJ190" s="84"/>
      <c r="AK190" s="84"/>
      <c r="AL190" s="84"/>
      <c r="AM190" s="84"/>
      <c r="AN190" s="84"/>
      <c r="AO190" s="84"/>
      <c r="AP190" s="84"/>
      <c r="AQ190" s="84"/>
      <c r="AR190" s="84"/>
      <c r="AS190" s="84"/>
      <c r="AT190" s="84"/>
      <c r="AU190" s="84"/>
      <c r="AV190" s="84"/>
      <c r="AW190" s="84"/>
      <c r="AX190" s="87">
        <f t="array" ref="AX190">IF(G190=1,SUM((ROW(M0)=ROW(AW190))*(M0+M1_+M2_+M3_+M4_+M5_+M6_+M7_+M8_+M9_+M10_+M11_+M12_+M13_+M14_+M15_+M16_+M17_+M18_+M19_+M20_+M21_+M22_+M23_+M24_+M25_+M26_+M27_+M28_+M29_+M30_+M31_+M32_+M33_+M34_+M35_+M36_+M37_)),0)</f>
        <v>0</v>
      </c>
      <c r="AZ190" s="24" t="str">
        <f t="shared" si="49"/>
        <v/>
      </c>
      <c r="BA190" s="24" t="str">
        <f t="shared" si="50"/>
        <v/>
      </c>
      <c r="BB190" s="24" t="str">
        <f t="shared" si="51"/>
        <v/>
      </c>
      <c r="BC190" s="24" t="str">
        <f>IF(OR(E190="",LEFT(TableCosts[[#This Row],[Calc_N_Typ]],18)="Vynaložené náklady"),"",VLOOKUP(E190,Tab_Parts,2,0))</f>
        <v/>
      </c>
      <c r="BD190" s="24" t="str">
        <f t="shared" si="52"/>
        <v/>
      </c>
      <c r="BE190" s="24">
        <f t="shared" si="53"/>
        <v>0</v>
      </c>
      <c r="BF190" s="72">
        <f>TableCosts[[#This Row],[N_Amount]]*TableCosts[[#This Row],[N_Tariff]]*TableCosts[[#This Row],[N_ItemsCount]]</f>
        <v>0</v>
      </c>
      <c r="BG190" s="72">
        <f>IF(G190=1,IF(TableCosts[[#This Row],[N_Kateg]]="interné práce",TableCosts[[#This Row],[N_Amount]]*8*PAR_SGA_PERHOUR,0),0)</f>
        <v>0</v>
      </c>
      <c r="BH190" s="72">
        <f>SUM(TableCosts[[#This Row],[N_Direct]:[N_SGA]])</f>
        <v>0</v>
      </c>
      <c r="BI190" s="24">
        <f>IF(G190=1,IF(OR(AND(NOT(ISERROR(VLOOKUP(TableCosts[[#This Row],[Calc_N_Typ]],Cis_WorkPositions,1,0))),C190&lt;&gt;"",D190&lt;&gt;"",E190&lt;&gt;""),AND(ISERROR(VLOOKUP(TableCosts[[#This Row],[Calc_N_Typ]],Cis_WorkPositions,1,0)),C190="",D190="",E190&lt;&gt;""),LEFT(TableCosts[[#This Row],[Calc_N_Typ]],18)="Vynaložené náklady"),VLOOKUP(C190&amp;TableCosts[[#This Row],[Calc_N_Typ]],TRAN_STRITEMS_LABEL,VLOOKUP(D190,Tab_Hours,3,0),0),NA()),0)</f>
        <v>0</v>
      </c>
      <c r="BJ190" s="24">
        <f t="shared" si="54"/>
        <v>0</v>
      </c>
      <c r="BK190" s="24" t="str">
        <f t="shared" si="55"/>
        <v/>
      </c>
      <c r="BL190" s="24" t="str">
        <f t="shared" si="56"/>
        <v/>
      </c>
      <c r="BM190" s="24" t="str">
        <f>IF(G190=1,IF(TableCosts[[#This Row],[TransferFrom]]=TableCosts[[#This Row],[TranferTo]],0,1),"")</f>
        <v/>
      </c>
      <c r="BN190" s="24" t="str">
        <f t="shared" si="57"/>
        <v/>
      </c>
      <c r="BO190" s="24">
        <f t="shared" si="58"/>
        <v>0</v>
      </c>
      <c r="BP190" s="24">
        <f t="shared" si="59"/>
        <v>0</v>
      </c>
    </row>
    <row r="191" spans="2:68" s="24" customFormat="1" ht="12.75" x14ac:dyDescent="0.2">
      <c r="B191" s="97"/>
      <c r="C191" s="92"/>
      <c r="D191" s="92"/>
      <c r="E191" s="92"/>
      <c r="F191" s="31" t="str">
        <f>IF(G191=1,IF(ISERROR(TableCosts[[#This Row],[N_Tariff]]),Err_Message1,IF(TableCosts[[#This Row],[N_Tariff]]=0,Err_Message2,VLOOKUP(C191&amp;TableCosts[[#This Row],[Calc_N_Typ]],TRAN_STRITEMS_LABEL,5,FALSE))),"")</f>
        <v/>
      </c>
      <c r="G191" s="31">
        <f t="shared" si="48"/>
        <v>0</v>
      </c>
      <c r="H191" s="31" t="str">
        <f>IF(G191=1,IFERROR(VLOOKUP(F191,Tab_ErrMessage[],2,0),VLOOKUP(C191&amp;TableCosts[[#This Row],[Calc_N_Typ]],TRAN_STRITEMS_LABEL,4,FALSE)),"")</f>
        <v/>
      </c>
      <c r="I191" s="94"/>
      <c r="J191" s="94"/>
      <c r="K191" s="94"/>
      <c r="L191" s="84"/>
      <c r="M191" s="84"/>
      <c r="N191" s="84"/>
      <c r="O191" s="84"/>
      <c r="P191" s="84"/>
      <c r="Q191" s="84"/>
      <c r="R191" s="84"/>
      <c r="S191" s="84"/>
      <c r="T191" s="84"/>
      <c r="U191" s="84"/>
      <c r="V191" s="84"/>
      <c r="W191" s="84"/>
      <c r="X191" s="84"/>
      <c r="Y191" s="84"/>
      <c r="Z191" s="84"/>
      <c r="AA191" s="84"/>
      <c r="AB191" s="84"/>
      <c r="AC191" s="84"/>
      <c r="AD191" s="84"/>
      <c r="AE191" s="84"/>
      <c r="AF191" s="84"/>
      <c r="AG191" s="84"/>
      <c r="AH191" s="84"/>
      <c r="AI191" s="84"/>
      <c r="AJ191" s="84"/>
      <c r="AK191" s="84"/>
      <c r="AL191" s="84"/>
      <c r="AM191" s="84"/>
      <c r="AN191" s="84"/>
      <c r="AO191" s="84"/>
      <c r="AP191" s="84"/>
      <c r="AQ191" s="84"/>
      <c r="AR191" s="84"/>
      <c r="AS191" s="84"/>
      <c r="AT191" s="84"/>
      <c r="AU191" s="84"/>
      <c r="AV191" s="84"/>
      <c r="AW191" s="84"/>
      <c r="AX191" s="87">
        <f t="array" ref="AX191">IF(G191=1,SUM((ROW(M0)=ROW(AW191))*(M0+M1_+M2_+M3_+M4_+M5_+M6_+M7_+M8_+M9_+M10_+M11_+M12_+M13_+M14_+M15_+M16_+M17_+M18_+M19_+M20_+M21_+M22_+M23_+M24_+M25_+M26_+M27_+M28_+M29_+M30_+M31_+M32_+M33_+M34_+M35_+M36_+M37_)),0)</f>
        <v>0</v>
      </c>
      <c r="AZ191" s="24" t="str">
        <f t="shared" si="49"/>
        <v/>
      </c>
      <c r="BA191" s="24" t="str">
        <f t="shared" si="50"/>
        <v/>
      </c>
      <c r="BB191" s="24" t="str">
        <f t="shared" si="51"/>
        <v/>
      </c>
      <c r="BC191" s="24" t="str">
        <f>IF(OR(E191="",LEFT(TableCosts[[#This Row],[Calc_N_Typ]],18)="Vynaložené náklady"),"",VLOOKUP(E191,Tab_Parts,2,0))</f>
        <v/>
      </c>
      <c r="BD191" s="24" t="str">
        <f t="shared" si="52"/>
        <v/>
      </c>
      <c r="BE191" s="24">
        <f t="shared" si="53"/>
        <v>0</v>
      </c>
      <c r="BF191" s="72">
        <f>TableCosts[[#This Row],[N_Amount]]*TableCosts[[#This Row],[N_Tariff]]*TableCosts[[#This Row],[N_ItemsCount]]</f>
        <v>0</v>
      </c>
      <c r="BG191" s="72">
        <f>IF(G191=1,IF(TableCosts[[#This Row],[N_Kateg]]="interné práce",TableCosts[[#This Row],[N_Amount]]*8*PAR_SGA_PERHOUR,0),0)</f>
        <v>0</v>
      </c>
      <c r="BH191" s="72">
        <f>SUM(TableCosts[[#This Row],[N_Direct]:[N_SGA]])</f>
        <v>0</v>
      </c>
      <c r="BI191" s="24">
        <f>IF(G191=1,IF(OR(AND(NOT(ISERROR(VLOOKUP(TableCosts[[#This Row],[Calc_N_Typ]],Cis_WorkPositions,1,0))),C191&lt;&gt;"",D191&lt;&gt;"",E191&lt;&gt;""),AND(ISERROR(VLOOKUP(TableCosts[[#This Row],[Calc_N_Typ]],Cis_WorkPositions,1,0)),C191="",D191="",E191&lt;&gt;""),LEFT(TableCosts[[#This Row],[Calc_N_Typ]],18)="Vynaložené náklady"),VLOOKUP(C191&amp;TableCosts[[#This Row],[Calc_N_Typ]],TRAN_STRITEMS_LABEL,VLOOKUP(D191,Tab_Hours,3,0),0),NA()),0)</f>
        <v>0</v>
      </c>
      <c r="BJ191" s="24">
        <f t="shared" si="54"/>
        <v>0</v>
      </c>
      <c r="BK191" s="24" t="str">
        <f t="shared" si="55"/>
        <v/>
      </c>
      <c r="BL191" s="24" t="str">
        <f t="shared" si="56"/>
        <v/>
      </c>
      <c r="BM191" s="24" t="str">
        <f>IF(G191=1,IF(TableCosts[[#This Row],[TransferFrom]]=TableCosts[[#This Row],[TranferTo]],0,1),"")</f>
        <v/>
      </c>
      <c r="BN191" s="24" t="str">
        <f t="shared" si="57"/>
        <v/>
      </c>
      <c r="BO191" s="24">
        <f t="shared" si="58"/>
        <v>0</v>
      </c>
      <c r="BP191" s="24">
        <f t="shared" si="59"/>
        <v>0</v>
      </c>
    </row>
    <row r="192" spans="2:68" s="24" customFormat="1" ht="12.75" x14ac:dyDescent="0.2">
      <c r="B192" s="97"/>
      <c r="C192" s="92"/>
      <c r="D192" s="92"/>
      <c r="E192" s="92"/>
      <c r="F192" s="31" t="str">
        <f>IF(G192=1,IF(ISERROR(TableCosts[[#This Row],[N_Tariff]]),Err_Message1,IF(TableCosts[[#This Row],[N_Tariff]]=0,Err_Message2,VLOOKUP(C192&amp;TableCosts[[#This Row],[Calc_N_Typ]],TRAN_STRITEMS_LABEL,5,FALSE))),"")</f>
        <v/>
      </c>
      <c r="G192" s="31">
        <f t="shared" si="48"/>
        <v>0</v>
      </c>
      <c r="H192" s="31" t="str">
        <f>IF(G192=1,IFERROR(VLOOKUP(F192,Tab_ErrMessage[],2,0),VLOOKUP(C192&amp;TableCosts[[#This Row],[Calc_N_Typ]],TRAN_STRITEMS_LABEL,4,FALSE)),"")</f>
        <v/>
      </c>
      <c r="I192" s="94"/>
      <c r="J192" s="94"/>
      <c r="K192" s="94"/>
      <c r="L192" s="84"/>
      <c r="M192" s="84"/>
      <c r="N192" s="84"/>
      <c r="O192" s="84"/>
      <c r="P192" s="84"/>
      <c r="Q192" s="84"/>
      <c r="R192" s="84"/>
      <c r="S192" s="84"/>
      <c r="T192" s="84"/>
      <c r="U192" s="84"/>
      <c r="V192" s="84"/>
      <c r="W192" s="84"/>
      <c r="X192" s="84"/>
      <c r="Y192" s="84"/>
      <c r="Z192" s="84"/>
      <c r="AA192" s="84"/>
      <c r="AB192" s="84"/>
      <c r="AC192" s="84"/>
      <c r="AD192" s="84"/>
      <c r="AE192" s="84"/>
      <c r="AF192" s="84"/>
      <c r="AG192" s="84"/>
      <c r="AH192" s="84"/>
      <c r="AI192" s="84"/>
      <c r="AJ192" s="84"/>
      <c r="AK192" s="84"/>
      <c r="AL192" s="84"/>
      <c r="AM192" s="84"/>
      <c r="AN192" s="84"/>
      <c r="AO192" s="84"/>
      <c r="AP192" s="84"/>
      <c r="AQ192" s="84"/>
      <c r="AR192" s="84"/>
      <c r="AS192" s="84"/>
      <c r="AT192" s="84"/>
      <c r="AU192" s="84"/>
      <c r="AV192" s="84"/>
      <c r="AW192" s="84"/>
      <c r="AX192" s="87">
        <f t="array" ref="AX192">IF(G192=1,SUM((ROW(M0)=ROW(AW192))*(M0+M1_+M2_+M3_+M4_+M5_+M6_+M7_+M8_+M9_+M10_+M11_+M12_+M13_+M14_+M15_+M16_+M17_+M18_+M19_+M20_+M21_+M22_+M23_+M24_+M25_+M26_+M27_+M28_+M29_+M30_+M31_+M32_+M33_+M34_+M35_+M36_+M37_)),0)</f>
        <v>0</v>
      </c>
      <c r="AZ192" s="24" t="str">
        <f t="shared" si="49"/>
        <v/>
      </c>
      <c r="BA192" s="24" t="str">
        <f t="shared" si="50"/>
        <v/>
      </c>
      <c r="BB192" s="24" t="str">
        <f t="shared" si="51"/>
        <v/>
      </c>
      <c r="BC192" s="24" t="str">
        <f>IF(OR(E192="",LEFT(TableCosts[[#This Row],[Calc_N_Typ]],18)="Vynaložené náklady"),"",VLOOKUP(E192,Tab_Parts,2,0))</f>
        <v/>
      </c>
      <c r="BD192" s="24" t="str">
        <f t="shared" si="52"/>
        <v/>
      </c>
      <c r="BE192" s="24">
        <f t="shared" si="53"/>
        <v>0</v>
      </c>
      <c r="BF192" s="72">
        <f>TableCosts[[#This Row],[N_Amount]]*TableCosts[[#This Row],[N_Tariff]]*TableCosts[[#This Row],[N_ItemsCount]]</f>
        <v>0</v>
      </c>
      <c r="BG192" s="72">
        <f>IF(G192=1,IF(TableCosts[[#This Row],[N_Kateg]]="interné práce",TableCosts[[#This Row],[N_Amount]]*8*PAR_SGA_PERHOUR,0),0)</f>
        <v>0</v>
      </c>
      <c r="BH192" s="72">
        <f>SUM(TableCosts[[#This Row],[N_Direct]:[N_SGA]])</f>
        <v>0</v>
      </c>
      <c r="BI192" s="24">
        <f>IF(G192=1,IF(OR(AND(NOT(ISERROR(VLOOKUP(TableCosts[[#This Row],[Calc_N_Typ]],Cis_WorkPositions,1,0))),C192&lt;&gt;"",D192&lt;&gt;"",E192&lt;&gt;""),AND(ISERROR(VLOOKUP(TableCosts[[#This Row],[Calc_N_Typ]],Cis_WorkPositions,1,0)),C192="",D192="",E192&lt;&gt;""),LEFT(TableCosts[[#This Row],[Calc_N_Typ]],18)="Vynaložené náklady"),VLOOKUP(C192&amp;TableCosts[[#This Row],[Calc_N_Typ]],TRAN_STRITEMS_LABEL,VLOOKUP(D192,Tab_Hours,3,0),0),NA()),0)</f>
        <v>0</v>
      </c>
      <c r="BJ192" s="24">
        <f t="shared" si="54"/>
        <v>0</v>
      </c>
      <c r="BK192" s="24" t="str">
        <f t="shared" si="55"/>
        <v/>
      </c>
      <c r="BL192" s="24" t="str">
        <f t="shared" si="56"/>
        <v/>
      </c>
      <c r="BM192" s="24" t="str">
        <f>IF(G192=1,IF(TableCosts[[#This Row],[TransferFrom]]=TableCosts[[#This Row],[TranferTo]],0,1),"")</f>
        <v/>
      </c>
      <c r="BN192" s="24" t="str">
        <f t="shared" si="57"/>
        <v/>
      </c>
      <c r="BO192" s="24">
        <f t="shared" si="58"/>
        <v>0</v>
      </c>
      <c r="BP192" s="24">
        <f t="shared" si="59"/>
        <v>0</v>
      </c>
    </row>
    <row r="193" spans="2:68" s="24" customFormat="1" ht="12.75" x14ac:dyDescent="0.2">
      <c r="B193" s="97"/>
      <c r="C193" s="92"/>
      <c r="D193" s="92"/>
      <c r="E193" s="92"/>
      <c r="F193" s="31" t="str">
        <f>IF(G193=1,IF(ISERROR(TableCosts[[#This Row],[N_Tariff]]),Err_Message1,IF(TableCosts[[#This Row],[N_Tariff]]=0,Err_Message2,VLOOKUP(C193&amp;TableCosts[[#This Row],[Calc_N_Typ]],TRAN_STRITEMS_LABEL,5,FALSE))),"")</f>
        <v/>
      </c>
      <c r="G193" s="31">
        <f t="shared" si="48"/>
        <v>0</v>
      </c>
      <c r="H193" s="31" t="str">
        <f>IF(G193=1,IFERROR(VLOOKUP(F193,Tab_ErrMessage[],2,0),VLOOKUP(C193&amp;TableCosts[[#This Row],[Calc_N_Typ]],TRAN_STRITEMS_LABEL,4,FALSE)),"")</f>
        <v/>
      </c>
      <c r="I193" s="94"/>
      <c r="J193" s="94"/>
      <c r="K193" s="94"/>
      <c r="L193" s="84"/>
      <c r="M193" s="84"/>
      <c r="N193" s="84"/>
      <c r="O193" s="84"/>
      <c r="P193" s="84"/>
      <c r="Q193" s="84"/>
      <c r="R193" s="84"/>
      <c r="S193" s="84"/>
      <c r="T193" s="84"/>
      <c r="U193" s="84"/>
      <c r="V193" s="84"/>
      <c r="W193" s="84"/>
      <c r="X193" s="84"/>
      <c r="Y193" s="84"/>
      <c r="Z193" s="84"/>
      <c r="AA193" s="84"/>
      <c r="AB193" s="84"/>
      <c r="AC193" s="84"/>
      <c r="AD193" s="84"/>
      <c r="AE193" s="84"/>
      <c r="AF193" s="84"/>
      <c r="AG193" s="84"/>
      <c r="AH193" s="84"/>
      <c r="AI193" s="84"/>
      <c r="AJ193" s="84"/>
      <c r="AK193" s="84"/>
      <c r="AL193" s="84"/>
      <c r="AM193" s="84"/>
      <c r="AN193" s="84"/>
      <c r="AO193" s="84"/>
      <c r="AP193" s="84"/>
      <c r="AQ193" s="84"/>
      <c r="AR193" s="84"/>
      <c r="AS193" s="84"/>
      <c r="AT193" s="84"/>
      <c r="AU193" s="84"/>
      <c r="AV193" s="84"/>
      <c r="AW193" s="84"/>
      <c r="AX193" s="87">
        <f t="array" ref="AX193">IF(G193=1,SUM((ROW(M0)=ROW(AW193))*(M0+M1_+M2_+M3_+M4_+M5_+M6_+M7_+M8_+M9_+M10_+M11_+M12_+M13_+M14_+M15_+M16_+M17_+M18_+M19_+M20_+M21_+M22_+M23_+M24_+M25_+M26_+M27_+M28_+M29_+M30_+M31_+M32_+M33_+M34_+M35_+M36_+M37_)),0)</f>
        <v>0</v>
      </c>
      <c r="AZ193" s="24" t="str">
        <f t="shared" si="49"/>
        <v/>
      </c>
      <c r="BA193" s="24" t="str">
        <f t="shared" si="50"/>
        <v/>
      </c>
      <c r="BB193" s="24" t="str">
        <f t="shared" si="51"/>
        <v/>
      </c>
      <c r="BC193" s="24" t="str">
        <f>IF(OR(E193="",LEFT(TableCosts[[#This Row],[Calc_N_Typ]],18)="Vynaložené náklady"),"",VLOOKUP(E193,Tab_Parts,2,0))</f>
        <v/>
      </c>
      <c r="BD193" s="24" t="str">
        <f t="shared" si="52"/>
        <v/>
      </c>
      <c r="BE193" s="24">
        <f t="shared" si="53"/>
        <v>0</v>
      </c>
      <c r="BF193" s="72">
        <f>TableCosts[[#This Row],[N_Amount]]*TableCosts[[#This Row],[N_Tariff]]*TableCosts[[#This Row],[N_ItemsCount]]</f>
        <v>0</v>
      </c>
      <c r="BG193" s="72">
        <f>IF(G193=1,IF(TableCosts[[#This Row],[N_Kateg]]="interné práce",TableCosts[[#This Row],[N_Amount]]*8*PAR_SGA_PERHOUR,0),0)</f>
        <v>0</v>
      </c>
      <c r="BH193" s="72">
        <f>SUM(TableCosts[[#This Row],[N_Direct]:[N_SGA]])</f>
        <v>0</v>
      </c>
      <c r="BI193" s="24">
        <f>IF(G193=1,IF(OR(AND(NOT(ISERROR(VLOOKUP(TableCosts[[#This Row],[Calc_N_Typ]],Cis_WorkPositions,1,0))),C193&lt;&gt;"",D193&lt;&gt;"",E193&lt;&gt;""),AND(ISERROR(VLOOKUP(TableCosts[[#This Row],[Calc_N_Typ]],Cis_WorkPositions,1,0)),C193="",D193="",E193&lt;&gt;""),LEFT(TableCosts[[#This Row],[Calc_N_Typ]],18)="Vynaložené náklady"),VLOOKUP(C193&amp;TableCosts[[#This Row],[Calc_N_Typ]],TRAN_STRITEMS_LABEL,VLOOKUP(D193,Tab_Hours,3,0),0),NA()),0)</f>
        <v>0</v>
      </c>
      <c r="BJ193" s="24">
        <f t="shared" si="54"/>
        <v>0</v>
      </c>
      <c r="BK193" s="24" t="str">
        <f t="shared" si="55"/>
        <v/>
      </c>
      <c r="BL193" s="24" t="str">
        <f t="shared" si="56"/>
        <v/>
      </c>
      <c r="BM193" s="24" t="str">
        <f>IF(G193=1,IF(TableCosts[[#This Row],[TransferFrom]]=TableCosts[[#This Row],[TranferTo]],0,1),"")</f>
        <v/>
      </c>
      <c r="BN193" s="24" t="str">
        <f t="shared" si="57"/>
        <v/>
      </c>
      <c r="BO193" s="24">
        <f t="shared" si="58"/>
        <v>0</v>
      </c>
      <c r="BP193" s="24">
        <f t="shared" si="59"/>
        <v>0</v>
      </c>
    </row>
    <row r="194" spans="2:68" s="24" customFormat="1" ht="12.75" x14ac:dyDescent="0.2">
      <c r="B194" s="97"/>
      <c r="C194" s="92"/>
      <c r="D194" s="92"/>
      <c r="E194" s="92"/>
      <c r="F194" s="31" t="str">
        <f>IF(G194=1,IF(ISERROR(TableCosts[[#This Row],[N_Tariff]]),Err_Message1,IF(TableCosts[[#This Row],[N_Tariff]]=0,Err_Message2,VLOOKUP(C194&amp;TableCosts[[#This Row],[Calc_N_Typ]],TRAN_STRITEMS_LABEL,5,FALSE))),"")</f>
        <v/>
      </c>
      <c r="G194" s="31">
        <f t="shared" si="48"/>
        <v>0</v>
      </c>
      <c r="H194" s="31" t="str">
        <f>IF(G194=1,IFERROR(VLOOKUP(F194,Tab_ErrMessage[],2,0),VLOOKUP(C194&amp;TableCosts[[#This Row],[Calc_N_Typ]],TRAN_STRITEMS_LABEL,4,FALSE)),"")</f>
        <v/>
      </c>
      <c r="I194" s="94"/>
      <c r="J194" s="94"/>
      <c r="K194" s="94"/>
      <c r="L194" s="84"/>
      <c r="M194" s="84"/>
      <c r="N194" s="84"/>
      <c r="O194" s="84"/>
      <c r="P194" s="84"/>
      <c r="Q194" s="84"/>
      <c r="R194" s="84"/>
      <c r="S194" s="84"/>
      <c r="T194" s="84"/>
      <c r="U194" s="84"/>
      <c r="V194" s="84"/>
      <c r="W194" s="84"/>
      <c r="X194" s="84"/>
      <c r="Y194" s="84"/>
      <c r="Z194" s="84"/>
      <c r="AA194" s="84"/>
      <c r="AB194" s="84"/>
      <c r="AC194" s="84"/>
      <c r="AD194" s="84"/>
      <c r="AE194" s="84"/>
      <c r="AF194" s="84"/>
      <c r="AG194" s="84"/>
      <c r="AH194" s="84"/>
      <c r="AI194" s="84"/>
      <c r="AJ194" s="84"/>
      <c r="AK194" s="84"/>
      <c r="AL194" s="84"/>
      <c r="AM194" s="84"/>
      <c r="AN194" s="84"/>
      <c r="AO194" s="84"/>
      <c r="AP194" s="84"/>
      <c r="AQ194" s="84"/>
      <c r="AR194" s="84"/>
      <c r="AS194" s="84"/>
      <c r="AT194" s="84"/>
      <c r="AU194" s="84"/>
      <c r="AV194" s="84"/>
      <c r="AW194" s="84"/>
      <c r="AX194" s="87">
        <f t="array" ref="AX194">IF(G194=1,SUM((ROW(M0)=ROW(AW194))*(M0+M1_+M2_+M3_+M4_+M5_+M6_+M7_+M8_+M9_+M10_+M11_+M12_+M13_+M14_+M15_+M16_+M17_+M18_+M19_+M20_+M21_+M22_+M23_+M24_+M25_+M26_+M27_+M28_+M29_+M30_+M31_+M32_+M33_+M34_+M35_+M36_+M37_)),0)</f>
        <v>0</v>
      </c>
      <c r="AZ194" s="24" t="str">
        <f t="shared" si="49"/>
        <v/>
      </c>
      <c r="BA194" s="24" t="str">
        <f t="shared" si="50"/>
        <v/>
      </c>
      <c r="BB194" s="24" t="str">
        <f t="shared" si="51"/>
        <v/>
      </c>
      <c r="BC194" s="24" t="str">
        <f>IF(OR(E194="",LEFT(TableCosts[[#This Row],[Calc_N_Typ]],18)="Vynaložené náklady"),"",VLOOKUP(E194,Tab_Parts,2,0))</f>
        <v/>
      </c>
      <c r="BD194" s="24" t="str">
        <f t="shared" si="52"/>
        <v/>
      </c>
      <c r="BE194" s="24">
        <f t="shared" si="53"/>
        <v>0</v>
      </c>
      <c r="BF194" s="72">
        <f>TableCosts[[#This Row],[N_Amount]]*TableCosts[[#This Row],[N_Tariff]]*TableCosts[[#This Row],[N_ItemsCount]]</f>
        <v>0</v>
      </c>
      <c r="BG194" s="72">
        <f>IF(G194=1,IF(TableCosts[[#This Row],[N_Kateg]]="interné práce",TableCosts[[#This Row],[N_Amount]]*8*PAR_SGA_PERHOUR,0),0)</f>
        <v>0</v>
      </c>
      <c r="BH194" s="72">
        <f>SUM(TableCosts[[#This Row],[N_Direct]:[N_SGA]])</f>
        <v>0</v>
      </c>
      <c r="BI194" s="24">
        <f>IF(G194=1,IF(OR(AND(NOT(ISERROR(VLOOKUP(TableCosts[[#This Row],[Calc_N_Typ]],Cis_WorkPositions,1,0))),C194&lt;&gt;"",D194&lt;&gt;"",E194&lt;&gt;""),AND(ISERROR(VLOOKUP(TableCosts[[#This Row],[Calc_N_Typ]],Cis_WorkPositions,1,0)),C194="",D194="",E194&lt;&gt;""),LEFT(TableCosts[[#This Row],[Calc_N_Typ]],18)="Vynaložené náklady"),VLOOKUP(C194&amp;TableCosts[[#This Row],[Calc_N_Typ]],TRAN_STRITEMS_LABEL,VLOOKUP(D194,Tab_Hours,3,0),0),NA()),0)</f>
        <v>0</v>
      </c>
      <c r="BJ194" s="24">
        <f t="shared" si="54"/>
        <v>0</v>
      </c>
      <c r="BK194" s="24" t="str">
        <f t="shared" si="55"/>
        <v/>
      </c>
      <c r="BL194" s="24" t="str">
        <f t="shared" si="56"/>
        <v/>
      </c>
      <c r="BM194" s="24" t="str">
        <f>IF(G194=1,IF(TableCosts[[#This Row],[TransferFrom]]=TableCosts[[#This Row],[TranferTo]],0,1),"")</f>
        <v/>
      </c>
      <c r="BN194" s="24" t="str">
        <f t="shared" si="57"/>
        <v/>
      </c>
      <c r="BO194" s="24">
        <f t="shared" si="58"/>
        <v>0</v>
      </c>
      <c r="BP194" s="24">
        <f t="shared" si="59"/>
        <v>0</v>
      </c>
    </row>
    <row r="195" spans="2:68" s="24" customFormat="1" ht="12.75" x14ac:dyDescent="0.2">
      <c r="B195" s="97"/>
      <c r="C195" s="92"/>
      <c r="D195" s="92"/>
      <c r="E195" s="92"/>
      <c r="F195" s="31" t="str">
        <f>IF(G195=1,IF(ISERROR(TableCosts[[#This Row],[N_Tariff]]),Err_Message1,IF(TableCosts[[#This Row],[N_Tariff]]=0,Err_Message2,VLOOKUP(C195&amp;TableCosts[[#This Row],[Calc_N_Typ]],TRAN_STRITEMS_LABEL,5,FALSE))),"")</f>
        <v/>
      </c>
      <c r="G195" s="31">
        <f t="shared" si="48"/>
        <v>0</v>
      </c>
      <c r="H195" s="31" t="str">
        <f>IF(G195=1,IFERROR(VLOOKUP(F195,Tab_ErrMessage[],2,0),VLOOKUP(C195&amp;TableCosts[[#This Row],[Calc_N_Typ]],TRAN_STRITEMS_LABEL,4,FALSE)),"")</f>
        <v/>
      </c>
      <c r="I195" s="94"/>
      <c r="J195" s="94"/>
      <c r="K195" s="94"/>
      <c r="L195" s="84"/>
      <c r="M195" s="84"/>
      <c r="N195" s="84"/>
      <c r="O195" s="84"/>
      <c r="P195" s="84"/>
      <c r="Q195" s="84"/>
      <c r="R195" s="84"/>
      <c r="S195" s="84"/>
      <c r="T195" s="84"/>
      <c r="U195" s="84"/>
      <c r="V195" s="84"/>
      <c r="W195" s="84"/>
      <c r="X195" s="84"/>
      <c r="Y195" s="84"/>
      <c r="Z195" s="84"/>
      <c r="AA195" s="84"/>
      <c r="AB195" s="84"/>
      <c r="AC195" s="84"/>
      <c r="AD195" s="84"/>
      <c r="AE195" s="84"/>
      <c r="AF195" s="84"/>
      <c r="AG195" s="84"/>
      <c r="AH195" s="84"/>
      <c r="AI195" s="84"/>
      <c r="AJ195" s="84"/>
      <c r="AK195" s="84"/>
      <c r="AL195" s="84"/>
      <c r="AM195" s="84"/>
      <c r="AN195" s="84"/>
      <c r="AO195" s="84"/>
      <c r="AP195" s="84"/>
      <c r="AQ195" s="84"/>
      <c r="AR195" s="84"/>
      <c r="AS195" s="84"/>
      <c r="AT195" s="84"/>
      <c r="AU195" s="84"/>
      <c r="AV195" s="84"/>
      <c r="AW195" s="84"/>
      <c r="AX195" s="87">
        <f t="array" ref="AX195">IF(G195=1,SUM((ROW(M0)=ROW(AW195))*(M0+M1_+M2_+M3_+M4_+M5_+M6_+M7_+M8_+M9_+M10_+M11_+M12_+M13_+M14_+M15_+M16_+M17_+M18_+M19_+M20_+M21_+M22_+M23_+M24_+M25_+M26_+M27_+M28_+M29_+M30_+M31_+M32_+M33_+M34_+M35_+M36_+M37_)),0)</f>
        <v>0</v>
      </c>
      <c r="AZ195" s="24" t="str">
        <f t="shared" si="49"/>
        <v/>
      </c>
      <c r="BA195" s="24" t="str">
        <f t="shared" si="50"/>
        <v/>
      </c>
      <c r="BB195" s="24" t="str">
        <f t="shared" si="51"/>
        <v/>
      </c>
      <c r="BC195" s="24" t="str">
        <f>IF(OR(E195="",LEFT(TableCosts[[#This Row],[Calc_N_Typ]],18)="Vynaložené náklady"),"",VLOOKUP(E195,Tab_Parts,2,0))</f>
        <v/>
      </c>
      <c r="BD195" s="24" t="str">
        <f t="shared" si="52"/>
        <v/>
      </c>
      <c r="BE195" s="24">
        <f t="shared" si="53"/>
        <v>0</v>
      </c>
      <c r="BF195" s="72">
        <f>TableCosts[[#This Row],[N_Amount]]*TableCosts[[#This Row],[N_Tariff]]*TableCosts[[#This Row],[N_ItemsCount]]</f>
        <v>0</v>
      </c>
      <c r="BG195" s="72">
        <f>IF(G195=1,IF(TableCosts[[#This Row],[N_Kateg]]="interné práce",TableCosts[[#This Row],[N_Amount]]*8*PAR_SGA_PERHOUR,0),0)</f>
        <v>0</v>
      </c>
      <c r="BH195" s="72">
        <f>SUM(TableCosts[[#This Row],[N_Direct]:[N_SGA]])</f>
        <v>0</v>
      </c>
      <c r="BI195" s="24">
        <f>IF(G195=1,IF(OR(AND(NOT(ISERROR(VLOOKUP(TableCosts[[#This Row],[Calc_N_Typ]],Cis_WorkPositions,1,0))),C195&lt;&gt;"",D195&lt;&gt;"",E195&lt;&gt;""),AND(ISERROR(VLOOKUP(TableCosts[[#This Row],[Calc_N_Typ]],Cis_WorkPositions,1,0)),C195="",D195="",E195&lt;&gt;""),LEFT(TableCosts[[#This Row],[Calc_N_Typ]],18)="Vynaložené náklady"),VLOOKUP(C195&amp;TableCosts[[#This Row],[Calc_N_Typ]],TRAN_STRITEMS_LABEL,VLOOKUP(D195,Tab_Hours,3,0),0),NA()),0)</f>
        <v>0</v>
      </c>
      <c r="BJ195" s="24">
        <f t="shared" si="54"/>
        <v>0</v>
      </c>
      <c r="BK195" s="24" t="str">
        <f t="shared" si="55"/>
        <v/>
      </c>
      <c r="BL195" s="24" t="str">
        <f t="shared" si="56"/>
        <v/>
      </c>
      <c r="BM195" s="24" t="str">
        <f>IF(G195=1,IF(TableCosts[[#This Row],[TransferFrom]]=TableCosts[[#This Row],[TranferTo]],0,1),"")</f>
        <v/>
      </c>
      <c r="BN195" s="24" t="str">
        <f t="shared" si="57"/>
        <v/>
      </c>
      <c r="BO195" s="24">
        <f t="shared" si="58"/>
        <v>0</v>
      </c>
      <c r="BP195" s="24">
        <f t="shared" si="59"/>
        <v>0</v>
      </c>
    </row>
    <row r="196" spans="2:68" s="24" customFormat="1" ht="12.75" x14ac:dyDescent="0.2">
      <c r="B196" s="97"/>
      <c r="C196" s="92"/>
      <c r="D196" s="92"/>
      <c r="E196" s="92"/>
      <c r="F196" s="31" t="str">
        <f>IF(G196=1,IF(ISERROR(TableCosts[[#This Row],[N_Tariff]]),Err_Message1,IF(TableCosts[[#This Row],[N_Tariff]]=0,Err_Message2,VLOOKUP(C196&amp;TableCosts[[#This Row],[Calc_N_Typ]],TRAN_STRITEMS_LABEL,5,FALSE))),"")</f>
        <v/>
      </c>
      <c r="G196" s="31">
        <f t="shared" si="48"/>
        <v>0</v>
      </c>
      <c r="H196" s="31" t="str">
        <f>IF(G196=1,IFERROR(VLOOKUP(F196,Tab_ErrMessage[],2,0),VLOOKUP(C196&amp;TableCosts[[#This Row],[Calc_N_Typ]],TRAN_STRITEMS_LABEL,4,FALSE)),"")</f>
        <v/>
      </c>
      <c r="I196" s="94"/>
      <c r="J196" s="94"/>
      <c r="K196" s="94"/>
      <c r="L196" s="84"/>
      <c r="M196" s="84"/>
      <c r="N196" s="84"/>
      <c r="O196" s="84"/>
      <c r="P196" s="84"/>
      <c r="Q196" s="84"/>
      <c r="R196" s="84"/>
      <c r="S196" s="84"/>
      <c r="T196" s="84"/>
      <c r="U196" s="84"/>
      <c r="V196" s="84"/>
      <c r="W196" s="84"/>
      <c r="X196" s="84"/>
      <c r="Y196" s="84"/>
      <c r="Z196" s="84"/>
      <c r="AA196" s="84"/>
      <c r="AB196" s="84"/>
      <c r="AC196" s="84"/>
      <c r="AD196" s="84"/>
      <c r="AE196" s="84"/>
      <c r="AF196" s="84"/>
      <c r="AG196" s="84"/>
      <c r="AH196" s="84"/>
      <c r="AI196" s="84"/>
      <c r="AJ196" s="84"/>
      <c r="AK196" s="84"/>
      <c r="AL196" s="84"/>
      <c r="AM196" s="84"/>
      <c r="AN196" s="84"/>
      <c r="AO196" s="84"/>
      <c r="AP196" s="84"/>
      <c r="AQ196" s="84"/>
      <c r="AR196" s="84"/>
      <c r="AS196" s="84"/>
      <c r="AT196" s="84"/>
      <c r="AU196" s="84"/>
      <c r="AV196" s="84"/>
      <c r="AW196" s="84"/>
      <c r="AX196" s="87">
        <f t="array" ref="AX196">IF(G196=1,SUM((ROW(M0)=ROW(AW196))*(M0+M1_+M2_+M3_+M4_+M5_+M6_+M7_+M8_+M9_+M10_+M11_+M12_+M13_+M14_+M15_+M16_+M17_+M18_+M19_+M20_+M21_+M22_+M23_+M24_+M25_+M26_+M27_+M28_+M29_+M30_+M31_+M32_+M33_+M34_+M35_+M36_+M37_)),0)</f>
        <v>0</v>
      </c>
      <c r="AZ196" s="24" t="str">
        <f t="shared" si="49"/>
        <v/>
      </c>
      <c r="BA196" s="24" t="str">
        <f t="shared" si="50"/>
        <v/>
      </c>
      <c r="BB196" s="24" t="str">
        <f t="shared" si="51"/>
        <v/>
      </c>
      <c r="BC196" s="24" t="str">
        <f>IF(OR(E196="",LEFT(TableCosts[[#This Row],[Calc_N_Typ]],18)="Vynaložené náklady"),"",VLOOKUP(E196,Tab_Parts,2,0))</f>
        <v/>
      </c>
      <c r="BD196" s="24" t="str">
        <f t="shared" si="52"/>
        <v/>
      </c>
      <c r="BE196" s="24">
        <f t="shared" si="53"/>
        <v>0</v>
      </c>
      <c r="BF196" s="72">
        <f>TableCosts[[#This Row],[N_Amount]]*TableCosts[[#This Row],[N_Tariff]]*TableCosts[[#This Row],[N_ItemsCount]]</f>
        <v>0</v>
      </c>
      <c r="BG196" s="72">
        <f>IF(G196=1,IF(TableCosts[[#This Row],[N_Kateg]]="interné práce",TableCosts[[#This Row],[N_Amount]]*8*PAR_SGA_PERHOUR,0),0)</f>
        <v>0</v>
      </c>
      <c r="BH196" s="72">
        <f>SUM(TableCosts[[#This Row],[N_Direct]:[N_SGA]])</f>
        <v>0</v>
      </c>
      <c r="BI196" s="24">
        <f>IF(G196=1,IF(OR(AND(NOT(ISERROR(VLOOKUP(TableCosts[[#This Row],[Calc_N_Typ]],Cis_WorkPositions,1,0))),C196&lt;&gt;"",D196&lt;&gt;"",E196&lt;&gt;""),AND(ISERROR(VLOOKUP(TableCosts[[#This Row],[Calc_N_Typ]],Cis_WorkPositions,1,0)),C196="",D196="",E196&lt;&gt;""),LEFT(TableCosts[[#This Row],[Calc_N_Typ]],18)="Vynaložené náklady"),VLOOKUP(C196&amp;TableCosts[[#This Row],[Calc_N_Typ]],TRAN_STRITEMS_LABEL,VLOOKUP(D196,Tab_Hours,3,0),0),NA()),0)</f>
        <v>0</v>
      </c>
      <c r="BJ196" s="24">
        <f t="shared" si="54"/>
        <v>0</v>
      </c>
      <c r="BK196" s="24" t="str">
        <f t="shared" si="55"/>
        <v/>
      </c>
      <c r="BL196" s="24" t="str">
        <f t="shared" si="56"/>
        <v/>
      </c>
      <c r="BM196" s="24" t="str">
        <f>IF(G196=1,IF(TableCosts[[#This Row],[TransferFrom]]=TableCosts[[#This Row],[TranferTo]],0,1),"")</f>
        <v/>
      </c>
      <c r="BN196" s="24" t="str">
        <f t="shared" si="57"/>
        <v/>
      </c>
      <c r="BO196" s="24">
        <f t="shared" si="58"/>
        <v>0</v>
      </c>
      <c r="BP196" s="24">
        <f t="shared" si="59"/>
        <v>0</v>
      </c>
    </row>
    <row r="197" spans="2:68" s="24" customFormat="1" ht="12.75" x14ac:dyDescent="0.2">
      <c r="B197" s="97"/>
      <c r="C197" s="92"/>
      <c r="D197" s="92"/>
      <c r="E197" s="92"/>
      <c r="F197" s="31" t="str">
        <f>IF(G197=1,IF(ISERROR(TableCosts[[#This Row],[N_Tariff]]),Err_Message1,IF(TableCosts[[#This Row],[N_Tariff]]=0,Err_Message2,VLOOKUP(C197&amp;TableCosts[[#This Row],[Calc_N_Typ]],TRAN_STRITEMS_LABEL,5,FALSE))),"")</f>
        <v/>
      </c>
      <c r="G197" s="31">
        <f t="shared" si="48"/>
        <v>0</v>
      </c>
      <c r="H197" s="31" t="str">
        <f>IF(G197=1,IFERROR(VLOOKUP(F197,Tab_ErrMessage[],2,0),VLOOKUP(C197&amp;TableCosts[[#This Row],[Calc_N_Typ]],TRAN_STRITEMS_LABEL,4,FALSE)),"")</f>
        <v/>
      </c>
      <c r="I197" s="94"/>
      <c r="J197" s="94"/>
      <c r="K197" s="94"/>
      <c r="L197" s="84"/>
      <c r="M197" s="84"/>
      <c r="N197" s="84"/>
      <c r="O197" s="84"/>
      <c r="P197" s="84"/>
      <c r="Q197" s="84"/>
      <c r="R197" s="84"/>
      <c r="S197" s="84"/>
      <c r="T197" s="84"/>
      <c r="U197" s="84"/>
      <c r="V197" s="84"/>
      <c r="W197" s="84"/>
      <c r="X197" s="84"/>
      <c r="Y197" s="84"/>
      <c r="Z197" s="84"/>
      <c r="AA197" s="84"/>
      <c r="AB197" s="84"/>
      <c r="AC197" s="84"/>
      <c r="AD197" s="84"/>
      <c r="AE197" s="84"/>
      <c r="AF197" s="84"/>
      <c r="AG197" s="84"/>
      <c r="AH197" s="84"/>
      <c r="AI197" s="84"/>
      <c r="AJ197" s="84"/>
      <c r="AK197" s="84"/>
      <c r="AL197" s="84"/>
      <c r="AM197" s="84"/>
      <c r="AN197" s="84"/>
      <c r="AO197" s="84"/>
      <c r="AP197" s="84"/>
      <c r="AQ197" s="84"/>
      <c r="AR197" s="84"/>
      <c r="AS197" s="84"/>
      <c r="AT197" s="84"/>
      <c r="AU197" s="84"/>
      <c r="AV197" s="84"/>
      <c r="AW197" s="84"/>
      <c r="AX197" s="87">
        <f t="array" ref="AX197">IF(G197=1,SUM((ROW(M0)=ROW(AW197))*(M0+M1_+M2_+M3_+M4_+M5_+M6_+M7_+M8_+M9_+M10_+M11_+M12_+M13_+M14_+M15_+M16_+M17_+M18_+M19_+M20_+M21_+M22_+M23_+M24_+M25_+M26_+M27_+M28_+M29_+M30_+M31_+M32_+M33_+M34_+M35_+M36_+M37_)),0)</f>
        <v>0</v>
      </c>
      <c r="AZ197" s="24" t="str">
        <f t="shared" si="49"/>
        <v/>
      </c>
      <c r="BA197" s="24" t="str">
        <f t="shared" si="50"/>
        <v/>
      </c>
      <c r="BB197" s="24" t="str">
        <f t="shared" si="51"/>
        <v/>
      </c>
      <c r="BC197" s="24" t="str">
        <f>IF(OR(E197="",LEFT(TableCosts[[#This Row],[Calc_N_Typ]],18)="Vynaložené náklady"),"",VLOOKUP(E197,Tab_Parts,2,0))</f>
        <v/>
      </c>
      <c r="BD197" s="24" t="str">
        <f t="shared" si="52"/>
        <v/>
      </c>
      <c r="BE197" s="24">
        <f t="shared" si="53"/>
        <v>0</v>
      </c>
      <c r="BF197" s="72">
        <f>TableCosts[[#This Row],[N_Amount]]*TableCosts[[#This Row],[N_Tariff]]*TableCosts[[#This Row],[N_ItemsCount]]</f>
        <v>0</v>
      </c>
      <c r="BG197" s="72">
        <f>IF(G197=1,IF(TableCosts[[#This Row],[N_Kateg]]="interné práce",TableCosts[[#This Row],[N_Amount]]*8*PAR_SGA_PERHOUR,0),0)</f>
        <v>0</v>
      </c>
      <c r="BH197" s="72">
        <f>SUM(TableCosts[[#This Row],[N_Direct]:[N_SGA]])</f>
        <v>0</v>
      </c>
      <c r="BI197" s="24">
        <f>IF(G197=1,IF(OR(AND(NOT(ISERROR(VLOOKUP(TableCosts[[#This Row],[Calc_N_Typ]],Cis_WorkPositions,1,0))),C197&lt;&gt;"",D197&lt;&gt;"",E197&lt;&gt;""),AND(ISERROR(VLOOKUP(TableCosts[[#This Row],[Calc_N_Typ]],Cis_WorkPositions,1,0)),C197="",D197="",E197&lt;&gt;""),LEFT(TableCosts[[#This Row],[Calc_N_Typ]],18)="Vynaložené náklady"),VLOOKUP(C197&amp;TableCosts[[#This Row],[Calc_N_Typ]],TRAN_STRITEMS_LABEL,VLOOKUP(D197,Tab_Hours,3,0),0),NA()),0)</f>
        <v>0</v>
      </c>
      <c r="BJ197" s="24">
        <f t="shared" si="54"/>
        <v>0</v>
      </c>
      <c r="BK197" s="24" t="str">
        <f t="shared" si="55"/>
        <v/>
      </c>
      <c r="BL197" s="24" t="str">
        <f t="shared" si="56"/>
        <v/>
      </c>
      <c r="BM197" s="24" t="str">
        <f>IF(G197=1,IF(TableCosts[[#This Row],[TransferFrom]]=TableCosts[[#This Row],[TranferTo]],0,1),"")</f>
        <v/>
      </c>
      <c r="BN197" s="24" t="str">
        <f t="shared" si="57"/>
        <v/>
      </c>
      <c r="BO197" s="24">
        <f t="shared" si="58"/>
        <v>0</v>
      </c>
      <c r="BP197" s="24">
        <f t="shared" si="59"/>
        <v>0</v>
      </c>
    </row>
    <row r="198" spans="2:68" s="24" customFormat="1" ht="12.75" x14ac:dyDescent="0.2">
      <c r="B198" s="97"/>
      <c r="C198" s="92"/>
      <c r="D198" s="92"/>
      <c r="E198" s="92"/>
      <c r="F198" s="31" t="str">
        <f>IF(G198=1,IF(ISERROR(TableCosts[[#This Row],[N_Tariff]]),Err_Message1,IF(TableCosts[[#This Row],[N_Tariff]]=0,Err_Message2,VLOOKUP(C198&amp;TableCosts[[#This Row],[Calc_N_Typ]],TRAN_STRITEMS_LABEL,5,FALSE))),"")</f>
        <v/>
      </c>
      <c r="G198" s="31">
        <f t="shared" si="48"/>
        <v>0</v>
      </c>
      <c r="H198" s="31" t="str">
        <f>IF(G198=1,IFERROR(VLOOKUP(F198,Tab_ErrMessage[],2,0),VLOOKUP(C198&amp;TableCosts[[#This Row],[Calc_N_Typ]],TRAN_STRITEMS_LABEL,4,FALSE)),"")</f>
        <v/>
      </c>
      <c r="I198" s="94"/>
      <c r="J198" s="94"/>
      <c r="K198" s="94"/>
      <c r="L198" s="84"/>
      <c r="M198" s="84"/>
      <c r="N198" s="84"/>
      <c r="O198" s="84"/>
      <c r="P198" s="84"/>
      <c r="Q198" s="84"/>
      <c r="R198" s="84"/>
      <c r="S198" s="84"/>
      <c r="T198" s="84"/>
      <c r="U198" s="84"/>
      <c r="V198" s="84"/>
      <c r="W198" s="84"/>
      <c r="X198" s="84"/>
      <c r="Y198" s="84"/>
      <c r="Z198" s="84"/>
      <c r="AA198" s="84"/>
      <c r="AB198" s="84"/>
      <c r="AC198" s="84"/>
      <c r="AD198" s="84"/>
      <c r="AE198" s="84"/>
      <c r="AF198" s="84"/>
      <c r="AG198" s="84"/>
      <c r="AH198" s="84"/>
      <c r="AI198" s="84"/>
      <c r="AJ198" s="84"/>
      <c r="AK198" s="84"/>
      <c r="AL198" s="84"/>
      <c r="AM198" s="84"/>
      <c r="AN198" s="84"/>
      <c r="AO198" s="84"/>
      <c r="AP198" s="84"/>
      <c r="AQ198" s="84"/>
      <c r="AR198" s="84"/>
      <c r="AS198" s="84"/>
      <c r="AT198" s="84"/>
      <c r="AU198" s="84"/>
      <c r="AV198" s="84"/>
      <c r="AW198" s="84"/>
      <c r="AX198" s="87">
        <f t="array" ref="AX198">IF(G198=1,SUM((ROW(M0)=ROW(AW198))*(M0+M1_+M2_+M3_+M4_+M5_+M6_+M7_+M8_+M9_+M10_+M11_+M12_+M13_+M14_+M15_+M16_+M17_+M18_+M19_+M20_+M21_+M22_+M23_+M24_+M25_+M26_+M27_+M28_+M29_+M30_+M31_+M32_+M33_+M34_+M35_+M36_+M37_)),0)</f>
        <v>0</v>
      </c>
      <c r="AZ198" s="24" t="str">
        <f t="shared" si="49"/>
        <v/>
      </c>
      <c r="BA198" s="24" t="str">
        <f t="shared" si="50"/>
        <v/>
      </c>
      <c r="BB198" s="24" t="str">
        <f t="shared" si="51"/>
        <v/>
      </c>
      <c r="BC198" s="24" t="str">
        <f>IF(OR(E198="",LEFT(TableCosts[[#This Row],[Calc_N_Typ]],18)="Vynaložené náklady"),"",VLOOKUP(E198,Tab_Parts,2,0))</f>
        <v/>
      </c>
      <c r="BD198" s="24" t="str">
        <f t="shared" si="52"/>
        <v/>
      </c>
      <c r="BE198" s="24">
        <f t="shared" si="53"/>
        <v>0</v>
      </c>
      <c r="BF198" s="72">
        <f>TableCosts[[#This Row],[N_Amount]]*TableCosts[[#This Row],[N_Tariff]]*TableCosts[[#This Row],[N_ItemsCount]]</f>
        <v>0</v>
      </c>
      <c r="BG198" s="72">
        <f>IF(G198=1,IF(TableCosts[[#This Row],[N_Kateg]]="interné práce",TableCosts[[#This Row],[N_Amount]]*8*PAR_SGA_PERHOUR,0),0)</f>
        <v>0</v>
      </c>
      <c r="BH198" s="72">
        <f>SUM(TableCosts[[#This Row],[N_Direct]:[N_SGA]])</f>
        <v>0</v>
      </c>
      <c r="BI198" s="24">
        <f>IF(G198=1,IF(OR(AND(NOT(ISERROR(VLOOKUP(TableCosts[[#This Row],[Calc_N_Typ]],Cis_WorkPositions,1,0))),C198&lt;&gt;"",D198&lt;&gt;"",E198&lt;&gt;""),AND(ISERROR(VLOOKUP(TableCosts[[#This Row],[Calc_N_Typ]],Cis_WorkPositions,1,0)),C198="",D198="",E198&lt;&gt;""),LEFT(TableCosts[[#This Row],[Calc_N_Typ]],18)="Vynaložené náklady"),VLOOKUP(C198&amp;TableCosts[[#This Row],[Calc_N_Typ]],TRAN_STRITEMS_LABEL,VLOOKUP(D198,Tab_Hours,3,0),0),NA()),0)</f>
        <v>0</v>
      </c>
      <c r="BJ198" s="24">
        <f t="shared" si="54"/>
        <v>0</v>
      </c>
      <c r="BK198" s="24" t="str">
        <f t="shared" si="55"/>
        <v/>
      </c>
      <c r="BL198" s="24" t="str">
        <f t="shared" si="56"/>
        <v/>
      </c>
      <c r="BM198" s="24" t="str">
        <f>IF(G198=1,IF(TableCosts[[#This Row],[TransferFrom]]=TableCosts[[#This Row],[TranferTo]],0,1),"")</f>
        <v/>
      </c>
      <c r="BN198" s="24" t="str">
        <f t="shared" si="57"/>
        <v/>
      </c>
      <c r="BO198" s="24">
        <f t="shared" si="58"/>
        <v>0</v>
      </c>
      <c r="BP198" s="24">
        <f t="shared" si="59"/>
        <v>0</v>
      </c>
    </row>
    <row r="199" spans="2:68" s="24" customFormat="1" ht="12.75" x14ac:dyDescent="0.2">
      <c r="B199" s="97"/>
      <c r="C199" s="92"/>
      <c r="D199" s="92"/>
      <c r="E199" s="92"/>
      <c r="F199" s="31" t="str">
        <f>IF(G199=1,IF(ISERROR(TableCosts[[#This Row],[N_Tariff]]),Err_Message1,IF(TableCosts[[#This Row],[N_Tariff]]=0,Err_Message2,VLOOKUP(C199&amp;TableCosts[[#This Row],[Calc_N_Typ]],TRAN_STRITEMS_LABEL,5,FALSE))),"")</f>
        <v/>
      </c>
      <c r="G199" s="31">
        <f t="shared" si="48"/>
        <v>0</v>
      </c>
      <c r="H199" s="31" t="str">
        <f>IF(G199=1,IFERROR(VLOOKUP(F199,Tab_ErrMessage[],2,0),VLOOKUP(C199&amp;TableCosts[[#This Row],[Calc_N_Typ]],TRAN_STRITEMS_LABEL,4,FALSE)),"")</f>
        <v/>
      </c>
      <c r="I199" s="94"/>
      <c r="J199" s="94"/>
      <c r="K199" s="94"/>
      <c r="L199" s="84"/>
      <c r="M199" s="84"/>
      <c r="N199" s="84"/>
      <c r="O199" s="84"/>
      <c r="P199" s="84"/>
      <c r="Q199" s="84"/>
      <c r="R199" s="84"/>
      <c r="S199" s="84"/>
      <c r="T199" s="84"/>
      <c r="U199" s="84"/>
      <c r="V199" s="84"/>
      <c r="W199" s="84"/>
      <c r="X199" s="84"/>
      <c r="Y199" s="84"/>
      <c r="Z199" s="84"/>
      <c r="AA199" s="84"/>
      <c r="AB199" s="84"/>
      <c r="AC199" s="84"/>
      <c r="AD199" s="84"/>
      <c r="AE199" s="84"/>
      <c r="AF199" s="84"/>
      <c r="AG199" s="84"/>
      <c r="AH199" s="84"/>
      <c r="AI199" s="84"/>
      <c r="AJ199" s="84"/>
      <c r="AK199" s="84"/>
      <c r="AL199" s="84"/>
      <c r="AM199" s="84"/>
      <c r="AN199" s="84"/>
      <c r="AO199" s="84"/>
      <c r="AP199" s="84"/>
      <c r="AQ199" s="84"/>
      <c r="AR199" s="84"/>
      <c r="AS199" s="84"/>
      <c r="AT199" s="84"/>
      <c r="AU199" s="84"/>
      <c r="AV199" s="84"/>
      <c r="AW199" s="84"/>
      <c r="AX199" s="87">
        <f t="array" ref="AX199">IF(G199=1,SUM((ROW(M0)=ROW(AW199))*(M0+M1_+M2_+M3_+M4_+M5_+M6_+M7_+M8_+M9_+M10_+M11_+M12_+M13_+M14_+M15_+M16_+M17_+M18_+M19_+M20_+M21_+M22_+M23_+M24_+M25_+M26_+M27_+M28_+M29_+M30_+M31_+M32_+M33_+M34_+M35_+M36_+M37_)),0)</f>
        <v>0</v>
      </c>
      <c r="AZ199" s="24" t="str">
        <f t="shared" si="49"/>
        <v/>
      </c>
      <c r="BA199" s="24" t="str">
        <f t="shared" si="50"/>
        <v/>
      </c>
      <c r="BB199" s="24" t="str">
        <f t="shared" si="51"/>
        <v/>
      </c>
      <c r="BC199" s="24" t="str">
        <f>IF(OR(E199="",LEFT(TableCosts[[#This Row],[Calc_N_Typ]],18)="Vynaložené náklady"),"",VLOOKUP(E199,Tab_Parts,2,0))</f>
        <v/>
      </c>
      <c r="BD199" s="24" t="str">
        <f t="shared" si="52"/>
        <v/>
      </c>
      <c r="BE199" s="24">
        <f t="shared" si="53"/>
        <v>0</v>
      </c>
      <c r="BF199" s="72">
        <f>TableCosts[[#This Row],[N_Amount]]*TableCosts[[#This Row],[N_Tariff]]*TableCosts[[#This Row],[N_ItemsCount]]</f>
        <v>0</v>
      </c>
      <c r="BG199" s="72">
        <f>IF(G199=1,IF(TableCosts[[#This Row],[N_Kateg]]="interné práce",TableCosts[[#This Row],[N_Amount]]*8*PAR_SGA_PERHOUR,0),0)</f>
        <v>0</v>
      </c>
      <c r="BH199" s="72">
        <f>SUM(TableCosts[[#This Row],[N_Direct]:[N_SGA]])</f>
        <v>0</v>
      </c>
      <c r="BI199" s="24">
        <f>IF(G199=1,IF(OR(AND(NOT(ISERROR(VLOOKUP(TableCosts[[#This Row],[Calc_N_Typ]],Cis_WorkPositions,1,0))),C199&lt;&gt;"",D199&lt;&gt;"",E199&lt;&gt;""),AND(ISERROR(VLOOKUP(TableCosts[[#This Row],[Calc_N_Typ]],Cis_WorkPositions,1,0)),C199="",D199="",E199&lt;&gt;""),LEFT(TableCosts[[#This Row],[Calc_N_Typ]],18)="Vynaložené náklady"),VLOOKUP(C199&amp;TableCosts[[#This Row],[Calc_N_Typ]],TRAN_STRITEMS_LABEL,VLOOKUP(D199,Tab_Hours,3,0),0),NA()),0)</f>
        <v>0</v>
      </c>
      <c r="BJ199" s="24">
        <f t="shared" si="54"/>
        <v>0</v>
      </c>
      <c r="BK199" s="24" t="str">
        <f t="shared" si="55"/>
        <v/>
      </c>
      <c r="BL199" s="24" t="str">
        <f t="shared" si="56"/>
        <v/>
      </c>
      <c r="BM199" s="24" t="str">
        <f>IF(G199=1,IF(TableCosts[[#This Row],[TransferFrom]]=TableCosts[[#This Row],[TranferTo]],0,1),"")</f>
        <v/>
      </c>
      <c r="BN199" s="24" t="str">
        <f t="shared" si="57"/>
        <v/>
      </c>
      <c r="BO199" s="24">
        <f t="shared" si="58"/>
        <v>0</v>
      </c>
      <c r="BP199" s="24">
        <f t="shared" si="59"/>
        <v>0</v>
      </c>
    </row>
    <row r="200" spans="2:68" s="24" customFormat="1" ht="12.75" x14ac:dyDescent="0.2">
      <c r="B200" s="97"/>
      <c r="C200" s="92"/>
      <c r="D200" s="92"/>
      <c r="E200" s="92"/>
      <c r="F200" s="31" t="str">
        <f>IF(G200=1,IF(ISERROR(TableCosts[[#This Row],[N_Tariff]]),Err_Message1,IF(TableCosts[[#This Row],[N_Tariff]]=0,Err_Message2,VLOOKUP(C200&amp;TableCosts[[#This Row],[Calc_N_Typ]],TRAN_STRITEMS_LABEL,5,FALSE))),"")</f>
        <v/>
      </c>
      <c r="G200" s="31">
        <f t="shared" si="48"/>
        <v>0</v>
      </c>
      <c r="H200" s="31" t="str">
        <f>IF(G200=1,IFERROR(VLOOKUP(F200,Tab_ErrMessage[],2,0),VLOOKUP(C200&amp;TableCosts[[#This Row],[Calc_N_Typ]],TRAN_STRITEMS_LABEL,4,FALSE)),"")</f>
        <v/>
      </c>
      <c r="I200" s="94"/>
      <c r="J200" s="94"/>
      <c r="K200" s="94"/>
      <c r="L200" s="84"/>
      <c r="M200" s="84"/>
      <c r="N200" s="84"/>
      <c r="O200" s="84"/>
      <c r="P200" s="84"/>
      <c r="Q200" s="84"/>
      <c r="R200" s="84"/>
      <c r="S200" s="84"/>
      <c r="T200" s="84"/>
      <c r="U200" s="84"/>
      <c r="V200" s="84"/>
      <c r="W200" s="84"/>
      <c r="X200" s="84"/>
      <c r="Y200" s="84"/>
      <c r="Z200" s="84"/>
      <c r="AA200" s="84"/>
      <c r="AB200" s="84"/>
      <c r="AC200" s="84"/>
      <c r="AD200" s="84"/>
      <c r="AE200" s="84"/>
      <c r="AF200" s="84"/>
      <c r="AG200" s="84"/>
      <c r="AH200" s="84"/>
      <c r="AI200" s="84"/>
      <c r="AJ200" s="84"/>
      <c r="AK200" s="84"/>
      <c r="AL200" s="84"/>
      <c r="AM200" s="84"/>
      <c r="AN200" s="84"/>
      <c r="AO200" s="84"/>
      <c r="AP200" s="84"/>
      <c r="AQ200" s="84"/>
      <c r="AR200" s="84"/>
      <c r="AS200" s="84"/>
      <c r="AT200" s="84"/>
      <c r="AU200" s="84"/>
      <c r="AV200" s="84"/>
      <c r="AW200" s="84"/>
      <c r="AX200" s="87">
        <f t="array" ref="AX200">IF(G200=1,SUM((ROW(M0)=ROW(AW200))*(M0+M1_+M2_+M3_+M4_+M5_+M6_+M7_+M8_+M9_+M10_+M11_+M12_+M13_+M14_+M15_+M16_+M17_+M18_+M19_+M20_+M21_+M22_+M23_+M24_+M25_+M26_+M27_+M28_+M29_+M30_+M31_+M32_+M33_+M34_+M35_+M36_+M37_)),0)</f>
        <v>0</v>
      </c>
      <c r="AZ200" s="24" t="str">
        <f t="shared" si="49"/>
        <v/>
      </c>
      <c r="BA200" s="24" t="str">
        <f t="shared" si="50"/>
        <v/>
      </c>
      <c r="BB200" s="24" t="str">
        <f t="shared" si="51"/>
        <v/>
      </c>
      <c r="BC200" s="24" t="str">
        <f>IF(OR(E200="",LEFT(TableCosts[[#This Row],[Calc_N_Typ]],18)="Vynaložené náklady"),"",VLOOKUP(E200,Tab_Parts,2,0))</f>
        <v/>
      </c>
      <c r="BD200" s="24" t="str">
        <f t="shared" si="52"/>
        <v/>
      </c>
      <c r="BE200" s="24">
        <f t="shared" si="53"/>
        <v>0</v>
      </c>
      <c r="BF200" s="72">
        <f>TableCosts[[#This Row],[N_Amount]]*TableCosts[[#This Row],[N_Tariff]]*TableCosts[[#This Row],[N_ItemsCount]]</f>
        <v>0</v>
      </c>
      <c r="BG200" s="72">
        <f>IF(G200=1,IF(TableCosts[[#This Row],[N_Kateg]]="interné práce",TableCosts[[#This Row],[N_Amount]]*8*PAR_SGA_PERHOUR,0),0)</f>
        <v>0</v>
      </c>
      <c r="BH200" s="72">
        <f>SUM(TableCosts[[#This Row],[N_Direct]:[N_SGA]])</f>
        <v>0</v>
      </c>
      <c r="BI200" s="24">
        <f>IF(G200=1,IF(OR(AND(NOT(ISERROR(VLOOKUP(TableCosts[[#This Row],[Calc_N_Typ]],Cis_WorkPositions,1,0))),C200&lt;&gt;"",D200&lt;&gt;"",E200&lt;&gt;""),AND(ISERROR(VLOOKUP(TableCosts[[#This Row],[Calc_N_Typ]],Cis_WorkPositions,1,0)),C200="",D200="",E200&lt;&gt;""),LEFT(TableCosts[[#This Row],[Calc_N_Typ]],18)="Vynaložené náklady"),VLOOKUP(C200&amp;TableCosts[[#This Row],[Calc_N_Typ]],TRAN_STRITEMS_LABEL,VLOOKUP(D200,Tab_Hours,3,0),0),NA()),0)</f>
        <v>0</v>
      </c>
      <c r="BJ200" s="24">
        <f t="shared" si="54"/>
        <v>0</v>
      </c>
      <c r="BK200" s="24" t="str">
        <f t="shared" si="55"/>
        <v/>
      </c>
      <c r="BL200" s="24" t="str">
        <f t="shared" si="56"/>
        <v/>
      </c>
      <c r="BM200" s="24" t="str">
        <f>IF(G200=1,IF(TableCosts[[#This Row],[TransferFrom]]=TableCosts[[#This Row],[TranferTo]],0,1),"")</f>
        <v/>
      </c>
      <c r="BN200" s="24" t="str">
        <f t="shared" si="57"/>
        <v/>
      </c>
      <c r="BO200" s="24">
        <f t="shared" si="58"/>
        <v>0</v>
      </c>
      <c r="BP200" s="24">
        <f t="shared" si="59"/>
        <v>0</v>
      </c>
    </row>
    <row r="201" spans="2:68" s="24" customFormat="1" ht="12.75" x14ac:dyDescent="0.2">
      <c r="B201" s="97"/>
      <c r="C201" s="92"/>
      <c r="D201" s="92"/>
      <c r="E201" s="92"/>
      <c r="F201" s="31" t="str">
        <f>IF(G201=1,IF(ISERROR(TableCosts[[#This Row],[N_Tariff]]),Err_Message1,IF(TableCosts[[#This Row],[N_Tariff]]=0,Err_Message2,VLOOKUP(C201&amp;TableCosts[[#This Row],[Calc_N_Typ]],TRAN_STRITEMS_LABEL,5,FALSE))),"")</f>
        <v/>
      </c>
      <c r="G201" s="31">
        <f t="shared" si="48"/>
        <v>0</v>
      </c>
      <c r="H201" s="31" t="str">
        <f>IF(G201=1,IFERROR(VLOOKUP(F201,Tab_ErrMessage[],2,0),VLOOKUP(C201&amp;TableCosts[[#This Row],[Calc_N_Typ]],TRAN_STRITEMS_LABEL,4,FALSE)),"")</f>
        <v/>
      </c>
      <c r="I201" s="94"/>
      <c r="J201" s="94"/>
      <c r="K201" s="94"/>
      <c r="L201" s="84"/>
      <c r="M201" s="84"/>
      <c r="N201" s="84"/>
      <c r="O201" s="84"/>
      <c r="P201" s="84"/>
      <c r="Q201" s="84"/>
      <c r="R201" s="84"/>
      <c r="S201" s="84"/>
      <c r="T201" s="84"/>
      <c r="U201" s="84"/>
      <c r="V201" s="84"/>
      <c r="W201" s="84"/>
      <c r="X201" s="84"/>
      <c r="Y201" s="84"/>
      <c r="Z201" s="84"/>
      <c r="AA201" s="84"/>
      <c r="AB201" s="84"/>
      <c r="AC201" s="84"/>
      <c r="AD201" s="84"/>
      <c r="AE201" s="84"/>
      <c r="AF201" s="84"/>
      <c r="AG201" s="84"/>
      <c r="AH201" s="84"/>
      <c r="AI201" s="84"/>
      <c r="AJ201" s="84"/>
      <c r="AK201" s="84"/>
      <c r="AL201" s="84"/>
      <c r="AM201" s="84"/>
      <c r="AN201" s="84"/>
      <c r="AO201" s="84"/>
      <c r="AP201" s="84"/>
      <c r="AQ201" s="84"/>
      <c r="AR201" s="84"/>
      <c r="AS201" s="84"/>
      <c r="AT201" s="84"/>
      <c r="AU201" s="84"/>
      <c r="AV201" s="84"/>
      <c r="AW201" s="84"/>
      <c r="AX201" s="87">
        <f t="array" ref="AX201">IF(G201=1,SUM((ROW(M0)=ROW(AW201))*(M0+M1_+M2_+M3_+M4_+M5_+M6_+M7_+M8_+M9_+M10_+M11_+M12_+M13_+M14_+M15_+M16_+M17_+M18_+M19_+M20_+M21_+M22_+M23_+M24_+M25_+M26_+M27_+M28_+M29_+M30_+M31_+M32_+M33_+M34_+M35_+M36_+M37_)),0)</f>
        <v>0</v>
      </c>
      <c r="AZ201" s="24" t="str">
        <f t="shared" si="49"/>
        <v/>
      </c>
      <c r="BA201" s="24" t="str">
        <f t="shared" si="50"/>
        <v/>
      </c>
      <c r="BB201" s="24" t="str">
        <f t="shared" si="51"/>
        <v/>
      </c>
      <c r="BC201" s="24" t="str">
        <f>IF(OR(E201="",LEFT(TableCosts[[#This Row],[Calc_N_Typ]],18)="Vynaložené náklady"),"",VLOOKUP(E201,Tab_Parts,2,0))</f>
        <v/>
      </c>
      <c r="BD201" s="24" t="str">
        <f t="shared" si="52"/>
        <v/>
      </c>
      <c r="BE201" s="24">
        <f t="shared" si="53"/>
        <v>0</v>
      </c>
      <c r="BF201" s="72">
        <f>TableCosts[[#This Row],[N_Amount]]*TableCosts[[#This Row],[N_Tariff]]*TableCosts[[#This Row],[N_ItemsCount]]</f>
        <v>0</v>
      </c>
      <c r="BG201" s="72">
        <f>IF(G201=1,IF(TableCosts[[#This Row],[N_Kateg]]="interné práce",TableCosts[[#This Row],[N_Amount]]*8*PAR_SGA_PERHOUR,0),0)</f>
        <v>0</v>
      </c>
      <c r="BH201" s="72">
        <f>SUM(TableCosts[[#This Row],[N_Direct]:[N_SGA]])</f>
        <v>0</v>
      </c>
      <c r="BI201" s="24">
        <f>IF(G201=1,IF(OR(AND(NOT(ISERROR(VLOOKUP(TableCosts[[#This Row],[Calc_N_Typ]],Cis_WorkPositions,1,0))),C201&lt;&gt;"",D201&lt;&gt;"",E201&lt;&gt;""),AND(ISERROR(VLOOKUP(TableCosts[[#This Row],[Calc_N_Typ]],Cis_WorkPositions,1,0)),C201="",D201="",E201&lt;&gt;""),LEFT(TableCosts[[#This Row],[Calc_N_Typ]],18)="Vynaložené náklady"),VLOOKUP(C201&amp;TableCosts[[#This Row],[Calc_N_Typ]],TRAN_STRITEMS_LABEL,VLOOKUP(D201,Tab_Hours,3,0),0),NA()),0)</f>
        <v>0</v>
      </c>
      <c r="BJ201" s="24">
        <f t="shared" si="54"/>
        <v>0</v>
      </c>
      <c r="BK201" s="24" t="str">
        <f t="shared" si="55"/>
        <v/>
      </c>
      <c r="BL201" s="24" t="str">
        <f t="shared" si="56"/>
        <v/>
      </c>
      <c r="BM201" s="24" t="str">
        <f>IF(G201=1,IF(TableCosts[[#This Row],[TransferFrom]]=TableCosts[[#This Row],[TranferTo]],0,1),"")</f>
        <v/>
      </c>
      <c r="BN201" s="24" t="str">
        <f t="shared" si="57"/>
        <v/>
      </c>
      <c r="BO201" s="24">
        <f t="shared" si="58"/>
        <v>0</v>
      </c>
      <c r="BP201" s="24">
        <f t="shared" si="59"/>
        <v>0</v>
      </c>
    </row>
    <row r="202" spans="2:68" s="24" customFormat="1" ht="12.75" x14ac:dyDescent="0.2">
      <c r="B202" s="97"/>
      <c r="C202" s="92"/>
      <c r="D202" s="92"/>
      <c r="E202" s="92"/>
      <c r="F202" s="31" t="str">
        <f>IF(G202=1,IF(ISERROR(TableCosts[[#This Row],[N_Tariff]]),Err_Message1,IF(TableCosts[[#This Row],[N_Tariff]]=0,Err_Message2,VLOOKUP(C202&amp;TableCosts[[#This Row],[Calc_N_Typ]],TRAN_STRITEMS_LABEL,5,FALSE))),"")</f>
        <v/>
      </c>
      <c r="G202" s="31">
        <f t="shared" si="48"/>
        <v>0</v>
      </c>
      <c r="H202" s="31" t="str">
        <f>IF(G202=1,IFERROR(VLOOKUP(F202,Tab_ErrMessage[],2,0),VLOOKUP(C202&amp;TableCosts[[#This Row],[Calc_N_Typ]],TRAN_STRITEMS_LABEL,4,FALSE)),"")</f>
        <v/>
      </c>
      <c r="I202" s="94"/>
      <c r="J202" s="94"/>
      <c r="K202" s="94"/>
      <c r="L202" s="84"/>
      <c r="M202" s="84"/>
      <c r="N202" s="84"/>
      <c r="O202" s="84"/>
      <c r="P202" s="84"/>
      <c r="Q202" s="84"/>
      <c r="R202" s="84"/>
      <c r="S202" s="84"/>
      <c r="T202" s="84"/>
      <c r="U202" s="84"/>
      <c r="V202" s="84"/>
      <c r="W202" s="84"/>
      <c r="X202" s="84"/>
      <c r="Y202" s="84"/>
      <c r="Z202" s="84"/>
      <c r="AA202" s="84"/>
      <c r="AB202" s="84"/>
      <c r="AC202" s="84"/>
      <c r="AD202" s="84"/>
      <c r="AE202" s="84"/>
      <c r="AF202" s="84"/>
      <c r="AG202" s="84"/>
      <c r="AH202" s="84"/>
      <c r="AI202" s="84"/>
      <c r="AJ202" s="84"/>
      <c r="AK202" s="84"/>
      <c r="AL202" s="84"/>
      <c r="AM202" s="84"/>
      <c r="AN202" s="84"/>
      <c r="AO202" s="84"/>
      <c r="AP202" s="84"/>
      <c r="AQ202" s="84"/>
      <c r="AR202" s="84"/>
      <c r="AS202" s="84"/>
      <c r="AT202" s="84"/>
      <c r="AU202" s="84"/>
      <c r="AV202" s="84"/>
      <c r="AW202" s="84"/>
      <c r="AX202" s="87">
        <f t="array" ref="AX202">IF(G202=1,SUM((ROW(M0)=ROW(AW202))*(M0+M1_+M2_+M3_+M4_+M5_+M6_+M7_+M8_+M9_+M10_+M11_+M12_+M13_+M14_+M15_+M16_+M17_+M18_+M19_+M20_+M21_+M22_+M23_+M24_+M25_+M26_+M27_+M28_+M29_+M30_+M31_+M32_+M33_+M34_+M35_+M36_+M37_)),0)</f>
        <v>0</v>
      </c>
      <c r="AZ202" s="24" t="str">
        <f t="shared" si="49"/>
        <v/>
      </c>
      <c r="BA202" s="24" t="str">
        <f t="shared" si="50"/>
        <v/>
      </c>
      <c r="BB202" s="24" t="str">
        <f t="shared" si="51"/>
        <v/>
      </c>
      <c r="BC202" s="24" t="str">
        <f>IF(OR(E202="",LEFT(TableCosts[[#This Row],[Calc_N_Typ]],18)="Vynaložené náklady"),"",VLOOKUP(E202,Tab_Parts,2,0))</f>
        <v/>
      </c>
      <c r="BD202" s="24" t="str">
        <f t="shared" si="52"/>
        <v/>
      </c>
      <c r="BE202" s="24">
        <f t="shared" si="53"/>
        <v>0</v>
      </c>
      <c r="BF202" s="72">
        <f>TableCosts[[#This Row],[N_Amount]]*TableCosts[[#This Row],[N_Tariff]]*TableCosts[[#This Row],[N_ItemsCount]]</f>
        <v>0</v>
      </c>
      <c r="BG202" s="72">
        <f>IF(G202=1,IF(TableCosts[[#This Row],[N_Kateg]]="interné práce",TableCosts[[#This Row],[N_Amount]]*8*PAR_SGA_PERHOUR,0),0)</f>
        <v>0</v>
      </c>
      <c r="BH202" s="72">
        <f>SUM(TableCosts[[#This Row],[N_Direct]:[N_SGA]])</f>
        <v>0</v>
      </c>
      <c r="BI202" s="24">
        <f>IF(G202=1,IF(OR(AND(NOT(ISERROR(VLOOKUP(TableCosts[[#This Row],[Calc_N_Typ]],Cis_WorkPositions,1,0))),C202&lt;&gt;"",D202&lt;&gt;"",E202&lt;&gt;""),AND(ISERROR(VLOOKUP(TableCosts[[#This Row],[Calc_N_Typ]],Cis_WorkPositions,1,0)),C202="",D202="",E202&lt;&gt;""),LEFT(TableCosts[[#This Row],[Calc_N_Typ]],18)="Vynaložené náklady"),VLOOKUP(C202&amp;TableCosts[[#This Row],[Calc_N_Typ]],TRAN_STRITEMS_LABEL,VLOOKUP(D202,Tab_Hours,3,0),0),NA()),0)</f>
        <v>0</v>
      </c>
      <c r="BJ202" s="24">
        <f t="shared" si="54"/>
        <v>0</v>
      </c>
      <c r="BK202" s="24" t="str">
        <f t="shared" si="55"/>
        <v/>
      </c>
      <c r="BL202" s="24" t="str">
        <f t="shared" si="56"/>
        <v/>
      </c>
      <c r="BM202" s="24" t="str">
        <f>IF(G202=1,IF(TableCosts[[#This Row],[TransferFrom]]=TableCosts[[#This Row],[TranferTo]],0,1),"")</f>
        <v/>
      </c>
      <c r="BN202" s="24" t="str">
        <f t="shared" si="57"/>
        <v/>
      </c>
      <c r="BO202" s="24">
        <f t="shared" si="58"/>
        <v>0</v>
      </c>
      <c r="BP202" s="24">
        <f t="shared" si="59"/>
        <v>0</v>
      </c>
    </row>
    <row r="203" spans="2:68" s="24" customFormat="1" ht="12.75" x14ac:dyDescent="0.2">
      <c r="B203" s="97"/>
      <c r="C203" s="92"/>
      <c r="D203" s="92"/>
      <c r="E203" s="92"/>
      <c r="F203" s="31" t="str">
        <f>IF(G203=1,IF(ISERROR(TableCosts[[#This Row],[N_Tariff]]),Err_Message1,IF(TableCosts[[#This Row],[N_Tariff]]=0,Err_Message2,VLOOKUP(C203&amp;TableCosts[[#This Row],[Calc_N_Typ]],TRAN_STRITEMS_LABEL,5,FALSE))),"")</f>
        <v/>
      </c>
      <c r="G203" s="31">
        <f t="shared" si="48"/>
        <v>0</v>
      </c>
      <c r="H203" s="31" t="str">
        <f>IF(G203=1,IFERROR(VLOOKUP(F203,Tab_ErrMessage[],2,0),VLOOKUP(C203&amp;TableCosts[[#This Row],[Calc_N_Typ]],TRAN_STRITEMS_LABEL,4,FALSE)),"")</f>
        <v/>
      </c>
      <c r="I203" s="94"/>
      <c r="J203" s="94"/>
      <c r="K203" s="94"/>
      <c r="L203" s="84"/>
      <c r="M203" s="84"/>
      <c r="N203" s="84"/>
      <c r="O203" s="84"/>
      <c r="P203" s="84"/>
      <c r="Q203" s="84"/>
      <c r="R203" s="84"/>
      <c r="S203" s="84"/>
      <c r="T203" s="84"/>
      <c r="U203" s="84"/>
      <c r="V203" s="84"/>
      <c r="W203" s="84"/>
      <c r="X203" s="84"/>
      <c r="Y203" s="84"/>
      <c r="Z203" s="84"/>
      <c r="AA203" s="84"/>
      <c r="AB203" s="84"/>
      <c r="AC203" s="84"/>
      <c r="AD203" s="84"/>
      <c r="AE203" s="84"/>
      <c r="AF203" s="84"/>
      <c r="AG203" s="84"/>
      <c r="AH203" s="84"/>
      <c r="AI203" s="84"/>
      <c r="AJ203" s="84"/>
      <c r="AK203" s="84"/>
      <c r="AL203" s="84"/>
      <c r="AM203" s="84"/>
      <c r="AN203" s="84"/>
      <c r="AO203" s="84"/>
      <c r="AP203" s="84"/>
      <c r="AQ203" s="84"/>
      <c r="AR203" s="84"/>
      <c r="AS203" s="84"/>
      <c r="AT203" s="84"/>
      <c r="AU203" s="84"/>
      <c r="AV203" s="84"/>
      <c r="AW203" s="84"/>
      <c r="AX203" s="87">
        <f t="array" ref="AX203">IF(G203=1,SUM((ROW(M0)=ROW(AW203))*(M0+M1_+M2_+M3_+M4_+M5_+M6_+M7_+M8_+M9_+M10_+M11_+M12_+M13_+M14_+M15_+M16_+M17_+M18_+M19_+M20_+M21_+M22_+M23_+M24_+M25_+M26_+M27_+M28_+M29_+M30_+M31_+M32_+M33_+M34_+M35_+M36_+M37_)),0)</f>
        <v>0</v>
      </c>
      <c r="AZ203" s="24" t="str">
        <f t="shared" si="49"/>
        <v/>
      </c>
      <c r="BA203" s="24" t="str">
        <f t="shared" si="50"/>
        <v/>
      </c>
      <c r="BB203" s="24" t="str">
        <f t="shared" si="51"/>
        <v/>
      </c>
      <c r="BC203" s="24" t="str">
        <f>IF(OR(E203="",LEFT(TableCosts[[#This Row],[Calc_N_Typ]],18)="Vynaložené náklady"),"",VLOOKUP(E203,Tab_Parts,2,0))</f>
        <v/>
      </c>
      <c r="BD203" s="24" t="str">
        <f t="shared" si="52"/>
        <v/>
      </c>
      <c r="BE203" s="24">
        <f t="shared" si="53"/>
        <v>0</v>
      </c>
      <c r="BF203" s="72">
        <f>TableCosts[[#This Row],[N_Amount]]*TableCosts[[#This Row],[N_Tariff]]*TableCosts[[#This Row],[N_ItemsCount]]</f>
        <v>0</v>
      </c>
      <c r="BG203" s="72">
        <f>IF(G203=1,IF(TableCosts[[#This Row],[N_Kateg]]="interné práce",TableCosts[[#This Row],[N_Amount]]*8*PAR_SGA_PERHOUR,0),0)</f>
        <v>0</v>
      </c>
      <c r="BH203" s="72">
        <f>SUM(TableCosts[[#This Row],[N_Direct]:[N_SGA]])</f>
        <v>0</v>
      </c>
      <c r="BI203" s="24">
        <f>IF(G203=1,IF(OR(AND(NOT(ISERROR(VLOOKUP(TableCosts[[#This Row],[Calc_N_Typ]],Cis_WorkPositions,1,0))),C203&lt;&gt;"",D203&lt;&gt;"",E203&lt;&gt;""),AND(ISERROR(VLOOKUP(TableCosts[[#This Row],[Calc_N_Typ]],Cis_WorkPositions,1,0)),C203="",D203="",E203&lt;&gt;""),LEFT(TableCosts[[#This Row],[Calc_N_Typ]],18)="Vynaložené náklady"),VLOOKUP(C203&amp;TableCosts[[#This Row],[Calc_N_Typ]],TRAN_STRITEMS_LABEL,VLOOKUP(D203,Tab_Hours,3,0),0),NA()),0)</f>
        <v>0</v>
      </c>
      <c r="BJ203" s="24">
        <f t="shared" si="54"/>
        <v>0</v>
      </c>
      <c r="BK203" s="24" t="str">
        <f t="shared" si="55"/>
        <v/>
      </c>
      <c r="BL203" s="24" t="str">
        <f t="shared" si="56"/>
        <v/>
      </c>
      <c r="BM203" s="24" t="str">
        <f>IF(G203=1,IF(TableCosts[[#This Row],[TransferFrom]]=TableCosts[[#This Row],[TranferTo]],0,1),"")</f>
        <v/>
      </c>
      <c r="BN203" s="24" t="str">
        <f t="shared" si="57"/>
        <v/>
      </c>
      <c r="BO203" s="24">
        <f t="shared" si="58"/>
        <v>0</v>
      </c>
      <c r="BP203" s="24">
        <f t="shared" si="59"/>
        <v>0</v>
      </c>
    </row>
    <row r="204" spans="2:68" s="24" customFormat="1" ht="12.75" x14ac:dyDescent="0.2">
      <c r="B204" s="97"/>
      <c r="C204" s="92"/>
      <c r="D204" s="92"/>
      <c r="E204" s="92"/>
      <c r="F204" s="31" t="str">
        <f>IF(G204=1,IF(ISERROR(TableCosts[[#This Row],[N_Tariff]]),Err_Message1,IF(TableCosts[[#This Row],[N_Tariff]]=0,Err_Message2,VLOOKUP(C204&amp;TableCosts[[#This Row],[Calc_N_Typ]],TRAN_STRITEMS_LABEL,5,FALSE))),"")</f>
        <v/>
      </c>
      <c r="G204" s="31">
        <f t="shared" ref="G204:G267" si="60">IF(B204="",0,IF(LEFT(B204,3)="***",-1,1))</f>
        <v>0</v>
      </c>
      <c r="H204" s="31" t="str">
        <f>IF(G204=1,IFERROR(VLOOKUP(F204,Tab_ErrMessage[],2,0),VLOOKUP(C204&amp;TableCosts[[#This Row],[Calc_N_Typ]],TRAN_STRITEMS_LABEL,4,FALSE)),"")</f>
        <v/>
      </c>
      <c r="I204" s="94"/>
      <c r="J204" s="94"/>
      <c r="K204" s="94"/>
      <c r="L204" s="84"/>
      <c r="M204" s="84"/>
      <c r="N204" s="84"/>
      <c r="O204" s="84"/>
      <c r="P204" s="84"/>
      <c r="Q204" s="84"/>
      <c r="R204" s="84"/>
      <c r="S204" s="84"/>
      <c r="T204" s="84"/>
      <c r="U204" s="84"/>
      <c r="V204" s="84"/>
      <c r="W204" s="84"/>
      <c r="X204" s="84"/>
      <c r="Y204" s="84"/>
      <c r="Z204" s="84"/>
      <c r="AA204" s="84"/>
      <c r="AB204" s="84"/>
      <c r="AC204" s="84"/>
      <c r="AD204" s="84"/>
      <c r="AE204" s="84"/>
      <c r="AF204" s="84"/>
      <c r="AG204" s="84"/>
      <c r="AH204" s="84"/>
      <c r="AI204" s="84"/>
      <c r="AJ204" s="84"/>
      <c r="AK204" s="84"/>
      <c r="AL204" s="84"/>
      <c r="AM204" s="84"/>
      <c r="AN204" s="84"/>
      <c r="AO204" s="84"/>
      <c r="AP204" s="84"/>
      <c r="AQ204" s="84"/>
      <c r="AR204" s="84"/>
      <c r="AS204" s="84"/>
      <c r="AT204" s="84"/>
      <c r="AU204" s="84"/>
      <c r="AV204" s="84"/>
      <c r="AW204" s="84"/>
      <c r="AX204" s="87">
        <f t="array" ref="AX204">IF(G204=1,SUM((ROW(M0)=ROW(AW204))*(M0+M1_+M2_+M3_+M4_+M5_+M6_+M7_+M8_+M9_+M10_+M11_+M12_+M13_+M14_+M15_+M16_+M17_+M18_+M19_+M20_+M21_+M22_+M23_+M24_+M25_+M26_+M27_+M28_+M29_+M30_+M31_+M32_+M33_+M34_+M35_+M36_+M37_)),0)</f>
        <v>0</v>
      </c>
      <c r="AZ204" s="24" t="str">
        <f t="shared" ref="AZ204:AZ267" si="61">IF(G204=1,B204,"")</f>
        <v/>
      </c>
      <c r="BA204" s="24" t="str">
        <f t="shared" ref="BA204:BA267" si="62">IF(G204=1,C204,"")</f>
        <v/>
      </c>
      <c r="BB204" s="24" t="str">
        <f t="shared" ref="BB204:BB267" si="63">IF(G204=1,F204,"")</f>
        <v/>
      </c>
      <c r="BC204" s="24" t="str">
        <f>IF(OR(E204="",LEFT(TableCosts[[#This Row],[Calc_N_Typ]],18)="Vynaložené náklady"),"",VLOOKUP(E204,Tab_Parts,2,0))</f>
        <v/>
      </c>
      <c r="BD204" s="24" t="str">
        <f t="shared" ref="BD204:BD267" si="64">IF(G204=1,H204,"")</f>
        <v/>
      </c>
      <c r="BE204" s="24">
        <f t="shared" ref="BE204:BE267" si="65">IF(G204=1,AX204,0)</f>
        <v>0</v>
      </c>
      <c r="BF204" s="72">
        <f>TableCosts[[#This Row],[N_Amount]]*TableCosts[[#This Row],[N_Tariff]]*TableCosts[[#This Row],[N_ItemsCount]]</f>
        <v>0</v>
      </c>
      <c r="BG204" s="72">
        <f>IF(G204=1,IF(TableCosts[[#This Row],[N_Kateg]]="interné práce",TableCosts[[#This Row],[N_Amount]]*8*PAR_SGA_PERHOUR,0),0)</f>
        <v>0</v>
      </c>
      <c r="BH204" s="72">
        <f>SUM(TableCosts[[#This Row],[N_Direct]:[N_SGA]])</f>
        <v>0</v>
      </c>
      <c r="BI204" s="24">
        <f>IF(G204=1,IF(OR(AND(NOT(ISERROR(VLOOKUP(TableCosts[[#This Row],[Calc_N_Typ]],Cis_WorkPositions,1,0))),C204&lt;&gt;"",D204&lt;&gt;"",E204&lt;&gt;""),AND(ISERROR(VLOOKUP(TableCosts[[#This Row],[Calc_N_Typ]],Cis_WorkPositions,1,0)),C204="",D204="",E204&lt;&gt;""),LEFT(TableCosts[[#This Row],[Calc_N_Typ]],18)="Vynaložené náklady"),VLOOKUP(C204&amp;TableCosts[[#This Row],[Calc_N_Typ]],TRAN_STRITEMS_LABEL,VLOOKUP(D204,Tab_Hours,3,0),0),NA()),0)</f>
        <v>0</v>
      </c>
      <c r="BJ204" s="24">
        <f t="shared" ref="BJ204:BJ267" si="66">IF(G204=1,IF(H204="čld.",VLOOKUP(D204,Tab_Hours,4,0),1),0)</f>
        <v>0</v>
      </c>
      <c r="BK204" s="24" t="str">
        <f t="shared" ref="BK204:BK267" si="67">IF(G204=1,IFERROR(VLOOKUP(B204,IpsLicences,2,0),IF(C204="",Par_Center,C204)),"")</f>
        <v/>
      </c>
      <c r="BL204" s="24" t="str">
        <f t="shared" ref="BL204:BL267" si="68">IF(G204=1,Par_Center,"")</f>
        <v/>
      </c>
      <c r="BM204" s="24" t="str">
        <f>IF(G204=1,IF(TableCosts[[#This Row],[TransferFrom]]=TableCosts[[#This Row],[TranferTo]],0,1),"")</f>
        <v/>
      </c>
      <c r="BN204" s="24" t="str">
        <f t="shared" ref="BN204:BN267" si="69">IF(G204=1,IF(E204="ACQ","akvizícia","realizácia"),"")</f>
        <v/>
      </c>
      <c r="BO204" s="24">
        <f t="shared" ref="BO204:BO267" si="70">IF(RIGHT(B204,LEN(Par_LabelTravelTime))=Par_LabelTravelTime,LEFT(B204,LEN(B204)-LEN(Par_LabelTravelTime)),B204)</f>
        <v>0</v>
      </c>
      <c r="BP204" s="24">
        <f t="shared" ref="BP204:BP267" si="71">IF(RIGHT(B204,LEN(Par_LabelTravelTime))=Par_LabelTravelTime,1,0)</f>
        <v>0</v>
      </c>
    </row>
    <row r="205" spans="2:68" s="24" customFormat="1" ht="12.75" x14ac:dyDescent="0.2">
      <c r="B205" s="97"/>
      <c r="C205" s="92"/>
      <c r="D205" s="92"/>
      <c r="E205" s="92"/>
      <c r="F205" s="31" t="str">
        <f>IF(G205=1,IF(ISERROR(TableCosts[[#This Row],[N_Tariff]]),Err_Message1,IF(TableCosts[[#This Row],[N_Tariff]]=0,Err_Message2,VLOOKUP(C205&amp;TableCosts[[#This Row],[Calc_N_Typ]],TRAN_STRITEMS_LABEL,5,FALSE))),"")</f>
        <v/>
      </c>
      <c r="G205" s="31">
        <f t="shared" si="60"/>
        <v>0</v>
      </c>
      <c r="H205" s="31" t="str">
        <f>IF(G205=1,IFERROR(VLOOKUP(F205,Tab_ErrMessage[],2,0),VLOOKUP(C205&amp;TableCosts[[#This Row],[Calc_N_Typ]],TRAN_STRITEMS_LABEL,4,FALSE)),"")</f>
        <v/>
      </c>
      <c r="I205" s="94"/>
      <c r="J205" s="94"/>
      <c r="K205" s="9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  <c r="W205" s="84"/>
      <c r="X205" s="84"/>
      <c r="Y205" s="84"/>
      <c r="Z205" s="84"/>
      <c r="AA205" s="84"/>
      <c r="AB205" s="84"/>
      <c r="AC205" s="84"/>
      <c r="AD205" s="84"/>
      <c r="AE205" s="84"/>
      <c r="AF205" s="84"/>
      <c r="AG205" s="84"/>
      <c r="AH205" s="84"/>
      <c r="AI205" s="84"/>
      <c r="AJ205" s="84"/>
      <c r="AK205" s="84"/>
      <c r="AL205" s="84"/>
      <c r="AM205" s="84"/>
      <c r="AN205" s="84"/>
      <c r="AO205" s="84"/>
      <c r="AP205" s="84"/>
      <c r="AQ205" s="84"/>
      <c r="AR205" s="84"/>
      <c r="AS205" s="84"/>
      <c r="AT205" s="84"/>
      <c r="AU205" s="84"/>
      <c r="AV205" s="84"/>
      <c r="AW205" s="84"/>
      <c r="AX205" s="87">
        <f t="array" ref="AX205">IF(G205=1,SUM((ROW(M0)=ROW(AW205))*(M0+M1_+M2_+M3_+M4_+M5_+M6_+M7_+M8_+M9_+M10_+M11_+M12_+M13_+M14_+M15_+M16_+M17_+M18_+M19_+M20_+M21_+M22_+M23_+M24_+M25_+M26_+M27_+M28_+M29_+M30_+M31_+M32_+M33_+M34_+M35_+M36_+M37_)),0)</f>
        <v>0</v>
      </c>
      <c r="AZ205" s="24" t="str">
        <f t="shared" si="61"/>
        <v/>
      </c>
      <c r="BA205" s="24" t="str">
        <f t="shared" si="62"/>
        <v/>
      </c>
      <c r="BB205" s="24" t="str">
        <f t="shared" si="63"/>
        <v/>
      </c>
      <c r="BC205" s="24" t="str">
        <f>IF(OR(E205="",LEFT(TableCosts[[#This Row],[Calc_N_Typ]],18)="Vynaložené náklady"),"",VLOOKUP(E205,Tab_Parts,2,0))</f>
        <v/>
      </c>
      <c r="BD205" s="24" t="str">
        <f t="shared" si="64"/>
        <v/>
      </c>
      <c r="BE205" s="24">
        <f t="shared" si="65"/>
        <v>0</v>
      </c>
      <c r="BF205" s="72">
        <f>TableCosts[[#This Row],[N_Amount]]*TableCosts[[#This Row],[N_Tariff]]*TableCosts[[#This Row],[N_ItemsCount]]</f>
        <v>0</v>
      </c>
      <c r="BG205" s="72">
        <f>IF(G205=1,IF(TableCosts[[#This Row],[N_Kateg]]="interné práce",TableCosts[[#This Row],[N_Amount]]*8*PAR_SGA_PERHOUR,0),0)</f>
        <v>0</v>
      </c>
      <c r="BH205" s="72">
        <f>SUM(TableCosts[[#This Row],[N_Direct]:[N_SGA]])</f>
        <v>0</v>
      </c>
      <c r="BI205" s="24">
        <f>IF(G205=1,IF(OR(AND(NOT(ISERROR(VLOOKUP(TableCosts[[#This Row],[Calc_N_Typ]],Cis_WorkPositions,1,0))),C205&lt;&gt;"",D205&lt;&gt;"",E205&lt;&gt;""),AND(ISERROR(VLOOKUP(TableCosts[[#This Row],[Calc_N_Typ]],Cis_WorkPositions,1,0)),C205="",D205="",E205&lt;&gt;""),LEFT(TableCosts[[#This Row],[Calc_N_Typ]],18)="Vynaložené náklady"),VLOOKUP(C205&amp;TableCosts[[#This Row],[Calc_N_Typ]],TRAN_STRITEMS_LABEL,VLOOKUP(D205,Tab_Hours,3,0),0),NA()),0)</f>
        <v>0</v>
      </c>
      <c r="BJ205" s="24">
        <f t="shared" si="66"/>
        <v>0</v>
      </c>
      <c r="BK205" s="24" t="str">
        <f t="shared" si="67"/>
        <v/>
      </c>
      <c r="BL205" s="24" t="str">
        <f t="shared" si="68"/>
        <v/>
      </c>
      <c r="BM205" s="24" t="str">
        <f>IF(G205=1,IF(TableCosts[[#This Row],[TransferFrom]]=TableCosts[[#This Row],[TranferTo]],0,1),"")</f>
        <v/>
      </c>
      <c r="BN205" s="24" t="str">
        <f t="shared" si="69"/>
        <v/>
      </c>
      <c r="BO205" s="24">
        <f t="shared" si="70"/>
        <v>0</v>
      </c>
      <c r="BP205" s="24">
        <f t="shared" si="71"/>
        <v>0</v>
      </c>
    </row>
    <row r="206" spans="2:68" s="24" customFormat="1" ht="12.75" x14ac:dyDescent="0.2">
      <c r="B206" s="97"/>
      <c r="C206" s="92"/>
      <c r="D206" s="92"/>
      <c r="E206" s="92"/>
      <c r="F206" s="31" t="str">
        <f>IF(G206=1,IF(ISERROR(TableCosts[[#This Row],[N_Tariff]]),Err_Message1,IF(TableCosts[[#This Row],[N_Tariff]]=0,Err_Message2,VLOOKUP(C206&amp;TableCosts[[#This Row],[Calc_N_Typ]],TRAN_STRITEMS_LABEL,5,FALSE))),"")</f>
        <v/>
      </c>
      <c r="G206" s="31">
        <f t="shared" si="60"/>
        <v>0</v>
      </c>
      <c r="H206" s="31" t="str">
        <f>IF(G206=1,IFERROR(VLOOKUP(F206,Tab_ErrMessage[],2,0),VLOOKUP(C206&amp;TableCosts[[#This Row],[Calc_N_Typ]],TRAN_STRITEMS_LABEL,4,FALSE)),"")</f>
        <v/>
      </c>
      <c r="I206" s="94"/>
      <c r="J206" s="94"/>
      <c r="K206" s="94"/>
      <c r="L206" s="84"/>
      <c r="M206" s="84"/>
      <c r="N206" s="84"/>
      <c r="O206" s="84"/>
      <c r="P206" s="84"/>
      <c r="Q206" s="84"/>
      <c r="R206" s="84"/>
      <c r="S206" s="84"/>
      <c r="T206" s="84"/>
      <c r="U206" s="84"/>
      <c r="V206" s="84"/>
      <c r="W206" s="84"/>
      <c r="X206" s="84"/>
      <c r="Y206" s="84"/>
      <c r="Z206" s="84"/>
      <c r="AA206" s="84"/>
      <c r="AB206" s="84"/>
      <c r="AC206" s="84"/>
      <c r="AD206" s="84"/>
      <c r="AE206" s="84"/>
      <c r="AF206" s="84"/>
      <c r="AG206" s="84"/>
      <c r="AH206" s="84"/>
      <c r="AI206" s="84"/>
      <c r="AJ206" s="84"/>
      <c r="AK206" s="84"/>
      <c r="AL206" s="84"/>
      <c r="AM206" s="84"/>
      <c r="AN206" s="84"/>
      <c r="AO206" s="84"/>
      <c r="AP206" s="84"/>
      <c r="AQ206" s="84"/>
      <c r="AR206" s="84"/>
      <c r="AS206" s="84"/>
      <c r="AT206" s="84"/>
      <c r="AU206" s="84"/>
      <c r="AV206" s="84"/>
      <c r="AW206" s="84"/>
      <c r="AX206" s="87">
        <f t="array" ref="AX206">IF(G206=1,SUM((ROW(M0)=ROW(AW206))*(M0+M1_+M2_+M3_+M4_+M5_+M6_+M7_+M8_+M9_+M10_+M11_+M12_+M13_+M14_+M15_+M16_+M17_+M18_+M19_+M20_+M21_+M22_+M23_+M24_+M25_+M26_+M27_+M28_+M29_+M30_+M31_+M32_+M33_+M34_+M35_+M36_+M37_)),0)</f>
        <v>0</v>
      </c>
      <c r="AZ206" s="24" t="str">
        <f t="shared" si="61"/>
        <v/>
      </c>
      <c r="BA206" s="24" t="str">
        <f t="shared" si="62"/>
        <v/>
      </c>
      <c r="BB206" s="24" t="str">
        <f t="shared" si="63"/>
        <v/>
      </c>
      <c r="BC206" s="24" t="str">
        <f>IF(OR(E206="",LEFT(TableCosts[[#This Row],[Calc_N_Typ]],18)="Vynaložené náklady"),"",VLOOKUP(E206,Tab_Parts,2,0))</f>
        <v/>
      </c>
      <c r="BD206" s="24" t="str">
        <f t="shared" si="64"/>
        <v/>
      </c>
      <c r="BE206" s="24">
        <f t="shared" si="65"/>
        <v>0</v>
      </c>
      <c r="BF206" s="72">
        <f>TableCosts[[#This Row],[N_Amount]]*TableCosts[[#This Row],[N_Tariff]]*TableCosts[[#This Row],[N_ItemsCount]]</f>
        <v>0</v>
      </c>
      <c r="BG206" s="72">
        <f>IF(G206=1,IF(TableCosts[[#This Row],[N_Kateg]]="interné práce",TableCosts[[#This Row],[N_Amount]]*8*PAR_SGA_PERHOUR,0),0)</f>
        <v>0</v>
      </c>
      <c r="BH206" s="72">
        <f>SUM(TableCosts[[#This Row],[N_Direct]:[N_SGA]])</f>
        <v>0</v>
      </c>
      <c r="BI206" s="24">
        <f>IF(G206=1,IF(OR(AND(NOT(ISERROR(VLOOKUP(TableCosts[[#This Row],[Calc_N_Typ]],Cis_WorkPositions,1,0))),C206&lt;&gt;"",D206&lt;&gt;"",E206&lt;&gt;""),AND(ISERROR(VLOOKUP(TableCosts[[#This Row],[Calc_N_Typ]],Cis_WorkPositions,1,0)),C206="",D206="",E206&lt;&gt;""),LEFT(TableCosts[[#This Row],[Calc_N_Typ]],18)="Vynaložené náklady"),VLOOKUP(C206&amp;TableCosts[[#This Row],[Calc_N_Typ]],TRAN_STRITEMS_LABEL,VLOOKUP(D206,Tab_Hours,3,0),0),NA()),0)</f>
        <v>0</v>
      </c>
      <c r="BJ206" s="24">
        <f t="shared" si="66"/>
        <v>0</v>
      </c>
      <c r="BK206" s="24" t="str">
        <f t="shared" si="67"/>
        <v/>
      </c>
      <c r="BL206" s="24" t="str">
        <f t="shared" si="68"/>
        <v/>
      </c>
      <c r="BM206" s="24" t="str">
        <f>IF(G206=1,IF(TableCosts[[#This Row],[TransferFrom]]=TableCosts[[#This Row],[TranferTo]],0,1),"")</f>
        <v/>
      </c>
      <c r="BN206" s="24" t="str">
        <f t="shared" si="69"/>
        <v/>
      </c>
      <c r="BO206" s="24">
        <f t="shared" si="70"/>
        <v>0</v>
      </c>
      <c r="BP206" s="24">
        <f t="shared" si="71"/>
        <v>0</v>
      </c>
    </row>
    <row r="207" spans="2:68" s="24" customFormat="1" ht="12.75" x14ac:dyDescent="0.2">
      <c r="B207" s="97"/>
      <c r="C207" s="92"/>
      <c r="D207" s="92"/>
      <c r="E207" s="92"/>
      <c r="F207" s="31" t="str">
        <f>IF(G207=1,IF(ISERROR(TableCosts[[#This Row],[N_Tariff]]),Err_Message1,IF(TableCosts[[#This Row],[N_Tariff]]=0,Err_Message2,VLOOKUP(C207&amp;TableCosts[[#This Row],[Calc_N_Typ]],TRAN_STRITEMS_LABEL,5,FALSE))),"")</f>
        <v/>
      </c>
      <c r="G207" s="31">
        <f t="shared" si="60"/>
        <v>0</v>
      </c>
      <c r="H207" s="31" t="str">
        <f>IF(G207=1,IFERROR(VLOOKUP(F207,Tab_ErrMessage[],2,0),VLOOKUP(C207&amp;TableCosts[[#This Row],[Calc_N_Typ]],TRAN_STRITEMS_LABEL,4,FALSE)),"")</f>
        <v/>
      </c>
      <c r="I207" s="94"/>
      <c r="J207" s="94"/>
      <c r="K207" s="94"/>
      <c r="L207" s="84"/>
      <c r="M207" s="84"/>
      <c r="N207" s="84"/>
      <c r="O207" s="84"/>
      <c r="P207" s="84"/>
      <c r="Q207" s="84"/>
      <c r="R207" s="84"/>
      <c r="S207" s="84"/>
      <c r="T207" s="84"/>
      <c r="U207" s="84"/>
      <c r="V207" s="84"/>
      <c r="W207" s="84"/>
      <c r="X207" s="84"/>
      <c r="Y207" s="84"/>
      <c r="Z207" s="84"/>
      <c r="AA207" s="84"/>
      <c r="AB207" s="84"/>
      <c r="AC207" s="84"/>
      <c r="AD207" s="84"/>
      <c r="AE207" s="84"/>
      <c r="AF207" s="84"/>
      <c r="AG207" s="84"/>
      <c r="AH207" s="84"/>
      <c r="AI207" s="84"/>
      <c r="AJ207" s="84"/>
      <c r="AK207" s="84"/>
      <c r="AL207" s="84"/>
      <c r="AM207" s="84"/>
      <c r="AN207" s="84"/>
      <c r="AO207" s="84"/>
      <c r="AP207" s="84"/>
      <c r="AQ207" s="84"/>
      <c r="AR207" s="84"/>
      <c r="AS207" s="84"/>
      <c r="AT207" s="84"/>
      <c r="AU207" s="84"/>
      <c r="AV207" s="84"/>
      <c r="AW207" s="84"/>
      <c r="AX207" s="87">
        <f t="array" ref="AX207">IF(G207=1,SUM((ROW(M0)=ROW(AW207))*(M0+M1_+M2_+M3_+M4_+M5_+M6_+M7_+M8_+M9_+M10_+M11_+M12_+M13_+M14_+M15_+M16_+M17_+M18_+M19_+M20_+M21_+M22_+M23_+M24_+M25_+M26_+M27_+M28_+M29_+M30_+M31_+M32_+M33_+M34_+M35_+M36_+M37_)),0)</f>
        <v>0</v>
      </c>
      <c r="AZ207" s="24" t="str">
        <f t="shared" si="61"/>
        <v/>
      </c>
      <c r="BA207" s="24" t="str">
        <f t="shared" si="62"/>
        <v/>
      </c>
      <c r="BB207" s="24" t="str">
        <f t="shared" si="63"/>
        <v/>
      </c>
      <c r="BC207" s="24" t="str">
        <f>IF(OR(E207="",LEFT(TableCosts[[#This Row],[Calc_N_Typ]],18)="Vynaložené náklady"),"",VLOOKUP(E207,Tab_Parts,2,0))</f>
        <v/>
      </c>
      <c r="BD207" s="24" t="str">
        <f t="shared" si="64"/>
        <v/>
      </c>
      <c r="BE207" s="24">
        <f t="shared" si="65"/>
        <v>0</v>
      </c>
      <c r="BF207" s="72">
        <f>TableCosts[[#This Row],[N_Amount]]*TableCosts[[#This Row],[N_Tariff]]*TableCosts[[#This Row],[N_ItemsCount]]</f>
        <v>0</v>
      </c>
      <c r="BG207" s="72">
        <f>IF(G207=1,IF(TableCosts[[#This Row],[N_Kateg]]="interné práce",TableCosts[[#This Row],[N_Amount]]*8*PAR_SGA_PERHOUR,0),0)</f>
        <v>0</v>
      </c>
      <c r="BH207" s="72">
        <f>SUM(TableCosts[[#This Row],[N_Direct]:[N_SGA]])</f>
        <v>0</v>
      </c>
      <c r="BI207" s="24">
        <f>IF(G207=1,IF(OR(AND(NOT(ISERROR(VLOOKUP(TableCosts[[#This Row],[Calc_N_Typ]],Cis_WorkPositions,1,0))),C207&lt;&gt;"",D207&lt;&gt;"",E207&lt;&gt;""),AND(ISERROR(VLOOKUP(TableCosts[[#This Row],[Calc_N_Typ]],Cis_WorkPositions,1,0)),C207="",D207="",E207&lt;&gt;""),LEFT(TableCosts[[#This Row],[Calc_N_Typ]],18)="Vynaložené náklady"),VLOOKUP(C207&amp;TableCosts[[#This Row],[Calc_N_Typ]],TRAN_STRITEMS_LABEL,VLOOKUP(D207,Tab_Hours,3,0),0),NA()),0)</f>
        <v>0</v>
      </c>
      <c r="BJ207" s="24">
        <f t="shared" si="66"/>
        <v>0</v>
      </c>
      <c r="BK207" s="24" t="str">
        <f t="shared" si="67"/>
        <v/>
      </c>
      <c r="BL207" s="24" t="str">
        <f t="shared" si="68"/>
        <v/>
      </c>
      <c r="BM207" s="24" t="str">
        <f>IF(G207=1,IF(TableCosts[[#This Row],[TransferFrom]]=TableCosts[[#This Row],[TranferTo]],0,1),"")</f>
        <v/>
      </c>
      <c r="BN207" s="24" t="str">
        <f t="shared" si="69"/>
        <v/>
      </c>
      <c r="BO207" s="24">
        <f t="shared" si="70"/>
        <v>0</v>
      </c>
      <c r="BP207" s="24">
        <f t="shared" si="71"/>
        <v>0</v>
      </c>
    </row>
    <row r="208" spans="2:68" s="24" customFormat="1" ht="12.75" x14ac:dyDescent="0.2">
      <c r="B208" s="97"/>
      <c r="C208" s="92"/>
      <c r="D208" s="92"/>
      <c r="E208" s="92"/>
      <c r="F208" s="31" t="str">
        <f>IF(G208=1,IF(ISERROR(TableCosts[[#This Row],[N_Tariff]]),Err_Message1,IF(TableCosts[[#This Row],[N_Tariff]]=0,Err_Message2,VLOOKUP(C208&amp;TableCosts[[#This Row],[Calc_N_Typ]],TRAN_STRITEMS_LABEL,5,FALSE))),"")</f>
        <v/>
      </c>
      <c r="G208" s="31">
        <f t="shared" si="60"/>
        <v>0</v>
      </c>
      <c r="H208" s="31" t="str">
        <f>IF(G208=1,IFERROR(VLOOKUP(F208,Tab_ErrMessage[],2,0),VLOOKUP(C208&amp;TableCosts[[#This Row],[Calc_N_Typ]],TRAN_STRITEMS_LABEL,4,FALSE)),"")</f>
        <v/>
      </c>
      <c r="I208" s="94"/>
      <c r="J208" s="94"/>
      <c r="K208" s="94"/>
      <c r="L208" s="84"/>
      <c r="M208" s="84"/>
      <c r="N208" s="84"/>
      <c r="O208" s="84"/>
      <c r="P208" s="84"/>
      <c r="Q208" s="84"/>
      <c r="R208" s="84"/>
      <c r="S208" s="84"/>
      <c r="T208" s="84"/>
      <c r="U208" s="84"/>
      <c r="V208" s="84"/>
      <c r="W208" s="84"/>
      <c r="X208" s="84"/>
      <c r="Y208" s="84"/>
      <c r="Z208" s="84"/>
      <c r="AA208" s="84"/>
      <c r="AB208" s="84"/>
      <c r="AC208" s="84"/>
      <c r="AD208" s="84"/>
      <c r="AE208" s="84"/>
      <c r="AF208" s="84"/>
      <c r="AG208" s="84"/>
      <c r="AH208" s="84"/>
      <c r="AI208" s="84"/>
      <c r="AJ208" s="84"/>
      <c r="AK208" s="84"/>
      <c r="AL208" s="84"/>
      <c r="AM208" s="84"/>
      <c r="AN208" s="84"/>
      <c r="AO208" s="84"/>
      <c r="AP208" s="84"/>
      <c r="AQ208" s="84"/>
      <c r="AR208" s="84"/>
      <c r="AS208" s="84"/>
      <c r="AT208" s="84"/>
      <c r="AU208" s="84"/>
      <c r="AV208" s="84"/>
      <c r="AW208" s="84"/>
      <c r="AX208" s="87">
        <f t="array" ref="AX208">IF(G208=1,SUM((ROW(M0)=ROW(AW208))*(M0+M1_+M2_+M3_+M4_+M5_+M6_+M7_+M8_+M9_+M10_+M11_+M12_+M13_+M14_+M15_+M16_+M17_+M18_+M19_+M20_+M21_+M22_+M23_+M24_+M25_+M26_+M27_+M28_+M29_+M30_+M31_+M32_+M33_+M34_+M35_+M36_+M37_)),0)</f>
        <v>0</v>
      </c>
      <c r="AZ208" s="24" t="str">
        <f t="shared" si="61"/>
        <v/>
      </c>
      <c r="BA208" s="24" t="str">
        <f t="shared" si="62"/>
        <v/>
      </c>
      <c r="BB208" s="24" t="str">
        <f t="shared" si="63"/>
        <v/>
      </c>
      <c r="BC208" s="24" t="str">
        <f>IF(OR(E208="",LEFT(TableCosts[[#This Row],[Calc_N_Typ]],18)="Vynaložené náklady"),"",VLOOKUP(E208,Tab_Parts,2,0))</f>
        <v/>
      </c>
      <c r="BD208" s="24" t="str">
        <f t="shared" si="64"/>
        <v/>
      </c>
      <c r="BE208" s="24">
        <f t="shared" si="65"/>
        <v>0</v>
      </c>
      <c r="BF208" s="72">
        <f>TableCosts[[#This Row],[N_Amount]]*TableCosts[[#This Row],[N_Tariff]]*TableCosts[[#This Row],[N_ItemsCount]]</f>
        <v>0</v>
      </c>
      <c r="BG208" s="72">
        <f>IF(G208=1,IF(TableCosts[[#This Row],[N_Kateg]]="interné práce",TableCosts[[#This Row],[N_Amount]]*8*PAR_SGA_PERHOUR,0),0)</f>
        <v>0</v>
      </c>
      <c r="BH208" s="72">
        <f>SUM(TableCosts[[#This Row],[N_Direct]:[N_SGA]])</f>
        <v>0</v>
      </c>
      <c r="BI208" s="24">
        <f>IF(G208=1,IF(OR(AND(NOT(ISERROR(VLOOKUP(TableCosts[[#This Row],[Calc_N_Typ]],Cis_WorkPositions,1,0))),C208&lt;&gt;"",D208&lt;&gt;"",E208&lt;&gt;""),AND(ISERROR(VLOOKUP(TableCosts[[#This Row],[Calc_N_Typ]],Cis_WorkPositions,1,0)),C208="",D208="",E208&lt;&gt;""),LEFT(TableCosts[[#This Row],[Calc_N_Typ]],18)="Vynaložené náklady"),VLOOKUP(C208&amp;TableCosts[[#This Row],[Calc_N_Typ]],TRAN_STRITEMS_LABEL,VLOOKUP(D208,Tab_Hours,3,0),0),NA()),0)</f>
        <v>0</v>
      </c>
      <c r="BJ208" s="24">
        <f t="shared" si="66"/>
        <v>0</v>
      </c>
      <c r="BK208" s="24" t="str">
        <f t="shared" si="67"/>
        <v/>
      </c>
      <c r="BL208" s="24" t="str">
        <f t="shared" si="68"/>
        <v/>
      </c>
      <c r="BM208" s="24" t="str">
        <f>IF(G208=1,IF(TableCosts[[#This Row],[TransferFrom]]=TableCosts[[#This Row],[TranferTo]],0,1),"")</f>
        <v/>
      </c>
      <c r="BN208" s="24" t="str">
        <f t="shared" si="69"/>
        <v/>
      </c>
      <c r="BO208" s="24">
        <f t="shared" si="70"/>
        <v>0</v>
      </c>
      <c r="BP208" s="24">
        <f t="shared" si="71"/>
        <v>0</v>
      </c>
    </row>
    <row r="209" spans="2:68" s="24" customFormat="1" ht="12.75" x14ac:dyDescent="0.2">
      <c r="B209" s="97"/>
      <c r="C209" s="92"/>
      <c r="D209" s="92"/>
      <c r="E209" s="92"/>
      <c r="F209" s="31" t="str">
        <f>IF(G209=1,IF(ISERROR(TableCosts[[#This Row],[N_Tariff]]),Err_Message1,IF(TableCosts[[#This Row],[N_Tariff]]=0,Err_Message2,VLOOKUP(C209&amp;TableCosts[[#This Row],[Calc_N_Typ]],TRAN_STRITEMS_LABEL,5,FALSE))),"")</f>
        <v/>
      </c>
      <c r="G209" s="31">
        <f t="shared" si="60"/>
        <v>0</v>
      </c>
      <c r="H209" s="31" t="str">
        <f>IF(G209=1,IFERROR(VLOOKUP(F209,Tab_ErrMessage[],2,0),VLOOKUP(C209&amp;TableCosts[[#This Row],[Calc_N_Typ]],TRAN_STRITEMS_LABEL,4,FALSE)),"")</f>
        <v/>
      </c>
      <c r="I209" s="94"/>
      <c r="J209" s="94"/>
      <c r="K209" s="94"/>
      <c r="L209" s="84"/>
      <c r="M209" s="84"/>
      <c r="N209" s="84"/>
      <c r="O209" s="84"/>
      <c r="P209" s="84"/>
      <c r="Q209" s="84"/>
      <c r="R209" s="84"/>
      <c r="S209" s="84"/>
      <c r="T209" s="84"/>
      <c r="U209" s="84"/>
      <c r="V209" s="84"/>
      <c r="W209" s="84"/>
      <c r="X209" s="84"/>
      <c r="Y209" s="84"/>
      <c r="Z209" s="84"/>
      <c r="AA209" s="84"/>
      <c r="AB209" s="84"/>
      <c r="AC209" s="84"/>
      <c r="AD209" s="84"/>
      <c r="AE209" s="84"/>
      <c r="AF209" s="84"/>
      <c r="AG209" s="84"/>
      <c r="AH209" s="84"/>
      <c r="AI209" s="84"/>
      <c r="AJ209" s="84"/>
      <c r="AK209" s="84"/>
      <c r="AL209" s="84"/>
      <c r="AM209" s="84"/>
      <c r="AN209" s="84"/>
      <c r="AO209" s="84"/>
      <c r="AP209" s="84"/>
      <c r="AQ209" s="84"/>
      <c r="AR209" s="84"/>
      <c r="AS209" s="84"/>
      <c r="AT209" s="84"/>
      <c r="AU209" s="84"/>
      <c r="AV209" s="84"/>
      <c r="AW209" s="84"/>
      <c r="AX209" s="87">
        <f t="array" ref="AX209">IF(G209=1,SUM((ROW(M0)=ROW(AW209))*(M0+M1_+M2_+M3_+M4_+M5_+M6_+M7_+M8_+M9_+M10_+M11_+M12_+M13_+M14_+M15_+M16_+M17_+M18_+M19_+M20_+M21_+M22_+M23_+M24_+M25_+M26_+M27_+M28_+M29_+M30_+M31_+M32_+M33_+M34_+M35_+M36_+M37_)),0)</f>
        <v>0</v>
      </c>
      <c r="AZ209" s="24" t="str">
        <f t="shared" si="61"/>
        <v/>
      </c>
      <c r="BA209" s="24" t="str">
        <f t="shared" si="62"/>
        <v/>
      </c>
      <c r="BB209" s="24" t="str">
        <f t="shared" si="63"/>
        <v/>
      </c>
      <c r="BC209" s="24" t="str">
        <f>IF(OR(E209="",LEFT(TableCosts[[#This Row],[Calc_N_Typ]],18)="Vynaložené náklady"),"",VLOOKUP(E209,Tab_Parts,2,0))</f>
        <v/>
      </c>
      <c r="BD209" s="24" t="str">
        <f t="shared" si="64"/>
        <v/>
      </c>
      <c r="BE209" s="24">
        <f t="shared" si="65"/>
        <v>0</v>
      </c>
      <c r="BF209" s="72">
        <f>TableCosts[[#This Row],[N_Amount]]*TableCosts[[#This Row],[N_Tariff]]*TableCosts[[#This Row],[N_ItemsCount]]</f>
        <v>0</v>
      </c>
      <c r="BG209" s="72">
        <f>IF(G209=1,IF(TableCosts[[#This Row],[N_Kateg]]="interné práce",TableCosts[[#This Row],[N_Amount]]*8*PAR_SGA_PERHOUR,0),0)</f>
        <v>0</v>
      </c>
      <c r="BH209" s="72">
        <f>SUM(TableCosts[[#This Row],[N_Direct]:[N_SGA]])</f>
        <v>0</v>
      </c>
      <c r="BI209" s="24">
        <f>IF(G209=1,IF(OR(AND(NOT(ISERROR(VLOOKUP(TableCosts[[#This Row],[Calc_N_Typ]],Cis_WorkPositions,1,0))),C209&lt;&gt;"",D209&lt;&gt;"",E209&lt;&gt;""),AND(ISERROR(VLOOKUP(TableCosts[[#This Row],[Calc_N_Typ]],Cis_WorkPositions,1,0)),C209="",D209="",E209&lt;&gt;""),LEFT(TableCosts[[#This Row],[Calc_N_Typ]],18)="Vynaložené náklady"),VLOOKUP(C209&amp;TableCosts[[#This Row],[Calc_N_Typ]],TRAN_STRITEMS_LABEL,VLOOKUP(D209,Tab_Hours,3,0),0),NA()),0)</f>
        <v>0</v>
      </c>
      <c r="BJ209" s="24">
        <f t="shared" si="66"/>
        <v>0</v>
      </c>
      <c r="BK209" s="24" t="str">
        <f t="shared" si="67"/>
        <v/>
      </c>
      <c r="BL209" s="24" t="str">
        <f t="shared" si="68"/>
        <v/>
      </c>
      <c r="BM209" s="24" t="str">
        <f>IF(G209=1,IF(TableCosts[[#This Row],[TransferFrom]]=TableCosts[[#This Row],[TranferTo]],0,1),"")</f>
        <v/>
      </c>
      <c r="BN209" s="24" t="str">
        <f t="shared" si="69"/>
        <v/>
      </c>
      <c r="BO209" s="24">
        <f t="shared" si="70"/>
        <v>0</v>
      </c>
      <c r="BP209" s="24">
        <f t="shared" si="71"/>
        <v>0</v>
      </c>
    </row>
    <row r="210" spans="2:68" s="24" customFormat="1" ht="12.75" x14ac:dyDescent="0.2">
      <c r="B210" s="97"/>
      <c r="C210" s="92"/>
      <c r="D210" s="92"/>
      <c r="E210" s="92"/>
      <c r="F210" s="31" t="str">
        <f>IF(G210=1,IF(ISERROR(TableCosts[[#This Row],[N_Tariff]]),Err_Message1,IF(TableCosts[[#This Row],[N_Tariff]]=0,Err_Message2,VLOOKUP(C210&amp;TableCosts[[#This Row],[Calc_N_Typ]],TRAN_STRITEMS_LABEL,5,FALSE))),"")</f>
        <v/>
      </c>
      <c r="G210" s="31">
        <f t="shared" si="60"/>
        <v>0</v>
      </c>
      <c r="H210" s="31" t="str">
        <f>IF(G210=1,IFERROR(VLOOKUP(F210,Tab_ErrMessage[],2,0),VLOOKUP(C210&amp;TableCosts[[#This Row],[Calc_N_Typ]],TRAN_STRITEMS_LABEL,4,FALSE)),"")</f>
        <v/>
      </c>
      <c r="I210" s="94"/>
      <c r="J210" s="94"/>
      <c r="K210" s="9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  <c r="W210" s="84"/>
      <c r="X210" s="84"/>
      <c r="Y210" s="84"/>
      <c r="Z210" s="84"/>
      <c r="AA210" s="84"/>
      <c r="AB210" s="84"/>
      <c r="AC210" s="84"/>
      <c r="AD210" s="84"/>
      <c r="AE210" s="84"/>
      <c r="AF210" s="84"/>
      <c r="AG210" s="84"/>
      <c r="AH210" s="84"/>
      <c r="AI210" s="84"/>
      <c r="AJ210" s="84"/>
      <c r="AK210" s="84"/>
      <c r="AL210" s="84"/>
      <c r="AM210" s="84"/>
      <c r="AN210" s="84"/>
      <c r="AO210" s="84"/>
      <c r="AP210" s="84"/>
      <c r="AQ210" s="84"/>
      <c r="AR210" s="84"/>
      <c r="AS210" s="84"/>
      <c r="AT210" s="84"/>
      <c r="AU210" s="84"/>
      <c r="AV210" s="84"/>
      <c r="AW210" s="84"/>
      <c r="AX210" s="87">
        <f t="array" ref="AX210">IF(G210=1,SUM((ROW(M0)=ROW(AW210))*(M0+M1_+M2_+M3_+M4_+M5_+M6_+M7_+M8_+M9_+M10_+M11_+M12_+M13_+M14_+M15_+M16_+M17_+M18_+M19_+M20_+M21_+M22_+M23_+M24_+M25_+M26_+M27_+M28_+M29_+M30_+M31_+M32_+M33_+M34_+M35_+M36_+M37_)),0)</f>
        <v>0</v>
      </c>
      <c r="AZ210" s="24" t="str">
        <f t="shared" si="61"/>
        <v/>
      </c>
      <c r="BA210" s="24" t="str">
        <f t="shared" si="62"/>
        <v/>
      </c>
      <c r="BB210" s="24" t="str">
        <f t="shared" si="63"/>
        <v/>
      </c>
      <c r="BC210" s="24" t="str">
        <f>IF(OR(E210="",LEFT(TableCosts[[#This Row],[Calc_N_Typ]],18)="Vynaložené náklady"),"",VLOOKUP(E210,Tab_Parts,2,0))</f>
        <v/>
      </c>
      <c r="BD210" s="24" t="str">
        <f t="shared" si="64"/>
        <v/>
      </c>
      <c r="BE210" s="24">
        <f t="shared" si="65"/>
        <v>0</v>
      </c>
      <c r="BF210" s="72">
        <f>TableCosts[[#This Row],[N_Amount]]*TableCosts[[#This Row],[N_Tariff]]*TableCosts[[#This Row],[N_ItemsCount]]</f>
        <v>0</v>
      </c>
      <c r="BG210" s="72">
        <f>IF(G210=1,IF(TableCosts[[#This Row],[N_Kateg]]="interné práce",TableCosts[[#This Row],[N_Amount]]*8*PAR_SGA_PERHOUR,0),0)</f>
        <v>0</v>
      </c>
      <c r="BH210" s="72">
        <f>SUM(TableCosts[[#This Row],[N_Direct]:[N_SGA]])</f>
        <v>0</v>
      </c>
      <c r="BI210" s="24">
        <f>IF(G210=1,IF(OR(AND(NOT(ISERROR(VLOOKUP(TableCosts[[#This Row],[Calc_N_Typ]],Cis_WorkPositions,1,0))),C210&lt;&gt;"",D210&lt;&gt;"",E210&lt;&gt;""),AND(ISERROR(VLOOKUP(TableCosts[[#This Row],[Calc_N_Typ]],Cis_WorkPositions,1,0)),C210="",D210="",E210&lt;&gt;""),LEFT(TableCosts[[#This Row],[Calc_N_Typ]],18)="Vynaložené náklady"),VLOOKUP(C210&amp;TableCosts[[#This Row],[Calc_N_Typ]],TRAN_STRITEMS_LABEL,VLOOKUP(D210,Tab_Hours,3,0),0),NA()),0)</f>
        <v>0</v>
      </c>
      <c r="BJ210" s="24">
        <f t="shared" si="66"/>
        <v>0</v>
      </c>
      <c r="BK210" s="24" t="str">
        <f t="shared" si="67"/>
        <v/>
      </c>
      <c r="BL210" s="24" t="str">
        <f t="shared" si="68"/>
        <v/>
      </c>
      <c r="BM210" s="24" t="str">
        <f>IF(G210=1,IF(TableCosts[[#This Row],[TransferFrom]]=TableCosts[[#This Row],[TranferTo]],0,1),"")</f>
        <v/>
      </c>
      <c r="BN210" s="24" t="str">
        <f t="shared" si="69"/>
        <v/>
      </c>
      <c r="BO210" s="24">
        <f t="shared" si="70"/>
        <v>0</v>
      </c>
      <c r="BP210" s="24">
        <f t="shared" si="71"/>
        <v>0</v>
      </c>
    </row>
    <row r="211" spans="2:68" s="24" customFormat="1" ht="12.75" x14ac:dyDescent="0.2">
      <c r="B211" s="97"/>
      <c r="C211" s="92"/>
      <c r="D211" s="92"/>
      <c r="E211" s="92"/>
      <c r="F211" s="31" t="str">
        <f>IF(G211=1,IF(ISERROR(TableCosts[[#This Row],[N_Tariff]]),Err_Message1,IF(TableCosts[[#This Row],[N_Tariff]]=0,Err_Message2,VLOOKUP(C211&amp;TableCosts[[#This Row],[Calc_N_Typ]],TRAN_STRITEMS_LABEL,5,FALSE))),"")</f>
        <v/>
      </c>
      <c r="G211" s="31">
        <f t="shared" si="60"/>
        <v>0</v>
      </c>
      <c r="H211" s="31" t="str">
        <f>IF(G211=1,IFERROR(VLOOKUP(F211,Tab_ErrMessage[],2,0),VLOOKUP(C211&amp;TableCosts[[#This Row],[Calc_N_Typ]],TRAN_STRITEMS_LABEL,4,FALSE)),"")</f>
        <v/>
      </c>
      <c r="I211" s="94"/>
      <c r="J211" s="94"/>
      <c r="K211" s="9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  <c r="W211" s="84"/>
      <c r="X211" s="84"/>
      <c r="Y211" s="84"/>
      <c r="Z211" s="84"/>
      <c r="AA211" s="84"/>
      <c r="AB211" s="84"/>
      <c r="AC211" s="84"/>
      <c r="AD211" s="84"/>
      <c r="AE211" s="84"/>
      <c r="AF211" s="84"/>
      <c r="AG211" s="84"/>
      <c r="AH211" s="84"/>
      <c r="AI211" s="84"/>
      <c r="AJ211" s="84"/>
      <c r="AK211" s="84"/>
      <c r="AL211" s="84"/>
      <c r="AM211" s="84"/>
      <c r="AN211" s="84"/>
      <c r="AO211" s="84"/>
      <c r="AP211" s="84"/>
      <c r="AQ211" s="84"/>
      <c r="AR211" s="84"/>
      <c r="AS211" s="84"/>
      <c r="AT211" s="84"/>
      <c r="AU211" s="84"/>
      <c r="AV211" s="84"/>
      <c r="AW211" s="84"/>
      <c r="AX211" s="87">
        <f t="array" ref="AX211">IF(G211=1,SUM((ROW(M0)=ROW(AW211))*(M0+M1_+M2_+M3_+M4_+M5_+M6_+M7_+M8_+M9_+M10_+M11_+M12_+M13_+M14_+M15_+M16_+M17_+M18_+M19_+M20_+M21_+M22_+M23_+M24_+M25_+M26_+M27_+M28_+M29_+M30_+M31_+M32_+M33_+M34_+M35_+M36_+M37_)),0)</f>
        <v>0</v>
      </c>
      <c r="AZ211" s="24" t="str">
        <f t="shared" si="61"/>
        <v/>
      </c>
      <c r="BA211" s="24" t="str">
        <f t="shared" si="62"/>
        <v/>
      </c>
      <c r="BB211" s="24" t="str">
        <f t="shared" si="63"/>
        <v/>
      </c>
      <c r="BC211" s="24" t="str">
        <f>IF(OR(E211="",LEFT(TableCosts[[#This Row],[Calc_N_Typ]],18)="Vynaložené náklady"),"",VLOOKUP(E211,Tab_Parts,2,0))</f>
        <v/>
      </c>
      <c r="BD211" s="24" t="str">
        <f t="shared" si="64"/>
        <v/>
      </c>
      <c r="BE211" s="24">
        <f t="shared" si="65"/>
        <v>0</v>
      </c>
      <c r="BF211" s="72">
        <f>TableCosts[[#This Row],[N_Amount]]*TableCosts[[#This Row],[N_Tariff]]*TableCosts[[#This Row],[N_ItemsCount]]</f>
        <v>0</v>
      </c>
      <c r="BG211" s="72">
        <f>IF(G211=1,IF(TableCosts[[#This Row],[N_Kateg]]="interné práce",TableCosts[[#This Row],[N_Amount]]*8*PAR_SGA_PERHOUR,0),0)</f>
        <v>0</v>
      </c>
      <c r="BH211" s="72">
        <f>SUM(TableCosts[[#This Row],[N_Direct]:[N_SGA]])</f>
        <v>0</v>
      </c>
      <c r="BI211" s="24">
        <f>IF(G211=1,IF(OR(AND(NOT(ISERROR(VLOOKUP(TableCosts[[#This Row],[Calc_N_Typ]],Cis_WorkPositions,1,0))),C211&lt;&gt;"",D211&lt;&gt;"",E211&lt;&gt;""),AND(ISERROR(VLOOKUP(TableCosts[[#This Row],[Calc_N_Typ]],Cis_WorkPositions,1,0)),C211="",D211="",E211&lt;&gt;""),LEFT(TableCosts[[#This Row],[Calc_N_Typ]],18)="Vynaložené náklady"),VLOOKUP(C211&amp;TableCosts[[#This Row],[Calc_N_Typ]],TRAN_STRITEMS_LABEL,VLOOKUP(D211,Tab_Hours,3,0),0),NA()),0)</f>
        <v>0</v>
      </c>
      <c r="BJ211" s="24">
        <f t="shared" si="66"/>
        <v>0</v>
      </c>
      <c r="BK211" s="24" t="str">
        <f t="shared" si="67"/>
        <v/>
      </c>
      <c r="BL211" s="24" t="str">
        <f t="shared" si="68"/>
        <v/>
      </c>
      <c r="BM211" s="24" t="str">
        <f>IF(G211=1,IF(TableCosts[[#This Row],[TransferFrom]]=TableCosts[[#This Row],[TranferTo]],0,1),"")</f>
        <v/>
      </c>
      <c r="BN211" s="24" t="str">
        <f t="shared" si="69"/>
        <v/>
      </c>
      <c r="BO211" s="24">
        <f t="shared" si="70"/>
        <v>0</v>
      </c>
      <c r="BP211" s="24">
        <f t="shared" si="71"/>
        <v>0</v>
      </c>
    </row>
    <row r="212" spans="2:68" s="24" customFormat="1" ht="12.75" x14ac:dyDescent="0.2">
      <c r="B212" s="97"/>
      <c r="C212" s="92"/>
      <c r="D212" s="92"/>
      <c r="E212" s="92"/>
      <c r="F212" s="31" t="str">
        <f>IF(G212=1,IF(ISERROR(TableCosts[[#This Row],[N_Tariff]]),Err_Message1,IF(TableCosts[[#This Row],[N_Tariff]]=0,Err_Message2,VLOOKUP(C212&amp;TableCosts[[#This Row],[Calc_N_Typ]],TRAN_STRITEMS_LABEL,5,FALSE))),"")</f>
        <v/>
      </c>
      <c r="G212" s="31">
        <f t="shared" si="60"/>
        <v>0</v>
      </c>
      <c r="H212" s="31" t="str">
        <f>IF(G212=1,IFERROR(VLOOKUP(F212,Tab_ErrMessage[],2,0),VLOOKUP(C212&amp;TableCosts[[#This Row],[Calc_N_Typ]],TRAN_STRITEMS_LABEL,4,FALSE)),"")</f>
        <v/>
      </c>
      <c r="I212" s="94"/>
      <c r="J212" s="94"/>
      <c r="K212" s="94"/>
      <c r="L212" s="84"/>
      <c r="M212" s="84"/>
      <c r="N212" s="84"/>
      <c r="O212" s="84"/>
      <c r="P212" s="84"/>
      <c r="Q212" s="84"/>
      <c r="R212" s="84"/>
      <c r="S212" s="84"/>
      <c r="T212" s="84"/>
      <c r="U212" s="84"/>
      <c r="V212" s="84"/>
      <c r="W212" s="84"/>
      <c r="X212" s="84"/>
      <c r="Y212" s="84"/>
      <c r="Z212" s="84"/>
      <c r="AA212" s="84"/>
      <c r="AB212" s="84"/>
      <c r="AC212" s="84"/>
      <c r="AD212" s="84"/>
      <c r="AE212" s="84"/>
      <c r="AF212" s="84"/>
      <c r="AG212" s="84"/>
      <c r="AH212" s="84"/>
      <c r="AI212" s="84"/>
      <c r="AJ212" s="84"/>
      <c r="AK212" s="84"/>
      <c r="AL212" s="84"/>
      <c r="AM212" s="84"/>
      <c r="AN212" s="84"/>
      <c r="AO212" s="84"/>
      <c r="AP212" s="84"/>
      <c r="AQ212" s="84"/>
      <c r="AR212" s="84"/>
      <c r="AS212" s="84"/>
      <c r="AT212" s="84"/>
      <c r="AU212" s="84"/>
      <c r="AV212" s="84"/>
      <c r="AW212" s="84"/>
      <c r="AX212" s="87">
        <f t="array" ref="AX212">IF(G212=1,SUM((ROW(M0)=ROW(AW212))*(M0+M1_+M2_+M3_+M4_+M5_+M6_+M7_+M8_+M9_+M10_+M11_+M12_+M13_+M14_+M15_+M16_+M17_+M18_+M19_+M20_+M21_+M22_+M23_+M24_+M25_+M26_+M27_+M28_+M29_+M30_+M31_+M32_+M33_+M34_+M35_+M36_+M37_)),0)</f>
        <v>0</v>
      </c>
      <c r="AZ212" s="24" t="str">
        <f t="shared" si="61"/>
        <v/>
      </c>
      <c r="BA212" s="24" t="str">
        <f t="shared" si="62"/>
        <v/>
      </c>
      <c r="BB212" s="24" t="str">
        <f t="shared" si="63"/>
        <v/>
      </c>
      <c r="BC212" s="24" t="str">
        <f>IF(OR(E212="",LEFT(TableCosts[[#This Row],[Calc_N_Typ]],18)="Vynaložené náklady"),"",VLOOKUP(E212,Tab_Parts,2,0))</f>
        <v/>
      </c>
      <c r="BD212" s="24" t="str">
        <f t="shared" si="64"/>
        <v/>
      </c>
      <c r="BE212" s="24">
        <f t="shared" si="65"/>
        <v>0</v>
      </c>
      <c r="BF212" s="72">
        <f>TableCosts[[#This Row],[N_Amount]]*TableCosts[[#This Row],[N_Tariff]]*TableCosts[[#This Row],[N_ItemsCount]]</f>
        <v>0</v>
      </c>
      <c r="BG212" s="72">
        <f>IF(G212=1,IF(TableCosts[[#This Row],[N_Kateg]]="interné práce",TableCosts[[#This Row],[N_Amount]]*8*PAR_SGA_PERHOUR,0),0)</f>
        <v>0</v>
      </c>
      <c r="BH212" s="72">
        <f>SUM(TableCosts[[#This Row],[N_Direct]:[N_SGA]])</f>
        <v>0</v>
      </c>
      <c r="BI212" s="24">
        <f>IF(G212=1,IF(OR(AND(NOT(ISERROR(VLOOKUP(TableCosts[[#This Row],[Calc_N_Typ]],Cis_WorkPositions,1,0))),C212&lt;&gt;"",D212&lt;&gt;"",E212&lt;&gt;""),AND(ISERROR(VLOOKUP(TableCosts[[#This Row],[Calc_N_Typ]],Cis_WorkPositions,1,0)),C212="",D212="",E212&lt;&gt;""),LEFT(TableCosts[[#This Row],[Calc_N_Typ]],18)="Vynaložené náklady"),VLOOKUP(C212&amp;TableCosts[[#This Row],[Calc_N_Typ]],TRAN_STRITEMS_LABEL,VLOOKUP(D212,Tab_Hours,3,0),0),NA()),0)</f>
        <v>0</v>
      </c>
      <c r="BJ212" s="24">
        <f t="shared" si="66"/>
        <v>0</v>
      </c>
      <c r="BK212" s="24" t="str">
        <f t="shared" si="67"/>
        <v/>
      </c>
      <c r="BL212" s="24" t="str">
        <f t="shared" si="68"/>
        <v/>
      </c>
      <c r="BM212" s="24" t="str">
        <f>IF(G212=1,IF(TableCosts[[#This Row],[TransferFrom]]=TableCosts[[#This Row],[TranferTo]],0,1),"")</f>
        <v/>
      </c>
      <c r="BN212" s="24" t="str">
        <f t="shared" si="69"/>
        <v/>
      </c>
      <c r="BO212" s="24">
        <f t="shared" si="70"/>
        <v>0</v>
      </c>
      <c r="BP212" s="24">
        <f t="shared" si="71"/>
        <v>0</v>
      </c>
    </row>
    <row r="213" spans="2:68" s="24" customFormat="1" ht="12.75" x14ac:dyDescent="0.2">
      <c r="B213" s="97"/>
      <c r="C213" s="92"/>
      <c r="D213" s="92"/>
      <c r="E213" s="92"/>
      <c r="F213" s="31" t="str">
        <f>IF(G213=1,IF(ISERROR(TableCosts[[#This Row],[N_Tariff]]),Err_Message1,IF(TableCosts[[#This Row],[N_Tariff]]=0,Err_Message2,VLOOKUP(C213&amp;TableCosts[[#This Row],[Calc_N_Typ]],TRAN_STRITEMS_LABEL,5,FALSE))),"")</f>
        <v/>
      </c>
      <c r="G213" s="31">
        <f t="shared" si="60"/>
        <v>0</v>
      </c>
      <c r="H213" s="31" t="str">
        <f>IF(G213=1,IFERROR(VLOOKUP(F213,Tab_ErrMessage[],2,0),VLOOKUP(C213&amp;TableCosts[[#This Row],[Calc_N_Typ]],TRAN_STRITEMS_LABEL,4,FALSE)),"")</f>
        <v/>
      </c>
      <c r="I213" s="94"/>
      <c r="J213" s="94"/>
      <c r="K213" s="94"/>
      <c r="L213" s="84"/>
      <c r="M213" s="84"/>
      <c r="N213" s="84"/>
      <c r="O213" s="84"/>
      <c r="P213" s="84"/>
      <c r="Q213" s="84"/>
      <c r="R213" s="84"/>
      <c r="S213" s="84"/>
      <c r="T213" s="84"/>
      <c r="U213" s="84"/>
      <c r="V213" s="84"/>
      <c r="W213" s="84"/>
      <c r="X213" s="84"/>
      <c r="Y213" s="84"/>
      <c r="Z213" s="84"/>
      <c r="AA213" s="84"/>
      <c r="AB213" s="84"/>
      <c r="AC213" s="84"/>
      <c r="AD213" s="84"/>
      <c r="AE213" s="84"/>
      <c r="AF213" s="84"/>
      <c r="AG213" s="84"/>
      <c r="AH213" s="84"/>
      <c r="AI213" s="84"/>
      <c r="AJ213" s="84"/>
      <c r="AK213" s="84"/>
      <c r="AL213" s="84"/>
      <c r="AM213" s="84"/>
      <c r="AN213" s="84"/>
      <c r="AO213" s="84"/>
      <c r="AP213" s="84"/>
      <c r="AQ213" s="84"/>
      <c r="AR213" s="84"/>
      <c r="AS213" s="84"/>
      <c r="AT213" s="84"/>
      <c r="AU213" s="84"/>
      <c r="AV213" s="84"/>
      <c r="AW213" s="84"/>
      <c r="AX213" s="87">
        <f t="array" ref="AX213">IF(G213=1,SUM((ROW(M0)=ROW(AW213))*(M0+M1_+M2_+M3_+M4_+M5_+M6_+M7_+M8_+M9_+M10_+M11_+M12_+M13_+M14_+M15_+M16_+M17_+M18_+M19_+M20_+M21_+M22_+M23_+M24_+M25_+M26_+M27_+M28_+M29_+M30_+M31_+M32_+M33_+M34_+M35_+M36_+M37_)),0)</f>
        <v>0</v>
      </c>
      <c r="AZ213" s="24" t="str">
        <f t="shared" si="61"/>
        <v/>
      </c>
      <c r="BA213" s="24" t="str">
        <f t="shared" si="62"/>
        <v/>
      </c>
      <c r="BB213" s="24" t="str">
        <f t="shared" si="63"/>
        <v/>
      </c>
      <c r="BC213" s="24" t="str">
        <f>IF(OR(E213="",LEFT(TableCosts[[#This Row],[Calc_N_Typ]],18)="Vynaložené náklady"),"",VLOOKUP(E213,Tab_Parts,2,0))</f>
        <v/>
      </c>
      <c r="BD213" s="24" t="str">
        <f t="shared" si="64"/>
        <v/>
      </c>
      <c r="BE213" s="24">
        <f t="shared" si="65"/>
        <v>0</v>
      </c>
      <c r="BF213" s="72">
        <f>TableCosts[[#This Row],[N_Amount]]*TableCosts[[#This Row],[N_Tariff]]*TableCosts[[#This Row],[N_ItemsCount]]</f>
        <v>0</v>
      </c>
      <c r="BG213" s="72">
        <f>IF(G213=1,IF(TableCosts[[#This Row],[N_Kateg]]="interné práce",TableCosts[[#This Row],[N_Amount]]*8*PAR_SGA_PERHOUR,0),0)</f>
        <v>0</v>
      </c>
      <c r="BH213" s="72">
        <f>SUM(TableCosts[[#This Row],[N_Direct]:[N_SGA]])</f>
        <v>0</v>
      </c>
      <c r="BI213" s="24">
        <f>IF(G213=1,IF(OR(AND(NOT(ISERROR(VLOOKUP(TableCosts[[#This Row],[Calc_N_Typ]],Cis_WorkPositions,1,0))),C213&lt;&gt;"",D213&lt;&gt;"",E213&lt;&gt;""),AND(ISERROR(VLOOKUP(TableCosts[[#This Row],[Calc_N_Typ]],Cis_WorkPositions,1,0)),C213="",D213="",E213&lt;&gt;""),LEFT(TableCosts[[#This Row],[Calc_N_Typ]],18)="Vynaložené náklady"),VLOOKUP(C213&amp;TableCosts[[#This Row],[Calc_N_Typ]],TRAN_STRITEMS_LABEL,VLOOKUP(D213,Tab_Hours,3,0),0),NA()),0)</f>
        <v>0</v>
      </c>
      <c r="BJ213" s="24">
        <f t="shared" si="66"/>
        <v>0</v>
      </c>
      <c r="BK213" s="24" t="str">
        <f t="shared" si="67"/>
        <v/>
      </c>
      <c r="BL213" s="24" t="str">
        <f t="shared" si="68"/>
        <v/>
      </c>
      <c r="BM213" s="24" t="str">
        <f>IF(G213=1,IF(TableCosts[[#This Row],[TransferFrom]]=TableCosts[[#This Row],[TranferTo]],0,1),"")</f>
        <v/>
      </c>
      <c r="BN213" s="24" t="str">
        <f t="shared" si="69"/>
        <v/>
      </c>
      <c r="BO213" s="24">
        <f t="shared" si="70"/>
        <v>0</v>
      </c>
      <c r="BP213" s="24">
        <f t="shared" si="71"/>
        <v>0</v>
      </c>
    </row>
    <row r="214" spans="2:68" s="24" customFormat="1" ht="12.75" x14ac:dyDescent="0.2">
      <c r="B214" s="97"/>
      <c r="C214" s="92"/>
      <c r="D214" s="92"/>
      <c r="E214" s="92"/>
      <c r="F214" s="31" t="str">
        <f>IF(G214=1,IF(ISERROR(TableCosts[[#This Row],[N_Tariff]]),Err_Message1,IF(TableCosts[[#This Row],[N_Tariff]]=0,Err_Message2,VLOOKUP(C214&amp;TableCosts[[#This Row],[Calc_N_Typ]],TRAN_STRITEMS_LABEL,5,FALSE))),"")</f>
        <v/>
      </c>
      <c r="G214" s="31">
        <f t="shared" si="60"/>
        <v>0</v>
      </c>
      <c r="H214" s="31" t="str">
        <f>IF(G214=1,IFERROR(VLOOKUP(F214,Tab_ErrMessage[],2,0),VLOOKUP(C214&amp;TableCosts[[#This Row],[Calc_N_Typ]],TRAN_STRITEMS_LABEL,4,FALSE)),"")</f>
        <v/>
      </c>
      <c r="I214" s="94"/>
      <c r="J214" s="94"/>
      <c r="K214" s="94"/>
      <c r="L214" s="84"/>
      <c r="M214" s="84"/>
      <c r="N214" s="84"/>
      <c r="O214" s="84"/>
      <c r="P214" s="84"/>
      <c r="Q214" s="84"/>
      <c r="R214" s="84"/>
      <c r="S214" s="84"/>
      <c r="T214" s="84"/>
      <c r="U214" s="84"/>
      <c r="V214" s="84"/>
      <c r="W214" s="84"/>
      <c r="X214" s="84"/>
      <c r="Y214" s="84"/>
      <c r="Z214" s="84"/>
      <c r="AA214" s="84"/>
      <c r="AB214" s="84"/>
      <c r="AC214" s="84"/>
      <c r="AD214" s="84"/>
      <c r="AE214" s="84"/>
      <c r="AF214" s="84"/>
      <c r="AG214" s="84"/>
      <c r="AH214" s="84"/>
      <c r="AI214" s="84"/>
      <c r="AJ214" s="84"/>
      <c r="AK214" s="84"/>
      <c r="AL214" s="84"/>
      <c r="AM214" s="84"/>
      <c r="AN214" s="84"/>
      <c r="AO214" s="84"/>
      <c r="AP214" s="84"/>
      <c r="AQ214" s="84"/>
      <c r="AR214" s="84"/>
      <c r="AS214" s="84"/>
      <c r="AT214" s="84"/>
      <c r="AU214" s="84"/>
      <c r="AV214" s="84"/>
      <c r="AW214" s="84"/>
      <c r="AX214" s="87">
        <f t="array" ref="AX214">IF(G214=1,SUM((ROW(M0)=ROW(AW214))*(M0+M1_+M2_+M3_+M4_+M5_+M6_+M7_+M8_+M9_+M10_+M11_+M12_+M13_+M14_+M15_+M16_+M17_+M18_+M19_+M20_+M21_+M22_+M23_+M24_+M25_+M26_+M27_+M28_+M29_+M30_+M31_+M32_+M33_+M34_+M35_+M36_+M37_)),0)</f>
        <v>0</v>
      </c>
      <c r="AZ214" s="24" t="str">
        <f t="shared" si="61"/>
        <v/>
      </c>
      <c r="BA214" s="24" t="str">
        <f t="shared" si="62"/>
        <v/>
      </c>
      <c r="BB214" s="24" t="str">
        <f t="shared" si="63"/>
        <v/>
      </c>
      <c r="BC214" s="24" t="str">
        <f>IF(OR(E214="",LEFT(TableCosts[[#This Row],[Calc_N_Typ]],18)="Vynaložené náklady"),"",VLOOKUP(E214,Tab_Parts,2,0))</f>
        <v/>
      </c>
      <c r="BD214" s="24" t="str">
        <f t="shared" si="64"/>
        <v/>
      </c>
      <c r="BE214" s="24">
        <f t="shared" si="65"/>
        <v>0</v>
      </c>
      <c r="BF214" s="72">
        <f>TableCosts[[#This Row],[N_Amount]]*TableCosts[[#This Row],[N_Tariff]]*TableCosts[[#This Row],[N_ItemsCount]]</f>
        <v>0</v>
      </c>
      <c r="BG214" s="72">
        <f>IF(G214=1,IF(TableCosts[[#This Row],[N_Kateg]]="interné práce",TableCosts[[#This Row],[N_Amount]]*8*PAR_SGA_PERHOUR,0),0)</f>
        <v>0</v>
      </c>
      <c r="BH214" s="72">
        <f>SUM(TableCosts[[#This Row],[N_Direct]:[N_SGA]])</f>
        <v>0</v>
      </c>
      <c r="BI214" s="24">
        <f>IF(G214=1,IF(OR(AND(NOT(ISERROR(VLOOKUP(TableCosts[[#This Row],[Calc_N_Typ]],Cis_WorkPositions,1,0))),C214&lt;&gt;"",D214&lt;&gt;"",E214&lt;&gt;""),AND(ISERROR(VLOOKUP(TableCosts[[#This Row],[Calc_N_Typ]],Cis_WorkPositions,1,0)),C214="",D214="",E214&lt;&gt;""),LEFT(TableCosts[[#This Row],[Calc_N_Typ]],18)="Vynaložené náklady"),VLOOKUP(C214&amp;TableCosts[[#This Row],[Calc_N_Typ]],TRAN_STRITEMS_LABEL,VLOOKUP(D214,Tab_Hours,3,0),0),NA()),0)</f>
        <v>0</v>
      </c>
      <c r="BJ214" s="24">
        <f t="shared" si="66"/>
        <v>0</v>
      </c>
      <c r="BK214" s="24" t="str">
        <f t="shared" si="67"/>
        <v/>
      </c>
      <c r="BL214" s="24" t="str">
        <f t="shared" si="68"/>
        <v/>
      </c>
      <c r="BM214" s="24" t="str">
        <f>IF(G214=1,IF(TableCosts[[#This Row],[TransferFrom]]=TableCosts[[#This Row],[TranferTo]],0,1),"")</f>
        <v/>
      </c>
      <c r="BN214" s="24" t="str">
        <f t="shared" si="69"/>
        <v/>
      </c>
      <c r="BO214" s="24">
        <f t="shared" si="70"/>
        <v>0</v>
      </c>
      <c r="BP214" s="24">
        <f t="shared" si="71"/>
        <v>0</v>
      </c>
    </row>
    <row r="215" spans="2:68" s="24" customFormat="1" ht="12.75" x14ac:dyDescent="0.2">
      <c r="B215" s="97"/>
      <c r="C215" s="92"/>
      <c r="D215" s="92"/>
      <c r="E215" s="92"/>
      <c r="F215" s="31" t="str">
        <f>IF(G215=1,IF(ISERROR(TableCosts[[#This Row],[N_Tariff]]),Err_Message1,IF(TableCosts[[#This Row],[N_Tariff]]=0,Err_Message2,VLOOKUP(C215&amp;TableCosts[[#This Row],[Calc_N_Typ]],TRAN_STRITEMS_LABEL,5,FALSE))),"")</f>
        <v/>
      </c>
      <c r="G215" s="31">
        <f t="shared" si="60"/>
        <v>0</v>
      </c>
      <c r="H215" s="31" t="str">
        <f>IF(G215=1,IFERROR(VLOOKUP(F215,Tab_ErrMessage[],2,0),VLOOKUP(C215&amp;TableCosts[[#This Row],[Calc_N_Typ]],TRAN_STRITEMS_LABEL,4,FALSE)),"")</f>
        <v/>
      </c>
      <c r="I215" s="94"/>
      <c r="J215" s="94"/>
      <c r="K215" s="94"/>
      <c r="L215" s="84"/>
      <c r="M215" s="84"/>
      <c r="N215" s="84"/>
      <c r="O215" s="84"/>
      <c r="P215" s="84"/>
      <c r="Q215" s="84"/>
      <c r="R215" s="84"/>
      <c r="S215" s="84"/>
      <c r="T215" s="84"/>
      <c r="U215" s="84"/>
      <c r="V215" s="84"/>
      <c r="W215" s="84"/>
      <c r="X215" s="84"/>
      <c r="Y215" s="84"/>
      <c r="Z215" s="84"/>
      <c r="AA215" s="84"/>
      <c r="AB215" s="84"/>
      <c r="AC215" s="84"/>
      <c r="AD215" s="84"/>
      <c r="AE215" s="84"/>
      <c r="AF215" s="84"/>
      <c r="AG215" s="84"/>
      <c r="AH215" s="84"/>
      <c r="AI215" s="84"/>
      <c r="AJ215" s="84"/>
      <c r="AK215" s="84"/>
      <c r="AL215" s="84"/>
      <c r="AM215" s="84"/>
      <c r="AN215" s="84"/>
      <c r="AO215" s="84"/>
      <c r="AP215" s="84"/>
      <c r="AQ215" s="84"/>
      <c r="AR215" s="84"/>
      <c r="AS215" s="84"/>
      <c r="AT215" s="84"/>
      <c r="AU215" s="84"/>
      <c r="AV215" s="84"/>
      <c r="AW215" s="84"/>
      <c r="AX215" s="87">
        <f t="array" ref="AX215">IF(G215=1,SUM((ROW(M0)=ROW(AW215))*(M0+M1_+M2_+M3_+M4_+M5_+M6_+M7_+M8_+M9_+M10_+M11_+M12_+M13_+M14_+M15_+M16_+M17_+M18_+M19_+M20_+M21_+M22_+M23_+M24_+M25_+M26_+M27_+M28_+M29_+M30_+M31_+M32_+M33_+M34_+M35_+M36_+M37_)),0)</f>
        <v>0</v>
      </c>
      <c r="AZ215" s="24" t="str">
        <f t="shared" si="61"/>
        <v/>
      </c>
      <c r="BA215" s="24" t="str">
        <f t="shared" si="62"/>
        <v/>
      </c>
      <c r="BB215" s="24" t="str">
        <f t="shared" si="63"/>
        <v/>
      </c>
      <c r="BC215" s="24" t="str">
        <f>IF(OR(E215="",LEFT(TableCosts[[#This Row],[Calc_N_Typ]],18)="Vynaložené náklady"),"",VLOOKUP(E215,Tab_Parts,2,0))</f>
        <v/>
      </c>
      <c r="BD215" s="24" t="str">
        <f t="shared" si="64"/>
        <v/>
      </c>
      <c r="BE215" s="24">
        <f t="shared" si="65"/>
        <v>0</v>
      </c>
      <c r="BF215" s="72">
        <f>TableCosts[[#This Row],[N_Amount]]*TableCosts[[#This Row],[N_Tariff]]*TableCosts[[#This Row],[N_ItemsCount]]</f>
        <v>0</v>
      </c>
      <c r="BG215" s="72">
        <f>IF(G215=1,IF(TableCosts[[#This Row],[N_Kateg]]="interné práce",TableCosts[[#This Row],[N_Amount]]*8*PAR_SGA_PERHOUR,0),0)</f>
        <v>0</v>
      </c>
      <c r="BH215" s="72">
        <f>SUM(TableCosts[[#This Row],[N_Direct]:[N_SGA]])</f>
        <v>0</v>
      </c>
      <c r="BI215" s="24">
        <f>IF(G215=1,IF(OR(AND(NOT(ISERROR(VLOOKUP(TableCosts[[#This Row],[Calc_N_Typ]],Cis_WorkPositions,1,0))),C215&lt;&gt;"",D215&lt;&gt;"",E215&lt;&gt;""),AND(ISERROR(VLOOKUP(TableCosts[[#This Row],[Calc_N_Typ]],Cis_WorkPositions,1,0)),C215="",D215="",E215&lt;&gt;""),LEFT(TableCosts[[#This Row],[Calc_N_Typ]],18)="Vynaložené náklady"),VLOOKUP(C215&amp;TableCosts[[#This Row],[Calc_N_Typ]],TRAN_STRITEMS_LABEL,VLOOKUP(D215,Tab_Hours,3,0),0),NA()),0)</f>
        <v>0</v>
      </c>
      <c r="BJ215" s="24">
        <f t="shared" si="66"/>
        <v>0</v>
      </c>
      <c r="BK215" s="24" t="str">
        <f t="shared" si="67"/>
        <v/>
      </c>
      <c r="BL215" s="24" t="str">
        <f t="shared" si="68"/>
        <v/>
      </c>
      <c r="BM215" s="24" t="str">
        <f>IF(G215=1,IF(TableCosts[[#This Row],[TransferFrom]]=TableCosts[[#This Row],[TranferTo]],0,1),"")</f>
        <v/>
      </c>
      <c r="BN215" s="24" t="str">
        <f t="shared" si="69"/>
        <v/>
      </c>
      <c r="BO215" s="24">
        <f t="shared" si="70"/>
        <v>0</v>
      </c>
      <c r="BP215" s="24">
        <f t="shared" si="71"/>
        <v>0</v>
      </c>
    </row>
    <row r="216" spans="2:68" s="24" customFormat="1" ht="12.75" x14ac:dyDescent="0.2">
      <c r="B216" s="97"/>
      <c r="C216" s="92"/>
      <c r="D216" s="92"/>
      <c r="E216" s="92"/>
      <c r="F216" s="31" t="str">
        <f>IF(G216=1,IF(ISERROR(TableCosts[[#This Row],[N_Tariff]]),Err_Message1,IF(TableCosts[[#This Row],[N_Tariff]]=0,Err_Message2,VLOOKUP(C216&amp;TableCosts[[#This Row],[Calc_N_Typ]],TRAN_STRITEMS_LABEL,5,FALSE))),"")</f>
        <v/>
      </c>
      <c r="G216" s="31">
        <f t="shared" si="60"/>
        <v>0</v>
      </c>
      <c r="H216" s="31" t="str">
        <f>IF(G216=1,IFERROR(VLOOKUP(F216,Tab_ErrMessage[],2,0),VLOOKUP(C216&amp;TableCosts[[#This Row],[Calc_N_Typ]],TRAN_STRITEMS_LABEL,4,FALSE)),"")</f>
        <v/>
      </c>
      <c r="I216" s="94"/>
      <c r="J216" s="94"/>
      <c r="K216" s="94"/>
      <c r="L216" s="84"/>
      <c r="M216" s="84"/>
      <c r="N216" s="84"/>
      <c r="O216" s="84"/>
      <c r="P216" s="84"/>
      <c r="Q216" s="84"/>
      <c r="R216" s="84"/>
      <c r="S216" s="84"/>
      <c r="T216" s="84"/>
      <c r="U216" s="84"/>
      <c r="V216" s="84"/>
      <c r="W216" s="84"/>
      <c r="X216" s="84"/>
      <c r="Y216" s="84"/>
      <c r="Z216" s="84"/>
      <c r="AA216" s="84"/>
      <c r="AB216" s="84"/>
      <c r="AC216" s="84"/>
      <c r="AD216" s="84"/>
      <c r="AE216" s="84"/>
      <c r="AF216" s="84"/>
      <c r="AG216" s="84"/>
      <c r="AH216" s="84"/>
      <c r="AI216" s="84"/>
      <c r="AJ216" s="84"/>
      <c r="AK216" s="84"/>
      <c r="AL216" s="84"/>
      <c r="AM216" s="84"/>
      <c r="AN216" s="84"/>
      <c r="AO216" s="84"/>
      <c r="AP216" s="84"/>
      <c r="AQ216" s="84"/>
      <c r="AR216" s="84"/>
      <c r="AS216" s="84"/>
      <c r="AT216" s="84"/>
      <c r="AU216" s="84"/>
      <c r="AV216" s="84"/>
      <c r="AW216" s="84"/>
      <c r="AX216" s="87">
        <f t="array" ref="AX216">IF(G216=1,SUM((ROW(M0)=ROW(AW216))*(M0+M1_+M2_+M3_+M4_+M5_+M6_+M7_+M8_+M9_+M10_+M11_+M12_+M13_+M14_+M15_+M16_+M17_+M18_+M19_+M20_+M21_+M22_+M23_+M24_+M25_+M26_+M27_+M28_+M29_+M30_+M31_+M32_+M33_+M34_+M35_+M36_+M37_)),0)</f>
        <v>0</v>
      </c>
      <c r="AZ216" s="24" t="str">
        <f t="shared" si="61"/>
        <v/>
      </c>
      <c r="BA216" s="24" t="str">
        <f t="shared" si="62"/>
        <v/>
      </c>
      <c r="BB216" s="24" t="str">
        <f t="shared" si="63"/>
        <v/>
      </c>
      <c r="BC216" s="24" t="str">
        <f>IF(OR(E216="",LEFT(TableCosts[[#This Row],[Calc_N_Typ]],18)="Vynaložené náklady"),"",VLOOKUP(E216,Tab_Parts,2,0))</f>
        <v/>
      </c>
      <c r="BD216" s="24" t="str">
        <f t="shared" si="64"/>
        <v/>
      </c>
      <c r="BE216" s="24">
        <f t="shared" si="65"/>
        <v>0</v>
      </c>
      <c r="BF216" s="72">
        <f>TableCosts[[#This Row],[N_Amount]]*TableCosts[[#This Row],[N_Tariff]]*TableCosts[[#This Row],[N_ItemsCount]]</f>
        <v>0</v>
      </c>
      <c r="BG216" s="72">
        <f>IF(G216=1,IF(TableCosts[[#This Row],[N_Kateg]]="interné práce",TableCosts[[#This Row],[N_Amount]]*8*PAR_SGA_PERHOUR,0),0)</f>
        <v>0</v>
      </c>
      <c r="BH216" s="72">
        <f>SUM(TableCosts[[#This Row],[N_Direct]:[N_SGA]])</f>
        <v>0</v>
      </c>
      <c r="BI216" s="24">
        <f>IF(G216=1,IF(OR(AND(NOT(ISERROR(VLOOKUP(TableCosts[[#This Row],[Calc_N_Typ]],Cis_WorkPositions,1,0))),C216&lt;&gt;"",D216&lt;&gt;"",E216&lt;&gt;""),AND(ISERROR(VLOOKUP(TableCosts[[#This Row],[Calc_N_Typ]],Cis_WorkPositions,1,0)),C216="",D216="",E216&lt;&gt;""),LEFT(TableCosts[[#This Row],[Calc_N_Typ]],18)="Vynaložené náklady"),VLOOKUP(C216&amp;TableCosts[[#This Row],[Calc_N_Typ]],TRAN_STRITEMS_LABEL,VLOOKUP(D216,Tab_Hours,3,0),0),NA()),0)</f>
        <v>0</v>
      </c>
      <c r="BJ216" s="24">
        <f t="shared" si="66"/>
        <v>0</v>
      </c>
      <c r="BK216" s="24" t="str">
        <f t="shared" si="67"/>
        <v/>
      </c>
      <c r="BL216" s="24" t="str">
        <f t="shared" si="68"/>
        <v/>
      </c>
      <c r="BM216" s="24" t="str">
        <f>IF(G216=1,IF(TableCosts[[#This Row],[TransferFrom]]=TableCosts[[#This Row],[TranferTo]],0,1),"")</f>
        <v/>
      </c>
      <c r="BN216" s="24" t="str">
        <f t="shared" si="69"/>
        <v/>
      </c>
      <c r="BO216" s="24">
        <f t="shared" si="70"/>
        <v>0</v>
      </c>
      <c r="BP216" s="24">
        <f t="shared" si="71"/>
        <v>0</v>
      </c>
    </row>
    <row r="217" spans="2:68" s="24" customFormat="1" ht="12.75" x14ac:dyDescent="0.2">
      <c r="B217" s="97"/>
      <c r="C217" s="92"/>
      <c r="D217" s="92"/>
      <c r="E217" s="92"/>
      <c r="F217" s="31" t="str">
        <f>IF(G217=1,IF(ISERROR(TableCosts[[#This Row],[N_Tariff]]),Err_Message1,IF(TableCosts[[#This Row],[N_Tariff]]=0,Err_Message2,VLOOKUP(C217&amp;TableCosts[[#This Row],[Calc_N_Typ]],TRAN_STRITEMS_LABEL,5,FALSE))),"")</f>
        <v/>
      </c>
      <c r="G217" s="31">
        <f t="shared" si="60"/>
        <v>0</v>
      </c>
      <c r="H217" s="31" t="str">
        <f>IF(G217=1,IFERROR(VLOOKUP(F217,Tab_ErrMessage[],2,0),VLOOKUP(C217&amp;TableCosts[[#This Row],[Calc_N_Typ]],TRAN_STRITEMS_LABEL,4,FALSE)),"")</f>
        <v/>
      </c>
      <c r="I217" s="94"/>
      <c r="J217" s="94"/>
      <c r="K217" s="94"/>
      <c r="L217" s="84"/>
      <c r="M217" s="84"/>
      <c r="N217" s="84"/>
      <c r="O217" s="84"/>
      <c r="P217" s="84"/>
      <c r="Q217" s="84"/>
      <c r="R217" s="84"/>
      <c r="S217" s="84"/>
      <c r="T217" s="84"/>
      <c r="U217" s="84"/>
      <c r="V217" s="84"/>
      <c r="W217" s="84"/>
      <c r="X217" s="84"/>
      <c r="Y217" s="84"/>
      <c r="Z217" s="84"/>
      <c r="AA217" s="84"/>
      <c r="AB217" s="84"/>
      <c r="AC217" s="84"/>
      <c r="AD217" s="84"/>
      <c r="AE217" s="84"/>
      <c r="AF217" s="84"/>
      <c r="AG217" s="84"/>
      <c r="AH217" s="84"/>
      <c r="AI217" s="84"/>
      <c r="AJ217" s="84"/>
      <c r="AK217" s="84"/>
      <c r="AL217" s="84"/>
      <c r="AM217" s="84"/>
      <c r="AN217" s="84"/>
      <c r="AO217" s="84"/>
      <c r="AP217" s="84"/>
      <c r="AQ217" s="84"/>
      <c r="AR217" s="84"/>
      <c r="AS217" s="84"/>
      <c r="AT217" s="84"/>
      <c r="AU217" s="84"/>
      <c r="AV217" s="84"/>
      <c r="AW217" s="84"/>
      <c r="AX217" s="87">
        <f t="array" ref="AX217">IF(G217=1,SUM((ROW(M0)=ROW(AW217))*(M0+M1_+M2_+M3_+M4_+M5_+M6_+M7_+M8_+M9_+M10_+M11_+M12_+M13_+M14_+M15_+M16_+M17_+M18_+M19_+M20_+M21_+M22_+M23_+M24_+M25_+M26_+M27_+M28_+M29_+M30_+M31_+M32_+M33_+M34_+M35_+M36_+M37_)),0)</f>
        <v>0</v>
      </c>
      <c r="AZ217" s="24" t="str">
        <f t="shared" si="61"/>
        <v/>
      </c>
      <c r="BA217" s="24" t="str">
        <f t="shared" si="62"/>
        <v/>
      </c>
      <c r="BB217" s="24" t="str">
        <f t="shared" si="63"/>
        <v/>
      </c>
      <c r="BC217" s="24" t="str">
        <f>IF(OR(E217="",LEFT(TableCosts[[#This Row],[Calc_N_Typ]],18)="Vynaložené náklady"),"",VLOOKUP(E217,Tab_Parts,2,0))</f>
        <v/>
      </c>
      <c r="BD217" s="24" t="str">
        <f t="shared" si="64"/>
        <v/>
      </c>
      <c r="BE217" s="24">
        <f t="shared" si="65"/>
        <v>0</v>
      </c>
      <c r="BF217" s="72">
        <f>TableCosts[[#This Row],[N_Amount]]*TableCosts[[#This Row],[N_Tariff]]*TableCosts[[#This Row],[N_ItemsCount]]</f>
        <v>0</v>
      </c>
      <c r="BG217" s="72">
        <f>IF(G217=1,IF(TableCosts[[#This Row],[N_Kateg]]="interné práce",TableCosts[[#This Row],[N_Amount]]*8*PAR_SGA_PERHOUR,0),0)</f>
        <v>0</v>
      </c>
      <c r="BH217" s="72">
        <f>SUM(TableCosts[[#This Row],[N_Direct]:[N_SGA]])</f>
        <v>0</v>
      </c>
      <c r="BI217" s="24">
        <f>IF(G217=1,IF(OR(AND(NOT(ISERROR(VLOOKUP(TableCosts[[#This Row],[Calc_N_Typ]],Cis_WorkPositions,1,0))),C217&lt;&gt;"",D217&lt;&gt;"",E217&lt;&gt;""),AND(ISERROR(VLOOKUP(TableCosts[[#This Row],[Calc_N_Typ]],Cis_WorkPositions,1,0)),C217="",D217="",E217&lt;&gt;""),LEFT(TableCosts[[#This Row],[Calc_N_Typ]],18)="Vynaložené náklady"),VLOOKUP(C217&amp;TableCosts[[#This Row],[Calc_N_Typ]],TRAN_STRITEMS_LABEL,VLOOKUP(D217,Tab_Hours,3,0),0),NA()),0)</f>
        <v>0</v>
      </c>
      <c r="BJ217" s="24">
        <f t="shared" si="66"/>
        <v>0</v>
      </c>
      <c r="BK217" s="24" t="str">
        <f t="shared" si="67"/>
        <v/>
      </c>
      <c r="BL217" s="24" t="str">
        <f t="shared" si="68"/>
        <v/>
      </c>
      <c r="BM217" s="24" t="str">
        <f>IF(G217=1,IF(TableCosts[[#This Row],[TransferFrom]]=TableCosts[[#This Row],[TranferTo]],0,1),"")</f>
        <v/>
      </c>
      <c r="BN217" s="24" t="str">
        <f t="shared" si="69"/>
        <v/>
      </c>
      <c r="BO217" s="24">
        <f t="shared" si="70"/>
        <v>0</v>
      </c>
      <c r="BP217" s="24">
        <f t="shared" si="71"/>
        <v>0</v>
      </c>
    </row>
    <row r="218" spans="2:68" s="24" customFormat="1" ht="12.75" x14ac:dyDescent="0.2">
      <c r="B218" s="97"/>
      <c r="C218" s="92"/>
      <c r="D218" s="92"/>
      <c r="E218" s="92"/>
      <c r="F218" s="31" t="str">
        <f>IF(G218=1,IF(ISERROR(TableCosts[[#This Row],[N_Tariff]]),Err_Message1,IF(TableCosts[[#This Row],[N_Tariff]]=0,Err_Message2,VLOOKUP(C218&amp;TableCosts[[#This Row],[Calc_N_Typ]],TRAN_STRITEMS_LABEL,5,FALSE))),"")</f>
        <v/>
      </c>
      <c r="G218" s="31">
        <f t="shared" si="60"/>
        <v>0</v>
      </c>
      <c r="H218" s="31" t="str">
        <f>IF(G218=1,IFERROR(VLOOKUP(F218,Tab_ErrMessage[],2,0),VLOOKUP(C218&amp;TableCosts[[#This Row],[Calc_N_Typ]],TRAN_STRITEMS_LABEL,4,FALSE)),"")</f>
        <v/>
      </c>
      <c r="I218" s="94"/>
      <c r="J218" s="94"/>
      <c r="K218" s="94"/>
      <c r="L218" s="84"/>
      <c r="M218" s="84"/>
      <c r="N218" s="84"/>
      <c r="O218" s="84"/>
      <c r="P218" s="84"/>
      <c r="Q218" s="84"/>
      <c r="R218" s="84"/>
      <c r="S218" s="84"/>
      <c r="T218" s="84"/>
      <c r="U218" s="84"/>
      <c r="V218" s="84"/>
      <c r="W218" s="84"/>
      <c r="X218" s="84"/>
      <c r="Y218" s="84"/>
      <c r="Z218" s="84"/>
      <c r="AA218" s="84"/>
      <c r="AB218" s="84"/>
      <c r="AC218" s="84"/>
      <c r="AD218" s="84"/>
      <c r="AE218" s="84"/>
      <c r="AF218" s="84"/>
      <c r="AG218" s="84"/>
      <c r="AH218" s="84"/>
      <c r="AI218" s="84"/>
      <c r="AJ218" s="84"/>
      <c r="AK218" s="84"/>
      <c r="AL218" s="84"/>
      <c r="AM218" s="84"/>
      <c r="AN218" s="84"/>
      <c r="AO218" s="84"/>
      <c r="AP218" s="84"/>
      <c r="AQ218" s="84"/>
      <c r="AR218" s="84"/>
      <c r="AS218" s="84"/>
      <c r="AT218" s="84"/>
      <c r="AU218" s="84"/>
      <c r="AV218" s="84"/>
      <c r="AW218" s="84"/>
      <c r="AX218" s="87">
        <f t="array" ref="AX218">IF(G218=1,SUM((ROW(M0)=ROW(AW218))*(M0+M1_+M2_+M3_+M4_+M5_+M6_+M7_+M8_+M9_+M10_+M11_+M12_+M13_+M14_+M15_+M16_+M17_+M18_+M19_+M20_+M21_+M22_+M23_+M24_+M25_+M26_+M27_+M28_+M29_+M30_+M31_+M32_+M33_+M34_+M35_+M36_+M37_)),0)</f>
        <v>0</v>
      </c>
      <c r="AZ218" s="24" t="str">
        <f t="shared" si="61"/>
        <v/>
      </c>
      <c r="BA218" s="24" t="str">
        <f t="shared" si="62"/>
        <v/>
      </c>
      <c r="BB218" s="24" t="str">
        <f t="shared" si="63"/>
        <v/>
      </c>
      <c r="BC218" s="24" t="str">
        <f>IF(OR(E218="",LEFT(TableCosts[[#This Row],[Calc_N_Typ]],18)="Vynaložené náklady"),"",VLOOKUP(E218,Tab_Parts,2,0))</f>
        <v/>
      </c>
      <c r="BD218" s="24" t="str">
        <f t="shared" si="64"/>
        <v/>
      </c>
      <c r="BE218" s="24">
        <f t="shared" si="65"/>
        <v>0</v>
      </c>
      <c r="BF218" s="72">
        <f>TableCosts[[#This Row],[N_Amount]]*TableCosts[[#This Row],[N_Tariff]]*TableCosts[[#This Row],[N_ItemsCount]]</f>
        <v>0</v>
      </c>
      <c r="BG218" s="72">
        <f>IF(G218=1,IF(TableCosts[[#This Row],[N_Kateg]]="interné práce",TableCosts[[#This Row],[N_Amount]]*8*PAR_SGA_PERHOUR,0),0)</f>
        <v>0</v>
      </c>
      <c r="BH218" s="72">
        <f>SUM(TableCosts[[#This Row],[N_Direct]:[N_SGA]])</f>
        <v>0</v>
      </c>
      <c r="BI218" s="24">
        <f>IF(G218=1,IF(OR(AND(NOT(ISERROR(VLOOKUP(TableCosts[[#This Row],[Calc_N_Typ]],Cis_WorkPositions,1,0))),C218&lt;&gt;"",D218&lt;&gt;"",E218&lt;&gt;""),AND(ISERROR(VLOOKUP(TableCosts[[#This Row],[Calc_N_Typ]],Cis_WorkPositions,1,0)),C218="",D218="",E218&lt;&gt;""),LEFT(TableCosts[[#This Row],[Calc_N_Typ]],18)="Vynaložené náklady"),VLOOKUP(C218&amp;TableCosts[[#This Row],[Calc_N_Typ]],TRAN_STRITEMS_LABEL,VLOOKUP(D218,Tab_Hours,3,0),0),NA()),0)</f>
        <v>0</v>
      </c>
      <c r="BJ218" s="24">
        <f t="shared" si="66"/>
        <v>0</v>
      </c>
      <c r="BK218" s="24" t="str">
        <f t="shared" si="67"/>
        <v/>
      </c>
      <c r="BL218" s="24" t="str">
        <f t="shared" si="68"/>
        <v/>
      </c>
      <c r="BM218" s="24" t="str">
        <f>IF(G218=1,IF(TableCosts[[#This Row],[TransferFrom]]=TableCosts[[#This Row],[TranferTo]],0,1),"")</f>
        <v/>
      </c>
      <c r="BN218" s="24" t="str">
        <f t="shared" si="69"/>
        <v/>
      </c>
      <c r="BO218" s="24">
        <f t="shared" si="70"/>
        <v>0</v>
      </c>
      <c r="BP218" s="24">
        <f t="shared" si="71"/>
        <v>0</v>
      </c>
    </row>
    <row r="219" spans="2:68" s="24" customFormat="1" ht="12.75" x14ac:dyDescent="0.2">
      <c r="B219" s="97"/>
      <c r="C219" s="92"/>
      <c r="D219" s="92"/>
      <c r="E219" s="92"/>
      <c r="F219" s="31" t="str">
        <f>IF(G219=1,IF(ISERROR(TableCosts[[#This Row],[N_Tariff]]),Err_Message1,IF(TableCosts[[#This Row],[N_Tariff]]=0,Err_Message2,VLOOKUP(C219&amp;TableCosts[[#This Row],[Calc_N_Typ]],TRAN_STRITEMS_LABEL,5,FALSE))),"")</f>
        <v/>
      </c>
      <c r="G219" s="31">
        <f t="shared" si="60"/>
        <v>0</v>
      </c>
      <c r="H219" s="31" t="str">
        <f>IF(G219=1,IFERROR(VLOOKUP(F219,Tab_ErrMessage[],2,0),VLOOKUP(C219&amp;TableCosts[[#This Row],[Calc_N_Typ]],TRAN_STRITEMS_LABEL,4,FALSE)),"")</f>
        <v/>
      </c>
      <c r="I219" s="94"/>
      <c r="J219" s="94"/>
      <c r="K219" s="94"/>
      <c r="L219" s="84"/>
      <c r="M219" s="84"/>
      <c r="N219" s="84"/>
      <c r="O219" s="84"/>
      <c r="P219" s="84"/>
      <c r="Q219" s="84"/>
      <c r="R219" s="84"/>
      <c r="S219" s="84"/>
      <c r="T219" s="84"/>
      <c r="U219" s="84"/>
      <c r="V219" s="84"/>
      <c r="W219" s="84"/>
      <c r="X219" s="84"/>
      <c r="Y219" s="84"/>
      <c r="Z219" s="84"/>
      <c r="AA219" s="84"/>
      <c r="AB219" s="84"/>
      <c r="AC219" s="84"/>
      <c r="AD219" s="84"/>
      <c r="AE219" s="84"/>
      <c r="AF219" s="84"/>
      <c r="AG219" s="84"/>
      <c r="AH219" s="84"/>
      <c r="AI219" s="84"/>
      <c r="AJ219" s="84"/>
      <c r="AK219" s="84"/>
      <c r="AL219" s="84"/>
      <c r="AM219" s="84"/>
      <c r="AN219" s="84"/>
      <c r="AO219" s="84"/>
      <c r="AP219" s="84"/>
      <c r="AQ219" s="84"/>
      <c r="AR219" s="84"/>
      <c r="AS219" s="84"/>
      <c r="AT219" s="84"/>
      <c r="AU219" s="84"/>
      <c r="AV219" s="84"/>
      <c r="AW219" s="84"/>
      <c r="AX219" s="87">
        <f t="array" ref="AX219">IF(G219=1,SUM((ROW(M0)=ROW(AW219))*(M0+M1_+M2_+M3_+M4_+M5_+M6_+M7_+M8_+M9_+M10_+M11_+M12_+M13_+M14_+M15_+M16_+M17_+M18_+M19_+M20_+M21_+M22_+M23_+M24_+M25_+M26_+M27_+M28_+M29_+M30_+M31_+M32_+M33_+M34_+M35_+M36_+M37_)),0)</f>
        <v>0</v>
      </c>
      <c r="AZ219" s="24" t="str">
        <f t="shared" si="61"/>
        <v/>
      </c>
      <c r="BA219" s="24" t="str">
        <f t="shared" si="62"/>
        <v/>
      </c>
      <c r="BB219" s="24" t="str">
        <f t="shared" si="63"/>
        <v/>
      </c>
      <c r="BC219" s="24" t="str">
        <f>IF(OR(E219="",LEFT(TableCosts[[#This Row],[Calc_N_Typ]],18)="Vynaložené náklady"),"",VLOOKUP(E219,Tab_Parts,2,0))</f>
        <v/>
      </c>
      <c r="BD219" s="24" t="str">
        <f t="shared" si="64"/>
        <v/>
      </c>
      <c r="BE219" s="24">
        <f t="shared" si="65"/>
        <v>0</v>
      </c>
      <c r="BF219" s="72">
        <f>TableCosts[[#This Row],[N_Amount]]*TableCosts[[#This Row],[N_Tariff]]*TableCosts[[#This Row],[N_ItemsCount]]</f>
        <v>0</v>
      </c>
      <c r="BG219" s="72">
        <f>IF(G219=1,IF(TableCosts[[#This Row],[N_Kateg]]="interné práce",TableCosts[[#This Row],[N_Amount]]*8*PAR_SGA_PERHOUR,0),0)</f>
        <v>0</v>
      </c>
      <c r="BH219" s="72">
        <f>SUM(TableCosts[[#This Row],[N_Direct]:[N_SGA]])</f>
        <v>0</v>
      </c>
      <c r="BI219" s="24">
        <f>IF(G219=1,IF(OR(AND(NOT(ISERROR(VLOOKUP(TableCosts[[#This Row],[Calc_N_Typ]],Cis_WorkPositions,1,0))),C219&lt;&gt;"",D219&lt;&gt;"",E219&lt;&gt;""),AND(ISERROR(VLOOKUP(TableCosts[[#This Row],[Calc_N_Typ]],Cis_WorkPositions,1,0)),C219="",D219="",E219&lt;&gt;""),LEFT(TableCosts[[#This Row],[Calc_N_Typ]],18)="Vynaložené náklady"),VLOOKUP(C219&amp;TableCosts[[#This Row],[Calc_N_Typ]],TRAN_STRITEMS_LABEL,VLOOKUP(D219,Tab_Hours,3,0),0),NA()),0)</f>
        <v>0</v>
      </c>
      <c r="BJ219" s="24">
        <f t="shared" si="66"/>
        <v>0</v>
      </c>
      <c r="BK219" s="24" t="str">
        <f t="shared" si="67"/>
        <v/>
      </c>
      <c r="BL219" s="24" t="str">
        <f t="shared" si="68"/>
        <v/>
      </c>
      <c r="BM219" s="24" t="str">
        <f>IF(G219=1,IF(TableCosts[[#This Row],[TransferFrom]]=TableCosts[[#This Row],[TranferTo]],0,1),"")</f>
        <v/>
      </c>
      <c r="BN219" s="24" t="str">
        <f t="shared" si="69"/>
        <v/>
      </c>
      <c r="BO219" s="24">
        <f t="shared" si="70"/>
        <v>0</v>
      </c>
      <c r="BP219" s="24">
        <f t="shared" si="71"/>
        <v>0</v>
      </c>
    </row>
    <row r="220" spans="2:68" s="24" customFormat="1" ht="12.75" x14ac:dyDescent="0.2">
      <c r="B220" s="97"/>
      <c r="C220" s="92"/>
      <c r="D220" s="92"/>
      <c r="E220" s="92"/>
      <c r="F220" s="31" t="str">
        <f>IF(G220=1,IF(ISERROR(TableCosts[[#This Row],[N_Tariff]]),Err_Message1,IF(TableCosts[[#This Row],[N_Tariff]]=0,Err_Message2,VLOOKUP(C220&amp;TableCosts[[#This Row],[Calc_N_Typ]],TRAN_STRITEMS_LABEL,5,FALSE))),"")</f>
        <v/>
      </c>
      <c r="G220" s="31">
        <f t="shared" si="60"/>
        <v>0</v>
      </c>
      <c r="H220" s="31" t="str">
        <f>IF(G220=1,IFERROR(VLOOKUP(F220,Tab_ErrMessage[],2,0),VLOOKUP(C220&amp;TableCosts[[#This Row],[Calc_N_Typ]],TRAN_STRITEMS_LABEL,4,FALSE)),"")</f>
        <v/>
      </c>
      <c r="I220" s="94"/>
      <c r="J220" s="94"/>
      <c r="K220" s="94"/>
      <c r="L220" s="84"/>
      <c r="M220" s="84"/>
      <c r="N220" s="84"/>
      <c r="O220" s="84"/>
      <c r="P220" s="84"/>
      <c r="Q220" s="84"/>
      <c r="R220" s="84"/>
      <c r="S220" s="84"/>
      <c r="T220" s="84"/>
      <c r="U220" s="84"/>
      <c r="V220" s="84"/>
      <c r="W220" s="84"/>
      <c r="X220" s="84"/>
      <c r="Y220" s="84"/>
      <c r="Z220" s="84"/>
      <c r="AA220" s="84"/>
      <c r="AB220" s="84"/>
      <c r="AC220" s="84"/>
      <c r="AD220" s="84"/>
      <c r="AE220" s="84"/>
      <c r="AF220" s="84"/>
      <c r="AG220" s="84"/>
      <c r="AH220" s="84"/>
      <c r="AI220" s="84"/>
      <c r="AJ220" s="84"/>
      <c r="AK220" s="84"/>
      <c r="AL220" s="84"/>
      <c r="AM220" s="84"/>
      <c r="AN220" s="84"/>
      <c r="AO220" s="84"/>
      <c r="AP220" s="84"/>
      <c r="AQ220" s="84"/>
      <c r="AR220" s="84"/>
      <c r="AS220" s="84"/>
      <c r="AT220" s="84"/>
      <c r="AU220" s="84"/>
      <c r="AV220" s="84"/>
      <c r="AW220" s="84"/>
      <c r="AX220" s="87">
        <f t="array" ref="AX220">IF(G220=1,SUM((ROW(M0)=ROW(AW220))*(M0+M1_+M2_+M3_+M4_+M5_+M6_+M7_+M8_+M9_+M10_+M11_+M12_+M13_+M14_+M15_+M16_+M17_+M18_+M19_+M20_+M21_+M22_+M23_+M24_+M25_+M26_+M27_+M28_+M29_+M30_+M31_+M32_+M33_+M34_+M35_+M36_+M37_)),0)</f>
        <v>0</v>
      </c>
      <c r="AZ220" s="24" t="str">
        <f t="shared" si="61"/>
        <v/>
      </c>
      <c r="BA220" s="24" t="str">
        <f t="shared" si="62"/>
        <v/>
      </c>
      <c r="BB220" s="24" t="str">
        <f t="shared" si="63"/>
        <v/>
      </c>
      <c r="BC220" s="24" t="str">
        <f>IF(OR(E220="",LEFT(TableCosts[[#This Row],[Calc_N_Typ]],18)="Vynaložené náklady"),"",VLOOKUP(E220,Tab_Parts,2,0))</f>
        <v/>
      </c>
      <c r="BD220" s="24" t="str">
        <f t="shared" si="64"/>
        <v/>
      </c>
      <c r="BE220" s="24">
        <f t="shared" si="65"/>
        <v>0</v>
      </c>
      <c r="BF220" s="72">
        <f>TableCosts[[#This Row],[N_Amount]]*TableCosts[[#This Row],[N_Tariff]]*TableCosts[[#This Row],[N_ItemsCount]]</f>
        <v>0</v>
      </c>
      <c r="BG220" s="72">
        <f>IF(G220=1,IF(TableCosts[[#This Row],[N_Kateg]]="interné práce",TableCosts[[#This Row],[N_Amount]]*8*PAR_SGA_PERHOUR,0),0)</f>
        <v>0</v>
      </c>
      <c r="BH220" s="72">
        <f>SUM(TableCosts[[#This Row],[N_Direct]:[N_SGA]])</f>
        <v>0</v>
      </c>
      <c r="BI220" s="24">
        <f>IF(G220=1,IF(OR(AND(NOT(ISERROR(VLOOKUP(TableCosts[[#This Row],[Calc_N_Typ]],Cis_WorkPositions,1,0))),C220&lt;&gt;"",D220&lt;&gt;"",E220&lt;&gt;""),AND(ISERROR(VLOOKUP(TableCosts[[#This Row],[Calc_N_Typ]],Cis_WorkPositions,1,0)),C220="",D220="",E220&lt;&gt;""),LEFT(TableCosts[[#This Row],[Calc_N_Typ]],18)="Vynaložené náklady"),VLOOKUP(C220&amp;TableCosts[[#This Row],[Calc_N_Typ]],TRAN_STRITEMS_LABEL,VLOOKUP(D220,Tab_Hours,3,0),0),NA()),0)</f>
        <v>0</v>
      </c>
      <c r="BJ220" s="24">
        <f t="shared" si="66"/>
        <v>0</v>
      </c>
      <c r="BK220" s="24" t="str">
        <f t="shared" si="67"/>
        <v/>
      </c>
      <c r="BL220" s="24" t="str">
        <f t="shared" si="68"/>
        <v/>
      </c>
      <c r="BM220" s="24" t="str">
        <f>IF(G220=1,IF(TableCosts[[#This Row],[TransferFrom]]=TableCosts[[#This Row],[TranferTo]],0,1),"")</f>
        <v/>
      </c>
      <c r="BN220" s="24" t="str">
        <f t="shared" si="69"/>
        <v/>
      </c>
      <c r="BO220" s="24">
        <f t="shared" si="70"/>
        <v>0</v>
      </c>
      <c r="BP220" s="24">
        <f t="shared" si="71"/>
        <v>0</v>
      </c>
    </row>
    <row r="221" spans="2:68" s="24" customFormat="1" ht="12.75" x14ac:dyDescent="0.2">
      <c r="B221" s="97"/>
      <c r="C221" s="92"/>
      <c r="D221" s="92"/>
      <c r="E221" s="92"/>
      <c r="F221" s="31" t="str">
        <f>IF(G221=1,IF(ISERROR(TableCosts[[#This Row],[N_Tariff]]),Err_Message1,IF(TableCosts[[#This Row],[N_Tariff]]=0,Err_Message2,VLOOKUP(C221&amp;TableCosts[[#This Row],[Calc_N_Typ]],TRAN_STRITEMS_LABEL,5,FALSE))),"")</f>
        <v/>
      </c>
      <c r="G221" s="31">
        <f t="shared" si="60"/>
        <v>0</v>
      </c>
      <c r="H221" s="31" t="str">
        <f>IF(G221=1,IFERROR(VLOOKUP(F221,Tab_ErrMessage[],2,0),VLOOKUP(C221&amp;TableCosts[[#This Row],[Calc_N_Typ]],TRAN_STRITEMS_LABEL,4,FALSE)),"")</f>
        <v/>
      </c>
      <c r="I221" s="94"/>
      <c r="J221" s="94"/>
      <c r="K221" s="94"/>
      <c r="L221" s="84"/>
      <c r="M221" s="84"/>
      <c r="N221" s="84"/>
      <c r="O221" s="84"/>
      <c r="P221" s="84"/>
      <c r="Q221" s="84"/>
      <c r="R221" s="84"/>
      <c r="S221" s="84"/>
      <c r="T221" s="84"/>
      <c r="U221" s="84"/>
      <c r="V221" s="84"/>
      <c r="W221" s="84"/>
      <c r="X221" s="84"/>
      <c r="Y221" s="84"/>
      <c r="Z221" s="84"/>
      <c r="AA221" s="84"/>
      <c r="AB221" s="84"/>
      <c r="AC221" s="84"/>
      <c r="AD221" s="84"/>
      <c r="AE221" s="84"/>
      <c r="AF221" s="84"/>
      <c r="AG221" s="84"/>
      <c r="AH221" s="84"/>
      <c r="AI221" s="84"/>
      <c r="AJ221" s="84"/>
      <c r="AK221" s="84"/>
      <c r="AL221" s="84"/>
      <c r="AM221" s="84"/>
      <c r="AN221" s="84"/>
      <c r="AO221" s="84"/>
      <c r="AP221" s="84"/>
      <c r="AQ221" s="84"/>
      <c r="AR221" s="84"/>
      <c r="AS221" s="84"/>
      <c r="AT221" s="84"/>
      <c r="AU221" s="84"/>
      <c r="AV221" s="84"/>
      <c r="AW221" s="84"/>
      <c r="AX221" s="87">
        <f t="array" ref="AX221">IF(G221=1,SUM((ROW(M0)=ROW(AW221))*(M0+M1_+M2_+M3_+M4_+M5_+M6_+M7_+M8_+M9_+M10_+M11_+M12_+M13_+M14_+M15_+M16_+M17_+M18_+M19_+M20_+M21_+M22_+M23_+M24_+M25_+M26_+M27_+M28_+M29_+M30_+M31_+M32_+M33_+M34_+M35_+M36_+M37_)),0)</f>
        <v>0</v>
      </c>
      <c r="AZ221" s="24" t="str">
        <f t="shared" si="61"/>
        <v/>
      </c>
      <c r="BA221" s="24" t="str">
        <f t="shared" si="62"/>
        <v/>
      </c>
      <c r="BB221" s="24" t="str">
        <f t="shared" si="63"/>
        <v/>
      </c>
      <c r="BC221" s="24" t="str">
        <f>IF(OR(E221="",LEFT(TableCosts[[#This Row],[Calc_N_Typ]],18)="Vynaložené náklady"),"",VLOOKUP(E221,Tab_Parts,2,0))</f>
        <v/>
      </c>
      <c r="BD221" s="24" t="str">
        <f t="shared" si="64"/>
        <v/>
      </c>
      <c r="BE221" s="24">
        <f t="shared" si="65"/>
        <v>0</v>
      </c>
      <c r="BF221" s="72">
        <f>TableCosts[[#This Row],[N_Amount]]*TableCosts[[#This Row],[N_Tariff]]*TableCosts[[#This Row],[N_ItemsCount]]</f>
        <v>0</v>
      </c>
      <c r="BG221" s="72">
        <f>IF(G221=1,IF(TableCosts[[#This Row],[N_Kateg]]="interné práce",TableCosts[[#This Row],[N_Amount]]*8*PAR_SGA_PERHOUR,0),0)</f>
        <v>0</v>
      </c>
      <c r="BH221" s="72">
        <f>SUM(TableCosts[[#This Row],[N_Direct]:[N_SGA]])</f>
        <v>0</v>
      </c>
      <c r="BI221" s="24">
        <f>IF(G221=1,IF(OR(AND(NOT(ISERROR(VLOOKUP(TableCosts[[#This Row],[Calc_N_Typ]],Cis_WorkPositions,1,0))),C221&lt;&gt;"",D221&lt;&gt;"",E221&lt;&gt;""),AND(ISERROR(VLOOKUP(TableCosts[[#This Row],[Calc_N_Typ]],Cis_WorkPositions,1,0)),C221="",D221="",E221&lt;&gt;""),LEFT(TableCosts[[#This Row],[Calc_N_Typ]],18)="Vynaložené náklady"),VLOOKUP(C221&amp;TableCosts[[#This Row],[Calc_N_Typ]],TRAN_STRITEMS_LABEL,VLOOKUP(D221,Tab_Hours,3,0),0),NA()),0)</f>
        <v>0</v>
      </c>
      <c r="BJ221" s="24">
        <f t="shared" si="66"/>
        <v>0</v>
      </c>
      <c r="BK221" s="24" t="str">
        <f t="shared" si="67"/>
        <v/>
      </c>
      <c r="BL221" s="24" t="str">
        <f t="shared" si="68"/>
        <v/>
      </c>
      <c r="BM221" s="24" t="str">
        <f>IF(G221=1,IF(TableCosts[[#This Row],[TransferFrom]]=TableCosts[[#This Row],[TranferTo]],0,1),"")</f>
        <v/>
      </c>
      <c r="BN221" s="24" t="str">
        <f t="shared" si="69"/>
        <v/>
      </c>
      <c r="BO221" s="24">
        <f t="shared" si="70"/>
        <v>0</v>
      </c>
      <c r="BP221" s="24">
        <f t="shared" si="71"/>
        <v>0</v>
      </c>
    </row>
    <row r="222" spans="2:68" s="24" customFormat="1" ht="12.75" x14ac:dyDescent="0.2">
      <c r="B222" s="97"/>
      <c r="C222" s="92"/>
      <c r="D222" s="92"/>
      <c r="E222" s="92"/>
      <c r="F222" s="31" t="str">
        <f>IF(G222=1,IF(ISERROR(TableCosts[[#This Row],[N_Tariff]]),Err_Message1,IF(TableCosts[[#This Row],[N_Tariff]]=0,Err_Message2,VLOOKUP(C222&amp;TableCosts[[#This Row],[Calc_N_Typ]],TRAN_STRITEMS_LABEL,5,FALSE))),"")</f>
        <v/>
      </c>
      <c r="G222" s="31">
        <f t="shared" si="60"/>
        <v>0</v>
      </c>
      <c r="H222" s="31" t="str">
        <f>IF(G222=1,IFERROR(VLOOKUP(F222,Tab_ErrMessage[],2,0),VLOOKUP(C222&amp;TableCosts[[#This Row],[Calc_N_Typ]],TRAN_STRITEMS_LABEL,4,FALSE)),"")</f>
        <v/>
      </c>
      <c r="I222" s="94"/>
      <c r="J222" s="94"/>
      <c r="K222" s="94"/>
      <c r="L222" s="84"/>
      <c r="M222" s="84"/>
      <c r="N222" s="84"/>
      <c r="O222" s="84"/>
      <c r="P222" s="84"/>
      <c r="Q222" s="84"/>
      <c r="R222" s="84"/>
      <c r="S222" s="84"/>
      <c r="T222" s="84"/>
      <c r="U222" s="84"/>
      <c r="V222" s="84"/>
      <c r="W222" s="84"/>
      <c r="X222" s="84"/>
      <c r="Y222" s="84"/>
      <c r="Z222" s="84"/>
      <c r="AA222" s="84"/>
      <c r="AB222" s="84"/>
      <c r="AC222" s="84"/>
      <c r="AD222" s="84"/>
      <c r="AE222" s="84"/>
      <c r="AF222" s="84"/>
      <c r="AG222" s="84"/>
      <c r="AH222" s="84"/>
      <c r="AI222" s="84"/>
      <c r="AJ222" s="84"/>
      <c r="AK222" s="84"/>
      <c r="AL222" s="84"/>
      <c r="AM222" s="84"/>
      <c r="AN222" s="84"/>
      <c r="AO222" s="84"/>
      <c r="AP222" s="84"/>
      <c r="AQ222" s="84"/>
      <c r="AR222" s="84"/>
      <c r="AS222" s="84"/>
      <c r="AT222" s="84"/>
      <c r="AU222" s="84"/>
      <c r="AV222" s="84"/>
      <c r="AW222" s="84"/>
      <c r="AX222" s="87">
        <f t="array" ref="AX222">IF(G222=1,SUM((ROW(M0)=ROW(AW222))*(M0+M1_+M2_+M3_+M4_+M5_+M6_+M7_+M8_+M9_+M10_+M11_+M12_+M13_+M14_+M15_+M16_+M17_+M18_+M19_+M20_+M21_+M22_+M23_+M24_+M25_+M26_+M27_+M28_+M29_+M30_+M31_+M32_+M33_+M34_+M35_+M36_+M37_)),0)</f>
        <v>0</v>
      </c>
      <c r="AZ222" s="24" t="str">
        <f t="shared" si="61"/>
        <v/>
      </c>
      <c r="BA222" s="24" t="str">
        <f t="shared" si="62"/>
        <v/>
      </c>
      <c r="BB222" s="24" t="str">
        <f t="shared" si="63"/>
        <v/>
      </c>
      <c r="BC222" s="24" t="str">
        <f>IF(OR(E222="",LEFT(TableCosts[[#This Row],[Calc_N_Typ]],18)="Vynaložené náklady"),"",VLOOKUP(E222,Tab_Parts,2,0))</f>
        <v/>
      </c>
      <c r="BD222" s="24" t="str">
        <f t="shared" si="64"/>
        <v/>
      </c>
      <c r="BE222" s="24">
        <f t="shared" si="65"/>
        <v>0</v>
      </c>
      <c r="BF222" s="72">
        <f>TableCosts[[#This Row],[N_Amount]]*TableCosts[[#This Row],[N_Tariff]]*TableCosts[[#This Row],[N_ItemsCount]]</f>
        <v>0</v>
      </c>
      <c r="BG222" s="72">
        <f>IF(G222=1,IF(TableCosts[[#This Row],[N_Kateg]]="interné práce",TableCosts[[#This Row],[N_Amount]]*8*PAR_SGA_PERHOUR,0),0)</f>
        <v>0</v>
      </c>
      <c r="BH222" s="72">
        <f>SUM(TableCosts[[#This Row],[N_Direct]:[N_SGA]])</f>
        <v>0</v>
      </c>
      <c r="BI222" s="24">
        <f>IF(G222=1,IF(OR(AND(NOT(ISERROR(VLOOKUP(TableCosts[[#This Row],[Calc_N_Typ]],Cis_WorkPositions,1,0))),C222&lt;&gt;"",D222&lt;&gt;"",E222&lt;&gt;""),AND(ISERROR(VLOOKUP(TableCosts[[#This Row],[Calc_N_Typ]],Cis_WorkPositions,1,0)),C222="",D222="",E222&lt;&gt;""),LEFT(TableCosts[[#This Row],[Calc_N_Typ]],18)="Vynaložené náklady"),VLOOKUP(C222&amp;TableCosts[[#This Row],[Calc_N_Typ]],TRAN_STRITEMS_LABEL,VLOOKUP(D222,Tab_Hours,3,0),0),NA()),0)</f>
        <v>0</v>
      </c>
      <c r="BJ222" s="24">
        <f t="shared" si="66"/>
        <v>0</v>
      </c>
      <c r="BK222" s="24" t="str">
        <f t="shared" si="67"/>
        <v/>
      </c>
      <c r="BL222" s="24" t="str">
        <f t="shared" si="68"/>
        <v/>
      </c>
      <c r="BM222" s="24" t="str">
        <f>IF(G222=1,IF(TableCosts[[#This Row],[TransferFrom]]=TableCosts[[#This Row],[TranferTo]],0,1),"")</f>
        <v/>
      </c>
      <c r="BN222" s="24" t="str">
        <f t="shared" si="69"/>
        <v/>
      </c>
      <c r="BO222" s="24">
        <f t="shared" si="70"/>
        <v>0</v>
      </c>
      <c r="BP222" s="24">
        <f t="shared" si="71"/>
        <v>0</v>
      </c>
    </row>
    <row r="223" spans="2:68" s="24" customFormat="1" ht="12.75" x14ac:dyDescent="0.2">
      <c r="B223" s="97"/>
      <c r="C223" s="92"/>
      <c r="D223" s="92"/>
      <c r="E223" s="92"/>
      <c r="F223" s="31" t="str">
        <f>IF(G223=1,IF(ISERROR(TableCosts[[#This Row],[N_Tariff]]),Err_Message1,IF(TableCosts[[#This Row],[N_Tariff]]=0,Err_Message2,VLOOKUP(C223&amp;TableCosts[[#This Row],[Calc_N_Typ]],TRAN_STRITEMS_LABEL,5,FALSE))),"")</f>
        <v/>
      </c>
      <c r="G223" s="31">
        <f t="shared" si="60"/>
        <v>0</v>
      </c>
      <c r="H223" s="31" t="str">
        <f>IF(G223=1,IFERROR(VLOOKUP(F223,Tab_ErrMessage[],2,0),VLOOKUP(C223&amp;TableCosts[[#This Row],[Calc_N_Typ]],TRAN_STRITEMS_LABEL,4,FALSE)),"")</f>
        <v/>
      </c>
      <c r="I223" s="94"/>
      <c r="J223" s="94"/>
      <c r="K223" s="94"/>
      <c r="L223" s="84"/>
      <c r="M223" s="84"/>
      <c r="N223" s="84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  <c r="AH223" s="84"/>
      <c r="AI223" s="84"/>
      <c r="AJ223" s="84"/>
      <c r="AK223" s="84"/>
      <c r="AL223" s="84"/>
      <c r="AM223" s="84"/>
      <c r="AN223" s="84"/>
      <c r="AO223" s="84"/>
      <c r="AP223" s="84"/>
      <c r="AQ223" s="84"/>
      <c r="AR223" s="84"/>
      <c r="AS223" s="84"/>
      <c r="AT223" s="84"/>
      <c r="AU223" s="84"/>
      <c r="AV223" s="84"/>
      <c r="AW223" s="84"/>
      <c r="AX223" s="87">
        <f t="array" ref="AX223">IF(G223=1,SUM((ROW(M0)=ROW(AW223))*(M0+M1_+M2_+M3_+M4_+M5_+M6_+M7_+M8_+M9_+M10_+M11_+M12_+M13_+M14_+M15_+M16_+M17_+M18_+M19_+M20_+M21_+M22_+M23_+M24_+M25_+M26_+M27_+M28_+M29_+M30_+M31_+M32_+M33_+M34_+M35_+M36_+M37_)),0)</f>
        <v>0</v>
      </c>
      <c r="AZ223" s="24" t="str">
        <f t="shared" si="61"/>
        <v/>
      </c>
      <c r="BA223" s="24" t="str">
        <f t="shared" si="62"/>
        <v/>
      </c>
      <c r="BB223" s="24" t="str">
        <f t="shared" si="63"/>
        <v/>
      </c>
      <c r="BC223" s="24" t="str">
        <f>IF(OR(E223="",LEFT(TableCosts[[#This Row],[Calc_N_Typ]],18)="Vynaložené náklady"),"",VLOOKUP(E223,Tab_Parts,2,0))</f>
        <v/>
      </c>
      <c r="BD223" s="24" t="str">
        <f t="shared" si="64"/>
        <v/>
      </c>
      <c r="BE223" s="24">
        <f t="shared" si="65"/>
        <v>0</v>
      </c>
      <c r="BF223" s="72">
        <f>TableCosts[[#This Row],[N_Amount]]*TableCosts[[#This Row],[N_Tariff]]*TableCosts[[#This Row],[N_ItemsCount]]</f>
        <v>0</v>
      </c>
      <c r="BG223" s="72">
        <f>IF(G223=1,IF(TableCosts[[#This Row],[N_Kateg]]="interné práce",TableCosts[[#This Row],[N_Amount]]*8*PAR_SGA_PERHOUR,0),0)</f>
        <v>0</v>
      </c>
      <c r="BH223" s="72">
        <f>SUM(TableCosts[[#This Row],[N_Direct]:[N_SGA]])</f>
        <v>0</v>
      </c>
      <c r="BI223" s="24">
        <f>IF(G223=1,IF(OR(AND(NOT(ISERROR(VLOOKUP(TableCosts[[#This Row],[Calc_N_Typ]],Cis_WorkPositions,1,0))),C223&lt;&gt;"",D223&lt;&gt;"",E223&lt;&gt;""),AND(ISERROR(VLOOKUP(TableCosts[[#This Row],[Calc_N_Typ]],Cis_WorkPositions,1,0)),C223="",D223="",E223&lt;&gt;""),LEFT(TableCosts[[#This Row],[Calc_N_Typ]],18)="Vynaložené náklady"),VLOOKUP(C223&amp;TableCosts[[#This Row],[Calc_N_Typ]],TRAN_STRITEMS_LABEL,VLOOKUP(D223,Tab_Hours,3,0),0),NA()),0)</f>
        <v>0</v>
      </c>
      <c r="BJ223" s="24">
        <f t="shared" si="66"/>
        <v>0</v>
      </c>
      <c r="BK223" s="24" t="str">
        <f t="shared" si="67"/>
        <v/>
      </c>
      <c r="BL223" s="24" t="str">
        <f t="shared" si="68"/>
        <v/>
      </c>
      <c r="BM223" s="24" t="str">
        <f>IF(G223=1,IF(TableCosts[[#This Row],[TransferFrom]]=TableCosts[[#This Row],[TranferTo]],0,1),"")</f>
        <v/>
      </c>
      <c r="BN223" s="24" t="str">
        <f t="shared" si="69"/>
        <v/>
      </c>
      <c r="BO223" s="24">
        <f t="shared" si="70"/>
        <v>0</v>
      </c>
      <c r="BP223" s="24">
        <f t="shared" si="71"/>
        <v>0</v>
      </c>
    </row>
    <row r="224" spans="2:68" s="24" customFormat="1" ht="12.75" x14ac:dyDescent="0.2">
      <c r="B224" s="97"/>
      <c r="C224" s="92"/>
      <c r="D224" s="92"/>
      <c r="E224" s="92"/>
      <c r="F224" s="31" t="str">
        <f>IF(G224=1,IF(ISERROR(TableCosts[[#This Row],[N_Tariff]]),Err_Message1,IF(TableCosts[[#This Row],[N_Tariff]]=0,Err_Message2,VLOOKUP(C224&amp;TableCosts[[#This Row],[Calc_N_Typ]],TRAN_STRITEMS_LABEL,5,FALSE))),"")</f>
        <v/>
      </c>
      <c r="G224" s="31">
        <f t="shared" si="60"/>
        <v>0</v>
      </c>
      <c r="H224" s="31" t="str">
        <f>IF(G224=1,IFERROR(VLOOKUP(F224,Tab_ErrMessage[],2,0),VLOOKUP(C224&amp;TableCosts[[#This Row],[Calc_N_Typ]],TRAN_STRITEMS_LABEL,4,FALSE)),"")</f>
        <v/>
      </c>
      <c r="I224" s="94"/>
      <c r="J224" s="94"/>
      <c r="K224" s="94"/>
      <c r="L224" s="84"/>
      <c r="M224" s="84"/>
      <c r="N224" s="84"/>
      <c r="O224" s="84"/>
      <c r="P224" s="84"/>
      <c r="Q224" s="84"/>
      <c r="R224" s="84"/>
      <c r="S224" s="84"/>
      <c r="T224" s="84"/>
      <c r="U224" s="84"/>
      <c r="V224" s="84"/>
      <c r="W224" s="84"/>
      <c r="X224" s="84"/>
      <c r="Y224" s="84"/>
      <c r="Z224" s="84"/>
      <c r="AA224" s="84"/>
      <c r="AB224" s="84"/>
      <c r="AC224" s="84"/>
      <c r="AD224" s="84"/>
      <c r="AE224" s="84"/>
      <c r="AF224" s="84"/>
      <c r="AG224" s="84"/>
      <c r="AH224" s="84"/>
      <c r="AI224" s="84"/>
      <c r="AJ224" s="84"/>
      <c r="AK224" s="84"/>
      <c r="AL224" s="84"/>
      <c r="AM224" s="84"/>
      <c r="AN224" s="84"/>
      <c r="AO224" s="84"/>
      <c r="AP224" s="84"/>
      <c r="AQ224" s="84"/>
      <c r="AR224" s="84"/>
      <c r="AS224" s="84"/>
      <c r="AT224" s="84"/>
      <c r="AU224" s="84"/>
      <c r="AV224" s="84"/>
      <c r="AW224" s="84"/>
      <c r="AX224" s="87">
        <f t="array" ref="AX224">IF(G224=1,SUM((ROW(M0)=ROW(AW224))*(M0+M1_+M2_+M3_+M4_+M5_+M6_+M7_+M8_+M9_+M10_+M11_+M12_+M13_+M14_+M15_+M16_+M17_+M18_+M19_+M20_+M21_+M22_+M23_+M24_+M25_+M26_+M27_+M28_+M29_+M30_+M31_+M32_+M33_+M34_+M35_+M36_+M37_)),0)</f>
        <v>0</v>
      </c>
      <c r="AZ224" s="24" t="str">
        <f t="shared" si="61"/>
        <v/>
      </c>
      <c r="BA224" s="24" t="str">
        <f t="shared" si="62"/>
        <v/>
      </c>
      <c r="BB224" s="24" t="str">
        <f t="shared" si="63"/>
        <v/>
      </c>
      <c r="BC224" s="24" t="str">
        <f>IF(OR(E224="",LEFT(TableCosts[[#This Row],[Calc_N_Typ]],18)="Vynaložené náklady"),"",VLOOKUP(E224,Tab_Parts,2,0))</f>
        <v/>
      </c>
      <c r="BD224" s="24" t="str">
        <f t="shared" si="64"/>
        <v/>
      </c>
      <c r="BE224" s="24">
        <f t="shared" si="65"/>
        <v>0</v>
      </c>
      <c r="BF224" s="72">
        <f>TableCosts[[#This Row],[N_Amount]]*TableCosts[[#This Row],[N_Tariff]]*TableCosts[[#This Row],[N_ItemsCount]]</f>
        <v>0</v>
      </c>
      <c r="BG224" s="72">
        <f>IF(G224=1,IF(TableCosts[[#This Row],[N_Kateg]]="interné práce",TableCosts[[#This Row],[N_Amount]]*8*PAR_SGA_PERHOUR,0),0)</f>
        <v>0</v>
      </c>
      <c r="BH224" s="72">
        <f>SUM(TableCosts[[#This Row],[N_Direct]:[N_SGA]])</f>
        <v>0</v>
      </c>
      <c r="BI224" s="24">
        <f>IF(G224=1,IF(OR(AND(NOT(ISERROR(VLOOKUP(TableCosts[[#This Row],[Calc_N_Typ]],Cis_WorkPositions,1,0))),C224&lt;&gt;"",D224&lt;&gt;"",E224&lt;&gt;""),AND(ISERROR(VLOOKUP(TableCosts[[#This Row],[Calc_N_Typ]],Cis_WorkPositions,1,0)),C224="",D224="",E224&lt;&gt;""),LEFT(TableCosts[[#This Row],[Calc_N_Typ]],18)="Vynaložené náklady"),VLOOKUP(C224&amp;TableCosts[[#This Row],[Calc_N_Typ]],TRAN_STRITEMS_LABEL,VLOOKUP(D224,Tab_Hours,3,0),0),NA()),0)</f>
        <v>0</v>
      </c>
      <c r="BJ224" s="24">
        <f t="shared" si="66"/>
        <v>0</v>
      </c>
      <c r="BK224" s="24" t="str">
        <f t="shared" si="67"/>
        <v/>
      </c>
      <c r="BL224" s="24" t="str">
        <f t="shared" si="68"/>
        <v/>
      </c>
      <c r="BM224" s="24" t="str">
        <f>IF(G224=1,IF(TableCosts[[#This Row],[TransferFrom]]=TableCosts[[#This Row],[TranferTo]],0,1),"")</f>
        <v/>
      </c>
      <c r="BN224" s="24" t="str">
        <f t="shared" si="69"/>
        <v/>
      </c>
      <c r="BO224" s="24">
        <f t="shared" si="70"/>
        <v>0</v>
      </c>
      <c r="BP224" s="24">
        <f t="shared" si="71"/>
        <v>0</v>
      </c>
    </row>
    <row r="225" spans="2:68" s="24" customFormat="1" ht="12.75" x14ac:dyDescent="0.2">
      <c r="B225" s="97"/>
      <c r="C225" s="92"/>
      <c r="D225" s="92"/>
      <c r="E225" s="92"/>
      <c r="F225" s="31" t="str">
        <f>IF(G225=1,IF(ISERROR(TableCosts[[#This Row],[N_Tariff]]),Err_Message1,IF(TableCosts[[#This Row],[N_Tariff]]=0,Err_Message2,VLOOKUP(C225&amp;TableCosts[[#This Row],[Calc_N_Typ]],TRAN_STRITEMS_LABEL,5,FALSE))),"")</f>
        <v/>
      </c>
      <c r="G225" s="31">
        <f t="shared" si="60"/>
        <v>0</v>
      </c>
      <c r="H225" s="31" t="str">
        <f>IF(G225=1,IFERROR(VLOOKUP(F225,Tab_ErrMessage[],2,0),VLOOKUP(C225&amp;TableCosts[[#This Row],[Calc_N_Typ]],TRAN_STRITEMS_LABEL,4,FALSE)),"")</f>
        <v/>
      </c>
      <c r="I225" s="94"/>
      <c r="J225" s="94"/>
      <c r="K225" s="94"/>
      <c r="L225" s="84"/>
      <c r="M225" s="84"/>
      <c r="N225" s="84"/>
      <c r="O225" s="84"/>
      <c r="P225" s="84"/>
      <c r="Q225" s="84"/>
      <c r="R225" s="84"/>
      <c r="S225" s="84"/>
      <c r="T225" s="84"/>
      <c r="U225" s="84"/>
      <c r="V225" s="84"/>
      <c r="W225" s="84"/>
      <c r="X225" s="84"/>
      <c r="Y225" s="84"/>
      <c r="Z225" s="84"/>
      <c r="AA225" s="84"/>
      <c r="AB225" s="84"/>
      <c r="AC225" s="84"/>
      <c r="AD225" s="84"/>
      <c r="AE225" s="84"/>
      <c r="AF225" s="84"/>
      <c r="AG225" s="84"/>
      <c r="AH225" s="84"/>
      <c r="AI225" s="84"/>
      <c r="AJ225" s="84"/>
      <c r="AK225" s="84"/>
      <c r="AL225" s="84"/>
      <c r="AM225" s="84"/>
      <c r="AN225" s="84"/>
      <c r="AO225" s="84"/>
      <c r="AP225" s="84"/>
      <c r="AQ225" s="84"/>
      <c r="AR225" s="84"/>
      <c r="AS225" s="84"/>
      <c r="AT225" s="84"/>
      <c r="AU225" s="84"/>
      <c r="AV225" s="84"/>
      <c r="AW225" s="84"/>
      <c r="AX225" s="87">
        <f t="array" ref="AX225">IF(G225=1,SUM((ROW(M0)=ROW(AW225))*(M0+M1_+M2_+M3_+M4_+M5_+M6_+M7_+M8_+M9_+M10_+M11_+M12_+M13_+M14_+M15_+M16_+M17_+M18_+M19_+M20_+M21_+M22_+M23_+M24_+M25_+M26_+M27_+M28_+M29_+M30_+M31_+M32_+M33_+M34_+M35_+M36_+M37_)),0)</f>
        <v>0</v>
      </c>
      <c r="AZ225" s="24" t="str">
        <f t="shared" si="61"/>
        <v/>
      </c>
      <c r="BA225" s="24" t="str">
        <f t="shared" si="62"/>
        <v/>
      </c>
      <c r="BB225" s="24" t="str">
        <f t="shared" si="63"/>
        <v/>
      </c>
      <c r="BC225" s="24" t="str">
        <f>IF(OR(E225="",LEFT(TableCosts[[#This Row],[Calc_N_Typ]],18)="Vynaložené náklady"),"",VLOOKUP(E225,Tab_Parts,2,0))</f>
        <v/>
      </c>
      <c r="BD225" s="24" t="str">
        <f t="shared" si="64"/>
        <v/>
      </c>
      <c r="BE225" s="24">
        <f t="shared" si="65"/>
        <v>0</v>
      </c>
      <c r="BF225" s="72">
        <f>TableCosts[[#This Row],[N_Amount]]*TableCosts[[#This Row],[N_Tariff]]*TableCosts[[#This Row],[N_ItemsCount]]</f>
        <v>0</v>
      </c>
      <c r="BG225" s="72">
        <f>IF(G225=1,IF(TableCosts[[#This Row],[N_Kateg]]="interné práce",TableCosts[[#This Row],[N_Amount]]*8*PAR_SGA_PERHOUR,0),0)</f>
        <v>0</v>
      </c>
      <c r="BH225" s="72">
        <f>SUM(TableCosts[[#This Row],[N_Direct]:[N_SGA]])</f>
        <v>0</v>
      </c>
      <c r="BI225" s="24">
        <f>IF(G225=1,IF(OR(AND(NOT(ISERROR(VLOOKUP(TableCosts[[#This Row],[Calc_N_Typ]],Cis_WorkPositions,1,0))),C225&lt;&gt;"",D225&lt;&gt;"",E225&lt;&gt;""),AND(ISERROR(VLOOKUP(TableCosts[[#This Row],[Calc_N_Typ]],Cis_WorkPositions,1,0)),C225="",D225="",E225&lt;&gt;""),LEFT(TableCosts[[#This Row],[Calc_N_Typ]],18)="Vynaložené náklady"),VLOOKUP(C225&amp;TableCosts[[#This Row],[Calc_N_Typ]],TRAN_STRITEMS_LABEL,VLOOKUP(D225,Tab_Hours,3,0),0),NA()),0)</f>
        <v>0</v>
      </c>
      <c r="BJ225" s="24">
        <f t="shared" si="66"/>
        <v>0</v>
      </c>
      <c r="BK225" s="24" t="str">
        <f t="shared" si="67"/>
        <v/>
      </c>
      <c r="BL225" s="24" t="str">
        <f t="shared" si="68"/>
        <v/>
      </c>
      <c r="BM225" s="24" t="str">
        <f>IF(G225=1,IF(TableCosts[[#This Row],[TransferFrom]]=TableCosts[[#This Row],[TranferTo]],0,1),"")</f>
        <v/>
      </c>
      <c r="BN225" s="24" t="str">
        <f t="shared" si="69"/>
        <v/>
      </c>
      <c r="BO225" s="24">
        <f t="shared" si="70"/>
        <v>0</v>
      </c>
      <c r="BP225" s="24">
        <f t="shared" si="71"/>
        <v>0</v>
      </c>
    </row>
    <row r="226" spans="2:68" s="24" customFormat="1" ht="12.75" x14ac:dyDescent="0.2">
      <c r="B226" s="97"/>
      <c r="C226" s="92"/>
      <c r="D226" s="92"/>
      <c r="E226" s="92"/>
      <c r="F226" s="31" t="str">
        <f>IF(G226=1,IF(ISERROR(TableCosts[[#This Row],[N_Tariff]]),Err_Message1,IF(TableCosts[[#This Row],[N_Tariff]]=0,Err_Message2,VLOOKUP(C226&amp;TableCosts[[#This Row],[Calc_N_Typ]],TRAN_STRITEMS_LABEL,5,FALSE))),"")</f>
        <v/>
      </c>
      <c r="G226" s="31">
        <f t="shared" si="60"/>
        <v>0</v>
      </c>
      <c r="H226" s="31" t="str">
        <f>IF(G226=1,IFERROR(VLOOKUP(F226,Tab_ErrMessage[],2,0),VLOOKUP(C226&amp;TableCosts[[#This Row],[Calc_N_Typ]],TRAN_STRITEMS_LABEL,4,FALSE)),"")</f>
        <v/>
      </c>
      <c r="I226" s="94"/>
      <c r="J226" s="94"/>
      <c r="K226" s="94"/>
      <c r="L226" s="84"/>
      <c r="M226" s="84"/>
      <c r="N226" s="84"/>
      <c r="O226" s="84"/>
      <c r="P226" s="84"/>
      <c r="Q226" s="84"/>
      <c r="R226" s="84"/>
      <c r="S226" s="84"/>
      <c r="T226" s="84"/>
      <c r="U226" s="84"/>
      <c r="V226" s="84"/>
      <c r="W226" s="84"/>
      <c r="X226" s="84"/>
      <c r="Y226" s="84"/>
      <c r="Z226" s="84"/>
      <c r="AA226" s="84"/>
      <c r="AB226" s="84"/>
      <c r="AC226" s="84"/>
      <c r="AD226" s="84"/>
      <c r="AE226" s="84"/>
      <c r="AF226" s="84"/>
      <c r="AG226" s="84"/>
      <c r="AH226" s="84"/>
      <c r="AI226" s="84"/>
      <c r="AJ226" s="84"/>
      <c r="AK226" s="84"/>
      <c r="AL226" s="84"/>
      <c r="AM226" s="84"/>
      <c r="AN226" s="84"/>
      <c r="AO226" s="84"/>
      <c r="AP226" s="84"/>
      <c r="AQ226" s="84"/>
      <c r="AR226" s="84"/>
      <c r="AS226" s="84"/>
      <c r="AT226" s="84"/>
      <c r="AU226" s="84"/>
      <c r="AV226" s="84"/>
      <c r="AW226" s="84"/>
      <c r="AX226" s="87">
        <f t="array" ref="AX226">IF(G226=1,SUM((ROW(M0)=ROW(AW226))*(M0+M1_+M2_+M3_+M4_+M5_+M6_+M7_+M8_+M9_+M10_+M11_+M12_+M13_+M14_+M15_+M16_+M17_+M18_+M19_+M20_+M21_+M22_+M23_+M24_+M25_+M26_+M27_+M28_+M29_+M30_+M31_+M32_+M33_+M34_+M35_+M36_+M37_)),0)</f>
        <v>0</v>
      </c>
      <c r="AZ226" s="24" t="str">
        <f t="shared" si="61"/>
        <v/>
      </c>
      <c r="BA226" s="24" t="str">
        <f t="shared" si="62"/>
        <v/>
      </c>
      <c r="BB226" s="24" t="str">
        <f t="shared" si="63"/>
        <v/>
      </c>
      <c r="BC226" s="24" t="str">
        <f>IF(OR(E226="",LEFT(TableCosts[[#This Row],[Calc_N_Typ]],18)="Vynaložené náklady"),"",VLOOKUP(E226,Tab_Parts,2,0))</f>
        <v/>
      </c>
      <c r="BD226" s="24" t="str">
        <f t="shared" si="64"/>
        <v/>
      </c>
      <c r="BE226" s="24">
        <f t="shared" si="65"/>
        <v>0</v>
      </c>
      <c r="BF226" s="72">
        <f>TableCosts[[#This Row],[N_Amount]]*TableCosts[[#This Row],[N_Tariff]]*TableCosts[[#This Row],[N_ItemsCount]]</f>
        <v>0</v>
      </c>
      <c r="BG226" s="72">
        <f>IF(G226=1,IF(TableCosts[[#This Row],[N_Kateg]]="interné práce",TableCosts[[#This Row],[N_Amount]]*8*PAR_SGA_PERHOUR,0),0)</f>
        <v>0</v>
      </c>
      <c r="BH226" s="72">
        <f>SUM(TableCosts[[#This Row],[N_Direct]:[N_SGA]])</f>
        <v>0</v>
      </c>
      <c r="BI226" s="24">
        <f>IF(G226=1,IF(OR(AND(NOT(ISERROR(VLOOKUP(TableCosts[[#This Row],[Calc_N_Typ]],Cis_WorkPositions,1,0))),C226&lt;&gt;"",D226&lt;&gt;"",E226&lt;&gt;""),AND(ISERROR(VLOOKUP(TableCosts[[#This Row],[Calc_N_Typ]],Cis_WorkPositions,1,0)),C226="",D226="",E226&lt;&gt;""),LEFT(TableCosts[[#This Row],[Calc_N_Typ]],18)="Vynaložené náklady"),VLOOKUP(C226&amp;TableCosts[[#This Row],[Calc_N_Typ]],TRAN_STRITEMS_LABEL,VLOOKUP(D226,Tab_Hours,3,0),0),NA()),0)</f>
        <v>0</v>
      </c>
      <c r="BJ226" s="24">
        <f t="shared" si="66"/>
        <v>0</v>
      </c>
      <c r="BK226" s="24" t="str">
        <f t="shared" si="67"/>
        <v/>
      </c>
      <c r="BL226" s="24" t="str">
        <f t="shared" si="68"/>
        <v/>
      </c>
      <c r="BM226" s="24" t="str">
        <f>IF(G226=1,IF(TableCosts[[#This Row],[TransferFrom]]=TableCosts[[#This Row],[TranferTo]],0,1),"")</f>
        <v/>
      </c>
      <c r="BN226" s="24" t="str">
        <f t="shared" si="69"/>
        <v/>
      </c>
      <c r="BO226" s="24">
        <f t="shared" si="70"/>
        <v>0</v>
      </c>
      <c r="BP226" s="24">
        <f t="shared" si="71"/>
        <v>0</v>
      </c>
    </row>
    <row r="227" spans="2:68" s="24" customFormat="1" ht="12.75" x14ac:dyDescent="0.2">
      <c r="B227" s="97"/>
      <c r="C227" s="92"/>
      <c r="D227" s="92"/>
      <c r="E227" s="92"/>
      <c r="F227" s="31" t="str">
        <f>IF(G227=1,IF(ISERROR(TableCosts[[#This Row],[N_Tariff]]),Err_Message1,IF(TableCosts[[#This Row],[N_Tariff]]=0,Err_Message2,VLOOKUP(C227&amp;TableCosts[[#This Row],[Calc_N_Typ]],TRAN_STRITEMS_LABEL,5,FALSE))),"")</f>
        <v/>
      </c>
      <c r="G227" s="31">
        <f t="shared" si="60"/>
        <v>0</v>
      </c>
      <c r="H227" s="31" t="str">
        <f>IF(G227=1,IFERROR(VLOOKUP(F227,Tab_ErrMessage[],2,0),VLOOKUP(C227&amp;TableCosts[[#This Row],[Calc_N_Typ]],TRAN_STRITEMS_LABEL,4,FALSE)),"")</f>
        <v/>
      </c>
      <c r="I227" s="94"/>
      <c r="J227" s="94"/>
      <c r="K227" s="94"/>
      <c r="L227" s="84"/>
      <c r="M227" s="84"/>
      <c r="N227" s="84"/>
      <c r="O227" s="84"/>
      <c r="P227" s="84"/>
      <c r="Q227" s="84"/>
      <c r="R227" s="84"/>
      <c r="S227" s="84"/>
      <c r="T227" s="84"/>
      <c r="U227" s="84"/>
      <c r="V227" s="84"/>
      <c r="W227" s="84"/>
      <c r="X227" s="84"/>
      <c r="Y227" s="84"/>
      <c r="Z227" s="84"/>
      <c r="AA227" s="84"/>
      <c r="AB227" s="84"/>
      <c r="AC227" s="84"/>
      <c r="AD227" s="84"/>
      <c r="AE227" s="84"/>
      <c r="AF227" s="84"/>
      <c r="AG227" s="84"/>
      <c r="AH227" s="84"/>
      <c r="AI227" s="84"/>
      <c r="AJ227" s="84"/>
      <c r="AK227" s="84"/>
      <c r="AL227" s="84"/>
      <c r="AM227" s="84"/>
      <c r="AN227" s="84"/>
      <c r="AO227" s="84"/>
      <c r="AP227" s="84"/>
      <c r="AQ227" s="84"/>
      <c r="AR227" s="84"/>
      <c r="AS227" s="84"/>
      <c r="AT227" s="84"/>
      <c r="AU227" s="84"/>
      <c r="AV227" s="84"/>
      <c r="AW227" s="84"/>
      <c r="AX227" s="87">
        <f t="array" ref="AX227">IF(G227=1,SUM((ROW(M0)=ROW(AW227))*(M0+M1_+M2_+M3_+M4_+M5_+M6_+M7_+M8_+M9_+M10_+M11_+M12_+M13_+M14_+M15_+M16_+M17_+M18_+M19_+M20_+M21_+M22_+M23_+M24_+M25_+M26_+M27_+M28_+M29_+M30_+M31_+M32_+M33_+M34_+M35_+M36_+M37_)),0)</f>
        <v>0</v>
      </c>
      <c r="AZ227" s="24" t="str">
        <f t="shared" si="61"/>
        <v/>
      </c>
      <c r="BA227" s="24" t="str">
        <f t="shared" si="62"/>
        <v/>
      </c>
      <c r="BB227" s="24" t="str">
        <f t="shared" si="63"/>
        <v/>
      </c>
      <c r="BC227" s="24" t="str">
        <f>IF(OR(E227="",LEFT(TableCosts[[#This Row],[Calc_N_Typ]],18)="Vynaložené náklady"),"",VLOOKUP(E227,Tab_Parts,2,0))</f>
        <v/>
      </c>
      <c r="BD227" s="24" t="str">
        <f t="shared" si="64"/>
        <v/>
      </c>
      <c r="BE227" s="24">
        <f t="shared" si="65"/>
        <v>0</v>
      </c>
      <c r="BF227" s="72">
        <f>TableCosts[[#This Row],[N_Amount]]*TableCosts[[#This Row],[N_Tariff]]*TableCosts[[#This Row],[N_ItemsCount]]</f>
        <v>0</v>
      </c>
      <c r="BG227" s="72">
        <f>IF(G227=1,IF(TableCosts[[#This Row],[N_Kateg]]="interné práce",TableCosts[[#This Row],[N_Amount]]*8*PAR_SGA_PERHOUR,0),0)</f>
        <v>0</v>
      </c>
      <c r="BH227" s="72">
        <f>SUM(TableCosts[[#This Row],[N_Direct]:[N_SGA]])</f>
        <v>0</v>
      </c>
      <c r="BI227" s="24">
        <f>IF(G227=1,IF(OR(AND(NOT(ISERROR(VLOOKUP(TableCosts[[#This Row],[Calc_N_Typ]],Cis_WorkPositions,1,0))),C227&lt;&gt;"",D227&lt;&gt;"",E227&lt;&gt;""),AND(ISERROR(VLOOKUP(TableCosts[[#This Row],[Calc_N_Typ]],Cis_WorkPositions,1,0)),C227="",D227="",E227&lt;&gt;""),LEFT(TableCosts[[#This Row],[Calc_N_Typ]],18)="Vynaložené náklady"),VLOOKUP(C227&amp;TableCosts[[#This Row],[Calc_N_Typ]],TRAN_STRITEMS_LABEL,VLOOKUP(D227,Tab_Hours,3,0),0),NA()),0)</f>
        <v>0</v>
      </c>
      <c r="BJ227" s="24">
        <f t="shared" si="66"/>
        <v>0</v>
      </c>
      <c r="BK227" s="24" t="str">
        <f t="shared" si="67"/>
        <v/>
      </c>
      <c r="BL227" s="24" t="str">
        <f t="shared" si="68"/>
        <v/>
      </c>
      <c r="BM227" s="24" t="str">
        <f>IF(G227=1,IF(TableCosts[[#This Row],[TransferFrom]]=TableCosts[[#This Row],[TranferTo]],0,1),"")</f>
        <v/>
      </c>
      <c r="BN227" s="24" t="str">
        <f t="shared" si="69"/>
        <v/>
      </c>
      <c r="BO227" s="24">
        <f t="shared" si="70"/>
        <v>0</v>
      </c>
      <c r="BP227" s="24">
        <f t="shared" si="71"/>
        <v>0</v>
      </c>
    </row>
    <row r="228" spans="2:68" s="24" customFormat="1" ht="12.75" x14ac:dyDescent="0.2">
      <c r="B228" s="97"/>
      <c r="C228" s="92"/>
      <c r="D228" s="92"/>
      <c r="E228" s="92"/>
      <c r="F228" s="31" t="str">
        <f>IF(G228=1,IF(ISERROR(TableCosts[[#This Row],[N_Tariff]]),Err_Message1,IF(TableCosts[[#This Row],[N_Tariff]]=0,Err_Message2,VLOOKUP(C228&amp;TableCosts[[#This Row],[Calc_N_Typ]],TRAN_STRITEMS_LABEL,5,FALSE))),"")</f>
        <v/>
      </c>
      <c r="G228" s="31">
        <f t="shared" si="60"/>
        <v>0</v>
      </c>
      <c r="H228" s="31" t="str">
        <f>IF(G228=1,IFERROR(VLOOKUP(F228,Tab_ErrMessage[],2,0),VLOOKUP(C228&amp;TableCosts[[#This Row],[Calc_N_Typ]],TRAN_STRITEMS_LABEL,4,FALSE)),"")</f>
        <v/>
      </c>
      <c r="I228" s="94"/>
      <c r="J228" s="94"/>
      <c r="K228" s="94"/>
      <c r="L228" s="84"/>
      <c r="M228" s="84"/>
      <c r="N228" s="84"/>
      <c r="O228" s="84"/>
      <c r="P228" s="84"/>
      <c r="Q228" s="84"/>
      <c r="R228" s="84"/>
      <c r="S228" s="84"/>
      <c r="T228" s="84"/>
      <c r="U228" s="84"/>
      <c r="V228" s="84"/>
      <c r="W228" s="84"/>
      <c r="X228" s="84"/>
      <c r="Y228" s="84"/>
      <c r="Z228" s="84"/>
      <c r="AA228" s="84"/>
      <c r="AB228" s="84"/>
      <c r="AC228" s="84"/>
      <c r="AD228" s="84"/>
      <c r="AE228" s="84"/>
      <c r="AF228" s="84"/>
      <c r="AG228" s="84"/>
      <c r="AH228" s="84"/>
      <c r="AI228" s="84"/>
      <c r="AJ228" s="84"/>
      <c r="AK228" s="84"/>
      <c r="AL228" s="84"/>
      <c r="AM228" s="84"/>
      <c r="AN228" s="84"/>
      <c r="AO228" s="84"/>
      <c r="AP228" s="84"/>
      <c r="AQ228" s="84"/>
      <c r="AR228" s="84"/>
      <c r="AS228" s="84"/>
      <c r="AT228" s="84"/>
      <c r="AU228" s="84"/>
      <c r="AV228" s="84"/>
      <c r="AW228" s="84"/>
      <c r="AX228" s="87">
        <f t="array" ref="AX228">IF(G228=1,SUM((ROW(M0)=ROW(AW228))*(M0+M1_+M2_+M3_+M4_+M5_+M6_+M7_+M8_+M9_+M10_+M11_+M12_+M13_+M14_+M15_+M16_+M17_+M18_+M19_+M20_+M21_+M22_+M23_+M24_+M25_+M26_+M27_+M28_+M29_+M30_+M31_+M32_+M33_+M34_+M35_+M36_+M37_)),0)</f>
        <v>0</v>
      </c>
      <c r="AZ228" s="24" t="str">
        <f t="shared" si="61"/>
        <v/>
      </c>
      <c r="BA228" s="24" t="str">
        <f t="shared" si="62"/>
        <v/>
      </c>
      <c r="BB228" s="24" t="str">
        <f t="shared" si="63"/>
        <v/>
      </c>
      <c r="BC228" s="24" t="str">
        <f>IF(OR(E228="",LEFT(TableCosts[[#This Row],[Calc_N_Typ]],18)="Vynaložené náklady"),"",VLOOKUP(E228,Tab_Parts,2,0))</f>
        <v/>
      </c>
      <c r="BD228" s="24" t="str">
        <f t="shared" si="64"/>
        <v/>
      </c>
      <c r="BE228" s="24">
        <f t="shared" si="65"/>
        <v>0</v>
      </c>
      <c r="BF228" s="72">
        <f>TableCosts[[#This Row],[N_Amount]]*TableCosts[[#This Row],[N_Tariff]]*TableCosts[[#This Row],[N_ItemsCount]]</f>
        <v>0</v>
      </c>
      <c r="BG228" s="72">
        <f>IF(G228=1,IF(TableCosts[[#This Row],[N_Kateg]]="interné práce",TableCosts[[#This Row],[N_Amount]]*8*PAR_SGA_PERHOUR,0),0)</f>
        <v>0</v>
      </c>
      <c r="BH228" s="72">
        <f>SUM(TableCosts[[#This Row],[N_Direct]:[N_SGA]])</f>
        <v>0</v>
      </c>
      <c r="BI228" s="24">
        <f>IF(G228=1,IF(OR(AND(NOT(ISERROR(VLOOKUP(TableCosts[[#This Row],[Calc_N_Typ]],Cis_WorkPositions,1,0))),C228&lt;&gt;"",D228&lt;&gt;"",E228&lt;&gt;""),AND(ISERROR(VLOOKUP(TableCosts[[#This Row],[Calc_N_Typ]],Cis_WorkPositions,1,0)),C228="",D228="",E228&lt;&gt;""),LEFT(TableCosts[[#This Row],[Calc_N_Typ]],18)="Vynaložené náklady"),VLOOKUP(C228&amp;TableCosts[[#This Row],[Calc_N_Typ]],TRAN_STRITEMS_LABEL,VLOOKUP(D228,Tab_Hours,3,0),0),NA()),0)</f>
        <v>0</v>
      </c>
      <c r="BJ228" s="24">
        <f t="shared" si="66"/>
        <v>0</v>
      </c>
      <c r="BK228" s="24" t="str">
        <f t="shared" si="67"/>
        <v/>
      </c>
      <c r="BL228" s="24" t="str">
        <f t="shared" si="68"/>
        <v/>
      </c>
      <c r="BM228" s="24" t="str">
        <f>IF(G228=1,IF(TableCosts[[#This Row],[TransferFrom]]=TableCosts[[#This Row],[TranferTo]],0,1),"")</f>
        <v/>
      </c>
      <c r="BN228" s="24" t="str">
        <f t="shared" si="69"/>
        <v/>
      </c>
      <c r="BO228" s="24">
        <f t="shared" si="70"/>
        <v>0</v>
      </c>
      <c r="BP228" s="24">
        <f t="shared" si="71"/>
        <v>0</v>
      </c>
    </row>
    <row r="229" spans="2:68" s="24" customFormat="1" ht="12.75" x14ac:dyDescent="0.2">
      <c r="B229" s="97"/>
      <c r="C229" s="92"/>
      <c r="D229" s="92"/>
      <c r="E229" s="92"/>
      <c r="F229" s="31" t="str">
        <f>IF(G229=1,IF(ISERROR(TableCosts[[#This Row],[N_Tariff]]),Err_Message1,IF(TableCosts[[#This Row],[N_Tariff]]=0,Err_Message2,VLOOKUP(C229&amp;TableCosts[[#This Row],[Calc_N_Typ]],TRAN_STRITEMS_LABEL,5,FALSE))),"")</f>
        <v/>
      </c>
      <c r="G229" s="31">
        <f t="shared" si="60"/>
        <v>0</v>
      </c>
      <c r="H229" s="31" t="str">
        <f>IF(G229=1,IFERROR(VLOOKUP(F229,Tab_ErrMessage[],2,0),VLOOKUP(C229&amp;TableCosts[[#This Row],[Calc_N_Typ]],TRAN_STRITEMS_LABEL,4,FALSE)),"")</f>
        <v/>
      </c>
      <c r="I229" s="94"/>
      <c r="J229" s="94"/>
      <c r="K229" s="94"/>
      <c r="L229" s="84"/>
      <c r="M229" s="84"/>
      <c r="N229" s="84"/>
      <c r="O229" s="84"/>
      <c r="P229" s="84"/>
      <c r="Q229" s="84"/>
      <c r="R229" s="84"/>
      <c r="S229" s="84"/>
      <c r="T229" s="84"/>
      <c r="U229" s="84"/>
      <c r="V229" s="84"/>
      <c r="W229" s="84"/>
      <c r="X229" s="84"/>
      <c r="Y229" s="84"/>
      <c r="Z229" s="84"/>
      <c r="AA229" s="84"/>
      <c r="AB229" s="84"/>
      <c r="AC229" s="84"/>
      <c r="AD229" s="84"/>
      <c r="AE229" s="84"/>
      <c r="AF229" s="84"/>
      <c r="AG229" s="84"/>
      <c r="AH229" s="84"/>
      <c r="AI229" s="84"/>
      <c r="AJ229" s="84"/>
      <c r="AK229" s="84"/>
      <c r="AL229" s="84"/>
      <c r="AM229" s="84"/>
      <c r="AN229" s="84"/>
      <c r="AO229" s="84"/>
      <c r="AP229" s="84"/>
      <c r="AQ229" s="84"/>
      <c r="AR229" s="84"/>
      <c r="AS229" s="84"/>
      <c r="AT229" s="84"/>
      <c r="AU229" s="84"/>
      <c r="AV229" s="84"/>
      <c r="AW229" s="84"/>
      <c r="AX229" s="87">
        <f t="array" ref="AX229">IF(G229=1,SUM((ROW(M0)=ROW(AW229))*(M0+M1_+M2_+M3_+M4_+M5_+M6_+M7_+M8_+M9_+M10_+M11_+M12_+M13_+M14_+M15_+M16_+M17_+M18_+M19_+M20_+M21_+M22_+M23_+M24_+M25_+M26_+M27_+M28_+M29_+M30_+M31_+M32_+M33_+M34_+M35_+M36_+M37_)),0)</f>
        <v>0</v>
      </c>
      <c r="AZ229" s="24" t="str">
        <f t="shared" si="61"/>
        <v/>
      </c>
      <c r="BA229" s="24" t="str">
        <f t="shared" si="62"/>
        <v/>
      </c>
      <c r="BB229" s="24" t="str">
        <f t="shared" si="63"/>
        <v/>
      </c>
      <c r="BC229" s="24" t="str">
        <f>IF(OR(E229="",LEFT(TableCosts[[#This Row],[Calc_N_Typ]],18)="Vynaložené náklady"),"",VLOOKUP(E229,Tab_Parts,2,0))</f>
        <v/>
      </c>
      <c r="BD229" s="24" t="str">
        <f t="shared" si="64"/>
        <v/>
      </c>
      <c r="BE229" s="24">
        <f t="shared" si="65"/>
        <v>0</v>
      </c>
      <c r="BF229" s="72">
        <f>TableCosts[[#This Row],[N_Amount]]*TableCosts[[#This Row],[N_Tariff]]*TableCosts[[#This Row],[N_ItemsCount]]</f>
        <v>0</v>
      </c>
      <c r="BG229" s="72">
        <f>IF(G229=1,IF(TableCosts[[#This Row],[N_Kateg]]="interné práce",TableCosts[[#This Row],[N_Amount]]*8*PAR_SGA_PERHOUR,0),0)</f>
        <v>0</v>
      </c>
      <c r="BH229" s="72">
        <f>SUM(TableCosts[[#This Row],[N_Direct]:[N_SGA]])</f>
        <v>0</v>
      </c>
      <c r="BI229" s="24">
        <f>IF(G229=1,IF(OR(AND(NOT(ISERROR(VLOOKUP(TableCosts[[#This Row],[Calc_N_Typ]],Cis_WorkPositions,1,0))),C229&lt;&gt;"",D229&lt;&gt;"",E229&lt;&gt;""),AND(ISERROR(VLOOKUP(TableCosts[[#This Row],[Calc_N_Typ]],Cis_WorkPositions,1,0)),C229="",D229="",E229&lt;&gt;""),LEFT(TableCosts[[#This Row],[Calc_N_Typ]],18)="Vynaložené náklady"),VLOOKUP(C229&amp;TableCosts[[#This Row],[Calc_N_Typ]],TRAN_STRITEMS_LABEL,VLOOKUP(D229,Tab_Hours,3,0),0),NA()),0)</f>
        <v>0</v>
      </c>
      <c r="BJ229" s="24">
        <f t="shared" si="66"/>
        <v>0</v>
      </c>
      <c r="BK229" s="24" t="str">
        <f t="shared" si="67"/>
        <v/>
      </c>
      <c r="BL229" s="24" t="str">
        <f t="shared" si="68"/>
        <v/>
      </c>
      <c r="BM229" s="24" t="str">
        <f>IF(G229=1,IF(TableCosts[[#This Row],[TransferFrom]]=TableCosts[[#This Row],[TranferTo]],0,1),"")</f>
        <v/>
      </c>
      <c r="BN229" s="24" t="str">
        <f t="shared" si="69"/>
        <v/>
      </c>
      <c r="BO229" s="24">
        <f t="shared" si="70"/>
        <v>0</v>
      </c>
      <c r="BP229" s="24">
        <f t="shared" si="71"/>
        <v>0</v>
      </c>
    </row>
    <row r="230" spans="2:68" s="24" customFormat="1" ht="12.75" x14ac:dyDescent="0.2">
      <c r="B230" s="97"/>
      <c r="C230" s="92"/>
      <c r="D230" s="92"/>
      <c r="E230" s="92"/>
      <c r="F230" s="31" t="str">
        <f>IF(G230=1,IF(ISERROR(TableCosts[[#This Row],[N_Tariff]]),Err_Message1,IF(TableCosts[[#This Row],[N_Tariff]]=0,Err_Message2,VLOOKUP(C230&amp;TableCosts[[#This Row],[Calc_N_Typ]],TRAN_STRITEMS_LABEL,5,FALSE))),"")</f>
        <v/>
      </c>
      <c r="G230" s="31">
        <f t="shared" si="60"/>
        <v>0</v>
      </c>
      <c r="H230" s="31" t="str">
        <f>IF(G230=1,IFERROR(VLOOKUP(F230,Tab_ErrMessage[],2,0),VLOOKUP(C230&amp;TableCosts[[#This Row],[Calc_N_Typ]],TRAN_STRITEMS_LABEL,4,FALSE)),"")</f>
        <v/>
      </c>
      <c r="I230" s="94"/>
      <c r="J230" s="94"/>
      <c r="K230" s="94"/>
      <c r="L230" s="84"/>
      <c r="M230" s="84"/>
      <c r="N230" s="84"/>
      <c r="O230" s="84"/>
      <c r="P230" s="84"/>
      <c r="Q230" s="84"/>
      <c r="R230" s="84"/>
      <c r="S230" s="84"/>
      <c r="T230" s="84"/>
      <c r="U230" s="84"/>
      <c r="V230" s="84"/>
      <c r="W230" s="84"/>
      <c r="X230" s="84"/>
      <c r="Y230" s="84"/>
      <c r="Z230" s="84"/>
      <c r="AA230" s="84"/>
      <c r="AB230" s="84"/>
      <c r="AC230" s="84"/>
      <c r="AD230" s="84"/>
      <c r="AE230" s="84"/>
      <c r="AF230" s="84"/>
      <c r="AG230" s="84"/>
      <c r="AH230" s="84"/>
      <c r="AI230" s="84"/>
      <c r="AJ230" s="84"/>
      <c r="AK230" s="84"/>
      <c r="AL230" s="84"/>
      <c r="AM230" s="84"/>
      <c r="AN230" s="84"/>
      <c r="AO230" s="84"/>
      <c r="AP230" s="84"/>
      <c r="AQ230" s="84"/>
      <c r="AR230" s="84"/>
      <c r="AS230" s="84"/>
      <c r="AT230" s="84"/>
      <c r="AU230" s="84"/>
      <c r="AV230" s="84"/>
      <c r="AW230" s="84"/>
      <c r="AX230" s="87">
        <f t="array" ref="AX230">IF(G230=1,SUM((ROW(M0)=ROW(AW230))*(M0+M1_+M2_+M3_+M4_+M5_+M6_+M7_+M8_+M9_+M10_+M11_+M12_+M13_+M14_+M15_+M16_+M17_+M18_+M19_+M20_+M21_+M22_+M23_+M24_+M25_+M26_+M27_+M28_+M29_+M30_+M31_+M32_+M33_+M34_+M35_+M36_+M37_)),0)</f>
        <v>0</v>
      </c>
      <c r="AZ230" s="24" t="str">
        <f t="shared" si="61"/>
        <v/>
      </c>
      <c r="BA230" s="24" t="str">
        <f t="shared" si="62"/>
        <v/>
      </c>
      <c r="BB230" s="24" t="str">
        <f t="shared" si="63"/>
        <v/>
      </c>
      <c r="BC230" s="24" t="str">
        <f>IF(OR(E230="",LEFT(TableCosts[[#This Row],[Calc_N_Typ]],18)="Vynaložené náklady"),"",VLOOKUP(E230,Tab_Parts,2,0))</f>
        <v/>
      </c>
      <c r="BD230" s="24" t="str">
        <f t="shared" si="64"/>
        <v/>
      </c>
      <c r="BE230" s="24">
        <f t="shared" si="65"/>
        <v>0</v>
      </c>
      <c r="BF230" s="72">
        <f>TableCosts[[#This Row],[N_Amount]]*TableCosts[[#This Row],[N_Tariff]]*TableCosts[[#This Row],[N_ItemsCount]]</f>
        <v>0</v>
      </c>
      <c r="BG230" s="72">
        <f>IF(G230=1,IF(TableCosts[[#This Row],[N_Kateg]]="interné práce",TableCosts[[#This Row],[N_Amount]]*8*PAR_SGA_PERHOUR,0),0)</f>
        <v>0</v>
      </c>
      <c r="BH230" s="72">
        <f>SUM(TableCosts[[#This Row],[N_Direct]:[N_SGA]])</f>
        <v>0</v>
      </c>
      <c r="BI230" s="24">
        <f>IF(G230=1,IF(OR(AND(NOT(ISERROR(VLOOKUP(TableCosts[[#This Row],[Calc_N_Typ]],Cis_WorkPositions,1,0))),C230&lt;&gt;"",D230&lt;&gt;"",E230&lt;&gt;""),AND(ISERROR(VLOOKUP(TableCosts[[#This Row],[Calc_N_Typ]],Cis_WorkPositions,1,0)),C230="",D230="",E230&lt;&gt;""),LEFT(TableCosts[[#This Row],[Calc_N_Typ]],18)="Vynaložené náklady"),VLOOKUP(C230&amp;TableCosts[[#This Row],[Calc_N_Typ]],TRAN_STRITEMS_LABEL,VLOOKUP(D230,Tab_Hours,3,0),0),NA()),0)</f>
        <v>0</v>
      </c>
      <c r="BJ230" s="24">
        <f t="shared" si="66"/>
        <v>0</v>
      </c>
      <c r="BK230" s="24" t="str">
        <f t="shared" si="67"/>
        <v/>
      </c>
      <c r="BL230" s="24" t="str">
        <f t="shared" si="68"/>
        <v/>
      </c>
      <c r="BM230" s="24" t="str">
        <f>IF(G230=1,IF(TableCosts[[#This Row],[TransferFrom]]=TableCosts[[#This Row],[TranferTo]],0,1),"")</f>
        <v/>
      </c>
      <c r="BN230" s="24" t="str">
        <f t="shared" si="69"/>
        <v/>
      </c>
      <c r="BO230" s="24">
        <f t="shared" si="70"/>
        <v>0</v>
      </c>
      <c r="BP230" s="24">
        <f t="shared" si="71"/>
        <v>0</v>
      </c>
    </row>
    <row r="231" spans="2:68" s="24" customFormat="1" ht="12.75" x14ac:dyDescent="0.2">
      <c r="B231" s="97"/>
      <c r="C231" s="92"/>
      <c r="D231" s="92"/>
      <c r="E231" s="92"/>
      <c r="F231" s="31" t="str">
        <f>IF(G231=1,IF(ISERROR(TableCosts[[#This Row],[N_Tariff]]),Err_Message1,IF(TableCosts[[#This Row],[N_Tariff]]=0,Err_Message2,VLOOKUP(C231&amp;TableCosts[[#This Row],[Calc_N_Typ]],TRAN_STRITEMS_LABEL,5,FALSE))),"")</f>
        <v/>
      </c>
      <c r="G231" s="31">
        <f t="shared" si="60"/>
        <v>0</v>
      </c>
      <c r="H231" s="31" t="str">
        <f>IF(G231=1,IFERROR(VLOOKUP(F231,Tab_ErrMessage[],2,0),VLOOKUP(C231&amp;TableCosts[[#This Row],[Calc_N_Typ]],TRAN_STRITEMS_LABEL,4,FALSE)),"")</f>
        <v/>
      </c>
      <c r="I231" s="94"/>
      <c r="J231" s="94"/>
      <c r="K231" s="94"/>
      <c r="L231" s="84"/>
      <c r="M231" s="84"/>
      <c r="N231" s="84"/>
      <c r="O231" s="84"/>
      <c r="P231" s="84"/>
      <c r="Q231" s="84"/>
      <c r="R231" s="84"/>
      <c r="S231" s="84"/>
      <c r="T231" s="84"/>
      <c r="U231" s="84"/>
      <c r="V231" s="84"/>
      <c r="W231" s="84"/>
      <c r="X231" s="84"/>
      <c r="Y231" s="84"/>
      <c r="Z231" s="84"/>
      <c r="AA231" s="84"/>
      <c r="AB231" s="84"/>
      <c r="AC231" s="84"/>
      <c r="AD231" s="84"/>
      <c r="AE231" s="84"/>
      <c r="AF231" s="84"/>
      <c r="AG231" s="84"/>
      <c r="AH231" s="84"/>
      <c r="AI231" s="84"/>
      <c r="AJ231" s="84"/>
      <c r="AK231" s="84"/>
      <c r="AL231" s="84"/>
      <c r="AM231" s="84"/>
      <c r="AN231" s="84"/>
      <c r="AO231" s="84"/>
      <c r="AP231" s="84"/>
      <c r="AQ231" s="84"/>
      <c r="AR231" s="84"/>
      <c r="AS231" s="84"/>
      <c r="AT231" s="84"/>
      <c r="AU231" s="84"/>
      <c r="AV231" s="84"/>
      <c r="AW231" s="84"/>
      <c r="AX231" s="87">
        <f t="array" ref="AX231">IF(G231=1,SUM((ROW(M0)=ROW(AW231))*(M0+M1_+M2_+M3_+M4_+M5_+M6_+M7_+M8_+M9_+M10_+M11_+M12_+M13_+M14_+M15_+M16_+M17_+M18_+M19_+M20_+M21_+M22_+M23_+M24_+M25_+M26_+M27_+M28_+M29_+M30_+M31_+M32_+M33_+M34_+M35_+M36_+M37_)),0)</f>
        <v>0</v>
      </c>
      <c r="AZ231" s="24" t="str">
        <f t="shared" si="61"/>
        <v/>
      </c>
      <c r="BA231" s="24" t="str">
        <f t="shared" si="62"/>
        <v/>
      </c>
      <c r="BB231" s="24" t="str">
        <f t="shared" si="63"/>
        <v/>
      </c>
      <c r="BC231" s="24" t="str">
        <f>IF(OR(E231="",LEFT(TableCosts[[#This Row],[Calc_N_Typ]],18)="Vynaložené náklady"),"",VLOOKUP(E231,Tab_Parts,2,0))</f>
        <v/>
      </c>
      <c r="BD231" s="24" t="str">
        <f t="shared" si="64"/>
        <v/>
      </c>
      <c r="BE231" s="24">
        <f t="shared" si="65"/>
        <v>0</v>
      </c>
      <c r="BF231" s="72">
        <f>TableCosts[[#This Row],[N_Amount]]*TableCosts[[#This Row],[N_Tariff]]*TableCosts[[#This Row],[N_ItemsCount]]</f>
        <v>0</v>
      </c>
      <c r="BG231" s="72">
        <f>IF(G231=1,IF(TableCosts[[#This Row],[N_Kateg]]="interné práce",TableCosts[[#This Row],[N_Amount]]*8*PAR_SGA_PERHOUR,0),0)</f>
        <v>0</v>
      </c>
      <c r="BH231" s="72">
        <f>SUM(TableCosts[[#This Row],[N_Direct]:[N_SGA]])</f>
        <v>0</v>
      </c>
      <c r="BI231" s="24">
        <f>IF(G231=1,IF(OR(AND(NOT(ISERROR(VLOOKUP(TableCosts[[#This Row],[Calc_N_Typ]],Cis_WorkPositions,1,0))),C231&lt;&gt;"",D231&lt;&gt;"",E231&lt;&gt;""),AND(ISERROR(VLOOKUP(TableCosts[[#This Row],[Calc_N_Typ]],Cis_WorkPositions,1,0)),C231="",D231="",E231&lt;&gt;""),LEFT(TableCosts[[#This Row],[Calc_N_Typ]],18)="Vynaložené náklady"),VLOOKUP(C231&amp;TableCosts[[#This Row],[Calc_N_Typ]],TRAN_STRITEMS_LABEL,VLOOKUP(D231,Tab_Hours,3,0),0),NA()),0)</f>
        <v>0</v>
      </c>
      <c r="BJ231" s="24">
        <f t="shared" si="66"/>
        <v>0</v>
      </c>
      <c r="BK231" s="24" t="str">
        <f t="shared" si="67"/>
        <v/>
      </c>
      <c r="BL231" s="24" t="str">
        <f t="shared" si="68"/>
        <v/>
      </c>
      <c r="BM231" s="24" t="str">
        <f>IF(G231=1,IF(TableCosts[[#This Row],[TransferFrom]]=TableCosts[[#This Row],[TranferTo]],0,1),"")</f>
        <v/>
      </c>
      <c r="BN231" s="24" t="str">
        <f t="shared" si="69"/>
        <v/>
      </c>
      <c r="BO231" s="24">
        <f t="shared" si="70"/>
        <v>0</v>
      </c>
      <c r="BP231" s="24">
        <f t="shared" si="71"/>
        <v>0</v>
      </c>
    </row>
    <row r="232" spans="2:68" s="24" customFormat="1" ht="12.75" x14ac:dyDescent="0.2">
      <c r="B232" s="97"/>
      <c r="C232" s="92"/>
      <c r="D232" s="92"/>
      <c r="E232" s="92"/>
      <c r="F232" s="31" t="str">
        <f>IF(G232=1,IF(ISERROR(TableCosts[[#This Row],[N_Tariff]]),Err_Message1,IF(TableCosts[[#This Row],[N_Tariff]]=0,Err_Message2,VLOOKUP(C232&amp;TableCosts[[#This Row],[Calc_N_Typ]],TRAN_STRITEMS_LABEL,5,FALSE))),"")</f>
        <v/>
      </c>
      <c r="G232" s="31">
        <f t="shared" si="60"/>
        <v>0</v>
      </c>
      <c r="H232" s="31" t="str">
        <f>IF(G232=1,IFERROR(VLOOKUP(F232,Tab_ErrMessage[],2,0),VLOOKUP(C232&amp;TableCosts[[#This Row],[Calc_N_Typ]],TRAN_STRITEMS_LABEL,4,FALSE)),"")</f>
        <v/>
      </c>
      <c r="I232" s="94"/>
      <c r="J232" s="94"/>
      <c r="K232" s="94"/>
      <c r="L232" s="84"/>
      <c r="M232" s="84"/>
      <c r="N232" s="84"/>
      <c r="O232" s="84"/>
      <c r="P232" s="84"/>
      <c r="Q232" s="84"/>
      <c r="R232" s="84"/>
      <c r="S232" s="84"/>
      <c r="T232" s="84"/>
      <c r="U232" s="84"/>
      <c r="V232" s="84"/>
      <c r="W232" s="84"/>
      <c r="X232" s="84"/>
      <c r="Y232" s="84"/>
      <c r="Z232" s="84"/>
      <c r="AA232" s="84"/>
      <c r="AB232" s="84"/>
      <c r="AC232" s="84"/>
      <c r="AD232" s="84"/>
      <c r="AE232" s="84"/>
      <c r="AF232" s="84"/>
      <c r="AG232" s="84"/>
      <c r="AH232" s="84"/>
      <c r="AI232" s="84"/>
      <c r="AJ232" s="84"/>
      <c r="AK232" s="84"/>
      <c r="AL232" s="84"/>
      <c r="AM232" s="84"/>
      <c r="AN232" s="84"/>
      <c r="AO232" s="84"/>
      <c r="AP232" s="84"/>
      <c r="AQ232" s="84"/>
      <c r="AR232" s="84"/>
      <c r="AS232" s="84"/>
      <c r="AT232" s="84"/>
      <c r="AU232" s="84"/>
      <c r="AV232" s="84"/>
      <c r="AW232" s="84"/>
      <c r="AX232" s="87">
        <f t="array" ref="AX232">IF(G232=1,SUM((ROW(M0)=ROW(AW232))*(M0+M1_+M2_+M3_+M4_+M5_+M6_+M7_+M8_+M9_+M10_+M11_+M12_+M13_+M14_+M15_+M16_+M17_+M18_+M19_+M20_+M21_+M22_+M23_+M24_+M25_+M26_+M27_+M28_+M29_+M30_+M31_+M32_+M33_+M34_+M35_+M36_+M37_)),0)</f>
        <v>0</v>
      </c>
      <c r="AZ232" s="24" t="str">
        <f t="shared" si="61"/>
        <v/>
      </c>
      <c r="BA232" s="24" t="str">
        <f t="shared" si="62"/>
        <v/>
      </c>
      <c r="BB232" s="24" t="str">
        <f t="shared" si="63"/>
        <v/>
      </c>
      <c r="BC232" s="24" t="str">
        <f>IF(OR(E232="",LEFT(TableCosts[[#This Row],[Calc_N_Typ]],18)="Vynaložené náklady"),"",VLOOKUP(E232,Tab_Parts,2,0))</f>
        <v/>
      </c>
      <c r="BD232" s="24" t="str">
        <f t="shared" si="64"/>
        <v/>
      </c>
      <c r="BE232" s="24">
        <f t="shared" si="65"/>
        <v>0</v>
      </c>
      <c r="BF232" s="72">
        <f>TableCosts[[#This Row],[N_Amount]]*TableCosts[[#This Row],[N_Tariff]]*TableCosts[[#This Row],[N_ItemsCount]]</f>
        <v>0</v>
      </c>
      <c r="BG232" s="72">
        <f>IF(G232=1,IF(TableCosts[[#This Row],[N_Kateg]]="interné práce",TableCosts[[#This Row],[N_Amount]]*8*PAR_SGA_PERHOUR,0),0)</f>
        <v>0</v>
      </c>
      <c r="BH232" s="72">
        <f>SUM(TableCosts[[#This Row],[N_Direct]:[N_SGA]])</f>
        <v>0</v>
      </c>
      <c r="BI232" s="24">
        <f>IF(G232=1,IF(OR(AND(NOT(ISERROR(VLOOKUP(TableCosts[[#This Row],[Calc_N_Typ]],Cis_WorkPositions,1,0))),C232&lt;&gt;"",D232&lt;&gt;"",E232&lt;&gt;""),AND(ISERROR(VLOOKUP(TableCosts[[#This Row],[Calc_N_Typ]],Cis_WorkPositions,1,0)),C232="",D232="",E232&lt;&gt;""),LEFT(TableCosts[[#This Row],[Calc_N_Typ]],18)="Vynaložené náklady"),VLOOKUP(C232&amp;TableCosts[[#This Row],[Calc_N_Typ]],TRAN_STRITEMS_LABEL,VLOOKUP(D232,Tab_Hours,3,0),0),NA()),0)</f>
        <v>0</v>
      </c>
      <c r="BJ232" s="24">
        <f t="shared" si="66"/>
        <v>0</v>
      </c>
      <c r="BK232" s="24" t="str">
        <f t="shared" si="67"/>
        <v/>
      </c>
      <c r="BL232" s="24" t="str">
        <f t="shared" si="68"/>
        <v/>
      </c>
      <c r="BM232" s="24" t="str">
        <f>IF(G232=1,IF(TableCosts[[#This Row],[TransferFrom]]=TableCosts[[#This Row],[TranferTo]],0,1),"")</f>
        <v/>
      </c>
      <c r="BN232" s="24" t="str">
        <f t="shared" si="69"/>
        <v/>
      </c>
      <c r="BO232" s="24">
        <f t="shared" si="70"/>
        <v>0</v>
      </c>
      <c r="BP232" s="24">
        <f t="shared" si="71"/>
        <v>0</v>
      </c>
    </row>
    <row r="233" spans="2:68" s="24" customFormat="1" ht="12.75" x14ac:dyDescent="0.2">
      <c r="B233" s="97"/>
      <c r="C233" s="92"/>
      <c r="D233" s="92"/>
      <c r="E233" s="92"/>
      <c r="F233" s="31" t="str">
        <f>IF(G233=1,IF(ISERROR(TableCosts[[#This Row],[N_Tariff]]),Err_Message1,IF(TableCosts[[#This Row],[N_Tariff]]=0,Err_Message2,VLOOKUP(C233&amp;TableCosts[[#This Row],[Calc_N_Typ]],TRAN_STRITEMS_LABEL,5,FALSE))),"")</f>
        <v/>
      </c>
      <c r="G233" s="31">
        <f t="shared" si="60"/>
        <v>0</v>
      </c>
      <c r="H233" s="31" t="str">
        <f>IF(G233=1,IFERROR(VLOOKUP(F233,Tab_ErrMessage[],2,0),VLOOKUP(C233&amp;TableCosts[[#This Row],[Calc_N_Typ]],TRAN_STRITEMS_LABEL,4,FALSE)),"")</f>
        <v/>
      </c>
      <c r="I233" s="94"/>
      <c r="J233" s="94"/>
      <c r="K233" s="94"/>
      <c r="L233" s="84"/>
      <c r="M233" s="84"/>
      <c r="N233" s="84"/>
      <c r="O233" s="84"/>
      <c r="P233" s="84"/>
      <c r="Q233" s="84"/>
      <c r="R233" s="84"/>
      <c r="S233" s="84"/>
      <c r="T233" s="84"/>
      <c r="U233" s="84"/>
      <c r="V233" s="84"/>
      <c r="W233" s="84"/>
      <c r="X233" s="84"/>
      <c r="Y233" s="84"/>
      <c r="Z233" s="84"/>
      <c r="AA233" s="84"/>
      <c r="AB233" s="84"/>
      <c r="AC233" s="84"/>
      <c r="AD233" s="84"/>
      <c r="AE233" s="84"/>
      <c r="AF233" s="84"/>
      <c r="AG233" s="84"/>
      <c r="AH233" s="84"/>
      <c r="AI233" s="84"/>
      <c r="AJ233" s="84"/>
      <c r="AK233" s="84"/>
      <c r="AL233" s="84"/>
      <c r="AM233" s="84"/>
      <c r="AN233" s="84"/>
      <c r="AO233" s="84"/>
      <c r="AP233" s="84"/>
      <c r="AQ233" s="84"/>
      <c r="AR233" s="84"/>
      <c r="AS233" s="84"/>
      <c r="AT233" s="84"/>
      <c r="AU233" s="84"/>
      <c r="AV233" s="84"/>
      <c r="AW233" s="84"/>
      <c r="AX233" s="87">
        <f t="array" ref="AX233">IF(G233=1,SUM((ROW(M0)=ROW(AW233))*(M0+M1_+M2_+M3_+M4_+M5_+M6_+M7_+M8_+M9_+M10_+M11_+M12_+M13_+M14_+M15_+M16_+M17_+M18_+M19_+M20_+M21_+M22_+M23_+M24_+M25_+M26_+M27_+M28_+M29_+M30_+M31_+M32_+M33_+M34_+M35_+M36_+M37_)),0)</f>
        <v>0</v>
      </c>
      <c r="AZ233" s="24" t="str">
        <f t="shared" si="61"/>
        <v/>
      </c>
      <c r="BA233" s="24" t="str">
        <f t="shared" si="62"/>
        <v/>
      </c>
      <c r="BB233" s="24" t="str">
        <f t="shared" si="63"/>
        <v/>
      </c>
      <c r="BC233" s="24" t="str">
        <f>IF(OR(E233="",LEFT(TableCosts[[#This Row],[Calc_N_Typ]],18)="Vynaložené náklady"),"",VLOOKUP(E233,Tab_Parts,2,0))</f>
        <v/>
      </c>
      <c r="BD233" s="24" t="str">
        <f t="shared" si="64"/>
        <v/>
      </c>
      <c r="BE233" s="24">
        <f t="shared" si="65"/>
        <v>0</v>
      </c>
      <c r="BF233" s="72">
        <f>TableCosts[[#This Row],[N_Amount]]*TableCosts[[#This Row],[N_Tariff]]*TableCosts[[#This Row],[N_ItemsCount]]</f>
        <v>0</v>
      </c>
      <c r="BG233" s="72">
        <f>IF(G233=1,IF(TableCosts[[#This Row],[N_Kateg]]="interné práce",TableCosts[[#This Row],[N_Amount]]*8*PAR_SGA_PERHOUR,0),0)</f>
        <v>0</v>
      </c>
      <c r="BH233" s="72">
        <f>SUM(TableCosts[[#This Row],[N_Direct]:[N_SGA]])</f>
        <v>0</v>
      </c>
      <c r="BI233" s="24">
        <f>IF(G233=1,IF(OR(AND(NOT(ISERROR(VLOOKUP(TableCosts[[#This Row],[Calc_N_Typ]],Cis_WorkPositions,1,0))),C233&lt;&gt;"",D233&lt;&gt;"",E233&lt;&gt;""),AND(ISERROR(VLOOKUP(TableCosts[[#This Row],[Calc_N_Typ]],Cis_WorkPositions,1,0)),C233="",D233="",E233&lt;&gt;""),LEFT(TableCosts[[#This Row],[Calc_N_Typ]],18)="Vynaložené náklady"),VLOOKUP(C233&amp;TableCosts[[#This Row],[Calc_N_Typ]],TRAN_STRITEMS_LABEL,VLOOKUP(D233,Tab_Hours,3,0),0),NA()),0)</f>
        <v>0</v>
      </c>
      <c r="BJ233" s="24">
        <f t="shared" si="66"/>
        <v>0</v>
      </c>
      <c r="BK233" s="24" t="str">
        <f t="shared" si="67"/>
        <v/>
      </c>
      <c r="BL233" s="24" t="str">
        <f t="shared" si="68"/>
        <v/>
      </c>
      <c r="BM233" s="24" t="str">
        <f>IF(G233=1,IF(TableCosts[[#This Row],[TransferFrom]]=TableCosts[[#This Row],[TranferTo]],0,1),"")</f>
        <v/>
      </c>
      <c r="BN233" s="24" t="str">
        <f t="shared" si="69"/>
        <v/>
      </c>
      <c r="BO233" s="24">
        <f t="shared" si="70"/>
        <v>0</v>
      </c>
      <c r="BP233" s="24">
        <f t="shared" si="71"/>
        <v>0</v>
      </c>
    </row>
    <row r="234" spans="2:68" s="24" customFormat="1" ht="12.75" x14ac:dyDescent="0.2">
      <c r="B234" s="97"/>
      <c r="C234" s="92"/>
      <c r="D234" s="92"/>
      <c r="E234" s="92"/>
      <c r="F234" s="31" t="str">
        <f>IF(G234=1,IF(ISERROR(TableCosts[[#This Row],[N_Tariff]]),Err_Message1,IF(TableCosts[[#This Row],[N_Tariff]]=0,Err_Message2,VLOOKUP(C234&amp;TableCosts[[#This Row],[Calc_N_Typ]],TRAN_STRITEMS_LABEL,5,FALSE))),"")</f>
        <v/>
      </c>
      <c r="G234" s="31">
        <f t="shared" si="60"/>
        <v>0</v>
      </c>
      <c r="H234" s="31" t="str">
        <f>IF(G234=1,IFERROR(VLOOKUP(F234,Tab_ErrMessage[],2,0),VLOOKUP(C234&amp;TableCosts[[#This Row],[Calc_N_Typ]],TRAN_STRITEMS_LABEL,4,FALSE)),"")</f>
        <v/>
      </c>
      <c r="I234" s="94"/>
      <c r="J234" s="94"/>
      <c r="K234" s="94"/>
      <c r="L234" s="84"/>
      <c r="M234" s="84"/>
      <c r="N234" s="84"/>
      <c r="O234" s="84"/>
      <c r="P234" s="84"/>
      <c r="Q234" s="84"/>
      <c r="R234" s="84"/>
      <c r="S234" s="84"/>
      <c r="T234" s="84"/>
      <c r="U234" s="84"/>
      <c r="V234" s="84"/>
      <c r="W234" s="84"/>
      <c r="X234" s="84"/>
      <c r="Y234" s="84"/>
      <c r="Z234" s="84"/>
      <c r="AA234" s="84"/>
      <c r="AB234" s="84"/>
      <c r="AC234" s="84"/>
      <c r="AD234" s="84"/>
      <c r="AE234" s="84"/>
      <c r="AF234" s="84"/>
      <c r="AG234" s="84"/>
      <c r="AH234" s="84"/>
      <c r="AI234" s="84"/>
      <c r="AJ234" s="84"/>
      <c r="AK234" s="84"/>
      <c r="AL234" s="84"/>
      <c r="AM234" s="84"/>
      <c r="AN234" s="84"/>
      <c r="AO234" s="84"/>
      <c r="AP234" s="84"/>
      <c r="AQ234" s="84"/>
      <c r="AR234" s="84"/>
      <c r="AS234" s="84"/>
      <c r="AT234" s="84"/>
      <c r="AU234" s="84"/>
      <c r="AV234" s="84"/>
      <c r="AW234" s="84"/>
      <c r="AX234" s="87">
        <f t="array" ref="AX234">IF(G234=1,SUM((ROW(M0)=ROW(AW234))*(M0+M1_+M2_+M3_+M4_+M5_+M6_+M7_+M8_+M9_+M10_+M11_+M12_+M13_+M14_+M15_+M16_+M17_+M18_+M19_+M20_+M21_+M22_+M23_+M24_+M25_+M26_+M27_+M28_+M29_+M30_+M31_+M32_+M33_+M34_+M35_+M36_+M37_)),0)</f>
        <v>0</v>
      </c>
      <c r="AZ234" s="24" t="str">
        <f t="shared" si="61"/>
        <v/>
      </c>
      <c r="BA234" s="24" t="str">
        <f t="shared" si="62"/>
        <v/>
      </c>
      <c r="BB234" s="24" t="str">
        <f t="shared" si="63"/>
        <v/>
      </c>
      <c r="BC234" s="24" t="str">
        <f>IF(OR(E234="",LEFT(TableCosts[[#This Row],[Calc_N_Typ]],18)="Vynaložené náklady"),"",VLOOKUP(E234,Tab_Parts,2,0))</f>
        <v/>
      </c>
      <c r="BD234" s="24" t="str">
        <f t="shared" si="64"/>
        <v/>
      </c>
      <c r="BE234" s="24">
        <f t="shared" si="65"/>
        <v>0</v>
      </c>
      <c r="BF234" s="72">
        <f>TableCosts[[#This Row],[N_Amount]]*TableCosts[[#This Row],[N_Tariff]]*TableCosts[[#This Row],[N_ItemsCount]]</f>
        <v>0</v>
      </c>
      <c r="BG234" s="72">
        <f>IF(G234=1,IF(TableCosts[[#This Row],[N_Kateg]]="interné práce",TableCosts[[#This Row],[N_Amount]]*8*PAR_SGA_PERHOUR,0),0)</f>
        <v>0</v>
      </c>
      <c r="BH234" s="72">
        <f>SUM(TableCosts[[#This Row],[N_Direct]:[N_SGA]])</f>
        <v>0</v>
      </c>
      <c r="BI234" s="24">
        <f>IF(G234=1,IF(OR(AND(NOT(ISERROR(VLOOKUP(TableCosts[[#This Row],[Calc_N_Typ]],Cis_WorkPositions,1,0))),C234&lt;&gt;"",D234&lt;&gt;"",E234&lt;&gt;""),AND(ISERROR(VLOOKUP(TableCosts[[#This Row],[Calc_N_Typ]],Cis_WorkPositions,1,0)),C234="",D234="",E234&lt;&gt;""),LEFT(TableCosts[[#This Row],[Calc_N_Typ]],18)="Vynaložené náklady"),VLOOKUP(C234&amp;TableCosts[[#This Row],[Calc_N_Typ]],TRAN_STRITEMS_LABEL,VLOOKUP(D234,Tab_Hours,3,0),0),NA()),0)</f>
        <v>0</v>
      </c>
      <c r="BJ234" s="24">
        <f t="shared" si="66"/>
        <v>0</v>
      </c>
      <c r="BK234" s="24" t="str">
        <f t="shared" si="67"/>
        <v/>
      </c>
      <c r="BL234" s="24" t="str">
        <f t="shared" si="68"/>
        <v/>
      </c>
      <c r="BM234" s="24" t="str">
        <f>IF(G234=1,IF(TableCosts[[#This Row],[TransferFrom]]=TableCosts[[#This Row],[TranferTo]],0,1),"")</f>
        <v/>
      </c>
      <c r="BN234" s="24" t="str">
        <f t="shared" si="69"/>
        <v/>
      </c>
      <c r="BO234" s="24">
        <f t="shared" si="70"/>
        <v>0</v>
      </c>
      <c r="BP234" s="24">
        <f t="shared" si="71"/>
        <v>0</v>
      </c>
    </row>
    <row r="235" spans="2:68" s="24" customFormat="1" ht="12.75" x14ac:dyDescent="0.2">
      <c r="B235" s="97"/>
      <c r="C235" s="92"/>
      <c r="D235" s="92"/>
      <c r="E235" s="92"/>
      <c r="F235" s="31" t="str">
        <f>IF(G235=1,IF(ISERROR(TableCosts[[#This Row],[N_Tariff]]),Err_Message1,IF(TableCosts[[#This Row],[N_Tariff]]=0,Err_Message2,VLOOKUP(C235&amp;TableCosts[[#This Row],[Calc_N_Typ]],TRAN_STRITEMS_LABEL,5,FALSE))),"")</f>
        <v/>
      </c>
      <c r="G235" s="31">
        <f t="shared" si="60"/>
        <v>0</v>
      </c>
      <c r="H235" s="31" t="str">
        <f>IF(G235=1,IFERROR(VLOOKUP(F235,Tab_ErrMessage[],2,0),VLOOKUP(C235&amp;TableCosts[[#This Row],[Calc_N_Typ]],TRAN_STRITEMS_LABEL,4,FALSE)),"")</f>
        <v/>
      </c>
      <c r="I235" s="94"/>
      <c r="J235" s="94"/>
      <c r="K235" s="94"/>
      <c r="L235" s="84"/>
      <c r="M235" s="84"/>
      <c r="N235" s="84"/>
      <c r="O235" s="84"/>
      <c r="P235" s="84"/>
      <c r="Q235" s="84"/>
      <c r="R235" s="84"/>
      <c r="S235" s="84"/>
      <c r="T235" s="84"/>
      <c r="U235" s="84"/>
      <c r="V235" s="84"/>
      <c r="W235" s="84"/>
      <c r="X235" s="84"/>
      <c r="Y235" s="84"/>
      <c r="Z235" s="84"/>
      <c r="AA235" s="84"/>
      <c r="AB235" s="84"/>
      <c r="AC235" s="84"/>
      <c r="AD235" s="84"/>
      <c r="AE235" s="84"/>
      <c r="AF235" s="84"/>
      <c r="AG235" s="84"/>
      <c r="AH235" s="84"/>
      <c r="AI235" s="84"/>
      <c r="AJ235" s="84"/>
      <c r="AK235" s="84"/>
      <c r="AL235" s="84"/>
      <c r="AM235" s="84"/>
      <c r="AN235" s="84"/>
      <c r="AO235" s="84"/>
      <c r="AP235" s="84"/>
      <c r="AQ235" s="84"/>
      <c r="AR235" s="84"/>
      <c r="AS235" s="84"/>
      <c r="AT235" s="84"/>
      <c r="AU235" s="84"/>
      <c r="AV235" s="84"/>
      <c r="AW235" s="84"/>
      <c r="AX235" s="87">
        <f t="array" ref="AX235">IF(G235=1,SUM((ROW(M0)=ROW(AW235))*(M0+M1_+M2_+M3_+M4_+M5_+M6_+M7_+M8_+M9_+M10_+M11_+M12_+M13_+M14_+M15_+M16_+M17_+M18_+M19_+M20_+M21_+M22_+M23_+M24_+M25_+M26_+M27_+M28_+M29_+M30_+M31_+M32_+M33_+M34_+M35_+M36_+M37_)),0)</f>
        <v>0</v>
      </c>
      <c r="AZ235" s="24" t="str">
        <f t="shared" si="61"/>
        <v/>
      </c>
      <c r="BA235" s="24" t="str">
        <f t="shared" si="62"/>
        <v/>
      </c>
      <c r="BB235" s="24" t="str">
        <f t="shared" si="63"/>
        <v/>
      </c>
      <c r="BC235" s="24" t="str">
        <f>IF(OR(E235="",LEFT(TableCosts[[#This Row],[Calc_N_Typ]],18)="Vynaložené náklady"),"",VLOOKUP(E235,Tab_Parts,2,0))</f>
        <v/>
      </c>
      <c r="BD235" s="24" t="str">
        <f t="shared" si="64"/>
        <v/>
      </c>
      <c r="BE235" s="24">
        <f t="shared" si="65"/>
        <v>0</v>
      </c>
      <c r="BF235" s="72">
        <f>TableCosts[[#This Row],[N_Amount]]*TableCosts[[#This Row],[N_Tariff]]*TableCosts[[#This Row],[N_ItemsCount]]</f>
        <v>0</v>
      </c>
      <c r="BG235" s="72">
        <f>IF(G235=1,IF(TableCosts[[#This Row],[N_Kateg]]="interné práce",TableCosts[[#This Row],[N_Amount]]*8*PAR_SGA_PERHOUR,0),0)</f>
        <v>0</v>
      </c>
      <c r="BH235" s="72">
        <f>SUM(TableCosts[[#This Row],[N_Direct]:[N_SGA]])</f>
        <v>0</v>
      </c>
      <c r="BI235" s="24">
        <f>IF(G235=1,IF(OR(AND(NOT(ISERROR(VLOOKUP(TableCosts[[#This Row],[Calc_N_Typ]],Cis_WorkPositions,1,0))),C235&lt;&gt;"",D235&lt;&gt;"",E235&lt;&gt;""),AND(ISERROR(VLOOKUP(TableCosts[[#This Row],[Calc_N_Typ]],Cis_WorkPositions,1,0)),C235="",D235="",E235&lt;&gt;""),LEFT(TableCosts[[#This Row],[Calc_N_Typ]],18)="Vynaložené náklady"),VLOOKUP(C235&amp;TableCosts[[#This Row],[Calc_N_Typ]],TRAN_STRITEMS_LABEL,VLOOKUP(D235,Tab_Hours,3,0),0),NA()),0)</f>
        <v>0</v>
      </c>
      <c r="BJ235" s="24">
        <f t="shared" si="66"/>
        <v>0</v>
      </c>
      <c r="BK235" s="24" t="str">
        <f t="shared" si="67"/>
        <v/>
      </c>
      <c r="BL235" s="24" t="str">
        <f t="shared" si="68"/>
        <v/>
      </c>
      <c r="BM235" s="24" t="str">
        <f>IF(G235=1,IF(TableCosts[[#This Row],[TransferFrom]]=TableCosts[[#This Row],[TranferTo]],0,1),"")</f>
        <v/>
      </c>
      <c r="BN235" s="24" t="str">
        <f t="shared" si="69"/>
        <v/>
      </c>
      <c r="BO235" s="24">
        <f t="shared" si="70"/>
        <v>0</v>
      </c>
      <c r="BP235" s="24">
        <f t="shared" si="71"/>
        <v>0</v>
      </c>
    </row>
    <row r="236" spans="2:68" s="24" customFormat="1" ht="12.75" x14ac:dyDescent="0.2">
      <c r="B236" s="97"/>
      <c r="C236" s="92"/>
      <c r="D236" s="92"/>
      <c r="E236" s="92"/>
      <c r="F236" s="31" t="str">
        <f>IF(G236=1,IF(ISERROR(TableCosts[[#This Row],[N_Tariff]]),Err_Message1,IF(TableCosts[[#This Row],[N_Tariff]]=0,Err_Message2,VLOOKUP(C236&amp;TableCosts[[#This Row],[Calc_N_Typ]],TRAN_STRITEMS_LABEL,5,FALSE))),"")</f>
        <v/>
      </c>
      <c r="G236" s="31">
        <f t="shared" si="60"/>
        <v>0</v>
      </c>
      <c r="H236" s="31" t="str">
        <f>IF(G236=1,IFERROR(VLOOKUP(F236,Tab_ErrMessage[],2,0),VLOOKUP(C236&amp;TableCosts[[#This Row],[Calc_N_Typ]],TRAN_STRITEMS_LABEL,4,FALSE)),"")</f>
        <v/>
      </c>
      <c r="I236" s="94"/>
      <c r="J236" s="94"/>
      <c r="K236" s="94"/>
      <c r="L236" s="84"/>
      <c r="M236" s="84"/>
      <c r="N236" s="84"/>
      <c r="O236" s="84"/>
      <c r="P236" s="84"/>
      <c r="Q236" s="84"/>
      <c r="R236" s="84"/>
      <c r="S236" s="84"/>
      <c r="T236" s="84"/>
      <c r="U236" s="84"/>
      <c r="V236" s="84"/>
      <c r="W236" s="84"/>
      <c r="X236" s="84"/>
      <c r="Y236" s="84"/>
      <c r="Z236" s="84"/>
      <c r="AA236" s="84"/>
      <c r="AB236" s="84"/>
      <c r="AC236" s="84"/>
      <c r="AD236" s="84"/>
      <c r="AE236" s="84"/>
      <c r="AF236" s="84"/>
      <c r="AG236" s="84"/>
      <c r="AH236" s="84"/>
      <c r="AI236" s="84"/>
      <c r="AJ236" s="84"/>
      <c r="AK236" s="84"/>
      <c r="AL236" s="84"/>
      <c r="AM236" s="84"/>
      <c r="AN236" s="84"/>
      <c r="AO236" s="84"/>
      <c r="AP236" s="84"/>
      <c r="AQ236" s="84"/>
      <c r="AR236" s="84"/>
      <c r="AS236" s="84"/>
      <c r="AT236" s="84"/>
      <c r="AU236" s="84"/>
      <c r="AV236" s="84"/>
      <c r="AW236" s="84"/>
      <c r="AX236" s="87">
        <f t="array" ref="AX236">IF(G236=1,SUM((ROW(M0)=ROW(AW236))*(M0+M1_+M2_+M3_+M4_+M5_+M6_+M7_+M8_+M9_+M10_+M11_+M12_+M13_+M14_+M15_+M16_+M17_+M18_+M19_+M20_+M21_+M22_+M23_+M24_+M25_+M26_+M27_+M28_+M29_+M30_+M31_+M32_+M33_+M34_+M35_+M36_+M37_)),0)</f>
        <v>0</v>
      </c>
      <c r="AZ236" s="24" t="str">
        <f t="shared" si="61"/>
        <v/>
      </c>
      <c r="BA236" s="24" t="str">
        <f t="shared" si="62"/>
        <v/>
      </c>
      <c r="BB236" s="24" t="str">
        <f t="shared" si="63"/>
        <v/>
      </c>
      <c r="BC236" s="24" t="str">
        <f>IF(OR(E236="",LEFT(TableCosts[[#This Row],[Calc_N_Typ]],18)="Vynaložené náklady"),"",VLOOKUP(E236,Tab_Parts,2,0))</f>
        <v/>
      </c>
      <c r="BD236" s="24" t="str">
        <f t="shared" si="64"/>
        <v/>
      </c>
      <c r="BE236" s="24">
        <f t="shared" si="65"/>
        <v>0</v>
      </c>
      <c r="BF236" s="72">
        <f>TableCosts[[#This Row],[N_Amount]]*TableCosts[[#This Row],[N_Tariff]]*TableCosts[[#This Row],[N_ItemsCount]]</f>
        <v>0</v>
      </c>
      <c r="BG236" s="72">
        <f>IF(G236=1,IF(TableCosts[[#This Row],[N_Kateg]]="interné práce",TableCosts[[#This Row],[N_Amount]]*8*PAR_SGA_PERHOUR,0),0)</f>
        <v>0</v>
      </c>
      <c r="BH236" s="72">
        <f>SUM(TableCosts[[#This Row],[N_Direct]:[N_SGA]])</f>
        <v>0</v>
      </c>
      <c r="BI236" s="24">
        <f>IF(G236=1,IF(OR(AND(NOT(ISERROR(VLOOKUP(TableCosts[[#This Row],[Calc_N_Typ]],Cis_WorkPositions,1,0))),C236&lt;&gt;"",D236&lt;&gt;"",E236&lt;&gt;""),AND(ISERROR(VLOOKUP(TableCosts[[#This Row],[Calc_N_Typ]],Cis_WorkPositions,1,0)),C236="",D236="",E236&lt;&gt;""),LEFT(TableCosts[[#This Row],[Calc_N_Typ]],18)="Vynaložené náklady"),VLOOKUP(C236&amp;TableCosts[[#This Row],[Calc_N_Typ]],TRAN_STRITEMS_LABEL,VLOOKUP(D236,Tab_Hours,3,0),0),NA()),0)</f>
        <v>0</v>
      </c>
      <c r="BJ236" s="24">
        <f t="shared" si="66"/>
        <v>0</v>
      </c>
      <c r="BK236" s="24" t="str">
        <f t="shared" si="67"/>
        <v/>
      </c>
      <c r="BL236" s="24" t="str">
        <f t="shared" si="68"/>
        <v/>
      </c>
      <c r="BM236" s="24" t="str">
        <f>IF(G236=1,IF(TableCosts[[#This Row],[TransferFrom]]=TableCosts[[#This Row],[TranferTo]],0,1),"")</f>
        <v/>
      </c>
      <c r="BN236" s="24" t="str">
        <f t="shared" si="69"/>
        <v/>
      </c>
      <c r="BO236" s="24">
        <f t="shared" si="70"/>
        <v>0</v>
      </c>
      <c r="BP236" s="24">
        <f t="shared" si="71"/>
        <v>0</v>
      </c>
    </row>
    <row r="237" spans="2:68" s="24" customFormat="1" ht="12.75" x14ac:dyDescent="0.2">
      <c r="B237" s="97"/>
      <c r="C237" s="92"/>
      <c r="D237" s="92"/>
      <c r="E237" s="92"/>
      <c r="F237" s="31" t="str">
        <f>IF(G237=1,IF(ISERROR(TableCosts[[#This Row],[N_Tariff]]),Err_Message1,IF(TableCosts[[#This Row],[N_Tariff]]=0,Err_Message2,VLOOKUP(C237&amp;TableCosts[[#This Row],[Calc_N_Typ]],TRAN_STRITEMS_LABEL,5,FALSE))),"")</f>
        <v/>
      </c>
      <c r="G237" s="31">
        <f t="shared" si="60"/>
        <v>0</v>
      </c>
      <c r="H237" s="31" t="str">
        <f>IF(G237=1,IFERROR(VLOOKUP(F237,Tab_ErrMessage[],2,0),VLOOKUP(C237&amp;TableCosts[[#This Row],[Calc_N_Typ]],TRAN_STRITEMS_LABEL,4,FALSE)),"")</f>
        <v/>
      </c>
      <c r="I237" s="94"/>
      <c r="J237" s="94"/>
      <c r="K237" s="94"/>
      <c r="L237" s="84"/>
      <c r="M237" s="84"/>
      <c r="N237" s="84"/>
      <c r="O237" s="84"/>
      <c r="P237" s="84"/>
      <c r="Q237" s="84"/>
      <c r="R237" s="84"/>
      <c r="S237" s="84"/>
      <c r="T237" s="84"/>
      <c r="U237" s="84"/>
      <c r="V237" s="84"/>
      <c r="W237" s="84"/>
      <c r="X237" s="84"/>
      <c r="Y237" s="84"/>
      <c r="Z237" s="84"/>
      <c r="AA237" s="84"/>
      <c r="AB237" s="84"/>
      <c r="AC237" s="84"/>
      <c r="AD237" s="84"/>
      <c r="AE237" s="84"/>
      <c r="AF237" s="84"/>
      <c r="AG237" s="84"/>
      <c r="AH237" s="84"/>
      <c r="AI237" s="84"/>
      <c r="AJ237" s="84"/>
      <c r="AK237" s="84"/>
      <c r="AL237" s="84"/>
      <c r="AM237" s="84"/>
      <c r="AN237" s="84"/>
      <c r="AO237" s="84"/>
      <c r="AP237" s="84"/>
      <c r="AQ237" s="84"/>
      <c r="AR237" s="84"/>
      <c r="AS237" s="84"/>
      <c r="AT237" s="84"/>
      <c r="AU237" s="84"/>
      <c r="AV237" s="84"/>
      <c r="AW237" s="84"/>
      <c r="AX237" s="87">
        <f t="array" ref="AX237">IF(G237=1,SUM((ROW(M0)=ROW(AW237))*(M0+M1_+M2_+M3_+M4_+M5_+M6_+M7_+M8_+M9_+M10_+M11_+M12_+M13_+M14_+M15_+M16_+M17_+M18_+M19_+M20_+M21_+M22_+M23_+M24_+M25_+M26_+M27_+M28_+M29_+M30_+M31_+M32_+M33_+M34_+M35_+M36_+M37_)),0)</f>
        <v>0</v>
      </c>
      <c r="AZ237" s="24" t="str">
        <f t="shared" si="61"/>
        <v/>
      </c>
      <c r="BA237" s="24" t="str">
        <f t="shared" si="62"/>
        <v/>
      </c>
      <c r="BB237" s="24" t="str">
        <f t="shared" si="63"/>
        <v/>
      </c>
      <c r="BC237" s="24" t="str">
        <f>IF(OR(E237="",LEFT(TableCosts[[#This Row],[Calc_N_Typ]],18)="Vynaložené náklady"),"",VLOOKUP(E237,Tab_Parts,2,0))</f>
        <v/>
      </c>
      <c r="BD237" s="24" t="str">
        <f t="shared" si="64"/>
        <v/>
      </c>
      <c r="BE237" s="24">
        <f t="shared" si="65"/>
        <v>0</v>
      </c>
      <c r="BF237" s="72">
        <f>TableCosts[[#This Row],[N_Amount]]*TableCosts[[#This Row],[N_Tariff]]*TableCosts[[#This Row],[N_ItemsCount]]</f>
        <v>0</v>
      </c>
      <c r="BG237" s="72">
        <f>IF(G237=1,IF(TableCosts[[#This Row],[N_Kateg]]="interné práce",TableCosts[[#This Row],[N_Amount]]*8*PAR_SGA_PERHOUR,0),0)</f>
        <v>0</v>
      </c>
      <c r="BH237" s="72">
        <f>SUM(TableCosts[[#This Row],[N_Direct]:[N_SGA]])</f>
        <v>0</v>
      </c>
      <c r="BI237" s="24">
        <f>IF(G237=1,IF(OR(AND(NOT(ISERROR(VLOOKUP(TableCosts[[#This Row],[Calc_N_Typ]],Cis_WorkPositions,1,0))),C237&lt;&gt;"",D237&lt;&gt;"",E237&lt;&gt;""),AND(ISERROR(VLOOKUP(TableCosts[[#This Row],[Calc_N_Typ]],Cis_WorkPositions,1,0)),C237="",D237="",E237&lt;&gt;""),LEFT(TableCosts[[#This Row],[Calc_N_Typ]],18)="Vynaložené náklady"),VLOOKUP(C237&amp;TableCosts[[#This Row],[Calc_N_Typ]],TRAN_STRITEMS_LABEL,VLOOKUP(D237,Tab_Hours,3,0),0),NA()),0)</f>
        <v>0</v>
      </c>
      <c r="BJ237" s="24">
        <f t="shared" si="66"/>
        <v>0</v>
      </c>
      <c r="BK237" s="24" t="str">
        <f t="shared" si="67"/>
        <v/>
      </c>
      <c r="BL237" s="24" t="str">
        <f t="shared" si="68"/>
        <v/>
      </c>
      <c r="BM237" s="24" t="str">
        <f>IF(G237=1,IF(TableCosts[[#This Row],[TransferFrom]]=TableCosts[[#This Row],[TranferTo]],0,1),"")</f>
        <v/>
      </c>
      <c r="BN237" s="24" t="str">
        <f t="shared" si="69"/>
        <v/>
      </c>
      <c r="BO237" s="24">
        <f t="shared" si="70"/>
        <v>0</v>
      </c>
      <c r="BP237" s="24">
        <f t="shared" si="71"/>
        <v>0</v>
      </c>
    </row>
    <row r="238" spans="2:68" s="24" customFormat="1" ht="12.75" x14ac:dyDescent="0.2">
      <c r="B238" s="97"/>
      <c r="C238" s="92"/>
      <c r="D238" s="92"/>
      <c r="E238" s="92"/>
      <c r="F238" s="31" t="str">
        <f>IF(G238=1,IF(ISERROR(TableCosts[[#This Row],[N_Tariff]]),Err_Message1,IF(TableCosts[[#This Row],[N_Tariff]]=0,Err_Message2,VLOOKUP(C238&amp;TableCosts[[#This Row],[Calc_N_Typ]],TRAN_STRITEMS_LABEL,5,FALSE))),"")</f>
        <v/>
      </c>
      <c r="G238" s="31">
        <f t="shared" si="60"/>
        <v>0</v>
      </c>
      <c r="H238" s="31" t="str">
        <f>IF(G238=1,IFERROR(VLOOKUP(F238,Tab_ErrMessage[],2,0),VLOOKUP(C238&amp;TableCosts[[#This Row],[Calc_N_Typ]],TRAN_STRITEMS_LABEL,4,FALSE)),"")</f>
        <v/>
      </c>
      <c r="I238" s="94"/>
      <c r="J238" s="94"/>
      <c r="K238" s="94"/>
      <c r="L238" s="84"/>
      <c r="M238" s="84"/>
      <c r="N238" s="84"/>
      <c r="O238" s="84"/>
      <c r="P238" s="84"/>
      <c r="Q238" s="84"/>
      <c r="R238" s="84"/>
      <c r="S238" s="84"/>
      <c r="T238" s="84"/>
      <c r="U238" s="84"/>
      <c r="V238" s="84"/>
      <c r="W238" s="84"/>
      <c r="X238" s="84"/>
      <c r="Y238" s="84"/>
      <c r="Z238" s="84"/>
      <c r="AA238" s="84"/>
      <c r="AB238" s="84"/>
      <c r="AC238" s="84"/>
      <c r="AD238" s="84"/>
      <c r="AE238" s="84"/>
      <c r="AF238" s="84"/>
      <c r="AG238" s="84"/>
      <c r="AH238" s="84"/>
      <c r="AI238" s="84"/>
      <c r="AJ238" s="84"/>
      <c r="AK238" s="84"/>
      <c r="AL238" s="84"/>
      <c r="AM238" s="84"/>
      <c r="AN238" s="84"/>
      <c r="AO238" s="84"/>
      <c r="AP238" s="84"/>
      <c r="AQ238" s="84"/>
      <c r="AR238" s="84"/>
      <c r="AS238" s="84"/>
      <c r="AT238" s="84"/>
      <c r="AU238" s="84"/>
      <c r="AV238" s="84"/>
      <c r="AW238" s="84"/>
      <c r="AX238" s="87">
        <f t="array" ref="AX238">IF(G238=1,SUM((ROW(M0)=ROW(AW238))*(M0+M1_+M2_+M3_+M4_+M5_+M6_+M7_+M8_+M9_+M10_+M11_+M12_+M13_+M14_+M15_+M16_+M17_+M18_+M19_+M20_+M21_+M22_+M23_+M24_+M25_+M26_+M27_+M28_+M29_+M30_+M31_+M32_+M33_+M34_+M35_+M36_+M37_)),0)</f>
        <v>0</v>
      </c>
      <c r="AZ238" s="24" t="str">
        <f t="shared" si="61"/>
        <v/>
      </c>
      <c r="BA238" s="24" t="str">
        <f t="shared" si="62"/>
        <v/>
      </c>
      <c r="BB238" s="24" t="str">
        <f t="shared" si="63"/>
        <v/>
      </c>
      <c r="BC238" s="24" t="str">
        <f>IF(OR(E238="",LEFT(TableCosts[[#This Row],[Calc_N_Typ]],18)="Vynaložené náklady"),"",VLOOKUP(E238,Tab_Parts,2,0))</f>
        <v/>
      </c>
      <c r="BD238" s="24" t="str">
        <f t="shared" si="64"/>
        <v/>
      </c>
      <c r="BE238" s="24">
        <f t="shared" si="65"/>
        <v>0</v>
      </c>
      <c r="BF238" s="72">
        <f>TableCosts[[#This Row],[N_Amount]]*TableCosts[[#This Row],[N_Tariff]]*TableCosts[[#This Row],[N_ItemsCount]]</f>
        <v>0</v>
      </c>
      <c r="BG238" s="72">
        <f>IF(G238=1,IF(TableCosts[[#This Row],[N_Kateg]]="interné práce",TableCosts[[#This Row],[N_Amount]]*8*PAR_SGA_PERHOUR,0),0)</f>
        <v>0</v>
      </c>
      <c r="BH238" s="72">
        <f>SUM(TableCosts[[#This Row],[N_Direct]:[N_SGA]])</f>
        <v>0</v>
      </c>
      <c r="BI238" s="24">
        <f>IF(G238=1,IF(OR(AND(NOT(ISERROR(VLOOKUP(TableCosts[[#This Row],[Calc_N_Typ]],Cis_WorkPositions,1,0))),C238&lt;&gt;"",D238&lt;&gt;"",E238&lt;&gt;""),AND(ISERROR(VLOOKUP(TableCosts[[#This Row],[Calc_N_Typ]],Cis_WorkPositions,1,0)),C238="",D238="",E238&lt;&gt;""),LEFT(TableCosts[[#This Row],[Calc_N_Typ]],18)="Vynaložené náklady"),VLOOKUP(C238&amp;TableCosts[[#This Row],[Calc_N_Typ]],TRAN_STRITEMS_LABEL,VLOOKUP(D238,Tab_Hours,3,0),0),NA()),0)</f>
        <v>0</v>
      </c>
      <c r="BJ238" s="24">
        <f t="shared" si="66"/>
        <v>0</v>
      </c>
      <c r="BK238" s="24" t="str">
        <f t="shared" si="67"/>
        <v/>
      </c>
      <c r="BL238" s="24" t="str">
        <f t="shared" si="68"/>
        <v/>
      </c>
      <c r="BM238" s="24" t="str">
        <f>IF(G238=1,IF(TableCosts[[#This Row],[TransferFrom]]=TableCosts[[#This Row],[TranferTo]],0,1),"")</f>
        <v/>
      </c>
      <c r="BN238" s="24" t="str">
        <f t="shared" si="69"/>
        <v/>
      </c>
      <c r="BO238" s="24">
        <f t="shared" si="70"/>
        <v>0</v>
      </c>
      <c r="BP238" s="24">
        <f t="shared" si="71"/>
        <v>0</v>
      </c>
    </row>
    <row r="239" spans="2:68" s="24" customFormat="1" ht="12.75" x14ac:dyDescent="0.2">
      <c r="B239" s="97"/>
      <c r="C239" s="92"/>
      <c r="D239" s="92"/>
      <c r="E239" s="92"/>
      <c r="F239" s="31" t="str">
        <f>IF(G239=1,IF(ISERROR(TableCosts[[#This Row],[N_Tariff]]),Err_Message1,IF(TableCosts[[#This Row],[N_Tariff]]=0,Err_Message2,VLOOKUP(C239&amp;TableCosts[[#This Row],[Calc_N_Typ]],TRAN_STRITEMS_LABEL,5,FALSE))),"")</f>
        <v/>
      </c>
      <c r="G239" s="31">
        <f t="shared" si="60"/>
        <v>0</v>
      </c>
      <c r="H239" s="31" t="str">
        <f>IF(G239=1,IFERROR(VLOOKUP(F239,Tab_ErrMessage[],2,0),VLOOKUP(C239&amp;TableCosts[[#This Row],[Calc_N_Typ]],TRAN_STRITEMS_LABEL,4,FALSE)),"")</f>
        <v/>
      </c>
      <c r="I239" s="94"/>
      <c r="J239" s="94"/>
      <c r="K239" s="94"/>
      <c r="L239" s="84"/>
      <c r="M239" s="84"/>
      <c r="N239" s="84"/>
      <c r="O239" s="84"/>
      <c r="P239" s="84"/>
      <c r="Q239" s="84"/>
      <c r="R239" s="84"/>
      <c r="S239" s="84"/>
      <c r="T239" s="84"/>
      <c r="U239" s="84"/>
      <c r="V239" s="84"/>
      <c r="W239" s="84"/>
      <c r="X239" s="84"/>
      <c r="Y239" s="84"/>
      <c r="Z239" s="84"/>
      <c r="AA239" s="84"/>
      <c r="AB239" s="84"/>
      <c r="AC239" s="84"/>
      <c r="AD239" s="84"/>
      <c r="AE239" s="84"/>
      <c r="AF239" s="84"/>
      <c r="AG239" s="84"/>
      <c r="AH239" s="84"/>
      <c r="AI239" s="84"/>
      <c r="AJ239" s="84"/>
      <c r="AK239" s="84"/>
      <c r="AL239" s="84"/>
      <c r="AM239" s="84"/>
      <c r="AN239" s="84"/>
      <c r="AO239" s="84"/>
      <c r="AP239" s="84"/>
      <c r="AQ239" s="84"/>
      <c r="AR239" s="84"/>
      <c r="AS239" s="84"/>
      <c r="AT239" s="84"/>
      <c r="AU239" s="84"/>
      <c r="AV239" s="84"/>
      <c r="AW239" s="84"/>
      <c r="AX239" s="87">
        <f t="array" ref="AX239">IF(G239=1,SUM((ROW(M0)=ROW(AW239))*(M0+M1_+M2_+M3_+M4_+M5_+M6_+M7_+M8_+M9_+M10_+M11_+M12_+M13_+M14_+M15_+M16_+M17_+M18_+M19_+M20_+M21_+M22_+M23_+M24_+M25_+M26_+M27_+M28_+M29_+M30_+M31_+M32_+M33_+M34_+M35_+M36_+M37_)),0)</f>
        <v>0</v>
      </c>
      <c r="AZ239" s="24" t="str">
        <f t="shared" si="61"/>
        <v/>
      </c>
      <c r="BA239" s="24" t="str">
        <f t="shared" si="62"/>
        <v/>
      </c>
      <c r="BB239" s="24" t="str">
        <f t="shared" si="63"/>
        <v/>
      </c>
      <c r="BC239" s="24" t="str">
        <f>IF(OR(E239="",LEFT(TableCosts[[#This Row],[Calc_N_Typ]],18)="Vynaložené náklady"),"",VLOOKUP(E239,Tab_Parts,2,0))</f>
        <v/>
      </c>
      <c r="BD239" s="24" t="str">
        <f t="shared" si="64"/>
        <v/>
      </c>
      <c r="BE239" s="24">
        <f t="shared" si="65"/>
        <v>0</v>
      </c>
      <c r="BF239" s="72">
        <f>TableCosts[[#This Row],[N_Amount]]*TableCosts[[#This Row],[N_Tariff]]*TableCosts[[#This Row],[N_ItemsCount]]</f>
        <v>0</v>
      </c>
      <c r="BG239" s="72">
        <f>IF(G239=1,IF(TableCosts[[#This Row],[N_Kateg]]="interné práce",TableCosts[[#This Row],[N_Amount]]*8*PAR_SGA_PERHOUR,0),0)</f>
        <v>0</v>
      </c>
      <c r="BH239" s="72">
        <f>SUM(TableCosts[[#This Row],[N_Direct]:[N_SGA]])</f>
        <v>0</v>
      </c>
      <c r="BI239" s="24">
        <f>IF(G239=1,IF(OR(AND(NOT(ISERROR(VLOOKUP(TableCosts[[#This Row],[Calc_N_Typ]],Cis_WorkPositions,1,0))),C239&lt;&gt;"",D239&lt;&gt;"",E239&lt;&gt;""),AND(ISERROR(VLOOKUP(TableCosts[[#This Row],[Calc_N_Typ]],Cis_WorkPositions,1,0)),C239="",D239="",E239&lt;&gt;""),LEFT(TableCosts[[#This Row],[Calc_N_Typ]],18)="Vynaložené náklady"),VLOOKUP(C239&amp;TableCosts[[#This Row],[Calc_N_Typ]],TRAN_STRITEMS_LABEL,VLOOKUP(D239,Tab_Hours,3,0),0),NA()),0)</f>
        <v>0</v>
      </c>
      <c r="BJ239" s="24">
        <f t="shared" si="66"/>
        <v>0</v>
      </c>
      <c r="BK239" s="24" t="str">
        <f t="shared" si="67"/>
        <v/>
      </c>
      <c r="BL239" s="24" t="str">
        <f t="shared" si="68"/>
        <v/>
      </c>
      <c r="BM239" s="24" t="str">
        <f>IF(G239=1,IF(TableCosts[[#This Row],[TransferFrom]]=TableCosts[[#This Row],[TranferTo]],0,1),"")</f>
        <v/>
      </c>
      <c r="BN239" s="24" t="str">
        <f t="shared" si="69"/>
        <v/>
      </c>
      <c r="BO239" s="24">
        <f t="shared" si="70"/>
        <v>0</v>
      </c>
      <c r="BP239" s="24">
        <f t="shared" si="71"/>
        <v>0</v>
      </c>
    </row>
    <row r="240" spans="2:68" s="24" customFormat="1" ht="12.75" x14ac:dyDescent="0.2">
      <c r="B240" s="97"/>
      <c r="C240" s="92"/>
      <c r="D240" s="92"/>
      <c r="E240" s="92"/>
      <c r="F240" s="31" t="str">
        <f>IF(G240=1,IF(ISERROR(TableCosts[[#This Row],[N_Tariff]]),Err_Message1,IF(TableCosts[[#This Row],[N_Tariff]]=0,Err_Message2,VLOOKUP(C240&amp;TableCosts[[#This Row],[Calc_N_Typ]],TRAN_STRITEMS_LABEL,5,FALSE))),"")</f>
        <v/>
      </c>
      <c r="G240" s="31">
        <f t="shared" si="60"/>
        <v>0</v>
      </c>
      <c r="H240" s="31" t="str">
        <f>IF(G240=1,IFERROR(VLOOKUP(F240,Tab_ErrMessage[],2,0),VLOOKUP(C240&amp;TableCosts[[#This Row],[Calc_N_Typ]],TRAN_STRITEMS_LABEL,4,FALSE)),"")</f>
        <v/>
      </c>
      <c r="I240" s="94"/>
      <c r="J240" s="94"/>
      <c r="K240" s="94"/>
      <c r="L240" s="84"/>
      <c r="M240" s="84"/>
      <c r="N240" s="84"/>
      <c r="O240" s="84"/>
      <c r="P240" s="84"/>
      <c r="Q240" s="84"/>
      <c r="R240" s="84"/>
      <c r="S240" s="84"/>
      <c r="T240" s="84"/>
      <c r="U240" s="84"/>
      <c r="V240" s="84"/>
      <c r="W240" s="84"/>
      <c r="X240" s="84"/>
      <c r="Y240" s="84"/>
      <c r="Z240" s="84"/>
      <c r="AA240" s="84"/>
      <c r="AB240" s="84"/>
      <c r="AC240" s="84"/>
      <c r="AD240" s="84"/>
      <c r="AE240" s="84"/>
      <c r="AF240" s="84"/>
      <c r="AG240" s="84"/>
      <c r="AH240" s="84"/>
      <c r="AI240" s="84"/>
      <c r="AJ240" s="84"/>
      <c r="AK240" s="84"/>
      <c r="AL240" s="84"/>
      <c r="AM240" s="84"/>
      <c r="AN240" s="84"/>
      <c r="AO240" s="84"/>
      <c r="AP240" s="84"/>
      <c r="AQ240" s="84"/>
      <c r="AR240" s="84"/>
      <c r="AS240" s="84"/>
      <c r="AT240" s="84"/>
      <c r="AU240" s="84"/>
      <c r="AV240" s="84"/>
      <c r="AW240" s="84"/>
      <c r="AX240" s="87">
        <f t="array" ref="AX240">IF(G240=1,SUM((ROW(M0)=ROW(AW240))*(M0+M1_+M2_+M3_+M4_+M5_+M6_+M7_+M8_+M9_+M10_+M11_+M12_+M13_+M14_+M15_+M16_+M17_+M18_+M19_+M20_+M21_+M22_+M23_+M24_+M25_+M26_+M27_+M28_+M29_+M30_+M31_+M32_+M33_+M34_+M35_+M36_+M37_)),0)</f>
        <v>0</v>
      </c>
      <c r="AZ240" s="24" t="str">
        <f t="shared" si="61"/>
        <v/>
      </c>
      <c r="BA240" s="24" t="str">
        <f t="shared" si="62"/>
        <v/>
      </c>
      <c r="BB240" s="24" t="str">
        <f t="shared" si="63"/>
        <v/>
      </c>
      <c r="BC240" s="24" t="str">
        <f>IF(OR(E240="",LEFT(TableCosts[[#This Row],[Calc_N_Typ]],18)="Vynaložené náklady"),"",VLOOKUP(E240,Tab_Parts,2,0))</f>
        <v/>
      </c>
      <c r="BD240" s="24" t="str">
        <f t="shared" si="64"/>
        <v/>
      </c>
      <c r="BE240" s="24">
        <f t="shared" si="65"/>
        <v>0</v>
      </c>
      <c r="BF240" s="72">
        <f>TableCosts[[#This Row],[N_Amount]]*TableCosts[[#This Row],[N_Tariff]]*TableCosts[[#This Row],[N_ItemsCount]]</f>
        <v>0</v>
      </c>
      <c r="BG240" s="72">
        <f>IF(G240=1,IF(TableCosts[[#This Row],[N_Kateg]]="interné práce",TableCosts[[#This Row],[N_Amount]]*8*PAR_SGA_PERHOUR,0),0)</f>
        <v>0</v>
      </c>
      <c r="BH240" s="72">
        <f>SUM(TableCosts[[#This Row],[N_Direct]:[N_SGA]])</f>
        <v>0</v>
      </c>
      <c r="BI240" s="24">
        <f>IF(G240=1,IF(OR(AND(NOT(ISERROR(VLOOKUP(TableCosts[[#This Row],[Calc_N_Typ]],Cis_WorkPositions,1,0))),C240&lt;&gt;"",D240&lt;&gt;"",E240&lt;&gt;""),AND(ISERROR(VLOOKUP(TableCosts[[#This Row],[Calc_N_Typ]],Cis_WorkPositions,1,0)),C240="",D240="",E240&lt;&gt;""),LEFT(TableCosts[[#This Row],[Calc_N_Typ]],18)="Vynaložené náklady"),VLOOKUP(C240&amp;TableCosts[[#This Row],[Calc_N_Typ]],TRAN_STRITEMS_LABEL,VLOOKUP(D240,Tab_Hours,3,0),0),NA()),0)</f>
        <v>0</v>
      </c>
      <c r="BJ240" s="24">
        <f t="shared" si="66"/>
        <v>0</v>
      </c>
      <c r="BK240" s="24" t="str">
        <f t="shared" si="67"/>
        <v/>
      </c>
      <c r="BL240" s="24" t="str">
        <f t="shared" si="68"/>
        <v/>
      </c>
      <c r="BM240" s="24" t="str">
        <f>IF(G240=1,IF(TableCosts[[#This Row],[TransferFrom]]=TableCosts[[#This Row],[TranferTo]],0,1),"")</f>
        <v/>
      </c>
      <c r="BN240" s="24" t="str">
        <f t="shared" si="69"/>
        <v/>
      </c>
      <c r="BO240" s="24">
        <f t="shared" si="70"/>
        <v>0</v>
      </c>
      <c r="BP240" s="24">
        <f t="shared" si="71"/>
        <v>0</v>
      </c>
    </row>
    <row r="241" spans="2:68" s="24" customFormat="1" ht="12.75" x14ac:dyDescent="0.2">
      <c r="B241" s="97"/>
      <c r="C241" s="92"/>
      <c r="D241" s="92"/>
      <c r="E241" s="92"/>
      <c r="F241" s="31" t="str">
        <f>IF(G241=1,IF(ISERROR(TableCosts[[#This Row],[N_Tariff]]),Err_Message1,IF(TableCosts[[#This Row],[N_Tariff]]=0,Err_Message2,VLOOKUP(C241&amp;TableCosts[[#This Row],[Calc_N_Typ]],TRAN_STRITEMS_LABEL,5,FALSE))),"")</f>
        <v/>
      </c>
      <c r="G241" s="31">
        <f t="shared" si="60"/>
        <v>0</v>
      </c>
      <c r="H241" s="31" t="str">
        <f>IF(G241=1,IFERROR(VLOOKUP(F241,Tab_ErrMessage[],2,0),VLOOKUP(C241&amp;TableCosts[[#This Row],[Calc_N_Typ]],TRAN_STRITEMS_LABEL,4,FALSE)),"")</f>
        <v/>
      </c>
      <c r="I241" s="94"/>
      <c r="J241" s="94"/>
      <c r="K241" s="94"/>
      <c r="L241" s="84"/>
      <c r="M241" s="84"/>
      <c r="N241" s="84"/>
      <c r="O241" s="84"/>
      <c r="P241" s="84"/>
      <c r="Q241" s="84"/>
      <c r="R241" s="84"/>
      <c r="S241" s="84"/>
      <c r="T241" s="84"/>
      <c r="U241" s="84"/>
      <c r="V241" s="84"/>
      <c r="W241" s="84"/>
      <c r="X241" s="84"/>
      <c r="Y241" s="84"/>
      <c r="Z241" s="84"/>
      <c r="AA241" s="84"/>
      <c r="AB241" s="84"/>
      <c r="AC241" s="84"/>
      <c r="AD241" s="84"/>
      <c r="AE241" s="84"/>
      <c r="AF241" s="84"/>
      <c r="AG241" s="84"/>
      <c r="AH241" s="84"/>
      <c r="AI241" s="84"/>
      <c r="AJ241" s="84"/>
      <c r="AK241" s="84"/>
      <c r="AL241" s="84"/>
      <c r="AM241" s="84"/>
      <c r="AN241" s="84"/>
      <c r="AO241" s="84"/>
      <c r="AP241" s="84"/>
      <c r="AQ241" s="84"/>
      <c r="AR241" s="84"/>
      <c r="AS241" s="84"/>
      <c r="AT241" s="84"/>
      <c r="AU241" s="84"/>
      <c r="AV241" s="84"/>
      <c r="AW241" s="84"/>
      <c r="AX241" s="87">
        <f t="array" ref="AX241">IF(G241=1,SUM((ROW(M0)=ROW(AW241))*(M0+M1_+M2_+M3_+M4_+M5_+M6_+M7_+M8_+M9_+M10_+M11_+M12_+M13_+M14_+M15_+M16_+M17_+M18_+M19_+M20_+M21_+M22_+M23_+M24_+M25_+M26_+M27_+M28_+M29_+M30_+M31_+M32_+M33_+M34_+M35_+M36_+M37_)),0)</f>
        <v>0</v>
      </c>
      <c r="AZ241" s="24" t="str">
        <f t="shared" si="61"/>
        <v/>
      </c>
      <c r="BA241" s="24" t="str">
        <f t="shared" si="62"/>
        <v/>
      </c>
      <c r="BB241" s="24" t="str">
        <f t="shared" si="63"/>
        <v/>
      </c>
      <c r="BC241" s="24" t="str">
        <f>IF(OR(E241="",LEFT(TableCosts[[#This Row],[Calc_N_Typ]],18)="Vynaložené náklady"),"",VLOOKUP(E241,Tab_Parts,2,0))</f>
        <v/>
      </c>
      <c r="BD241" s="24" t="str">
        <f t="shared" si="64"/>
        <v/>
      </c>
      <c r="BE241" s="24">
        <f t="shared" si="65"/>
        <v>0</v>
      </c>
      <c r="BF241" s="72">
        <f>TableCosts[[#This Row],[N_Amount]]*TableCosts[[#This Row],[N_Tariff]]*TableCosts[[#This Row],[N_ItemsCount]]</f>
        <v>0</v>
      </c>
      <c r="BG241" s="72">
        <f>IF(G241=1,IF(TableCosts[[#This Row],[N_Kateg]]="interné práce",TableCosts[[#This Row],[N_Amount]]*8*PAR_SGA_PERHOUR,0),0)</f>
        <v>0</v>
      </c>
      <c r="BH241" s="72">
        <f>SUM(TableCosts[[#This Row],[N_Direct]:[N_SGA]])</f>
        <v>0</v>
      </c>
      <c r="BI241" s="24">
        <f>IF(G241=1,IF(OR(AND(NOT(ISERROR(VLOOKUP(TableCosts[[#This Row],[Calc_N_Typ]],Cis_WorkPositions,1,0))),C241&lt;&gt;"",D241&lt;&gt;"",E241&lt;&gt;""),AND(ISERROR(VLOOKUP(TableCosts[[#This Row],[Calc_N_Typ]],Cis_WorkPositions,1,0)),C241="",D241="",E241&lt;&gt;""),LEFT(TableCosts[[#This Row],[Calc_N_Typ]],18)="Vynaložené náklady"),VLOOKUP(C241&amp;TableCosts[[#This Row],[Calc_N_Typ]],TRAN_STRITEMS_LABEL,VLOOKUP(D241,Tab_Hours,3,0),0),NA()),0)</f>
        <v>0</v>
      </c>
      <c r="BJ241" s="24">
        <f t="shared" si="66"/>
        <v>0</v>
      </c>
      <c r="BK241" s="24" t="str">
        <f t="shared" si="67"/>
        <v/>
      </c>
      <c r="BL241" s="24" t="str">
        <f t="shared" si="68"/>
        <v/>
      </c>
      <c r="BM241" s="24" t="str">
        <f>IF(G241=1,IF(TableCosts[[#This Row],[TransferFrom]]=TableCosts[[#This Row],[TranferTo]],0,1),"")</f>
        <v/>
      </c>
      <c r="BN241" s="24" t="str">
        <f t="shared" si="69"/>
        <v/>
      </c>
      <c r="BO241" s="24">
        <f t="shared" si="70"/>
        <v>0</v>
      </c>
      <c r="BP241" s="24">
        <f t="shared" si="71"/>
        <v>0</v>
      </c>
    </row>
    <row r="242" spans="2:68" s="24" customFormat="1" ht="12.75" x14ac:dyDescent="0.2">
      <c r="B242" s="97"/>
      <c r="C242" s="92"/>
      <c r="D242" s="92"/>
      <c r="E242" s="92"/>
      <c r="F242" s="31" t="str">
        <f>IF(G242=1,IF(ISERROR(TableCosts[[#This Row],[N_Tariff]]),Err_Message1,IF(TableCosts[[#This Row],[N_Tariff]]=0,Err_Message2,VLOOKUP(C242&amp;TableCosts[[#This Row],[Calc_N_Typ]],TRAN_STRITEMS_LABEL,5,FALSE))),"")</f>
        <v/>
      </c>
      <c r="G242" s="31">
        <f t="shared" si="60"/>
        <v>0</v>
      </c>
      <c r="H242" s="31" t="str">
        <f>IF(G242=1,IFERROR(VLOOKUP(F242,Tab_ErrMessage[],2,0),VLOOKUP(C242&amp;TableCosts[[#This Row],[Calc_N_Typ]],TRAN_STRITEMS_LABEL,4,FALSE)),"")</f>
        <v/>
      </c>
      <c r="I242" s="94"/>
      <c r="J242" s="94"/>
      <c r="K242" s="94"/>
      <c r="L242" s="84"/>
      <c r="M242" s="84"/>
      <c r="N242" s="84"/>
      <c r="O242" s="84"/>
      <c r="P242" s="84"/>
      <c r="Q242" s="84"/>
      <c r="R242" s="84"/>
      <c r="S242" s="84"/>
      <c r="T242" s="84"/>
      <c r="U242" s="84"/>
      <c r="V242" s="84"/>
      <c r="W242" s="84"/>
      <c r="X242" s="84"/>
      <c r="Y242" s="84"/>
      <c r="Z242" s="84"/>
      <c r="AA242" s="84"/>
      <c r="AB242" s="84"/>
      <c r="AC242" s="84"/>
      <c r="AD242" s="84"/>
      <c r="AE242" s="84"/>
      <c r="AF242" s="84"/>
      <c r="AG242" s="84"/>
      <c r="AH242" s="84"/>
      <c r="AI242" s="84"/>
      <c r="AJ242" s="84"/>
      <c r="AK242" s="84"/>
      <c r="AL242" s="84"/>
      <c r="AM242" s="84"/>
      <c r="AN242" s="84"/>
      <c r="AO242" s="84"/>
      <c r="AP242" s="84"/>
      <c r="AQ242" s="84"/>
      <c r="AR242" s="84"/>
      <c r="AS242" s="84"/>
      <c r="AT242" s="84"/>
      <c r="AU242" s="84"/>
      <c r="AV242" s="84"/>
      <c r="AW242" s="84"/>
      <c r="AX242" s="87">
        <f t="array" ref="AX242">IF(G242=1,SUM((ROW(M0)=ROW(AW242))*(M0+M1_+M2_+M3_+M4_+M5_+M6_+M7_+M8_+M9_+M10_+M11_+M12_+M13_+M14_+M15_+M16_+M17_+M18_+M19_+M20_+M21_+M22_+M23_+M24_+M25_+M26_+M27_+M28_+M29_+M30_+M31_+M32_+M33_+M34_+M35_+M36_+M37_)),0)</f>
        <v>0</v>
      </c>
      <c r="AZ242" s="24" t="str">
        <f t="shared" si="61"/>
        <v/>
      </c>
      <c r="BA242" s="24" t="str">
        <f t="shared" si="62"/>
        <v/>
      </c>
      <c r="BB242" s="24" t="str">
        <f t="shared" si="63"/>
        <v/>
      </c>
      <c r="BC242" s="24" t="str">
        <f>IF(OR(E242="",LEFT(TableCosts[[#This Row],[Calc_N_Typ]],18)="Vynaložené náklady"),"",VLOOKUP(E242,Tab_Parts,2,0))</f>
        <v/>
      </c>
      <c r="BD242" s="24" t="str">
        <f t="shared" si="64"/>
        <v/>
      </c>
      <c r="BE242" s="24">
        <f t="shared" si="65"/>
        <v>0</v>
      </c>
      <c r="BF242" s="72">
        <f>TableCosts[[#This Row],[N_Amount]]*TableCosts[[#This Row],[N_Tariff]]*TableCosts[[#This Row],[N_ItemsCount]]</f>
        <v>0</v>
      </c>
      <c r="BG242" s="72">
        <f>IF(G242=1,IF(TableCosts[[#This Row],[N_Kateg]]="interné práce",TableCosts[[#This Row],[N_Amount]]*8*PAR_SGA_PERHOUR,0),0)</f>
        <v>0</v>
      </c>
      <c r="BH242" s="72">
        <f>SUM(TableCosts[[#This Row],[N_Direct]:[N_SGA]])</f>
        <v>0</v>
      </c>
      <c r="BI242" s="24">
        <f>IF(G242=1,IF(OR(AND(NOT(ISERROR(VLOOKUP(TableCosts[[#This Row],[Calc_N_Typ]],Cis_WorkPositions,1,0))),C242&lt;&gt;"",D242&lt;&gt;"",E242&lt;&gt;""),AND(ISERROR(VLOOKUP(TableCosts[[#This Row],[Calc_N_Typ]],Cis_WorkPositions,1,0)),C242="",D242="",E242&lt;&gt;""),LEFT(TableCosts[[#This Row],[Calc_N_Typ]],18)="Vynaložené náklady"),VLOOKUP(C242&amp;TableCosts[[#This Row],[Calc_N_Typ]],TRAN_STRITEMS_LABEL,VLOOKUP(D242,Tab_Hours,3,0),0),NA()),0)</f>
        <v>0</v>
      </c>
      <c r="BJ242" s="24">
        <f t="shared" si="66"/>
        <v>0</v>
      </c>
      <c r="BK242" s="24" t="str">
        <f t="shared" si="67"/>
        <v/>
      </c>
      <c r="BL242" s="24" t="str">
        <f t="shared" si="68"/>
        <v/>
      </c>
      <c r="BM242" s="24" t="str">
        <f>IF(G242=1,IF(TableCosts[[#This Row],[TransferFrom]]=TableCosts[[#This Row],[TranferTo]],0,1),"")</f>
        <v/>
      </c>
      <c r="BN242" s="24" t="str">
        <f t="shared" si="69"/>
        <v/>
      </c>
      <c r="BO242" s="24">
        <f t="shared" si="70"/>
        <v>0</v>
      </c>
      <c r="BP242" s="24">
        <f t="shared" si="71"/>
        <v>0</v>
      </c>
    </row>
    <row r="243" spans="2:68" s="24" customFormat="1" ht="12.75" x14ac:dyDescent="0.2">
      <c r="B243" s="97"/>
      <c r="C243" s="92"/>
      <c r="D243" s="92"/>
      <c r="E243" s="92"/>
      <c r="F243" s="31" t="str">
        <f>IF(G243=1,IF(ISERROR(TableCosts[[#This Row],[N_Tariff]]),Err_Message1,IF(TableCosts[[#This Row],[N_Tariff]]=0,Err_Message2,VLOOKUP(C243&amp;TableCosts[[#This Row],[Calc_N_Typ]],TRAN_STRITEMS_LABEL,5,FALSE))),"")</f>
        <v/>
      </c>
      <c r="G243" s="31">
        <f t="shared" si="60"/>
        <v>0</v>
      </c>
      <c r="H243" s="31" t="str">
        <f>IF(G243=1,IFERROR(VLOOKUP(F243,Tab_ErrMessage[],2,0),VLOOKUP(C243&amp;TableCosts[[#This Row],[Calc_N_Typ]],TRAN_STRITEMS_LABEL,4,FALSE)),"")</f>
        <v/>
      </c>
      <c r="I243" s="94"/>
      <c r="J243" s="94"/>
      <c r="K243" s="94"/>
      <c r="L243" s="84"/>
      <c r="M243" s="84"/>
      <c r="N243" s="84"/>
      <c r="O243" s="84"/>
      <c r="P243" s="84"/>
      <c r="Q243" s="84"/>
      <c r="R243" s="84"/>
      <c r="S243" s="84"/>
      <c r="T243" s="84"/>
      <c r="U243" s="84"/>
      <c r="V243" s="84"/>
      <c r="W243" s="84"/>
      <c r="X243" s="84"/>
      <c r="Y243" s="84"/>
      <c r="Z243" s="84"/>
      <c r="AA243" s="84"/>
      <c r="AB243" s="84"/>
      <c r="AC243" s="84"/>
      <c r="AD243" s="84"/>
      <c r="AE243" s="84"/>
      <c r="AF243" s="84"/>
      <c r="AG243" s="84"/>
      <c r="AH243" s="84"/>
      <c r="AI243" s="84"/>
      <c r="AJ243" s="84"/>
      <c r="AK243" s="84"/>
      <c r="AL243" s="84"/>
      <c r="AM243" s="84"/>
      <c r="AN243" s="84"/>
      <c r="AO243" s="84"/>
      <c r="AP243" s="84"/>
      <c r="AQ243" s="84"/>
      <c r="AR243" s="84"/>
      <c r="AS243" s="84"/>
      <c r="AT243" s="84"/>
      <c r="AU243" s="84"/>
      <c r="AV243" s="84"/>
      <c r="AW243" s="84"/>
      <c r="AX243" s="87">
        <f t="array" ref="AX243">IF(G243=1,SUM((ROW(M0)=ROW(AW243))*(M0+M1_+M2_+M3_+M4_+M5_+M6_+M7_+M8_+M9_+M10_+M11_+M12_+M13_+M14_+M15_+M16_+M17_+M18_+M19_+M20_+M21_+M22_+M23_+M24_+M25_+M26_+M27_+M28_+M29_+M30_+M31_+M32_+M33_+M34_+M35_+M36_+M37_)),0)</f>
        <v>0</v>
      </c>
      <c r="AZ243" s="24" t="str">
        <f t="shared" si="61"/>
        <v/>
      </c>
      <c r="BA243" s="24" t="str">
        <f t="shared" si="62"/>
        <v/>
      </c>
      <c r="BB243" s="24" t="str">
        <f t="shared" si="63"/>
        <v/>
      </c>
      <c r="BC243" s="24" t="str">
        <f>IF(OR(E243="",LEFT(TableCosts[[#This Row],[Calc_N_Typ]],18)="Vynaložené náklady"),"",VLOOKUP(E243,Tab_Parts,2,0))</f>
        <v/>
      </c>
      <c r="BD243" s="24" t="str">
        <f t="shared" si="64"/>
        <v/>
      </c>
      <c r="BE243" s="24">
        <f t="shared" si="65"/>
        <v>0</v>
      </c>
      <c r="BF243" s="72">
        <f>TableCosts[[#This Row],[N_Amount]]*TableCosts[[#This Row],[N_Tariff]]*TableCosts[[#This Row],[N_ItemsCount]]</f>
        <v>0</v>
      </c>
      <c r="BG243" s="72">
        <f>IF(G243=1,IF(TableCosts[[#This Row],[N_Kateg]]="interné práce",TableCosts[[#This Row],[N_Amount]]*8*PAR_SGA_PERHOUR,0),0)</f>
        <v>0</v>
      </c>
      <c r="BH243" s="72">
        <f>SUM(TableCosts[[#This Row],[N_Direct]:[N_SGA]])</f>
        <v>0</v>
      </c>
      <c r="BI243" s="24">
        <f>IF(G243=1,IF(OR(AND(NOT(ISERROR(VLOOKUP(TableCosts[[#This Row],[Calc_N_Typ]],Cis_WorkPositions,1,0))),C243&lt;&gt;"",D243&lt;&gt;"",E243&lt;&gt;""),AND(ISERROR(VLOOKUP(TableCosts[[#This Row],[Calc_N_Typ]],Cis_WorkPositions,1,0)),C243="",D243="",E243&lt;&gt;""),LEFT(TableCosts[[#This Row],[Calc_N_Typ]],18)="Vynaložené náklady"),VLOOKUP(C243&amp;TableCosts[[#This Row],[Calc_N_Typ]],TRAN_STRITEMS_LABEL,VLOOKUP(D243,Tab_Hours,3,0),0),NA()),0)</f>
        <v>0</v>
      </c>
      <c r="BJ243" s="24">
        <f t="shared" si="66"/>
        <v>0</v>
      </c>
      <c r="BK243" s="24" t="str">
        <f t="shared" si="67"/>
        <v/>
      </c>
      <c r="BL243" s="24" t="str">
        <f t="shared" si="68"/>
        <v/>
      </c>
      <c r="BM243" s="24" t="str">
        <f>IF(G243=1,IF(TableCosts[[#This Row],[TransferFrom]]=TableCosts[[#This Row],[TranferTo]],0,1),"")</f>
        <v/>
      </c>
      <c r="BN243" s="24" t="str">
        <f t="shared" si="69"/>
        <v/>
      </c>
      <c r="BO243" s="24">
        <f t="shared" si="70"/>
        <v>0</v>
      </c>
      <c r="BP243" s="24">
        <f t="shared" si="71"/>
        <v>0</v>
      </c>
    </row>
    <row r="244" spans="2:68" s="24" customFormat="1" ht="12.75" x14ac:dyDescent="0.2">
      <c r="B244" s="97"/>
      <c r="C244" s="92"/>
      <c r="D244" s="92"/>
      <c r="E244" s="92"/>
      <c r="F244" s="31" t="str">
        <f>IF(G244=1,IF(ISERROR(TableCosts[[#This Row],[N_Tariff]]),Err_Message1,IF(TableCosts[[#This Row],[N_Tariff]]=0,Err_Message2,VLOOKUP(C244&amp;TableCosts[[#This Row],[Calc_N_Typ]],TRAN_STRITEMS_LABEL,5,FALSE))),"")</f>
        <v/>
      </c>
      <c r="G244" s="31">
        <f t="shared" si="60"/>
        <v>0</v>
      </c>
      <c r="H244" s="31" t="str">
        <f>IF(G244=1,IFERROR(VLOOKUP(F244,Tab_ErrMessage[],2,0),VLOOKUP(C244&amp;TableCosts[[#This Row],[Calc_N_Typ]],TRAN_STRITEMS_LABEL,4,FALSE)),"")</f>
        <v/>
      </c>
      <c r="I244" s="94"/>
      <c r="J244" s="94"/>
      <c r="K244" s="94"/>
      <c r="L244" s="84"/>
      <c r="M244" s="84"/>
      <c r="N244" s="84"/>
      <c r="O244" s="84"/>
      <c r="P244" s="84"/>
      <c r="Q244" s="84"/>
      <c r="R244" s="84"/>
      <c r="S244" s="84"/>
      <c r="T244" s="84"/>
      <c r="U244" s="84"/>
      <c r="V244" s="84"/>
      <c r="W244" s="84"/>
      <c r="X244" s="84"/>
      <c r="Y244" s="84"/>
      <c r="Z244" s="84"/>
      <c r="AA244" s="84"/>
      <c r="AB244" s="84"/>
      <c r="AC244" s="84"/>
      <c r="AD244" s="84"/>
      <c r="AE244" s="84"/>
      <c r="AF244" s="84"/>
      <c r="AG244" s="84"/>
      <c r="AH244" s="84"/>
      <c r="AI244" s="84"/>
      <c r="AJ244" s="84"/>
      <c r="AK244" s="84"/>
      <c r="AL244" s="84"/>
      <c r="AM244" s="84"/>
      <c r="AN244" s="84"/>
      <c r="AO244" s="84"/>
      <c r="AP244" s="84"/>
      <c r="AQ244" s="84"/>
      <c r="AR244" s="84"/>
      <c r="AS244" s="84"/>
      <c r="AT244" s="84"/>
      <c r="AU244" s="84"/>
      <c r="AV244" s="84"/>
      <c r="AW244" s="84"/>
      <c r="AX244" s="87">
        <f t="array" ref="AX244">IF(G244=1,SUM((ROW(M0)=ROW(AW244))*(M0+M1_+M2_+M3_+M4_+M5_+M6_+M7_+M8_+M9_+M10_+M11_+M12_+M13_+M14_+M15_+M16_+M17_+M18_+M19_+M20_+M21_+M22_+M23_+M24_+M25_+M26_+M27_+M28_+M29_+M30_+M31_+M32_+M33_+M34_+M35_+M36_+M37_)),0)</f>
        <v>0</v>
      </c>
      <c r="AZ244" s="24" t="str">
        <f t="shared" si="61"/>
        <v/>
      </c>
      <c r="BA244" s="24" t="str">
        <f t="shared" si="62"/>
        <v/>
      </c>
      <c r="BB244" s="24" t="str">
        <f t="shared" si="63"/>
        <v/>
      </c>
      <c r="BC244" s="24" t="str">
        <f>IF(OR(E244="",LEFT(TableCosts[[#This Row],[Calc_N_Typ]],18)="Vynaložené náklady"),"",VLOOKUP(E244,Tab_Parts,2,0))</f>
        <v/>
      </c>
      <c r="BD244" s="24" t="str">
        <f t="shared" si="64"/>
        <v/>
      </c>
      <c r="BE244" s="24">
        <f t="shared" si="65"/>
        <v>0</v>
      </c>
      <c r="BF244" s="72">
        <f>TableCosts[[#This Row],[N_Amount]]*TableCosts[[#This Row],[N_Tariff]]*TableCosts[[#This Row],[N_ItemsCount]]</f>
        <v>0</v>
      </c>
      <c r="BG244" s="72">
        <f>IF(G244=1,IF(TableCosts[[#This Row],[N_Kateg]]="interné práce",TableCosts[[#This Row],[N_Amount]]*8*PAR_SGA_PERHOUR,0),0)</f>
        <v>0</v>
      </c>
      <c r="BH244" s="72">
        <f>SUM(TableCosts[[#This Row],[N_Direct]:[N_SGA]])</f>
        <v>0</v>
      </c>
      <c r="BI244" s="24">
        <f>IF(G244=1,IF(OR(AND(NOT(ISERROR(VLOOKUP(TableCosts[[#This Row],[Calc_N_Typ]],Cis_WorkPositions,1,0))),C244&lt;&gt;"",D244&lt;&gt;"",E244&lt;&gt;""),AND(ISERROR(VLOOKUP(TableCosts[[#This Row],[Calc_N_Typ]],Cis_WorkPositions,1,0)),C244="",D244="",E244&lt;&gt;""),LEFT(TableCosts[[#This Row],[Calc_N_Typ]],18)="Vynaložené náklady"),VLOOKUP(C244&amp;TableCosts[[#This Row],[Calc_N_Typ]],TRAN_STRITEMS_LABEL,VLOOKUP(D244,Tab_Hours,3,0),0),NA()),0)</f>
        <v>0</v>
      </c>
      <c r="BJ244" s="24">
        <f t="shared" si="66"/>
        <v>0</v>
      </c>
      <c r="BK244" s="24" t="str">
        <f t="shared" si="67"/>
        <v/>
      </c>
      <c r="BL244" s="24" t="str">
        <f t="shared" si="68"/>
        <v/>
      </c>
      <c r="BM244" s="24" t="str">
        <f>IF(G244=1,IF(TableCosts[[#This Row],[TransferFrom]]=TableCosts[[#This Row],[TranferTo]],0,1),"")</f>
        <v/>
      </c>
      <c r="BN244" s="24" t="str">
        <f t="shared" si="69"/>
        <v/>
      </c>
      <c r="BO244" s="24">
        <f t="shared" si="70"/>
        <v>0</v>
      </c>
      <c r="BP244" s="24">
        <f t="shared" si="71"/>
        <v>0</v>
      </c>
    </row>
    <row r="245" spans="2:68" s="24" customFormat="1" ht="12.75" x14ac:dyDescent="0.2">
      <c r="B245" s="97"/>
      <c r="C245" s="92"/>
      <c r="D245" s="92"/>
      <c r="E245" s="92"/>
      <c r="F245" s="31" t="str">
        <f>IF(G245=1,IF(ISERROR(TableCosts[[#This Row],[N_Tariff]]),Err_Message1,IF(TableCosts[[#This Row],[N_Tariff]]=0,Err_Message2,VLOOKUP(C245&amp;TableCosts[[#This Row],[Calc_N_Typ]],TRAN_STRITEMS_LABEL,5,FALSE))),"")</f>
        <v/>
      </c>
      <c r="G245" s="31">
        <f t="shared" si="60"/>
        <v>0</v>
      </c>
      <c r="H245" s="31" t="str">
        <f>IF(G245=1,IFERROR(VLOOKUP(F245,Tab_ErrMessage[],2,0),VLOOKUP(C245&amp;TableCosts[[#This Row],[Calc_N_Typ]],TRAN_STRITEMS_LABEL,4,FALSE)),"")</f>
        <v/>
      </c>
      <c r="I245" s="94"/>
      <c r="J245" s="94"/>
      <c r="K245" s="94"/>
      <c r="L245" s="84"/>
      <c r="M245" s="84"/>
      <c r="N245" s="84"/>
      <c r="O245" s="84"/>
      <c r="P245" s="84"/>
      <c r="Q245" s="84"/>
      <c r="R245" s="84"/>
      <c r="S245" s="84"/>
      <c r="T245" s="84"/>
      <c r="U245" s="84"/>
      <c r="V245" s="84"/>
      <c r="W245" s="84"/>
      <c r="X245" s="84"/>
      <c r="Y245" s="84"/>
      <c r="Z245" s="84"/>
      <c r="AA245" s="84"/>
      <c r="AB245" s="84"/>
      <c r="AC245" s="84"/>
      <c r="AD245" s="84"/>
      <c r="AE245" s="84"/>
      <c r="AF245" s="84"/>
      <c r="AG245" s="84"/>
      <c r="AH245" s="84"/>
      <c r="AI245" s="84"/>
      <c r="AJ245" s="84"/>
      <c r="AK245" s="84"/>
      <c r="AL245" s="84"/>
      <c r="AM245" s="84"/>
      <c r="AN245" s="84"/>
      <c r="AO245" s="84"/>
      <c r="AP245" s="84"/>
      <c r="AQ245" s="84"/>
      <c r="AR245" s="84"/>
      <c r="AS245" s="84"/>
      <c r="AT245" s="84"/>
      <c r="AU245" s="84"/>
      <c r="AV245" s="84"/>
      <c r="AW245" s="84"/>
      <c r="AX245" s="87">
        <f t="array" ref="AX245">IF(G245=1,SUM((ROW(M0)=ROW(AW245))*(M0+M1_+M2_+M3_+M4_+M5_+M6_+M7_+M8_+M9_+M10_+M11_+M12_+M13_+M14_+M15_+M16_+M17_+M18_+M19_+M20_+M21_+M22_+M23_+M24_+M25_+M26_+M27_+M28_+M29_+M30_+M31_+M32_+M33_+M34_+M35_+M36_+M37_)),0)</f>
        <v>0</v>
      </c>
      <c r="AZ245" s="24" t="str">
        <f t="shared" si="61"/>
        <v/>
      </c>
      <c r="BA245" s="24" t="str">
        <f t="shared" si="62"/>
        <v/>
      </c>
      <c r="BB245" s="24" t="str">
        <f t="shared" si="63"/>
        <v/>
      </c>
      <c r="BC245" s="24" t="str">
        <f>IF(OR(E245="",LEFT(TableCosts[[#This Row],[Calc_N_Typ]],18)="Vynaložené náklady"),"",VLOOKUP(E245,Tab_Parts,2,0))</f>
        <v/>
      </c>
      <c r="BD245" s="24" t="str">
        <f t="shared" si="64"/>
        <v/>
      </c>
      <c r="BE245" s="24">
        <f t="shared" si="65"/>
        <v>0</v>
      </c>
      <c r="BF245" s="72">
        <f>TableCosts[[#This Row],[N_Amount]]*TableCosts[[#This Row],[N_Tariff]]*TableCosts[[#This Row],[N_ItemsCount]]</f>
        <v>0</v>
      </c>
      <c r="BG245" s="72">
        <f>IF(G245=1,IF(TableCosts[[#This Row],[N_Kateg]]="interné práce",TableCosts[[#This Row],[N_Amount]]*8*PAR_SGA_PERHOUR,0),0)</f>
        <v>0</v>
      </c>
      <c r="BH245" s="72">
        <f>SUM(TableCosts[[#This Row],[N_Direct]:[N_SGA]])</f>
        <v>0</v>
      </c>
      <c r="BI245" s="24">
        <f>IF(G245=1,IF(OR(AND(NOT(ISERROR(VLOOKUP(TableCosts[[#This Row],[Calc_N_Typ]],Cis_WorkPositions,1,0))),C245&lt;&gt;"",D245&lt;&gt;"",E245&lt;&gt;""),AND(ISERROR(VLOOKUP(TableCosts[[#This Row],[Calc_N_Typ]],Cis_WorkPositions,1,0)),C245="",D245="",E245&lt;&gt;""),LEFT(TableCosts[[#This Row],[Calc_N_Typ]],18)="Vynaložené náklady"),VLOOKUP(C245&amp;TableCosts[[#This Row],[Calc_N_Typ]],TRAN_STRITEMS_LABEL,VLOOKUP(D245,Tab_Hours,3,0),0),NA()),0)</f>
        <v>0</v>
      </c>
      <c r="BJ245" s="24">
        <f t="shared" si="66"/>
        <v>0</v>
      </c>
      <c r="BK245" s="24" t="str">
        <f t="shared" si="67"/>
        <v/>
      </c>
      <c r="BL245" s="24" t="str">
        <f t="shared" si="68"/>
        <v/>
      </c>
      <c r="BM245" s="24" t="str">
        <f>IF(G245=1,IF(TableCosts[[#This Row],[TransferFrom]]=TableCosts[[#This Row],[TranferTo]],0,1),"")</f>
        <v/>
      </c>
      <c r="BN245" s="24" t="str">
        <f t="shared" si="69"/>
        <v/>
      </c>
      <c r="BO245" s="24">
        <f t="shared" si="70"/>
        <v>0</v>
      </c>
      <c r="BP245" s="24">
        <f t="shared" si="71"/>
        <v>0</v>
      </c>
    </row>
    <row r="246" spans="2:68" s="24" customFormat="1" ht="12.75" x14ac:dyDescent="0.2">
      <c r="B246" s="97"/>
      <c r="C246" s="92"/>
      <c r="D246" s="92"/>
      <c r="E246" s="92"/>
      <c r="F246" s="31" t="str">
        <f>IF(G246=1,IF(ISERROR(TableCosts[[#This Row],[N_Tariff]]),Err_Message1,IF(TableCosts[[#This Row],[N_Tariff]]=0,Err_Message2,VLOOKUP(C246&amp;TableCosts[[#This Row],[Calc_N_Typ]],TRAN_STRITEMS_LABEL,5,FALSE))),"")</f>
        <v/>
      </c>
      <c r="G246" s="31">
        <f t="shared" si="60"/>
        <v>0</v>
      </c>
      <c r="H246" s="31" t="str">
        <f>IF(G246=1,IFERROR(VLOOKUP(F246,Tab_ErrMessage[],2,0),VLOOKUP(C246&amp;TableCosts[[#This Row],[Calc_N_Typ]],TRAN_STRITEMS_LABEL,4,FALSE)),"")</f>
        <v/>
      </c>
      <c r="I246" s="94"/>
      <c r="J246" s="94"/>
      <c r="K246" s="94"/>
      <c r="L246" s="84"/>
      <c r="M246" s="84"/>
      <c r="N246" s="84"/>
      <c r="O246" s="84"/>
      <c r="P246" s="84"/>
      <c r="Q246" s="84"/>
      <c r="R246" s="84"/>
      <c r="S246" s="84"/>
      <c r="T246" s="84"/>
      <c r="U246" s="84"/>
      <c r="V246" s="84"/>
      <c r="W246" s="84"/>
      <c r="X246" s="84"/>
      <c r="Y246" s="84"/>
      <c r="Z246" s="84"/>
      <c r="AA246" s="84"/>
      <c r="AB246" s="84"/>
      <c r="AC246" s="84"/>
      <c r="AD246" s="84"/>
      <c r="AE246" s="84"/>
      <c r="AF246" s="84"/>
      <c r="AG246" s="84"/>
      <c r="AH246" s="84"/>
      <c r="AI246" s="84"/>
      <c r="AJ246" s="84"/>
      <c r="AK246" s="84"/>
      <c r="AL246" s="84"/>
      <c r="AM246" s="84"/>
      <c r="AN246" s="84"/>
      <c r="AO246" s="84"/>
      <c r="AP246" s="84"/>
      <c r="AQ246" s="84"/>
      <c r="AR246" s="84"/>
      <c r="AS246" s="84"/>
      <c r="AT246" s="84"/>
      <c r="AU246" s="84"/>
      <c r="AV246" s="84"/>
      <c r="AW246" s="84"/>
      <c r="AX246" s="87">
        <f t="array" ref="AX246">IF(G246=1,SUM((ROW(M0)=ROW(AW246))*(M0+M1_+M2_+M3_+M4_+M5_+M6_+M7_+M8_+M9_+M10_+M11_+M12_+M13_+M14_+M15_+M16_+M17_+M18_+M19_+M20_+M21_+M22_+M23_+M24_+M25_+M26_+M27_+M28_+M29_+M30_+M31_+M32_+M33_+M34_+M35_+M36_+M37_)),0)</f>
        <v>0</v>
      </c>
      <c r="AZ246" s="24" t="str">
        <f t="shared" si="61"/>
        <v/>
      </c>
      <c r="BA246" s="24" t="str">
        <f t="shared" si="62"/>
        <v/>
      </c>
      <c r="BB246" s="24" t="str">
        <f t="shared" si="63"/>
        <v/>
      </c>
      <c r="BC246" s="24" t="str">
        <f>IF(OR(E246="",LEFT(TableCosts[[#This Row],[Calc_N_Typ]],18)="Vynaložené náklady"),"",VLOOKUP(E246,Tab_Parts,2,0))</f>
        <v/>
      </c>
      <c r="BD246" s="24" t="str">
        <f t="shared" si="64"/>
        <v/>
      </c>
      <c r="BE246" s="24">
        <f t="shared" si="65"/>
        <v>0</v>
      </c>
      <c r="BF246" s="72">
        <f>TableCosts[[#This Row],[N_Amount]]*TableCosts[[#This Row],[N_Tariff]]*TableCosts[[#This Row],[N_ItemsCount]]</f>
        <v>0</v>
      </c>
      <c r="BG246" s="72">
        <f>IF(G246=1,IF(TableCosts[[#This Row],[N_Kateg]]="interné práce",TableCosts[[#This Row],[N_Amount]]*8*PAR_SGA_PERHOUR,0),0)</f>
        <v>0</v>
      </c>
      <c r="BH246" s="72">
        <f>SUM(TableCosts[[#This Row],[N_Direct]:[N_SGA]])</f>
        <v>0</v>
      </c>
      <c r="BI246" s="24">
        <f>IF(G246=1,IF(OR(AND(NOT(ISERROR(VLOOKUP(TableCosts[[#This Row],[Calc_N_Typ]],Cis_WorkPositions,1,0))),C246&lt;&gt;"",D246&lt;&gt;"",E246&lt;&gt;""),AND(ISERROR(VLOOKUP(TableCosts[[#This Row],[Calc_N_Typ]],Cis_WorkPositions,1,0)),C246="",D246="",E246&lt;&gt;""),LEFT(TableCosts[[#This Row],[Calc_N_Typ]],18)="Vynaložené náklady"),VLOOKUP(C246&amp;TableCosts[[#This Row],[Calc_N_Typ]],TRAN_STRITEMS_LABEL,VLOOKUP(D246,Tab_Hours,3,0),0),NA()),0)</f>
        <v>0</v>
      </c>
      <c r="BJ246" s="24">
        <f t="shared" si="66"/>
        <v>0</v>
      </c>
      <c r="BK246" s="24" t="str">
        <f t="shared" si="67"/>
        <v/>
      </c>
      <c r="BL246" s="24" t="str">
        <f t="shared" si="68"/>
        <v/>
      </c>
      <c r="BM246" s="24" t="str">
        <f>IF(G246=1,IF(TableCosts[[#This Row],[TransferFrom]]=TableCosts[[#This Row],[TranferTo]],0,1),"")</f>
        <v/>
      </c>
      <c r="BN246" s="24" t="str">
        <f t="shared" si="69"/>
        <v/>
      </c>
      <c r="BO246" s="24">
        <f t="shared" si="70"/>
        <v>0</v>
      </c>
      <c r="BP246" s="24">
        <f t="shared" si="71"/>
        <v>0</v>
      </c>
    </row>
    <row r="247" spans="2:68" s="24" customFormat="1" ht="12.75" x14ac:dyDescent="0.2">
      <c r="B247" s="97"/>
      <c r="C247" s="92"/>
      <c r="D247" s="92"/>
      <c r="E247" s="92"/>
      <c r="F247" s="31" t="str">
        <f>IF(G247=1,IF(ISERROR(TableCosts[[#This Row],[N_Tariff]]),Err_Message1,IF(TableCosts[[#This Row],[N_Tariff]]=0,Err_Message2,VLOOKUP(C247&amp;TableCosts[[#This Row],[Calc_N_Typ]],TRAN_STRITEMS_LABEL,5,FALSE))),"")</f>
        <v/>
      </c>
      <c r="G247" s="31">
        <f t="shared" si="60"/>
        <v>0</v>
      </c>
      <c r="H247" s="31" t="str">
        <f>IF(G247=1,IFERROR(VLOOKUP(F247,Tab_ErrMessage[],2,0),VLOOKUP(C247&amp;TableCosts[[#This Row],[Calc_N_Typ]],TRAN_STRITEMS_LABEL,4,FALSE)),"")</f>
        <v/>
      </c>
      <c r="I247" s="94"/>
      <c r="J247" s="94"/>
      <c r="K247" s="94"/>
      <c r="L247" s="84"/>
      <c r="M247" s="84"/>
      <c r="N247" s="84"/>
      <c r="O247" s="84"/>
      <c r="P247" s="84"/>
      <c r="Q247" s="84"/>
      <c r="R247" s="84"/>
      <c r="S247" s="84"/>
      <c r="T247" s="84"/>
      <c r="U247" s="84"/>
      <c r="V247" s="84"/>
      <c r="W247" s="84"/>
      <c r="X247" s="84"/>
      <c r="Y247" s="84"/>
      <c r="Z247" s="84"/>
      <c r="AA247" s="84"/>
      <c r="AB247" s="84"/>
      <c r="AC247" s="84"/>
      <c r="AD247" s="84"/>
      <c r="AE247" s="84"/>
      <c r="AF247" s="84"/>
      <c r="AG247" s="84"/>
      <c r="AH247" s="84"/>
      <c r="AI247" s="84"/>
      <c r="AJ247" s="84"/>
      <c r="AK247" s="84"/>
      <c r="AL247" s="84"/>
      <c r="AM247" s="84"/>
      <c r="AN247" s="84"/>
      <c r="AO247" s="84"/>
      <c r="AP247" s="84"/>
      <c r="AQ247" s="84"/>
      <c r="AR247" s="84"/>
      <c r="AS247" s="84"/>
      <c r="AT247" s="84"/>
      <c r="AU247" s="84"/>
      <c r="AV247" s="84"/>
      <c r="AW247" s="84"/>
      <c r="AX247" s="87">
        <f t="array" ref="AX247">IF(G247=1,SUM((ROW(M0)=ROW(AW247))*(M0+M1_+M2_+M3_+M4_+M5_+M6_+M7_+M8_+M9_+M10_+M11_+M12_+M13_+M14_+M15_+M16_+M17_+M18_+M19_+M20_+M21_+M22_+M23_+M24_+M25_+M26_+M27_+M28_+M29_+M30_+M31_+M32_+M33_+M34_+M35_+M36_+M37_)),0)</f>
        <v>0</v>
      </c>
      <c r="AZ247" s="24" t="str">
        <f t="shared" si="61"/>
        <v/>
      </c>
      <c r="BA247" s="24" t="str">
        <f t="shared" si="62"/>
        <v/>
      </c>
      <c r="BB247" s="24" t="str">
        <f t="shared" si="63"/>
        <v/>
      </c>
      <c r="BC247" s="24" t="str">
        <f>IF(OR(E247="",LEFT(TableCosts[[#This Row],[Calc_N_Typ]],18)="Vynaložené náklady"),"",VLOOKUP(E247,Tab_Parts,2,0))</f>
        <v/>
      </c>
      <c r="BD247" s="24" t="str">
        <f t="shared" si="64"/>
        <v/>
      </c>
      <c r="BE247" s="24">
        <f t="shared" si="65"/>
        <v>0</v>
      </c>
      <c r="BF247" s="72">
        <f>TableCosts[[#This Row],[N_Amount]]*TableCosts[[#This Row],[N_Tariff]]*TableCosts[[#This Row],[N_ItemsCount]]</f>
        <v>0</v>
      </c>
      <c r="BG247" s="72">
        <f>IF(G247=1,IF(TableCosts[[#This Row],[N_Kateg]]="interné práce",TableCosts[[#This Row],[N_Amount]]*8*PAR_SGA_PERHOUR,0),0)</f>
        <v>0</v>
      </c>
      <c r="BH247" s="72">
        <f>SUM(TableCosts[[#This Row],[N_Direct]:[N_SGA]])</f>
        <v>0</v>
      </c>
      <c r="BI247" s="24">
        <f>IF(G247=1,IF(OR(AND(NOT(ISERROR(VLOOKUP(TableCosts[[#This Row],[Calc_N_Typ]],Cis_WorkPositions,1,0))),C247&lt;&gt;"",D247&lt;&gt;"",E247&lt;&gt;""),AND(ISERROR(VLOOKUP(TableCosts[[#This Row],[Calc_N_Typ]],Cis_WorkPositions,1,0)),C247="",D247="",E247&lt;&gt;""),LEFT(TableCosts[[#This Row],[Calc_N_Typ]],18)="Vynaložené náklady"),VLOOKUP(C247&amp;TableCosts[[#This Row],[Calc_N_Typ]],TRAN_STRITEMS_LABEL,VLOOKUP(D247,Tab_Hours,3,0),0),NA()),0)</f>
        <v>0</v>
      </c>
      <c r="BJ247" s="24">
        <f t="shared" si="66"/>
        <v>0</v>
      </c>
      <c r="BK247" s="24" t="str">
        <f t="shared" si="67"/>
        <v/>
      </c>
      <c r="BL247" s="24" t="str">
        <f t="shared" si="68"/>
        <v/>
      </c>
      <c r="BM247" s="24" t="str">
        <f>IF(G247=1,IF(TableCosts[[#This Row],[TransferFrom]]=TableCosts[[#This Row],[TranferTo]],0,1),"")</f>
        <v/>
      </c>
      <c r="BN247" s="24" t="str">
        <f t="shared" si="69"/>
        <v/>
      </c>
      <c r="BO247" s="24">
        <f t="shared" si="70"/>
        <v>0</v>
      </c>
      <c r="BP247" s="24">
        <f t="shared" si="71"/>
        <v>0</v>
      </c>
    </row>
    <row r="248" spans="2:68" s="24" customFormat="1" ht="12.75" x14ac:dyDescent="0.2">
      <c r="B248" s="97"/>
      <c r="C248" s="92"/>
      <c r="D248" s="92"/>
      <c r="E248" s="92"/>
      <c r="F248" s="31" t="str">
        <f>IF(G248=1,IF(ISERROR(TableCosts[[#This Row],[N_Tariff]]),Err_Message1,IF(TableCosts[[#This Row],[N_Tariff]]=0,Err_Message2,VLOOKUP(C248&amp;TableCosts[[#This Row],[Calc_N_Typ]],TRAN_STRITEMS_LABEL,5,FALSE))),"")</f>
        <v/>
      </c>
      <c r="G248" s="31">
        <f t="shared" si="60"/>
        <v>0</v>
      </c>
      <c r="H248" s="31" t="str">
        <f>IF(G248=1,IFERROR(VLOOKUP(F248,Tab_ErrMessage[],2,0),VLOOKUP(C248&amp;TableCosts[[#This Row],[Calc_N_Typ]],TRAN_STRITEMS_LABEL,4,FALSE)),"")</f>
        <v/>
      </c>
      <c r="I248" s="94"/>
      <c r="J248" s="94"/>
      <c r="K248" s="94"/>
      <c r="L248" s="84"/>
      <c r="M248" s="84"/>
      <c r="N248" s="84"/>
      <c r="O248" s="84"/>
      <c r="P248" s="84"/>
      <c r="Q248" s="84"/>
      <c r="R248" s="84"/>
      <c r="S248" s="84"/>
      <c r="T248" s="84"/>
      <c r="U248" s="84"/>
      <c r="V248" s="84"/>
      <c r="W248" s="84"/>
      <c r="X248" s="84"/>
      <c r="Y248" s="84"/>
      <c r="Z248" s="84"/>
      <c r="AA248" s="84"/>
      <c r="AB248" s="84"/>
      <c r="AC248" s="84"/>
      <c r="AD248" s="84"/>
      <c r="AE248" s="84"/>
      <c r="AF248" s="84"/>
      <c r="AG248" s="84"/>
      <c r="AH248" s="84"/>
      <c r="AI248" s="84"/>
      <c r="AJ248" s="84"/>
      <c r="AK248" s="84"/>
      <c r="AL248" s="84"/>
      <c r="AM248" s="84"/>
      <c r="AN248" s="84"/>
      <c r="AO248" s="84"/>
      <c r="AP248" s="84"/>
      <c r="AQ248" s="84"/>
      <c r="AR248" s="84"/>
      <c r="AS248" s="84"/>
      <c r="AT248" s="84"/>
      <c r="AU248" s="84"/>
      <c r="AV248" s="84"/>
      <c r="AW248" s="84"/>
      <c r="AX248" s="87">
        <f t="array" ref="AX248">IF(G248=1,SUM((ROW(M0)=ROW(AW248))*(M0+M1_+M2_+M3_+M4_+M5_+M6_+M7_+M8_+M9_+M10_+M11_+M12_+M13_+M14_+M15_+M16_+M17_+M18_+M19_+M20_+M21_+M22_+M23_+M24_+M25_+M26_+M27_+M28_+M29_+M30_+M31_+M32_+M33_+M34_+M35_+M36_+M37_)),0)</f>
        <v>0</v>
      </c>
      <c r="AZ248" s="24" t="str">
        <f t="shared" si="61"/>
        <v/>
      </c>
      <c r="BA248" s="24" t="str">
        <f t="shared" si="62"/>
        <v/>
      </c>
      <c r="BB248" s="24" t="str">
        <f t="shared" si="63"/>
        <v/>
      </c>
      <c r="BC248" s="24" t="str">
        <f>IF(OR(E248="",LEFT(TableCosts[[#This Row],[Calc_N_Typ]],18)="Vynaložené náklady"),"",VLOOKUP(E248,Tab_Parts,2,0))</f>
        <v/>
      </c>
      <c r="BD248" s="24" t="str">
        <f t="shared" si="64"/>
        <v/>
      </c>
      <c r="BE248" s="24">
        <f t="shared" si="65"/>
        <v>0</v>
      </c>
      <c r="BF248" s="72">
        <f>TableCosts[[#This Row],[N_Amount]]*TableCosts[[#This Row],[N_Tariff]]*TableCosts[[#This Row],[N_ItemsCount]]</f>
        <v>0</v>
      </c>
      <c r="BG248" s="72">
        <f>IF(G248=1,IF(TableCosts[[#This Row],[N_Kateg]]="interné práce",TableCosts[[#This Row],[N_Amount]]*8*PAR_SGA_PERHOUR,0),0)</f>
        <v>0</v>
      </c>
      <c r="BH248" s="72">
        <f>SUM(TableCosts[[#This Row],[N_Direct]:[N_SGA]])</f>
        <v>0</v>
      </c>
      <c r="BI248" s="24">
        <f>IF(G248=1,IF(OR(AND(NOT(ISERROR(VLOOKUP(TableCosts[[#This Row],[Calc_N_Typ]],Cis_WorkPositions,1,0))),C248&lt;&gt;"",D248&lt;&gt;"",E248&lt;&gt;""),AND(ISERROR(VLOOKUP(TableCosts[[#This Row],[Calc_N_Typ]],Cis_WorkPositions,1,0)),C248="",D248="",E248&lt;&gt;""),LEFT(TableCosts[[#This Row],[Calc_N_Typ]],18)="Vynaložené náklady"),VLOOKUP(C248&amp;TableCosts[[#This Row],[Calc_N_Typ]],TRAN_STRITEMS_LABEL,VLOOKUP(D248,Tab_Hours,3,0),0),NA()),0)</f>
        <v>0</v>
      </c>
      <c r="BJ248" s="24">
        <f t="shared" si="66"/>
        <v>0</v>
      </c>
      <c r="BK248" s="24" t="str">
        <f t="shared" si="67"/>
        <v/>
      </c>
      <c r="BL248" s="24" t="str">
        <f t="shared" si="68"/>
        <v/>
      </c>
      <c r="BM248" s="24" t="str">
        <f>IF(G248=1,IF(TableCosts[[#This Row],[TransferFrom]]=TableCosts[[#This Row],[TranferTo]],0,1),"")</f>
        <v/>
      </c>
      <c r="BN248" s="24" t="str">
        <f t="shared" si="69"/>
        <v/>
      </c>
      <c r="BO248" s="24">
        <f t="shared" si="70"/>
        <v>0</v>
      </c>
      <c r="BP248" s="24">
        <f t="shared" si="71"/>
        <v>0</v>
      </c>
    </row>
    <row r="249" spans="2:68" s="24" customFormat="1" ht="12.75" x14ac:dyDescent="0.2">
      <c r="B249" s="97"/>
      <c r="C249" s="92"/>
      <c r="D249" s="92"/>
      <c r="E249" s="92"/>
      <c r="F249" s="31" t="str">
        <f>IF(G249=1,IF(ISERROR(TableCosts[[#This Row],[N_Tariff]]),Err_Message1,IF(TableCosts[[#This Row],[N_Tariff]]=0,Err_Message2,VLOOKUP(C249&amp;TableCosts[[#This Row],[Calc_N_Typ]],TRAN_STRITEMS_LABEL,5,FALSE))),"")</f>
        <v/>
      </c>
      <c r="G249" s="31">
        <f t="shared" si="60"/>
        <v>0</v>
      </c>
      <c r="H249" s="31" t="str">
        <f>IF(G249=1,IFERROR(VLOOKUP(F249,Tab_ErrMessage[],2,0),VLOOKUP(C249&amp;TableCosts[[#This Row],[Calc_N_Typ]],TRAN_STRITEMS_LABEL,4,FALSE)),"")</f>
        <v/>
      </c>
      <c r="I249" s="94"/>
      <c r="J249" s="94"/>
      <c r="K249" s="94"/>
      <c r="L249" s="84"/>
      <c r="M249" s="84"/>
      <c r="N249" s="84"/>
      <c r="O249" s="84"/>
      <c r="P249" s="84"/>
      <c r="Q249" s="84"/>
      <c r="R249" s="84"/>
      <c r="S249" s="84"/>
      <c r="T249" s="84"/>
      <c r="U249" s="84"/>
      <c r="V249" s="84"/>
      <c r="W249" s="84"/>
      <c r="X249" s="84"/>
      <c r="Y249" s="84"/>
      <c r="Z249" s="84"/>
      <c r="AA249" s="84"/>
      <c r="AB249" s="84"/>
      <c r="AC249" s="84"/>
      <c r="AD249" s="84"/>
      <c r="AE249" s="84"/>
      <c r="AF249" s="84"/>
      <c r="AG249" s="84"/>
      <c r="AH249" s="84"/>
      <c r="AI249" s="84"/>
      <c r="AJ249" s="84"/>
      <c r="AK249" s="84"/>
      <c r="AL249" s="84"/>
      <c r="AM249" s="84"/>
      <c r="AN249" s="84"/>
      <c r="AO249" s="84"/>
      <c r="AP249" s="84"/>
      <c r="AQ249" s="84"/>
      <c r="AR249" s="84"/>
      <c r="AS249" s="84"/>
      <c r="AT249" s="84"/>
      <c r="AU249" s="84"/>
      <c r="AV249" s="84"/>
      <c r="AW249" s="84"/>
      <c r="AX249" s="87">
        <f t="array" ref="AX249">IF(G249=1,SUM((ROW(M0)=ROW(AW249))*(M0+M1_+M2_+M3_+M4_+M5_+M6_+M7_+M8_+M9_+M10_+M11_+M12_+M13_+M14_+M15_+M16_+M17_+M18_+M19_+M20_+M21_+M22_+M23_+M24_+M25_+M26_+M27_+M28_+M29_+M30_+M31_+M32_+M33_+M34_+M35_+M36_+M37_)),0)</f>
        <v>0</v>
      </c>
      <c r="AZ249" s="24" t="str">
        <f t="shared" si="61"/>
        <v/>
      </c>
      <c r="BA249" s="24" t="str">
        <f t="shared" si="62"/>
        <v/>
      </c>
      <c r="BB249" s="24" t="str">
        <f t="shared" si="63"/>
        <v/>
      </c>
      <c r="BC249" s="24" t="str">
        <f>IF(OR(E249="",LEFT(TableCosts[[#This Row],[Calc_N_Typ]],18)="Vynaložené náklady"),"",VLOOKUP(E249,Tab_Parts,2,0))</f>
        <v/>
      </c>
      <c r="BD249" s="24" t="str">
        <f t="shared" si="64"/>
        <v/>
      </c>
      <c r="BE249" s="24">
        <f t="shared" si="65"/>
        <v>0</v>
      </c>
      <c r="BF249" s="72">
        <f>TableCosts[[#This Row],[N_Amount]]*TableCosts[[#This Row],[N_Tariff]]*TableCosts[[#This Row],[N_ItemsCount]]</f>
        <v>0</v>
      </c>
      <c r="BG249" s="72">
        <f>IF(G249=1,IF(TableCosts[[#This Row],[N_Kateg]]="interné práce",TableCosts[[#This Row],[N_Amount]]*8*PAR_SGA_PERHOUR,0),0)</f>
        <v>0</v>
      </c>
      <c r="BH249" s="72">
        <f>SUM(TableCosts[[#This Row],[N_Direct]:[N_SGA]])</f>
        <v>0</v>
      </c>
      <c r="BI249" s="24">
        <f>IF(G249=1,IF(OR(AND(NOT(ISERROR(VLOOKUP(TableCosts[[#This Row],[Calc_N_Typ]],Cis_WorkPositions,1,0))),C249&lt;&gt;"",D249&lt;&gt;"",E249&lt;&gt;""),AND(ISERROR(VLOOKUP(TableCosts[[#This Row],[Calc_N_Typ]],Cis_WorkPositions,1,0)),C249="",D249="",E249&lt;&gt;""),LEFT(TableCosts[[#This Row],[Calc_N_Typ]],18)="Vynaložené náklady"),VLOOKUP(C249&amp;TableCosts[[#This Row],[Calc_N_Typ]],TRAN_STRITEMS_LABEL,VLOOKUP(D249,Tab_Hours,3,0),0),NA()),0)</f>
        <v>0</v>
      </c>
      <c r="BJ249" s="24">
        <f t="shared" si="66"/>
        <v>0</v>
      </c>
      <c r="BK249" s="24" t="str">
        <f t="shared" si="67"/>
        <v/>
      </c>
      <c r="BL249" s="24" t="str">
        <f t="shared" si="68"/>
        <v/>
      </c>
      <c r="BM249" s="24" t="str">
        <f>IF(G249=1,IF(TableCosts[[#This Row],[TransferFrom]]=TableCosts[[#This Row],[TranferTo]],0,1),"")</f>
        <v/>
      </c>
      <c r="BN249" s="24" t="str">
        <f t="shared" si="69"/>
        <v/>
      </c>
      <c r="BO249" s="24">
        <f t="shared" si="70"/>
        <v>0</v>
      </c>
      <c r="BP249" s="24">
        <f t="shared" si="71"/>
        <v>0</v>
      </c>
    </row>
    <row r="250" spans="2:68" s="24" customFormat="1" ht="12.75" x14ac:dyDescent="0.2">
      <c r="B250" s="97"/>
      <c r="C250" s="92"/>
      <c r="D250" s="92"/>
      <c r="E250" s="92"/>
      <c r="F250" s="31" t="str">
        <f>IF(G250=1,IF(ISERROR(TableCosts[[#This Row],[N_Tariff]]),Err_Message1,IF(TableCosts[[#This Row],[N_Tariff]]=0,Err_Message2,VLOOKUP(C250&amp;TableCosts[[#This Row],[Calc_N_Typ]],TRAN_STRITEMS_LABEL,5,FALSE))),"")</f>
        <v/>
      </c>
      <c r="G250" s="31">
        <f t="shared" si="60"/>
        <v>0</v>
      </c>
      <c r="H250" s="31" t="str">
        <f>IF(G250=1,IFERROR(VLOOKUP(F250,Tab_ErrMessage[],2,0),VLOOKUP(C250&amp;TableCosts[[#This Row],[Calc_N_Typ]],TRAN_STRITEMS_LABEL,4,FALSE)),"")</f>
        <v/>
      </c>
      <c r="I250" s="94"/>
      <c r="J250" s="94"/>
      <c r="K250" s="94"/>
      <c r="L250" s="84"/>
      <c r="M250" s="84"/>
      <c r="N250" s="84"/>
      <c r="O250" s="84"/>
      <c r="P250" s="84"/>
      <c r="Q250" s="84"/>
      <c r="R250" s="84"/>
      <c r="S250" s="84"/>
      <c r="T250" s="84"/>
      <c r="U250" s="84"/>
      <c r="V250" s="84"/>
      <c r="W250" s="84"/>
      <c r="X250" s="84"/>
      <c r="Y250" s="84"/>
      <c r="Z250" s="84"/>
      <c r="AA250" s="84"/>
      <c r="AB250" s="84"/>
      <c r="AC250" s="84"/>
      <c r="AD250" s="84"/>
      <c r="AE250" s="84"/>
      <c r="AF250" s="84"/>
      <c r="AG250" s="84"/>
      <c r="AH250" s="84"/>
      <c r="AI250" s="84"/>
      <c r="AJ250" s="84"/>
      <c r="AK250" s="84"/>
      <c r="AL250" s="84"/>
      <c r="AM250" s="84"/>
      <c r="AN250" s="84"/>
      <c r="AO250" s="84"/>
      <c r="AP250" s="84"/>
      <c r="AQ250" s="84"/>
      <c r="AR250" s="84"/>
      <c r="AS250" s="84"/>
      <c r="AT250" s="84"/>
      <c r="AU250" s="84"/>
      <c r="AV250" s="84"/>
      <c r="AW250" s="84"/>
      <c r="AX250" s="87">
        <f t="array" ref="AX250">IF(G250=1,SUM((ROW(M0)=ROW(AW250))*(M0+M1_+M2_+M3_+M4_+M5_+M6_+M7_+M8_+M9_+M10_+M11_+M12_+M13_+M14_+M15_+M16_+M17_+M18_+M19_+M20_+M21_+M22_+M23_+M24_+M25_+M26_+M27_+M28_+M29_+M30_+M31_+M32_+M33_+M34_+M35_+M36_+M37_)),0)</f>
        <v>0</v>
      </c>
      <c r="AZ250" s="24" t="str">
        <f t="shared" si="61"/>
        <v/>
      </c>
      <c r="BA250" s="24" t="str">
        <f t="shared" si="62"/>
        <v/>
      </c>
      <c r="BB250" s="24" t="str">
        <f t="shared" si="63"/>
        <v/>
      </c>
      <c r="BC250" s="24" t="str">
        <f>IF(OR(E250="",LEFT(TableCosts[[#This Row],[Calc_N_Typ]],18)="Vynaložené náklady"),"",VLOOKUP(E250,Tab_Parts,2,0))</f>
        <v/>
      </c>
      <c r="BD250" s="24" t="str">
        <f t="shared" si="64"/>
        <v/>
      </c>
      <c r="BE250" s="24">
        <f t="shared" si="65"/>
        <v>0</v>
      </c>
      <c r="BF250" s="72">
        <f>TableCosts[[#This Row],[N_Amount]]*TableCosts[[#This Row],[N_Tariff]]*TableCosts[[#This Row],[N_ItemsCount]]</f>
        <v>0</v>
      </c>
      <c r="BG250" s="72">
        <f>IF(G250=1,IF(TableCosts[[#This Row],[N_Kateg]]="interné práce",TableCosts[[#This Row],[N_Amount]]*8*PAR_SGA_PERHOUR,0),0)</f>
        <v>0</v>
      </c>
      <c r="BH250" s="72">
        <f>SUM(TableCosts[[#This Row],[N_Direct]:[N_SGA]])</f>
        <v>0</v>
      </c>
      <c r="BI250" s="24">
        <f>IF(G250=1,IF(OR(AND(NOT(ISERROR(VLOOKUP(TableCosts[[#This Row],[Calc_N_Typ]],Cis_WorkPositions,1,0))),C250&lt;&gt;"",D250&lt;&gt;"",E250&lt;&gt;""),AND(ISERROR(VLOOKUP(TableCosts[[#This Row],[Calc_N_Typ]],Cis_WorkPositions,1,0)),C250="",D250="",E250&lt;&gt;""),LEFT(TableCosts[[#This Row],[Calc_N_Typ]],18)="Vynaložené náklady"),VLOOKUP(C250&amp;TableCosts[[#This Row],[Calc_N_Typ]],TRAN_STRITEMS_LABEL,VLOOKUP(D250,Tab_Hours,3,0),0),NA()),0)</f>
        <v>0</v>
      </c>
      <c r="BJ250" s="24">
        <f t="shared" si="66"/>
        <v>0</v>
      </c>
      <c r="BK250" s="24" t="str">
        <f t="shared" si="67"/>
        <v/>
      </c>
      <c r="BL250" s="24" t="str">
        <f t="shared" si="68"/>
        <v/>
      </c>
      <c r="BM250" s="24" t="str">
        <f>IF(G250=1,IF(TableCosts[[#This Row],[TransferFrom]]=TableCosts[[#This Row],[TranferTo]],0,1),"")</f>
        <v/>
      </c>
      <c r="BN250" s="24" t="str">
        <f t="shared" si="69"/>
        <v/>
      </c>
      <c r="BO250" s="24">
        <f t="shared" si="70"/>
        <v>0</v>
      </c>
      <c r="BP250" s="24">
        <f t="shared" si="71"/>
        <v>0</v>
      </c>
    </row>
    <row r="251" spans="2:68" s="24" customFormat="1" ht="12.75" x14ac:dyDescent="0.2">
      <c r="B251" s="97"/>
      <c r="C251" s="92"/>
      <c r="D251" s="92"/>
      <c r="E251" s="92"/>
      <c r="F251" s="31" t="str">
        <f>IF(G251=1,IF(ISERROR(TableCosts[[#This Row],[N_Tariff]]),Err_Message1,IF(TableCosts[[#This Row],[N_Tariff]]=0,Err_Message2,VLOOKUP(C251&amp;TableCosts[[#This Row],[Calc_N_Typ]],TRAN_STRITEMS_LABEL,5,FALSE))),"")</f>
        <v/>
      </c>
      <c r="G251" s="31">
        <f t="shared" si="60"/>
        <v>0</v>
      </c>
      <c r="H251" s="31" t="str">
        <f>IF(G251=1,IFERROR(VLOOKUP(F251,Tab_ErrMessage[],2,0),VLOOKUP(C251&amp;TableCosts[[#This Row],[Calc_N_Typ]],TRAN_STRITEMS_LABEL,4,FALSE)),"")</f>
        <v/>
      </c>
      <c r="I251" s="94"/>
      <c r="J251" s="94"/>
      <c r="K251" s="94"/>
      <c r="L251" s="84"/>
      <c r="M251" s="84"/>
      <c r="N251" s="84"/>
      <c r="O251" s="84"/>
      <c r="P251" s="84"/>
      <c r="Q251" s="84"/>
      <c r="R251" s="84"/>
      <c r="S251" s="84"/>
      <c r="T251" s="84"/>
      <c r="U251" s="84"/>
      <c r="V251" s="84"/>
      <c r="W251" s="84"/>
      <c r="X251" s="84"/>
      <c r="Y251" s="84"/>
      <c r="Z251" s="84"/>
      <c r="AA251" s="84"/>
      <c r="AB251" s="84"/>
      <c r="AC251" s="84"/>
      <c r="AD251" s="84"/>
      <c r="AE251" s="84"/>
      <c r="AF251" s="84"/>
      <c r="AG251" s="84"/>
      <c r="AH251" s="84"/>
      <c r="AI251" s="84"/>
      <c r="AJ251" s="84"/>
      <c r="AK251" s="84"/>
      <c r="AL251" s="84"/>
      <c r="AM251" s="84"/>
      <c r="AN251" s="84"/>
      <c r="AO251" s="84"/>
      <c r="AP251" s="84"/>
      <c r="AQ251" s="84"/>
      <c r="AR251" s="84"/>
      <c r="AS251" s="84"/>
      <c r="AT251" s="84"/>
      <c r="AU251" s="84"/>
      <c r="AV251" s="84"/>
      <c r="AW251" s="84"/>
      <c r="AX251" s="87">
        <f t="array" ref="AX251">IF(G251=1,SUM((ROW(M0)=ROW(AW251))*(M0+M1_+M2_+M3_+M4_+M5_+M6_+M7_+M8_+M9_+M10_+M11_+M12_+M13_+M14_+M15_+M16_+M17_+M18_+M19_+M20_+M21_+M22_+M23_+M24_+M25_+M26_+M27_+M28_+M29_+M30_+M31_+M32_+M33_+M34_+M35_+M36_+M37_)),0)</f>
        <v>0</v>
      </c>
      <c r="AZ251" s="24" t="str">
        <f t="shared" si="61"/>
        <v/>
      </c>
      <c r="BA251" s="24" t="str">
        <f t="shared" si="62"/>
        <v/>
      </c>
      <c r="BB251" s="24" t="str">
        <f t="shared" si="63"/>
        <v/>
      </c>
      <c r="BC251" s="24" t="str">
        <f>IF(OR(E251="",LEFT(TableCosts[[#This Row],[Calc_N_Typ]],18)="Vynaložené náklady"),"",VLOOKUP(E251,Tab_Parts,2,0))</f>
        <v/>
      </c>
      <c r="BD251" s="24" t="str">
        <f t="shared" si="64"/>
        <v/>
      </c>
      <c r="BE251" s="24">
        <f t="shared" si="65"/>
        <v>0</v>
      </c>
      <c r="BF251" s="72">
        <f>TableCosts[[#This Row],[N_Amount]]*TableCosts[[#This Row],[N_Tariff]]*TableCosts[[#This Row],[N_ItemsCount]]</f>
        <v>0</v>
      </c>
      <c r="BG251" s="72">
        <f>IF(G251=1,IF(TableCosts[[#This Row],[N_Kateg]]="interné práce",TableCosts[[#This Row],[N_Amount]]*8*PAR_SGA_PERHOUR,0),0)</f>
        <v>0</v>
      </c>
      <c r="BH251" s="72">
        <f>SUM(TableCosts[[#This Row],[N_Direct]:[N_SGA]])</f>
        <v>0</v>
      </c>
      <c r="BI251" s="24">
        <f>IF(G251=1,IF(OR(AND(NOT(ISERROR(VLOOKUP(TableCosts[[#This Row],[Calc_N_Typ]],Cis_WorkPositions,1,0))),C251&lt;&gt;"",D251&lt;&gt;"",E251&lt;&gt;""),AND(ISERROR(VLOOKUP(TableCosts[[#This Row],[Calc_N_Typ]],Cis_WorkPositions,1,0)),C251="",D251="",E251&lt;&gt;""),LEFT(TableCosts[[#This Row],[Calc_N_Typ]],18)="Vynaložené náklady"),VLOOKUP(C251&amp;TableCosts[[#This Row],[Calc_N_Typ]],TRAN_STRITEMS_LABEL,VLOOKUP(D251,Tab_Hours,3,0),0),NA()),0)</f>
        <v>0</v>
      </c>
      <c r="BJ251" s="24">
        <f t="shared" si="66"/>
        <v>0</v>
      </c>
      <c r="BK251" s="24" t="str">
        <f t="shared" si="67"/>
        <v/>
      </c>
      <c r="BL251" s="24" t="str">
        <f t="shared" si="68"/>
        <v/>
      </c>
      <c r="BM251" s="24" t="str">
        <f>IF(G251=1,IF(TableCosts[[#This Row],[TransferFrom]]=TableCosts[[#This Row],[TranferTo]],0,1),"")</f>
        <v/>
      </c>
      <c r="BN251" s="24" t="str">
        <f t="shared" si="69"/>
        <v/>
      </c>
      <c r="BO251" s="24">
        <f t="shared" si="70"/>
        <v>0</v>
      </c>
      <c r="BP251" s="24">
        <f t="shared" si="71"/>
        <v>0</v>
      </c>
    </row>
    <row r="252" spans="2:68" s="24" customFormat="1" ht="12.75" x14ac:dyDescent="0.2">
      <c r="B252" s="97"/>
      <c r="C252" s="92"/>
      <c r="D252" s="92"/>
      <c r="E252" s="92"/>
      <c r="F252" s="31" t="str">
        <f>IF(G252=1,IF(ISERROR(TableCosts[[#This Row],[N_Tariff]]),Err_Message1,IF(TableCosts[[#This Row],[N_Tariff]]=0,Err_Message2,VLOOKUP(C252&amp;TableCosts[[#This Row],[Calc_N_Typ]],TRAN_STRITEMS_LABEL,5,FALSE))),"")</f>
        <v/>
      </c>
      <c r="G252" s="31">
        <f t="shared" si="60"/>
        <v>0</v>
      </c>
      <c r="H252" s="31" t="str">
        <f>IF(G252=1,IFERROR(VLOOKUP(F252,Tab_ErrMessage[],2,0),VLOOKUP(C252&amp;TableCosts[[#This Row],[Calc_N_Typ]],TRAN_STRITEMS_LABEL,4,FALSE)),"")</f>
        <v/>
      </c>
      <c r="I252" s="94"/>
      <c r="J252" s="94"/>
      <c r="K252" s="94"/>
      <c r="L252" s="84"/>
      <c r="M252" s="84"/>
      <c r="N252" s="84"/>
      <c r="O252" s="84"/>
      <c r="P252" s="84"/>
      <c r="Q252" s="84"/>
      <c r="R252" s="84"/>
      <c r="S252" s="84"/>
      <c r="T252" s="84"/>
      <c r="U252" s="84"/>
      <c r="V252" s="84"/>
      <c r="W252" s="84"/>
      <c r="X252" s="84"/>
      <c r="Y252" s="84"/>
      <c r="Z252" s="84"/>
      <c r="AA252" s="84"/>
      <c r="AB252" s="84"/>
      <c r="AC252" s="84"/>
      <c r="AD252" s="84"/>
      <c r="AE252" s="84"/>
      <c r="AF252" s="84"/>
      <c r="AG252" s="84"/>
      <c r="AH252" s="84"/>
      <c r="AI252" s="84"/>
      <c r="AJ252" s="84"/>
      <c r="AK252" s="84"/>
      <c r="AL252" s="84"/>
      <c r="AM252" s="84"/>
      <c r="AN252" s="84"/>
      <c r="AO252" s="84"/>
      <c r="AP252" s="84"/>
      <c r="AQ252" s="84"/>
      <c r="AR252" s="84"/>
      <c r="AS252" s="84"/>
      <c r="AT252" s="84"/>
      <c r="AU252" s="84"/>
      <c r="AV252" s="84"/>
      <c r="AW252" s="84"/>
      <c r="AX252" s="87">
        <f t="array" ref="AX252">IF(G252=1,SUM((ROW(M0)=ROW(AW252))*(M0+M1_+M2_+M3_+M4_+M5_+M6_+M7_+M8_+M9_+M10_+M11_+M12_+M13_+M14_+M15_+M16_+M17_+M18_+M19_+M20_+M21_+M22_+M23_+M24_+M25_+M26_+M27_+M28_+M29_+M30_+M31_+M32_+M33_+M34_+M35_+M36_+M37_)),0)</f>
        <v>0</v>
      </c>
      <c r="AZ252" s="24" t="str">
        <f t="shared" si="61"/>
        <v/>
      </c>
      <c r="BA252" s="24" t="str">
        <f t="shared" si="62"/>
        <v/>
      </c>
      <c r="BB252" s="24" t="str">
        <f t="shared" si="63"/>
        <v/>
      </c>
      <c r="BC252" s="24" t="str">
        <f>IF(OR(E252="",LEFT(TableCosts[[#This Row],[Calc_N_Typ]],18)="Vynaložené náklady"),"",VLOOKUP(E252,Tab_Parts,2,0))</f>
        <v/>
      </c>
      <c r="BD252" s="24" t="str">
        <f t="shared" si="64"/>
        <v/>
      </c>
      <c r="BE252" s="24">
        <f t="shared" si="65"/>
        <v>0</v>
      </c>
      <c r="BF252" s="72">
        <f>TableCosts[[#This Row],[N_Amount]]*TableCosts[[#This Row],[N_Tariff]]*TableCosts[[#This Row],[N_ItemsCount]]</f>
        <v>0</v>
      </c>
      <c r="BG252" s="72">
        <f>IF(G252=1,IF(TableCosts[[#This Row],[N_Kateg]]="interné práce",TableCosts[[#This Row],[N_Amount]]*8*PAR_SGA_PERHOUR,0),0)</f>
        <v>0</v>
      </c>
      <c r="BH252" s="72">
        <f>SUM(TableCosts[[#This Row],[N_Direct]:[N_SGA]])</f>
        <v>0</v>
      </c>
      <c r="BI252" s="24">
        <f>IF(G252=1,IF(OR(AND(NOT(ISERROR(VLOOKUP(TableCosts[[#This Row],[Calc_N_Typ]],Cis_WorkPositions,1,0))),C252&lt;&gt;"",D252&lt;&gt;"",E252&lt;&gt;""),AND(ISERROR(VLOOKUP(TableCosts[[#This Row],[Calc_N_Typ]],Cis_WorkPositions,1,0)),C252="",D252="",E252&lt;&gt;""),LEFT(TableCosts[[#This Row],[Calc_N_Typ]],18)="Vynaložené náklady"),VLOOKUP(C252&amp;TableCosts[[#This Row],[Calc_N_Typ]],TRAN_STRITEMS_LABEL,VLOOKUP(D252,Tab_Hours,3,0),0),NA()),0)</f>
        <v>0</v>
      </c>
      <c r="BJ252" s="24">
        <f t="shared" si="66"/>
        <v>0</v>
      </c>
      <c r="BK252" s="24" t="str">
        <f t="shared" si="67"/>
        <v/>
      </c>
      <c r="BL252" s="24" t="str">
        <f t="shared" si="68"/>
        <v/>
      </c>
      <c r="BM252" s="24" t="str">
        <f>IF(G252=1,IF(TableCosts[[#This Row],[TransferFrom]]=TableCosts[[#This Row],[TranferTo]],0,1),"")</f>
        <v/>
      </c>
      <c r="BN252" s="24" t="str">
        <f t="shared" si="69"/>
        <v/>
      </c>
      <c r="BO252" s="24">
        <f t="shared" si="70"/>
        <v>0</v>
      </c>
      <c r="BP252" s="24">
        <f t="shared" si="71"/>
        <v>0</v>
      </c>
    </row>
    <row r="253" spans="2:68" s="24" customFormat="1" ht="12.75" x14ac:dyDescent="0.2">
      <c r="B253" s="97"/>
      <c r="C253" s="92"/>
      <c r="D253" s="92"/>
      <c r="E253" s="92"/>
      <c r="F253" s="31" t="str">
        <f>IF(G253=1,IF(ISERROR(TableCosts[[#This Row],[N_Tariff]]),Err_Message1,IF(TableCosts[[#This Row],[N_Tariff]]=0,Err_Message2,VLOOKUP(C253&amp;TableCosts[[#This Row],[Calc_N_Typ]],TRAN_STRITEMS_LABEL,5,FALSE))),"")</f>
        <v/>
      </c>
      <c r="G253" s="31">
        <f t="shared" si="60"/>
        <v>0</v>
      </c>
      <c r="H253" s="31" t="str">
        <f>IF(G253=1,IFERROR(VLOOKUP(F253,Tab_ErrMessage[],2,0),VLOOKUP(C253&amp;TableCosts[[#This Row],[Calc_N_Typ]],TRAN_STRITEMS_LABEL,4,FALSE)),"")</f>
        <v/>
      </c>
      <c r="I253" s="94"/>
      <c r="J253" s="94"/>
      <c r="K253" s="94"/>
      <c r="L253" s="84"/>
      <c r="M253" s="84"/>
      <c r="N253" s="84"/>
      <c r="O253" s="84"/>
      <c r="P253" s="84"/>
      <c r="Q253" s="84"/>
      <c r="R253" s="84"/>
      <c r="S253" s="84"/>
      <c r="T253" s="84"/>
      <c r="U253" s="84"/>
      <c r="V253" s="84"/>
      <c r="W253" s="84"/>
      <c r="X253" s="84"/>
      <c r="Y253" s="84"/>
      <c r="Z253" s="84"/>
      <c r="AA253" s="84"/>
      <c r="AB253" s="84"/>
      <c r="AC253" s="84"/>
      <c r="AD253" s="84"/>
      <c r="AE253" s="84"/>
      <c r="AF253" s="84"/>
      <c r="AG253" s="84"/>
      <c r="AH253" s="84"/>
      <c r="AI253" s="84"/>
      <c r="AJ253" s="84"/>
      <c r="AK253" s="84"/>
      <c r="AL253" s="84"/>
      <c r="AM253" s="84"/>
      <c r="AN253" s="84"/>
      <c r="AO253" s="84"/>
      <c r="AP253" s="84"/>
      <c r="AQ253" s="84"/>
      <c r="AR253" s="84"/>
      <c r="AS253" s="84"/>
      <c r="AT253" s="84"/>
      <c r="AU253" s="84"/>
      <c r="AV253" s="84"/>
      <c r="AW253" s="84"/>
      <c r="AX253" s="87">
        <f t="array" ref="AX253">IF(G253=1,SUM((ROW(M0)=ROW(AW253))*(M0+M1_+M2_+M3_+M4_+M5_+M6_+M7_+M8_+M9_+M10_+M11_+M12_+M13_+M14_+M15_+M16_+M17_+M18_+M19_+M20_+M21_+M22_+M23_+M24_+M25_+M26_+M27_+M28_+M29_+M30_+M31_+M32_+M33_+M34_+M35_+M36_+M37_)),0)</f>
        <v>0</v>
      </c>
      <c r="AZ253" s="24" t="str">
        <f t="shared" si="61"/>
        <v/>
      </c>
      <c r="BA253" s="24" t="str">
        <f t="shared" si="62"/>
        <v/>
      </c>
      <c r="BB253" s="24" t="str">
        <f t="shared" si="63"/>
        <v/>
      </c>
      <c r="BC253" s="24" t="str">
        <f>IF(OR(E253="",LEFT(TableCosts[[#This Row],[Calc_N_Typ]],18)="Vynaložené náklady"),"",VLOOKUP(E253,Tab_Parts,2,0))</f>
        <v/>
      </c>
      <c r="BD253" s="24" t="str">
        <f t="shared" si="64"/>
        <v/>
      </c>
      <c r="BE253" s="24">
        <f t="shared" si="65"/>
        <v>0</v>
      </c>
      <c r="BF253" s="72">
        <f>TableCosts[[#This Row],[N_Amount]]*TableCosts[[#This Row],[N_Tariff]]*TableCosts[[#This Row],[N_ItemsCount]]</f>
        <v>0</v>
      </c>
      <c r="BG253" s="72">
        <f>IF(G253=1,IF(TableCosts[[#This Row],[N_Kateg]]="interné práce",TableCosts[[#This Row],[N_Amount]]*8*PAR_SGA_PERHOUR,0),0)</f>
        <v>0</v>
      </c>
      <c r="BH253" s="72">
        <f>SUM(TableCosts[[#This Row],[N_Direct]:[N_SGA]])</f>
        <v>0</v>
      </c>
      <c r="BI253" s="24">
        <f>IF(G253=1,IF(OR(AND(NOT(ISERROR(VLOOKUP(TableCosts[[#This Row],[Calc_N_Typ]],Cis_WorkPositions,1,0))),C253&lt;&gt;"",D253&lt;&gt;"",E253&lt;&gt;""),AND(ISERROR(VLOOKUP(TableCosts[[#This Row],[Calc_N_Typ]],Cis_WorkPositions,1,0)),C253="",D253="",E253&lt;&gt;""),LEFT(TableCosts[[#This Row],[Calc_N_Typ]],18)="Vynaložené náklady"),VLOOKUP(C253&amp;TableCosts[[#This Row],[Calc_N_Typ]],TRAN_STRITEMS_LABEL,VLOOKUP(D253,Tab_Hours,3,0),0),NA()),0)</f>
        <v>0</v>
      </c>
      <c r="BJ253" s="24">
        <f t="shared" si="66"/>
        <v>0</v>
      </c>
      <c r="BK253" s="24" t="str">
        <f t="shared" si="67"/>
        <v/>
      </c>
      <c r="BL253" s="24" t="str">
        <f t="shared" si="68"/>
        <v/>
      </c>
      <c r="BM253" s="24" t="str">
        <f>IF(G253=1,IF(TableCosts[[#This Row],[TransferFrom]]=TableCosts[[#This Row],[TranferTo]],0,1),"")</f>
        <v/>
      </c>
      <c r="BN253" s="24" t="str">
        <f t="shared" si="69"/>
        <v/>
      </c>
      <c r="BO253" s="24">
        <f t="shared" si="70"/>
        <v>0</v>
      </c>
      <c r="BP253" s="24">
        <f t="shared" si="71"/>
        <v>0</v>
      </c>
    </row>
    <row r="254" spans="2:68" s="24" customFormat="1" ht="12.75" x14ac:dyDescent="0.2">
      <c r="B254" s="97"/>
      <c r="C254" s="92"/>
      <c r="D254" s="92"/>
      <c r="E254" s="92"/>
      <c r="F254" s="31" t="str">
        <f>IF(G254=1,IF(ISERROR(TableCosts[[#This Row],[N_Tariff]]),Err_Message1,IF(TableCosts[[#This Row],[N_Tariff]]=0,Err_Message2,VLOOKUP(C254&amp;TableCosts[[#This Row],[Calc_N_Typ]],TRAN_STRITEMS_LABEL,5,FALSE))),"")</f>
        <v/>
      </c>
      <c r="G254" s="31">
        <f t="shared" si="60"/>
        <v>0</v>
      </c>
      <c r="H254" s="31" t="str">
        <f>IF(G254=1,IFERROR(VLOOKUP(F254,Tab_ErrMessage[],2,0),VLOOKUP(C254&amp;TableCosts[[#This Row],[Calc_N_Typ]],TRAN_STRITEMS_LABEL,4,FALSE)),"")</f>
        <v/>
      </c>
      <c r="I254" s="94"/>
      <c r="J254" s="94"/>
      <c r="K254" s="94"/>
      <c r="L254" s="84"/>
      <c r="M254" s="84"/>
      <c r="N254" s="84"/>
      <c r="O254" s="84"/>
      <c r="P254" s="84"/>
      <c r="Q254" s="84"/>
      <c r="R254" s="84"/>
      <c r="S254" s="84"/>
      <c r="T254" s="84"/>
      <c r="U254" s="84"/>
      <c r="V254" s="84"/>
      <c r="W254" s="84"/>
      <c r="X254" s="84"/>
      <c r="Y254" s="84"/>
      <c r="Z254" s="84"/>
      <c r="AA254" s="84"/>
      <c r="AB254" s="84"/>
      <c r="AC254" s="84"/>
      <c r="AD254" s="84"/>
      <c r="AE254" s="84"/>
      <c r="AF254" s="84"/>
      <c r="AG254" s="84"/>
      <c r="AH254" s="84"/>
      <c r="AI254" s="84"/>
      <c r="AJ254" s="84"/>
      <c r="AK254" s="84"/>
      <c r="AL254" s="84"/>
      <c r="AM254" s="84"/>
      <c r="AN254" s="84"/>
      <c r="AO254" s="84"/>
      <c r="AP254" s="84"/>
      <c r="AQ254" s="84"/>
      <c r="AR254" s="84"/>
      <c r="AS254" s="84"/>
      <c r="AT254" s="84"/>
      <c r="AU254" s="84"/>
      <c r="AV254" s="84"/>
      <c r="AW254" s="84"/>
      <c r="AX254" s="87">
        <f t="array" ref="AX254">IF(G254=1,SUM((ROW(M0)=ROW(AW254))*(M0+M1_+M2_+M3_+M4_+M5_+M6_+M7_+M8_+M9_+M10_+M11_+M12_+M13_+M14_+M15_+M16_+M17_+M18_+M19_+M20_+M21_+M22_+M23_+M24_+M25_+M26_+M27_+M28_+M29_+M30_+M31_+M32_+M33_+M34_+M35_+M36_+M37_)),0)</f>
        <v>0</v>
      </c>
      <c r="AZ254" s="24" t="str">
        <f t="shared" si="61"/>
        <v/>
      </c>
      <c r="BA254" s="24" t="str">
        <f t="shared" si="62"/>
        <v/>
      </c>
      <c r="BB254" s="24" t="str">
        <f t="shared" si="63"/>
        <v/>
      </c>
      <c r="BC254" s="24" t="str">
        <f>IF(OR(E254="",LEFT(TableCosts[[#This Row],[Calc_N_Typ]],18)="Vynaložené náklady"),"",VLOOKUP(E254,Tab_Parts,2,0))</f>
        <v/>
      </c>
      <c r="BD254" s="24" t="str">
        <f t="shared" si="64"/>
        <v/>
      </c>
      <c r="BE254" s="24">
        <f t="shared" si="65"/>
        <v>0</v>
      </c>
      <c r="BF254" s="72">
        <f>TableCosts[[#This Row],[N_Amount]]*TableCosts[[#This Row],[N_Tariff]]*TableCosts[[#This Row],[N_ItemsCount]]</f>
        <v>0</v>
      </c>
      <c r="BG254" s="72">
        <f>IF(G254=1,IF(TableCosts[[#This Row],[N_Kateg]]="interné práce",TableCosts[[#This Row],[N_Amount]]*8*PAR_SGA_PERHOUR,0),0)</f>
        <v>0</v>
      </c>
      <c r="BH254" s="72">
        <f>SUM(TableCosts[[#This Row],[N_Direct]:[N_SGA]])</f>
        <v>0</v>
      </c>
      <c r="BI254" s="24">
        <f>IF(G254=1,IF(OR(AND(NOT(ISERROR(VLOOKUP(TableCosts[[#This Row],[Calc_N_Typ]],Cis_WorkPositions,1,0))),C254&lt;&gt;"",D254&lt;&gt;"",E254&lt;&gt;""),AND(ISERROR(VLOOKUP(TableCosts[[#This Row],[Calc_N_Typ]],Cis_WorkPositions,1,0)),C254="",D254="",E254&lt;&gt;""),LEFT(TableCosts[[#This Row],[Calc_N_Typ]],18)="Vynaložené náklady"),VLOOKUP(C254&amp;TableCosts[[#This Row],[Calc_N_Typ]],TRAN_STRITEMS_LABEL,VLOOKUP(D254,Tab_Hours,3,0),0),NA()),0)</f>
        <v>0</v>
      </c>
      <c r="BJ254" s="24">
        <f t="shared" si="66"/>
        <v>0</v>
      </c>
      <c r="BK254" s="24" t="str">
        <f t="shared" si="67"/>
        <v/>
      </c>
      <c r="BL254" s="24" t="str">
        <f t="shared" si="68"/>
        <v/>
      </c>
      <c r="BM254" s="24" t="str">
        <f>IF(G254=1,IF(TableCosts[[#This Row],[TransferFrom]]=TableCosts[[#This Row],[TranferTo]],0,1),"")</f>
        <v/>
      </c>
      <c r="BN254" s="24" t="str">
        <f t="shared" si="69"/>
        <v/>
      </c>
      <c r="BO254" s="24">
        <f t="shared" si="70"/>
        <v>0</v>
      </c>
      <c r="BP254" s="24">
        <f t="shared" si="71"/>
        <v>0</v>
      </c>
    </row>
    <row r="255" spans="2:68" s="24" customFormat="1" ht="12.75" x14ac:dyDescent="0.2">
      <c r="B255" s="97"/>
      <c r="C255" s="92"/>
      <c r="D255" s="92"/>
      <c r="E255" s="92"/>
      <c r="F255" s="31" t="str">
        <f>IF(G255=1,IF(ISERROR(TableCosts[[#This Row],[N_Tariff]]),Err_Message1,IF(TableCosts[[#This Row],[N_Tariff]]=0,Err_Message2,VLOOKUP(C255&amp;TableCosts[[#This Row],[Calc_N_Typ]],TRAN_STRITEMS_LABEL,5,FALSE))),"")</f>
        <v/>
      </c>
      <c r="G255" s="31">
        <f t="shared" si="60"/>
        <v>0</v>
      </c>
      <c r="H255" s="31" t="str">
        <f>IF(G255=1,IFERROR(VLOOKUP(F255,Tab_ErrMessage[],2,0),VLOOKUP(C255&amp;TableCosts[[#This Row],[Calc_N_Typ]],TRAN_STRITEMS_LABEL,4,FALSE)),"")</f>
        <v/>
      </c>
      <c r="I255" s="94"/>
      <c r="J255" s="94"/>
      <c r="K255" s="94"/>
      <c r="L255" s="84"/>
      <c r="M255" s="84"/>
      <c r="N255" s="84"/>
      <c r="O255" s="84"/>
      <c r="P255" s="84"/>
      <c r="Q255" s="84"/>
      <c r="R255" s="84"/>
      <c r="S255" s="84"/>
      <c r="T255" s="84"/>
      <c r="U255" s="84"/>
      <c r="V255" s="84"/>
      <c r="W255" s="84"/>
      <c r="X255" s="84"/>
      <c r="Y255" s="84"/>
      <c r="Z255" s="84"/>
      <c r="AA255" s="84"/>
      <c r="AB255" s="84"/>
      <c r="AC255" s="84"/>
      <c r="AD255" s="84"/>
      <c r="AE255" s="84"/>
      <c r="AF255" s="84"/>
      <c r="AG255" s="84"/>
      <c r="AH255" s="84"/>
      <c r="AI255" s="84"/>
      <c r="AJ255" s="84"/>
      <c r="AK255" s="84"/>
      <c r="AL255" s="84"/>
      <c r="AM255" s="84"/>
      <c r="AN255" s="84"/>
      <c r="AO255" s="84"/>
      <c r="AP255" s="84"/>
      <c r="AQ255" s="84"/>
      <c r="AR255" s="84"/>
      <c r="AS255" s="84"/>
      <c r="AT255" s="84"/>
      <c r="AU255" s="84"/>
      <c r="AV255" s="84"/>
      <c r="AW255" s="84"/>
      <c r="AX255" s="87">
        <f t="array" ref="AX255">IF(G255=1,SUM((ROW(M0)=ROW(AW255))*(M0+M1_+M2_+M3_+M4_+M5_+M6_+M7_+M8_+M9_+M10_+M11_+M12_+M13_+M14_+M15_+M16_+M17_+M18_+M19_+M20_+M21_+M22_+M23_+M24_+M25_+M26_+M27_+M28_+M29_+M30_+M31_+M32_+M33_+M34_+M35_+M36_+M37_)),0)</f>
        <v>0</v>
      </c>
      <c r="AZ255" s="24" t="str">
        <f t="shared" si="61"/>
        <v/>
      </c>
      <c r="BA255" s="24" t="str">
        <f t="shared" si="62"/>
        <v/>
      </c>
      <c r="BB255" s="24" t="str">
        <f t="shared" si="63"/>
        <v/>
      </c>
      <c r="BC255" s="24" t="str">
        <f>IF(OR(E255="",LEFT(TableCosts[[#This Row],[Calc_N_Typ]],18)="Vynaložené náklady"),"",VLOOKUP(E255,Tab_Parts,2,0))</f>
        <v/>
      </c>
      <c r="BD255" s="24" t="str">
        <f t="shared" si="64"/>
        <v/>
      </c>
      <c r="BE255" s="24">
        <f t="shared" si="65"/>
        <v>0</v>
      </c>
      <c r="BF255" s="72">
        <f>TableCosts[[#This Row],[N_Amount]]*TableCosts[[#This Row],[N_Tariff]]*TableCosts[[#This Row],[N_ItemsCount]]</f>
        <v>0</v>
      </c>
      <c r="BG255" s="72">
        <f>IF(G255=1,IF(TableCosts[[#This Row],[N_Kateg]]="interné práce",TableCosts[[#This Row],[N_Amount]]*8*PAR_SGA_PERHOUR,0),0)</f>
        <v>0</v>
      </c>
      <c r="BH255" s="72">
        <f>SUM(TableCosts[[#This Row],[N_Direct]:[N_SGA]])</f>
        <v>0</v>
      </c>
      <c r="BI255" s="24">
        <f>IF(G255=1,IF(OR(AND(NOT(ISERROR(VLOOKUP(TableCosts[[#This Row],[Calc_N_Typ]],Cis_WorkPositions,1,0))),C255&lt;&gt;"",D255&lt;&gt;"",E255&lt;&gt;""),AND(ISERROR(VLOOKUP(TableCosts[[#This Row],[Calc_N_Typ]],Cis_WorkPositions,1,0)),C255="",D255="",E255&lt;&gt;""),LEFT(TableCosts[[#This Row],[Calc_N_Typ]],18)="Vynaložené náklady"),VLOOKUP(C255&amp;TableCosts[[#This Row],[Calc_N_Typ]],TRAN_STRITEMS_LABEL,VLOOKUP(D255,Tab_Hours,3,0),0),NA()),0)</f>
        <v>0</v>
      </c>
      <c r="BJ255" s="24">
        <f t="shared" si="66"/>
        <v>0</v>
      </c>
      <c r="BK255" s="24" t="str">
        <f t="shared" si="67"/>
        <v/>
      </c>
      <c r="BL255" s="24" t="str">
        <f t="shared" si="68"/>
        <v/>
      </c>
      <c r="BM255" s="24" t="str">
        <f>IF(G255=1,IF(TableCosts[[#This Row],[TransferFrom]]=TableCosts[[#This Row],[TranferTo]],0,1),"")</f>
        <v/>
      </c>
      <c r="BN255" s="24" t="str">
        <f t="shared" si="69"/>
        <v/>
      </c>
      <c r="BO255" s="24">
        <f t="shared" si="70"/>
        <v>0</v>
      </c>
      <c r="BP255" s="24">
        <f t="shared" si="71"/>
        <v>0</v>
      </c>
    </row>
    <row r="256" spans="2:68" s="24" customFormat="1" ht="12.75" x14ac:dyDescent="0.2">
      <c r="B256" s="97"/>
      <c r="C256" s="92"/>
      <c r="D256" s="92"/>
      <c r="E256" s="92"/>
      <c r="F256" s="31" t="str">
        <f>IF(G256=1,IF(ISERROR(TableCosts[[#This Row],[N_Tariff]]),Err_Message1,IF(TableCosts[[#This Row],[N_Tariff]]=0,Err_Message2,VLOOKUP(C256&amp;TableCosts[[#This Row],[Calc_N_Typ]],TRAN_STRITEMS_LABEL,5,FALSE))),"")</f>
        <v/>
      </c>
      <c r="G256" s="31">
        <f t="shared" si="60"/>
        <v>0</v>
      </c>
      <c r="H256" s="31" t="str">
        <f>IF(G256=1,IFERROR(VLOOKUP(F256,Tab_ErrMessage[],2,0),VLOOKUP(C256&amp;TableCosts[[#This Row],[Calc_N_Typ]],TRAN_STRITEMS_LABEL,4,FALSE)),"")</f>
        <v/>
      </c>
      <c r="I256" s="94"/>
      <c r="J256" s="94"/>
      <c r="K256" s="94"/>
      <c r="L256" s="84"/>
      <c r="M256" s="84"/>
      <c r="N256" s="84"/>
      <c r="O256" s="84"/>
      <c r="P256" s="84"/>
      <c r="Q256" s="84"/>
      <c r="R256" s="84"/>
      <c r="S256" s="84"/>
      <c r="T256" s="84"/>
      <c r="U256" s="84"/>
      <c r="V256" s="84"/>
      <c r="W256" s="84"/>
      <c r="X256" s="84"/>
      <c r="Y256" s="84"/>
      <c r="Z256" s="84"/>
      <c r="AA256" s="84"/>
      <c r="AB256" s="84"/>
      <c r="AC256" s="84"/>
      <c r="AD256" s="84"/>
      <c r="AE256" s="84"/>
      <c r="AF256" s="84"/>
      <c r="AG256" s="84"/>
      <c r="AH256" s="84"/>
      <c r="AI256" s="84"/>
      <c r="AJ256" s="84"/>
      <c r="AK256" s="84"/>
      <c r="AL256" s="84"/>
      <c r="AM256" s="84"/>
      <c r="AN256" s="84"/>
      <c r="AO256" s="84"/>
      <c r="AP256" s="84"/>
      <c r="AQ256" s="84"/>
      <c r="AR256" s="84"/>
      <c r="AS256" s="84"/>
      <c r="AT256" s="84"/>
      <c r="AU256" s="84"/>
      <c r="AV256" s="84"/>
      <c r="AW256" s="84"/>
      <c r="AX256" s="87">
        <f t="array" ref="AX256">IF(G256=1,SUM((ROW(M0)=ROW(AW256))*(M0+M1_+M2_+M3_+M4_+M5_+M6_+M7_+M8_+M9_+M10_+M11_+M12_+M13_+M14_+M15_+M16_+M17_+M18_+M19_+M20_+M21_+M22_+M23_+M24_+M25_+M26_+M27_+M28_+M29_+M30_+M31_+M32_+M33_+M34_+M35_+M36_+M37_)),0)</f>
        <v>0</v>
      </c>
      <c r="AZ256" s="24" t="str">
        <f t="shared" si="61"/>
        <v/>
      </c>
      <c r="BA256" s="24" t="str">
        <f t="shared" si="62"/>
        <v/>
      </c>
      <c r="BB256" s="24" t="str">
        <f t="shared" si="63"/>
        <v/>
      </c>
      <c r="BC256" s="24" t="str">
        <f>IF(OR(E256="",LEFT(TableCosts[[#This Row],[Calc_N_Typ]],18)="Vynaložené náklady"),"",VLOOKUP(E256,Tab_Parts,2,0))</f>
        <v/>
      </c>
      <c r="BD256" s="24" t="str">
        <f t="shared" si="64"/>
        <v/>
      </c>
      <c r="BE256" s="24">
        <f t="shared" si="65"/>
        <v>0</v>
      </c>
      <c r="BF256" s="72">
        <f>TableCosts[[#This Row],[N_Amount]]*TableCosts[[#This Row],[N_Tariff]]*TableCosts[[#This Row],[N_ItemsCount]]</f>
        <v>0</v>
      </c>
      <c r="BG256" s="72">
        <f>IF(G256=1,IF(TableCosts[[#This Row],[N_Kateg]]="interné práce",TableCosts[[#This Row],[N_Amount]]*8*PAR_SGA_PERHOUR,0),0)</f>
        <v>0</v>
      </c>
      <c r="BH256" s="72">
        <f>SUM(TableCosts[[#This Row],[N_Direct]:[N_SGA]])</f>
        <v>0</v>
      </c>
      <c r="BI256" s="24">
        <f>IF(G256=1,IF(OR(AND(NOT(ISERROR(VLOOKUP(TableCosts[[#This Row],[Calc_N_Typ]],Cis_WorkPositions,1,0))),C256&lt;&gt;"",D256&lt;&gt;"",E256&lt;&gt;""),AND(ISERROR(VLOOKUP(TableCosts[[#This Row],[Calc_N_Typ]],Cis_WorkPositions,1,0)),C256="",D256="",E256&lt;&gt;""),LEFT(TableCosts[[#This Row],[Calc_N_Typ]],18)="Vynaložené náklady"),VLOOKUP(C256&amp;TableCosts[[#This Row],[Calc_N_Typ]],TRAN_STRITEMS_LABEL,VLOOKUP(D256,Tab_Hours,3,0),0),NA()),0)</f>
        <v>0</v>
      </c>
      <c r="BJ256" s="24">
        <f t="shared" si="66"/>
        <v>0</v>
      </c>
      <c r="BK256" s="24" t="str">
        <f t="shared" si="67"/>
        <v/>
      </c>
      <c r="BL256" s="24" t="str">
        <f t="shared" si="68"/>
        <v/>
      </c>
      <c r="BM256" s="24" t="str">
        <f>IF(G256=1,IF(TableCosts[[#This Row],[TransferFrom]]=TableCosts[[#This Row],[TranferTo]],0,1),"")</f>
        <v/>
      </c>
      <c r="BN256" s="24" t="str">
        <f t="shared" si="69"/>
        <v/>
      </c>
      <c r="BO256" s="24">
        <f t="shared" si="70"/>
        <v>0</v>
      </c>
      <c r="BP256" s="24">
        <f t="shared" si="71"/>
        <v>0</v>
      </c>
    </row>
    <row r="257" spans="2:68" s="24" customFormat="1" ht="12.75" x14ac:dyDescent="0.2">
      <c r="B257" s="97"/>
      <c r="C257" s="92"/>
      <c r="D257" s="92"/>
      <c r="E257" s="92"/>
      <c r="F257" s="31" t="str">
        <f>IF(G257=1,IF(ISERROR(TableCosts[[#This Row],[N_Tariff]]),Err_Message1,IF(TableCosts[[#This Row],[N_Tariff]]=0,Err_Message2,VLOOKUP(C257&amp;TableCosts[[#This Row],[Calc_N_Typ]],TRAN_STRITEMS_LABEL,5,FALSE))),"")</f>
        <v/>
      </c>
      <c r="G257" s="31">
        <f t="shared" si="60"/>
        <v>0</v>
      </c>
      <c r="H257" s="31" t="str">
        <f>IF(G257=1,IFERROR(VLOOKUP(F257,Tab_ErrMessage[],2,0),VLOOKUP(C257&amp;TableCosts[[#This Row],[Calc_N_Typ]],TRAN_STRITEMS_LABEL,4,FALSE)),"")</f>
        <v/>
      </c>
      <c r="I257" s="94"/>
      <c r="J257" s="94"/>
      <c r="K257" s="94"/>
      <c r="L257" s="84"/>
      <c r="M257" s="84"/>
      <c r="N257" s="84"/>
      <c r="O257" s="84"/>
      <c r="P257" s="84"/>
      <c r="Q257" s="84"/>
      <c r="R257" s="84"/>
      <c r="S257" s="84"/>
      <c r="T257" s="84"/>
      <c r="U257" s="84"/>
      <c r="V257" s="84"/>
      <c r="W257" s="84"/>
      <c r="X257" s="84"/>
      <c r="Y257" s="84"/>
      <c r="Z257" s="84"/>
      <c r="AA257" s="84"/>
      <c r="AB257" s="84"/>
      <c r="AC257" s="84"/>
      <c r="AD257" s="84"/>
      <c r="AE257" s="84"/>
      <c r="AF257" s="84"/>
      <c r="AG257" s="84"/>
      <c r="AH257" s="84"/>
      <c r="AI257" s="84"/>
      <c r="AJ257" s="84"/>
      <c r="AK257" s="84"/>
      <c r="AL257" s="84"/>
      <c r="AM257" s="84"/>
      <c r="AN257" s="84"/>
      <c r="AO257" s="84"/>
      <c r="AP257" s="84"/>
      <c r="AQ257" s="84"/>
      <c r="AR257" s="84"/>
      <c r="AS257" s="84"/>
      <c r="AT257" s="84"/>
      <c r="AU257" s="84"/>
      <c r="AV257" s="84"/>
      <c r="AW257" s="84"/>
      <c r="AX257" s="87">
        <f t="array" ref="AX257">IF(G257=1,SUM((ROW(M0)=ROW(AW257))*(M0+M1_+M2_+M3_+M4_+M5_+M6_+M7_+M8_+M9_+M10_+M11_+M12_+M13_+M14_+M15_+M16_+M17_+M18_+M19_+M20_+M21_+M22_+M23_+M24_+M25_+M26_+M27_+M28_+M29_+M30_+M31_+M32_+M33_+M34_+M35_+M36_+M37_)),0)</f>
        <v>0</v>
      </c>
      <c r="AZ257" s="24" t="str">
        <f t="shared" si="61"/>
        <v/>
      </c>
      <c r="BA257" s="24" t="str">
        <f t="shared" si="62"/>
        <v/>
      </c>
      <c r="BB257" s="24" t="str">
        <f t="shared" si="63"/>
        <v/>
      </c>
      <c r="BC257" s="24" t="str">
        <f>IF(OR(E257="",LEFT(TableCosts[[#This Row],[Calc_N_Typ]],18)="Vynaložené náklady"),"",VLOOKUP(E257,Tab_Parts,2,0))</f>
        <v/>
      </c>
      <c r="BD257" s="24" t="str">
        <f t="shared" si="64"/>
        <v/>
      </c>
      <c r="BE257" s="24">
        <f t="shared" si="65"/>
        <v>0</v>
      </c>
      <c r="BF257" s="72">
        <f>TableCosts[[#This Row],[N_Amount]]*TableCosts[[#This Row],[N_Tariff]]*TableCosts[[#This Row],[N_ItemsCount]]</f>
        <v>0</v>
      </c>
      <c r="BG257" s="72">
        <f>IF(G257=1,IF(TableCosts[[#This Row],[N_Kateg]]="interné práce",TableCosts[[#This Row],[N_Amount]]*8*PAR_SGA_PERHOUR,0),0)</f>
        <v>0</v>
      </c>
      <c r="BH257" s="72">
        <f>SUM(TableCosts[[#This Row],[N_Direct]:[N_SGA]])</f>
        <v>0</v>
      </c>
      <c r="BI257" s="24">
        <f>IF(G257=1,IF(OR(AND(NOT(ISERROR(VLOOKUP(TableCosts[[#This Row],[Calc_N_Typ]],Cis_WorkPositions,1,0))),C257&lt;&gt;"",D257&lt;&gt;"",E257&lt;&gt;""),AND(ISERROR(VLOOKUP(TableCosts[[#This Row],[Calc_N_Typ]],Cis_WorkPositions,1,0)),C257="",D257="",E257&lt;&gt;""),LEFT(TableCosts[[#This Row],[Calc_N_Typ]],18)="Vynaložené náklady"),VLOOKUP(C257&amp;TableCosts[[#This Row],[Calc_N_Typ]],TRAN_STRITEMS_LABEL,VLOOKUP(D257,Tab_Hours,3,0),0),NA()),0)</f>
        <v>0</v>
      </c>
      <c r="BJ257" s="24">
        <f t="shared" si="66"/>
        <v>0</v>
      </c>
      <c r="BK257" s="24" t="str">
        <f t="shared" si="67"/>
        <v/>
      </c>
      <c r="BL257" s="24" t="str">
        <f t="shared" si="68"/>
        <v/>
      </c>
      <c r="BM257" s="24" t="str">
        <f>IF(G257=1,IF(TableCosts[[#This Row],[TransferFrom]]=TableCosts[[#This Row],[TranferTo]],0,1),"")</f>
        <v/>
      </c>
      <c r="BN257" s="24" t="str">
        <f t="shared" si="69"/>
        <v/>
      </c>
      <c r="BO257" s="24">
        <f t="shared" si="70"/>
        <v>0</v>
      </c>
      <c r="BP257" s="24">
        <f t="shared" si="71"/>
        <v>0</v>
      </c>
    </row>
    <row r="258" spans="2:68" s="24" customFormat="1" ht="12.75" x14ac:dyDescent="0.2">
      <c r="B258" s="97"/>
      <c r="C258" s="92"/>
      <c r="D258" s="92"/>
      <c r="E258" s="92"/>
      <c r="F258" s="31" t="str">
        <f>IF(G258=1,IF(ISERROR(TableCosts[[#This Row],[N_Tariff]]),Err_Message1,IF(TableCosts[[#This Row],[N_Tariff]]=0,Err_Message2,VLOOKUP(C258&amp;TableCosts[[#This Row],[Calc_N_Typ]],TRAN_STRITEMS_LABEL,5,FALSE))),"")</f>
        <v/>
      </c>
      <c r="G258" s="31">
        <f t="shared" si="60"/>
        <v>0</v>
      </c>
      <c r="H258" s="31" t="str">
        <f>IF(G258=1,IFERROR(VLOOKUP(F258,Tab_ErrMessage[],2,0),VLOOKUP(C258&amp;TableCosts[[#This Row],[Calc_N_Typ]],TRAN_STRITEMS_LABEL,4,FALSE)),"")</f>
        <v/>
      </c>
      <c r="I258" s="94"/>
      <c r="J258" s="94"/>
      <c r="K258" s="94"/>
      <c r="L258" s="84"/>
      <c r="M258" s="84"/>
      <c r="N258" s="84"/>
      <c r="O258" s="84"/>
      <c r="P258" s="84"/>
      <c r="Q258" s="84"/>
      <c r="R258" s="84"/>
      <c r="S258" s="84"/>
      <c r="T258" s="84"/>
      <c r="U258" s="84"/>
      <c r="V258" s="84"/>
      <c r="W258" s="84"/>
      <c r="X258" s="84"/>
      <c r="Y258" s="84"/>
      <c r="Z258" s="84"/>
      <c r="AA258" s="84"/>
      <c r="AB258" s="84"/>
      <c r="AC258" s="84"/>
      <c r="AD258" s="84"/>
      <c r="AE258" s="84"/>
      <c r="AF258" s="84"/>
      <c r="AG258" s="84"/>
      <c r="AH258" s="84"/>
      <c r="AI258" s="84"/>
      <c r="AJ258" s="84"/>
      <c r="AK258" s="84"/>
      <c r="AL258" s="84"/>
      <c r="AM258" s="84"/>
      <c r="AN258" s="84"/>
      <c r="AO258" s="84"/>
      <c r="AP258" s="84"/>
      <c r="AQ258" s="84"/>
      <c r="AR258" s="84"/>
      <c r="AS258" s="84"/>
      <c r="AT258" s="84"/>
      <c r="AU258" s="84"/>
      <c r="AV258" s="84"/>
      <c r="AW258" s="84"/>
      <c r="AX258" s="87">
        <f t="array" ref="AX258">IF(G258=1,SUM((ROW(M0)=ROW(AW258))*(M0+M1_+M2_+M3_+M4_+M5_+M6_+M7_+M8_+M9_+M10_+M11_+M12_+M13_+M14_+M15_+M16_+M17_+M18_+M19_+M20_+M21_+M22_+M23_+M24_+M25_+M26_+M27_+M28_+M29_+M30_+M31_+M32_+M33_+M34_+M35_+M36_+M37_)),0)</f>
        <v>0</v>
      </c>
      <c r="AZ258" s="24" t="str">
        <f t="shared" si="61"/>
        <v/>
      </c>
      <c r="BA258" s="24" t="str">
        <f t="shared" si="62"/>
        <v/>
      </c>
      <c r="BB258" s="24" t="str">
        <f t="shared" si="63"/>
        <v/>
      </c>
      <c r="BC258" s="24" t="str">
        <f>IF(OR(E258="",LEFT(TableCosts[[#This Row],[Calc_N_Typ]],18)="Vynaložené náklady"),"",VLOOKUP(E258,Tab_Parts,2,0))</f>
        <v/>
      </c>
      <c r="BD258" s="24" t="str">
        <f t="shared" si="64"/>
        <v/>
      </c>
      <c r="BE258" s="24">
        <f t="shared" si="65"/>
        <v>0</v>
      </c>
      <c r="BF258" s="72">
        <f>TableCosts[[#This Row],[N_Amount]]*TableCosts[[#This Row],[N_Tariff]]*TableCosts[[#This Row],[N_ItemsCount]]</f>
        <v>0</v>
      </c>
      <c r="BG258" s="72">
        <f>IF(G258=1,IF(TableCosts[[#This Row],[N_Kateg]]="interné práce",TableCosts[[#This Row],[N_Amount]]*8*PAR_SGA_PERHOUR,0),0)</f>
        <v>0</v>
      </c>
      <c r="BH258" s="72">
        <f>SUM(TableCosts[[#This Row],[N_Direct]:[N_SGA]])</f>
        <v>0</v>
      </c>
      <c r="BI258" s="24">
        <f>IF(G258=1,IF(OR(AND(NOT(ISERROR(VLOOKUP(TableCosts[[#This Row],[Calc_N_Typ]],Cis_WorkPositions,1,0))),C258&lt;&gt;"",D258&lt;&gt;"",E258&lt;&gt;""),AND(ISERROR(VLOOKUP(TableCosts[[#This Row],[Calc_N_Typ]],Cis_WorkPositions,1,0)),C258="",D258="",E258&lt;&gt;""),LEFT(TableCosts[[#This Row],[Calc_N_Typ]],18)="Vynaložené náklady"),VLOOKUP(C258&amp;TableCosts[[#This Row],[Calc_N_Typ]],TRAN_STRITEMS_LABEL,VLOOKUP(D258,Tab_Hours,3,0),0),NA()),0)</f>
        <v>0</v>
      </c>
      <c r="BJ258" s="24">
        <f t="shared" si="66"/>
        <v>0</v>
      </c>
      <c r="BK258" s="24" t="str">
        <f t="shared" si="67"/>
        <v/>
      </c>
      <c r="BL258" s="24" t="str">
        <f t="shared" si="68"/>
        <v/>
      </c>
      <c r="BM258" s="24" t="str">
        <f>IF(G258=1,IF(TableCosts[[#This Row],[TransferFrom]]=TableCosts[[#This Row],[TranferTo]],0,1),"")</f>
        <v/>
      </c>
      <c r="BN258" s="24" t="str">
        <f t="shared" si="69"/>
        <v/>
      </c>
      <c r="BO258" s="24">
        <f t="shared" si="70"/>
        <v>0</v>
      </c>
      <c r="BP258" s="24">
        <f t="shared" si="71"/>
        <v>0</v>
      </c>
    </row>
    <row r="259" spans="2:68" s="24" customFormat="1" ht="12.75" x14ac:dyDescent="0.2">
      <c r="B259" s="97"/>
      <c r="C259" s="92"/>
      <c r="D259" s="92"/>
      <c r="E259" s="92"/>
      <c r="F259" s="31" t="str">
        <f>IF(G259=1,IF(ISERROR(TableCosts[[#This Row],[N_Tariff]]),Err_Message1,IF(TableCosts[[#This Row],[N_Tariff]]=0,Err_Message2,VLOOKUP(C259&amp;TableCosts[[#This Row],[Calc_N_Typ]],TRAN_STRITEMS_LABEL,5,FALSE))),"")</f>
        <v/>
      </c>
      <c r="G259" s="31">
        <f t="shared" si="60"/>
        <v>0</v>
      </c>
      <c r="H259" s="31" t="str">
        <f>IF(G259=1,IFERROR(VLOOKUP(F259,Tab_ErrMessage[],2,0),VLOOKUP(C259&amp;TableCosts[[#This Row],[Calc_N_Typ]],TRAN_STRITEMS_LABEL,4,FALSE)),"")</f>
        <v/>
      </c>
      <c r="I259" s="94"/>
      <c r="J259" s="94"/>
      <c r="K259" s="94"/>
      <c r="L259" s="84"/>
      <c r="M259" s="84"/>
      <c r="N259" s="84"/>
      <c r="O259" s="84"/>
      <c r="P259" s="84"/>
      <c r="Q259" s="84"/>
      <c r="R259" s="84"/>
      <c r="S259" s="84"/>
      <c r="T259" s="84"/>
      <c r="U259" s="84"/>
      <c r="V259" s="84"/>
      <c r="W259" s="84"/>
      <c r="X259" s="84"/>
      <c r="Y259" s="84"/>
      <c r="Z259" s="84"/>
      <c r="AA259" s="84"/>
      <c r="AB259" s="84"/>
      <c r="AC259" s="84"/>
      <c r="AD259" s="84"/>
      <c r="AE259" s="84"/>
      <c r="AF259" s="84"/>
      <c r="AG259" s="84"/>
      <c r="AH259" s="84"/>
      <c r="AI259" s="84"/>
      <c r="AJ259" s="84"/>
      <c r="AK259" s="84"/>
      <c r="AL259" s="84"/>
      <c r="AM259" s="84"/>
      <c r="AN259" s="84"/>
      <c r="AO259" s="84"/>
      <c r="AP259" s="84"/>
      <c r="AQ259" s="84"/>
      <c r="AR259" s="84"/>
      <c r="AS259" s="84"/>
      <c r="AT259" s="84"/>
      <c r="AU259" s="84"/>
      <c r="AV259" s="84"/>
      <c r="AW259" s="84"/>
      <c r="AX259" s="87">
        <f t="array" ref="AX259">IF(G259=1,SUM((ROW(M0)=ROW(AW259))*(M0+M1_+M2_+M3_+M4_+M5_+M6_+M7_+M8_+M9_+M10_+M11_+M12_+M13_+M14_+M15_+M16_+M17_+M18_+M19_+M20_+M21_+M22_+M23_+M24_+M25_+M26_+M27_+M28_+M29_+M30_+M31_+M32_+M33_+M34_+M35_+M36_+M37_)),0)</f>
        <v>0</v>
      </c>
      <c r="AZ259" s="24" t="str">
        <f t="shared" si="61"/>
        <v/>
      </c>
      <c r="BA259" s="24" t="str">
        <f t="shared" si="62"/>
        <v/>
      </c>
      <c r="BB259" s="24" t="str">
        <f t="shared" si="63"/>
        <v/>
      </c>
      <c r="BC259" s="24" t="str">
        <f>IF(OR(E259="",LEFT(TableCosts[[#This Row],[Calc_N_Typ]],18)="Vynaložené náklady"),"",VLOOKUP(E259,Tab_Parts,2,0))</f>
        <v/>
      </c>
      <c r="BD259" s="24" t="str">
        <f t="shared" si="64"/>
        <v/>
      </c>
      <c r="BE259" s="24">
        <f t="shared" si="65"/>
        <v>0</v>
      </c>
      <c r="BF259" s="72">
        <f>TableCosts[[#This Row],[N_Amount]]*TableCosts[[#This Row],[N_Tariff]]*TableCosts[[#This Row],[N_ItemsCount]]</f>
        <v>0</v>
      </c>
      <c r="BG259" s="72">
        <f>IF(G259=1,IF(TableCosts[[#This Row],[N_Kateg]]="interné práce",TableCosts[[#This Row],[N_Amount]]*8*PAR_SGA_PERHOUR,0),0)</f>
        <v>0</v>
      </c>
      <c r="BH259" s="72">
        <f>SUM(TableCosts[[#This Row],[N_Direct]:[N_SGA]])</f>
        <v>0</v>
      </c>
      <c r="BI259" s="24">
        <f>IF(G259=1,IF(OR(AND(NOT(ISERROR(VLOOKUP(TableCosts[[#This Row],[Calc_N_Typ]],Cis_WorkPositions,1,0))),C259&lt;&gt;"",D259&lt;&gt;"",E259&lt;&gt;""),AND(ISERROR(VLOOKUP(TableCosts[[#This Row],[Calc_N_Typ]],Cis_WorkPositions,1,0)),C259="",D259="",E259&lt;&gt;""),LEFT(TableCosts[[#This Row],[Calc_N_Typ]],18)="Vynaložené náklady"),VLOOKUP(C259&amp;TableCosts[[#This Row],[Calc_N_Typ]],TRAN_STRITEMS_LABEL,VLOOKUP(D259,Tab_Hours,3,0),0),NA()),0)</f>
        <v>0</v>
      </c>
      <c r="BJ259" s="24">
        <f t="shared" si="66"/>
        <v>0</v>
      </c>
      <c r="BK259" s="24" t="str">
        <f t="shared" si="67"/>
        <v/>
      </c>
      <c r="BL259" s="24" t="str">
        <f t="shared" si="68"/>
        <v/>
      </c>
      <c r="BM259" s="24" t="str">
        <f>IF(G259=1,IF(TableCosts[[#This Row],[TransferFrom]]=TableCosts[[#This Row],[TranferTo]],0,1),"")</f>
        <v/>
      </c>
      <c r="BN259" s="24" t="str">
        <f t="shared" si="69"/>
        <v/>
      </c>
      <c r="BO259" s="24">
        <f t="shared" si="70"/>
        <v>0</v>
      </c>
      <c r="BP259" s="24">
        <f t="shared" si="71"/>
        <v>0</v>
      </c>
    </row>
    <row r="260" spans="2:68" s="24" customFormat="1" ht="12.75" x14ac:dyDescent="0.2">
      <c r="B260" s="97"/>
      <c r="C260" s="92"/>
      <c r="D260" s="92"/>
      <c r="E260" s="92"/>
      <c r="F260" s="31" t="str">
        <f>IF(G260=1,IF(ISERROR(TableCosts[[#This Row],[N_Tariff]]),Err_Message1,IF(TableCosts[[#This Row],[N_Tariff]]=0,Err_Message2,VLOOKUP(C260&amp;TableCosts[[#This Row],[Calc_N_Typ]],TRAN_STRITEMS_LABEL,5,FALSE))),"")</f>
        <v/>
      </c>
      <c r="G260" s="31">
        <f t="shared" si="60"/>
        <v>0</v>
      </c>
      <c r="H260" s="31" t="str">
        <f>IF(G260=1,IFERROR(VLOOKUP(F260,Tab_ErrMessage[],2,0),VLOOKUP(C260&amp;TableCosts[[#This Row],[Calc_N_Typ]],TRAN_STRITEMS_LABEL,4,FALSE)),"")</f>
        <v/>
      </c>
      <c r="I260" s="94"/>
      <c r="J260" s="94"/>
      <c r="K260" s="94"/>
      <c r="L260" s="84"/>
      <c r="M260" s="84"/>
      <c r="N260" s="84"/>
      <c r="O260" s="84"/>
      <c r="P260" s="84"/>
      <c r="Q260" s="84"/>
      <c r="R260" s="84"/>
      <c r="S260" s="84"/>
      <c r="T260" s="84"/>
      <c r="U260" s="84"/>
      <c r="V260" s="84"/>
      <c r="W260" s="84"/>
      <c r="X260" s="84"/>
      <c r="Y260" s="84"/>
      <c r="Z260" s="84"/>
      <c r="AA260" s="84"/>
      <c r="AB260" s="84"/>
      <c r="AC260" s="84"/>
      <c r="AD260" s="84"/>
      <c r="AE260" s="84"/>
      <c r="AF260" s="84"/>
      <c r="AG260" s="84"/>
      <c r="AH260" s="84"/>
      <c r="AI260" s="84"/>
      <c r="AJ260" s="84"/>
      <c r="AK260" s="84"/>
      <c r="AL260" s="84"/>
      <c r="AM260" s="84"/>
      <c r="AN260" s="84"/>
      <c r="AO260" s="84"/>
      <c r="AP260" s="84"/>
      <c r="AQ260" s="84"/>
      <c r="AR260" s="84"/>
      <c r="AS260" s="84"/>
      <c r="AT260" s="84"/>
      <c r="AU260" s="84"/>
      <c r="AV260" s="84"/>
      <c r="AW260" s="84"/>
      <c r="AX260" s="87">
        <f t="array" ref="AX260">IF(G260=1,SUM((ROW(M0)=ROW(AW260))*(M0+M1_+M2_+M3_+M4_+M5_+M6_+M7_+M8_+M9_+M10_+M11_+M12_+M13_+M14_+M15_+M16_+M17_+M18_+M19_+M20_+M21_+M22_+M23_+M24_+M25_+M26_+M27_+M28_+M29_+M30_+M31_+M32_+M33_+M34_+M35_+M36_+M37_)),0)</f>
        <v>0</v>
      </c>
      <c r="AZ260" s="24" t="str">
        <f t="shared" si="61"/>
        <v/>
      </c>
      <c r="BA260" s="24" t="str">
        <f t="shared" si="62"/>
        <v/>
      </c>
      <c r="BB260" s="24" t="str">
        <f t="shared" si="63"/>
        <v/>
      </c>
      <c r="BC260" s="24" t="str">
        <f>IF(OR(E260="",LEFT(TableCosts[[#This Row],[Calc_N_Typ]],18)="Vynaložené náklady"),"",VLOOKUP(E260,Tab_Parts,2,0))</f>
        <v/>
      </c>
      <c r="BD260" s="24" t="str">
        <f t="shared" si="64"/>
        <v/>
      </c>
      <c r="BE260" s="24">
        <f t="shared" si="65"/>
        <v>0</v>
      </c>
      <c r="BF260" s="72">
        <f>TableCosts[[#This Row],[N_Amount]]*TableCosts[[#This Row],[N_Tariff]]*TableCosts[[#This Row],[N_ItemsCount]]</f>
        <v>0</v>
      </c>
      <c r="BG260" s="72">
        <f>IF(G260=1,IF(TableCosts[[#This Row],[N_Kateg]]="interné práce",TableCosts[[#This Row],[N_Amount]]*8*PAR_SGA_PERHOUR,0),0)</f>
        <v>0</v>
      </c>
      <c r="BH260" s="72">
        <f>SUM(TableCosts[[#This Row],[N_Direct]:[N_SGA]])</f>
        <v>0</v>
      </c>
      <c r="BI260" s="24">
        <f>IF(G260=1,IF(OR(AND(NOT(ISERROR(VLOOKUP(TableCosts[[#This Row],[Calc_N_Typ]],Cis_WorkPositions,1,0))),C260&lt;&gt;"",D260&lt;&gt;"",E260&lt;&gt;""),AND(ISERROR(VLOOKUP(TableCosts[[#This Row],[Calc_N_Typ]],Cis_WorkPositions,1,0)),C260="",D260="",E260&lt;&gt;""),LEFT(TableCosts[[#This Row],[Calc_N_Typ]],18)="Vynaložené náklady"),VLOOKUP(C260&amp;TableCosts[[#This Row],[Calc_N_Typ]],TRAN_STRITEMS_LABEL,VLOOKUP(D260,Tab_Hours,3,0),0),NA()),0)</f>
        <v>0</v>
      </c>
      <c r="BJ260" s="24">
        <f t="shared" si="66"/>
        <v>0</v>
      </c>
      <c r="BK260" s="24" t="str">
        <f t="shared" si="67"/>
        <v/>
      </c>
      <c r="BL260" s="24" t="str">
        <f t="shared" si="68"/>
        <v/>
      </c>
      <c r="BM260" s="24" t="str">
        <f>IF(G260=1,IF(TableCosts[[#This Row],[TransferFrom]]=TableCosts[[#This Row],[TranferTo]],0,1),"")</f>
        <v/>
      </c>
      <c r="BN260" s="24" t="str">
        <f t="shared" si="69"/>
        <v/>
      </c>
      <c r="BO260" s="24">
        <f t="shared" si="70"/>
        <v>0</v>
      </c>
      <c r="BP260" s="24">
        <f t="shared" si="71"/>
        <v>0</v>
      </c>
    </row>
    <row r="261" spans="2:68" s="24" customFormat="1" ht="12.75" x14ac:dyDescent="0.2">
      <c r="B261" s="97"/>
      <c r="C261" s="92"/>
      <c r="D261" s="92"/>
      <c r="E261" s="92"/>
      <c r="F261" s="31" t="str">
        <f>IF(G261=1,IF(ISERROR(TableCosts[[#This Row],[N_Tariff]]),Err_Message1,IF(TableCosts[[#This Row],[N_Tariff]]=0,Err_Message2,VLOOKUP(C261&amp;TableCosts[[#This Row],[Calc_N_Typ]],TRAN_STRITEMS_LABEL,5,FALSE))),"")</f>
        <v/>
      </c>
      <c r="G261" s="31">
        <f t="shared" si="60"/>
        <v>0</v>
      </c>
      <c r="H261" s="31" t="str">
        <f>IF(G261=1,IFERROR(VLOOKUP(F261,Tab_ErrMessage[],2,0),VLOOKUP(C261&amp;TableCosts[[#This Row],[Calc_N_Typ]],TRAN_STRITEMS_LABEL,4,FALSE)),"")</f>
        <v/>
      </c>
      <c r="I261" s="94"/>
      <c r="J261" s="94"/>
      <c r="K261" s="94"/>
      <c r="L261" s="84"/>
      <c r="M261" s="84"/>
      <c r="N261" s="84"/>
      <c r="O261" s="84"/>
      <c r="P261" s="84"/>
      <c r="Q261" s="84"/>
      <c r="R261" s="84"/>
      <c r="S261" s="84"/>
      <c r="T261" s="84"/>
      <c r="U261" s="84"/>
      <c r="V261" s="84"/>
      <c r="W261" s="84"/>
      <c r="X261" s="84"/>
      <c r="Y261" s="84"/>
      <c r="Z261" s="84"/>
      <c r="AA261" s="84"/>
      <c r="AB261" s="84"/>
      <c r="AC261" s="84"/>
      <c r="AD261" s="84"/>
      <c r="AE261" s="84"/>
      <c r="AF261" s="84"/>
      <c r="AG261" s="84"/>
      <c r="AH261" s="84"/>
      <c r="AI261" s="84"/>
      <c r="AJ261" s="84"/>
      <c r="AK261" s="84"/>
      <c r="AL261" s="84"/>
      <c r="AM261" s="84"/>
      <c r="AN261" s="84"/>
      <c r="AO261" s="84"/>
      <c r="AP261" s="84"/>
      <c r="AQ261" s="84"/>
      <c r="AR261" s="84"/>
      <c r="AS261" s="84"/>
      <c r="AT261" s="84"/>
      <c r="AU261" s="84"/>
      <c r="AV261" s="84"/>
      <c r="AW261" s="84"/>
      <c r="AX261" s="87">
        <f t="array" ref="AX261">IF(G261=1,SUM((ROW(M0)=ROW(AW261))*(M0+M1_+M2_+M3_+M4_+M5_+M6_+M7_+M8_+M9_+M10_+M11_+M12_+M13_+M14_+M15_+M16_+M17_+M18_+M19_+M20_+M21_+M22_+M23_+M24_+M25_+M26_+M27_+M28_+M29_+M30_+M31_+M32_+M33_+M34_+M35_+M36_+M37_)),0)</f>
        <v>0</v>
      </c>
      <c r="AZ261" s="24" t="str">
        <f t="shared" si="61"/>
        <v/>
      </c>
      <c r="BA261" s="24" t="str">
        <f t="shared" si="62"/>
        <v/>
      </c>
      <c r="BB261" s="24" t="str">
        <f t="shared" si="63"/>
        <v/>
      </c>
      <c r="BC261" s="24" t="str">
        <f>IF(OR(E261="",LEFT(TableCosts[[#This Row],[Calc_N_Typ]],18)="Vynaložené náklady"),"",VLOOKUP(E261,Tab_Parts,2,0))</f>
        <v/>
      </c>
      <c r="BD261" s="24" t="str">
        <f t="shared" si="64"/>
        <v/>
      </c>
      <c r="BE261" s="24">
        <f t="shared" si="65"/>
        <v>0</v>
      </c>
      <c r="BF261" s="72">
        <f>TableCosts[[#This Row],[N_Amount]]*TableCosts[[#This Row],[N_Tariff]]*TableCosts[[#This Row],[N_ItemsCount]]</f>
        <v>0</v>
      </c>
      <c r="BG261" s="72">
        <f>IF(G261=1,IF(TableCosts[[#This Row],[N_Kateg]]="interné práce",TableCosts[[#This Row],[N_Amount]]*8*PAR_SGA_PERHOUR,0),0)</f>
        <v>0</v>
      </c>
      <c r="BH261" s="72">
        <f>SUM(TableCosts[[#This Row],[N_Direct]:[N_SGA]])</f>
        <v>0</v>
      </c>
      <c r="BI261" s="24">
        <f>IF(G261=1,IF(OR(AND(NOT(ISERROR(VLOOKUP(TableCosts[[#This Row],[Calc_N_Typ]],Cis_WorkPositions,1,0))),C261&lt;&gt;"",D261&lt;&gt;"",E261&lt;&gt;""),AND(ISERROR(VLOOKUP(TableCosts[[#This Row],[Calc_N_Typ]],Cis_WorkPositions,1,0)),C261="",D261="",E261&lt;&gt;""),LEFT(TableCosts[[#This Row],[Calc_N_Typ]],18)="Vynaložené náklady"),VLOOKUP(C261&amp;TableCosts[[#This Row],[Calc_N_Typ]],TRAN_STRITEMS_LABEL,VLOOKUP(D261,Tab_Hours,3,0),0),NA()),0)</f>
        <v>0</v>
      </c>
      <c r="BJ261" s="24">
        <f t="shared" si="66"/>
        <v>0</v>
      </c>
      <c r="BK261" s="24" t="str">
        <f t="shared" si="67"/>
        <v/>
      </c>
      <c r="BL261" s="24" t="str">
        <f t="shared" si="68"/>
        <v/>
      </c>
      <c r="BM261" s="24" t="str">
        <f>IF(G261=1,IF(TableCosts[[#This Row],[TransferFrom]]=TableCosts[[#This Row],[TranferTo]],0,1),"")</f>
        <v/>
      </c>
      <c r="BN261" s="24" t="str">
        <f t="shared" si="69"/>
        <v/>
      </c>
      <c r="BO261" s="24">
        <f t="shared" si="70"/>
        <v>0</v>
      </c>
      <c r="BP261" s="24">
        <f t="shared" si="71"/>
        <v>0</v>
      </c>
    </row>
    <row r="262" spans="2:68" s="24" customFormat="1" ht="12.75" x14ac:dyDescent="0.2">
      <c r="B262" s="97"/>
      <c r="C262" s="92"/>
      <c r="D262" s="92"/>
      <c r="E262" s="92"/>
      <c r="F262" s="31" t="str">
        <f>IF(G262=1,IF(ISERROR(TableCosts[[#This Row],[N_Tariff]]),Err_Message1,IF(TableCosts[[#This Row],[N_Tariff]]=0,Err_Message2,VLOOKUP(C262&amp;TableCosts[[#This Row],[Calc_N_Typ]],TRAN_STRITEMS_LABEL,5,FALSE))),"")</f>
        <v/>
      </c>
      <c r="G262" s="31">
        <f t="shared" si="60"/>
        <v>0</v>
      </c>
      <c r="H262" s="31" t="str">
        <f>IF(G262=1,IFERROR(VLOOKUP(F262,Tab_ErrMessage[],2,0),VLOOKUP(C262&amp;TableCosts[[#This Row],[Calc_N_Typ]],TRAN_STRITEMS_LABEL,4,FALSE)),"")</f>
        <v/>
      </c>
      <c r="I262" s="94"/>
      <c r="J262" s="94"/>
      <c r="K262" s="94"/>
      <c r="L262" s="84"/>
      <c r="M262" s="84"/>
      <c r="N262" s="84"/>
      <c r="O262" s="84"/>
      <c r="P262" s="84"/>
      <c r="Q262" s="84"/>
      <c r="R262" s="84"/>
      <c r="S262" s="84"/>
      <c r="T262" s="84"/>
      <c r="U262" s="84"/>
      <c r="V262" s="84"/>
      <c r="W262" s="84"/>
      <c r="X262" s="84"/>
      <c r="Y262" s="84"/>
      <c r="Z262" s="84"/>
      <c r="AA262" s="84"/>
      <c r="AB262" s="84"/>
      <c r="AC262" s="84"/>
      <c r="AD262" s="84"/>
      <c r="AE262" s="84"/>
      <c r="AF262" s="84"/>
      <c r="AG262" s="84"/>
      <c r="AH262" s="84"/>
      <c r="AI262" s="84"/>
      <c r="AJ262" s="84"/>
      <c r="AK262" s="84"/>
      <c r="AL262" s="84"/>
      <c r="AM262" s="84"/>
      <c r="AN262" s="84"/>
      <c r="AO262" s="84"/>
      <c r="AP262" s="84"/>
      <c r="AQ262" s="84"/>
      <c r="AR262" s="84"/>
      <c r="AS262" s="84"/>
      <c r="AT262" s="84"/>
      <c r="AU262" s="84"/>
      <c r="AV262" s="84"/>
      <c r="AW262" s="84"/>
      <c r="AX262" s="87">
        <f t="array" ref="AX262">IF(G262=1,SUM((ROW(M0)=ROW(AW262))*(M0+M1_+M2_+M3_+M4_+M5_+M6_+M7_+M8_+M9_+M10_+M11_+M12_+M13_+M14_+M15_+M16_+M17_+M18_+M19_+M20_+M21_+M22_+M23_+M24_+M25_+M26_+M27_+M28_+M29_+M30_+M31_+M32_+M33_+M34_+M35_+M36_+M37_)),0)</f>
        <v>0</v>
      </c>
      <c r="AZ262" s="24" t="str">
        <f t="shared" si="61"/>
        <v/>
      </c>
      <c r="BA262" s="24" t="str">
        <f t="shared" si="62"/>
        <v/>
      </c>
      <c r="BB262" s="24" t="str">
        <f t="shared" si="63"/>
        <v/>
      </c>
      <c r="BC262" s="24" t="str">
        <f>IF(OR(E262="",LEFT(TableCosts[[#This Row],[Calc_N_Typ]],18)="Vynaložené náklady"),"",VLOOKUP(E262,Tab_Parts,2,0))</f>
        <v/>
      </c>
      <c r="BD262" s="24" t="str">
        <f t="shared" si="64"/>
        <v/>
      </c>
      <c r="BE262" s="24">
        <f t="shared" si="65"/>
        <v>0</v>
      </c>
      <c r="BF262" s="72">
        <f>TableCosts[[#This Row],[N_Amount]]*TableCosts[[#This Row],[N_Tariff]]*TableCosts[[#This Row],[N_ItemsCount]]</f>
        <v>0</v>
      </c>
      <c r="BG262" s="72">
        <f>IF(G262=1,IF(TableCosts[[#This Row],[N_Kateg]]="interné práce",TableCosts[[#This Row],[N_Amount]]*8*PAR_SGA_PERHOUR,0),0)</f>
        <v>0</v>
      </c>
      <c r="BH262" s="72">
        <f>SUM(TableCosts[[#This Row],[N_Direct]:[N_SGA]])</f>
        <v>0</v>
      </c>
      <c r="BI262" s="24">
        <f>IF(G262=1,IF(OR(AND(NOT(ISERROR(VLOOKUP(TableCosts[[#This Row],[Calc_N_Typ]],Cis_WorkPositions,1,0))),C262&lt;&gt;"",D262&lt;&gt;"",E262&lt;&gt;""),AND(ISERROR(VLOOKUP(TableCosts[[#This Row],[Calc_N_Typ]],Cis_WorkPositions,1,0)),C262="",D262="",E262&lt;&gt;""),LEFT(TableCosts[[#This Row],[Calc_N_Typ]],18)="Vynaložené náklady"),VLOOKUP(C262&amp;TableCosts[[#This Row],[Calc_N_Typ]],TRAN_STRITEMS_LABEL,VLOOKUP(D262,Tab_Hours,3,0),0),NA()),0)</f>
        <v>0</v>
      </c>
      <c r="BJ262" s="24">
        <f t="shared" si="66"/>
        <v>0</v>
      </c>
      <c r="BK262" s="24" t="str">
        <f t="shared" si="67"/>
        <v/>
      </c>
      <c r="BL262" s="24" t="str">
        <f t="shared" si="68"/>
        <v/>
      </c>
      <c r="BM262" s="24" t="str">
        <f>IF(G262=1,IF(TableCosts[[#This Row],[TransferFrom]]=TableCosts[[#This Row],[TranferTo]],0,1),"")</f>
        <v/>
      </c>
      <c r="BN262" s="24" t="str">
        <f t="shared" si="69"/>
        <v/>
      </c>
      <c r="BO262" s="24">
        <f t="shared" si="70"/>
        <v>0</v>
      </c>
      <c r="BP262" s="24">
        <f t="shared" si="71"/>
        <v>0</v>
      </c>
    </row>
    <row r="263" spans="2:68" s="24" customFormat="1" ht="12.75" x14ac:dyDescent="0.2">
      <c r="B263" s="97"/>
      <c r="C263" s="92"/>
      <c r="D263" s="92"/>
      <c r="E263" s="92"/>
      <c r="F263" s="31" t="str">
        <f>IF(G263=1,IF(ISERROR(TableCosts[[#This Row],[N_Tariff]]),Err_Message1,IF(TableCosts[[#This Row],[N_Tariff]]=0,Err_Message2,VLOOKUP(C263&amp;TableCosts[[#This Row],[Calc_N_Typ]],TRAN_STRITEMS_LABEL,5,FALSE))),"")</f>
        <v/>
      </c>
      <c r="G263" s="31">
        <f t="shared" si="60"/>
        <v>0</v>
      </c>
      <c r="H263" s="31" t="str">
        <f>IF(G263=1,IFERROR(VLOOKUP(F263,Tab_ErrMessage[],2,0),VLOOKUP(C263&amp;TableCosts[[#This Row],[Calc_N_Typ]],TRAN_STRITEMS_LABEL,4,FALSE)),"")</f>
        <v/>
      </c>
      <c r="I263" s="94"/>
      <c r="J263" s="94"/>
      <c r="K263" s="94"/>
      <c r="L263" s="84"/>
      <c r="M263" s="84"/>
      <c r="N263" s="84"/>
      <c r="O263" s="84"/>
      <c r="P263" s="84"/>
      <c r="Q263" s="84"/>
      <c r="R263" s="84"/>
      <c r="S263" s="84"/>
      <c r="T263" s="84"/>
      <c r="U263" s="84"/>
      <c r="V263" s="84"/>
      <c r="W263" s="84"/>
      <c r="X263" s="84"/>
      <c r="Y263" s="84"/>
      <c r="Z263" s="84"/>
      <c r="AA263" s="84"/>
      <c r="AB263" s="84"/>
      <c r="AC263" s="84"/>
      <c r="AD263" s="84"/>
      <c r="AE263" s="84"/>
      <c r="AF263" s="84"/>
      <c r="AG263" s="84"/>
      <c r="AH263" s="84"/>
      <c r="AI263" s="84"/>
      <c r="AJ263" s="84"/>
      <c r="AK263" s="84"/>
      <c r="AL263" s="84"/>
      <c r="AM263" s="84"/>
      <c r="AN263" s="84"/>
      <c r="AO263" s="84"/>
      <c r="AP263" s="84"/>
      <c r="AQ263" s="84"/>
      <c r="AR263" s="84"/>
      <c r="AS263" s="84"/>
      <c r="AT263" s="84"/>
      <c r="AU263" s="84"/>
      <c r="AV263" s="84"/>
      <c r="AW263" s="84"/>
      <c r="AX263" s="87">
        <f t="array" ref="AX263">IF(G263=1,SUM((ROW(M0)=ROW(AW263))*(M0+M1_+M2_+M3_+M4_+M5_+M6_+M7_+M8_+M9_+M10_+M11_+M12_+M13_+M14_+M15_+M16_+M17_+M18_+M19_+M20_+M21_+M22_+M23_+M24_+M25_+M26_+M27_+M28_+M29_+M30_+M31_+M32_+M33_+M34_+M35_+M36_+M37_)),0)</f>
        <v>0</v>
      </c>
      <c r="AZ263" s="24" t="str">
        <f t="shared" si="61"/>
        <v/>
      </c>
      <c r="BA263" s="24" t="str">
        <f t="shared" si="62"/>
        <v/>
      </c>
      <c r="BB263" s="24" t="str">
        <f t="shared" si="63"/>
        <v/>
      </c>
      <c r="BC263" s="24" t="str">
        <f>IF(OR(E263="",LEFT(TableCosts[[#This Row],[Calc_N_Typ]],18)="Vynaložené náklady"),"",VLOOKUP(E263,Tab_Parts,2,0))</f>
        <v/>
      </c>
      <c r="BD263" s="24" t="str">
        <f t="shared" si="64"/>
        <v/>
      </c>
      <c r="BE263" s="24">
        <f t="shared" si="65"/>
        <v>0</v>
      </c>
      <c r="BF263" s="72">
        <f>TableCosts[[#This Row],[N_Amount]]*TableCosts[[#This Row],[N_Tariff]]*TableCosts[[#This Row],[N_ItemsCount]]</f>
        <v>0</v>
      </c>
      <c r="BG263" s="72">
        <f>IF(G263=1,IF(TableCosts[[#This Row],[N_Kateg]]="interné práce",TableCosts[[#This Row],[N_Amount]]*8*PAR_SGA_PERHOUR,0),0)</f>
        <v>0</v>
      </c>
      <c r="BH263" s="72">
        <f>SUM(TableCosts[[#This Row],[N_Direct]:[N_SGA]])</f>
        <v>0</v>
      </c>
      <c r="BI263" s="24">
        <f>IF(G263=1,IF(OR(AND(NOT(ISERROR(VLOOKUP(TableCosts[[#This Row],[Calc_N_Typ]],Cis_WorkPositions,1,0))),C263&lt;&gt;"",D263&lt;&gt;"",E263&lt;&gt;""),AND(ISERROR(VLOOKUP(TableCosts[[#This Row],[Calc_N_Typ]],Cis_WorkPositions,1,0)),C263="",D263="",E263&lt;&gt;""),LEFT(TableCosts[[#This Row],[Calc_N_Typ]],18)="Vynaložené náklady"),VLOOKUP(C263&amp;TableCosts[[#This Row],[Calc_N_Typ]],TRAN_STRITEMS_LABEL,VLOOKUP(D263,Tab_Hours,3,0),0),NA()),0)</f>
        <v>0</v>
      </c>
      <c r="BJ263" s="24">
        <f t="shared" si="66"/>
        <v>0</v>
      </c>
      <c r="BK263" s="24" t="str">
        <f t="shared" si="67"/>
        <v/>
      </c>
      <c r="BL263" s="24" t="str">
        <f t="shared" si="68"/>
        <v/>
      </c>
      <c r="BM263" s="24" t="str">
        <f>IF(G263=1,IF(TableCosts[[#This Row],[TransferFrom]]=TableCosts[[#This Row],[TranferTo]],0,1),"")</f>
        <v/>
      </c>
      <c r="BN263" s="24" t="str">
        <f t="shared" si="69"/>
        <v/>
      </c>
      <c r="BO263" s="24">
        <f t="shared" si="70"/>
        <v>0</v>
      </c>
      <c r="BP263" s="24">
        <f t="shared" si="71"/>
        <v>0</v>
      </c>
    </row>
    <row r="264" spans="2:68" s="24" customFormat="1" ht="12.75" x14ac:dyDescent="0.2">
      <c r="B264" s="97"/>
      <c r="C264" s="92"/>
      <c r="D264" s="92"/>
      <c r="E264" s="92"/>
      <c r="F264" s="31" t="str">
        <f>IF(G264=1,IF(ISERROR(TableCosts[[#This Row],[N_Tariff]]),Err_Message1,IF(TableCosts[[#This Row],[N_Tariff]]=0,Err_Message2,VLOOKUP(C264&amp;TableCosts[[#This Row],[Calc_N_Typ]],TRAN_STRITEMS_LABEL,5,FALSE))),"")</f>
        <v/>
      </c>
      <c r="G264" s="31">
        <f t="shared" si="60"/>
        <v>0</v>
      </c>
      <c r="H264" s="31" t="str">
        <f>IF(G264=1,IFERROR(VLOOKUP(F264,Tab_ErrMessage[],2,0),VLOOKUP(C264&amp;TableCosts[[#This Row],[Calc_N_Typ]],TRAN_STRITEMS_LABEL,4,FALSE)),"")</f>
        <v/>
      </c>
      <c r="I264" s="94"/>
      <c r="J264" s="94"/>
      <c r="K264" s="94"/>
      <c r="L264" s="84"/>
      <c r="M264" s="84"/>
      <c r="N264" s="84"/>
      <c r="O264" s="84"/>
      <c r="P264" s="84"/>
      <c r="Q264" s="84"/>
      <c r="R264" s="84"/>
      <c r="S264" s="84"/>
      <c r="T264" s="84"/>
      <c r="U264" s="84"/>
      <c r="V264" s="84"/>
      <c r="W264" s="84"/>
      <c r="X264" s="84"/>
      <c r="Y264" s="84"/>
      <c r="Z264" s="84"/>
      <c r="AA264" s="84"/>
      <c r="AB264" s="84"/>
      <c r="AC264" s="84"/>
      <c r="AD264" s="84"/>
      <c r="AE264" s="84"/>
      <c r="AF264" s="84"/>
      <c r="AG264" s="84"/>
      <c r="AH264" s="84"/>
      <c r="AI264" s="84"/>
      <c r="AJ264" s="84"/>
      <c r="AK264" s="84"/>
      <c r="AL264" s="84"/>
      <c r="AM264" s="84"/>
      <c r="AN264" s="84"/>
      <c r="AO264" s="84"/>
      <c r="AP264" s="84"/>
      <c r="AQ264" s="84"/>
      <c r="AR264" s="84"/>
      <c r="AS264" s="84"/>
      <c r="AT264" s="84"/>
      <c r="AU264" s="84"/>
      <c r="AV264" s="84"/>
      <c r="AW264" s="84"/>
      <c r="AX264" s="87">
        <f t="array" ref="AX264">IF(G264=1,SUM((ROW(M0)=ROW(AW264))*(M0+M1_+M2_+M3_+M4_+M5_+M6_+M7_+M8_+M9_+M10_+M11_+M12_+M13_+M14_+M15_+M16_+M17_+M18_+M19_+M20_+M21_+M22_+M23_+M24_+M25_+M26_+M27_+M28_+M29_+M30_+M31_+M32_+M33_+M34_+M35_+M36_+M37_)),0)</f>
        <v>0</v>
      </c>
      <c r="AZ264" s="24" t="str">
        <f t="shared" si="61"/>
        <v/>
      </c>
      <c r="BA264" s="24" t="str">
        <f t="shared" si="62"/>
        <v/>
      </c>
      <c r="BB264" s="24" t="str">
        <f t="shared" si="63"/>
        <v/>
      </c>
      <c r="BC264" s="24" t="str">
        <f>IF(OR(E264="",LEFT(TableCosts[[#This Row],[Calc_N_Typ]],18)="Vynaložené náklady"),"",VLOOKUP(E264,Tab_Parts,2,0))</f>
        <v/>
      </c>
      <c r="BD264" s="24" t="str">
        <f t="shared" si="64"/>
        <v/>
      </c>
      <c r="BE264" s="24">
        <f t="shared" si="65"/>
        <v>0</v>
      </c>
      <c r="BF264" s="72">
        <f>TableCosts[[#This Row],[N_Amount]]*TableCosts[[#This Row],[N_Tariff]]*TableCosts[[#This Row],[N_ItemsCount]]</f>
        <v>0</v>
      </c>
      <c r="BG264" s="72">
        <f>IF(G264=1,IF(TableCosts[[#This Row],[N_Kateg]]="interné práce",TableCosts[[#This Row],[N_Amount]]*8*PAR_SGA_PERHOUR,0),0)</f>
        <v>0</v>
      </c>
      <c r="BH264" s="72">
        <f>SUM(TableCosts[[#This Row],[N_Direct]:[N_SGA]])</f>
        <v>0</v>
      </c>
      <c r="BI264" s="24">
        <f>IF(G264=1,IF(OR(AND(NOT(ISERROR(VLOOKUP(TableCosts[[#This Row],[Calc_N_Typ]],Cis_WorkPositions,1,0))),C264&lt;&gt;"",D264&lt;&gt;"",E264&lt;&gt;""),AND(ISERROR(VLOOKUP(TableCosts[[#This Row],[Calc_N_Typ]],Cis_WorkPositions,1,0)),C264="",D264="",E264&lt;&gt;""),LEFT(TableCosts[[#This Row],[Calc_N_Typ]],18)="Vynaložené náklady"),VLOOKUP(C264&amp;TableCosts[[#This Row],[Calc_N_Typ]],TRAN_STRITEMS_LABEL,VLOOKUP(D264,Tab_Hours,3,0),0),NA()),0)</f>
        <v>0</v>
      </c>
      <c r="BJ264" s="24">
        <f t="shared" si="66"/>
        <v>0</v>
      </c>
      <c r="BK264" s="24" t="str">
        <f t="shared" si="67"/>
        <v/>
      </c>
      <c r="BL264" s="24" t="str">
        <f t="shared" si="68"/>
        <v/>
      </c>
      <c r="BM264" s="24" t="str">
        <f>IF(G264=1,IF(TableCosts[[#This Row],[TransferFrom]]=TableCosts[[#This Row],[TranferTo]],0,1),"")</f>
        <v/>
      </c>
      <c r="BN264" s="24" t="str">
        <f t="shared" si="69"/>
        <v/>
      </c>
      <c r="BO264" s="24">
        <f t="shared" si="70"/>
        <v>0</v>
      </c>
      <c r="BP264" s="24">
        <f t="shared" si="71"/>
        <v>0</v>
      </c>
    </row>
    <row r="265" spans="2:68" s="24" customFormat="1" ht="12.75" x14ac:dyDescent="0.2">
      <c r="B265" s="97"/>
      <c r="C265" s="92"/>
      <c r="D265" s="92"/>
      <c r="E265" s="92"/>
      <c r="F265" s="31" t="str">
        <f>IF(G265=1,IF(ISERROR(TableCosts[[#This Row],[N_Tariff]]),Err_Message1,IF(TableCosts[[#This Row],[N_Tariff]]=0,Err_Message2,VLOOKUP(C265&amp;TableCosts[[#This Row],[Calc_N_Typ]],TRAN_STRITEMS_LABEL,5,FALSE))),"")</f>
        <v/>
      </c>
      <c r="G265" s="31">
        <f t="shared" si="60"/>
        <v>0</v>
      </c>
      <c r="H265" s="31" t="str">
        <f>IF(G265=1,IFERROR(VLOOKUP(F265,Tab_ErrMessage[],2,0),VLOOKUP(C265&amp;TableCosts[[#This Row],[Calc_N_Typ]],TRAN_STRITEMS_LABEL,4,FALSE)),"")</f>
        <v/>
      </c>
      <c r="I265" s="94"/>
      <c r="J265" s="94"/>
      <c r="K265" s="94"/>
      <c r="L265" s="84"/>
      <c r="M265" s="84"/>
      <c r="N265" s="84"/>
      <c r="O265" s="84"/>
      <c r="P265" s="84"/>
      <c r="Q265" s="84"/>
      <c r="R265" s="84"/>
      <c r="S265" s="84"/>
      <c r="T265" s="84"/>
      <c r="U265" s="84"/>
      <c r="V265" s="84"/>
      <c r="W265" s="84"/>
      <c r="X265" s="84"/>
      <c r="Y265" s="84"/>
      <c r="Z265" s="84"/>
      <c r="AA265" s="84"/>
      <c r="AB265" s="84"/>
      <c r="AC265" s="84"/>
      <c r="AD265" s="84"/>
      <c r="AE265" s="84"/>
      <c r="AF265" s="84"/>
      <c r="AG265" s="84"/>
      <c r="AH265" s="84"/>
      <c r="AI265" s="84"/>
      <c r="AJ265" s="84"/>
      <c r="AK265" s="84"/>
      <c r="AL265" s="84"/>
      <c r="AM265" s="84"/>
      <c r="AN265" s="84"/>
      <c r="AO265" s="84"/>
      <c r="AP265" s="84"/>
      <c r="AQ265" s="84"/>
      <c r="AR265" s="84"/>
      <c r="AS265" s="84"/>
      <c r="AT265" s="84"/>
      <c r="AU265" s="84"/>
      <c r="AV265" s="84"/>
      <c r="AW265" s="84"/>
      <c r="AX265" s="87">
        <f t="array" ref="AX265">IF(G265=1,SUM((ROW(M0)=ROW(AW265))*(M0+M1_+M2_+M3_+M4_+M5_+M6_+M7_+M8_+M9_+M10_+M11_+M12_+M13_+M14_+M15_+M16_+M17_+M18_+M19_+M20_+M21_+M22_+M23_+M24_+M25_+M26_+M27_+M28_+M29_+M30_+M31_+M32_+M33_+M34_+M35_+M36_+M37_)),0)</f>
        <v>0</v>
      </c>
      <c r="AZ265" s="24" t="str">
        <f t="shared" si="61"/>
        <v/>
      </c>
      <c r="BA265" s="24" t="str">
        <f t="shared" si="62"/>
        <v/>
      </c>
      <c r="BB265" s="24" t="str">
        <f t="shared" si="63"/>
        <v/>
      </c>
      <c r="BC265" s="24" t="str">
        <f>IF(OR(E265="",LEFT(TableCosts[[#This Row],[Calc_N_Typ]],18)="Vynaložené náklady"),"",VLOOKUP(E265,Tab_Parts,2,0))</f>
        <v/>
      </c>
      <c r="BD265" s="24" t="str">
        <f t="shared" si="64"/>
        <v/>
      </c>
      <c r="BE265" s="24">
        <f t="shared" si="65"/>
        <v>0</v>
      </c>
      <c r="BF265" s="72">
        <f>TableCosts[[#This Row],[N_Amount]]*TableCosts[[#This Row],[N_Tariff]]*TableCosts[[#This Row],[N_ItemsCount]]</f>
        <v>0</v>
      </c>
      <c r="BG265" s="72">
        <f>IF(G265=1,IF(TableCosts[[#This Row],[N_Kateg]]="interné práce",TableCosts[[#This Row],[N_Amount]]*8*PAR_SGA_PERHOUR,0),0)</f>
        <v>0</v>
      </c>
      <c r="BH265" s="72">
        <f>SUM(TableCosts[[#This Row],[N_Direct]:[N_SGA]])</f>
        <v>0</v>
      </c>
      <c r="BI265" s="24">
        <f>IF(G265=1,IF(OR(AND(NOT(ISERROR(VLOOKUP(TableCosts[[#This Row],[Calc_N_Typ]],Cis_WorkPositions,1,0))),C265&lt;&gt;"",D265&lt;&gt;"",E265&lt;&gt;""),AND(ISERROR(VLOOKUP(TableCosts[[#This Row],[Calc_N_Typ]],Cis_WorkPositions,1,0)),C265="",D265="",E265&lt;&gt;""),LEFT(TableCosts[[#This Row],[Calc_N_Typ]],18)="Vynaložené náklady"),VLOOKUP(C265&amp;TableCosts[[#This Row],[Calc_N_Typ]],TRAN_STRITEMS_LABEL,VLOOKUP(D265,Tab_Hours,3,0),0),NA()),0)</f>
        <v>0</v>
      </c>
      <c r="BJ265" s="24">
        <f t="shared" si="66"/>
        <v>0</v>
      </c>
      <c r="BK265" s="24" t="str">
        <f t="shared" si="67"/>
        <v/>
      </c>
      <c r="BL265" s="24" t="str">
        <f t="shared" si="68"/>
        <v/>
      </c>
      <c r="BM265" s="24" t="str">
        <f>IF(G265=1,IF(TableCosts[[#This Row],[TransferFrom]]=TableCosts[[#This Row],[TranferTo]],0,1),"")</f>
        <v/>
      </c>
      <c r="BN265" s="24" t="str">
        <f t="shared" si="69"/>
        <v/>
      </c>
      <c r="BO265" s="24">
        <f t="shared" si="70"/>
        <v>0</v>
      </c>
      <c r="BP265" s="24">
        <f t="shared" si="71"/>
        <v>0</v>
      </c>
    </row>
    <row r="266" spans="2:68" s="24" customFormat="1" ht="12.75" x14ac:dyDescent="0.2">
      <c r="B266" s="97"/>
      <c r="C266" s="92"/>
      <c r="D266" s="92"/>
      <c r="E266" s="92"/>
      <c r="F266" s="31" t="str">
        <f>IF(G266=1,IF(ISERROR(TableCosts[[#This Row],[N_Tariff]]),Err_Message1,IF(TableCosts[[#This Row],[N_Tariff]]=0,Err_Message2,VLOOKUP(C266&amp;TableCosts[[#This Row],[Calc_N_Typ]],TRAN_STRITEMS_LABEL,5,FALSE))),"")</f>
        <v/>
      </c>
      <c r="G266" s="31">
        <f t="shared" si="60"/>
        <v>0</v>
      </c>
      <c r="H266" s="31" t="str">
        <f>IF(G266=1,IFERROR(VLOOKUP(F266,Tab_ErrMessage[],2,0),VLOOKUP(C266&amp;TableCosts[[#This Row],[Calc_N_Typ]],TRAN_STRITEMS_LABEL,4,FALSE)),"")</f>
        <v/>
      </c>
      <c r="I266" s="94"/>
      <c r="J266" s="94"/>
      <c r="K266" s="94"/>
      <c r="L266" s="84"/>
      <c r="M266" s="84"/>
      <c r="N266" s="84"/>
      <c r="O266" s="84"/>
      <c r="P266" s="84"/>
      <c r="Q266" s="84"/>
      <c r="R266" s="84"/>
      <c r="S266" s="84"/>
      <c r="T266" s="84"/>
      <c r="U266" s="84"/>
      <c r="V266" s="84"/>
      <c r="W266" s="84"/>
      <c r="X266" s="84"/>
      <c r="Y266" s="84"/>
      <c r="Z266" s="84"/>
      <c r="AA266" s="84"/>
      <c r="AB266" s="84"/>
      <c r="AC266" s="84"/>
      <c r="AD266" s="84"/>
      <c r="AE266" s="84"/>
      <c r="AF266" s="84"/>
      <c r="AG266" s="84"/>
      <c r="AH266" s="84"/>
      <c r="AI266" s="84"/>
      <c r="AJ266" s="84"/>
      <c r="AK266" s="84"/>
      <c r="AL266" s="84"/>
      <c r="AM266" s="84"/>
      <c r="AN266" s="84"/>
      <c r="AO266" s="84"/>
      <c r="AP266" s="84"/>
      <c r="AQ266" s="84"/>
      <c r="AR266" s="84"/>
      <c r="AS266" s="84"/>
      <c r="AT266" s="84"/>
      <c r="AU266" s="84"/>
      <c r="AV266" s="84"/>
      <c r="AW266" s="84"/>
      <c r="AX266" s="87">
        <f t="array" ref="AX266">IF(G266=1,SUM((ROW(M0)=ROW(AW266))*(M0+M1_+M2_+M3_+M4_+M5_+M6_+M7_+M8_+M9_+M10_+M11_+M12_+M13_+M14_+M15_+M16_+M17_+M18_+M19_+M20_+M21_+M22_+M23_+M24_+M25_+M26_+M27_+M28_+M29_+M30_+M31_+M32_+M33_+M34_+M35_+M36_+M37_)),0)</f>
        <v>0</v>
      </c>
      <c r="AZ266" s="24" t="str">
        <f t="shared" si="61"/>
        <v/>
      </c>
      <c r="BA266" s="24" t="str">
        <f t="shared" si="62"/>
        <v/>
      </c>
      <c r="BB266" s="24" t="str">
        <f t="shared" si="63"/>
        <v/>
      </c>
      <c r="BC266" s="24" t="str">
        <f>IF(OR(E266="",LEFT(TableCosts[[#This Row],[Calc_N_Typ]],18)="Vynaložené náklady"),"",VLOOKUP(E266,Tab_Parts,2,0))</f>
        <v/>
      </c>
      <c r="BD266" s="24" t="str">
        <f t="shared" si="64"/>
        <v/>
      </c>
      <c r="BE266" s="24">
        <f t="shared" si="65"/>
        <v>0</v>
      </c>
      <c r="BF266" s="72">
        <f>TableCosts[[#This Row],[N_Amount]]*TableCosts[[#This Row],[N_Tariff]]*TableCosts[[#This Row],[N_ItemsCount]]</f>
        <v>0</v>
      </c>
      <c r="BG266" s="72">
        <f>IF(G266=1,IF(TableCosts[[#This Row],[N_Kateg]]="interné práce",TableCosts[[#This Row],[N_Amount]]*8*PAR_SGA_PERHOUR,0),0)</f>
        <v>0</v>
      </c>
      <c r="BH266" s="72">
        <f>SUM(TableCosts[[#This Row],[N_Direct]:[N_SGA]])</f>
        <v>0</v>
      </c>
      <c r="BI266" s="24">
        <f>IF(G266=1,IF(OR(AND(NOT(ISERROR(VLOOKUP(TableCosts[[#This Row],[Calc_N_Typ]],Cis_WorkPositions,1,0))),C266&lt;&gt;"",D266&lt;&gt;"",E266&lt;&gt;""),AND(ISERROR(VLOOKUP(TableCosts[[#This Row],[Calc_N_Typ]],Cis_WorkPositions,1,0)),C266="",D266="",E266&lt;&gt;""),LEFT(TableCosts[[#This Row],[Calc_N_Typ]],18)="Vynaložené náklady"),VLOOKUP(C266&amp;TableCosts[[#This Row],[Calc_N_Typ]],TRAN_STRITEMS_LABEL,VLOOKUP(D266,Tab_Hours,3,0),0),NA()),0)</f>
        <v>0</v>
      </c>
      <c r="BJ266" s="24">
        <f t="shared" si="66"/>
        <v>0</v>
      </c>
      <c r="BK266" s="24" t="str">
        <f t="shared" si="67"/>
        <v/>
      </c>
      <c r="BL266" s="24" t="str">
        <f t="shared" si="68"/>
        <v/>
      </c>
      <c r="BM266" s="24" t="str">
        <f>IF(G266=1,IF(TableCosts[[#This Row],[TransferFrom]]=TableCosts[[#This Row],[TranferTo]],0,1),"")</f>
        <v/>
      </c>
      <c r="BN266" s="24" t="str">
        <f t="shared" si="69"/>
        <v/>
      </c>
      <c r="BO266" s="24">
        <f t="shared" si="70"/>
        <v>0</v>
      </c>
      <c r="BP266" s="24">
        <f t="shared" si="71"/>
        <v>0</v>
      </c>
    </row>
    <row r="267" spans="2:68" s="24" customFormat="1" ht="12.75" x14ac:dyDescent="0.2">
      <c r="B267" s="97"/>
      <c r="C267" s="92"/>
      <c r="D267" s="92"/>
      <c r="E267" s="92"/>
      <c r="F267" s="31" t="str">
        <f>IF(G267=1,IF(ISERROR(TableCosts[[#This Row],[N_Tariff]]),Err_Message1,IF(TableCosts[[#This Row],[N_Tariff]]=0,Err_Message2,VLOOKUP(C267&amp;TableCosts[[#This Row],[Calc_N_Typ]],TRAN_STRITEMS_LABEL,5,FALSE))),"")</f>
        <v/>
      </c>
      <c r="G267" s="31">
        <f t="shared" si="60"/>
        <v>0</v>
      </c>
      <c r="H267" s="31" t="str">
        <f>IF(G267=1,IFERROR(VLOOKUP(F267,Tab_ErrMessage[],2,0),VLOOKUP(C267&amp;TableCosts[[#This Row],[Calc_N_Typ]],TRAN_STRITEMS_LABEL,4,FALSE)),"")</f>
        <v/>
      </c>
      <c r="I267" s="94"/>
      <c r="J267" s="94"/>
      <c r="K267" s="94"/>
      <c r="L267" s="84"/>
      <c r="M267" s="84"/>
      <c r="N267" s="84"/>
      <c r="O267" s="84"/>
      <c r="P267" s="84"/>
      <c r="Q267" s="84"/>
      <c r="R267" s="84"/>
      <c r="S267" s="84"/>
      <c r="T267" s="84"/>
      <c r="U267" s="84"/>
      <c r="V267" s="84"/>
      <c r="W267" s="84"/>
      <c r="X267" s="84"/>
      <c r="Y267" s="84"/>
      <c r="Z267" s="84"/>
      <c r="AA267" s="84"/>
      <c r="AB267" s="84"/>
      <c r="AC267" s="84"/>
      <c r="AD267" s="84"/>
      <c r="AE267" s="84"/>
      <c r="AF267" s="84"/>
      <c r="AG267" s="84"/>
      <c r="AH267" s="84"/>
      <c r="AI267" s="84"/>
      <c r="AJ267" s="84"/>
      <c r="AK267" s="84"/>
      <c r="AL267" s="84"/>
      <c r="AM267" s="84"/>
      <c r="AN267" s="84"/>
      <c r="AO267" s="84"/>
      <c r="AP267" s="84"/>
      <c r="AQ267" s="84"/>
      <c r="AR267" s="84"/>
      <c r="AS267" s="84"/>
      <c r="AT267" s="84"/>
      <c r="AU267" s="84"/>
      <c r="AV267" s="84"/>
      <c r="AW267" s="84"/>
      <c r="AX267" s="87">
        <f t="array" ref="AX267">IF(G267=1,SUM((ROW(M0)=ROW(AW267))*(M0+M1_+M2_+M3_+M4_+M5_+M6_+M7_+M8_+M9_+M10_+M11_+M12_+M13_+M14_+M15_+M16_+M17_+M18_+M19_+M20_+M21_+M22_+M23_+M24_+M25_+M26_+M27_+M28_+M29_+M30_+M31_+M32_+M33_+M34_+M35_+M36_+M37_)),0)</f>
        <v>0</v>
      </c>
      <c r="AZ267" s="24" t="str">
        <f t="shared" si="61"/>
        <v/>
      </c>
      <c r="BA267" s="24" t="str">
        <f t="shared" si="62"/>
        <v/>
      </c>
      <c r="BB267" s="24" t="str">
        <f t="shared" si="63"/>
        <v/>
      </c>
      <c r="BC267" s="24" t="str">
        <f>IF(OR(E267="",LEFT(TableCosts[[#This Row],[Calc_N_Typ]],18)="Vynaložené náklady"),"",VLOOKUP(E267,Tab_Parts,2,0))</f>
        <v/>
      </c>
      <c r="BD267" s="24" t="str">
        <f t="shared" si="64"/>
        <v/>
      </c>
      <c r="BE267" s="24">
        <f t="shared" si="65"/>
        <v>0</v>
      </c>
      <c r="BF267" s="72">
        <f>TableCosts[[#This Row],[N_Amount]]*TableCosts[[#This Row],[N_Tariff]]*TableCosts[[#This Row],[N_ItemsCount]]</f>
        <v>0</v>
      </c>
      <c r="BG267" s="72">
        <f>IF(G267=1,IF(TableCosts[[#This Row],[N_Kateg]]="interné práce",TableCosts[[#This Row],[N_Amount]]*8*PAR_SGA_PERHOUR,0),0)</f>
        <v>0</v>
      </c>
      <c r="BH267" s="72">
        <f>SUM(TableCosts[[#This Row],[N_Direct]:[N_SGA]])</f>
        <v>0</v>
      </c>
      <c r="BI267" s="24">
        <f>IF(G267=1,IF(OR(AND(NOT(ISERROR(VLOOKUP(TableCosts[[#This Row],[Calc_N_Typ]],Cis_WorkPositions,1,0))),C267&lt;&gt;"",D267&lt;&gt;"",E267&lt;&gt;""),AND(ISERROR(VLOOKUP(TableCosts[[#This Row],[Calc_N_Typ]],Cis_WorkPositions,1,0)),C267="",D267="",E267&lt;&gt;""),LEFT(TableCosts[[#This Row],[Calc_N_Typ]],18)="Vynaložené náklady"),VLOOKUP(C267&amp;TableCosts[[#This Row],[Calc_N_Typ]],TRAN_STRITEMS_LABEL,VLOOKUP(D267,Tab_Hours,3,0),0),NA()),0)</f>
        <v>0</v>
      </c>
      <c r="BJ267" s="24">
        <f t="shared" si="66"/>
        <v>0</v>
      </c>
      <c r="BK267" s="24" t="str">
        <f t="shared" si="67"/>
        <v/>
      </c>
      <c r="BL267" s="24" t="str">
        <f t="shared" si="68"/>
        <v/>
      </c>
      <c r="BM267" s="24" t="str">
        <f>IF(G267=1,IF(TableCosts[[#This Row],[TransferFrom]]=TableCosts[[#This Row],[TranferTo]],0,1),"")</f>
        <v/>
      </c>
      <c r="BN267" s="24" t="str">
        <f t="shared" si="69"/>
        <v/>
      </c>
      <c r="BO267" s="24">
        <f t="shared" si="70"/>
        <v>0</v>
      </c>
      <c r="BP267" s="24">
        <f t="shared" si="71"/>
        <v>0</v>
      </c>
    </row>
    <row r="268" spans="2:68" s="24" customFormat="1" ht="12.75" x14ac:dyDescent="0.2">
      <c r="B268" s="97"/>
      <c r="C268" s="92"/>
      <c r="D268" s="92"/>
      <c r="E268" s="92"/>
      <c r="F268" s="31" t="str">
        <f>IF(G268=1,IF(ISERROR(TableCosts[[#This Row],[N_Tariff]]),Err_Message1,IF(TableCosts[[#This Row],[N_Tariff]]=0,Err_Message2,VLOOKUP(C268&amp;TableCosts[[#This Row],[Calc_N_Typ]],TRAN_STRITEMS_LABEL,5,FALSE))),"")</f>
        <v/>
      </c>
      <c r="G268" s="31">
        <f t="shared" ref="G268:G331" si="72">IF(B268="",0,IF(LEFT(B268,3)="***",-1,1))</f>
        <v>0</v>
      </c>
      <c r="H268" s="31" t="str">
        <f>IF(G268=1,IFERROR(VLOOKUP(F268,Tab_ErrMessage[],2,0),VLOOKUP(C268&amp;TableCosts[[#This Row],[Calc_N_Typ]],TRAN_STRITEMS_LABEL,4,FALSE)),"")</f>
        <v/>
      </c>
      <c r="I268" s="94"/>
      <c r="J268" s="94"/>
      <c r="K268" s="94"/>
      <c r="L268" s="84"/>
      <c r="M268" s="84"/>
      <c r="N268" s="84"/>
      <c r="O268" s="84"/>
      <c r="P268" s="84"/>
      <c r="Q268" s="84"/>
      <c r="R268" s="84"/>
      <c r="S268" s="84"/>
      <c r="T268" s="84"/>
      <c r="U268" s="84"/>
      <c r="V268" s="84"/>
      <c r="W268" s="84"/>
      <c r="X268" s="84"/>
      <c r="Y268" s="84"/>
      <c r="Z268" s="84"/>
      <c r="AA268" s="84"/>
      <c r="AB268" s="84"/>
      <c r="AC268" s="84"/>
      <c r="AD268" s="84"/>
      <c r="AE268" s="84"/>
      <c r="AF268" s="84"/>
      <c r="AG268" s="84"/>
      <c r="AH268" s="84"/>
      <c r="AI268" s="84"/>
      <c r="AJ268" s="84"/>
      <c r="AK268" s="84"/>
      <c r="AL268" s="84"/>
      <c r="AM268" s="84"/>
      <c r="AN268" s="84"/>
      <c r="AO268" s="84"/>
      <c r="AP268" s="84"/>
      <c r="AQ268" s="84"/>
      <c r="AR268" s="84"/>
      <c r="AS268" s="84"/>
      <c r="AT268" s="84"/>
      <c r="AU268" s="84"/>
      <c r="AV268" s="84"/>
      <c r="AW268" s="84"/>
      <c r="AX268" s="87">
        <f t="array" ref="AX268">IF(G268=1,SUM((ROW(M0)=ROW(AW268))*(M0+M1_+M2_+M3_+M4_+M5_+M6_+M7_+M8_+M9_+M10_+M11_+M12_+M13_+M14_+M15_+M16_+M17_+M18_+M19_+M20_+M21_+M22_+M23_+M24_+M25_+M26_+M27_+M28_+M29_+M30_+M31_+M32_+M33_+M34_+M35_+M36_+M37_)),0)</f>
        <v>0</v>
      </c>
      <c r="AZ268" s="24" t="str">
        <f t="shared" ref="AZ268:AZ331" si="73">IF(G268=1,B268,"")</f>
        <v/>
      </c>
      <c r="BA268" s="24" t="str">
        <f t="shared" ref="BA268:BA331" si="74">IF(G268=1,C268,"")</f>
        <v/>
      </c>
      <c r="BB268" s="24" t="str">
        <f t="shared" ref="BB268:BB331" si="75">IF(G268=1,F268,"")</f>
        <v/>
      </c>
      <c r="BC268" s="24" t="str">
        <f>IF(OR(E268="",LEFT(TableCosts[[#This Row],[Calc_N_Typ]],18)="Vynaložené náklady"),"",VLOOKUP(E268,Tab_Parts,2,0))</f>
        <v/>
      </c>
      <c r="BD268" s="24" t="str">
        <f t="shared" ref="BD268:BD331" si="76">IF(G268=1,H268,"")</f>
        <v/>
      </c>
      <c r="BE268" s="24">
        <f t="shared" ref="BE268:BE331" si="77">IF(G268=1,AX268,0)</f>
        <v>0</v>
      </c>
      <c r="BF268" s="72">
        <f>TableCosts[[#This Row],[N_Amount]]*TableCosts[[#This Row],[N_Tariff]]*TableCosts[[#This Row],[N_ItemsCount]]</f>
        <v>0</v>
      </c>
      <c r="BG268" s="72">
        <f>IF(G268=1,IF(TableCosts[[#This Row],[N_Kateg]]="interné práce",TableCosts[[#This Row],[N_Amount]]*8*PAR_SGA_PERHOUR,0),0)</f>
        <v>0</v>
      </c>
      <c r="BH268" s="72">
        <f>SUM(TableCosts[[#This Row],[N_Direct]:[N_SGA]])</f>
        <v>0</v>
      </c>
      <c r="BI268" s="24">
        <f>IF(G268=1,IF(OR(AND(NOT(ISERROR(VLOOKUP(TableCosts[[#This Row],[Calc_N_Typ]],Cis_WorkPositions,1,0))),C268&lt;&gt;"",D268&lt;&gt;"",E268&lt;&gt;""),AND(ISERROR(VLOOKUP(TableCosts[[#This Row],[Calc_N_Typ]],Cis_WorkPositions,1,0)),C268="",D268="",E268&lt;&gt;""),LEFT(TableCosts[[#This Row],[Calc_N_Typ]],18)="Vynaložené náklady"),VLOOKUP(C268&amp;TableCosts[[#This Row],[Calc_N_Typ]],TRAN_STRITEMS_LABEL,VLOOKUP(D268,Tab_Hours,3,0),0),NA()),0)</f>
        <v>0</v>
      </c>
      <c r="BJ268" s="24">
        <f t="shared" ref="BJ268:BJ331" si="78">IF(G268=1,IF(H268="čld.",VLOOKUP(D268,Tab_Hours,4,0),1),0)</f>
        <v>0</v>
      </c>
      <c r="BK268" s="24" t="str">
        <f t="shared" ref="BK268:BK331" si="79">IF(G268=1,IFERROR(VLOOKUP(B268,IpsLicences,2,0),IF(C268="",Par_Center,C268)),"")</f>
        <v/>
      </c>
      <c r="BL268" s="24" t="str">
        <f t="shared" ref="BL268:BL331" si="80">IF(G268=1,Par_Center,"")</f>
        <v/>
      </c>
      <c r="BM268" s="24" t="str">
        <f>IF(G268=1,IF(TableCosts[[#This Row],[TransferFrom]]=TableCosts[[#This Row],[TranferTo]],0,1),"")</f>
        <v/>
      </c>
      <c r="BN268" s="24" t="str">
        <f t="shared" ref="BN268:BN331" si="81">IF(G268=1,IF(E268="ACQ","akvizícia","realizácia"),"")</f>
        <v/>
      </c>
      <c r="BO268" s="24">
        <f t="shared" ref="BO268:BO331" si="82">IF(RIGHT(B268,LEN(Par_LabelTravelTime))=Par_LabelTravelTime,LEFT(B268,LEN(B268)-LEN(Par_LabelTravelTime)),B268)</f>
        <v>0</v>
      </c>
      <c r="BP268" s="24">
        <f t="shared" ref="BP268:BP331" si="83">IF(RIGHT(B268,LEN(Par_LabelTravelTime))=Par_LabelTravelTime,1,0)</f>
        <v>0</v>
      </c>
    </row>
    <row r="269" spans="2:68" s="24" customFormat="1" ht="12.75" x14ac:dyDescent="0.2">
      <c r="B269" s="97"/>
      <c r="C269" s="92"/>
      <c r="D269" s="92"/>
      <c r="E269" s="92"/>
      <c r="F269" s="31" t="str">
        <f>IF(G269=1,IF(ISERROR(TableCosts[[#This Row],[N_Tariff]]),Err_Message1,IF(TableCosts[[#This Row],[N_Tariff]]=0,Err_Message2,VLOOKUP(C269&amp;TableCosts[[#This Row],[Calc_N_Typ]],TRAN_STRITEMS_LABEL,5,FALSE))),"")</f>
        <v/>
      </c>
      <c r="G269" s="31">
        <f t="shared" si="72"/>
        <v>0</v>
      </c>
      <c r="H269" s="31" t="str">
        <f>IF(G269=1,IFERROR(VLOOKUP(F269,Tab_ErrMessage[],2,0),VLOOKUP(C269&amp;TableCosts[[#This Row],[Calc_N_Typ]],TRAN_STRITEMS_LABEL,4,FALSE)),"")</f>
        <v/>
      </c>
      <c r="I269" s="94"/>
      <c r="J269" s="94"/>
      <c r="K269" s="94"/>
      <c r="L269" s="84"/>
      <c r="M269" s="84"/>
      <c r="N269" s="84"/>
      <c r="O269" s="84"/>
      <c r="P269" s="84"/>
      <c r="Q269" s="84"/>
      <c r="R269" s="84"/>
      <c r="S269" s="84"/>
      <c r="T269" s="84"/>
      <c r="U269" s="84"/>
      <c r="V269" s="84"/>
      <c r="W269" s="84"/>
      <c r="X269" s="84"/>
      <c r="Y269" s="84"/>
      <c r="Z269" s="84"/>
      <c r="AA269" s="84"/>
      <c r="AB269" s="84"/>
      <c r="AC269" s="84"/>
      <c r="AD269" s="84"/>
      <c r="AE269" s="84"/>
      <c r="AF269" s="84"/>
      <c r="AG269" s="84"/>
      <c r="AH269" s="84"/>
      <c r="AI269" s="84"/>
      <c r="AJ269" s="84"/>
      <c r="AK269" s="84"/>
      <c r="AL269" s="84"/>
      <c r="AM269" s="84"/>
      <c r="AN269" s="84"/>
      <c r="AO269" s="84"/>
      <c r="AP269" s="84"/>
      <c r="AQ269" s="84"/>
      <c r="AR269" s="84"/>
      <c r="AS269" s="84"/>
      <c r="AT269" s="84"/>
      <c r="AU269" s="84"/>
      <c r="AV269" s="84"/>
      <c r="AW269" s="84"/>
      <c r="AX269" s="87">
        <f t="array" ref="AX269">IF(G269=1,SUM((ROW(M0)=ROW(AW269))*(M0+M1_+M2_+M3_+M4_+M5_+M6_+M7_+M8_+M9_+M10_+M11_+M12_+M13_+M14_+M15_+M16_+M17_+M18_+M19_+M20_+M21_+M22_+M23_+M24_+M25_+M26_+M27_+M28_+M29_+M30_+M31_+M32_+M33_+M34_+M35_+M36_+M37_)),0)</f>
        <v>0</v>
      </c>
      <c r="AZ269" s="24" t="str">
        <f t="shared" si="73"/>
        <v/>
      </c>
      <c r="BA269" s="24" t="str">
        <f t="shared" si="74"/>
        <v/>
      </c>
      <c r="BB269" s="24" t="str">
        <f t="shared" si="75"/>
        <v/>
      </c>
      <c r="BC269" s="24" t="str">
        <f>IF(OR(E269="",LEFT(TableCosts[[#This Row],[Calc_N_Typ]],18)="Vynaložené náklady"),"",VLOOKUP(E269,Tab_Parts,2,0))</f>
        <v/>
      </c>
      <c r="BD269" s="24" t="str">
        <f t="shared" si="76"/>
        <v/>
      </c>
      <c r="BE269" s="24">
        <f t="shared" si="77"/>
        <v>0</v>
      </c>
      <c r="BF269" s="72">
        <f>TableCosts[[#This Row],[N_Amount]]*TableCosts[[#This Row],[N_Tariff]]*TableCosts[[#This Row],[N_ItemsCount]]</f>
        <v>0</v>
      </c>
      <c r="BG269" s="72">
        <f>IF(G269=1,IF(TableCosts[[#This Row],[N_Kateg]]="interné práce",TableCosts[[#This Row],[N_Amount]]*8*PAR_SGA_PERHOUR,0),0)</f>
        <v>0</v>
      </c>
      <c r="BH269" s="72">
        <f>SUM(TableCosts[[#This Row],[N_Direct]:[N_SGA]])</f>
        <v>0</v>
      </c>
      <c r="BI269" s="24">
        <f>IF(G269=1,IF(OR(AND(NOT(ISERROR(VLOOKUP(TableCosts[[#This Row],[Calc_N_Typ]],Cis_WorkPositions,1,0))),C269&lt;&gt;"",D269&lt;&gt;"",E269&lt;&gt;""),AND(ISERROR(VLOOKUP(TableCosts[[#This Row],[Calc_N_Typ]],Cis_WorkPositions,1,0)),C269="",D269="",E269&lt;&gt;""),LEFT(TableCosts[[#This Row],[Calc_N_Typ]],18)="Vynaložené náklady"),VLOOKUP(C269&amp;TableCosts[[#This Row],[Calc_N_Typ]],TRAN_STRITEMS_LABEL,VLOOKUP(D269,Tab_Hours,3,0),0),NA()),0)</f>
        <v>0</v>
      </c>
      <c r="BJ269" s="24">
        <f t="shared" si="78"/>
        <v>0</v>
      </c>
      <c r="BK269" s="24" t="str">
        <f t="shared" si="79"/>
        <v/>
      </c>
      <c r="BL269" s="24" t="str">
        <f t="shared" si="80"/>
        <v/>
      </c>
      <c r="BM269" s="24" t="str">
        <f>IF(G269=1,IF(TableCosts[[#This Row],[TransferFrom]]=TableCosts[[#This Row],[TranferTo]],0,1),"")</f>
        <v/>
      </c>
      <c r="BN269" s="24" t="str">
        <f t="shared" si="81"/>
        <v/>
      </c>
      <c r="BO269" s="24">
        <f t="shared" si="82"/>
        <v>0</v>
      </c>
      <c r="BP269" s="24">
        <f t="shared" si="83"/>
        <v>0</v>
      </c>
    </row>
    <row r="270" spans="2:68" s="24" customFormat="1" ht="12.75" x14ac:dyDescent="0.2">
      <c r="B270" s="97"/>
      <c r="C270" s="92"/>
      <c r="D270" s="92"/>
      <c r="E270" s="92"/>
      <c r="F270" s="31" t="str">
        <f>IF(G270=1,IF(ISERROR(TableCosts[[#This Row],[N_Tariff]]),Err_Message1,IF(TableCosts[[#This Row],[N_Tariff]]=0,Err_Message2,VLOOKUP(C270&amp;TableCosts[[#This Row],[Calc_N_Typ]],TRAN_STRITEMS_LABEL,5,FALSE))),"")</f>
        <v/>
      </c>
      <c r="G270" s="31">
        <f t="shared" si="72"/>
        <v>0</v>
      </c>
      <c r="H270" s="31" t="str">
        <f>IF(G270=1,IFERROR(VLOOKUP(F270,Tab_ErrMessage[],2,0),VLOOKUP(C270&amp;TableCosts[[#This Row],[Calc_N_Typ]],TRAN_STRITEMS_LABEL,4,FALSE)),"")</f>
        <v/>
      </c>
      <c r="I270" s="94"/>
      <c r="J270" s="94"/>
      <c r="K270" s="94"/>
      <c r="L270" s="84"/>
      <c r="M270" s="84"/>
      <c r="N270" s="84"/>
      <c r="O270" s="84"/>
      <c r="P270" s="84"/>
      <c r="Q270" s="84"/>
      <c r="R270" s="84"/>
      <c r="S270" s="84"/>
      <c r="T270" s="84"/>
      <c r="U270" s="84"/>
      <c r="V270" s="84"/>
      <c r="W270" s="84"/>
      <c r="X270" s="84"/>
      <c r="Y270" s="84"/>
      <c r="Z270" s="84"/>
      <c r="AA270" s="84"/>
      <c r="AB270" s="84"/>
      <c r="AC270" s="84"/>
      <c r="AD270" s="84"/>
      <c r="AE270" s="84"/>
      <c r="AF270" s="84"/>
      <c r="AG270" s="84"/>
      <c r="AH270" s="84"/>
      <c r="AI270" s="84"/>
      <c r="AJ270" s="84"/>
      <c r="AK270" s="84"/>
      <c r="AL270" s="84"/>
      <c r="AM270" s="84"/>
      <c r="AN270" s="84"/>
      <c r="AO270" s="84"/>
      <c r="AP270" s="84"/>
      <c r="AQ270" s="84"/>
      <c r="AR270" s="84"/>
      <c r="AS270" s="84"/>
      <c r="AT270" s="84"/>
      <c r="AU270" s="84"/>
      <c r="AV270" s="84"/>
      <c r="AW270" s="84"/>
      <c r="AX270" s="87">
        <f t="array" ref="AX270">IF(G270=1,SUM((ROW(M0)=ROW(AW270))*(M0+M1_+M2_+M3_+M4_+M5_+M6_+M7_+M8_+M9_+M10_+M11_+M12_+M13_+M14_+M15_+M16_+M17_+M18_+M19_+M20_+M21_+M22_+M23_+M24_+M25_+M26_+M27_+M28_+M29_+M30_+M31_+M32_+M33_+M34_+M35_+M36_+M37_)),0)</f>
        <v>0</v>
      </c>
      <c r="AZ270" s="24" t="str">
        <f t="shared" si="73"/>
        <v/>
      </c>
      <c r="BA270" s="24" t="str">
        <f t="shared" si="74"/>
        <v/>
      </c>
      <c r="BB270" s="24" t="str">
        <f t="shared" si="75"/>
        <v/>
      </c>
      <c r="BC270" s="24" t="str">
        <f>IF(OR(E270="",LEFT(TableCosts[[#This Row],[Calc_N_Typ]],18)="Vynaložené náklady"),"",VLOOKUP(E270,Tab_Parts,2,0))</f>
        <v/>
      </c>
      <c r="BD270" s="24" t="str">
        <f t="shared" si="76"/>
        <v/>
      </c>
      <c r="BE270" s="24">
        <f t="shared" si="77"/>
        <v>0</v>
      </c>
      <c r="BF270" s="72">
        <f>TableCosts[[#This Row],[N_Amount]]*TableCosts[[#This Row],[N_Tariff]]*TableCosts[[#This Row],[N_ItemsCount]]</f>
        <v>0</v>
      </c>
      <c r="BG270" s="72">
        <f>IF(G270=1,IF(TableCosts[[#This Row],[N_Kateg]]="interné práce",TableCosts[[#This Row],[N_Amount]]*8*PAR_SGA_PERHOUR,0),0)</f>
        <v>0</v>
      </c>
      <c r="BH270" s="72">
        <f>SUM(TableCosts[[#This Row],[N_Direct]:[N_SGA]])</f>
        <v>0</v>
      </c>
      <c r="BI270" s="24">
        <f>IF(G270=1,IF(OR(AND(NOT(ISERROR(VLOOKUP(TableCosts[[#This Row],[Calc_N_Typ]],Cis_WorkPositions,1,0))),C270&lt;&gt;"",D270&lt;&gt;"",E270&lt;&gt;""),AND(ISERROR(VLOOKUP(TableCosts[[#This Row],[Calc_N_Typ]],Cis_WorkPositions,1,0)),C270="",D270="",E270&lt;&gt;""),LEFT(TableCosts[[#This Row],[Calc_N_Typ]],18)="Vynaložené náklady"),VLOOKUP(C270&amp;TableCosts[[#This Row],[Calc_N_Typ]],TRAN_STRITEMS_LABEL,VLOOKUP(D270,Tab_Hours,3,0),0),NA()),0)</f>
        <v>0</v>
      </c>
      <c r="BJ270" s="24">
        <f t="shared" si="78"/>
        <v>0</v>
      </c>
      <c r="BK270" s="24" t="str">
        <f t="shared" si="79"/>
        <v/>
      </c>
      <c r="BL270" s="24" t="str">
        <f t="shared" si="80"/>
        <v/>
      </c>
      <c r="BM270" s="24" t="str">
        <f>IF(G270=1,IF(TableCosts[[#This Row],[TransferFrom]]=TableCosts[[#This Row],[TranferTo]],0,1),"")</f>
        <v/>
      </c>
      <c r="BN270" s="24" t="str">
        <f t="shared" si="81"/>
        <v/>
      </c>
      <c r="BO270" s="24">
        <f t="shared" si="82"/>
        <v>0</v>
      </c>
      <c r="BP270" s="24">
        <f t="shared" si="83"/>
        <v>0</v>
      </c>
    </row>
    <row r="271" spans="2:68" s="24" customFormat="1" ht="12.75" x14ac:dyDescent="0.2">
      <c r="B271" s="97"/>
      <c r="C271" s="92"/>
      <c r="D271" s="92"/>
      <c r="E271" s="92"/>
      <c r="F271" s="31" t="str">
        <f>IF(G271=1,IF(ISERROR(TableCosts[[#This Row],[N_Tariff]]),Err_Message1,IF(TableCosts[[#This Row],[N_Tariff]]=0,Err_Message2,VLOOKUP(C271&amp;TableCosts[[#This Row],[Calc_N_Typ]],TRAN_STRITEMS_LABEL,5,FALSE))),"")</f>
        <v/>
      </c>
      <c r="G271" s="31">
        <f t="shared" si="72"/>
        <v>0</v>
      </c>
      <c r="H271" s="31" t="str">
        <f>IF(G271=1,IFERROR(VLOOKUP(F271,Tab_ErrMessage[],2,0),VLOOKUP(C271&amp;TableCosts[[#This Row],[Calc_N_Typ]],TRAN_STRITEMS_LABEL,4,FALSE)),"")</f>
        <v/>
      </c>
      <c r="I271" s="94"/>
      <c r="J271" s="94"/>
      <c r="K271" s="94"/>
      <c r="L271" s="84"/>
      <c r="M271" s="84"/>
      <c r="N271" s="84"/>
      <c r="O271" s="84"/>
      <c r="P271" s="84"/>
      <c r="Q271" s="84"/>
      <c r="R271" s="84"/>
      <c r="S271" s="84"/>
      <c r="T271" s="84"/>
      <c r="U271" s="84"/>
      <c r="V271" s="84"/>
      <c r="W271" s="84"/>
      <c r="X271" s="84"/>
      <c r="Y271" s="84"/>
      <c r="Z271" s="84"/>
      <c r="AA271" s="84"/>
      <c r="AB271" s="84"/>
      <c r="AC271" s="84"/>
      <c r="AD271" s="84"/>
      <c r="AE271" s="84"/>
      <c r="AF271" s="84"/>
      <c r="AG271" s="84"/>
      <c r="AH271" s="84"/>
      <c r="AI271" s="84"/>
      <c r="AJ271" s="84"/>
      <c r="AK271" s="84"/>
      <c r="AL271" s="84"/>
      <c r="AM271" s="84"/>
      <c r="AN271" s="84"/>
      <c r="AO271" s="84"/>
      <c r="AP271" s="84"/>
      <c r="AQ271" s="84"/>
      <c r="AR271" s="84"/>
      <c r="AS271" s="84"/>
      <c r="AT271" s="84"/>
      <c r="AU271" s="84"/>
      <c r="AV271" s="84"/>
      <c r="AW271" s="84"/>
      <c r="AX271" s="87">
        <f t="array" ref="AX271">IF(G271=1,SUM((ROW(M0)=ROW(AW271))*(M0+M1_+M2_+M3_+M4_+M5_+M6_+M7_+M8_+M9_+M10_+M11_+M12_+M13_+M14_+M15_+M16_+M17_+M18_+M19_+M20_+M21_+M22_+M23_+M24_+M25_+M26_+M27_+M28_+M29_+M30_+M31_+M32_+M33_+M34_+M35_+M36_+M37_)),0)</f>
        <v>0</v>
      </c>
      <c r="AZ271" s="24" t="str">
        <f t="shared" si="73"/>
        <v/>
      </c>
      <c r="BA271" s="24" t="str">
        <f t="shared" si="74"/>
        <v/>
      </c>
      <c r="BB271" s="24" t="str">
        <f t="shared" si="75"/>
        <v/>
      </c>
      <c r="BC271" s="24" t="str">
        <f>IF(OR(E271="",LEFT(TableCosts[[#This Row],[Calc_N_Typ]],18)="Vynaložené náklady"),"",VLOOKUP(E271,Tab_Parts,2,0))</f>
        <v/>
      </c>
      <c r="BD271" s="24" t="str">
        <f t="shared" si="76"/>
        <v/>
      </c>
      <c r="BE271" s="24">
        <f t="shared" si="77"/>
        <v>0</v>
      </c>
      <c r="BF271" s="72">
        <f>TableCosts[[#This Row],[N_Amount]]*TableCosts[[#This Row],[N_Tariff]]*TableCosts[[#This Row],[N_ItemsCount]]</f>
        <v>0</v>
      </c>
      <c r="BG271" s="72">
        <f>IF(G271=1,IF(TableCosts[[#This Row],[N_Kateg]]="interné práce",TableCosts[[#This Row],[N_Amount]]*8*PAR_SGA_PERHOUR,0),0)</f>
        <v>0</v>
      </c>
      <c r="BH271" s="72">
        <f>SUM(TableCosts[[#This Row],[N_Direct]:[N_SGA]])</f>
        <v>0</v>
      </c>
      <c r="BI271" s="24">
        <f>IF(G271=1,IF(OR(AND(NOT(ISERROR(VLOOKUP(TableCosts[[#This Row],[Calc_N_Typ]],Cis_WorkPositions,1,0))),C271&lt;&gt;"",D271&lt;&gt;"",E271&lt;&gt;""),AND(ISERROR(VLOOKUP(TableCosts[[#This Row],[Calc_N_Typ]],Cis_WorkPositions,1,0)),C271="",D271="",E271&lt;&gt;""),LEFT(TableCosts[[#This Row],[Calc_N_Typ]],18)="Vynaložené náklady"),VLOOKUP(C271&amp;TableCosts[[#This Row],[Calc_N_Typ]],TRAN_STRITEMS_LABEL,VLOOKUP(D271,Tab_Hours,3,0),0),NA()),0)</f>
        <v>0</v>
      </c>
      <c r="BJ271" s="24">
        <f t="shared" si="78"/>
        <v>0</v>
      </c>
      <c r="BK271" s="24" t="str">
        <f t="shared" si="79"/>
        <v/>
      </c>
      <c r="BL271" s="24" t="str">
        <f t="shared" si="80"/>
        <v/>
      </c>
      <c r="BM271" s="24" t="str">
        <f>IF(G271=1,IF(TableCosts[[#This Row],[TransferFrom]]=TableCosts[[#This Row],[TranferTo]],0,1),"")</f>
        <v/>
      </c>
      <c r="BN271" s="24" t="str">
        <f t="shared" si="81"/>
        <v/>
      </c>
      <c r="BO271" s="24">
        <f t="shared" si="82"/>
        <v>0</v>
      </c>
      <c r="BP271" s="24">
        <f t="shared" si="83"/>
        <v>0</v>
      </c>
    </row>
    <row r="272" spans="2:68" s="24" customFormat="1" ht="12.75" x14ac:dyDescent="0.2">
      <c r="B272" s="97"/>
      <c r="C272" s="92"/>
      <c r="D272" s="92"/>
      <c r="E272" s="92"/>
      <c r="F272" s="31" t="str">
        <f>IF(G272=1,IF(ISERROR(TableCosts[[#This Row],[N_Tariff]]),Err_Message1,IF(TableCosts[[#This Row],[N_Tariff]]=0,Err_Message2,VLOOKUP(C272&amp;TableCosts[[#This Row],[Calc_N_Typ]],TRAN_STRITEMS_LABEL,5,FALSE))),"")</f>
        <v/>
      </c>
      <c r="G272" s="31">
        <f t="shared" si="72"/>
        <v>0</v>
      </c>
      <c r="H272" s="31" t="str">
        <f>IF(G272=1,IFERROR(VLOOKUP(F272,Tab_ErrMessage[],2,0),VLOOKUP(C272&amp;TableCosts[[#This Row],[Calc_N_Typ]],TRAN_STRITEMS_LABEL,4,FALSE)),"")</f>
        <v/>
      </c>
      <c r="I272" s="94"/>
      <c r="J272" s="94"/>
      <c r="K272" s="94"/>
      <c r="L272" s="84"/>
      <c r="M272" s="84"/>
      <c r="N272" s="84"/>
      <c r="O272" s="84"/>
      <c r="P272" s="84"/>
      <c r="Q272" s="84"/>
      <c r="R272" s="84"/>
      <c r="S272" s="84"/>
      <c r="T272" s="84"/>
      <c r="U272" s="84"/>
      <c r="V272" s="84"/>
      <c r="W272" s="84"/>
      <c r="X272" s="84"/>
      <c r="Y272" s="84"/>
      <c r="Z272" s="84"/>
      <c r="AA272" s="84"/>
      <c r="AB272" s="84"/>
      <c r="AC272" s="84"/>
      <c r="AD272" s="84"/>
      <c r="AE272" s="84"/>
      <c r="AF272" s="84"/>
      <c r="AG272" s="84"/>
      <c r="AH272" s="84"/>
      <c r="AI272" s="84"/>
      <c r="AJ272" s="84"/>
      <c r="AK272" s="84"/>
      <c r="AL272" s="84"/>
      <c r="AM272" s="84"/>
      <c r="AN272" s="84"/>
      <c r="AO272" s="84"/>
      <c r="AP272" s="84"/>
      <c r="AQ272" s="84"/>
      <c r="AR272" s="84"/>
      <c r="AS272" s="84"/>
      <c r="AT272" s="84"/>
      <c r="AU272" s="84"/>
      <c r="AV272" s="84"/>
      <c r="AW272" s="84"/>
      <c r="AX272" s="87">
        <f t="array" ref="AX272">IF(G272=1,SUM((ROW(M0)=ROW(AW272))*(M0+M1_+M2_+M3_+M4_+M5_+M6_+M7_+M8_+M9_+M10_+M11_+M12_+M13_+M14_+M15_+M16_+M17_+M18_+M19_+M20_+M21_+M22_+M23_+M24_+M25_+M26_+M27_+M28_+M29_+M30_+M31_+M32_+M33_+M34_+M35_+M36_+M37_)),0)</f>
        <v>0</v>
      </c>
      <c r="AZ272" s="24" t="str">
        <f t="shared" si="73"/>
        <v/>
      </c>
      <c r="BA272" s="24" t="str">
        <f t="shared" si="74"/>
        <v/>
      </c>
      <c r="BB272" s="24" t="str">
        <f t="shared" si="75"/>
        <v/>
      </c>
      <c r="BC272" s="24" t="str">
        <f>IF(OR(E272="",LEFT(TableCosts[[#This Row],[Calc_N_Typ]],18)="Vynaložené náklady"),"",VLOOKUP(E272,Tab_Parts,2,0))</f>
        <v/>
      </c>
      <c r="BD272" s="24" t="str">
        <f t="shared" si="76"/>
        <v/>
      </c>
      <c r="BE272" s="24">
        <f t="shared" si="77"/>
        <v>0</v>
      </c>
      <c r="BF272" s="72">
        <f>TableCosts[[#This Row],[N_Amount]]*TableCosts[[#This Row],[N_Tariff]]*TableCosts[[#This Row],[N_ItemsCount]]</f>
        <v>0</v>
      </c>
      <c r="BG272" s="72">
        <f>IF(G272=1,IF(TableCosts[[#This Row],[N_Kateg]]="interné práce",TableCosts[[#This Row],[N_Amount]]*8*PAR_SGA_PERHOUR,0),0)</f>
        <v>0</v>
      </c>
      <c r="BH272" s="72">
        <f>SUM(TableCosts[[#This Row],[N_Direct]:[N_SGA]])</f>
        <v>0</v>
      </c>
      <c r="BI272" s="24">
        <f>IF(G272=1,IF(OR(AND(NOT(ISERROR(VLOOKUP(TableCosts[[#This Row],[Calc_N_Typ]],Cis_WorkPositions,1,0))),C272&lt;&gt;"",D272&lt;&gt;"",E272&lt;&gt;""),AND(ISERROR(VLOOKUP(TableCosts[[#This Row],[Calc_N_Typ]],Cis_WorkPositions,1,0)),C272="",D272="",E272&lt;&gt;""),LEFT(TableCosts[[#This Row],[Calc_N_Typ]],18)="Vynaložené náklady"),VLOOKUP(C272&amp;TableCosts[[#This Row],[Calc_N_Typ]],TRAN_STRITEMS_LABEL,VLOOKUP(D272,Tab_Hours,3,0),0),NA()),0)</f>
        <v>0</v>
      </c>
      <c r="BJ272" s="24">
        <f t="shared" si="78"/>
        <v>0</v>
      </c>
      <c r="BK272" s="24" t="str">
        <f t="shared" si="79"/>
        <v/>
      </c>
      <c r="BL272" s="24" t="str">
        <f t="shared" si="80"/>
        <v/>
      </c>
      <c r="BM272" s="24" t="str">
        <f>IF(G272=1,IF(TableCosts[[#This Row],[TransferFrom]]=TableCosts[[#This Row],[TranferTo]],0,1),"")</f>
        <v/>
      </c>
      <c r="BN272" s="24" t="str">
        <f t="shared" si="81"/>
        <v/>
      </c>
      <c r="BO272" s="24">
        <f t="shared" si="82"/>
        <v>0</v>
      </c>
      <c r="BP272" s="24">
        <f t="shared" si="83"/>
        <v>0</v>
      </c>
    </row>
    <row r="273" spans="2:68" s="24" customFormat="1" ht="12.75" x14ac:dyDescent="0.2">
      <c r="B273" s="97"/>
      <c r="C273" s="92"/>
      <c r="D273" s="92"/>
      <c r="E273" s="92"/>
      <c r="F273" s="31" t="str">
        <f>IF(G273=1,IF(ISERROR(TableCosts[[#This Row],[N_Tariff]]),Err_Message1,IF(TableCosts[[#This Row],[N_Tariff]]=0,Err_Message2,VLOOKUP(C273&amp;TableCosts[[#This Row],[Calc_N_Typ]],TRAN_STRITEMS_LABEL,5,FALSE))),"")</f>
        <v/>
      </c>
      <c r="G273" s="31">
        <f t="shared" si="72"/>
        <v>0</v>
      </c>
      <c r="H273" s="31" t="str">
        <f>IF(G273=1,IFERROR(VLOOKUP(F273,Tab_ErrMessage[],2,0),VLOOKUP(C273&amp;TableCosts[[#This Row],[Calc_N_Typ]],TRAN_STRITEMS_LABEL,4,FALSE)),"")</f>
        <v/>
      </c>
      <c r="I273" s="94"/>
      <c r="J273" s="94"/>
      <c r="K273" s="94"/>
      <c r="L273" s="84"/>
      <c r="M273" s="84"/>
      <c r="N273" s="84"/>
      <c r="O273" s="84"/>
      <c r="P273" s="84"/>
      <c r="Q273" s="84"/>
      <c r="R273" s="84"/>
      <c r="S273" s="84"/>
      <c r="T273" s="84"/>
      <c r="U273" s="84"/>
      <c r="V273" s="84"/>
      <c r="W273" s="84"/>
      <c r="X273" s="84"/>
      <c r="Y273" s="84"/>
      <c r="Z273" s="84"/>
      <c r="AA273" s="84"/>
      <c r="AB273" s="84"/>
      <c r="AC273" s="84"/>
      <c r="AD273" s="84"/>
      <c r="AE273" s="84"/>
      <c r="AF273" s="84"/>
      <c r="AG273" s="84"/>
      <c r="AH273" s="84"/>
      <c r="AI273" s="84"/>
      <c r="AJ273" s="84"/>
      <c r="AK273" s="84"/>
      <c r="AL273" s="84"/>
      <c r="AM273" s="84"/>
      <c r="AN273" s="84"/>
      <c r="AO273" s="84"/>
      <c r="AP273" s="84"/>
      <c r="AQ273" s="84"/>
      <c r="AR273" s="84"/>
      <c r="AS273" s="84"/>
      <c r="AT273" s="84"/>
      <c r="AU273" s="84"/>
      <c r="AV273" s="84"/>
      <c r="AW273" s="84"/>
      <c r="AX273" s="87">
        <f t="array" ref="AX273">IF(G273=1,SUM((ROW(M0)=ROW(AW273))*(M0+M1_+M2_+M3_+M4_+M5_+M6_+M7_+M8_+M9_+M10_+M11_+M12_+M13_+M14_+M15_+M16_+M17_+M18_+M19_+M20_+M21_+M22_+M23_+M24_+M25_+M26_+M27_+M28_+M29_+M30_+M31_+M32_+M33_+M34_+M35_+M36_+M37_)),0)</f>
        <v>0</v>
      </c>
      <c r="AZ273" s="24" t="str">
        <f t="shared" si="73"/>
        <v/>
      </c>
      <c r="BA273" s="24" t="str">
        <f t="shared" si="74"/>
        <v/>
      </c>
      <c r="BB273" s="24" t="str">
        <f t="shared" si="75"/>
        <v/>
      </c>
      <c r="BC273" s="24" t="str">
        <f>IF(OR(E273="",LEFT(TableCosts[[#This Row],[Calc_N_Typ]],18)="Vynaložené náklady"),"",VLOOKUP(E273,Tab_Parts,2,0))</f>
        <v/>
      </c>
      <c r="BD273" s="24" t="str">
        <f t="shared" si="76"/>
        <v/>
      </c>
      <c r="BE273" s="24">
        <f t="shared" si="77"/>
        <v>0</v>
      </c>
      <c r="BF273" s="72">
        <f>TableCosts[[#This Row],[N_Amount]]*TableCosts[[#This Row],[N_Tariff]]*TableCosts[[#This Row],[N_ItemsCount]]</f>
        <v>0</v>
      </c>
      <c r="BG273" s="72">
        <f>IF(G273=1,IF(TableCosts[[#This Row],[N_Kateg]]="interné práce",TableCosts[[#This Row],[N_Amount]]*8*PAR_SGA_PERHOUR,0),0)</f>
        <v>0</v>
      </c>
      <c r="BH273" s="72">
        <f>SUM(TableCosts[[#This Row],[N_Direct]:[N_SGA]])</f>
        <v>0</v>
      </c>
      <c r="BI273" s="24">
        <f>IF(G273=1,IF(OR(AND(NOT(ISERROR(VLOOKUP(TableCosts[[#This Row],[Calc_N_Typ]],Cis_WorkPositions,1,0))),C273&lt;&gt;"",D273&lt;&gt;"",E273&lt;&gt;""),AND(ISERROR(VLOOKUP(TableCosts[[#This Row],[Calc_N_Typ]],Cis_WorkPositions,1,0)),C273="",D273="",E273&lt;&gt;""),LEFT(TableCosts[[#This Row],[Calc_N_Typ]],18)="Vynaložené náklady"),VLOOKUP(C273&amp;TableCosts[[#This Row],[Calc_N_Typ]],TRAN_STRITEMS_LABEL,VLOOKUP(D273,Tab_Hours,3,0),0),NA()),0)</f>
        <v>0</v>
      </c>
      <c r="BJ273" s="24">
        <f t="shared" si="78"/>
        <v>0</v>
      </c>
      <c r="BK273" s="24" t="str">
        <f t="shared" si="79"/>
        <v/>
      </c>
      <c r="BL273" s="24" t="str">
        <f t="shared" si="80"/>
        <v/>
      </c>
      <c r="BM273" s="24" t="str">
        <f>IF(G273=1,IF(TableCosts[[#This Row],[TransferFrom]]=TableCosts[[#This Row],[TranferTo]],0,1),"")</f>
        <v/>
      </c>
      <c r="BN273" s="24" t="str">
        <f t="shared" si="81"/>
        <v/>
      </c>
      <c r="BO273" s="24">
        <f t="shared" si="82"/>
        <v>0</v>
      </c>
      <c r="BP273" s="24">
        <f t="shared" si="83"/>
        <v>0</v>
      </c>
    </row>
    <row r="274" spans="2:68" s="24" customFormat="1" ht="12.75" x14ac:dyDescent="0.2">
      <c r="B274" s="97"/>
      <c r="C274" s="92"/>
      <c r="D274" s="92"/>
      <c r="E274" s="92"/>
      <c r="F274" s="31" t="str">
        <f>IF(G274=1,IF(ISERROR(TableCosts[[#This Row],[N_Tariff]]),Err_Message1,IF(TableCosts[[#This Row],[N_Tariff]]=0,Err_Message2,VLOOKUP(C274&amp;TableCosts[[#This Row],[Calc_N_Typ]],TRAN_STRITEMS_LABEL,5,FALSE))),"")</f>
        <v/>
      </c>
      <c r="G274" s="31">
        <f t="shared" si="72"/>
        <v>0</v>
      </c>
      <c r="H274" s="31" t="str">
        <f>IF(G274=1,IFERROR(VLOOKUP(F274,Tab_ErrMessage[],2,0),VLOOKUP(C274&amp;TableCosts[[#This Row],[Calc_N_Typ]],TRAN_STRITEMS_LABEL,4,FALSE)),"")</f>
        <v/>
      </c>
      <c r="I274" s="94"/>
      <c r="J274" s="94"/>
      <c r="K274" s="94"/>
      <c r="L274" s="84"/>
      <c r="M274" s="84"/>
      <c r="N274" s="84"/>
      <c r="O274" s="84"/>
      <c r="P274" s="84"/>
      <c r="Q274" s="84"/>
      <c r="R274" s="84"/>
      <c r="S274" s="84"/>
      <c r="T274" s="84"/>
      <c r="U274" s="84"/>
      <c r="V274" s="84"/>
      <c r="W274" s="84"/>
      <c r="X274" s="84"/>
      <c r="Y274" s="84"/>
      <c r="Z274" s="84"/>
      <c r="AA274" s="84"/>
      <c r="AB274" s="84"/>
      <c r="AC274" s="84"/>
      <c r="AD274" s="84"/>
      <c r="AE274" s="84"/>
      <c r="AF274" s="84"/>
      <c r="AG274" s="84"/>
      <c r="AH274" s="84"/>
      <c r="AI274" s="84"/>
      <c r="AJ274" s="84"/>
      <c r="AK274" s="84"/>
      <c r="AL274" s="84"/>
      <c r="AM274" s="84"/>
      <c r="AN274" s="84"/>
      <c r="AO274" s="84"/>
      <c r="AP274" s="84"/>
      <c r="AQ274" s="84"/>
      <c r="AR274" s="84"/>
      <c r="AS274" s="84"/>
      <c r="AT274" s="84"/>
      <c r="AU274" s="84"/>
      <c r="AV274" s="84"/>
      <c r="AW274" s="84"/>
      <c r="AX274" s="87">
        <f t="array" ref="AX274">IF(G274=1,SUM((ROW(M0)=ROW(AW274))*(M0+M1_+M2_+M3_+M4_+M5_+M6_+M7_+M8_+M9_+M10_+M11_+M12_+M13_+M14_+M15_+M16_+M17_+M18_+M19_+M20_+M21_+M22_+M23_+M24_+M25_+M26_+M27_+M28_+M29_+M30_+M31_+M32_+M33_+M34_+M35_+M36_+M37_)),0)</f>
        <v>0</v>
      </c>
      <c r="AZ274" s="24" t="str">
        <f t="shared" si="73"/>
        <v/>
      </c>
      <c r="BA274" s="24" t="str">
        <f t="shared" si="74"/>
        <v/>
      </c>
      <c r="BB274" s="24" t="str">
        <f t="shared" si="75"/>
        <v/>
      </c>
      <c r="BC274" s="24" t="str">
        <f>IF(OR(E274="",LEFT(TableCosts[[#This Row],[Calc_N_Typ]],18)="Vynaložené náklady"),"",VLOOKUP(E274,Tab_Parts,2,0))</f>
        <v/>
      </c>
      <c r="BD274" s="24" t="str">
        <f t="shared" si="76"/>
        <v/>
      </c>
      <c r="BE274" s="24">
        <f t="shared" si="77"/>
        <v>0</v>
      </c>
      <c r="BF274" s="72">
        <f>TableCosts[[#This Row],[N_Amount]]*TableCosts[[#This Row],[N_Tariff]]*TableCosts[[#This Row],[N_ItemsCount]]</f>
        <v>0</v>
      </c>
      <c r="BG274" s="72">
        <f>IF(G274=1,IF(TableCosts[[#This Row],[N_Kateg]]="interné práce",TableCosts[[#This Row],[N_Amount]]*8*PAR_SGA_PERHOUR,0),0)</f>
        <v>0</v>
      </c>
      <c r="BH274" s="72">
        <f>SUM(TableCosts[[#This Row],[N_Direct]:[N_SGA]])</f>
        <v>0</v>
      </c>
      <c r="BI274" s="24">
        <f>IF(G274=1,IF(OR(AND(NOT(ISERROR(VLOOKUP(TableCosts[[#This Row],[Calc_N_Typ]],Cis_WorkPositions,1,0))),C274&lt;&gt;"",D274&lt;&gt;"",E274&lt;&gt;""),AND(ISERROR(VLOOKUP(TableCosts[[#This Row],[Calc_N_Typ]],Cis_WorkPositions,1,0)),C274="",D274="",E274&lt;&gt;""),LEFT(TableCosts[[#This Row],[Calc_N_Typ]],18)="Vynaložené náklady"),VLOOKUP(C274&amp;TableCosts[[#This Row],[Calc_N_Typ]],TRAN_STRITEMS_LABEL,VLOOKUP(D274,Tab_Hours,3,0),0),NA()),0)</f>
        <v>0</v>
      </c>
      <c r="BJ274" s="24">
        <f t="shared" si="78"/>
        <v>0</v>
      </c>
      <c r="BK274" s="24" t="str">
        <f t="shared" si="79"/>
        <v/>
      </c>
      <c r="BL274" s="24" t="str">
        <f t="shared" si="80"/>
        <v/>
      </c>
      <c r="BM274" s="24" t="str">
        <f>IF(G274=1,IF(TableCosts[[#This Row],[TransferFrom]]=TableCosts[[#This Row],[TranferTo]],0,1),"")</f>
        <v/>
      </c>
      <c r="BN274" s="24" t="str">
        <f t="shared" si="81"/>
        <v/>
      </c>
      <c r="BO274" s="24">
        <f t="shared" si="82"/>
        <v>0</v>
      </c>
      <c r="BP274" s="24">
        <f t="shared" si="83"/>
        <v>0</v>
      </c>
    </row>
    <row r="275" spans="2:68" s="24" customFormat="1" ht="12.75" x14ac:dyDescent="0.2">
      <c r="B275" s="97"/>
      <c r="C275" s="92"/>
      <c r="D275" s="92"/>
      <c r="E275" s="92"/>
      <c r="F275" s="31" t="str">
        <f>IF(G275=1,IF(ISERROR(TableCosts[[#This Row],[N_Tariff]]),Err_Message1,IF(TableCosts[[#This Row],[N_Tariff]]=0,Err_Message2,VLOOKUP(C275&amp;TableCosts[[#This Row],[Calc_N_Typ]],TRAN_STRITEMS_LABEL,5,FALSE))),"")</f>
        <v/>
      </c>
      <c r="G275" s="31">
        <f t="shared" si="72"/>
        <v>0</v>
      </c>
      <c r="H275" s="31" t="str">
        <f>IF(G275=1,IFERROR(VLOOKUP(F275,Tab_ErrMessage[],2,0),VLOOKUP(C275&amp;TableCosts[[#This Row],[Calc_N_Typ]],TRAN_STRITEMS_LABEL,4,FALSE)),"")</f>
        <v/>
      </c>
      <c r="I275" s="94"/>
      <c r="J275" s="94"/>
      <c r="K275" s="94"/>
      <c r="L275" s="84"/>
      <c r="M275" s="84"/>
      <c r="N275" s="84"/>
      <c r="O275" s="84"/>
      <c r="P275" s="84"/>
      <c r="Q275" s="84"/>
      <c r="R275" s="84"/>
      <c r="S275" s="84"/>
      <c r="T275" s="84"/>
      <c r="U275" s="84"/>
      <c r="V275" s="84"/>
      <c r="W275" s="84"/>
      <c r="X275" s="84"/>
      <c r="Y275" s="84"/>
      <c r="Z275" s="84"/>
      <c r="AA275" s="84"/>
      <c r="AB275" s="84"/>
      <c r="AC275" s="84"/>
      <c r="AD275" s="84"/>
      <c r="AE275" s="84"/>
      <c r="AF275" s="84"/>
      <c r="AG275" s="84"/>
      <c r="AH275" s="84"/>
      <c r="AI275" s="84"/>
      <c r="AJ275" s="84"/>
      <c r="AK275" s="84"/>
      <c r="AL275" s="84"/>
      <c r="AM275" s="84"/>
      <c r="AN275" s="84"/>
      <c r="AO275" s="84"/>
      <c r="AP275" s="84"/>
      <c r="AQ275" s="84"/>
      <c r="AR275" s="84"/>
      <c r="AS275" s="84"/>
      <c r="AT275" s="84"/>
      <c r="AU275" s="84"/>
      <c r="AV275" s="84"/>
      <c r="AW275" s="84"/>
      <c r="AX275" s="87">
        <f t="array" ref="AX275">IF(G275=1,SUM((ROW(M0)=ROW(AW275))*(M0+M1_+M2_+M3_+M4_+M5_+M6_+M7_+M8_+M9_+M10_+M11_+M12_+M13_+M14_+M15_+M16_+M17_+M18_+M19_+M20_+M21_+M22_+M23_+M24_+M25_+M26_+M27_+M28_+M29_+M30_+M31_+M32_+M33_+M34_+M35_+M36_+M37_)),0)</f>
        <v>0</v>
      </c>
      <c r="AZ275" s="24" t="str">
        <f t="shared" si="73"/>
        <v/>
      </c>
      <c r="BA275" s="24" t="str">
        <f t="shared" si="74"/>
        <v/>
      </c>
      <c r="BB275" s="24" t="str">
        <f t="shared" si="75"/>
        <v/>
      </c>
      <c r="BC275" s="24" t="str">
        <f>IF(OR(E275="",LEFT(TableCosts[[#This Row],[Calc_N_Typ]],18)="Vynaložené náklady"),"",VLOOKUP(E275,Tab_Parts,2,0))</f>
        <v/>
      </c>
      <c r="BD275" s="24" t="str">
        <f t="shared" si="76"/>
        <v/>
      </c>
      <c r="BE275" s="24">
        <f t="shared" si="77"/>
        <v>0</v>
      </c>
      <c r="BF275" s="72">
        <f>TableCosts[[#This Row],[N_Amount]]*TableCosts[[#This Row],[N_Tariff]]*TableCosts[[#This Row],[N_ItemsCount]]</f>
        <v>0</v>
      </c>
      <c r="BG275" s="72">
        <f>IF(G275=1,IF(TableCosts[[#This Row],[N_Kateg]]="interné práce",TableCosts[[#This Row],[N_Amount]]*8*PAR_SGA_PERHOUR,0),0)</f>
        <v>0</v>
      </c>
      <c r="BH275" s="72">
        <f>SUM(TableCosts[[#This Row],[N_Direct]:[N_SGA]])</f>
        <v>0</v>
      </c>
      <c r="BI275" s="24">
        <f>IF(G275=1,IF(OR(AND(NOT(ISERROR(VLOOKUP(TableCosts[[#This Row],[Calc_N_Typ]],Cis_WorkPositions,1,0))),C275&lt;&gt;"",D275&lt;&gt;"",E275&lt;&gt;""),AND(ISERROR(VLOOKUP(TableCosts[[#This Row],[Calc_N_Typ]],Cis_WorkPositions,1,0)),C275="",D275="",E275&lt;&gt;""),LEFT(TableCosts[[#This Row],[Calc_N_Typ]],18)="Vynaložené náklady"),VLOOKUP(C275&amp;TableCosts[[#This Row],[Calc_N_Typ]],TRAN_STRITEMS_LABEL,VLOOKUP(D275,Tab_Hours,3,0),0),NA()),0)</f>
        <v>0</v>
      </c>
      <c r="BJ275" s="24">
        <f t="shared" si="78"/>
        <v>0</v>
      </c>
      <c r="BK275" s="24" t="str">
        <f t="shared" si="79"/>
        <v/>
      </c>
      <c r="BL275" s="24" t="str">
        <f t="shared" si="80"/>
        <v/>
      </c>
      <c r="BM275" s="24" t="str">
        <f>IF(G275=1,IF(TableCosts[[#This Row],[TransferFrom]]=TableCosts[[#This Row],[TranferTo]],0,1),"")</f>
        <v/>
      </c>
      <c r="BN275" s="24" t="str">
        <f t="shared" si="81"/>
        <v/>
      </c>
      <c r="BO275" s="24">
        <f t="shared" si="82"/>
        <v>0</v>
      </c>
      <c r="BP275" s="24">
        <f t="shared" si="83"/>
        <v>0</v>
      </c>
    </row>
    <row r="276" spans="2:68" s="24" customFormat="1" ht="12.75" x14ac:dyDescent="0.2">
      <c r="B276" s="97"/>
      <c r="C276" s="92"/>
      <c r="D276" s="92"/>
      <c r="E276" s="92"/>
      <c r="F276" s="31" t="str">
        <f>IF(G276=1,IF(ISERROR(TableCosts[[#This Row],[N_Tariff]]),Err_Message1,IF(TableCosts[[#This Row],[N_Tariff]]=0,Err_Message2,VLOOKUP(C276&amp;TableCosts[[#This Row],[Calc_N_Typ]],TRAN_STRITEMS_LABEL,5,FALSE))),"")</f>
        <v/>
      </c>
      <c r="G276" s="31">
        <f t="shared" si="72"/>
        <v>0</v>
      </c>
      <c r="H276" s="31" t="str">
        <f>IF(G276=1,IFERROR(VLOOKUP(F276,Tab_ErrMessage[],2,0),VLOOKUP(C276&amp;TableCosts[[#This Row],[Calc_N_Typ]],TRAN_STRITEMS_LABEL,4,FALSE)),"")</f>
        <v/>
      </c>
      <c r="I276" s="94"/>
      <c r="J276" s="94"/>
      <c r="K276" s="94"/>
      <c r="L276" s="84"/>
      <c r="M276" s="84"/>
      <c r="N276" s="84"/>
      <c r="O276" s="84"/>
      <c r="P276" s="84"/>
      <c r="Q276" s="84"/>
      <c r="R276" s="84"/>
      <c r="S276" s="84"/>
      <c r="T276" s="84"/>
      <c r="U276" s="84"/>
      <c r="V276" s="84"/>
      <c r="W276" s="84"/>
      <c r="X276" s="84"/>
      <c r="Y276" s="84"/>
      <c r="Z276" s="84"/>
      <c r="AA276" s="84"/>
      <c r="AB276" s="84"/>
      <c r="AC276" s="84"/>
      <c r="AD276" s="84"/>
      <c r="AE276" s="84"/>
      <c r="AF276" s="84"/>
      <c r="AG276" s="84"/>
      <c r="AH276" s="84"/>
      <c r="AI276" s="84"/>
      <c r="AJ276" s="84"/>
      <c r="AK276" s="84"/>
      <c r="AL276" s="84"/>
      <c r="AM276" s="84"/>
      <c r="AN276" s="84"/>
      <c r="AO276" s="84"/>
      <c r="AP276" s="84"/>
      <c r="AQ276" s="84"/>
      <c r="AR276" s="84"/>
      <c r="AS276" s="84"/>
      <c r="AT276" s="84"/>
      <c r="AU276" s="84"/>
      <c r="AV276" s="84"/>
      <c r="AW276" s="84"/>
      <c r="AX276" s="87">
        <f t="array" ref="AX276">IF(G276=1,SUM((ROW(M0)=ROW(AW276))*(M0+M1_+M2_+M3_+M4_+M5_+M6_+M7_+M8_+M9_+M10_+M11_+M12_+M13_+M14_+M15_+M16_+M17_+M18_+M19_+M20_+M21_+M22_+M23_+M24_+M25_+M26_+M27_+M28_+M29_+M30_+M31_+M32_+M33_+M34_+M35_+M36_+M37_)),0)</f>
        <v>0</v>
      </c>
      <c r="AZ276" s="24" t="str">
        <f t="shared" si="73"/>
        <v/>
      </c>
      <c r="BA276" s="24" t="str">
        <f t="shared" si="74"/>
        <v/>
      </c>
      <c r="BB276" s="24" t="str">
        <f t="shared" si="75"/>
        <v/>
      </c>
      <c r="BC276" s="24" t="str">
        <f>IF(OR(E276="",LEFT(TableCosts[[#This Row],[Calc_N_Typ]],18)="Vynaložené náklady"),"",VLOOKUP(E276,Tab_Parts,2,0))</f>
        <v/>
      </c>
      <c r="BD276" s="24" t="str">
        <f t="shared" si="76"/>
        <v/>
      </c>
      <c r="BE276" s="24">
        <f t="shared" si="77"/>
        <v>0</v>
      </c>
      <c r="BF276" s="72">
        <f>TableCosts[[#This Row],[N_Amount]]*TableCosts[[#This Row],[N_Tariff]]*TableCosts[[#This Row],[N_ItemsCount]]</f>
        <v>0</v>
      </c>
      <c r="BG276" s="72">
        <f>IF(G276=1,IF(TableCosts[[#This Row],[N_Kateg]]="interné práce",TableCosts[[#This Row],[N_Amount]]*8*PAR_SGA_PERHOUR,0),0)</f>
        <v>0</v>
      </c>
      <c r="BH276" s="72">
        <f>SUM(TableCosts[[#This Row],[N_Direct]:[N_SGA]])</f>
        <v>0</v>
      </c>
      <c r="BI276" s="24">
        <f>IF(G276=1,IF(OR(AND(NOT(ISERROR(VLOOKUP(TableCosts[[#This Row],[Calc_N_Typ]],Cis_WorkPositions,1,0))),C276&lt;&gt;"",D276&lt;&gt;"",E276&lt;&gt;""),AND(ISERROR(VLOOKUP(TableCosts[[#This Row],[Calc_N_Typ]],Cis_WorkPositions,1,0)),C276="",D276="",E276&lt;&gt;""),LEFT(TableCosts[[#This Row],[Calc_N_Typ]],18)="Vynaložené náklady"),VLOOKUP(C276&amp;TableCosts[[#This Row],[Calc_N_Typ]],TRAN_STRITEMS_LABEL,VLOOKUP(D276,Tab_Hours,3,0),0),NA()),0)</f>
        <v>0</v>
      </c>
      <c r="BJ276" s="24">
        <f t="shared" si="78"/>
        <v>0</v>
      </c>
      <c r="BK276" s="24" t="str">
        <f t="shared" si="79"/>
        <v/>
      </c>
      <c r="BL276" s="24" t="str">
        <f t="shared" si="80"/>
        <v/>
      </c>
      <c r="BM276" s="24" t="str">
        <f>IF(G276=1,IF(TableCosts[[#This Row],[TransferFrom]]=TableCosts[[#This Row],[TranferTo]],0,1),"")</f>
        <v/>
      </c>
      <c r="BN276" s="24" t="str">
        <f t="shared" si="81"/>
        <v/>
      </c>
      <c r="BO276" s="24">
        <f t="shared" si="82"/>
        <v>0</v>
      </c>
      <c r="BP276" s="24">
        <f t="shared" si="83"/>
        <v>0</v>
      </c>
    </row>
    <row r="277" spans="2:68" s="24" customFormat="1" ht="12.75" x14ac:dyDescent="0.2">
      <c r="B277" s="97"/>
      <c r="C277" s="92"/>
      <c r="D277" s="92"/>
      <c r="E277" s="92"/>
      <c r="F277" s="31" t="str">
        <f>IF(G277=1,IF(ISERROR(TableCosts[[#This Row],[N_Tariff]]),Err_Message1,IF(TableCosts[[#This Row],[N_Tariff]]=0,Err_Message2,VLOOKUP(C277&amp;TableCosts[[#This Row],[Calc_N_Typ]],TRAN_STRITEMS_LABEL,5,FALSE))),"")</f>
        <v/>
      </c>
      <c r="G277" s="31">
        <f t="shared" si="72"/>
        <v>0</v>
      </c>
      <c r="H277" s="31" t="str">
        <f>IF(G277=1,IFERROR(VLOOKUP(F277,Tab_ErrMessage[],2,0),VLOOKUP(C277&amp;TableCosts[[#This Row],[Calc_N_Typ]],TRAN_STRITEMS_LABEL,4,FALSE)),"")</f>
        <v/>
      </c>
      <c r="I277" s="94"/>
      <c r="J277" s="94"/>
      <c r="K277" s="94"/>
      <c r="L277" s="84"/>
      <c r="M277" s="84"/>
      <c r="N277" s="84"/>
      <c r="O277" s="84"/>
      <c r="P277" s="84"/>
      <c r="Q277" s="84"/>
      <c r="R277" s="84"/>
      <c r="S277" s="84"/>
      <c r="T277" s="84"/>
      <c r="U277" s="84"/>
      <c r="V277" s="84"/>
      <c r="W277" s="84"/>
      <c r="X277" s="84"/>
      <c r="Y277" s="84"/>
      <c r="Z277" s="84"/>
      <c r="AA277" s="84"/>
      <c r="AB277" s="84"/>
      <c r="AC277" s="84"/>
      <c r="AD277" s="84"/>
      <c r="AE277" s="84"/>
      <c r="AF277" s="84"/>
      <c r="AG277" s="84"/>
      <c r="AH277" s="84"/>
      <c r="AI277" s="84"/>
      <c r="AJ277" s="84"/>
      <c r="AK277" s="84"/>
      <c r="AL277" s="84"/>
      <c r="AM277" s="84"/>
      <c r="AN277" s="84"/>
      <c r="AO277" s="84"/>
      <c r="AP277" s="84"/>
      <c r="AQ277" s="84"/>
      <c r="AR277" s="84"/>
      <c r="AS277" s="84"/>
      <c r="AT277" s="84"/>
      <c r="AU277" s="84"/>
      <c r="AV277" s="84"/>
      <c r="AW277" s="84"/>
      <c r="AX277" s="87">
        <f t="array" ref="AX277">IF(G277=1,SUM((ROW(M0)=ROW(AW277))*(M0+M1_+M2_+M3_+M4_+M5_+M6_+M7_+M8_+M9_+M10_+M11_+M12_+M13_+M14_+M15_+M16_+M17_+M18_+M19_+M20_+M21_+M22_+M23_+M24_+M25_+M26_+M27_+M28_+M29_+M30_+M31_+M32_+M33_+M34_+M35_+M36_+M37_)),0)</f>
        <v>0</v>
      </c>
      <c r="AZ277" s="24" t="str">
        <f t="shared" si="73"/>
        <v/>
      </c>
      <c r="BA277" s="24" t="str">
        <f t="shared" si="74"/>
        <v/>
      </c>
      <c r="BB277" s="24" t="str">
        <f t="shared" si="75"/>
        <v/>
      </c>
      <c r="BC277" s="24" t="str">
        <f>IF(OR(E277="",LEFT(TableCosts[[#This Row],[Calc_N_Typ]],18)="Vynaložené náklady"),"",VLOOKUP(E277,Tab_Parts,2,0))</f>
        <v/>
      </c>
      <c r="BD277" s="24" t="str">
        <f t="shared" si="76"/>
        <v/>
      </c>
      <c r="BE277" s="24">
        <f t="shared" si="77"/>
        <v>0</v>
      </c>
      <c r="BF277" s="72">
        <f>TableCosts[[#This Row],[N_Amount]]*TableCosts[[#This Row],[N_Tariff]]*TableCosts[[#This Row],[N_ItemsCount]]</f>
        <v>0</v>
      </c>
      <c r="BG277" s="72">
        <f>IF(G277=1,IF(TableCosts[[#This Row],[N_Kateg]]="interné práce",TableCosts[[#This Row],[N_Amount]]*8*PAR_SGA_PERHOUR,0),0)</f>
        <v>0</v>
      </c>
      <c r="BH277" s="72">
        <f>SUM(TableCosts[[#This Row],[N_Direct]:[N_SGA]])</f>
        <v>0</v>
      </c>
      <c r="BI277" s="24">
        <f>IF(G277=1,IF(OR(AND(NOT(ISERROR(VLOOKUP(TableCosts[[#This Row],[Calc_N_Typ]],Cis_WorkPositions,1,0))),C277&lt;&gt;"",D277&lt;&gt;"",E277&lt;&gt;""),AND(ISERROR(VLOOKUP(TableCosts[[#This Row],[Calc_N_Typ]],Cis_WorkPositions,1,0)),C277="",D277="",E277&lt;&gt;""),LEFT(TableCosts[[#This Row],[Calc_N_Typ]],18)="Vynaložené náklady"),VLOOKUP(C277&amp;TableCosts[[#This Row],[Calc_N_Typ]],TRAN_STRITEMS_LABEL,VLOOKUP(D277,Tab_Hours,3,0),0),NA()),0)</f>
        <v>0</v>
      </c>
      <c r="BJ277" s="24">
        <f t="shared" si="78"/>
        <v>0</v>
      </c>
      <c r="BK277" s="24" t="str">
        <f t="shared" si="79"/>
        <v/>
      </c>
      <c r="BL277" s="24" t="str">
        <f t="shared" si="80"/>
        <v/>
      </c>
      <c r="BM277" s="24" t="str">
        <f>IF(G277=1,IF(TableCosts[[#This Row],[TransferFrom]]=TableCosts[[#This Row],[TranferTo]],0,1),"")</f>
        <v/>
      </c>
      <c r="BN277" s="24" t="str">
        <f t="shared" si="81"/>
        <v/>
      </c>
      <c r="BO277" s="24">
        <f t="shared" si="82"/>
        <v>0</v>
      </c>
      <c r="BP277" s="24">
        <f t="shared" si="83"/>
        <v>0</v>
      </c>
    </row>
    <row r="278" spans="2:68" s="24" customFormat="1" ht="12.75" x14ac:dyDescent="0.2">
      <c r="B278" s="97"/>
      <c r="C278" s="92"/>
      <c r="D278" s="92"/>
      <c r="E278" s="92"/>
      <c r="F278" s="31" t="str">
        <f>IF(G278=1,IF(ISERROR(TableCosts[[#This Row],[N_Tariff]]),Err_Message1,IF(TableCosts[[#This Row],[N_Tariff]]=0,Err_Message2,VLOOKUP(C278&amp;TableCosts[[#This Row],[Calc_N_Typ]],TRAN_STRITEMS_LABEL,5,FALSE))),"")</f>
        <v/>
      </c>
      <c r="G278" s="31">
        <f t="shared" si="72"/>
        <v>0</v>
      </c>
      <c r="H278" s="31" t="str">
        <f>IF(G278=1,IFERROR(VLOOKUP(F278,Tab_ErrMessage[],2,0),VLOOKUP(C278&amp;TableCosts[[#This Row],[Calc_N_Typ]],TRAN_STRITEMS_LABEL,4,FALSE)),"")</f>
        <v/>
      </c>
      <c r="I278" s="94"/>
      <c r="J278" s="94"/>
      <c r="K278" s="94"/>
      <c r="L278" s="84"/>
      <c r="M278" s="84"/>
      <c r="N278" s="84"/>
      <c r="O278" s="84"/>
      <c r="P278" s="84"/>
      <c r="Q278" s="84"/>
      <c r="R278" s="84"/>
      <c r="S278" s="84"/>
      <c r="T278" s="84"/>
      <c r="U278" s="84"/>
      <c r="V278" s="84"/>
      <c r="W278" s="84"/>
      <c r="X278" s="84"/>
      <c r="Y278" s="84"/>
      <c r="Z278" s="84"/>
      <c r="AA278" s="84"/>
      <c r="AB278" s="84"/>
      <c r="AC278" s="84"/>
      <c r="AD278" s="84"/>
      <c r="AE278" s="84"/>
      <c r="AF278" s="84"/>
      <c r="AG278" s="84"/>
      <c r="AH278" s="84"/>
      <c r="AI278" s="84"/>
      <c r="AJ278" s="84"/>
      <c r="AK278" s="84"/>
      <c r="AL278" s="84"/>
      <c r="AM278" s="84"/>
      <c r="AN278" s="84"/>
      <c r="AO278" s="84"/>
      <c r="AP278" s="84"/>
      <c r="AQ278" s="84"/>
      <c r="AR278" s="84"/>
      <c r="AS278" s="84"/>
      <c r="AT278" s="84"/>
      <c r="AU278" s="84"/>
      <c r="AV278" s="84"/>
      <c r="AW278" s="84"/>
      <c r="AX278" s="87">
        <f t="array" ref="AX278">IF(G278=1,SUM((ROW(M0)=ROW(AW278))*(M0+M1_+M2_+M3_+M4_+M5_+M6_+M7_+M8_+M9_+M10_+M11_+M12_+M13_+M14_+M15_+M16_+M17_+M18_+M19_+M20_+M21_+M22_+M23_+M24_+M25_+M26_+M27_+M28_+M29_+M30_+M31_+M32_+M33_+M34_+M35_+M36_+M37_)),0)</f>
        <v>0</v>
      </c>
      <c r="AZ278" s="24" t="str">
        <f t="shared" si="73"/>
        <v/>
      </c>
      <c r="BA278" s="24" t="str">
        <f t="shared" si="74"/>
        <v/>
      </c>
      <c r="BB278" s="24" t="str">
        <f t="shared" si="75"/>
        <v/>
      </c>
      <c r="BC278" s="24" t="str">
        <f>IF(OR(E278="",LEFT(TableCosts[[#This Row],[Calc_N_Typ]],18)="Vynaložené náklady"),"",VLOOKUP(E278,Tab_Parts,2,0))</f>
        <v/>
      </c>
      <c r="BD278" s="24" t="str">
        <f t="shared" si="76"/>
        <v/>
      </c>
      <c r="BE278" s="24">
        <f t="shared" si="77"/>
        <v>0</v>
      </c>
      <c r="BF278" s="72">
        <f>TableCosts[[#This Row],[N_Amount]]*TableCosts[[#This Row],[N_Tariff]]*TableCosts[[#This Row],[N_ItemsCount]]</f>
        <v>0</v>
      </c>
      <c r="BG278" s="72">
        <f>IF(G278=1,IF(TableCosts[[#This Row],[N_Kateg]]="interné práce",TableCosts[[#This Row],[N_Amount]]*8*PAR_SGA_PERHOUR,0),0)</f>
        <v>0</v>
      </c>
      <c r="BH278" s="72">
        <f>SUM(TableCosts[[#This Row],[N_Direct]:[N_SGA]])</f>
        <v>0</v>
      </c>
      <c r="BI278" s="24">
        <f>IF(G278=1,IF(OR(AND(NOT(ISERROR(VLOOKUP(TableCosts[[#This Row],[Calc_N_Typ]],Cis_WorkPositions,1,0))),C278&lt;&gt;"",D278&lt;&gt;"",E278&lt;&gt;""),AND(ISERROR(VLOOKUP(TableCosts[[#This Row],[Calc_N_Typ]],Cis_WorkPositions,1,0)),C278="",D278="",E278&lt;&gt;""),LEFT(TableCosts[[#This Row],[Calc_N_Typ]],18)="Vynaložené náklady"),VLOOKUP(C278&amp;TableCosts[[#This Row],[Calc_N_Typ]],TRAN_STRITEMS_LABEL,VLOOKUP(D278,Tab_Hours,3,0),0),NA()),0)</f>
        <v>0</v>
      </c>
      <c r="BJ278" s="24">
        <f t="shared" si="78"/>
        <v>0</v>
      </c>
      <c r="BK278" s="24" t="str">
        <f t="shared" si="79"/>
        <v/>
      </c>
      <c r="BL278" s="24" t="str">
        <f t="shared" si="80"/>
        <v/>
      </c>
      <c r="BM278" s="24" t="str">
        <f>IF(G278=1,IF(TableCosts[[#This Row],[TransferFrom]]=TableCosts[[#This Row],[TranferTo]],0,1),"")</f>
        <v/>
      </c>
      <c r="BN278" s="24" t="str">
        <f t="shared" si="81"/>
        <v/>
      </c>
      <c r="BO278" s="24">
        <f t="shared" si="82"/>
        <v>0</v>
      </c>
      <c r="BP278" s="24">
        <f t="shared" si="83"/>
        <v>0</v>
      </c>
    </row>
    <row r="279" spans="2:68" s="24" customFormat="1" ht="12.75" x14ac:dyDescent="0.2">
      <c r="B279" s="97"/>
      <c r="C279" s="92"/>
      <c r="D279" s="92"/>
      <c r="E279" s="92"/>
      <c r="F279" s="31" t="str">
        <f>IF(G279=1,IF(ISERROR(TableCosts[[#This Row],[N_Tariff]]),Err_Message1,IF(TableCosts[[#This Row],[N_Tariff]]=0,Err_Message2,VLOOKUP(C279&amp;TableCosts[[#This Row],[Calc_N_Typ]],TRAN_STRITEMS_LABEL,5,FALSE))),"")</f>
        <v/>
      </c>
      <c r="G279" s="31">
        <f t="shared" si="72"/>
        <v>0</v>
      </c>
      <c r="H279" s="31" t="str">
        <f>IF(G279=1,IFERROR(VLOOKUP(F279,Tab_ErrMessage[],2,0),VLOOKUP(C279&amp;TableCosts[[#This Row],[Calc_N_Typ]],TRAN_STRITEMS_LABEL,4,FALSE)),"")</f>
        <v/>
      </c>
      <c r="I279" s="94"/>
      <c r="J279" s="94"/>
      <c r="K279" s="94"/>
      <c r="L279" s="84"/>
      <c r="M279" s="84"/>
      <c r="N279" s="84"/>
      <c r="O279" s="84"/>
      <c r="P279" s="84"/>
      <c r="Q279" s="84"/>
      <c r="R279" s="84"/>
      <c r="S279" s="84"/>
      <c r="T279" s="84"/>
      <c r="U279" s="84"/>
      <c r="V279" s="84"/>
      <c r="W279" s="84"/>
      <c r="X279" s="84"/>
      <c r="Y279" s="84"/>
      <c r="Z279" s="84"/>
      <c r="AA279" s="84"/>
      <c r="AB279" s="84"/>
      <c r="AC279" s="84"/>
      <c r="AD279" s="84"/>
      <c r="AE279" s="84"/>
      <c r="AF279" s="84"/>
      <c r="AG279" s="84"/>
      <c r="AH279" s="84"/>
      <c r="AI279" s="84"/>
      <c r="AJ279" s="84"/>
      <c r="AK279" s="84"/>
      <c r="AL279" s="84"/>
      <c r="AM279" s="84"/>
      <c r="AN279" s="84"/>
      <c r="AO279" s="84"/>
      <c r="AP279" s="84"/>
      <c r="AQ279" s="84"/>
      <c r="AR279" s="84"/>
      <c r="AS279" s="84"/>
      <c r="AT279" s="84"/>
      <c r="AU279" s="84"/>
      <c r="AV279" s="84"/>
      <c r="AW279" s="84"/>
      <c r="AX279" s="87">
        <f t="array" ref="AX279">IF(G279=1,SUM((ROW(M0)=ROW(AW279))*(M0+M1_+M2_+M3_+M4_+M5_+M6_+M7_+M8_+M9_+M10_+M11_+M12_+M13_+M14_+M15_+M16_+M17_+M18_+M19_+M20_+M21_+M22_+M23_+M24_+M25_+M26_+M27_+M28_+M29_+M30_+M31_+M32_+M33_+M34_+M35_+M36_+M37_)),0)</f>
        <v>0</v>
      </c>
      <c r="AZ279" s="24" t="str">
        <f t="shared" si="73"/>
        <v/>
      </c>
      <c r="BA279" s="24" t="str">
        <f t="shared" si="74"/>
        <v/>
      </c>
      <c r="BB279" s="24" t="str">
        <f t="shared" si="75"/>
        <v/>
      </c>
      <c r="BC279" s="24" t="str">
        <f>IF(OR(E279="",LEFT(TableCosts[[#This Row],[Calc_N_Typ]],18)="Vynaložené náklady"),"",VLOOKUP(E279,Tab_Parts,2,0))</f>
        <v/>
      </c>
      <c r="BD279" s="24" t="str">
        <f t="shared" si="76"/>
        <v/>
      </c>
      <c r="BE279" s="24">
        <f t="shared" si="77"/>
        <v>0</v>
      </c>
      <c r="BF279" s="72">
        <f>TableCosts[[#This Row],[N_Amount]]*TableCosts[[#This Row],[N_Tariff]]*TableCosts[[#This Row],[N_ItemsCount]]</f>
        <v>0</v>
      </c>
      <c r="BG279" s="72">
        <f>IF(G279=1,IF(TableCosts[[#This Row],[N_Kateg]]="interné práce",TableCosts[[#This Row],[N_Amount]]*8*PAR_SGA_PERHOUR,0),0)</f>
        <v>0</v>
      </c>
      <c r="BH279" s="72">
        <f>SUM(TableCosts[[#This Row],[N_Direct]:[N_SGA]])</f>
        <v>0</v>
      </c>
      <c r="BI279" s="24">
        <f>IF(G279=1,IF(OR(AND(NOT(ISERROR(VLOOKUP(TableCosts[[#This Row],[Calc_N_Typ]],Cis_WorkPositions,1,0))),C279&lt;&gt;"",D279&lt;&gt;"",E279&lt;&gt;""),AND(ISERROR(VLOOKUP(TableCosts[[#This Row],[Calc_N_Typ]],Cis_WorkPositions,1,0)),C279="",D279="",E279&lt;&gt;""),LEFT(TableCosts[[#This Row],[Calc_N_Typ]],18)="Vynaložené náklady"),VLOOKUP(C279&amp;TableCosts[[#This Row],[Calc_N_Typ]],TRAN_STRITEMS_LABEL,VLOOKUP(D279,Tab_Hours,3,0),0),NA()),0)</f>
        <v>0</v>
      </c>
      <c r="BJ279" s="24">
        <f t="shared" si="78"/>
        <v>0</v>
      </c>
      <c r="BK279" s="24" t="str">
        <f t="shared" si="79"/>
        <v/>
      </c>
      <c r="BL279" s="24" t="str">
        <f t="shared" si="80"/>
        <v/>
      </c>
      <c r="BM279" s="24" t="str">
        <f>IF(G279=1,IF(TableCosts[[#This Row],[TransferFrom]]=TableCosts[[#This Row],[TranferTo]],0,1),"")</f>
        <v/>
      </c>
      <c r="BN279" s="24" t="str">
        <f t="shared" si="81"/>
        <v/>
      </c>
      <c r="BO279" s="24">
        <f t="shared" si="82"/>
        <v>0</v>
      </c>
      <c r="BP279" s="24">
        <f t="shared" si="83"/>
        <v>0</v>
      </c>
    </row>
    <row r="280" spans="2:68" s="24" customFormat="1" ht="12.75" x14ac:dyDescent="0.2">
      <c r="B280" s="97"/>
      <c r="C280" s="92"/>
      <c r="D280" s="92"/>
      <c r="E280" s="92"/>
      <c r="F280" s="31" t="str">
        <f>IF(G280=1,IF(ISERROR(TableCosts[[#This Row],[N_Tariff]]),Err_Message1,IF(TableCosts[[#This Row],[N_Tariff]]=0,Err_Message2,VLOOKUP(C280&amp;TableCosts[[#This Row],[Calc_N_Typ]],TRAN_STRITEMS_LABEL,5,FALSE))),"")</f>
        <v/>
      </c>
      <c r="G280" s="31">
        <f t="shared" si="72"/>
        <v>0</v>
      </c>
      <c r="H280" s="31" t="str">
        <f>IF(G280=1,IFERROR(VLOOKUP(F280,Tab_ErrMessage[],2,0),VLOOKUP(C280&amp;TableCosts[[#This Row],[Calc_N_Typ]],TRAN_STRITEMS_LABEL,4,FALSE)),"")</f>
        <v/>
      </c>
      <c r="I280" s="94"/>
      <c r="J280" s="94"/>
      <c r="K280" s="94"/>
      <c r="L280" s="84"/>
      <c r="M280" s="84"/>
      <c r="N280" s="84"/>
      <c r="O280" s="84"/>
      <c r="P280" s="84"/>
      <c r="Q280" s="84"/>
      <c r="R280" s="84"/>
      <c r="S280" s="84"/>
      <c r="T280" s="84"/>
      <c r="U280" s="84"/>
      <c r="V280" s="84"/>
      <c r="W280" s="84"/>
      <c r="X280" s="84"/>
      <c r="Y280" s="84"/>
      <c r="Z280" s="84"/>
      <c r="AA280" s="84"/>
      <c r="AB280" s="84"/>
      <c r="AC280" s="84"/>
      <c r="AD280" s="84"/>
      <c r="AE280" s="84"/>
      <c r="AF280" s="84"/>
      <c r="AG280" s="84"/>
      <c r="AH280" s="84"/>
      <c r="AI280" s="84"/>
      <c r="AJ280" s="84"/>
      <c r="AK280" s="84"/>
      <c r="AL280" s="84"/>
      <c r="AM280" s="84"/>
      <c r="AN280" s="84"/>
      <c r="AO280" s="84"/>
      <c r="AP280" s="84"/>
      <c r="AQ280" s="84"/>
      <c r="AR280" s="84"/>
      <c r="AS280" s="84"/>
      <c r="AT280" s="84"/>
      <c r="AU280" s="84"/>
      <c r="AV280" s="84"/>
      <c r="AW280" s="84"/>
      <c r="AX280" s="87">
        <f t="array" ref="AX280">IF(G280=1,SUM((ROW(M0)=ROW(AW280))*(M0+M1_+M2_+M3_+M4_+M5_+M6_+M7_+M8_+M9_+M10_+M11_+M12_+M13_+M14_+M15_+M16_+M17_+M18_+M19_+M20_+M21_+M22_+M23_+M24_+M25_+M26_+M27_+M28_+M29_+M30_+M31_+M32_+M33_+M34_+M35_+M36_+M37_)),0)</f>
        <v>0</v>
      </c>
      <c r="AZ280" s="24" t="str">
        <f t="shared" si="73"/>
        <v/>
      </c>
      <c r="BA280" s="24" t="str">
        <f t="shared" si="74"/>
        <v/>
      </c>
      <c r="BB280" s="24" t="str">
        <f t="shared" si="75"/>
        <v/>
      </c>
      <c r="BC280" s="24" t="str">
        <f>IF(OR(E280="",LEFT(TableCosts[[#This Row],[Calc_N_Typ]],18)="Vynaložené náklady"),"",VLOOKUP(E280,Tab_Parts,2,0))</f>
        <v/>
      </c>
      <c r="BD280" s="24" t="str">
        <f t="shared" si="76"/>
        <v/>
      </c>
      <c r="BE280" s="24">
        <f t="shared" si="77"/>
        <v>0</v>
      </c>
      <c r="BF280" s="72">
        <f>TableCosts[[#This Row],[N_Amount]]*TableCosts[[#This Row],[N_Tariff]]*TableCosts[[#This Row],[N_ItemsCount]]</f>
        <v>0</v>
      </c>
      <c r="BG280" s="72">
        <f>IF(G280=1,IF(TableCosts[[#This Row],[N_Kateg]]="interné práce",TableCosts[[#This Row],[N_Amount]]*8*PAR_SGA_PERHOUR,0),0)</f>
        <v>0</v>
      </c>
      <c r="BH280" s="72">
        <f>SUM(TableCosts[[#This Row],[N_Direct]:[N_SGA]])</f>
        <v>0</v>
      </c>
      <c r="BI280" s="24">
        <f>IF(G280=1,IF(OR(AND(NOT(ISERROR(VLOOKUP(TableCosts[[#This Row],[Calc_N_Typ]],Cis_WorkPositions,1,0))),C280&lt;&gt;"",D280&lt;&gt;"",E280&lt;&gt;""),AND(ISERROR(VLOOKUP(TableCosts[[#This Row],[Calc_N_Typ]],Cis_WorkPositions,1,0)),C280="",D280="",E280&lt;&gt;""),LEFT(TableCosts[[#This Row],[Calc_N_Typ]],18)="Vynaložené náklady"),VLOOKUP(C280&amp;TableCosts[[#This Row],[Calc_N_Typ]],TRAN_STRITEMS_LABEL,VLOOKUP(D280,Tab_Hours,3,0),0),NA()),0)</f>
        <v>0</v>
      </c>
      <c r="BJ280" s="24">
        <f t="shared" si="78"/>
        <v>0</v>
      </c>
      <c r="BK280" s="24" t="str">
        <f t="shared" si="79"/>
        <v/>
      </c>
      <c r="BL280" s="24" t="str">
        <f t="shared" si="80"/>
        <v/>
      </c>
      <c r="BM280" s="24" t="str">
        <f>IF(G280=1,IF(TableCosts[[#This Row],[TransferFrom]]=TableCosts[[#This Row],[TranferTo]],0,1),"")</f>
        <v/>
      </c>
      <c r="BN280" s="24" t="str">
        <f t="shared" si="81"/>
        <v/>
      </c>
      <c r="BO280" s="24">
        <f t="shared" si="82"/>
        <v>0</v>
      </c>
      <c r="BP280" s="24">
        <f t="shared" si="83"/>
        <v>0</v>
      </c>
    </row>
    <row r="281" spans="2:68" s="24" customFormat="1" ht="12.75" x14ac:dyDescent="0.2">
      <c r="B281" s="97"/>
      <c r="C281" s="92"/>
      <c r="D281" s="92"/>
      <c r="E281" s="92"/>
      <c r="F281" s="31" t="str">
        <f>IF(G281=1,IF(ISERROR(TableCosts[[#This Row],[N_Tariff]]),Err_Message1,IF(TableCosts[[#This Row],[N_Tariff]]=0,Err_Message2,VLOOKUP(C281&amp;TableCosts[[#This Row],[Calc_N_Typ]],TRAN_STRITEMS_LABEL,5,FALSE))),"")</f>
        <v/>
      </c>
      <c r="G281" s="31">
        <f t="shared" si="72"/>
        <v>0</v>
      </c>
      <c r="H281" s="31" t="str">
        <f>IF(G281=1,IFERROR(VLOOKUP(F281,Tab_ErrMessage[],2,0),VLOOKUP(C281&amp;TableCosts[[#This Row],[Calc_N_Typ]],TRAN_STRITEMS_LABEL,4,FALSE)),"")</f>
        <v/>
      </c>
      <c r="I281" s="94"/>
      <c r="J281" s="94"/>
      <c r="K281" s="94"/>
      <c r="L281" s="84"/>
      <c r="M281" s="84"/>
      <c r="N281" s="84"/>
      <c r="O281" s="84"/>
      <c r="P281" s="84"/>
      <c r="Q281" s="84"/>
      <c r="R281" s="84"/>
      <c r="S281" s="84"/>
      <c r="T281" s="84"/>
      <c r="U281" s="84"/>
      <c r="V281" s="84"/>
      <c r="W281" s="84"/>
      <c r="X281" s="84"/>
      <c r="Y281" s="84"/>
      <c r="Z281" s="84"/>
      <c r="AA281" s="84"/>
      <c r="AB281" s="84"/>
      <c r="AC281" s="84"/>
      <c r="AD281" s="84"/>
      <c r="AE281" s="84"/>
      <c r="AF281" s="84"/>
      <c r="AG281" s="84"/>
      <c r="AH281" s="84"/>
      <c r="AI281" s="84"/>
      <c r="AJ281" s="84"/>
      <c r="AK281" s="84"/>
      <c r="AL281" s="84"/>
      <c r="AM281" s="84"/>
      <c r="AN281" s="84"/>
      <c r="AO281" s="84"/>
      <c r="AP281" s="84"/>
      <c r="AQ281" s="84"/>
      <c r="AR281" s="84"/>
      <c r="AS281" s="84"/>
      <c r="AT281" s="84"/>
      <c r="AU281" s="84"/>
      <c r="AV281" s="84"/>
      <c r="AW281" s="84"/>
      <c r="AX281" s="87">
        <f t="array" ref="AX281">IF(G281=1,SUM((ROW(M0)=ROW(AW281))*(M0+M1_+M2_+M3_+M4_+M5_+M6_+M7_+M8_+M9_+M10_+M11_+M12_+M13_+M14_+M15_+M16_+M17_+M18_+M19_+M20_+M21_+M22_+M23_+M24_+M25_+M26_+M27_+M28_+M29_+M30_+M31_+M32_+M33_+M34_+M35_+M36_+M37_)),0)</f>
        <v>0</v>
      </c>
      <c r="AZ281" s="24" t="str">
        <f t="shared" si="73"/>
        <v/>
      </c>
      <c r="BA281" s="24" t="str">
        <f t="shared" si="74"/>
        <v/>
      </c>
      <c r="BB281" s="24" t="str">
        <f t="shared" si="75"/>
        <v/>
      </c>
      <c r="BC281" s="24" t="str">
        <f>IF(OR(E281="",LEFT(TableCosts[[#This Row],[Calc_N_Typ]],18)="Vynaložené náklady"),"",VLOOKUP(E281,Tab_Parts,2,0))</f>
        <v/>
      </c>
      <c r="BD281" s="24" t="str">
        <f t="shared" si="76"/>
        <v/>
      </c>
      <c r="BE281" s="24">
        <f t="shared" si="77"/>
        <v>0</v>
      </c>
      <c r="BF281" s="72">
        <f>TableCosts[[#This Row],[N_Amount]]*TableCosts[[#This Row],[N_Tariff]]*TableCosts[[#This Row],[N_ItemsCount]]</f>
        <v>0</v>
      </c>
      <c r="BG281" s="72">
        <f>IF(G281=1,IF(TableCosts[[#This Row],[N_Kateg]]="interné práce",TableCosts[[#This Row],[N_Amount]]*8*PAR_SGA_PERHOUR,0),0)</f>
        <v>0</v>
      </c>
      <c r="BH281" s="72">
        <f>SUM(TableCosts[[#This Row],[N_Direct]:[N_SGA]])</f>
        <v>0</v>
      </c>
      <c r="BI281" s="24">
        <f>IF(G281=1,IF(OR(AND(NOT(ISERROR(VLOOKUP(TableCosts[[#This Row],[Calc_N_Typ]],Cis_WorkPositions,1,0))),C281&lt;&gt;"",D281&lt;&gt;"",E281&lt;&gt;""),AND(ISERROR(VLOOKUP(TableCosts[[#This Row],[Calc_N_Typ]],Cis_WorkPositions,1,0)),C281="",D281="",E281&lt;&gt;""),LEFT(TableCosts[[#This Row],[Calc_N_Typ]],18)="Vynaložené náklady"),VLOOKUP(C281&amp;TableCosts[[#This Row],[Calc_N_Typ]],TRAN_STRITEMS_LABEL,VLOOKUP(D281,Tab_Hours,3,0),0),NA()),0)</f>
        <v>0</v>
      </c>
      <c r="BJ281" s="24">
        <f t="shared" si="78"/>
        <v>0</v>
      </c>
      <c r="BK281" s="24" t="str">
        <f t="shared" si="79"/>
        <v/>
      </c>
      <c r="BL281" s="24" t="str">
        <f t="shared" si="80"/>
        <v/>
      </c>
      <c r="BM281" s="24" t="str">
        <f>IF(G281=1,IF(TableCosts[[#This Row],[TransferFrom]]=TableCosts[[#This Row],[TranferTo]],0,1),"")</f>
        <v/>
      </c>
      <c r="BN281" s="24" t="str">
        <f t="shared" si="81"/>
        <v/>
      </c>
      <c r="BO281" s="24">
        <f t="shared" si="82"/>
        <v>0</v>
      </c>
      <c r="BP281" s="24">
        <f t="shared" si="83"/>
        <v>0</v>
      </c>
    </row>
    <row r="282" spans="2:68" s="24" customFormat="1" ht="12.75" x14ac:dyDescent="0.2">
      <c r="B282" s="97"/>
      <c r="C282" s="92"/>
      <c r="D282" s="92"/>
      <c r="E282" s="92"/>
      <c r="F282" s="31" t="str">
        <f>IF(G282=1,IF(ISERROR(TableCosts[[#This Row],[N_Tariff]]),Err_Message1,IF(TableCosts[[#This Row],[N_Tariff]]=0,Err_Message2,VLOOKUP(C282&amp;TableCosts[[#This Row],[Calc_N_Typ]],TRAN_STRITEMS_LABEL,5,FALSE))),"")</f>
        <v/>
      </c>
      <c r="G282" s="31">
        <f t="shared" si="72"/>
        <v>0</v>
      </c>
      <c r="H282" s="31" t="str">
        <f>IF(G282=1,IFERROR(VLOOKUP(F282,Tab_ErrMessage[],2,0),VLOOKUP(C282&amp;TableCosts[[#This Row],[Calc_N_Typ]],TRAN_STRITEMS_LABEL,4,FALSE)),"")</f>
        <v/>
      </c>
      <c r="I282" s="94"/>
      <c r="J282" s="94"/>
      <c r="K282" s="94"/>
      <c r="L282" s="84"/>
      <c r="M282" s="84"/>
      <c r="N282" s="84"/>
      <c r="O282" s="84"/>
      <c r="P282" s="84"/>
      <c r="Q282" s="84"/>
      <c r="R282" s="84"/>
      <c r="S282" s="84"/>
      <c r="T282" s="84"/>
      <c r="U282" s="84"/>
      <c r="V282" s="84"/>
      <c r="W282" s="84"/>
      <c r="X282" s="84"/>
      <c r="Y282" s="84"/>
      <c r="Z282" s="84"/>
      <c r="AA282" s="84"/>
      <c r="AB282" s="84"/>
      <c r="AC282" s="84"/>
      <c r="AD282" s="84"/>
      <c r="AE282" s="84"/>
      <c r="AF282" s="84"/>
      <c r="AG282" s="84"/>
      <c r="AH282" s="84"/>
      <c r="AI282" s="84"/>
      <c r="AJ282" s="84"/>
      <c r="AK282" s="84"/>
      <c r="AL282" s="84"/>
      <c r="AM282" s="84"/>
      <c r="AN282" s="84"/>
      <c r="AO282" s="84"/>
      <c r="AP282" s="84"/>
      <c r="AQ282" s="84"/>
      <c r="AR282" s="84"/>
      <c r="AS282" s="84"/>
      <c r="AT282" s="84"/>
      <c r="AU282" s="84"/>
      <c r="AV282" s="84"/>
      <c r="AW282" s="84"/>
      <c r="AX282" s="87">
        <f t="array" ref="AX282">IF(G282=1,SUM((ROW(M0)=ROW(AW282))*(M0+M1_+M2_+M3_+M4_+M5_+M6_+M7_+M8_+M9_+M10_+M11_+M12_+M13_+M14_+M15_+M16_+M17_+M18_+M19_+M20_+M21_+M22_+M23_+M24_+M25_+M26_+M27_+M28_+M29_+M30_+M31_+M32_+M33_+M34_+M35_+M36_+M37_)),0)</f>
        <v>0</v>
      </c>
      <c r="AZ282" s="24" t="str">
        <f t="shared" si="73"/>
        <v/>
      </c>
      <c r="BA282" s="24" t="str">
        <f t="shared" si="74"/>
        <v/>
      </c>
      <c r="BB282" s="24" t="str">
        <f t="shared" si="75"/>
        <v/>
      </c>
      <c r="BC282" s="24" t="str">
        <f>IF(OR(E282="",LEFT(TableCosts[[#This Row],[Calc_N_Typ]],18)="Vynaložené náklady"),"",VLOOKUP(E282,Tab_Parts,2,0))</f>
        <v/>
      </c>
      <c r="BD282" s="24" t="str">
        <f t="shared" si="76"/>
        <v/>
      </c>
      <c r="BE282" s="24">
        <f t="shared" si="77"/>
        <v>0</v>
      </c>
      <c r="BF282" s="72">
        <f>TableCosts[[#This Row],[N_Amount]]*TableCosts[[#This Row],[N_Tariff]]*TableCosts[[#This Row],[N_ItemsCount]]</f>
        <v>0</v>
      </c>
      <c r="BG282" s="72">
        <f>IF(G282=1,IF(TableCosts[[#This Row],[N_Kateg]]="interné práce",TableCosts[[#This Row],[N_Amount]]*8*PAR_SGA_PERHOUR,0),0)</f>
        <v>0</v>
      </c>
      <c r="BH282" s="72">
        <f>SUM(TableCosts[[#This Row],[N_Direct]:[N_SGA]])</f>
        <v>0</v>
      </c>
      <c r="BI282" s="24">
        <f>IF(G282=1,IF(OR(AND(NOT(ISERROR(VLOOKUP(TableCosts[[#This Row],[Calc_N_Typ]],Cis_WorkPositions,1,0))),C282&lt;&gt;"",D282&lt;&gt;"",E282&lt;&gt;""),AND(ISERROR(VLOOKUP(TableCosts[[#This Row],[Calc_N_Typ]],Cis_WorkPositions,1,0)),C282="",D282="",E282&lt;&gt;""),LEFT(TableCosts[[#This Row],[Calc_N_Typ]],18)="Vynaložené náklady"),VLOOKUP(C282&amp;TableCosts[[#This Row],[Calc_N_Typ]],TRAN_STRITEMS_LABEL,VLOOKUP(D282,Tab_Hours,3,0),0),NA()),0)</f>
        <v>0</v>
      </c>
      <c r="BJ282" s="24">
        <f t="shared" si="78"/>
        <v>0</v>
      </c>
      <c r="BK282" s="24" t="str">
        <f t="shared" si="79"/>
        <v/>
      </c>
      <c r="BL282" s="24" t="str">
        <f t="shared" si="80"/>
        <v/>
      </c>
      <c r="BM282" s="24" t="str">
        <f>IF(G282=1,IF(TableCosts[[#This Row],[TransferFrom]]=TableCosts[[#This Row],[TranferTo]],0,1),"")</f>
        <v/>
      </c>
      <c r="BN282" s="24" t="str">
        <f t="shared" si="81"/>
        <v/>
      </c>
      <c r="BO282" s="24">
        <f t="shared" si="82"/>
        <v>0</v>
      </c>
      <c r="BP282" s="24">
        <f t="shared" si="83"/>
        <v>0</v>
      </c>
    </row>
    <row r="283" spans="2:68" s="24" customFormat="1" ht="12.75" x14ac:dyDescent="0.2">
      <c r="B283" s="97"/>
      <c r="C283" s="92"/>
      <c r="D283" s="92"/>
      <c r="E283" s="92"/>
      <c r="F283" s="31" t="str">
        <f>IF(G283=1,IF(ISERROR(TableCosts[[#This Row],[N_Tariff]]),Err_Message1,IF(TableCosts[[#This Row],[N_Tariff]]=0,Err_Message2,VLOOKUP(C283&amp;TableCosts[[#This Row],[Calc_N_Typ]],TRAN_STRITEMS_LABEL,5,FALSE))),"")</f>
        <v/>
      </c>
      <c r="G283" s="31">
        <f t="shared" si="72"/>
        <v>0</v>
      </c>
      <c r="H283" s="31" t="str">
        <f>IF(G283=1,IFERROR(VLOOKUP(F283,Tab_ErrMessage[],2,0),VLOOKUP(C283&amp;TableCosts[[#This Row],[Calc_N_Typ]],TRAN_STRITEMS_LABEL,4,FALSE)),"")</f>
        <v/>
      </c>
      <c r="I283" s="94"/>
      <c r="J283" s="94"/>
      <c r="K283" s="94"/>
      <c r="L283" s="84"/>
      <c r="M283" s="84"/>
      <c r="N283" s="84"/>
      <c r="O283" s="84"/>
      <c r="P283" s="84"/>
      <c r="Q283" s="84"/>
      <c r="R283" s="84"/>
      <c r="S283" s="84"/>
      <c r="T283" s="84"/>
      <c r="U283" s="84"/>
      <c r="V283" s="84"/>
      <c r="W283" s="84"/>
      <c r="X283" s="84"/>
      <c r="Y283" s="84"/>
      <c r="Z283" s="84"/>
      <c r="AA283" s="84"/>
      <c r="AB283" s="84"/>
      <c r="AC283" s="84"/>
      <c r="AD283" s="84"/>
      <c r="AE283" s="84"/>
      <c r="AF283" s="84"/>
      <c r="AG283" s="84"/>
      <c r="AH283" s="84"/>
      <c r="AI283" s="84"/>
      <c r="AJ283" s="84"/>
      <c r="AK283" s="84"/>
      <c r="AL283" s="84"/>
      <c r="AM283" s="84"/>
      <c r="AN283" s="84"/>
      <c r="AO283" s="84"/>
      <c r="AP283" s="84"/>
      <c r="AQ283" s="84"/>
      <c r="AR283" s="84"/>
      <c r="AS283" s="84"/>
      <c r="AT283" s="84"/>
      <c r="AU283" s="84"/>
      <c r="AV283" s="84"/>
      <c r="AW283" s="84"/>
      <c r="AX283" s="87">
        <f t="array" ref="AX283">IF(G283=1,SUM((ROW(M0)=ROW(AW283))*(M0+M1_+M2_+M3_+M4_+M5_+M6_+M7_+M8_+M9_+M10_+M11_+M12_+M13_+M14_+M15_+M16_+M17_+M18_+M19_+M20_+M21_+M22_+M23_+M24_+M25_+M26_+M27_+M28_+M29_+M30_+M31_+M32_+M33_+M34_+M35_+M36_+M37_)),0)</f>
        <v>0</v>
      </c>
      <c r="AZ283" s="24" t="str">
        <f t="shared" si="73"/>
        <v/>
      </c>
      <c r="BA283" s="24" t="str">
        <f t="shared" si="74"/>
        <v/>
      </c>
      <c r="BB283" s="24" t="str">
        <f t="shared" si="75"/>
        <v/>
      </c>
      <c r="BC283" s="24" t="str">
        <f>IF(OR(E283="",LEFT(TableCosts[[#This Row],[Calc_N_Typ]],18)="Vynaložené náklady"),"",VLOOKUP(E283,Tab_Parts,2,0))</f>
        <v/>
      </c>
      <c r="BD283" s="24" t="str">
        <f t="shared" si="76"/>
        <v/>
      </c>
      <c r="BE283" s="24">
        <f t="shared" si="77"/>
        <v>0</v>
      </c>
      <c r="BF283" s="72">
        <f>TableCosts[[#This Row],[N_Amount]]*TableCosts[[#This Row],[N_Tariff]]*TableCosts[[#This Row],[N_ItemsCount]]</f>
        <v>0</v>
      </c>
      <c r="BG283" s="72">
        <f>IF(G283=1,IF(TableCosts[[#This Row],[N_Kateg]]="interné práce",TableCosts[[#This Row],[N_Amount]]*8*PAR_SGA_PERHOUR,0),0)</f>
        <v>0</v>
      </c>
      <c r="BH283" s="72">
        <f>SUM(TableCosts[[#This Row],[N_Direct]:[N_SGA]])</f>
        <v>0</v>
      </c>
      <c r="BI283" s="24">
        <f>IF(G283=1,IF(OR(AND(NOT(ISERROR(VLOOKUP(TableCosts[[#This Row],[Calc_N_Typ]],Cis_WorkPositions,1,0))),C283&lt;&gt;"",D283&lt;&gt;"",E283&lt;&gt;""),AND(ISERROR(VLOOKUP(TableCosts[[#This Row],[Calc_N_Typ]],Cis_WorkPositions,1,0)),C283="",D283="",E283&lt;&gt;""),LEFT(TableCosts[[#This Row],[Calc_N_Typ]],18)="Vynaložené náklady"),VLOOKUP(C283&amp;TableCosts[[#This Row],[Calc_N_Typ]],TRAN_STRITEMS_LABEL,VLOOKUP(D283,Tab_Hours,3,0),0),NA()),0)</f>
        <v>0</v>
      </c>
      <c r="BJ283" s="24">
        <f t="shared" si="78"/>
        <v>0</v>
      </c>
      <c r="BK283" s="24" t="str">
        <f t="shared" si="79"/>
        <v/>
      </c>
      <c r="BL283" s="24" t="str">
        <f t="shared" si="80"/>
        <v/>
      </c>
      <c r="BM283" s="24" t="str">
        <f>IF(G283=1,IF(TableCosts[[#This Row],[TransferFrom]]=TableCosts[[#This Row],[TranferTo]],0,1),"")</f>
        <v/>
      </c>
      <c r="BN283" s="24" t="str">
        <f t="shared" si="81"/>
        <v/>
      </c>
      <c r="BO283" s="24">
        <f t="shared" si="82"/>
        <v>0</v>
      </c>
      <c r="BP283" s="24">
        <f t="shared" si="83"/>
        <v>0</v>
      </c>
    </row>
    <row r="284" spans="2:68" s="24" customFormat="1" ht="12.75" x14ac:dyDescent="0.2">
      <c r="B284" s="97"/>
      <c r="C284" s="92"/>
      <c r="D284" s="92"/>
      <c r="E284" s="92"/>
      <c r="F284" s="31" t="str">
        <f>IF(G284=1,IF(ISERROR(TableCosts[[#This Row],[N_Tariff]]),Err_Message1,IF(TableCosts[[#This Row],[N_Tariff]]=0,Err_Message2,VLOOKUP(C284&amp;TableCosts[[#This Row],[Calc_N_Typ]],TRAN_STRITEMS_LABEL,5,FALSE))),"")</f>
        <v/>
      </c>
      <c r="G284" s="31">
        <f t="shared" si="72"/>
        <v>0</v>
      </c>
      <c r="H284" s="31" t="str">
        <f>IF(G284=1,IFERROR(VLOOKUP(F284,Tab_ErrMessage[],2,0),VLOOKUP(C284&amp;TableCosts[[#This Row],[Calc_N_Typ]],TRAN_STRITEMS_LABEL,4,FALSE)),"")</f>
        <v/>
      </c>
      <c r="I284" s="94"/>
      <c r="J284" s="94"/>
      <c r="K284" s="94"/>
      <c r="L284" s="84"/>
      <c r="M284" s="84"/>
      <c r="N284" s="84"/>
      <c r="O284" s="84"/>
      <c r="P284" s="84"/>
      <c r="Q284" s="84"/>
      <c r="R284" s="84"/>
      <c r="S284" s="84"/>
      <c r="T284" s="84"/>
      <c r="U284" s="84"/>
      <c r="V284" s="84"/>
      <c r="W284" s="84"/>
      <c r="X284" s="84"/>
      <c r="Y284" s="84"/>
      <c r="Z284" s="84"/>
      <c r="AA284" s="84"/>
      <c r="AB284" s="84"/>
      <c r="AC284" s="84"/>
      <c r="AD284" s="84"/>
      <c r="AE284" s="84"/>
      <c r="AF284" s="84"/>
      <c r="AG284" s="84"/>
      <c r="AH284" s="84"/>
      <c r="AI284" s="84"/>
      <c r="AJ284" s="84"/>
      <c r="AK284" s="84"/>
      <c r="AL284" s="84"/>
      <c r="AM284" s="84"/>
      <c r="AN284" s="84"/>
      <c r="AO284" s="84"/>
      <c r="AP284" s="84"/>
      <c r="AQ284" s="84"/>
      <c r="AR284" s="84"/>
      <c r="AS284" s="84"/>
      <c r="AT284" s="84"/>
      <c r="AU284" s="84"/>
      <c r="AV284" s="84"/>
      <c r="AW284" s="84"/>
      <c r="AX284" s="87">
        <f t="array" ref="AX284">IF(G284=1,SUM((ROW(M0)=ROW(AW284))*(M0+M1_+M2_+M3_+M4_+M5_+M6_+M7_+M8_+M9_+M10_+M11_+M12_+M13_+M14_+M15_+M16_+M17_+M18_+M19_+M20_+M21_+M22_+M23_+M24_+M25_+M26_+M27_+M28_+M29_+M30_+M31_+M32_+M33_+M34_+M35_+M36_+M37_)),0)</f>
        <v>0</v>
      </c>
      <c r="AZ284" s="24" t="str">
        <f t="shared" si="73"/>
        <v/>
      </c>
      <c r="BA284" s="24" t="str">
        <f t="shared" si="74"/>
        <v/>
      </c>
      <c r="BB284" s="24" t="str">
        <f t="shared" si="75"/>
        <v/>
      </c>
      <c r="BC284" s="24" t="str">
        <f>IF(OR(E284="",LEFT(TableCosts[[#This Row],[Calc_N_Typ]],18)="Vynaložené náklady"),"",VLOOKUP(E284,Tab_Parts,2,0))</f>
        <v/>
      </c>
      <c r="BD284" s="24" t="str">
        <f t="shared" si="76"/>
        <v/>
      </c>
      <c r="BE284" s="24">
        <f t="shared" si="77"/>
        <v>0</v>
      </c>
      <c r="BF284" s="72">
        <f>TableCosts[[#This Row],[N_Amount]]*TableCosts[[#This Row],[N_Tariff]]*TableCosts[[#This Row],[N_ItemsCount]]</f>
        <v>0</v>
      </c>
      <c r="BG284" s="72">
        <f>IF(G284=1,IF(TableCosts[[#This Row],[N_Kateg]]="interné práce",TableCosts[[#This Row],[N_Amount]]*8*PAR_SGA_PERHOUR,0),0)</f>
        <v>0</v>
      </c>
      <c r="BH284" s="72">
        <f>SUM(TableCosts[[#This Row],[N_Direct]:[N_SGA]])</f>
        <v>0</v>
      </c>
      <c r="BI284" s="24">
        <f>IF(G284=1,IF(OR(AND(NOT(ISERROR(VLOOKUP(TableCosts[[#This Row],[Calc_N_Typ]],Cis_WorkPositions,1,0))),C284&lt;&gt;"",D284&lt;&gt;"",E284&lt;&gt;""),AND(ISERROR(VLOOKUP(TableCosts[[#This Row],[Calc_N_Typ]],Cis_WorkPositions,1,0)),C284="",D284="",E284&lt;&gt;""),LEFT(TableCosts[[#This Row],[Calc_N_Typ]],18)="Vynaložené náklady"),VLOOKUP(C284&amp;TableCosts[[#This Row],[Calc_N_Typ]],TRAN_STRITEMS_LABEL,VLOOKUP(D284,Tab_Hours,3,0),0),NA()),0)</f>
        <v>0</v>
      </c>
      <c r="BJ284" s="24">
        <f t="shared" si="78"/>
        <v>0</v>
      </c>
      <c r="BK284" s="24" t="str">
        <f t="shared" si="79"/>
        <v/>
      </c>
      <c r="BL284" s="24" t="str">
        <f t="shared" si="80"/>
        <v/>
      </c>
      <c r="BM284" s="24" t="str">
        <f>IF(G284=1,IF(TableCosts[[#This Row],[TransferFrom]]=TableCosts[[#This Row],[TranferTo]],0,1),"")</f>
        <v/>
      </c>
      <c r="BN284" s="24" t="str">
        <f t="shared" si="81"/>
        <v/>
      </c>
      <c r="BO284" s="24">
        <f t="shared" si="82"/>
        <v>0</v>
      </c>
      <c r="BP284" s="24">
        <f t="shared" si="83"/>
        <v>0</v>
      </c>
    </row>
    <row r="285" spans="2:68" s="24" customFormat="1" ht="12.75" x14ac:dyDescent="0.2">
      <c r="B285" s="97"/>
      <c r="C285" s="92"/>
      <c r="D285" s="92"/>
      <c r="E285" s="92"/>
      <c r="F285" s="31" t="str">
        <f>IF(G285=1,IF(ISERROR(TableCosts[[#This Row],[N_Tariff]]),Err_Message1,IF(TableCosts[[#This Row],[N_Tariff]]=0,Err_Message2,VLOOKUP(C285&amp;TableCosts[[#This Row],[Calc_N_Typ]],TRAN_STRITEMS_LABEL,5,FALSE))),"")</f>
        <v/>
      </c>
      <c r="G285" s="31">
        <f t="shared" si="72"/>
        <v>0</v>
      </c>
      <c r="H285" s="31" t="str">
        <f>IF(G285=1,IFERROR(VLOOKUP(F285,Tab_ErrMessage[],2,0),VLOOKUP(C285&amp;TableCosts[[#This Row],[Calc_N_Typ]],TRAN_STRITEMS_LABEL,4,FALSE)),"")</f>
        <v/>
      </c>
      <c r="I285" s="94"/>
      <c r="J285" s="94"/>
      <c r="K285" s="94"/>
      <c r="L285" s="84"/>
      <c r="M285" s="84"/>
      <c r="N285" s="84"/>
      <c r="O285" s="84"/>
      <c r="P285" s="84"/>
      <c r="Q285" s="84"/>
      <c r="R285" s="84"/>
      <c r="S285" s="84"/>
      <c r="T285" s="84"/>
      <c r="U285" s="84"/>
      <c r="V285" s="84"/>
      <c r="W285" s="84"/>
      <c r="X285" s="84"/>
      <c r="Y285" s="84"/>
      <c r="Z285" s="84"/>
      <c r="AA285" s="84"/>
      <c r="AB285" s="84"/>
      <c r="AC285" s="84"/>
      <c r="AD285" s="84"/>
      <c r="AE285" s="84"/>
      <c r="AF285" s="84"/>
      <c r="AG285" s="84"/>
      <c r="AH285" s="84"/>
      <c r="AI285" s="84"/>
      <c r="AJ285" s="84"/>
      <c r="AK285" s="84"/>
      <c r="AL285" s="84"/>
      <c r="AM285" s="84"/>
      <c r="AN285" s="84"/>
      <c r="AO285" s="84"/>
      <c r="AP285" s="84"/>
      <c r="AQ285" s="84"/>
      <c r="AR285" s="84"/>
      <c r="AS285" s="84"/>
      <c r="AT285" s="84"/>
      <c r="AU285" s="84"/>
      <c r="AV285" s="84"/>
      <c r="AW285" s="84"/>
      <c r="AX285" s="87">
        <f t="array" ref="AX285">IF(G285=1,SUM((ROW(M0)=ROW(AW285))*(M0+M1_+M2_+M3_+M4_+M5_+M6_+M7_+M8_+M9_+M10_+M11_+M12_+M13_+M14_+M15_+M16_+M17_+M18_+M19_+M20_+M21_+M22_+M23_+M24_+M25_+M26_+M27_+M28_+M29_+M30_+M31_+M32_+M33_+M34_+M35_+M36_+M37_)),0)</f>
        <v>0</v>
      </c>
      <c r="AZ285" s="24" t="str">
        <f t="shared" si="73"/>
        <v/>
      </c>
      <c r="BA285" s="24" t="str">
        <f t="shared" si="74"/>
        <v/>
      </c>
      <c r="BB285" s="24" t="str">
        <f t="shared" si="75"/>
        <v/>
      </c>
      <c r="BC285" s="24" t="str">
        <f>IF(OR(E285="",LEFT(TableCosts[[#This Row],[Calc_N_Typ]],18)="Vynaložené náklady"),"",VLOOKUP(E285,Tab_Parts,2,0))</f>
        <v/>
      </c>
      <c r="BD285" s="24" t="str">
        <f t="shared" si="76"/>
        <v/>
      </c>
      <c r="BE285" s="24">
        <f t="shared" si="77"/>
        <v>0</v>
      </c>
      <c r="BF285" s="72">
        <f>TableCosts[[#This Row],[N_Amount]]*TableCosts[[#This Row],[N_Tariff]]*TableCosts[[#This Row],[N_ItemsCount]]</f>
        <v>0</v>
      </c>
      <c r="BG285" s="72">
        <f>IF(G285=1,IF(TableCosts[[#This Row],[N_Kateg]]="interné práce",TableCosts[[#This Row],[N_Amount]]*8*PAR_SGA_PERHOUR,0),0)</f>
        <v>0</v>
      </c>
      <c r="BH285" s="72">
        <f>SUM(TableCosts[[#This Row],[N_Direct]:[N_SGA]])</f>
        <v>0</v>
      </c>
      <c r="BI285" s="24">
        <f>IF(G285=1,IF(OR(AND(NOT(ISERROR(VLOOKUP(TableCosts[[#This Row],[Calc_N_Typ]],Cis_WorkPositions,1,0))),C285&lt;&gt;"",D285&lt;&gt;"",E285&lt;&gt;""),AND(ISERROR(VLOOKUP(TableCosts[[#This Row],[Calc_N_Typ]],Cis_WorkPositions,1,0)),C285="",D285="",E285&lt;&gt;""),LEFT(TableCosts[[#This Row],[Calc_N_Typ]],18)="Vynaložené náklady"),VLOOKUP(C285&amp;TableCosts[[#This Row],[Calc_N_Typ]],TRAN_STRITEMS_LABEL,VLOOKUP(D285,Tab_Hours,3,0),0),NA()),0)</f>
        <v>0</v>
      </c>
      <c r="BJ285" s="24">
        <f t="shared" si="78"/>
        <v>0</v>
      </c>
      <c r="BK285" s="24" t="str">
        <f t="shared" si="79"/>
        <v/>
      </c>
      <c r="BL285" s="24" t="str">
        <f t="shared" si="80"/>
        <v/>
      </c>
      <c r="BM285" s="24" t="str">
        <f>IF(G285=1,IF(TableCosts[[#This Row],[TransferFrom]]=TableCosts[[#This Row],[TranferTo]],0,1),"")</f>
        <v/>
      </c>
      <c r="BN285" s="24" t="str">
        <f t="shared" si="81"/>
        <v/>
      </c>
      <c r="BO285" s="24">
        <f t="shared" si="82"/>
        <v>0</v>
      </c>
      <c r="BP285" s="24">
        <f t="shared" si="83"/>
        <v>0</v>
      </c>
    </row>
    <row r="286" spans="2:68" s="24" customFormat="1" ht="12.75" x14ac:dyDescent="0.2">
      <c r="B286" s="97"/>
      <c r="C286" s="92"/>
      <c r="D286" s="92"/>
      <c r="E286" s="92"/>
      <c r="F286" s="31" t="str">
        <f>IF(G286=1,IF(ISERROR(TableCosts[[#This Row],[N_Tariff]]),Err_Message1,IF(TableCosts[[#This Row],[N_Tariff]]=0,Err_Message2,VLOOKUP(C286&amp;TableCosts[[#This Row],[Calc_N_Typ]],TRAN_STRITEMS_LABEL,5,FALSE))),"")</f>
        <v/>
      </c>
      <c r="G286" s="31">
        <f t="shared" si="72"/>
        <v>0</v>
      </c>
      <c r="H286" s="31" t="str">
        <f>IF(G286=1,IFERROR(VLOOKUP(F286,Tab_ErrMessage[],2,0),VLOOKUP(C286&amp;TableCosts[[#This Row],[Calc_N_Typ]],TRAN_STRITEMS_LABEL,4,FALSE)),"")</f>
        <v/>
      </c>
      <c r="I286" s="94"/>
      <c r="J286" s="94"/>
      <c r="K286" s="94"/>
      <c r="L286" s="84"/>
      <c r="M286" s="84"/>
      <c r="N286" s="84"/>
      <c r="O286" s="84"/>
      <c r="P286" s="84"/>
      <c r="Q286" s="84"/>
      <c r="R286" s="84"/>
      <c r="S286" s="84"/>
      <c r="T286" s="84"/>
      <c r="U286" s="84"/>
      <c r="V286" s="84"/>
      <c r="W286" s="84"/>
      <c r="X286" s="84"/>
      <c r="Y286" s="84"/>
      <c r="Z286" s="84"/>
      <c r="AA286" s="84"/>
      <c r="AB286" s="84"/>
      <c r="AC286" s="84"/>
      <c r="AD286" s="84"/>
      <c r="AE286" s="84"/>
      <c r="AF286" s="84"/>
      <c r="AG286" s="84"/>
      <c r="AH286" s="84"/>
      <c r="AI286" s="84"/>
      <c r="AJ286" s="84"/>
      <c r="AK286" s="84"/>
      <c r="AL286" s="84"/>
      <c r="AM286" s="84"/>
      <c r="AN286" s="84"/>
      <c r="AO286" s="84"/>
      <c r="AP286" s="84"/>
      <c r="AQ286" s="84"/>
      <c r="AR286" s="84"/>
      <c r="AS286" s="84"/>
      <c r="AT286" s="84"/>
      <c r="AU286" s="84"/>
      <c r="AV286" s="84"/>
      <c r="AW286" s="84"/>
      <c r="AX286" s="87">
        <f t="array" ref="AX286">IF(G286=1,SUM((ROW(M0)=ROW(AW286))*(M0+M1_+M2_+M3_+M4_+M5_+M6_+M7_+M8_+M9_+M10_+M11_+M12_+M13_+M14_+M15_+M16_+M17_+M18_+M19_+M20_+M21_+M22_+M23_+M24_+M25_+M26_+M27_+M28_+M29_+M30_+M31_+M32_+M33_+M34_+M35_+M36_+M37_)),0)</f>
        <v>0</v>
      </c>
      <c r="AZ286" s="24" t="str">
        <f t="shared" si="73"/>
        <v/>
      </c>
      <c r="BA286" s="24" t="str">
        <f t="shared" si="74"/>
        <v/>
      </c>
      <c r="BB286" s="24" t="str">
        <f t="shared" si="75"/>
        <v/>
      </c>
      <c r="BC286" s="24" t="str">
        <f>IF(OR(E286="",LEFT(TableCosts[[#This Row],[Calc_N_Typ]],18)="Vynaložené náklady"),"",VLOOKUP(E286,Tab_Parts,2,0))</f>
        <v/>
      </c>
      <c r="BD286" s="24" t="str">
        <f t="shared" si="76"/>
        <v/>
      </c>
      <c r="BE286" s="24">
        <f t="shared" si="77"/>
        <v>0</v>
      </c>
      <c r="BF286" s="72">
        <f>TableCosts[[#This Row],[N_Amount]]*TableCosts[[#This Row],[N_Tariff]]*TableCosts[[#This Row],[N_ItemsCount]]</f>
        <v>0</v>
      </c>
      <c r="BG286" s="72">
        <f>IF(G286=1,IF(TableCosts[[#This Row],[N_Kateg]]="interné práce",TableCosts[[#This Row],[N_Amount]]*8*PAR_SGA_PERHOUR,0),0)</f>
        <v>0</v>
      </c>
      <c r="BH286" s="72">
        <f>SUM(TableCosts[[#This Row],[N_Direct]:[N_SGA]])</f>
        <v>0</v>
      </c>
      <c r="BI286" s="24">
        <f>IF(G286=1,IF(OR(AND(NOT(ISERROR(VLOOKUP(TableCosts[[#This Row],[Calc_N_Typ]],Cis_WorkPositions,1,0))),C286&lt;&gt;"",D286&lt;&gt;"",E286&lt;&gt;""),AND(ISERROR(VLOOKUP(TableCosts[[#This Row],[Calc_N_Typ]],Cis_WorkPositions,1,0)),C286="",D286="",E286&lt;&gt;""),LEFT(TableCosts[[#This Row],[Calc_N_Typ]],18)="Vynaložené náklady"),VLOOKUP(C286&amp;TableCosts[[#This Row],[Calc_N_Typ]],TRAN_STRITEMS_LABEL,VLOOKUP(D286,Tab_Hours,3,0),0),NA()),0)</f>
        <v>0</v>
      </c>
      <c r="BJ286" s="24">
        <f t="shared" si="78"/>
        <v>0</v>
      </c>
      <c r="BK286" s="24" t="str">
        <f t="shared" si="79"/>
        <v/>
      </c>
      <c r="BL286" s="24" t="str">
        <f t="shared" si="80"/>
        <v/>
      </c>
      <c r="BM286" s="24" t="str">
        <f>IF(G286=1,IF(TableCosts[[#This Row],[TransferFrom]]=TableCosts[[#This Row],[TranferTo]],0,1),"")</f>
        <v/>
      </c>
      <c r="BN286" s="24" t="str">
        <f t="shared" si="81"/>
        <v/>
      </c>
      <c r="BO286" s="24">
        <f t="shared" si="82"/>
        <v>0</v>
      </c>
      <c r="BP286" s="24">
        <f t="shared" si="83"/>
        <v>0</v>
      </c>
    </row>
    <row r="287" spans="2:68" s="24" customFormat="1" ht="12.75" x14ac:dyDescent="0.2">
      <c r="B287" s="97"/>
      <c r="C287" s="92"/>
      <c r="D287" s="92"/>
      <c r="E287" s="92"/>
      <c r="F287" s="31" t="str">
        <f>IF(G287=1,IF(ISERROR(TableCosts[[#This Row],[N_Tariff]]),Err_Message1,IF(TableCosts[[#This Row],[N_Tariff]]=0,Err_Message2,VLOOKUP(C287&amp;TableCosts[[#This Row],[Calc_N_Typ]],TRAN_STRITEMS_LABEL,5,FALSE))),"")</f>
        <v/>
      </c>
      <c r="G287" s="31">
        <f t="shared" si="72"/>
        <v>0</v>
      </c>
      <c r="H287" s="31" t="str">
        <f>IF(G287=1,IFERROR(VLOOKUP(F287,Tab_ErrMessage[],2,0),VLOOKUP(C287&amp;TableCosts[[#This Row],[Calc_N_Typ]],TRAN_STRITEMS_LABEL,4,FALSE)),"")</f>
        <v/>
      </c>
      <c r="I287" s="94"/>
      <c r="J287" s="94"/>
      <c r="K287" s="94"/>
      <c r="L287" s="84"/>
      <c r="M287" s="84"/>
      <c r="N287" s="84"/>
      <c r="O287" s="84"/>
      <c r="P287" s="84"/>
      <c r="Q287" s="84"/>
      <c r="R287" s="84"/>
      <c r="S287" s="84"/>
      <c r="T287" s="84"/>
      <c r="U287" s="84"/>
      <c r="V287" s="84"/>
      <c r="W287" s="84"/>
      <c r="X287" s="84"/>
      <c r="Y287" s="84"/>
      <c r="Z287" s="84"/>
      <c r="AA287" s="84"/>
      <c r="AB287" s="84"/>
      <c r="AC287" s="84"/>
      <c r="AD287" s="84"/>
      <c r="AE287" s="84"/>
      <c r="AF287" s="84"/>
      <c r="AG287" s="84"/>
      <c r="AH287" s="84"/>
      <c r="AI287" s="84"/>
      <c r="AJ287" s="84"/>
      <c r="AK287" s="84"/>
      <c r="AL287" s="84"/>
      <c r="AM287" s="84"/>
      <c r="AN287" s="84"/>
      <c r="AO287" s="84"/>
      <c r="AP287" s="84"/>
      <c r="AQ287" s="84"/>
      <c r="AR287" s="84"/>
      <c r="AS287" s="84"/>
      <c r="AT287" s="84"/>
      <c r="AU287" s="84"/>
      <c r="AV287" s="84"/>
      <c r="AW287" s="84"/>
      <c r="AX287" s="87">
        <f t="array" ref="AX287">IF(G287=1,SUM((ROW(M0)=ROW(AW287))*(M0+M1_+M2_+M3_+M4_+M5_+M6_+M7_+M8_+M9_+M10_+M11_+M12_+M13_+M14_+M15_+M16_+M17_+M18_+M19_+M20_+M21_+M22_+M23_+M24_+M25_+M26_+M27_+M28_+M29_+M30_+M31_+M32_+M33_+M34_+M35_+M36_+M37_)),0)</f>
        <v>0</v>
      </c>
      <c r="AZ287" s="24" t="str">
        <f t="shared" si="73"/>
        <v/>
      </c>
      <c r="BA287" s="24" t="str">
        <f t="shared" si="74"/>
        <v/>
      </c>
      <c r="BB287" s="24" t="str">
        <f t="shared" si="75"/>
        <v/>
      </c>
      <c r="BC287" s="24" t="str">
        <f>IF(OR(E287="",LEFT(TableCosts[[#This Row],[Calc_N_Typ]],18)="Vynaložené náklady"),"",VLOOKUP(E287,Tab_Parts,2,0))</f>
        <v/>
      </c>
      <c r="BD287" s="24" t="str">
        <f t="shared" si="76"/>
        <v/>
      </c>
      <c r="BE287" s="24">
        <f t="shared" si="77"/>
        <v>0</v>
      </c>
      <c r="BF287" s="72">
        <f>TableCosts[[#This Row],[N_Amount]]*TableCosts[[#This Row],[N_Tariff]]*TableCosts[[#This Row],[N_ItemsCount]]</f>
        <v>0</v>
      </c>
      <c r="BG287" s="72">
        <f>IF(G287=1,IF(TableCosts[[#This Row],[N_Kateg]]="interné práce",TableCosts[[#This Row],[N_Amount]]*8*PAR_SGA_PERHOUR,0),0)</f>
        <v>0</v>
      </c>
      <c r="BH287" s="72">
        <f>SUM(TableCosts[[#This Row],[N_Direct]:[N_SGA]])</f>
        <v>0</v>
      </c>
      <c r="BI287" s="24">
        <f>IF(G287=1,IF(OR(AND(NOT(ISERROR(VLOOKUP(TableCosts[[#This Row],[Calc_N_Typ]],Cis_WorkPositions,1,0))),C287&lt;&gt;"",D287&lt;&gt;"",E287&lt;&gt;""),AND(ISERROR(VLOOKUP(TableCosts[[#This Row],[Calc_N_Typ]],Cis_WorkPositions,1,0)),C287="",D287="",E287&lt;&gt;""),LEFT(TableCosts[[#This Row],[Calc_N_Typ]],18)="Vynaložené náklady"),VLOOKUP(C287&amp;TableCosts[[#This Row],[Calc_N_Typ]],TRAN_STRITEMS_LABEL,VLOOKUP(D287,Tab_Hours,3,0),0),NA()),0)</f>
        <v>0</v>
      </c>
      <c r="BJ287" s="24">
        <f t="shared" si="78"/>
        <v>0</v>
      </c>
      <c r="BK287" s="24" t="str">
        <f t="shared" si="79"/>
        <v/>
      </c>
      <c r="BL287" s="24" t="str">
        <f t="shared" si="80"/>
        <v/>
      </c>
      <c r="BM287" s="24" t="str">
        <f>IF(G287=1,IF(TableCosts[[#This Row],[TransferFrom]]=TableCosts[[#This Row],[TranferTo]],0,1),"")</f>
        <v/>
      </c>
      <c r="BN287" s="24" t="str">
        <f t="shared" si="81"/>
        <v/>
      </c>
      <c r="BO287" s="24">
        <f t="shared" si="82"/>
        <v>0</v>
      </c>
      <c r="BP287" s="24">
        <f t="shared" si="83"/>
        <v>0</v>
      </c>
    </row>
    <row r="288" spans="2:68" s="24" customFormat="1" ht="12.75" x14ac:dyDescent="0.2">
      <c r="B288" s="97"/>
      <c r="C288" s="92"/>
      <c r="D288" s="92"/>
      <c r="E288" s="92"/>
      <c r="F288" s="31" t="str">
        <f>IF(G288=1,IF(ISERROR(TableCosts[[#This Row],[N_Tariff]]),Err_Message1,IF(TableCosts[[#This Row],[N_Tariff]]=0,Err_Message2,VLOOKUP(C288&amp;TableCosts[[#This Row],[Calc_N_Typ]],TRAN_STRITEMS_LABEL,5,FALSE))),"")</f>
        <v/>
      </c>
      <c r="G288" s="31">
        <f t="shared" si="72"/>
        <v>0</v>
      </c>
      <c r="H288" s="31" t="str">
        <f>IF(G288=1,IFERROR(VLOOKUP(F288,Tab_ErrMessage[],2,0),VLOOKUP(C288&amp;TableCosts[[#This Row],[Calc_N_Typ]],TRAN_STRITEMS_LABEL,4,FALSE)),"")</f>
        <v/>
      </c>
      <c r="I288" s="94"/>
      <c r="J288" s="94"/>
      <c r="K288" s="94"/>
      <c r="L288" s="84"/>
      <c r="M288" s="84"/>
      <c r="N288" s="84"/>
      <c r="O288" s="84"/>
      <c r="P288" s="84"/>
      <c r="Q288" s="84"/>
      <c r="R288" s="84"/>
      <c r="S288" s="84"/>
      <c r="T288" s="84"/>
      <c r="U288" s="84"/>
      <c r="V288" s="84"/>
      <c r="W288" s="84"/>
      <c r="X288" s="84"/>
      <c r="Y288" s="84"/>
      <c r="Z288" s="84"/>
      <c r="AA288" s="84"/>
      <c r="AB288" s="84"/>
      <c r="AC288" s="84"/>
      <c r="AD288" s="84"/>
      <c r="AE288" s="84"/>
      <c r="AF288" s="84"/>
      <c r="AG288" s="84"/>
      <c r="AH288" s="84"/>
      <c r="AI288" s="84"/>
      <c r="AJ288" s="84"/>
      <c r="AK288" s="84"/>
      <c r="AL288" s="84"/>
      <c r="AM288" s="84"/>
      <c r="AN288" s="84"/>
      <c r="AO288" s="84"/>
      <c r="AP288" s="84"/>
      <c r="AQ288" s="84"/>
      <c r="AR288" s="84"/>
      <c r="AS288" s="84"/>
      <c r="AT288" s="84"/>
      <c r="AU288" s="84"/>
      <c r="AV288" s="84"/>
      <c r="AW288" s="84"/>
      <c r="AX288" s="87">
        <f t="array" ref="AX288">IF(G288=1,SUM((ROW(M0)=ROW(AW288))*(M0+M1_+M2_+M3_+M4_+M5_+M6_+M7_+M8_+M9_+M10_+M11_+M12_+M13_+M14_+M15_+M16_+M17_+M18_+M19_+M20_+M21_+M22_+M23_+M24_+M25_+M26_+M27_+M28_+M29_+M30_+M31_+M32_+M33_+M34_+M35_+M36_+M37_)),0)</f>
        <v>0</v>
      </c>
      <c r="AZ288" s="24" t="str">
        <f t="shared" si="73"/>
        <v/>
      </c>
      <c r="BA288" s="24" t="str">
        <f t="shared" si="74"/>
        <v/>
      </c>
      <c r="BB288" s="24" t="str">
        <f t="shared" si="75"/>
        <v/>
      </c>
      <c r="BC288" s="24" t="str">
        <f>IF(OR(E288="",LEFT(TableCosts[[#This Row],[Calc_N_Typ]],18)="Vynaložené náklady"),"",VLOOKUP(E288,Tab_Parts,2,0))</f>
        <v/>
      </c>
      <c r="BD288" s="24" t="str">
        <f t="shared" si="76"/>
        <v/>
      </c>
      <c r="BE288" s="24">
        <f t="shared" si="77"/>
        <v>0</v>
      </c>
      <c r="BF288" s="72">
        <f>TableCosts[[#This Row],[N_Amount]]*TableCosts[[#This Row],[N_Tariff]]*TableCosts[[#This Row],[N_ItemsCount]]</f>
        <v>0</v>
      </c>
      <c r="BG288" s="72">
        <f>IF(G288=1,IF(TableCosts[[#This Row],[N_Kateg]]="interné práce",TableCosts[[#This Row],[N_Amount]]*8*PAR_SGA_PERHOUR,0),0)</f>
        <v>0</v>
      </c>
      <c r="BH288" s="72">
        <f>SUM(TableCosts[[#This Row],[N_Direct]:[N_SGA]])</f>
        <v>0</v>
      </c>
      <c r="BI288" s="24">
        <f>IF(G288=1,IF(OR(AND(NOT(ISERROR(VLOOKUP(TableCosts[[#This Row],[Calc_N_Typ]],Cis_WorkPositions,1,0))),C288&lt;&gt;"",D288&lt;&gt;"",E288&lt;&gt;""),AND(ISERROR(VLOOKUP(TableCosts[[#This Row],[Calc_N_Typ]],Cis_WorkPositions,1,0)),C288="",D288="",E288&lt;&gt;""),LEFT(TableCosts[[#This Row],[Calc_N_Typ]],18)="Vynaložené náklady"),VLOOKUP(C288&amp;TableCosts[[#This Row],[Calc_N_Typ]],TRAN_STRITEMS_LABEL,VLOOKUP(D288,Tab_Hours,3,0),0),NA()),0)</f>
        <v>0</v>
      </c>
      <c r="BJ288" s="24">
        <f t="shared" si="78"/>
        <v>0</v>
      </c>
      <c r="BK288" s="24" t="str">
        <f t="shared" si="79"/>
        <v/>
      </c>
      <c r="BL288" s="24" t="str">
        <f t="shared" si="80"/>
        <v/>
      </c>
      <c r="BM288" s="24" t="str">
        <f>IF(G288=1,IF(TableCosts[[#This Row],[TransferFrom]]=TableCosts[[#This Row],[TranferTo]],0,1),"")</f>
        <v/>
      </c>
      <c r="BN288" s="24" t="str">
        <f t="shared" si="81"/>
        <v/>
      </c>
      <c r="BO288" s="24">
        <f t="shared" si="82"/>
        <v>0</v>
      </c>
      <c r="BP288" s="24">
        <f t="shared" si="83"/>
        <v>0</v>
      </c>
    </row>
    <row r="289" spans="2:68" s="24" customFormat="1" ht="12.75" x14ac:dyDescent="0.2">
      <c r="B289" s="97"/>
      <c r="C289" s="92"/>
      <c r="D289" s="92"/>
      <c r="E289" s="92"/>
      <c r="F289" s="31" t="str">
        <f>IF(G289=1,IF(ISERROR(TableCosts[[#This Row],[N_Tariff]]),Err_Message1,IF(TableCosts[[#This Row],[N_Tariff]]=0,Err_Message2,VLOOKUP(C289&amp;TableCosts[[#This Row],[Calc_N_Typ]],TRAN_STRITEMS_LABEL,5,FALSE))),"")</f>
        <v/>
      </c>
      <c r="G289" s="31">
        <f t="shared" si="72"/>
        <v>0</v>
      </c>
      <c r="H289" s="31" t="str">
        <f>IF(G289=1,IFERROR(VLOOKUP(F289,Tab_ErrMessage[],2,0),VLOOKUP(C289&amp;TableCosts[[#This Row],[Calc_N_Typ]],TRAN_STRITEMS_LABEL,4,FALSE)),"")</f>
        <v/>
      </c>
      <c r="I289" s="94"/>
      <c r="J289" s="94"/>
      <c r="K289" s="94"/>
      <c r="L289" s="84"/>
      <c r="M289" s="84"/>
      <c r="N289" s="84"/>
      <c r="O289" s="84"/>
      <c r="P289" s="84"/>
      <c r="Q289" s="84"/>
      <c r="R289" s="84"/>
      <c r="S289" s="84"/>
      <c r="T289" s="84"/>
      <c r="U289" s="84"/>
      <c r="V289" s="84"/>
      <c r="W289" s="84"/>
      <c r="X289" s="84"/>
      <c r="Y289" s="84"/>
      <c r="Z289" s="84"/>
      <c r="AA289" s="84"/>
      <c r="AB289" s="84"/>
      <c r="AC289" s="84"/>
      <c r="AD289" s="84"/>
      <c r="AE289" s="84"/>
      <c r="AF289" s="84"/>
      <c r="AG289" s="84"/>
      <c r="AH289" s="84"/>
      <c r="AI289" s="84"/>
      <c r="AJ289" s="84"/>
      <c r="AK289" s="84"/>
      <c r="AL289" s="84"/>
      <c r="AM289" s="84"/>
      <c r="AN289" s="84"/>
      <c r="AO289" s="84"/>
      <c r="AP289" s="84"/>
      <c r="AQ289" s="84"/>
      <c r="AR289" s="84"/>
      <c r="AS289" s="84"/>
      <c r="AT289" s="84"/>
      <c r="AU289" s="84"/>
      <c r="AV289" s="84"/>
      <c r="AW289" s="84"/>
      <c r="AX289" s="87">
        <f t="array" ref="AX289">IF(G289=1,SUM((ROW(M0)=ROW(AW289))*(M0+M1_+M2_+M3_+M4_+M5_+M6_+M7_+M8_+M9_+M10_+M11_+M12_+M13_+M14_+M15_+M16_+M17_+M18_+M19_+M20_+M21_+M22_+M23_+M24_+M25_+M26_+M27_+M28_+M29_+M30_+M31_+M32_+M33_+M34_+M35_+M36_+M37_)),0)</f>
        <v>0</v>
      </c>
      <c r="AZ289" s="24" t="str">
        <f t="shared" si="73"/>
        <v/>
      </c>
      <c r="BA289" s="24" t="str">
        <f t="shared" si="74"/>
        <v/>
      </c>
      <c r="BB289" s="24" t="str">
        <f t="shared" si="75"/>
        <v/>
      </c>
      <c r="BC289" s="24" t="str">
        <f>IF(OR(E289="",LEFT(TableCosts[[#This Row],[Calc_N_Typ]],18)="Vynaložené náklady"),"",VLOOKUP(E289,Tab_Parts,2,0))</f>
        <v/>
      </c>
      <c r="BD289" s="24" t="str">
        <f t="shared" si="76"/>
        <v/>
      </c>
      <c r="BE289" s="24">
        <f t="shared" si="77"/>
        <v>0</v>
      </c>
      <c r="BF289" s="72">
        <f>TableCosts[[#This Row],[N_Amount]]*TableCosts[[#This Row],[N_Tariff]]*TableCosts[[#This Row],[N_ItemsCount]]</f>
        <v>0</v>
      </c>
      <c r="BG289" s="72">
        <f>IF(G289=1,IF(TableCosts[[#This Row],[N_Kateg]]="interné práce",TableCosts[[#This Row],[N_Amount]]*8*PAR_SGA_PERHOUR,0),0)</f>
        <v>0</v>
      </c>
      <c r="BH289" s="72">
        <f>SUM(TableCosts[[#This Row],[N_Direct]:[N_SGA]])</f>
        <v>0</v>
      </c>
      <c r="BI289" s="24">
        <f>IF(G289=1,IF(OR(AND(NOT(ISERROR(VLOOKUP(TableCosts[[#This Row],[Calc_N_Typ]],Cis_WorkPositions,1,0))),C289&lt;&gt;"",D289&lt;&gt;"",E289&lt;&gt;""),AND(ISERROR(VLOOKUP(TableCosts[[#This Row],[Calc_N_Typ]],Cis_WorkPositions,1,0)),C289="",D289="",E289&lt;&gt;""),LEFT(TableCosts[[#This Row],[Calc_N_Typ]],18)="Vynaložené náklady"),VLOOKUP(C289&amp;TableCosts[[#This Row],[Calc_N_Typ]],TRAN_STRITEMS_LABEL,VLOOKUP(D289,Tab_Hours,3,0),0),NA()),0)</f>
        <v>0</v>
      </c>
      <c r="BJ289" s="24">
        <f t="shared" si="78"/>
        <v>0</v>
      </c>
      <c r="BK289" s="24" t="str">
        <f t="shared" si="79"/>
        <v/>
      </c>
      <c r="BL289" s="24" t="str">
        <f t="shared" si="80"/>
        <v/>
      </c>
      <c r="BM289" s="24" t="str">
        <f>IF(G289=1,IF(TableCosts[[#This Row],[TransferFrom]]=TableCosts[[#This Row],[TranferTo]],0,1),"")</f>
        <v/>
      </c>
      <c r="BN289" s="24" t="str">
        <f t="shared" si="81"/>
        <v/>
      </c>
      <c r="BO289" s="24">
        <f t="shared" si="82"/>
        <v>0</v>
      </c>
      <c r="BP289" s="24">
        <f t="shared" si="83"/>
        <v>0</v>
      </c>
    </row>
    <row r="290" spans="2:68" s="24" customFormat="1" ht="12.75" x14ac:dyDescent="0.2">
      <c r="B290" s="97"/>
      <c r="C290" s="92"/>
      <c r="D290" s="92"/>
      <c r="E290" s="92"/>
      <c r="F290" s="31" t="str">
        <f>IF(G290=1,IF(ISERROR(TableCosts[[#This Row],[N_Tariff]]),Err_Message1,IF(TableCosts[[#This Row],[N_Tariff]]=0,Err_Message2,VLOOKUP(C290&amp;TableCosts[[#This Row],[Calc_N_Typ]],TRAN_STRITEMS_LABEL,5,FALSE))),"")</f>
        <v/>
      </c>
      <c r="G290" s="31">
        <f t="shared" si="72"/>
        <v>0</v>
      </c>
      <c r="H290" s="31" t="str">
        <f>IF(G290=1,IFERROR(VLOOKUP(F290,Tab_ErrMessage[],2,0),VLOOKUP(C290&amp;TableCosts[[#This Row],[Calc_N_Typ]],TRAN_STRITEMS_LABEL,4,FALSE)),"")</f>
        <v/>
      </c>
      <c r="I290" s="94"/>
      <c r="J290" s="94"/>
      <c r="K290" s="94"/>
      <c r="L290" s="84"/>
      <c r="M290" s="84"/>
      <c r="N290" s="84"/>
      <c r="O290" s="84"/>
      <c r="P290" s="84"/>
      <c r="Q290" s="84"/>
      <c r="R290" s="84"/>
      <c r="S290" s="84"/>
      <c r="T290" s="84"/>
      <c r="U290" s="84"/>
      <c r="V290" s="84"/>
      <c r="W290" s="84"/>
      <c r="X290" s="84"/>
      <c r="Y290" s="84"/>
      <c r="Z290" s="84"/>
      <c r="AA290" s="84"/>
      <c r="AB290" s="84"/>
      <c r="AC290" s="84"/>
      <c r="AD290" s="84"/>
      <c r="AE290" s="84"/>
      <c r="AF290" s="84"/>
      <c r="AG290" s="84"/>
      <c r="AH290" s="84"/>
      <c r="AI290" s="84"/>
      <c r="AJ290" s="84"/>
      <c r="AK290" s="84"/>
      <c r="AL290" s="84"/>
      <c r="AM290" s="84"/>
      <c r="AN290" s="84"/>
      <c r="AO290" s="84"/>
      <c r="AP290" s="84"/>
      <c r="AQ290" s="84"/>
      <c r="AR290" s="84"/>
      <c r="AS290" s="84"/>
      <c r="AT290" s="84"/>
      <c r="AU290" s="84"/>
      <c r="AV290" s="84"/>
      <c r="AW290" s="84"/>
      <c r="AX290" s="87">
        <f t="array" ref="AX290">IF(G290=1,SUM((ROW(M0)=ROW(AW290))*(M0+M1_+M2_+M3_+M4_+M5_+M6_+M7_+M8_+M9_+M10_+M11_+M12_+M13_+M14_+M15_+M16_+M17_+M18_+M19_+M20_+M21_+M22_+M23_+M24_+M25_+M26_+M27_+M28_+M29_+M30_+M31_+M32_+M33_+M34_+M35_+M36_+M37_)),0)</f>
        <v>0</v>
      </c>
      <c r="AZ290" s="24" t="str">
        <f t="shared" si="73"/>
        <v/>
      </c>
      <c r="BA290" s="24" t="str">
        <f t="shared" si="74"/>
        <v/>
      </c>
      <c r="BB290" s="24" t="str">
        <f t="shared" si="75"/>
        <v/>
      </c>
      <c r="BC290" s="24" t="str">
        <f>IF(OR(E290="",LEFT(TableCosts[[#This Row],[Calc_N_Typ]],18)="Vynaložené náklady"),"",VLOOKUP(E290,Tab_Parts,2,0))</f>
        <v/>
      </c>
      <c r="BD290" s="24" t="str">
        <f t="shared" si="76"/>
        <v/>
      </c>
      <c r="BE290" s="24">
        <f t="shared" si="77"/>
        <v>0</v>
      </c>
      <c r="BF290" s="72">
        <f>TableCosts[[#This Row],[N_Amount]]*TableCosts[[#This Row],[N_Tariff]]*TableCosts[[#This Row],[N_ItemsCount]]</f>
        <v>0</v>
      </c>
      <c r="BG290" s="72">
        <f>IF(G290=1,IF(TableCosts[[#This Row],[N_Kateg]]="interné práce",TableCosts[[#This Row],[N_Amount]]*8*PAR_SGA_PERHOUR,0),0)</f>
        <v>0</v>
      </c>
      <c r="BH290" s="72">
        <f>SUM(TableCosts[[#This Row],[N_Direct]:[N_SGA]])</f>
        <v>0</v>
      </c>
      <c r="BI290" s="24">
        <f>IF(G290=1,IF(OR(AND(NOT(ISERROR(VLOOKUP(TableCosts[[#This Row],[Calc_N_Typ]],Cis_WorkPositions,1,0))),C290&lt;&gt;"",D290&lt;&gt;"",E290&lt;&gt;""),AND(ISERROR(VLOOKUP(TableCosts[[#This Row],[Calc_N_Typ]],Cis_WorkPositions,1,0)),C290="",D290="",E290&lt;&gt;""),LEFT(TableCosts[[#This Row],[Calc_N_Typ]],18)="Vynaložené náklady"),VLOOKUP(C290&amp;TableCosts[[#This Row],[Calc_N_Typ]],TRAN_STRITEMS_LABEL,VLOOKUP(D290,Tab_Hours,3,0),0),NA()),0)</f>
        <v>0</v>
      </c>
      <c r="BJ290" s="24">
        <f t="shared" si="78"/>
        <v>0</v>
      </c>
      <c r="BK290" s="24" t="str">
        <f t="shared" si="79"/>
        <v/>
      </c>
      <c r="BL290" s="24" t="str">
        <f t="shared" si="80"/>
        <v/>
      </c>
      <c r="BM290" s="24" t="str">
        <f>IF(G290=1,IF(TableCosts[[#This Row],[TransferFrom]]=TableCosts[[#This Row],[TranferTo]],0,1),"")</f>
        <v/>
      </c>
      <c r="BN290" s="24" t="str">
        <f t="shared" si="81"/>
        <v/>
      </c>
      <c r="BO290" s="24">
        <f t="shared" si="82"/>
        <v>0</v>
      </c>
      <c r="BP290" s="24">
        <f t="shared" si="83"/>
        <v>0</v>
      </c>
    </row>
    <row r="291" spans="2:68" s="24" customFormat="1" ht="12.75" x14ac:dyDescent="0.2">
      <c r="B291" s="97"/>
      <c r="C291" s="92"/>
      <c r="D291" s="92"/>
      <c r="E291" s="92"/>
      <c r="F291" s="31" t="str">
        <f>IF(G291=1,IF(ISERROR(TableCosts[[#This Row],[N_Tariff]]),Err_Message1,IF(TableCosts[[#This Row],[N_Tariff]]=0,Err_Message2,VLOOKUP(C291&amp;TableCosts[[#This Row],[Calc_N_Typ]],TRAN_STRITEMS_LABEL,5,FALSE))),"")</f>
        <v/>
      </c>
      <c r="G291" s="31">
        <f t="shared" si="72"/>
        <v>0</v>
      </c>
      <c r="H291" s="31" t="str">
        <f>IF(G291=1,IFERROR(VLOOKUP(F291,Tab_ErrMessage[],2,0),VLOOKUP(C291&amp;TableCosts[[#This Row],[Calc_N_Typ]],TRAN_STRITEMS_LABEL,4,FALSE)),"")</f>
        <v/>
      </c>
      <c r="I291" s="94"/>
      <c r="J291" s="94"/>
      <c r="K291" s="94"/>
      <c r="L291" s="84"/>
      <c r="M291" s="84"/>
      <c r="N291" s="84"/>
      <c r="O291" s="84"/>
      <c r="P291" s="84"/>
      <c r="Q291" s="84"/>
      <c r="R291" s="84"/>
      <c r="S291" s="84"/>
      <c r="T291" s="84"/>
      <c r="U291" s="84"/>
      <c r="V291" s="84"/>
      <c r="W291" s="84"/>
      <c r="X291" s="84"/>
      <c r="Y291" s="84"/>
      <c r="Z291" s="84"/>
      <c r="AA291" s="84"/>
      <c r="AB291" s="84"/>
      <c r="AC291" s="84"/>
      <c r="AD291" s="84"/>
      <c r="AE291" s="84"/>
      <c r="AF291" s="84"/>
      <c r="AG291" s="84"/>
      <c r="AH291" s="84"/>
      <c r="AI291" s="84"/>
      <c r="AJ291" s="84"/>
      <c r="AK291" s="84"/>
      <c r="AL291" s="84"/>
      <c r="AM291" s="84"/>
      <c r="AN291" s="84"/>
      <c r="AO291" s="84"/>
      <c r="AP291" s="84"/>
      <c r="AQ291" s="84"/>
      <c r="AR291" s="84"/>
      <c r="AS291" s="84"/>
      <c r="AT291" s="84"/>
      <c r="AU291" s="84"/>
      <c r="AV291" s="84"/>
      <c r="AW291" s="84"/>
      <c r="AX291" s="87">
        <f t="array" ref="AX291">IF(G291=1,SUM((ROW(M0)=ROW(AW291))*(M0+M1_+M2_+M3_+M4_+M5_+M6_+M7_+M8_+M9_+M10_+M11_+M12_+M13_+M14_+M15_+M16_+M17_+M18_+M19_+M20_+M21_+M22_+M23_+M24_+M25_+M26_+M27_+M28_+M29_+M30_+M31_+M32_+M33_+M34_+M35_+M36_+M37_)),0)</f>
        <v>0</v>
      </c>
      <c r="AZ291" s="24" t="str">
        <f t="shared" si="73"/>
        <v/>
      </c>
      <c r="BA291" s="24" t="str">
        <f t="shared" si="74"/>
        <v/>
      </c>
      <c r="BB291" s="24" t="str">
        <f t="shared" si="75"/>
        <v/>
      </c>
      <c r="BC291" s="24" t="str">
        <f>IF(OR(E291="",LEFT(TableCosts[[#This Row],[Calc_N_Typ]],18)="Vynaložené náklady"),"",VLOOKUP(E291,Tab_Parts,2,0))</f>
        <v/>
      </c>
      <c r="BD291" s="24" t="str">
        <f t="shared" si="76"/>
        <v/>
      </c>
      <c r="BE291" s="24">
        <f t="shared" si="77"/>
        <v>0</v>
      </c>
      <c r="BF291" s="72">
        <f>TableCosts[[#This Row],[N_Amount]]*TableCosts[[#This Row],[N_Tariff]]*TableCosts[[#This Row],[N_ItemsCount]]</f>
        <v>0</v>
      </c>
      <c r="BG291" s="72">
        <f>IF(G291=1,IF(TableCosts[[#This Row],[N_Kateg]]="interné práce",TableCosts[[#This Row],[N_Amount]]*8*PAR_SGA_PERHOUR,0),0)</f>
        <v>0</v>
      </c>
      <c r="BH291" s="72">
        <f>SUM(TableCosts[[#This Row],[N_Direct]:[N_SGA]])</f>
        <v>0</v>
      </c>
      <c r="BI291" s="24">
        <f>IF(G291=1,IF(OR(AND(NOT(ISERROR(VLOOKUP(TableCosts[[#This Row],[Calc_N_Typ]],Cis_WorkPositions,1,0))),C291&lt;&gt;"",D291&lt;&gt;"",E291&lt;&gt;""),AND(ISERROR(VLOOKUP(TableCosts[[#This Row],[Calc_N_Typ]],Cis_WorkPositions,1,0)),C291="",D291="",E291&lt;&gt;""),LEFT(TableCosts[[#This Row],[Calc_N_Typ]],18)="Vynaložené náklady"),VLOOKUP(C291&amp;TableCosts[[#This Row],[Calc_N_Typ]],TRAN_STRITEMS_LABEL,VLOOKUP(D291,Tab_Hours,3,0),0),NA()),0)</f>
        <v>0</v>
      </c>
      <c r="BJ291" s="24">
        <f t="shared" si="78"/>
        <v>0</v>
      </c>
      <c r="BK291" s="24" t="str">
        <f t="shared" si="79"/>
        <v/>
      </c>
      <c r="BL291" s="24" t="str">
        <f t="shared" si="80"/>
        <v/>
      </c>
      <c r="BM291" s="24" t="str">
        <f>IF(G291=1,IF(TableCosts[[#This Row],[TransferFrom]]=TableCosts[[#This Row],[TranferTo]],0,1),"")</f>
        <v/>
      </c>
      <c r="BN291" s="24" t="str">
        <f t="shared" si="81"/>
        <v/>
      </c>
      <c r="BO291" s="24">
        <f t="shared" si="82"/>
        <v>0</v>
      </c>
      <c r="BP291" s="24">
        <f t="shared" si="83"/>
        <v>0</v>
      </c>
    </row>
    <row r="292" spans="2:68" s="24" customFormat="1" ht="12.75" x14ac:dyDescent="0.2">
      <c r="B292" s="97"/>
      <c r="C292" s="92"/>
      <c r="D292" s="92"/>
      <c r="E292" s="92"/>
      <c r="F292" s="31" t="str">
        <f>IF(G292=1,IF(ISERROR(TableCosts[[#This Row],[N_Tariff]]),Err_Message1,IF(TableCosts[[#This Row],[N_Tariff]]=0,Err_Message2,VLOOKUP(C292&amp;TableCosts[[#This Row],[Calc_N_Typ]],TRAN_STRITEMS_LABEL,5,FALSE))),"")</f>
        <v/>
      </c>
      <c r="G292" s="31">
        <f t="shared" si="72"/>
        <v>0</v>
      </c>
      <c r="H292" s="31" t="str">
        <f>IF(G292=1,IFERROR(VLOOKUP(F292,Tab_ErrMessage[],2,0),VLOOKUP(C292&amp;TableCosts[[#This Row],[Calc_N_Typ]],TRAN_STRITEMS_LABEL,4,FALSE)),"")</f>
        <v/>
      </c>
      <c r="I292" s="94"/>
      <c r="J292" s="94"/>
      <c r="K292" s="94"/>
      <c r="L292" s="84"/>
      <c r="M292" s="84"/>
      <c r="N292" s="84"/>
      <c r="O292" s="84"/>
      <c r="P292" s="84"/>
      <c r="Q292" s="84"/>
      <c r="R292" s="84"/>
      <c r="S292" s="84"/>
      <c r="T292" s="84"/>
      <c r="U292" s="84"/>
      <c r="V292" s="84"/>
      <c r="W292" s="84"/>
      <c r="X292" s="84"/>
      <c r="Y292" s="84"/>
      <c r="Z292" s="84"/>
      <c r="AA292" s="84"/>
      <c r="AB292" s="84"/>
      <c r="AC292" s="84"/>
      <c r="AD292" s="84"/>
      <c r="AE292" s="84"/>
      <c r="AF292" s="84"/>
      <c r="AG292" s="84"/>
      <c r="AH292" s="84"/>
      <c r="AI292" s="84"/>
      <c r="AJ292" s="84"/>
      <c r="AK292" s="84"/>
      <c r="AL292" s="84"/>
      <c r="AM292" s="84"/>
      <c r="AN292" s="84"/>
      <c r="AO292" s="84"/>
      <c r="AP292" s="84"/>
      <c r="AQ292" s="84"/>
      <c r="AR292" s="84"/>
      <c r="AS292" s="84"/>
      <c r="AT292" s="84"/>
      <c r="AU292" s="84"/>
      <c r="AV292" s="84"/>
      <c r="AW292" s="84"/>
      <c r="AX292" s="87">
        <f t="array" ref="AX292">IF(G292=1,SUM((ROW(M0)=ROW(AW292))*(M0+M1_+M2_+M3_+M4_+M5_+M6_+M7_+M8_+M9_+M10_+M11_+M12_+M13_+M14_+M15_+M16_+M17_+M18_+M19_+M20_+M21_+M22_+M23_+M24_+M25_+M26_+M27_+M28_+M29_+M30_+M31_+M32_+M33_+M34_+M35_+M36_+M37_)),0)</f>
        <v>0</v>
      </c>
      <c r="AZ292" s="24" t="str">
        <f t="shared" si="73"/>
        <v/>
      </c>
      <c r="BA292" s="24" t="str">
        <f t="shared" si="74"/>
        <v/>
      </c>
      <c r="BB292" s="24" t="str">
        <f t="shared" si="75"/>
        <v/>
      </c>
      <c r="BC292" s="24" t="str">
        <f>IF(OR(E292="",LEFT(TableCosts[[#This Row],[Calc_N_Typ]],18)="Vynaložené náklady"),"",VLOOKUP(E292,Tab_Parts,2,0))</f>
        <v/>
      </c>
      <c r="BD292" s="24" t="str">
        <f t="shared" si="76"/>
        <v/>
      </c>
      <c r="BE292" s="24">
        <f t="shared" si="77"/>
        <v>0</v>
      </c>
      <c r="BF292" s="72">
        <f>TableCosts[[#This Row],[N_Amount]]*TableCosts[[#This Row],[N_Tariff]]*TableCosts[[#This Row],[N_ItemsCount]]</f>
        <v>0</v>
      </c>
      <c r="BG292" s="72">
        <f>IF(G292=1,IF(TableCosts[[#This Row],[N_Kateg]]="interné práce",TableCosts[[#This Row],[N_Amount]]*8*PAR_SGA_PERHOUR,0),0)</f>
        <v>0</v>
      </c>
      <c r="BH292" s="72">
        <f>SUM(TableCosts[[#This Row],[N_Direct]:[N_SGA]])</f>
        <v>0</v>
      </c>
      <c r="BI292" s="24">
        <f>IF(G292=1,IF(OR(AND(NOT(ISERROR(VLOOKUP(TableCosts[[#This Row],[Calc_N_Typ]],Cis_WorkPositions,1,0))),C292&lt;&gt;"",D292&lt;&gt;"",E292&lt;&gt;""),AND(ISERROR(VLOOKUP(TableCosts[[#This Row],[Calc_N_Typ]],Cis_WorkPositions,1,0)),C292="",D292="",E292&lt;&gt;""),LEFT(TableCosts[[#This Row],[Calc_N_Typ]],18)="Vynaložené náklady"),VLOOKUP(C292&amp;TableCosts[[#This Row],[Calc_N_Typ]],TRAN_STRITEMS_LABEL,VLOOKUP(D292,Tab_Hours,3,0),0),NA()),0)</f>
        <v>0</v>
      </c>
      <c r="BJ292" s="24">
        <f t="shared" si="78"/>
        <v>0</v>
      </c>
      <c r="BK292" s="24" t="str">
        <f t="shared" si="79"/>
        <v/>
      </c>
      <c r="BL292" s="24" t="str">
        <f t="shared" si="80"/>
        <v/>
      </c>
      <c r="BM292" s="24" t="str">
        <f>IF(G292=1,IF(TableCosts[[#This Row],[TransferFrom]]=TableCosts[[#This Row],[TranferTo]],0,1),"")</f>
        <v/>
      </c>
      <c r="BN292" s="24" t="str">
        <f t="shared" si="81"/>
        <v/>
      </c>
      <c r="BO292" s="24">
        <f t="shared" si="82"/>
        <v>0</v>
      </c>
      <c r="BP292" s="24">
        <f t="shared" si="83"/>
        <v>0</v>
      </c>
    </row>
    <row r="293" spans="2:68" s="24" customFormat="1" ht="12.75" x14ac:dyDescent="0.2">
      <c r="B293" s="97"/>
      <c r="C293" s="92"/>
      <c r="D293" s="92"/>
      <c r="E293" s="92"/>
      <c r="F293" s="31" t="str">
        <f>IF(G293=1,IF(ISERROR(TableCosts[[#This Row],[N_Tariff]]),Err_Message1,IF(TableCosts[[#This Row],[N_Tariff]]=0,Err_Message2,VLOOKUP(C293&amp;TableCosts[[#This Row],[Calc_N_Typ]],TRAN_STRITEMS_LABEL,5,FALSE))),"")</f>
        <v/>
      </c>
      <c r="G293" s="31">
        <f t="shared" si="72"/>
        <v>0</v>
      </c>
      <c r="H293" s="31" t="str">
        <f>IF(G293=1,IFERROR(VLOOKUP(F293,Tab_ErrMessage[],2,0),VLOOKUP(C293&amp;TableCosts[[#This Row],[Calc_N_Typ]],TRAN_STRITEMS_LABEL,4,FALSE)),"")</f>
        <v/>
      </c>
      <c r="I293" s="94"/>
      <c r="J293" s="94"/>
      <c r="K293" s="94"/>
      <c r="L293" s="84"/>
      <c r="M293" s="84"/>
      <c r="N293" s="84"/>
      <c r="O293" s="84"/>
      <c r="P293" s="84"/>
      <c r="Q293" s="84"/>
      <c r="R293" s="84"/>
      <c r="S293" s="84"/>
      <c r="T293" s="84"/>
      <c r="U293" s="84"/>
      <c r="V293" s="84"/>
      <c r="W293" s="84"/>
      <c r="X293" s="84"/>
      <c r="Y293" s="84"/>
      <c r="Z293" s="84"/>
      <c r="AA293" s="84"/>
      <c r="AB293" s="84"/>
      <c r="AC293" s="84"/>
      <c r="AD293" s="84"/>
      <c r="AE293" s="84"/>
      <c r="AF293" s="84"/>
      <c r="AG293" s="84"/>
      <c r="AH293" s="84"/>
      <c r="AI293" s="84"/>
      <c r="AJ293" s="84"/>
      <c r="AK293" s="84"/>
      <c r="AL293" s="84"/>
      <c r="AM293" s="84"/>
      <c r="AN293" s="84"/>
      <c r="AO293" s="84"/>
      <c r="AP293" s="84"/>
      <c r="AQ293" s="84"/>
      <c r="AR293" s="84"/>
      <c r="AS293" s="84"/>
      <c r="AT293" s="84"/>
      <c r="AU293" s="84"/>
      <c r="AV293" s="84"/>
      <c r="AW293" s="84"/>
      <c r="AX293" s="87">
        <f t="array" ref="AX293">IF(G293=1,SUM((ROW(M0)=ROW(AW293))*(M0+M1_+M2_+M3_+M4_+M5_+M6_+M7_+M8_+M9_+M10_+M11_+M12_+M13_+M14_+M15_+M16_+M17_+M18_+M19_+M20_+M21_+M22_+M23_+M24_+M25_+M26_+M27_+M28_+M29_+M30_+M31_+M32_+M33_+M34_+M35_+M36_+M37_)),0)</f>
        <v>0</v>
      </c>
      <c r="AZ293" s="24" t="str">
        <f t="shared" si="73"/>
        <v/>
      </c>
      <c r="BA293" s="24" t="str">
        <f t="shared" si="74"/>
        <v/>
      </c>
      <c r="BB293" s="24" t="str">
        <f t="shared" si="75"/>
        <v/>
      </c>
      <c r="BC293" s="24" t="str">
        <f>IF(OR(E293="",LEFT(TableCosts[[#This Row],[Calc_N_Typ]],18)="Vynaložené náklady"),"",VLOOKUP(E293,Tab_Parts,2,0))</f>
        <v/>
      </c>
      <c r="BD293" s="24" t="str">
        <f t="shared" si="76"/>
        <v/>
      </c>
      <c r="BE293" s="24">
        <f t="shared" si="77"/>
        <v>0</v>
      </c>
      <c r="BF293" s="72">
        <f>TableCosts[[#This Row],[N_Amount]]*TableCosts[[#This Row],[N_Tariff]]*TableCosts[[#This Row],[N_ItemsCount]]</f>
        <v>0</v>
      </c>
      <c r="BG293" s="72">
        <f>IF(G293=1,IF(TableCosts[[#This Row],[N_Kateg]]="interné práce",TableCosts[[#This Row],[N_Amount]]*8*PAR_SGA_PERHOUR,0),0)</f>
        <v>0</v>
      </c>
      <c r="BH293" s="72">
        <f>SUM(TableCosts[[#This Row],[N_Direct]:[N_SGA]])</f>
        <v>0</v>
      </c>
      <c r="BI293" s="24">
        <f>IF(G293=1,IF(OR(AND(NOT(ISERROR(VLOOKUP(TableCosts[[#This Row],[Calc_N_Typ]],Cis_WorkPositions,1,0))),C293&lt;&gt;"",D293&lt;&gt;"",E293&lt;&gt;""),AND(ISERROR(VLOOKUP(TableCosts[[#This Row],[Calc_N_Typ]],Cis_WorkPositions,1,0)),C293="",D293="",E293&lt;&gt;""),LEFT(TableCosts[[#This Row],[Calc_N_Typ]],18)="Vynaložené náklady"),VLOOKUP(C293&amp;TableCosts[[#This Row],[Calc_N_Typ]],TRAN_STRITEMS_LABEL,VLOOKUP(D293,Tab_Hours,3,0),0),NA()),0)</f>
        <v>0</v>
      </c>
      <c r="BJ293" s="24">
        <f t="shared" si="78"/>
        <v>0</v>
      </c>
      <c r="BK293" s="24" t="str">
        <f t="shared" si="79"/>
        <v/>
      </c>
      <c r="BL293" s="24" t="str">
        <f t="shared" si="80"/>
        <v/>
      </c>
      <c r="BM293" s="24" t="str">
        <f>IF(G293=1,IF(TableCosts[[#This Row],[TransferFrom]]=TableCosts[[#This Row],[TranferTo]],0,1),"")</f>
        <v/>
      </c>
      <c r="BN293" s="24" t="str">
        <f t="shared" si="81"/>
        <v/>
      </c>
      <c r="BO293" s="24">
        <f t="shared" si="82"/>
        <v>0</v>
      </c>
      <c r="BP293" s="24">
        <f t="shared" si="83"/>
        <v>0</v>
      </c>
    </row>
    <row r="294" spans="2:68" s="24" customFormat="1" ht="12.75" x14ac:dyDescent="0.2">
      <c r="B294" s="97"/>
      <c r="C294" s="92"/>
      <c r="D294" s="92"/>
      <c r="E294" s="92"/>
      <c r="F294" s="31" t="str">
        <f>IF(G294=1,IF(ISERROR(TableCosts[[#This Row],[N_Tariff]]),Err_Message1,IF(TableCosts[[#This Row],[N_Tariff]]=0,Err_Message2,VLOOKUP(C294&amp;TableCosts[[#This Row],[Calc_N_Typ]],TRAN_STRITEMS_LABEL,5,FALSE))),"")</f>
        <v/>
      </c>
      <c r="G294" s="31">
        <f t="shared" si="72"/>
        <v>0</v>
      </c>
      <c r="H294" s="31" t="str">
        <f>IF(G294=1,IFERROR(VLOOKUP(F294,Tab_ErrMessage[],2,0),VLOOKUP(C294&amp;TableCosts[[#This Row],[Calc_N_Typ]],TRAN_STRITEMS_LABEL,4,FALSE)),"")</f>
        <v/>
      </c>
      <c r="I294" s="94"/>
      <c r="J294" s="94"/>
      <c r="K294" s="94"/>
      <c r="L294" s="84"/>
      <c r="M294" s="84"/>
      <c r="N294" s="84"/>
      <c r="O294" s="84"/>
      <c r="P294" s="84"/>
      <c r="Q294" s="84"/>
      <c r="R294" s="84"/>
      <c r="S294" s="84"/>
      <c r="T294" s="84"/>
      <c r="U294" s="84"/>
      <c r="V294" s="84"/>
      <c r="W294" s="84"/>
      <c r="X294" s="84"/>
      <c r="Y294" s="84"/>
      <c r="Z294" s="84"/>
      <c r="AA294" s="84"/>
      <c r="AB294" s="84"/>
      <c r="AC294" s="84"/>
      <c r="AD294" s="84"/>
      <c r="AE294" s="84"/>
      <c r="AF294" s="84"/>
      <c r="AG294" s="84"/>
      <c r="AH294" s="84"/>
      <c r="AI294" s="84"/>
      <c r="AJ294" s="84"/>
      <c r="AK294" s="84"/>
      <c r="AL294" s="84"/>
      <c r="AM294" s="84"/>
      <c r="AN294" s="84"/>
      <c r="AO294" s="84"/>
      <c r="AP294" s="84"/>
      <c r="AQ294" s="84"/>
      <c r="AR294" s="84"/>
      <c r="AS294" s="84"/>
      <c r="AT294" s="84"/>
      <c r="AU294" s="84"/>
      <c r="AV294" s="84"/>
      <c r="AW294" s="84"/>
      <c r="AX294" s="87">
        <f t="array" ref="AX294">IF(G294=1,SUM((ROW(M0)=ROW(AW294))*(M0+M1_+M2_+M3_+M4_+M5_+M6_+M7_+M8_+M9_+M10_+M11_+M12_+M13_+M14_+M15_+M16_+M17_+M18_+M19_+M20_+M21_+M22_+M23_+M24_+M25_+M26_+M27_+M28_+M29_+M30_+M31_+M32_+M33_+M34_+M35_+M36_+M37_)),0)</f>
        <v>0</v>
      </c>
      <c r="AZ294" s="24" t="str">
        <f t="shared" si="73"/>
        <v/>
      </c>
      <c r="BA294" s="24" t="str">
        <f t="shared" si="74"/>
        <v/>
      </c>
      <c r="BB294" s="24" t="str">
        <f t="shared" si="75"/>
        <v/>
      </c>
      <c r="BC294" s="24" t="str">
        <f>IF(OR(E294="",LEFT(TableCosts[[#This Row],[Calc_N_Typ]],18)="Vynaložené náklady"),"",VLOOKUP(E294,Tab_Parts,2,0))</f>
        <v/>
      </c>
      <c r="BD294" s="24" t="str">
        <f t="shared" si="76"/>
        <v/>
      </c>
      <c r="BE294" s="24">
        <f t="shared" si="77"/>
        <v>0</v>
      </c>
      <c r="BF294" s="72">
        <f>TableCosts[[#This Row],[N_Amount]]*TableCosts[[#This Row],[N_Tariff]]*TableCosts[[#This Row],[N_ItemsCount]]</f>
        <v>0</v>
      </c>
      <c r="BG294" s="72">
        <f>IF(G294=1,IF(TableCosts[[#This Row],[N_Kateg]]="interné práce",TableCosts[[#This Row],[N_Amount]]*8*PAR_SGA_PERHOUR,0),0)</f>
        <v>0</v>
      </c>
      <c r="BH294" s="72">
        <f>SUM(TableCosts[[#This Row],[N_Direct]:[N_SGA]])</f>
        <v>0</v>
      </c>
      <c r="BI294" s="24">
        <f>IF(G294=1,IF(OR(AND(NOT(ISERROR(VLOOKUP(TableCosts[[#This Row],[Calc_N_Typ]],Cis_WorkPositions,1,0))),C294&lt;&gt;"",D294&lt;&gt;"",E294&lt;&gt;""),AND(ISERROR(VLOOKUP(TableCosts[[#This Row],[Calc_N_Typ]],Cis_WorkPositions,1,0)),C294="",D294="",E294&lt;&gt;""),LEFT(TableCosts[[#This Row],[Calc_N_Typ]],18)="Vynaložené náklady"),VLOOKUP(C294&amp;TableCosts[[#This Row],[Calc_N_Typ]],TRAN_STRITEMS_LABEL,VLOOKUP(D294,Tab_Hours,3,0),0),NA()),0)</f>
        <v>0</v>
      </c>
      <c r="BJ294" s="24">
        <f t="shared" si="78"/>
        <v>0</v>
      </c>
      <c r="BK294" s="24" t="str">
        <f t="shared" si="79"/>
        <v/>
      </c>
      <c r="BL294" s="24" t="str">
        <f t="shared" si="80"/>
        <v/>
      </c>
      <c r="BM294" s="24" t="str">
        <f>IF(G294=1,IF(TableCosts[[#This Row],[TransferFrom]]=TableCosts[[#This Row],[TranferTo]],0,1),"")</f>
        <v/>
      </c>
      <c r="BN294" s="24" t="str">
        <f t="shared" si="81"/>
        <v/>
      </c>
      <c r="BO294" s="24">
        <f t="shared" si="82"/>
        <v>0</v>
      </c>
      <c r="BP294" s="24">
        <f t="shared" si="83"/>
        <v>0</v>
      </c>
    </row>
    <row r="295" spans="2:68" s="24" customFormat="1" ht="12.75" x14ac:dyDescent="0.2">
      <c r="B295" s="97"/>
      <c r="C295" s="92"/>
      <c r="D295" s="92"/>
      <c r="E295" s="92"/>
      <c r="F295" s="31" t="str">
        <f>IF(G295=1,IF(ISERROR(TableCosts[[#This Row],[N_Tariff]]),Err_Message1,IF(TableCosts[[#This Row],[N_Tariff]]=0,Err_Message2,VLOOKUP(C295&amp;TableCosts[[#This Row],[Calc_N_Typ]],TRAN_STRITEMS_LABEL,5,FALSE))),"")</f>
        <v/>
      </c>
      <c r="G295" s="31">
        <f t="shared" si="72"/>
        <v>0</v>
      </c>
      <c r="H295" s="31" t="str">
        <f>IF(G295=1,IFERROR(VLOOKUP(F295,Tab_ErrMessage[],2,0),VLOOKUP(C295&amp;TableCosts[[#This Row],[Calc_N_Typ]],TRAN_STRITEMS_LABEL,4,FALSE)),"")</f>
        <v/>
      </c>
      <c r="I295" s="94"/>
      <c r="J295" s="94"/>
      <c r="K295" s="94"/>
      <c r="L295" s="84"/>
      <c r="M295" s="84"/>
      <c r="N295" s="84"/>
      <c r="O295" s="84"/>
      <c r="P295" s="84"/>
      <c r="Q295" s="84"/>
      <c r="R295" s="84"/>
      <c r="S295" s="84"/>
      <c r="T295" s="84"/>
      <c r="U295" s="84"/>
      <c r="V295" s="84"/>
      <c r="W295" s="84"/>
      <c r="X295" s="84"/>
      <c r="Y295" s="84"/>
      <c r="Z295" s="84"/>
      <c r="AA295" s="84"/>
      <c r="AB295" s="84"/>
      <c r="AC295" s="84"/>
      <c r="AD295" s="84"/>
      <c r="AE295" s="84"/>
      <c r="AF295" s="84"/>
      <c r="AG295" s="84"/>
      <c r="AH295" s="84"/>
      <c r="AI295" s="84"/>
      <c r="AJ295" s="84"/>
      <c r="AK295" s="84"/>
      <c r="AL295" s="84"/>
      <c r="AM295" s="84"/>
      <c r="AN295" s="84"/>
      <c r="AO295" s="84"/>
      <c r="AP295" s="84"/>
      <c r="AQ295" s="84"/>
      <c r="AR295" s="84"/>
      <c r="AS295" s="84"/>
      <c r="AT295" s="84"/>
      <c r="AU295" s="84"/>
      <c r="AV295" s="84"/>
      <c r="AW295" s="84"/>
      <c r="AX295" s="87">
        <f t="array" ref="AX295">IF(G295=1,SUM((ROW(M0)=ROW(AW295))*(M0+M1_+M2_+M3_+M4_+M5_+M6_+M7_+M8_+M9_+M10_+M11_+M12_+M13_+M14_+M15_+M16_+M17_+M18_+M19_+M20_+M21_+M22_+M23_+M24_+M25_+M26_+M27_+M28_+M29_+M30_+M31_+M32_+M33_+M34_+M35_+M36_+M37_)),0)</f>
        <v>0</v>
      </c>
      <c r="AZ295" s="24" t="str">
        <f t="shared" si="73"/>
        <v/>
      </c>
      <c r="BA295" s="24" t="str">
        <f t="shared" si="74"/>
        <v/>
      </c>
      <c r="BB295" s="24" t="str">
        <f t="shared" si="75"/>
        <v/>
      </c>
      <c r="BC295" s="24" t="str">
        <f>IF(OR(E295="",LEFT(TableCosts[[#This Row],[Calc_N_Typ]],18)="Vynaložené náklady"),"",VLOOKUP(E295,Tab_Parts,2,0))</f>
        <v/>
      </c>
      <c r="BD295" s="24" t="str">
        <f t="shared" si="76"/>
        <v/>
      </c>
      <c r="BE295" s="24">
        <f t="shared" si="77"/>
        <v>0</v>
      </c>
      <c r="BF295" s="72">
        <f>TableCosts[[#This Row],[N_Amount]]*TableCosts[[#This Row],[N_Tariff]]*TableCosts[[#This Row],[N_ItemsCount]]</f>
        <v>0</v>
      </c>
      <c r="BG295" s="72">
        <f>IF(G295=1,IF(TableCosts[[#This Row],[N_Kateg]]="interné práce",TableCosts[[#This Row],[N_Amount]]*8*PAR_SGA_PERHOUR,0),0)</f>
        <v>0</v>
      </c>
      <c r="BH295" s="72">
        <f>SUM(TableCosts[[#This Row],[N_Direct]:[N_SGA]])</f>
        <v>0</v>
      </c>
      <c r="BI295" s="24">
        <f>IF(G295=1,IF(OR(AND(NOT(ISERROR(VLOOKUP(TableCosts[[#This Row],[Calc_N_Typ]],Cis_WorkPositions,1,0))),C295&lt;&gt;"",D295&lt;&gt;"",E295&lt;&gt;""),AND(ISERROR(VLOOKUP(TableCosts[[#This Row],[Calc_N_Typ]],Cis_WorkPositions,1,0)),C295="",D295="",E295&lt;&gt;""),LEFT(TableCosts[[#This Row],[Calc_N_Typ]],18)="Vynaložené náklady"),VLOOKUP(C295&amp;TableCosts[[#This Row],[Calc_N_Typ]],TRAN_STRITEMS_LABEL,VLOOKUP(D295,Tab_Hours,3,0),0),NA()),0)</f>
        <v>0</v>
      </c>
      <c r="BJ295" s="24">
        <f t="shared" si="78"/>
        <v>0</v>
      </c>
      <c r="BK295" s="24" t="str">
        <f t="shared" si="79"/>
        <v/>
      </c>
      <c r="BL295" s="24" t="str">
        <f t="shared" si="80"/>
        <v/>
      </c>
      <c r="BM295" s="24" t="str">
        <f>IF(G295=1,IF(TableCosts[[#This Row],[TransferFrom]]=TableCosts[[#This Row],[TranferTo]],0,1),"")</f>
        <v/>
      </c>
      <c r="BN295" s="24" t="str">
        <f t="shared" si="81"/>
        <v/>
      </c>
      <c r="BO295" s="24">
        <f t="shared" si="82"/>
        <v>0</v>
      </c>
      <c r="BP295" s="24">
        <f t="shared" si="83"/>
        <v>0</v>
      </c>
    </row>
    <row r="296" spans="2:68" s="24" customFormat="1" ht="12.75" x14ac:dyDescent="0.2">
      <c r="B296" s="97"/>
      <c r="C296" s="92"/>
      <c r="D296" s="92"/>
      <c r="E296" s="92"/>
      <c r="F296" s="31" t="str">
        <f>IF(G296=1,IF(ISERROR(TableCosts[[#This Row],[N_Tariff]]),Err_Message1,IF(TableCosts[[#This Row],[N_Tariff]]=0,Err_Message2,VLOOKUP(C296&amp;TableCosts[[#This Row],[Calc_N_Typ]],TRAN_STRITEMS_LABEL,5,FALSE))),"")</f>
        <v/>
      </c>
      <c r="G296" s="31">
        <f t="shared" si="72"/>
        <v>0</v>
      </c>
      <c r="H296" s="31" t="str">
        <f>IF(G296=1,IFERROR(VLOOKUP(F296,Tab_ErrMessage[],2,0),VLOOKUP(C296&amp;TableCosts[[#This Row],[Calc_N_Typ]],TRAN_STRITEMS_LABEL,4,FALSE)),"")</f>
        <v/>
      </c>
      <c r="I296" s="94"/>
      <c r="J296" s="94"/>
      <c r="K296" s="94"/>
      <c r="L296" s="84"/>
      <c r="M296" s="84"/>
      <c r="N296" s="84"/>
      <c r="O296" s="84"/>
      <c r="P296" s="84"/>
      <c r="Q296" s="84"/>
      <c r="R296" s="84"/>
      <c r="S296" s="84"/>
      <c r="T296" s="84"/>
      <c r="U296" s="84"/>
      <c r="V296" s="84"/>
      <c r="W296" s="84"/>
      <c r="X296" s="84"/>
      <c r="Y296" s="84"/>
      <c r="Z296" s="84"/>
      <c r="AA296" s="84"/>
      <c r="AB296" s="84"/>
      <c r="AC296" s="84"/>
      <c r="AD296" s="84"/>
      <c r="AE296" s="84"/>
      <c r="AF296" s="84"/>
      <c r="AG296" s="84"/>
      <c r="AH296" s="84"/>
      <c r="AI296" s="84"/>
      <c r="AJ296" s="84"/>
      <c r="AK296" s="84"/>
      <c r="AL296" s="84"/>
      <c r="AM296" s="84"/>
      <c r="AN296" s="84"/>
      <c r="AO296" s="84"/>
      <c r="AP296" s="84"/>
      <c r="AQ296" s="84"/>
      <c r="AR296" s="84"/>
      <c r="AS296" s="84"/>
      <c r="AT296" s="84"/>
      <c r="AU296" s="84"/>
      <c r="AV296" s="84"/>
      <c r="AW296" s="84"/>
      <c r="AX296" s="87">
        <f t="array" ref="AX296">IF(G296=1,SUM((ROW(M0)=ROW(AW296))*(M0+M1_+M2_+M3_+M4_+M5_+M6_+M7_+M8_+M9_+M10_+M11_+M12_+M13_+M14_+M15_+M16_+M17_+M18_+M19_+M20_+M21_+M22_+M23_+M24_+M25_+M26_+M27_+M28_+M29_+M30_+M31_+M32_+M33_+M34_+M35_+M36_+M37_)),0)</f>
        <v>0</v>
      </c>
      <c r="AZ296" s="24" t="str">
        <f t="shared" si="73"/>
        <v/>
      </c>
      <c r="BA296" s="24" t="str">
        <f t="shared" si="74"/>
        <v/>
      </c>
      <c r="BB296" s="24" t="str">
        <f t="shared" si="75"/>
        <v/>
      </c>
      <c r="BC296" s="24" t="str">
        <f>IF(OR(E296="",LEFT(TableCosts[[#This Row],[Calc_N_Typ]],18)="Vynaložené náklady"),"",VLOOKUP(E296,Tab_Parts,2,0))</f>
        <v/>
      </c>
      <c r="BD296" s="24" t="str">
        <f t="shared" si="76"/>
        <v/>
      </c>
      <c r="BE296" s="24">
        <f t="shared" si="77"/>
        <v>0</v>
      </c>
      <c r="BF296" s="72">
        <f>TableCosts[[#This Row],[N_Amount]]*TableCosts[[#This Row],[N_Tariff]]*TableCosts[[#This Row],[N_ItemsCount]]</f>
        <v>0</v>
      </c>
      <c r="BG296" s="72">
        <f>IF(G296=1,IF(TableCosts[[#This Row],[N_Kateg]]="interné práce",TableCosts[[#This Row],[N_Amount]]*8*PAR_SGA_PERHOUR,0),0)</f>
        <v>0</v>
      </c>
      <c r="BH296" s="72">
        <f>SUM(TableCosts[[#This Row],[N_Direct]:[N_SGA]])</f>
        <v>0</v>
      </c>
      <c r="BI296" s="24">
        <f>IF(G296=1,IF(OR(AND(NOT(ISERROR(VLOOKUP(TableCosts[[#This Row],[Calc_N_Typ]],Cis_WorkPositions,1,0))),C296&lt;&gt;"",D296&lt;&gt;"",E296&lt;&gt;""),AND(ISERROR(VLOOKUP(TableCosts[[#This Row],[Calc_N_Typ]],Cis_WorkPositions,1,0)),C296="",D296="",E296&lt;&gt;""),LEFT(TableCosts[[#This Row],[Calc_N_Typ]],18)="Vynaložené náklady"),VLOOKUP(C296&amp;TableCosts[[#This Row],[Calc_N_Typ]],TRAN_STRITEMS_LABEL,VLOOKUP(D296,Tab_Hours,3,0),0),NA()),0)</f>
        <v>0</v>
      </c>
      <c r="BJ296" s="24">
        <f t="shared" si="78"/>
        <v>0</v>
      </c>
      <c r="BK296" s="24" t="str">
        <f t="shared" si="79"/>
        <v/>
      </c>
      <c r="BL296" s="24" t="str">
        <f t="shared" si="80"/>
        <v/>
      </c>
      <c r="BM296" s="24" t="str">
        <f>IF(G296=1,IF(TableCosts[[#This Row],[TransferFrom]]=TableCosts[[#This Row],[TranferTo]],0,1),"")</f>
        <v/>
      </c>
      <c r="BN296" s="24" t="str">
        <f t="shared" si="81"/>
        <v/>
      </c>
      <c r="BO296" s="24">
        <f t="shared" si="82"/>
        <v>0</v>
      </c>
      <c r="BP296" s="24">
        <f t="shared" si="83"/>
        <v>0</v>
      </c>
    </row>
    <row r="297" spans="2:68" s="24" customFormat="1" ht="12.75" x14ac:dyDescent="0.2">
      <c r="B297" s="97"/>
      <c r="C297" s="92"/>
      <c r="D297" s="92"/>
      <c r="E297" s="92"/>
      <c r="F297" s="31" t="str">
        <f>IF(G297=1,IF(ISERROR(TableCosts[[#This Row],[N_Tariff]]),Err_Message1,IF(TableCosts[[#This Row],[N_Tariff]]=0,Err_Message2,VLOOKUP(C297&amp;TableCosts[[#This Row],[Calc_N_Typ]],TRAN_STRITEMS_LABEL,5,FALSE))),"")</f>
        <v/>
      </c>
      <c r="G297" s="31">
        <f t="shared" si="72"/>
        <v>0</v>
      </c>
      <c r="H297" s="31" t="str">
        <f>IF(G297=1,IFERROR(VLOOKUP(F297,Tab_ErrMessage[],2,0),VLOOKUP(C297&amp;TableCosts[[#This Row],[Calc_N_Typ]],TRAN_STRITEMS_LABEL,4,FALSE)),"")</f>
        <v/>
      </c>
      <c r="I297" s="94"/>
      <c r="J297" s="94"/>
      <c r="K297" s="94"/>
      <c r="L297" s="84"/>
      <c r="M297" s="84"/>
      <c r="N297" s="84"/>
      <c r="O297" s="84"/>
      <c r="P297" s="84"/>
      <c r="Q297" s="84"/>
      <c r="R297" s="84"/>
      <c r="S297" s="84"/>
      <c r="T297" s="84"/>
      <c r="U297" s="84"/>
      <c r="V297" s="84"/>
      <c r="W297" s="84"/>
      <c r="X297" s="84"/>
      <c r="Y297" s="84"/>
      <c r="Z297" s="84"/>
      <c r="AA297" s="84"/>
      <c r="AB297" s="84"/>
      <c r="AC297" s="84"/>
      <c r="AD297" s="84"/>
      <c r="AE297" s="84"/>
      <c r="AF297" s="84"/>
      <c r="AG297" s="84"/>
      <c r="AH297" s="84"/>
      <c r="AI297" s="84"/>
      <c r="AJ297" s="84"/>
      <c r="AK297" s="84"/>
      <c r="AL297" s="84"/>
      <c r="AM297" s="84"/>
      <c r="AN297" s="84"/>
      <c r="AO297" s="84"/>
      <c r="AP297" s="84"/>
      <c r="AQ297" s="84"/>
      <c r="AR297" s="84"/>
      <c r="AS297" s="84"/>
      <c r="AT297" s="84"/>
      <c r="AU297" s="84"/>
      <c r="AV297" s="84"/>
      <c r="AW297" s="84"/>
      <c r="AX297" s="87">
        <f t="array" ref="AX297">IF(G297=1,SUM((ROW(M0)=ROW(AW297))*(M0+M1_+M2_+M3_+M4_+M5_+M6_+M7_+M8_+M9_+M10_+M11_+M12_+M13_+M14_+M15_+M16_+M17_+M18_+M19_+M20_+M21_+M22_+M23_+M24_+M25_+M26_+M27_+M28_+M29_+M30_+M31_+M32_+M33_+M34_+M35_+M36_+M37_)),0)</f>
        <v>0</v>
      </c>
      <c r="AZ297" s="24" t="str">
        <f t="shared" si="73"/>
        <v/>
      </c>
      <c r="BA297" s="24" t="str">
        <f t="shared" si="74"/>
        <v/>
      </c>
      <c r="BB297" s="24" t="str">
        <f t="shared" si="75"/>
        <v/>
      </c>
      <c r="BC297" s="24" t="str">
        <f>IF(OR(E297="",LEFT(TableCosts[[#This Row],[Calc_N_Typ]],18)="Vynaložené náklady"),"",VLOOKUP(E297,Tab_Parts,2,0))</f>
        <v/>
      </c>
      <c r="BD297" s="24" t="str">
        <f t="shared" si="76"/>
        <v/>
      </c>
      <c r="BE297" s="24">
        <f t="shared" si="77"/>
        <v>0</v>
      </c>
      <c r="BF297" s="72">
        <f>TableCosts[[#This Row],[N_Amount]]*TableCosts[[#This Row],[N_Tariff]]*TableCosts[[#This Row],[N_ItemsCount]]</f>
        <v>0</v>
      </c>
      <c r="BG297" s="72">
        <f>IF(G297=1,IF(TableCosts[[#This Row],[N_Kateg]]="interné práce",TableCosts[[#This Row],[N_Amount]]*8*PAR_SGA_PERHOUR,0),0)</f>
        <v>0</v>
      </c>
      <c r="BH297" s="72">
        <f>SUM(TableCosts[[#This Row],[N_Direct]:[N_SGA]])</f>
        <v>0</v>
      </c>
      <c r="BI297" s="24">
        <f>IF(G297=1,IF(OR(AND(NOT(ISERROR(VLOOKUP(TableCosts[[#This Row],[Calc_N_Typ]],Cis_WorkPositions,1,0))),C297&lt;&gt;"",D297&lt;&gt;"",E297&lt;&gt;""),AND(ISERROR(VLOOKUP(TableCosts[[#This Row],[Calc_N_Typ]],Cis_WorkPositions,1,0)),C297="",D297="",E297&lt;&gt;""),LEFT(TableCosts[[#This Row],[Calc_N_Typ]],18)="Vynaložené náklady"),VLOOKUP(C297&amp;TableCosts[[#This Row],[Calc_N_Typ]],TRAN_STRITEMS_LABEL,VLOOKUP(D297,Tab_Hours,3,0),0),NA()),0)</f>
        <v>0</v>
      </c>
      <c r="BJ297" s="24">
        <f t="shared" si="78"/>
        <v>0</v>
      </c>
      <c r="BK297" s="24" t="str">
        <f t="shared" si="79"/>
        <v/>
      </c>
      <c r="BL297" s="24" t="str">
        <f t="shared" si="80"/>
        <v/>
      </c>
      <c r="BM297" s="24" t="str">
        <f>IF(G297=1,IF(TableCosts[[#This Row],[TransferFrom]]=TableCosts[[#This Row],[TranferTo]],0,1),"")</f>
        <v/>
      </c>
      <c r="BN297" s="24" t="str">
        <f t="shared" si="81"/>
        <v/>
      </c>
      <c r="BO297" s="24">
        <f t="shared" si="82"/>
        <v>0</v>
      </c>
      <c r="BP297" s="24">
        <f t="shared" si="83"/>
        <v>0</v>
      </c>
    </row>
    <row r="298" spans="2:68" s="24" customFormat="1" ht="12.75" x14ac:dyDescent="0.2">
      <c r="B298" s="97"/>
      <c r="C298" s="92"/>
      <c r="D298" s="92"/>
      <c r="E298" s="92"/>
      <c r="F298" s="31" t="str">
        <f>IF(G298=1,IF(ISERROR(TableCosts[[#This Row],[N_Tariff]]),Err_Message1,IF(TableCosts[[#This Row],[N_Tariff]]=0,Err_Message2,VLOOKUP(C298&amp;TableCosts[[#This Row],[Calc_N_Typ]],TRAN_STRITEMS_LABEL,5,FALSE))),"")</f>
        <v/>
      </c>
      <c r="G298" s="31">
        <f t="shared" si="72"/>
        <v>0</v>
      </c>
      <c r="H298" s="31" t="str">
        <f>IF(G298=1,IFERROR(VLOOKUP(F298,Tab_ErrMessage[],2,0),VLOOKUP(C298&amp;TableCosts[[#This Row],[Calc_N_Typ]],TRAN_STRITEMS_LABEL,4,FALSE)),"")</f>
        <v/>
      </c>
      <c r="I298" s="94"/>
      <c r="J298" s="94"/>
      <c r="K298" s="94"/>
      <c r="L298" s="84"/>
      <c r="M298" s="84"/>
      <c r="N298" s="84"/>
      <c r="O298" s="84"/>
      <c r="P298" s="84"/>
      <c r="Q298" s="84"/>
      <c r="R298" s="84"/>
      <c r="S298" s="84"/>
      <c r="T298" s="84"/>
      <c r="U298" s="84"/>
      <c r="V298" s="84"/>
      <c r="W298" s="84"/>
      <c r="X298" s="84"/>
      <c r="Y298" s="84"/>
      <c r="Z298" s="84"/>
      <c r="AA298" s="84"/>
      <c r="AB298" s="84"/>
      <c r="AC298" s="84"/>
      <c r="AD298" s="84"/>
      <c r="AE298" s="84"/>
      <c r="AF298" s="84"/>
      <c r="AG298" s="84"/>
      <c r="AH298" s="84"/>
      <c r="AI298" s="84"/>
      <c r="AJ298" s="84"/>
      <c r="AK298" s="84"/>
      <c r="AL298" s="84"/>
      <c r="AM298" s="84"/>
      <c r="AN298" s="84"/>
      <c r="AO298" s="84"/>
      <c r="AP298" s="84"/>
      <c r="AQ298" s="84"/>
      <c r="AR298" s="84"/>
      <c r="AS298" s="84"/>
      <c r="AT298" s="84"/>
      <c r="AU298" s="84"/>
      <c r="AV298" s="84"/>
      <c r="AW298" s="84"/>
      <c r="AX298" s="87">
        <f t="array" ref="AX298">IF(G298=1,SUM((ROW(M0)=ROW(AW298))*(M0+M1_+M2_+M3_+M4_+M5_+M6_+M7_+M8_+M9_+M10_+M11_+M12_+M13_+M14_+M15_+M16_+M17_+M18_+M19_+M20_+M21_+M22_+M23_+M24_+M25_+M26_+M27_+M28_+M29_+M30_+M31_+M32_+M33_+M34_+M35_+M36_+M37_)),0)</f>
        <v>0</v>
      </c>
      <c r="AZ298" s="24" t="str">
        <f t="shared" si="73"/>
        <v/>
      </c>
      <c r="BA298" s="24" t="str">
        <f t="shared" si="74"/>
        <v/>
      </c>
      <c r="BB298" s="24" t="str">
        <f t="shared" si="75"/>
        <v/>
      </c>
      <c r="BC298" s="24" t="str">
        <f>IF(OR(E298="",LEFT(TableCosts[[#This Row],[Calc_N_Typ]],18)="Vynaložené náklady"),"",VLOOKUP(E298,Tab_Parts,2,0))</f>
        <v/>
      </c>
      <c r="BD298" s="24" t="str">
        <f t="shared" si="76"/>
        <v/>
      </c>
      <c r="BE298" s="24">
        <f t="shared" si="77"/>
        <v>0</v>
      </c>
      <c r="BF298" s="72">
        <f>TableCosts[[#This Row],[N_Amount]]*TableCosts[[#This Row],[N_Tariff]]*TableCosts[[#This Row],[N_ItemsCount]]</f>
        <v>0</v>
      </c>
      <c r="BG298" s="72">
        <f>IF(G298=1,IF(TableCosts[[#This Row],[N_Kateg]]="interné práce",TableCosts[[#This Row],[N_Amount]]*8*PAR_SGA_PERHOUR,0),0)</f>
        <v>0</v>
      </c>
      <c r="BH298" s="72">
        <f>SUM(TableCosts[[#This Row],[N_Direct]:[N_SGA]])</f>
        <v>0</v>
      </c>
      <c r="BI298" s="24">
        <f>IF(G298=1,IF(OR(AND(NOT(ISERROR(VLOOKUP(TableCosts[[#This Row],[Calc_N_Typ]],Cis_WorkPositions,1,0))),C298&lt;&gt;"",D298&lt;&gt;"",E298&lt;&gt;""),AND(ISERROR(VLOOKUP(TableCosts[[#This Row],[Calc_N_Typ]],Cis_WorkPositions,1,0)),C298="",D298="",E298&lt;&gt;""),LEFT(TableCosts[[#This Row],[Calc_N_Typ]],18)="Vynaložené náklady"),VLOOKUP(C298&amp;TableCosts[[#This Row],[Calc_N_Typ]],TRAN_STRITEMS_LABEL,VLOOKUP(D298,Tab_Hours,3,0),0),NA()),0)</f>
        <v>0</v>
      </c>
      <c r="BJ298" s="24">
        <f t="shared" si="78"/>
        <v>0</v>
      </c>
      <c r="BK298" s="24" t="str">
        <f t="shared" si="79"/>
        <v/>
      </c>
      <c r="BL298" s="24" t="str">
        <f t="shared" si="80"/>
        <v/>
      </c>
      <c r="BM298" s="24" t="str">
        <f>IF(G298=1,IF(TableCosts[[#This Row],[TransferFrom]]=TableCosts[[#This Row],[TranferTo]],0,1),"")</f>
        <v/>
      </c>
      <c r="BN298" s="24" t="str">
        <f t="shared" si="81"/>
        <v/>
      </c>
      <c r="BO298" s="24">
        <f t="shared" si="82"/>
        <v>0</v>
      </c>
      <c r="BP298" s="24">
        <f t="shared" si="83"/>
        <v>0</v>
      </c>
    </row>
    <row r="299" spans="2:68" s="24" customFormat="1" ht="12.75" x14ac:dyDescent="0.2">
      <c r="B299" s="97"/>
      <c r="C299" s="92"/>
      <c r="D299" s="92"/>
      <c r="E299" s="92"/>
      <c r="F299" s="31" t="str">
        <f>IF(G299=1,IF(ISERROR(TableCosts[[#This Row],[N_Tariff]]),Err_Message1,IF(TableCosts[[#This Row],[N_Tariff]]=0,Err_Message2,VLOOKUP(C299&amp;TableCosts[[#This Row],[Calc_N_Typ]],TRAN_STRITEMS_LABEL,5,FALSE))),"")</f>
        <v/>
      </c>
      <c r="G299" s="31">
        <f t="shared" si="72"/>
        <v>0</v>
      </c>
      <c r="H299" s="31" t="str">
        <f>IF(G299=1,IFERROR(VLOOKUP(F299,Tab_ErrMessage[],2,0),VLOOKUP(C299&amp;TableCosts[[#This Row],[Calc_N_Typ]],TRAN_STRITEMS_LABEL,4,FALSE)),"")</f>
        <v/>
      </c>
      <c r="I299" s="94"/>
      <c r="J299" s="94"/>
      <c r="K299" s="94"/>
      <c r="L299" s="84"/>
      <c r="M299" s="84"/>
      <c r="N299" s="84"/>
      <c r="O299" s="84"/>
      <c r="P299" s="84"/>
      <c r="Q299" s="84"/>
      <c r="R299" s="84"/>
      <c r="S299" s="84"/>
      <c r="T299" s="84"/>
      <c r="U299" s="84"/>
      <c r="V299" s="84"/>
      <c r="W299" s="84"/>
      <c r="X299" s="84"/>
      <c r="Y299" s="84"/>
      <c r="Z299" s="84"/>
      <c r="AA299" s="84"/>
      <c r="AB299" s="84"/>
      <c r="AC299" s="84"/>
      <c r="AD299" s="84"/>
      <c r="AE299" s="84"/>
      <c r="AF299" s="84"/>
      <c r="AG299" s="84"/>
      <c r="AH299" s="84"/>
      <c r="AI299" s="84"/>
      <c r="AJ299" s="84"/>
      <c r="AK299" s="84"/>
      <c r="AL299" s="84"/>
      <c r="AM299" s="84"/>
      <c r="AN299" s="84"/>
      <c r="AO299" s="84"/>
      <c r="AP299" s="84"/>
      <c r="AQ299" s="84"/>
      <c r="AR299" s="84"/>
      <c r="AS299" s="84"/>
      <c r="AT299" s="84"/>
      <c r="AU299" s="84"/>
      <c r="AV299" s="84"/>
      <c r="AW299" s="84"/>
      <c r="AX299" s="87">
        <f t="array" ref="AX299">IF(G299=1,SUM((ROW(M0)=ROW(AW299))*(M0+M1_+M2_+M3_+M4_+M5_+M6_+M7_+M8_+M9_+M10_+M11_+M12_+M13_+M14_+M15_+M16_+M17_+M18_+M19_+M20_+M21_+M22_+M23_+M24_+M25_+M26_+M27_+M28_+M29_+M30_+M31_+M32_+M33_+M34_+M35_+M36_+M37_)),0)</f>
        <v>0</v>
      </c>
      <c r="AZ299" s="24" t="str">
        <f t="shared" si="73"/>
        <v/>
      </c>
      <c r="BA299" s="24" t="str">
        <f t="shared" si="74"/>
        <v/>
      </c>
      <c r="BB299" s="24" t="str">
        <f t="shared" si="75"/>
        <v/>
      </c>
      <c r="BC299" s="24" t="str">
        <f>IF(OR(E299="",LEFT(TableCosts[[#This Row],[Calc_N_Typ]],18)="Vynaložené náklady"),"",VLOOKUP(E299,Tab_Parts,2,0))</f>
        <v/>
      </c>
      <c r="BD299" s="24" t="str">
        <f t="shared" si="76"/>
        <v/>
      </c>
      <c r="BE299" s="24">
        <f t="shared" si="77"/>
        <v>0</v>
      </c>
      <c r="BF299" s="72">
        <f>TableCosts[[#This Row],[N_Amount]]*TableCosts[[#This Row],[N_Tariff]]*TableCosts[[#This Row],[N_ItemsCount]]</f>
        <v>0</v>
      </c>
      <c r="BG299" s="72">
        <f>IF(G299=1,IF(TableCosts[[#This Row],[N_Kateg]]="interné práce",TableCosts[[#This Row],[N_Amount]]*8*PAR_SGA_PERHOUR,0),0)</f>
        <v>0</v>
      </c>
      <c r="BH299" s="72">
        <f>SUM(TableCosts[[#This Row],[N_Direct]:[N_SGA]])</f>
        <v>0</v>
      </c>
      <c r="BI299" s="24">
        <f>IF(G299=1,IF(OR(AND(NOT(ISERROR(VLOOKUP(TableCosts[[#This Row],[Calc_N_Typ]],Cis_WorkPositions,1,0))),C299&lt;&gt;"",D299&lt;&gt;"",E299&lt;&gt;""),AND(ISERROR(VLOOKUP(TableCosts[[#This Row],[Calc_N_Typ]],Cis_WorkPositions,1,0)),C299="",D299="",E299&lt;&gt;""),LEFT(TableCosts[[#This Row],[Calc_N_Typ]],18)="Vynaložené náklady"),VLOOKUP(C299&amp;TableCosts[[#This Row],[Calc_N_Typ]],TRAN_STRITEMS_LABEL,VLOOKUP(D299,Tab_Hours,3,0),0),NA()),0)</f>
        <v>0</v>
      </c>
      <c r="BJ299" s="24">
        <f t="shared" si="78"/>
        <v>0</v>
      </c>
      <c r="BK299" s="24" t="str">
        <f t="shared" si="79"/>
        <v/>
      </c>
      <c r="BL299" s="24" t="str">
        <f t="shared" si="80"/>
        <v/>
      </c>
      <c r="BM299" s="24" t="str">
        <f>IF(G299=1,IF(TableCosts[[#This Row],[TransferFrom]]=TableCosts[[#This Row],[TranferTo]],0,1),"")</f>
        <v/>
      </c>
      <c r="BN299" s="24" t="str">
        <f t="shared" si="81"/>
        <v/>
      </c>
      <c r="BO299" s="24">
        <f t="shared" si="82"/>
        <v>0</v>
      </c>
      <c r="BP299" s="24">
        <f t="shared" si="83"/>
        <v>0</v>
      </c>
    </row>
    <row r="300" spans="2:68" s="24" customFormat="1" ht="12.75" x14ac:dyDescent="0.2">
      <c r="B300" s="97"/>
      <c r="C300" s="92"/>
      <c r="D300" s="92"/>
      <c r="E300" s="92"/>
      <c r="F300" s="31" t="str">
        <f>IF(G300=1,IF(ISERROR(TableCosts[[#This Row],[N_Tariff]]),Err_Message1,IF(TableCosts[[#This Row],[N_Tariff]]=0,Err_Message2,VLOOKUP(C300&amp;TableCosts[[#This Row],[Calc_N_Typ]],TRAN_STRITEMS_LABEL,5,FALSE))),"")</f>
        <v/>
      </c>
      <c r="G300" s="31">
        <f t="shared" si="72"/>
        <v>0</v>
      </c>
      <c r="H300" s="31" t="str">
        <f>IF(G300=1,IFERROR(VLOOKUP(F300,Tab_ErrMessage[],2,0),VLOOKUP(C300&amp;TableCosts[[#This Row],[Calc_N_Typ]],TRAN_STRITEMS_LABEL,4,FALSE)),"")</f>
        <v/>
      </c>
      <c r="I300" s="94"/>
      <c r="J300" s="94"/>
      <c r="K300" s="94"/>
      <c r="L300" s="84"/>
      <c r="M300" s="84"/>
      <c r="N300" s="84"/>
      <c r="O300" s="84"/>
      <c r="P300" s="84"/>
      <c r="Q300" s="84"/>
      <c r="R300" s="84"/>
      <c r="S300" s="84"/>
      <c r="T300" s="84"/>
      <c r="U300" s="84"/>
      <c r="V300" s="84"/>
      <c r="W300" s="84"/>
      <c r="X300" s="84"/>
      <c r="Y300" s="84"/>
      <c r="Z300" s="84"/>
      <c r="AA300" s="84"/>
      <c r="AB300" s="84"/>
      <c r="AC300" s="84"/>
      <c r="AD300" s="84"/>
      <c r="AE300" s="84"/>
      <c r="AF300" s="84"/>
      <c r="AG300" s="84"/>
      <c r="AH300" s="84"/>
      <c r="AI300" s="84"/>
      <c r="AJ300" s="84"/>
      <c r="AK300" s="84"/>
      <c r="AL300" s="84"/>
      <c r="AM300" s="84"/>
      <c r="AN300" s="84"/>
      <c r="AO300" s="84"/>
      <c r="AP300" s="84"/>
      <c r="AQ300" s="84"/>
      <c r="AR300" s="84"/>
      <c r="AS300" s="84"/>
      <c r="AT300" s="84"/>
      <c r="AU300" s="84"/>
      <c r="AV300" s="84"/>
      <c r="AW300" s="84"/>
      <c r="AX300" s="87">
        <f t="array" ref="AX300">IF(G300=1,SUM((ROW(M0)=ROW(AW300))*(M0+M1_+M2_+M3_+M4_+M5_+M6_+M7_+M8_+M9_+M10_+M11_+M12_+M13_+M14_+M15_+M16_+M17_+M18_+M19_+M20_+M21_+M22_+M23_+M24_+M25_+M26_+M27_+M28_+M29_+M30_+M31_+M32_+M33_+M34_+M35_+M36_+M37_)),0)</f>
        <v>0</v>
      </c>
      <c r="AZ300" s="24" t="str">
        <f t="shared" si="73"/>
        <v/>
      </c>
      <c r="BA300" s="24" t="str">
        <f t="shared" si="74"/>
        <v/>
      </c>
      <c r="BB300" s="24" t="str">
        <f t="shared" si="75"/>
        <v/>
      </c>
      <c r="BC300" s="24" t="str">
        <f>IF(OR(E300="",LEFT(TableCosts[[#This Row],[Calc_N_Typ]],18)="Vynaložené náklady"),"",VLOOKUP(E300,Tab_Parts,2,0))</f>
        <v/>
      </c>
      <c r="BD300" s="24" t="str">
        <f t="shared" si="76"/>
        <v/>
      </c>
      <c r="BE300" s="24">
        <f t="shared" si="77"/>
        <v>0</v>
      </c>
      <c r="BF300" s="72">
        <f>TableCosts[[#This Row],[N_Amount]]*TableCosts[[#This Row],[N_Tariff]]*TableCosts[[#This Row],[N_ItemsCount]]</f>
        <v>0</v>
      </c>
      <c r="BG300" s="72">
        <f>IF(G300=1,IF(TableCosts[[#This Row],[N_Kateg]]="interné práce",TableCosts[[#This Row],[N_Amount]]*8*PAR_SGA_PERHOUR,0),0)</f>
        <v>0</v>
      </c>
      <c r="BH300" s="72">
        <f>SUM(TableCosts[[#This Row],[N_Direct]:[N_SGA]])</f>
        <v>0</v>
      </c>
      <c r="BI300" s="24">
        <f>IF(G300=1,IF(OR(AND(NOT(ISERROR(VLOOKUP(TableCosts[[#This Row],[Calc_N_Typ]],Cis_WorkPositions,1,0))),C300&lt;&gt;"",D300&lt;&gt;"",E300&lt;&gt;""),AND(ISERROR(VLOOKUP(TableCosts[[#This Row],[Calc_N_Typ]],Cis_WorkPositions,1,0)),C300="",D300="",E300&lt;&gt;""),LEFT(TableCosts[[#This Row],[Calc_N_Typ]],18)="Vynaložené náklady"),VLOOKUP(C300&amp;TableCosts[[#This Row],[Calc_N_Typ]],TRAN_STRITEMS_LABEL,VLOOKUP(D300,Tab_Hours,3,0),0),NA()),0)</f>
        <v>0</v>
      </c>
      <c r="BJ300" s="24">
        <f t="shared" si="78"/>
        <v>0</v>
      </c>
      <c r="BK300" s="24" t="str">
        <f t="shared" si="79"/>
        <v/>
      </c>
      <c r="BL300" s="24" t="str">
        <f t="shared" si="80"/>
        <v/>
      </c>
      <c r="BM300" s="24" t="str">
        <f>IF(G300=1,IF(TableCosts[[#This Row],[TransferFrom]]=TableCosts[[#This Row],[TranferTo]],0,1),"")</f>
        <v/>
      </c>
      <c r="BN300" s="24" t="str">
        <f t="shared" si="81"/>
        <v/>
      </c>
      <c r="BO300" s="24">
        <f t="shared" si="82"/>
        <v>0</v>
      </c>
      <c r="BP300" s="24">
        <f t="shared" si="83"/>
        <v>0</v>
      </c>
    </row>
    <row r="301" spans="2:68" s="24" customFormat="1" ht="12.75" x14ac:dyDescent="0.2">
      <c r="B301" s="97"/>
      <c r="C301" s="92"/>
      <c r="D301" s="92"/>
      <c r="E301" s="92"/>
      <c r="F301" s="31" t="str">
        <f>IF(G301=1,IF(ISERROR(TableCosts[[#This Row],[N_Tariff]]),Err_Message1,IF(TableCosts[[#This Row],[N_Tariff]]=0,Err_Message2,VLOOKUP(C301&amp;TableCosts[[#This Row],[Calc_N_Typ]],TRAN_STRITEMS_LABEL,5,FALSE))),"")</f>
        <v/>
      </c>
      <c r="G301" s="31">
        <f t="shared" si="72"/>
        <v>0</v>
      </c>
      <c r="H301" s="31" t="str">
        <f>IF(G301=1,IFERROR(VLOOKUP(F301,Tab_ErrMessage[],2,0),VLOOKUP(C301&amp;TableCosts[[#This Row],[Calc_N_Typ]],TRAN_STRITEMS_LABEL,4,FALSE)),"")</f>
        <v/>
      </c>
      <c r="I301" s="94"/>
      <c r="J301" s="94"/>
      <c r="K301" s="94"/>
      <c r="L301" s="84"/>
      <c r="M301" s="84"/>
      <c r="N301" s="84"/>
      <c r="O301" s="84"/>
      <c r="P301" s="84"/>
      <c r="Q301" s="84"/>
      <c r="R301" s="84"/>
      <c r="S301" s="84"/>
      <c r="T301" s="84"/>
      <c r="U301" s="84"/>
      <c r="V301" s="84"/>
      <c r="W301" s="84"/>
      <c r="X301" s="84"/>
      <c r="Y301" s="84"/>
      <c r="Z301" s="84"/>
      <c r="AA301" s="84"/>
      <c r="AB301" s="84"/>
      <c r="AC301" s="84"/>
      <c r="AD301" s="84"/>
      <c r="AE301" s="84"/>
      <c r="AF301" s="84"/>
      <c r="AG301" s="84"/>
      <c r="AH301" s="84"/>
      <c r="AI301" s="84"/>
      <c r="AJ301" s="84"/>
      <c r="AK301" s="84"/>
      <c r="AL301" s="84"/>
      <c r="AM301" s="84"/>
      <c r="AN301" s="84"/>
      <c r="AO301" s="84"/>
      <c r="AP301" s="84"/>
      <c r="AQ301" s="84"/>
      <c r="AR301" s="84"/>
      <c r="AS301" s="84"/>
      <c r="AT301" s="84"/>
      <c r="AU301" s="84"/>
      <c r="AV301" s="84"/>
      <c r="AW301" s="84"/>
      <c r="AX301" s="87">
        <f t="array" ref="AX301">IF(G301=1,SUM((ROW(M0)=ROW(AW301))*(M0+M1_+M2_+M3_+M4_+M5_+M6_+M7_+M8_+M9_+M10_+M11_+M12_+M13_+M14_+M15_+M16_+M17_+M18_+M19_+M20_+M21_+M22_+M23_+M24_+M25_+M26_+M27_+M28_+M29_+M30_+M31_+M32_+M33_+M34_+M35_+M36_+M37_)),0)</f>
        <v>0</v>
      </c>
      <c r="AZ301" s="24" t="str">
        <f t="shared" si="73"/>
        <v/>
      </c>
      <c r="BA301" s="24" t="str">
        <f t="shared" si="74"/>
        <v/>
      </c>
      <c r="BB301" s="24" t="str">
        <f t="shared" si="75"/>
        <v/>
      </c>
      <c r="BC301" s="24" t="str">
        <f>IF(OR(E301="",LEFT(TableCosts[[#This Row],[Calc_N_Typ]],18)="Vynaložené náklady"),"",VLOOKUP(E301,Tab_Parts,2,0))</f>
        <v/>
      </c>
      <c r="BD301" s="24" t="str">
        <f t="shared" si="76"/>
        <v/>
      </c>
      <c r="BE301" s="24">
        <f t="shared" si="77"/>
        <v>0</v>
      </c>
      <c r="BF301" s="72">
        <f>TableCosts[[#This Row],[N_Amount]]*TableCosts[[#This Row],[N_Tariff]]*TableCosts[[#This Row],[N_ItemsCount]]</f>
        <v>0</v>
      </c>
      <c r="BG301" s="72">
        <f>IF(G301=1,IF(TableCosts[[#This Row],[N_Kateg]]="interné práce",TableCosts[[#This Row],[N_Amount]]*8*PAR_SGA_PERHOUR,0),0)</f>
        <v>0</v>
      </c>
      <c r="BH301" s="72">
        <f>SUM(TableCosts[[#This Row],[N_Direct]:[N_SGA]])</f>
        <v>0</v>
      </c>
      <c r="BI301" s="24">
        <f>IF(G301=1,IF(OR(AND(NOT(ISERROR(VLOOKUP(TableCosts[[#This Row],[Calc_N_Typ]],Cis_WorkPositions,1,0))),C301&lt;&gt;"",D301&lt;&gt;"",E301&lt;&gt;""),AND(ISERROR(VLOOKUP(TableCosts[[#This Row],[Calc_N_Typ]],Cis_WorkPositions,1,0)),C301="",D301="",E301&lt;&gt;""),LEFT(TableCosts[[#This Row],[Calc_N_Typ]],18)="Vynaložené náklady"),VLOOKUP(C301&amp;TableCosts[[#This Row],[Calc_N_Typ]],TRAN_STRITEMS_LABEL,VLOOKUP(D301,Tab_Hours,3,0),0),NA()),0)</f>
        <v>0</v>
      </c>
      <c r="BJ301" s="24">
        <f t="shared" si="78"/>
        <v>0</v>
      </c>
      <c r="BK301" s="24" t="str">
        <f t="shared" si="79"/>
        <v/>
      </c>
      <c r="BL301" s="24" t="str">
        <f t="shared" si="80"/>
        <v/>
      </c>
      <c r="BM301" s="24" t="str">
        <f>IF(G301=1,IF(TableCosts[[#This Row],[TransferFrom]]=TableCosts[[#This Row],[TranferTo]],0,1),"")</f>
        <v/>
      </c>
      <c r="BN301" s="24" t="str">
        <f t="shared" si="81"/>
        <v/>
      </c>
      <c r="BO301" s="24">
        <f t="shared" si="82"/>
        <v>0</v>
      </c>
      <c r="BP301" s="24">
        <f t="shared" si="83"/>
        <v>0</v>
      </c>
    </row>
    <row r="302" spans="2:68" s="24" customFormat="1" ht="12.75" x14ac:dyDescent="0.2">
      <c r="B302" s="97"/>
      <c r="C302" s="92"/>
      <c r="D302" s="92"/>
      <c r="E302" s="92"/>
      <c r="F302" s="31" t="str">
        <f>IF(G302=1,IF(ISERROR(TableCosts[[#This Row],[N_Tariff]]),Err_Message1,IF(TableCosts[[#This Row],[N_Tariff]]=0,Err_Message2,VLOOKUP(C302&amp;TableCosts[[#This Row],[Calc_N_Typ]],TRAN_STRITEMS_LABEL,5,FALSE))),"")</f>
        <v/>
      </c>
      <c r="G302" s="31">
        <f t="shared" si="72"/>
        <v>0</v>
      </c>
      <c r="H302" s="31" t="str">
        <f>IF(G302=1,IFERROR(VLOOKUP(F302,Tab_ErrMessage[],2,0),VLOOKUP(C302&amp;TableCosts[[#This Row],[Calc_N_Typ]],TRAN_STRITEMS_LABEL,4,FALSE)),"")</f>
        <v/>
      </c>
      <c r="I302" s="94"/>
      <c r="J302" s="94"/>
      <c r="K302" s="94"/>
      <c r="L302" s="84"/>
      <c r="M302" s="84"/>
      <c r="N302" s="84"/>
      <c r="O302" s="84"/>
      <c r="P302" s="84"/>
      <c r="Q302" s="84"/>
      <c r="R302" s="84"/>
      <c r="S302" s="84"/>
      <c r="T302" s="84"/>
      <c r="U302" s="84"/>
      <c r="V302" s="84"/>
      <c r="W302" s="84"/>
      <c r="X302" s="84"/>
      <c r="Y302" s="84"/>
      <c r="Z302" s="84"/>
      <c r="AA302" s="84"/>
      <c r="AB302" s="84"/>
      <c r="AC302" s="84"/>
      <c r="AD302" s="84"/>
      <c r="AE302" s="84"/>
      <c r="AF302" s="84"/>
      <c r="AG302" s="84"/>
      <c r="AH302" s="84"/>
      <c r="AI302" s="84"/>
      <c r="AJ302" s="84"/>
      <c r="AK302" s="84"/>
      <c r="AL302" s="84"/>
      <c r="AM302" s="84"/>
      <c r="AN302" s="84"/>
      <c r="AO302" s="84"/>
      <c r="AP302" s="84"/>
      <c r="AQ302" s="84"/>
      <c r="AR302" s="84"/>
      <c r="AS302" s="84"/>
      <c r="AT302" s="84"/>
      <c r="AU302" s="84"/>
      <c r="AV302" s="84"/>
      <c r="AW302" s="84"/>
      <c r="AX302" s="87">
        <f t="array" ref="AX302">IF(G302=1,SUM((ROW(M0)=ROW(AW302))*(M0+M1_+M2_+M3_+M4_+M5_+M6_+M7_+M8_+M9_+M10_+M11_+M12_+M13_+M14_+M15_+M16_+M17_+M18_+M19_+M20_+M21_+M22_+M23_+M24_+M25_+M26_+M27_+M28_+M29_+M30_+M31_+M32_+M33_+M34_+M35_+M36_+M37_)),0)</f>
        <v>0</v>
      </c>
      <c r="AZ302" s="24" t="str">
        <f t="shared" si="73"/>
        <v/>
      </c>
      <c r="BA302" s="24" t="str">
        <f t="shared" si="74"/>
        <v/>
      </c>
      <c r="BB302" s="24" t="str">
        <f t="shared" si="75"/>
        <v/>
      </c>
      <c r="BC302" s="24" t="str">
        <f>IF(OR(E302="",LEFT(TableCosts[[#This Row],[Calc_N_Typ]],18)="Vynaložené náklady"),"",VLOOKUP(E302,Tab_Parts,2,0))</f>
        <v/>
      </c>
      <c r="BD302" s="24" t="str">
        <f t="shared" si="76"/>
        <v/>
      </c>
      <c r="BE302" s="24">
        <f t="shared" si="77"/>
        <v>0</v>
      </c>
      <c r="BF302" s="72">
        <f>TableCosts[[#This Row],[N_Amount]]*TableCosts[[#This Row],[N_Tariff]]*TableCosts[[#This Row],[N_ItemsCount]]</f>
        <v>0</v>
      </c>
      <c r="BG302" s="72">
        <f>IF(G302=1,IF(TableCosts[[#This Row],[N_Kateg]]="interné práce",TableCosts[[#This Row],[N_Amount]]*8*PAR_SGA_PERHOUR,0),0)</f>
        <v>0</v>
      </c>
      <c r="BH302" s="72">
        <f>SUM(TableCosts[[#This Row],[N_Direct]:[N_SGA]])</f>
        <v>0</v>
      </c>
      <c r="BI302" s="24">
        <f>IF(G302=1,IF(OR(AND(NOT(ISERROR(VLOOKUP(TableCosts[[#This Row],[Calc_N_Typ]],Cis_WorkPositions,1,0))),C302&lt;&gt;"",D302&lt;&gt;"",E302&lt;&gt;""),AND(ISERROR(VLOOKUP(TableCosts[[#This Row],[Calc_N_Typ]],Cis_WorkPositions,1,0)),C302="",D302="",E302&lt;&gt;""),LEFT(TableCosts[[#This Row],[Calc_N_Typ]],18)="Vynaložené náklady"),VLOOKUP(C302&amp;TableCosts[[#This Row],[Calc_N_Typ]],TRAN_STRITEMS_LABEL,VLOOKUP(D302,Tab_Hours,3,0),0),NA()),0)</f>
        <v>0</v>
      </c>
      <c r="BJ302" s="24">
        <f t="shared" si="78"/>
        <v>0</v>
      </c>
      <c r="BK302" s="24" t="str">
        <f t="shared" si="79"/>
        <v/>
      </c>
      <c r="BL302" s="24" t="str">
        <f t="shared" si="80"/>
        <v/>
      </c>
      <c r="BM302" s="24" t="str">
        <f>IF(G302=1,IF(TableCosts[[#This Row],[TransferFrom]]=TableCosts[[#This Row],[TranferTo]],0,1),"")</f>
        <v/>
      </c>
      <c r="BN302" s="24" t="str">
        <f t="shared" si="81"/>
        <v/>
      </c>
      <c r="BO302" s="24">
        <f t="shared" si="82"/>
        <v>0</v>
      </c>
      <c r="BP302" s="24">
        <f t="shared" si="83"/>
        <v>0</v>
      </c>
    </row>
    <row r="303" spans="2:68" s="24" customFormat="1" ht="12.75" x14ac:dyDescent="0.2">
      <c r="B303" s="97"/>
      <c r="C303" s="92"/>
      <c r="D303" s="92"/>
      <c r="E303" s="92"/>
      <c r="F303" s="31" t="str">
        <f>IF(G303=1,IF(ISERROR(TableCosts[[#This Row],[N_Tariff]]),Err_Message1,IF(TableCosts[[#This Row],[N_Tariff]]=0,Err_Message2,VLOOKUP(C303&amp;TableCosts[[#This Row],[Calc_N_Typ]],TRAN_STRITEMS_LABEL,5,FALSE))),"")</f>
        <v/>
      </c>
      <c r="G303" s="31">
        <f t="shared" si="72"/>
        <v>0</v>
      </c>
      <c r="H303" s="31" t="str">
        <f>IF(G303=1,IFERROR(VLOOKUP(F303,Tab_ErrMessage[],2,0),VLOOKUP(C303&amp;TableCosts[[#This Row],[Calc_N_Typ]],TRAN_STRITEMS_LABEL,4,FALSE)),"")</f>
        <v/>
      </c>
      <c r="I303" s="94"/>
      <c r="J303" s="94"/>
      <c r="K303" s="94"/>
      <c r="L303" s="84"/>
      <c r="M303" s="84"/>
      <c r="N303" s="84"/>
      <c r="O303" s="84"/>
      <c r="P303" s="84"/>
      <c r="Q303" s="84"/>
      <c r="R303" s="84"/>
      <c r="S303" s="84"/>
      <c r="T303" s="84"/>
      <c r="U303" s="84"/>
      <c r="V303" s="84"/>
      <c r="W303" s="84"/>
      <c r="X303" s="84"/>
      <c r="Y303" s="84"/>
      <c r="Z303" s="84"/>
      <c r="AA303" s="84"/>
      <c r="AB303" s="84"/>
      <c r="AC303" s="84"/>
      <c r="AD303" s="84"/>
      <c r="AE303" s="84"/>
      <c r="AF303" s="84"/>
      <c r="AG303" s="84"/>
      <c r="AH303" s="84"/>
      <c r="AI303" s="84"/>
      <c r="AJ303" s="84"/>
      <c r="AK303" s="84"/>
      <c r="AL303" s="84"/>
      <c r="AM303" s="84"/>
      <c r="AN303" s="84"/>
      <c r="AO303" s="84"/>
      <c r="AP303" s="84"/>
      <c r="AQ303" s="84"/>
      <c r="AR303" s="84"/>
      <c r="AS303" s="84"/>
      <c r="AT303" s="84"/>
      <c r="AU303" s="84"/>
      <c r="AV303" s="84"/>
      <c r="AW303" s="84"/>
      <c r="AX303" s="87">
        <f t="array" ref="AX303">IF(G303=1,SUM((ROW(M0)=ROW(AW303))*(M0+M1_+M2_+M3_+M4_+M5_+M6_+M7_+M8_+M9_+M10_+M11_+M12_+M13_+M14_+M15_+M16_+M17_+M18_+M19_+M20_+M21_+M22_+M23_+M24_+M25_+M26_+M27_+M28_+M29_+M30_+M31_+M32_+M33_+M34_+M35_+M36_+M37_)),0)</f>
        <v>0</v>
      </c>
      <c r="AZ303" s="24" t="str">
        <f t="shared" si="73"/>
        <v/>
      </c>
      <c r="BA303" s="24" t="str">
        <f t="shared" si="74"/>
        <v/>
      </c>
      <c r="BB303" s="24" t="str">
        <f t="shared" si="75"/>
        <v/>
      </c>
      <c r="BC303" s="24" t="str">
        <f>IF(OR(E303="",LEFT(TableCosts[[#This Row],[Calc_N_Typ]],18)="Vynaložené náklady"),"",VLOOKUP(E303,Tab_Parts,2,0))</f>
        <v/>
      </c>
      <c r="BD303" s="24" t="str">
        <f t="shared" si="76"/>
        <v/>
      </c>
      <c r="BE303" s="24">
        <f t="shared" si="77"/>
        <v>0</v>
      </c>
      <c r="BF303" s="72">
        <f>TableCosts[[#This Row],[N_Amount]]*TableCosts[[#This Row],[N_Tariff]]*TableCosts[[#This Row],[N_ItemsCount]]</f>
        <v>0</v>
      </c>
      <c r="BG303" s="72">
        <f>IF(G303=1,IF(TableCosts[[#This Row],[N_Kateg]]="interné práce",TableCosts[[#This Row],[N_Amount]]*8*PAR_SGA_PERHOUR,0),0)</f>
        <v>0</v>
      </c>
      <c r="BH303" s="72">
        <f>SUM(TableCosts[[#This Row],[N_Direct]:[N_SGA]])</f>
        <v>0</v>
      </c>
      <c r="BI303" s="24">
        <f>IF(G303=1,IF(OR(AND(NOT(ISERROR(VLOOKUP(TableCosts[[#This Row],[Calc_N_Typ]],Cis_WorkPositions,1,0))),C303&lt;&gt;"",D303&lt;&gt;"",E303&lt;&gt;""),AND(ISERROR(VLOOKUP(TableCosts[[#This Row],[Calc_N_Typ]],Cis_WorkPositions,1,0)),C303="",D303="",E303&lt;&gt;""),LEFT(TableCosts[[#This Row],[Calc_N_Typ]],18)="Vynaložené náklady"),VLOOKUP(C303&amp;TableCosts[[#This Row],[Calc_N_Typ]],TRAN_STRITEMS_LABEL,VLOOKUP(D303,Tab_Hours,3,0),0),NA()),0)</f>
        <v>0</v>
      </c>
      <c r="BJ303" s="24">
        <f t="shared" si="78"/>
        <v>0</v>
      </c>
      <c r="BK303" s="24" t="str">
        <f t="shared" si="79"/>
        <v/>
      </c>
      <c r="BL303" s="24" t="str">
        <f t="shared" si="80"/>
        <v/>
      </c>
      <c r="BM303" s="24" t="str">
        <f>IF(G303=1,IF(TableCosts[[#This Row],[TransferFrom]]=TableCosts[[#This Row],[TranferTo]],0,1),"")</f>
        <v/>
      </c>
      <c r="BN303" s="24" t="str">
        <f t="shared" si="81"/>
        <v/>
      </c>
      <c r="BO303" s="24">
        <f t="shared" si="82"/>
        <v>0</v>
      </c>
      <c r="BP303" s="24">
        <f t="shared" si="83"/>
        <v>0</v>
      </c>
    </row>
    <row r="304" spans="2:68" s="24" customFormat="1" ht="12.75" x14ac:dyDescent="0.2">
      <c r="B304" s="97"/>
      <c r="C304" s="92"/>
      <c r="D304" s="92"/>
      <c r="E304" s="92"/>
      <c r="F304" s="31" t="str">
        <f>IF(G304=1,IF(ISERROR(TableCosts[[#This Row],[N_Tariff]]),Err_Message1,IF(TableCosts[[#This Row],[N_Tariff]]=0,Err_Message2,VLOOKUP(C304&amp;TableCosts[[#This Row],[Calc_N_Typ]],TRAN_STRITEMS_LABEL,5,FALSE))),"")</f>
        <v/>
      </c>
      <c r="G304" s="31">
        <f t="shared" si="72"/>
        <v>0</v>
      </c>
      <c r="H304" s="31" t="str">
        <f>IF(G304=1,IFERROR(VLOOKUP(F304,Tab_ErrMessage[],2,0),VLOOKUP(C304&amp;TableCosts[[#This Row],[Calc_N_Typ]],TRAN_STRITEMS_LABEL,4,FALSE)),"")</f>
        <v/>
      </c>
      <c r="I304" s="94"/>
      <c r="J304" s="94"/>
      <c r="K304" s="94"/>
      <c r="L304" s="84"/>
      <c r="M304" s="84"/>
      <c r="N304" s="84"/>
      <c r="O304" s="84"/>
      <c r="P304" s="84"/>
      <c r="Q304" s="84"/>
      <c r="R304" s="84"/>
      <c r="S304" s="84"/>
      <c r="T304" s="84"/>
      <c r="U304" s="84"/>
      <c r="V304" s="84"/>
      <c r="W304" s="84"/>
      <c r="X304" s="84"/>
      <c r="Y304" s="84"/>
      <c r="Z304" s="84"/>
      <c r="AA304" s="84"/>
      <c r="AB304" s="84"/>
      <c r="AC304" s="84"/>
      <c r="AD304" s="84"/>
      <c r="AE304" s="84"/>
      <c r="AF304" s="84"/>
      <c r="AG304" s="84"/>
      <c r="AH304" s="84"/>
      <c r="AI304" s="84"/>
      <c r="AJ304" s="84"/>
      <c r="AK304" s="84"/>
      <c r="AL304" s="84"/>
      <c r="AM304" s="84"/>
      <c r="AN304" s="84"/>
      <c r="AO304" s="84"/>
      <c r="AP304" s="84"/>
      <c r="AQ304" s="84"/>
      <c r="AR304" s="84"/>
      <c r="AS304" s="84"/>
      <c r="AT304" s="84"/>
      <c r="AU304" s="84"/>
      <c r="AV304" s="84"/>
      <c r="AW304" s="84"/>
      <c r="AX304" s="87">
        <f t="array" ref="AX304">IF(G304=1,SUM((ROW(M0)=ROW(AW304))*(M0+M1_+M2_+M3_+M4_+M5_+M6_+M7_+M8_+M9_+M10_+M11_+M12_+M13_+M14_+M15_+M16_+M17_+M18_+M19_+M20_+M21_+M22_+M23_+M24_+M25_+M26_+M27_+M28_+M29_+M30_+M31_+M32_+M33_+M34_+M35_+M36_+M37_)),0)</f>
        <v>0</v>
      </c>
      <c r="AZ304" s="24" t="str">
        <f t="shared" si="73"/>
        <v/>
      </c>
      <c r="BA304" s="24" t="str">
        <f t="shared" si="74"/>
        <v/>
      </c>
      <c r="BB304" s="24" t="str">
        <f t="shared" si="75"/>
        <v/>
      </c>
      <c r="BC304" s="24" t="str">
        <f>IF(OR(E304="",LEFT(TableCosts[[#This Row],[Calc_N_Typ]],18)="Vynaložené náklady"),"",VLOOKUP(E304,Tab_Parts,2,0))</f>
        <v/>
      </c>
      <c r="BD304" s="24" t="str">
        <f t="shared" si="76"/>
        <v/>
      </c>
      <c r="BE304" s="24">
        <f t="shared" si="77"/>
        <v>0</v>
      </c>
      <c r="BF304" s="72">
        <f>TableCosts[[#This Row],[N_Amount]]*TableCosts[[#This Row],[N_Tariff]]*TableCosts[[#This Row],[N_ItemsCount]]</f>
        <v>0</v>
      </c>
      <c r="BG304" s="72">
        <f>IF(G304=1,IF(TableCosts[[#This Row],[N_Kateg]]="interné práce",TableCosts[[#This Row],[N_Amount]]*8*PAR_SGA_PERHOUR,0),0)</f>
        <v>0</v>
      </c>
      <c r="BH304" s="72">
        <f>SUM(TableCosts[[#This Row],[N_Direct]:[N_SGA]])</f>
        <v>0</v>
      </c>
      <c r="BI304" s="24">
        <f>IF(G304=1,IF(OR(AND(NOT(ISERROR(VLOOKUP(TableCosts[[#This Row],[Calc_N_Typ]],Cis_WorkPositions,1,0))),C304&lt;&gt;"",D304&lt;&gt;"",E304&lt;&gt;""),AND(ISERROR(VLOOKUP(TableCosts[[#This Row],[Calc_N_Typ]],Cis_WorkPositions,1,0)),C304="",D304="",E304&lt;&gt;""),LEFT(TableCosts[[#This Row],[Calc_N_Typ]],18)="Vynaložené náklady"),VLOOKUP(C304&amp;TableCosts[[#This Row],[Calc_N_Typ]],TRAN_STRITEMS_LABEL,VLOOKUP(D304,Tab_Hours,3,0),0),NA()),0)</f>
        <v>0</v>
      </c>
      <c r="BJ304" s="24">
        <f t="shared" si="78"/>
        <v>0</v>
      </c>
      <c r="BK304" s="24" t="str">
        <f t="shared" si="79"/>
        <v/>
      </c>
      <c r="BL304" s="24" t="str">
        <f t="shared" si="80"/>
        <v/>
      </c>
      <c r="BM304" s="24" t="str">
        <f>IF(G304=1,IF(TableCosts[[#This Row],[TransferFrom]]=TableCosts[[#This Row],[TranferTo]],0,1),"")</f>
        <v/>
      </c>
      <c r="BN304" s="24" t="str">
        <f t="shared" si="81"/>
        <v/>
      </c>
      <c r="BO304" s="24">
        <f t="shared" si="82"/>
        <v>0</v>
      </c>
      <c r="BP304" s="24">
        <f t="shared" si="83"/>
        <v>0</v>
      </c>
    </row>
    <row r="305" spans="2:68" s="24" customFormat="1" ht="12.75" x14ac:dyDescent="0.2">
      <c r="B305" s="97"/>
      <c r="C305" s="92"/>
      <c r="D305" s="92"/>
      <c r="E305" s="92"/>
      <c r="F305" s="31" t="str">
        <f>IF(G305=1,IF(ISERROR(TableCosts[[#This Row],[N_Tariff]]),Err_Message1,IF(TableCosts[[#This Row],[N_Tariff]]=0,Err_Message2,VLOOKUP(C305&amp;TableCosts[[#This Row],[Calc_N_Typ]],TRAN_STRITEMS_LABEL,5,FALSE))),"")</f>
        <v/>
      </c>
      <c r="G305" s="31">
        <f t="shared" si="72"/>
        <v>0</v>
      </c>
      <c r="H305" s="31" t="str">
        <f>IF(G305=1,IFERROR(VLOOKUP(F305,Tab_ErrMessage[],2,0),VLOOKUP(C305&amp;TableCosts[[#This Row],[Calc_N_Typ]],TRAN_STRITEMS_LABEL,4,FALSE)),"")</f>
        <v/>
      </c>
      <c r="I305" s="94"/>
      <c r="J305" s="94"/>
      <c r="K305" s="94"/>
      <c r="L305" s="84"/>
      <c r="M305" s="84"/>
      <c r="N305" s="84"/>
      <c r="O305" s="84"/>
      <c r="P305" s="84"/>
      <c r="Q305" s="84"/>
      <c r="R305" s="84"/>
      <c r="S305" s="84"/>
      <c r="T305" s="84"/>
      <c r="U305" s="84"/>
      <c r="V305" s="84"/>
      <c r="W305" s="84"/>
      <c r="X305" s="84"/>
      <c r="Y305" s="84"/>
      <c r="Z305" s="84"/>
      <c r="AA305" s="84"/>
      <c r="AB305" s="84"/>
      <c r="AC305" s="84"/>
      <c r="AD305" s="84"/>
      <c r="AE305" s="84"/>
      <c r="AF305" s="84"/>
      <c r="AG305" s="84"/>
      <c r="AH305" s="84"/>
      <c r="AI305" s="84"/>
      <c r="AJ305" s="84"/>
      <c r="AK305" s="84"/>
      <c r="AL305" s="84"/>
      <c r="AM305" s="84"/>
      <c r="AN305" s="84"/>
      <c r="AO305" s="84"/>
      <c r="AP305" s="84"/>
      <c r="AQ305" s="84"/>
      <c r="AR305" s="84"/>
      <c r="AS305" s="84"/>
      <c r="AT305" s="84"/>
      <c r="AU305" s="84"/>
      <c r="AV305" s="84"/>
      <c r="AW305" s="84"/>
      <c r="AX305" s="87">
        <f t="array" ref="AX305">IF(G305=1,SUM((ROW(M0)=ROW(AW305))*(M0+M1_+M2_+M3_+M4_+M5_+M6_+M7_+M8_+M9_+M10_+M11_+M12_+M13_+M14_+M15_+M16_+M17_+M18_+M19_+M20_+M21_+M22_+M23_+M24_+M25_+M26_+M27_+M28_+M29_+M30_+M31_+M32_+M33_+M34_+M35_+M36_+M37_)),0)</f>
        <v>0</v>
      </c>
      <c r="AZ305" s="24" t="str">
        <f t="shared" si="73"/>
        <v/>
      </c>
      <c r="BA305" s="24" t="str">
        <f t="shared" si="74"/>
        <v/>
      </c>
      <c r="BB305" s="24" t="str">
        <f t="shared" si="75"/>
        <v/>
      </c>
      <c r="BC305" s="24" t="str">
        <f>IF(OR(E305="",LEFT(TableCosts[[#This Row],[Calc_N_Typ]],18)="Vynaložené náklady"),"",VLOOKUP(E305,Tab_Parts,2,0))</f>
        <v/>
      </c>
      <c r="BD305" s="24" t="str">
        <f t="shared" si="76"/>
        <v/>
      </c>
      <c r="BE305" s="24">
        <f t="shared" si="77"/>
        <v>0</v>
      </c>
      <c r="BF305" s="72">
        <f>TableCosts[[#This Row],[N_Amount]]*TableCosts[[#This Row],[N_Tariff]]*TableCosts[[#This Row],[N_ItemsCount]]</f>
        <v>0</v>
      </c>
      <c r="BG305" s="72">
        <f>IF(G305=1,IF(TableCosts[[#This Row],[N_Kateg]]="interné práce",TableCosts[[#This Row],[N_Amount]]*8*PAR_SGA_PERHOUR,0),0)</f>
        <v>0</v>
      </c>
      <c r="BH305" s="72">
        <f>SUM(TableCosts[[#This Row],[N_Direct]:[N_SGA]])</f>
        <v>0</v>
      </c>
      <c r="BI305" s="24">
        <f>IF(G305=1,IF(OR(AND(NOT(ISERROR(VLOOKUP(TableCosts[[#This Row],[Calc_N_Typ]],Cis_WorkPositions,1,0))),C305&lt;&gt;"",D305&lt;&gt;"",E305&lt;&gt;""),AND(ISERROR(VLOOKUP(TableCosts[[#This Row],[Calc_N_Typ]],Cis_WorkPositions,1,0)),C305="",D305="",E305&lt;&gt;""),LEFT(TableCosts[[#This Row],[Calc_N_Typ]],18)="Vynaložené náklady"),VLOOKUP(C305&amp;TableCosts[[#This Row],[Calc_N_Typ]],TRAN_STRITEMS_LABEL,VLOOKUP(D305,Tab_Hours,3,0),0),NA()),0)</f>
        <v>0</v>
      </c>
      <c r="BJ305" s="24">
        <f t="shared" si="78"/>
        <v>0</v>
      </c>
      <c r="BK305" s="24" t="str">
        <f t="shared" si="79"/>
        <v/>
      </c>
      <c r="BL305" s="24" t="str">
        <f t="shared" si="80"/>
        <v/>
      </c>
      <c r="BM305" s="24" t="str">
        <f>IF(G305=1,IF(TableCosts[[#This Row],[TransferFrom]]=TableCosts[[#This Row],[TranferTo]],0,1),"")</f>
        <v/>
      </c>
      <c r="BN305" s="24" t="str">
        <f t="shared" si="81"/>
        <v/>
      </c>
      <c r="BO305" s="24">
        <f t="shared" si="82"/>
        <v>0</v>
      </c>
      <c r="BP305" s="24">
        <f t="shared" si="83"/>
        <v>0</v>
      </c>
    </row>
    <row r="306" spans="2:68" s="24" customFormat="1" ht="12.75" x14ac:dyDescent="0.2">
      <c r="B306" s="97"/>
      <c r="C306" s="92"/>
      <c r="D306" s="92"/>
      <c r="E306" s="92"/>
      <c r="F306" s="31" t="str">
        <f>IF(G306=1,IF(ISERROR(TableCosts[[#This Row],[N_Tariff]]),Err_Message1,IF(TableCosts[[#This Row],[N_Tariff]]=0,Err_Message2,VLOOKUP(C306&amp;TableCosts[[#This Row],[Calc_N_Typ]],TRAN_STRITEMS_LABEL,5,FALSE))),"")</f>
        <v/>
      </c>
      <c r="G306" s="31">
        <f t="shared" si="72"/>
        <v>0</v>
      </c>
      <c r="H306" s="31" t="str">
        <f>IF(G306=1,IFERROR(VLOOKUP(F306,Tab_ErrMessage[],2,0),VLOOKUP(C306&amp;TableCosts[[#This Row],[Calc_N_Typ]],TRAN_STRITEMS_LABEL,4,FALSE)),"")</f>
        <v/>
      </c>
      <c r="I306" s="94"/>
      <c r="J306" s="94"/>
      <c r="K306" s="94"/>
      <c r="L306" s="84"/>
      <c r="M306" s="84"/>
      <c r="N306" s="84"/>
      <c r="O306" s="84"/>
      <c r="P306" s="84"/>
      <c r="Q306" s="84"/>
      <c r="R306" s="84"/>
      <c r="S306" s="84"/>
      <c r="T306" s="84"/>
      <c r="U306" s="84"/>
      <c r="V306" s="84"/>
      <c r="W306" s="84"/>
      <c r="X306" s="84"/>
      <c r="Y306" s="84"/>
      <c r="Z306" s="84"/>
      <c r="AA306" s="84"/>
      <c r="AB306" s="84"/>
      <c r="AC306" s="84"/>
      <c r="AD306" s="84"/>
      <c r="AE306" s="84"/>
      <c r="AF306" s="84"/>
      <c r="AG306" s="84"/>
      <c r="AH306" s="84"/>
      <c r="AI306" s="84"/>
      <c r="AJ306" s="84"/>
      <c r="AK306" s="84"/>
      <c r="AL306" s="84"/>
      <c r="AM306" s="84"/>
      <c r="AN306" s="84"/>
      <c r="AO306" s="84"/>
      <c r="AP306" s="84"/>
      <c r="AQ306" s="84"/>
      <c r="AR306" s="84"/>
      <c r="AS306" s="84"/>
      <c r="AT306" s="84"/>
      <c r="AU306" s="84"/>
      <c r="AV306" s="84"/>
      <c r="AW306" s="84"/>
      <c r="AX306" s="87">
        <f t="array" ref="AX306">IF(G306=1,SUM((ROW(M0)=ROW(AW306))*(M0+M1_+M2_+M3_+M4_+M5_+M6_+M7_+M8_+M9_+M10_+M11_+M12_+M13_+M14_+M15_+M16_+M17_+M18_+M19_+M20_+M21_+M22_+M23_+M24_+M25_+M26_+M27_+M28_+M29_+M30_+M31_+M32_+M33_+M34_+M35_+M36_+M37_)),0)</f>
        <v>0</v>
      </c>
      <c r="AZ306" s="24" t="str">
        <f t="shared" si="73"/>
        <v/>
      </c>
      <c r="BA306" s="24" t="str">
        <f t="shared" si="74"/>
        <v/>
      </c>
      <c r="BB306" s="24" t="str">
        <f t="shared" si="75"/>
        <v/>
      </c>
      <c r="BC306" s="24" t="str">
        <f>IF(OR(E306="",LEFT(TableCosts[[#This Row],[Calc_N_Typ]],18)="Vynaložené náklady"),"",VLOOKUP(E306,Tab_Parts,2,0))</f>
        <v/>
      </c>
      <c r="BD306" s="24" t="str">
        <f t="shared" si="76"/>
        <v/>
      </c>
      <c r="BE306" s="24">
        <f t="shared" si="77"/>
        <v>0</v>
      </c>
      <c r="BF306" s="72">
        <f>TableCosts[[#This Row],[N_Amount]]*TableCosts[[#This Row],[N_Tariff]]*TableCosts[[#This Row],[N_ItemsCount]]</f>
        <v>0</v>
      </c>
      <c r="BG306" s="72">
        <f>IF(G306=1,IF(TableCosts[[#This Row],[N_Kateg]]="interné práce",TableCosts[[#This Row],[N_Amount]]*8*PAR_SGA_PERHOUR,0),0)</f>
        <v>0</v>
      </c>
      <c r="BH306" s="72">
        <f>SUM(TableCosts[[#This Row],[N_Direct]:[N_SGA]])</f>
        <v>0</v>
      </c>
      <c r="BI306" s="24">
        <f>IF(G306=1,IF(OR(AND(NOT(ISERROR(VLOOKUP(TableCosts[[#This Row],[Calc_N_Typ]],Cis_WorkPositions,1,0))),C306&lt;&gt;"",D306&lt;&gt;"",E306&lt;&gt;""),AND(ISERROR(VLOOKUP(TableCosts[[#This Row],[Calc_N_Typ]],Cis_WorkPositions,1,0)),C306="",D306="",E306&lt;&gt;""),LEFT(TableCosts[[#This Row],[Calc_N_Typ]],18)="Vynaložené náklady"),VLOOKUP(C306&amp;TableCosts[[#This Row],[Calc_N_Typ]],TRAN_STRITEMS_LABEL,VLOOKUP(D306,Tab_Hours,3,0),0),NA()),0)</f>
        <v>0</v>
      </c>
      <c r="BJ306" s="24">
        <f t="shared" si="78"/>
        <v>0</v>
      </c>
      <c r="BK306" s="24" t="str">
        <f t="shared" si="79"/>
        <v/>
      </c>
      <c r="BL306" s="24" t="str">
        <f t="shared" si="80"/>
        <v/>
      </c>
      <c r="BM306" s="24" t="str">
        <f>IF(G306=1,IF(TableCosts[[#This Row],[TransferFrom]]=TableCosts[[#This Row],[TranferTo]],0,1),"")</f>
        <v/>
      </c>
      <c r="BN306" s="24" t="str">
        <f t="shared" si="81"/>
        <v/>
      </c>
      <c r="BO306" s="24">
        <f t="shared" si="82"/>
        <v>0</v>
      </c>
      <c r="BP306" s="24">
        <f t="shared" si="83"/>
        <v>0</v>
      </c>
    </row>
    <row r="307" spans="2:68" s="24" customFormat="1" ht="12.75" x14ac:dyDescent="0.2">
      <c r="B307" s="97"/>
      <c r="C307" s="92"/>
      <c r="D307" s="92"/>
      <c r="E307" s="92"/>
      <c r="F307" s="31" t="str">
        <f>IF(G307=1,IF(ISERROR(TableCosts[[#This Row],[N_Tariff]]),Err_Message1,IF(TableCosts[[#This Row],[N_Tariff]]=0,Err_Message2,VLOOKUP(C307&amp;TableCosts[[#This Row],[Calc_N_Typ]],TRAN_STRITEMS_LABEL,5,FALSE))),"")</f>
        <v/>
      </c>
      <c r="G307" s="31">
        <f t="shared" si="72"/>
        <v>0</v>
      </c>
      <c r="H307" s="31" t="str">
        <f>IF(G307=1,IFERROR(VLOOKUP(F307,Tab_ErrMessage[],2,0),VLOOKUP(C307&amp;TableCosts[[#This Row],[Calc_N_Typ]],TRAN_STRITEMS_LABEL,4,FALSE)),"")</f>
        <v/>
      </c>
      <c r="I307" s="94"/>
      <c r="J307" s="94"/>
      <c r="K307" s="94"/>
      <c r="L307" s="84"/>
      <c r="M307" s="84"/>
      <c r="N307" s="84"/>
      <c r="O307" s="84"/>
      <c r="P307" s="84"/>
      <c r="Q307" s="84"/>
      <c r="R307" s="84"/>
      <c r="S307" s="84"/>
      <c r="T307" s="84"/>
      <c r="U307" s="84"/>
      <c r="V307" s="84"/>
      <c r="W307" s="84"/>
      <c r="X307" s="84"/>
      <c r="Y307" s="84"/>
      <c r="Z307" s="84"/>
      <c r="AA307" s="84"/>
      <c r="AB307" s="84"/>
      <c r="AC307" s="84"/>
      <c r="AD307" s="84"/>
      <c r="AE307" s="84"/>
      <c r="AF307" s="84"/>
      <c r="AG307" s="84"/>
      <c r="AH307" s="84"/>
      <c r="AI307" s="84"/>
      <c r="AJ307" s="84"/>
      <c r="AK307" s="84"/>
      <c r="AL307" s="84"/>
      <c r="AM307" s="84"/>
      <c r="AN307" s="84"/>
      <c r="AO307" s="84"/>
      <c r="AP307" s="84"/>
      <c r="AQ307" s="84"/>
      <c r="AR307" s="84"/>
      <c r="AS307" s="84"/>
      <c r="AT307" s="84"/>
      <c r="AU307" s="84"/>
      <c r="AV307" s="84"/>
      <c r="AW307" s="84"/>
      <c r="AX307" s="87">
        <f t="array" ref="AX307">IF(G307=1,SUM((ROW(M0)=ROW(AW307))*(M0+M1_+M2_+M3_+M4_+M5_+M6_+M7_+M8_+M9_+M10_+M11_+M12_+M13_+M14_+M15_+M16_+M17_+M18_+M19_+M20_+M21_+M22_+M23_+M24_+M25_+M26_+M27_+M28_+M29_+M30_+M31_+M32_+M33_+M34_+M35_+M36_+M37_)),0)</f>
        <v>0</v>
      </c>
      <c r="AZ307" s="24" t="str">
        <f t="shared" si="73"/>
        <v/>
      </c>
      <c r="BA307" s="24" t="str">
        <f t="shared" si="74"/>
        <v/>
      </c>
      <c r="BB307" s="24" t="str">
        <f t="shared" si="75"/>
        <v/>
      </c>
      <c r="BC307" s="24" t="str">
        <f>IF(OR(E307="",LEFT(TableCosts[[#This Row],[Calc_N_Typ]],18)="Vynaložené náklady"),"",VLOOKUP(E307,Tab_Parts,2,0))</f>
        <v/>
      </c>
      <c r="BD307" s="24" t="str">
        <f t="shared" si="76"/>
        <v/>
      </c>
      <c r="BE307" s="24">
        <f t="shared" si="77"/>
        <v>0</v>
      </c>
      <c r="BF307" s="72">
        <f>TableCosts[[#This Row],[N_Amount]]*TableCosts[[#This Row],[N_Tariff]]*TableCosts[[#This Row],[N_ItemsCount]]</f>
        <v>0</v>
      </c>
      <c r="BG307" s="72">
        <f>IF(G307=1,IF(TableCosts[[#This Row],[N_Kateg]]="interné práce",TableCosts[[#This Row],[N_Amount]]*8*PAR_SGA_PERHOUR,0),0)</f>
        <v>0</v>
      </c>
      <c r="BH307" s="72">
        <f>SUM(TableCosts[[#This Row],[N_Direct]:[N_SGA]])</f>
        <v>0</v>
      </c>
      <c r="BI307" s="24">
        <f>IF(G307=1,IF(OR(AND(NOT(ISERROR(VLOOKUP(TableCosts[[#This Row],[Calc_N_Typ]],Cis_WorkPositions,1,0))),C307&lt;&gt;"",D307&lt;&gt;"",E307&lt;&gt;""),AND(ISERROR(VLOOKUP(TableCosts[[#This Row],[Calc_N_Typ]],Cis_WorkPositions,1,0)),C307="",D307="",E307&lt;&gt;""),LEFT(TableCosts[[#This Row],[Calc_N_Typ]],18)="Vynaložené náklady"),VLOOKUP(C307&amp;TableCosts[[#This Row],[Calc_N_Typ]],TRAN_STRITEMS_LABEL,VLOOKUP(D307,Tab_Hours,3,0),0),NA()),0)</f>
        <v>0</v>
      </c>
      <c r="BJ307" s="24">
        <f t="shared" si="78"/>
        <v>0</v>
      </c>
      <c r="BK307" s="24" t="str">
        <f t="shared" si="79"/>
        <v/>
      </c>
      <c r="BL307" s="24" t="str">
        <f t="shared" si="80"/>
        <v/>
      </c>
      <c r="BM307" s="24" t="str">
        <f>IF(G307=1,IF(TableCosts[[#This Row],[TransferFrom]]=TableCosts[[#This Row],[TranferTo]],0,1),"")</f>
        <v/>
      </c>
      <c r="BN307" s="24" t="str">
        <f t="shared" si="81"/>
        <v/>
      </c>
      <c r="BO307" s="24">
        <f t="shared" si="82"/>
        <v>0</v>
      </c>
      <c r="BP307" s="24">
        <f t="shared" si="83"/>
        <v>0</v>
      </c>
    </row>
    <row r="308" spans="2:68" s="24" customFormat="1" ht="12.75" x14ac:dyDescent="0.2">
      <c r="B308" s="97"/>
      <c r="C308" s="92"/>
      <c r="D308" s="92"/>
      <c r="E308" s="92"/>
      <c r="F308" s="31" t="str">
        <f>IF(G308=1,IF(ISERROR(TableCosts[[#This Row],[N_Tariff]]),Err_Message1,IF(TableCosts[[#This Row],[N_Tariff]]=0,Err_Message2,VLOOKUP(C308&amp;TableCosts[[#This Row],[Calc_N_Typ]],TRAN_STRITEMS_LABEL,5,FALSE))),"")</f>
        <v/>
      </c>
      <c r="G308" s="31">
        <f t="shared" si="72"/>
        <v>0</v>
      </c>
      <c r="H308" s="31" t="str">
        <f>IF(G308=1,IFERROR(VLOOKUP(F308,Tab_ErrMessage[],2,0),VLOOKUP(C308&amp;TableCosts[[#This Row],[Calc_N_Typ]],TRAN_STRITEMS_LABEL,4,FALSE)),"")</f>
        <v/>
      </c>
      <c r="I308" s="94"/>
      <c r="J308" s="94"/>
      <c r="K308" s="94"/>
      <c r="L308" s="84"/>
      <c r="M308" s="84"/>
      <c r="N308" s="84"/>
      <c r="O308" s="84"/>
      <c r="P308" s="84"/>
      <c r="Q308" s="84"/>
      <c r="R308" s="84"/>
      <c r="S308" s="84"/>
      <c r="T308" s="84"/>
      <c r="U308" s="84"/>
      <c r="V308" s="84"/>
      <c r="W308" s="84"/>
      <c r="X308" s="84"/>
      <c r="Y308" s="84"/>
      <c r="Z308" s="84"/>
      <c r="AA308" s="84"/>
      <c r="AB308" s="84"/>
      <c r="AC308" s="84"/>
      <c r="AD308" s="84"/>
      <c r="AE308" s="84"/>
      <c r="AF308" s="84"/>
      <c r="AG308" s="84"/>
      <c r="AH308" s="84"/>
      <c r="AI308" s="84"/>
      <c r="AJ308" s="84"/>
      <c r="AK308" s="84"/>
      <c r="AL308" s="84"/>
      <c r="AM308" s="84"/>
      <c r="AN308" s="84"/>
      <c r="AO308" s="84"/>
      <c r="AP308" s="84"/>
      <c r="AQ308" s="84"/>
      <c r="AR308" s="84"/>
      <c r="AS308" s="84"/>
      <c r="AT308" s="84"/>
      <c r="AU308" s="84"/>
      <c r="AV308" s="84"/>
      <c r="AW308" s="84"/>
      <c r="AX308" s="87">
        <f t="array" ref="AX308">IF(G308=1,SUM((ROW(M0)=ROW(AW308))*(M0+M1_+M2_+M3_+M4_+M5_+M6_+M7_+M8_+M9_+M10_+M11_+M12_+M13_+M14_+M15_+M16_+M17_+M18_+M19_+M20_+M21_+M22_+M23_+M24_+M25_+M26_+M27_+M28_+M29_+M30_+M31_+M32_+M33_+M34_+M35_+M36_+M37_)),0)</f>
        <v>0</v>
      </c>
      <c r="AZ308" s="24" t="str">
        <f t="shared" si="73"/>
        <v/>
      </c>
      <c r="BA308" s="24" t="str">
        <f t="shared" si="74"/>
        <v/>
      </c>
      <c r="BB308" s="24" t="str">
        <f t="shared" si="75"/>
        <v/>
      </c>
      <c r="BC308" s="24" t="str">
        <f>IF(OR(E308="",LEFT(TableCosts[[#This Row],[Calc_N_Typ]],18)="Vynaložené náklady"),"",VLOOKUP(E308,Tab_Parts,2,0))</f>
        <v/>
      </c>
      <c r="BD308" s="24" t="str">
        <f t="shared" si="76"/>
        <v/>
      </c>
      <c r="BE308" s="24">
        <f t="shared" si="77"/>
        <v>0</v>
      </c>
      <c r="BF308" s="72">
        <f>TableCosts[[#This Row],[N_Amount]]*TableCosts[[#This Row],[N_Tariff]]*TableCosts[[#This Row],[N_ItemsCount]]</f>
        <v>0</v>
      </c>
      <c r="BG308" s="72">
        <f>IF(G308=1,IF(TableCosts[[#This Row],[N_Kateg]]="interné práce",TableCosts[[#This Row],[N_Amount]]*8*PAR_SGA_PERHOUR,0),0)</f>
        <v>0</v>
      </c>
      <c r="BH308" s="72">
        <f>SUM(TableCosts[[#This Row],[N_Direct]:[N_SGA]])</f>
        <v>0</v>
      </c>
      <c r="BI308" s="24">
        <f>IF(G308=1,IF(OR(AND(NOT(ISERROR(VLOOKUP(TableCosts[[#This Row],[Calc_N_Typ]],Cis_WorkPositions,1,0))),C308&lt;&gt;"",D308&lt;&gt;"",E308&lt;&gt;""),AND(ISERROR(VLOOKUP(TableCosts[[#This Row],[Calc_N_Typ]],Cis_WorkPositions,1,0)),C308="",D308="",E308&lt;&gt;""),LEFT(TableCosts[[#This Row],[Calc_N_Typ]],18)="Vynaložené náklady"),VLOOKUP(C308&amp;TableCosts[[#This Row],[Calc_N_Typ]],TRAN_STRITEMS_LABEL,VLOOKUP(D308,Tab_Hours,3,0),0),NA()),0)</f>
        <v>0</v>
      </c>
      <c r="BJ308" s="24">
        <f t="shared" si="78"/>
        <v>0</v>
      </c>
      <c r="BK308" s="24" t="str">
        <f t="shared" si="79"/>
        <v/>
      </c>
      <c r="BL308" s="24" t="str">
        <f t="shared" si="80"/>
        <v/>
      </c>
      <c r="BM308" s="24" t="str">
        <f>IF(G308=1,IF(TableCosts[[#This Row],[TransferFrom]]=TableCosts[[#This Row],[TranferTo]],0,1),"")</f>
        <v/>
      </c>
      <c r="BN308" s="24" t="str">
        <f t="shared" si="81"/>
        <v/>
      </c>
      <c r="BO308" s="24">
        <f t="shared" si="82"/>
        <v>0</v>
      </c>
      <c r="BP308" s="24">
        <f t="shared" si="83"/>
        <v>0</v>
      </c>
    </row>
    <row r="309" spans="2:68" s="24" customFormat="1" ht="12.75" x14ac:dyDescent="0.2">
      <c r="B309" s="97"/>
      <c r="C309" s="92"/>
      <c r="D309" s="92"/>
      <c r="E309" s="92"/>
      <c r="F309" s="31" t="str">
        <f>IF(G309=1,IF(ISERROR(TableCosts[[#This Row],[N_Tariff]]),Err_Message1,IF(TableCosts[[#This Row],[N_Tariff]]=0,Err_Message2,VLOOKUP(C309&amp;TableCosts[[#This Row],[Calc_N_Typ]],TRAN_STRITEMS_LABEL,5,FALSE))),"")</f>
        <v/>
      </c>
      <c r="G309" s="31">
        <f t="shared" si="72"/>
        <v>0</v>
      </c>
      <c r="H309" s="31" t="str">
        <f>IF(G309=1,IFERROR(VLOOKUP(F309,Tab_ErrMessage[],2,0),VLOOKUP(C309&amp;TableCosts[[#This Row],[Calc_N_Typ]],TRAN_STRITEMS_LABEL,4,FALSE)),"")</f>
        <v/>
      </c>
      <c r="I309" s="94"/>
      <c r="J309" s="94"/>
      <c r="K309" s="94"/>
      <c r="L309" s="84"/>
      <c r="M309" s="84"/>
      <c r="N309" s="84"/>
      <c r="O309" s="84"/>
      <c r="P309" s="84"/>
      <c r="Q309" s="84"/>
      <c r="R309" s="84"/>
      <c r="S309" s="84"/>
      <c r="T309" s="84"/>
      <c r="U309" s="84"/>
      <c r="V309" s="84"/>
      <c r="W309" s="84"/>
      <c r="X309" s="84"/>
      <c r="Y309" s="84"/>
      <c r="Z309" s="84"/>
      <c r="AA309" s="84"/>
      <c r="AB309" s="84"/>
      <c r="AC309" s="84"/>
      <c r="AD309" s="84"/>
      <c r="AE309" s="84"/>
      <c r="AF309" s="84"/>
      <c r="AG309" s="84"/>
      <c r="AH309" s="84"/>
      <c r="AI309" s="84"/>
      <c r="AJ309" s="84"/>
      <c r="AK309" s="84"/>
      <c r="AL309" s="84"/>
      <c r="AM309" s="84"/>
      <c r="AN309" s="84"/>
      <c r="AO309" s="84"/>
      <c r="AP309" s="84"/>
      <c r="AQ309" s="84"/>
      <c r="AR309" s="84"/>
      <c r="AS309" s="84"/>
      <c r="AT309" s="84"/>
      <c r="AU309" s="84"/>
      <c r="AV309" s="84"/>
      <c r="AW309" s="84"/>
      <c r="AX309" s="87">
        <f t="array" ref="AX309">IF(G309=1,SUM((ROW(M0)=ROW(AW309))*(M0+M1_+M2_+M3_+M4_+M5_+M6_+M7_+M8_+M9_+M10_+M11_+M12_+M13_+M14_+M15_+M16_+M17_+M18_+M19_+M20_+M21_+M22_+M23_+M24_+M25_+M26_+M27_+M28_+M29_+M30_+M31_+M32_+M33_+M34_+M35_+M36_+M37_)),0)</f>
        <v>0</v>
      </c>
      <c r="AZ309" s="24" t="str">
        <f t="shared" si="73"/>
        <v/>
      </c>
      <c r="BA309" s="24" t="str">
        <f t="shared" si="74"/>
        <v/>
      </c>
      <c r="BB309" s="24" t="str">
        <f t="shared" si="75"/>
        <v/>
      </c>
      <c r="BC309" s="24" t="str">
        <f>IF(OR(E309="",LEFT(TableCosts[[#This Row],[Calc_N_Typ]],18)="Vynaložené náklady"),"",VLOOKUP(E309,Tab_Parts,2,0))</f>
        <v/>
      </c>
      <c r="BD309" s="24" t="str">
        <f t="shared" si="76"/>
        <v/>
      </c>
      <c r="BE309" s="24">
        <f t="shared" si="77"/>
        <v>0</v>
      </c>
      <c r="BF309" s="72">
        <f>TableCosts[[#This Row],[N_Amount]]*TableCosts[[#This Row],[N_Tariff]]*TableCosts[[#This Row],[N_ItemsCount]]</f>
        <v>0</v>
      </c>
      <c r="BG309" s="72">
        <f>IF(G309=1,IF(TableCosts[[#This Row],[N_Kateg]]="interné práce",TableCosts[[#This Row],[N_Amount]]*8*PAR_SGA_PERHOUR,0),0)</f>
        <v>0</v>
      </c>
      <c r="BH309" s="72">
        <f>SUM(TableCosts[[#This Row],[N_Direct]:[N_SGA]])</f>
        <v>0</v>
      </c>
      <c r="BI309" s="24">
        <f>IF(G309=1,IF(OR(AND(NOT(ISERROR(VLOOKUP(TableCosts[[#This Row],[Calc_N_Typ]],Cis_WorkPositions,1,0))),C309&lt;&gt;"",D309&lt;&gt;"",E309&lt;&gt;""),AND(ISERROR(VLOOKUP(TableCosts[[#This Row],[Calc_N_Typ]],Cis_WorkPositions,1,0)),C309="",D309="",E309&lt;&gt;""),LEFT(TableCosts[[#This Row],[Calc_N_Typ]],18)="Vynaložené náklady"),VLOOKUP(C309&amp;TableCosts[[#This Row],[Calc_N_Typ]],TRAN_STRITEMS_LABEL,VLOOKUP(D309,Tab_Hours,3,0),0),NA()),0)</f>
        <v>0</v>
      </c>
      <c r="BJ309" s="24">
        <f t="shared" si="78"/>
        <v>0</v>
      </c>
      <c r="BK309" s="24" t="str">
        <f t="shared" si="79"/>
        <v/>
      </c>
      <c r="BL309" s="24" t="str">
        <f t="shared" si="80"/>
        <v/>
      </c>
      <c r="BM309" s="24" t="str">
        <f>IF(G309=1,IF(TableCosts[[#This Row],[TransferFrom]]=TableCosts[[#This Row],[TranferTo]],0,1),"")</f>
        <v/>
      </c>
      <c r="BN309" s="24" t="str">
        <f t="shared" si="81"/>
        <v/>
      </c>
      <c r="BO309" s="24">
        <f t="shared" si="82"/>
        <v>0</v>
      </c>
      <c r="BP309" s="24">
        <f t="shared" si="83"/>
        <v>0</v>
      </c>
    </row>
    <row r="310" spans="2:68" s="24" customFormat="1" ht="12.75" x14ac:dyDescent="0.2">
      <c r="B310" s="97"/>
      <c r="C310" s="92"/>
      <c r="D310" s="92"/>
      <c r="E310" s="92"/>
      <c r="F310" s="31" t="str">
        <f>IF(G310=1,IF(ISERROR(TableCosts[[#This Row],[N_Tariff]]),Err_Message1,IF(TableCosts[[#This Row],[N_Tariff]]=0,Err_Message2,VLOOKUP(C310&amp;TableCosts[[#This Row],[Calc_N_Typ]],TRAN_STRITEMS_LABEL,5,FALSE))),"")</f>
        <v/>
      </c>
      <c r="G310" s="31">
        <f t="shared" si="72"/>
        <v>0</v>
      </c>
      <c r="H310" s="31" t="str">
        <f>IF(G310=1,IFERROR(VLOOKUP(F310,Tab_ErrMessage[],2,0),VLOOKUP(C310&amp;TableCosts[[#This Row],[Calc_N_Typ]],TRAN_STRITEMS_LABEL,4,FALSE)),"")</f>
        <v/>
      </c>
      <c r="I310" s="94"/>
      <c r="J310" s="94"/>
      <c r="K310" s="94"/>
      <c r="L310" s="84"/>
      <c r="M310" s="84"/>
      <c r="N310" s="84"/>
      <c r="O310" s="84"/>
      <c r="P310" s="84"/>
      <c r="Q310" s="84"/>
      <c r="R310" s="84"/>
      <c r="S310" s="84"/>
      <c r="T310" s="84"/>
      <c r="U310" s="84"/>
      <c r="V310" s="84"/>
      <c r="W310" s="84"/>
      <c r="X310" s="84"/>
      <c r="Y310" s="84"/>
      <c r="Z310" s="84"/>
      <c r="AA310" s="84"/>
      <c r="AB310" s="84"/>
      <c r="AC310" s="84"/>
      <c r="AD310" s="84"/>
      <c r="AE310" s="84"/>
      <c r="AF310" s="84"/>
      <c r="AG310" s="84"/>
      <c r="AH310" s="84"/>
      <c r="AI310" s="84"/>
      <c r="AJ310" s="84"/>
      <c r="AK310" s="84"/>
      <c r="AL310" s="84"/>
      <c r="AM310" s="84"/>
      <c r="AN310" s="84"/>
      <c r="AO310" s="84"/>
      <c r="AP310" s="84"/>
      <c r="AQ310" s="84"/>
      <c r="AR310" s="84"/>
      <c r="AS310" s="84"/>
      <c r="AT310" s="84"/>
      <c r="AU310" s="84"/>
      <c r="AV310" s="84"/>
      <c r="AW310" s="84"/>
      <c r="AX310" s="87">
        <f t="array" ref="AX310">IF(G310=1,SUM((ROW(M0)=ROW(AW310))*(M0+M1_+M2_+M3_+M4_+M5_+M6_+M7_+M8_+M9_+M10_+M11_+M12_+M13_+M14_+M15_+M16_+M17_+M18_+M19_+M20_+M21_+M22_+M23_+M24_+M25_+M26_+M27_+M28_+M29_+M30_+M31_+M32_+M33_+M34_+M35_+M36_+M37_)),0)</f>
        <v>0</v>
      </c>
      <c r="AZ310" s="24" t="str">
        <f t="shared" si="73"/>
        <v/>
      </c>
      <c r="BA310" s="24" t="str">
        <f t="shared" si="74"/>
        <v/>
      </c>
      <c r="BB310" s="24" t="str">
        <f t="shared" si="75"/>
        <v/>
      </c>
      <c r="BC310" s="24" t="str">
        <f>IF(OR(E310="",LEFT(TableCosts[[#This Row],[Calc_N_Typ]],18)="Vynaložené náklady"),"",VLOOKUP(E310,Tab_Parts,2,0))</f>
        <v/>
      </c>
      <c r="BD310" s="24" t="str">
        <f t="shared" si="76"/>
        <v/>
      </c>
      <c r="BE310" s="24">
        <f t="shared" si="77"/>
        <v>0</v>
      </c>
      <c r="BF310" s="72">
        <f>TableCosts[[#This Row],[N_Amount]]*TableCosts[[#This Row],[N_Tariff]]*TableCosts[[#This Row],[N_ItemsCount]]</f>
        <v>0</v>
      </c>
      <c r="BG310" s="72">
        <f>IF(G310=1,IF(TableCosts[[#This Row],[N_Kateg]]="interné práce",TableCosts[[#This Row],[N_Amount]]*8*PAR_SGA_PERHOUR,0),0)</f>
        <v>0</v>
      </c>
      <c r="BH310" s="72">
        <f>SUM(TableCosts[[#This Row],[N_Direct]:[N_SGA]])</f>
        <v>0</v>
      </c>
      <c r="BI310" s="24">
        <f>IF(G310=1,IF(OR(AND(NOT(ISERROR(VLOOKUP(TableCosts[[#This Row],[Calc_N_Typ]],Cis_WorkPositions,1,0))),C310&lt;&gt;"",D310&lt;&gt;"",E310&lt;&gt;""),AND(ISERROR(VLOOKUP(TableCosts[[#This Row],[Calc_N_Typ]],Cis_WorkPositions,1,0)),C310="",D310="",E310&lt;&gt;""),LEFT(TableCosts[[#This Row],[Calc_N_Typ]],18)="Vynaložené náklady"),VLOOKUP(C310&amp;TableCosts[[#This Row],[Calc_N_Typ]],TRAN_STRITEMS_LABEL,VLOOKUP(D310,Tab_Hours,3,0),0),NA()),0)</f>
        <v>0</v>
      </c>
      <c r="BJ310" s="24">
        <f t="shared" si="78"/>
        <v>0</v>
      </c>
      <c r="BK310" s="24" t="str">
        <f t="shared" si="79"/>
        <v/>
      </c>
      <c r="BL310" s="24" t="str">
        <f t="shared" si="80"/>
        <v/>
      </c>
      <c r="BM310" s="24" t="str">
        <f>IF(G310=1,IF(TableCosts[[#This Row],[TransferFrom]]=TableCosts[[#This Row],[TranferTo]],0,1),"")</f>
        <v/>
      </c>
      <c r="BN310" s="24" t="str">
        <f t="shared" si="81"/>
        <v/>
      </c>
      <c r="BO310" s="24">
        <f t="shared" si="82"/>
        <v>0</v>
      </c>
      <c r="BP310" s="24">
        <f t="shared" si="83"/>
        <v>0</v>
      </c>
    </row>
    <row r="311" spans="2:68" s="24" customFormat="1" ht="12.75" x14ac:dyDescent="0.2">
      <c r="B311" s="97"/>
      <c r="C311" s="92"/>
      <c r="D311" s="92"/>
      <c r="E311" s="92"/>
      <c r="F311" s="31" t="str">
        <f>IF(G311=1,IF(ISERROR(TableCosts[[#This Row],[N_Tariff]]),Err_Message1,IF(TableCosts[[#This Row],[N_Tariff]]=0,Err_Message2,VLOOKUP(C311&amp;TableCosts[[#This Row],[Calc_N_Typ]],TRAN_STRITEMS_LABEL,5,FALSE))),"")</f>
        <v/>
      </c>
      <c r="G311" s="31">
        <f t="shared" si="72"/>
        <v>0</v>
      </c>
      <c r="H311" s="31" t="str">
        <f>IF(G311=1,IFERROR(VLOOKUP(F311,Tab_ErrMessage[],2,0),VLOOKUP(C311&amp;TableCosts[[#This Row],[Calc_N_Typ]],TRAN_STRITEMS_LABEL,4,FALSE)),"")</f>
        <v/>
      </c>
      <c r="I311" s="94"/>
      <c r="J311" s="94"/>
      <c r="K311" s="94"/>
      <c r="L311" s="84"/>
      <c r="M311" s="84"/>
      <c r="N311" s="84"/>
      <c r="O311" s="84"/>
      <c r="P311" s="84"/>
      <c r="Q311" s="84"/>
      <c r="R311" s="84"/>
      <c r="S311" s="84"/>
      <c r="T311" s="84"/>
      <c r="U311" s="84"/>
      <c r="V311" s="84"/>
      <c r="W311" s="84"/>
      <c r="X311" s="84"/>
      <c r="Y311" s="84"/>
      <c r="Z311" s="84"/>
      <c r="AA311" s="84"/>
      <c r="AB311" s="84"/>
      <c r="AC311" s="84"/>
      <c r="AD311" s="84"/>
      <c r="AE311" s="84"/>
      <c r="AF311" s="84"/>
      <c r="AG311" s="84"/>
      <c r="AH311" s="84"/>
      <c r="AI311" s="84"/>
      <c r="AJ311" s="84"/>
      <c r="AK311" s="84"/>
      <c r="AL311" s="84"/>
      <c r="AM311" s="84"/>
      <c r="AN311" s="84"/>
      <c r="AO311" s="84"/>
      <c r="AP311" s="84"/>
      <c r="AQ311" s="84"/>
      <c r="AR311" s="84"/>
      <c r="AS311" s="84"/>
      <c r="AT311" s="84"/>
      <c r="AU311" s="84"/>
      <c r="AV311" s="84"/>
      <c r="AW311" s="84"/>
      <c r="AX311" s="87">
        <f t="array" ref="AX311">IF(G311=1,SUM((ROW(M0)=ROW(AW311))*(M0+M1_+M2_+M3_+M4_+M5_+M6_+M7_+M8_+M9_+M10_+M11_+M12_+M13_+M14_+M15_+M16_+M17_+M18_+M19_+M20_+M21_+M22_+M23_+M24_+M25_+M26_+M27_+M28_+M29_+M30_+M31_+M32_+M33_+M34_+M35_+M36_+M37_)),0)</f>
        <v>0</v>
      </c>
      <c r="AZ311" s="24" t="str">
        <f t="shared" si="73"/>
        <v/>
      </c>
      <c r="BA311" s="24" t="str">
        <f t="shared" si="74"/>
        <v/>
      </c>
      <c r="BB311" s="24" t="str">
        <f t="shared" si="75"/>
        <v/>
      </c>
      <c r="BC311" s="24" t="str">
        <f>IF(OR(E311="",LEFT(TableCosts[[#This Row],[Calc_N_Typ]],18)="Vynaložené náklady"),"",VLOOKUP(E311,Tab_Parts,2,0))</f>
        <v/>
      </c>
      <c r="BD311" s="24" t="str">
        <f t="shared" si="76"/>
        <v/>
      </c>
      <c r="BE311" s="24">
        <f t="shared" si="77"/>
        <v>0</v>
      </c>
      <c r="BF311" s="72">
        <f>TableCosts[[#This Row],[N_Amount]]*TableCosts[[#This Row],[N_Tariff]]*TableCosts[[#This Row],[N_ItemsCount]]</f>
        <v>0</v>
      </c>
      <c r="BG311" s="72">
        <f>IF(G311=1,IF(TableCosts[[#This Row],[N_Kateg]]="interné práce",TableCosts[[#This Row],[N_Amount]]*8*PAR_SGA_PERHOUR,0),0)</f>
        <v>0</v>
      </c>
      <c r="BH311" s="72">
        <f>SUM(TableCosts[[#This Row],[N_Direct]:[N_SGA]])</f>
        <v>0</v>
      </c>
      <c r="BI311" s="24">
        <f>IF(G311=1,IF(OR(AND(NOT(ISERROR(VLOOKUP(TableCosts[[#This Row],[Calc_N_Typ]],Cis_WorkPositions,1,0))),C311&lt;&gt;"",D311&lt;&gt;"",E311&lt;&gt;""),AND(ISERROR(VLOOKUP(TableCosts[[#This Row],[Calc_N_Typ]],Cis_WorkPositions,1,0)),C311="",D311="",E311&lt;&gt;""),LEFT(TableCosts[[#This Row],[Calc_N_Typ]],18)="Vynaložené náklady"),VLOOKUP(C311&amp;TableCosts[[#This Row],[Calc_N_Typ]],TRAN_STRITEMS_LABEL,VLOOKUP(D311,Tab_Hours,3,0),0),NA()),0)</f>
        <v>0</v>
      </c>
      <c r="BJ311" s="24">
        <f t="shared" si="78"/>
        <v>0</v>
      </c>
      <c r="BK311" s="24" t="str">
        <f t="shared" si="79"/>
        <v/>
      </c>
      <c r="BL311" s="24" t="str">
        <f t="shared" si="80"/>
        <v/>
      </c>
      <c r="BM311" s="24" t="str">
        <f>IF(G311=1,IF(TableCosts[[#This Row],[TransferFrom]]=TableCosts[[#This Row],[TranferTo]],0,1),"")</f>
        <v/>
      </c>
      <c r="BN311" s="24" t="str">
        <f t="shared" si="81"/>
        <v/>
      </c>
      <c r="BO311" s="24">
        <f t="shared" si="82"/>
        <v>0</v>
      </c>
      <c r="BP311" s="24">
        <f t="shared" si="83"/>
        <v>0</v>
      </c>
    </row>
    <row r="312" spans="2:68" s="24" customFormat="1" ht="12.75" x14ac:dyDescent="0.2">
      <c r="B312" s="97"/>
      <c r="C312" s="92"/>
      <c r="D312" s="92"/>
      <c r="E312" s="92"/>
      <c r="F312" s="31" t="str">
        <f>IF(G312=1,IF(ISERROR(TableCosts[[#This Row],[N_Tariff]]),Err_Message1,IF(TableCosts[[#This Row],[N_Tariff]]=0,Err_Message2,VLOOKUP(C312&amp;TableCosts[[#This Row],[Calc_N_Typ]],TRAN_STRITEMS_LABEL,5,FALSE))),"")</f>
        <v/>
      </c>
      <c r="G312" s="31">
        <f t="shared" si="72"/>
        <v>0</v>
      </c>
      <c r="H312" s="31" t="str">
        <f>IF(G312=1,IFERROR(VLOOKUP(F312,Tab_ErrMessage[],2,0),VLOOKUP(C312&amp;TableCosts[[#This Row],[Calc_N_Typ]],TRAN_STRITEMS_LABEL,4,FALSE)),"")</f>
        <v/>
      </c>
      <c r="I312" s="94"/>
      <c r="J312" s="94"/>
      <c r="K312" s="94"/>
      <c r="L312" s="84"/>
      <c r="M312" s="84"/>
      <c r="N312" s="84"/>
      <c r="O312" s="84"/>
      <c r="P312" s="84"/>
      <c r="Q312" s="84"/>
      <c r="R312" s="84"/>
      <c r="S312" s="84"/>
      <c r="T312" s="84"/>
      <c r="U312" s="84"/>
      <c r="V312" s="84"/>
      <c r="W312" s="84"/>
      <c r="X312" s="84"/>
      <c r="Y312" s="84"/>
      <c r="Z312" s="84"/>
      <c r="AA312" s="84"/>
      <c r="AB312" s="84"/>
      <c r="AC312" s="84"/>
      <c r="AD312" s="84"/>
      <c r="AE312" s="84"/>
      <c r="AF312" s="84"/>
      <c r="AG312" s="84"/>
      <c r="AH312" s="84"/>
      <c r="AI312" s="84"/>
      <c r="AJ312" s="84"/>
      <c r="AK312" s="84"/>
      <c r="AL312" s="84"/>
      <c r="AM312" s="84"/>
      <c r="AN312" s="84"/>
      <c r="AO312" s="84"/>
      <c r="AP312" s="84"/>
      <c r="AQ312" s="84"/>
      <c r="AR312" s="84"/>
      <c r="AS312" s="84"/>
      <c r="AT312" s="84"/>
      <c r="AU312" s="84"/>
      <c r="AV312" s="84"/>
      <c r="AW312" s="84"/>
      <c r="AX312" s="87">
        <f t="array" ref="AX312">IF(G312=1,SUM((ROW(M0)=ROW(AW312))*(M0+M1_+M2_+M3_+M4_+M5_+M6_+M7_+M8_+M9_+M10_+M11_+M12_+M13_+M14_+M15_+M16_+M17_+M18_+M19_+M20_+M21_+M22_+M23_+M24_+M25_+M26_+M27_+M28_+M29_+M30_+M31_+M32_+M33_+M34_+M35_+M36_+M37_)),0)</f>
        <v>0</v>
      </c>
      <c r="AZ312" s="24" t="str">
        <f t="shared" si="73"/>
        <v/>
      </c>
      <c r="BA312" s="24" t="str">
        <f t="shared" si="74"/>
        <v/>
      </c>
      <c r="BB312" s="24" t="str">
        <f t="shared" si="75"/>
        <v/>
      </c>
      <c r="BC312" s="24" t="str">
        <f>IF(OR(E312="",LEFT(TableCosts[[#This Row],[Calc_N_Typ]],18)="Vynaložené náklady"),"",VLOOKUP(E312,Tab_Parts,2,0))</f>
        <v/>
      </c>
      <c r="BD312" s="24" t="str">
        <f t="shared" si="76"/>
        <v/>
      </c>
      <c r="BE312" s="24">
        <f t="shared" si="77"/>
        <v>0</v>
      </c>
      <c r="BF312" s="72">
        <f>TableCosts[[#This Row],[N_Amount]]*TableCosts[[#This Row],[N_Tariff]]*TableCosts[[#This Row],[N_ItemsCount]]</f>
        <v>0</v>
      </c>
      <c r="BG312" s="72">
        <f>IF(G312=1,IF(TableCosts[[#This Row],[N_Kateg]]="interné práce",TableCosts[[#This Row],[N_Amount]]*8*PAR_SGA_PERHOUR,0),0)</f>
        <v>0</v>
      </c>
      <c r="BH312" s="72">
        <f>SUM(TableCosts[[#This Row],[N_Direct]:[N_SGA]])</f>
        <v>0</v>
      </c>
      <c r="BI312" s="24">
        <f>IF(G312=1,IF(OR(AND(NOT(ISERROR(VLOOKUP(TableCosts[[#This Row],[Calc_N_Typ]],Cis_WorkPositions,1,0))),C312&lt;&gt;"",D312&lt;&gt;"",E312&lt;&gt;""),AND(ISERROR(VLOOKUP(TableCosts[[#This Row],[Calc_N_Typ]],Cis_WorkPositions,1,0)),C312="",D312="",E312&lt;&gt;""),LEFT(TableCosts[[#This Row],[Calc_N_Typ]],18)="Vynaložené náklady"),VLOOKUP(C312&amp;TableCosts[[#This Row],[Calc_N_Typ]],TRAN_STRITEMS_LABEL,VLOOKUP(D312,Tab_Hours,3,0),0),NA()),0)</f>
        <v>0</v>
      </c>
      <c r="BJ312" s="24">
        <f t="shared" si="78"/>
        <v>0</v>
      </c>
      <c r="BK312" s="24" t="str">
        <f t="shared" si="79"/>
        <v/>
      </c>
      <c r="BL312" s="24" t="str">
        <f t="shared" si="80"/>
        <v/>
      </c>
      <c r="BM312" s="24" t="str">
        <f>IF(G312=1,IF(TableCosts[[#This Row],[TransferFrom]]=TableCosts[[#This Row],[TranferTo]],0,1),"")</f>
        <v/>
      </c>
      <c r="BN312" s="24" t="str">
        <f t="shared" si="81"/>
        <v/>
      </c>
      <c r="BO312" s="24">
        <f t="shared" si="82"/>
        <v>0</v>
      </c>
      <c r="BP312" s="24">
        <f t="shared" si="83"/>
        <v>0</v>
      </c>
    </row>
    <row r="313" spans="2:68" s="24" customFormat="1" ht="12.75" x14ac:dyDescent="0.2">
      <c r="B313" s="97"/>
      <c r="C313" s="92"/>
      <c r="D313" s="92"/>
      <c r="E313" s="92"/>
      <c r="F313" s="31" t="str">
        <f>IF(G313=1,IF(ISERROR(TableCosts[[#This Row],[N_Tariff]]),Err_Message1,IF(TableCosts[[#This Row],[N_Tariff]]=0,Err_Message2,VLOOKUP(C313&amp;TableCosts[[#This Row],[Calc_N_Typ]],TRAN_STRITEMS_LABEL,5,FALSE))),"")</f>
        <v/>
      </c>
      <c r="G313" s="31">
        <f t="shared" si="72"/>
        <v>0</v>
      </c>
      <c r="H313" s="31" t="str">
        <f>IF(G313=1,IFERROR(VLOOKUP(F313,Tab_ErrMessage[],2,0),VLOOKUP(C313&amp;TableCosts[[#This Row],[Calc_N_Typ]],TRAN_STRITEMS_LABEL,4,FALSE)),"")</f>
        <v/>
      </c>
      <c r="I313" s="94"/>
      <c r="J313" s="94"/>
      <c r="K313" s="94"/>
      <c r="L313" s="84"/>
      <c r="M313" s="84"/>
      <c r="N313" s="84"/>
      <c r="O313" s="84"/>
      <c r="P313" s="84"/>
      <c r="Q313" s="84"/>
      <c r="R313" s="84"/>
      <c r="S313" s="84"/>
      <c r="T313" s="84"/>
      <c r="U313" s="84"/>
      <c r="V313" s="84"/>
      <c r="W313" s="84"/>
      <c r="X313" s="84"/>
      <c r="Y313" s="84"/>
      <c r="Z313" s="84"/>
      <c r="AA313" s="84"/>
      <c r="AB313" s="84"/>
      <c r="AC313" s="84"/>
      <c r="AD313" s="84"/>
      <c r="AE313" s="84"/>
      <c r="AF313" s="84"/>
      <c r="AG313" s="84"/>
      <c r="AH313" s="84"/>
      <c r="AI313" s="84"/>
      <c r="AJ313" s="84"/>
      <c r="AK313" s="84"/>
      <c r="AL313" s="84"/>
      <c r="AM313" s="84"/>
      <c r="AN313" s="84"/>
      <c r="AO313" s="84"/>
      <c r="AP313" s="84"/>
      <c r="AQ313" s="84"/>
      <c r="AR313" s="84"/>
      <c r="AS313" s="84"/>
      <c r="AT313" s="84"/>
      <c r="AU313" s="84"/>
      <c r="AV313" s="84"/>
      <c r="AW313" s="84"/>
      <c r="AX313" s="87">
        <f t="array" ref="AX313">IF(G313=1,SUM((ROW(M0)=ROW(AW313))*(M0+M1_+M2_+M3_+M4_+M5_+M6_+M7_+M8_+M9_+M10_+M11_+M12_+M13_+M14_+M15_+M16_+M17_+M18_+M19_+M20_+M21_+M22_+M23_+M24_+M25_+M26_+M27_+M28_+M29_+M30_+M31_+M32_+M33_+M34_+M35_+M36_+M37_)),0)</f>
        <v>0</v>
      </c>
      <c r="AZ313" s="24" t="str">
        <f t="shared" si="73"/>
        <v/>
      </c>
      <c r="BA313" s="24" t="str">
        <f t="shared" si="74"/>
        <v/>
      </c>
      <c r="BB313" s="24" t="str">
        <f t="shared" si="75"/>
        <v/>
      </c>
      <c r="BC313" s="24" t="str">
        <f>IF(OR(E313="",LEFT(TableCosts[[#This Row],[Calc_N_Typ]],18)="Vynaložené náklady"),"",VLOOKUP(E313,Tab_Parts,2,0))</f>
        <v/>
      </c>
      <c r="BD313" s="24" t="str">
        <f t="shared" si="76"/>
        <v/>
      </c>
      <c r="BE313" s="24">
        <f t="shared" si="77"/>
        <v>0</v>
      </c>
      <c r="BF313" s="72">
        <f>TableCosts[[#This Row],[N_Amount]]*TableCosts[[#This Row],[N_Tariff]]*TableCosts[[#This Row],[N_ItemsCount]]</f>
        <v>0</v>
      </c>
      <c r="BG313" s="72">
        <f>IF(G313=1,IF(TableCosts[[#This Row],[N_Kateg]]="interné práce",TableCosts[[#This Row],[N_Amount]]*8*PAR_SGA_PERHOUR,0),0)</f>
        <v>0</v>
      </c>
      <c r="BH313" s="72">
        <f>SUM(TableCosts[[#This Row],[N_Direct]:[N_SGA]])</f>
        <v>0</v>
      </c>
      <c r="BI313" s="24">
        <f>IF(G313=1,IF(OR(AND(NOT(ISERROR(VLOOKUP(TableCosts[[#This Row],[Calc_N_Typ]],Cis_WorkPositions,1,0))),C313&lt;&gt;"",D313&lt;&gt;"",E313&lt;&gt;""),AND(ISERROR(VLOOKUP(TableCosts[[#This Row],[Calc_N_Typ]],Cis_WorkPositions,1,0)),C313="",D313="",E313&lt;&gt;""),LEFT(TableCosts[[#This Row],[Calc_N_Typ]],18)="Vynaložené náklady"),VLOOKUP(C313&amp;TableCosts[[#This Row],[Calc_N_Typ]],TRAN_STRITEMS_LABEL,VLOOKUP(D313,Tab_Hours,3,0),0),NA()),0)</f>
        <v>0</v>
      </c>
      <c r="BJ313" s="24">
        <f t="shared" si="78"/>
        <v>0</v>
      </c>
      <c r="BK313" s="24" t="str">
        <f t="shared" si="79"/>
        <v/>
      </c>
      <c r="BL313" s="24" t="str">
        <f t="shared" si="80"/>
        <v/>
      </c>
      <c r="BM313" s="24" t="str">
        <f>IF(G313=1,IF(TableCosts[[#This Row],[TransferFrom]]=TableCosts[[#This Row],[TranferTo]],0,1),"")</f>
        <v/>
      </c>
      <c r="BN313" s="24" t="str">
        <f t="shared" si="81"/>
        <v/>
      </c>
      <c r="BO313" s="24">
        <f t="shared" si="82"/>
        <v>0</v>
      </c>
      <c r="BP313" s="24">
        <f t="shared" si="83"/>
        <v>0</v>
      </c>
    </row>
    <row r="314" spans="2:68" s="24" customFormat="1" ht="12.75" x14ac:dyDescent="0.2">
      <c r="B314" s="97"/>
      <c r="C314" s="92"/>
      <c r="D314" s="92"/>
      <c r="E314" s="92"/>
      <c r="F314" s="31" t="str">
        <f>IF(G314=1,IF(ISERROR(TableCosts[[#This Row],[N_Tariff]]),Err_Message1,IF(TableCosts[[#This Row],[N_Tariff]]=0,Err_Message2,VLOOKUP(C314&amp;TableCosts[[#This Row],[Calc_N_Typ]],TRAN_STRITEMS_LABEL,5,FALSE))),"")</f>
        <v/>
      </c>
      <c r="G314" s="31">
        <f t="shared" si="72"/>
        <v>0</v>
      </c>
      <c r="H314" s="31" t="str">
        <f>IF(G314=1,IFERROR(VLOOKUP(F314,Tab_ErrMessage[],2,0),VLOOKUP(C314&amp;TableCosts[[#This Row],[Calc_N_Typ]],TRAN_STRITEMS_LABEL,4,FALSE)),"")</f>
        <v/>
      </c>
      <c r="I314" s="94"/>
      <c r="J314" s="94"/>
      <c r="K314" s="9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  <c r="W314" s="84"/>
      <c r="X314" s="84"/>
      <c r="Y314" s="84"/>
      <c r="Z314" s="84"/>
      <c r="AA314" s="84"/>
      <c r="AB314" s="84"/>
      <c r="AC314" s="84"/>
      <c r="AD314" s="84"/>
      <c r="AE314" s="84"/>
      <c r="AF314" s="84"/>
      <c r="AG314" s="84"/>
      <c r="AH314" s="84"/>
      <c r="AI314" s="84"/>
      <c r="AJ314" s="84"/>
      <c r="AK314" s="84"/>
      <c r="AL314" s="84"/>
      <c r="AM314" s="84"/>
      <c r="AN314" s="84"/>
      <c r="AO314" s="84"/>
      <c r="AP314" s="84"/>
      <c r="AQ314" s="84"/>
      <c r="AR314" s="84"/>
      <c r="AS314" s="84"/>
      <c r="AT314" s="84"/>
      <c r="AU314" s="84"/>
      <c r="AV314" s="84"/>
      <c r="AW314" s="84"/>
      <c r="AX314" s="87">
        <f t="array" ref="AX314">IF(G314=1,SUM((ROW(M0)=ROW(AW314))*(M0+M1_+M2_+M3_+M4_+M5_+M6_+M7_+M8_+M9_+M10_+M11_+M12_+M13_+M14_+M15_+M16_+M17_+M18_+M19_+M20_+M21_+M22_+M23_+M24_+M25_+M26_+M27_+M28_+M29_+M30_+M31_+M32_+M33_+M34_+M35_+M36_+M37_)),0)</f>
        <v>0</v>
      </c>
      <c r="AZ314" s="24" t="str">
        <f t="shared" si="73"/>
        <v/>
      </c>
      <c r="BA314" s="24" t="str">
        <f t="shared" si="74"/>
        <v/>
      </c>
      <c r="BB314" s="24" t="str">
        <f t="shared" si="75"/>
        <v/>
      </c>
      <c r="BC314" s="24" t="str">
        <f>IF(OR(E314="",LEFT(TableCosts[[#This Row],[Calc_N_Typ]],18)="Vynaložené náklady"),"",VLOOKUP(E314,Tab_Parts,2,0))</f>
        <v/>
      </c>
      <c r="BD314" s="24" t="str">
        <f t="shared" si="76"/>
        <v/>
      </c>
      <c r="BE314" s="24">
        <f t="shared" si="77"/>
        <v>0</v>
      </c>
      <c r="BF314" s="72">
        <f>TableCosts[[#This Row],[N_Amount]]*TableCosts[[#This Row],[N_Tariff]]*TableCosts[[#This Row],[N_ItemsCount]]</f>
        <v>0</v>
      </c>
      <c r="BG314" s="72">
        <f>IF(G314=1,IF(TableCosts[[#This Row],[N_Kateg]]="interné práce",TableCosts[[#This Row],[N_Amount]]*8*PAR_SGA_PERHOUR,0),0)</f>
        <v>0</v>
      </c>
      <c r="BH314" s="72">
        <f>SUM(TableCosts[[#This Row],[N_Direct]:[N_SGA]])</f>
        <v>0</v>
      </c>
      <c r="BI314" s="24">
        <f>IF(G314=1,IF(OR(AND(NOT(ISERROR(VLOOKUP(TableCosts[[#This Row],[Calc_N_Typ]],Cis_WorkPositions,1,0))),C314&lt;&gt;"",D314&lt;&gt;"",E314&lt;&gt;""),AND(ISERROR(VLOOKUP(TableCosts[[#This Row],[Calc_N_Typ]],Cis_WorkPositions,1,0)),C314="",D314="",E314&lt;&gt;""),LEFT(TableCosts[[#This Row],[Calc_N_Typ]],18)="Vynaložené náklady"),VLOOKUP(C314&amp;TableCosts[[#This Row],[Calc_N_Typ]],TRAN_STRITEMS_LABEL,VLOOKUP(D314,Tab_Hours,3,0),0),NA()),0)</f>
        <v>0</v>
      </c>
      <c r="BJ314" s="24">
        <f t="shared" si="78"/>
        <v>0</v>
      </c>
      <c r="BK314" s="24" t="str">
        <f t="shared" si="79"/>
        <v/>
      </c>
      <c r="BL314" s="24" t="str">
        <f t="shared" si="80"/>
        <v/>
      </c>
      <c r="BM314" s="24" t="str">
        <f>IF(G314=1,IF(TableCosts[[#This Row],[TransferFrom]]=TableCosts[[#This Row],[TranferTo]],0,1),"")</f>
        <v/>
      </c>
      <c r="BN314" s="24" t="str">
        <f t="shared" si="81"/>
        <v/>
      </c>
      <c r="BO314" s="24">
        <f t="shared" si="82"/>
        <v>0</v>
      </c>
      <c r="BP314" s="24">
        <f t="shared" si="83"/>
        <v>0</v>
      </c>
    </row>
    <row r="315" spans="2:68" s="24" customFormat="1" ht="12.75" x14ac:dyDescent="0.2">
      <c r="B315" s="97"/>
      <c r="C315" s="92"/>
      <c r="D315" s="92"/>
      <c r="E315" s="92"/>
      <c r="F315" s="31" t="str">
        <f>IF(G315=1,IF(ISERROR(TableCosts[[#This Row],[N_Tariff]]),Err_Message1,IF(TableCosts[[#This Row],[N_Tariff]]=0,Err_Message2,VLOOKUP(C315&amp;TableCosts[[#This Row],[Calc_N_Typ]],TRAN_STRITEMS_LABEL,5,FALSE))),"")</f>
        <v/>
      </c>
      <c r="G315" s="31">
        <f t="shared" si="72"/>
        <v>0</v>
      </c>
      <c r="H315" s="31" t="str">
        <f>IF(G315=1,IFERROR(VLOOKUP(F315,Tab_ErrMessage[],2,0),VLOOKUP(C315&amp;TableCosts[[#This Row],[Calc_N_Typ]],TRAN_STRITEMS_LABEL,4,FALSE)),"")</f>
        <v/>
      </c>
      <c r="I315" s="94"/>
      <c r="J315" s="94"/>
      <c r="K315" s="9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  <c r="W315" s="84"/>
      <c r="X315" s="84"/>
      <c r="Y315" s="84"/>
      <c r="Z315" s="84"/>
      <c r="AA315" s="84"/>
      <c r="AB315" s="84"/>
      <c r="AC315" s="84"/>
      <c r="AD315" s="84"/>
      <c r="AE315" s="84"/>
      <c r="AF315" s="84"/>
      <c r="AG315" s="84"/>
      <c r="AH315" s="84"/>
      <c r="AI315" s="84"/>
      <c r="AJ315" s="84"/>
      <c r="AK315" s="84"/>
      <c r="AL315" s="84"/>
      <c r="AM315" s="84"/>
      <c r="AN315" s="84"/>
      <c r="AO315" s="84"/>
      <c r="AP315" s="84"/>
      <c r="AQ315" s="84"/>
      <c r="AR315" s="84"/>
      <c r="AS315" s="84"/>
      <c r="AT315" s="84"/>
      <c r="AU315" s="84"/>
      <c r="AV315" s="84"/>
      <c r="AW315" s="84"/>
      <c r="AX315" s="87">
        <f t="array" ref="AX315">IF(G315=1,SUM((ROW(M0)=ROW(AW315))*(M0+M1_+M2_+M3_+M4_+M5_+M6_+M7_+M8_+M9_+M10_+M11_+M12_+M13_+M14_+M15_+M16_+M17_+M18_+M19_+M20_+M21_+M22_+M23_+M24_+M25_+M26_+M27_+M28_+M29_+M30_+M31_+M32_+M33_+M34_+M35_+M36_+M37_)),0)</f>
        <v>0</v>
      </c>
      <c r="AZ315" s="24" t="str">
        <f t="shared" si="73"/>
        <v/>
      </c>
      <c r="BA315" s="24" t="str">
        <f t="shared" si="74"/>
        <v/>
      </c>
      <c r="BB315" s="24" t="str">
        <f t="shared" si="75"/>
        <v/>
      </c>
      <c r="BC315" s="24" t="str">
        <f>IF(OR(E315="",LEFT(TableCosts[[#This Row],[Calc_N_Typ]],18)="Vynaložené náklady"),"",VLOOKUP(E315,Tab_Parts,2,0))</f>
        <v/>
      </c>
      <c r="BD315" s="24" t="str">
        <f t="shared" si="76"/>
        <v/>
      </c>
      <c r="BE315" s="24">
        <f t="shared" si="77"/>
        <v>0</v>
      </c>
      <c r="BF315" s="72">
        <f>TableCosts[[#This Row],[N_Amount]]*TableCosts[[#This Row],[N_Tariff]]*TableCosts[[#This Row],[N_ItemsCount]]</f>
        <v>0</v>
      </c>
      <c r="BG315" s="72">
        <f>IF(G315=1,IF(TableCosts[[#This Row],[N_Kateg]]="interné práce",TableCosts[[#This Row],[N_Amount]]*8*PAR_SGA_PERHOUR,0),0)</f>
        <v>0</v>
      </c>
      <c r="BH315" s="72">
        <f>SUM(TableCosts[[#This Row],[N_Direct]:[N_SGA]])</f>
        <v>0</v>
      </c>
      <c r="BI315" s="24">
        <f>IF(G315=1,IF(OR(AND(NOT(ISERROR(VLOOKUP(TableCosts[[#This Row],[Calc_N_Typ]],Cis_WorkPositions,1,0))),C315&lt;&gt;"",D315&lt;&gt;"",E315&lt;&gt;""),AND(ISERROR(VLOOKUP(TableCosts[[#This Row],[Calc_N_Typ]],Cis_WorkPositions,1,0)),C315="",D315="",E315&lt;&gt;""),LEFT(TableCosts[[#This Row],[Calc_N_Typ]],18)="Vynaložené náklady"),VLOOKUP(C315&amp;TableCosts[[#This Row],[Calc_N_Typ]],TRAN_STRITEMS_LABEL,VLOOKUP(D315,Tab_Hours,3,0),0),NA()),0)</f>
        <v>0</v>
      </c>
      <c r="BJ315" s="24">
        <f t="shared" si="78"/>
        <v>0</v>
      </c>
      <c r="BK315" s="24" t="str">
        <f t="shared" si="79"/>
        <v/>
      </c>
      <c r="BL315" s="24" t="str">
        <f t="shared" si="80"/>
        <v/>
      </c>
      <c r="BM315" s="24" t="str">
        <f>IF(G315=1,IF(TableCosts[[#This Row],[TransferFrom]]=TableCosts[[#This Row],[TranferTo]],0,1),"")</f>
        <v/>
      </c>
      <c r="BN315" s="24" t="str">
        <f t="shared" si="81"/>
        <v/>
      </c>
      <c r="BO315" s="24">
        <f t="shared" si="82"/>
        <v>0</v>
      </c>
      <c r="BP315" s="24">
        <f t="shared" si="83"/>
        <v>0</v>
      </c>
    </row>
    <row r="316" spans="2:68" s="24" customFormat="1" ht="12.75" x14ac:dyDescent="0.2">
      <c r="B316" s="97"/>
      <c r="C316" s="92"/>
      <c r="D316" s="92"/>
      <c r="E316" s="92"/>
      <c r="F316" s="31" t="str">
        <f>IF(G316=1,IF(ISERROR(TableCosts[[#This Row],[N_Tariff]]),Err_Message1,IF(TableCosts[[#This Row],[N_Tariff]]=0,Err_Message2,VLOOKUP(C316&amp;TableCosts[[#This Row],[Calc_N_Typ]],TRAN_STRITEMS_LABEL,5,FALSE))),"")</f>
        <v/>
      </c>
      <c r="G316" s="31">
        <f t="shared" si="72"/>
        <v>0</v>
      </c>
      <c r="H316" s="31" t="str">
        <f>IF(G316=1,IFERROR(VLOOKUP(F316,Tab_ErrMessage[],2,0),VLOOKUP(C316&amp;TableCosts[[#This Row],[Calc_N_Typ]],TRAN_STRITEMS_LABEL,4,FALSE)),"")</f>
        <v/>
      </c>
      <c r="I316" s="94"/>
      <c r="J316" s="94"/>
      <c r="K316" s="94"/>
      <c r="L316" s="84"/>
      <c r="M316" s="84"/>
      <c r="N316" s="84"/>
      <c r="O316" s="84"/>
      <c r="P316" s="84"/>
      <c r="Q316" s="84"/>
      <c r="R316" s="84"/>
      <c r="S316" s="84"/>
      <c r="T316" s="84"/>
      <c r="U316" s="84"/>
      <c r="V316" s="84"/>
      <c r="W316" s="84"/>
      <c r="X316" s="84"/>
      <c r="Y316" s="84"/>
      <c r="Z316" s="84"/>
      <c r="AA316" s="84"/>
      <c r="AB316" s="84"/>
      <c r="AC316" s="84"/>
      <c r="AD316" s="84"/>
      <c r="AE316" s="84"/>
      <c r="AF316" s="84"/>
      <c r="AG316" s="84"/>
      <c r="AH316" s="84"/>
      <c r="AI316" s="84"/>
      <c r="AJ316" s="84"/>
      <c r="AK316" s="84"/>
      <c r="AL316" s="84"/>
      <c r="AM316" s="84"/>
      <c r="AN316" s="84"/>
      <c r="AO316" s="84"/>
      <c r="AP316" s="84"/>
      <c r="AQ316" s="84"/>
      <c r="AR316" s="84"/>
      <c r="AS316" s="84"/>
      <c r="AT316" s="84"/>
      <c r="AU316" s="84"/>
      <c r="AV316" s="84"/>
      <c r="AW316" s="84"/>
      <c r="AX316" s="87">
        <f t="array" ref="AX316">IF(G316=1,SUM((ROW(M0)=ROW(AW316))*(M0+M1_+M2_+M3_+M4_+M5_+M6_+M7_+M8_+M9_+M10_+M11_+M12_+M13_+M14_+M15_+M16_+M17_+M18_+M19_+M20_+M21_+M22_+M23_+M24_+M25_+M26_+M27_+M28_+M29_+M30_+M31_+M32_+M33_+M34_+M35_+M36_+M37_)),0)</f>
        <v>0</v>
      </c>
      <c r="AZ316" s="24" t="str">
        <f t="shared" si="73"/>
        <v/>
      </c>
      <c r="BA316" s="24" t="str">
        <f t="shared" si="74"/>
        <v/>
      </c>
      <c r="BB316" s="24" t="str">
        <f t="shared" si="75"/>
        <v/>
      </c>
      <c r="BC316" s="24" t="str">
        <f>IF(OR(E316="",LEFT(TableCosts[[#This Row],[Calc_N_Typ]],18)="Vynaložené náklady"),"",VLOOKUP(E316,Tab_Parts,2,0))</f>
        <v/>
      </c>
      <c r="BD316" s="24" t="str">
        <f t="shared" si="76"/>
        <v/>
      </c>
      <c r="BE316" s="24">
        <f t="shared" si="77"/>
        <v>0</v>
      </c>
      <c r="BF316" s="72">
        <f>TableCosts[[#This Row],[N_Amount]]*TableCosts[[#This Row],[N_Tariff]]*TableCosts[[#This Row],[N_ItemsCount]]</f>
        <v>0</v>
      </c>
      <c r="BG316" s="72">
        <f>IF(G316=1,IF(TableCosts[[#This Row],[N_Kateg]]="interné práce",TableCosts[[#This Row],[N_Amount]]*8*PAR_SGA_PERHOUR,0),0)</f>
        <v>0</v>
      </c>
      <c r="BH316" s="72">
        <f>SUM(TableCosts[[#This Row],[N_Direct]:[N_SGA]])</f>
        <v>0</v>
      </c>
      <c r="BI316" s="24">
        <f>IF(G316=1,IF(OR(AND(NOT(ISERROR(VLOOKUP(TableCosts[[#This Row],[Calc_N_Typ]],Cis_WorkPositions,1,0))),C316&lt;&gt;"",D316&lt;&gt;"",E316&lt;&gt;""),AND(ISERROR(VLOOKUP(TableCosts[[#This Row],[Calc_N_Typ]],Cis_WorkPositions,1,0)),C316="",D316="",E316&lt;&gt;""),LEFT(TableCosts[[#This Row],[Calc_N_Typ]],18)="Vynaložené náklady"),VLOOKUP(C316&amp;TableCosts[[#This Row],[Calc_N_Typ]],TRAN_STRITEMS_LABEL,VLOOKUP(D316,Tab_Hours,3,0),0),NA()),0)</f>
        <v>0</v>
      </c>
      <c r="BJ316" s="24">
        <f t="shared" si="78"/>
        <v>0</v>
      </c>
      <c r="BK316" s="24" t="str">
        <f t="shared" si="79"/>
        <v/>
      </c>
      <c r="BL316" s="24" t="str">
        <f t="shared" si="80"/>
        <v/>
      </c>
      <c r="BM316" s="24" t="str">
        <f>IF(G316=1,IF(TableCosts[[#This Row],[TransferFrom]]=TableCosts[[#This Row],[TranferTo]],0,1),"")</f>
        <v/>
      </c>
      <c r="BN316" s="24" t="str">
        <f t="shared" si="81"/>
        <v/>
      </c>
      <c r="BO316" s="24">
        <f t="shared" si="82"/>
        <v>0</v>
      </c>
      <c r="BP316" s="24">
        <f t="shared" si="83"/>
        <v>0</v>
      </c>
    </row>
    <row r="317" spans="2:68" s="24" customFormat="1" ht="12.75" x14ac:dyDescent="0.2">
      <c r="B317" s="97"/>
      <c r="C317" s="92"/>
      <c r="D317" s="92"/>
      <c r="E317" s="92"/>
      <c r="F317" s="31" t="str">
        <f>IF(G317=1,IF(ISERROR(TableCosts[[#This Row],[N_Tariff]]),Err_Message1,IF(TableCosts[[#This Row],[N_Tariff]]=0,Err_Message2,VLOOKUP(C317&amp;TableCosts[[#This Row],[Calc_N_Typ]],TRAN_STRITEMS_LABEL,5,FALSE))),"")</f>
        <v/>
      </c>
      <c r="G317" s="31">
        <f t="shared" si="72"/>
        <v>0</v>
      </c>
      <c r="H317" s="31" t="str">
        <f>IF(G317=1,IFERROR(VLOOKUP(F317,Tab_ErrMessage[],2,0),VLOOKUP(C317&amp;TableCosts[[#This Row],[Calc_N_Typ]],TRAN_STRITEMS_LABEL,4,FALSE)),"")</f>
        <v/>
      </c>
      <c r="I317" s="94"/>
      <c r="J317" s="94"/>
      <c r="K317" s="94"/>
      <c r="L317" s="84"/>
      <c r="M317" s="84"/>
      <c r="N317" s="84"/>
      <c r="O317" s="84"/>
      <c r="P317" s="84"/>
      <c r="Q317" s="84"/>
      <c r="R317" s="84"/>
      <c r="S317" s="84"/>
      <c r="T317" s="84"/>
      <c r="U317" s="84"/>
      <c r="V317" s="84"/>
      <c r="W317" s="84"/>
      <c r="X317" s="84"/>
      <c r="Y317" s="84"/>
      <c r="Z317" s="84"/>
      <c r="AA317" s="84"/>
      <c r="AB317" s="84"/>
      <c r="AC317" s="84"/>
      <c r="AD317" s="84"/>
      <c r="AE317" s="84"/>
      <c r="AF317" s="84"/>
      <c r="AG317" s="84"/>
      <c r="AH317" s="84"/>
      <c r="AI317" s="84"/>
      <c r="AJ317" s="84"/>
      <c r="AK317" s="84"/>
      <c r="AL317" s="84"/>
      <c r="AM317" s="84"/>
      <c r="AN317" s="84"/>
      <c r="AO317" s="84"/>
      <c r="AP317" s="84"/>
      <c r="AQ317" s="84"/>
      <c r="AR317" s="84"/>
      <c r="AS317" s="84"/>
      <c r="AT317" s="84"/>
      <c r="AU317" s="84"/>
      <c r="AV317" s="84"/>
      <c r="AW317" s="84"/>
      <c r="AX317" s="87">
        <f t="array" ref="AX317">IF(G317=1,SUM((ROW(M0)=ROW(AW317))*(M0+M1_+M2_+M3_+M4_+M5_+M6_+M7_+M8_+M9_+M10_+M11_+M12_+M13_+M14_+M15_+M16_+M17_+M18_+M19_+M20_+M21_+M22_+M23_+M24_+M25_+M26_+M27_+M28_+M29_+M30_+M31_+M32_+M33_+M34_+M35_+M36_+M37_)),0)</f>
        <v>0</v>
      </c>
      <c r="AZ317" s="24" t="str">
        <f t="shared" si="73"/>
        <v/>
      </c>
      <c r="BA317" s="24" t="str">
        <f t="shared" si="74"/>
        <v/>
      </c>
      <c r="BB317" s="24" t="str">
        <f t="shared" si="75"/>
        <v/>
      </c>
      <c r="BC317" s="24" t="str">
        <f>IF(OR(E317="",LEFT(TableCosts[[#This Row],[Calc_N_Typ]],18)="Vynaložené náklady"),"",VLOOKUP(E317,Tab_Parts,2,0))</f>
        <v/>
      </c>
      <c r="BD317" s="24" t="str">
        <f t="shared" si="76"/>
        <v/>
      </c>
      <c r="BE317" s="24">
        <f t="shared" si="77"/>
        <v>0</v>
      </c>
      <c r="BF317" s="72">
        <f>TableCosts[[#This Row],[N_Amount]]*TableCosts[[#This Row],[N_Tariff]]*TableCosts[[#This Row],[N_ItemsCount]]</f>
        <v>0</v>
      </c>
      <c r="BG317" s="72">
        <f>IF(G317=1,IF(TableCosts[[#This Row],[N_Kateg]]="interné práce",TableCosts[[#This Row],[N_Amount]]*8*PAR_SGA_PERHOUR,0),0)</f>
        <v>0</v>
      </c>
      <c r="BH317" s="72">
        <f>SUM(TableCosts[[#This Row],[N_Direct]:[N_SGA]])</f>
        <v>0</v>
      </c>
      <c r="BI317" s="24">
        <f>IF(G317=1,IF(OR(AND(NOT(ISERROR(VLOOKUP(TableCosts[[#This Row],[Calc_N_Typ]],Cis_WorkPositions,1,0))),C317&lt;&gt;"",D317&lt;&gt;"",E317&lt;&gt;""),AND(ISERROR(VLOOKUP(TableCosts[[#This Row],[Calc_N_Typ]],Cis_WorkPositions,1,0)),C317="",D317="",E317&lt;&gt;""),LEFT(TableCosts[[#This Row],[Calc_N_Typ]],18)="Vynaložené náklady"),VLOOKUP(C317&amp;TableCosts[[#This Row],[Calc_N_Typ]],TRAN_STRITEMS_LABEL,VLOOKUP(D317,Tab_Hours,3,0),0),NA()),0)</f>
        <v>0</v>
      </c>
      <c r="BJ317" s="24">
        <f t="shared" si="78"/>
        <v>0</v>
      </c>
      <c r="BK317" s="24" t="str">
        <f t="shared" si="79"/>
        <v/>
      </c>
      <c r="BL317" s="24" t="str">
        <f t="shared" si="80"/>
        <v/>
      </c>
      <c r="BM317" s="24" t="str">
        <f>IF(G317=1,IF(TableCosts[[#This Row],[TransferFrom]]=TableCosts[[#This Row],[TranferTo]],0,1),"")</f>
        <v/>
      </c>
      <c r="BN317" s="24" t="str">
        <f t="shared" si="81"/>
        <v/>
      </c>
      <c r="BO317" s="24">
        <f t="shared" si="82"/>
        <v>0</v>
      </c>
      <c r="BP317" s="24">
        <f t="shared" si="83"/>
        <v>0</v>
      </c>
    </row>
    <row r="318" spans="2:68" s="24" customFormat="1" ht="12.75" x14ac:dyDescent="0.2">
      <c r="B318" s="97"/>
      <c r="C318" s="92"/>
      <c r="D318" s="92"/>
      <c r="E318" s="92"/>
      <c r="F318" s="31" t="str">
        <f>IF(G318=1,IF(ISERROR(TableCosts[[#This Row],[N_Tariff]]),Err_Message1,IF(TableCosts[[#This Row],[N_Tariff]]=0,Err_Message2,VLOOKUP(C318&amp;TableCosts[[#This Row],[Calc_N_Typ]],TRAN_STRITEMS_LABEL,5,FALSE))),"")</f>
        <v/>
      </c>
      <c r="G318" s="31">
        <f t="shared" si="72"/>
        <v>0</v>
      </c>
      <c r="H318" s="31" t="str">
        <f>IF(G318=1,IFERROR(VLOOKUP(F318,Tab_ErrMessage[],2,0),VLOOKUP(C318&amp;TableCosts[[#This Row],[Calc_N_Typ]],TRAN_STRITEMS_LABEL,4,FALSE)),"")</f>
        <v/>
      </c>
      <c r="I318" s="94"/>
      <c r="J318" s="94"/>
      <c r="K318" s="94"/>
      <c r="L318" s="84"/>
      <c r="M318" s="84"/>
      <c r="N318" s="84"/>
      <c r="O318" s="84"/>
      <c r="P318" s="84"/>
      <c r="Q318" s="84"/>
      <c r="R318" s="84"/>
      <c r="S318" s="84"/>
      <c r="T318" s="84"/>
      <c r="U318" s="84"/>
      <c r="V318" s="84"/>
      <c r="W318" s="84"/>
      <c r="X318" s="84"/>
      <c r="Y318" s="84"/>
      <c r="Z318" s="84"/>
      <c r="AA318" s="84"/>
      <c r="AB318" s="84"/>
      <c r="AC318" s="84"/>
      <c r="AD318" s="84"/>
      <c r="AE318" s="84"/>
      <c r="AF318" s="84"/>
      <c r="AG318" s="84"/>
      <c r="AH318" s="84"/>
      <c r="AI318" s="84"/>
      <c r="AJ318" s="84"/>
      <c r="AK318" s="84"/>
      <c r="AL318" s="84"/>
      <c r="AM318" s="84"/>
      <c r="AN318" s="84"/>
      <c r="AO318" s="84"/>
      <c r="AP318" s="84"/>
      <c r="AQ318" s="84"/>
      <c r="AR318" s="84"/>
      <c r="AS318" s="84"/>
      <c r="AT318" s="84"/>
      <c r="AU318" s="84"/>
      <c r="AV318" s="84"/>
      <c r="AW318" s="84"/>
      <c r="AX318" s="87">
        <f t="array" ref="AX318">IF(G318=1,SUM((ROW(M0)=ROW(AW318))*(M0+M1_+M2_+M3_+M4_+M5_+M6_+M7_+M8_+M9_+M10_+M11_+M12_+M13_+M14_+M15_+M16_+M17_+M18_+M19_+M20_+M21_+M22_+M23_+M24_+M25_+M26_+M27_+M28_+M29_+M30_+M31_+M32_+M33_+M34_+M35_+M36_+M37_)),0)</f>
        <v>0</v>
      </c>
      <c r="AZ318" s="24" t="str">
        <f t="shared" si="73"/>
        <v/>
      </c>
      <c r="BA318" s="24" t="str">
        <f t="shared" si="74"/>
        <v/>
      </c>
      <c r="BB318" s="24" t="str">
        <f t="shared" si="75"/>
        <v/>
      </c>
      <c r="BC318" s="24" t="str">
        <f>IF(OR(E318="",LEFT(TableCosts[[#This Row],[Calc_N_Typ]],18)="Vynaložené náklady"),"",VLOOKUP(E318,Tab_Parts,2,0))</f>
        <v/>
      </c>
      <c r="BD318" s="24" t="str">
        <f t="shared" si="76"/>
        <v/>
      </c>
      <c r="BE318" s="24">
        <f t="shared" si="77"/>
        <v>0</v>
      </c>
      <c r="BF318" s="72">
        <f>TableCosts[[#This Row],[N_Amount]]*TableCosts[[#This Row],[N_Tariff]]*TableCosts[[#This Row],[N_ItemsCount]]</f>
        <v>0</v>
      </c>
      <c r="BG318" s="72">
        <f>IF(G318=1,IF(TableCosts[[#This Row],[N_Kateg]]="interné práce",TableCosts[[#This Row],[N_Amount]]*8*PAR_SGA_PERHOUR,0),0)</f>
        <v>0</v>
      </c>
      <c r="BH318" s="72">
        <f>SUM(TableCosts[[#This Row],[N_Direct]:[N_SGA]])</f>
        <v>0</v>
      </c>
      <c r="BI318" s="24">
        <f>IF(G318=1,IF(OR(AND(NOT(ISERROR(VLOOKUP(TableCosts[[#This Row],[Calc_N_Typ]],Cis_WorkPositions,1,0))),C318&lt;&gt;"",D318&lt;&gt;"",E318&lt;&gt;""),AND(ISERROR(VLOOKUP(TableCosts[[#This Row],[Calc_N_Typ]],Cis_WorkPositions,1,0)),C318="",D318="",E318&lt;&gt;""),LEFT(TableCosts[[#This Row],[Calc_N_Typ]],18)="Vynaložené náklady"),VLOOKUP(C318&amp;TableCosts[[#This Row],[Calc_N_Typ]],TRAN_STRITEMS_LABEL,VLOOKUP(D318,Tab_Hours,3,0),0),NA()),0)</f>
        <v>0</v>
      </c>
      <c r="BJ318" s="24">
        <f t="shared" si="78"/>
        <v>0</v>
      </c>
      <c r="BK318" s="24" t="str">
        <f t="shared" si="79"/>
        <v/>
      </c>
      <c r="BL318" s="24" t="str">
        <f t="shared" si="80"/>
        <v/>
      </c>
      <c r="BM318" s="24" t="str">
        <f>IF(G318=1,IF(TableCosts[[#This Row],[TransferFrom]]=TableCosts[[#This Row],[TranferTo]],0,1),"")</f>
        <v/>
      </c>
      <c r="BN318" s="24" t="str">
        <f t="shared" si="81"/>
        <v/>
      </c>
      <c r="BO318" s="24">
        <f t="shared" si="82"/>
        <v>0</v>
      </c>
      <c r="BP318" s="24">
        <f t="shared" si="83"/>
        <v>0</v>
      </c>
    </row>
    <row r="319" spans="2:68" s="24" customFormat="1" ht="12.75" x14ac:dyDescent="0.2">
      <c r="B319" s="97"/>
      <c r="C319" s="92"/>
      <c r="D319" s="92"/>
      <c r="E319" s="92"/>
      <c r="F319" s="31" t="str">
        <f>IF(G319=1,IF(ISERROR(TableCosts[[#This Row],[N_Tariff]]),Err_Message1,IF(TableCosts[[#This Row],[N_Tariff]]=0,Err_Message2,VLOOKUP(C319&amp;TableCosts[[#This Row],[Calc_N_Typ]],TRAN_STRITEMS_LABEL,5,FALSE))),"")</f>
        <v/>
      </c>
      <c r="G319" s="31">
        <f t="shared" si="72"/>
        <v>0</v>
      </c>
      <c r="H319" s="31" t="str">
        <f>IF(G319=1,IFERROR(VLOOKUP(F319,Tab_ErrMessage[],2,0),VLOOKUP(C319&amp;TableCosts[[#This Row],[Calc_N_Typ]],TRAN_STRITEMS_LABEL,4,FALSE)),"")</f>
        <v/>
      </c>
      <c r="I319" s="94"/>
      <c r="J319" s="94"/>
      <c r="K319" s="94"/>
      <c r="L319" s="84"/>
      <c r="M319" s="84"/>
      <c r="N319" s="84"/>
      <c r="O319" s="84"/>
      <c r="P319" s="84"/>
      <c r="Q319" s="84"/>
      <c r="R319" s="84"/>
      <c r="S319" s="84"/>
      <c r="T319" s="84"/>
      <c r="U319" s="84"/>
      <c r="V319" s="84"/>
      <c r="W319" s="84"/>
      <c r="X319" s="84"/>
      <c r="Y319" s="84"/>
      <c r="Z319" s="84"/>
      <c r="AA319" s="84"/>
      <c r="AB319" s="84"/>
      <c r="AC319" s="84"/>
      <c r="AD319" s="84"/>
      <c r="AE319" s="84"/>
      <c r="AF319" s="84"/>
      <c r="AG319" s="84"/>
      <c r="AH319" s="84"/>
      <c r="AI319" s="84"/>
      <c r="AJ319" s="84"/>
      <c r="AK319" s="84"/>
      <c r="AL319" s="84"/>
      <c r="AM319" s="84"/>
      <c r="AN319" s="84"/>
      <c r="AO319" s="84"/>
      <c r="AP319" s="84"/>
      <c r="AQ319" s="84"/>
      <c r="AR319" s="84"/>
      <c r="AS319" s="84"/>
      <c r="AT319" s="84"/>
      <c r="AU319" s="84"/>
      <c r="AV319" s="84"/>
      <c r="AW319" s="84"/>
      <c r="AX319" s="87">
        <f t="array" ref="AX319">IF(G319=1,SUM((ROW(M0)=ROW(AW319))*(M0+M1_+M2_+M3_+M4_+M5_+M6_+M7_+M8_+M9_+M10_+M11_+M12_+M13_+M14_+M15_+M16_+M17_+M18_+M19_+M20_+M21_+M22_+M23_+M24_+M25_+M26_+M27_+M28_+M29_+M30_+M31_+M32_+M33_+M34_+M35_+M36_+M37_)),0)</f>
        <v>0</v>
      </c>
      <c r="AZ319" s="24" t="str">
        <f t="shared" si="73"/>
        <v/>
      </c>
      <c r="BA319" s="24" t="str">
        <f t="shared" si="74"/>
        <v/>
      </c>
      <c r="BB319" s="24" t="str">
        <f t="shared" si="75"/>
        <v/>
      </c>
      <c r="BC319" s="24" t="str">
        <f>IF(OR(E319="",LEFT(TableCosts[[#This Row],[Calc_N_Typ]],18)="Vynaložené náklady"),"",VLOOKUP(E319,Tab_Parts,2,0))</f>
        <v/>
      </c>
      <c r="BD319" s="24" t="str">
        <f t="shared" si="76"/>
        <v/>
      </c>
      <c r="BE319" s="24">
        <f t="shared" si="77"/>
        <v>0</v>
      </c>
      <c r="BF319" s="72">
        <f>TableCosts[[#This Row],[N_Amount]]*TableCosts[[#This Row],[N_Tariff]]*TableCosts[[#This Row],[N_ItemsCount]]</f>
        <v>0</v>
      </c>
      <c r="BG319" s="72">
        <f>IF(G319=1,IF(TableCosts[[#This Row],[N_Kateg]]="interné práce",TableCosts[[#This Row],[N_Amount]]*8*PAR_SGA_PERHOUR,0),0)</f>
        <v>0</v>
      </c>
      <c r="BH319" s="72">
        <f>SUM(TableCosts[[#This Row],[N_Direct]:[N_SGA]])</f>
        <v>0</v>
      </c>
      <c r="BI319" s="24">
        <f>IF(G319=1,IF(OR(AND(NOT(ISERROR(VLOOKUP(TableCosts[[#This Row],[Calc_N_Typ]],Cis_WorkPositions,1,0))),C319&lt;&gt;"",D319&lt;&gt;"",E319&lt;&gt;""),AND(ISERROR(VLOOKUP(TableCosts[[#This Row],[Calc_N_Typ]],Cis_WorkPositions,1,0)),C319="",D319="",E319&lt;&gt;""),LEFT(TableCosts[[#This Row],[Calc_N_Typ]],18)="Vynaložené náklady"),VLOOKUP(C319&amp;TableCosts[[#This Row],[Calc_N_Typ]],TRAN_STRITEMS_LABEL,VLOOKUP(D319,Tab_Hours,3,0),0),NA()),0)</f>
        <v>0</v>
      </c>
      <c r="BJ319" s="24">
        <f t="shared" si="78"/>
        <v>0</v>
      </c>
      <c r="BK319" s="24" t="str">
        <f t="shared" si="79"/>
        <v/>
      </c>
      <c r="BL319" s="24" t="str">
        <f t="shared" si="80"/>
        <v/>
      </c>
      <c r="BM319" s="24" t="str">
        <f>IF(G319=1,IF(TableCosts[[#This Row],[TransferFrom]]=TableCosts[[#This Row],[TranferTo]],0,1),"")</f>
        <v/>
      </c>
      <c r="BN319" s="24" t="str">
        <f t="shared" si="81"/>
        <v/>
      </c>
      <c r="BO319" s="24">
        <f t="shared" si="82"/>
        <v>0</v>
      </c>
      <c r="BP319" s="24">
        <f t="shared" si="83"/>
        <v>0</v>
      </c>
    </row>
    <row r="320" spans="2:68" s="24" customFormat="1" ht="12.75" x14ac:dyDescent="0.2">
      <c r="B320" s="97"/>
      <c r="C320" s="92"/>
      <c r="D320" s="92"/>
      <c r="E320" s="92"/>
      <c r="F320" s="31" t="str">
        <f>IF(G320=1,IF(ISERROR(TableCosts[[#This Row],[N_Tariff]]),Err_Message1,IF(TableCosts[[#This Row],[N_Tariff]]=0,Err_Message2,VLOOKUP(C320&amp;TableCosts[[#This Row],[Calc_N_Typ]],TRAN_STRITEMS_LABEL,5,FALSE))),"")</f>
        <v/>
      </c>
      <c r="G320" s="31">
        <f t="shared" si="72"/>
        <v>0</v>
      </c>
      <c r="H320" s="31" t="str">
        <f>IF(G320=1,IFERROR(VLOOKUP(F320,Tab_ErrMessage[],2,0),VLOOKUP(C320&amp;TableCosts[[#This Row],[Calc_N_Typ]],TRAN_STRITEMS_LABEL,4,FALSE)),"")</f>
        <v/>
      </c>
      <c r="I320" s="94"/>
      <c r="J320" s="94"/>
      <c r="K320" s="94"/>
      <c r="L320" s="84"/>
      <c r="M320" s="84"/>
      <c r="N320" s="84"/>
      <c r="O320" s="84"/>
      <c r="P320" s="84"/>
      <c r="Q320" s="84"/>
      <c r="R320" s="84"/>
      <c r="S320" s="84"/>
      <c r="T320" s="84"/>
      <c r="U320" s="84"/>
      <c r="V320" s="84"/>
      <c r="W320" s="84"/>
      <c r="X320" s="84"/>
      <c r="Y320" s="84"/>
      <c r="Z320" s="84"/>
      <c r="AA320" s="84"/>
      <c r="AB320" s="84"/>
      <c r="AC320" s="84"/>
      <c r="AD320" s="84"/>
      <c r="AE320" s="84"/>
      <c r="AF320" s="84"/>
      <c r="AG320" s="84"/>
      <c r="AH320" s="84"/>
      <c r="AI320" s="84"/>
      <c r="AJ320" s="84"/>
      <c r="AK320" s="84"/>
      <c r="AL320" s="84"/>
      <c r="AM320" s="84"/>
      <c r="AN320" s="84"/>
      <c r="AO320" s="84"/>
      <c r="AP320" s="84"/>
      <c r="AQ320" s="84"/>
      <c r="AR320" s="84"/>
      <c r="AS320" s="84"/>
      <c r="AT320" s="84"/>
      <c r="AU320" s="84"/>
      <c r="AV320" s="84"/>
      <c r="AW320" s="84"/>
      <c r="AX320" s="87">
        <f t="array" ref="AX320">IF(G320=1,SUM((ROW(M0)=ROW(AW320))*(M0+M1_+M2_+M3_+M4_+M5_+M6_+M7_+M8_+M9_+M10_+M11_+M12_+M13_+M14_+M15_+M16_+M17_+M18_+M19_+M20_+M21_+M22_+M23_+M24_+M25_+M26_+M27_+M28_+M29_+M30_+M31_+M32_+M33_+M34_+M35_+M36_+M37_)),0)</f>
        <v>0</v>
      </c>
      <c r="AZ320" s="24" t="str">
        <f t="shared" si="73"/>
        <v/>
      </c>
      <c r="BA320" s="24" t="str">
        <f t="shared" si="74"/>
        <v/>
      </c>
      <c r="BB320" s="24" t="str">
        <f t="shared" si="75"/>
        <v/>
      </c>
      <c r="BC320" s="24" t="str">
        <f>IF(OR(E320="",LEFT(TableCosts[[#This Row],[Calc_N_Typ]],18)="Vynaložené náklady"),"",VLOOKUP(E320,Tab_Parts,2,0))</f>
        <v/>
      </c>
      <c r="BD320" s="24" t="str">
        <f t="shared" si="76"/>
        <v/>
      </c>
      <c r="BE320" s="24">
        <f t="shared" si="77"/>
        <v>0</v>
      </c>
      <c r="BF320" s="72">
        <f>TableCosts[[#This Row],[N_Amount]]*TableCosts[[#This Row],[N_Tariff]]*TableCosts[[#This Row],[N_ItemsCount]]</f>
        <v>0</v>
      </c>
      <c r="BG320" s="72">
        <f>IF(G320=1,IF(TableCosts[[#This Row],[N_Kateg]]="interné práce",TableCosts[[#This Row],[N_Amount]]*8*PAR_SGA_PERHOUR,0),0)</f>
        <v>0</v>
      </c>
      <c r="BH320" s="72">
        <f>SUM(TableCosts[[#This Row],[N_Direct]:[N_SGA]])</f>
        <v>0</v>
      </c>
      <c r="BI320" s="24">
        <f>IF(G320=1,IF(OR(AND(NOT(ISERROR(VLOOKUP(TableCosts[[#This Row],[Calc_N_Typ]],Cis_WorkPositions,1,0))),C320&lt;&gt;"",D320&lt;&gt;"",E320&lt;&gt;""),AND(ISERROR(VLOOKUP(TableCosts[[#This Row],[Calc_N_Typ]],Cis_WorkPositions,1,0)),C320="",D320="",E320&lt;&gt;""),LEFT(TableCosts[[#This Row],[Calc_N_Typ]],18)="Vynaložené náklady"),VLOOKUP(C320&amp;TableCosts[[#This Row],[Calc_N_Typ]],TRAN_STRITEMS_LABEL,VLOOKUP(D320,Tab_Hours,3,0),0),NA()),0)</f>
        <v>0</v>
      </c>
      <c r="BJ320" s="24">
        <f t="shared" si="78"/>
        <v>0</v>
      </c>
      <c r="BK320" s="24" t="str">
        <f t="shared" si="79"/>
        <v/>
      </c>
      <c r="BL320" s="24" t="str">
        <f t="shared" si="80"/>
        <v/>
      </c>
      <c r="BM320" s="24" t="str">
        <f>IF(G320=1,IF(TableCosts[[#This Row],[TransferFrom]]=TableCosts[[#This Row],[TranferTo]],0,1),"")</f>
        <v/>
      </c>
      <c r="BN320" s="24" t="str">
        <f t="shared" si="81"/>
        <v/>
      </c>
      <c r="BO320" s="24">
        <f t="shared" si="82"/>
        <v>0</v>
      </c>
      <c r="BP320" s="24">
        <f t="shared" si="83"/>
        <v>0</v>
      </c>
    </row>
    <row r="321" spans="2:68" s="24" customFormat="1" ht="12.75" x14ac:dyDescent="0.2">
      <c r="B321" s="97"/>
      <c r="C321" s="92"/>
      <c r="D321" s="92"/>
      <c r="E321" s="92"/>
      <c r="F321" s="31" t="str">
        <f>IF(G321=1,IF(ISERROR(TableCosts[[#This Row],[N_Tariff]]),Err_Message1,IF(TableCosts[[#This Row],[N_Tariff]]=0,Err_Message2,VLOOKUP(C321&amp;TableCosts[[#This Row],[Calc_N_Typ]],TRAN_STRITEMS_LABEL,5,FALSE))),"")</f>
        <v/>
      </c>
      <c r="G321" s="31">
        <f t="shared" si="72"/>
        <v>0</v>
      </c>
      <c r="H321" s="31" t="str">
        <f>IF(G321=1,IFERROR(VLOOKUP(F321,Tab_ErrMessage[],2,0),VLOOKUP(C321&amp;TableCosts[[#This Row],[Calc_N_Typ]],TRAN_STRITEMS_LABEL,4,FALSE)),"")</f>
        <v/>
      </c>
      <c r="I321" s="94"/>
      <c r="J321" s="94"/>
      <c r="K321" s="94"/>
      <c r="L321" s="84"/>
      <c r="M321" s="84"/>
      <c r="N321" s="84"/>
      <c r="O321" s="84"/>
      <c r="P321" s="84"/>
      <c r="Q321" s="84"/>
      <c r="R321" s="84"/>
      <c r="S321" s="84"/>
      <c r="T321" s="84"/>
      <c r="U321" s="84"/>
      <c r="V321" s="84"/>
      <c r="W321" s="84"/>
      <c r="X321" s="84"/>
      <c r="Y321" s="84"/>
      <c r="Z321" s="84"/>
      <c r="AA321" s="84"/>
      <c r="AB321" s="84"/>
      <c r="AC321" s="84"/>
      <c r="AD321" s="84"/>
      <c r="AE321" s="84"/>
      <c r="AF321" s="84"/>
      <c r="AG321" s="84"/>
      <c r="AH321" s="84"/>
      <c r="AI321" s="84"/>
      <c r="AJ321" s="84"/>
      <c r="AK321" s="84"/>
      <c r="AL321" s="84"/>
      <c r="AM321" s="84"/>
      <c r="AN321" s="84"/>
      <c r="AO321" s="84"/>
      <c r="AP321" s="84"/>
      <c r="AQ321" s="84"/>
      <c r="AR321" s="84"/>
      <c r="AS321" s="84"/>
      <c r="AT321" s="84"/>
      <c r="AU321" s="84"/>
      <c r="AV321" s="84"/>
      <c r="AW321" s="84"/>
      <c r="AX321" s="87">
        <f t="array" ref="AX321">IF(G321=1,SUM((ROW(M0)=ROW(AW321))*(M0+M1_+M2_+M3_+M4_+M5_+M6_+M7_+M8_+M9_+M10_+M11_+M12_+M13_+M14_+M15_+M16_+M17_+M18_+M19_+M20_+M21_+M22_+M23_+M24_+M25_+M26_+M27_+M28_+M29_+M30_+M31_+M32_+M33_+M34_+M35_+M36_+M37_)),0)</f>
        <v>0</v>
      </c>
      <c r="AZ321" s="24" t="str">
        <f t="shared" si="73"/>
        <v/>
      </c>
      <c r="BA321" s="24" t="str">
        <f t="shared" si="74"/>
        <v/>
      </c>
      <c r="BB321" s="24" t="str">
        <f t="shared" si="75"/>
        <v/>
      </c>
      <c r="BC321" s="24" t="str">
        <f>IF(OR(E321="",LEFT(TableCosts[[#This Row],[Calc_N_Typ]],18)="Vynaložené náklady"),"",VLOOKUP(E321,Tab_Parts,2,0))</f>
        <v/>
      </c>
      <c r="BD321" s="24" t="str">
        <f t="shared" si="76"/>
        <v/>
      </c>
      <c r="BE321" s="24">
        <f t="shared" si="77"/>
        <v>0</v>
      </c>
      <c r="BF321" s="72">
        <f>TableCosts[[#This Row],[N_Amount]]*TableCosts[[#This Row],[N_Tariff]]*TableCosts[[#This Row],[N_ItemsCount]]</f>
        <v>0</v>
      </c>
      <c r="BG321" s="72">
        <f>IF(G321=1,IF(TableCosts[[#This Row],[N_Kateg]]="interné práce",TableCosts[[#This Row],[N_Amount]]*8*PAR_SGA_PERHOUR,0),0)</f>
        <v>0</v>
      </c>
      <c r="BH321" s="72">
        <f>SUM(TableCosts[[#This Row],[N_Direct]:[N_SGA]])</f>
        <v>0</v>
      </c>
      <c r="BI321" s="24">
        <f>IF(G321=1,IF(OR(AND(NOT(ISERROR(VLOOKUP(TableCosts[[#This Row],[Calc_N_Typ]],Cis_WorkPositions,1,0))),C321&lt;&gt;"",D321&lt;&gt;"",E321&lt;&gt;""),AND(ISERROR(VLOOKUP(TableCosts[[#This Row],[Calc_N_Typ]],Cis_WorkPositions,1,0)),C321="",D321="",E321&lt;&gt;""),LEFT(TableCosts[[#This Row],[Calc_N_Typ]],18)="Vynaložené náklady"),VLOOKUP(C321&amp;TableCosts[[#This Row],[Calc_N_Typ]],TRAN_STRITEMS_LABEL,VLOOKUP(D321,Tab_Hours,3,0),0),NA()),0)</f>
        <v>0</v>
      </c>
      <c r="BJ321" s="24">
        <f t="shared" si="78"/>
        <v>0</v>
      </c>
      <c r="BK321" s="24" t="str">
        <f t="shared" si="79"/>
        <v/>
      </c>
      <c r="BL321" s="24" t="str">
        <f t="shared" si="80"/>
        <v/>
      </c>
      <c r="BM321" s="24" t="str">
        <f>IF(G321=1,IF(TableCosts[[#This Row],[TransferFrom]]=TableCosts[[#This Row],[TranferTo]],0,1),"")</f>
        <v/>
      </c>
      <c r="BN321" s="24" t="str">
        <f t="shared" si="81"/>
        <v/>
      </c>
      <c r="BO321" s="24">
        <f t="shared" si="82"/>
        <v>0</v>
      </c>
      <c r="BP321" s="24">
        <f t="shared" si="83"/>
        <v>0</v>
      </c>
    </row>
    <row r="322" spans="2:68" s="24" customFormat="1" ht="12.75" x14ac:dyDescent="0.2">
      <c r="B322" s="97"/>
      <c r="C322" s="92"/>
      <c r="D322" s="92"/>
      <c r="E322" s="92"/>
      <c r="F322" s="31" t="str">
        <f>IF(G322=1,IF(ISERROR(TableCosts[[#This Row],[N_Tariff]]),Err_Message1,IF(TableCosts[[#This Row],[N_Tariff]]=0,Err_Message2,VLOOKUP(C322&amp;TableCosts[[#This Row],[Calc_N_Typ]],TRAN_STRITEMS_LABEL,5,FALSE))),"")</f>
        <v/>
      </c>
      <c r="G322" s="31">
        <f t="shared" si="72"/>
        <v>0</v>
      </c>
      <c r="H322" s="31" t="str">
        <f>IF(G322=1,IFERROR(VLOOKUP(F322,Tab_ErrMessage[],2,0),VLOOKUP(C322&amp;TableCosts[[#This Row],[Calc_N_Typ]],TRAN_STRITEMS_LABEL,4,FALSE)),"")</f>
        <v/>
      </c>
      <c r="I322" s="94"/>
      <c r="J322" s="94"/>
      <c r="K322" s="94"/>
      <c r="L322" s="84"/>
      <c r="M322" s="84"/>
      <c r="N322" s="84"/>
      <c r="O322" s="84"/>
      <c r="P322" s="84"/>
      <c r="Q322" s="84"/>
      <c r="R322" s="84"/>
      <c r="S322" s="84"/>
      <c r="T322" s="84"/>
      <c r="U322" s="84"/>
      <c r="V322" s="84"/>
      <c r="W322" s="84"/>
      <c r="X322" s="84"/>
      <c r="Y322" s="84"/>
      <c r="Z322" s="84"/>
      <c r="AA322" s="84"/>
      <c r="AB322" s="84"/>
      <c r="AC322" s="84"/>
      <c r="AD322" s="84"/>
      <c r="AE322" s="84"/>
      <c r="AF322" s="84"/>
      <c r="AG322" s="84"/>
      <c r="AH322" s="84"/>
      <c r="AI322" s="84"/>
      <c r="AJ322" s="84"/>
      <c r="AK322" s="84"/>
      <c r="AL322" s="84"/>
      <c r="AM322" s="84"/>
      <c r="AN322" s="84"/>
      <c r="AO322" s="84"/>
      <c r="AP322" s="84"/>
      <c r="AQ322" s="84"/>
      <c r="AR322" s="84"/>
      <c r="AS322" s="84"/>
      <c r="AT322" s="84"/>
      <c r="AU322" s="84"/>
      <c r="AV322" s="84"/>
      <c r="AW322" s="84"/>
      <c r="AX322" s="87">
        <f t="array" ref="AX322">IF(G322=1,SUM((ROW(M0)=ROW(AW322))*(M0+M1_+M2_+M3_+M4_+M5_+M6_+M7_+M8_+M9_+M10_+M11_+M12_+M13_+M14_+M15_+M16_+M17_+M18_+M19_+M20_+M21_+M22_+M23_+M24_+M25_+M26_+M27_+M28_+M29_+M30_+M31_+M32_+M33_+M34_+M35_+M36_+M37_)),0)</f>
        <v>0</v>
      </c>
      <c r="AZ322" s="24" t="str">
        <f t="shared" si="73"/>
        <v/>
      </c>
      <c r="BA322" s="24" t="str">
        <f t="shared" si="74"/>
        <v/>
      </c>
      <c r="BB322" s="24" t="str">
        <f t="shared" si="75"/>
        <v/>
      </c>
      <c r="BC322" s="24" t="str">
        <f>IF(OR(E322="",LEFT(TableCosts[[#This Row],[Calc_N_Typ]],18)="Vynaložené náklady"),"",VLOOKUP(E322,Tab_Parts,2,0))</f>
        <v/>
      </c>
      <c r="BD322" s="24" t="str">
        <f t="shared" si="76"/>
        <v/>
      </c>
      <c r="BE322" s="24">
        <f t="shared" si="77"/>
        <v>0</v>
      </c>
      <c r="BF322" s="72">
        <f>TableCosts[[#This Row],[N_Amount]]*TableCosts[[#This Row],[N_Tariff]]*TableCosts[[#This Row],[N_ItemsCount]]</f>
        <v>0</v>
      </c>
      <c r="BG322" s="72">
        <f>IF(G322=1,IF(TableCosts[[#This Row],[N_Kateg]]="interné práce",TableCosts[[#This Row],[N_Amount]]*8*PAR_SGA_PERHOUR,0),0)</f>
        <v>0</v>
      </c>
      <c r="BH322" s="72">
        <f>SUM(TableCosts[[#This Row],[N_Direct]:[N_SGA]])</f>
        <v>0</v>
      </c>
      <c r="BI322" s="24">
        <f>IF(G322=1,IF(OR(AND(NOT(ISERROR(VLOOKUP(TableCosts[[#This Row],[Calc_N_Typ]],Cis_WorkPositions,1,0))),C322&lt;&gt;"",D322&lt;&gt;"",E322&lt;&gt;""),AND(ISERROR(VLOOKUP(TableCosts[[#This Row],[Calc_N_Typ]],Cis_WorkPositions,1,0)),C322="",D322="",E322&lt;&gt;""),LEFT(TableCosts[[#This Row],[Calc_N_Typ]],18)="Vynaložené náklady"),VLOOKUP(C322&amp;TableCosts[[#This Row],[Calc_N_Typ]],TRAN_STRITEMS_LABEL,VLOOKUP(D322,Tab_Hours,3,0),0),NA()),0)</f>
        <v>0</v>
      </c>
      <c r="BJ322" s="24">
        <f t="shared" si="78"/>
        <v>0</v>
      </c>
      <c r="BK322" s="24" t="str">
        <f t="shared" si="79"/>
        <v/>
      </c>
      <c r="BL322" s="24" t="str">
        <f t="shared" si="80"/>
        <v/>
      </c>
      <c r="BM322" s="24" t="str">
        <f>IF(G322=1,IF(TableCosts[[#This Row],[TransferFrom]]=TableCosts[[#This Row],[TranferTo]],0,1),"")</f>
        <v/>
      </c>
      <c r="BN322" s="24" t="str">
        <f t="shared" si="81"/>
        <v/>
      </c>
      <c r="BO322" s="24">
        <f t="shared" si="82"/>
        <v>0</v>
      </c>
      <c r="BP322" s="24">
        <f t="shared" si="83"/>
        <v>0</v>
      </c>
    </row>
    <row r="323" spans="2:68" s="24" customFormat="1" ht="12.75" x14ac:dyDescent="0.2">
      <c r="B323" s="97"/>
      <c r="C323" s="92"/>
      <c r="D323" s="92"/>
      <c r="E323" s="92"/>
      <c r="F323" s="31" t="str">
        <f>IF(G323=1,IF(ISERROR(TableCosts[[#This Row],[N_Tariff]]),Err_Message1,IF(TableCosts[[#This Row],[N_Tariff]]=0,Err_Message2,VLOOKUP(C323&amp;TableCosts[[#This Row],[Calc_N_Typ]],TRAN_STRITEMS_LABEL,5,FALSE))),"")</f>
        <v/>
      </c>
      <c r="G323" s="31">
        <f t="shared" si="72"/>
        <v>0</v>
      </c>
      <c r="H323" s="31" t="str">
        <f>IF(G323=1,IFERROR(VLOOKUP(F323,Tab_ErrMessage[],2,0),VLOOKUP(C323&amp;TableCosts[[#This Row],[Calc_N_Typ]],TRAN_STRITEMS_LABEL,4,FALSE)),"")</f>
        <v/>
      </c>
      <c r="I323" s="94"/>
      <c r="J323" s="94"/>
      <c r="K323" s="94"/>
      <c r="L323" s="84"/>
      <c r="M323" s="84"/>
      <c r="N323" s="84"/>
      <c r="O323" s="84"/>
      <c r="P323" s="84"/>
      <c r="Q323" s="84"/>
      <c r="R323" s="84"/>
      <c r="S323" s="84"/>
      <c r="T323" s="84"/>
      <c r="U323" s="84"/>
      <c r="V323" s="84"/>
      <c r="W323" s="84"/>
      <c r="X323" s="84"/>
      <c r="Y323" s="84"/>
      <c r="Z323" s="84"/>
      <c r="AA323" s="84"/>
      <c r="AB323" s="84"/>
      <c r="AC323" s="84"/>
      <c r="AD323" s="84"/>
      <c r="AE323" s="84"/>
      <c r="AF323" s="84"/>
      <c r="AG323" s="84"/>
      <c r="AH323" s="84"/>
      <c r="AI323" s="84"/>
      <c r="AJ323" s="84"/>
      <c r="AK323" s="84"/>
      <c r="AL323" s="84"/>
      <c r="AM323" s="84"/>
      <c r="AN323" s="84"/>
      <c r="AO323" s="84"/>
      <c r="AP323" s="84"/>
      <c r="AQ323" s="84"/>
      <c r="AR323" s="84"/>
      <c r="AS323" s="84"/>
      <c r="AT323" s="84"/>
      <c r="AU323" s="84"/>
      <c r="AV323" s="84"/>
      <c r="AW323" s="84"/>
      <c r="AX323" s="87">
        <f t="array" ref="AX323">IF(G323=1,SUM((ROW(M0)=ROW(AW323))*(M0+M1_+M2_+M3_+M4_+M5_+M6_+M7_+M8_+M9_+M10_+M11_+M12_+M13_+M14_+M15_+M16_+M17_+M18_+M19_+M20_+M21_+M22_+M23_+M24_+M25_+M26_+M27_+M28_+M29_+M30_+M31_+M32_+M33_+M34_+M35_+M36_+M37_)),0)</f>
        <v>0</v>
      </c>
      <c r="AZ323" s="24" t="str">
        <f t="shared" si="73"/>
        <v/>
      </c>
      <c r="BA323" s="24" t="str">
        <f t="shared" si="74"/>
        <v/>
      </c>
      <c r="BB323" s="24" t="str">
        <f t="shared" si="75"/>
        <v/>
      </c>
      <c r="BC323" s="24" t="str">
        <f>IF(OR(E323="",LEFT(TableCosts[[#This Row],[Calc_N_Typ]],18)="Vynaložené náklady"),"",VLOOKUP(E323,Tab_Parts,2,0))</f>
        <v/>
      </c>
      <c r="BD323" s="24" t="str">
        <f t="shared" si="76"/>
        <v/>
      </c>
      <c r="BE323" s="24">
        <f t="shared" si="77"/>
        <v>0</v>
      </c>
      <c r="BF323" s="72">
        <f>TableCosts[[#This Row],[N_Amount]]*TableCosts[[#This Row],[N_Tariff]]*TableCosts[[#This Row],[N_ItemsCount]]</f>
        <v>0</v>
      </c>
      <c r="BG323" s="72">
        <f>IF(G323=1,IF(TableCosts[[#This Row],[N_Kateg]]="interné práce",TableCosts[[#This Row],[N_Amount]]*8*PAR_SGA_PERHOUR,0),0)</f>
        <v>0</v>
      </c>
      <c r="BH323" s="72">
        <f>SUM(TableCosts[[#This Row],[N_Direct]:[N_SGA]])</f>
        <v>0</v>
      </c>
      <c r="BI323" s="24">
        <f>IF(G323=1,IF(OR(AND(NOT(ISERROR(VLOOKUP(TableCosts[[#This Row],[Calc_N_Typ]],Cis_WorkPositions,1,0))),C323&lt;&gt;"",D323&lt;&gt;"",E323&lt;&gt;""),AND(ISERROR(VLOOKUP(TableCosts[[#This Row],[Calc_N_Typ]],Cis_WorkPositions,1,0)),C323="",D323="",E323&lt;&gt;""),LEFT(TableCosts[[#This Row],[Calc_N_Typ]],18)="Vynaložené náklady"),VLOOKUP(C323&amp;TableCosts[[#This Row],[Calc_N_Typ]],TRAN_STRITEMS_LABEL,VLOOKUP(D323,Tab_Hours,3,0),0),NA()),0)</f>
        <v>0</v>
      </c>
      <c r="BJ323" s="24">
        <f t="shared" si="78"/>
        <v>0</v>
      </c>
      <c r="BK323" s="24" t="str">
        <f t="shared" si="79"/>
        <v/>
      </c>
      <c r="BL323" s="24" t="str">
        <f t="shared" si="80"/>
        <v/>
      </c>
      <c r="BM323" s="24" t="str">
        <f>IF(G323=1,IF(TableCosts[[#This Row],[TransferFrom]]=TableCosts[[#This Row],[TranferTo]],0,1),"")</f>
        <v/>
      </c>
      <c r="BN323" s="24" t="str">
        <f t="shared" si="81"/>
        <v/>
      </c>
      <c r="BO323" s="24">
        <f t="shared" si="82"/>
        <v>0</v>
      </c>
      <c r="BP323" s="24">
        <f t="shared" si="83"/>
        <v>0</v>
      </c>
    </row>
    <row r="324" spans="2:68" s="24" customFormat="1" ht="12.75" x14ac:dyDescent="0.2">
      <c r="B324" s="97"/>
      <c r="C324" s="92"/>
      <c r="D324" s="92"/>
      <c r="E324" s="92"/>
      <c r="F324" s="31" t="str">
        <f>IF(G324=1,IF(ISERROR(TableCosts[[#This Row],[N_Tariff]]),Err_Message1,IF(TableCosts[[#This Row],[N_Tariff]]=0,Err_Message2,VLOOKUP(C324&amp;TableCosts[[#This Row],[Calc_N_Typ]],TRAN_STRITEMS_LABEL,5,FALSE))),"")</f>
        <v/>
      </c>
      <c r="G324" s="31">
        <f t="shared" si="72"/>
        <v>0</v>
      </c>
      <c r="H324" s="31" t="str">
        <f>IF(G324=1,IFERROR(VLOOKUP(F324,Tab_ErrMessage[],2,0),VLOOKUP(C324&amp;TableCosts[[#This Row],[Calc_N_Typ]],TRAN_STRITEMS_LABEL,4,FALSE)),"")</f>
        <v/>
      </c>
      <c r="I324" s="94"/>
      <c r="J324" s="94"/>
      <c r="K324" s="94"/>
      <c r="L324" s="84"/>
      <c r="M324" s="84"/>
      <c r="N324" s="84"/>
      <c r="O324" s="84"/>
      <c r="P324" s="84"/>
      <c r="Q324" s="84"/>
      <c r="R324" s="84"/>
      <c r="S324" s="84"/>
      <c r="T324" s="84"/>
      <c r="U324" s="84"/>
      <c r="V324" s="84"/>
      <c r="W324" s="84"/>
      <c r="X324" s="84"/>
      <c r="Y324" s="84"/>
      <c r="Z324" s="84"/>
      <c r="AA324" s="84"/>
      <c r="AB324" s="84"/>
      <c r="AC324" s="84"/>
      <c r="AD324" s="84"/>
      <c r="AE324" s="84"/>
      <c r="AF324" s="84"/>
      <c r="AG324" s="84"/>
      <c r="AH324" s="84"/>
      <c r="AI324" s="84"/>
      <c r="AJ324" s="84"/>
      <c r="AK324" s="84"/>
      <c r="AL324" s="84"/>
      <c r="AM324" s="84"/>
      <c r="AN324" s="84"/>
      <c r="AO324" s="84"/>
      <c r="AP324" s="84"/>
      <c r="AQ324" s="84"/>
      <c r="AR324" s="84"/>
      <c r="AS324" s="84"/>
      <c r="AT324" s="84"/>
      <c r="AU324" s="84"/>
      <c r="AV324" s="84"/>
      <c r="AW324" s="84"/>
      <c r="AX324" s="87">
        <f t="array" ref="AX324">IF(G324=1,SUM((ROW(M0)=ROW(AW324))*(M0+M1_+M2_+M3_+M4_+M5_+M6_+M7_+M8_+M9_+M10_+M11_+M12_+M13_+M14_+M15_+M16_+M17_+M18_+M19_+M20_+M21_+M22_+M23_+M24_+M25_+M26_+M27_+M28_+M29_+M30_+M31_+M32_+M33_+M34_+M35_+M36_+M37_)),0)</f>
        <v>0</v>
      </c>
      <c r="AZ324" s="24" t="str">
        <f t="shared" si="73"/>
        <v/>
      </c>
      <c r="BA324" s="24" t="str">
        <f t="shared" si="74"/>
        <v/>
      </c>
      <c r="BB324" s="24" t="str">
        <f t="shared" si="75"/>
        <v/>
      </c>
      <c r="BC324" s="24" t="str">
        <f>IF(OR(E324="",LEFT(TableCosts[[#This Row],[Calc_N_Typ]],18)="Vynaložené náklady"),"",VLOOKUP(E324,Tab_Parts,2,0))</f>
        <v/>
      </c>
      <c r="BD324" s="24" t="str">
        <f t="shared" si="76"/>
        <v/>
      </c>
      <c r="BE324" s="24">
        <f t="shared" si="77"/>
        <v>0</v>
      </c>
      <c r="BF324" s="72">
        <f>TableCosts[[#This Row],[N_Amount]]*TableCosts[[#This Row],[N_Tariff]]*TableCosts[[#This Row],[N_ItemsCount]]</f>
        <v>0</v>
      </c>
      <c r="BG324" s="72">
        <f>IF(G324=1,IF(TableCosts[[#This Row],[N_Kateg]]="interné práce",TableCosts[[#This Row],[N_Amount]]*8*PAR_SGA_PERHOUR,0),0)</f>
        <v>0</v>
      </c>
      <c r="BH324" s="72">
        <f>SUM(TableCosts[[#This Row],[N_Direct]:[N_SGA]])</f>
        <v>0</v>
      </c>
      <c r="BI324" s="24">
        <f>IF(G324=1,IF(OR(AND(NOT(ISERROR(VLOOKUP(TableCosts[[#This Row],[Calc_N_Typ]],Cis_WorkPositions,1,0))),C324&lt;&gt;"",D324&lt;&gt;"",E324&lt;&gt;""),AND(ISERROR(VLOOKUP(TableCosts[[#This Row],[Calc_N_Typ]],Cis_WorkPositions,1,0)),C324="",D324="",E324&lt;&gt;""),LEFT(TableCosts[[#This Row],[Calc_N_Typ]],18)="Vynaložené náklady"),VLOOKUP(C324&amp;TableCosts[[#This Row],[Calc_N_Typ]],TRAN_STRITEMS_LABEL,VLOOKUP(D324,Tab_Hours,3,0),0),NA()),0)</f>
        <v>0</v>
      </c>
      <c r="BJ324" s="24">
        <f t="shared" si="78"/>
        <v>0</v>
      </c>
      <c r="BK324" s="24" t="str">
        <f t="shared" si="79"/>
        <v/>
      </c>
      <c r="BL324" s="24" t="str">
        <f t="shared" si="80"/>
        <v/>
      </c>
      <c r="BM324" s="24" t="str">
        <f>IF(G324=1,IF(TableCosts[[#This Row],[TransferFrom]]=TableCosts[[#This Row],[TranferTo]],0,1),"")</f>
        <v/>
      </c>
      <c r="BN324" s="24" t="str">
        <f t="shared" si="81"/>
        <v/>
      </c>
      <c r="BO324" s="24">
        <f t="shared" si="82"/>
        <v>0</v>
      </c>
      <c r="BP324" s="24">
        <f t="shared" si="83"/>
        <v>0</v>
      </c>
    </row>
    <row r="325" spans="2:68" s="24" customFormat="1" ht="12.75" x14ac:dyDescent="0.2">
      <c r="B325" s="97"/>
      <c r="C325" s="92"/>
      <c r="D325" s="92"/>
      <c r="E325" s="92"/>
      <c r="F325" s="31" t="str">
        <f>IF(G325=1,IF(ISERROR(TableCosts[[#This Row],[N_Tariff]]),Err_Message1,IF(TableCosts[[#This Row],[N_Tariff]]=0,Err_Message2,VLOOKUP(C325&amp;TableCosts[[#This Row],[Calc_N_Typ]],TRAN_STRITEMS_LABEL,5,FALSE))),"")</f>
        <v/>
      </c>
      <c r="G325" s="31">
        <f t="shared" si="72"/>
        <v>0</v>
      </c>
      <c r="H325" s="31" t="str">
        <f>IF(G325=1,IFERROR(VLOOKUP(F325,Tab_ErrMessage[],2,0),VLOOKUP(C325&amp;TableCosts[[#This Row],[Calc_N_Typ]],TRAN_STRITEMS_LABEL,4,FALSE)),"")</f>
        <v/>
      </c>
      <c r="I325" s="94"/>
      <c r="J325" s="94"/>
      <c r="K325" s="94"/>
      <c r="L325" s="84"/>
      <c r="M325" s="84"/>
      <c r="N325" s="84"/>
      <c r="O325" s="84"/>
      <c r="P325" s="84"/>
      <c r="Q325" s="84"/>
      <c r="R325" s="84"/>
      <c r="S325" s="84"/>
      <c r="T325" s="84"/>
      <c r="U325" s="84"/>
      <c r="V325" s="84"/>
      <c r="W325" s="84"/>
      <c r="X325" s="84"/>
      <c r="Y325" s="84"/>
      <c r="Z325" s="84"/>
      <c r="AA325" s="84"/>
      <c r="AB325" s="84"/>
      <c r="AC325" s="84"/>
      <c r="AD325" s="84"/>
      <c r="AE325" s="84"/>
      <c r="AF325" s="84"/>
      <c r="AG325" s="84"/>
      <c r="AH325" s="84"/>
      <c r="AI325" s="84"/>
      <c r="AJ325" s="84"/>
      <c r="AK325" s="84"/>
      <c r="AL325" s="84"/>
      <c r="AM325" s="84"/>
      <c r="AN325" s="84"/>
      <c r="AO325" s="84"/>
      <c r="AP325" s="84"/>
      <c r="AQ325" s="84"/>
      <c r="AR325" s="84"/>
      <c r="AS325" s="84"/>
      <c r="AT325" s="84"/>
      <c r="AU325" s="84"/>
      <c r="AV325" s="84"/>
      <c r="AW325" s="84"/>
      <c r="AX325" s="87">
        <f t="array" ref="AX325">IF(G325=1,SUM((ROW(M0)=ROW(AW325))*(M0+M1_+M2_+M3_+M4_+M5_+M6_+M7_+M8_+M9_+M10_+M11_+M12_+M13_+M14_+M15_+M16_+M17_+M18_+M19_+M20_+M21_+M22_+M23_+M24_+M25_+M26_+M27_+M28_+M29_+M30_+M31_+M32_+M33_+M34_+M35_+M36_+M37_)),0)</f>
        <v>0</v>
      </c>
      <c r="AZ325" s="24" t="str">
        <f t="shared" si="73"/>
        <v/>
      </c>
      <c r="BA325" s="24" t="str">
        <f t="shared" si="74"/>
        <v/>
      </c>
      <c r="BB325" s="24" t="str">
        <f t="shared" si="75"/>
        <v/>
      </c>
      <c r="BC325" s="24" t="str">
        <f>IF(OR(E325="",LEFT(TableCosts[[#This Row],[Calc_N_Typ]],18)="Vynaložené náklady"),"",VLOOKUP(E325,Tab_Parts,2,0))</f>
        <v/>
      </c>
      <c r="BD325" s="24" t="str">
        <f t="shared" si="76"/>
        <v/>
      </c>
      <c r="BE325" s="24">
        <f t="shared" si="77"/>
        <v>0</v>
      </c>
      <c r="BF325" s="72">
        <f>TableCosts[[#This Row],[N_Amount]]*TableCosts[[#This Row],[N_Tariff]]*TableCosts[[#This Row],[N_ItemsCount]]</f>
        <v>0</v>
      </c>
      <c r="BG325" s="72">
        <f>IF(G325=1,IF(TableCosts[[#This Row],[N_Kateg]]="interné práce",TableCosts[[#This Row],[N_Amount]]*8*PAR_SGA_PERHOUR,0),0)</f>
        <v>0</v>
      </c>
      <c r="BH325" s="72">
        <f>SUM(TableCosts[[#This Row],[N_Direct]:[N_SGA]])</f>
        <v>0</v>
      </c>
      <c r="BI325" s="24">
        <f>IF(G325=1,IF(OR(AND(NOT(ISERROR(VLOOKUP(TableCosts[[#This Row],[Calc_N_Typ]],Cis_WorkPositions,1,0))),C325&lt;&gt;"",D325&lt;&gt;"",E325&lt;&gt;""),AND(ISERROR(VLOOKUP(TableCosts[[#This Row],[Calc_N_Typ]],Cis_WorkPositions,1,0)),C325="",D325="",E325&lt;&gt;""),LEFT(TableCosts[[#This Row],[Calc_N_Typ]],18)="Vynaložené náklady"),VLOOKUP(C325&amp;TableCosts[[#This Row],[Calc_N_Typ]],TRAN_STRITEMS_LABEL,VLOOKUP(D325,Tab_Hours,3,0),0),NA()),0)</f>
        <v>0</v>
      </c>
      <c r="BJ325" s="24">
        <f t="shared" si="78"/>
        <v>0</v>
      </c>
      <c r="BK325" s="24" t="str">
        <f t="shared" si="79"/>
        <v/>
      </c>
      <c r="BL325" s="24" t="str">
        <f t="shared" si="80"/>
        <v/>
      </c>
      <c r="BM325" s="24" t="str">
        <f>IF(G325=1,IF(TableCosts[[#This Row],[TransferFrom]]=TableCosts[[#This Row],[TranferTo]],0,1),"")</f>
        <v/>
      </c>
      <c r="BN325" s="24" t="str">
        <f t="shared" si="81"/>
        <v/>
      </c>
      <c r="BO325" s="24">
        <f t="shared" si="82"/>
        <v>0</v>
      </c>
      <c r="BP325" s="24">
        <f t="shared" si="83"/>
        <v>0</v>
      </c>
    </row>
    <row r="326" spans="2:68" s="24" customFormat="1" ht="12.75" x14ac:dyDescent="0.2">
      <c r="B326" s="97"/>
      <c r="C326" s="92"/>
      <c r="D326" s="92"/>
      <c r="E326" s="92"/>
      <c r="F326" s="31" t="str">
        <f>IF(G326=1,IF(ISERROR(TableCosts[[#This Row],[N_Tariff]]),Err_Message1,IF(TableCosts[[#This Row],[N_Tariff]]=0,Err_Message2,VLOOKUP(C326&amp;TableCosts[[#This Row],[Calc_N_Typ]],TRAN_STRITEMS_LABEL,5,FALSE))),"")</f>
        <v/>
      </c>
      <c r="G326" s="31">
        <f t="shared" si="72"/>
        <v>0</v>
      </c>
      <c r="H326" s="31" t="str">
        <f>IF(G326=1,IFERROR(VLOOKUP(F326,Tab_ErrMessage[],2,0),VLOOKUP(C326&amp;TableCosts[[#This Row],[Calc_N_Typ]],TRAN_STRITEMS_LABEL,4,FALSE)),"")</f>
        <v/>
      </c>
      <c r="I326" s="94"/>
      <c r="J326" s="94"/>
      <c r="K326" s="94"/>
      <c r="L326" s="84"/>
      <c r="M326" s="84"/>
      <c r="N326" s="84"/>
      <c r="O326" s="84"/>
      <c r="P326" s="84"/>
      <c r="Q326" s="84"/>
      <c r="R326" s="84"/>
      <c r="S326" s="84"/>
      <c r="T326" s="84"/>
      <c r="U326" s="84"/>
      <c r="V326" s="84"/>
      <c r="W326" s="84"/>
      <c r="X326" s="84"/>
      <c r="Y326" s="84"/>
      <c r="Z326" s="84"/>
      <c r="AA326" s="84"/>
      <c r="AB326" s="84"/>
      <c r="AC326" s="84"/>
      <c r="AD326" s="84"/>
      <c r="AE326" s="84"/>
      <c r="AF326" s="84"/>
      <c r="AG326" s="84"/>
      <c r="AH326" s="84"/>
      <c r="AI326" s="84"/>
      <c r="AJ326" s="84"/>
      <c r="AK326" s="84"/>
      <c r="AL326" s="84"/>
      <c r="AM326" s="84"/>
      <c r="AN326" s="84"/>
      <c r="AO326" s="84"/>
      <c r="AP326" s="84"/>
      <c r="AQ326" s="84"/>
      <c r="AR326" s="84"/>
      <c r="AS326" s="84"/>
      <c r="AT326" s="84"/>
      <c r="AU326" s="84"/>
      <c r="AV326" s="84"/>
      <c r="AW326" s="84"/>
      <c r="AX326" s="87">
        <f t="array" ref="AX326">IF(G326=1,SUM((ROW(M0)=ROW(AW326))*(M0+M1_+M2_+M3_+M4_+M5_+M6_+M7_+M8_+M9_+M10_+M11_+M12_+M13_+M14_+M15_+M16_+M17_+M18_+M19_+M20_+M21_+M22_+M23_+M24_+M25_+M26_+M27_+M28_+M29_+M30_+M31_+M32_+M33_+M34_+M35_+M36_+M37_)),0)</f>
        <v>0</v>
      </c>
      <c r="AZ326" s="24" t="str">
        <f t="shared" si="73"/>
        <v/>
      </c>
      <c r="BA326" s="24" t="str">
        <f t="shared" si="74"/>
        <v/>
      </c>
      <c r="BB326" s="24" t="str">
        <f t="shared" si="75"/>
        <v/>
      </c>
      <c r="BC326" s="24" t="str">
        <f>IF(OR(E326="",LEFT(TableCosts[[#This Row],[Calc_N_Typ]],18)="Vynaložené náklady"),"",VLOOKUP(E326,Tab_Parts,2,0))</f>
        <v/>
      </c>
      <c r="BD326" s="24" t="str">
        <f t="shared" si="76"/>
        <v/>
      </c>
      <c r="BE326" s="24">
        <f t="shared" si="77"/>
        <v>0</v>
      </c>
      <c r="BF326" s="72">
        <f>TableCosts[[#This Row],[N_Amount]]*TableCosts[[#This Row],[N_Tariff]]*TableCosts[[#This Row],[N_ItemsCount]]</f>
        <v>0</v>
      </c>
      <c r="BG326" s="72">
        <f>IF(G326=1,IF(TableCosts[[#This Row],[N_Kateg]]="interné práce",TableCosts[[#This Row],[N_Amount]]*8*PAR_SGA_PERHOUR,0),0)</f>
        <v>0</v>
      </c>
      <c r="BH326" s="72">
        <f>SUM(TableCosts[[#This Row],[N_Direct]:[N_SGA]])</f>
        <v>0</v>
      </c>
      <c r="BI326" s="24">
        <f>IF(G326=1,IF(OR(AND(NOT(ISERROR(VLOOKUP(TableCosts[[#This Row],[Calc_N_Typ]],Cis_WorkPositions,1,0))),C326&lt;&gt;"",D326&lt;&gt;"",E326&lt;&gt;""),AND(ISERROR(VLOOKUP(TableCosts[[#This Row],[Calc_N_Typ]],Cis_WorkPositions,1,0)),C326="",D326="",E326&lt;&gt;""),LEFT(TableCosts[[#This Row],[Calc_N_Typ]],18)="Vynaložené náklady"),VLOOKUP(C326&amp;TableCosts[[#This Row],[Calc_N_Typ]],TRAN_STRITEMS_LABEL,VLOOKUP(D326,Tab_Hours,3,0),0),NA()),0)</f>
        <v>0</v>
      </c>
      <c r="BJ326" s="24">
        <f t="shared" si="78"/>
        <v>0</v>
      </c>
      <c r="BK326" s="24" t="str">
        <f t="shared" si="79"/>
        <v/>
      </c>
      <c r="BL326" s="24" t="str">
        <f t="shared" si="80"/>
        <v/>
      </c>
      <c r="BM326" s="24" t="str">
        <f>IF(G326=1,IF(TableCosts[[#This Row],[TransferFrom]]=TableCosts[[#This Row],[TranferTo]],0,1),"")</f>
        <v/>
      </c>
      <c r="BN326" s="24" t="str">
        <f t="shared" si="81"/>
        <v/>
      </c>
      <c r="BO326" s="24">
        <f t="shared" si="82"/>
        <v>0</v>
      </c>
      <c r="BP326" s="24">
        <f t="shared" si="83"/>
        <v>0</v>
      </c>
    </row>
    <row r="327" spans="2:68" s="24" customFormat="1" ht="12.75" x14ac:dyDescent="0.2">
      <c r="B327" s="97"/>
      <c r="C327" s="92"/>
      <c r="D327" s="92"/>
      <c r="E327" s="92"/>
      <c r="F327" s="31" t="str">
        <f>IF(G327=1,IF(ISERROR(TableCosts[[#This Row],[N_Tariff]]),Err_Message1,IF(TableCosts[[#This Row],[N_Tariff]]=0,Err_Message2,VLOOKUP(C327&amp;TableCosts[[#This Row],[Calc_N_Typ]],TRAN_STRITEMS_LABEL,5,FALSE))),"")</f>
        <v/>
      </c>
      <c r="G327" s="31">
        <f t="shared" si="72"/>
        <v>0</v>
      </c>
      <c r="H327" s="31" t="str">
        <f>IF(G327=1,IFERROR(VLOOKUP(F327,Tab_ErrMessage[],2,0),VLOOKUP(C327&amp;TableCosts[[#This Row],[Calc_N_Typ]],TRAN_STRITEMS_LABEL,4,FALSE)),"")</f>
        <v/>
      </c>
      <c r="I327" s="94"/>
      <c r="J327" s="94"/>
      <c r="K327" s="94"/>
      <c r="L327" s="84"/>
      <c r="M327" s="84"/>
      <c r="N327" s="84"/>
      <c r="O327" s="84"/>
      <c r="P327" s="84"/>
      <c r="Q327" s="84"/>
      <c r="R327" s="84"/>
      <c r="S327" s="84"/>
      <c r="T327" s="84"/>
      <c r="U327" s="84"/>
      <c r="V327" s="84"/>
      <c r="W327" s="84"/>
      <c r="X327" s="84"/>
      <c r="Y327" s="84"/>
      <c r="Z327" s="84"/>
      <c r="AA327" s="84"/>
      <c r="AB327" s="84"/>
      <c r="AC327" s="84"/>
      <c r="AD327" s="84"/>
      <c r="AE327" s="84"/>
      <c r="AF327" s="84"/>
      <c r="AG327" s="84"/>
      <c r="AH327" s="84"/>
      <c r="AI327" s="84"/>
      <c r="AJ327" s="84"/>
      <c r="AK327" s="84"/>
      <c r="AL327" s="84"/>
      <c r="AM327" s="84"/>
      <c r="AN327" s="84"/>
      <c r="AO327" s="84"/>
      <c r="AP327" s="84"/>
      <c r="AQ327" s="84"/>
      <c r="AR327" s="84"/>
      <c r="AS327" s="84"/>
      <c r="AT327" s="84"/>
      <c r="AU327" s="84"/>
      <c r="AV327" s="84"/>
      <c r="AW327" s="84"/>
      <c r="AX327" s="87">
        <f t="array" ref="AX327">IF(G327=1,SUM((ROW(M0)=ROW(AW327))*(M0+M1_+M2_+M3_+M4_+M5_+M6_+M7_+M8_+M9_+M10_+M11_+M12_+M13_+M14_+M15_+M16_+M17_+M18_+M19_+M20_+M21_+M22_+M23_+M24_+M25_+M26_+M27_+M28_+M29_+M30_+M31_+M32_+M33_+M34_+M35_+M36_+M37_)),0)</f>
        <v>0</v>
      </c>
      <c r="AZ327" s="24" t="str">
        <f t="shared" si="73"/>
        <v/>
      </c>
      <c r="BA327" s="24" t="str">
        <f t="shared" si="74"/>
        <v/>
      </c>
      <c r="BB327" s="24" t="str">
        <f t="shared" si="75"/>
        <v/>
      </c>
      <c r="BC327" s="24" t="str">
        <f>IF(OR(E327="",LEFT(TableCosts[[#This Row],[Calc_N_Typ]],18)="Vynaložené náklady"),"",VLOOKUP(E327,Tab_Parts,2,0))</f>
        <v/>
      </c>
      <c r="BD327" s="24" t="str">
        <f t="shared" si="76"/>
        <v/>
      </c>
      <c r="BE327" s="24">
        <f t="shared" si="77"/>
        <v>0</v>
      </c>
      <c r="BF327" s="72">
        <f>TableCosts[[#This Row],[N_Amount]]*TableCosts[[#This Row],[N_Tariff]]*TableCosts[[#This Row],[N_ItemsCount]]</f>
        <v>0</v>
      </c>
      <c r="BG327" s="72">
        <f>IF(G327=1,IF(TableCosts[[#This Row],[N_Kateg]]="interné práce",TableCosts[[#This Row],[N_Amount]]*8*PAR_SGA_PERHOUR,0),0)</f>
        <v>0</v>
      </c>
      <c r="BH327" s="72">
        <f>SUM(TableCosts[[#This Row],[N_Direct]:[N_SGA]])</f>
        <v>0</v>
      </c>
      <c r="BI327" s="24">
        <f>IF(G327=1,IF(OR(AND(NOT(ISERROR(VLOOKUP(TableCosts[[#This Row],[Calc_N_Typ]],Cis_WorkPositions,1,0))),C327&lt;&gt;"",D327&lt;&gt;"",E327&lt;&gt;""),AND(ISERROR(VLOOKUP(TableCosts[[#This Row],[Calc_N_Typ]],Cis_WorkPositions,1,0)),C327="",D327="",E327&lt;&gt;""),LEFT(TableCosts[[#This Row],[Calc_N_Typ]],18)="Vynaložené náklady"),VLOOKUP(C327&amp;TableCosts[[#This Row],[Calc_N_Typ]],TRAN_STRITEMS_LABEL,VLOOKUP(D327,Tab_Hours,3,0),0),NA()),0)</f>
        <v>0</v>
      </c>
      <c r="BJ327" s="24">
        <f t="shared" si="78"/>
        <v>0</v>
      </c>
      <c r="BK327" s="24" t="str">
        <f t="shared" si="79"/>
        <v/>
      </c>
      <c r="BL327" s="24" t="str">
        <f t="shared" si="80"/>
        <v/>
      </c>
      <c r="BM327" s="24" t="str">
        <f>IF(G327=1,IF(TableCosts[[#This Row],[TransferFrom]]=TableCosts[[#This Row],[TranferTo]],0,1),"")</f>
        <v/>
      </c>
      <c r="BN327" s="24" t="str">
        <f t="shared" si="81"/>
        <v/>
      </c>
      <c r="BO327" s="24">
        <f t="shared" si="82"/>
        <v>0</v>
      </c>
      <c r="BP327" s="24">
        <f t="shared" si="83"/>
        <v>0</v>
      </c>
    </row>
    <row r="328" spans="2:68" s="24" customFormat="1" ht="12.75" x14ac:dyDescent="0.2">
      <c r="B328" s="97"/>
      <c r="C328" s="92"/>
      <c r="D328" s="92"/>
      <c r="E328" s="92"/>
      <c r="F328" s="31" t="str">
        <f>IF(G328=1,IF(ISERROR(TableCosts[[#This Row],[N_Tariff]]),Err_Message1,IF(TableCosts[[#This Row],[N_Tariff]]=0,Err_Message2,VLOOKUP(C328&amp;TableCosts[[#This Row],[Calc_N_Typ]],TRAN_STRITEMS_LABEL,5,FALSE))),"")</f>
        <v/>
      </c>
      <c r="G328" s="31">
        <f t="shared" si="72"/>
        <v>0</v>
      </c>
      <c r="H328" s="31" t="str">
        <f>IF(G328=1,IFERROR(VLOOKUP(F328,Tab_ErrMessage[],2,0),VLOOKUP(C328&amp;TableCosts[[#This Row],[Calc_N_Typ]],TRAN_STRITEMS_LABEL,4,FALSE)),"")</f>
        <v/>
      </c>
      <c r="I328" s="94"/>
      <c r="J328" s="94"/>
      <c r="K328" s="94"/>
      <c r="L328" s="84"/>
      <c r="M328" s="84"/>
      <c r="N328" s="84"/>
      <c r="O328" s="84"/>
      <c r="P328" s="84"/>
      <c r="Q328" s="84"/>
      <c r="R328" s="84"/>
      <c r="S328" s="84"/>
      <c r="T328" s="84"/>
      <c r="U328" s="84"/>
      <c r="V328" s="84"/>
      <c r="W328" s="84"/>
      <c r="X328" s="84"/>
      <c r="Y328" s="84"/>
      <c r="Z328" s="84"/>
      <c r="AA328" s="84"/>
      <c r="AB328" s="84"/>
      <c r="AC328" s="84"/>
      <c r="AD328" s="84"/>
      <c r="AE328" s="84"/>
      <c r="AF328" s="84"/>
      <c r="AG328" s="84"/>
      <c r="AH328" s="84"/>
      <c r="AI328" s="84"/>
      <c r="AJ328" s="84"/>
      <c r="AK328" s="84"/>
      <c r="AL328" s="84"/>
      <c r="AM328" s="84"/>
      <c r="AN328" s="84"/>
      <c r="AO328" s="84"/>
      <c r="AP328" s="84"/>
      <c r="AQ328" s="84"/>
      <c r="AR328" s="84"/>
      <c r="AS328" s="84"/>
      <c r="AT328" s="84"/>
      <c r="AU328" s="84"/>
      <c r="AV328" s="84"/>
      <c r="AW328" s="84"/>
      <c r="AX328" s="87">
        <f t="array" ref="AX328">IF(G328=1,SUM((ROW(M0)=ROW(AW328))*(M0+M1_+M2_+M3_+M4_+M5_+M6_+M7_+M8_+M9_+M10_+M11_+M12_+M13_+M14_+M15_+M16_+M17_+M18_+M19_+M20_+M21_+M22_+M23_+M24_+M25_+M26_+M27_+M28_+M29_+M30_+M31_+M32_+M33_+M34_+M35_+M36_+M37_)),0)</f>
        <v>0</v>
      </c>
      <c r="AZ328" s="24" t="str">
        <f t="shared" si="73"/>
        <v/>
      </c>
      <c r="BA328" s="24" t="str">
        <f t="shared" si="74"/>
        <v/>
      </c>
      <c r="BB328" s="24" t="str">
        <f t="shared" si="75"/>
        <v/>
      </c>
      <c r="BC328" s="24" t="str">
        <f>IF(OR(E328="",LEFT(TableCosts[[#This Row],[Calc_N_Typ]],18)="Vynaložené náklady"),"",VLOOKUP(E328,Tab_Parts,2,0))</f>
        <v/>
      </c>
      <c r="BD328" s="24" t="str">
        <f t="shared" si="76"/>
        <v/>
      </c>
      <c r="BE328" s="24">
        <f t="shared" si="77"/>
        <v>0</v>
      </c>
      <c r="BF328" s="72">
        <f>TableCosts[[#This Row],[N_Amount]]*TableCosts[[#This Row],[N_Tariff]]*TableCosts[[#This Row],[N_ItemsCount]]</f>
        <v>0</v>
      </c>
      <c r="BG328" s="72">
        <f>IF(G328=1,IF(TableCosts[[#This Row],[N_Kateg]]="interné práce",TableCosts[[#This Row],[N_Amount]]*8*PAR_SGA_PERHOUR,0),0)</f>
        <v>0</v>
      </c>
      <c r="BH328" s="72">
        <f>SUM(TableCosts[[#This Row],[N_Direct]:[N_SGA]])</f>
        <v>0</v>
      </c>
      <c r="BI328" s="24">
        <f>IF(G328=1,IF(OR(AND(NOT(ISERROR(VLOOKUP(TableCosts[[#This Row],[Calc_N_Typ]],Cis_WorkPositions,1,0))),C328&lt;&gt;"",D328&lt;&gt;"",E328&lt;&gt;""),AND(ISERROR(VLOOKUP(TableCosts[[#This Row],[Calc_N_Typ]],Cis_WorkPositions,1,0)),C328="",D328="",E328&lt;&gt;""),LEFT(TableCosts[[#This Row],[Calc_N_Typ]],18)="Vynaložené náklady"),VLOOKUP(C328&amp;TableCosts[[#This Row],[Calc_N_Typ]],TRAN_STRITEMS_LABEL,VLOOKUP(D328,Tab_Hours,3,0),0),NA()),0)</f>
        <v>0</v>
      </c>
      <c r="BJ328" s="24">
        <f t="shared" si="78"/>
        <v>0</v>
      </c>
      <c r="BK328" s="24" t="str">
        <f t="shared" si="79"/>
        <v/>
      </c>
      <c r="BL328" s="24" t="str">
        <f t="shared" si="80"/>
        <v/>
      </c>
      <c r="BM328" s="24" t="str">
        <f>IF(G328=1,IF(TableCosts[[#This Row],[TransferFrom]]=TableCosts[[#This Row],[TranferTo]],0,1),"")</f>
        <v/>
      </c>
      <c r="BN328" s="24" t="str">
        <f t="shared" si="81"/>
        <v/>
      </c>
      <c r="BO328" s="24">
        <f t="shared" si="82"/>
        <v>0</v>
      </c>
      <c r="BP328" s="24">
        <f t="shared" si="83"/>
        <v>0</v>
      </c>
    </row>
    <row r="329" spans="2:68" s="24" customFormat="1" ht="12.75" x14ac:dyDescent="0.2">
      <c r="B329" s="97"/>
      <c r="C329" s="92"/>
      <c r="D329" s="92"/>
      <c r="E329" s="92"/>
      <c r="F329" s="31" t="str">
        <f>IF(G329=1,IF(ISERROR(TableCosts[[#This Row],[N_Tariff]]),Err_Message1,IF(TableCosts[[#This Row],[N_Tariff]]=0,Err_Message2,VLOOKUP(C329&amp;TableCosts[[#This Row],[Calc_N_Typ]],TRAN_STRITEMS_LABEL,5,FALSE))),"")</f>
        <v/>
      </c>
      <c r="G329" s="31">
        <f t="shared" si="72"/>
        <v>0</v>
      </c>
      <c r="H329" s="31" t="str">
        <f>IF(G329=1,IFERROR(VLOOKUP(F329,Tab_ErrMessage[],2,0),VLOOKUP(C329&amp;TableCosts[[#This Row],[Calc_N_Typ]],TRAN_STRITEMS_LABEL,4,FALSE)),"")</f>
        <v/>
      </c>
      <c r="I329" s="94"/>
      <c r="J329" s="94"/>
      <c r="K329" s="94"/>
      <c r="L329" s="84"/>
      <c r="M329" s="84"/>
      <c r="N329" s="84"/>
      <c r="O329" s="84"/>
      <c r="P329" s="84"/>
      <c r="Q329" s="84"/>
      <c r="R329" s="84"/>
      <c r="S329" s="84"/>
      <c r="T329" s="84"/>
      <c r="U329" s="84"/>
      <c r="V329" s="84"/>
      <c r="W329" s="84"/>
      <c r="X329" s="84"/>
      <c r="Y329" s="84"/>
      <c r="Z329" s="84"/>
      <c r="AA329" s="84"/>
      <c r="AB329" s="84"/>
      <c r="AC329" s="84"/>
      <c r="AD329" s="84"/>
      <c r="AE329" s="84"/>
      <c r="AF329" s="84"/>
      <c r="AG329" s="84"/>
      <c r="AH329" s="84"/>
      <c r="AI329" s="84"/>
      <c r="AJ329" s="84"/>
      <c r="AK329" s="84"/>
      <c r="AL329" s="84"/>
      <c r="AM329" s="84"/>
      <c r="AN329" s="84"/>
      <c r="AO329" s="84"/>
      <c r="AP329" s="84"/>
      <c r="AQ329" s="84"/>
      <c r="AR329" s="84"/>
      <c r="AS329" s="84"/>
      <c r="AT329" s="84"/>
      <c r="AU329" s="84"/>
      <c r="AV329" s="84"/>
      <c r="AW329" s="84"/>
      <c r="AX329" s="87">
        <f t="array" ref="AX329">IF(G329=1,SUM((ROW(M0)=ROW(AW329))*(M0+M1_+M2_+M3_+M4_+M5_+M6_+M7_+M8_+M9_+M10_+M11_+M12_+M13_+M14_+M15_+M16_+M17_+M18_+M19_+M20_+M21_+M22_+M23_+M24_+M25_+M26_+M27_+M28_+M29_+M30_+M31_+M32_+M33_+M34_+M35_+M36_+M37_)),0)</f>
        <v>0</v>
      </c>
      <c r="AZ329" s="24" t="str">
        <f t="shared" si="73"/>
        <v/>
      </c>
      <c r="BA329" s="24" t="str">
        <f t="shared" si="74"/>
        <v/>
      </c>
      <c r="BB329" s="24" t="str">
        <f t="shared" si="75"/>
        <v/>
      </c>
      <c r="BC329" s="24" t="str">
        <f>IF(OR(E329="",LEFT(TableCosts[[#This Row],[Calc_N_Typ]],18)="Vynaložené náklady"),"",VLOOKUP(E329,Tab_Parts,2,0))</f>
        <v/>
      </c>
      <c r="BD329" s="24" t="str">
        <f t="shared" si="76"/>
        <v/>
      </c>
      <c r="BE329" s="24">
        <f t="shared" si="77"/>
        <v>0</v>
      </c>
      <c r="BF329" s="72">
        <f>TableCosts[[#This Row],[N_Amount]]*TableCosts[[#This Row],[N_Tariff]]*TableCosts[[#This Row],[N_ItemsCount]]</f>
        <v>0</v>
      </c>
      <c r="BG329" s="72">
        <f>IF(G329=1,IF(TableCosts[[#This Row],[N_Kateg]]="interné práce",TableCosts[[#This Row],[N_Amount]]*8*PAR_SGA_PERHOUR,0),0)</f>
        <v>0</v>
      </c>
      <c r="BH329" s="72">
        <f>SUM(TableCosts[[#This Row],[N_Direct]:[N_SGA]])</f>
        <v>0</v>
      </c>
      <c r="BI329" s="24">
        <f>IF(G329=1,IF(OR(AND(NOT(ISERROR(VLOOKUP(TableCosts[[#This Row],[Calc_N_Typ]],Cis_WorkPositions,1,0))),C329&lt;&gt;"",D329&lt;&gt;"",E329&lt;&gt;""),AND(ISERROR(VLOOKUP(TableCosts[[#This Row],[Calc_N_Typ]],Cis_WorkPositions,1,0)),C329="",D329="",E329&lt;&gt;""),LEFT(TableCosts[[#This Row],[Calc_N_Typ]],18)="Vynaložené náklady"),VLOOKUP(C329&amp;TableCosts[[#This Row],[Calc_N_Typ]],TRAN_STRITEMS_LABEL,VLOOKUP(D329,Tab_Hours,3,0),0),NA()),0)</f>
        <v>0</v>
      </c>
      <c r="BJ329" s="24">
        <f t="shared" si="78"/>
        <v>0</v>
      </c>
      <c r="BK329" s="24" t="str">
        <f t="shared" si="79"/>
        <v/>
      </c>
      <c r="BL329" s="24" t="str">
        <f t="shared" si="80"/>
        <v/>
      </c>
      <c r="BM329" s="24" t="str">
        <f>IF(G329=1,IF(TableCosts[[#This Row],[TransferFrom]]=TableCosts[[#This Row],[TranferTo]],0,1),"")</f>
        <v/>
      </c>
      <c r="BN329" s="24" t="str">
        <f t="shared" si="81"/>
        <v/>
      </c>
      <c r="BO329" s="24">
        <f t="shared" si="82"/>
        <v>0</v>
      </c>
      <c r="BP329" s="24">
        <f t="shared" si="83"/>
        <v>0</v>
      </c>
    </row>
    <row r="330" spans="2:68" s="24" customFormat="1" ht="12.75" x14ac:dyDescent="0.2">
      <c r="B330" s="97"/>
      <c r="C330" s="92"/>
      <c r="D330" s="92"/>
      <c r="E330" s="92"/>
      <c r="F330" s="31" t="str">
        <f>IF(G330=1,IF(ISERROR(TableCosts[[#This Row],[N_Tariff]]),Err_Message1,IF(TableCosts[[#This Row],[N_Tariff]]=0,Err_Message2,VLOOKUP(C330&amp;TableCosts[[#This Row],[Calc_N_Typ]],TRAN_STRITEMS_LABEL,5,FALSE))),"")</f>
        <v/>
      </c>
      <c r="G330" s="31">
        <f t="shared" si="72"/>
        <v>0</v>
      </c>
      <c r="H330" s="31" t="str">
        <f>IF(G330=1,IFERROR(VLOOKUP(F330,Tab_ErrMessage[],2,0),VLOOKUP(C330&amp;TableCosts[[#This Row],[Calc_N_Typ]],TRAN_STRITEMS_LABEL,4,FALSE)),"")</f>
        <v/>
      </c>
      <c r="I330" s="94"/>
      <c r="J330" s="94"/>
      <c r="K330" s="94"/>
      <c r="L330" s="84"/>
      <c r="M330" s="84"/>
      <c r="N330" s="84"/>
      <c r="O330" s="84"/>
      <c r="P330" s="84"/>
      <c r="Q330" s="84"/>
      <c r="R330" s="84"/>
      <c r="S330" s="84"/>
      <c r="T330" s="84"/>
      <c r="U330" s="84"/>
      <c r="V330" s="84"/>
      <c r="W330" s="84"/>
      <c r="X330" s="84"/>
      <c r="Y330" s="84"/>
      <c r="Z330" s="84"/>
      <c r="AA330" s="84"/>
      <c r="AB330" s="84"/>
      <c r="AC330" s="84"/>
      <c r="AD330" s="84"/>
      <c r="AE330" s="84"/>
      <c r="AF330" s="84"/>
      <c r="AG330" s="84"/>
      <c r="AH330" s="84"/>
      <c r="AI330" s="84"/>
      <c r="AJ330" s="84"/>
      <c r="AK330" s="84"/>
      <c r="AL330" s="84"/>
      <c r="AM330" s="84"/>
      <c r="AN330" s="84"/>
      <c r="AO330" s="84"/>
      <c r="AP330" s="84"/>
      <c r="AQ330" s="84"/>
      <c r="AR330" s="84"/>
      <c r="AS330" s="84"/>
      <c r="AT330" s="84"/>
      <c r="AU330" s="84"/>
      <c r="AV330" s="84"/>
      <c r="AW330" s="84"/>
      <c r="AX330" s="87">
        <f t="array" ref="AX330">IF(G330=1,SUM((ROW(M0)=ROW(AW330))*(M0+M1_+M2_+M3_+M4_+M5_+M6_+M7_+M8_+M9_+M10_+M11_+M12_+M13_+M14_+M15_+M16_+M17_+M18_+M19_+M20_+M21_+M22_+M23_+M24_+M25_+M26_+M27_+M28_+M29_+M30_+M31_+M32_+M33_+M34_+M35_+M36_+M37_)),0)</f>
        <v>0</v>
      </c>
      <c r="AZ330" s="24" t="str">
        <f t="shared" si="73"/>
        <v/>
      </c>
      <c r="BA330" s="24" t="str">
        <f t="shared" si="74"/>
        <v/>
      </c>
      <c r="BB330" s="24" t="str">
        <f t="shared" si="75"/>
        <v/>
      </c>
      <c r="BC330" s="24" t="str">
        <f>IF(OR(E330="",LEFT(TableCosts[[#This Row],[Calc_N_Typ]],18)="Vynaložené náklady"),"",VLOOKUP(E330,Tab_Parts,2,0))</f>
        <v/>
      </c>
      <c r="BD330" s="24" t="str">
        <f t="shared" si="76"/>
        <v/>
      </c>
      <c r="BE330" s="24">
        <f t="shared" si="77"/>
        <v>0</v>
      </c>
      <c r="BF330" s="72">
        <f>TableCosts[[#This Row],[N_Amount]]*TableCosts[[#This Row],[N_Tariff]]*TableCosts[[#This Row],[N_ItemsCount]]</f>
        <v>0</v>
      </c>
      <c r="BG330" s="72">
        <f>IF(G330=1,IF(TableCosts[[#This Row],[N_Kateg]]="interné práce",TableCosts[[#This Row],[N_Amount]]*8*PAR_SGA_PERHOUR,0),0)</f>
        <v>0</v>
      </c>
      <c r="BH330" s="72">
        <f>SUM(TableCosts[[#This Row],[N_Direct]:[N_SGA]])</f>
        <v>0</v>
      </c>
      <c r="BI330" s="24">
        <f>IF(G330=1,IF(OR(AND(NOT(ISERROR(VLOOKUP(TableCosts[[#This Row],[Calc_N_Typ]],Cis_WorkPositions,1,0))),C330&lt;&gt;"",D330&lt;&gt;"",E330&lt;&gt;""),AND(ISERROR(VLOOKUP(TableCosts[[#This Row],[Calc_N_Typ]],Cis_WorkPositions,1,0)),C330="",D330="",E330&lt;&gt;""),LEFT(TableCosts[[#This Row],[Calc_N_Typ]],18)="Vynaložené náklady"),VLOOKUP(C330&amp;TableCosts[[#This Row],[Calc_N_Typ]],TRAN_STRITEMS_LABEL,VLOOKUP(D330,Tab_Hours,3,0),0),NA()),0)</f>
        <v>0</v>
      </c>
      <c r="BJ330" s="24">
        <f t="shared" si="78"/>
        <v>0</v>
      </c>
      <c r="BK330" s="24" t="str">
        <f t="shared" si="79"/>
        <v/>
      </c>
      <c r="BL330" s="24" t="str">
        <f t="shared" si="80"/>
        <v/>
      </c>
      <c r="BM330" s="24" t="str">
        <f>IF(G330=1,IF(TableCosts[[#This Row],[TransferFrom]]=TableCosts[[#This Row],[TranferTo]],0,1),"")</f>
        <v/>
      </c>
      <c r="BN330" s="24" t="str">
        <f t="shared" si="81"/>
        <v/>
      </c>
      <c r="BO330" s="24">
        <f t="shared" si="82"/>
        <v>0</v>
      </c>
      <c r="BP330" s="24">
        <f t="shared" si="83"/>
        <v>0</v>
      </c>
    </row>
    <row r="331" spans="2:68" s="24" customFormat="1" ht="12.75" x14ac:dyDescent="0.2">
      <c r="B331" s="97"/>
      <c r="C331" s="92"/>
      <c r="D331" s="92"/>
      <c r="E331" s="92"/>
      <c r="F331" s="31" t="str">
        <f>IF(G331=1,IF(ISERROR(TableCosts[[#This Row],[N_Tariff]]),Err_Message1,IF(TableCosts[[#This Row],[N_Tariff]]=0,Err_Message2,VLOOKUP(C331&amp;TableCosts[[#This Row],[Calc_N_Typ]],TRAN_STRITEMS_LABEL,5,FALSE))),"")</f>
        <v/>
      </c>
      <c r="G331" s="31">
        <f t="shared" si="72"/>
        <v>0</v>
      </c>
      <c r="H331" s="31" t="str">
        <f>IF(G331=1,IFERROR(VLOOKUP(F331,Tab_ErrMessage[],2,0),VLOOKUP(C331&amp;TableCosts[[#This Row],[Calc_N_Typ]],TRAN_STRITEMS_LABEL,4,FALSE)),"")</f>
        <v/>
      </c>
      <c r="I331" s="94"/>
      <c r="J331" s="94"/>
      <c r="K331" s="94"/>
      <c r="L331" s="84"/>
      <c r="M331" s="84"/>
      <c r="N331" s="84"/>
      <c r="O331" s="84"/>
      <c r="P331" s="84"/>
      <c r="Q331" s="84"/>
      <c r="R331" s="84"/>
      <c r="S331" s="84"/>
      <c r="T331" s="84"/>
      <c r="U331" s="84"/>
      <c r="V331" s="84"/>
      <c r="W331" s="84"/>
      <c r="X331" s="84"/>
      <c r="Y331" s="84"/>
      <c r="Z331" s="84"/>
      <c r="AA331" s="84"/>
      <c r="AB331" s="84"/>
      <c r="AC331" s="84"/>
      <c r="AD331" s="84"/>
      <c r="AE331" s="84"/>
      <c r="AF331" s="84"/>
      <c r="AG331" s="84"/>
      <c r="AH331" s="84"/>
      <c r="AI331" s="84"/>
      <c r="AJ331" s="84"/>
      <c r="AK331" s="84"/>
      <c r="AL331" s="84"/>
      <c r="AM331" s="84"/>
      <c r="AN331" s="84"/>
      <c r="AO331" s="84"/>
      <c r="AP331" s="84"/>
      <c r="AQ331" s="84"/>
      <c r="AR331" s="84"/>
      <c r="AS331" s="84"/>
      <c r="AT331" s="84"/>
      <c r="AU331" s="84"/>
      <c r="AV331" s="84"/>
      <c r="AW331" s="84"/>
      <c r="AX331" s="87">
        <f t="array" ref="AX331">IF(G331=1,SUM((ROW(M0)=ROW(AW331))*(M0+M1_+M2_+M3_+M4_+M5_+M6_+M7_+M8_+M9_+M10_+M11_+M12_+M13_+M14_+M15_+M16_+M17_+M18_+M19_+M20_+M21_+M22_+M23_+M24_+M25_+M26_+M27_+M28_+M29_+M30_+M31_+M32_+M33_+M34_+M35_+M36_+M37_)),0)</f>
        <v>0</v>
      </c>
      <c r="AZ331" s="24" t="str">
        <f t="shared" si="73"/>
        <v/>
      </c>
      <c r="BA331" s="24" t="str">
        <f t="shared" si="74"/>
        <v/>
      </c>
      <c r="BB331" s="24" t="str">
        <f t="shared" si="75"/>
        <v/>
      </c>
      <c r="BC331" s="24" t="str">
        <f>IF(OR(E331="",LEFT(TableCosts[[#This Row],[Calc_N_Typ]],18)="Vynaložené náklady"),"",VLOOKUP(E331,Tab_Parts,2,0))</f>
        <v/>
      </c>
      <c r="BD331" s="24" t="str">
        <f t="shared" si="76"/>
        <v/>
      </c>
      <c r="BE331" s="24">
        <f t="shared" si="77"/>
        <v>0</v>
      </c>
      <c r="BF331" s="72">
        <f>TableCosts[[#This Row],[N_Amount]]*TableCosts[[#This Row],[N_Tariff]]*TableCosts[[#This Row],[N_ItemsCount]]</f>
        <v>0</v>
      </c>
      <c r="BG331" s="72">
        <f>IF(G331=1,IF(TableCosts[[#This Row],[N_Kateg]]="interné práce",TableCosts[[#This Row],[N_Amount]]*8*PAR_SGA_PERHOUR,0),0)</f>
        <v>0</v>
      </c>
      <c r="BH331" s="72">
        <f>SUM(TableCosts[[#This Row],[N_Direct]:[N_SGA]])</f>
        <v>0</v>
      </c>
      <c r="BI331" s="24">
        <f>IF(G331=1,IF(OR(AND(NOT(ISERROR(VLOOKUP(TableCosts[[#This Row],[Calc_N_Typ]],Cis_WorkPositions,1,0))),C331&lt;&gt;"",D331&lt;&gt;"",E331&lt;&gt;""),AND(ISERROR(VLOOKUP(TableCosts[[#This Row],[Calc_N_Typ]],Cis_WorkPositions,1,0)),C331="",D331="",E331&lt;&gt;""),LEFT(TableCosts[[#This Row],[Calc_N_Typ]],18)="Vynaložené náklady"),VLOOKUP(C331&amp;TableCosts[[#This Row],[Calc_N_Typ]],TRAN_STRITEMS_LABEL,VLOOKUP(D331,Tab_Hours,3,0),0),NA()),0)</f>
        <v>0</v>
      </c>
      <c r="BJ331" s="24">
        <f t="shared" si="78"/>
        <v>0</v>
      </c>
      <c r="BK331" s="24" t="str">
        <f t="shared" si="79"/>
        <v/>
      </c>
      <c r="BL331" s="24" t="str">
        <f t="shared" si="80"/>
        <v/>
      </c>
      <c r="BM331" s="24" t="str">
        <f>IF(G331=1,IF(TableCosts[[#This Row],[TransferFrom]]=TableCosts[[#This Row],[TranferTo]],0,1),"")</f>
        <v/>
      </c>
      <c r="BN331" s="24" t="str">
        <f t="shared" si="81"/>
        <v/>
      </c>
      <c r="BO331" s="24">
        <f t="shared" si="82"/>
        <v>0</v>
      </c>
      <c r="BP331" s="24">
        <f t="shared" si="83"/>
        <v>0</v>
      </c>
    </row>
    <row r="332" spans="2:68" s="24" customFormat="1" ht="12.75" x14ac:dyDescent="0.2">
      <c r="B332" s="97"/>
      <c r="C332" s="92"/>
      <c r="D332" s="92"/>
      <c r="E332" s="92"/>
      <c r="F332" s="31" t="str">
        <f>IF(G332=1,IF(ISERROR(TableCosts[[#This Row],[N_Tariff]]),Err_Message1,IF(TableCosts[[#This Row],[N_Tariff]]=0,Err_Message2,VLOOKUP(C332&amp;TableCosts[[#This Row],[Calc_N_Typ]],TRAN_STRITEMS_LABEL,5,FALSE))),"")</f>
        <v/>
      </c>
      <c r="G332" s="31">
        <f t="shared" ref="G332:G395" si="84">IF(B332="",0,IF(LEFT(B332,3)="***",-1,1))</f>
        <v>0</v>
      </c>
      <c r="H332" s="31" t="str">
        <f>IF(G332=1,IFERROR(VLOOKUP(F332,Tab_ErrMessage[],2,0),VLOOKUP(C332&amp;TableCosts[[#This Row],[Calc_N_Typ]],TRAN_STRITEMS_LABEL,4,FALSE)),"")</f>
        <v/>
      </c>
      <c r="I332" s="94"/>
      <c r="J332" s="94"/>
      <c r="K332" s="94"/>
      <c r="L332" s="84"/>
      <c r="M332" s="84"/>
      <c r="N332" s="84"/>
      <c r="O332" s="84"/>
      <c r="P332" s="84"/>
      <c r="Q332" s="84"/>
      <c r="R332" s="84"/>
      <c r="S332" s="84"/>
      <c r="T332" s="84"/>
      <c r="U332" s="84"/>
      <c r="V332" s="84"/>
      <c r="W332" s="84"/>
      <c r="X332" s="84"/>
      <c r="Y332" s="84"/>
      <c r="Z332" s="84"/>
      <c r="AA332" s="84"/>
      <c r="AB332" s="84"/>
      <c r="AC332" s="84"/>
      <c r="AD332" s="84"/>
      <c r="AE332" s="84"/>
      <c r="AF332" s="84"/>
      <c r="AG332" s="84"/>
      <c r="AH332" s="84"/>
      <c r="AI332" s="84"/>
      <c r="AJ332" s="84"/>
      <c r="AK332" s="84"/>
      <c r="AL332" s="84"/>
      <c r="AM332" s="84"/>
      <c r="AN332" s="84"/>
      <c r="AO332" s="84"/>
      <c r="AP332" s="84"/>
      <c r="AQ332" s="84"/>
      <c r="AR332" s="84"/>
      <c r="AS332" s="84"/>
      <c r="AT332" s="84"/>
      <c r="AU332" s="84"/>
      <c r="AV332" s="84"/>
      <c r="AW332" s="84"/>
      <c r="AX332" s="87">
        <f t="array" ref="AX332">IF(G332=1,SUM((ROW(M0)=ROW(AW332))*(M0+M1_+M2_+M3_+M4_+M5_+M6_+M7_+M8_+M9_+M10_+M11_+M12_+M13_+M14_+M15_+M16_+M17_+M18_+M19_+M20_+M21_+M22_+M23_+M24_+M25_+M26_+M27_+M28_+M29_+M30_+M31_+M32_+M33_+M34_+M35_+M36_+M37_)),0)</f>
        <v>0</v>
      </c>
      <c r="AZ332" s="24" t="str">
        <f t="shared" ref="AZ332:AZ395" si="85">IF(G332=1,B332,"")</f>
        <v/>
      </c>
      <c r="BA332" s="24" t="str">
        <f t="shared" ref="BA332:BA395" si="86">IF(G332=1,C332,"")</f>
        <v/>
      </c>
      <c r="BB332" s="24" t="str">
        <f t="shared" ref="BB332:BB395" si="87">IF(G332=1,F332,"")</f>
        <v/>
      </c>
      <c r="BC332" s="24" t="str">
        <f>IF(OR(E332="",LEFT(TableCosts[[#This Row],[Calc_N_Typ]],18)="Vynaložené náklady"),"",VLOOKUP(E332,Tab_Parts,2,0))</f>
        <v/>
      </c>
      <c r="BD332" s="24" t="str">
        <f t="shared" ref="BD332:BD395" si="88">IF(G332=1,H332,"")</f>
        <v/>
      </c>
      <c r="BE332" s="24">
        <f t="shared" ref="BE332:BE395" si="89">IF(G332=1,AX332,0)</f>
        <v>0</v>
      </c>
      <c r="BF332" s="72">
        <f>TableCosts[[#This Row],[N_Amount]]*TableCosts[[#This Row],[N_Tariff]]*TableCosts[[#This Row],[N_ItemsCount]]</f>
        <v>0</v>
      </c>
      <c r="BG332" s="72">
        <f>IF(G332=1,IF(TableCosts[[#This Row],[N_Kateg]]="interné práce",TableCosts[[#This Row],[N_Amount]]*8*PAR_SGA_PERHOUR,0),0)</f>
        <v>0</v>
      </c>
      <c r="BH332" s="72">
        <f>SUM(TableCosts[[#This Row],[N_Direct]:[N_SGA]])</f>
        <v>0</v>
      </c>
      <c r="BI332" s="24">
        <f>IF(G332=1,IF(OR(AND(NOT(ISERROR(VLOOKUP(TableCosts[[#This Row],[Calc_N_Typ]],Cis_WorkPositions,1,0))),C332&lt;&gt;"",D332&lt;&gt;"",E332&lt;&gt;""),AND(ISERROR(VLOOKUP(TableCosts[[#This Row],[Calc_N_Typ]],Cis_WorkPositions,1,0)),C332="",D332="",E332&lt;&gt;""),LEFT(TableCosts[[#This Row],[Calc_N_Typ]],18)="Vynaložené náklady"),VLOOKUP(C332&amp;TableCosts[[#This Row],[Calc_N_Typ]],TRAN_STRITEMS_LABEL,VLOOKUP(D332,Tab_Hours,3,0),0),NA()),0)</f>
        <v>0</v>
      </c>
      <c r="BJ332" s="24">
        <f t="shared" ref="BJ332:BJ395" si="90">IF(G332=1,IF(H332="čld.",VLOOKUP(D332,Tab_Hours,4,0),1),0)</f>
        <v>0</v>
      </c>
      <c r="BK332" s="24" t="str">
        <f t="shared" ref="BK332:BK395" si="91">IF(G332=1,IFERROR(VLOOKUP(B332,IpsLicences,2,0),IF(C332="",Par_Center,C332)),"")</f>
        <v/>
      </c>
      <c r="BL332" s="24" t="str">
        <f t="shared" ref="BL332:BL395" si="92">IF(G332=1,Par_Center,"")</f>
        <v/>
      </c>
      <c r="BM332" s="24" t="str">
        <f>IF(G332=1,IF(TableCosts[[#This Row],[TransferFrom]]=TableCosts[[#This Row],[TranferTo]],0,1),"")</f>
        <v/>
      </c>
      <c r="BN332" s="24" t="str">
        <f t="shared" ref="BN332:BN395" si="93">IF(G332=1,IF(E332="ACQ","akvizícia","realizácia"),"")</f>
        <v/>
      </c>
      <c r="BO332" s="24">
        <f t="shared" ref="BO332:BO395" si="94">IF(RIGHT(B332,LEN(Par_LabelTravelTime))=Par_LabelTravelTime,LEFT(B332,LEN(B332)-LEN(Par_LabelTravelTime)),B332)</f>
        <v>0</v>
      </c>
      <c r="BP332" s="24">
        <f t="shared" ref="BP332:BP395" si="95">IF(RIGHT(B332,LEN(Par_LabelTravelTime))=Par_LabelTravelTime,1,0)</f>
        <v>0</v>
      </c>
    </row>
    <row r="333" spans="2:68" s="24" customFormat="1" ht="12.75" x14ac:dyDescent="0.2">
      <c r="B333" s="97"/>
      <c r="C333" s="92"/>
      <c r="D333" s="92"/>
      <c r="E333" s="92"/>
      <c r="F333" s="31" t="str">
        <f>IF(G333=1,IF(ISERROR(TableCosts[[#This Row],[N_Tariff]]),Err_Message1,IF(TableCosts[[#This Row],[N_Tariff]]=0,Err_Message2,VLOOKUP(C333&amp;TableCosts[[#This Row],[Calc_N_Typ]],TRAN_STRITEMS_LABEL,5,FALSE))),"")</f>
        <v/>
      </c>
      <c r="G333" s="31">
        <f t="shared" si="84"/>
        <v>0</v>
      </c>
      <c r="H333" s="31" t="str">
        <f>IF(G333=1,IFERROR(VLOOKUP(F333,Tab_ErrMessage[],2,0),VLOOKUP(C333&amp;TableCosts[[#This Row],[Calc_N_Typ]],TRAN_STRITEMS_LABEL,4,FALSE)),"")</f>
        <v/>
      </c>
      <c r="I333" s="94"/>
      <c r="J333" s="94"/>
      <c r="K333" s="94"/>
      <c r="L333" s="84"/>
      <c r="M333" s="84"/>
      <c r="N333" s="84"/>
      <c r="O333" s="84"/>
      <c r="P333" s="84"/>
      <c r="Q333" s="84"/>
      <c r="R333" s="84"/>
      <c r="S333" s="84"/>
      <c r="T333" s="84"/>
      <c r="U333" s="84"/>
      <c r="V333" s="84"/>
      <c r="W333" s="84"/>
      <c r="X333" s="84"/>
      <c r="Y333" s="84"/>
      <c r="Z333" s="84"/>
      <c r="AA333" s="84"/>
      <c r="AB333" s="84"/>
      <c r="AC333" s="84"/>
      <c r="AD333" s="84"/>
      <c r="AE333" s="84"/>
      <c r="AF333" s="84"/>
      <c r="AG333" s="84"/>
      <c r="AH333" s="84"/>
      <c r="AI333" s="84"/>
      <c r="AJ333" s="84"/>
      <c r="AK333" s="84"/>
      <c r="AL333" s="84"/>
      <c r="AM333" s="84"/>
      <c r="AN333" s="84"/>
      <c r="AO333" s="84"/>
      <c r="AP333" s="84"/>
      <c r="AQ333" s="84"/>
      <c r="AR333" s="84"/>
      <c r="AS333" s="84"/>
      <c r="AT333" s="84"/>
      <c r="AU333" s="84"/>
      <c r="AV333" s="84"/>
      <c r="AW333" s="84"/>
      <c r="AX333" s="87">
        <f t="array" ref="AX333">IF(G333=1,SUM((ROW(M0)=ROW(AW333))*(M0+M1_+M2_+M3_+M4_+M5_+M6_+M7_+M8_+M9_+M10_+M11_+M12_+M13_+M14_+M15_+M16_+M17_+M18_+M19_+M20_+M21_+M22_+M23_+M24_+M25_+M26_+M27_+M28_+M29_+M30_+M31_+M32_+M33_+M34_+M35_+M36_+M37_)),0)</f>
        <v>0</v>
      </c>
      <c r="AZ333" s="24" t="str">
        <f t="shared" si="85"/>
        <v/>
      </c>
      <c r="BA333" s="24" t="str">
        <f t="shared" si="86"/>
        <v/>
      </c>
      <c r="BB333" s="24" t="str">
        <f t="shared" si="87"/>
        <v/>
      </c>
      <c r="BC333" s="24" t="str">
        <f>IF(OR(E333="",LEFT(TableCosts[[#This Row],[Calc_N_Typ]],18)="Vynaložené náklady"),"",VLOOKUP(E333,Tab_Parts,2,0))</f>
        <v/>
      </c>
      <c r="BD333" s="24" t="str">
        <f t="shared" si="88"/>
        <v/>
      </c>
      <c r="BE333" s="24">
        <f t="shared" si="89"/>
        <v>0</v>
      </c>
      <c r="BF333" s="72">
        <f>TableCosts[[#This Row],[N_Amount]]*TableCosts[[#This Row],[N_Tariff]]*TableCosts[[#This Row],[N_ItemsCount]]</f>
        <v>0</v>
      </c>
      <c r="BG333" s="72">
        <f>IF(G333=1,IF(TableCosts[[#This Row],[N_Kateg]]="interné práce",TableCosts[[#This Row],[N_Amount]]*8*PAR_SGA_PERHOUR,0),0)</f>
        <v>0</v>
      </c>
      <c r="BH333" s="72">
        <f>SUM(TableCosts[[#This Row],[N_Direct]:[N_SGA]])</f>
        <v>0</v>
      </c>
      <c r="BI333" s="24">
        <f>IF(G333=1,IF(OR(AND(NOT(ISERROR(VLOOKUP(TableCosts[[#This Row],[Calc_N_Typ]],Cis_WorkPositions,1,0))),C333&lt;&gt;"",D333&lt;&gt;"",E333&lt;&gt;""),AND(ISERROR(VLOOKUP(TableCosts[[#This Row],[Calc_N_Typ]],Cis_WorkPositions,1,0)),C333="",D333="",E333&lt;&gt;""),LEFT(TableCosts[[#This Row],[Calc_N_Typ]],18)="Vynaložené náklady"),VLOOKUP(C333&amp;TableCosts[[#This Row],[Calc_N_Typ]],TRAN_STRITEMS_LABEL,VLOOKUP(D333,Tab_Hours,3,0),0),NA()),0)</f>
        <v>0</v>
      </c>
      <c r="BJ333" s="24">
        <f t="shared" si="90"/>
        <v>0</v>
      </c>
      <c r="BK333" s="24" t="str">
        <f t="shared" si="91"/>
        <v/>
      </c>
      <c r="BL333" s="24" t="str">
        <f t="shared" si="92"/>
        <v/>
      </c>
      <c r="BM333" s="24" t="str">
        <f>IF(G333=1,IF(TableCosts[[#This Row],[TransferFrom]]=TableCosts[[#This Row],[TranferTo]],0,1),"")</f>
        <v/>
      </c>
      <c r="BN333" s="24" t="str">
        <f t="shared" si="93"/>
        <v/>
      </c>
      <c r="BO333" s="24">
        <f t="shared" si="94"/>
        <v>0</v>
      </c>
      <c r="BP333" s="24">
        <f t="shared" si="95"/>
        <v>0</v>
      </c>
    </row>
    <row r="334" spans="2:68" s="24" customFormat="1" ht="12.75" x14ac:dyDescent="0.2">
      <c r="B334" s="97"/>
      <c r="C334" s="92"/>
      <c r="D334" s="92"/>
      <c r="E334" s="92"/>
      <c r="F334" s="31" t="str">
        <f>IF(G334=1,IF(ISERROR(TableCosts[[#This Row],[N_Tariff]]),Err_Message1,IF(TableCosts[[#This Row],[N_Tariff]]=0,Err_Message2,VLOOKUP(C334&amp;TableCosts[[#This Row],[Calc_N_Typ]],TRAN_STRITEMS_LABEL,5,FALSE))),"")</f>
        <v/>
      </c>
      <c r="G334" s="31">
        <f t="shared" si="84"/>
        <v>0</v>
      </c>
      <c r="H334" s="31" t="str">
        <f>IF(G334=1,IFERROR(VLOOKUP(F334,Tab_ErrMessage[],2,0),VLOOKUP(C334&amp;TableCosts[[#This Row],[Calc_N_Typ]],TRAN_STRITEMS_LABEL,4,FALSE)),"")</f>
        <v/>
      </c>
      <c r="I334" s="94"/>
      <c r="J334" s="94"/>
      <c r="K334" s="94"/>
      <c r="L334" s="84"/>
      <c r="M334" s="84"/>
      <c r="N334" s="84"/>
      <c r="O334" s="84"/>
      <c r="P334" s="84"/>
      <c r="Q334" s="84"/>
      <c r="R334" s="84"/>
      <c r="S334" s="84"/>
      <c r="T334" s="84"/>
      <c r="U334" s="84"/>
      <c r="V334" s="84"/>
      <c r="W334" s="84"/>
      <c r="X334" s="84"/>
      <c r="Y334" s="84"/>
      <c r="Z334" s="84"/>
      <c r="AA334" s="84"/>
      <c r="AB334" s="84"/>
      <c r="AC334" s="84"/>
      <c r="AD334" s="84"/>
      <c r="AE334" s="84"/>
      <c r="AF334" s="84"/>
      <c r="AG334" s="84"/>
      <c r="AH334" s="84"/>
      <c r="AI334" s="84"/>
      <c r="AJ334" s="84"/>
      <c r="AK334" s="84"/>
      <c r="AL334" s="84"/>
      <c r="AM334" s="84"/>
      <c r="AN334" s="84"/>
      <c r="AO334" s="84"/>
      <c r="AP334" s="84"/>
      <c r="AQ334" s="84"/>
      <c r="AR334" s="84"/>
      <c r="AS334" s="84"/>
      <c r="AT334" s="84"/>
      <c r="AU334" s="84"/>
      <c r="AV334" s="84"/>
      <c r="AW334" s="84"/>
      <c r="AX334" s="87">
        <f t="array" ref="AX334">IF(G334=1,SUM((ROW(M0)=ROW(AW334))*(M0+M1_+M2_+M3_+M4_+M5_+M6_+M7_+M8_+M9_+M10_+M11_+M12_+M13_+M14_+M15_+M16_+M17_+M18_+M19_+M20_+M21_+M22_+M23_+M24_+M25_+M26_+M27_+M28_+M29_+M30_+M31_+M32_+M33_+M34_+M35_+M36_+M37_)),0)</f>
        <v>0</v>
      </c>
      <c r="AZ334" s="24" t="str">
        <f t="shared" si="85"/>
        <v/>
      </c>
      <c r="BA334" s="24" t="str">
        <f t="shared" si="86"/>
        <v/>
      </c>
      <c r="BB334" s="24" t="str">
        <f t="shared" si="87"/>
        <v/>
      </c>
      <c r="BC334" s="24" t="str">
        <f>IF(OR(E334="",LEFT(TableCosts[[#This Row],[Calc_N_Typ]],18)="Vynaložené náklady"),"",VLOOKUP(E334,Tab_Parts,2,0))</f>
        <v/>
      </c>
      <c r="BD334" s="24" t="str">
        <f t="shared" si="88"/>
        <v/>
      </c>
      <c r="BE334" s="24">
        <f t="shared" si="89"/>
        <v>0</v>
      </c>
      <c r="BF334" s="72">
        <f>TableCosts[[#This Row],[N_Amount]]*TableCosts[[#This Row],[N_Tariff]]*TableCosts[[#This Row],[N_ItemsCount]]</f>
        <v>0</v>
      </c>
      <c r="BG334" s="72">
        <f>IF(G334=1,IF(TableCosts[[#This Row],[N_Kateg]]="interné práce",TableCosts[[#This Row],[N_Amount]]*8*PAR_SGA_PERHOUR,0),0)</f>
        <v>0</v>
      </c>
      <c r="BH334" s="72">
        <f>SUM(TableCosts[[#This Row],[N_Direct]:[N_SGA]])</f>
        <v>0</v>
      </c>
      <c r="BI334" s="24">
        <f>IF(G334=1,IF(OR(AND(NOT(ISERROR(VLOOKUP(TableCosts[[#This Row],[Calc_N_Typ]],Cis_WorkPositions,1,0))),C334&lt;&gt;"",D334&lt;&gt;"",E334&lt;&gt;""),AND(ISERROR(VLOOKUP(TableCosts[[#This Row],[Calc_N_Typ]],Cis_WorkPositions,1,0)),C334="",D334="",E334&lt;&gt;""),LEFT(TableCosts[[#This Row],[Calc_N_Typ]],18)="Vynaložené náklady"),VLOOKUP(C334&amp;TableCosts[[#This Row],[Calc_N_Typ]],TRAN_STRITEMS_LABEL,VLOOKUP(D334,Tab_Hours,3,0),0),NA()),0)</f>
        <v>0</v>
      </c>
      <c r="BJ334" s="24">
        <f t="shared" si="90"/>
        <v>0</v>
      </c>
      <c r="BK334" s="24" t="str">
        <f t="shared" si="91"/>
        <v/>
      </c>
      <c r="BL334" s="24" t="str">
        <f t="shared" si="92"/>
        <v/>
      </c>
      <c r="BM334" s="24" t="str">
        <f>IF(G334=1,IF(TableCosts[[#This Row],[TransferFrom]]=TableCosts[[#This Row],[TranferTo]],0,1),"")</f>
        <v/>
      </c>
      <c r="BN334" s="24" t="str">
        <f t="shared" si="93"/>
        <v/>
      </c>
      <c r="BO334" s="24">
        <f t="shared" si="94"/>
        <v>0</v>
      </c>
      <c r="BP334" s="24">
        <f t="shared" si="95"/>
        <v>0</v>
      </c>
    </row>
    <row r="335" spans="2:68" s="24" customFormat="1" ht="12.75" x14ac:dyDescent="0.2">
      <c r="B335" s="97"/>
      <c r="C335" s="92"/>
      <c r="D335" s="92"/>
      <c r="E335" s="92"/>
      <c r="F335" s="31" t="str">
        <f>IF(G335=1,IF(ISERROR(TableCosts[[#This Row],[N_Tariff]]),Err_Message1,IF(TableCosts[[#This Row],[N_Tariff]]=0,Err_Message2,VLOOKUP(C335&amp;TableCosts[[#This Row],[Calc_N_Typ]],TRAN_STRITEMS_LABEL,5,FALSE))),"")</f>
        <v/>
      </c>
      <c r="G335" s="31">
        <f t="shared" si="84"/>
        <v>0</v>
      </c>
      <c r="H335" s="31" t="str">
        <f>IF(G335=1,IFERROR(VLOOKUP(F335,Tab_ErrMessage[],2,0),VLOOKUP(C335&amp;TableCosts[[#This Row],[Calc_N_Typ]],TRAN_STRITEMS_LABEL,4,FALSE)),"")</f>
        <v/>
      </c>
      <c r="I335" s="94"/>
      <c r="J335" s="94"/>
      <c r="K335" s="94"/>
      <c r="L335" s="84"/>
      <c r="M335" s="84"/>
      <c r="N335" s="84"/>
      <c r="O335" s="84"/>
      <c r="P335" s="84"/>
      <c r="Q335" s="84"/>
      <c r="R335" s="84"/>
      <c r="S335" s="84"/>
      <c r="T335" s="84"/>
      <c r="U335" s="84"/>
      <c r="V335" s="84"/>
      <c r="W335" s="84"/>
      <c r="X335" s="84"/>
      <c r="Y335" s="84"/>
      <c r="Z335" s="84"/>
      <c r="AA335" s="84"/>
      <c r="AB335" s="84"/>
      <c r="AC335" s="84"/>
      <c r="AD335" s="84"/>
      <c r="AE335" s="84"/>
      <c r="AF335" s="84"/>
      <c r="AG335" s="84"/>
      <c r="AH335" s="84"/>
      <c r="AI335" s="84"/>
      <c r="AJ335" s="84"/>
      <c r="AK335" s="84"/>
      <c r="AL335" s="84"/>
      <c r="AM335" s="84"/>
      <c r="AN335" s="84"/>
      <c r="AO335" s="84"/>
      <c r="AP335" s="84"/>
      <c r="AQ335" s="84"/>
      <c r="AR335" s="84"/>
      <c r="AS335" s="84"/>
      <c r="AT335" s="84"/>
      <c r="AU335" s="84"/>
      <c r="AV335" s="84"/>
      <c r="AW335" s="84"/>
      <c r="AX335" s="87">
        <f t="array" ref="AX335">IF(G335=1,SUM((ROW(M0)=ROW(AW335))*(M0+M1_+M2_+M3_+M4_+M5_+M6_+M7_+M8_+M9_+M10_+M11_+M12_+M13_+M14_+M15_+M16_+M17_+M18_+M19_+M20_+M21_+M22_+M23_+M24_+M25_+M26_+M27_+M28_+M29_+M30_+M31_+M32_+M33_+M34_+M35_+M36_+M37_)),0)</f>
        <v>0</v>
      </c>
      <c r="AZ335" s="24" t="str">
        <f t="shared" si="85"/>
        <v/>
      </c>
      <c r="BA335" s="24" t="str">
        <f t="shared" si="86"/>
        <v/>
      </c>
      <c r="BB335" s="24" t="str">
        <f t="shared" si="87"/>
        <v/>
      </c>
      <c r="BC335" s="24" t="str">
        <f>IF(OR(E335="",LEFT(TableCosts[[#This Row],[Calc_N_Typ]],18)="Vynaložené náklady"),"",VLOOKUP(E335,Tab_Parts,2,0))</f>
        <v/>
      </c>
      <c r="BD335" s="24" t="str">
        <f t="shared" si="88"/>
        <v/>
      </c>
      <c r="BE335" s="24">
        <f t="shared" si="89"/>
        <v>0</v>
      </c>
      <c r="BF335" s="72">
        <f>TableCosts[[#This Row],[N_Amount]]*TableCosts[[#This Row],[N_Tariff]]*TableCosts[[#This Row],[N_ItemsCount]]</f>
        <v>0</v>
      </c>
      <c r="BG335" s="72">
        <f>IF(G335=1,IF(TableCosts[[#This Row],[N_Kateg]]="interné práce",TableCosts[[#This Row],[N_Amount]]*8*PAR_SGA_PERHOUR,0),0)</f>
        <v>0</v>
      </c>
      <c r="BH335" s="72">
        <f>SUM(TableCosts[[#This Row],[N_Direct]:[N_SGA]])</f>
        <v>0</v>
      </c>
      <c r="BI335" s="24">
        <f>IF(G335=1,IF(OR(AND(NOT(ISERROR(VLOOKUP(TableCosts[[#This Row],[Calc_N_Typ]],Cis_WorkPositions,1,0))),C335&lt;&gt;"",D335&lt;&gt;"",E335&lt;&gt;""),AND(ISERROR(VLOOKUP(TableCosts[[#This Row],[Calc_N_Typ]],Cis_WorkPositions,1,0)),C335="",D335="",E335&lt;&gt;""),LEFT(TableCosts[[#This Row],[Calc_N_Typ]],18)="Vynaložené náklady"),VLOOKUP(C335&amp;TableCosts[[#This Row],[Calc_N_Typ]],TRAN_STRITEMS_LABEL,VLOOKUP(D335,Tab_Hours,3,0),0),NA()),0)</f>
        <v>0</v>
      </c>
      <c r="BJ335" s="24">
        <f t="shared" si="90"/>
        <v>0</v>
      </c>
      <c r="BK335" s="24" t="str">
        <f t="shared" si="91"/>
        <v/>
      </c>
      <c r="BL335" s="24" t="str">
        <f t="shared" si="92"/>
        <v/>
      </c>
      <c r="BM335" s="24" t="str">
        <f>IF(G335=1,IF(TableCosts[[#This Row],[TransferFrom]]=TableCosts[[#This Row],[TranferTo]],0,1),"")</f>
        <v/>
      </c>
      <c r="BN335" s="24" t="str">
        <f t="shared" si="93"/>
        <v/>
      </c>
      <c r="BO335" s="24">
        <f t="shared" si="94"/>
        <v>0</v>
      </c>
      <c r="BP335" s="24">
        <f t="shared" si="95"/>
        <v>0</v>
      </c>
    </row>
    <row r="336" spans="2:68" s="24" customFormat="1" ht="12.75" x14ac:dyDescent="0.2">
      <c r="B336" s="97"/>
      <c r="C336" s="92"/>
      <c r="D336" s="92"/>
      <c r="E336" s="92"/>
      <c r="F336" s="31" t="str">
        <f>IF(G336=1,IF(ISERROR(TableCosts[[#This Row],[N_Tariff]]),Err_Message1,IF(TableCosts[[#This Row],[N_Tariff]]=0,Err_Message2,VLOOKUP(C336&amp;TableCosts[[#This Row],[Calc_N_Typ]],TRAN_STRITEMS_LABEL,5,FALSE))),"")</f>
        <v/>
      </c>
      <c r="G336" s="31">
        <f t="shared" si="84"/>
        <v>0</v>
      </c>
      <c r="H336" s="31" t="str">
        <f>IF(G336=1,IFERROR(VLOOKUP(F336,Tab_ErrMessage[],2,0),VLOOKUP(C336&amp;TableCosts[[#This Row],[Calc_N_Typ]],TRAN_STRITEMS_LABEL,4,FALSE)),"")</f>
        <v/>
      </c>
      <c r="I336" s="94"/>
      <c r="J336" s="94"/>
      <c r="K336" s="94"/>
      <c r="L336" s="84"/>
      <c r="M336" s="84"/>
      <c r="N336" s="84"/>
      <c r="O336" s="84"/>
      <c r="P336" s="84"/>
      <c r="Q336" s="84"/>
      <c r="R336" s="84"/>
      <c r="S336" s="84"/>
      <c r="T336" s="84"/>
      <c r="U336" s="84"/>
      <c r="V336" s="84"/>
      <c r="W336" s="84"/>
      <c r="X336" s="84"/>
      <c r="Y336" s="84"/>
      <c r="Z336" s="84"/>
      <c r="AA336" s="84"/>
      <c r="AB336" s="84"/>
      <c r="AC336" s="84"/>
      <c r="AD336" s="84"/>
      <c r="AE336" s="84"/>
      <c r="AF336" s="84"/>
      <c r="AG336" s="84"/>
      <c r="AH336" s="84"/>
      <c r="AI336" s="84"/>
      <c r="AJ336" s="84"/>
      <c r="AK336" s="84"/>
      <c r="AL336" s="84"/>
      <c r="AM336" s="84"/>
      <c r="AN336" s="84"/>
      <c r="AO336" s="84"/>
      <c r="AP336" s="84"/>
      <c r="AQ336" s="84"/>
      <c r="AR336" s="84"/>
      <c r="AS336" s="84"/>
      <c r="AT336" s="84"/>
      <c r="AU336" s="84"/>
      <c r="AV336" s="84"/>
      <c r="AW336" s="84"/>
      <c r="AX336" s="87">
        <f t="array" ref="AX336">IF(G336=1,SUM((ROW(M0)=ROW(AW336))*(M0+M1_+M2_+M3_+M4_+M5_+M6_+M7_+M8_+M9_+M10_+M11_+M12_+M13_+M14_+M15_+M16_+M17_+M18_+M19_+M20_+M21_+M22_+M23_+M24_+M25_+M26_+M27_+M28_+M29_+M30_+M31_+M32_+M33_+M34_+M35_+M36_+M37_)),0)</f>
        <v>0</v>
      </c>
      <c r="AZ336" s="24" t="str">
        <f t="shared" si="85"/>
        <v/>
      </c>
      <c r="BA336" s="24" t="str">
        <f t="shared" si="86"/>
        <v/>
      </c>
      <c r="BB336" s="24" t="str">
        <f t="shared" si="87"/>
        <v/>
      </c>
      <c r="BC336" s="24" t="str">
        <f>IF(OR(E336="",LEFT(TableCosts[[#This Row],[Calc_N_Typ]],18)="Vynaložené náklady"),"",VLOOKUP(E336,Tab_Parts,2,0))</f>
        <v/>
      </c>
      <c r="BD336" s="24" t="str">
        <f t="shared" si="88"/>
        <v/>
      </c>
      <c r="BE336" s="24">
        <f t="shared" si="89"/>
        <v>0</v>
      </c>
      <c r="BF336" s="72">
        <f>TableCosts[[#This Row],[N_Amount]]*TableCosts[[#This Row],[N_Tariff]]*TableCosts[[#This Row],[N_ItemsCount]]</f>
        <v>0</v>
      </c>
      <c r="BG336" s="72">
        <f>IF(G336=1,IF(TableCosts[[#This Row],[N_Kateg]]="interné práce",TableCosts[[#This Row],[N_Amount]]*8*PAR_SGA_PERHOUR,0),0)</f>
        <v>0</v>
      </c>
      <c r="BH336" s="72">
        <f>SUM(TableCosts[[#This Row],[N_Direct]:[N_SGA]])</f>
        <v>0</v>
      </c>
      <c r="BI336" s="24">
        <f>IF(G336=1,IF(OR(AND(NOT(ISERROR(VLOOKUP(TableCosts[[#This Row],[Calc_N_Typ]],Cis_WorkPositions,1,0))),C336&lt;&gt;"",D336&lt;&gt;"",E336&lt;&gt;""),AND(ISERROR(VLOOKUP(TableCosts[[#This Row],[Calc_N_Typ]],Cis_WorkPositions,1,0)),C336="",D336="",E336&lt;&gt;""),LEFT(TableCosts[[#This Row],[Calc_N_Typ]],18)="Vynaložené náklady"),VLOOKUP(C336&amp;TableCosts[[#This Row],[Calc_N_Typ]],TRAN_STRITEMS_LABEL,VLOOKUP(D336,Tab_Hours,3,0),0),NA()),0)</f>
        <v>0</v>
      </c>
      <c r="BJ336" s="24">
        <f t="shared" si="90"/>
        <v>0</v>
      </c>
      <c r="BK336" s="24" t="str">
        <f t="shared" si="91"/>
        <v/>
      </c>
      <c r="BL336" s="24" t="str">
        <f t="shared" si="92"/>
        <v/>
      </c>
      <c r="BM336" s="24" t="str">
        <f>IF(G336=1,IF(TableCosts[[#This Row],[TransferFrom]]=TableCosts[[#This Row],[TranferTo]],0,1),"")</f>
        <v/>
      </c>
      <c r="BN336" s="24" t="str">
        <f t="shared" si="93"/>
        <v/>
      </c>
      <c r="BO336" s="24">
        <f t="shared" si="94"/>
        <v>0</v>
      </c>
      <c r="BP336" s="24">
        <f t="shared" si="95"/>
        <v>0</v>
      </c>
    </row>
    <row r="337" spans="2:68" s="24" customFormat="1" ht="12.75" x14ac:dyDescent="0.2">
      <c r="B337" s="97"/>
      <c r="C337" s="92"/>
      <c r="D337" s="92"/>
      <c r="E337" s="92"/>
      <c r="F337" s="31" t="str">
        <f>IF(G337=1,IF(ISERROR(TableCosts[[#This Row],[N_Tariff]]),Err_Message1,IF(TableCosts[[#This Row],[N_Tariff]]=0,Err_Message2,VLOOKUP(C337&amp;TableCosts[[#This Row],[Calc_N_Typ]],TRAN_STRITEMS_LABEL,5,FALSE))),"")</f>
        <v/>
      </c>
      <c r="G337" s="31">
        <f t="shared" si="84"/>
        <v>0</v>
      </c>
      <c r="H337" s="31" t="str">
        <f>IF(G337=1,IFERROR(VLOOKUP(F337,Tab_ErrMessage[],2,0),VLOOKUP(C337&amp;TableCosts[[#This Row],[Calc_N_Typ]],TRAN_STRITEMS_LABEL,4,FALSE)),"")</f>
        <v/>
      </c>
      <c r="I337" s="94"/>
      <c r="J337" s="94"/>
      <c r="K337" s="94"/>
      <c r="L337" s="84"/>
      <c r="M337" s="84"/>
      <c r="N337" s="84"/>
      <c r="O337" s="84"/>
      <c r="P337" s="84"/>
      <c r="Q337" s="84"/>
      <c r="R337" s="84"/>
      <c r="S337" s="84"/>
      <c r="T337" s="84"/>
      <c r="U337" s="84"/>
      <c r="V337" s="84"/>
      <c r="W337" s="84"/>
      <c r="X337" s="84"/>
      <c r="Y337" s="84"/>
      <c r="Z337" s="84"/>
      <c r="AA337" s="84"/>
      <c r="AB337" s="84"/>
      <c r="AC337" s="84"/>
      <c r="AD337" s="84"/>
      <c r="AE337" s="84"/>
      <c r="AF337" s="84"/>
      <c r="AG337" s="84"/>
      <c r="AH337" s="84"/>
      <c r="AI337" s="84"/>
      <c r="AJ337" s="84"/>
      <c r="AK337" s="84"/>
      <c r="AL337" s="84"/>
      <c r="AM337" s="84"/>
      <c r="AN337" s="84"/>
      <c r="AO337" s="84"/>
      <c r="AP337" s="84"/>
      <c r="AQ337" s="84"/>
      <c r="AR337" s="84"/>
      <c r="AS337" s="84"/>
      <c r="AT337" s="84"/>
      <c r="AU337" s="84"/>
      <c r="AV337" s="84"/>
      <c r="AW337" s="84"/>
      <c r="AX337" s="87">
        <f t="array" ref="AX337">IF(G337=1,SUM((ROW(M0)=ROW(AW337))*(M0+M1_+M2_+M3_+M4_+M5_+M6_+M7_+M8_+M9_+M10_+M11_+M12_+M13_+M14_+M15_+M16_+M17_+M18_+M19_+M20_+M21_+M22_+M23_+M24_+M25_+M26_+M27_+M28_+M29_+M30_+M31_+M32_+M33_+M34_+M35_+M36_+M37_)),0)</f>
        <v>0</v>
      </c>
      <c r="AZ337" s="24" t="str">
        <f t="shared" si="85"/>
        <v/>
      </c>
      <c r="BA337" s="24" t="str">
        <f t="shared" si="86"/>
        <v/>
      </c>
      <c r="BB337" s="24" t="str">
        <f t="shared" si="87"/>
        <v/>
      </c>
      <c r="BC337" s="24" t="str">
        <f>IF(OR(E337="",LEFT(TableCosts[[#This Row],[Calc_N_Typ]],18)="Vynaložené náklady"),"",VLOOKUP(E337,Tab_Parts,2,0))</f>
        <v/>
      </c>
      <c r="BD337" s="24" t="str">
        <f t="shared" si="88"/>
        <v/>
      </c>
      <c r="BE337" s="24">
        <f t="shared" si="89"/>
        <v>0</v>
      </c>
      <c r="BF337" s="72">
        <f>TableCosts[[#This Row],[N_Amount]]*TableCosts[[#This Row],[N_Tariff]]*TableCosts[[#This Row],[N_ItemsCount]]</f>
        <v>0</v>
      </c>
      <c r="BG337" s="72">
        <f>IF(G337=1,IF(TableCosts[[#This Row],[N_Kateg]]="interné práce",TableCosts[[#This Row],[N_Amount]]*8*PAR_SGA_PERHOUR,0),0)</f>
        <v>0</v>
      </c>
      <c r="BH337" s="72">
        <f>SUM(TableCosts[[#This Row],[N_Direct]:[N_SGA]])</f>
        <v>0</v>
      </c>
      <c r="BI337" s="24">
        <f>IF(G337=1,IF(OR(AND(NOT(ISERROR(VLOOKUP(TableCosts[[#This Row],[Calc_N_Typ]],Cis_WorkPositions,1,0))),C337&lt;&gt;"",D337&lt;&gt;"",E337&lt;&gt;""),AND(ISERROR(VLOOKUP(TableCosts[[#This Row],[Calc_N_Typ]],Cis_WorkPositions,1,0)),C337="",D337="",E337&lt;&gt;""),LEFT(TableCosts[[#This Row],[Calc_N_Typ]],18)="Vynaložené náklady"),VLOOKUP(C337&amp;TableCosts[[#This Row],[Calc_N_Typ]],TRAN_STRITEMS_LABEL,VLOOKUP(D337,Tab_Hours,3,0),0),NA()),0)</f>
        <v>0</v>
      </c>
      <c r="BJ337" s="24">
        <f t="shared" si="90"/>
        <v>0</v>
      </c>
      <c r="BK337" s="24" t="str">
        <f t="shared" si="91"/>
        <v/>
      </c>
      <c r="BL337" s="24" t="str">
        <f t="shared" si="92"/>
        <v/>
      </c>
      <c r="BM337" s="24" t="str">
        <f>IF(G337=1,IF(TableCosts[[#This Row],[TransferFrom]]=TableCosts[[#This Row],[TranferTo]],0,1),"")</f>
        <v/>
      </c>
      <c r="BN337" s="24" t="str">
        <f t="shared" si="93"/>
        <v/>
      </c>
      <c r="BO337" s="24">
        <f t="shared" si="94"/>
        <v>0</v>
      </c>
      <c r="BP337" s="24">
        <f t="shared" si="95"/>
        <v>0</v>
      </c>
    </row>
    <row r="338" spans="2:68" s="24" customFormat="1" ht="12.75" x14ac:dyDescent="0.2">
      <c r="B338" s="97"/>
      <c r="C338" s="92"/>
      <c r="D338" s="92"/>
      <c r="E338" s="92"/>
      <c r="F338" s="31" t="str">
        <f>IF(G338=1,IF(ISERROR(TableCosts[[#This Row],[N_Tariff]]),Err_Message1,IF(TableCosts[[#This Row],[N_Tariff]]=0,Err_Message2,VLOOKUP(C338&amp;TableCosts[[#This Row],[Calc_N_Typ]],TRAN_STRITEMS_LABEL,5,FALSE))),"")</f>
        <v/>
      </c>
      <c r="G338" s="31">
        <f t="shared" si="84"/>
        <v>0</v>
      </c>
      <c r="H338" s="31" t="str">
        <f>IF(G338=1,IFERROR(VLOOKUP(F338,Tab_ErrMessage[],2,0),VLOOKUP(C338&amp;TableCosts[[#This Row],[Calc_N_Typ]],TRAN_STRITEMS_LABEL,4,FALSE)),"")</f>
        <v/>
      </c>
      <c r="I338" s="94"/>
      <c r="J338" s="94"/>
      <c r="K338" s="94"/>
      <c r="L338" s="84"/>
      <c r="M338" s="84"/>
      <c r="N338" s="84"/>
      <c r="O338" s="84"/>
      <c r="P338" s="84"/>
      <c r="Q338" s="84"/>
      <c r="R338" s="84"/>
      <c r="S338" s="84"/>
      <c r="T338" s="84"/>
      <c r="U338" s="84"/>
      <c r="V338" s="84"/>
      <c r="W338" s="84"/>
      <c r="X338" s="84"/>
      <c r="Y338" s="84"/>
      <c r="Z338" s="84"/>
      <c r="AA338" s="84"/>
      <c r="AB338" s="84"/>
      <c r="AC338" s="84"/>
      <c r="AD338" s="84"/>
      <c r="AE338" s="84"/>
      <c r="AF338" s="84"/>
      <c r="AG338" s="84"/>
      <c r="AH338" s="84"/>
      <c r="AI338" s="84"/>
      <c r="AJ338" s="84"/>
      <c r="AK338" s="84"/>
      <c r="AL338" s="84"/>
      <c r="AM338" s="84"/>
      <c r="AN338" s="84"/>
      <c r="AO338" s="84"/>
      <c r="AP338" s="84"/>
      <c r="AQ338" s="84"/>
      <c r="AR338" s="84"/>
      <c r="AS338" s="84"/>
      <c r="AT338" s="84"/>
      <c r="AU338" s="84"/>
      <c r="AV338" s="84"/>
      <c r="AW338" s="84"/>
      <c r="AX338" s="87">
        <f t="array" ref="AX338">IF(G338=1,SUM((ROW(M0)=ROW(AW338))*(M0+M1_+M2_+M3_+M4_+M5_+M6_+M7_+M8_+M9_+M10_+M11_+M12_+M13_+M14_+M15_+M16_+M17_+M18_+M19_+M20_+M21_+M22_+M23_+M24_+M25_+M26_+M27_+M28_+M29_+M30_+M31_+M32_+M33_+M34_+M35_+M36_+M37_)),0)</f>
        <v>0</v>
      </c>
      <c r="AZ338" s="24" t="str">
        <f t="shared" si="85"/>
        <v/>
      </c>
      <c r="BA338" s="24" t="str">
        <f t="shared" si="86"/>
        <v/>
      </c>
      <c r="BB338" s="24" t="str">
        <f t="shared" si="87"/>
        <v/>
      </c>
      <c r="BC338" s="24" t="str">
        <f>IF(OR(E338="",LEFT(TableCosts[[#This Row],[Calc_N_Typ]],18)="Vynaložené náklady"),"",VLOOKUP(E338,Tab_Parts,2,0))</f>
        <v/>
      </c>
      <c r="BD338" s="24" t="str">
        <f t="shared" si="88"/>
        <v/>
      </c>
      <c r="BE338" s="24">
        <f t="shared" si="89"/>
        <v>0</v>
      </c>
      <c r="BF338" s="72">
        <f>TableCosts[[#This Row],[N_Amount]]*TableCosts[[#This Row],[N_Tariff]]*TableCosts[[#This Row],[N_ItemsCount]]</f>
        <v>0</v>
      </c>
      <c r="BG338" s="72">
        <f>IF(G338=1,IF(TableCosts[[#This Row],[N_Kateg]]="interné práce",TableCosts[[#This Row],[N_Amount]]*8*PAR_SGA_PERHOUR,0),0)</f>
        <v>0</v>
      </c>
      <c r="BH338" s="72">
        <f>SUM(TableCosts[[#This Row],[N_Direct]:[N_SGA]])</f>
        <v>0</v>
      </c>
      <c r="BI338" s="24">
        <f>IF(G338=1,IF(OR(AND(NOT(ISERROR(VLOOKUP(TableCosts[[#This Row],[Calc_N_Typ]],Cis_WorkPositions,1,0))),C338&lt;&gt;"",D338&lt;&gt;"",E338&lt;&gt;""),AND(ISERROR(VLOOKUP(TableCosts[[#This Row],[Calc_N_Typ]],Cis_WorkPositions,1,0)),C338="",D338="",E338&lt;&gt;""),LEFT(TableCosts[[#This Row],[Calc_N_Typ]],18)="Vynaložené náklady"),VLOOKUP(C338&amp;TableCosts[[#This Row],[Calc_N_Typ]],TRAN_STRITEMS_LABEL,VLOOKUP(D338,Tab_Hours,3,0),0),NA()),0)</f>
        <v>0</v>
      </c>
      <c r="BJ338" s="24">
        <f t="shared" si="90"/>
        <v>0</v>
      </c>
      <c r="BK338" s="24" t="str">
        <f t="shared" si="91"/>
        <v/>
      </c>
      <c r="BL338" s="24" t="str">
        <f t="shared" si="92"/>
        <v/>
      </c>
      <c r="BM338" s="24" t="str">
        <f>IF(G338=1,IF(TableCosts[[#This Row],[TransferFrom]]=TableCosts[[#This Row],[TranferTo]],0,1),"")</f>
        <v/>
      </c>
      <c r="BN338" s="24" t="str">
        <f t="shared" si="93"/>
        <v/>
      </c>
      <c r="BO338" s="24">
        <f t="shared" si="94"/>
        <v>0</v>
      </c>
      <c r="BP338" s="24">
        <f t="shared" si="95"/>
        <v>0</v>
      </c>
    </row>
    <row r="339" spans="2:68" s="24" customFormat="1" ht="12.75" x14ac:dyDescent="0.2">
      <c r="B339" s="97"/>
      <c r="C339" s="92"/>
      <c r="D339" s="92"/>
      <c r="E339" s="92"/>
      <c r="F339" s="31" t="str">
        <f>IF(G339=1,IF(ISERROR(TableCosts[[#This Row],[N_Tariff]]),Err_Message1,IF(TableCosts[[#This Row],[N_Tariff]]=0,Err_Message2,VLOOKUP(C339&amp;TableCosts[[#This Row],[Calc_N_Typ]],TRAN_STRITEMS_LABEL,5,FALSE))),"")</f>
        <v/>
      </c>
      <c r="G339" s="31">
        <f t="shared" si="84"/>
        <v>0</v>
      </c>
      <c r="H339" s="31" t="str">
        <f>IF(G339=1,IFERROR(VLOOKUP(F339,Tab_ErrMessage[],2,0),VLOOKUP(C339&amp;TableCosts[[#This Row],[Calc_N_Typ]],TRAN_STRITEMS_LABEL,4,FALSE)),"")</f>
        <v/>
      </c>
      <c r="I339" s="94"/>
      <c r="J339" s="94"/>
      <c r="K339" s="94"/>
      <c r="L339" s="84"/>
      <c r="M339" s="84"/>
      <c r="N339" s="84"/>
      <c r="O339" s="84"/>
      <c r="P339" s="84"/>
      <c r="Q339" s="84"/>
      <c r="R339" s="84"/>
      <c r="S339" s="84"/>
      <c r="T339" s="84"/>
      <c r="U339" s="84"/>
      <c r="V339" s="84"/>
      <c r="W339" s="84"/>
      <c r="X339" s="84"/>
      <c r="Y339" s="84"/>
      <c r="Z339" s="84"/>
      <c r="AA339" s="84"/>
      <c r="AB339" s="84"/>
      <c r="AC339" s="84"/>
      <c r="AD339" s="84"/>
      <c r="AE339" s="84"/>
      <c r="AF339" s="84"/>
      <c r="AG339" s="84"/>
      <c r="AH339" s="84"/>
      <c r="AI339" s="84"/>
      <c r="AJ339" s="84"/>
      <c r="AK339" s="84"/>
      <c r="AL339" s="84"/>
      <c r="AM339" s="84"/>
      <c r="AN339" s="84"/>
      <c r="AO339" s="84"/>
      <c r="AP339" s="84"/>
      <c r="AQ339" s="84"/>
      <c r="AR339" s="84"/>
      <c r="AS339" s="84"/>
      <c r="AT339" s="84"/>
      <c r="AU339" s="84"/>
      <c r="AV339" s="84"/>
      <c r="AW339" s="84"/>
      <c r="AX339" s="87">
        <f t="array" ref="AX339">IF(G339=1,SUM((ROW(M0)=ROW(AW339))*(M0+M1_+M2_+M3_+M4_+M5_+M6_+M7_+M8_+M9_+M10_+M11_+M12_+M13_+M14_+M15_+M16_+M17_+M18_+M19_+M20_+M21_+M22_+M23_+M24_+M25_+M26_+M27_+M28_+M29_+M30_+M31_+M32_+M33_+M34_+M35_+M36_+M37_)),0)</f>
        <v>0</v>
      </c>
      <c r="AZ339" s="24" t="str">
        <f t="shared" si="85"/>
        <v/>
      </c>
      <c r="BA339" s="24" t="str">
        <f t="shared" si="86"/>
        <v/>
      </c>
      <c r="BB339" s="24" t="str">
        <f t="shared" si="87"/>
        <v/>
      </c>
      <c r="BC339" s="24" t="str">
        <f>IF(OR(E339="",LEFT(TableCosts[[#This Row],[Calc_N_Typ]],18)="Vynaložené náklady"),"",VLOOKUP(E339,Tab_Parts,2,0))</f>
        <v/>
      </c>
      <c r="BD339" s="24" t="str">
        <f t="shared" si="88"/>
        <v/>
      </c>
      <c r="BE339" s="24">
        <f t="shared" si="89"/>
        <v>0</v>
      </c>
      <c r="BF339" s="72">
        <f>TableCosts[[#This Row],[N_Amount]]*TableCosts[[#This Row],[N_Tariff]]*TableCosts[[#This Row],[N_ItemsCount]]</f>
        <v>0</v>
      </c>
      <c r="BG339" s="72">
        <f>IF(G339=1,IF(TableCosts[[#This Row],[N_Kateg]]="interné práce",TableCosts[[#This Row],[N_Amount]]*8*PAR_SGA_PERHOUR,0),0)</f>
        <v>0</v>
      </c>
      <c r="BH339" s="72">
        <f>SUM(TableCosts[[#This Row],[N_Direct]:[N_SGA]])</f>
        <v>0</v>
      </c>
      <c r="BI339" s="24">
        <f>IF(G339=1,IF(OR(AND(NOT(ISERROR(VLOOKUP(TableCosts[[#This Row],[Calc_N_Typ]],Cis_WorkPositions,1,0))),C339&lt;&gt;"",D339&lt;&gt;"",E339&lt;&gt;""),AND(ISERROR(VLOOKUP(TableCosts[[#This Row],[Calc_N_Typ]],Cis_WorkPositions,1,0)),C339="",D339="",E339&lt;&gt;""),LEFT(TableCosts[[#This Row],[Calc_N_Typ]],18)="Vynaložené náklady"),VLOOKUP(C339&amp;TableCosts[[#This Row],[Calc_N_Typ]],TRAN_STRITEMS_LABEL,VLOOKUP(D339,Tab_Hours,3,0),0),NA()),0)</f>
        <v>0</v>
      </c>
      <c r="BJ339" s="24">
        <f t="shared" si="90"/>
        <v>0</v>
      </c>
      <c r="BK339" s="24" t="str">
        <f t="shared" si="91"/>
        <v/>
      </c>
      <c r="BL339" s="24" t="str">
        <f t="shared" si="92"/>
        <v/>
      </c>
      <c r="BM339" s="24" t="str">
        <f>IF(G339=1,IF(TableCosts[[#This Row],[TransferFrom]]=TableCosts[[#This Row],[TranferTo]],0,1),"")</f>
        <v/>
      </c>
      <c r="BN339" s="24" t="str">
        <f t="shared" si="93"/>
        <v/>
      </c>
      <c r="BO339" s="24">
        <f t="shared" si="94"/>
        <v>0</v>
      </c>
      <c r="BP339" s="24">
        <f t="shared" si="95"/>
        <v>0</v>
      </c>
    </row>
    <row r="340" spans="2:68" s="24" customFormat="1" ht="12.75" x14ac:dyDescent="0.2">
      <c r="B340" s="97"/>
      <c r="C340" s="92"/>
      <c r="D340" s="92"/>
      <c r="E340" s="92"/>
      <c r="F340" s="31" t="str">
        <f>IF(G340=1,IF(ISERROR(TableCosts[[#This Row],[N_Tariff]]),Err_Message1,IF(TableCosts[[#This Row],[N_Tariff]]=0,Err_Message2,VLOOKUP(C340&amp;TableCosts[[#This Row],[Calc_N_Typ]],TRAN_STRITEMS_LABEL,5,FALSE))),"")</f>
        <v/>
      </c>
      <c r="G340" s="31">
        <f t="shared" si="84"/>
        <v>0</v>
      </c>
      <c r="H340" s="31" t="str">
        <f>IF(G340=1,IFERROR(VLOOKUP(F340,Tab_ErrMessage[],2,0),VLOOKUP(C340&amp;TableCosts[[#This Row],[Calc_N_Typ]],TRAN_STRITEMS_LABEL,4,FALSE)),"")</f>
        <v/>
      </c>
      <c r="I340" s="94"/>
      <c r="J340" s="94"/>
      <c r="K340" s="94"/>
      <c r="L340" s="84"/>
      <c r="M340" s="84"/>
      <c r="N340" s="84"/>
      <c r="O340" s="84"/>
      <c r="P340" s="84"/>
      <c r="Q340" s="84"/>
      <c r="R340" s="84"/>
      <c r="S340" s="84"/>
      <c r="T340" s="84"/>
      <c r="U340" s="84"/>
      <c r="V340" s="84"/>
      <c r="W340" s="84"/>
      <c r="X340" s="84"/>
      <c r="Y340" s="84"/>
      <c r="Z340" s="84"/>
      <c r="AA340" s="84"/>
      <c r="AB340" s="84"/>
      <c r="AC340" s="84"/>
      <c r="AD340" s="84"/>
      <c r="AE340" s="84"/>
      <c r="AF340" s="84"/>
      <c r="AG340" s="84"/>
      <c r="AH340" s="84"/>
      <c r="AI340" s="84"/>
      <c r="AJ340" s="84"/>
      <c r="AK340" s="84"/>
      <c r="AL340" s="84"/>
      <c r="AM340" s="84"/>
      <c r="AN340" s="84"/>
      <c r="AO340" s="84"/>
      <c r="AP340" s="84"/>
      <c r="AQ340" s="84"/>
      <c r="AR340" s="84"/>
      <c r="AS340" s="84"/>
      <c r="AT340" s="84"/>
      <c r="AU340" s="84"/>
      <c r="AV340" s="84"/>
      <c r="AW340" s="84"/>
      <c r="AX340" s="87">
        <f t="array" ref="AX340">IF(G340=1,SUM((ROW(M0)=ROW(AW340))*(M0+M1_+M2_+M3_+M4_+M5_+M6_+M7_+M8_+M9_+M10_+M11_+M12_+M13_+M14_+M15_+M16_+M17_+M18_+M19_+M20_+M21_+M22_+M23_+M24_+M25_+M26_+M27_+M28_+M29_+M30_+M31_+M32_+M33_+M34_+M35_+M36_+M37_)),0)</f>
        <v>0</v>
      </c>
      <c r="AZ340" s="24" t="str">
        <f t="shared" si="85"/>
        <v/>
      </c>
      <c r="BA340" s="24" t="str">
        <f t="shared" si="86"/>
        <v/>
      </c>
      <c r="BB340" s="24" t="str">
        <f t="shared" si="87"/>
        <v/>
      </c>
      <c r="BC340" s="24" t="str">
        <f>IF(OR(E340="",LEFT(TableCosts[[#This Row],[Calc_N_Typ]],18)="Vynaložené náklady"),"",VLOOKUP(E340,Tab_Parts,2,0))</f>
        <v/>
      </c>
      <c r="BD340" s="24" t="str">
        <f t="shared" si="88"/>
        <v/>
      </c>
      <c r="BE340" s="24">
        <f t="shared" si="89"/>
        <v>0</v>
      </c>
      <c r="BF340" s="72">
        <f>TableCosts[[#This Row],[N_Amount]]*TableCosts[[#This Row],[N_Tariff]]*TableCosts[[#This Row],[N_ItemsCount]]</f>
        <v>0</v>
      </c>
      <c r="BG340" s="72">
        <f>IF(G340=1,IF(TableCosts[[#This Row],[N_Kateg]]="interné práce",TableCosts[[#This Row],[N_Amount]]*8*PAR_SGA_PERHOUR,0),0)</f>
        <v>0</v>
      </c>
      <c r="BH340" s="72">
        <f>SUM(TableCosts[[#This Row],[N_Direct]:[N_SGA]])</f>
        <v>0</v>
      </c>
      <c r="BI340" s="24">
        <f>IF(G340=1,IF(OR(AND(NOT(ISERROR(VLOOKUP(TableCosts[[#This Row],[Calc_N_Typ]],Cis_WorkPositions,1,0))),C340&lt;&gt;"",D340&lt;&gt;"",E340&lt;&gt;""),AND(ISERROR(VLOOKUP(TableCosts[[#This Row],[Calc_N_Typ]],Cis_WorkPositions,1,0)),C340="",D340="",E340&lt;&gt;""),LEFT(TableCosts[[#This Row],[Calc_N_Typ]],18)="Vynaložené náklady"),VLOOKUP(C340&amp;TableCosts[[#This Row],[Calc_N_Typ]],TRAN_STRITEMS_LABEL,VLOOKUP(D340,Tab_Hours,3,0),0),NA()),0)</f>
        <v>0</v>
      </c>
      <c r="BJ340" s="24">
        <f t="shared" si="90"/>
        <v>0</v>
      </c>
      <c r="BK340" s="24" t="str">
        <f t="shared" si="91"/>
        <v/>
      </c>
      <c r="BL340" s="24" t="str">
        <f t="shared" si="92"/>
        <v/>
      </c>
      <c r="BM340" s="24" t="str">
        <f>IF(G340=1,IF(TableCosts[[#This Row],[TransferFrom]]=TableCosts[[#This Row],[TranferTo]],0,1),"")</f>
        <v/>
      </c>
      <c r="BN340" s="24" t="str">
        <f t="shared" si="93"/>
        <v/>
      </c>
      <c r="BO340" s="24">
        <f t="shared" si="94"/>
        <v>0</v>
      </c>
      <c r="BP340" s="24">
        <f t="shared" si="95"/>
        <v>0</v>
      </c>
    </row>
    <row r="341" spans="2:68" s="24" customFormat="1" ht="12.75" x14ac:dyDescent="0.2">
      <c r="B341" s="97"/>
      <c r="C341" s="92"/>
      <c r="D341" s="92"/>
      <c r="E341" s="92"/>
      <c r="F341" s="31" t="str">
        <f>IF(G341=1,IF(ISERROR(TableCosts[[#This Row],[N_Tariff]]),Err_Message1,IF(TableCosts[[#This Row],[N_Tariff]]=0,Err_Message2,VLOOKUP(C341&amp;TableCosts[[#This Row],[Calc_N_Typ]],TRAN_STRITEMS_LABEL,5,FALSE))),"")</f>
        <v/>
      </c>
      <c r="G341" s="31">
        <f t="shared" si="84"/>
        <v>0</v>
      </c>
      <c r="H341" s="31" t="str">
        <f>IF(G341=1,IFERROR(VLOOKUP(F341,Tab_ErrMessage[],2,0),VLOOKUP(C341&amp;TableCosts[[#This Row],[Calc_N_Typ]],TRAN_STRITEMS_LABEL,4,FALSE)),"")</f>
        <v/>
      </c>
      <c r="I341" s="94"/>
      <c r="J341" s="94"/>
      <c r="K341" s="94"/>
      <c r="L341" s="84"/>
      <c r="M341" s="84"/>
      <c r="N341" s="84"/>
      <c r="O341" s="84"/>
      <c r="P341" s="84"/>
      <c r="Q341" s="84"/>
      <c r="R341" s="84"/>
      <c r="S341" s="84"/>
      <c r="T341" s="84"/>
      <c r="U341" s="84"/>
      <c r="V341" s="84"/>
      <c r="W341" s="84"/>
      <c r="X341" s="84"/>
      <c r="Y341" s="84"/>
      <c r="Z341" s="84"/>
      <c r="AA341" s="84"/>
      <c r="AB341" s="84"/>
      <c r="AC341" s="84"/>
      <c r="AD341" s="84"/>
      <c r="AE341" s="84"/>
      <c r="AF341" s="84"/>
      <c r="AG341" s="84"/>
      <c r="AH341" s="84"/>
      <c r="AI341" s="84"/>
      <c r="AJ341" s="84"/>
      <c r="AK341" s="84"/>
      <c r="AL341" s="84"/>
      <c r="AM341" s="84"/>
      <c r="AN341" s="84"/>
      <c r="AO341" s="84"/>
      <c r="AP341" s="84"/>
      <c r="AQ341" s="84"/>
      <c r="AR341" s="84"/>
      <c r="AS341" s="84"/>
      <c r="AT341" s="84"/>
      <c r="AU341" s="84"/>
      <c r="AV341" s="84"/>
      <c r="AW341" s="84"/>
      <c r="AX341" s="87">
        <f t="array" ref="AX341">IF(G341=1,SUM((ROW(M0)=ROW(AW341))*(M0+M1_+M2_+M3_+M4_+M5_+M6_+M7_+M8_+M9_+M10_+M11_+M12_+M13_+M14_+M15_+M16_+M17_+M18_+M19_+M20_+M21_+M22_+M23_+M24_+M25_+M26_+M27_+M28_+M29_+M30_+M31_+M32_+M33_+M34_+M35_+M36_+M37_)),0)</f>
        <v>0</v>
      </c>
      <c r="AZ341" s="24" t="str">
        <f t="shared" si="85"/>
        <v/>
      </c>
      <c r="BA341" s="24" t="str">
        <f t="shared" si="86"/>
        <v/>
      </c>
      <c r="BB341" s="24" t="str">
        <f t="shared" si="87"/>
        <v/>
      </c>
      <c r="BC341" s="24" t="str">
        <f>IF(OR(E341="",LEFT(TableCosts[[#This Row],[Calc_N_Typ]],18)="Vynaložené náklady"),"",VLOOKUP(E341,Tab_Parts,2,0))</f>
        <v/>
      </c>
      <c r="BD341" s="24" t="str">
        <f t="shared" si="88"/>
        <v/>
      </c>
      <c r="BE341" s="24">
        <f t="shared" si="89"/>
        <v>0</v>
      </c>
      <c r="BF341" s="72">
        <f>TableCosts[[#This Row],[N_Amount]]*TableCosts[[#This Row],[N_Tariff]]*TableCosts[[#This Row],[N_ItemsCount]]</f>
        <v>0</v>
      </c>
      <c r="BG341" s="72">
        <f>IF(G341=1,IF(TableCosts[[#This Row],[N_Kateg]]="interné práce",TableCosts[[#This Row],[N_Amount]]*8*PAR_SGA_PERHOUR,0),0)</f>
        <v>0</v>
      </c>
      <c r="BH341" s="72">
        <f>SUM(TableCosts[[#This Row],[N_Direct]:[N_SGA]])</f>
        <v>0</v>
      </c>
      <c r="BI341" s="24">
        <f>IF(G341=1,IF(OR(AND(NOT(ISERROR(VLOOKUP(TableCosts[[#This Row],[Calc_N_Typ]],Cis_WorkPositions,1,0))),C341&lt;&gt;"",D341&lt;&gt;"",E341&lt;&gt;""),AND(ISERROR(VLOOKUP(TableCosts[[#This Row],[Calc_N_Typ]],Cis_WorkPositions,1,0)),C341="",D341="",E341&lt;&gt;""),LEFT(TableCosts[[#This Row],[Calc_N_Typ]],18)="Vynaložené náklady"),VLOOKUP(C341&amp;TableCosts[[#This Row],[Calc_N_Typ]],TRAN_STRITEMS_LABEL,VLOOKUP(D341,Tab_Hours,3,0),0),NA()),0)</f>
        <v>0</v>
      </c>
      <c r="BJ341" s="24">
        <f t="shared" si="90"/>
        <v>0</v>
      </c>
      <c r="BK341" s="24" t="str">
        <f t="shared" si="91"/>
        <v/>
      </c>
      <c r="BL341" s="24" t="str">
        <f t="shared" si="92"/>
        <v/>
      </c>
      <c r="BM341" s="24" t="str">
        <f>IF(G341=1,IF(TableCosts[[#This Row],[TransferFrom]]=TableCosts[[#This Row],[TranferTo]],0,1),"")</f>
        <v/>
      </c>
      <c r="BN341" s="24" t="str">
        <f t="shared" si="93"/>
        <v/>
      </c>
      <c r="BO341" s="24">
        <f t="shared" si="94"/>
        <v>0</v>
      </c>
      <c r="BP341" s="24">
        <f t="shared" si="95"/>
        <v>0</v>
      </c>
    </row>
    <row r="342" spans="2:68" s="24" customFormat="1" ht="12.75" x14ac:dyDescent="0.2">
      <c r="B342" s="97"/>
      <c r="C342" s="92"/>
      <c r="D342" s="92"/>
      <c r="E342" s="92"/>
      <c r="F342" s="31" t="str">
        <f>IF(G342=1,IF(ISERROR(TableCosts[[#This Row],[N_Tariff]]),Err_Message1,IF(TableCosts[[#This Row],[N_Tariff]]=0,Err_Message2,VLOOKUP(C342&amp;TableCosts[[#This Row],[Calc_N_Typ]],TRAN_STRITEMS_LABEL,5,FALSE))),"")</f>
        <v/>
      </c>
      <c r="G342" s="31">
        <f t="shared" si="84"/>
        <v>0</v>
      </c>
      <c r="H342" s="31" t="str">
        <f>IF(G342=1,IFERROR(VLOOKUP(F342,Tab_ErrMessage[],2,0),VLOOKUP(C342&amp;TableCosts[[#This Row],[Calc_N_Typ]],TRAN_STRITEMS_LABEL,4,FALSE)),"")</f>
        <v/>
      </c>
      <c r="I342" s="94"/>
      <c r="J342" s="94"/>
      <c r="K342" s="94"/>
      <c r="L342" s="84"/>
      <c r="M342" s="84"/>
      <c r="N342" s="84"/>
      <c r="O342" s="84"/>
      <c r="P342" s="84"/>
      <c r="Q342" s="84"/>
      <c r="R342" s="84"/>
      <c r="S342" s="84"/>
      <c r="T342" s="84"/>
      <c r="U342" s="84"/>
      <c r="V342" s="84"/>
      <c r="W342" s="84"/>
      <c r="X342" s="84"/>
      <c r="Y342" s="84"/>
      <c r="Z342" s="84"/>
      <c r="AA342" s="84"/>
      <c r="AB342" s="84"/>
      <c r="AC342" s="84"/>
      <c r="AD342" s="84"/>
      <c r="AE342" s="84"/>
      <c r="AF342" s="84"/>
      <c r="AG342" s="84"/>
      <c r="AH342" s="84"/>
      <c r="AI342" s="84"/>
      <c r="AJ342" s="84"/>
      <c r="AK342" s="84"/>
      <c r="AL342" s="84"/>
      <c r="AM342" s="84"/>
      <c r="AN342" s="84"/>
      <c r="AO342" s="84"/>
      <c r="AP342" s="84"/>
      <c r="AQ342" s="84"/>
      <c r="AR342" s="84"/>
      <c r="AS342" s="84"/>
      <c r="AT342" s="84"/>
      <c r="AU342" s="84"/>
      <c r="AV342" s="84"/>
      <c r="AW342" s="84"/>
      <c r="AX342" s="87">
        <f t="array" ref="AX342">IF(G342=1,SUM((ROW(M0)=ROW(AW342))*(M0+M1_+M2_+M3_+M4_+M5_+M6_+M7_+M8_+M9_+M10_+M11_+M12_+M13_+M14_+M15_+M16_+M17_+M18_+M19_+M20_+M21_+M22_+M23_+M24_+M25_+M26_+M27_+M28_+M29_+M30_+M31_+M32_+M33_+M34_+M35_+M36_+M37_)),0)</f>
        <v>0</v>
      </c>
      <c r="AZ342" s="24" t="str">
        <f t="shared" si="85"/>
        <v/>
      </c>
      <c r="BA342" s="24" t="str">
        <f t="shared" si="86"/>
        <v/>
      </c>
      <c r="BB342" s="24" t="str">
        <f t="shared" si="87"/>
        <v/>
      </c>
      <c r="BC342" s="24" t="str">
        <f>IF(OR(E342="",LEFT(TableCosts[[#This Row],[Calc_N_Typ]],18)="Vynaložené náklady"),"",VLOOKUP(E342,Tab_Parts,2,0))</f>
        <v/>
      </c>
      <c r="BD342" s="24" t="str">
        <f t="shared" si="88"/>
        <v/>
      </c>
      <c r="BE342" s="24">
        <f t="shared" si="89"/>
        <v>0</v>
      </c>
      <c r="BF342" s="72">
        <f>TableCosts[[#This Row],[N_Amount]]*TableCosts[[#This Row],[N_Tariff]]*TableCosts[[#This Row],[N_ItemsCount]]</f>
        <v>0</v>
      </c>
      <c r="BG342" s="72">
        <f>IF(G342=1,IF(TableCosts[[#This Row],[N_Kateg]]="interné práce",TableCosts[[#This Row],[N_Amount]]*8*PAR_SGA_PERHOUR,0),0)</f>
        <v>0</v>
      </c>
      <c r="BH342" s="72">
        <f>SUM(TableCosts[[#This Row],[N_Direct]:[N_SGA]])</f>
        <v>0</v>
      </c>
      <c r="BI342" s="24">
        <f>IF(G342=1,IF(OR(AND(NOT(ISERROR(VLOOKUP(TableCosts[[#This Row],[Calc_N_Typ]],Cis_WorkPositions,1,0))),C342&lt;&gt;"",D342&lt;&gt;"",E342&lt;&gt;""),AND(ISERROR(VLOOKUP(TableCosts[[#This Row],[Calc_N_Typ]],Cis_WorkPositions,1,0)),C342="",D342="",E342&lt;&gt;""),LEFT(TableCosts[[#This Row],[Calc_N_Typ]],18)="Vynaložené náklady"),VLOOKUP(C342&amp;TableCosts[[#This Row],[Calc_N_Typ]],TRAN_STRITEMS_LABEL,VLOOKUP(D342,Tab_Hours,3,0),0),NA()),0)</f>
        <v>0</v>
      </c>
      <c r="BJ342" s="24">
        <f t="shared" si="90"/>
        <v>0</v>
      </c>
      <c r="BK342" s="24" t="str">
        <f t="shared" si="91"/>
        <v/>
      </c>
      <c r="BL342" s="24" t="str">
        <f t="shared" si="92"/>
        <v/>
      </c>
      <c r="BM342" s="24" t="str">
        <f>IF(G342=1,IF(TableCosts[[#This Row],[TransferFrom]]=TableCosts[[#This Row],[TranferTo]],0,1),"")</f>
        <v/>
      </c>
      <c r="BN342" s="24" t="str">
        <f t="shared" si="93"/>
        <v/>
      </c>
      <c r="BO342" s="24">
        <f t="shared" si="94"/>
        <v>0</v>
      </c>
      <c r="BP342" s="24">
        <f t="shared" si="95"/>
        <v>0</v>
      </c>
    </row>
    <row r="343" spans="2:68" s="24" customFormat="1" ht="12.75" x14ac:dyDescent="0.2">
      <c r="B343" s="97"/>
      <c r="C343" s="92"/>
      <c r="D343" s="92"/>
      <c r="E343" s="92"/>
      <c r="F343" s="31" t="str">
        <f>IF(G343=1,IF(ISERROR(TableCosts[[#This Row],[N_Tariff]]),Err_Message1,IF(TableCosts[[#This Row],[N_Tariff]]=0,Err_Message2,VLOOKUP(C343&amp;TableCosts[[#This Row],[Calc_N_Typ]],TRAN_STRITEMS_LABEL,5,FALSE))),"")</f>
        <v/>
      </c>
      <c r="G343" s="31">
        <f t="shared" si="84"/>
        <v>0</v>
      </c>
      <c r="H343" s="31" t="str">
        <f>IF(G343=1,IFERROR(VLOOKUP(F343,Tab_ErrMessage[],2,0),VLOOKUP(C343&amp;TableCosts[[#This Row],[Calc_N_Typ]],TRAN_STRITEMS_LABEL,4,FALSE)),"")</f>
        <v/>
      </c>
      <c r="I343" s="94"/>
      <c r="J343" s="94"/>
      <c r="K343" s="94"/>
      <c r="L343" s="84"/>
      <c r="M343" s="84"/>
      <c r="N343" s="84"/>
      <c r="O343" s="84"/>
      <c r="P343" s="84"/>
      <c r="Q343" s="84"/>
      <c r="R343" s="84"/>
      <c r="S343" s="84"/>
      <c r="T343" s="84"/>
      <c r="U343" s="84"/>
      <c r="V343" s="84"/>
      <c r="W343" s="84"/>
      <c r="X343" s="84"/>
      <c r="Y343" s="84"/>
      <c r="Z343" s="84"/>
      <c r="AA343" s="84"/>
      <c r="AB343" s="84"/>
      <c r="AC343" s="84"/>
      <c r="AD343" s="84"/>
      <c r="AE343" s="84"/>
      <c r="AF343" s="84"/>
      <c r="AG343" s="84"/>
      <c r="AH343" s="84"/>
      <c r="AI343" s="84"/>
      <c r="AJ343" s="84"/>
      <c r="AK343" s="84"/>
      <c r="AL343" s="84"/>
      <c r="AM343" s="84"/>
      <c r="AN343" s="84"/>
      <c r="AO343" s="84"/>
      <c r="AP343" s="84"/>
      <c r="AQ343" s="84"/>
      <c r="AR343" s="84"/>
      <c r="AS343" s="84"/>
      <c r="AT343" s="84"/>
      <c r="AU343" s="84"/>
      <c r="AV343" s="84"/>
      <c r="AW343" s="84"/>
      <c r="AX343" s="87">
        <f t="array" ref="AX343">IF(G343=1,SUM((ROW(M0)=ROW(AW343))*(M0+M1_+M2_+M3_+M4_+M5_+M6_+M7_+M8_+M9_+M10_+M11_+M12_+M13_+M14_+M15_+M16_+M17_+M18_+M19_+M20_+M21_+M22_+M23_+M24_+M25_+M26_+M27_+M28_+M29_+M30_+M31_+M32_+M33_+M34_+M35_+M36_+M37_)),0)</f>
        <v>0</v>
      </c>
      <c r="AZ343" s="24" t="str">
        <f t="shared" si="85"/>
        <v/>
      </c>
      <c r="BA343" s="24" t="str">
        <f t="shared" si="86"/>
        <v/>
      </c>
      <c r="BB343" s="24" t="str">
        <f t="shared" si="87"/>
        <v/>
      </c>
      <c r="BC343" s="24" t="str">
        <f>IF(OR(E343="",LEFT(TableCosts[[#This Row],[Calc_N_Typ]],18)="Vynaložené náklady"),"",VLOOKUP(E343,Tab_Parts,2,0))</f>
        <v/>
      </c>
      <c r="BD343" s="24" t="str">
        <f t="shared" si="88"/>
        <v/>
      </c>
      <c r="BE343" s="24">
        <f t="shared" si="89"/>
        <v>0</v>
      </c>
      <c r="BF343" s="72">
        <f>TableCosts[[#This Row],[N_Amount]]*TableCosts[[#This Row],[N_Tariff]]*TableCosts[[#This Row],[N_ItemsCount]]</f>
        <v>0</v>
      </c>
      <c r="BG343" s="72">
        <f>IF(G343=1,IF(TableCosts[[#This Row],[N_Kateg]]="interné práce",TableCosts[[#This Row],[N_Amount]]*8*PAR_SGA_PERHOUR,0),0)</f>
        <v>0</v>
      </c>
      <c r="BH343" s="72">
        <f>SUM(TableCosts[[#This Row],[N_Direct]:[N_SGA]])</f>
        <v>0</v>
      </c>
      <c r="BI343" s="24">
        <f>IF(G343=1,IF(OR(AND(NOT(ISERROR(VLOOKUP(TableCosts[[#This Row],[Calc_N_Typ]],Cis_WorkPositions,1,0))),C343&lt;&gt;"",D343&lt;&gt;"",E343&lt;&gt;""),AND(ISERROR(VLOOKUP(TableCosts[[#This Row],[Calc_N_Typ]],Cis_WorkPositions,1,0)),C343="",D343="",E343&lt;&gt;""),LEFT(TableCosts[[#This Row],[Calc_N_Typ]],18)="Vynaložené náklady"),VLOOKUP(C343&amp;TableCosts[[#This Row],[Calc_N_Typ]],TRAN_STRITEMS_LABEL,VLOOKUP(D343,Tab_Hours,3,0),0),NA()),0)</f>
        <v>0</v>
      </c>
      <c r="BJ343" s="24">
        <f t="shared" si="90"/>
        <v>0</v>
      </c>
      <c r="BK343" s="24" t="str">
        <f t="shared" si="91"/>
        <v/>
      </c>
      <c r="BL343" s="24" t="str">
        <f t="shared" si="92"/>
        <v/>
      </c>
      <c r="BM343" s="24" t="str">
        <f>IF(G343=1,IF(TableCosts[[#This Row],[TransferFrom]]=TableCosts[[#This Row],[TranferTo]],0,1),"")</f>
        <v/>
      </c>
      <c r="BN343" s="24" t="str">
        <f t="shared" si="93"/>
        <v/>
      </c>
      <c r="BO343" s="24">
        <f t="shared" si="94"/>
        <v>0</v>
      </c>
      <c r="BP343" s="24">
        <f t="shared" si="95"/>
        <v>0</v>
      </c>
    </row>
    <row r="344" spans="2:68" s="24" customFormat="1" ht="12.75" x14ac:dyDescent="0.2">
      <c r="B344" s="97"/>
      <c r="C344" s="92"/>
      <c r="D344" s="92"/>
      <c r="E344" s="92"/>
      <c r="F344" s="31" t="str">
        <f>IF(G344=1,IF(ISERROR(TableCosts[[#This Row],[N_Tariff]]),Err_Message1,IF(TableCosts[[#This Row],[N_Tariff]]=0,Err_Message2,VLOOKUP(C344&amp;TableCosts[[#This Row],[Calc_N_Typ]],TRAN_STRITEMS_LABEL,5,FALSE))),"")</f>
        <v/>
      </c>
      <c r="G344" s="31">
        <f t="shared" si="84"/>
        <v>0</v>
      </c>
      <c r="H344" s="31" t="str">
        <f>IF(G344=1,IFERROR(VLOOKUP(F344,Tab_ErrMessage[],2,0),VLOOKUP(C344&amp;TableCosts[[#This Row],[Calc_N_Typ]],TRAN_STRITEMS_LABEL,4,FALSE)),"")</f>
        <v/>
      </c>
      <c r="I344" s="94"/>
      <c r="J344" s="94"/>
      <c r="K344" s="94"/>
      <c r="L344" s="84"/>
      <c r="M344" s="84"/>
      <c r="N344" s="84"/>
      <c r="O344" s="84"/>
      <c r="P344" s="84"/>
      <c r="Q344" s="84"/>
      <c r="R344" s="84"/>
      <c r="S344" s="84"/>
      <c r="T344" s="84"/>
      <c r="U344" s="84"/>
      <c r="V344" s="84"/>
      <c r="W344" s="84"/>
      <c r="X344" s="84"/>
      <c r="Y344" s="84"/>
      <c r="Z344" s="84"/>
      <c r="AA344" s="84"/>
      <c r="AB344" s="84"/>
      <c r="AC344" s="84"/>
      <c r="AD344" s="84"/>
      <c r="AE344" s="84"/>
      <c r="AF344" s="84"/>
      <c r="AG344" s="84"/>
      <c r="AH344" s="84"/>
      <c r="AI344" s="84"/>
      <c r="AJ344" s="84"/>
      <c r="AK344" s="84"/>
      <c r="AL344" s="84"/>
      <c r="AM344" s="84"/>
      <c r="AN344" s="84"/>
      <c r="AO344" s="84"/>
      <c r="AP344" s="84"/>
      <c r="AQ344" s="84"/>
      <c r="AR344" s="84"/>
      <c r="AS344" s="84"/>
      <c r="AT344" s="84"/>
      <c r="AU344" s="84"/>
      <c r="AV344" s="84"/>
      <c r="AW344" s="84"/>
      <c r="AX344" s="87">
        <f t="array" ref="AX344">IF(G344=1,SUM((ROW(M0)=ROW(AW344))*(M0+M1_+M2_+M3_+M4_+M5_+M6_+M7_+M8_+M9_+M10_+M11_+M12_+M13_+M14_+M15_+M16_+M17_+M18_+M19_+M20_+M21_+M22_+M23_+M24_+M25_+M26_+M27_+M28_+M29_+M30_+M31_+M32_+M33_+M34_+M35_+M36_+M37_)),0)</f>
        <v>0</v>
      </c>
      <c r="AZ344" s="24" t="str">
        <f t="shared" si="85"/>
        <v/>
      </c>
      <c r="BA344" s="24" t="str">
        <f t="shared" si="86"/>
        <v/>
      </c>
      <c r="BB344" s="24" t="str">
        <f t="shared" si="87"/>
        <v/>
      </c>
      <c r="BC344" s="24" t="str">
        <f>IF(OR(E344="",LEFT(TableCosts[[#This Row],[Calc_N_Typ]],18)="Vynaložené náklady"),"",VLOOKUP(E344,Tab_Parts,2,0))</f>
        <v/>
      </c>
      <c r="BD344" s="24" t="str">
        <f t="shared" si="88"/>
        <v/>
      </c>
      <c r="BE344" s="24">
        <f t="shared" si="89"/>
        <v>0</v>
      </c>
      <c r="BF344" s="72">
        <f>TableCosts[[#This Row],[N_Amount]]*TableCosts[[#This Row],[N_Tariff]]*TableCosts[[#This Row],[N_ItemsCount]]</f>
        <v>0</v>
      </c>
      <c r="BG344" s="72">
        <f>IF(G344=1,IF(TableCosts[[#This Row],[N_Kateg]]="interné práce",TableCosts[[#This Row],[N_Amount]]*8*PAR_SGA_PERHOUR,0),0)</f>
        <v>0</v>
      </c>
      <c r="BH344" s="72">
        <f>SUM(TableCosts[[#This Row],[N_Direct]:[N_SGA]])</f>
        <v>0</v>
      </c>
      <c r="BI344" s="24">
        <f>IF(G344=1,IF(OR(AND(NOT(ISERROR(VLOOKUP(TableCosts[[#This Row],[Calc_N_Typ]],Cis_WorkPositions,1,0))),C344&lt;&gt;"",D344&lt;&gt;"",E344&lt;&gt;""),AND(ISERROR(VLOOKUP(TableCosts[[#This Row],[Calc_N_Typ]],Cis_WorkPositions,1,0)),C344="",D344="",E344&lt;&gt;""),LEFT(TableCosts[[#This Row],[Calc_N_Typ]],18)="Vynaložené náklady"),VLOOKUP(C344&amp;TableCosts[[#This Row],[Calc_N_Typ]],TRAN_STRITEMS_LABEL,VLOOKUP(D344,Tab_Hours,3,0),0),NA()),0)</f>
        <v>0</v>
      </c>
      <c r="BJ344" s="24">
        <f t="shared" si="90"/>
        <v>0</v>
      </c>
      <c r="BK344" s="24" t="str">
        <f t="shared" si="91"/>
        <v/>
      </c>
      <c r="BL344" s="24" t="str">
        <f t="shared" si="92"/>
        <v/>
      </c>
      <c r="BM344" s="24" t="str">
        <f>IF(G344=1,IF(TableCosts[[#This Row],[TransferFrom]]=TableCosts[[#This Row],[TranferTo]],0,1),"")</f>
        <v/>
      </c>
      <c r="BN344" s="24" t="str">
        <f t="shared" si="93"/>
        <v/>
      </c>
      <c r="BO344" s="24">
        <f t="shared" si="94"/>
        <v>0</v>
      </c>
      <c r="BP344" s="24">
        <f t="shared" si="95"/>
        <v>0</v>
      </c>
    </row>
    <row r="345" spans="2:68" s="24" customFormat="1" ht="12.75" x14ac:dyDescent="0.2">
      <c r="B345" s="97"/>
      <c r="C345" s="92"/>
      <c r="D345" s="92"/>
      <c r="E345" s="92"/>
      <c r="F345" s="31" t="str">
        <f>IF(G345=1,IF(ISERROR(TableCosts[[#This Row],[N_Tariff]]),Err_Message1,IF(TableCosts[[#This Row],[N_Tariff]]=0,Err_Message2,VLOOKUP(C345&amp;TableCosts[[#This Row],[Calc_N_Typ]],TRAN_STRITEMS_LABEL,5,FALSE))),"")</f>
        <v/>
      </c>
      <c r="G345" s="31">
        <f t="shared" si="84"/>
        <v>0</v>
      </c>
      <c r="H345" s="31" t="str">
        <f>IF(G345=1,IFERROR(VLOOKUP(F345,Tab_ErrMessage[],2,0),VLOOKUP(C345&amp;TableCosts[[#This Row],[Calc_N_Typ]],TRAN_STRITEMS_LABEL,4,FALSE)),"")</f>
        <v/>
      </c>
      <c r="I345" s="94"/>
      <c r="J345" s="94"/>
      <c r="K345" s="94"/>
      <c r="L345" s="84"/>
      <c r="M345" s="84"/>
      <c r="N345" s="84"/>
      <c r="O345" s="84"/>
      <c r="P345" s="84"/>
      <c r="Q345" s="84"/>
      <c r="R345" s="84"/>
      <c r="S345" s="84"/>
      <c r="T345" s="84"/>
      <c r="U345" s="84"/>
      <c r="V345" s="84"/>
      <c r="W345" s="84"/>
      <c r="X345" s="84"/>
      <c r="Y345" s="84"/>
      <c r="Z345" s="84"/>
      <c r="AA345" s="84"/>
      <c r="AB345" s="84"/>
      <c r="AC345" s="84"/>
      <c r="AD345" s="84"/>
      <c r="AE345" s="84"/>
      <c r="AF345" s="84"/>
      <c r="AG345" s="84"/>
      <c r="AH345" s="84"/>
      <c r="AI345" s="84"/>
      <c r="AJ345" s="84"/>
      <c r="AK345" s="84"/>
      <c r="AL345" s="84"/>
      <c r="AM345" s="84"/>
      <c r="AN345" s="84"/>
      <c r="AO345" s="84"/>
      <c r="AP345" s="84"/>
      <c r="AQ345" s="84"/>
      <c r="AR345" s="84"/>
      <c r="AS345" s="84"/>
      <c r="AT345" s="84"/>
      <c r="AU345" s="84"/>
      <c r="AV345" s="84"/>
      <c r="AW345" s="84"/>
      <c r="AX345" s="87">
        <f t="array" ref="AX345">IF(G345=1,SUM((ROW(M0)=ROW(AW345))*(M0+M1_+M2_+M3_+M4_+M5_+M6_+M7_+M8_+M9_+M10_+M11_+M12_+M13_+M14_+M15_+M16_+M17_+M18_+M19_+M20_+M21_+M22_+M23_+M24_+M25_+M26_+M27_+M28_+M29_+M30_+M31_+M32_+M33_+M34_+M35_+M36_+M37_)),0)</f>
        <v>0</v>
      </c>
      <c r="AZ345" s="24" t="str">
        <f t="shared" si="85"/>
        <v/>
      </c>
      <c r="BA345" s="24" t="str">
        <f t="shared" si="86"/>
        <v/>
      </c>
      <c r="BB345" s="24" t="str">
        <f t="shared" si="87"/>
        <v/>
      </c>
      <c r="BC345" s="24" t="str">
        <f>IF(OR(E345="",LEFT(TableCosts[[#This Row],[Calc_N_Typ]],18)="Vynaložené náklady"),"",VLOOKUP(E345,Tab_Parts,2,0))</f>
        <v/>
      </c>
      <c r="BD345" s="24" t="str">
        <f t="shared" si="88"/>
        <v/>
      </c>
      <c r="BE345" s="24">
        <f t="shared" si="89"/>
        <v>0</v>
      </c>
      <c r="BF345" s="72">
        <f>TableCosts[[#This Row],[N_Amount]]*TableCosts[[#This Row],[N_Tariff]]*TableCosts[[#This Row],[N_ItemsCount]]</f>
        <v>0</v>
      </c>
      <c r="BG345" s="72">
        <f>IF(G345=1,IF(TableCosts[[#This Row],[N_Kateg]]="interné práce",TableCosts[[#This Row],[N_Amount]]*8*PAR_SGA_PERHOUR,0),0)</f>
        <v>0</v>
      </c>
      <c r="BH345" s="72">
        <f>SUM(TableCosts[[#This Row],[N_Direct]:[N_SGA]])</f>
        <v>0</v>
      </c>
      <c r="BI345" s="24">
        <f>IF(G345=1,IF(OR(AND(NOT(ISERROR(VLOOKUP(TableCosts[[#This Row],[Calc_N_Typ]],Cis_WorkPositions,1,0))),C345&lt;&gt;"",D345&lt;&gt;"",E345&lt;&gt;""),AND(ISERROR(VLOOKUP(TableCosts[[#This Row],[Calc_N_Typ]],Cis_WorkPositions,1,0)),C345="",D345="",E345&lt;&gt;""),LEFT(TableCosts[[#This Row],[Calc_N_Typ]],18)="Vynaložené náklady"),VLOOKUP(C345&amp;TableCosts[[#This Row],[Calc_N_Typ]],TRAN_STRITEMS_LABEL,VLOOKUP(D345,Tab_Hours,3,0),0),NA()),0)</f>
        <v>0</v>
      </c>
      <c r="BJ345" s="24">
        <f t="shared" si="90"/>
        <v>0</v>
      </c>
      <c r="BK345" s="24" t="str">
        <f t="shared" si="91"/>
        <v/>
      </c>
      <c r="BL345" s="24" t="str">
        <f t="shared" si="92"/>
        <v/>
      </c>
      <c r="BM345" s="24" t="str">
        <f>IF(G345=1,IF(TableCosts[[#This Row],[TransferFrom]]=TableCosts[[#This Row],[TranferTo]],0,1),"")</f>
        <v/>
      </c>
      <c r="BN345" s="24" t="str">
        <f t="shared" si="93"/>
        <v/>
      </c>
      <c r="BO345" s="24">
        <f t="shared" si="94"/>
        <v>0</v>
      </c>
      <c r="BP345" s="24">
        <f t="shared" si="95"/>
        <v>0</v>
      </c>
    </row>
    <row r="346" spans="2:68" s="24" customFormat="1" ht="12.75" x14ac:dyDescent="0.2">
      <c r="B346" s="97"/>
      <c r="C346" s="92"/>
      <c r="D346" s="92"/>
      <c r="E346" s="92"/>
      <c r="F346" s="31" t="str">
        <f>IF(G346=1,IF(ISERROR(TableCosts[[#This Row],[N_Tariff]]),Err_Message1,IF(TableCosts[[#This Row],[N_Tariff]]=0,Err_Message2,VLOOKUP(C346&amp;TableCosts[[#This Row],[Calc_N_Typ]],TRAN_STRITEMS_LABEL,5,FALSE))),"")</f>
        <v/>
      </c>
      <c r="G346" s="31">
        <f t="shared" si="84"/>
        <v>0</v>
      </c>
      <c r="H346" s="31" t="str">
        <f>IF(G346=1,IFERROR(VLOOKUP(F346,Tab_ErrMessage[],2,0),VLOOKUP(C346&amp;TableCosts[[#This Row],[Calc_N_Typ]],TRAN_STRITEMS_LABEL,4,FALSE)),"")</f>
        <v/>
      </c>
      <c r="I346" s="94"/>
      <c r="J346" s="94"/>
      <c r="K346" s="94"/>
      <c r="L346" s="84"/>
      <c r="M346" s="84"/>
      <c r="N346" s="84"/>
      <c r="O346" s="84"/>
      <c r="P346" s="84"/>
      <c r="Q346" s="84"/>
      <c r="R346" s="84"/>
      <c r="S346" s="84"/>
      <c r="T346" s="84"/>
      <c r="U346" s="84"/>
      <c r="V346" s="84"/>
      <c r="W346" s="84"/>
      <c r="X346" s="84"/>
      <c r="Y346" s="84"/>
      <c r="Z346" s="84"/>
      <c r="AA346" s="84"/>
      <c r="AB346" s="84"/>
      <c r="AC346" s="84"/>
      <c r="AD346" s="84"/>
      <c r="AE346" s="84"/>
      <c r="AF346" s="84"/>
      <c r="AG346" s="84"/>
      <c r="AH346" s="84"/>
      <c r="AI346" s="84"/>
      <c r="AJ346" s="84"/>
      <c r="AK346" s="84"/>
      <c r="AL346" s="84"/>
      <c r="AM346" s="84"/>
      <c r="AN346" s="84"/>
      <c r="AO346" s="84"/>
      <c r="AP346" s="84"/>
      <c r="AQ346" s="84"/>
      <c r="AR346" s="84"/>
      <c r="AS346" s="84"/>
      <c r="AT346" s="84"/>
      <c r="AU346" s="84"/>
      <c r="AV346" s="84"/>
      <c r="AW346" s="84"/>
      <c r="AX346" s="87">
        <f t="array" ref="AX346">IF(G346=1,SUM((ROW(M0)=ROW(AW346))*(M0+M1_+M2_+M3_+M4_+M5_+M6_+M7_+M8_+M9_+M10_+M11_+M12_+M13_+M14_+M15_+M16_+M17_+M18_+M19_+M20_+M21_+M22_+M23_+M24_+M25_+M26_+M27_+M28_+M29_+M30_+M31_+M32_+M33_+M34_+M35_+M36_+M37_)),0)</f>
        <v>0</v>
      </c>
      <c r="AZ346" s="24" t="str">
        <f t="shared" si="85"/>
        <v/>
      </c>
      <c r="BA346" s="24" t="str">
        <f t="shared" si="86"/>
        <v/>
      </c>
      <c r="BB346" s="24" t="str">
        <f t="shared" si="87"/>
        <v/>
      </c>
      <c r="BC346" s="24" t="str">
        <f>IF(OR(E346="",LEFT(TableCosts[[#This Row],[Calc_N_Typ]],18)="Vynaložené náklady"),"",VLOOKUP(E346,Tab_Parts,2,0))</f>
        <v/>
      </c>
      <c r="BD346" s="24" t="str">
        <f t="shared" si="88"/>
        <v/>
      </c>
      <c r="BE346" s="24">
        <f t="shared" si="89"/>
        <v>0</v>
      </c>
      <c r="BF346" s="72">
        <f>TableCosts[[#This Row],[N_Amount]]*TableCosts[[#This Row],[N_Tariff]]*TableCosts[[#This Row],[N_ItemsCount]]</f>
        <v>0</v>
      </c>
      <c r="BG346" s="72">
        <f>IF(G346=1,IF(TableCosts[[#This Row],[N_Kateg]]="interné práce",TableCosts[[#This Row],[N_Amount]]*8*PAR_SGA_PERHOUR,0),0)</f>
        <v>0</v>
      </c>
      <c r="BH346" s="72">
        <f>SUM(TableCosts[[#This Row],[N_Direct]:[N_SGA]])</f>
        <v>0</v>
      </c>
      <c r="BI346" s="24">
        <f>IF(G346=1,IF(OR(AND(NOT(ISERROR(VLOOKUP(TableCosts[[#This Row],[Calc_N_Typ]],Cis_WorkPositions,1,0))),C346&lt;&gt;"",D346&lt;&gt;"",E346&lt;&gt;""),AND(ISERROR(VLOOKUP(TableCosts[[#This Row],[Calc_N_Typ]],Cis_WorkPositions,1,0)),C346="",D346="",E346&lt;&gt;""),LEFT(TableCosts[[#This Row],[Calc_N_Typ]],18)="Vynaložené náklady"),VLOOKUP(C346&amp;TableCosts[[#This Row],[Calc_N_Typ]],TRAN_STRITEMS_LABEL,VLOOKUP(D346,Tab_Hours,3,0),0),NA()),0)</f>
        <v>0</v>
      </c>
      <c r="BJ346" s="24">
        <f t="shared" si="90"/>
        <v>0</v>
      </c>
      <c r="BK346" s="24" t="str">
        <f t="shared" si="91"/>
        <v/>
      </c>
      <c r="BL346" s="24" t="str">
        <f t="shared" si="92"/>
        <v/>
      </c>
      <c r="BM346" s="24" t="str">
        <f>IF(G346=1,IF(TableCosts[[#This Row],[TransferFrom]]=TableCosts[[#This Row],[TranferTo]],0,1),"")</f>
        <v/>
      </c>
      <c r="BN346" s="24" t="str">
        <f t="shared" si="93"/>
        <v/>
      </c>
      <c r="BO346" s="24">
        <f t="shared" si="94"/>
        <v>0</v>
      </c>
      <c r="BP346" s="24">
        <f t="shared" si="95"/>
        <v>0</v>
      </c>
    </row>
    <row r="347" spans="2:68" s="24" customFormat="1" ht="12.75" x14ac:dyDescent="0.2">
      <c r="B347" s="97"/>
      <c r="C347" s="92"/>
      <c r="D347" s="92"/>
      <c r="E347" s="92"/>
      <c r="F347" s="31" t="str">
        <f>IF(G347=1,IF(ISERROR(TableCosts[[#This Row],[N_Tariff]]),Err_Message1,IF(TableCosts[[#This Row],[N_Tariff]]=0,Err_Message2,VLOOKUP(C347&amp;TableCosts[[#This Row],[Calc_N_Typ]],TRAN_STRITEMS_LABEL,5,FALSE))),"")</f>
        <v/>
      </c>
      <c r="G347" s="31">
        <f t="shared" si="84"/>
        <v>0</v>
      </c>
      <c r="H347" s="31" t="str">
        <f>IF(G347=1,IFERROR(VLOOKUP(F347,Tab_ErrMessage[],2,0),VLOOKUP(C347&amp;TableCosts[[#This Row],[Calc_N_Typ]],TRAN_STRITEMS_LABEL,4,FALSE)),"")</f>
        <v/>
      </c>
      <c r="I347" s="94"/>
      <c r="J347" s="94"/>
      <c r="K347" s="94"/>
      <c r="L347" s="84"/>
      <c r="M347" s="84"/>
      <c r="N347" s="84"/>
      <c r="O347" s="84"/>
      <c r="P347" s="84"/>
      <c r="Q347" s="84"/>
      <c r="R347" s="84"/>
      <c r="S347" s="84"/>
      <c r="T347" s="84"/>
      <c r="U347" s="84"/>
      <c r="V347" s="84"/>
      <c r="W347" s="84"/>
      <c r="X347" s="84"/>
      <c r="Y347" s="84"/>
      <c r="Z347" s="84"/>
      <c r="AA347" s="84"/>
      <c r="AB347" s="84"/>
      <c r="AC347" s="84"/>
      <c r="AD347" s="84"/>
      <c r="AE347" s="84"/>
      <c r="AF347" s="84"/>
      <c r="AG347" s="84"/>
      <c r="AH347" s="84"/>
      <c r="AI347" s="84"/>
      <c r="AJ347" s="84"/>
      <c r="AK347" s="84"/>
      <c r="AL347" s="84"/>
      <c r="AM347" s="84"/>
      <c r="AN347" s="84"/>
      <c r="AO347" s="84"/>
      <c r="AP347" s="84"/>
      <c r="AQ347" s="84"/>
      <c r="AR347" s="84"/>
      <c r="AS347" s="84"/>
      <c r="AT347" s="84"/>
      <c r="AU347" s="84"/>
      <c r="AV347" s="84"/>
      <c r="AW347" s="84"/>
      <c r="AX347" s="87">
        <f t="array" ref="AX347">IF(G347=1,SUM((ROW(M0)=ROW(AW347))*(M0+M1_+M2_+M3_+M4_+M5_+M6_+M7_+M8_+M9_+M10_+M11_+M12_+M13_+M14_+M15_+M16_+M17_+M18_+M19_+M20_+M21_+M22_+M23_+M24_+M25_+M26_+M27_+M28_+M29_+M30_+M31_+M32_+M33_+M34_+M35_+M36_+M37_)),0)</f>
        <v>0</v>
      </c>
      <c r="AZ347" s="24" t="str">
        <f t="shared" si="85"/>
        <v/>
      </c>
      <c r="BA347" s="24" t="str">
        <f t="shared" si="86"/>
        <v/>
      </c>
      <c r="BB347" s="24" t="str">
        <f t="shared" si="87"/>
        <v/>
      </c>
      <c r="BC347" s="24" t="str">
        <f>IF(OR(E347="",LEFT(TableCosts[[#This Row],[Calc_N_Typ]],18)="Vynaložené náklady"),"",VLOOKUP(E347,Tab_Parts,2,0))</f>
        <v/>
      </c>
      <c r="BD347" s="24" t="str">
        <f t="shared" si="88"/>
        <v/>
      </c>
      <c r="BE347" s="24">
        <f t="shared" si="89"/>
        <v>0</v>
      </c>
      <c r="BF347" s="72">
        <f>TableCosts[[#This Row],[N_Amount]]*TableCosts[[#This Row],[N_Tariff]]*TableCosts[[#This Row],[N_ItemsCount]]</f>
        <v>0</v>
      </c>
      <c r="BG347" s="72">
        <f>IF(G347=1,IF(TableCosts[[#This Row],[N_Kateg]]="interné práce",TableCosts[[#This Row],[N_Amount]]*8*PAR_SGA_PERHOUR,0),0)</f>
        <v>0</v>
      </c>
      <c r="BH347" s="72">
        <f>SUM(TableCosts[[#This Row],[N_Direct]:[N_SGA]])</f>
        <v>0</v>
      </c>
      <c r="BI347" s="24">
        <f>IF(G347=1,IF(OR(AND(NOT(ISERROR(VLOOKUP(TableCosts[[#This Row],[Calc_N_Typ]],Cis_WorkPositions,1,0))),C347&lt;&gt;"",D347&lt;&gt;"",E347&lt;&gt;""),AND(ISERROR(VLOOKUP(TableCosts[[#This Row],[Calc_N_Typ]],Cis_WorkPositions,1,0)),C347="",D347="",E347&lt;&gt;""),LEFT(TableCosts[[#This Row],[Calc_N_Typ]],18)="Vynaložené náklady"),VLOOKUP(C347&amp;TableCosts[[#This Row],[Calc_N_Typ]],TRAN_STRITEMS_LABEL,VLOOKUP(D347,Tab_Hours,3,0),0),NA()),0)</f>
        <v>0</v>
      </c>
      <c r="BJ347" s="24">
        <f t="shared" si="90"/>
        <v>0</v>
      </c>
      <c r="BK347" s="24" t="str">
        <f t="shared" si="91"/>
        <v/>
      </c>
      <c r="BL347" s="24" t="str">
        <f t="shared" si="92"/>
        <v/>
      </c>
      <c r="BM347" s="24" t="str">
        <f>IF(G347=1,IF(TableCosts[[#This Row],[TransferFrom]]=TableCosts[[#This Row],[TranferTo]],0,1),"")</f>
        <v/>
      </c>
      <c r="BN347" s="24" t="str">
        <f t="shared" si="93"/>
        <v/>
      </c>
      <c r="BO347" s="24">
        <f t="shared" si="94"/>
        <v>0</v>
      </c>
      <c r="BP347" s="24">
        <f t="shared" si="95"/>
        <v>0</v>
      </c>
    </row>
    <row r="348" spans="2:68" s="24" customFormat="1" ht="12.75" x14ac:dyDescent="0.2">
      <c r="B348" s="97"/>
      <c r="C348" s="92"/>
      <c r="D348" s="92"/>
      <c r="E348" s="92"/>
      <c r="F348" s="31" t="str">
        <f>IF(G348=1,IF(ISERROR(TableCosts[[#This Row],[N_Tariff]]),Err_Message1,IF(TableCosts[[#This Row],[N_Tariff]]=0,Err_Message2,VLOOKUP(C348&amp;TableCosts[[#This Row],[Calc_N_Typ]],TRAN_STRITEMS_LABEL,5,FALSE))),"")</f>
        <v/>
      </c>
      <c r="G348" s="31">
        <f t="shared" si="84"/>
        <v>0</v>
      </c>
      <c r="H348" s="31" t="str">
        <f>IF(G348=1,IFERROR(VLOOKUP(F348,Tab_ErrMessage[],2,0),VLOOKUP(C348&amp;TableCosts[[#This Row],[Calc_N_Typ]],TRAN_STRITEMS_LABEL,4,FALSE)),"")</f>
        <v/>
      </c>
      <c r="I348" s="94"/>
      <c r="J348" s="94"/>
      <c r="K348" s="94"/>
      <c r="L348" s="84"/>
      <c r="M348" s="84"/>
      <c r="N348" s="84"/>
      <c r="O348" s="84"/>
      <c r="P348" s="84"/>
      <c r="Q348" s="84"/>
      <c r="R348" s="84"/>
      <c r="S348" s="84"/>
      <c r="T348" s="84"/>
      <c r="U348" s="84"/>
      <c r="V348" s="84"/>
      <c r="W348" s="84"/>
      <c r="X348" s="84"/>
      <c r="Y348" s="84"/>
      <c r="Z348" s="84"/>
      <c r="AA348" s="84"/>
      <c r="AB348" s="84"/>
      <c r="AC348" s="84"/>
      <c r="AD348" s="84"/>
      <c r="AE348" s="84"/>
      <c r="AF348" s="84"/>
      <c r="AG348" s="84"/>
      <c r="AH348" s="84"/>
      <c r="AI348" s="84"/>
      <c r="AJ348" s="84"/>
      <c r="AK348" s="84"/>
      <c r="AL348" s="84"/>
      <c r="AM348" s="84"/>
      <c r="AN348" s="84"/>
      <c r="AO348" s="84"/>
      <c r="AP348" s="84"/>
      <c r="AQ348" s="84"/>
      <c r="AR348" s="84"/>
      <c r="AS348" s="84"/>
      <c r="AT348" s="84"/>
      <c r="AU348" s="84"/>
      <c r="AV348" s="84"/>
      <c r="AW348" s="84"/>
      <c r="AX348" s="87">
        <f t="array" ref="AX348">IF(G348=1,SUM((ROW(M0)=ROW(AW348))*(M0+M1_+M2_+M3_+M4_+M5_+M6_+M7_+M8_+M9_+M10_+M11_+M12_+M13_+M14_+M15_+M16_+M17_+M18_+M19_+M20_+M21_+M22_+M23_+M24_+M25_+M26_+M27_+M28_+M29_+M30_+M31_+M32_+M33_+M34_+M35_+M36_+M37_)),0)</f>
        <v>0</v>
      </c>
      <c r="AZ348" s="24" t="str">
        <f t="shared" si="85"/>
        <v/>
      </c>
      <c r="BA348" s="24" t="str">
        <f t="shared" si="86"/>
        <v/>
      </c>
      <c r="BB348" s="24" t="str">
        <f t="shared" si="87"/>
        <v/>
      </c>
      <c r="BC348" s="24" t="str">
        <f>IF(OR(E348="",LEFT(TableCosts[[#This Row],[Calc_N_Typ]],18)="Vynaložené náklady"),"",VLOOKUP(E348,Tab_Parts,2,0))</f>
        <v/>
      </c>
      <c r="BD348" s="24" t="str">
        <f t="shared" si="88"/>
        <v/>
      </c>
      <c r="BE348" s="24">
        <f t="shared" si="89"/>
        <v>0</v>
      </c>
      <c r="BF348" s="72">
        <f>TableCosts[[#This Row],[N_Amount]]*TableCosts[[#This Row],[N_Tariff]]*TableCosts[[#This Row],[N_ItemsCount]]</f>
        <v>0</v>
      </c>
      <c r="BG348" s="72">
        <f>IF(G348=1,IF(TableCosts[[#This Row],[N_Kateg]]="interné práce",TableCosts[[#This Row],[N_Amount]]*8*PAR_SGA_PERHOUR,0),0)</f>
        <v>0</v>
      </c>
      <c r="BH348" s="72">
        <f>SUM(TableCosts[[#This Row],[N_Direct]:[N_SGA]])</f>
        <v>0</v>
      </c>
      <c r="BI348" s="24">
        <f>IF(G348=1,IF(OR(AND(NOT(ISERROR(VLOOKUP(TableCosts[[#This Row],[Calc_N_Typ]],Cis_WorkPositions,1,0))),C348&lt;&gt;"",D348&lt;&gt;"",E348&lt;&gt;""),AND(ISERROR(VLOOKUP(TableCosts[[#This Row],[Calc_N_Typ]],Cis_WorkPositions,1,0)),C348="",D348="",E348&lt;&gt;""),LEFT(TableCosts[[#This Row],[Calc_N_Typ]],18)="Vynaložené náklady"),VLOOKUP(C348&amp;TableCosts[[#This Row],[Calc_N_Typ]],TRAN_STRITEMS_LABEL,VLOOKUP(D348,Tab_Hours,3,0),0),NA()),0)</f>
        <v>0</v>
      </c>
      <c r="BJ348" s="24">
        <f t="shared" si="90"/>
        <v>0</v>
      </c>
      <c r="BK348" s="24" t="str">
        <f t="shared" si="91"/>
        <v/>
      </c>
      <c r="BL348" s="24" t="str">
        <f t="shared" si="92"/>
        <v/>
      </c>
      <c r="BM348" s="24" t="str">
        <f>IF(G348=1,IF(TableCosts[[#This Row],[TransferFrom]]=TableCosts[[#This Row],[TranferTo]],0,1),"")</f>
        <v/>
      </c>
      <c r="BN348" s="24" t="str">
        <f t="shared" si="93"/>
        <v/>
      </c>
      <c r="BO348" s="24">
        <f t="shared" si="94"/>
        <v>0</v>
      </c>
      <c r="BP348" s="24">
        <f t="shared" si="95"/>
        <v>0</v>
      </c>
    </row>
    <row r="349" spans="2:68" s="24" customFormat="1" ht="12.75" x14ac:dyDescent="0.2">
      <c r="B349" s="97"/>
      <c r="C349" s="92"/>
      <c r="D349" s="92"/>
      <c r="E349" s="92"/>
      <c r="F349" s="31" t="str">
        <f>IF(G349=1,IF(ISERROR(TableCosts[[#This Row],[N_Tariff]]),Err_Message1,IF(TableCosts[[#This Row],[N_Tariff]]=0,Err_Message2,VLOOKUP(C349&amp;TableCosts[[#This Row],[Calc_N_Typ]],TRAN_STRITEMS_LABEL,5,FALSE))),"")</f>
        <v/>
      </c>
      <c r="G349" s="31">
        <f t="shared" si="84"/>
        <v>0</v>
      </c>
      <c r="H349" s="31" t="str">
        <f>IF(G349=1,IFERROR(VLOOKUP(F349,Tab_ErrMessage[],2,0),VLOOKUP(C349&amp;TableCosts[[#This Row],[Calc_N_Typ]],TRAN_STRITEMS_LABEL,4,FALSE)),"")</f>
        <v/>
      </c>
      <c r="I349" s="94"/>
      <c r="J349" s="94"/>
      <c r="K349" s="94"/>
      <c r="L349" s="84"/>
      <c r="M349" s="84"/>
      <c r="N349" s="84"/>
      <c r="O349" s="84"/>
      <c r="P349" s="84"/>
      <c r="Q349" s="84"/>
      <c r="R349" s="84"/>
      <c r="S349" s="84"/>
      <c r="T349" s="84"/>
      <c r="U349" s="84"/>
      <c r="V349" s="84"/>
      <c r="W349" s="84"/>
      <c r="X349" s="84"/>
      <c r="Y349" s="84"/>
      <c r="Z349" s="84"/>
      <c r="AA349" s="84"/>
      <c r="AB349" s="84"/>
      <c r="AC349" s="84"/>
      <c r="AD349" s="84"/>
      <c r="AE349" s="84"/>
      <c r="AF349" s="84"/>
      <c r="AG349" s="84"/>
      <c r="AH349" s="84"/>
      <c r="AI349" s="84"/>
      <c r="AJ349" s="84"/>
      <c r="AK349" s="84"/>
      <c r="AL349" s="84"/>
      <c r="AM349" s="84"/>
      <c r="AN349" s="84"/>
      <c r="AO349" s="84"/>
      <c r="AP349" s="84"/>
      <c r="AQ349" s="84"/>
      <c r="AR349" s="84"/>
      <c r="AS349" s="84"/>
      <c r="AT349" s="84"/>
      <c r="AU349" s="84"/>
      <c r="AV349" s="84"/>
      <c r="AW349" s="84"/>
      <c r="AX349" s="87">
        <f t="array" ref="AX349">IF(G349=1,SUM((ROW(M0)=ROW(AW349))*(M0+M1_+M2_+M3_+M4_+M5_+M6_+M7_+M8_+M9_+M10_+M11_+M12_+M13_+M14_+M15_+M16_+M17_+M18_+M19_+M20_+M21_+M22_+M23_+M24_+M25_+M26_+M27_+M28_+M29_+M30_+M31_+M32_+M33_+M34_+M35_+M36_+M37_)),0)</f>
        <v>0</v>
      </c>
      <c r="AZ349" s="24" t="str">
        <f t="shared" si="85"/>
        <v/>
      </c>
      <c r="BA349" s="24" t="str">
        <f t="shared" si="86"/>
        <v/>
      </c>
      <c r="BB349" s="24" t="str">
        <f t="shared" si="87"/>
        <v/>
      </c>
      <c r="BC349" s="24" t="str">
        <f>IF(OR(E349="",LEFT(TableCosts[[#This Row],[Calc_N_Typ]],18)="Vynaložené náklady"),"",VLOOKUP(E349,Tab_Parts,2,0))</f>
        <v/>
      </c>
      <c r="BD349" s="24" t="str">
        <f t="shared" si="88"/>
        <v/>
      </c>
      <c r="BE349" s="24">
        <f t="shared" si="89"/>
        <v>0</v>
      </c>
      <c r="BF349" s="72">
        <f>TableCosts[[#This Row],[N_Amount]]*TableCosts[[#This Row],[N_Tariff]]*TableCosts[[#This Row],[N_ItemsCount]]</f>
        <v>0</v>
      </c>
      <c r="BG349" s="72">
        <f>IF(G349=1,IF(TableCosts[[#This Row],[N_Kateg]]="interné práce",TableCosts[[#This Row],[N_Amount]]*8*PAR_SGA_PERHOUR,0),0)</f>
        <v>0</v>
      </c>
      <c r="BH349" s="72">
        <f>SUM(TableCosts[[#This Row],[N_Direct]:[N_SGA]])</f>
        <v>0</v>
      </c>
      <c r="BI349" s="24">
        <f>IF(G349=1,IF(OR(AND(NOT(ISERROR(VLOOKUP(TableCosts[[#This Row],[Calc_N_Typ]],Cis_WorkPositions,1,0))),C349&lt;&gt;"",D349&lt;&gt;"",E349&lt;&gt;""),AND(ISERROR(VLOOKUP(TableCosts[[#This Row],[Calc_N_Typ]],Cis_WorkPositions,1,0)),C349="",D349="",E349&lt;&gt;""),LEFT(TableCosts[[#This Row],[Calc_N_Typ]],18)="Vynaložené náklady"),VLOOKUP(C349&amp;TableCosts[[#This Row],[Calc_N_Typ]],TRAN_STRITEMS_LABEL,VLOOKUP(D349,Tab_Hours,3,0),0),NA()),0)</f>
        <v>0</v>
      </c>
      <c r="BJ349" s="24">
        <f t="shared" si="90"/>
        <v>0</v>
      </c>
      <c r="BK349" s="24" t="str">
        <f t="shared" si="91"/>
        <v/>
      </c>
      <c r="BL349" s="24" t="str">
        <f t="shared" si="92"/>
        <v/>
      </c>
      <c r="BM349" s="24" t="str">
        <f>IF(G349=1,IF(TableCosts[[#This Row],[TransferFrom]]=TableCosts[[#This Row],[TranferTo]],0,1),"")</f>
        <v/>
      </c>
      <c r="BN349" s="24" t="str">
        <f t="shared" si="93"/>
        <v/>
      </c>
      <c r="BO349" s="24">
        <f t="shared" si="94"/>
        <v>0</v>
      </c>
      <c r="BP349" s="24">
        <f t="shared" si="95"/>
        <v>0</v>
      </c>
    </row>
    <row r="350" spans="2:68" s="24" customFormat="1" ht="12.75" x14ac:dyDescent="0.2">
      <c r="B350" s="97"/>
      <c r="C350" s="92"/>
      <c r="D350" s="92"/>
      <c r="E350" s="92"/>
      <c r="F350" s="31" t="str">
        <f>IF(G350=1,IF(ISERROR(TableCosts[[#This Row],[N_Tariff]]),Err_Message1,IF(TableCosts[[#This Row],[N_Tariff]]=0,Err_Message2,VLOOKUP(C350&amp;TableCosts[[#This Row],[Calc_N_Typ]],TRAN_STRITEMS_LABEL,5,FALSE))),"")</f>
        <v/>
      </c>
      <c r="G350" s="31">
        <f t="shared" si="84"/>
        <v>0</v>
      </c>
      <c r="H350" s="31" t="str">
        <f>IF(G350=1,IFERROR(VLOOKUP(F350,Tab_ErrMessage[],2,0),VLOOKUP(C350&amp;TableCosts[[#This Row],[Calc_N_Typ]],TRAN_STRITEMS_LABEL,4,FALSE)),"")</f>
        <v/>
      </c>
      <c r="I350" s="94"/>
      <c r="J350" s="94"/>
      <c r="K350" s="94"/>
      <c r="L350" s="84"/>
      <c r="M350" s="84"/>
      <c r="N350" s="84"/>
      <c r="O350" s="84"/>
      <c r="P350" s="84"/>
      <c r="Q350" s="84"/>
      <c r="R350" s="84"/>
      <c r="S350" s="84"/>
      <c r="T350" s="84"/>
      <c r="U350" s="84"/>
      <c r="V350" s="84"/>
      <c r="W350" s="84"/>
      <c r="X350" s="84"/>
      <c r="Y350" s="84"/>
      <c r="Z350" s="84"/>
      <c r="AA350" s="84"/>
      <c r="AB350" s="84"/>
      <c r="AC350" s="84"/>
      <c r="AD350" s="84"/>
      <c r="AE350" s="84"/>
      <c r="AF350" s="84"/>
      <c r="AG350" s="84"/>
      <c r="AH350" s="84"/>
      <c r="AI350" s="84"/>
      <c r="AJ350" s="84"/>
      <c r="AK350" s="84"/>
      <c r="AL350" s="84"/>
      <c r="AM350" s="84"/>
      <c r="AN350" s="84"/>
      <c r="AO350" s="84"/>
      <c r="AP350" s="84"/>
      <c r="AQ350" s="84"/>
      <c r="AR350" s="84"/>
      <c r="AS350" s="84"/>
      <c r="AT350" s="84"/>
      <c r="AU350" s="84"/>
      <c r="AV350" s="84"/>
      <c r="AW350" s="84"/>
      <c r="AX350" s="87">
        <f t="array" ref="AX350">IF(G350=1,SUM((ROW(M0)=ROW(AW350))*(M0+M1_+M2_+M3_+M4_+M5_+M6_+M7_+M8_+M9_+M10_+M11_+M12_+M13_+M14_+M15_+M16_+M17_+M18_+M19_+M20_+M21_+M22_+M23_+M24_+M25_+M26_+M27_+M28_+M29_+M30_+M31_+M32_+M33_+M34_+M35_+M36_+M37_)),0)</f>
        <v>0</v>
      </c>
      <c r="AZ350" s="24" t="str">
        <f t="shared" si="85"/>
        <v/>
      </c>
      <c r="BA350" s="24" t="str">
        <f t="shared" si="86"/>
        <v/>
      </c>
      <c r="BB350" s="24" t="str">
        <f t="shared" si="87"/>
        <v/>
      </c>
      <c r="BC350" s="24" t="str">
        <f>IF(OR(E350="",LEFT(TableCosts[[#This Row],[Calc_N_Typ]],18)="Vynaložené náklady"),"",VLOOKUP(E350,Tab_Parts,2,0))</f>
        <v/>
      </c>
      <c r="BD350" s="24" t="str">
        <f t="shared" si="88"/>
        <v/>
      </c>
      <c r="BE350" s="24">
        <f t="shared" si="89"/>
        <v>0</v>
      </c>
      <c r="BF350" s="72">
        <f>TableCosts[[#This Row],[N_Amount]]*TableCosts[[#This Row],[N_Tariff]]*TableCosts[[#This Row],[N_ItemsCount]]</f>
        <v>0</v>
      </c>
      <c r="BG350" s="72">
        <f>IF(G350=1,IF(TableCosts[[#This Row],[N_Kateg]]="interné práce",TableCosts[[#This Row],[N_Amount]]*8*PAR_SGA_PERHOUR,0),0)</f>
        <v>0</v>
      </c>
      <c r="BH350" s="72">
        <f>SUM(TableCosts[[#This Row],[N_Direct]:[N_SGA]])</f>
        <v>0</v>
      </c>
      <c r="BI350" s="24">
        <f>IF(G350=1,IF(OR(AND(NOT(ISERROR(VLOOKUP(TableCosts[[#This Row],[Calc_N_Typ]],Cis_WorkPositions,1,0))),C350&lt;&gt;"",D350&lt;&gt;"",E350&lt;&gt;""),AND(ISERROR(VLOOKUP(TableCosts[[#This Row],[Calc_N_Typ]],Cis_WorkPositions,1,0)),C350="",D350="",E350&lt;&gt;""),LEFT(TableCosts[[#This Row],[Calc_N_Typ]],18)="Vynaložené náklady"),VLOOKUP(C350&amp;TableCosts[[#This Row],[Calc_N_Typ]],TRAN_STRITEMS_LABEL,VLOOKUP(D350,Tab_Hours,3,0),0),NA()),0)</f>
        <v>0</v>
      </c>
      <c r="BJ350" s="24">
        <f t="shared" si="90"/>
        <v>0</v>
      </c>
      <c r="BK350" s="24" t="str">
        <f t="shared" si="91"/>
        <v/>
      </c>
      <c r="BL350" s="24" t="str">
        <f t="shared" si="92"/>
        <v/>
      </c>
      <c r="BM350" s="24" t="str">
        <f>IF(G350=1,IF(TableCosts[[#This Row],[TransferFrom]]=TableCosts[[#This Row],[TranferTo]],0,1),"")</f>
        <v/>
      </c>
      <c r="BN350" s="24" t="str">
        <f t="shared" si="93"/>
        <v/>
      </c>
      <c r="BO350" s="24">
        <f t="shared" si="94"/>
        <v>0</v>
      </c>
      <c r="BP350" s="24">
        <f t="shared" si="95"/>
        <v>0</v>
      </c>
    </row>
    <row r="351" spans="2:68" s="24" customFormat="1" ht="12.75" x14ac:dyDescent="0.2">
      <c r="B351" s="97"/>
      <c r="C351" s="92"/>
      <c r="D351" s="92"/>
      <c r="E351" s="92"/>
      <c r="F351" s="31" t="str">
        <f>IF(G351=1,IF(ISERROR(TableCosts[[#This Row],[N_Tariff]]),Err_Message1,IF(TableCosts[[#This Row],[N_Tariff]]=0,Err_Message2,VLOOKUP(C351&amp;TableCosts[[#This Row],[Calc_N_Typ]],TRAN_STRITEMS_LABEL,5,FALSE))),"")</f>
        <v/>
      </c>
      <c r="G351" s="31">
        <f t="shared" si="84"/>
        <v>0</v>
      </c>
      <c r="H351" s="31" t="str">
        <f>IF(G351=1,IFERROR(VLOOKUP(F351,Tab_ErrMessage[],2,0),VLOOKUP(C351&amp;TableCosts[[#This Row],[Calc_N_Typ]],TRAN_STRITEMS_LABEL,4,FALSE)),"")</f>
        <v/>
      </c>
      <c r="I351" s="94"/>
      <c r="J351" s="94"/>
      <c r="K351" s="94"/>
      <c r="L351" s="84"/>
      <c r="M351" s="84"/>
      <c r="N351" s="84"/>
      <c r="O351" s="84"/>
      <c r="P351" s="84"/>
      <c r="Q351" s="84"/>
      <c r="R351" s="84"/>
      <c r="S351" s="84"/>
      <c r="T351" s="84"/>
      <c r="U351" s="84"/>
      <c r="V351" s="84"/>
      <c r="W351" s="84"/>
      <c r="X351" s="84"/>
      <c r="Y351" s="84"/>
      <c r="Z351" s="84"/>
      <c r="AA351" s="84"/>
      <c r="AB351" s="84"/>
      <c r="AC351" s="84"/>
      <c r="AD351" s="84"/>
      <c r="AE351" s="84"/>
      <c r="AF351" s="84"/>
      <c r="AG351" s="84"/>
      <c r="AH351" s="84"/>
      <c r="AI351" s="84"/>
      <c r="AJ351" s="84"/>
      <c r="AK351" s="84"/>
      <c r="AL351" s="84"/>
      <c r="AM351" s="84"/>
      <c r="AN351" s="84"/>
      <c r="AO351" s="84"/>
      <c r="AP351" s="84"/>
      <c r="AQ351" s="84"/>
      <c r="AR351" s="84"/>
      <c r="AS351" s="84"/>
      <c r="AT351" s="84"/>
      <c r="AU351" s="84"/>
      <c r="AV351" s="84"/>
      <c r="AW351" s="84"/>
      <c r="AX351" s="87">
        <f t="array" ref="AX351">IF(G351=1,SUM((ROW(M0)=ROW(AW351))*(M0+M1_+M2_+M3_+M4_+M5_+M6_+M7_+M8_+M9_+M10_+M11_+M12_+M13_+M14_+M15_+M16_+M17_+M18_+M19_+M20_+M21_+M22_+M23_+M24_+M25_+M26_+M27_+M28_+M29_+M30_+M31_+M32_+M33_+M34_+M35_+M36_+M37_)),0)</f>
        <v>0</v>
      </c>
      <c r="AZ351" s="24" t="str">
        <f t="shared" si="85"/>
        <v/>
      </c>
      <c r="BA351" s="24" t="str">
        <f t="shared" si="86"/>
        <v/>
      </c>
      <c r="BB351" s="24" t="str">
        <f t="shared" si="87"/>
        <v/>
      </c>
      <c r="BC351" s="24" t="str">
        <f>IF(OR(E351="",LEFT(TableCosts[[#This Row],[Calc_N_Typ]],18)="Vynaložené náklady"),"",VLOOKUP(E351,Tab_Parts,2,0))</f>
        <v/>
      </c>
      <c r="BD351" s="24" t="str">
        <f t="shared" si="88"/>
        <v/>
      </c>
      <c r="BE351" s="24">
        <f t="shared" si="89"/>
        <v>0</v>
      </c>
      <c r="BF351" s="72">
        <f>TableCosts[[#This Row],[N_Amount]]*TableCosts[[#This Row],[N_Tariff]]*TableCosts[[#This Row],[N_ItemsCount]]</f>
        <v>0</v>
      </c>
      <c r="BG351" s="72">
        <f>IF(G351=1,IF(TableCosts[[#This Row],[N_Kateg]]="interné práce",TableCosts[[#This Row],[N_Amount]]*8*PAR_SGA_PERHOUR,0),0)</f>
        <v>0</v>
      </c>
      <c r="BH351" s="72">
        <f>SUM(TableCosts[[#This Row],[N_Direct]:[N_SGA]])</f>
        <v>0</v>
      </c>
      <c r="BI351" s="24">
        <f>IF(G351=1,IF(OR(AND(NOT(ISERROR(VLOOKUP(TableCosts[[#This Row],[Calc_N_Typ]],Cis_WorkPositions,1,0))),C351&lt;&gt;"",D351&lt;&gt;"",E351&lt;&gt;""),AND(ISERROR(VLOOKUP(TableCosts[[#This Row],[Calc_N_Typ]],Cis_WorkPositions,1,0)),C351="",D351="",E351&lt;&gt;""),LEFT(TableCosts[[#This Row],[Calc_N_Typ]],18)="Vynaložené náklady"),VLOOKUP(C351&amp;TableCosts[[#This Row],[Calc_N_Typ]],TRAN_STRITEMS_LABEL,VLOOKUP(D351,Tab_Hours,3,0),0),NA()),0)</f>
        <v>0</v>
      </c>
      <c r="BJ351" s="24">
        <f t="shared" si="90"/>
        <v>0</v>
      </c>
      <c r="BK351" s="24" t="str">
        <f t="shared" si="91"/>
        <v/>
      </c>
      <c r="BL351" s="24" t="str">
        <f t="shared" si="92"/>
        <v/>
      </c>
      <c r="BM351" s="24" t="str">
        <f>IF(G351=1,IF(TableCosts[[#This Row],[TransferFrom]]=TableCosts[[#This Row],[TranferTo]],0,1),"")</f>
        <v/>
      </c>
      <c r="BN351" s="24" t="str">
        <f t="shared" si="93"/>
        <v/>
      </c>
      <c r="BO351" s="24">
        <f t="shared" si="94"/>
        <v>0</v>
      </c>
      <c r="BP351" s="24">
        <f t="shared" si="95"/>
        <v>0</v>
      </c>
    </row>
    <row r="352" spans="2:68" s="24" customFormat="1" ht="12.75" x14ac:dyDescent="0.2">
      <c r="B352" s="97"/>
      <c r="C352" s="92"/>
      <c r="D352" s="92"/>
      <c r="E352" s="92"/>
      <c r="F352" s="31" t="str">
        <f>IF(G352=1,IF(ISERROR(TableCosts[[#This Row],[N_Tariff]]),Err_Message1,IF(TableCosts[[#This Row],[N_Tariff]]=0,Err_Message2,VLOOKUP(C352&amp;TableCosts[[#This Row],[Calc_N_Typ]],TRAN_STRITEMS_LABEL,5,FALSE))),"")</f>
        <v/>
      </c>
      <c r="G352" s="31">
        <f t="shared" si="84"/>
        <v>0</v>
      </c>
      <c r="H352" s="31" t="str">
        <f>IF(G352=1,IFERROR(VLOOKUP(F352,Tab_ErrMessage[],2,0),VLOOKUP(C352&amp;TableCosts[[#This Row],[Calc_N_Typ]],TRAN_STRITEMS_LABEL,4,FALSE)),"")</f>
        <v/>
      </c>
      <c r="I352" s="94"/>
      <c r="J352" s="94"/>
      <c r="K352" s="94"/>
      <c r="L352" s="84"/>
      <c r="M352" s="84"/>
      <c r="N352" s="84"/>
      <c r="O352" s="84"/>
      <c r="P352" s="84"/>
      <c r="Q352" s="84"/>
      <c r="R352" s="84"/>
      <c r="S352" s="84"/>
      <c r="T352" s="84"/>
      <c r="U352" s="84"/>
      <c r="V352" s="84"/>
      <c r="W352" s="84"/>
      <c r="X352" s="84"/>
      <c r="Y352" s="84"/>
      <c r="Z352" s="84"/>
      <c r="AA352" s="84"/>
      <c r="AB352" s="84"/>
      <c r="AC352" s="84"/>
      <c r="AD352" s="84"/>
      <c r="AE352" s="84"/>
      <c r="AF352" s="84"/>
      <c r="AG352" s="84"/>
      <c r="AH352" s="84"/>
      <c r="AI352" s="84"/>
      <c r="AJ352" s="84"/>
      <c r="AK352" s="84"/>
      <c r="AL352" s="84"/>
      <c r="AM352" s="84"/>
      <c r="AN352" s="84"/>
      <c r="AO352" s="84"/>
      <c r="AP352" s="84"/>
      <c r="AQ352" s="84"/>
      <c r="AR352" s="84"/>
      <c r="AS352" s="84"/>
      <c r="AT352" s="84"/>
      <c r="AU352" s="84"/>
      <c r="AV352" s="84"/>
      <c r="AW352" s="84"/>
      <c r="AX352" s="87">
        <f t="array" ref="AX352">IF(G352=1,SUM((ROW(M0)=ROW(AW352))*(M0+M1_+M2_+M3_+M4_+M5_+M6_+M7_+M8_+M9_+M10_+M11_+M12_+M13_+M14_+M15_+M16_+M17_+M18_+M19_+M20_+M21_+M22_+M23_+M24_+M25_+M26_+M27_+M28_+M29_+M30_+M31_+M32_+M33_+M34_+M35_+M36_+M37_)),0)</f>
        <v>0</v>
      </c>
      <c r="AZ352" s="24" t="str">
        <f t="shared" si="85"/>
        <v/>
      </c>
      <c r="BA352" s="24" t="str">
        <f t="shared" si="86"/>
        <v/>
      </c>
      <c r="BB352" s="24" t="str">
        <f t="shared" si="87"/>
        <v/>
      </c>
      <c r="BC352" s="24" t="str">
        <f>IF(OR(E352="",LEFT(TableCosts[[#This Row],[Calc_N_Typ]],18)="Vynaložené náklady"),"",VLOOKUP(E352,Tab_Parts,2,0))</f>
        <v/>
      </c>
      <c r="BD352" s="24" t="str">
        <f t="shared" si="88"/>
        <v/>
      </c>
      <c r="BE352" s="24">
        <f t="shared" si="89"/>
        <v>0</v>
      </c>
      <c r="BF352" s="72">
        <f>TableCosts[[#This Row],[N_Amount]]*TableCosts[[#This Row],[N_Tariff]]*TableCosts[[#This Row],[N_ItemsCount]]</f>
        <v>0</v>
      </c>
      <c r="BG352" s="72">
        <f>IF(G352=1,IF(TableCosts[[#This Row],[N_Kateg]]="interné práce",TableCosts[[#This Row],[N_Amount]]*8*PAR_SGA_PERHOUR,0),0)</f>
        <v>0</v>
      </c>
      <c r="BH352" s="72">
        <f>SUM(TableCosts[[#This Row],[N_Direct]:[N_SGA]])</f>
        <v>0</v>
      </c>
      <c r="BI352" s="24">
        <f>IF(G352=1,IF(OR(AND(NOT(ISERROR(VLOOKUP(TableCosts[[#This Row],[Calc_N_Typ]],Cis_WorkPositions,1,0))),C352&lt;&gt;"",D352&lt;&gt;"",E352&lt;&gt;""),AND(ISERROR(VLOOKUP(TableCosts[[#This Row],[Calc_N_Typ]],Cis_WorkPositions,1,0)),C352="",D352="",E352&lt;&gt;""),LEFT(TableCosts[[#This Row],[Calc_N_Typ]],18)="Vynaložené náklady"),VLOOKUP(C352&amp;TableCosts[[#This Row],[Calc_N_Typ]],TRAN_STRITEMS_LABEL,VLOOKUP(D352,Tab_Hours,3,0),0),NA()),0)</f>
        <v>0</v>
      </c>
      <c r="BJ352" s="24">
        <f t="shared" si="90"/>
        <v>0</v>
      </c>
      <c r="BK352" s="24" t="str">
        <f t="shared" si="91"/>
        <v/>
      </c>
      <c r="BL352" s="24" t="str">
        <f t="shared" si="92"/>
        <v/>
      </c>
      <c r="BM352" s="24" t="str">
        <f>IF(G352=1,IF(TableCosts[[#This Row],[TransferFrom]]=TableCosts[[#This Row],[TranferTo]],0,1),"")</f>
        <v/>
      </c>
      <c r="BN352" s="24" t="str">
        <f t="shared" si="93"/>
        <v/>
      </c>
      <c r="BO352" s="24">
        <f t="shared" si="94"/>
        <v>0</v>
      </c>
      <c r="BP352" s="24">
        <f t="shared" si="95"/>
        <v>0</v>
      </c>
    </row>
    <row r="353" spans="2:68" s="24" customFormat="1" ht="12.75" x14ac:dyDescent="0.2">
      <c r="B353" s="97"/>
      <c r="C353" s="92"/>
      <c r="D353" s="92"/>
      <c r="E353" s="92"/>
      <c r="F353" s="31" t="str">
        <f>IF(G353=1,IF(ISERROR(TableCosts[[#This Row],[N_Tariff]]),Err_Message1,IF(TableCosts[[#This Row],[N_Tariff]]=0,Err_Message2,VLOOKUP(C353&amp;TableCosts[[#This Row],[Calc_N_Typ]],TRAN_STRITEMS_LABEL,5,FALSE))),"")</f>
        <v/>
      </c>
      <c r="G353" s="31">
        <f t="shared" si="84"/>
        <v>0</v>
      </c>
      <c r="H353" s="31" t="str">
        <f>IF(G353=1,IFERROR(VLOOKUP(F353,Tab_ErrMessage[],2,0),VLOOKUP(C353&amp;TableCosts[[#This Row],[Calc_N_Typ]],TRAN_STRITEMS_LABEL,4,FALSE)),"")</f>
        <v/>
      </c>
      <c r="I353" s="94"/>
      <c r="J353" s="94"/>
      <c r="K353" s="94"/>
      <c r="L353" s="84"/>
      <c r="M353" s="84"/>
      <c r="N353" s="84"/>
      <c r="O353" s="84"/>
      <c r="P353" s="84"/>
      <c r="Q353" s="84"/>
      <c r="R353" s="84"/>
      <c r="S353" s="84"/>
      <c r="T353" s="84"/>
      <c r="U353" s="84"/>
      <c r="V353" s="84"/>
      <c r="W353" s="84"/>
      <c r="X353" s="84"/>
      <c r="Y353" s="84"/>
      <c r="Z353" s="84"/>
      <c r="AA353" s="84"/>
      <c r="AB353" s="84"/>
      <c r="AC353" s="84"/>
      <c r="AD353" s="84"/>
      <c r="AE353" s="84"/>
      <c r="AF353" s="84"/>
      <c r="AG353" s="84"/>
      <c r="AH353" s="84"/>
      <c r="AI353" s="84"/>
      <c r="AJ353" s="84"/>
      <c r="AK353" s="84"/>
      <c r="AL353" s="84"/>
      <c r="AM353" s="84"/>
      <c r="AN353" s="84"/>
      <c r="AO353" s="84"/>
      <c r="AP353" s="84"/>
      <c r="AQ353" s="84"/>
      <c r="AR353" s="84"/>
      <c r="AS353" s="84"/>
      <c r="AT353" s="84"/>
      <c r="AU353" s="84"/>
      <c r="AV353" s="84"/>
      <c r="AW353" s="84"/>
      <c r="AX353" s="87">
        <f t="array" ref="AX353">IF(G353=1,SUM((ROW(M0)=ROW(AW353))*(M0+M1_+M2_+M3_+M4_+M5_+M6_+M7_+M8_+M9_+M10_+M11_+M12_+M13_+M14_+M15_+M16_+M17_+M18_+M19_+M20_+M21_+M22_+M23_+M24_+M25_+M26_+M27_+M28_+M29_+M30_+M31_+M32_+M33_+M34_+M35_+M36_+M37_)),0)</f>
        <v>0</v>
      </c>
      <c r="AZ353" s="24" t="str">
        <f t="shared" si="85"/>
        <v/>
      </c>
      <c r="BA353" s="24" t="str">
        <f t="shared" si="86"/>
        <v/>
      </c>
      <c r="BB353" s="24" t="str">
        <f t="shared" si="87"/>
        <v/>
      </c>
      <c r="BC353" s="24" t="str">
        <f>IF(OR(E353="",LEFT(TableCosts[[#This Row],[Calc_N_Typ]],18)="Vynaložené náklady"),"",VLOOKUP(E353,Tab_Parts,2,0))</f>
        <v/>
      </c>
      <c r="BD353" s="24" t="str">
        <f t="shared" si="88"/>
        <v/>
      </c>
      <c r="BE353" s="24">
        <f t="shared" si="89"/>
        <v>0</v>
      </c>
      <c r="BF353" s="72">
        <f>TableCosts[[#This Row],[N_Amount]]*TableCosts[[#This Row],[N_Tariff]]*TableCosts[[#This Row],[N_ItemsCount]]</f>
        <v>0</v>
      </c>
      <c r="BG353" s="72">
        <f>IF(G353=1,IF(TableCosts[[#This Row],[N_Kateg]]="interné práce",TableCosts[[#This Row],[N_Amount]]*8*PAR_SGA_PERHOUR,0),0)</f>
        <v>0</v>
      </c>
      <c r="BH353" s="72">
        <f>SUM(TableCosts[[#This Row],[N_Direct]:[N_SGA]])</f>
        <v>0</v>
      </c>
      <c r="BI353" s="24">
        <f>IF(G353=1,IF(OR(AND(NOT(ISERROR(VLOOKUP(TableCosts[[#This Row],[Calc_N_Typ]],Cis_WorkPositions,1,0))),C353&lt;&gt;"",D353&lt;&gt;"",E353&lt;&gt;""),AND(ISERROR(VLOOKUP(TableCosts[[#This Row],[Calc_N_Typ]],Cis_WorkPositions,1,0)),C353="",D353="",E353&lt;&gt;""),LEFT(TableCosts[[#This Row],[Calc_N_Typ]],18)="Vynaložené náklady"),VLOOKUP(C353&amp;TableCosts[[#This Row],[Calc_N_Typ]],TRAN_STRITEMS_LABEL,VLOOKUP(D353,Tab_Hours,3,0),0),NA()),0)</f>
        <v>0</v>
      </c>
      <c r="BJ353" s="24">
        <f t="shared" si="90"/>
        <v>0</v>
      </c>
      <c r="BK353" s="24" t="str">
        <f t="shared" si="91"/>
        <v/>
      </c>
      <c r="BL353" s="24" t="str">
        <f t="shared" si="92"/>
        <v/>
      </c>
      <c r="BM353" s="24" t="str">
        <f>IF(G353=1,IF(TableCosts[[#This Row],[TransferFrom]]=TableCosts[[#This Row],[TranferTo]],0,1),"")</f>
        <v/>
      </c>
      <c r="BN353" s="24" t="str">
        <f t="shared" si="93"/>
        <v/>
      </c>
      <c r="BO353" s="24">
        <f t="shared" si="94"/>
        <v>0</v>
      </c>
      <c r="BP353" s="24">
        <f t="shared" si="95"/>
        <v>0</v>
      </c>
    </row>
    <row r="354" spans="2:68" s="24" customFormat="1" ht="12.75" x14ac:dyDescent="0.2">
      <c r="B354" s="97"/>
      <c r="C354" s="92"/>
      <c r="D354" s="92"/>
      <c r="E354" s="92"/>
      <c r="F354" s="31" t="str">
        <f>IF(G354=1,IF(ISERROR(TableCosts[[#This Row],[N_Tariff]]),Err_Message1,IF(TableCosts[[#This Row],[N_Tariff]]=0,Err_Message2,VLOOKUP(C354&amp;TableCosts[[#This Row],[Calc_N_Typ]],TRAN_STRITEMS_LABEL,5,FALSE))),"")</f>
        <v/>
      </c>
      <c r="G354" s="31">
        <f t="shared" si="84"/>
        <v>0</v>
      </c>
      <c r="H354" s="31" t="str">
        <f>IF(G354=1,IFERROR(VLOOKUP(F354,Tab_ErrMessage[],2,0),VLOOKUP(C354&amp;TableCosts[[#This Row],[Calc_N_Typ]],TRAN_STRITEMS_LABEL,4,FALSE)),"")</f>
        <v/>
      </c>
      <c r="I354" s="94"/>
      <c r="J354" s="94"/>
      <c r="K354" s="94"/>
      <c r="L354" s="84"/>
      <c r="M354" s="84"/>
      <c r="N354" s="84"/>
      <c r="O354" s="84"/>
      <c r="P354" s="84"/>
      <c r="Q354" s="84"/>
      <c r="R354" s="84"/>
      <c r="S354" s="84"/>
      <c r="T354" s="84"/>
      <c r="U354" s="84"/>
      <c r="V354" s="84"/>
      <c r="W354" s="84"/>
      <c r="X354" s="84"/>
      <c r="Y354" s="84"/>
      <c r="Z354" s="84"/>
      <c r="AA354" s="84"/>
      <c r="AB354" s="84"/>
      <c r="AC354" s="84"/>
      <c r="AD354" s="84"/>
      <c r="AE354" s="84"/>
      <c r="AF354" s="84"/>
      <c r="AG354" s="84"/>
      <c r="AH354" s="84"/>
      <c r="AI354" s="84"/>
      <c r="AJ354" s="84"/>
      <c r="AK354" s="84"/>
      <c r="AL354" s="84"/>
      <c r="AM354" s="84"/>
      <c r="AN354" s="84"/>
      <c r="AO354" s="84"/>
      <c r="AP354" s="84"/>
      <c r="AQ354" s="84"/>
      <c r="AR354" s="84"/>
      <c r="AS354" s="84"/>
      <c r="AT354" s="84"/>
      <c r="AU354" s="84"/>
      <c r="AV354" s="84"/>
      <c r="AW354" s="84"/>
      <c r="AX354" s="87">
        <f t="array" ref="AX354">IF(G354=1,SUM((ROW(M0)=ROW(AW354))*(M0+M1_+M2_+M3_+M4_+M5_+M6_+M7_+M8_+M9_+M10_+M11_+M12_+M13_+M14_+M15_+M16_+M17_+M18_+M19_+M20_+M21_+M22_+M23_+M24_+M25_+M26_+M27_+M28_+M29_+M30_+M31_+M32_+M33_+M34_+M35_+M36_+M37_)),0)</f>
        <v>0</v>
      </c>
      <c r="AZ354" s="24" t="str">
        <f t="shared" si="85"/>
        <v/>
      </c>
      <c r="BA354" s="24" t="str">
        <f t="shared" si="86"/>
        <v/>
      </c>
      <c r="BB354" s="24" t="str">
        <f t="shared" si="87"/>
        <v/>
      </c>
      <c r="BC354" s="24" t="str">
        <f>IF(OR(E354="",LEFT(TableCosts[[#This Row],[Calc_N_Typ]],18)="Vynaložené náklady"),"",VLOOKUP(E354,Tab_Parts,2,0))</f>
        <v/>
      </c>
      <c r="BD354" s="24" t="str">
        <f t="shared" si="88"/>
        <v/>
      </c>
      <c r="BE354" s="24">
        <f t="shared" si="89"/>
        <v>0</v>
      </c>
      <c r="BF354" s="72">
        <f>TableCosts[[#This Row],[N_Amount]]*TableCosts[[#This Row],[N_Tariff]]*TableCosts[[#This Row],[N_ItemsCount]]</f>
        <v>0</v>
      </c>
      <c r="BG354" s="72">
        <f>IF(G354=1,IF(TableCosts[[#This Row],[N_Kateg]]="interné práce",TableCosts[[#This Row],[N_Amount]]*8*PAR_SGA_PERHOUR,0),0)</f>
        <v>0</v>
      </c>
      <c r="BH354" s="72">
        <f>SUM(TableCosts[[#This Row],[N_Direct]:[N_SGA]])</f>
        <v>0</v>
      </c>
      <c r="BI354" s="24">
        <f>IF(G354=1,IF(OR(AND(NOT(ISERROR(VLOOKUP(TableCosts[[#This Row],[Calc_N_Typ]],Cis_WorkPositions,1,0))),C354&lt;&gt;"",D354&lt;&gt;"",E354&lt;&gt;""),AND(ISERROR(VLOOKUP(TableCosts[[#This Row],[Calc_N_Typ]],Cis_WorkPositions,1,0)),C354="",D354="",E354&lt;&gt;""),LEFT(TableCosts[[#This Row],[Calc_N_Typ]],18)="Vynaložené náklady"),VLOOKUP(C354&amp;TableCosts[[#This Row],[Calc_N_Typ]],TRAN_STRITEMS_LABEL,VLOOKUP(D354,Tab_Hours,3,0),0),NA()),0)</f>
        <v>0</v>
      </c>
      <c r="BJ354" s="24">
        <f t="shared" si="90"/>
        <v>0</v>
      </c>
      <c r="BK354" s="24" t="str">
        <f t="shared" si="91"/>
        <v/>
      </c>
      <c r="BL354" s="24" t="str">
        <f t="shared" si="92"/>
        <v/>
      </c>
      <c r="BM354" s="24" t="str">
        <f>IF(G354=1,IF(TableCosts[[#This Row],[TransferFrom]]=TableCosts[[#This Row],[TranferTo]],0,1),"")</f>
        <v/>
      </c>
      <c r="BN354" s="24" t="str">
        <f t="shared" si="93"/>
        <v/>
      </c>
      <c r="BO354" s="24">
        <f t="shared" si="94"/>
        <v>0</v>
      </c>
      <c r="BP354" s="24">
        <f t="shared" si="95"/>
        <v>0</v>
      </c>
    </row>
    <row r="355" spans="2:68" s="24" customFormat="1" ht="12.75" x14ac:dyDescent="0.2">
      <c r="B355" s="97"/>
      <c r="C355" s="92"/>
      <c r="D355" s="92"/>
      <c r="E355" s="92"/>
      <c r="F355" s="31" t="str">
        <f>IF(G355=1,IF(ISERROR(TableCosts[[#This Row],[N_Tariff]]),Err_Message1,IF(TableCosts[[#This Row],[N_Tariff]]=0,Err_Message2,VLOOKUP(C355&amp;TableCosts[[#This Row],[Calc_N_Typ]],TRAN_STRITEMS_LABEL,5,FALSE))),"")</f>
        <v/>
      </c>
      <c r="G355" s="31">
        <f t="shared" si="84"/>
        <v>0</v>
      </c>
      <c r="H355" s="31" t="str">
        <f>IF(G355=1,IFERROR(VLOOKUP(F355,Tab_ErrMessage[],2,0),VLOOKUP(C355&amp;TableCosts[[#This Row],[Calc_N_Typ]],TRAN_STRITEMS_LABEL,4,FALSE)),"")</f>
        <v/>
      </c>
      <c r="I355" s="94"/>
      <c r="J355" s="94"/>
      <c r="K355" s="94"/>
      <c r="L355" s="84"/>
      <c r="M355" s="84"/>
      <c r="N355" s="84"/>
      <c r="O355" s="84"/>
      <c r="P355" s="84"/>
      <c r="Q355" s="84"/>
      <c r="R355" s="84"/>
      <c r="S355" s="84"/>
      <c r="T355" s="84"/>
      <c r="U355" s="84"/>
      <c r="V355" s="84"/>
      <c r="W355" s="84"/>
      <c r="X355" s="84"/>
      <c r="Y355" s="84"/>
      <c r="Z355" s="84"/>
      <c r="AA355" s="84"/>
      <c r="AB355" s="84"/>
      <c r="AC355" s="84"/>
      <c r="AD355" s="84"/>
      <c r="AE355" s="84"/>
      <c r="AF355" s="84"/>
      <c r="AG355" s="84"/>
      <c r="AH355" s="84"/>
      <c r="AI355" s="84"/>
      <c r="AJ355" s="84"/>
      <c r="AK355" s="84"/>
      <c r="AL355" s="84"/>
      <c r="AM355" s="84"/>
      <c r="AN355" s="84"/>
      <c r="AO355" s="84"/>
      <c r="AP355" s="84"/>
      <c r="AQ355" s="84"/>
      <c r="AR355" s="84"/>
      <c r="AS355" s="84"/>
      <c r="AT355" s="84"/>
      <c r="AU355" s="84"/>
      <c r="AV355" s="84"/>
      <c r="AW355" s="84"/>
      <c r="AX355" s="87">
        <f t="array" ref="AX355">IF(G355=1,SUM((ROW(M0)=ROW(AW355))*(M0+M1_+M2_+M3_+M4_+M5_+M6_+M7_+M8_+M9_+M10_+M11_+M12_+M13_+M14_+M15_+M16_+M17_+M18_+M19_+M20_+M21_+M22_+M23_+M24_+M25_+M26_+M27_+M28_+M29_+M30_+M31_+M32_+M33_+M34_+M35_+M36_+M37_)),0)</f>
        <v>0</v>
      </c>
      <c r="AZ355" s="24" t="str">
        <f t="shared" si="85"/>
        <v/>
      </c>
      <c r="BA355" s="24" t="str">
        <f t="shared" si="86"/>
        <v/>
      </c>
      <c r="BB355" s="24" t="str">
        <f t="shared" si="87"/>
        <v/>
      </c>
      <c r="BC355" s="24" t="str">
        <f>IF(OR(E355="",LEFT(TableCosts[[#This Row],[Calc_N_Typ]],18)="Vynaložené náklady"),"",VLOOKUP(E355,Tab_Parts,2,0))</f>
        <v/>
      </c>
      <c r="BD355" s="24" t="str">
        <f t="shared" si="88"/>
        <v/>
      </c>
      <c r="BE355" s="24">
        <f t="shared" si="89"/>
        <v>0</v>
      </c>
      <c r="BF355" s="72">
        <f>TableCosts[[#This Row],[N_Amount]]*TableCosts[[#This Row],[N_Tariff]]*TableCosts[[#This Row],[N_ItemsCount]]</f>
        <v>0</v>
      </c>
      <c r="BG355" s="72">
        <f>IF(G355=1,IF(TableCosts[[#This Row],[N_Kateg]]="interné práce",TableCosts[[#This Row],[N_Amount]]*8*PAR_SGA_PERHOUR,0),0)</f>
        <v>0</v>
      </c>
      <c r="BH355" s="72">
        <f>SUM(TableCosts[[#This Row],[N_Direct]:[N_SGA]])</f>
        <v>0</v>
      </c>
      <c r="BI355" s="24">
        <f>IF(G355=1,IF(OR(AND(NOT(ISERROR(VLOOKUP(TableCosts[[#This Row],[Calc_N_Typ]],Cis_WorkPositions,1,0))),C355&lt;&gt;"",D355&lt;&gt;"",E355&lt;&gt;""),AND(ISERROR(VLOOKUP(TableCosts[[#This Row],[Calc_N_Typ]],Cis_WorkPositions,1,0)),C355="",D355="",E355&lt;&gt;""),LEFT(TableCosts[[#This Row],[Calc_N_Typ]],18)="Vynaložené náklady"),VLOOKUP(C355&amp;TableCosts[[#This Row],[Calc_N_Typ]],TRAN_STRITEMS_LABEL,VLOOKUP(D355,Tab_Hours,3,0),0),NA()),0)</f>
        <v>0</v>
      </c>
      <c r="BJ355" s="24">
        <f t="shared" si="90"/>
        <v>0</v>
      </c>
      <c r="BK355" s="24" t="str">
        <f t="shared" si="91"/>
        <v/>
      </c>
      <c r="BL355" s="24" t="str">
        <f t="shared" si="92"/>
        <v/>
      </c>
      <c r="BM355" s="24" t="str">
        <f>IF(G355=1,IF(TableCosts[[#This Row],[TransferFrom]]=TableCosts[[#This Row],[TranferTo]],0,1),"")</f>
        <v/>
      </c>
      <c r="BN355" s="24" t="str">
        <f t="shared" si="93"/>
        <v/>
      </c>
      <c r="BO355" s="24">
        <f t="shared" si="94"/>
        <v>0</v>
      </c>
      <c r="BP355" s="24">
        <f t="shared" si="95"/>
        <v>0</v>
      </c>
    </row>
    <row r="356" spans="2:68" s="24" customFormat="1" ht="12.75" x14ac:dyDescent="0.2">
      <c r="B356" s="97"/>
      <c r="C356" s="92"/>
      <c r="D356" s="92"/>
      <c r="E356" s="92"/>
      <c r="F356" s="31" t="str">
        <f>IF(G356=1,IF(ISERROR(TableCosts[[#This Row],[N_Tariff]]),Err_Message1,IF(TableCosts[[#This Row],[N_Tariff]]=0,Err_Message2,VLOOKUP(C356&amp;TableCosts[[#This Row],[Calc_N_Typ]],TRAN_STRITEMS_LABEL,5,FALSE))),"")</f>
        <v/>
      </c>
      <c r="G356" s="31">
        <f t="shared" si="84"/>
        <v>0</v>
      </c>
      <c r="H356" s="31" t="str">
        <f>IF(G356=1,IFERROR(VLOOKUP(F356,Tab_ErrMessage[],2,0),VLOOKUP(C356&amp;TableCosts[[#This Row],[Calc_N_Typ]],TRAN_STRITEMS_LABEL,4,FALSE)),"")</f>
        <v/>
      </c>
      <c r="I356" s="94"/>
      <c r="J356" s="94"/>
      <c r="K356" s="94"/>
      <c r="L356" s="84"/>
      <c r="M356" s="84"/>
      <c r="N356" s="84"/>
      <c r="O356" s="84"/>
      <c r="P356" s="84"/>
      <c r="Q356" s="84"/>
      <c r="R356" s="84"/>
      <c r="S356" s="84"/>
      <c r="T356" s="84"/>
      <c r="U356" s="84"/>
      <c r="V356" s="84"/>
      <c r="W356" s="84"/>
      <c r="X356" s="84"/>
      <c r="Y356" s="84"/>
      <c r="Z356" s="84"/>
      <c r="AA356" s="84"/>
      <c r="AB356" s="84"/>
      <c r="AC356" s="84"/>
      <c r="AD356" s="84"/>
      <c r="AE356" s="84"/>
      <c r="AF356" s="84"/>
      <c r="AG356" s="84"/>
      <c r="AH356" s="84"/>
      <c r="AI356" s="84"/>
      <c r="AJ356" s="84"/>
      <c r="AK356" s="84"/>
      <c r="AL356" s="84"/>
      <c r="AM356" s="84"/>
      <c r="AN356" s="84"/>
      <c r="AO356" s="84"/>
      <c r="AP356" s="84"/>
      <c r="AQ356" s="84"/>
      <c r="AR356" s="84"/>
      <c r="AS356" s="84"/>
      <c r="AT356" s="84"/>
      <c r="AU356" s="84"/>
      <c r="AV356" s="84"/>
      <c r="AW356" s="84"/>
      <c r="AX356" s="87">
        <f t="array" ref="AX356">IF(G356=1,SUM((ROW(M0)=ROW(AW356))*(M0+M1_+M2_+M3_+M4_+M5_+M6_+M7_+M8_+M9_+M10_+M11_+M12_+M13_+M14_+M15_+M16_+M17_+M18_+M19_+M20_+M21_+M22_+M23_+M24_+M25_+M26_+M27_+M28_+M29_+M30_+M31_+M32_+M33_+M34_+M35_+M36_+M37_)),0)</f>
        <v>0</v>
      </c>
      <c r="AZ356" s="24" t="str">
        <f t="shared" si="85"/>
        <v/>
      </c>
      <c r="BA356" s="24" t="str">
        <f t="shared" si="86"/>
        <v/>
      </c>
      <c r="BB356" s="24" t="str">
        <f t="shared" si="87"/>
        <v/>
      </c>
      <c r="BC356" s="24" t="str">
        <f>IF(OR(E356="",LEFT(TableCosts[[#This Row],[Calc_N_Typ]],18)="Vynaložené náklady"),"",VLOOKUP(E356,Tab_Parts,2,0))</f>
        <v/>
      </c>
      <c r="BD356" s="24" t="str">
        <f t="shared" si="88"/>
        <v/>
      </c>
      <c r="BE356" s="24">
        <f t="shared" si="89"/>
        <v>0</v>
      </c>
      <c r="BF356" s="72">
        <f>TableCosts[[#This Row],[N_Amount]]*TableCosts[[#This Row],[N_Tariff]]*TableCosts[[#This Row],[N_ItemsCount]]</f>
        <v>0</v>
      </c>
      <c r="BG356" s="72">
        <f>IF(G356=1,IF(TableCosts[[#This Row],[N_Kateg]]="interné práce",TableCosts[[#This Row],[N_Amount]]*8*PAR_SGA_PERHOUR,0),0)</f>
        <v>0</v>
      </c>
      <c r="BH356" s="72">
        <f>SUM(TableCosts[[#This Row],[N_Direct]:[N_SGA]])</f>
        <v>0</v>
      </c>
      <c r="BI356" s="24">
        <f>IF(G356=1,IF(OR(AND(NOT(ISERROR(VLOOKUP(TableCosts[[#This Row],[Calc_N_Typ]],Cis_WorkPositions,1,0))),C356&lt;&gt;"",D356&lt;&gt;"",E356&lt;&gt;""),AND(ISERROR(VLOOKUP(TableCosts[[#This Row],[Calc_N_Typ]],Cis_WorkPositions,1,0)),C356="",D356="",E356&lt;&gt;""),LEFT(TableCosts[[#This Row],[Calc_N_Typ]],18)="Vynaložené náklady"),VLOOKUP(C356&amp;TableCosts[[#This Row],[Calc_N_Typ]],TRAN_STRITEMS_LABEL,VLOOKUP(D356,Tab_Hours,3,0),0),NA()),0)</f>
        <v>0</v>
      </c>
      <c r="BJ356" s="24">
        <f t="shared" si="90"/>
        <v>0</v>
      </c>
      <c r="BK356" s="24" t="str">
        <f t="shared" si="91"/>
        <v/>
      </c>
      <c r="BL356" s="24" t="str">
        <f t="shared" si="92"/>
        <v/>
      </c>
      <c r="BM356" s="24" t="str">
        <f>IF(G356=1,IF(TableCosts[[#This Row],[TransferFrom]]=TableCosts[[#This Row],[TranferTo]],0,1),"")</f>
        <v/>
      </c>
      <c r="BN356" s="24" t="str">
        <f t="shared" si="93"/>
        <v/>
      </c>
      <c r="BO356" s="24">
        <f t="shared" si="94"/>
        <v>0</v>
      </c>
      <c r="BP356" s="24">
        <f t="shared" si="95"/>
        <v>0</v>
      </c>
    </row>
    <row r="357" spans="2:68" s="24" customFormat="1" ht="12.75" x14ac:dyDescent="0.2">
      <c r="B357" s="97"/>
      <c r="C357" s="92"/>
      <c r="D357" s="92"/>
      <c r="E357" s="92"/>
      <c r="F357" s="31" t="str">
        <f>IF(G357=1,IF(ISERROR(TableCosts[[#This Row],[N_Tariff]]),Err_Message1,IF(TableCosts[[#This Row],[N_Tariff]]=0,Err_Message2,VLOOKUP(C357&amp;TableCosts[[#This Row],[Calc_N_Typ]],TRAN_STRITEMS_LABEL,5,FALSE))),"")</f>
        <v/>
      </c>
      <c r="G357" s="31">
        <f t="shared" si="84"/>
        <v>0</v>
      </c>
      <c r="H357" s="31" t="str">
        <f>IF(G357=1,IFERROR(VLOOKUP(F357,Tab_ErrMessage[],2,0),VLOOKUP(C357&amp;TableCosts[[#This Row],[Calc_N_Typ]],TRAN_STRITEMS_LABEL,4,FALSE)),"")</f>
        <v/>
      </c>
      <c r="I357" s="94"/>
      <c r="J357" s="94"/>
      <c r="K357" s="94"/>
      <c r="L357" s="84"/>
      <c r="M357" s="84"/>
      <c r="N357" s="84"/>
      <c r="O357" s="84"/>
      <c r="P357" s="84"/>
      <c r="Q357" s="84"/>
      <c r="R357" s="84"/>
      <c r="S357" s="84"/>
      <c r="T357" s="84"/>
      <c r="U357" s="84"/>
      <c r="V357" s="84"/>
      <c r="W357" s="84"/>
      <c r="X357" s="84"/>
      <c r="Y357" s="84"/>
      <c r="Z357" s="84"/>
      <c r="AA357" s="84"/>
      <c r="AB357" s="84"/>
      <c r="AC357" s="84"/>
      <c r="AD357" s="84"/>
      <c r="AE357" s="84"/>
      <c r="AF357" s="84"/>
      <c r="AG357" s="84"/>
      <c r="AH357" s="84"/>
      <c r="AI357" s="84"/>
      <c r="AJ357" s="84"/>
      <c r="AK357" s="84"/>
      <c r="AL357" s="84"/>
      <c r="AM357" s="84"/>
      <c r="AN357" s="84"/>
      <c r="AO357" s="84"/>
      <c r="AP357" s="84"/>
      <c r="AQ357" s="84"/>
      <c r="AR357" s="84"/>
      <c r="AS357" s="84"/>
      <c r="AT357" s="84"/>
      <c r="AU357" s="84"/>
      <c r="AV357" s="84"/>
      <c r="AW357" s="84"/>
      <c r="AX357" s="87">
        <f t="array" ref="AX357">IF(G357=1,SUM((ROW(M0)=ROW(AW357))*(M0+M1_+M2_+M3_+M4_+M5_+M6_+M7_+M8_+M9_+M10_+M11_+M12_+M13_+M14_+M15_+M16_+M17_+M18_+M19_+M20_+M21_+M22_+M23_+M24_+M25_+M26_+M27_+M28_+M29_+M30_+M31_+M32_+M33_+M34_+M35_+M36_+M37_)),0)</f>
        <v>0</v>
      </c>
      <c r="AZ357" s="24" t="str">
        <f t="shared" si="85"/>
        <v/>
      </c>
      <c r="BA357" s="24" t="str">
        <f t="shared" si="86"/>
        <v/>
      </c>
      <c r="BB357" s="24" t="str">
        <f t="shared" si="87"/>
        <v/>
      </c>
      <c r="BC357" s="24" t="str">
        <f>IF(OR(E357="",LEFT(TableCosts[[#This Row],[Calc_N_Typ]],18)="Vynaložené náklady"),"",VLOOKUP(E357,Tab_Parts,2,0))</f>
        <v/>
      </c>
      <c r="BD357" s="24" t="str">
        <f t="shared" si="88"/>
        <v/>
      </c>
      <c r="BE357" s="24">
        <f t="shared" si="89"/>
        <v>0</v>
      </c>
      <c r="BF357" s="72">
        <f>TableCosts[[#This Row],[N_Amount]]*TableCosts[[#This Row],[N_Tariff]]*TableCosts[[#This Row],[N_ItemsCount]]</f>
        <v>0</v>
      </c>
      <c r="BG357" s="72">
        <f>IF(G357=1,IF(TableCosts[[#This Row],[N_Kateg]]="interné práce",TableCosts[[#This Row],[N_Amount]]*8*PAR_SGA_PERHOUR,0),0)</f>
        <v>0</v>
      </c>
      <c r="BH357" s="72">
        <f>SUM(TableCosts[[#This Row],[N_Direct]:[N_SGA]])</f>
        <v>0</v>
      </c>
      <c r="BI357" s="24">
        <f>IF(G357=1,IF(OR(AND(NOT(ISERROR(VLOOKUP(TableCosts[[#This Row],[Calc_N_Typ]],Cis_WorkPositions,1,0))),C357&lt;&gt;"",D357&lt;&gt;"",E357&lt;&gt;""),AND(ISERROR(VLOOKUP(TableCosts[[#This Row],[Calc_N_Typ]],Cis_WorkPositions,1,0)),C357="",D357="",E357&lt;&gt;""),LEFT(TableCosts[[#This Row],[Calc_N_Typ]],18)="Vynaložené náklady"),VLOOKUP(C357&amp;TableCosts[[#This Row],[Calc_N_Typ]],TRAN_STRITEMS_LABEL,VLOOKUP(D357,Tab_Hours,3,0),0),NA()),0)</f>
        <v>0</v>
      </c>
      <c r="BJ357" s="24">
        <f t="shared" si="90"/>
        <v>0</v>
      </c>
      <c r="BK357" s="24" t="str">
        <f t="shared" si="91"/>
        <v/>
      </c>
      <c r="BL357" s="24" t="str">
        <f t="shared" si="92"/>
        <v/>
      </c>
      <c r="BM357" s="24" t="str">
        <f>IF(G357=1,IF(TableCosts[[#This Row],[TransferFrom]]=TableCosts[[#This Row],[TranferTo]],0,1),"")</f>
        <v/>
      </c>
      <c r="BN357" s="24" t="str">
        <f t="shared" si="93"/>
        <v/>
      </c>
      <c r="BO357" s="24">
        <f t="shared" si="94"/>
        <v>0</v>
      </c>
      <c r="BP357" s="24">
        <f t="shared" si="95"/>
        <v>0</v>
      </c>
    </row>
    <row r="358" spans="2:68" s="24" customFormat="1" ht="12.75" x14ac:dyDescent="0.2">
      <c r="B358" s="97"/>
      <c r="C358" s="92"/>
      <c r="D358" s="92"/>
      <c r="E358" s="92"/>
      <c r="F358" s="31" t="str">
        <f>IF(G358=1,IF(ISERROR(TableCosts[[#This Row],[N_Tariff]]),Err_Message1,IF(TableCosts[[#This Row],[N_Tariff]]=0,Err_Message2,VLOOKUP(C358&amp;TableCosts[[#This Row],[Calc_N_Typ]],TRAN_STRITEMS_LABEL,5,FALSE))),"")</f>
        <v/>
      </c>
      <c r="G358" s="31">
        <f t="shared" si="84"/>
        <v>0</v>
      </c>
      <c r="H358" s="31" t="str">
        <f>IF(G358=1,IFERROR(VLOOKUP(F358,Tab_ErrMessage[],2,0),VLOOKUP(C358&amp;TableCosts[[#This Row],[Calc_N_Typ]],TRAN_STRITEMS_LABEL,4,FALSE)),"")</f>
        <v/>
      </c>
      <c r="I358" s="94"/>
      <c r="J358" s="94"/>
      <c r="K358" s="94"/>
      <c r="L358" s="84"/>
      <c r="M358" s="84"/>
      <c r="N358" s="84"/>
      <c r="O358" s="84"/>
      <c r="P358" s="84"/>
      <c r="Q358" s="84"/>
      <c r="R358" s="84"/>
      <c r="S358" s="84"/>
      <c r="T358" s="84"/>
      <c r="U358" s="84"/>
      <c r="V358" s="84"/>
      <c r="W358" s="84"/>
      <c r="X358" s="84"/>
      <c r="Y358" s="84"/>
      <c r="Z358" s="84"/>
      <c r="AA358" s="84"/>
      <c r="AB358" s="84"/>
      <c r="AC358" s="84"/>
      <c r="AD358" s="84"/>
      <c r="AE358" s="84"/>
      <c r="AF358" s="84"/>
      <c r="AG358" s="84"/>
      <c r="AH358" s="84"/>
      <c r="AI358" s="84"/>
      <c r="AJ358" s="84"/>
      <c r="AK358" s="84"/>
      <c r="AL358" s="84"/>
      <c r="AM358" s="84"/>
      <c r="AN358" s="84"/>
      <c r="AO358" s="84"/>
      <c r="AP358" s="84"/>
      <c r="AQ358" s="84"/>
      <c r="AR358" s="84"/>
      <c r="AS358" s="84"/>
      <c r="AT358" s="84"/>
      <c r="AU358" s="84"/>
      <c r="AV358" s="84"/>
      <c r="AW358" s="84"/>
      <c r="AX358" s="87">
        <f t="array" ref="AX358">IF(G358=1,SUM((ROW(M0)=ROW(AW358))*(M0+M1_+M2_+M3_+M4_+M5_+M6_+M7_+M8_+M9_+M10_+M11_+M12_+M13_+M14_+M15_+M16_+M17_+M18_+M19_+M20_+M21_+M22_+M23_+M24_+M25_+M26_+M27_+M28_+M29_+M30_+M31_+M32_+M33_+M34_+M35_+M36_+M37_)),0)</f>
        <v>0</v>
      </c>
      <c r="AZ358" s="24" t="str">
        <f t="shared" si="85"/>
        <v/>
      </c>
      <c r="BA358" s="24" t="str">
        <f t="shared" si="86"/>
        <v/>
      </c>
      <c r="BB358" s="24" t="str">
        <f t="shared" si="87"/>
        <v/>
      </c>
      <c r="BC358" s="24" t="str">
        <f>IF(OR(E358="",LEFT(TableCosts[[#This Row],[Calc_N_Typ]],18)="Vynaložené náklady"),"",VLOOKUP(E358,Tab_Parts,2,0))</f>
        <v/>
      </c>
      <c r="BD358" s="24" t="str">
        <f t="shared" si="88"/>
        <v/>
      </c>
      <c r="BE358" s="24">
        <f t="shared" si="89"/>
        <v>0</v>
      </c>
      <c r="BF358" s="72">
        <f>TableCosts[[#This Row],[N_Amount]]*TableCosts[[#This Row],[N_Tariff]]*TableCosts[[#This Row],[N_ItemsCount]]</f>
        <v>0</v>
      </c>
      <c r="BG358" s="72">
        <f>IF(G358=1,IF(TableCosts[[#This Row],[N_Kateg]]="interné práce",TableCosts[[#This Row],[N_Amount]]*8*PAR_SGA_PERHOUR,0),0)</f>
        <v>0</v>
      </c>
      <c r="BH358" s="72">
        <f>SUM(TableCosts[[#This Row],[N_Direct]:[N_SGA]])</f>
        <v>0</v>
      </c>
      <c r="BI358" s="24">
        <f>IF(G358=1,IF(OR(AND(NOT(ISERROR(VLOOKUP(TableCosts[[#This Row],[Calc_N_Typ]],Cis_WorkPositions,1,0))),C358&lt;&gt;"",D358&lt;&gt;"",E358&lt;&gt;""),AND(ISERROR(VLOOKUP(TableCosts[[#This Row],[Calc_N_Typ]],Cis_WorkPositions,1,0)),C358="",D358="",E358&lt;&gt;""),LEFT(TableCosts[[#This Row],[Calc_N_Typ]],18)="Vynaložené náklady"),VLOOKUP(C358&amp;TableCosts[[#This Row],[Calc_N_Typ]],TRAN_STRITEMS_LABEL,VLOOKUP(D358,Tab_Hours,3,0),0),NA()),0)</f>
        <v>0</v>
      </c>
      <c r="BJ358" s="24">
        <f t="shared" si="90"/>
        <v>0</v>
      </c>
      <c r="BK358" s="24" t="str">
        <f t="shared" si="91"/>
        <v/>
      </c>
      <c r="BL358" s="24" t="str">
        <f t="shared" si="92"/>
        <v/>
      </c>
      <c r="BM358" s="24" t="str">
        <f>IF(G358=1,IF(TableCosts[[#This Row],[TransferFrom]]=TableCosts[[#This Row],[TranferTo]],0,1),"")</f>
        <v/>
      </c>
      <c r="BN358" s="24" t="str">
        <f t="shared" si="93"/>
        <v/>
      </c>
      <c r="BO358" s="24">
        <f t="shared" si="94"/>
        <v>0</v>
      </c>
      <c r="BP358" s="24">
        <f t="shared" si="95"/>
        <v>0</v>
      </c>
    </row>
    <row r="359" spans="2:68" s="24" customFormat="1" ht="12.75" x14ac:dyDescent="0.2">
      <c r="B359" s="97"/>
      <c r="C359" s="92"/>
      <c r="D359" s="92"/>
      <c r="E359" s="92"/>
      <c r="F359" s="31" t="str">
        <f>IF(G359=1,IF(ISERROR(TableCosts[[#This Row],[N_Tariff]]),Err_Message1,IF(TableCosts[[#This Row],[N_Tariff]]=0,Err_Message2,VLOOKUP(C359&amp;TableCosts[[#This Row],[Calc_N_Typ]],TRAN_STRITEMS_LABEL,5,FALSE))),"")</f>
        <v/>
      </c>
      <c r="G359" s="31">
        <f t="shared" si="84"/>
        <v>0</v>
      </c>
      <c r="H359" s="31" t="str">
        <f>IF(G359=1,IFERROR(VLOOKUP(F359,Tab_ErrMessage[],2,0),VLOOKUP(C359&amp;TableCosts[[#This Row],[Calc_N_Typ]],TRAN_STRITEMS_LABEL,4,FALSE)),"")</f>
        <v/>
      </c>
      <c r="I359" s="94"/>
      <c r="J359" s="94"/>
      <c r="K359" s="94"/>
      <c r="L359" s="84"/>
      <c r="M359" s="84"/>
      <c r="N359" s="84"/>
      <c r="O359" s="84"/>
      <c r="P359" s="84"/>
      <c r="Q359" s="84"/>
      <c r="R359" s="84"/>
      <c r="S359" s="84"/>
      <c r="T359" s="84"/>
      <c r="U359" s="84"/>
      <c r="V359" s="84"/>
      <c r="W359" s="84"/>
      <c r="X359" s="84"/>
      <c r="Y359" s="84"/>
      <c r="Z359" s="84"/>
      <c r="AA359" s="84"/>
      <c r="AB359" s="84"/>
      <c r="AC359" s="84"/>
      <c r="AD359" s="84"/>
      <c r="AE359" s="84"/>
      <c r="AF359" s="84"/>
      <c r="AG359" s="84"/>
      <c r="AH359" s="84"/>
      <c r="AI359" s="84"/>
      <c r="AJ359" s="84"/>
      <c r="AK359" s="84"/>
      <c r="AL359" s="84"/>
      <c r="AM359" s="84"/>
      <c r="AN359" s="84"/>
      <c r="AO359" s="84"/>
      <c r="AP359" s="84"/>
      <c r="AQ359" s="84"/>
      <c r="AR359" s="84"/>
      <c r="AS359" s="84"/>
      <c r="AT359" s="84"/>
      <c r="AU359" s="84"/>
      <c r="AV359" s="84"/>
      <c r="AW359" s="84"/>
      <c r="AX359" s="87">
        <f t="array" ref="AX359">IF(G359=1,SUM((ROW(M0)=ROW(AW359))*(M0+M1_+M2_+M3_+M4_+M5_+M6_+M7_+M8_+M9_+M10_+M11_+M12_+M13_+M14_+M15_+M16_+M17_+M18_+M19_+M20_+M21_+M22_+M23_+M24_+M25_+M26_+M27_+M28_+M29_+M30_+M31_+M32_+M33_+M34_+M35_+M36_+M37_)),0)</f>
        <v>0</v>
      </c>
      <c r="AZ359" s="24" t="str">
        <f t="shared" si="85"/>
        <v/>
      </c>
      <c r="BA359" s="24" t="str">
        <f t="shared" si="86"/>
        <v/>
      </c>
      <c r="BB359" s="24" t="str">
        <f t="shared" si="87"/>
        <v/>
      </c>
      <c r="BC359" s="24" t="str">
        <f>IF(OR(E359="",LEFT(TableCosts[[#This Row],[Calc_N_Typ]],18)="Vynaložené náklady"),"",VLOOKUP(E359,Tab_Parts,2,0))</f>
        <v/>
      </c>
      <c r="BD359" s="24" t="str">
        <f t="shared" si="88"/>
        <v/>
      </c>
      <c r="BE359" s="24">
        <f t="shared" si="89"/>
        <v>0</v>
      </c>
      <c r="BF359" s="72">
        <f>TableCosts[[#This Row],[N_Amount]]*TableCosts[[#This Row],[N_Tariff]]*TableCosts[[#This Row],[N_ItemsCount]]</f>
        <v>0</v>
      </c>
      <c r="BG359" s="72">
        <f>IF(G359=1,IF(TableCosts[[#This Row],[N_Kateg]]="interné práce",TableCosts[[#This Row],[N_Amount]]*8*PAR_SGA_PERHOUR,0),0)</f>
        <v>0</v>
      </c>
      <c r="BH359" s="72">
        <f>SUM(TableCosts[[#This Row],[N_Direct]:[N_SGA]])</f>
        <v>0</v>
      </c>
      <c r="BI359" s="24">
        <f>IF(G359=1,IF(OR(AND(NOT(ISERROR(VLOOKUP(TableCosts[[#This Row],[Calc_N_Typ]],Cis_WorkPositions,1,0))),C359&lt;&gt;"",D359&lt;&gt;"",E359&lt;&gt;""),AND(ISERROR(VLOOKUP(TableCosts[[#This Row],[Calc_N_Typ]],Cis_WorkPositions,1,0)),C359="",D359="",E359&lt;&gt;""),LEFT(TableCosts[[#This Row],[Calc_N_Typ]],18)="Vynaložené náklady"),VLOOKUP(C359&amp;TableCosts[[#This Row],[Calc_N_Typ]],TRAN_STRITEMS_LABEL,VLOOKUP(D359,Tab_Hours,3,0),0),NA()),0)</f>
        <v>0</v>
      </c>
      <c r="BJ359" s="24">
        <f t="shared" si="90"/>
        <v>0</v>
      </c>
      <c r="BK359" s="24" t="str">
        <f t="shared" si="91"/>
        <v/>
      </c>
      <c r="BL359" s="24" t="str">
        <f t="shared" si="92"/>
        <v/>
      </c>
      <c r="BM359" s="24" t="str">
        <f>IF(G359=1,IF(TableCosts[[#This Row],[TransferFrom]]=TableCosts[[#This Row],[TranferTo]],0,1),"")</f>
        <v/>
      </c>
      <c r="BN359" s="24" t="str">
        <f t="shared" si="93"/>
        <v/>
      </c>
      <c r="BO359" s="24">
        <f t="shared" si="94"/>
        <v>0</v>
      </c>
      <c r="BP359" s="24">
        <f t="shared" si="95"/>
        <v>0</v>
      </c>
    </row>
    <row r="360" spans="2:68" s="24" customFormat="1" ht="12.75" x14ac:dyDescent="0.2">
      <c r="B360" s="97"/>
      <c r="C360" s="92"/>
      <c r="D360" s="92"/>
      <c r="E360" s="92"/>
      <c r="F360" s="31" t="str">
        <f>IF(G360=1,IF(ISERROR(TableCosts[[#This Row],[N_Tariff]]),Err_Message1,IF(TableCosts[[#This Row],[N_Tariff]]=0,Err_Message2,VLOOKUP(C360&amp;TableCosts[[#This Row],[Calc_N_Typ]],TRAN_STRITEMS_LABEL,5,FALSE))),"")</f>
        <v/>
      </c>
      <c r="G360" s="31">
        <f t="shared" si="84"/>
        <v>0</v>
      </c>
      <c r="H360" s="31" t="str">
        <f>IF(G360=1,IFERROR(VLOOKUP(F360,Tab_ErrMessage[],2,0),VLOOKUP(C360&amp;TableCosts[[#This Row],[Calc_N_Typ]],TRAN_STRITEMS_LABEL,4,FALSE)),"")</f>
        <v/>
      </c>
      <c r="I360" s="94"/>
      <c r="J360" s="94"/>
      <c r="K360" s="94"/>
      <c r="L360" s="84"/>
      <c r="M360" s="84"/>
      <c r="N360" s="84"/>
      <c r="O360" s="84"/>
      <c r="P360" s="84"/>
      <c r="Q360" s="84"/>
      <c r="R360" s="84"/>
      <c r="S360" s="84"/>
      <c r="T360" s="84"/>
      <c r="U360" s="84"/>
      <c r="V360" s="84"/>
      <c r="W360" s="84"/>
      <c r="X360" s="84"/>
      <c r="Y360" s="84"/>
      <c r="Z360" s="84"/>
      <c r="AA360" s="84"/>
      <c r="AB360" s="84"/>
      <c r="AC360" s="84"/>
      <c r="AD360" s="84"/>
      <c r="AE360" s="84"/>
      <c r="AF360" s="84"/>
      <c r="AG360" s="84"/>
      <c r="AH360" s="84"/>
      <c r="AI360" s="84"/>
      <c r="AJ360" s="84"/>
      <c r="AK360" s="84"/>
      <c r="AL360" s="84"/>
      <c r="AM360" s="84"/>
      <c r="AN360" s="84"/>
      <c r="AO360" s="84"/>
      <c r="AP360" s="84"/>
      <c r="AQ360" s="84"/>
      <c r="AR360" s="84"/>
      <c r="AS360" s="84"/>
      <c r="AT360" s="84"/>
      <c r="AU360" s="84"/>
      <c r="AV360" s="84"/>
      <c r="AW360" s="84"/>
      <c r="AX360" s="87">
        <f t="array" ref="AX360">IF(G360=1,SUM((ROW(M0)=ROW(AW360))*(M0+M1_+M2_+M3_+M4_+M5_+M6_+M7_+M8_+M9_+M10_+M11_+M12_+M13_+M14_+M15_+M16_+M17_+M18_+M19_+M20_+M21_+M22_+M23_+M24_+M25_+M26_+M27_+M28_+M29_+M30_+M31_+M32_+M33_+M34_+M35_+M36_+M37_)),0)</f>
        <v>0</v>
      </c>
      <c r="AZ360" s="24" t="str">
        <f t="shared" si="85"/>
        <v/>
      </c>
      <c r="BA360" s="24" t="str">
        <f t="shared" si="86"/>
        <v/>
      </c>
      <c r="BB360" s="24" t="str">
        <f t="shared" si="87"/>
        <v/>
      </c>
      <c r="BC360" s="24" t="str">
        <f>IF(OR(E360="",LEFT(TableCosts[[#This Row],[Calc_N_Typ]],18)="Vynaložené náklady"),"",VLOOKUP(E360,Tab_Parts,2,0))</f>
        <v/>
      </c>
      <c r="BD360" s="24" t="str">
        <f t="shared" si="88"/>
        <v/>
      </c>
      <c r="BE360" s="24">
        <f t="shared" si="89"/>
        <v>0</v>
      </c>
      <c r="BF360" s="72">
        <f>TableCosts[[#This Row],[N_Amount]]*TableCosts[[#This Row],[N_Tariff]]*TableCosts[[#This Row],[N_ItemsCount]]</f>
        <v>0</v>
      </c>
      <c r="BG360" s="72">
        <f>IF(G360=1,IF(TableCosts[[#This Row],[N_Kateg]]="interné práce",TableCosts[[#This Row],[N_Amount]]*8*PAR_SGA_PERHOUR,0),0)</f>
        <v>0</v>
      </c>
      <c r="BH360" s="72">
        <f>SUM(TableCosts[[#This Row],[N_Direct]:[N_SGA]])</f>
        <v>0</v>
      </c>
      <c r="BI360" s="24">
        <f>IF(G360=1,IF(OR(AND(NOT(ISERROR(VLOOKUP(TableCosts[[#This Row],[Calc_N_Typ]],Cis_WorkPositions,1,0))),C360&lt;&gt;"",D360&lt;&gt;"",E360&lt;&gt;""),AND(ISERROR(VLOOKUP(TableCosts[[#This Row],[Calc_N_Typ]],Cis_WorkPositions,1,0)),C360="",D360="",E360&lt;&gt;""),LEFT(TableCosts[[#This Row],[Calc_N_Typ]],18)="Vynaložené náklady"),VLOOKUP(C360&amp;TableCosts[[#This Row],[Calc_N_Typ]],TRAN_STRITEMS_LABEL,VLOOKUP(D360,Tab_Hours,3,0),0),NA()),0)</f>
        <v>0</v>
      </c>
      <c r="BJ360" s="24">
        <f t="shared" si="90"/>
        <v>0</v>
      </c>
      <c r="BK360" s="24" t="str">
        <f t="shared" si="91"/>
        <v/>
      </c>
      <c r="BL360" s="24" t="str">
        <f t="shared" si="92"/>
        <v/>
      </c>
      <c r="BM360" s="24" t="str">
        <f>IF(G360=1,IF(TableCosts[[#This Row],[TransferFrom]]=TableCosts[[#This Row],[TranferTo]],0,1),"")</f>
        <v/>
      </c>
      <c r="BN360" s="24" t="str">
        <f t="shared" si="93"/>
        <v/>
      </c>
      <c r="BO360" s="24">
        <f t="shared" si="94"/>
        <v>0</v>
      </c>
      <c r="BP360" s="24">
        <f t="shared" si="95"/>
        <v>0</v>
      </c>
    </row>
    <row r="361" spans="2:68" s="24" customFormat="1" ht="12.75" x14ac:dyDescent="0.2">
      <c r="B361" s="97"/>
      <c r="C361" s="92"/>
      <c r="D361" s="92"/>
      <c r="E361" s="92"/>
      <c r="F361" s="31" t="str">
        <f>IF(G361=1,IF(ISERROR(TableCosts[[#This Row],[N_Tariff]]),Err_Message1,IF(TableCosts[[#This Row],[N_Tariff]]=0,Err_Message2,VLOOKUP(C361&amp;TableCosts[[#This Row],[Calc_N_Typ]],TRAN_STRITEMS_LABEL,5,FALSE))),"")</f>
        <v/>
      </c>
      <c r="G361" s="31">
        <f t="shared" si="84"/>
        <v>0</v>
      </c>
      <c r="H361" s="31" t="str">
        <f>IF(G361=1,IFERROR(VLOOKUP(F361,Tab_ErrMessage[],2,0),VLOOKUP(C361&amp;TableCosts[[#This Row],[Calc_N_Typ]],TRAN_STRITEMS_LABEL,4,FALSE)),"")</f>
        <v/>
      </c>
      <c r="I361" s="94"/>
      <c r="J361" s="94"/>
      <c r="K361" s="94"/>
      <c r="L361" s="84"/>
      <c r="M361" s="84"/>
      <c r="N361" s="84"/>
      <c r="O361" s="84"/>
      <c r="P361" s="84"/>
      <c r="Q361" s="84"/>
      <c r="R361" s="84"/>
      <c r="S361" s="84"/>
      <c r="T361" s="84"/>
      <c r="U361" s="84"/>
      <c r="V361" s="84"/>
      <c r="W361" s="84"/>
      <c r="X361" s="84"/>
      <c r="Y361" s="84"/>
      <c r="Z361" s="84"/>
      <c r="AA361" s="84"/>
      <c r="AB361" s="84"/>
      <c r="AC361" s="84"/>
      <c r="AD361" s="84"/>
      <c r="AE361" s="84"/>
      <c r="AF361" s="84"/>
      <c r="AG361" s="84"/>
      <c r="AH361" s="84"/>
      <c r="AI361" s="84"/>
      <c r="AJ361" s="84"/>
      <c r="AK361" s="84"/>
      <c r="AL361" s="84"/>
      <c r="AM361" s="84"/>
      <c r="AN361" s="84"/>
      <c r="AO361" s="84"/>
      <c r="AP361" s="84"/>
      <c r="AQ361" s="84"/>
      <c r="AR361" s="84"/>
      <c r="AS361" s="84"/>
      <c r="AT361" s="84"/>
      <c r="AU361" s="84"/>
      <c r="AV361" s="84"/>
      <c r="AW361" s="84"/>
      <c r="AX361" s="87">
        <f t="array" ref="AX361">IF(G361=1,SUM((ROW(M0)=ROW(AW361))*(M0+M1_+M2_+M3_+M4_+M5_+M6_+M7_+M8_+M9_+M10_+M11_+M12_+M13_+M14_+M15_+M16_+M17_+M18_+M19_+M20_+M21_+M22_+M23_+M24_+M25_+M26_+M27_+M28_+M29_+M30_+M31_+M32_+M33_+M34_+M35_+M36_+M37_)),0)</f>
        <v>0</v>
      </c>
      <c r="AZ361" s="24" t="str">
        <f t="shared" si="85"/>
        <v/>
      </c>
      <c r="BA361" s="24" t="str">
        <f t="shared" si="86"/>
        <v/>
      </c>
      <c r="BB361" s="24" t="str">
        <f t="shared" si="87"/>
        <v/>
      </c>
      <c r="BC361" s="24" t="str">
        <f>IF(OR(E361="",LEFT(TableCosts[[#This Row],[Calc_N_Typ]],18)="Vynaložené náklady"),"",VLOOKUP(E361,Tab_Parts,2,0))</f>
        <v/>
      </c>
      <c r="BD361" s="24" t="str">
        <f t="shared" si="88"/>
        <v/>
      </c>
      <c r="BE361" s="24">
        <f t="shared" si="89"/>
        <v>0</v>
      </c>
      <c r="BF361" s="72">
        <f>TableCosts[[#This Row],[N_Amount]]*TableCosts[[#This Row],[N_Tariff]]*TableCosts[[#This Row],[N_ItemsCount]]</f>
        <v>0</v>
      </c>
      <c r="BG361" s="72">
        <f>IF(G361=1,IF(TableCosts[[#This Row],[N_Kateg]]="interné práce",TableCosts[[#This Row],[N_Amount]]*8*PAR_SGA_PERHOUR,0),0)</f>
        <v>0</v>
      </c>
      <c r="BH361" s="72">
        <f>SUM(TableCosts[[#This Row],[N_Direct]:[N_SGA]])</f>
        <v>0</v>
      </c>
      <c r="BI361" s="24">
        <f>IF(G361=1,IF(OR(AND(NOT(ISERROR(VLOOKUP(TableCosts[[#This Row],[Calc_N_Typ]],Cis_WorkPositions,1,0))),C361&lt;&gt;"",D361&lt;&gt;"",E361&lt;&gt;""),AND(ISERROR(VLOOKUP(TableCosts[[#This Row],[Calc_N_Typ]],Cis_WorkPositions,1,0)),C361="",D361="",E361&lt;&gt;""),LEFT(TableCosts[[#This Row],[Calc_N_Typ]],18)="Vynaložené náklady"),VLOOKUP(C361&amp;TableCosts[[#This Row],[Calc_N_Typ]],TRAN_STRITEMS_LABEL,VLOOKUP(D361,Tab_Hours,3,0),0),NA()),0)</f>
        <v>0</v>
      </c>
      <c r="BJ361" s="24">
        <f t="shared" si="90"/>
        <v>0</v>
      </c>
      <c r="BK361" s="24" t="str">
        <f t="shared" si="91"/>
        <v/>
      </c>
      <c r="BL361" s="24" t="str">
        <f t="shared" si="92"/>
        <v/>
      </c>
      <c r="BM361" s="24" t="str">
        <f>IF(G361=1,IF(TableCosts[[#This Row],[TransferFrom]]=TableCosts[[#This Row],[TranferTo]],0,1),"")</f>
        <v/>
      </c>
      <c r="BN361" s="24" t="str">
        <f t="shared" si="93"/>
        <v/>
      </c>
      <c r="BO361" s="24">
        <f t="shared" si="94"/>
        <v>0</v>
      </c>
      <c r="BP361" s="24">
        <f t="shared" si="95"/>
        <v>0</v>
      </c>
    </row>
    <row r="362" spans="2:68" s="24" customFormat="1" ht="12.75" x14ac:dyDescent="0.2">
      <c r="B362" s="97"/>
      <c r="C362" s="92"/>
      <c r="D362" s="92"/>
      <c r="E362" s="92"/>
      <c r="F362" s="31" t="str">
        <f>IF(G362=1,IF(ISERROR(TableCosts[[#This Row],[N_Tariff]]),Err_Message1,IF(TableCosts[[#This Row],[N_Tariff]]=0,Err_Message2,VLOOKUP(C362&amp;TableCosts[[#This Row],[Calc_N_Typ]],TRAN_STRITEMS_LABEL,5,FALSE))),"")</f>
        <v/>
      </c>
      <c r="G362" s="31">
        <f t="shared" si="84"/>
        <v>0</v>
      </c>
      <c r="H362" s="31" t="str">
        <f>IF(G362=1,IFERROR(VLOOKUP(F362,Tab_ErrMessage[],2,0),VLOOKUP(C362&amp;TableCosts[[#This Row],[Calc_N_Typ]],TRAN_STRITEMS_LABEL,4,FALSE)),"")</f>
        <v/>
      </c>
      <c r="I362" s="94"/>
      <c r="J362" s="94"/>
      <c r="K362" s="94"/>
      <c r="L362" s="84"/>
      <c r="M362" s="84"/>
      <c r="N362" s="84"/>
      <c r="O362" s="84"/>
      <c r="P362" s="84"/>
      <c r="Q362" s="84"/>
      <c r="R362" s="84"/>
      <c r="S362" s="84"/>
      <c r="T362" s="84"/>
      <c r="U362" s="84"/>
      <c r="V362" s="84"/>
      <c r="W362" s="84"/>
      <c r="X362" s="84"/>
      <c r="Y362" s="84"/>
      <c r="Z362" s="84"/>
      <c r="AA362" s="84"/>
      <c r="AB362" s="84"/>
      <c r="AC362" s="84"/>
      <c r="AD362" s="84"/>
      <c r="AE362" s="84"/>
      <c r="AF362" s="84"/>
      <c r="AG362" s="84"/>
      <c r="AH362" s="84"/>
      <c r="AI362" s="84"/>
      <c r="AJ362" s="84"/>
      <c r="AK362" s="84"/>
      <c r="AL362" s="84"/>
      <c r="AM362" s="84"/>
      <c r="AN362" s="84"/>
      <c r="AO362" s="84"/>
      <c r="AP362" s="84"/>
      <c r="AQ362" s="84"/>
      <c r="AR362" s="84"/>
      <c r="AS362" s="84"/>
      <c r="AT362" s="84"/>
      <c r="AU362" s="84"/>
      <c r="AV362" s="84"/>
      <c r="AW362" s="84"/>
      <c r="AX362" s="87">
        <f t="array" ref="AX362">IF(G362=1,SUM((ROW(M0)=ROW(AW362))*(M0+M1_+M2_+M3_+M4_+M5_+M6_+M7_+M8_+M9_+M10_+M11_+M12_+M13_+M14_+M15_+M16_+M17_+M18_+M19_+M20_+M21_+M22_+M23_+M24_+M25_+M26_+M27_+M28_+M29_+M30_+M31_+M32_+M33_+M34_+M35_+M36_+M37_)),0)</f>
        <v>0</v>
      </c>
      <c r="AZ362" s="24" t="str">
        <f t="shared" si="85"/>
        <v/>
      </c>
      <c r="BA362" s="24" t="str">
        <f t="shared" si="86"/>
        <v/>
      </c>
      <c r="BB362" s="24" t="str">
        <f t="shared" si="87"/>
        <v/>
      </c>
      <c r="BC362" s="24" t="str">
        <f>IF(OR(E362="",LEFT(TableCosts[[#This Row],[Calc_N_Typ]],18)="Vynaložené náklady"),"",VLOOKUP(E362,Tab_Parts,2,0))</f>
        <v/>
      </c>
      <c r="BD362" s="24" t="str">
        <f t="shared" si="88"/>
        <v/>
      </c>
      <c r="BE362" s="24">
        <f t="shared" si="89"/>
        <v>0</v>
      </c>
      <c r="BF362" s="72">
        <f>TableCosts[[#This Row],[N_Amount]]*TableCosts[[#This Row],[N_Tariff]]*TableCosts[[#This Row],[N_ItemsCount]]</f>
        <v>0</v>
      </c>
      <c r="BG362" s="72">
        <f>IF(G362=1,IF(TableCosts[[#This Row],[N_Kateg]]="interné práce",TableCosts[[#This Row],[N_Amount]]*8*PAR_SGA_PERHOUR,0),0)</f>
        <v>0</v>
      </c>
      <c r="BH362" s="72">
        <f>SUM(TableCosts[[#This Row],[N_Direct]:[N_SGA]])</f>
        <v>0</v>
      </c>
      <c r="BI362" s="24">
        <f>IF(G362=1,IF(OR(AND(NOT(ISERROR(VLOOKUP(TableCosts[[#This Row],[Calc_N_Typ]],Cis_WorkPositions,1,0))),C362&lt;&gt;"",D362&lt;&gt;"",E362&lt;&gt;""),AND(ISERROR(VLOOKUP(TableCosts[[#This Row],[Calc_N_Typ]],Cis_WorkPositions,1,0)),C362="",D362="",E362&lt;&gt;""),LEFT(TableCosts[[#This Row],[Calc_N_Typ]],18)="Vynaložené náklady"),VLOOKUP(C362&amp;TableCosts[[#This Row],[Calc_N_Typ]],TRAN_STRITEMS_LABEL,VLOOKUP(D362,Tab_Hours,3,0),0),NA()),0)</f>
        <v>0</v>
      </c>
      <c r="BJ362" s="24">
        <f t="shared" si="90"/>
        <v>0</v>
      </c>
      <c r="BK362" s="24" t="str">
        <f t="shared" si="91"/>
        <v/>
      </c>
      <c r="BL362" s="24" t="str">
        <f t="shared" si="92"/>
        <v/>
      </c>
      <c r="BM362" s="24" t="str">
        <f>IF(G362=1,IF(TableCosts[[#This Row],[TransferFrom]]=TableCosts[[#This Row],[TranferTo]],0,1),"")</f>
        <v/>
      </c>
      <c r="BN362" s="24" t="str">
        <f t="shared" si="93"/>
        <v/>
      </c>
      <c r="BO362" s="24">
        <f t="shared" si="94"/>
        <v>0</v>
      </c>
      <c r="BP362" s="24">
        <f t="shared" si="95"/>
        <v>0</v>
      </c>
    </row>
    <row r="363" spans="2:68" s="24" customFormat="1" ht="12.75" x14ac:dyDescent="0.2">
      <c r="B363" s="97"/>
      <c r="C363" s="92"/>
      <c r="D363" s="92"/>
      <c r="E363" s="92"/>
      <c r="F363" s="31" t="str">
        <f>IF(G363=1,IF(ISERROR(TableCosts[[#This Row],[N_Tariff]]),Err_Message1,IF(TableCosts[[#This Row],[N_Tariff]]=0,Err_Message2,VLOOKUP(C363&amp;TableCosts[[#This Row],[Calc_N_Typ]],TRAN_STRITEMS_LABEL,5,FALSE))),"")</f>
        <v/>
      </c>
      <c r="G363" s="31">
        <f t="shared" si="84"/>
        <v>0</v>
      </c>
      <c r="H363" s="31" t="str">
        <f>IF(G363=1,IFERROR(VLOOKUP(F363,Tab_ErrMessage[],2,0),VLOOKUP(C363&amp;TableCosts[[#This Row],[Calc_N_Typ]],TRAN_STRITEMS_LABEL,4,FALSE)),"")</f>
        <v/>
      </c>
      <c r="I363" s="94"/>
      <c r="J363" s="94"/>
      <c r="K363" s="94"/>
      <c r="L363" s="84"/>
      <c r="M363" s="84"/>
      <c r="N363" s="84"/>
      <c r="O363" s="84"/>
      <c r="P363" s="84"/>
      <c r="Q363" s="84"/>
      <c r="R363" s="84"/>
      <c r="S363" s="84"/>
      <c r="T363" s="84"/>
      <c r="U363" s="84"/>
      <c r="V363" s="84"/>
      <c r="W363" s="84"/>
      <c r="X363" s="84"/>
      <c r="Y363" s="84"/>
      <c r="Z363" s="84"/>
      <c r="AA363" s="84"/>
      <c r="AB363" s="84"/>
      <c r="AC363" s="84"/>
      <c r="AD363" s="84"/>
      <c r="AE363" s="84"/>
      <c r="AF363" s="84"/>
      <c r="AG363" s="84"/>
      <c r="AH363" s="84"/>
      <c r="AI363" s="84"/>
      <c r="AJ363" s="84"/>
      <c r="AK363" s="84"/>
      <c r="AL363" s="84"/>
      <c r="AM363" s="84"/>
      <c r="AN363" s="84"/>
      <c r="AO363" s="84"/>
      <c r="AP363" s="84"/>
      <c r="AQ363" s="84"/>
      <c r="AR363" s="84"/>
      <c r="AS363" s="84"/>
      <c r="AT363" s="84"/>
      <c r="AU363" s="84"/>
      <c r="AV363" s="84"/>
      <c r="AW363" s="84"/>
      <c r="AX363" s="87">
        <f t="array" ref="AX363">IF(G363=1,SUM((ROW(M0)=ROW(AW363))*(M0+M1_+M2_+M3_+M4_+M5_+M6_+M7_+M8_+M9_+M10_+M11_+M12_+M13_+M14_+M15_+M16_+M17_+M18_+M19_+M20_+M21_+M22_+M23_+M24_+M25_+M26_+M27_+M28_+M29_+M30_+M31_+M32_+M33_+M34_+M35_+M36_+M37_)),0)</f>
        <v>0</v>
      </c>
      <c r="AZ363" s="24" t="str">
        <f t="shared" si="85"/>
        <v/>
      </c>
      <c r="BA363" s="24" t="str">
        <f t="shared" si="86"/>
        <v/>
      </c>
      <c r="BB363" s="24" t="str">
        <f t="shared" si="87"/>
        <v/>
      </c>
      <c r="BC363" s="24" t="str">
        <f>IF(OR(E363="",LEFT(TableCosts[[#This Row],[Calc_N_Typ]],18)="Vynaložené náklady"),"",VLOOKUP(E363,Tab_Parts,2,0))</f>
        <v/>
      </c>
      <c r="BD363" s="24" t="str">
        <f t="shared" si="88"/>
        <v/>
      </c>
      <c r="BE363" s="24">
        <f t="shared" si="89"/>
        <v>0</v>
      </c>
      <c r="BF363" s="72">
        <f>TableCosts[[#This Row],[N_Amount]]*TableCosts[[#This Row],[N_Tariff]]*TableCosts[[#This Row],[N_ItemsCount]]</f>
        <v>0</v>
      </c>
      <c r="BG363" s="72">
        <f>IF(G363=1,IF(TableCosts[[#This Row],[N_Kateg]]="interné práce",TableCosts[[#This Row],[N_Amount]]*8*PAR_SGA_PERHOUR,0),0)</f>
        <v>0</v>
      </c>
      <c r="BH363" s="72">
        <f>SUM(TableCosts[[#This Row],[N_Direct]:[N_SGA]])</f>
        <v>0</v>
      </c>
      <c r="BI363" s="24">
        <f>IF(G363=1,IF(OR(AND(NOT(ISERROR(VLOOKUP(TableCosts[[#This Row],[Calc_N_Typ]],Cis_WorkPositions,1,0))),C363&lt;&gt;"",D363&lt;&gt;"",E363&lt;&gt;""),AND(ISERROR(VLOOKUP(TableCosts[[#This Row],[Calc_N_Typ]],Cis_WorkPositions,1,0)),C363="",D363="",E363&lt;&gt;""),LEFT(TableCosts[[#This Row],[Calc_N_Typ]],18)="Vynaložené náklady"),VLOOKUP(C363&amp;TableCosts[[#This Row],[Calc_N_Typ]],TRAN_STRITEMS_LABEL,VLOOKUP(D363,Tab_Hours,3,0),0),NA()),0)</f>
        <v>0</v>
      </c>
      <c r="BJ363" s="24">
        <f t="shared" si="90"/>
        <v>0</v>
      </c>
      <c r="BK363" s="24" t="str">
        <f t="shared" si="91"/>
        <v/>
      </c>
      <c r="BL363" s="24" t="str">
        <f t="shared" si="92"/>
        <v/>
      </c>
      <c r="BM363" s="24" t="str">
        <f>IF(G363=1,IF(TableCosts[[#This Row],[TransferFrom]]=TableCosts[[#This Row],[TranferTo]],0,1),"")</f>
        <v/>
      </c>
      <c r="BN363" s="24" t="str">
        <f t="shared" si="93"/>
        <v/>
      </c>
      <c r="BO363" s="24">
        <f t="shared" si="94"/>
        <v>0</v>
      </c>
      <c r="BP363" s="24">
        <f t="shared" si="95"/>
        <v>0</v>
      </c>
    </row>
    <row r="364" spans="2:68" s="24" customFormat="1" ht="12.75" x14ac:dyDescent="0.2">
      <c r="B364" s="97"/>
      <c r="C364" s="92"/>
      <c r="D364" s="92"/>
      <c r="E364" s="92"/>
      <c r="F364" s="31" t="str">
        <f>IF(G364=1,IF(ISERROR(TableCosts[[#This Row],[N_Tariff]]),Err_Message1,IF(TableCosts[[#This Row],[N_Tariff]]=0,Err_Message2,VLOOKUP(C364&amp;TableCosts[[#This Row],[Calc_N_Typ]],TRAN_STRITEMS_LABEL,5,FALSE))),"")</f>
        <v/>
      </c>
      <c r="G364" s="31">
        <f t="shared" si="84"/>
        <v>0</v>
      </c>
      <c r="H364" s="31" t="str">
        <f>IF(G364=1,IFERROR(VLOOKUP(F364,Tab_ErrMessage[],2,0),VLOOKUP(C364&amp;TableCosts[[#This Row],[Calc_N_Typ]],TRAN_STRITEMS_LABEL,4,FALSE)),"")</f>
        <v/>
      </c>
      <c r="I364" s="94"/>
      <c r="J364" s="94"/>
      <c r="K364" s="94"/>
      <c r="L364" s="84"/>
      <c r="M364" s="84"/>
      <c r="N364" s="84"/>
      <c r="O364" s="84"/>
      <c r="P364" s="84"/>
      <c r="Q364" s="84"/>
      <c r="R364" s="84"/>
      <c r="S364" s="84"/>
      <c r="T364" s="84"/>
      <c r="U364" s="84"/>
      <c r="V364" s="84"/>
      <c r="W364" s="84"/>
      <c r="X364" s="84"/>
      <c r="Y364" s="84"/>
      <c r="Z364" s="84"/>
      <c r="AA364" s="84"/>
      <c r="AB364" s="84"/>
      <c r="AC364" s="84"/>
      <c r="AD364" s="84"/>
      <c r="AE364" s="84"/>
      <c r="AF364" s="84"/>
      <c r="AG364" s="84"/>
      <c r="AH364" s="84"/>
      <c r="AI364" s="84"/>
      <c r="AJ364" s="84"/>
      <c r="AK364" s="84"/>
      <c r="AL364" s="84"/>
      <c r="AM364" s="84"/>
      <c r="AN364" s="84"/>
      <c r="AO364" s="84"/>
      <c r="AP364" s="84"/>
      <c r="AQ364" s="84"/>
      <c r="AR364" s="84"/>
      <c r="AS364" s="84"/>
      <c r="AT364" s="84"/>
      <c r="AU364" s="84"/>
      <c r="AV364" s="84"/>
      <c r="AW364" s="84"/>
      <c r="AX364" s="87">
        <f t="array" ref="AX364">IF(G364=1,SUM((ROW(M0)=ROW(AW364))*(M0+M1_+M2_+M3_+M4_+M5_+M6_+M7_+M8_+M9_+M10_+M11_+M12_+M13_+M14_+M15_+M16_+M17_+M18_+M19_+M20_+M21_+M22_+M23_+M24_+M25_+M26_+M27_+M28_+M29_+M30_+M31_+M32_+M33_+M34_+M35_+M36_+M37_)),0)</f>
        <v>0</v>
      </c>
      <c r="AZ364" s="24" t="str">
        <f t="shared" si="85"/>
        <v/>
      </c>
      <c r="BA364" s="24" t="str">
        <f t="shared" si="86"/>
        <v/>
      </c>
      <c r="BB364" s="24" t="str">
        <f t="shared" si="87"/>
        <v/>
      </c>
      <c r="BC364" s="24" t="str">
        <f>IF(OR(E364="",LEFT(TableCosts[[#This Row],[Calc_N_Typ]],18)="Vynaložené náklady"),"",VLOOKUP(E364,Tab_Parts,2,0))</f>
        <v/>
      </c>
      <c r="BD364" s="24" t="str">
        <f t="shared" si="88"/>
        <v/>
      </c>
      <c r="BE364" s="24">
        <f t="shared" si="89"/>
        <v>0</v>
      </c>
      <c r="BF364" s="72">
        <f>TableCosts[[#This Row],[N_Amount]]*TableCosts[[#This Row],[N_Tariff]]*TableCosts[[#This Row],[N_ItemsCount]]</f>
        <v>0</v>
      </c>
      <c r="BG364" s="72">
        <f>IF(G364=1,IF(TableCosts[[#This Row],[N_Kateg]]="interné práce",TableCosts[[#This Row],[N_Amount]]*8*PAR_SGA_PERHOUR,0),0)</f>
        <v>0</v>
      </c>
      <c r="BH364" s="72">
        <f>SUM(TableCosts[[#This Row],[N_Direct]:[N_SGA]])</f>
        <v>0</v>
      </c>
      <c r="BI364" s="24">
        <f>IF(G364=1,IF(OR(AND(NOT(ISERROR(VLOOKUP(TableCosts[[#This Row],[Calc_N_Typ]],Cis_WorkPositions,1,0))),C364&lt;&gt;"",D364&lt;&gt;"",E364&lt;&gt;""),AND(ISERROR(VLOOKUP(TableCosts[[#This Row],[Calc_N_Typ]],Cis_WorkPositions,1,0)),C364="",D364="",E364&lt;&gt;""),LEFT(TableCosts[[#This Row],[Calc_N_Typ]],18)="Vynaložené náklady"),VLOOKUP(C364&amp;TableCosts[[#This Row],[Calc_N_Typ]],TRAN_STRITEMS_LABEL,VLOOKUP(D364,Tab_Hours,3,0),0),NA()),0)</f>
        <v>0</v>
      </c>
      <c r="BJ364" s="24">
        <f t="shared" si="90"/>
        <v>0</v>
      </c>
      <c r="BK364" s="24" t="str">
        <f t="shared" si="91"/>
        <v/>
      </c>
      <c r="BL364" s="24" t="str">
        <f t="shared" si="92"/>
        <v/>
      </c>
      <c r="BM364" s="24" t="str">
        <f>IF(G364=1,IF(TableCosts[[#This Row],[TransferFrom]]=TableCosts[[#This Row],[TranferTo]],0,1),"")</f>
        <v/>
      </c>
      <c r="BN364" s="24" t="str">
        <f t="shared" si="93"/>
        <v/>
      </c>
      <c r="BO364" s="24">
        <f t="shared" si="94"/>
        <v>0</v>
      </c>
      <c r="BP364" s="24">
        <f t="shared" si="95"/>
        <v>0</v>
      </c>
    </row>
    <row r="365" spans="2:68" s="24" customFormat="1" ht="12.75" x14ac:dyDescent="0.2">
      <c r="B365" s="97"/>
      <c r="C365" s="92"/>
      <c r="D365" s="92"/>
      <c r="E365" s="92"/>
      <c r="F365" s="31" t="str">
        <f>IF(G365=1,IF(ISERROR(TableCosts[[#This Row],[N_Tariff]]),Err_Message1,IF(TableCosts[[#This Row],[N_Tariff]]=0,Err_Message2,VLOOKUP(C365&amp;TableCosts[[#This Row],[Calc_N_Typ]],TRAN_STRITEMS_LABEL,5,FALSE))),"")</f>
        <v/>
      </c>
      <c r="G365" s="31">
        <f t="shared" si="84"/>
        <v>0</v>
      </c>
      <c r="H365" s="31" t="str">
        <f>IF(G365=1,IFERROR(VLOOKUP(F365,Tab_ErrMessage[],2,0),VLOOKUP(C365&amp;TableCosts[[#This Row],[Calc_N_Typ]],TRAN_STRITEMS_LABEL,4,FALSE)),"")</f>
        <v/>
      </c>
      <c r="I365" s="94"/>
      <c r="J365" s="94"/>
      <c r="K365" s="94"/>
      <c r="L365" s="84"/>
      <c r="M365" s="84"/>
      <c r="N365" s="84"/>
      <c r="O365" s="84"/>
      <c r="P365" s="84"/>
      <c r="Q365" s="84"/>
      <c r="R365" s="84"/>
      <c r="S365" s="84"/>
      <c r="T365" s="84"/>
      <c r="U365" s="84"/>
      <c r="V365" s="84"/>
      <c r="W365" s="84"/>
      <c r="X365" s="84"/>
      <c r="Y365" s="84"/>
      <c r="Z365" s="84"/>
      <c r="AA365" s="84"/>
      <c r="AB365" s="84"/>
      <c r="AC365" s="84"/>
      <c r="AD365" s="84"/>
      <c r="AE365" s="84"/>
      <c r="AF365" s="84"/>
      <c r="AG365" s="84"/>
      <c r="AH365" s="84"/>
      <c r="AI365" s="84"/>
      <c r="AJ365" s="84"/>
      <c r="AK365" s="84"/>
      <c r="AL365" s="84"/>
      <c r="AM365" s="84"/>
      <c r="AN365" s="84"/>
      <c r="AO365" s="84"/>
      <c r="AP365" s="84"/>
      <c r="AQ365" s="84"/>
      <c r="AR365" s="84"/>
      <c r="AS365" s="84"/>
      <c r="AT365" s="84"/>
      <c r="AU365" s="84"/>
      <c r="AV365" s="84"/>
      <c r="AW365" s="84"/>
      <c r="AX365" s="87">
        <f t="array" ref="AX365">IF(G365=1,SUM((ROW(M0)=ROW(AW365))*(M0+M1_+M2_+M3_+M4_+M5_+M6_+M7_+M8_+M9_+M10_+M11_+M12_+M13_+M14_+M15_+M16_+M17_+M18_+M19_+M20_+M21_+M22_+M23_+M24_+M25_+M26_+M27_+M28_+M29_+M30_+M31_+M32_+M33_+M34_+M35_+M36_+M37_)),0)</f>
        <v>0</v>
      </c>
      <c r="AZ365" s="24" t="str">
        <f t="shared" si="85"/>
        <v/>
      </c>
      <c r="BA365" s="24" t="str">
        <f t="shared" si="86"/>
        <v/>
      </c>
      <c r="BB365" s="24" t="str">
        <f t="shared" si="87"/>
        <v/>
      </c>
      <c r="BC365" s="24" t="str">
        <f>IF(OR(E365="",LEFT(TableCosts[[#This Row],[Calc_N_Typ]],18)="Vynaložené náklady"),"",VLOOKUP(E365,Tab_Parts,2,0))</f>
        <v/>
      </c>
      <c r="BD365" s="24" t="str">
        <f t="shared" si="88"/>
        <v/>
      </c>
      <c r="BE365" s="24">
        <f t="shared" si="89"/>
        <v>0</v>
      </c>
      <c r="BF365" s="72">
        <f>TableCosts[[#This Row],[N_Amount]]*TableCosts[[#This Row],[N_Tariff]]*TableCosts[[#This Row],[N_ItemsCount]]</f>
        <v>0</v>
      </c>
      <c r="BG365" s="72">
        <f>IF(G365=1,IF(TableCosts[[#This Row],[N_Kateg]]="interné práce",TableCosts[[#This Row],[N_Amount]]*8*PAR_SGA_PERHOUR,0),0)</f>
        <v>0</v>
      </c>
      <c r="BH365" s="72">
        <f>SUM(TableCosts[[#This Row],[N_Direct]:[N_SGA]])</f>
        <v>0</v>
      </c>
      <c r="BI365" s="24">
        <f>IF(G365=1,IF(OR(AND(NOT(ISERROR(VLOOKUP(TableCosts[[#This Row],[Calc_N_Typ]],Cis_WorkPositions,1,0))),C365&lt;&gt;"",D365&lt;&gt;"",E365&lt;&gt;""),AND(ISERROR(VLOOKUP(TableCosts[[#This Row],[Calc_N_Typ]],Cis_WorkPositions,1,0)),C365="",D365="",E365&lt;&gt;""),LEFT(TableCosts[[#This Row],[Calc_N_Typ]],18)="Vynaložené náklady"),VLOOKUP(C365&amp;TableCosts[[#This Row],[Calc_N_Typ]],TRAN_STRITEMS_LABEL,VLOOKUP(D365,Tab_Hours,3,0),0),NA()),0)</f>
        <v>0</v>
      </c>
      <c r="BJ365" s="24">
        <f t="shared" si="90"/>
        <v>0</v>
      </c>
      <c r="BK365" s="24" t="str">
        <f t="shared" si="91"/>
        <v/>
      </c>
      <c r="BL365" s="24" t="str">
        <f t="shared" si="92"/>
        <v/>
      </c>
      <c r="BM365" s="24" t="str">
        <f>IF(G365=1,IF(TableCosts[[#This Row],[TransferFrom]]=TableCosts[[#This Row],[TranferTo]],0,1),"")</f>
        <v/>
      </c>
      <c r="BN365" s="24" t="str">
        <f t="shared" si="93"/>
        <v/>
      </c>
      <c r="BO365" s="24">
        <f t="shared" si="94"/>
        <v>0</v>
      </c>
      <c r="BP365" s="24">
        <f t="shared" si="95"/>
        <v>0</v>
      </c>
    </row>
    <row r="366" spans="2:68" s="24" customFormat="1" ht="12.75" x14ac:dyDescent="0.2">
      <c r="B366" s="97"/>
      <c r="C366" s="92"/>
      <c r="D366" s="92"/>
      <c r="E366" s="92"/>
      <c r="F366" s="31" t="str">
        <f>IF(G366=1,IF(ISERROR(TableCosts[[#This Row],[N_Tariff]]),Err_Message1,IF(TableCosts[[#This Row],[N_Tariff]]=0,Err_Message2,VLOOKUP(C366&amp;TableCosts[[#This Row],[Calc_N_Typ]],TRAN_STRITEMS_LABEL,5,FALSE))),"")</f>
        <v/>
      </c>
      <c r="G366" s="31">
        <f t="shared" si="84"/>
        <v>0</v>
      </c>
      <c r="H366" s="31" t="str">
        <f>IF(G366=1,IFERROR(VLOOKUP(F366,Tab_ErrMessage[],2,0),VLOOKUP(C366&amp;TableCosts[[#This Row],[Calc_N_Typ]],TRAN_STRITEMS_LABEL,4,FALSE)),"")</f>
        <v/>
      </c>
      <c r="I366" s="94"/>
      <c r="J366" s="94"/>
      <c r="K366" s="94"/>
      <c r="L366" s="84"/>
      <c r="M366" s="84"/>
      <c r="N366" s="84"/>
      <c r="O366" s="84"/>
      <c r="P366" s="84"/>
      <c r="Q366" s="84"/>
      <c r="R366" s="84"/>
      <c r="S366" s="84"/>
      <c r="T366" s="84"/>
      <c r="U366" s="84"/>
      <c r="V366" s="84"/>
      <c r="W366" s="84"/>
      <c r="X366" s="84"/>
      <c r="Y366" s="84"/>
      <c r="Z366" s="84"/>
      <c r="AA366" s="84"/>
      <c r="AB366" s="84"/>
      <c r="AC366" s="84"/>
      <c r="AD366" s="84"/>
      <c r="AE366" s="84"/>
      <c r="AF366" s="84"/>
      <c r="AG366" s="84"/>
      <c r="AH366" s="84"/>
      <c r="AI366" s="84"/>
      <c r="AJ366" s="84"/>
      <c r="AK366" s="84"/>
      <c r="AL366" s="84"/>
      <c r="AM366" s="84"/>
      <c r="AN366" s="84"/>
      <c r="AO366" s="84"/>
      <c r="AP366" s="84"/>
      <c r="AQ366" s="84"/>
      <c r="AR366" s="84"/>
      <c r="AS366" s="84"/>
      <c r="AT366" s="84"/>
      <c r="AU366" s="84"/>
      <c r="AV366" s="84"/>
      <c r="AW366" s="84"/>
      <c r="AX366" s="87">
        <f t="array" ref="AX366">IF(G366=1,SUM((ROW(M0)=ROW(AW366))*(M0+M1_+M2_+M3_+M4_+M5_+M6_+M7_+M8_+M9_+M10_+M11_+M12_+M13_+M14_+M15_+M16_+M17_+M18_+M19_+M20_+M21_+M22_+M23_+M24_+M25_+M26_+M27_+M28_+M29_+M30_+M31_+M32_+M33_+M34_+M35_+M36_+M37_)),0)</f>
        <v>0</v>
      </c>
      <c r="AZ366" s="24" t="str">
        <f t="shared" si="85"/>
        <v/>
      </c>
      <c r="BA366" s="24" t="str">
        <f t="shared" si="86"/>
        <v/>
      </c>
      <c r="BB366" s="24" t="str">
        <f t="shared" si="87"/>
        <v/>
      </c>
      <c r="BC366" s="24" t="str">
        <f>IF(OR(E366="",LEFT(TableCosts[[#This Row],[Calc_N_Typ]],18)="Vynaložené náklady"),"",VLOOKUP(E366,Tab_Parts,2,0))</f>
        <v/>
      </c>
      <c r="BD366" s="24" t="str">
        <f t="shared" si="88"/>
        <v/>
      </c>
      <c r="BE366" s="24">
        <f t="shared" si="89"/>
        <v>0</v>
      </c>
      <c r="BF366" s="72">
        <f>TableCosts[[#This Row],[N_Amount]]*TableCosts[[#This Row],[N_Tariff]]*TableCosts[[#This Row],[N_ItemsCount]]</f>
        <v>0</v>
      </c>
      <c r="BG366" s="72">
        <f>IF(G366=1,IF(TableCosts[[#This Row],[N_Kateg]]="interné práce",TableCosts[[#This Row],[N_Amount]]*8*PAR_SGA_PERHOUR,0),0)</f>
        <v>0</v>
      </c>
      <c r="BH366" s="72">
        <f>SUM(TableCosts[[#This Row],[N_Direct]:[N_SGA]])</f>
        <v>0</v>
      </c>
      <c r="BI366" s="24">
        <f>IF(G366=1,IF(OR(AND(NOT(ISERROR(VLOOKUP(TableCosts[[#This Row],[Calc_N_Typ]],Cis_WorkPositions,1,0))),C366&lt;&gt;"",D366&lt;&gt;"",E366&lt;&gt;""),AND(ISERROR(VLOOKUP(TableCosts[[#This Row],[Calc_N_Typ]],Cis_WorkPositions,1,0)),C366="",D366="",E366&lt;&gt;""),LEFT(TableCosts[[#This Row],[Calc_N_Typ]],18)="Vynaložené náklady"),VLOOKUP(C366&amp;TableCosts[[#This Row],[Calc_N_Typ]],TRAN_STRITEMS_LABEL,VLOOKUP(D366,Tab_Hours,3,0),0),NA()),0)</f>
        <v>0</v>
      </c>
      <c r="BJ366" s="24">
        <f t="shared" si="90"/>
        <v>0</v>
      </c>
      <c r="BK366" s="24" t="str">
        <f t="shared" si="91"/>
        <v/>
      </c>
      <c r="BL366" s="24" t="str">
        <f t="shared" si="92"/>
        <v/>
      </c>
      <c r="BM366" s="24" t="str">
        <f>IF(G366=1,IF(TableCosts[[#This Row],[TransferFrom]]=TableCosts[[#This Row],[TranferTo]],0,1),"")</f>
        <v/>
      </c>
      <c r="BN366" s="24" t="str">
        <f t="shared" si="93"/>
        <v/>
      </c>
      <c r="BO366" s="24">
        <f t="shared" si="94"/>
        <v>0</v>
      </c>
      <c r="BP366" s="24">
        <f t="shared" si="95"/>
        <v>0</v>
      </c>
    </row>
    <row r="367" spans="2:68" s="24" customFormat="1" ht="12.75" x14ac:dyDescent="0.2">
      <c r="B367" s="97"/>
      <c r="C367" s="92"/>
      <c r="D367" s="92"/>
      <c r="E367" s="92"/>
      <c r="F367" s="31" t="str">
        <f>IF(G367=1,IF(ISERROR(TableCosts[[#This Row],[N_Tariff]]),Err_Message1,IF(TableCosts[[#This Row],[N_Tariff]]=0,Err_Message2,VLOOKUP(C367&amp;TableCosts[[#This Row],[Calc_N_Typ]],TRAN_STRITEMS_LABEL,5,FALSE))),"")</f>
        <v/>
      </c>
      <c r="G367" s="31">
        <f t="shared" si="84"/>
        <v>0</v>
      </c>
      <c r="H367" s="31" t="str">
        <f>IF(G367=1,IFERROR(VLOOKUP(F367,Tab_ErrMessage[],2,0),VLOOKUP(C367&amp;TableCosts[[#This Row],[Calc_N_Typ]],TRAN_STRITEMS_LABEL,4,FALSE)),"")</f>
        <v/>
      </c>
      <c r="I367" s="94"/>
      <c r="J367" s="94"/>
      <c r="K367" s="94"/>
      <c r="L367" s="84"/>
      <c r="M367" s="84"/>
      <c r="N367" s="84"/>
      <c r="O367" s="84"/>
      <c r="P367" s="84"/>
      <c r="Q367" s="84"/>
      <c r="R367" s="84"/>
      <c r="S367" s="84"/>
      <c r="T367" s="84"/>
      <c r="U367" s="84"/>
      <c r="V367" s="84"/>
      <c r="W367" s="84"/>
      <c r="X367" s="84"/>
      <c r="Y367" s="84"/>
      <c r="Z367" s="84"/>
      <c r="AA367" s="84"/>
      <c r="AB367" s="84"/>
      <c r="AC367" s="84"/>
      <c r="AD367" s="84"/>
      <c r="AE367" s="84"/>
      <c r="AF367" s="84"/>
      <c r="AG367" s="84"/>
      <c r="AH367" s="84"/>
      <c r="AI367" s="84"/>
      <c r="AJ367" s="84"/>
      <c r="AK367" s="84"/>
      <c r="AL367" s="84"/>
      <c r="AM367" s="84"/>
      <c r="AN367" s="84"/>
      <c r="AO367" s="84"/>
      <c r="AP367" s="84"/>
      <c r="AQ367" s="84"/>
      <c r="AR367" s="84"/>
      <c r="AS367" s="84"/>
      <c r="AT367" s="84"/>
      <c r="AU367" s="84"/>
      <c r="AV367" s="84"/>
      <c r="AW367" s="84"/>
      <c r="AX367" s="87">
        <f t="array" ref="AX367">IF(G367=1,SUM((ROW(M0)=ROW(AW367))*(M0+M1_+M2_+M3_+M4_+M5_+M6_+M7_+M8_+M9_+M10_+M11_+M12_+M13_+M14_+M15_+M16_+M17_+M18_+M19_+M20_+M21_+M22_+M23_+M24_+M25_+M26_+M27_+M28_+M29_+M30_+M31_+M32_+M33_+M34_+M35_+M36_+M37_)),0)</f>
        <v>0</v>
      </c>
      <c r="AZ367" s="24" t="str">
        <f t="shared" si="85"/>
        <v/>
      </c>
      <c r="BA367" s="24" t="str">
        <f t="shared" si="86"/>
        <v/>
      </c>
      <c r="BB367" s="24" t="str">
        <f t="shared" si="87"/>
        <v/>
      </c>
      <c r="BC367" s="24" t="str">
        <f>IF(OR(E367="",LEFT(TableCosts[[#This Row],[Calc_N_Typ]],18)="Vynaložené náklady"),"",VLOOKUP(E367,Tab_Parts,2,0))</f>
        <v/>
      </c>
      <c r="BD367" s="24" t="str">
        <f t="shared" si="88"/>
        <v/>
      </c>
      <c r="BE367" s="24">
        <f t="shared" si="89"/>
        <v>0</v>
      </c>
      <c r="BF367" s="72">
        <f>TableCosts[[#This Row],[N_Amount]]*TableCosts[[#This Row],[N_Tariff]]*TableCosts[[#This Row],[N_ItemsCount]]</f>
        <v>0</v>
      </c>
      <c r="BG367" s="72">
        <f>IF(G367=1,IF(TableCosts[[#This Row],[N_Kateg]]="interné práce",TableCosts[[#This Row],[N_Amount]]*8*PAR_SGA_PERHOUR,0),0)</f>
        <v>0</v>
      </c>
      <c r="BH367" s="72">
        <f>SUM(TableCosts[[#This Row],[N_Direct]:[N_SGA]])</f>
        <v>0</v>
      </c>
      <c r="BI367" s="24">
        <f>IF(G367=1,IF(OR(AND(NOT(ISERROR(VLOOKUP(TableCosts[[#This Row],[Calc_N_Typ]],Cis_WorkPositions,1,0))),C367&lt;&gt;"",D367&lt;&gt;"",E367&lt;&gt;""),AND(ISERROR(VLOOKUP(TableCosts[[#This Row],[Calc_N_Typ]],Cis_WorkPositions,1,0)),C367="",D367="",E367&lt;&gt;""),LEFT(TableCosts[[#This Row],[Calc_N_Typ]],18)="Vynaložené náklady"),VLOOKUP(C367&amp;TableCosts[[#This Row],[Calc_N_Typ]],TRAN_STRITEMS_LABEL,VLOOKUP(D367,Tab_Hours,3,0),0),NA()),0)</f>
        <v>0</v>
      </c>
      <c r="BJ367" s="24">
        <f t="shared" si="90"/>
        <v>0</v>
      </c>
      <c r="BK367" s="24" t="str">
        <f t="shared" si="91"/>
        <v/>
      </c>
      <c r="BL367" s="24" t="str">
        <f t="shared" si="92"/>
        <v/>
      </c>
      <c r="BM367" s="24" t="str">
        <f>IF(G367=1,IF(TableCosts[[#This Row],[TransferFrom]]=TableCosts[[#This Row],[TranferTo]],0,1),"")</f>
        <v/>
      </c>
      <c r="BN367" s="24" t="str">
        <f t="shared" si="93"/>
        <v/>
      </c>
      <c r="BO367" s="24">
        <f t="shared" si="94"/>
        <v>0</v>
      </c>
      <c r="BP367" s="24">
        <f t="shared" si="95"/>
        <v>0</v>
      </c>
    </row>
    <row r="368" spans="2:68" s="24" customFormat="1" ht="12.75" x14ac:dyDescent="0.2">
      <c r="B368" s="97"/>
      <c r="C368" s="92"/>
      <c r="D368" s="92"/>
      <c r="E368" s="92"/>
      <c r="F368" s="31" t="str">
        <f>IF(G368=1,IF(ISERROR(TableCosts[[#This Row],[N_Tariff]]),Err_Message1,IF(TableCosts[[#This Row],[N_Tariff]]=0,Err_Message2,VLOOKUP(C368&amp;TableCosts[[#This Row],[Calc_N_Typ]],TRAN_STRITEMS_LABEL,5,FALSE))),"")</f>
        <v/>
      </c>
      <c r="G368" s="31">
        <f t="shared" si="84"/>
        <v>0</v>
      </c>
      <c r="H368" s="31" t="str">
        <f>IF(G368=1,IFERROR(VLOOKUP(F368,Tab_ErrMessage[],2,0),VLOOKUP(C368&amp;TableCosts[[#This Row],[Calc_N_Typ]],TRAN_STRITEMS_LABEL,4,FALSE)),"")</f>
        <v/>
      </c>
      <c r="I368" s="94"/>
      <c r="J368" s="94"/>
      <c r="K368" s="94"/>
      <c r="L368" s="84"/>
      <c r="M368" s="84"/>
      <c r="N368" s="84"/>
      <c r="O368" s="84"/>
      <c r="P368" s="84"/>
      <c r="Q368" s="84"/>
      <c r="R368" s="84"/>
      <c r="S368" s="84"/>
      <c r="T368" s="84"/>
      <c r="U368" s="84"/>
      <c r="V368" s="84"/>
      <c r="W368" s="84"/>
      <c r="X368" s="84"/>
      <c r="Y368" s="84"/>
      <c r="Z368" s="84"/>
      <c r="AA368" s="84"/>
      <c r="AB368" s="84"/>
      <c r="AC368" s="84"/>
      <c r="AD368" s="84"/>
      <c r="AE368" s="84"/>
      <c r="AF368" s="84"/>
      <c r="AG368" s="84"/>
      <c r="AH368" s="84"/>
      <c r="AI368" s="84"/>
      <c r="AJ368" s="84"/>
      <c r="AK368" s="84"/>
      <c r="AL368" s="84"/>
      <c r="AM368" s="84"/>
      <c r="AN368" s="84"/>
      <c r="AO368" s="84"/>
      <c r="AP368" s="84"/>
      <c r="AQ368" s="84"/>
      <c r="AR368" s="84"/>
      <c r="AS368" s="84"/>
      <c r="AT368" s="84"/>
      <c r="AU368" s="84"/>
      <c r="AV368" s="84"/>
      <c r="AW368" s="84"/>
      <c r="AX368" s="87">
        <f t="array" ref="AX368">IF(G368=1,SUM((ROW(M0)=ROW(AW368))*(M0+M1_+M2_+M3_+M4_+M5_+M6_+M7_+M8_+M9_+M10_+M11_+M12_+M13_+M14_+M15_+M16_+M17_+M18_+M19_+M20_+M21_+M22_+M23_+M24_+M25_+M26_+M27_+M28_+M29_+M30_+M31_+M32_+M33_+M34_+M35_+M36_+M37_)),0)</f>
        <v>0</v>
      </c>
      <c r="AZ368" s="24" t="str">
        <f t="shared" si="85"/>
        <v/>
      </c>
      <c r="BA368" s="24" t="str">
        <f t="shared" si="86"/>
        <v/>
      </c>
      <c r="BB368" s="24" t="str">
        <f t="shared" si="87"/>
        <v/>
      </c>
      <c r="BC368" s="24" t="str">
        <f>IF(OR(E368="",LEFT(TableCosts[[#This Row],[Calc_N_Typ]],18)="Vynaložené náklady"),"",VLOOKUP(E368,Tab_Parts,2,0))</f>
        <v/>
      </c>
      <c r="BD368" s="24" t="str">
        <f t="shared" si="88"/>
        <v/>
      </c>
      <c r="BE368" s="24">
        <f t="shared" si="89"/>
        <v>0</v>
      </c>
      <c r="BF368" s="72">
        <f>TableCosts[[#This Row],[N_Amount]]*TableCosts[[#This Row],[N_Tariff]]*TableCosts[[#This Row],[N_ItemsCount]]</f>
        <v>0</v>
      </c>
      <c r="BG368" s="72">
        <f>IF(G368=1,IF(TableCosts[[#This Row],[N_Kateg]]="interné práce",TableCosts[[#This Row],[N_Amount]]*8*PAR_SGA_PERHOUR,0),0)</f>
        <v>0</v>
      </c>
      <c r="BH368" s="72">
        <f>SUM(TableCosts[[#This Row],[N_Direct]:[N_SGA]])</f>
        <v>0</v>
      </c>
      <c r="BI368" s="24">
        <f>IF(G368=1,IF(OR(AND(NOT(ISERROR(VLOOKUP(TableCosts[[#This Row],[Calc_N_Typ]],Cis_WorkPositions,1,0))),C368&lt;&gt;"",D368&lt;&gt;"",E368&lt;&gt;""),AND(ISERROR(VLOOKUP(TableCosts[[#This Row],[Calc_N_Typ]],Cis_WorkPositions,1,0)),C368="",D368="",E368&lt;&gt;""),LEFT(TableCosts[[#This Row],[Calc_N_Typ]],18)="Vynaložené náklady"),VLOOKUP(C368&amp;TableCosts[[#This Row],[Calc_N_Typ]],TRAN_STRITEMS_LABEL,VLOOKUP(D368,Tab_Hours,3,0),0),NA()),0)</f>
        <v>0</v>
      </c>
      <c r="BJ368" s="24">
        <f t="shared" si="90"/>
        <v>0</v>
      </c>
      <c r="BK368" s="24" t="str">
        <f t="shared" si="91"/>
        <v/>
      </c>
      <c r="BL368" s="24" t="str">
        <f t="shared" si="92"/>
        <v/>
      </c>
      <c r="BM368" s="24" t="str">
        <f>IF(G368=1,IF(TableCosts[[#This Row],[TransferFrom]]=TableCosts[[#This Row],[TranferTo]],0,1),"")</f>
        <v/>
      </c>
      <c r="BN368" s="24" t="str">
        <f t="shared" si="93"/>
        <v/>
      </c>
      <c r="BO368" s="24">
        <f t="shared" si="94"/>
        <v>0</v>
      </c>
      <c r="BP368" s="24">
        <f t="shared" si="95"/>
        <v>0</v>
      </c>
    </row>
    <row r="369" spans="2:68" s="24" customFormat="1" ht="12.75" x14ac:dyDescent="0.2">
      <c r="B369" s="97"/>
      <c r="C369" s="92"/>
      <c r="D369" s="92"/>
      <c r="E369" s="92"/>
      <c r="F369" s="31" t="str">
        <f>IF(G369=1,IF(ISERROR(TableCosts[[#This Row],[N_Tariff]]),Err_Message1,IF(TableCosts[[#This Row],[N_Tariff]]=0,Err_Message2,VLOOKUP(C369&amp;TableCosts[[#This Row],[Calc_N_Typ]],TRAN_STRITEMS_LABEL,5,FALSE))),"")</f>
        <v/>
      </c>
      <c r="G369" s="31">
        <f t="shared" si="84"/>
        <v>0</v>
      </c>
      <c r="H369" s="31" t="str">
        <f>IF(G369=1,IFERROR(VLOOKUP(F369,Tab_ErrMessage[],2,0),VLOOKUP(C369&amp;TableCosts[[#This Row],[Calc_N_Typ]],TRAN_STRITEMS_LABEL,4,FALSE)),"")</f>
        <v/>
      </c>
      <c r="I369" s="94"/>
      <c r="J369" s="94"/>
      <c r="K369" s="94"/>
      <c r="L369" s="84"/>
      <c r="M369" s="84"/>
      <c r="N369" s="84"/>
      <c r="O369" s="84"/>
      <c r="P369" s="84"/>
      <c r="Q369" s="84"/>
      <c r="R369" s="84"/>
      <c r="S369" s="84"/>
      <c r="T369" s="84"/>
      <c r="U369" s="84"/>
      <c r="V369" s="84"/>
      <c r="W369" s="84"/>
      <c r="X369" s="84"/>
      <c r="Y369" s="84"/>
      <c r="Z369" s="84"/>
      <c r="AA369" s="84"/>
      <c r="AB369" s="84"/>
      <c r="AC369" s="84"/>
      <c r="AD369" s="84"/>
      <c r="AE369" s="84"/>
      <c r="AF369" s="84"/>
      <c r="AG369" s="84"/>
      <c r="AH369" s="84"/>
      <c r="AI369" s="84"/>
      <c r="AJ369" s="84"/>
      <c r="AK369" s="84"/>
      <c r="AL369" s="84"/>
      <c r="AM369" s="84"/>
      <c r="AN369" s="84"/>
      <c r="AO369" s="84"/>
      <c r="AP369" s="84"/>
      <c r="AQ369" s="84"/>
      <c r="AR369" s="84"/>
      <c r="AS369" s="84"/>
      <c r="AT369" s="84"/>
      <c r="AU369" s="84"/>
      <c r="AV369" s="84"/>
      <c r="AW369" s="84"/>
      <c r="AX369" s="87">
        <f t="array" ref="AX369">IF(G369=1,SUM((ROW(M0)=ROW(AW369))*(M0+M1_+M2_+M3_+M4_+M5_+M6_+M7_+M8_+M9_+M10_+M11_+M12_+M13_+M14_+M15_+M16_+M17_+M18_+M19_+M20_+M21_+M22_+M23_+M24_+M25_+M26_+M27_+M28_+M29_+M30_+M31_+M32_+M33_+M34_+M35_+M36_+M37_)),0)</f>
        <v>0</v>
      </c>
      <c r="AZ369" s="24" t="str">
        <f t="shared" si="85"/>
        <v/>
      </c>
      <c r="BA369" s="24" t="str">
        <f t="shared" si="86"/>
        <v/>
      </c>
      <c r="BB369" s="24" t="str">
        <f t="shared" si="87"/>
        <v/>
      </c>
      <c r="BC369" s="24" t="str">
        <f>IF(OR(E369="",LEFT(TableCosts[[#This Row],[Calc_N_Typ]],18)="Vynaložené náklady"),"",VLOOKUP(E369,Tab_Parts,2,0))</f>
        <v/>
      </c>
      <c r="BD369" s="24" t="str">
        <f t="shared" si="88"/>
        <v/>
      </c>
      <c r="BE369" s="24">
        <f t="shared" si="89"/>
        <v>0</v>
      </c>
      <c r="BF369" s="72">
        <f>TableCosts[[#This Row],[N_Amount]]*TableCosts[[#This Row],[N_Tariff]]*TableCosts[[#This Row],[N_ItemsCount]]</f>
        <v>0</v>
      </c>
      <c r="BG369" s="72">
        <f>IF(G369=1,IF(TableCosts[[#This Row],[N_Kateg]]="interné práce",TableCosts[[#This Row],[N_Amount]]*8*PAR_SGA_PERHOUR,0),0)</f>
        <v>0</v>
      </c>
      <c r="BH369" s="72">
        <f>SUM(TableCosts[[#This Row],[N_Direct]:[N_SGA]])</f>
        <v>0</v>
      </c>
      <c r="BI369" s="24">
        <f>IF(G369=1,IF(OR(AND(NOT(ISERROR(VLOOKUP(TableCosts[[#This Row],[Calc_N_Typ]],Cis_WorkPositions,1,0))),C369&lt;&gt;"",D369&lt;&gt;"",E369&lt;&gt;""),AND(ISERROR(VLOOKUP(TableCosts[[#This Row],[Calc_N_Typ]],Cis_WorkPositions,1,0)),C369="",D369="",E369&lt;&gt;""),LEFT(TableCosts[[#This Row],[Calc_N_Typ]],18)="Vynaložené náklady"),VLOOKUP(C369&amp;TableCosts[[#This Row],[Calc_N_Typ]],TRAN_STRITEMS_LABEL,VLOOKUP(D369,Tab_Hours,3,0),0),NA()),0)</f>
        <v>0</v>
      </c>
      <c r="BJ369" s="24">
        <f t="shared" si="90"/>
        <v>0</v>
      </c>
      <c r="BK369" s="24" t="str">
        <f t="shared" si="91"/>
        <v/>
      </c>
      <c r="BL369" s="24" t="str">
        <f t="shared" si="92"/>
        <v/>
      </c>
      <c r="BM369" s="24" t="str">
        <f>IF(G369=1,IF(TableCosts[[#This Row],[TransferFrom]]=TableCosts[[#This Row],[TranferTo]],0,1),"")</f>
        <v/>
      </c>
      <c r="BN369" s="24" t="str">
        <f t="shared" si="93"/>
        <v/>
      </c>
      <c r="BO369" s="24">
        <f t="shared" si="94"/>
        <v>0</v>
      </c>
      <c r="BP369" s="24">
        <f t="shared" si="95"/>
        <v>0</v>
      </c>
    </row>
    <row r="370" spans="2:68" s="24" customFormat="1" ht="12.75" x14ac:dyDescent="0.2">
      <c r="B370" s="97"/>
      <c r="C370" s="92"/>
      <c r="D370" s="92"/>
      <c r="E370" s="92"/>
      <c r="F370" s="31" t="str">
        <f>IF(G370=1,IF(ISERROR(TableCosts[[#This Row],[N_Tariff]]),Err_Message1,IF(TableCosts[[#This Row],[N_Tariff]]=0,Err_Message2,VLOOKUP(C370&amp;TableCosts[[#This Row],[Calc_N_Typ]],TRAN_STRITEMS_LABEL,5,FALSE))),"")</f>
        <v/>
      </c>
      <c r="G370" s="31">
        <f t="shared" si="84"/>
        <v>0</v>
      </c>
      <c r="H370" s="31" t="str">
        <f>IF(G370=1,IFERROR(VLOOKUP(F370,Tab_ErrMessage[],2,0),VLOOKUP(C370&amp;TableCosts[[#This Row],[Calc_N_Typ]],TRAN_STRITEMS_LABEL,4,FALSE)),"")</f>
        <v/>
      </c>
      <c r="I370" s="94"/>
      <c r="J370" s="94"/>
      <c r="K370" s="94"/>
      <c r="L370" s="84"/>
      <c r="M370" s="84"/>
      <c r="N370" s="84"/>
      <c r="O370" s="84"/>
      <c r="P370" s="84"/>
      <c r="Q370" s="84"/>
      <c r="R370" s="84"/>
      <c r="S370" s="84"/>
      <c r="T370" s="84"/>
      <c r="U370" s="84"/>
      <c r="V370" s="84"/>
      <c r="W370" s="84"/>
      <c r="X370" s="84"/>
      <c r="Y370" s="84"/>
      <c r="Z370" s="84"/>
      <c r="AA370" s="84"/>
      <c r="AB370" s="84"/>
      <c r="AC370" s="84"/>
      <c r="AD370" s="84"/>
      <c r="AE370" s="84"/>
      <c r="AF370" s="84"/>
      <c r="AG370" s="84"/>
      <c r="AH370" s="84"/>
      <c r="AI370" s="84"/>
      <c r="AJ370" s="84"/>
      <c r="AK370" s="84"/>
      <c r="AL370" s="84"/>
      <c r="AM370" s="84"/>
      <c r="AN370" s="84"/>
      <c r="AO370" s="84"/>
      <c r="AP370" s="84"/>
      <c r="AQ370" s="84"/>
      <c r="AR370" s="84"/>
      <c r="AS370" s="84"/>
      <c r="AT370" s="84"/>
      <c r="AU370" s="84"/>
      <c r="AV370" s="84"/>
      <c r="AW370" s="84"/>
      <c r="AX370" s="87">
        <f t="array" ref="AX370">IF(G370=1,SUM((ROW(M0)=ROW(AW370))*(M0+M1_+M2_+M3_+M4_+M5_+M6_+M7_+M8_+M9_+M10_+M11_+M12_+M13_+M14_+M15_+M16_+M17_+M18_+M19_+M20_+M21_+M22_+M23_+M24_+M25_+M26_+M27_+M28_+M29_+M30_+M31_+M32_+M33_+M34_+M35_+M36_+M37_)),0)</f>
        <v>0</v>
      </c>
      <c r="AZ370" s="24" t="str">
        <f t="shared" si="85"/>
        <v/>
      </c>
      <c r="BA370" s="24" t="str">
        <f t="shared" si="86"/>
        <v/>
      </c>
      <c r="BB370" s="24" t="str">
        <f t="shared" si="87"/>
        <v/>
      </c>
      <c r="BC370" s="24" t="str">
        <f>IF(OR(E370="",LEFT(TableCosts[[#This Row],[Calc_N_Typ]],18)="Vynaložené náklady"),"",VLOOKUP(E370,Tab_Parts,2,0))</f>
        <v/>
      </c>
      <c r="BD370" s="24" t="str">
        <f t="shared" si="88"/>
        <v/>
      </c>
      <c r="BE370" s="24">
        <f t="shared" si="89"/>
        <v>0</v>
      </c>
      <c r="BF370" s="72">
        <f>TableCosts[[#This Row],[N_Amount]]*TableCosts[[#This Row],[N_Tariff]]*TableCosts[[#This Row],[N_ItemsCount]]</f>
        <v>0</v>
      </c>
      <c r="BG370" s="72">
        <f>IF(G370=1,IF(TableCosts[[#This Row],[N_Kateg]]="interné práce",TableCosts[[#This Row],[N_Amount]]*8*PAR_SGA_PERHOUR,0),0)</f>
        <v>0</v>
      </c>
      <c r="BH370" s="72">
        <f>SUM(TableCosts[[#This Row],[N_Direct]:[N_SGA]])</f>
        <v>0</v>
      </c>
      <c r="BI370" s="24">
        <f>IF(G370=1,IF(OR(AND(NOT(ISERROR(VLOOKUP(TableCosts[[#This Row],[Calc_N_Typ]],Cis_WorkPositions,1,0))),C370&lt;&gt;"",D370&lt;&gt;"",E370&lt;&gt;""),AND(ISERROR(VLOOKUP(TableCosts[[#This Row],[Calc_N_Typ]],Cis_WorkPositions,1,0)),C370="",D370="",E370&lt;&gt;""),LEFT(TableCosts[[#This Row],[Calc_N_Typ]],18)="Vynaložené náklady"),VLOOKUP(C370&amp;TableCosts[[#This Row],[Calc_N_Typ]],TRAN_STRITEMS_LABEL,VLOOKUP(D370,Tab_Hours,3,0),0),NA()),0)</f>
        <v>0</v>
      </c>
      <c r="BJ370" s="24">
        <f t="shared" si="90"/>
        <v>0</v>
      </c>
      <c r="BK370" s="24" t="str">
        <f t="shared" si="91"/>
        <v/>
      </c>
      <c r="BL370" s="24" t="str">
        <f t="shared" si="92"/>
        <v/>
      </c>
      <c r="BM370" s="24" t="str">
        <f>IF(G370=1,IF(TableCosts[[#This Row],[TransferFrom]]=TableCosts[[#This Row],[TranferTo]],0,1),"")</f>
        <v/>
      </c>
      <c r="BN370" s="24" t="str">
        <f t="shared" si="93"/>
        <v/>
      </c>
      <c r="BO370" s="24">
        <f t="shared" si="94"/>
        <v>0</v>
      </c>
      <c r="BP370" s="24">
        <f t="shared" si="95"/>
        <v>0</v>
      </c>
    </row>
    <row r="371" spans="2:68" s="24" customFormat="1" ht="12.75" x14ac:dyDescent="0.2">
      <c r="B371" s="97"/>
      <c r="C371" s="92"/>
      <c r="D371" s="92"/>
      <c r="E371" s="92"/>
      <c r="F371" s="31" t="str">
        <f>IF(G371=1,IF(ISERROR(TableCosts[[#This Row],[N_Tariff]]),Err_Message1,IF(TableCosts[[#This Row],[N_Tariff]]=0,Err_Message2,VLOOKUP(C371&amp;TableCosts[[#This Row],[Calc_N_Typ]],TRAN_STRITEMS_LABEL,5,FALSE))),"")</f>
        <v/>
      </c>
      <c r="G371" s="31">
        <f t="shared" si="84"/>
        <v>0</v>
      </c>
      <c r="H371" s="31" t="str">
        <f>IF(G371=1,IFERROR(VLOOKUP(F371,Tab_ErrMessage[],2,0),VLOOKUP(C371&amp;TableCosts[[#This Row],[Calc_N_Typ]],TRAN_STRITEMS_LABEL,4,FALSE)),"")</f>
        <v/>
      </c>
      <c r="I371" s="94"/>
      <c r="J371" s="94"/>
      <c r="K371" s="94"/>
      <c r="L371" s="84"/>
      <c r="M371" s="84"/>
      <c r="N371" s="84"/>
      <c r="O371" s="84"/>
      <c r="P371" s="84"/>
      <c r="Q371" s="84"/>
      <c r="R371" s="84"/>
      <c r="S371" s="84"/>
      <c r="T371" s="84"/>
      <c r="U371" s="84"/>
      <c r="V371" s="84"/>
      <c r="W371" s="84"/>
      <c r="X371" s="84"/>
      <c r="Y371" s="84"/>
      <c r="Z371" s="84"/>
      <c r="AA371" s="84"/>
      <c r="AB371" s="84"/>
      <c r="AC371" s="84"/>
      <c r="AD371" s="84"/>
      <c r="AE371" s="84"/>
      <c r="AF371" s="84"/>
      <c r="AG371" s="84"/>
      <c r="AH371" s="84"/>
      <c r="AI371" s="84"/>
      <c r="AJ371" s="84"/>
      <c r="AK371" s="84"/>
      <c r="AL371" s="84"/>
      <c r="AM371" s="84"/>
      <c r="AN371" s="84"/>
      <c r="AO371" s="84"/>
      <c r="AP371" s="84"/>
      <c r="AQ371" s="84"/>
      <c r="AR371" s="84"/>
      <c r="AS371" s="84"/>
      <c r="AT371" s="84"/>
      <c r="AU371" s="84"/>
      <c r="AV371" s="84"/>
      <c r="AW371" s="84"/>
      <c r="AX371" s="87">
        <f t="array" ref="AX371">IF(G371=1,SUM((ROW(M0)=ROW(AW371))*(M0+M1_+M2_+M3_+M4_+M5_+M6_+M7_+M8_+M9_+M10_+M11_+M12_+M13_+M14_+M15_+M16_+M17_+M18_+M19_+M20_+M21_+M22_+M23_+M24_+M25_+M26_+M27_+M28_+M29_+M30_+M31_+M32_+M33_+M34_+M35_+M36_+M37_)),0)</f>
        <v>0</v>
      </c>
      <c r="AZ371" s="24" t="str">
        <f t="shared" si="85"/>
        <v/>
      </c>
      <c r="BA371" s="24" t="str">
        <f t="shared" si="86"/>
        <v/>
      </c>
      <c r="BB371" s="24" t="str">
        <f t="shared" si="87"/>
        <v/>
      </c>
      <c r="BC371" s="24" t="str">
        <f>IF(OR(E371="",LEFT(TableCosts[[#This Row],[Calc_N_Typ]],18)="Vynaložené náklady"),"",VLOOKUP(E371,Tab_Parts,2,0))</f>
        <v/>
      </c>
      <c r="BD371" s="24" t="str">
        <f t="shared" si="88"/>
        <v/>
      </c>
      <c r="BE371" s="24">
        <f t="shared" si="89"/>
        <v>0</v>
      </c>
      <c r="BF371" s="72">
        <f>TableCosts[[#This Row],[N_Amount]]*TableCosts[[#This Row],[N_Tariff]]*TableCosts[[#This Row],[N_ItemsCount]]</f>
        <v>0</v>
      </c>
      <c r="BG371" s="72">
        <f>IF(G371=1,IF(TableCosts[[#This Row],[N_Kateg]]="interné práce",TableCosts[[#This Row],[N_Amount]]*8*PAR_SGA_PERHOUR,0),0)</f>
        <v>0</v>
      </c>
      <c r="BH371" s="72">
        <f>SUM(TableCosts[[#This Row],[N_Direct]:[N_SGA]])</f>
        <v>0</v>
      </c>
      <c r="BI371" s="24">
        <f>IF(G371=1,IF(OR(AND(NOT(ISERROR(VLOOKUP(TableCosts[[#This Row],[Calc_N_Typ]],Cis_WorkPositions,1,0))),C371&lt;&gt;"",D371&lt;&gt;"",E371&lt;&gt;""),AND(ISERROR(VLOOKUP(TableCosts[[#This Row],[Calc_N_Typ]],Cis_WorkPositions,1,0)),C371="",D371="",E371&lt;&gt;""),LEFT(TableCosts[[#This Row],[Calc_N_Typ]],18)="Vynaložené náklady"),VLOOKUP(C371&amp;TableCosts[[#This Row],[Calc_N_Typ]],TRAN_STRITEMS_LABEL,VLOOKUP(D371,Tab_Hours,3,0),0),NA()),0)</f>
        <v>0</v>
      </c>
      <c r="BJ371" s="24">
        <f t="shared" si="90"/>
        <v>0</v>
      </c>
      <c r="BK371" s="24" t="str">
        <f t="shared" si="91"/>
        <v/>
      </c>
      <c r="BL371" s="24" t="str">
        <f t="shared" si="92"/>
        <v/>
      </c>
      <c r="BM371" s="24" t="str">
        <f>IF(G371=1,IF(TableCosts[[#This Row],[TransferFrom]]=TableCosts[[#This Row],[TranferTo]],0,1),"")</f>
        <v/>
      </c>
      <c r="BN371" s="24" t="str">
        <f t="shared" si="93"/>
        <v/>
      </c>
      <c r="BO371" s="24">
        <f t="shared" si="94"/>
        <v>0</v>
      </c>
      <c r="BP371" s="24">
        <f t="shared" si="95"/>
        <v>0</v>
      </c>
    </row>
    <row r="372" spans="2:68" s="24" customFormat="1" ht="12.75" x14ac:dyDescent="0.2">
      <c r="B372" s="97"/>
      <c r="C372" s="92"/>
      <c r="D372" s="92"/>
      <c r="E372" s="92"/>
      <c r="F372" s="31" t="str">
        <f>IF(G372=1,IF(ISERROR(TableCosts[[#This Row],[N_Tariff]]),Err_Message1,IF(TableCosts[[#This Row],[N_Tariff]]=0,Err_Message2,VLOOKUP(C372&amp;TableCosts[[#This Row],[Calc_N_Typ]],TRAN_STRITEMS_LABEL,5,FALSE))),"")</f>
        <v/>
      </c>
      <c r="G372" s="31">
        <f t="shared" si="84"/>
        <v>0</v>
      </c>
      <c r="H372" s="31" t="str">
        <f>IF(G372=1,IFERROR(VLOOKUP(F372,Tab_ErrMessage[],2,0),VLOOKUP(C372&amp;TableCosts[[#This Row],[Calc_N_Typ]],TRAN_STRITEMS_LABEL,4,FALSE)),"")</f>
        <v/>
      </c>
      <c r="I372" s="94"/>
      <c r="J372" s="94"/>
      <c r="K372" s="94"/>
      <c r="L372" s="84"/>
      <c r="M372" s="84"/>
      <c r="N372" s="84"/>
      <c r="O372" s="84"/>
      <c r="P372" s="84"/>
      <c r="Q372" s="84"/>
      <c r="R372" s="84"/>
      <c r="S372" s="84"/>
      <c r="T372" s="84"/>
      <c r="U372" s="84"/>
      <c r="V372" s="84"/>
      <c r="W372" s="84"/>
      <c r="X372" s="84"/>
      <c r="Y372" s="84"/>
      <c r="Z372" s="84"/>
      <c r="AA372" s="84"/>
      <c r="AB372" s="84"/>
      <c r="AC372" s="84"/>
      <c r="AD372" s="84"/>
      <c r="AE372" s="84"/>
      <c r="AF372" s="84"/>
      <c r="AG372" s="84"/>
      <c r="AH372" s="84"/>
      <c r="AI372" s="84"/>
      <c r="AJ372" s="84"/>
      <c r="AK372" s="84"/>
      <c r="AL372" s="84"/>
      <c r="AM372" s="84"/>
      <c r="AN372" s="84"/>
      <c r="AO372" s="84"/>
      <c r="AP372" s="84"/>
      <c r="AQ372" s="84"/>
      <c r="AR372" s="84"/>
      <c r="AS372" s="84"/>
      <c r="AT372" s="84"/>
      <c r="AU372" s="84"/>
      <c r="AV372" s="84"/>
      <c r="AW372" s="84"/>
      <c r="AX372" s="87">
        <f t="array" ref="AX372">IF(G372=1,SUM((ROW(M0)=ROW(AW372))*(M0+M1_+M2_+M3_+M4_+M5_+M6_+M7_+M8_+M9_+M10_+M11_+M12_+M13_+M14_+M15_+M16_+M17_+M18_+M19_+M20_+M21_+M22_+M23_+M24_+M25_+M26_+M27_+M28_+M29_+M30_+M31_+M32_+M33_+M34_+M35_+M36_+M37_)),0)</f>
        <v>0</v>
      </c>
      <c r="AZ372" s="24" t="str">
        <f t="shared" si="85"/>
        <v/>
      </c>
      <c r="BA372" s="24" t="str">
        <f t="shared" si="86"/>
        <v/>
      </c>
      <c r="BB372" s="24" t="str">
        <f t="shared" si="87"/>
        <v/>
      </c>
      <c r="BC372" s="24" t="str">
        <f>IF(OR(E372="",LEFT(TableCosts[[#This Row],[Calc_N_Typ]],18)="Vynaložené náklady"),"",VLOOKUP(E372,Tab_Parts,2,0))</f>
        <v/>
      </c>
      <c r="BD372" s="24" t="str">
        <f t="shared" si="88"/>
        <v/>
      </c>
      <c r="BE372" s="24">
        <f t="shared" si="89"/>
        <v>0</v>
      </c>
      <c r="BF372" s="72">
        <f>TableCosts[[#This Row],[N_Amount]]*TableCosts[[#This Row],[N_Tariff]]*TableCosts[[#This Row],[N_ItemsCount]]</f>
        <v>0</v>
      </c>
      <c r="BG372" s="72">
        <f>IF(G372=1,IF(TableCosts[[#This Row],[N_Kateg]]="interné práce",TableCosts[[#This Row],[N_Amount]]*8*PAR_SGA_PERHOUR,0),0)</f>
        <v>0</v>
      </c>
      <c r="BH372" s="72">
        <f>SUM(TableCosts[[#This Row],[N_Direct]:[N_SGA]])</f>
        <v>0</v>
      </c>
      <c r="BI372" s="24">
        <f>IF(G372=1,IF(OR(AND(NOT(ISERROR(VLOOKUP(TableCosts[[#This Row],[Calc_N_Typ]],Cis_WorkPositions,1,0))),C372&lt;&gt;"",D372&lt;&gt;"",E372&lt;&gt;""),AND(ISERROR(VLOOKUP(TableCosts[[#This Row],[Calc_N_Typ]],Cis_WorkPositions,1,0)),C372="",D372="",E372&lt;&gt;""),LEFT(TableCosts[[#This Row],[Calc_N_Typ]],18)="Vynaložené náklady"),VLOOKUP(C372&amp;TableCosts[[#This Row],[Calc_N_Typ]],TRAN_STRITEMS_LABEL,VLOOKUP(D372,Tab_Hours,3,0),0),NA()),0)</f>
        <v>0</v>
      </c>
      <c r="BJ372" s="24">
        <f t="shared" si="90"/>
        <v>0</v>
      </c>
      <c r="BK372" s="24" t="str">
        <f t="shared" si="91"/>
        <v/>
      </c>
      <c r="BL372" s="24" t="str">
        <f t="shared" si="92"/>
        <v/>
      </c>
      <c r="BM372" s="24" t="str">
        <f>IF(G372=1,IF(TableCosts[[#This Row],[TransferFrom]]=TableCosts[[#This Row],[TranferTo]],0,1),"")</f>
        <v/>
      </c>
      <c r="BN372" s="24" t="str">
        <f t="shared" si="93"/>
        <v/>
      </c>
      <c r="BO372" s="24">
        <f t="shared" si="94"/>
        <v>0</v>
      </c>
      <c r="BP372" s="24">
        <f t="shared" si="95"/>
        <v>0</v>
      </c>
    </row>
    <row r="373" spans="2:68" s="24" customFormat="1" ht="12.75" x14ac:dyDescent="0.2">
      <c r="B373" s="97"/>
      <c r="C373" s="92"/>
      <c r="D373" s="92"/>
      <c r="E373" s="92"/>
      <c r="F373" s="31" t="str">
        <f>IF(G373=1,IF(ISERROR(TableCosts[[#This Row],[N_Tariff]]),Err_Message1,IF(TableCosts[[#This Row],[N_Tariff]]=0,Err_Message2,VLOOKUP(C373&amp;TableCosts[[#This Row],[Calc_N_Typ]],TRAN_STRITEMS_LABEL,5,FALSE))),"")</f>
        <v/>
      </c>
      <c r="G373" s="31">
        <f t="shared" si="84"/>
        <v>0</v>
      </c>
      <c r="H373" s="31" t="str">
        <f>IF(G373=1,IFERROR(VLOOKUP(F373,Tab_ErrMessage[],2,0),VLOOKUP(C373&amp;TableCosts[[#This Row],[Calc_N_Typ]],TRAN_STRITEMS_LABEL,4,FALSE)),"")</f>
        <v/>
      </c>
      <c r="I373" s="94"/>
      <c r="J373" s="94"/>
      <c r="K373" s="94"/>
      <c r="L373" s="84"/>
      <c r="M373" s="84"/>
      <c r="N373" s="84"/>
      <c r="O373" s="84"/>
      <c r="P373" s="84"/>
      <c r="Q373" s="84"/>
      <c r="R373" s="84"/>
      <c r="S373" s="84"/>
      <c r="T373" s="84"/>
      <c r="U373" s="84"/>
      <c r="V373" s="84"/>
      <c r="W373" s="84"/>
      <c r="X373" s="84"/>
      <c r="Y373" s="84"/>
      <c r="Z373" s="84"/>
      <c r="AA373" s="84"/>
      <c r="AB373" s="84"/>
      <c r="AC373" s="84"/>
      <c r="AD373" s="84"/>
      <c r="AE373" s="84"/>
      <c r="AF373" s="84"/>
      <c r="AG373" s="84"/>
      <c r="AH373" s="84"/>
      <c r="AI373" s="84"/>
      <c r="AJ373" s="84"/>
      <c r="AK373" s="84"/>
      <c r="AL373" s="84"/>
      <c r="AM373" s="84"/>
      <c r="AN373" s="84"/>
      <c r="AO373" s="84"/>
      <c r="AP373" s="84"/>
      <c r="AQ373" s="84"/>
      <c r="AR373" s="84"/>
      <c r="AS373" s="84"/>
      <c r="AT373" s="84"/>
      <c r="AU373" s="84"/>
      <c r="AV373" s="84"/>
      <c r="AW373" s="84"/>
      <c r="AX373" s="87">
        <f t="array" ref="AX373">IF(G373=1,SUM((ROW(M0)=ROW(AW373))*(M0+M1_+M2_+M3_+M4_+M5_+M6_+M7_+M8_+M9_+M10_+M11_+M12_+M13_+M14_+M15_+M16_+M17_+M18_+M19_+M20_+M21_+M22_+M23_+M24_+M25_+M26_+M27_+M28_+M29_+M30_+M31_+M32_+M33_+M34_+M35_+M36_+M37_)),0)</f>
        <v>0</v>
      </c>
      <c r="AZ373" s="24" t="str">
        <f t="shared" si="85"/>
        <v/>
      </c>
      <c r="BA373" s="24" t="str">
        <f t="shared" si="86"/>
        <v/>
      </c>
      <c r="BB373" s="24" t="str">
        <f t="shared" si="87"/>
        <v/>
      </c>
      <c r="BC373" s="24" t="str">
        <f>IF(OR(E373="",LEFT(TableCosts[[#This Row],[Calc_N_Typ]],18)="Vynaložené náklady"),"",VLOOKUP(E373,Tab_Parts,2,0))</f>
        <v/>
      </c>
      <c r="BD373" s="24" t="str">
        <f t="shared" si="88"/>
        <v/>
      </c>
      <c r="BE373" s="24">
        <f t="shared" si="89"/>
        <v>0</v>
      </c>
      <c r="BF373" s="72">
        <f>TableCosts[[#This Row],[N_Amount]]*TableCosts[[#This Row],[N_Tariff]]*TableCosts[[#This Row],[N_ItemsCount]]</f>
        <v>0</v>
      </c>
      <c r="BG373" s="72">
        <f>IF(G373=1,IF(TableCosts[[#This Row],[N_Kateg]]="interné práce",TableCosts[[#This Row],[N_Amount]]*8*PAR_SGA_PERHOUR,0),0)</f>
        <v>0</v>
      </c>
      <c r="BH373" s="72">
        <f>SUM(TableCosts[[#This Row],[N_Direct]:[N_SGA]])</f>
        <v>0</v>
      </c>
      <c r="BI373" s="24">
        <f>IF(G373=1,IF(OR(AND(NOT(ISERROR(VLOOKUP(TableCosts[[#This Row],[Calc_N_Typ]],Cis_WorkPositions,1,0))),C373&lt;&gt;"",D373&lt;&gt;"",E373&lt;&gt;""),AND(ISERROR(VLOOKUP(TableCosts[[#This Row],[Calc_N_Typ]],Cis_WorkPositions,1,0)),C373="",D373="",E373&lt;&gt;""),LEFT(TableCosts[[#This Row],[Calc_N_Typ]],18)="Vynaložené náklady"),VLOOKUP(C373&amp;TableCosts[[#This Row],[Calc_N_Typ]],TRAN_STRITEMS_LABEL,VLOOKUP(D373,Tab_Hours,3,0),0),NA()),0)</f>
        <v>0</v>
      </c>
      <c r="BJ373" s="24">
        <f t="shared" si="90"/>
        <v>0</v>
      </c>
      <c r="BK373" s="24" t="str">
        <f t="shared" si="91"/>
        <v/>
      </c>
      <c r="BL373" s="24" t="str">
        <f t="shared" si="92"/>
        <v/>
      </c>
      <c r="BM373" s="24" t="str">
        <f>IF(G373=1,IF(TableCosts[[#This Row],[TransferFrom]]=TableCosts[[#This Row],[TranferTo]],0,1),"")</f>
        <v/>
      </c>
      <c r="BN373" s="24" t="str">
        <f t="shared" si="93"/>
        <v/>
      </c>
      <c r="BO373" s="24">
        <f t="shared" si="94"/>
        <v>0</v>
      </c>
      <c r="BP373" s="24">
        <f t="shared" si="95"/>
        <v>0</v>
      </c>
    </row>
    <row r="374" spans="2:68" s="24" customFormat="1" ht="12.75" x14ac:dyDescent="0.2">
      <c r="B374" s="97"/>
      <c r="C374" s="92"/>
      <c r="D374" s="92"/>
      <c r="E374" s="92"/>
      <c r="F374" s="31" t="str">
        <f>IF(G374=1,IF(ISERROR(TableCosts[[#This Row],[N_Tariff]]),Err_Message1,IF(TableCosts[[#This Row],[N_Tariff]]=0,Err_Message2,VLOOKUP(C374&amp;TableCosts[[#This Row],[Calc_N_Typ]],TRAN_STRITEMS_LABEL,5,FALSE))),"")</f>
        <v/>
      </c>
      <c r="G374" s="31">
        <f t="shared" si="84"/>
        <v>0</v>
      </c>
      <c r="H374" s="31" t="str">
        <f>IF(G374=1,IFERROR(VLOOKUP(F374,Tab_ErrMessage[],2,0),VLOOKUP(C374&amp;TableCosts[[#This Row],[Calc_N_Typ]],TRAN_STRITEMS_LABEL,4,FALSE)),"")</f>
        <v/>
      </c>
      <c r="I374" s="94"/>
      <c r="J374" s="94"/>
      <c r="K374" s="94"/>
      <c r="L374" s="84"/>
      <c r="M374" s="84"/>
      <c r="N374" s="84"/>
      <c r="O374" s="84"/>
      <c r="P374" s="84"/>
      <c r="Q374" s="84"/>
      <c r="R374" s="84"/>
      <c r="S374" s="84"/>
      <c r="T374" s="84"/>
      <c r="U374" s="84"/>
      <c r="V374" s="84"/>
      <c r="W374" s="84"/>
      <c r="X374" s="84"/>
      <c r="Y374" s="84"/>
      <c r="Z374" s="84"/>
      <c r="AA374" s="84"/>
      <c r="AB374" s="84"/>
      <c r="AC374" s="84"/>
      <c r="AD374" s="84"/>
      <c r="AE374" s="84"/>
      <c r="AF374" s="84"/>
      <c r="AG374" s="84"/>
      <c r="AH374" s="84"/>
      <c r="AI374" s="84"/>
      <c r="AJ374" s="84"/>
      <c r="AK374" s="84"/>
      <c r="AL374" s="84"/>
      <c r="AM374" s="84"/>
      <c r="AN374" s="84"/>
      <c r="AO374" s="84"/>
      <c r="AP374" s="84"/>
      <c r="AQ374" s="84"/>
      <c r="AR374" s="84"/>
      <c r="AS374" s="84"/>
      <c r="AT374" s="84"/>
      <c r="AU374" s="84"/>
      <c r="AV374" s="84"/>
      <c r="AW374" s="84"/>
      <c r="AX374" s="87">
        <f t="array" ref="AX374">IF(G374=1,SUM((ROW(M0)=ROW(AW374))*(M0+M1_+M2_+M3_+M4_+M5_+M6_+M7_+M8_+M9_+M10_+M11_+M12_+M13_+M14_+M15_+M16_+M17_+M18_+M19_+M20_+M21_+M22_+M23_+M24_+M25_+M26_+M27_+M28_+M29_+M30_+M31_+M32_+M33_+M34_+M35_+M36_+M37_)),0)</f>
        <v>0</v>
      </c>
      <c r="AZ374" s="24" t="str">
        <f t="shared" si="85"/>
        <v/>
      </c>
      <c r="BA374" s="24" t="str">
        <f t="shared" si="86"/>
        <v/>
      </c>
      <c r="BB374" s="24" t="str">
        <f t="shared" si="87"/>
        <v/>
      </c>
      <c r="BC374" s="24" t="str">
        <f>IF(OR(E374="",LEFT(TableCosts[[#This Row],[Calc_N_Typ]],18)="Vynaložené náklady"),"",VLOOKUP(E374,Tab_Parts,2,0))</f>
        <v/>
      </c>
      <c r="BD374" s="24" t="str">
        <f t="shared" si="88"/>
        <v/>
      </c>
      <c r="BE374" s="24">
        <f t="shared" si="89"/>
        <v>0</v>
      </c>
      <c r="BF374" s="72">
        <f>TableCosts[[#This Row],[N_Amount]]*TableCosts[[#This Row],[N_Tariff]]*TableCosts[[#This Row],[N_ItemsCount]]</f>
        <v>0</v>
      </c>
      <c r="BG374" s="72">
        <f>IF(G374=1,IF(TableCosts[[#This Row],[N_Kateg]]="interné práce",TableCosts[[#This Row],[N_Amount]]*8*PAR_SGA_PERHOUR,0),0)</f>
        <v>0</v>
      </c>
      <c r="BH374" s="72">
        <f>SUM(TableCosts[[#This Row],[N_Direct]:[N_SGA]])</f>
        <v>0</v>
      </c>
      <c r="BI374" s="24">
        <f>IF(G374=1,IF(OR(AND(NOT(ISERROR(VLOOKUP(TableCosts[[#This Row],[Calc_N_Typ]],Cis_WorkPositions,1,0))),C374&lt;&gt;"",D374&lt;&gt;"",E374&lt;&gt;""),AND(ISERROR(VLOOKUP(TableCosts[[#This Row],[Calc_N_Typ]],Cis_WorkPositions,1,0)),C374="",D374="",E374&lt;&gt;""),LEFT(TableCosts[[#This Row],[Calc_N_Typ]],18)="Vynaložené náklady"),VLOOKUP(C374&amp;TableCosts[[#This Row],[Calc_N_Typ]],TRAN_STRITEMS_LABEL,VLOOKUP(D374,Tab_Hours,3,0),0),NA()),0)</f>
        <v>0</v>
      </c>
      <c r="BJ374" s="24">
        <f t="shared" si="90"/>
        <v>0</v>
      </c>
      <c r="BK374" s="24" t="str">
        <f t="shared" si="91"/>
        <v/>
      </c>
      <c r="BL374" s="24" t="str">
        <f t="shared" si="92"/>
        <v/>
      </c>
      <c r="BM374" s="24" t="str">
        <f>IF(G374=1,IF(TableCosts[[#This Row],[TransferFrom]]=TableCosts[[#This Row],[TranferTo]],0,1),"")</f>
        <v/>
      </c>
      <c r="BN374" s="24" t="str">
        <f t="shared" si="93"/>
        <v/>
      </c>
      <c r="BO374" s="24">
        <f t="shared" si="94"/>
        <v>0</v>
      </c>
      <c r="BP374" s="24">
        <f t="shared" si="95"/>
        <v>0</v>
      </c>
    </row>
    <row r="375" spans="2:68" s="24" customFormat="1" ht="12.75" x14ac:dyDescent="0.2">
      <c r="B375" s="97"/>
      <c r="C375" s="92"/>
      <c r="D375" s="92"/>
      <c r="E375" s="92"/>
      <c r="F375" s="31" t="str">
        <f>IF(G375=1,IF(ISERROR(TableCosts[[#This Row],[N_Tariff]]),Err_Message1,IF(TableCosts[[#This Row],[N_Tariff]]=0,Err_Message2,VLOOKUP(C375&amp;TableCosts[[#This Row],[Calc_N_Typ]],TRAN_STRITEMS_LABEL,5,FALSE))),"")</f>
        <v/>
      </c>
      <c r="G375" s="31">
        <f t="shared" si="84"/>
        <v>0</v>
      </c>
      <c r="H375" s="31" t="str">
        <f>IF(G375=1,IFERROR(VLOOKUP(F375,Tab_ErrMessage[],2,0),VLOOKUP(C375&amp;TableCosts[[#This Row],[Calc_N_Typ]],TRAN_STRITEMS_LABEL,4,FALSE)),"")</f>
        <v/>
      </c>
      <c r="I375" s="94"/>
      <c r="J375" s="94"/>
      <c r="K375" s="94"/>
      <c r="L375" s="84"/>
      <c r="M375" s="84"/>
      <c r="N375" s="84"/>
      <c r="O375" s="84"/>
      <c r="P375" s="84"/>
      <c r="Q375" s="84"/>
      <c r="R375" s="84"/>
      <c r="S375" s="84"/>
      <c r="T375" s="84"/>
      <c r="U375" s="84"/>
      <c r="V375" s="84"/>
      <c r="W375" s="84"/>
      <c r="X375" s="84"/>
      <c r="Y375" s="84"/>
      <c r="Z375" s="84"/>
      <c r="AA375" s="84"/>
      <c r="AB375" s="84"/>
      <c r="AC375" s="84"/>
      <c r="AD375" s="84"/>
      <c r="AE375" s="84"/>
      <c r="AF375" s="84"/>
      <c r="AG375" s="84"/>
      <c r="AH375" s="84"/>
      <c r="AI375" s="84"/>
      <c r="AJ375" s="84"/>
      <c r="AK375" s="84"/>
      <c r="AL375" s="84"/>
      <c r="AM375" s="84"/>
      <c r="AN375" s="84"/>
      <c r="AO375" s="84"/>
      <c r="AP375" s="84"/>
      <c r="AQ375" s="84"/>
      <c r="AR375" s="84"/>
      <c r="AS375" s="84"/>
      <c r="AT375" s="84"/>
      <c r="AU375" s="84"/>
      <c r="AV375" s="84"/>
      <c r="AW375" s="84"/>
      <c r="AX375" s="87">
        <f t="array" ref="AX375">IF(G375=1,SUM((ROW(M0)=ROW(AW375))*(M0+M1_+M2_+M3_+M4_+M5_+M6_+M7_+M8_+M9_+M10_+M11_+M12_+M13_+M14_+M15_+M16_+M17_+M18_+M19_+M20_+M21_+M22_+M23_+M24_+M25_+M26_+M27_+M28_+M29_+M30_+M31_+M32_+M33_+M34_+M35_+M36_+M37_)),0)</f>
        <v>0</v>
      </c>
      <c r="AZ375" s="24" t="str">
        <f t="shared" si="85"/>
        <v/>
      </c>
      <c r="BA375" s="24" t="str">
        <f t="shared" si="86"/>
        <v/>
      </c>
      <c r="BB375" s="24" t="str">
        <f t="shared" si="87"/>
        <v/>
      </c>
      <c r="BC375" s="24" t="str">
        <f>IF(OR(E375="",LEFT(TableCosts[[#This Row],[Calc_N_Typ]],18)="Vynaložené náklady"),"",VLOOKUP(E375,Tab_Parts,2,0))</f>
        <v/>
      </c>
      <c r="BD375" s="24" t="str">
        <f t="shared" si="88"/>
        <v/>
      </c>
      <c r="BE375" s="24">
        <f t="shared" si="89"/>
        <v>0</v>
      </c>
      <c r="BF375" s="72">
        <f>TableCosts[[#This Row],[N_Amount]]*TableCosts[[#This Row],[N_Tariff]]*TableCosts[[#This Row],[N_ItemsCount]]</f>
        <v>0</v>
      </c>
      <c r="BG375" s="72">
        <f>IF(G375=1,IF(TableCosts[[#This Row],[N_Kateg]]="interné práce",TableCosts[[#This Row],[N_Amount]]*8*PAR_SGA_PERHOUR,0),0)</f>
        <v>0</v>
      </c>
      <c r="BH375" s="72">
        <f>SUM(TableCosts[[#This Row],[N_Direct]:[N_SGA]])</f>
        <v>0</v>
      </c>
      <c r="BI375" s="24">
        <f>IF(G375=1,IF(OR(AND(NOT(ISERROR(VLOOKUP(TableCosts[[#This Row],[Calc_N_Typ]],Cis_WorkPositions,1,0))),C375&lt;&gt;"",D375&lt;&gt;"",E375&lt;&gt;""),AND(ISERROR(VLOOKUP(TableCosts[[#This Row],[Calc_N_Typ]],Cis_WorkPositions,1,0)),C375="",D375="",E375&lt;&gt;""),LEFT(TableCosts[[#This Row],[Calc_N_Typ]],18)="Vynaložené náklady"),VLOOKUP(C375&amp;TableCosts[[#This Row],[Calc_N_Typ]],TRAN_STRITEMS_LABEL,VLOOKUP(D375,Tab_Hours,3,0),0),NA()),0)</f>
        <v>0</v>
      </c>
      <c r="BJ375" s="24">
        <f t="shared" si="90"/>
        <v>0</v>
      </c>
      <c r="BK375" s="24" t="str">
        <f t="shared" si="91"/>
        <v/>
      </c>
      <c r="BL375" s="24" t="str">
        <f t="shared" si="92"/>
        <v/>
      </c>
      <c r="BM375" s="24" t="str">
        <f>IF(G375=1,IF(TableCosts[[#This Row],[TransferFrom]]=TableCosts[[#This Row],[TranferTo]],0,1),"")</f>
        <v/>
      </c>
      <c r="BN375" s="24" t="str">
        <f t="shared" si="93"/>
        <v/>
      </c>
      <c r="BO375" s="24">
        <f t="shared" si="94"/>
        <v>0</v>
      </c>
      <c r="BP375" s="24">
        <f t="shared" si="95"/>
        <v>0</v>
      </c>
    </row>
    <row r="376" spans="2:68" s="24" customFormat="1" ht="12.75" x14ac:dyDescent="0.2">
      <c r="B376" s="97"/>
      <c r="C376" s="92"/>
      <c r="D376" s="92"/>
      <c r="E376" s="92"/>
      <c r="F376" s="31" t="str">
        <f>IF(G376=1,IF(ISERROR(TableCosts[[#This Row],[N_Tariff]]),Err_Message1,IF(TableCosts[[#This Row],[N_Tariff]]=0,Err_Message2,VLOOKUP(C376&amp;TableCosts[[#This Row],[Calc_N_Typ]],TRAN_STRITEMS_LABEL,5,FALSE))),"")</f>
        <v/>
      </c>
      <c r="G376" s="31">
        <f t="shared" si="84"/>
        <v>0</v>
      </c>
      <c r="H376" s="31" t="str">
        <f>IF(G376=1,IFERROR(VLOOKUP(F376,Tab_ErrMessage[],2,0),VLOOKUP(C376&amp;TableCosts[[#This Row],[Calc_N_Typ]],TRAN_STRITEMS_LABEL,4,FALSE)),"")</f>
        <v/>
      </c>
      <c r="I376" s="94"/>
      <c r="J376" s="94"/>
      <c r="K376" s="94"/>
      <c r="L376" s="84"/>
      <c r="M376" s="84"/>
      <c r="N376" s="84"/>
      <c r="O376" s="84"/>
      <c r="P376" s="84"/>
      <c r="Q376" s="84"/>
      <c r="R376" s="84"/>
      <c r="S376" s="84"/>
      <c r="T376" s="84"/>
      <c r="U376" s="84"/>
      <c r="V376" s="84"/>
      <c r="W376" s="84"/>
      <c r="X376" s="84"/>
      <c r="Y376" s="84"/>
      <c r="Z376" s="84"/>
      <c r="AA376" s="84"/>
      <c r="AB376" s="84"/>
      <c r="AC376" s="84"/>
      <c r="AD376" s="84"/>
      <c r="AE376" s="84"/>
      <c r="AF376" s="84"/>
      <c r="AG376" s="84"/>
      <c r="AH376" s="84"/>
      <c r="AI376" s="84"/>
      <c r="AJ376" s="84"/>
      <c r="AK376" s="84"/>
      <c r="AL376" s="84"/>
      <c r="AM376" s="84"/>
      <c r="AN376" s="84"/>
      <c r="AO376" s="84"/>
      <c r="AP376" s="84"/>
      <c r="AQ376" s="84"/>
      <c r="AR376" s="84"/>
      <c r="AS376" s="84"/>
      <c r="AT376" s="84"/>
      <c r="AU376" s="84"/>
      <c r="AV376" s="84"/>
      <c r="AW376" s="84"/>
      <c r="AX376" s="87">
        <f t="array" ref="AX376">IF(G376=1,SUM((ROW(M0)=ROW(AW376))*(M0+M1_+M2_+M3_+M4_+M5_+M6_+M7_+M8_+M9_+M10_+M11_+M12_+M13_+M14_+M15_+M16_+M17_+M18_+M19_+M20_+M21_+M22_+M23_+M24_+M25_+M26_+M27_+M28_+M29_+M30_+M31_+M32_+M33_+M34_+M35_+M36_+M37_)),0)</f>
        <v>0</v>
      </c>
      <c r="AZ376" s="24" t="str">
        <f t="shared" si="85"/>
        <v/>
      </c>
      <c r="BA376" s="24" t="str">
        <f t="shared" si="86"/>
        <v/>
      </c>
      <c r="BB376" s="24" t="str">
        <f t="shared" si="87"/>
        <v/>
      </c>
      <c r="BC376" s="24" t="str">
        <f>IF(OR(E376="",LEFT(TableCosts[[#This Row],[Calc_N_Typ]],18)="Vynaložené náklady"),"",VLOOKUP(E376,Tab_Parts,2,0))</f>
        <v/>
      </c>
      <c r="BD376" s="24" t="str">
        <f t="shared" si="88"/>
        <v/>
      </c>
      <c r="BE376" s="24">
        <f t="shared" si="89"/>
        <v>0</v>
      </c>
      <c r="BF376" s="72">
        <f>TableCosts[[#This Row],[N_Amount]]*TableCosts[[#This Row],[N_Tariff]]*TableCosts[[#This Row],[N_ItemsCount]]</f>
        <v>0</v>
      </c>
      <c r="BG376" s="72">
        <f>IF(G376=1,IF(TableCosts[[#This Row],[N_Kateg]]="interné práce",TableCosts[[#This Row],[N_Amount]]*8*PAR_SGA_PERHOUR,0),0)</f>
        <v>0</v>
      </c>
      <c r="BH376" s="72">
        <f>SUM(TableCosts[[#This Row],[N_Direct]:[N_SGA]])</f>
        <v>0</v>
      </c>
      <c r="BI376" s="24">
        <f>IF(G376=1,IF(OR(AND(NOT(ISERROR(VLOOKUP(TableCosts[[#This Row],[Calc_N_Typ]],Cis_WorkPositions,1,0))),C376&lt;&gt;"",D376&lt;&gt;"",E376&lt;&gt;""),AND(ISERROR(VLOOKUP(TableCosts[[#This Row],[Calc_N_Typ]],Cis_WorkPositions,1,0)),C376="",D376="",E376&lt;&gt;""),LEFT(TableCosts[[#This Row],[Calc_N_Typ]],18)="Vynaložené náklady"),VLOOKUP(C376&amp;TableCosts[[#This Row],[Calc_N_Typ]],TRAN_STRITEMS_LABEL,VLOOKUP(D376,Tab_Hours,3,0),0),NA()),0)</f>
        <v>0</v>
      </c>
      <c r="BJ376" s="24">
        <f t="shared" si="90"/>
        <v>0</v>
      </c>
      <c r="BK376" s="24" t="str">
        <f t="shared" si="91"/>
        <v/>
      </c>
      <c r="BL376" s="24" t="str">
        <f t="shared" si="92"/>
        <v/>
      </c>
      <c r="BM376" s="24" t="str">
        <f>IF(G376=1,IF(TableCosts[[#This Row],[TransferFrom]]=TableCosts[[#This Row],[TranferTo]],0,1),"")</f>
        <v/>
      </c>
      <c r="BN376" s="24" t="str">
        <f t="shared" si="93"/>
        <v/>
      </c>
      <c r="BO376" s="24">
        <f t="shared" si="94"/>
        <v>0</v>
      </c>
      <c r="BP376" s="24">
        <f t="shared" si="95"/>
        <v>0</v>
      </c>
    </row>
    <row r="377" spans="2:68" s="24" customFormat="1" ht="12.75" x14ac:dyDescent="0.2">
      <c r="B377" s="97"/>
      <c r="C377" s="92"/>
      <c r="D377" s="92"/>
      <c r="E377" s="92"/>
      <c r="F377" s="31" t="str">
        <f>IF(G377=1,IF(ISERROR(TableCosts[[#This Row],[N_Tariff]]),Err_Message1,IF(TableCosts[[#This Row],[N_Tariff]]=0,Err_Message2,VLOOKUP(C377&amp;TableCosts[[#This Row],[Calc_N_Typ]],TRAN_STRITEMS_LABEL,5,FALSE))),"")</f>
        <v/>
      </c>
      <c r="G377" s="31">
        <f t="shared" si="84"/>
        <v>0</v>
      </c>
      <c r="H377" s="31" t="str">
        <f>IF(G377=1,IFERROR(VLOOKUP(F377,Tab_ErrMessage[],2,0),VLOOKUP(C377&amp;TableCosts[[#This Row],[Calc_N_Typ]],TRAN_STRITEMS_LABEL,4,FALSE)),"")</f>
        <v/>
      </c>
      <c r="I377" s="94"/>
      <c r="J377" s="94"/>
      <c r="K377" s="94"/>
      <c r="L377" s="84"/>
      <c r="M377" s="84"/>
      <c r="N377" s="84"/>
      <c r="O377" s="84"/>
      <c r="P377" s="84"/>
      <c r="Q377" s="84"/>
      <c r="R377" s="84"/>
      <c r="S377" s="84"/>
      <c r="T377" s="84"/>
      <c r="U377" s="84"/>
      <c r="V377" s="84"/>
      <c r="W377" s="84"/>
      <c r="X377" s="84"/>
      <c r="Y377" s="84"/>
      <c r="Z377" s="84"/>
      <c r="AA377" s="84"/>
      <c r="AB377" s="84"/>
      <c r="AC377" s="84"/>
      <c r="AD377" s="84"/>
      <c r="AE377" s="84"/>
      <c r="AF377" s="84"/>
      <c r="AG377" s="84"/>
      <c r="AH377" s="84"/>
      <c r="AI377" s="84"/>
      <c r="AJ377" s="84"/>
      <c r="AK377" s="84"/>
      <c r="AL377" s="84"/>
      <c r="AM377" s="84"/>
      <c r="AN377" s="84"/>
      <c r="AO377" s="84"/>
      <c r="AP377" s="84"/>
      <c r="AQ377" s="84"/>
      <c r="AR377" s="84"/>
      <c r="AS377" s="84"/>
      <c r="AT377" s="84"/>
      <c r="AU377" s="84"/>
      <c r="AV377" s="84"/>
      <c r="AW377" s="84"/>
      <c r="AX377" s="87">
        <f t="array" ref="AX377">IF(G377=1,SUM((ROW(M0)=ROW(AW377))*(M0+M1_+M2_+M3_+M4_+M5_+M6_+M7_+M8_+M9_+M10_+M11_+M12_+M13_+M14_+M15_+M16_+M17_+M18_+M19_+M20_+M21_+M22_+M23_+M24_+M25_+M26_+M27_+M28_+M29_+M30_+M31_+M32_+M33_+M34_+M35_+M36_+M37_)),0)</f>
        <v>0</v>
      </c>
      <c r="AZ377" s="24" t="str">
        <f t="shared" si="85"/>
        <v/>
      </c>
      <c r="BA377" s="24" t="str">
        <f t="shared" si="86"/>
        <v/>
      </c>
      <c r="BB377" s="24" t="str">
        <f t="shared" si="87"/>
        <v/>
      </c>
      <c r="BC377" s="24" t="str">
        <f>IF(OR(E377="",LEFT(TableCosts[[#This Row],[Calc_N_Typ]],18)="Vynaložené náklady"),"",VLOOKUP(E377,Tab_Parts,2,0))</f>
        <v/>
      </c>
      <c r="BD377" s="24" t="str">
        <f t="shared" si="88"/>
        <v/>
      </c>
      <c r="BE377" s="24">
        <f t="shared" si="89"/>
        <v>0</v>
      </c>
      <c r="BF377" s="72">
        <f>TableCosts[[#This Row],[N_Amount]]*TableCosts[[#This Row],[N_Tariff]]*TableCosts[[#This Row],[N_ItemsCount]]</f>
        <v>0</v>
      </c>
      <c r="BG377" s="72">
        <f>IF(G377=1,IF(TableCosts[[#This Row],[N_Kateg]]="interné práce",TableCosts[[#This Row],[N_Amount]]*8*PAR_SGA_PERHOUR,0),0)</f>
        <v>0</v>
      </c>
      <c r="BH377" s="72">
        <f>SUM(TableCosts[[#This Row],[N_Direct]:[N_SGA]])</f>
        <v>0</v>
      </c>
      <c r="BI377" s="24">
        <f>IF(G377=1,IF(OR(AND(NOT(ISERROR(VLOOKUP(TableCosts[[#This Row],[Calc_N_Typ]],Cis_WorkPositions,1,0))),C377&lt;&gt;"",D377&lt;&gt;"",E377&lt;&gt;""),AND(ISERROR(VLOOKUP(TableCosts[[#This Row],[Calc_N_Typ]],Cis_WorkPositions,1,0)),C377="",D377="",E377&lt;&gt;""),LEFT(TableCosts[[#This Row],[Calc_N_Typ]],18)="Vynaložené náklady"),VLOOKUP(C377&amp;TableCosts[[#This Row],[Calc_N_Typ]],TRAN_STRITEMS_LABEL,VLOOKUP(D377,Tab_Hours,3,0),0),NA()),0)</f>
        <v>0</v>
      </c>
      <c r="BJ377" s="24">
        <f t="shared" si="90"/>
        <v>0</v>
      </c>
      <c r="BK377" s="24" t="str">
        <f t="shared" si="91"/>
        <v/>
      </c>
      <c r="BL377" s="24" t="str">
        <f t="shared" si="92"/>
        <v/>
      </c>
      <c r="BM377" s="24" t="str">
        <f>IF(G377=1,IF(TableCosts[[#This Row],[TransferFrom]]=TableCosts[[#This Row],[TranferTo]],0,1),"")</f>
        <v/>
      </c>
      <c r="BN377" s="24" t="str">
        <f t="shared" si="93"/>
        <v/>
      </c>
      <c r="BO377" s="24">
        <f t="shared" si="94"/>
        <v>0</v>
      </c>
      <c r="BP377" s="24">
        <f t="shared" si="95"/>
        <v>0</v>
      </c>
    </row>
    <row r="378" spans="2:68" s="24" customFormat="1" ht="12.75" x14ac:dyDescent="0.2">
      <c r="B378" s="97"/>
      <c r="C378" s="92"/>
      <c r="D378" s="92"/>
      <c r="E378" s="92"/>
      <c r="F378" s="31" t="str">
        <f>IF(G378=1,IF(ISERROR(TableCosts[[#This Row],[N_Tariff]]),Err_Message1,IF(TableCosts[[#This Row],[N_Tariff]]=0,Err_Message2,VLOOKUP(C378&amp;TableCosts[[#This Row],[Calc_N_Typ]],TRAN_STRITEMS_LABEL,5,FALSE))),"")</f>
        <v/>
      </c>
      <c r="G378" s="31">
        <f t="shared" si="84"/>
        <v>0</v>
      </c>
      <c r="H378" s="31" t="str">
        <f>IF(G378=1,IFERROR(VLOOKUP(F378,Tab_ErrMessage[],2,0),VLOOKUP(C378&amp;TableCosts[[#This Row],[Calc_N_Typ]],TRAN_STRITEMS_LABEL,4,FALSE)),"")</f>
        <v/>
      </c>
      <c r="I378" s="94"/>
      <c r="J378" s="94"/>
      <c r="K378" s="94"/>
      <c r="L378" s="84"/>
      <c r="M378" s="84"/>
      <c r="N378" s="84"/>
      <c r="O378" s="84"/>
      <c r="P378" s="84"/>
      <c r="Q378" s="84"/>
      <c r="R378" s="84"/>
      <c r="S378" s="84"/>
      <c r="T378" s="84"/>
      <c r="U378" s="84"/>
      <c r="V378" s="84"/>
      <c r="W378" s="84"/>
      <c r="X378" s="84"/>
      <c r="Y378" s="84"/>
      <c r="Z378" s="84"/>
      <c r="AA378" s="84"/>
      <c r="AB378" s="84"/>
      <c r="AC378" s="84"/>
      <c r="AD378" s="84"/>
      <c r="AE378" s="84"/>
      <c r="AF378" s="84"/>
      <c r="AG378" s="84"/>
      <c r="AH378" s="84"/>
      <c r="AI378" s="84"/>
      <c r="AJ378" s="84"/>
      <c r="AK378" s="84"/>
      <c r="AL378" s="84"/>
      <c r="AM378" s="84"/>
      <c r="AN378" s="84"/>
      <c r="AO378" s="84"/>
      <c r="AP378" s="84"/>
      <c r="AQ378" s="84"/>
      <c r="AR378" s="84"/>
      <c r="AS378" s="84"/>
      <c r="AT378" s="84"/>
      <c r="AU378" s="84"/>
      <c r="AV378" s="84"/>
      <c r="AW378" s="84"/>
      <c r="AX378" s="87">
        <f t="array" ref="AX378">IF(G378=1,SUM((ROW(M0)=ROW(AW378))*(M0+M1_+M2_+M3_+M4_+M5_+M6_+M7_+M8_+M9_+M10_+M11_+M12_+M13_+M14_+M15_+M16_+M17_+M18_+M19_+M20_+M21_+M22_+M23_+M24_+M25_+M26_+M27_+M28_+M29_+M30_+M31_+M32_+M33_+M34_+M35_+M36_+M37_)),0)</f>
        <v>0</v>
      </c>
      <c r="AZ378" s="24" t="str">
        <f t="shared" si="85"/>
        <v/>
      </c>
      <c r="BA378" s="24" t="str">
        <f t="shared" si="86"/>
        <v/>
      </c>
      <c r="BB378" s="24" t="str">
        <f t="shared" si="87"/>
        <v/>
      </c>
      <c r="BC378" s="24" t="str">
        <f>IF(OR(E378="",LEFT(TableCosts[[#This Row],[Calc_N_Typ]],18)="Vynaložené náklady"),"",VLOOKUP(E378,Tab_Parts,2,0))</f>
        <v/>
      </c>
      <c r="BD378" s="24" t="str">
        <f t="shared" si="88"/>
        <v/>
      </c>
      <c r="BE378" s="24">
        <f t="shared" si="89"/>
        <v>0</v>
      </c>
      <c r="BF378" s="72">
        <f>TableCosts[[#This Row],[N_Amount]]*TableCosts[[#This Row],[N_Tariff]]*TableCosts[[#This Row],[N_ItemsCount]]</f>
        <v>0</v>
      </c>
      <c r="BG378" s="72">
        <f>IF(G378=1,IF(TableCosts[[#This Row],[N_Kateg]]="interné práce",TableCosts[[#This Row],[N_Amount]]*8*PAR_SGA_PERHOUR,0),0)</f>
        <v>0</v>
      </c>
      <c r="BH378" s="72">
        <f>SUM(TableCosts[[#This Row],[N_Direct]:[N_SGA]])</f>
        <v>0</v>
      </c>
      <c r="BI378" s="24">
        <f>IF(G378=1,IF(OR(AND(NOT(ISERROR(VLOOKUP(TableCosts[[#This Row],[Calc_N_Typ]],Cis_WorkPositions,1,0))),C378&lt;&gt;"",D378&lt;&gt;"",E378&lt;&gt;""),AND(ISERROR(VLOOKUP(TableCosts[[#This Row],[Calc_N_Typ]],Cis_WorkPositions,1,0)),C378="",D378="",E378&lt;&gt;""),LEFT(TableCosts[[#This Row],[Calc_N_Typ]],18)="Vynaložené náklady"),VLOOKUP(C378&amp;TableCosts[[#This Row],[Calc_N_Typ]],TRAN_STRITEMS_LABEL,VLOOKUP(D378,Tab_Hours,3,0),0),NA()),0)</f>
        <v>0</v>
      </c>
      <c r="BJ378" s="24">
        <f t="shared" si="90"/>
        <v>0</v>
      </c>
      <c r="BK378" s="24" t="str">
        <f t="shared" si="91"/>
        <v/>
      </c>
      <c r="BL378" s="24" t="str">
        <f t="shared" si="92"/>
        <v/>
      </c>
      <c r="BM378" s="24" t="str">
        <f>IF(G378=1,IF(TableCosts[[#This Row],[TransferFrom]]=TableCosts[[#This Row],[TranferTo]],0,1),"")</f>
        <v/>
      </c>
      <c r="BN378" s="24" t="str">
        <f t="shared" si="93"/>
        <v/>
      </c>
      <c r="BO378" s="24">
        <f t="shared" si="94"/>
        <v>0</v>
      </c>
      <c r="BP378" s="24">
        <f t="shared" si="95"/>
        <v>0</v>
      </c>
    </row>
    <row r="379" spans="2:68" s="24" customFormat="1" ht="12.75" x14ac:dyDescent="0.2">
      <c r="B379" s="97"/>
      <c r="C379" s="92"/>
      <c r="D379" s="92"/>
      <c r="E379" s="92"/>
      <c r="F379" s="31" t="str">
        <f>IF(G379=1,IF(ISERROR(TableCosts[[#This Row],[N_Tariff]]),Err_Message1,IF(TableCosts[[#This Row],[N_Tariff]]=0,Err_Message2,VLOOKUP(C379&amp;TableCosts[[#This Row],[Calc_N_Typ]],TRAN_STRITEMS_LABEL,5,FALSE))),"")</f>
        <v/>
      </c>
      <c r="G379" s="31">
        <f t="shared" si="84"/>
        <v>0</v>
      </c>
      <c r="H379" s="31" t="str">
        <f>IF(G379=1,IFERROR(VLOOKUP(F379,Tab_ErrMessage[],2,0),VLOOKUP(C379&amp;TableCosts[[#This Row],[Calc_N_Typ]],TRAN_STRITEMS_LABEL,4,FALSE)),"")</f>
        <v/>
      </c>
      <c r="I379" s="94"/>
      <c r="J379" s="94"/>
      <c r="K379" s="94"/>
      <c r="L379" s="84"/>
      <c r="M379" s="84"/>
      <c r="N379" s="84"/>
      <c r="O379" s="84"/>
      <c r="P379" s="84"/>
      <c r="Q379" s="84"/>
      <c r="R379" s="84"/>
      <c r="S379" s="84"/>
      <c r="T379" s="84"/>
      <c r="U379" s="84"/>
      <c r="V379" s="84"/>
      <c r="W379" s="84"/>
      <c r="X379" s="84"/>
      <c r="Y379" s="84"/>
      <c r="Z379" s="84"/>
      <c r="AA379" s="84"/>
      <c r="AB379" s="84"/>
      <c r="AC379" s="84"/>
      <c r="AD379" s="84"/>
      <c r="AE379" s="84"/>
      <c r="AF379" s="84"/>
      <c r="AG379" s="84"/>
      <c r="AH379" s="84"/>
      <c r="AI379" s="84"/>
      <c r="AJ379" s="84"/>
      <c r="AK379" s="84"/>
      <c r="AL379" s="84"/>
      <c r="AM379" s="84"/>
      <c r="AN379" s="84"/>
      <c r="AO379" s="84"/>
      <c r="AP379" s="84"/>
      <c r="AQ379" s="84"/>
      <c r="AR379" s="84"/>
      <c r="AS379" s="84"/>
      <c r="AT379" s="84"/>
      <c r="AU379" s="84"/>
      <c r="AV379" s="84"/>
      <c r="AW379" s="84"/>
      <c r="AX379" s="87">
        <f t="array" ref="AX379">IF(G379=1,SUM((ROW(M0)=ROW(AW379))*(M0+M1_+M2_+M3_+M4_+M5_+M6_+M7_+M8_+M9_+M10_+M11_+M12_+M13_+M14_+M15_+M16_+M17_+M18_+M19_+M20_+M21_+M22_+M23_+M24_+M25_+M26_+M27_+M28_+M29_+M30_+M31_+M32_+M33_+M34_+M35_+M36_+M37_)),0)</f>
        <v>0</v>
      </c>
      <c r="AZ379" s="24" t="str">
        <f t="shared" si="85"/>
        <v/>
      </c>
      <c r="BA379" s="24" t="str">
        <f t="shared" si="86"/>
        <v/>
      </c>
      <c r="BB379" s="24" t="str">
        <f t="shared" si="87"/>
        <v/>
      </c>
      <c r="BC379" s="24" t="str">
        <f>IF(OR(E379="",LEFT(TableCosts[[#This Row],[Calc_N_Typ]],18)="Vynaložené náklady"),"",VLOOKUP(E379,Tab_Parts,2,0))</f>
        <v/>
      </c>
      <c r="BD379" s="24" t="str">
        <f t="shared" si="88"/>
        <v/>
      </c>
      <c r="BE379" s="24">
        <f t="shared" si="89"/>
        <v>0</v>
      </c>
      <c r="BF379" s="72">
        <f>TableCosts[[#This Row],[N_Amount]]*TableCosts[[#This Row],[N_Tariff]]*TableCosts[[#This Row],[N_ItemsCount]]</f>
        <v>0</v>
      </c>
      <c r="BG379" s="72">
        <f>IF(G379=1,IF(TableCosts[[#This Row],[N_Kateg]]="interné práce",TableCosts[[#This Row],[N_Amount]]*8*PAR_SGA_PERHOUR,0),0)</f>
        <v>0</v>
      </c>
      <c r="BH379" s="72">
        <f>SUM(TableCosts[[#This Row],[N_Direct]:[N_SGA]])</f>
        <v>0</v>
      </c>
      <c r="BI379" s="24">
        <f>IF(G379=1,IF(OR(AND(NOT(ISERROR(VLOOKUP(TableCosts[[#This Row],[Calc_N_Typ]],Cis_WorkPositions,1,0))),C379&lt;&gt;"",D379&lt;&gt;"",E379&lt;&gt;""),AND(ISERROR(VLOOKUP(TableCosts[[#This Row],[Calc_N_Typ]],Cis_WorkPositions,1,0)),C379="",D379="",E379&lt;&gt;""),LEFT(TableCosts[[#This Row],[Calc_N_Typ]],18)="Vynaložené náklady"),VLOOKUP(C379&amp;TableCosts[[#This Row],[Calc_N_Typ]],TRAN_STRITEMS_LABEL,VLOOKUP(D379,Tab_Hours,3,0),0),NA()),0)</f>
        <v>0</v>
      </c>
      <c r="BJ379" s="24">
        <f t="shared" si="90"/>
        <v>0</v>
      </c>
      <c r="BK379" s="24" t="str">
        <f t="shared" si="91"/>
        <v/>
      </c>
      <c r="BL379" s="24" t="str">
        <f t="shared" si="92"/>
        <v/>
      </c>
      <c r="BM379" s="24" t="str">
        <f>IF(G379=1,IF(TableCosts[[#This Row],[TransferFrom]]=TableCosts[[#This Row],[TranferTo]],0,1),"")</f>
        <v/>
      </c>
      <c r="BN379" s="24" t="str">
        <f t="shared" si="93"/>
        <v/>
      </c>
      <c r="BO379" s="24">
        <f t="shared" si="94"/>
        <v>0</v>
      </c>
      <c r="BP379" s="24">
        <f t="shared" si="95"/>
        <v>0</v>
      </c>
    </row>
    <row r="380" spans="2:68" s="24" customFormat="1" ht="12.75" x14ac:dyDescent="0.2">
      <c r="B380" s="97"/>
      <c r="C380" s="92"/>
      <c r="D380" s="92"/>
      <c r="E380" s="92"/>
      <c r="F380" s="31" t="str">
        <f>IF(G380=1,IF(ISERROR(TableCosts[[#This Row],[N_Tariff]]),Err_Message1,IF(TableCosts[[#This Row],[N_Tariff]]=0,Err_Message2,VLOOKUP(C380&amp;TableCosts[[#This Row],[Calc_N_Typ]],TRAN_STRITEMS_LABEL,5,FALSE))),"")</f>
        <v/>
      </c>
      <c r="G380" s="31">
        <f t="shared" si="84"/>
        <v>0</v>
      </c>
      <c r="H380" s="31" t="str">
        <f>IF(G380=1,IFERROR(VLOOKUP(F380,Tab_ErrMessage[],2,0),VLOOKUP(C380&amp;TableCosts[[#This Row],[Calc_N_Typ]],TRAN_STRITEMS_LABEL,4,FALSE)),"")</f>
        <v/>
      </c>
      <c r="I380" s="94"/>
      <c r="J380" s="94"/>
      <c r="K380" s="94"/>
      <c r="L380" s="84"/>
      <c r="M380" s="84"/>
      <c r="N380" s="84"/>
      <c r="O380" s="84"/>
      <c r="P380" s="84"/>
      <c r="Q380" s="84"/>
      <c r="R380" s="84"/>
      <c r="S380" s="84"/>
      <c r="T380" s="84"/>
      <c r="U380" s="84"/>
      <c r="V380" s="84"/>
      <c r="W380" s="84"/>
      <c r="X380" s="84"/>
      <c r="Y380" s="84"/>
      <c r="Z380" s="84"/>
      <c r="AA380" s="84"/>
      <c r="AB380" s="84"/>
      <c r="AC380" s="84"/>
      <c r="AD380" s="84"/>
      <c r="AE380" s="84"/>
      <c r="AF380" s="84"/>
      <c r="AG380" s="84"/>
      <c r="AH380" s="84"/>
      <c r="AI380" s="84"/>
      <c r="AJ380" s="84"/>
      <c r="AK380" s="84"/>
      <c r="AL380" s="84"/>
      <c r="AM380" s="84"/>
      <c r="AN380" s="84"/>
      <c r="AO380" s="84"/>
      <c r="AP380" s="84"/>
      <c r="AQ380" s="84"/>
      <c r="AR380" s="84"/>
      <c r="AS380" s="84"/>
      <c r="AT380" s="84"/>
      <c r="AU380" s="84"/>
      <c r="AV380" s="84"/>
      <c r="AW380" s="84"/>
      <c r="AX380" s="87">
        <f t="array" ref="AX380">IF(G380=1,SUM((ROW(M0)=ROW(AW380))*(M0+M1_+M2_+M3_+M4_+M5_+M6_+M7_+M8_+M9_+M10_+M11_+M12_+M13_+M14_+M15_+M16_+M17_+M18_+M19_+M20_+M21_+M22_+M23_+M24_+M25_+M26_+M27_+M28_+M29_+M30_+M31_+M32_+M33_+M34_+M35_+M36_+M37_)),0)</f>
        <v>0</v>
      </c>
      <c r="AZ380" s="24" t="str">
        <f t="shared" si="85"/>
        <v/>
      </c>
      <c r="BA380" s="24" t="str">
        <f t="shared" si="86"/>
        <v/>
      </c>
      <c r="BB380" s="24" t="str">
        <f t="shared" si="87"/>
        <v/>
      </c>
      <c r="BC380" s="24" t="str">
        <f>IF(OR(E380="",LEFT(TableCosts[[#This Row],[Calc_N_Typ]],18)="Vynaložené náklady"),"",VLOOKUP(E380,Tab_Parts,2,0))</f>
        <v/>
      </c>
      <c r="BD380" s="24" t="str">
        <f t="shared" si="88"/>
        <v/>
      </c>
      <c r="BE380" s="24">
        <f t="shared" si="89"/>
        <v>0</v>
      </c>
      <c r="BF380" s="72">
        <f>TableCosts[[#This Row],[N_Amount]]*TableCosts[[#This Row],[N_Tariff]]*TableCosts[[#This Row],[N_ItemsCount]]</f>
        <v>0</v>
      </c>
      <c r="BG380" s="72">
        <f>IF(G380=1,IF(TableCosts[[#This Row],[N_Kateg]]="interné práce",TableCosts[[#This Row],[N_Amount]]*8*PAR_SGA_PERHOUR,0),0)</f>
        <v>0</v>
      </c>
      <c r="BH380" s="72">
        <f>SUM(TableCosts[[#This Row],[N_Direct]:[N_SGA]])</f>
        <v>0</v>
      </c>
      <c r="BI380" s="24">
        <f>IF(G380=1,IF(OR(AND(NOT(ISERROR(VLOOKUP(TableCosts[[#This Row],[Calc_N_Typ]],Cis_WorkPositions,1,0))),C380&lt;&gt;"",D380&lt;&gt;"",E380&lt;&gt;""),AND(ISERROR(VLOOKUP(TableCosts[[#This Row],[Calc_N_Typ]],Cis_WorkPositions,1,0)),C380="",D380="",E380&lt;&gt;""),LEFT(TableCosts[[#This Row],[Calc_N_Typ]],18)="Vynaložené náklady"),VLOOKUP(C380&amp;TableCosts[[#This Row],[Calc_N_Typ]],TRAN_STRITEMS_LABEL,VLOOKUP(D380,Tab_Hours,3,0),0),NA()),0)</f>
        <v>0</v>
      </c>
      <c r="BJ380" s="24">
        <f t="shared" si="90"/>
        <v>0</v>
      </c>
      <c r="BK380" s="24" t="str">
        <f t="shared" si="91"/>
        <v/>
      </c>
      <c r="BL380" s="24" t="str">
        <f t="shared" si="92"/>
        <v/>
      </c>
      <c r="BM380" s="24" t="str">
        <f>IF(G380=1,IF(TableCosts[[#This Row],[TransferFrom]]=TableCosts[[#This Row],[TranferTo]],0,1),"")</f>
        <v/>
      </c>
      <c r="BN380" s="24" t="str">
        <f t="shared" si="93"/>
        <v/>
      </c>
      <c r="BO380" s="24">
        <f t="shared" si="94"/>
        <v>0</v>
      </c>
      <c r="BP380" s="24">
        <f t="shared" si="95"/>
        <v>0</v>
      </c>
    </row>
    <row r="381" spans="2:68" s="24" customFormat="1" ht="12.75" x14ac:dyDescent="0.2">
      <c r="B381" s="97"/>
      <c r="C381" s="92"/>
      <c r="D381" s="92"/>
      <c r="E381" s="92"/>
      <c r="F381" s="31" t="str">
        <f>IF(G381=1,IF(ISERROR(TableCosts[[#This Row],[N_Tariff]]),Err_Message1,IF(TableCosts[[#This Row],[N_Tariff]]=0,Err_Message2,VLOOKUP(C381&amp;TableCosts[[#This Row],[Calc_N_Typ]],TRAN_STRITEMS_LABEL,5,FALSE))),"")</f>
        <v/>
      </c>
      <c r="G381" s="31">
        <f t="shared" si="84"/>
        <v>0</v>
      </c>
      <c r="H381" s="31" t="str">
        <f>IF(G381=1,IFERROR(VLOOKUP(F381,Tab_ErrMessage[],2,0),VLOOKUP(C381&amp;TableCosts[[#This Row],[Calc_N_Typ]],TRAN_STRITEMS_LABEL,4,FALSE)),"")</f>
        <v/>
      </c>
      <c r="I381" s="94"/>
      <c r="J381" s="94"/>
      <c r="K381" s="94"/>
      <c r="L381" s="84"/>
      <c r="M381" s="84"/>
      <c r="N381" s="84"/>
      <c r="O381" s="84"/>
      <c r="P381" s="84"/>
      <c r="Q381" s="84"/>
      <c r="R381" s="84"/>
      <c r="S381" s="84"/>
      <c r="T381" s="84"/>
      <c r="U381" s="84"/>
      <c r="V381" s="84"/>
      <c r="W381" s="84"/>
      <c r="X381" s="84"/>
      <c r="Y381" s="84"/>
      <c r="Z381" s="84"/>
      <c r="AA381" s="84"/>
      <c r="AB381" s="84"/>
      <c r="AC381" s="84"/>
      <c r="AD381" s="84"/>
      <c r="AE381" s="84"/>
      <c r="AF381" s="84"/>
      <c r="AG381" s="84"/>
      <c r="AH381" s="84"/>
      <c r="AI381" s="84"/>
      <c r="AJ381" s="84"/>
      <c r="AK381" s="84"/>
      <c r="AL381" s="84"/>
      <c r="AM381" s="84"/>
      <c r="AN381" s="84"/>
      <c r="AO381" s="84"/>
      <c r="AP381" s="84"/>
      <c r="AQ381" s="84"/>
      <c r="AR381" s="84"/>
      <c r="AS381" s="84"/>
      <c r="AT381" s="84"/>
      <c r="AU381" s="84"/>
      <c r="AV381" s="84"/>
      <c r="AW381" s="84"/>
      <c r="AX381" s="87">
        <f t="array" ref="AX381">IF(G381=1,SUM((ROW(M0)=ROW(AW381))*(M0+M1_+M2_+M3_+M4_+M5_+M6_+M7_+M8_+M9_+M10_+M11_+M12_+M13_+M14_+M15_+M16_+M17_+M18_+M19_+M20_+M21_+M22_+M23_+M24_+M25_+M26_+M27_+M28_+M29_+M30_+M31_+M32_+M33_+M34_+M35_+M36_+M37_)),0)</f>
        <v>0</v>
      </c>
      <c r="AZ381" s="24" t="str">
        <f t="shared" si="85"/>
        <v/>
      </c>
      <c r="BA381" s="24" t="str">
        <f t="shared" si="86"/>
        <v/>
      </c>
      <c r="BB381" s="24" t="str">
        <f t="shared" si="87"/>
        <v/>
      </c>
      <c r="BC381" s="24" t="str">
        <f>IF(OR(E381="",LEFT(TableCosts[[#This Row],[Calc_N_Typ]],18)="Vynaložené náklady"),"",VLOOKUP(E381,Tab_Parts,2,0))</f>
        <v/>
      </c>
      <c r="BD381" s="24" t="str">
        <f t="shared" si="88"/>
        <v/>
      </c>
      <c r="BE381" s="24">
        <f t="shared" si="89"/>
        <v>0</v>
      </c>
      <c r="BF381" s="72">
        <f>TableCosts[[#This Row],[N_Amount]]*TableCosts[[#This Row],[N_Tariff]]*TableCosts[[#This Row],[N_ItemsCount]]</f>
        <v>0</v>
      </c>
      <c r="BG381" s="72">
        <f>IF(G381=1,IF(TableCosts[[#This Row],[N_Kateg]]="interné práce",TableCosts[[#This Row],[N_Amount]]*8*PAR_SGA_PERHOUR,0),0)</f>
        <v>0</v>
      </c>
      <c r="BH381" s="72">
        <f>SUM(TableCosts[[#This Row],[N_Direct]:[N_SGA]])</f>
        <v>0</v>
      </c>
      <c r="BI381" s="24">
        <f>IF(G381=1,IF(OR(AND(NOT(ISERROR(VLOOKUP(TableCosts[[#This Row],[Calc_N_Typ]],Cis_WorkPositions,1,0))),C381&lt;&gt;"",D381&lt;&gt;"",E381&lt;&gt;""),AND(ISERROR(VLOOKUP(TableCosts[[#This Row],[Calc_N_Typ]],Cis_WorkPositions,1,0)),C381="",D381="",E381&lt;&gt;""),LEFT(TableCosts[[#This Row],[Calc_N_Typ]],18)="Vynaložené náklady"),VLOOKUP(C381&amp;TableCosts[[#This Row],[Calc_N_Typ]],TRAN_STRITEMS_LABEL,VLOOKUP(D381,Tab_Hours,3,0),0),NA()),0)</f>
        <v>0</v>
      </c>
      <c r="BJ381" s="24">
        <f t="shared" si="90"/>
        <v>0</v>
      </c>
      <c r="BK381" s="24" t="str">
        <f t="shared" si="91"/>
        <v/>
      </c>
      <c r="BL381" s="24" t="str">
        <f t="shared" si="92"/>
        <v/>
      </c>
      <c r="BM381" s="24" t="str">
        <f>IF(G381=1,IF(TableCosts[[#This Row],[TransferFrom]]=TableCosts[[#This Row],[TranferTo]],0,1),"")</f>
        <v/>
      </c>
      <c r="BN381" s="24" t="str">
        <f t="shared" si="93"/>
        <v/>
      </c>
      <c r="BO381" s="24">
        <f t="shared" si="94"/>
        <v>0</v>
      </c>
      <c r="BP381" s="24">
        <f t="shared" si="95"/>
        <v>0</v>
      </c>
    </row>
    <row r="382" spans="2:68" s="24" customFormat="1" ht="12.75" x14ac:dyDescent="0.2">
      <c r="B382" s="97"/>
      <c r="C382" s="92"/>
      <c r="D382" s="92"/>
      <c r="E382" s="92"/>
      <c r="F382" s="31" t="str">
        <f>IF(G382=1,IF(ISERROR(TableCosts[[#This Row],[N_Tariff]]),Err_Message1,IF(TableCosts[[#This Row],[N_Tariff]]=0,Err_Message2,VLOOKUP(C382&amp;TableCosts[[#This Row],[Calc_N_Typ]],TRAN_STRITEMS_LABEL,5,FALSE))),"")</f>
        <v/>
      </c>
      <c r="G382" s="31">
        <f t="shared" si="84"/>
        <v>0</v>
      </c>
      <c r="H382" s="31" t="str">
        <f>IF(G382=1,IFERROR(VLOOKUP(F382,Tab_ErrMessage[],2,0),VLOOKUP(C382&amp;TableCosts[[#This Row],[Calc_N_Typ]],TRAN_STRITEMS_LABEL,4,FALSE)),"")</f>
        <v/>
      </c>
      <c r="I382" s="94"/>
      <c r="J382" s="94"/>
      <c r="K382" s="94"/>
      <c r="L382" s="84"/>
      <c r="M382" s="84"/>
      <c r="N382" s="84"/>
      <c r="O382" s="84"/>
      <c r="P382" s="84"/>
      <c r="Q382" s="84"/>
      <c r="R382" s="84"/>
      <c r="S382" s="84"/>
      <c r="T382" s="84"/>
      <c r="U382" s="84"/>
      <c r="V382" s="84"/>
      <c r="W382" s="84"/>
      <c r="X382" s="84"/>
      <c r="Y382" s="84"/>
      <c r="Z382" s="84"/>
      <c r="AA382" s="84"/>
      <c r="AB382" s="84"/>
      <c r="AC382" s="84"/>
      <c r="AD382" s="84"/>
      <c r="AE382" s="84"/>
      <c r="AF382" s="84"/>
      <c r="AG382" s="84"/>
      <c r="AH382" s="84"/>
      <c r="AI382" s="84"/>
      <c r="AJ382" s="84"/>
      <c r="AK382" s="84"/>
      <c r="AL382" s="84"/>
      <c r="AM382" s="84"/>
      <c r="AN382" s="84"/>
      <c r="AO382" s="84"/>
      <c r="AP382" s="84"/>
      <c r="AQ382" s="84"/>
      <c r="AR382" s="84"/>
      <c r="AS382" s="84"/>
      <c r="AT382" s="84"/>
      <c r="AU382" s="84"/>
      <c r="AV382" s="84"/>
      <c r="AW382" s="84"/>
      <c r="AX382" s="87">
        <f t="array" ref="AX382">IF(G382=1,SUM((ROW(M0)=ROW(AW382))*(M0+M1_+M2_+M3_+M4_+M5_+M6_+M7_+M8_+M9_+M10_+M11_+M12_+M13_+M14_+M15_+M16_+M17_+M18_+M19_+M20_+M21_+M22_+M23_+M24_+M25_+M26_+M27_+M28_+M29_+M30_+M31_+M32_+M33_+M34_+M35_+M36_+M37_)),0)</f>
        <v>0</v>
      </c>
      <c r="AZ382" s="24" t="str">
        <f t="shared" si="85"/>
        <v/>
      </c>
      <c r="BA382" s="24" t="str">
        <f t="shared" si="86"/>
        <v/>
      </c>
      <c r="BB382" s="24" t="str">
        <f t="shared" si="87"/>
        <v/>
      </c>
      <c r="BC382" s="24" t="str">
        <f>IF(OR(E382="",LEFT(TableCosts[[#This Row],[Calc_N_Typ]],18)="Vynaložené náklady"),"",VLOOKUP(E382,Tab_Parts,2,0))</f>
        <v/>
      </c>
      <c r="BD382" s="24" t="str">
        <f t="shared" si="88"/>
        <v/>
      </c>
      <c r="BE382" s="24">
        <f t="shared" si="89"/>
        <v>0</v>
      </c>
      <c r="BF382" s="72">
        <f>TableCosts[[#This Row],[N_Amount]]*TableCosts[[#This Row],[N_Tariff]]*TableCosts[[#This Row],[N_ItemsCount]]</f>
        <v>0</v>
      </c>
      <c r="BG382" s="72">
        <f>IF(G382=1,IF(TableCosts[[#This Row],[N_Kateg]]="interné práce",TableCosts[[#This Row],[N_Amount]]*8*PAR_SGA_PERHOUR,0),0)</f>
        <v>0</v>
      </c>
      <c r="BH382" s="72">
        <f>SUM(TableCosts[[#This Row],[N_Direct]:[N_SGA]])</f>
        <v>0</v>
      </c>
      <c r="BI382" s="24">
        <f>IF(G382=1,IF(OR(AND(NOT(ISERROR(VLOOKUP(TableCosts[[#This Row],[Calc_N_Typ]],Cis_WorkPositions,1,0))),C382&lt;&gt;"",D382&lt;&gt;"",E382&lt;&gt;""),AND(ISERROR(VLOOKUP(TableCosts[[#This Row],[Calc_N_Typ]],Cis_WorkPositions,1,0)),C382="",D382="",E382&lt;&gt;""),LEFT(TableCosts[[#This Row],[Calc_N_Typ]],18)="Vynaložené náklady"),VLOOKUP(C382&amp;TableCosts[[#This Row],[Calc_N_Typ]],TRAN_STRITEMS_LABEL,VLOOKUP(D382,Tab_Hours,3,0),0),NA()),0)</f>
        <v>0</v>
      </c>
      <c r="BJ382" s="24">
        <f t="shared" si="90"/>
        <v>0</v>
      </c>
      <c r="BK382" s="24" t="str">
        <f t="shared" si="91"/>
        <v/>
      </c>
      <c r="BL382" s="24" t="str">
        <f t="shared" si="92"/>
        <v/>
      </c>
      <c r="BM382" s="24" t="str">
        <f>IF(G382=1,IF(TableCosts[[#This Row],[TransferFrom]]=TableCosts[[#This Row],[TranferTo]],0,1),"")</f>
        <v/>
      </c>
      <c r="BN382" s="24" t="str">
        <f t="shared" si="93"/>
        <v/>
      </c>
      <c r="BO382" s="24">
        <f t="shared" si="94"/>
        <v>0</v>
      </c>
      <c r="BP382" s="24">
        <f t="shared" si="95"/>
        <v>0</v>
      </c>
    </row>
    <row r="383" spans="2:68" s="24" customFormat="1" ht="12.75" x14ac:dyDescent="0.2">
      <c r="B383" s="97"/>
      <c r="C383" s="92"/>
      <c r="D383" s="92"/>
      <c r="E383" s="92"/>
      <c r="F383" s="31" t="str">
        <f>IF(G383=1,IF(ISERROR(TableCosts[[#This Row],[N_Tariff]]),Err_Message1,IF(TableCosts[[#This Row],[N_Tariff]]=0,Err_Message2,VLOOKUP(C383&amp;TableCosts[[#This Row],[Calc_N_Typ]],TRAN_STRITEMS_LABEL,5,FALSE))),"")</f>
        <v/>
      </c>
      <c r="G383" s="31">
        <f t="shared" si="84"/>
        <v>0</v>
      </c>
      <c r="H383" s="31" t="str">
        <f>IF(G383=1,IFERROR(VLOOKUP(F383,Tab_ErrMessage[],2,0),VLOOKUP(C383&amp;TableCosts[[#This Row],[Calc_N_Typ]],TRAN_STRITEMS_LABEL,4,FALSE)),"")</f>
        <v/>
      </c>
      <c r="I383" s="94"/>
      <c r="J383" s="94"/>
      <c r="K383" s="94"/>
      <c r="L383" s="84"/>
      <c r="M383" s="84"/>
      <c r="N383" s="84"/>
      <c r="O383" s="84"/>
      <c r="P383" s="84"/>
      <c r="Q383" s="84"/>
      <c r="R383" s="84"/>
      <c r="S383" s="84"/>
      <c r="T383" s="84"/>
      <c r="U383" s="84"/>
      <c r="V383" s="84"/>
      <c r="W383" s="84"/>
      <c r="X383" s="84"/>
      <c r="Y383" s="84"/>
      <c r="Z383" s="84"/>
      <c r="AA383" s="84"/>
      <c r="AB383" s="84"/>
      <c r="AC383" s="84"/>
      <c r="AD383" s="84"/>
      <c r="AE383" s="84"/>
      <c r="AF383" s="84"/>
      <c r="AG383" s="84"/>
      <c r="AH383" s="84"/>
      <c r="AI383" s="84"/>
      <c r="AJ383" s="84"/>
      <c r="AK383" s="84"/>
      <c r="AL383" s="84"/>
      <c r="AM383" s="84"/>
      <c r="AN383" s="84"/>
      <c r="AO383" s="84"/>
      <c r="AP383" s="84"/>
      <c r="AQ383" s="84"/>
      <c r="AR383" s="84"/>
      <c r="AS383" s="84"/>
      <c r="AT383" s="84"/>
      <c r="AU383" s="84"/>
      <c r="AV383" s="84"/>
      <c r="AW383" s="84"/>
      <c r="AX383" s="87">
        <f t="array" ref="AX383">IF(G383=1,SUM((ROW(M0)=ROW(AW383))*(M0+M1_+M2_+M3_+M4_+M5_+M6_+M7_+M8_+M9_+M10_+M11_+M12_+M13_+M14_+M15_+M16_+M17_+M18_+M19_+M20_+M21_+M22_+M23_+M24_+M25_+M26_+M27_+M28_+M29_+M30_+M31_+M32_+M33_+M34_+M35_+M36_+M37_)),0)</f>
        <v>0</v>
      </c>
      <c r="AZ383" s="24" t="str">
        <f t="shared" si="85"/>
        <v/>
      </c>
      <c r="BA383" s="24" t="str">
        <f t="shared" si="86"/>
        <v/>
      </c>
      <c r="BB383" s="24" t="str">
        <f t="shared" si="87"/>
        <v/>
      </c>
      <c r="BC383" s="24" t="str">
        <f>IF(OR(E383="",LEFT(TableCosts[[#This Row],[Calc_N_Typ]],18)="Vynaložené náklady"),"",VLOOKUP(E383,Tab_Parts,2,0))</f>
        <v/>
      </c>
      <c r="BD383" s="24" t="str">
        <f t="shared" si="88"/>
        <v/>
      </c>
      <c r="BE383" s="24">
        <f t="shared" si="89"/>
        <v>0</v>
      </c>
      <c r="BF383" s="72">
        <f>TableCosts[[#This Row],[N_Amount]]*TableCosts[[#This Row],[N_Tariff]]*TableCosts[[#This Row],[N_ItemsCount]]</f>
        <v>0</v>
      </c>
      <c r="BG383" s="72">
        <f>IF(G383=1,IF(TableCosts[[#This Row],[N_Kateg]]="interné práce",TableCosts[[#This Row],[N_Amount]]*8*PAR_SGA_PERHOUR,0),0)</f>
        <v>0</v>
      </c>
      <c r="BH383" s="72">
        <f>SUM(TableCosts[[#This Row],[N_Direct]:[N_SGA]])</f>
        <v>0</v>
      </c>
      <c r="BI383" s="24">
        <f>IF(G383=1,IF(OR(AND(NOT(ISERROR(VLOOKUP(TableCosts[[#This Row],[Calc_N_Typ]],Cis_WorkPositions,1,0))),C383&lt;&gt;"",D383&lt;&gt;"",E383&lt;&gt;""),AND(ISERROR(VLOOKUP(TableCosts[[#This Row],[Calc_N_Typ]],Cis_WorkPositions,1,0)),C383="",D383="",E383&lt;&gt;""),LEFT(TableCosts[[#This Row],[Calc_N_Typ]],18)="Vynaložené náklady"),VLOOKUP(C383&amp;TableCosts[[#This Row],[Calc_N_Typ]],TRAN_STRITEMS_LABEL,VLOOKUP(D383,Tab_Hours,3,0),0),NA()),0)</f>
        <v>0</v>
      </c>
      <c r="BJ383" s="24">
        <f t="shared" si="90"/>
        <v>0</v>
      </c>
      <c r="BK383" s="24" t="str">
        <f t="shared" si="91"/>
        <v/>
      </c>
      <c r="BL383" s="24" t="str">
        <f t="shared" si="92"/>
        <v/>
      </c>
      <c r="BM383" s="24" t="str">
        <f>IF(G383=1,IF(TableCosts[[#This Row],[TransferFrom]]=TableCosts[[#This Row],[TranferTo]],0,1),"")</f>
        <v/>
      </c>
      <c r="BN383" s="24" t="str">
        <f t="shared" si="93"/>
        <v/>
      </c>
      <c r="BO383" s="24">
        <f t="shared" si="94"/>
        <v>0</v>
      </c>
      <c r="BP383" s="24">
        <f t="shared" si="95"/>
        <v>0</v>
      </c>
    </row>
    <row r="384" spans="2:68" s="24" customFormat="1" ht="12.75" x14ac:dyDescent="0.2">
      <c r="B384" s="97"/>
      <c r="C384" s="92"/>
      <c r="D384" s="92"/>
      <c r="E384" s="92"/>
      <c r="F384" s="31" t="str">
        <f>IF(G384=1,IF(ISERROR(TableCosts[[#This Row],[N_Tariff]]),Err_Message1,IF(TableCosts[[#This Row],[N_Tariff]]=0,Err_Message2,VLOOKUP(C384&amp;TableCosts[[#This Row],[Calc_N_Typ]],TRAN_STRITEMS_LABEL,5,FALSE))),"")</f>
        <v/>
      </c>
      <c r="G384" s="31">
        <f t="shared" si="84"/>
        <v>0</v>
      </c>
      <c r="H384" s="31" t="str">
        <f>IF(G384=1,IFERROR(VLOOKUP(F384,Tab_ErrMessage[],2,0),VLOOKUP(C384&amp;TableCosts[[#This Row],[Calc_N_Typ]],TRAN_STRITEMS_LABEL,4,FALSE)),"")</f>
        <v/>
      </c>
      <c r="I384" s="94"/>
      <c r="J384" s="94"/>
      <c r="K384" s="94"/>
      <c r="L384" s="84"/>
      <c r="M384" s="84"/>
      <c r="N384" s="84"/>
      <c r="O384" s="84"/>
      <c r="P384" s="84"/>
      <c r="Q384" s="84"/>
      <c r="R384" s="84"/>
      <c r="S384" s="84"/>
      <c r="T384" s="84"/>
      <c r="U384" s="84"/>
      <c r="V384" s="84"/>
      <c r="W384" s="84"/>
      <c r="X384" s="84"/>
      <c r="Y384" s="84"/>
      <c r="Z384" s="84"/>
      <c r="AA384" s="84"/>
      <c r="AB384" s="84"/>
      <c r="AC384" s="84"/>
      <c r="AD384" s="84"/>
      <c r="AE384" s="84"/>
      <c r="AF384" s="84"/>
      <c r="AG384" s="84"/>
      <c r="AH384" s="84"/>
      <c r="AI384" s="84"/>
      <c r="AJ384" s="84"/>
      <c r="AK384" s="84"/>
      <c r="AL384" s="84"/>
      <c r="AM384" s="84"/>
      <c r="AN384" s="84"/>
      <c r="AO384" s="84"/>
      <c r="AP384" s="84"/>
      <c r="AQ384" s="84"/>
      <c r="AR384" s="84"/>
      <c r="AS384" s="84"/>
      <c r="AT384" s="84"/>
      <c r="AU384" s="84"/>
      <c r="AV384" s="84"/>
      <c r="AW384" s="84"/>
      <c r="AX384" s="87">
        <f t="array" ref="AX384">IF(G384=1,SUM((ROW(M0)=ROW(AW384))*(M0+M1_+M2_+M3_+M4_+M5_+M6_+M7_+M8_+M9_+M10_+M11_+M12_+M13_+M14_+M15_+M16_+M17_+M18_+M19_+M20_+M21_+M22_+M23_+M24_+M25_+M26_+M27_+M28_+M29_+M30_+M31_+M32_+M33_+M34_+M35_+M36_+M37_)),0)</f>
        <v>0</v>
      </c>
      <c r="AZ384" s="24" t="str">
        <f t="shared" si="85"/>
        <v/>
      </c>
      <c r="BA384" s="24" t="str">
        <f t="shared" si="86"/>
        <v/>
      </c>
      <c r="BB384" s="24" t="str">
        <f t="shared" si="87"/>
        <v/>
      </c>
      <c r="BC384" s="24" t="str">
        <f>IF(OR(E384="",LEFT(TableCosts[[#This Row],[Calc_N_Typ]],18)="Vynaložené náklady"),"",VLOOKUP(E384,Tab_Parts,2,0))</f>
        <v/>
      </c>
      <c r="BD384" s="24" t="str">
        <f t="shared" si="88"/>
        <v/>
      </c>
      <c r="BE384" s="24">
        <f t="shared" si="89"/>
        <v>0</v>
      </c>
      <c r="BF384" s="72">
        <f>TableCosts[[#This Row],[N_Amount]]*TableCosts[[#This Row],[N_Tariff]]*TableCosts[[#This Row],[N_ItemsCount]]</f>
        <v>0</v>
      </c>
      <c r="BG384" s="72">
        <f>IF(G384=1,IF(TableCosts[[#This Row],[N_Kateg]]="interné práce",TableCosts[[#This Row],[N_Amount]]*8*PAR_SGA_PERHOUR,0),0)</f>
        <v>0</v>
      </c>
      <c r="BH384" s="72">
        <f>SUM(TableCosts[[#This Row],[N_Direct]:[N_SGA]])</f>
        <v>0</v>
      </c>
      <c r="BI384" s="24">
        <f>IF(G384=1,IF(OR(AND(NOT(ISERROR(VLOOKUP(TableCosts[[#This Row],[Calc_N_Typ]],Cis_WorkPositions,1,0))),C384&lt;&gt;"",D384&lt;&gt;"",E384&lt;&gt;""),AND(ISERROR(VLOOKUP(TableCosts[[#This Row],[Calc_N_Typ]],Cis_WorkPositions,1,0)),C384="",D384="",E384&lt;&gt;""),LEFT(TableCosts[[#This Row],[Calc_N_Typ]],18)="Vynaložené náklady"),VLOOKUP(C384&amp;TableCosts[[#This Row],[Calc_N_Typ]],TRAN_STRITEMS_LABEL,VLOOKUP(D384,Tab_Hours,3,0),0),NA()),0)</f>
        <v>0</v>
      </c>
      <c r="BJ384" s="24">
        <f t="shared" si="90"/>
        <v>0</v>
      </c>
      <c r="BK384" s="24" t="str">
        <f t="shared" si="91"/>
        <v/>
      </c>
      <c r="BL384" s="24" t="str">
        <f t="shared" si="92"/>
        <v/>
      </c>
      <c r="BM384" s="24" t="str">
        <f>IF(G384=1,IF(TableCosts[[#This Row],[TransferFrom]]=TableCosts[[#This Row],[TranferTo]],0,1),"")</f>
        <v/>
      </c>
      <c r="BN384" s="24" t="str">
        <f t="shared" si="93"/>
        <v/>
      </c>
      <c r="BO384" s="24">
        <f t="shared" si="94"/>
        <v>0</v>
      </c>
      <c r="BP384" s="24">
        <f t="shared" si="95"/>
        <v>0</v>
      </c>
    </row>
    <row r="385" spans="2:68" s="24" customFormat="1" ht="12.75" x14ac:dyDescent="0.2">
      <c r="B385" s="97"/>
      <c r="C385" s="92"/>
      <c r="D385" s="92"/>
      <c r="E385" s="92"/>
      <c r="F385" s="31" t="str">
        <f>IF(G385=1,IF(ISERROR(TableCosts[[#This Row],[N_Tariff]]),Err_Message1,IF(TableCosts[[#This Row],[N_Tariff]]=0,Err_Message2,VLOOKUP(C385&amp;TableCosts[[#This Row],[Calc_N_Typ]],TRAN_STRITEMS_LABEL,5,FALSE))),"")</f>
        <v/>
      </c>
      <c r="G385" s="31">
        <f t="shared" si="84"/>
        <v>0</v>
      </c>
      <c r="H385" s="31" t="str">
        <f>IF(G385=1,IFERROR(VLOOKUP(F385,Tab_ErrMessage[],2,0),VLOOKUP(C385&amp;TableCosts[[#This Row],[Calc_N_Typ]],TRAN_STRITEMS_LABEL,4,FALSE)),"")</f>
        <v/>
      </c>
      <c r="I385" s="94"/>
      <c r="J385" s="94"/>
      <c r="K385" s="94"/>
      <c r="L385" s="84"/>
      <c r="M385" s="84"/>
      <c r="N385" s="84"/>
      <c r="O385" s="84"/>
      <c r="P385" s="84"/>
      <c r="Q385" s="84"/>
      <c r="R385" s="84"/>
      <c r="S385" s="84"/>
      <c r="T385" s="84"/>
      <c r="U385" s="84"/>
      <c r="V385" s="84"/>
      <c r="W385" s="84"/>
      <c r="X385" s="84"/>
      <c r="Y385" s="84"/>
      <c r="Z385" s="84"/>
      <c r="AA385" s="84"/>
      <c r="AB385" s="84"/>
      <c r="AC385" s="84"/>
      <c r="AD385" s="84"/>
      <c r="AE385" s="84"/>
      <c r="AF385" s="84"/>
      <c r="AG385" s="84"/>
      <c r="AH385" s="84"/>
      <c r="AI385" s="84"/>
      <c r="AJ385" s="84"/>
      <c r="AK385" s="84"/>
      <c r="AL385" s="84"/>
      <c r="AM385" s="84"/>
      <c r="AN385" s="84"/>
      <c r="AO385" s="84"/>
      <c r="AP385" s="84"/>
      <c r="AQ385" s="84"/>
      <c r="AR385" s="84"/>
      <c r="AS385" s="84"/>
      <c r="AT385" s="84"/>
      <c r="AU385" s="84"/>
      <c r="AV385" s="84"/>
      <c r="AW385" s="84"/>
      <c r="AX385" s="87">
        <f t="array" ref="AX385">IF(G385=1,SUM((ROW(M0)=ROW(AW385))*(M0+M1_+M2_+M3_+M4_+M5_+M6_+M7_+M8_+M9_+M10_+M11_+M12_+M13_+M14_+M15_+M16_+M17_+M18_+M19_+M20_+M21_+M22_+M23_+M24_+M25_+M26_+M27_+M28_+M29_+M30_+M31_+M32_+M33_+M34_+M35_+M36_+M37_)),0)</f>
        <v>0</v>
      </c>
      <c r="AZ385" s="24" t="str">
        <f t="shared" si="85"/>
        <v/>
      </c>
      <c r="BA385" s="24" t="str">
        <f t="shared" si="86"/>
        <v/>
      </c>
      <c r="BB385" s="24" t="str">
        <f t="shared" si="87"/>
        <v/>
      </c>
      <c r="BC385" s="24" t="str">
        <f>IF(OR(E385="",LEFT(TableCosts[[#This Row],[Calc_N_Typ]],18)="Vynaložené náklady"),"",VLOOKUP(E385,Tab_Parts,2,0))</f>
        <v/>
      </c>
      <c r="BD385" s="24" t="str">
        <f t="shared" si="88"/>
        <v/>
      </c>
      <c r="BE385" s="24">
        <f t="shared" si="89"/>
        <v>0</v>
      </c>
      <c r="BF385" s="72">
        <f>TableCosts[[#This Row],[N_Amount]]*TableCosts[[#This Row],[N_Tariff]]*TableCosts[[#This Row],[N_ItemsCount]]</f>
        <v>0</v>
      </c>
      <c r="BG385" s="72">
        <f>IF(G385=1,IF(TableCosts[[#This Row],[N_Kateg]]="interné práce",TableCosts[[#This Row],[N_Amount]]*8*PAR_SGA_PERHOUR,0),0)</f>
        <v>0</v>
      </c>
      <c r="BH385" s="72">
        <f>SUM(TableCosts[[#This Row],[N_Direct]:[N_SGA]])</f>
        <v>0</v>
      </c>
      <c r="BI385" s="24">
        <f>IF(G385=1,IF(OR(AND(NOT(ISERROR(VLOOKUP(TableCosts[[#This Row],[Calc_N_Typ]],Cis_WorkPositions,1,0))),C385&lt;&gt;"",D385&lt;&gt;"",E385&lt;&gt;""),AND(ISERROR(VLOOKUP(TableCosts[[#This Row],[Calc_N_Typ]],Cis_WorkPositions,1,0)),C385="",D385="",E385&lt;&gt;""),LEFT(TableCosts[[#This Row],[Calc_N_Typ]],18)="Vynaložené náklady"),VLOOKUP(C385&amp;TableCosts[[#This Row],[Calc_N_Typ]],TRAN_STRITEMS_LABEL,VLOOKUP(D385,Tab_Hours,3,0),0),NA()),0)</f>
        <v>0</v>
      </c>
      <c r="BJ385" s="24">
        <f t="shared" si="90"/>
        <v>0</v>
      </c>
      <c r="BK385" s="24" t="str">
        <f t="shared" si="91"/>
        <v/>
      </c>
      <c r="BL385" s="24" t="str">
        <f t="shared" si="92"/>
        <v/>
      </c>
      <c r="BM385" s="24" t="str">
        <f>IF(G385=1,IF(TableCosts[[#This Row],[TransferFrom]]=TableCosts[[#This Row],[TranferTo]],0,1),"")</f>
        <v/>
      </c>
      <c r="BN385" s="24" t="str">
        <f t="shared" si="93"/>
        <v/>
      </c>
      <c r="BO385" s="24">
        <f t="shared" si="94"/>
        <v>0</v>
      </c>
      <c r="BP385" s="24">
        <f t="shared" si="95"/>
        <v>0</v>
      </c>
    </row>
    <row r="386" spans="2:68" s="24" customFormat="1" ht="12.75" x14ac:dyDescent="0.2">
      <c r="B386" s="97"/>
      <c r="C386" s="92"/>
      <c r="D386" s="92"/>
      <c r="E386" s="92"/>
      <c r="F386" s="31" t="str">
        <f>IF(G386=1,IF(ISERROR(TableCosts[[#This Row],[N_Tariff]]),Err_Message1,IF(TableCosts[[#This Row],[N_Tariff]]=0,Err_Message2,VLOOKUP(C386&amp;TableCosts[[#This Row],[Calc_N_Typ]],TRAN_STRITEMS_LABEL,5,FALSE))),"")</f>
        <v/>
      </c>
      <c r="G386" s="31">
        <f t="shared" si="84"/>
        <v>0</v>
      </c>
      <c r="H386" s="31" t="str">
        <f>IF(G386=1,IFERROR(VLOOKUP(F386,Tab_ErrMessage[],2,0),VLOOKUP(C386&amp;TableCosts[[#This Row],[Calc_N_Typ]],TRAN_STRITEMS_LABEL,4,FALSE)),"")</f>
        <v/>
      </c>
      <c r="I386" s="94"/>
      <c r="J386" s="94"/>
      <c r="K386" s="94"/>
      <c r="L386" s="84"/>
      <c r="M386" s="84"/>
      <c r="N386" s="84"/>
      <c r="O386" s="84"/>
      <c r="P386" s="84"/>
      <c r="Q386" s="84"/>
      <c r="R386" s="84"/>
      <c r="S386" s="84"/>
      <c r="T386" s="84"/>
      <c r="U386" s="84"/>
      <c r="V386" s="84"/>
      <c r="W386" s="84"/>
      <c r="X386" s="84"/>
      <c r="Y386" s="84"/>
      <c r="Z386" s="84"/>
      <c r="AA386" s="84"/>
      <c r="AB386" s="84"/>
      <c r="AC386" s="84"/>
      <c r="AD386" s="84"/>
      <c r="AE386" s="84"/>
      <c r="AF386" s="84"/>
      <c r="AG386" s="84"/>
      <c r="AH386" s="84"/>
      <c r="AI386" s="84"/>
      <c r="AJ386" s="84"/>
      <c r="AK386" s="84"/>
      <c r="AL386" s="84"/>
      <c r="AM386" s="84"/>
      <c r="AN386" s="84"/>
      <c r="AO386" s="84"/>
      <c r="AP386" s="84"/>
      <c r="AQ386" s="84"/>
      <c r="AR386" s="84"/>
      <c r="AS386" s="84"/>
      <c r="AT386" s="84"/>
      <c r="AU386" s="84"/>
      <c r="AV386" s="84"/>
      <c r="AW386" s="84"/>
      <c r="AX386" s="87">
        <f t="array" ref="AX386">IF(G386=1,SUM((ROW(M0)=ROW(AW386))*(M0+M1_+M2_+M3_+M4_+M5_+M6_+M7_+M8_+M9_+M10_+M11_+M12_+M13_+M14_+M15_+M16_+M17_+M18_+M19_+M20_+M21_+M22_+M23_+M24_+M25_+M26_+M27_+M28_+M29_+M30_+M31_+M32_+M33_+M34_+M35_+M36_+M37_)),0)</f>
        <v>0</v>
      </c>
      <c r="AZ386" s="24" t="str">
        <f t="shared" si="85"/>
        <v/>
      </c>
      <c r="BA386" s="24" t="str">
        <f t="shared" si="86"/>
        <v/>
      </c>
      <c r="BB386" s="24" t="str">
        <f t="shared" si="87"/>
        <v/>
      </c>
      <c r="BC386" s="24" t="str">
        <f>IF(OR(E386="",LEFT(TableCosts[[#This Row],[Calc_N_Typ]],18)="Vynaložené náklady"),"",VLOOKUP(E386,Tab_Parts,2,0))</f>
        <v/>
      </c>
      <c r="BD386" s="24" t="str">
        <f t="shared" si="88"/>
        <v/>
      </c>
      <c r="BE386" s="24">
        <f t="shared" si="89"/>
        <v>0</v>
      </c>
      <c r="BF386" s="72">
        <f>TableCosts[[#This Row],[N_Amount]]*TableCosts[[#This Row],[N_Tariff]]*TableCosts[[#This Row],[N_ItemsCount]]</f>
        <v>0</v>
      </c>
      <c r="BG386" s="72">
        <f>IF(G386=1,IF(TableCosts[[#This Row],[N_Kateg]]="interné práce",TableCosts[[#This Row],[N_Amount]]*8*PAR_SGA_PERHOUR,0),0)</f>
        <v>0</v>
      </c>
      <c r="BH386" s="72">
        <f>SUM(TableCosts[[#This Row],[N_Direct]:[N_SGA]])</f>
        <v>0</v>
      </c>
      <c r="BI386" s="24">
        <f>IF(G386=1,IF(OR(AND(NOT(ISERROR(VLOOKUP(TableCosts[[#This Row],[Calc_N_Typ]],Cis_WorkPositions,1,0))),C386&lt;&gt;"",D386&lt;&gt;"",E386&lt;&gt;""),AND(ISERROR(VLOOKUP(TableCosts[[#This Row],[Calc_N_Typ]],Cis_WorkPositions,1,0)),C386="",D386="",E386&lt;&gt;""),LEFT(TableCosts[[#This Row],[Calc_N_Typ]],18)="Vynaložené náklady"),VLOOKUP(C386&amp;TableCosts[[#This Row],[Calc_N_Typ]],TRAN_STRITEMS_LABEL,VLOOKUP(D386,Tab_Hours,3,0),0),NA()),0)</f>
        <v>0</v>
      </c>
      <c r="BJ386" s="24">
        <f t="shared" si="90"/>
        <v>0</v>
      </c>
      <c r="BK386" s="24" t="str">
        <f t="shared" si="91"/>
        <v/>
      </c>
      <c r="BL386" s="24" t="str">
        <f t="shared" si="92"/>
        <v/>
      </c>
      <c r="BM386" s="24" t="str">
        <f>IF(G386=1,IF(TableCosts[[#This Row],[TransferFrom]]=TableCosts[[#This Row],[TranferTo]],0,1),"")</f>
        <v/>
      </c>
      <c r="BN386" s="24" t="str">
        <f t="shared" si="93"/>
        <v/>
      </c>
      <c r="BO386" s="24">
        <f t="shared" si="94"/>
        <v>0</v>
      </c>
      <c r="BP386" s="24">
        <f t="shared" si="95"/>
        <v>0</v>
      </c>
    </row>
    <row r="387" spans="2:68" s="24" customFormat="1" ht="12.75" x14ac:dyDescent="0.2">
      <c r="B387" s="97"/>
      <c r="C387" s="92"/>
      <c r="D387" s="92"/>
      <c r="E387" s="92"/>
      <c r="F387" s="31" t="str">
        <f>IF(G387=1,IF(ISERROR(TableCosts[[#This Row],[N_Tariff]]),Err_Message1,IF(TableCosts[[#This Row],[N_Tariff]]=0,Err_Message2,VLOOKUP(C387&amp;TableCosts[[#This Row],[Calc_N_Typ]],TRAN_STRITEMS_LABEL,5,FALSE))),"")</f>
        <v/>
      </c>
      <c r="G387" s="31">
        <f t="shared" si="84"/>
        <v>0</v>
      </c>
      <c r="H387" s="31" t="str">
        <f>IF(G387=1,IFERROR(VLOOKUP(F387,Tab_ErrMessage[],2,0),VLOOKUP(C387&amp;TableCosts[[#This Row],[Calc_N_Typ]],TRAN_STRITEMS_LABEL,4,FALSE)),"")</f>
        <v/>
      </c>
      <c r="I387" s="94"/>
      <c r="J387" s="94"/>
      <c r="K387" s="94"/>
      <c r="L387" s="84"/>
      <c r="M387" s="84"/>
      <c r="N387" s="84"/>
      <c r="O387" s="84"/>
      <c r="P387" s="84"/>
      <c r="Q387" s="84"/>
      <c r="R387" s="84"/>
      <c r="S387" s="84"/>
      <c r="T387" s="84"/>
      <c r="U387" s="84"/>
      <c r="V387" s="84"/>
      <c r="W387" s="84"/>
      <c r="X387" s="84"/>
      <c r="Y387" s="84"/>
      <c r="Z387" s="84"/>
      <c r="AA387" s="84"/>
      <c r="AB387" s="84"/>
      <c r="AC387" s="84"/>
      <c r="AD387" s="84"/>
      <c r="AE387" s="84"/>
      <c r="AF387" s="84"/>
      <c r="AG387" s="84"/>
      <c r="AH387" s="84"/>
      <c r="AI387" s="84"/>
      <c r="AJ387" s="84"/>
      <c r="AK387" s="84"/>
      <c r="AL387" s="84"/>
      <c r="AM387" s="84"/>
      <c r="AN387" s="84"/>
      <c r="AO387" s="84"/>
      <c r="AP387" s="84"/>
      <c r="AQ387" s="84"/>
      <c r="AR387" s="84"/>
      <c r="AS387" s="84"/>
      <c r="AT387" s="84"/>
      <c r="AU387" s="84"/>
      <c r="AV387" s="84"/>
      <c r="AW387" s="84"/>
      <c r="AX387" s="87">
        <f t="array" ref="AX387">IF(G387=1,SUM((ROW(M0)=ROW(AW387))*(M0+M1_+M2_+M3_+M4_+M5_+M6_+M7_+M8_+M9_+M10_+M11_+M12_+M13_+M14_+M15_+M16_+M17_+M18_+M19_+M20_+M21_+M22_+M23_+M24_+M25_+M26_+M27_+M28_+M29_+M30_+M31_+M32_+M33_+M34_+M35_+M36_+M37_)),0)</f>
        <v>0</v>
      </c>
      <c r="AZ387" s="24" t="str">
        <f t="shared" si="85"/>
        <v/>
      </c>
      <c r="BA387" s="24" t="str">
        <f t="shared" si="86"/>
        <v/>
      </c>
      <c r="BB387" s="24" t="str">
        <f t="shared" si="87"/>
        <v/>
      </c>
      <c r="BC387" s="24" t="str">
        <f>IF(OR(E387="",LEFT(TableCosts[[#This Row],[Calc_N_Typ]],18)="Vynaložené náklady"),"",VLOOKUP(E387,Tab_Parts,2,0))</f>
        <v/>
      </c>
      <c r="BD387" s="24" t="str">
        <f t="shared" si="88"/>
        <v/>
      </c>
      <c r="BE387" s="24">
        <f t="shared" si="89"/>
        <v>0</v>
      </c>
      <c r="BF387" s="72">
        <f>TableCosts[[#This Row],[N_Amount]]*TableCosts[[#This Row],[N_Tariff]]*TableCosts[[#This Row],[N_ItemsCount]]</f>
        <v>0</v>
      </c>
      <c r="BG387" s="72">
        <f>IF(G387=1,IF(TableCosts[[#This Row],[N_Kateg]]="interné práce",TableCosts[[#This Row],[N_Amount]]*8*PAR_SGA_PERHOUR,0),0)</f>
        <v>0</v>
      </c>
      <c r="BH387" s="72">
        <f>SUM(TableCosts[[#This Row],[N_Direct]:[N_SGA]])</f>
        <v>0</v>
      </c>
      <c r="BI387" s="24">
        <f>IF(G387=1,IF(OR(AND(NOT(ISERROR(VLOOKUP(TableCosts[[#This Row],[Calc_N_Typ]],Cis_WorkPositions,1,0))),C387&lt;&gt;"",D387&lt;&gt;"",E387&lt;&gt;""),AND(ISERROR(VLOOKUP(TableCosts[[#This Row],[Calc_N_Typ]],Cis_WorkPositions,1,0)),C387="",D387="",E387&lt;&gt;""),LEFT(TableCosts[[#This Row],[Calc_N_Typ]],18)="Vynaložené náklady"),VLOOKUP(C387&amp;TableCosts[[#This Row],[Calc_N_Typ]],TRAN_STRITEMS_LABEL,VLOOKUP(D387,Tab_Hours,3,0),0),NA()),0)</f>
        <v>0</v>
      </c>
      <c r="BJ387" s="24">
        <f t="shared" si="90"/>
        <v>0</v>
      </c>
      <c r="BK387" s="24" t="str">
        <f t="shared" si="91"/>
        <v/>
      </c>
      <c r="BL387" s="24" t="str">
        <f t="shared" si="92"/>
        <v/>
      </c>
      <c r="BM387" s="24" t="str">
        <f>IF(G387=1,IF(TableCosts[[#This Row],[TransferFrom]]=TableCosts[[#This Row],[TranferTo]],0,1),"")</f>
        <v/>
      </c>
      <c r="BN387" s="24" t="str">
        <f t="shared" si="93"/>
        <v/>
      </c>
      <c r="BO387" s="24">
        <f t="shared" si="94"/>
        <v>0</v>
      </c>
      <c r="BP387" s="24">
        <f t="shared" si="95"/>
        <v>0</v>
      </c>
    </row>
    <row r="388" spans="2:68" s="24" customFormat="1" ht="12.75" x14ac:dyDescent="0.2">
      <c r="B388" s="97"/>
      <c r="C388" s="92"/>
      <c r="D388" s="92"/>
      <c r="E388" s="92"/>
      <c r="F388" s="31" t="str">
        <f>IF(G388=1,IF(ISERROR(TableCosts[[#This Row],[N_Tariff]]),Err_Message1,IF(TableCosts[[#This Row],[N_Tariff]]=0,Err_Message2,VLOOKUP(C388&amp;TableCosts[[#This Row],[Calc_N_Typ]],TRAN_STRITEMS_LABEL,5,FALSE))),"")</f>
        <v/>
      </c>
      <c r="G388" s="31">
        <f t="shared" si="84"/>
        <v>0</v>
      </c>
      <c r="H388" s="31" t="str">
        <f>IF(G388=1,IFERROR(VLOOKUP(F388,Tab_ErrMessage[],2,0),VLOOKUP(C388&amp;TableCosts[[#This Row],[Calc_N_Typ]],TRAN_STRITEMS_LABEL,4,FALSE)),"")</f>
        <v/>
      </c>
      <c r="I388" s="94"/>
      <c r="J388" s="94"/>
      <c r="K388" s="94"/>
      <c r="L388" s="84"/>
      <c r="M388" s="84"/>
      <c r="N388" s="84"/>
      <c r="O388" s="84"/>
      <c r="P388" s="84"/>
      <c r="Q388" s="84"/>
      <c r="R388" s="84"/>
      <c r="S388" s="84"/>
      <c r="T388" s="84"/>
      <c r="U388" s="84"/>
      <c r="V388" s="84"/>
      <c r="W388" s="84"/>
      <c r="X388" s="84"/>
      <c r="Y388" s="84"/>
      <c r="Z388" s="84"/>
      <c r="AA388" s="84"/>
      <c r="AB388" s="84"/>
      <c r="AC388" s="84"/>
      <c r="AD388" s="84"/>
      <c r="AE388" s="84"/>
      <c r="AF388" s="84"/>
      <c r="AG388" s="84"/>
      <c r="AH388" s="84"/>
      <c r="AI388" s="84"/>
      <c r="AJ388" s="84"/>
      <c r="AK388" s="84"/>
      <c r="AL388" s="84"/>
      <c r="AM388" s="84"/>
      <c r="AN388" s="84"/>
      <c r="AO388" s="84"/>
      <c r="AP388" s="84"/>
      <c r="AQ388" s="84"/>
      <c r="AR388" s="84"/>
      <c r="AS388" s="84"/>
      <c r="AT388" s="84"/>
      <c r="AU388" s="84"/>
      <c r="AV388" s="84"/>
      <c r="AW388" s="84"/>
      <c r="AX388" s="87">
        <f t="array" ref="AX388">IF(G388=1,SUM((ROW(M0)=ROW(AW388))*(M0+M1_+M2_+M3_+M4_+M5_+M6_+M7_+M8_+M9_+M10_+M11_+M12_+M13_+M14_+M15_+M16_+M17_+M18_+M19_+M20_+M21_+M22_+M23_+M24_+M25_+M26_+M27_+M28_+M29_+M30_+M31_+M32_+M33_+M34_+M35_+M36_+M37_)),0)</f>
        <v>0</v>
      </c>
      <c r="AZ388" s="24" t="str">
        <f t="shared" si="85"/>
        <v/>
      </c>
      <c r="BA388" s="24" t="str">
        <f t="shared" si="86"/>
        <v/>
      </c>
      <c r="BB388" s="24" t="str">
        <f t="shared" si="87"/>
        <v/>
      </c>
      <c r="BC388" s="24" t="str">
        <f>IF(OR(E388="",LEFT(TableCosts[[#This Row],[Calc_N_Typ]],18)="Vynaložené náklady"),"",VLOOKUP(E388,Tab_Parts,2,0))</f>
        <v/>
      </c>
      <c r="BD388" s="24" t="str">
        <f t="shared" si="88"/>
        <v/>
      </c>
      <c r="BE388" s="24">
        <f t="shared" si="89"/>
        <v>0</v>
      </c>
      <c r="BF388" s="72">
        <f>TableCosts[[#This Row],[N_Amount]]*TableCosts[[#This Row],[N_Tariff]]*TableCosts[[#This Row],[N_ItemsCount]]</f>
        <v>0</v>
      </c>
      <c r="BG388" s="72">
        <f>IF(G388=1,IF(TableCosts[[#This Row],[N_Kateg]]="interné práce",TableCosts[[#This Row],[N_Amount]]*8*PAR_SGA_PERHOUR,0),0)</f>
        <v>0</v>
      </c>
      <c r="BH388" s="72">
        <f>SUM(TableCosts[[#This Row],[N_Direct]:[N_SGA]])</f>
        <v>0</v>
      </c>
      <c r="BI388" s="24">
        <f>IF(G388=1,IF(OR(AND(NOT(ISERROR(VLOOKUP(TableCosts[[#This Row],[Calc_N_Typ]],Cis_WorkPositions,1,0))),C388&lt;&gt;"",D388&lt;&gt;"",E388&lt;&gt;""),AND(ISERROR(VLOOKUP(TableCosts[[#This Row],[Calc_N_Typ]],Cis_WorkPositions,1,0)),C388="",D388="",E388&lt;&gt;""),LEFT(TableCosts[[#This Row],[Calc_N_Typ]],18)="Vynaložené náklady"),VLOOKUP(C388&amp;TableCosts[[#This Row],[Calc_N_Typ]],TRAN_STRITEMS_LABEL,VLOOKUP(D388,Tab_Hours,3,0),0),NA()),0)</f>
        <v>0</v>
      </c>
      <c r="BJ388" s="24">
        <f t="shared" si="90"/>
        <v>0</v>
      </c>
      <c r="BK388" s="24" t="str">
        <f t="shared" si="91"/>
        <v/>
      </c>
      <c r="BL388" s="24" t="str">
        <f t="shared" si="92"/>
        <v/>
      </c>
      <c r="BM388" s="24" t="str">
        <f>IF(G388=1,IF(TableCosts[[#This Row],[TransferFrom]]=TableCosts[[#This Row],[TranferTo]],0,1),"")</f>
        <v/>
      </c>
      <c r="BN388" s="24" t="str">
        <f t="shared" si="93"/>
        <v/>
      </c>
      <c r="BO388" s="24">
        <f t="shared" si="94"/>
        <v>0</v>
      </c>
      <c r="BP388" s="24">
        <f t="shared" si="95"/>
        <v>0</v>
      </c>
    </row>
    <row r="389" spans="2:68" s="24" customFormat="1" ht="12.75" x14ac:dyDescent="0.2">
      <c r="B389" s="97"/>
      <c r="C389" s="92"/>
      <c r="D389" s="92"/>
      <c r="E389" s="92"/>
      <c r="F389" s="31" t="str">
        <f>IF(G389=1,IF(ISERROR(TableCosts[[#This Row],[N_Tariff]]),Err_Message1,IF(TableCosts[[#This Row],[N_Tariff]]=0,Err_Message2,VLOOKUP(C389&amp;TableCosts[[#This Row],[Calc_N_Typ]],TRAN_STRITEMS_LABEL,5,FALSE))),"")</f>
        <v/>
      </c>
      <c r="G389" s="31">
        <f t="shared" si="84"/>
        <v>0</v>
      </c>
      <c r="H389" s="31" t="str">
        <f>IF(G389=1,IFERROR(VLOOKUP(F389,Tab_ErrMessage[],2,0),VLOOKUP(C389&amp;TableCosts[[#This Row],[Calc_N_Typ]],TRAN_STRITEMS_LABEL,4,FALSE)),"")</f>
        <v/>
      </c>
      <c r="I389" s="94"/>
      <c r="J389" s="94"/>
      <c r="K389" s="94"/>
      <c r="L389" s="84"/>
      <c r="M389" s="84"/>
      <c r="N389" s="84"/>
      <c r="O389" s="84"/>
      <c r="P389" s="84"/>
      <c r="Q389" s="84"/>
      <c r="R389" s="84"/>
      <c r="S389" s="84"/>
      <c r="T389" s="84"/>
      <c r="U389" s="84"/>
      <c r="V389" s="84"/>
      <c r="W389" s="84"/>
      <c r="X389" s="84"/>
      <c r="Y389" s="84"/>
      <c r="Z389" s="84"/>
      <c r="AA389" s="84"/>
      <c r="AB389" s="84"/>
      <c r="AC389" s="84"/>
      <c r="AD389" s="84"/>
      <c r="AE389" s="84"/>
      <c r="AF389" s="84"/>
      <c r="AG389" s="84"/>
      <c r="AH389" s="84"/>
      <c r="AI389" s="84"/>
      <c r="AJ389" s="84"/>
      <c r="AK389" s="84"/>
      <c r="AL389" s="84"/>
      <c r="AM389" s="84"/>
      <c r="AN389" s="84"/>
      <c r="AO389" s="84"/>
      <c r="AP389" s="84"/>
      <c r="AQ389" s="84"/>
      <c r="AR389" s="84"/>
      <c r="AS389" s="84"/>
      <c r="AT389" s="84"/>
      <c r="AU389" s="84"/>
      <c r="AV389" s="84"/>
      <c r="AW389" s="84"/>
      <c r="AX389" s="87">
        <f t="array" ref="AX389">IF(G389=1,SUM((ROW(M0)=ROW(AW389))*(M0+M1_+M2_+M3_+M4_+M5_+M6_+M7_+M8_+M9_+M10_+M11_+M12_+M13_+M14_+M15_+M16_+M17_+M18_+M19_+M20_+M21_+M22_+M23_+M24_+M25_+M26_+M27_+M28_+M29_+M30_+M31_+M32_+M33_+M34_+M35_+M36_+M37_)),0)</f>
        <v>0</v>
      </c>
      <c r="AZ389" s="24" t="str">
        <f t="shared" si="85"/>
        <v/>
      </c>
      <c r="BA389" s="24" t="str">
        <f t="shared" si="86"/>
        <v/>
      </c>
      <c r="BB389" s="24" t="str">
        <f t="shared" si="87"/>
        <v/>
      </c>
      <c r="BC389" s="24" t="str">
        <f>IF(OR(E389="",LEFT(TableCosts[[#This Row],[Calc_N_Typ]],18)="Vynaložené náklady"),"",VLOOKUP(E389,Tab_Parts,2,0))</f>
        <v/>
      </c>
      <c r="BD389" s="24" t="str">
        <f t="shared" si="88"/>
        <v/>
      </c>
      <c r="BE389" s="24">
        <f t="shared" si="89"/>
        <v>0</v>
      </c>
      <c r="BF389" s="72">
        <f>TableCosts[[#This Row],[N_Amount]]*TableCosts[[#This Row],[N_Tariff]]*TableCosts[[#This Row],[N_ItemsCount]]</f>
        <v>0</v>
      </c>
      <c r="BG389" s="72">
        <f>IF(G389=1,IF(TableCosts[[#This Row],[N_Kateg]]="interné práce",TableCosts[[#This Row],[N_Amount]]*8*PAR_SGA_PERHOUR,0),0)</f>
        <v>0</v>
      </c>
      <c r="BH389" s="72">
        <f>SUM(TableCosts[[#This Row],[N_Direct]:[N_SGA]])</f>
        <v>0</v>
      </c>
      <c r="BI389" s="24">
        <f>IF(G389=1,IF(OR(AND(NOT(ISERROR(VLOOKUP(TableCosts[[#This Row],[Calc_N_Typ]],Cis_WorkPositions,1,0))),C389&lt;&gt;"",D389&lt;&gt;"",E389&lt;&gt;""),AND(ISERROR(VLOOKUP(TableCosts[[#This Row],[Calc_N_Typ]],Cis_WorkPositions,1,0)),C389="",D389="",E389&lt;&gt;""),LEFT(TableCosts[[#This Row],[Calc_N_Typ]],18)="Vynaložené náklady"),VLOOKUP(C389&amp;TableCosts[[#This Row],[Calc_N_Typ]],TRAN_STRITEMS_LABEL,VLOOKUP(D389,Tab_Hours,3,0),0),NA()),0)</f>
        <v>0</v>
      </c>
      <c r="BJ389" s="24">
        <f t="shared" si="90"/>
        <v>0</v>
      </c>
      <c r="BK389" s="24" t="str">
        <f t="shared" si="91"/>
        <v/>
      </c>
      <c r="BL389" s="24" t="str">
        <f t="shared" si="92"/>
        <v/>
      </c>
      <c r="BM389" s="24" t="str">
        <f>IF(G389=1,IF(TableCosts[[#This Row],[TransferFrom]]=TableCosts[[#This Row],[TranferTo]],0,1),"")</f>
        <v/>
      </c>
      <c r="BN389" s="24" t="str">
        <f t="shared" si="93"/>
        <v/>
      </c>
      <c r="BO389" s="24">
        <f t="shared" si="94"/>
        <v>0</v>
      </c>
      <c r="BP389" s="24">
        <f t="shared" si="95"/>
        <v>0</v>
      </c>
    </row>
    <row r="390" spans="2:68" s="24" customFormat="1" ht="12.75" x14ac:dyDescent="0.2">
      <c r="B390" s="97"/>
      <c r="C390" s="92"/>
      <c r="D390" s="92"/>
      <c r="E390" s="92"/>
      <c r="F390" s="31" t="str">
        <f>IF(G390=1,IF(ISERROR(TableCosts[[#This Row],[N_Tariff]]),Err_Message1,IF(TableCosts[[#This Row],[N_Tariff]]=0,Err_Message2,VLOOKUP(C390&amp;TableCosts[[#This Row],[Calc_N_Typ]],TRAN_STRITEMS_LABEL,5,FALSE))),"")</f>
        <v/>
      </c>
      <c r="G390" s="31">
        <f t="shared" si="84"/>
        <v>0</v>
      </c>
      <c r="H390" s="31" t="str">
        <f>IF(G390=1,IFERROR(VLOOKUP(F390,Tab_ErrMessage[],2,0),VLOOKUP(C390&amp;TableCosts[[#This Row],[Calc_N_Typ]],TRAN_STRITEMS_LABEL,4,FALSE)),"")</f>
        <v/>
      </c>
      <c r="I390" s="94"/>
      <c r="J390" s="94"/>
      <c r="K390" s="94"/>
      <c r="L390" s="84"/>
      <c r="M390" s="84"/>
      <c r="N390" s="84"/>
      <c r="O390" s="84"/>
      <c r="P390" s="84"/>
      <c r="Q390" s="84"/>
      <c r="R390" s="84"/>
      <c r="S390" s="84"/>
      <c r="T390" s="84"/>
      <c r="U390" s="84"/>
      <c r="V390" s="84"/>
      <c r="W390" s="84"/>
      <c r="X390" s="84"/>
      <c r="Y390" s="84"/>
      <c r="Z390" s="84"/>
      <c r="AA390" s="84"/>
      <c r="AB390" s="84"/>
      <c r="AC390" s="84"/>
      <c r="AD390" s="84"/>
      <c r="AE390" s="84"/>
      <c r="AF390" s="84"/>
      <c r="AG390" s="84"/>
      <c r="AH390" s="84"/>
      <c r="AI390" s="84"/>
      <c r="AJ390" s="84"/>
      <c r="AK390" s="84"/>
      <c r="AL390" s="84"/>
      <c r="AM390" s="84"/>
      <c r="AN390" s="84"/>
      <c r="AO390" s="84"/>
      <c r="AP390" s="84"/>
      <c r="AQ390" s="84"/>
      <c r="AR390" s="84"/>
      <c r="AS390" s="84"/>
      <c r="AT390" s="84"/>
      <c r="AU390" s="84"/>
      <c r="AV390" s="84"/>
      <c r="AW390" s="84"/>
      <c r="AX390" s="87">
        <f t="array" ref="AX390">IF(G390=1,SUM((ROW(M0)=ROW(AW390))*(M0+M1_+M2_+M3_+M4_+M5_+M6_+M7_+M8_+M9_+M10_+M11_+M12_+M13_+M14_+M15_+M16_+M17_+M18_+M19_+M20_+M21_+M22_+M23_+M24_+M25_+M26_+M27_+M28_+M29_+M30_+M31_+M32_+M33_+M34_+M35_+M36_+M37_)),0)</f>
        <v>0</v>
      </c>
      <c r="AZ390" s="24" t="str">
        <f t="shared" si="85"/>
        <v/>
      </c>
      <c r="BA390" s="24" t="str">
        <f t="shared" si="86"/>
        <v/>
      </c>
      <c r="BB390" s="24" t="str">
        <f t="shared" si="87"/>
        <v/>
      </c>
      <c r="BC390" s="24" t="str">
        <f>IF(OR(E390="",LEFT(TableCosts[[#This Row],[Calc_N_Typ]],18)="Vynaložené náklady"),"",VLOOKUP(E390,Tab_Parts,2,0))</f>
        <v/>
      </c>
      <c r="BD390" s="24" t="str">
        <f t="shared" si="88"/>
        <v/>
      </c>
      <c r="BE390" s="24">
        <f t="shared" si="89"/>
        <v>0</v>
      </c>
      <c r="BF390" s="72">
        <f>TableCosts[[#This Row],[N_Amount]]*TableCosts[[#This Row],[N_Tariff]]*TableCosts[[#This Row],[N_ItemsCount]]</f>
        <v>0</v>
      </c>
      <c r="BG390" s="72">
        <f>IF(G390=1,IF(TableCosts[[#This Row],[N_Kateg]]="interné práce",TableCosts[[#This Row],[N_Amount]]*8*PAR_SGA_PERHOUR,0),0)</f>
        <v>0</v>
      </c>
      <c r="BH390" s="72">
        <f>SUM(TableCosts[[#This Row],[N_Direct]:[N_SGA]])</f>
        <v>0</v>
      </c>
      <c r="BI390" s="24">
        <f>IF(G390=1,IF(OR(AND(NOT(ISERROR(VLOOKUP(TableCosts[[#This Row],[Calc_N_Typ]],Cis_WorkPositions,1,0))),C390&lt;&gt;"",D390&lt;&gt;"",E390&lt;&gt;""),AND(ISERROR(VLOOKUP(TableCosts[[#This Row],[Calc_N_Typ]],Cis_WorkPositions,1,0)),C390="",D390="",E390&lt;&gt;""),LEFT(TableCosts[[#This Row],[Calc_N_Typ]],18)="Vynaložené náklady"),VLOOKUP(C390&amp;TableCosts[[#This Row],[Calc_N_Typ]],TRAN_STRITEMS_LABEL,VLOOKUP(D390,Tab_Hours,3,0),0),NA()),0)</f>
        <v>0</v>
      </c>
      <c r="BJ390" s="24">
        <f t="shared" si="90"/>
        <v>0</v>
      </c>
      <c r="BK390" s="24" t="str">
        <f t="shared" si="91"/>
        <v/>
      </c>
      <c r="BL390" s="24" t="str">
        <f t="shared" si="92"/>
        <v/>
      </c>
      <c r="BM390" s="24" t="str">
        <f>IF(G390=1,IF(TableCosts[[#This Row],[TransferFrom]]=TableCosts[[#This Row],[TranferTo]],0,1),"")</f>
        <v/>
      </c>
      <c r="BN390" s="24" t="str">
        <f t="shared" si="93"/>
        <v/>
      </c>
      <c r="BO390" s="24">
        <f t="shared" si="94"/>
        <v>0</v>
      </c>
      <c r="BP390" s="24">
        <f t="shared" si="95"/>
        <v>0</v>
      </c>
    </row>
    <row r="391" spans="2:68" s="24" customFormat="1" ht="12.75" x14ac:dyDescent="0.2">
      <c r="B391" s="97"/>
      <c r="C391" s="92"/>
      <c r="D391" s="92"/>
      <c r="E391" s="92"/>
      <c r="F391" s="31" t="str">
        <f>IF(G391=1,IF(ISERROR(TableCosts[[#This Row],[N_Tariff]]),Err_Message1,IF(TableCosts[[#This Row],[N_Tariff]]=0,Err_Message2,VLOOKUP(C391&amp;TableCosts[[#This Row],[Calc_N_Typ]],TRAN_STRITEMS_LABEL,5,FALSE))),"")</f>
        <v/>
      </c>
      <c r="G391" s="31">
        <f t="shared" si="84"/>
        <v>0</v>
      </c>
      <c r="H391" s="31" t="str">
        <f>IF(G391=1,IFERROR(VLOOKUP(F391,Tab_ErrMessage[],2,0),VLOOKUP(C391&amp;TableCosts[[#This Row],[Calc_N_Typ]],TRAN_STRITEMS_LABEL,4,FALSE)),"")</f>
        <v/>
      </c>
      <c r="I391" s="94"/>
      <c r="J391" s="94"/>
      <c r="K391" s="94"/>
      <c r="L391" s="84"/>
      <c r="M391" s="84"/>
      <c r="N391" s="84"/>
      <c r="O391" s="84"/>
      <c r="P391" s="84"/>
      <c r="Q391" s="84"/>
      <c r="R391" s="84"/>
      <c r="S391" s="84"/>
      <c r="T391" s="84"/>
      <c r="U391" s="84"/>
      <c r="V391" s="84"/>
      <c r="W391" s="84"/>
      <c r="X391" s="84"/>
      <c r="Y391" s="84"/>
      <c r="Z391" s="84"/>
      <c r="AA391" s="84"/>
      <c r="AB391" s="84"/>
      <c r="AC391" s="84"/>
      <c r="AD391" s="84"/>
      <c r="AE391" s="84"/>
      <c r="AF391" s="84"/>
      <c r="AG391" s="84"/>
      <c r="AH391" s="84"/>
      <c r="AI391" s="84"/>
      <c r="AJ391" s="84"/>
      <c r="AK391" s="84"/>
      <c r="AL391" s="84"/>
      <c r="AM391" s="84"/>
      <c r="AN391" s="84"/>
      <c r="AO391" s="84"/>
      <c r="AP391" s="84"/>
      <c r="AQ391" s="84"/>
      <c r="AR391" s="84"/>
      <c r="AS391" s="84"/>
      <c r="AT391" s="84"/>
      <c r="AU391" s="84"/>
      <c r="AV391" s="84"/>
      <c r="AW391" s="84"/>
      <c r="AX391" s="87">
        <f t="array" ref="AX391">IF(G391=1,SUM((ROW(M0)=ROW(AW391))*(M0+M1_+M2_+M3_+M4_+M5_+M6_+M7_+M8_+M9_+M10_+M11_+M12_+M13_+M14_+M15_+M16_+M17_+M18_+M19_+M20_+M21_+M22_+M23_+M24_+M25_+M26_+M27_+M28_+M29_+M30_+M31_+M32_+M33_+M34_+M35_+M36_+M37_)),0)</f>
        <v>0</v>
      </c>
      <c r="AZ391" s="24" t="str">
        <f t="shared" si="85"/>
        <v/>
      </c>
      <c r="BA391" s="24" t="str">
        <f t="shared" si="86"/>
        <v/>
      </c>
      <c r="BB391" s="24" t="str">
        <f t="shared" si="87"/>
        <v/>
      </c>
      <c r="BC391" s="24" t="str">
        <f>IF(OR(E391="",LEFT(TableCosts[[#This Row],[Calc_N_Typ]],18)="Vynaložené náklady"),"",VLOOKUP(E391,Tab_Parts,2,0))</f>
        <v/>
      </c>
      <c r="BD391" s="24" t="str">
        <f t="shared" si="88"/>
        <v/>
      </c>
      <c r="BE391" s="24">
        <f t="shared" si="89"/>
        <v>0</v>
      </c>
      <c r="BF391" s="72">
        <f>TableCosts[[#This Row],[N_Amount]]*TableCosts[[#This Row],[N_Tariff]]*TableCosts[[#This Row],[N_ItemsCount]]</f>
        <v>0</v>
      </c>
      <c r="BG391" s="72">
        <f>IF(G391=1,IF(TableCosts[[#This Row],[N_Kateg]]="interné práce",TableCosts[[#This Row],[N_Amount]]*8*PAR_SGA_PERHOUR,0),0)</f>
        <v>0</v>
      </c>
      <c r="BH391" s="72">
        <f>SUM(TableCosts[[#This Row],[N_Direct]:[N_SGA]])</f>
        <v>0</v>
      </c>
      <c r="BI391" s="24">
        <f>IF(G391=1,IF(OR(AND(NOT(ISERROR(VLOOKUP(TableCosts[[#This Row],[Calc_N_Typ]],Cis_WorkPositions,1,0))),C391&lt;&gt;"",D391&lt;&gt;"",E391&lt;&gt;""),AND(ISERROR(VLOOKUP(TableCosts[[#This Row],[Calc_N_Typ]],Cis_WorkPositions,1,0)),C391="",D391="",E391&lt;&gt;""),LEFT(TableCosts[[#This Row],[Calc_N_Typ]],18)="Vynaložené náklady"),VLOOKUP(C391&amp;TableCosts[[#This Row],[Calc_N_Typ]],TRAN_STRITEMS_LABEL,VLOOKUP(D391,Tab_Hours,3,0),0),NA()),0)</f>
        <v>0</v>
      </c>
      <c r="BJ391" s="24">
        <f t="shared" si="90"/>
        <v>0</v>
      </c>
      <c r="BK391" s="24" t="str">
        <f t="shared" si="91"/>
        <v/>
      </c>
      <c r="BL391" s="24" t="str">
        <f t="shared" si="92"/>
        <v/>
      </c>
      <c r="BM391" s="24" t="str">
        <f>IF(G391=1,IF(TableCosts[[#This Row],[TransferFrom]]=TableCosts[[#This Row],[TranferTo]],0,1),"")</f>
        <v/>
      </c>
      <c r="BN391" s="24" t="str">
        <f t="shared" si="93"/>
        <v/>
      </c>
      <c r="BO391" s="24">
        <f t="shared" si="94"/>
        <v>0</v>
      </c>
      <c r="BP391" s="24">
        <f t="shared" si="95"/>
        <v>0</v>
      </c>
    </row>
    <row r="392" spans="2:68" s="24" customFormat="1" ht="12.75" x14ac:dyDescent="0.2">
      <c r="B392" s="97"/>
      <c r="C392" s="92"/>
      <c r="D392" s="92"/>
      <c r="E392" s="92"/>
      <c r="F392" s="31" t="str">
        <f>IF(G392=1,IF(ISERROR(TableCosts[[#This Row],[N_Tariff]]),Err_Message1,IF(TableCosts[[#This Row],[N_Tariff]]=0,Err_Message2,VLOOKUP(C392&amp;TableCosts[[#This Row],[Calc_N_Typ]],TRAN_STRITEMS_LABEL,5,FALSE))),"")</f>
        <v/>
      </c>
      <c r="G392" s="31">
        <f t="shared" si="84"/>
        <v>0</v>
      </c>
      <c r="H392" s="31" t="str">
        <f>IF(G392=1,IFERROR(VLOOKUP(F392,Tab_ErrMessage[],2,0),VLOOKUP(C392&amp;TableCosts[[#This Row],[Calc_N_Typ]],TRAN_STRITEMS_LABEL,4,FALSE)),"")</f>
        <v/>
      </c>
      <c r="I392" s="94"/>
      <c r="J392" s="94"/>
      <c r="K392" s="94"/>
      <c r="L392" s="84"/>
      <c r="M392" s="84"/>
      <c r="N392" s="84"/>
      <c r="O392" s="84"/>
      <c r="P392" s="84"/>
      <c r="Q392" s="84"/>
      <c r="R392" s="84"/>
      <c r="S392" s="84"/>
      <c r="T392" s="84"/>
      <c r="U392" s="84"/>
      <c r="V392" s="84"/>
      <c r="W392" s="84"/>
      <c r="X392" s="84"/>
      <c r="Y392" s="84"/>
      <c r="Z392" s="84"/>
      <c r="AA392" s="84"/>
      <c r="AB392" s="84"/>
      <c r="AC392" s="84"/>
      <c r="AD392" s="84"/>
      <c r="AE392" s="84"/>
      <c r="AF392" s="84"/>
      <c r="AG392" s="84"/>
      <c r="AH392" s="84"/>
      <c r="AI392" s="84"/>
      <c r="AJ392" s="84"/>
      <c r="AK392" s="84"/>
      <c r="AL392" s="84"/>
      <c r="AM392" s="84"/>
      <c r="AN392" s="84"/>
      <c r="AO392" s="84"/>
      <c r="AP392" s="84"/>
      <c r="AQ392" s="84"/>
      <c r="AR392" s="84"/>
      <c r="AS392" s="84"/>
      <c r="AT392" s="84"/>
      <c r="AU392" s="84"/>
      <c r="AV392" s="84"/>
      <c r="AW392" s="84"/>
      <c r="AX392" s="87">
        <f t="array" ref="AX392">IF(G392=1,SUM((ROW(M0)=ROW(AW392))*(M0+M1_+M2_+M3_+M4_+M5_+M6_+M7_+M8_+M9_+M10_+M11_+M12_+M13_+M14_+M15_+M16_+M17_+M18_+M19_+M20_+M21_+M22_+M23_+M24_+M25_+M26_+M27_+M28_+M29_+M30_+M31_+M32_+M33_+M34_+M35_+M36_+M37_)),0)</f>
        <v>0</v>
      </c>
      <c r="AZ392" s="24" t="str">
        <f t="shared" si="85"/>
        <v/>
      </c>
      <c r="BA392" s="24" t="str">
        <f t="shared" si="86"/>
        <v/>
      </c>
      <c r="BB392" s="24" t="str">
        <f t="shared" si="87"/>
        <v/>
      </c>
      <c r="BC392" s="24" t="str">
        <f>IF(OR(E392="",LEFT(TableCosts[[#This Row],[Calc_N_Typ]],18)="Vynaložené náklady"),"",VLOOKUP(E392,Tab_Parts,2,0))</f>
        <v/>
      </c>
      <c r="BD392" s="24" t="str">
        <f t="shared" si="88"/>
        <v/>
      </c>
      <c r="BE392" s="24">
        <f t="shared" si="89"/>
        <v>0</v>
      </c>
      <c r="BF392" s="72">
        <f>TableCosts[[#This Row],[N_Amount]]*TableCosts[[#This Row],[N_Tariff]]*TableCosts[[#This Row],[N_ItemsCount]]</f>
        <v>0</v>
      </c>
      <c r="BG392" s="72">
        <f>IF(G392=1,IF(TableCosts[[#This Row],[N_Kateg]]="interné práce",TableCosts[[#This Row],[N_Amount]]*8*PAR_SGA_PERHOUR,0),0)</f>
        <v>0</v>
      </c>
      <c r="BH392" s="72">
        <f>SUM(TableCosts[[#This Row],[N_Direct]:[N_SGA]])</f>
        <v>0</v>
      </c>
      <c r="BI392" s="24">
        <f>IF(G392=1,IF(OR(AND(NOT(ISERROR(VLOOKUP(TableCosts[[#This Row],[Calc_N_Typ]],Cis_WorkPositions,1,0))),C392&lt;&gt;"",D392&lt;&gt;"",E392&lt;&gt;""),AND(ISERROR(VLOOKUP(TableCosts[[#This Row],[Calc_N_Typ]],Cis_WorkPositions,1,0)),C392="",D392="",E392&lt;&gt;""),LEFT(TableCosts[[#This Row],[Calc_N_Typ]],18)="Vynaložené náklady"),VLOOKUP(C392&amp;TableCosts[[#This Row],[Calc_N_Typ]],TRAN_STRITEMS_LABEL,VLOOKUP(D392,Tab_Hours,3,0),0),NA()),0)</f>
        <v>0</v>
      </c>
      <c r="BJ392" s="24">
        <f t="shared" si="90"/>
        <v>0</v>
      </c>
      <c r="BK392" s="24" t="str">
        <f t="shared" si="91"/>
        <v/>
      </c>
      <c r="BL392" s="24" t="str">
        <f t="shared" si="92"/>
        <v/>
      </c>
      <c r="BM392" s="24" t="str">
        <f>IF(G392=1,IF(TableCosts[[#This Row],[TransferFrom]]=TableCosts[[#This Row],[TranferTo]],0,1),"")</f>
        <v/>
      </c>
      <c r="BN392" s="24" t="str">
        <f t="shared" si="93"/>
        <v/>
      </c>
      <c r="BO392" s="24">
        <f t="shared" si="94"/>
        <v>0</v>
      </c>
      <c r="BP392" s="24">
        <f t="shared" si="95"/>
        <v>0</v>
      </c>
    </row>
    <row r="393" spans="2:68" s="24" customFormat="1" ht="12.75" x14ac:dyDescent="0.2">
      <c r="B393" s="97"/>
      <c r="C393" s="92"/>
      <c r="D393" s="92"/>
      <c r="E393" s="92"/>
      <c r="F393" s="31" t="str">
        <f>IF(G393=1,IF(ISERROR(TableCosts[[#This Row],[N_Tariff]]),Err_Message1,IF(TableCosts[[#This Row],[N_Tariff]]=0,Err_Message2,VLOOKUP(C393&amp;TableCosts[[#This Row],[Calc_N_Typ]],TRAN_STRITEMS_LABEL,5,FALSE))),"")</f>
        <v/>
      </c>
      <c r="G393" s="31">
        <f t="shared" si="84"/>
        <v>0</v>
      </c>
      <c r="H393" s="31" t="str">
        <f>IF(G393=1,IFERROR(VLOOKUP(F393,Tab_ErrMessage[],2,0),VLOOKUP(C393&amp;TableCosts[[#This Row],[Calc_N_Typ]],TRAN_STRITEMS_LABEL,4,FALSE)),"")</f>
        <v/>
      </c>
      <c r="I393" s="94"/>
      <c r="J393" s="94"/>
      <c r="K393" s="94"/>
      <c r="L393" s="84"/>
      <c r="M393" s="84"/>
      <c r="N393" s="84"/>
      <c r="O393" s="84"/>
      <c r="P393" s="84"/>
      <c r="Q393" s="84"/>
      <c r="R393" s="84"/>
      <c r="S393" s="84"/>
      <c r="T393" s="84"/>
      <c r="U393" s="84"/>
      <c r="V393" s="84"/>
      <c r="W393" s="84"/>
      <c r="X393" s="84"/>
      <c r="Y393" s="84"/>
      <c r="Z393" s="84"/>
      <c r="AA393" s="84"/>
      <c r="AB393" s="84"/>
      <c r="AC393" s="84"/>
      <c r="AD393" s="84"/>
      <c r="AE393" s="84"/>
      <c r="AF393" s="84"/>
      <c r="AG393" s="84"/>
      <c r="AH393" s="84"/>
      <c r="AI393" s="84"/>
      <c r="AJ393" s="84"/>
      <c r="AK393" s="84"/>
      <c r="AL393" s="84"/>
      <c r="AM393" s="84"/>
      <c r="AN393" s="84"/>
      <c r="AO393" s="84"/>
      <c r="AP393" s="84"/>
      <c r="AQ393" s="84"/>
      <c r="AR393" s="84"/>
      <c r="AS393" s="84"/>
      <c r="AT393" s="84"/>
      <c r="AU393" s="84"/>
      <c r="AV393" s="84"/>
      <c r="AW393" s="84"/>
      <c r="AX393" s="87">
        <f t="array" ref="AX393">IF(G393=1,SUM((ROW(M0)=ROW(AW393))*(M0+M1_+M2_+M3_+M4_+M5_+M6_+M7_+M8_+M9_+M10_+M11_+M12_+M13_+M14_+M15_+M16_+M17_+M18_+M19_+M20_+M21_+M22_+M23_+M24_+M25_+M26_+M27_+M28_+M29_+M30_+M31_+M32_+M33_+M34_+M35_+M36_+M37_)),0)</f>
        <v>0</v>
      </c>
      <c r="AZ393" s="24" t="str">
        <f t="shared" si="85"/>
        <v/>
      </c>
      <c r="BA393" s="24" t="str">
        <f t="shared" si="86"/>
        <v/>
      </c>
      <c r="BB393" s="24" t="str">
        <f t="shared" si="87"/>
        <v/>
      </c>
      <c r="BC393" s="24" t="str">
        <f>IF(OR(E393="",LEFT(TableCosts[[#This Row],[Calc_N_Typ]],18)="Vynaložené náklady"),"",VLOOKUP(E393,Tab_Parts,2,0))</f>
        <v/>
      </c>
      <c r="BD393" s="24" t="str">
        <f t="shared" si="88"/>
        <v/>
      </c>
      <c r="BE393" s="24">
        <f t="shared" si="89"/>
        <v>0</v>
      </c>
      <c r="BF393" s="72">
        <f>TableCosts[[#This Row],[N_Amount]]*TableCosts[[#This Row],[N_Tariff]]*TableCosts[[#This Row],[N_ItemsCount]]</f>
        <v>0</v>
      </c>
      <c r="BG393" s="72">
        <f>IF(G393=1,IF(TableCosts[[#This Row],[N_Kateg]]="interné práce",TableCosts[[#This Row],[N_Amount]]*8*PAR_SGA_PERHOUR,0),0)</f>
        <v>0</v>
      </c>
      <c r="BH393" s="72">
        <f>SUM(TableCosts[[#This Row],[N_Direct]:[N_SGA]])</f>
        <v>0</v>
      </c>
      <c r="BI393" s="24">
        <f>IF(G393=1,IF(OR(AND(NOT(ISERROR(VLOOKUP(TableCosts[[#This Row],[Calc_N_Typ]],Cis_WorkPositions,1,0))),C393&lt;&gt;"",D393&lt;&gt;"",E393&lt;&gt;""),AND(ISERROR(VLOOKUP(TableCosts[[#This Row],[Calc_N_Typ]],Cis_WorkPositions,1,0)),C393="",D393="",E393&lt;&gt;""),LEFT(TableCosts[[#This Row],[Calc_N_Typ]],18)="Vynaložené náklady"),VLOOKUP(C393&amp;TableCosts[[#This Row],[Calc_N_Typ]],TRAN_STRITEMS_LABEL,VLOOKUP(D393,Tab_Hours,3,0),0),NA()),0)</f>
        <v>0</v>
      </c>
      <c r="BJ393" s="24">
        <f t="shared" si="90"/>
        <v>0</v>
      </c>
      <c r="BK393" s="24" t="str">
        <f t="shared" si="91"/>
        <v/>
      </c>
      <c r="BL393" s="24" t="str">
        <f t="shared" si="92"/>
        <v/>
      </c>
      <c r="BM393" s="24" t="str">
        <f>IF(G393=1,IF(TableCosts[[#This Row],[TransferFrom]]=TableCosts[[#This Row],[TranferTo]],0,1),"")</f>
        <v/>
      </c>
      <c r="BN393" s="24" t="str">
        <f t="shared" si="93"/>
        <v/>
      </c>
      <c r="BO393" s="24">
        <f t="shared" si="94"/>
        <v>0</v>
      </c>
      <c r="BP393" s="24">
        <f t="shared" si="95"/>
        <v>0</v>
      </c>
    </row>
    <row r="394" spans="2:68" s="24" customFormat="1" ht="12.75" x14ac:dyDescent="0.2">
      <c r="B394" s="97"/>
      <c r="C394" s="92"/>
      <c r="D394" s="92"/>
      <c r="E394" s="92"/>
      <c r="F394" s="31" t="str">
        <f>IF(G394=1,IF(ISERROR(TableCosts[[#This Row],[N_Tariff]]),Err_Message1,IF(TableCosts[[#This Row],[N_Tariff]]=0,Err_Message2,VLOOKUP(C394&amp;TableCosts[[#This Row],[Calc_N_Typ]],TRAN_STRITEMS_LABEL,5,FALSE))),"")</f>
        <v/>
      </c>
      <c r="G394" s="31">
        <f t="shared" si="84"/>
        <v>0</v>
      </c>
      <c r="H394" s="31" t="str">
        <f>IF(G394=1,IFERROR(VLOOKUP(F394,Tab_ErrMessage[],2,0),VLOOKUP(C394&amp;TableCosts[[#This Row],[Calc_N_Typ]],TRAN_STRITEMS_LABEL,4,FALSE)),"")</f>
        <v/>
      </c>
      <c r="I394" s="94"/>
      <c r="J394" s="94"/>
      <c r="K394" s="94"/>
      <c r="L394" s="84"/>
      <c r="M394" s="84"/>
      <c r="N394" s="84"/>
      <c r="O394" s="84"/>
      <c r="P394" s="84"/>
      <c r="Q394" s="84"/>
      <c r="R394" s="84"/>
      <c r="S394" s="84"/>
      <c r="T394" s="84"/>
      <c r="U394" s="84"/>
      <c r="V394" s="84"/>
      <c r="W394" s="84"/>
      <c r="X394" s="84"/>
      <c r="Y394" s="84"/>
      <c r="Z394" s="84"/>
      <c r="AA394" s="84"/>
      <c r="AB394" s="84"/>
      <c r="AC394" s="84"/>
      <c r="AD394" s="84"/>
      <c r="AE394" s="84"/>
      <c r="AF394" s="84"/>
      <c r="AG394" s="84"/>
      <c r="AH394" s="84"/>
      <c r="AI394" s="84"/>
      <c r="AJ394" s="84"/>
      <c r="AK394" s="84"/>
      <c r="AL394" s="84"/>
      <c r="AM394" s="84"/>
      <c r="AN394" s="84"/>
      <c r="AO394" s="84"/>
      <c r="AP394" s="84"/>
      <c r="AQ394" s="84"/>
      <c r="AR394" s="84"/>
      <c r="AS394" s="84"/>
      <c r="AT394" s="84"/>
      <c r="AU394" s="84"/>
      <c r="AV394" s="84"/>
      <c r="AW394" s="84"/>
      <c r="AX394" s="87">
        <f t="array" ref="AX394">IF(G394=1,SUM((ROW(M0)=ROW(AW394))*(M0+M1_+M2_+M3_+M4_+M5_+M6_+M7_+M8_+M9_+M10_+M11_+M12_+M13_+M14_+M15_+M16_+M17_+M18_+M19_+M20_+M21_+M22_+M23_+M24_+M25_+M26_+M27_+M28_+M29_+M30_+M31_+M32_+M33_+M34_+M35_+M36_+M37_)),0)</f>
        <v>0</v>
      </c>
      <c r="AZ394" s="24" t="str">
        <f t="shared" si="85"/>
        <v/>
      </c>
      <c r="BA394" s="24" t="str">
        <f t="shared" si="86"/>
        <v/>
      </c>
      <c r="BB394" s="24" t="str">
        <f t="shared" si="87"/>
        <v/>
      </c>
      <c r="BC394" s="24" t="str">
        <f>IF(OR(E394="",LEFT(TableCosts[[#This Row],[Calc_N_Typ]],18)="Vynaložené náklady"),"",VLOOKUP(E394,Tab_Parts,2,0))</f>
        <v/>
      </c>
      <c r="BD394" s="24" t="str">
        <f t="shared" si="88"/>
        <v/>
      </c>
      <c r="BE394" s="24">
        <f t="shared" si="89"/>
        <v>0</v>
      </c>
      <c r="BF394" s="72">
        <f>TableCosts[[#This Row],[N_Amount]]*TableCosts[[#This Row],[N_Tariff]]*TableCosts[[#This Row],[N_ItemsCount]]</f>
        <v>0</v>
      </c>
      <c r="BG394" s="72">
        <f>IF(G394=1,IF(TableCosts[[#This Row],[N_Kateg]]="interné práce",TableCosts[[#This Row],[N_Amount]]*8*PAR_SGA_PERHOUR,0),0)</f>
        <v>0</v>
      </c>
      <c r="BH394" s="72">
        <f>SUM(TableCosts[[#This Row],[N_Direct]:[N_SGA]])</f>
        <v>0</v>
      </c>
      <c r="BI394" s="24">
        <f>IF(G394=1,IF(OR(AND(NOT(ISERROR(VLOOKUP(TableCosts[[#This Row],[Calc_N_Typ]],Cis_WorkPositions,1,0))),C394&lt;&gt;"",D394&lt;&gt;"",E394&lt;&gt;""),AND(ISERROR(VLOOKUP(TableCosts[[#This Row],[Calc_N_Typ]],Cis_WorkPositions,1,0)),C394="",D394="",E394&lt;&gt;""),LEFT(TableCosts[[#This Row],[Calc_N_Typ]],18)="Vynaložené náklady"),VLOOKUP(C394&amp;TableCosts[[#This Row],[Calc_N_Typ]],TRAN_STRITEMS_LABEL,VLOOKUP(D394,Tab_Hours,3,0),0),NA()),0)</f>
        <v>0</v>
      </c>
      <c r="BJ394" s="24">
        <f t="shared" si="90"/>
        <v>0</v>
      </c>
      <c r="BK394" s="24" t="str">
        <f t="shared" si="91"/>
        <v/>
      </c>
      <c r="BL394" s="24" t="str">
        <f t="shared" si="92"/>
        <v/>
      </c>
      <c r="BM394" s="24" t="str">
        <f>IF(G394=1,IF(TableCosts[[#This Row],[TransferFrom]]=TableCosts[[#This Row],[TranferTo]],0,1),"")</f>
        <v/>
      </c>
      <c r="BN394" s="24" t="str">
        <f t="shared" si="93"/>
        <v/>
      </c>
      <c r="BO394" s="24">
        <f t="shared" si="94"/>
        <v>0</v>
      </c>
      <c r="BP394" s="24">
        <f t="shared" si="95"/>
        <v>0</v>
      </c>
    </row>
    <row r="395" spans="2:68" s="24" customFormat="1" ht="12.75" x14ac:dyDescent="0.2">
      <c r="B395" s="97"/>
      <c r="C395" s="92"/>
      <c r="D395" s="92"/>
      <c r="E395" s="92"/>
      <c r="F395" s="31" t="str">
        <f>IF(G395=1,IF(ISERROR(TableCosts[[#This Row],[N_Tariff]]),Err_Message1,IF(TableCosts[[#This Row],[N_Tariff]]=0,Err_Message2,VLOOKUP(C395&amp;TableCosts[[#This Row],[Calc_N_Typ]],TRAN_STRITEMS_LABEL,5,FALSE))),"")</f>
        <v/>
      </c>
      <c r="G395" s="31">
        <f t="shared" si="84"/>
        <v>0</v>
      </c>
      <c r="H395" s="31" t="str">
        <f>IF(G395=1,IFERROR(VLOOKUP(F395,Tab_ErrMessage[],2,0),VLOOKUP(C395&amp;TableCosts[[#This Row],[Calc_N_Typ]],TRAN_STRITEMS_LABEL,4,FALSE)),"")</f>
        <v/>
      </c>
      <c r="I395" s="94"/>
      <c r="J395" s="94"/>
      <c r="K395" s="94"/>
      <c r="L395" s="84"/>
      <c r="M395" s="84"/>
      <c r="N395" s="84"/>
      <c r="O395" s="84"/>
      <c r="P395" s="84"/>
      <c r="Q395" s="84"/>
      <c r="R395" s="84"/>
      <c r="S395" s="84"/>
      <c r="T395" s="84"/>
      <c r="U395" s="84"/>
      <c r="V395" s="84"/>
      <c r="W395" s="84"/>
      <c r="X395" s="84"/>
      <c r="Y395" s="84"/>
      <c r="Z395" s="84"/>
      <c r="AA395" s="84"/>
      <c r="AB395" s="84"/>
      <c r="AC395" s="84"/>
      <c r="AD395" s="84"/>
      <c r="AE395" s="84"/>
      <c r="AF395" s="84"/>
      <c r="AG395" s="84"/>
      <c r="AH395" s="84"/>
      <c r="AI395" s="84"/>
      <c r="AJ395" s="84"/>
      <c r="AK395" s="84"/>
      <c r="AL395" s="84"/>
      <c r="AM395" s="84"/>
      <c r="AN395" s="84"/>
      <c r="AO395" s="84"/>
      <c r="AP395" s="84"/>
      <c r="AQ395" s="84"/>
      <c r="AR395" s="84"/>
      <c r="AS395" s="84"/>
      <c r="AT395" s="84"/>
      <c r="AU395" s="84"/>
      <c r="AV395" s="84"/>
      <c r="AW395" s="84"/>
      <c r="AX395" s="87">
        <f t="array" ref="AX395">IF(G395=1,SUM((ROW(M0)=ROW(AW395))*(M0+M1_+M2_+M3_+M4_+M5_+M6_+M7_+M8_+M9_+M10_+M11_+M12_+M13_+M14_+M15_+M16_+M17_+M18_+M19_+M20_+M21_+M22_+M23_+M24_+M25_+M26_+M27_+M28_+M29_+M30_+M31_+M32_+M33_+M34_+M35_+M36_+M37_)),0)</f>
        <v>0</v>
      </c>
      <c r="AZ395" s="24" t="str">
        <f t="shared" si="85"/>
        <v/>
      </c>
      <c r="BA395" s="24" t="str">
        <f t="shared" si="86"/>
        <v/>
      </c>
      <c r="BB395" s="24" t="str">
        <f t="shared" si="87"/>
        <v/>
      </c>
      <c r="BC395" s="24" t="str">
        <f>IF(OR(E395="",LEFT(TableCosts[[#This Row],[Calc_N_Typ]],18)="Vynaložené náklady"),"",VLOOKUP(E395,Tab_Parts,2,0))</f>
        <v/>
      </c>
      <c r="BD395" s="24" t="str">
        <f t="shared" si="88"/>
        <v/>
      </c>
      <c r="BE395" s="24">
        <f t="shared" si="89"/>
        <v>0</v>
      </c>
      <c r="BF395" s="72">
        <f>TableCosts[[#This Row],[N_Amount]]*TableCosts[[#This Row],[N_Tariff]]*TableCosts[[#This Row],[N_ItemsCount]]</f>
        <v>0</v>
      </c>
      <c r="BG395" s="72">
        <f>IF(G395=1,IF(TableCosts[[#This Row],[N_Kateg]]="interné práce",TableCosts[[#This Row],[N_Amount]]*8*PAR_SGA_PERHOUR,0),0)</f>
        <v>0</v>
      </c>
      <c r="BH395" s="72">
        <f>SUM(TableCosts[[#This Row],[N_Direct]:[N_SGA]])</f>
        <v>0</v>
      </c>
      <c r="BI395" s="24">
        <f>IF(G395=1,IF(OR(AND(NOT(ISERROR(VLOOKUP(TableCosts[[#This Row],[Calc_N_Typ]],Cis_WorkPositions,1,0))),C395&lt;&gt;"",D395&lt;&gt;"",E395&lt;&gt;""),AND(ISERROR(VLOOKUP(TableCosts[[#This Row],[Calc_N_Typ]],Cis_WorkPositions,1,0)),C395="",D395="",E395&lt;&gt;""),LEFT(TableCosts[[#This Row],[Calc_N_Typ]],18)="Vynaložené náklady"),VLOOKUP(C395&amp;TableCosts[[#This Row],[Calc_N_Typ]],TRAN_STRITEMS_LABEL,VLOOKUP(D395,Tab_Hours,3,0),0),NA()),0)</f>
        <v>0</v>
      </c>
      <c r="BJ395" s="24">
        <f t="shared" si="90"/>
        <v>0</v>
      </c>
      <c r="BK395" s="24" t="str">
        <f t="shared" si="91"/>
        <v/>
      </c>
      <c r="BL395" s="24" t="str">
        <f t="shared" si="92"/>
        <v/>
      </c>
      <c r="BM395" s="24" t="str">
        <f>IF(G395=1,IF(TableCosts[[#This Row],[TransferFrom]]=TableCosts[[#This Row],[TranferTo]],0,1),"")</f>
        <v/>
      </c>
      <c r="BN395" s="24" t="str">
        <f t="shared" si="93"/>
        <v/>
      </c>
      <c r="BO395" s="24">
        <f t="shared" si="94"/>
        <v>0</v>
      </c>
      <c r="BP395" s="24">
        <f t="shared" si="95"/>
        <v>0</v>
      </c>
    </row>
    <row r="396" spans="2:68" s="24" customFormat="1" ht="12.75" x14ac:dyDescent="0.2">
      <c r="B396" s="97"/>
      <c r="C396" s="92"/>
      <c r="D396" s="92"/>
      <c r="E396" s="92"/>
      <c r="F396" s="31" t="str">
        <f>IF(G396=1,IF(ISERROR(TableCosts[[#This Row],[N_Tariff]]),Err_Message1,IF(TableCosts[[#This Row],[N_Tariff]]=0,Err_Message2,VLOOKUP(C396&amp;TableCosts[[#This Row],[Calc_N_Typ]],TRAN_STRITEMS_LABEL,5,FALSE))),"")</f>
        <v/>
      </c>
      <c r="G396" s="31">
        <f t="shared" ref="G396:G459" si="96">IF(B396="",0,IF(LEFT(B396,3)="***",-1,1))</f>
        <v>0</v>
      </c>
      <c r="H396" s="31" t="str">
        <f>IF(G396=1,IFERROR(VLOOKUP(F396,Tab_ErrMessage[],2,0),VLOOKUP(C396&amp;TableCosts[[#This Row],[Calc_N_Typ]],TRAN_STRITEMS_LABEL,4,FALSE)),"")</f>
        <v/>
      </c>
      <c r="I396" s="94"/>
      <c r="J396" s="94"/>
      <c r="K396" s="94"/>
      <c r="L396" s="84"/>
      <c r="M396" s="84"/>
      <c r="N396" s="84"/>
      <c r="O396" s="84"/>
      <c r="P396" s="84"/>
      <c r="Q396" s="84"/>
      <c r="R396" s="84"/>
      <c r="S396" s="84"/>
      <c r="T396" s="84"/>
      <c r="U396" s="84"/>
      <c r="V396" s="84"/>
      <c r="W396" s="84"/>
      <c r="X396" s="84"/>
      <c r="Y396" s="84"/>
      <c r="Z396" s="84"/>
      <c r="AA396" s="84"/>
      <c r="AB396" s="84"/>
      <c r="AC396" s="84"/>
      <c r="AD396" s="84"/>
      <c r="AE396" s="84"/>
      <c r="AF396" s="84"/>
      <c r="AG396" s="84"/>
      <c r="AH396" s="84"/>
      <c r="AI396" s="84"/>
      <c r="AJ396" s="84"/>
      <c r="AK396" s="84"/>
      <c r="AL396" s="84"/>
      <c r="AM396" s="84"/>
      <c r="AN396" s="84"/>
      <c r="AO396" s="84"/>
      <c r="AP396" s="84"/>
      <c r="AQ396" s="84"/>
      <c r="AR396" s="84"/>
      <c r="AS396" s="84"/>
      <c r="AT396" s="84"/>
      <c r="AU396" s="84"/>
      <c r="AV396" s="84"/>
      <c r="AW396" s="84"/>
      <c r="AX396" s="87">
        <f t="array" ref="AX396">IF(G396=1,SUM((ROW(M0)=ROW(AW396))*(M0+M1_+M2_+M3_+M4_+M5_+M6_+M7_+M8_+M9_+M10_+M11_+M12_+M13_+M14_+M15_+M16_+M17_+M18_+M19_+M20_+M21_+M22_+M23_+M24_+M25_+M26_+M27_+M28_+M29_+M30_+M31_+M32_+M33_+M34_+M35_+M36_+M37_)),0)</f>
        <v>0</v>
      </c>
      <c r="AZ396" s="24" t="str">
        <f t="shared" ref="AZ396:AZ459" si="97">IF(G396=1,B396,"")</f>
        <v/>
      </c>
      <c r="BA396" s="24" t="str">
        <f t="shared" ref="BA396:BA459" si="98">IF(G396=1,C396,"")</f>
        <v/>
      </c>
      <c r="BB396" s="24" t="str">
        <f t="shared" ref="BB396:BB459" si="99">IF(G396=1,F396,"")</f>
        <v/>
      </c>
      <c r="BC396" s="24" t="str">
        <f>IF(OR(E396="",LEFT(TableCosts[[#This Row],[Calc_N_Typ]],18)="Vynaložené náklady"),"",VLOOKUP(E396,Tab_Parts,2,0))</f>
        <v/>
      </c>
      <c r="BD396" s="24" t="str">
        <f t="shared" ref="BD396:BD459" si="100">IF(G396=1,H396,"")</f>
        <v/>
      </c>
      <c r="BE396" s="24">
        <f t="shared" ref="BE396:BE459" si="101">IF(G396=1,AX396,0)</f>
        <v>0</v>
      </c>
      <c r="BF396" s="72">
        <f>TableCosts[[#This Row],[N_Amount]]*TableCosts[[#This Row],[N_Tariff]]*TableCosts[[#This Row],[N_ItemsCount]]</f>
        <v>0</v>
      </c>
      <c r="BG396" s="72">
        <f>IF(G396=1,IF(TableCosts[[#This Row],[N_Kateg]]="interné práce",TableCosts[[#This Row],[N_Amount]]*8*PAR_SGA_PERHOUR,0),0)</f>
        <v>0</v>
      </c>
      <c r="BH396" s="72">
        <f>SUM(TableCosts[[#This Row],[N_Direct]:[N_SGA]])</f>
        <v>0</v>
      </c>
      <c r="BI396" s="24">
        <f>IF(G396=1,IF(OR(AND(NOT(ISERROR(VLOOKUP(TableCosts[[#This Row],[Calc_N_Typ]],Cis_WorkPositions,1,0))),C396&lt;&gt;"",D396&lt;&gt;"",E396&lt;&gt;""),AND(ISERROR(VLOOKUP(TableCosts[[#This Row],[Calc_N_Typ]],Cis_WorkPositions,1,0)),C396="",D396="",E396&lt;&gt;""),LEFT(TableCosts[[#This Row],[Calc_N_Typ]],18)="Vynaložené náklady"),VLOOKUP(C396&amp;TableCosts[[#This Row],[Calc_N_Typ]],TRAN_STRITEMS_LABEL,VLOOKUP(D396,Tab_Hours,3,0),0),NA()),0)</f>
        <v>0</v>
      </c>
      <c r="BJ396" s="24">
        <f t="shared" ref="BJ396:BJ459" si="102">IF(G396=1,IF(H396="čld.",VLOOKUP(D396,Tab_Hours,4,0),1),0)</f>
        <v>0</v>
      </c>
      <c r="BK396" s="24" t="str">
        <f t="shared" ref="BK396:BK459" si="103">IF(G396=1,IFERROR(VLOOKUP(B396,IpsLicences,2,0),IF(C396="",Par_Center,C396)),"")</f>
        <v/>
      </c>
      <c r="BL396" s="24" t="str">
        <f t="shared" ref="BL396:BL459" si="104">IF(G396=1,Par_Center,"")</f>
        <v/>
      </c>
      <c r="BM396" s="24" t="str">
        <f>IF(G396=1,IF(TableCosts[[#This Row],[TransferFrom]]=TableCosts[[#This Row],[TranferTo]],0,1),"")</f>
        <v/>
      </c>
      <c r="BN396" s="24" t="str">
        <f t="shared" ref="BN396:BN459" si="105">IF(G396=1,IF(E396="ACQ","akvizícia","realizácia"),"")</f>
        <v/>
      </c>
      <c r="BO396" s="24">
        <f t="shared" ref="BO396:BO459" si="106">IF(RIGHT(B396,LEN(Par_LabelTravelTime))=Par_LabelTravelTime,LEFT(B396,LEN(B396)-LEN(Par_LabelTravelTime)),B396)</f>
        <v>0</v>
      </c>
      <c r="BP396" s="24">
        <f t="shared" ref="BP396:BP459" si="107">IF(RIGHT(B396,LEN(Par_LabelTravelTime))=Par_LabelTravelTime,1,0)</f>
        <v>0</v>
      </c>
    </row>
    <row r="397" spans="2:68" s="24" customFormat="1" ht="12.75" x14ac:dyDescent="0.2">
      <c r="B397" s="97"/>
      <c r="C397" s="92"/>
      <c r="D397" s="92"/>
      <c r="E397" s="92"/>
      <c r="F397" s="31" t="str">
        <f>IF(G397=1,IF(ISERROR(TableCosts[[#This Row],[N_Tariff]]),Err_Message1,IF(TableCosts[[#This Row],[N_Tariff]]=0,Err_Message2,VLOOKUP(C397&amp;TableCosts[[#This Row],[Calc_N_Typ]],TRAN_STRITEMS_LABEL,5,FALSE))),"")</f>
        <v/>
      </c>
      <c r="G397" s="31">
        <f t="shared" si="96"/>
        <v>0</v>
      </c>
      <c r="H397" s="31" t="str">
        <f>IF(G397=1,IFERROR(VLOOKUP(F397,Tab_ErrMessage[],2,0),VLOOKUP(C397&amp;TableCosts[[#This Row],[Calc_N_Typ]],TRAN_STRITEMS_LABEL,4,FALSE)),"")</f>
        <v/>
      </c>
      <c r="I397" s="94"/>
      <c r="J397" s="94"/>
      <c r="K397" s="94"/>
      <c r="L397" s="84"/>
      <c r="M397" s="84"/>
      <c r="N397" s="84"/>
      <c r="O397" s="84"/>
      <c r="P397" s="84"/>
      <c r="Q397" s="84"/>
      <c r="R397" s="84"/>
      <c r="S397" s="84"/>
      <c r="T397" s="84"/>
      <c r="U397" s="84"/>
      <c r="V397" s="84"/>
      <c r="W397" s="84"/>
      <c r="X397" s="84"/>
      <c r="Y397" s="84"/>
      <c r="Z397" s="84"/>
      <c r="AA397" s="84"/>
      <c r="AB397" s="84"/>
      <c r="AC397" s="84"/>
      <c r="AD397" s="84"/>
      <c r="AE397" s="84"/>
      <c r="AF397" s="84"/>
      <c r="AG397" s="84"/>
      <c r="AH397" s="84"/>
      <c r="AI397" s="84"/>
      <c r="AJ397" s="84"/>
      <c r="AK397" s="84"/>
      <c r="AL397" s="84"/>
      <c r="AM397" s="84"/>
      <c r="AN397" s="84"/>
      <c r="AO397" s="84"/>
      <c r="AP397" s="84"/>
      <c r="AQ397" s="84"/>
      <c r="AR397" s="84"/>
      <c r="AS397" s="84"/>
      <c r="AT397" s="84"/>
      <c r="AU397" s="84"/>
      <c r="AV397" s="84"/>
      <c r="AW397" s="84"/>
      <c r="AX397" s="87">
        <f t="array" ref="AX397">IF(G397=1,SUM((ROW(M0)=ROW(AW397))*(M0+M1_+M2_+M3_+M4_+M5_+M6_+M7_+M8_+M9_+M10_+M11_+M12_+M13_+M14_+M15_+M16_+M17_+M18_+M19_+M20_+M21_+M22_+M23_+M24_+M25_+M26_+M27_+M28_+M29_+M30_+M31_+M32_+M33_+M34_+M35_+M36_+M37_)),0)</f>
        <v>0</v>
      </c>
      <c r="AZ397" s="24" t="str">
        <f t="shared" si="97"/>
        <v/>
      </c>
      <c r="BA397" s="24" t="str">
        <f t="shared" si="98"/>
        <v/>
      </c>
      <c r="BB397" s="24" t="str">
        <f t="shared" si="99"/>
        <v/>
      </c>
      <c r="BC397" s="24" t="str">
        <f>IF(OR(E397="",LEFT(TableCosts[[#This Row],[Calc_N_Typ]],18)="Vynaložené náklady"),"",VLOOKUP(E397,Tab_Parts,2,0))</f>
        <v/>
      </c>
      <c r="BD397" s="24" t="str">
        <f t="shared" si="100"/>
        <v/>
      </c>
      <c r="BE397" s="24">
        <f t="shared" si="101"/>
        <v>0</v>
      </c>
      <c r="BF397" s="72">
        <f>TableCosts[[#This Row],[N_Amount]]*TableCosts[[#This Row],[N_Tariff]]*TableCosts[[#This Row],[N_ItemsCount]]</f>
        <v>0</v>
      </c>
      <c r="BG397" s="72">
        <f>IF(G397=1,IF(TableCosts[[#This Row],[N_Kateg]]="interné práce",TableCosts[[#This Row],[N_Amount]]*8*PAR_SGA_PERHOUR,0),0)</f>
        <v>0</v>
      </c>
      <c r="BH397" s="72">
        <f>SUM(TableCosts[[#This Row],[N_Direct]:[N_SGA]])</f>
        <v>0</v>
      </c>
      <c r="BI397" s="24">
        <f>IF(G397=1,IF(OR(AND(NOT(ISERROR(VLOOKUP(TableCosts[[#This Row],[Calc_N_Typ]],Cis_WorkPositions,1,0))),C397&lt;&gt;"",D397&lt;&gt;"",E397&lt;&gt;""),AND(ISERROR(VLOOKUP(TableCosts[[#This Row],[Calc_N_Typ]],Cis_WorkPositions,1,0)),C397="",D397="",E397&lt;&gt;""),LEFT(TableCosts[[#This Row],[Calc_N_Typ]],18)="Vynaložené náklady"),VLOOKUP(C397&amp;TableCosts[[#This Row],[Calc_N_Typ]],TRAN_STRITEMS_LABEL,VLOOKUP(D397,Tab_Hours,3,0),0),NA()),0)</f>
        <v>0</v>
      </c>
      <c r="BJ397" s="24">
        <f t="shared" si="102"/>
        <v>0</v>
      </c>
      <c r="BK397" s="24" t="str">
        <f t="shared" si="103"/>
        <v/>
      </c>
      <c r="BL397" s="24" t="str">
        <f t="shared" si="104"/>
        <v/>
      </c>
      <c r="BM397" s="24" t="str">
        <f>IF(G397=1,IF(TableCosts[[#This Row],[TransferFrom]]=TableCosts[[#This Row],[TranferTo]],0,1),"")</f>
        <v/>
      </c>
      <c r="BN397" s="24" t="str">
        <f t="shared" si="105"/>
        <v/>
      </c>
      <c r="BO397" s="24">
        <f t="shared" si="106"/>
        <v>0</v>
      </c>
      <c r="BP397" s="24">
        <f t="shared" si="107"/>
        <v>0</v>
      </c>
    </row>
    <row r="398" spans="2:68" s="24" customFormat="1" ht="12.75" x14ac:dyDescent="0.2">
      <c r="B398" s="97"/>
      <c r="C398" s="92"/>
      <c r="D398" s="92"/>
      <c r="E398" s="92"/>
      <c r="F398" s="31" t="str">
        <f>IF(G398=1,IF(ISERROR(TableCosts[[#This Row],[N_Tariff]]),Err_Message1,IF(TableCosts[[#This Row],[N_Tariff]]=0,Err_Message2,VLOOKUP(C398&amp;TableCosts[[#This Row],[Calc_N_Typ]],TRAN_STRITEMS_LABEL,5,FALSE))),"")</f>
        <v/>
      </c>
      <c r="G398" s="31">
        <f t="shared" si="96"/>
        <v>0</v>
      </c>
      <c r="H398" s="31" t="str">
        <f>IF(G398=1,IFERROR(VLOOKUP(F398,Tab_ErrMessage[],2,0),VLOOKUP(C398&amp;TableCosts[[#This Row],[Calc_N_Typ]],TRAN_STRITEMS_LABEL,4,FALSE)),"")</f>
        <v/>
      </c>
      <c r="I398" s="94"/>
      <c r="J398" s="94"/>
      <c r="K398" s="94"/>
      <c r="L398" s="84"/>
      <c r="M398" s="84"/>
      <c r="N398" s="84"/>
      <c r="O398" s="84"/>
      <c r="P398" s="84"/>
      <c r="Q398" s="84"/>
      <c r="R398" s="84"/>
      <c r="S398" s="84"/>
      <c r="T398" s="84"/>
      <c r="U398" s="84"/>
      <c r="V398" s="84"/>
      <c r="W398" s="84"/>
      <c r="X398" s="84"/>
      <c r="Y398" s="84"/>
      <c r="Z398" s="84"/>
      <c r="AA398" s="84"/>
      <c r="AB398" s="84"/>
      <c r="AC398" s="84"/>
      <c r="AD398" s="84"/>
      <c r="AE398" s="84"/>
      <c r="AF398" s="84"/>
      <c r="AG398" s="84"/>
      <c r="AH398" s="84"/>
      <c r="AI398" s="84"/>
      <c r="AJ398" s="84"/>
      <c r="AK398" s="84"/>
      <c r="AL398" s="84"/>
      <c r="AM398" s="84"/>
      <c r="AN398" s="84"/>
      <c r="AO398" s="84"/>
      <c r="AP398" s="84"/>
      <c r="AQ398" s="84"/>
      <c r="AR398" s="84"/>
      <c r="AS398" s="84"/>
      <c r="AT398" s="84"/>
      <c r="AU398" s="84"/>
      <c r="AV398" s="84"/>
      <c r="AW398" s="84"/>
      <c r="AX398" s="87">
        <f t="array" ref="AX398">IF(G398=1,SUM((ROW(M0)=ROW(AW398))*(M0+M1_+M2_+M3_+M4_+M5_+M6_+M7_+M8_+M9_+M10_+M11_+M12_+M13_+M14_+M15_+M16_+M17_+M18_+M19_+M20_+M21_+M22_+M23_+M24_+M25_+M26_+M27_+M28_+M29_+M30_+M31_+M32_+M33_+M34_+M35_+M36_+M37_)),0)</f>
        <v>0</v>
      </c>
      <c r="AZ398" s="24" t="str">
        <f t="shared" si="97"/>
        <v/>
      </c>
      <c r="BA398" s="24" t="str">
        <f t="shared" si="98"/>
        <v/>
      </c>
      <c r="BB398" s="24" t="str">
        <f t="shared" si="99"/>
        <v/>
      </c>
      <c r="BC398" s="24" t="str">
        <f>IF(OR(E398="",LEFT(TableCosts[[#This Row],[Calc_N_Typ]],18)="Vynaložené náklady"),"",VLOOKUP(E398,Tab_Parts,2,0))</f>
        <v/>
      </c>
      <c r="BD398" s="24" t="str">
        <f t="shared" si="100"/>
        <v/>
      </c>
      <c r="BE398" s="24">
        <f t="shared" si="101"/>
        <v>0</v>
      </c>
      <c r="BF398" s="72">
        <f>TableCosts[[#This Row],[N_Amount]]*TableCosts[[#This Row],[N_Tariff]]*TableCosts[[#This Row],[N_ItemsCount]]</f>
        <v>0</v>
      </c>
      <c r="BG398" s="72">
        <f>IF(G398=1,IF(TableCosts[[#This Row],[N_Kateg]]="interné práce",TableCosts[[#This Row],[N_Amount]]*8*PAR_SGA_PERHOUR,0),0)</f>
        <v>0</v>
      </c>
      <c r="BH398" s="72">
        <f>SUM(TableCosts[[#This Row],[N_Direct]:[N_SGA]])</f>
        <v>0</v>
      </c>
      <c r="BI398" s="24">
        <f>IF(G398=1,IF(OR(AND(NOT(ISERROR(VLOOKUP(TableCosts[[#This Row],[Calc_N_Typ]],Cis_WorkPositions,1,0))),C398&lt;&gt;"",D398&lt;&gt;"",E398&lt;&gt;""),AND(ISERROR(VLOOKUP(TableCosts[[#This Row],[Calc_N_Typ]],Cis_WorkPositions,1,0)),C398="",D398="",E398&lt;&gt;""),LEFT(TableCosts[[#This Row],[Calc_N_Typ]],18)="Vynaložené náklady"),VLOOKUP(C398&amp;TableCosts[[#This Row],[Calc_N_Typ]],TRAN_STRITEMS_LABEL,VLOOKUP(D398,Tab_Hours,3,0),0),NA()),0)</f>
        <v>0</v>
      </c>
      <c r="BJ398" s="24">
        <f t="shared" si="102"/>
        <v>0</v>
      </c>
      <c r="BK398" s="24" t="str">
        <f t="shared" si="103"/>
        <v/>
      </c>
      <c r="BL398" s="24" t="str">
        <f t="shared" si="104"/>
        <v/>
      </c>
      <c r="BM398" s="24" t="str">
        <f>IF(G398=1,IF(TableCosts[[#This Row],[TransferFrom]]=TableCosts[[#This Row],[TranferTo]],0,1),"")</f>
        <v/>
      </c>
      <c r="BN398" s="24" t="str">
        <f t="shared" si="105"/>
        <v/>
      </c>
      <c r="BO398" s="24">
        <f t="shared" si="106"/>
        <v>0</v>
      </c>
      <c r="BP398" s="24">
        <f t="shared" si="107"/>
        <v>0</v>
      </c>
    </row>
    <row r="399" spans="2:68" s="24" customFormat="1" ht="12.75" x14ac:dyDescent="0.2">
      <c r="B399" s="97"/>
      <c r="C399" s="92"/>
      <c r="D399" s="92"/>
      <c r="E399" s="92"/>
      <c r="F399" s="31" t="str">
        <f>IF(G399=1,IF(ISERROR(TableCosts[[#This Row],[N_Tariff]]),Err_Message1,IF(TableCosts[[#This Row],[N_Tariff]]=0,Err_Message2,VLOOKUP(C399&amp;TableCosts[[#This Row],[Calc_N_Typ]],TRAN_STRITEMS_LABEL,5,FALSE))),"")</f>
        <v/>
      </c>
      <c r="G399" s="31">
        <f t="shared" si="96"/>
        <v>0</v>
      </c>
      <c r="H399" s="31" t="str">
        <f>IF(G399=1,IFERROR(VLOOKUP(F399,Tab_ErrMessage[],2,0),VLOOKUP(C399&amp;TableCosts[[#This Row],[Calc_N_Typ]],TRAN_STRITEMS_LABEL,4,FALSE)),"")</f>
        <v/>
      </c>
      <c r="I399" s="94"/>
      <c r="J399" s="94"/>
      <c r="K399" s="94"/>
      <c r="L399" s="84"/>
      <c r="M399" s="84"/>
      <c r="N399" s="84"/>
      <c r="O399" s="84"/>
      <c r="P399" s="84"/>
      <c r="Q399" s="84"/>
      <c r="R399" s="84"/>
      <c r="S399" s="84"/>
      <c r="T399" s="84"/>
      <c r="U399" s="84"/>
      <c r="V399" s="84"/>
      <c r="W399" s="84"/>
      <c r="X399" s="84"/>
      <c r="Y399" s="84"/>
      <c r="Z399" s="84"/>
      <c r="AA399" s="84"/>
      <c r="AB399" s="84"/>
      <c r="AC399" s="84"/>
      <c r="AD399" s="84"/>
      <c r="AE399" s="84"/>
      <c r="AF399" s="84"/>
      <c r="AG399" s="84"/>
      <c r="AH399" s="84"/>
      <c r="AI399" s="84"/>
      <c r="AJ399" s="84"/>
      <c r="AK399" s="84"/>
      <c r="AL399" s="84"/>
      <c r="AM399" s="84"/>
      <c r="AN399" s="84"/>
      <c r="AO399" s="84"/>
      <c r="AP399" s="84"/>
      <c r="AQ399" s="84"/>
      <c r="AR399" s="84"/>
      <c r="AS399" s="84"/>
      <c r="AT399" s="84"/>
      <c r="AU399" s="84"/>
      <c r="AV399" s="84"/>
      <c r="AW399" s="84"/>
      <c r="AX399" s="87">
        <f t="array" ref="AX399">IF(G399=1,SUM((ROW(M0)=ROW(AW399))*(M0+M1_+M2_+M3_+M4_+M5_+M6_+M7_+M8_+M9_+M10_+M11_+M12_+M13_+M14_+M15_+M16_+M17_+M18_+M19_+M20_+M21_+M22_+M23_+M24_+M25_+M26_+M27_+M28_+M29_+M30_+M31_+M32_+M33_+M34_+M35_+M36_+M37_)),0)</f>
        <v>0</v>
      </c>
      <c r="AZ399" s="24" t="str">
        <f t="shared" si="97"/>
        <v/>
      </c>
      <c r="BA399" s="24" t="str">
        <f t="shared" si="98"/>
        <v/>
      </c>
      <c r="BB399" s="24" t="str">
        <f t="shared" si="99"/>
        <v/>
      </c>
      <c r="BC399" s="24" t="str">
        <f>IF(OR(E399="",LEFT(TableCosts[[#This Row],[Calc_N_Typ]],18)="Vynaložené náklady"),"",VLOOKUP(E399,Tab_Parts,2,0))</f>
        <v/>
      </c>
      <c r="BD399" s="24" t="str">
        <f t="shared" si="100"/>
        <v/>
      </c>
      <c r="BE399" s="24">
        <f t="shared" si="101"/>
        <v>0</v>
      </c>
      <c r="BF399" s="72">
        <f>TableCosts[[#This Row],[N_Amount]]*TableCosts[[#This Row],[N_Tariff]]*TableCosts[[#This Row],[N_ItemsCount]]</f>
        <v>0</v>
      </c>
      <c r="BG399" s="72">
        <f>IF(G399=1,IF(TableCosts[[#This Row],[N_Kateg]]="interné práce",TableCosts[[#This Row],[N_Amount]]*8*PAR_SGA_PERHOUR,0),0)</f>
        <v>0</v>
      </c>
      <c r="BH399" s="72">
        <f>SUM(TableCosts[[#This Row],[N_Direct]:[N_SGA]])</f>
        <v>0</v>
      </c>
      <c r="BI399" s="24">
        <f>IF(G399=1,IF(OR(AND(NOT(ISERROR(VLOOKUP(TableCosts[[#This Row],[Calc_N_Typ]],Cis_WorkPositions,1,0))),C399&lt;&gt;"",D399&lt;&gt;"",E399&lt;&gt;""),AND(ISERROR(VLOOKUP(TableCosts[[#This Row],[Calc_N_Typ]],Cis_WorkPositions,1,0)),C399="",D399="",E399&lt;&gt;""),LEFT(TableCosts[[#This Row],[Calc_N_Typ]],18)="Vynaložené náklady"),VLOOKUP(C399&amp;TableCosts[[#This Row],[Calc_N_Typ]],TRAN_STRITEMS_LABEL,VLOOKUP(D399,Tab_Hours,3,0),0),NA()),0)</f>
        <v>0</v>
      </c>
      <c r="BJ399" s="24">
        <f t="shared" si="102"/>
        <v>0</v>
      </c>
      <c r="BK399" s="24" t="str">
        <f t="shared" si="103"/>
        <v/>
      </c>
      <c r="BL399" s="24" t="str">
        <f t="shared" si="104"/>
        <v/>
      </c>
      <c r="BM399" s="24" t="str">
        <f>IF(G399=1,IF(TableCosts[[#This Row],[TransferFrom]]=TableCosts[[#This Row],[TranferTo]],0,1),"")</f>
        <v/>
      </c>
      <c r="BN399" s="24" t="str">
        <f t="shared" si="105"/>
        <v/>
      </c>
      <c r="BO399" s="24">
        <f t="shared" si="106"/>
        <v>0</v>
      </c>
      <c r="BP399" s="24">
        <f t="shared" si="107"/>
        <v>0</v>
      </c>
    </row>
    <row r="400" spans="2:68" s="24" customFormat="1" ht="12.75" x14ac:dyDescent="0.2">
      <c r="B400" s="97"/>
      <c r="C400" s="92"/>
      <c r="D400" s="92"/>
      <c r="E400" s="92"/>
      <c r="F400" s="31" t="str">
        <f>IF(G400=1,IF(ISERROR(TableCosts[[#This Row],[N_Tariff]]),Err_Message1,IF(TableCosts[[#This Row],[N_Tariff]]=0,Err_Message2,VLOOKUP(C400&amp;TableCosts[[#This Row],[Calc_N_Typ]],TRAN_STRITEMS_LABEL,5,FALSE))),"")</f>
        <v/>
      </c>
      <c r="G400" s="31">
        <f t="shared" si="96"/>
        <v>0</v>
      </c>
      <c r="H400" s="31" t="str">
        <f>IF(G400=1,IFERROR(VLOOKUP(F400,Tab_ErrMessage[],2,0),VLOOKUP(C400&amp;TableCosts[[#This Row],[Calc_N_Typ]],TRAN_STRITEMS_LABEL,4,FALSE)),"")</f>
        <v/>
      </c>
      <c r="I400" s="94"/>
      <c r="J400" s="94"/>
      <c r="K400" s="94"/>
      <c r="L400" s="84"/>
      <c r="M400" s="84"/>
      <c r="N400" s="84"/>
      <c r="O400" s="84"/>
      <c r="P400" s="84"/>
      <c r="Q400" s="84"/>
      <c r="R400" s="84"/>
      <c r="S400" s="84"/>
      <c r="T400" s="84"/>
      <c r="U400" s="84"/>
      <c r="V400" s="84"/>
      <c r="W400" s="84"/>
      <c r="X400" s="84"/>
      <c r="Y400" s="84"/>
      <c r="Z400" s="84"/>
      <c r="AA400" s="84"/>
      <c r="AB400" s="84"/>
      <c r="AC400" s="84"/>
      <c r="AD400" s="84"/>
      <c r="AE400" s="84"/>
      <c r="AF400" s="84"/>
      <c r="AG400" s="84"/>
      <c r="AH400" s="84"/>
      <c r="AI400" s="84"/>
      <c r="AJ400" s="84"/>
      <c r="AK400" s="84"/>
      <c r="AL400" s="84"/>
      <c r="AM400" s="84"/>
      <c r="AN400" s="84"/>
      <c r="AO400" s="84"/>
      <c r="AP400" s="84"/>
      <c r="AQ400" s="84"/>
      <c r="AR400" s="84"/>
      <c r="AS400" s="84"/>
      <c r="AT400" s="84"/>
      <c r="AU400" s="84"/>
      <c r="AV400" s="84"/>
      <c r="AW400" s="84"/>
      <c r="AX400" s="87">
        <f t="array" ref="AX400">IF(G400=1,SUM((ROW(M0)=ROW(AW400))*(M0+M1_+M2_+M3_+M4_+M5_+M6_+M7_+M8_+M9_+M10_+M11_+M12_+M13_+M14_+M15_+M16_+M17_+M18_+M19_+M20_+M21_+M22_+M23_+M24_+M25_+M26_+M27_+M28_+M29_+M30_+M31_+M32_+M33_+M34_+M35_+M36_+M37_)),0)</f>
        <v>0</v>
      </c>
      <c r="AZ400" s="24" t="str">
        <f t="shared" si="97"/>
        <v/>
      </c>
      <c r="BA400" s="24" t="str">
        <f t="shared" si="98"/>
        <v/>
      </c>
      <c r="BB400" s="24" t="str">
        <f t="shared" si="99"/>
        <v/>
      </c>
      <c r="BC400" s="24" t="str">
        <f>IF(OR(E400="",LEFT(TableCosts[[#This Row],[Calc_N_Typ]],18)="Vynaložené náklady"),"",VLOOKUP(E400,Tab_Parts,2,0))</f>
        <v/>
      </c>
      <c r="BD400" s="24" t="str">
        <f t="shared" si="100"/>
        <v/>
      </c>
      <c r="BE400" s="24">
        <f t="shared" si="101"/>
        <v>0</v>
      </c>
      <c r="BF400" s="72">
        <f>TableCosts[[#This Row],[N_Amount]]*TableCosts[[#This Row],[N_Tariff]]*TableCosts[[#This Row],[N_ItemsCount]]</f>
        <v>0</v>
      </c>
      <c r="BG400" s="72">
        <f>IF(G400=1,IF(TableCosts[[#This Row],[N_Kateg]]="interné práce",TableCosts[[#This Row],[N_Amount]]*8*PAR_SGA_PERHOUR,0),0)</f>
        <v>0</v>
      </c>
      <c r="BH400" s="72">
        <f>SUM(TableCosts[[#This Row],[N_Direct]:[N_SGA]])</f>
        <v>0</v>
      </c>
      <c r="BI400" s="24">
        <f>IF(G400=1,IF(OR(AND(NOT(ISERROR(VLOOKUP(TableCosts[[#This Row],[Calc_N_Typ]],Cis_WorkPositions,1,0))),C400&lt;&gt;"",D400&lt;&gt;"",E400&lt;&gt;""),AND(ISERROR(VLOOKUP(TableCosts[[#This Row],[Calc_N_Typ]],Cis_WorkPositions,1,0)),C400="",D400="",E400&lt;&gt;""),LEFT(TableCosts[[#This Row],[Calc_N_Typ]],18)="Vynaložené náklady"),VLOOKUP(C400&amp;TableCosts[[#This Row],[Calc_N_Typ]],TRAN_STRITEMS_LABEL,VLOOKUP(D400,Tab_Hours,3,0),0),NA()),0)</f>
        <v>0</v>
      </c>
      <c r="BJ400" s="24">
        <f t="shared" si="102"/>
        <v>0</v>
      </c>
      <c r="BK400" s="24" t="str">
        <f t="shared" si="103"/>
        <v/>
      </c>
      <c r="BL400" s="24" t="str">
        <f t="shared" si="104"/>
        <v/>
      </c>
      <c r="BM400" s="24" t="str">
        <f>IF(G400=1,IF(TableCosts[[#This Row],[TransferFrom]]=TableCosts[[#This Row],[TranferTo]],0,1),"")</f>
        <v/>
      </c>
      <c r="BN400" s="24" t="str">
        <f t="shared" si="105"/>
        <v/>
      </c>
      <c r="BO400" s="24">
        <f t="shared" si="106"/>
        <v>0</v>
      </c>
      <c r="BP400" s="24">
        <f t="shared" si="107"/>
        <v>0</v>
      </c>
    </row>
    <row r="401" spans="2:68" s="24" customFormat="1" ht="12.75" x14ac:dyDescent="0.2">
      <c r="B401" s="97"/>
      <c r="C401" s="92"/>
      <c r="D401" s="92"/>
      <c r="E401" s="92"/>
      <c r="F401" s="31" t="str">
        <f>IF(G401=1,IF(ISERROR(TableCosts[[#This Row],[N_Tariff]]),Err_Message1,IF(TableCosts[[#This Row],[N_Tariff]]=0,Err_Message2,VLOOKUP(C401&amp;TableCosts[[#This Row],[Calc_N_Typ]],TRAN_STRITEMS_LABEL,5,FALSE))),"")</f>
        <v/>
      </c>
      <c r="G401" s="31">
        <f t="shared" si="96"/>
        <v>0</v>
      </c>
      <c r="H401" s="31" t="str">
        <f>IF(G401=1,IFERROR(VLOOKUP(F401,Tab_ErrMessage[],2,0),VLOOKUP(C401&amp;TableCosts[[#This Row],[Calc_N_Typ]],TRAN_STRITEMS_LABEL,4,FALSE)),"")</f>
        <v/>
      </c>
      <c r="I401" s="94"/>
      <c r="J401" s="94"/>
      <c r="K401" s="94"/>
      <c r="L401" s="84"/>
      <c r="M401" s="84"/>
      <c r="N401" s="84"/>
      <c r="O401" s="84"/>
      <c r="P401" s="84"/>
      <c r="Q401" s="84"/>
      <c r="R401" s="84"/>
      <c r="S401" s="84"/>
      <c r="T401" s="84"/>
      <c r="U401" s="84"/>
      <c r="V401" s="84"/>
      <c r="W401" s="84"/>
      <c r="X401" s="84"/>
      <c r="Y401" s="84"/>
      <c r="Z401" s="84"/>
      <c r="AA401" s="84"/>
      <c r="AB401" s="84"/>
      <c r="AC401" s="84"/>
      <c r="AD401" s="84"/>
      <c r="AE401" s="84"/>
      <c r="AF401" s="84"/>
      <c r="AG401" s="84"/>
      <c r="AH401" s="84"/>
      <c r="AI401" s="84"/>
      <c r="AJ401" s="84"/>
      <c r="AK401" s="84"/>
      <c r="AL401" s="84"/>
      <c r="AM401" s="84"/>
      <c r="AN401" s="84"/>
      <c r="AO401" s="84"/>
      <c r="AP401" s="84"/>
      <c r="AQ401" s="84"/>
      <c r="AR401" s="84"/>
      <c r="AS401" s="84"/>
      <c r="AT401" s="84"/>
      <c r="AU401" s="84"/>
      <c r="AV401" s="84"/>
      <c r="AW401" s="84"/>
      <c r="AX401" s="87">
        <f t="array" ref="AX401">IF(G401=1,SUM((ROW(M0)=ROW(AW401))*(M0+M1_+M2_+M3_+M4_+M5_+M6_+M7_+M8_+M9_+M10_+M11_+M12_+M13_+M14_+M15_+M16_+M17_+M18_+M19_+M20_+M21_+M22_+M23_+M24_+M25_+M26_+M27_+M28_+M29_+M30_+M31_+M32_+M33_+M34_+M35_+M36_+M37_)),0)</f>
        <v>0</v>
      </c>
      <c r="AZ401" s="24" t="str">
        <f t="shared" si="97"/>
        <v/>
      </c>
      <c r="BA401" s="24" t="str">
        <f t="shared" si="98"/>
        <v/>
      </c>
      <c r="BB401" s="24" t="str">
        <f t="shared" si="99"/>
        <v/>
      </c>
      <c r="BC401" s="24" t="str">
        <f>IF(OR(E401="",LEFT(TableCosts[[#This Row],[Calc_N_Typ]],18)="Vynaložené náklady"),"",VLOOKUP(E401,Tab_Parts,2,0))</f>
        <v/>
      </c>
      <c r="BD401" s="24" t="str">
        <f t="shared" si="100"/>
        <v/>
      </c>
      <c r="BE401" s="24">
        <f t="shared" si="101"/>
        <v>0</v>
      </c>
      <c r="BF401" s="72">
        <f>TableCosts[[#This Row],[N_Amount]]*TableCosts[[#This Row],[N_Tariff]]*TableCosts[[#This Row],[N_ItemsCount]]</f>
        <v>0</v>
      </c>
      <c r="BG401" s="72">
        <f>IF(G401=1,IF(TableCosts[[#This Row],[N_Kateg]]="interné práce",TableCosts[[#This Row],[N_Amount]]*8*PAR_SGA_PERHOUR,0),0)</f>
        <v>0</v>
      </c>
      <c r="BH401" s="72">
        <f>SUM(TableCosts[[#This Row],[N_Direct]:[N_SGA]])</f>
        <v>0</v>
      </c>
      <c r="BI401" s="24">
        <f>IF(G401=1,IF(OR(AND(NOT(ISERROR(VLOOKUP(TableCosts[[#This Row],[Calc_N_Typ]],Cis_WorkPositions,1,0))),C401&lt;&gt;"",D401&lt;&gt;"",E401&lt;&gt;""),AND(ISERROR(VLOOKUP(TableCosts[[#This Row],[Calc_N_Typ]],Cis_WorkPositions,1,0)),C401="",D401="",E401&lt;&gt;""),LEFT(TableCosts[[#This Row],[Calc_N_Typ]],18)="Vynaložené náklady"),VLOOKUP(C401&amp;TableCosts[[#This Row],[Calc_N_Typ]],TRAN_STRITEMS_LABEL,VLOOKUP(D401,Tab_Hours,3,0),0),NA()),0)</f>
        <v>0</v>
      </c>
      <c r="BJ401" s="24">
        <f t="shared" si="102"/>
        <v>0</v>
      </c>
      <c r="BK401" s="24" t="str">
        <f t="shared" si="103"/>
        <v/>
      </c>
      <c r="BL401" s="24" t="str">
        <f t="shared" si="104"/>
        <v/>
      </c>
      <c r="BM401" s="24" t="str">
        <f>IF(G401=1,IF(TableCosts[[#This Row],[TransferFrom]]=TableCosts[[#This Row],[TranferTo]],0,1),"")</f>
        <v/>
      </c>
      <c r="BN401" s="24" t="str">
        <f t="shared" si="105"/>
        <v/>
      </c>
      <c r="BO401" s="24">
        <f t="shared" si="106"/>
        <v>0</v>
      </c>
      <c r="BP401" s="24">
        <f t="shared" si="107"/>
        <v>0</v>
      </c>
    </row>
    <row r="402" spans="2:68" s="24" customFormat="1" ht="12.75" x14ac:dyDescent="0.2">
      <c r="B402" s="97"/>
      <c r="C402" s="92"/>
      <c r="D402" s="92"/>
      <c r="E402" s="92"/>
      <c r="F402" s="31" t="str">
        <f>IF(G402=1,IF(ISERROR(TableCosts[[#This Row],[N_Tariff]]),Err_Message1,IF(TableCosts[[#This Row],[N_Tariff]]=0,Err_Message2,VLOOKUP(C402&amp;TableCosts[[#This Row],[Calc_N_Typ]],TRAN_STRITEMS_LABEL,5,FALSE))),"")</f>
        <v/>
      </c>
      <c r="G402" s="31">
        <f t="shared" si="96"/>
        <v>0</v>
      </c>
      <c r="H402" s="31" t="str">
        <f>IF(G402=1,IFERROR(VLOOKUP(F402,Tab_ErrMessage[],2,0),VLOOKUP(C402&amp;TableCosts[[#This Row],[Calc_N_Typ]],TRAN_STRITEMS_LABEL,4,FALSE)),"")</f>
        <v/>
      </c>
      <c r="I402" s="94"/>
      <c r="J402" s="94"/>
      <c r="K402" s="94"/>
      <c r="L402" s="84"/>
      <c r="M402" s="84"/>
      <c r="N402" s="84"/>
      <c r="O402" s="84"/>
      <c r="P402" s="84"/>
      <c r="Q402" s="84"/>
      <c r="R402" s="84"/>
      <c r="S402" s="84"/>
      <c r="T402" s="84"/>
      <c r="U402" s="84"/>
      <c r="V402" s="84"/>
      <c r="W402" s="84"/>
      <c r="X402" s="84"/>
      <c r="Y402" s="84"/>
      <c r="Z402" s="84"/>
      <c r="AA402" s="84"/>
      <c r="AB402" s="84"/>
      <c r="AC402" s="84"/>
      <c r="AD402" s="84"/>
      <c r="AE402" s="84"/>
      <c r="AF402" s="84"/>
      <c r="AG402" s="84"/>
      <c r="AH402" s="84"/>
      <c r="AI402" s="84"/>
      <c r="AJ402" s="84"/>
      <c r="AK402" s="84"/>
      <c r="AL402" s="84"/>
      <c r="AM402" s="84"/>
      <c r="AN402" s="84"/>
      <c r="AO402" s="84"/>
      <c r="AP402" s="84"/>
      <c r="AQ402" s="84"/>
      <c r="AR402" s="84"/>
      <c r="AS402" s="84"/>
      <c r="AT402" s="84"/>
      <c r="AU402" s="84"/>
      <c r="AV402" s="84"/>
      <c r="AW402" s="84"/>
      <c r="AX402" s="87">
        <f t="array" ref="AX402">IF(G402=1,SUM((ROW(M0)=ROW(AW402))*(M0+M1_+M2_+M3_+M4_+M5_+M6_+M7_+M8_+M9_+M10_+M11_+M12_+M13_+M14_+M15_+M16_+M17_+M18_+M19_+M20_+M21_+M22_+M23_+M24_+M25_+M26_+M27_+M28_+M29_+M30_+M31_+M32_+M33_+M34_+M35_+M36_+M37_)),0)</f>
        <v>0</v>
      </c>
      <c r="AZ402" s="24" t="str">
        <f t="shared" si="97"/>
        <v/>
      </c>
      <c r="BA402" s="24" t="str">
        <f t="shared" si="98"/>
        <v/>
      </c>
      <c r="BB402" s="24" t="str">
        <f t="shared" si="99"/>
        <v/>
      </c>
      <c r="BC402" s="24" t="str">
        <f>IF(OR(E402="",LEFT(TableCosts[[#This Row],[Calc_N_Typ]],18)="Vynaložené náklady"),"",VLOOKUP(E402,Tab_Parts,2,0))</f>
        <v/>
      </c>
      <c r="BD402" s="24" t="str">
        <f t="shared" si="100"/>
        <v/>
      </c>
      <c r="BE402" s="24">
        <f t="shared" si="101"/>
        <v>0</v>
      </c>
      <c r="BF402" s="72">
        <f>TableCosts[[#This Row],[N_Amount]]*TableCosts[[#This Row],[N_Tariff]]*TableCosts[[#This Row],[N_ItemsCount]]</f>
        <v>0</v>
      </c>
      <c r="BG402" s="72">
        <f>IF(G402=1,IF(TableCosts[[#This Row],[N_Kateg]]="interné práce",TableCosts[[#This Row],[N_Amount]]*8*PAR_SGA_PERHOUR,0),0)</f>
        <v>0</v>
      </c>
      <c r="BH402" s="72">
        <f>SUM(TableCosts[[#This Row],[N_Direct]:[N_SGA]])</f>
        <v>0</v>
      </c>
      <c r="BI402" s="24">
        <f>IF(G402=1,IF(OR(AND(NOT(ISERROR(VLOOKUP(TableCosts[[#This Row],[Calc_N_Typ]],Cis_WorkPositions,1,0))),C402&lt;&gt;"",D402&lt;&gt;"",E402&lt;&gt;""),AND(ISERROR(VLOOKUP(TableCosts[[#This Row],[Calc_N_Typ]],Cis_WorkPositions,1,0)),C402="",D402="",E402&lt;&gt;""),LEFT(TableCosts[[#This Row],[Calc_N_Typ]],18)="Vynaložené náklady"),VLOOKUP(C402&amp;TableCosts[[#This Row],[Calc_N_Typ]],TRAN_STRITEMS_LABEL,VLOOKUP(D402,Tab_Hours,3,0),0),NA()),0)</f>
        <v>0</v>
      </c>
      <c r="BJ402" s="24">
        <f t="shared" si="102"/>
        <v>0</v>
      </c>
      <c r="BK402" s="24" t="str">
        <f t="shared" si="103"/>
        <v/>
      </c>
      <c r="BL402" s="24" t="str">
        <f t="shared" si="104"/>
        <v/>
      </c>
      <c r="BM402" s="24" t="str">
        <f>IF(G402=1,IF(TableCosts[[#This Row],[TransferFrom]]=TableCosts[[#This Row],[TranferTo]],0,1),"")</f>
        <v/>
      </c>
      <c r="BN402" s="24" t="str">
        <f t="shared" si="105"/>
        <v/>
      </c>
      <c r="BO402" s="24">
        <f t="shared" si="106"/>
        <v>0</v>
      </c>
      <c r="BP402" s="24">
        <f t="shared" si="107"/>
        <v>0</v>
      </c>
    </row>
    <row r="403" spans="2:68" s="24" customFormat="1" ht="12.75" x14ac:dyDescent="0.2">
      <c r="B403" s="97"/>
      <c r="C403" s="92"/>
      <c r="D403" s="92"/>
      <c r="E403" s="92"/>
      <c r="F403" s="31" t="str">
        <f>IF(G403=1,IF(ISERROR(TableCosts[[#This Row],[N_Tariff]]),Err_Message1,IF(TableCosts[[#This Row],[N_Tariff]]=0,Err_Message2,VLOOKUP(C403&amp;TableCosts[[#This Row],[Calc_N_Typ]],TRAN_STRITEMS_LABEL,5,FALSE))),"")</f>
        <v/>
      </c>
      <c r="G403" s="31">
        <f t="shared" si="96"/>
        <v>0</v>
      </c>
      <c r="H403" s="31" t="str">
        <f>IF(G403=1,IFERROR(VLOOKUP(F403,Tab_ErrMessage[],2,0),VLOOKUP(C403&amp;TableCosts[[#This Row],[Calc_N_Typ]],TRAN_STRITEMS_LABEL,4,FALSE)),"")</f>
        <v/>
      </c>
      <c r="I403" s="94"/>
      <c r="J403" s="94"/>
      <c r="K403" s="94"/>
      <c r="L403" s="84"/>
      <c r="M403" s="84"/>
      <c r="N403" s="84"/>
      <c r="O403" s="84"/>
      <c r="P403" s="84"/>
      <c r="Q403" s="84"/>
      <c r="R403" s="84"/>
      <c r="S403" s="84"/>
      <c r="T403" s="84"/>
      <c r="U403" s="84"/>
      <c r="V403" s="84"/>
      <c r="W403" s="84"/>
      <c r="X403" s="84"/>
      <c r="Y403" s="84"/>
      <c r="Z403" s="84"/>
      <c r="AA403" s="84"/>
      <c r="AB403" s="84"/>
      <c r="AC403" s="84"/>
      <c r="AD403" s="84"/>
      <c r="AE403" s="84"/>
      <c r="AF403" s="84"/>
      <c r="AG403" s="84"/>
      <c r="AH403" s="84"/>
      <c r="AI403" s="84"/>
      <c r="AJ403" s="84"/>
      <c r="AK403" s="84"/>
      <c r="AL403" s="84"/>
      <c r="AM403" s="84"/>
      <c r="AN403" s="84"/>
      <c r="AO403" s="84"/>
      <c r="AP403" s="84"/>
      <c r="AQ403" s="84"/>
      <c r="AR403" s="84"/>
      <c r="AS403" s="84"/>
      <c r="AT403" s="84"/>
      <c r="AU403" s="84"/>
      <c r="AV403" s="84"/>
      <c r="AW403" s="84"/>
      <c r="AX403" s="87">
        <f t="array" ref="AX403">IF(G403=1,SUM((ROW(M0)=ROW(AW403))*(M0+M1_+M2_+M3_+M4_+M5_+M6_+M7_+M8_+M9_+M10_+M11_+M12_+M13_+M14_+M15_+M16_+M17_+M18_+M19_+M20_+M21_+M22_+M23_+M24_+M25_+M26_+M27_+M28_+M29_+M30_+M31_+M32_+M33_+M34_+M35_+M36_+M37_)),0)</f>
        <v>0</v>
      </c>
      <c r="AZ403" s="24" t="str">
        <f t="shared" si="97"/>
        <v/>
      </c>
      <c r="BA403" s="24" t="str">
        <f t="shared" si="98"/>
        <v/>
      </c>
      <c r="BB403" s="24" t="str">
        <f t="shared" si="99"/>
        <v/>
      </c>
      <c r="BC403" s="24" t="str">
        <f>IF(OR(E403="",LEFT(TableCosts[[#This Row],[Calc_N_Typ]],18)="Vynaložené náklady"),"",VLOOKUP(E403,Tab_Parts,2,0))</f>
        <v/>
      </c>
      <c r="BD403" s="24" t="str">
        <f t="shared" si="100"/>
        <v/>
      </c>
      <c r="BE403" s="24">
        <f t="shared" si="101"/>
        <v>0</v>
      </c>
      <c r="BF403" s="72">
        <f>TableCosts[[#This Row],[N_Amount]]*TableCosts[[#This Row],[N_Tariff]]*TableCosts[[#This Row],[N_ItemsCount]]</f>
        <v>0</v>
      </c>
      <c r="BG403" s="72">
        <f>IF(G403=1,IF(TableCosts[[#This Row],[N_Kateg]]="interné práce",TableCosts[[#This Row],[N_Amount]]*8*PAR_SGA_PERHOUR,0),0)</f>
        <v>0</v>
      </c>
      <c r="BH403" s="72">
        <f>SUM(TableCosts[[#This Row],[N_Direct]:[N_SGA]])</f>
        <v>0</v>
      </c>
      <c r="BI403" s="24">
        <f>IF(G403=1,IF(OR(AND(NOT(ISERROR(VLOOKUP(TableCosts[[#This Row],[Calc_N_Typ]],Cis_WorkPositions,1,0))),C403&lt;&gt;"",D403&lt;&gt;"",E403&lt;&gt;""),AND(ISERROR(VLOOKUP(TableCosts[[#This Row],[Calc_N_Typ]],Cis_WorkPositions,1,0)),C403="",D403="",E403&lt;&gt;""),LEFT(TableCosts[[#This Row],[Calc_N_Typ]],18)="Vynaložené náklady"),VLOOKUP(C403&amp;TableCosts[[#This Row],[Calc_N_Typ]],TRAN_STRITEMS_LABEL,VLOOKUP(D403,Tab_Hours,3,0),0),NA()),0)</f>
        <v>0</v>
      </c>
      <c r="BJ403" s="24">
        <f t="shared" si="102"/>
        <v>0</v>
      </c>
      <c r="BK403" s="24" t="str">
        <f t="shared" si="103"/>
        <v/>
      </c>
      <c r="BL403" s="24" t="str">
        <f t="shared" si="104"/>
        <v/>
      </c>
      <c r="BM403" s="24" t="str">
        <f>IF(G403=1,IF(TableCosts[[#This Row],[TransferFrom]]=TableCosts[[#This Row],[TranferTo]],0,1),"")</f>
        <v/>
      </c>
      <c r="BN403" s="24" t="str">
        <f t="shared" si="105"/>
        <v/>
      </c>
      <c r="BO403" s="24">
        <f t="shared" si="106"/>
        <v>0</v>
      </c>
      <c r="BP403" s="24">
        <f t="shared" si="107"/>
        <v>0</v>
      </c>
    </row>
    <row r="404" spans="2:68" s="24" customFormat="1" ht="12.75" x14ac:dyDescent="0.2">
      <c r="B404" s="97"/>
      <c r="C404" s="92"/>
      <c r="D404" s="92"/>
      <c r="E404" s="92"/>
      <c r="F404" s="31" t="str">
        <f>IF(G404=1,IF(ISERROR(TableCosts[[#This Row],[N_Tariff]]),Err_Message1,IF(TableCosts[[#This Row],[N_Tariff]]=0,Err_Message2,VLOOKUP(C404&amp;TableCosts[[#This Row],[Calc_N_Typ]],TRAN_STRITEMS_LABEL,5,FALSE))),"")</f>
        <v/>
      </c>
      <c r="G404" s="31">
        <f t="shared" si="96"/>
        <v>0</v>
      </c>
      <c r="H404" s="31" t="str">
        <f>IF(G404=1,IFERROR(VLOOKUP(F404,Tab_ErrMessage[],2,0),VLOOKUP(C404&amp;TableCosts[[#This Row],[Calc_N_Typ]],TRAN_STRITEMS_LABEL,4,FALSE)),"")</f>
        <v/>
      </c>
      <c r="I404" s="94"/>
      <c r="J404" s="94"/>
      <c r="K404" s="94"/>
      <c r="L404" s="84"/>
      <c r="M404" s="84"/>
      <c r="N404" s="84"/>
      <c r="O404" s="84"/>
      <c r="P404" s="84"/>
      <c r="Q404" s="84"/>
      <c r="R404" s="84"/>
      <c r="S404" s="84"/>
      <c r="T404" s="84"/>
      <c r="U404" s="84"/>
      <c r="V404" s="84"/>
      <c r="W404" s="84"/>
      <c r="X404" s="84"/>
      <c r="Y404" s="84"/>
      <c r="Z404" s="84"/>
      <c r="AA404" s="84"/>
      <c r="AB404" s="84"/>
      <c r="AC404" s="84"/>
      <c r="AD404" s="84"/>
      <c r="AE404" s="84"/>
      <c r="AF404" s="84"/>
      <c r="AG404" s="84"/>
      <c r="AH404" s="84"/>
      <c r="AI404" s="84"/>
      <c r="AJ404" s="84"/>
      <c r="AK404" s="84"/>
      <c r="AL404" s="84"/>
      <c r="AM404" s="84"/>
      <c r="AN404" s="84"/>
      <c r="AO404" s="84"/>
      <c r="AP404" s="84"/>
      <c r="AQ404" s="84"/>
      <c r="AR404" s="84"/>
      <c r="AS404" s="84"/>
      <c r="AT404" s="84"/>
      <c r="AU404" s="84"/>
      <c r="AV404" s="84"/>
      <c r="AW404" s="84"/>
      <c r="AX404" s="87">
        <f t="array" ref="AX404">IF(G404=1,SUM((ROW(M0)=ROW(AW404))*(M0+M1_+M2_+M3_+M4_+M5_+M6_+M7_+M8_+M9_+M10_+M11_+M12_+M13_+M14_+M15_+M16_+M17_+M18_+M19_+M20_+M21_+M22_+M23_+M24_+M25_+M26_+M27_+M28_+M29_+M30_+M31_+M32_+M33_+M34_+M35_+M36_+M37_)),0)</f>
        <v>0</v>
      </c>
      <c r="AZ404" s="24" t="str">
        <f t="shared" si="97"/>
        <v/>
      </c>
      <c r="BA404" s="24" t="str">
        <f t="shared" si="98"/>
        <v/>
      </c>
      <c r="BB404" s="24" t="str">
        <f t="shared" si="99"/>
        <v/>
      </c>
      <c r="BC404" s="24" t="str">
        <f>IF(OR(E404="",LEFT(TableCosts[[#This Row],[Calc_N_Typ]],18)="Vynaložené náklady"),"",VLOOKUP(E404,Tab_Parts,2,0))</f>
        <v/>
      </c>
      <c r="BD404" s="24" t="str">
        <f t="shared" si="100"/>
        <v/>
      </c>
      <c r="BE404" s="24">
        <f t="shared" si="101"/>
        <v>0</v>
      </c>
      <c r="BF404" s="72">
        <f>TableCosts[[#This Row],[N_Amount]]*TableCosts[[#This Row],[N_Tariff]]*TableCosts[[#This Row],[N_ItemsCount]]</f>
        <v>0</v>
      </c>
      <c r="BG404" s="72">
        <f>IF(G404=1,IF(TableCosts[[#This Row],[N_Kateg]]="interné práce",TableCosts[[#This Row],[N_Amount]]*8*PAR_SGA_PERHOUR,0),0)</f>
        <v>0</v>
      </c>
      <c r="BH404" s="72">
        <f>SUM(TableCosts[[#This Row],[N_Direct]:[N_SGA]])</f>
        <v>0</v>
      </c>
      <c r="BI404" s="24">
        <f>IF(G404=1,IF(OR(AND(NOT(ISERROR(VLOOKUP(TableCosts[[#This Row],[Calc_N_Typ]],Cis_WorkPositions,1,0))),C404&lt;&gt;"",D404&lt;&gt;"",E404&lt;&gt;""),AND(ISERROR(VLOOKUP(TableCosts[[#This Row],[Calc_N_Typ]],Cis_WorkPositions,1,0)),C404="",D404="",E404&lt;&gt;""),LEFT(TableCosts[[#This Row],[Calc_N_Typ]],18)="Vynaložené náklady"),VLOOKUP(C404&amp;TableCosts[[#This Row],[Calc_N_Typ]],TRAN_STRITEMS_LABEL,VLOOKUP(D404,Tab_Hours,3,0),0),NA()),0)</f>
        <v>0</v>
      </c>
      <c r="BJ404" s="24">
        <f t="shared" si="102"/>
        <v>0</v>
      </c>
      <c r="BK404" s="24" t="str">
        <f t="shared" si="103"/>
        <v/>
      </c>
      <c r="BL404" s="24" t="str">
        <f t="shared" si="104"/>
        <v/>
      </c>
      <c r="BM404" s="24" t="str">
        <f>IF(G404=1,IF(TableCosts[[#This Row],[TransferFrom]]=TableCosts[[#This Row],[TranferTo]],0,1),"")</f>
        <v/>
      </c>
      <c r="BN404" s="24" t="str">
        <f t="shared" si="105"/>
        <v/>
      </c>
      <c r="BO404" s="24">
        <f t="shared" si="106"/>
        <v>0</v>
      </c>
      <c r="BP404" s="24">
        <f t="shared" si="107"/>
        <v>0</v>
      </c>
    </row>
    <row r="405" spans="2:68" s="24" customFormat="1" ht="12.75" x14ac:dyDescent="0.2">
      <c r="B405" s="97"/>
      <c r="C405" s="92"/>
      <c r="D405" s="92"/>
      <c r="E405" s="92"/>
      <c r="F405" s="31" t="str">
        <f>IF(G405=1,IF(ISERROR(TableCosts[[#This Row],[N_Tariff]]),Err_Message1,IF(TableCosts[[#This Row],[N_Tariff]]=0,Err_Message2,VLOOKUP(C405&amp;TableCosts[[#This Row],[Calc_N_Typ]],TRAN_STRITEMS_LABEL,5,FALSE))),"")</f>
        <v/>
      </c>
      <c r="G405" s="31">
        <f t="shared" si="96"/>
        <v>0</v>
      </c>
      <c r="H405" s="31" t="str">
        <f>IF(G405=1,IFERROR(VLOOKUP(F405,Tab_ErrMessage[],2,0),VLOOKUP(C405&amp;TableCosts[[#This Row],[Calc_N_Typ]],TRAN_STRITEMS_LABEL,4,FALSE)),"")</f>
        <v/>
      </c>
      <c r="I405" s="94"/>
      <c r="J405" s="94"/>
      <c r="K405" s="94"/>
      <c r="L405" s="84"/>
      <c r="M405" s="84"/>
      <c r="N405" s="84"/>
      <c r="O405" s="84"/>
      <c r="P405" s="84"/>
      <c r="Q405" s="84"/>
      <c r="R405" s="84"/>
      <c r="S405" s="84"/>
      <c r="T405" s="84"/>
      <c r="U405" s="84"/>
      <c r="V405" s="84"/>
      <c r="W405" s="84"/>
      <c r="X405" s="84"/>
      <c r="Y405" s="84"/>
      <c r="Z405" s="84"/>
      <c r="AA405" s="84"/>
      <c r="AB405" s="84"/>
      <c r="AC405" s="84"/>
      <c r="AD405" s="84"/>
      <c r="AE405" s="84"/>
      <c r="AF405" s="84"/>
      <c r="AG405" s="84"/>
      <c r="AH405" s="84"/>
      <c r="AI405" s="84"/>
      <c r="AJ405" s="84"/>
      <c r="AK405" s="84"/>
      <c r="AL405" s="84"/>
      <c r="AM405" s="84"/>
      <c r="AN405" s="84"/>
      <c r="AO405" s="84"/>
      <c r="AP405" s="84"/>
      <c r="AQ405" s="84"/>
      <c r="AR405" s="84"/>
      <c r="AS405" s="84"/>
      <c r="AT405" s="84"/>
      <c r="AU405" s="84"/>
      <c r="AV405" s="84"/>
      <c r="AW405" s="84"/>
      <c r="AX405" s="87">
        <f t="array" ref="AX405">IF(G405=1,SUM((ROW(M0)=ROW(AW405))*(M0+M1_+M2_+M3_+M4_+M5_+M6_+M7_+M8_+M9_+M10_+M11_+M12_+M13_+M14_+M15_+M16_+M17_+M18_+M19_+M20_+M21_+M22_+M23_+M24_+M25_+M26_+M27_+M28_+M29_+M30_+M31_+M32_+M33_+M34_+M35_+M36_+M37_)),0)</f>
        <v>0</v>
      </c>
      <c r="AZ405" s="24" t="str">
        <f t="shared" si="97"/>
        <v/>
      </c>
      <c r="BA405" s="24" t="str">
        <f t="shared" si="98"/>
        <v/>
      </c>
      <c r="BB405" s="24" t="str">
        <f t="shared" si="99"/>
        <v/>
      </c>
      <c r="BC405" s="24" t="str">
        <f>IF(OR(E405="",LEFT(TableCosts[[#This Row],[Calc_N_Typ]],18)="Vynaložené náklady"),"",VLOOKUP(E405,Tab_Parts,2,0))</f>
        <v/>
      </c>
      <c r="BD405" s="24" t="str">
        <f t="shared" si="100"/>
        <v/>
      </c>
      <c r="BE405" s="24">
        <f t="shared" si="101"/>
        <v>0</v>
      </c>
      <c r="BF405" s="72">
        <f>TableCosts[[#This Row],[N_Amount]]*TableCosts[[#This Row],[N_Tariff]]*TableCosts[[#This Row],[N_ItemsCount]]</f>
        <v>0</v>
      </c>
      <c r="BG405" s="72">
        <f>IF(G405=1,IF(TableCosts[[#This Row],[N_Kateg]]="interné práce",TableCosts[[#This Row],[N_Amount]]*8*PAR_SGA_PERHOUR,0),0)</f>
        <v>0</v>
      </c>
      <c r="BH405" s="72">
        <f>SUM(TableCosts[[#This Row],[N_Direct]:[N_SGA]])</f>
        <v>0</v>
      </c>
      <c r="BI405" s="24">
        <f>IF(G405=1,IF(OR(AND(NOT(ISERROR(VLOOKUP(TableCosts[[#This Row],[Calc_N_Typ]],Cis_WorkPositions,1,0))),C405&lt;&gt;"",D405&lt;&gt;"",E405&lt;&gt;""),AND(ISERROR(VLOOKUP(TableCosts[[#This Row],[Calc_N_Typ]],Cis_WorkPositions,1,0)),C405="",D405="",E405&lt;&gt;""),LEFT(TableCosts[[#This Row],[Calc_N_Typ]],18)="Vynaložené náklady"),VLOOKUP(C405&amp;TableCosts[[#This Row],[Calc_N_Typ]],TRAN_STRITEMS_LABEL,VLOOKUP(D405,Tab_Hours,3,0),0),NA()),0)</f>
        <v>0</v>
      </c>
      <c r="BJ405" s="24">
        <f t="shared" si="102"/>
        <v>0</v>
      </c>
      <c r="BK405" s="24" t="str">
        <f t="shared" si="103"/>
        <v/>
      </c>
      <c r="BL405" s="24" t="str">
        <f t="shared" si="104"/>
        <v/>
      </c>
      <c r="BM405" s="24" t="str">
        <f>IF(G405=1,IF(TableCosts[[#This Row],[TransferFrom]]=TableCosts[[#This Row],[TranferTo]],0,1),"")</f>
        <v/>
      </c>
      <c r="BN405" s="24" t="str">
        <f t="shared" si="105"/>
        <v/>
      </c>
      <c r="BO405" s="24">
        <f t="shared" si="106"/>
        <v>0</v>
      </c>
      <c r="BP405" s="24">
        <f t="shared" si="107"/>
        <v>0</v>
      </c>
    </row>
    <row r="406" spans="2:68" s="24" customFormat="1" ht="12.75" x14ac:dyDescent="0.2">
      <c r="B406" s="97"/>
      <c r="C406" s="92"/>
      <c r="D406" s="92"/>
      <c r="E406" s="92"/>
      <c r="F406" s="31" t="str">
        <f>IF(G406=1,IF(ISERROR(TableCosts[[#This Row],[N_Tariff]]),Err_Message1,IF(TableCosts[[#This Row],[N_Tariff]]=0,Err_Message2,VLOOKUP(C406&amp;TableCosts[[#This Row],[Calc_N_Typ]],TRAN_STRITEMS_LABEL,5,FALSE))),"")</f>
        <v/>
      </c>
      <c r="G406" s="31">
        <f t="shared" si="96"/>
        <v>0</v>
      </c>
      <c r="H406" s="31" t="str">
        <f>IF(G406=1,IFERROR(VLOOKUP(F406,Tab_ErrMessage[],2,0),VLOOKUP(C406&amp;TableCosts[[#This Row],[Calc_N_Typ]],TRAN_STRITEMS_LABEL,4,FALSE)),"")</f>
        <v/>
      </c>
      <c r="I406" s="94"/>
      <c r="J406" s="94"/>
      <c r="K406" s="94"/>
      <c r="L406" s="84"/>
      <c r="M406" s="84"/>
      <c r="N406" s="84"/>
      <c r="O406" s="84"/>
      <c r="P406" s="84"/>
      <c r="Q406" s="84"/>
      <c r="R406" s="84"/>
      <c r="S406" s="84"/>
      <c r="T406" s="84"/>
      <c r="U406" s="84"/>
      <c r="V406" s="84"/>
      <c r="W406" s="84"/>
      <c r="X406" s="84"/>
      <c r="Y406" s="84"/>
      <c r="Z406" s="84"/>
      <c r="AA406" s="84"/>
      <c r="AB406" s="84"/>
      <c r="AC406" s="84"/>
      <c r="AD406" s="84"/>
      <c r="AE406" s="84"/>
      <c r="AF406" s="84"/>
      <c r="AG406" s="84"/>
      <c r="AH406" s="84"/>
      <c r="AI406" s="84"/>
      <c r="AJ406" s="84"/>
      <c r="AK406" s="84"/>
      <c r="AL406" s="84"/>
      <c r="AM406" s="84"/>
      <c r="AN406" s="84"/>
      <c r="AO406" s="84"/>
      <c r="AP406" s="84"/>
      <c r="AQ406" s="84"/>
      <c r="AR406" s="84"/>
      <c r="AS406" s="84"/>
      <c r="AT406" s="84"/>
      <c r="AU406" s="84"/>
      <c r="AV406" s="84"/>
      <c r="AW406" s="84"/>
      <c r="AX406" s="87">
        <f t="array" ref="AX406">IF(G406=1,SUM((ROW(M0)=ROW(AW406))*(M0+M1_+M2_+M3_+M4_+M5_+M6_+M7_+M8_+M9_+M10_+M11_+M12_+M13_+M14_+M15_+M16_+M17_+M18_+M19_+M20_+M21_+M22_+M23_+M24_+M25_+M26_+M27_+M28_+M29_+M30_+M31_+M32_+M33_+M34_+M35_+M36_+M37_)),0)</f>
        <v>0</v>
      </c>
      <c r="AZ406" s="24" t="str">
        <f t="shared" si="97"/>
        <v/>
      </c>
      <c r="BA406" s="24" t="str">
        <f t="shared" si="98"/>
        <v/>
      </c>
      <c r="BB406" s="24" t="str">
        <f t="shared" si="99"/>
        <v/>
      </c>
      <c r="BC406" s="24" t="str">
        <f>IF(OR(E406="",LEFT(TableCosts[[#This Row],[Calc_N_Typ]],18)="Vynaložené náklady"),"",VLOOKUP(E406,Tab_Parts,2,0))</f>
        <v/>
      </c>
      <c r="BD406" s="24" t="str">
        <f t="shared" si="100"/>
        <v/>
      </c>
      <c r="BE406" s="24">
        <f t="shared" si="101"/>
        <v>0</v>
      </c>
      <c r="BF406" s="72">
        <f>TableCosts[[#This Row],[N_Amount]]*TableCosts[[#This Row],[N_Tariff]]*TableCosts[[#This Row],[N_ItemsCount]]</f>
        <v>0</v>
      </c>
      <c r="BG406" s="72">
        <f>IF(G406=1,IF(TableCosts[[#This Row],[N_Kateg]]="interné práce",TableCosts[[#This Row],[N_Amount]]*8*PAR_SGA_PERHOUR,0),0)</f>
        <v>0</v>
      </c>
      <c r="BH406" s="72">
        <f>SUM(TableCosts[[#This Row],[N_Direct]:[N_SGA]])</f>
        <v>0</v>
      </c>
      <c r="BI406" s="24">
        <f>IF(G406=1,IF(OR(AND(NOT(ISERROR(VLOOKUP(TableCosts[[#This Row],[Calc_N_Typ]],Cis_WorkPositions,1,0))),C406&lt;&gt;"",D406&lt;&gt;"",E406&lt;&gt;""),AND(ISERROR(VLOOKUP(TableCosts[[#This Row],[Calc_N_Typ]],Cis_WorkPositions,1,0)),C406="",D406="",E406&lt;&gt;""),LEFT(TableCosts[[#This Row],[Calc_N_Typ]],18)="Vynaložené náklady"),VLOOKUP(C406&amp;TableCosts[[#This Row],[Calc_N_Typ]],TRAN_STRITEMS_LABEL,VLOOKUP(D406,Tab_Hours,3,0),0),NA()),0)</f>
        <v>0</v>
      </c>
      <c r="BJ406" s="24">
        <f t="shared" si="102"/>
        <v>0</v>
      </c>
      <c r="BK406" s="24" t="str">
        <f t="shared" si="103"/>
        <v/>
      </c>
      <c r="BL406" s="24" t="str">
        <f t="shared" si="104"/>
        <v/>
      </c>
      <c r="BM406" s="24" t="str">
        <f>IF(G406=1,IF(TableCosts[[#This Row],[TransferFrom]]=TableCosts[[#This Row],[TranferTo]],0,1),"")</f>
        <v/>
      </c>
      <c r="BN406" s="24" t="str">
        <f t="shared" si="105"/>
        <v/>
      </c>
      <c r="BO406" s="24">
        <f t="shared" si="106"/>
        <v>0</v>
      </c>
      <c r="BP406" s="24">
        <f t="shared" si="107"/>
        <v>0</v>
      </c>
    </row>
    <row r="407" spans="2:68" s="24" customFormat="1" ht="12.75" x14ac:dyDescent="0.2">
      <c r="B407" s="97"/>
      <c r="C407" s="92"/>
      <c r="D407" s="92"/>
      <c r="E407" s="92"/>
      <c r="F407" s="31" t="str">
        <f>IF(G407=1,IF(ISERROR(TableCosts[[#This Row],[N_Tariff]]),Err_Message1,IF(TableCosts[[#This Row],[N_Tariff]]=0,Err_Message2,VLOOKUP(C407&amp;TableCosts[[#This Row],[Calc_N_Typ]],TRAN_STRITEMS_LABEL,5,FALSE))),"")</f>
        <v/>
      </c>
      <c r="G407" s="31">
        <f t="shared" si="96"/>
        <v>0</v>
      </c>
      <c r="H407" s="31" t="str">
        <f>IF(G407=1,IFERROR(VLOOKUP(F407,Tab_ErrMessage[],2,0),VLOOKUP(C407&amp;TableCosts[[#This Row],[Calc_N_Typ]],TRAN_STRITEMS_LABEL,4,FALSE)),"")</f>
        <v/>
      </c>
      <c r="I407" s="94"/>
      <c r="J407" s="94"/>
      <c r="K407" s="94"/>
      <c r="L407" s="84"/>
      <c r="M407" s="84"/>
      <c r="N407" s="84"/>
      <c r="O407" s="84"/>
      <c r="P407" s="84"/>
      <c r="Q407" s="84"/>
      <c r="R407" s="84"/>
      <c r="S407" s="84"/>
      <c r="T407" s="84"/>
      <c r="U407" s="84"/>
      <c r="V407" s="84"/>
      <c r="W407" s="84"/>
      <c r="X407" s="84"/>
      <c r="Y407" s="84"/>
      <c r="Z407" s="84"/>
      <c r="AA407" s="84"/>
      <c r="AB407" s="84"/>
      <c r="AC407" s="84"/>
      <c r="AD407" s="84"/>
      <c r="AE407" s="84"/>
      <c r="AF407" s="84"/>
      <c r="AG407" s="84"/>
      <c r="AH407" s="84"/>
      <c r="AI407" s="84"/>
      <c r="AJ407" s="84"/>
      <c r="AK407" s="84"/>
      <c r="AL407" s="84"/>
      <c r="AM407" s="84"/>
      <c r="AN407" s="84"/>
      <c r="AO407" s="84"/>
      <c r="AP407" s="84"/>
      <c r="AQ407" s="84"/>
      <c r="AR407" s="84"/>
      <c r="AS407" s="84"/>
      <c r="AT407" s="84"/>
      <c r="AU407" s="84"/>
      <c r="AV407" s="84"/>
      <c r="AW407" s="84"/>
      <c r="AX407" s="87">
        <f t="array" ref="AX407">IF(G407=1,SUM((ROW(M0)=ROW(AW407))*(M0+M1_+M2_+M3_+M4_+M5_+M6_+M7_+M8_+M9_+M10_+M11_+M12_+M13_+M14_+M15_+M16_+M17_+M18_+M19_+M20_+M21_+M22_+M23_+M24_+M25_+M26_+M27_+M28_+M29_+M30_+M31_+M32_+M33_+M34_+M35_+M36_+M37_)),0)</f>
        <v>0</v>
      </c>
      <c r="AZ407" s="24" t="str">
        <f t="shared" si="97"/>
        <v/>
      </c>
      <c r="BA407" s="24" t="str">
        <f t="shared" si="98"/>
        <v/>
      </c>
      <c r="BB407" s="24" t="str">
        <f t="shared" si="99"/>
        <v/>
      </c>
      <c r="BC407" s="24" t="str">
        <f>IF(OR(E407="",LEFT(TableCosts[[#This Row],[Calc_N_Typ]],18)="Vynaložené náklady"),"",VLOOKUP(E407,Tab_Parts,2,0))</f>
        <v/>
      </c>
      <c r="BD407" s="24" t="str">
        <f t="shared" si="100"/>
        <v/>
      </c>
      <c r="BE407" s="24">
        <f t="shared" si="101"/>
        <v>0</v>
      </c>
      <c r="BF407" s="72">
        <f>TableCosts[[#This Row],[N_Amount]]*TableCosts[[#This Row],[N_Tariff]]*TableCosts[[#This Row],[N_ItemsCount]]</f>
        <v>0</v>
      </c>
      <c r="BG407" s="72">
        <f>IF(G407=1,IF(TableCosts[[#This Row],[N_Kateg]]="interné práce",TableCosts[[#This Row],[N_Amount]]*8*PAR_SGA_PERHOUR,0),0)</f>
        <v>0</v>
      </c>
      <c r="BH407" s="72">
        <f>SUM(TableCosts[[#This Row],[N_Direct]:[N_SGA]])</f>
        <v>0</v>
      </c>
      <c r="BI407" s="24">
        <f>IF(G407=1,IF(OR(AND(NOT(ISERROR(VLOOKUP(TableCosts[[#This Row],[Calc_N_Typ]],Cis_WorkPositions,1,0))),C407&lt;&gt;"",D407&lt;&gt;"",E407&lt;&gt;""),AND(ISERROR(VLOOKUP(TableCosts[[#This Row],[Calc_N_Typ]],Cis_WorkPositions,1,0)),C407="",D407="",E407&lt;&gt;""),LEFT(TableCosts[[#This Row],[Calc_N_Typ]],18)="Vynaložené náklady"),VLOOKUP(C407&amp;TableCosts[[#This Row],[Calc_N_Typ]],TRAN_STRITEMS_LABEL,VLOOKUP(D407,Tab_Hours,3,0),0),NA()),0)</f>
        <v>0</v>
      </c>
      <c r="BJ407" s="24">
        <f t="shared" si="102"/>
        <v>0</v>
      </c>
      <c r="BK407" s="24" t="str">
        <f t="shared" si="103"/>
        <v/>
      </c>
      <c r="BL407" s="24" t="str">
        <f t="shared" si="104"/>
        <v/>
      </c>
      <c r="BM407" s="24" t="str">
        <f>IF(G407=1,IF(TableCosts[[#This Row],[TransferFrom]]=TableCosts[[#This Row],[TranferTo]],0,1),"")</f>
        <v/>
      </c>
      <c r="BN407" s="24" t="str">
        <f t="shared" si="105"/>
        <v/>
      </c>
      <c r="BO407" s="24">
        <f t="shared" si="106"/>
        <v>0</v>
      </c>
      <c r="BP407" s="24">
        <f t="shared" si="107"/>
        <v>0</v>
      </c>
    </row>
    <row r="408" spans="2:68" s="24" customFormat="1" ht="12.75" x14ac:dyDescent="0.2">
      <c r="B408" s="97"/>
      <c r="C408" s="92"/>
      <c r="D408" s="92"/>
      <c r="E408" s="92"/>
      <c r="F408" s="31" t="str">
        <f>IF(G408=1,IF(ISERROR(TableCosts[[#This Row],[N_Tariff]]),Err_Message1,IF(TableCosts[[#This Row],[N_Tariff]]=0,Err_Message2,VLOOKUP(C408&amp;TableCosts[[#This Row],[Calc_N_Typ]],TRAN_STRITEMS_LABEL,5,FALSE))),"")</f>
        <v/>
      </c>
      <c r="G408" s="31">
        <f t="shared" si="96"/>
        <v>0</v>
      </c>
      <c r="H408" s="31" t="str">
        <f>IF(G408=1,IFERROR(VLOOKUP(F408,Tab_ErrMessage[],2,0),VLOOKUP(C408&amp;TableCosts[[#This Row],[Calc_N_Typ]],TRAN_STRITEMS_LABEL,4,FALSE)),"")</f>
        <v/>
      </c>
      <c r="I408" s="94"/>
      <c r="J408" s="94"/>
      <c r="K408" s="94"/>
      <c r="L408" s="84"/>
      <c r="M408" s="84"/>
      <c r="N408" s="84"/>
      <c r="O408" s="84"/>
      <c r="P408" s="84"/>
      <c r="Q408" s="84"/>
      <c r="R408" s="84"/>
      <c r="S408" s="84"/>
      <c r="T408" s="84"/>
      <c r="U408" s="84"/>
      <c r="V408" s="84"/>
      <c r="W408" s="84"/>
      <c r="X408" s="84"/>
      <c r="Y408" s="84"/>
      <c r="Z408" s="84"/>
      <c r="AA408" s="84"/>
      <c r="AB408" s="84"/>
      <c r="AC408" s="84"/>
      <c r="AD408" s="84"/>
      <c r="AE408" s="84"/>
      <c r="AF408" s="84"/>
      <c r="AG408" s="84"/>
      <c r="AH408" s="84"/>
      <c r="AI408" s="84"/>
      <c r="AJ408" s="84"/>
      <c r="AK408" s="84"/>
      <c r="AL408" s="84"/>
      <c r="AM408" s="84"/>
      <c r="AN408" s="84"/>
      <c r="AO408" s="84"/>
      <c r="AP408" s="84"/>
      <c r="AQ408" s="84"/>
      <c r="AR408" s="84"/>
      <c r="AS408" s="84"/>
      <c r="AT408" s="84"/>
      <c r="AU408" s="84"/>
      <c r="AV408" s="84"/>
      <c r="AW408" s="84"/>
      <c r="AX408" s="87">
        <f t="array" ref="AX408">IF(G408=1,SUM((ROW(M0)=ROW(AW408))*(M0+M1_+M2_+M3_+M4_+M5_+M6_+M7_+M8_+M9_+M10_+M11_+M12_+M13_+M14_+M15_+M16_+M17_+M18_+M19_+M20_+M21_+M22_+M23_+M24_+M25_+M26_+M27_+M28_+M29_+M30_+M31_+M32_+M33_+M34_+M35_+M36_+M37_)),0)</f>
        <v>0</v>
      </c>
      <c r="AZ408" s="24" t="str">
        <f t="shared" si="97"/>
        <v/>
      </c>
      <c r="BA408" s="24" t="str">
        <f t="shared" si="98"/>
        <v/>
      </c>
      <c r="BB408" s="24" t="str">
        <f t="shared" si="99"/>
        <v/>
      </c>
      <c r="BC408" s="24" t="str">
        <f>IF(OR(E408="",LEFT(TableCosts[[#This Row],[Calc_N_Typ]],18)="Vynaložené náklady"),"",VLOOKUP(E408,Tab_Parts,2,0))</f>
        <v/>
      </c>
      <c r="BD408" s="24" t="str">
        <f t="shared" si="100"/>
        <v/>
      </c>
      <c r="BE408" s="24">
        <f t="shared" si="101"/>
        <v>0</v>
      </c>
      <c r="BF408" s="72">
        <f>TableCosts[[#This Row],[N_Amount]]*TableCosts[[#This Row],[N_Tariff]]*TableCosts[[#This Row],[N_ItemsCount]]</f>
        <v>0</v>
      </c>
      <c r="BG408" s="72">
        <f>IF(G408=1,IF(TableCosts[[#This Row],[N_Kateg]]="interné práce",TableCosts[[#This Row],[N_Amount]]*8*PAR_SGA_PERHOUR,0),0)</f>
        <v>0</v>
      </c>
      <c r="BH408" s="72">
        <f>SUM(TableCosts[[#This Row],[N_Direct]:[N_SGA]])</f>
        <v>0</v>
      </c>
      <c r="BI408" s="24">
        <f>IF(G408=1,IF(OR(AND(NOT(ISERROR(VLOOKUP(TableCosts[[#This Row],[Calc_N_Typ]],Cis_WorkPositions,1,0))),C408&lt;&gt;"",D408&lt;&gt;"",E408&lt;&gt;""),AND(ISERROR(VLOOKUP(TableCosts[[#This Row],[Calc_N_Typ]],Cis_WorkPositions,1,0)),C408="",D408="",E408&lt;&gt;""),LEFT(TableCosts[[#This Row],[Calc_N_Typ]],18)="Vynaložené náklady"),VLOOKUP(C408&amp;TableCosts[[#This Row],[Calc_N_Typ]],TRAN_STRITEMS_LABEL,VLOOKUP(D408,Tab_Hours,3,0),0),NA()),0)</f>
        <v>0</v>
      </c>
      <c r="BJ408" s="24">
        <f t="shared" si="102"/>
        <v>0</v>
      </c>
      <c r="BK408" s="24" t="str">
        <f t="shared" si="103"/>
        <v/>
      </c>
      <c r="BL408" s="24" t="str">
        <f t="shared" si="104"/>
        <v/>
      </c>
      <c r="BM408" s="24" t="str">
        <f>IF(G408=1,IF(TableCosts[[#This Row],[TransferFrom]]=TableCosts[[#This Row],[TranferTo]],0,1),"")</f>
        <v/>
      </c>
      <c r="BN408" s="24" t="str">
        <f t="shared" si="105"/>
        <v/>
      </c>
      <c r="BO408" s="24">
        <f t="shared" si="106"/>
        <v>0</v>
      </c>
      <c r="BP408" s="24">
        <f t="shared" si="107"/>
        <v>0</v>
      </c>
    </row>
    <row r="409" spans="2:68" s="24" customFormat="1" ht="12.75" x14ac:dyDescent="0.2">
      <c r="B409" s="97"/>
      <c r="C409" s="92"/>
      <c r="D409" s="92"/>
      <c r="E409" s="92"/>
      <c r="F409" s="31" t="str">
        <f>IF(G409=1,IF(ISERROR(TableCosts[[#This Row],[N_Tariff]]),Err_Message1,IF(TableCosts[[#This Row],[N_Tariff]]=0,Err_Message2,VLOOKUP(C409&amp;TableCosts[[#This Row],[Calc_N_Typ]],TRAN_STRITEMS_LABEL,5,FALSE))),"")</f>
        <v/>
      </c>
      <c r="G409" s="31">
        <f t="shared" si="96"/>
        <v>0</v>
      </c>
      <c r="H409" s="31" t="str">
        <f>IF(G409=1,IFERROR(VLOOKUP(F409,Tab_ErrMessage[],2,0),VLOOKUP(C409&amp;TableCosts[[#This Row],[Calc_N_Typ]],TRAN_STRITEMS_LABEL,4,FALSE)),"")</f>
        <v/>
      </c>
      <c r="I409" s="94"/>
      <c r="J409" s="94"/>
      <c r="K409" s="94"/>
      <c r="L409" s="84"/>
      <c r="M409" s="84"/>
      <c r="N409" s="84"/>
      <c r="O409" s="84"/>
      <c r="P409" s="84"/>
      <c r="Q409" s="84"/>
      <c r="R409" s="84"/>
      <c r="S409" s="84"/>
      <c r="T409" s="84"/>
      <c r="U409" s="84"/>
      <c r="V409" s="84"/>
      <c r="W409" s="84"/>
      <c r="X409" s="84"/>
      <c r="Y409" s="84"/>
      <c r="Z409" s="84"/>
      <c r="AA409" s="84"/>
      <c r="AB409" s="84"/>
      <c r="AC409" s="84"/>
      <c r="AD409" s="84"/>
      <c r="AE409" s="84"/>
      <c r="AF409" s="84"/>
      <c r="AG409" s="84"/>
      <c r="AH409" s="84"/>
      <c r="AI409" s="84"/>
      <c r="AJ409" s="84"/>
      <c r="AK409" s="84"/>
      <c r="AL409" s="84"/>
      <c r="AM409" s="84"/>
      <c r="AN409" s="84"/>
      <c r="AO409" s="84"/>
      <c r="AP409" s="84"/>
      <c r="AQ409" s="84"/>
      <c r="AR409" s="84"/>
      <c r="AS409" s="84"/>
      <c r="AT409" s="84"/>
      <c r="AU409" s="84"/>
      <c r="AV409" s="84"/>
      <c r="AW409" s="84"/>
      <c r="AX409" s="87">
        <f t="array" ref="AX409">IF(G409=1,SUM((ROW(M0)=ROW(AW409))*(M0+M1_+M2_+M3_+M4_+M5_+M6_+M7_+M8_+M9_+M10_+M11_+M12_+M13_+M14_+M15_+M16_+M17_+M18_+M19_+M20_+M21_+M22_+M23_+M24_+M25_+M26_+M27_+M28_+M29_+M30_+M31_+M32_+M33_+M34_+M35_+M36_+M37_)),0)</f>
        <v>0</v>
      </c>
      <c r="AZ409" s="24" t="str">
        <f t="shared" si="97"/>
        <v/>
      </c>
      <c r="BA409" s="24" t="str">
        <f t="shared" si="98"/>
        <v/>
      </c>
      <c r="BB409" s="24" t="str">
        <f t="shared" si="99"/>
        <v/>
      </c>
      <c r="BC409" s="24" t="str">
        <f>IF(OR(E409="",LEFT(TableCosts[[#This Row],[Calc_N_Typ]],18)="Vynaložené náklady"),"",VLOOKUP(E409,Tab_Parts,2,0))</f>
        <v/>
      </c>
      <c r="BD409" s="24" t="str">
        <f t="shared" si="100"/>
        <v/>
      </c>
      <c r="BE409" s="24">
        <f t="shared" si="101"/>
        <v>0</v>
      </c>
      <c r="BF409" s="72">
        <f>TableCosts[[#This Row],[N_Amount]]*TableCosts[[#This Row],[N_Tariff]]*TableCosts[[#This Row],[N_ItemsCount]]</f>
        <v>0</v>
      </c>
      <c r="BG409" s="72">
        <f>IF(G409=1,IF(TableCosts[[#This Row],[N_Kateg]]="interné práce",TableCosts[[#This Row],[N_Amount]]*8*PAR_SGA_PERHOUR,0),0)</f>
        <v>0</v>
      </c>
      <c r="BH409" s="72">
        <f>SUM(TableCosts[[#This Row],[N_Direct]:[N_SGA]])</f>
        <v>0</v>
      </c>
      <c r="BI409" s="24">
        <f>IF(G409=1,IF(OR(AND(NOT(ISERROR(VLOOKUP(TableCosts[[#This Row],[Calc_N_Typ]],Cis_WorkPositions,1,0))),C409&lt;&gt;"",D409&lt;&gt;"",E409&lt;&gt;""),AND(ISERROR(VLOOKUP(TableCosts[[#This Row],[Calc_N_Typ]],Cis_WorkPositions,1,0)),C409="",D409="",E409&lt;&gt;""),LEFT(TableCosts[[#This Row],[Calc_N_Typ]],18)="Vynaložené náklady"),VLOOKUP(C409&amp;TableCosts[[#This Row],[Calc_N_Typ]],TRAN_STRITEMS_LABEL,VLOOKUP(D409,Tab_Hours,3,0),0),NA()),0)</f>
        <v>0</v>
      </c>
      <c r="BJ409" s="24">
        <f t="shared" si="102"/>
        <v>0</v>
      </c>
      <c r="BK409" s="24" t="str">
        <f t="shared" si="103"/>
        <v/>
      </c>
      <c r="BL409" s="24" t="str">
        <f t="shared" si="104"/>
        <v/>
      </c>
      <c r="BM409" s="24" t="str">
        <f>IF(G409=1,IF(TableCosts[[#This Row],[TransferFrom]]=TableCosts[[#This Row],[TranferTo]],0,1),"")</f>
        <v/>
      </c>
      <c r="BN409" s="24" t="str">
        <f t="shared" si="105"/>
        <v/>
      </c>
      <c r="BO409" s="24">
        <f t="shared" si="106"/>
        <v>0</v>
      </c>
      <c r="BP409" s="24">
        <f t="shared" si="107"/>
        <v>0</v>
      </c>
    </row>
    <row r="410" spans="2:68" s="24" customFormat="1" ht="12.75" x14ac:dyDescent="0.2">
      <c r="B410" s="97"/>
      <c r="C410" s="92"/>
      <c r="D410" s="92"/>
      <c r="E410" s="92"/>
      <c r="F410" s="31" t="str">
        <f>IF(G410=1,IF(ISERROR(TableCosts[[#This Row],[N_Tariff]]),Err_Message1,IF(TableCosts[[#This Row],[N_Tariff]]=0,Err_Message2,VLOOKUP(C410&amp;TableCosts[[#This Row],[Calc_N_Typ]],TRAN_STRITEMS_LABEL,5,FALSE))),"")</f>
        <v/>
      </c>
      <c r="G410" s="31">
        <f t="shared" si="96"/>
        <v>0</v>
      </c>
      <c r="H410" s="31" t="str">
        <f>IF(G410=1,IFERROR(VLOOKUP(F410,Tab_ErrMessage[],2,0),VLOOKUP(C410&amp;TableCosts[[#This Row],[Calc_N_Typ]],TRAN_STRITEMS_LABEL,4,FALSE)),"")</f>
        <v/>
      </c>
      <c r="I410" s="94"/>
      <c r="J410" s="94"/>
      <c r="K410" s="94"/>
      <c r="L410" s="84"/>
      <c r="M410" s="84"/>
      <c r="N410" s="84"/>
      <c r="O410" s="84"/>
      <c r="P410" s="84"/>
      <c r="Q410" s="84"/>
      <c r="R410" s="84"/>
      <c r="S410" s="84"/>
      <c r="T410" s="84"/>
      <c r="U410" s="84"/>
      <c r="V410" s="84"/>
      <c r="W410" s="84"/>
      <c r="X410" s="84"/>
      <c r="Y410" s="84"/>
      <c r="Z410" s="84"/>
      <c r="AA410" s="84"/>
      <c r="AB410" s="84"/>
      <c r="AC410" s="84"/>
      <c r="AD410" s="84"/>
      <c r="AE410" s="84"/>
      <c r="AF410" s="84"/>
      <c r="AG410" s="84"/>
      <c r="AH410" s="84"/>
      <c r="AI410" s="84"/>
      <c r="AJ410" s="84"/>
      <c r="AK410" s="84"/>
      <c r="AL410" s="84"/>
      <c r="AM410" s="84"/>
      <c r="AN410" s="84"/>
      <c r="AO410" s="84"/>
      <c r="AP410" s="84"/>
      <c r="AQ410" s="84"/>
      <c r="AR410" s="84"/>
      <c r="AS410" s="84"/>
      <c r="AT410" s="84"/>
      <c r="AU410" s="84"/>
      <c r="AV410" s="84"/>
      <c r="AW410" s="84"/>
      <c r="AX410" s="87">
        <f t="array" ref="AX410">IF(G410=1,SUM((ROW(M0)=ROW(AW410))*(M0+M1_+M2_+M3_+M4_+M5_+M6_+M7_+M8_+M9_+M10_+M11_+M12_+M13_+M14_+M15_+M16_+M17_+M18_+M19_+M20_+M21_+M22_+M23_+M24_+M25_+M26_+M27_+M28_+M29_+M30_+M31_+M32_+M33_+M34_+M35_+M36_+M37_)),0)</f>
        <v>0</v>
      </c>
      <c r="AZ410" s="24" t="str">
        <f t="shared" si="97"/>
        <v/>
      </c>
      <c r="BA410" s="24" t="str">
        <f t="shared" si="98"/>
        <v/>
      </c>
      <c r="BB410" s="24" t="str">
        <f t="shared" si="99"/>
        <v/>
      </c>
      <c r="BC410" s="24" t="str">
        <f>IF(OR(E410="",LEFT(TableCosts[[#This Row],[Calc_N_Typ]],18)="Vynaložené náklady"),"",VLOOKUP(E410,Tab_Parts,2,0))</f>
        <v/>
      </c>
      <c r="BD410" s="24" t="str">
        <f t="shared" si="100"/>
        <v/>
      </c>
      <c r="BE410" s="24">
        <f t="shared" si="101"/>
        <v>0</v>
      </c>
      <c r="BF410" s="72">
        <f>TableCosts[[#This Row],[N_Amount]]*TableCosts[[#This Row],[N_Tariff]]*TableCosts[[#This Row],[N_ItemsCount]]</f>
        <v>0</v>
      </c>
      <c r="BG410" s="72">
        <f>IF(G410=1,IF(TableCosts[[#This Row],[N_Kateg]]="interné práce",TableCosts[[#This Row],[N_Amount]]*8*PAR_SGA_PERHOUR,0),0)</f>
        <v>0</v>
      </c>
      <c r="BH410" s="72">
        <f>SUM(TableCosts[[#This Row],[N_Direct]:[N_SGA]])</f>
        <v>0</v>
      </c>
      <c r="BI410" s="24">
        <f>IF(G410=1,IF(OR(AND(NOT(ISERROR(VLOOKUP(TableCosts[[#This Row],[Calc_N_Typ]],Cis_WorkPositions,1,0))),C410&lt;&gt;"",D410&lt;&gt;"",E410&lt;&gt;""),AND(ISERROR(VLOOKUP(TableCosts[[#This Row],[Calc_N_Typ]],Cis_WorkPositions,1,0)),C410="",D410="",E410&lt;&gt;""),LEFT(TableCosts[[#This Row],[Calc_N_Typ]],18)="Vynaložené náklady"),VLOOKUP(C410&amp;TableCosts[[#This Row],[Calc_N_Typ]],TRAN_STRITEMS_LABEL,VLOOKUP(D410,Tab_Hours,3,0),0),NA()),0)</f>
        <v>0</v>
      </c>
      <c r="BJ410" s="24">
        <f t="shared" si="102"/>
        <v>0</v>
      </c>
      <c r="BK410" s="24" t="str">
        <f t="shared" si="103"/>
        <v/>
      </c>
      <c r="BL410" s="24" t="str">
        <f t="shared" si="104"/>
        <v/>
      </c>
      <c r="BM410" s="24" t="str">
        <f>IF(G410=1,IF(TableCosts[[#This Row],[TransferFrom]]=TableCosts[[#This Row],[TranferTo]],0,1),"")</f>
        <v/>
      </c>
      <c r="BN410" s="24" t="str">
        <f t="shared" si="105"/>
        <v/>
      </c>
      <c r="BO410" s="24">
        <f t="shared" si="106"/>
        <v>0</v>
      </c>
      <c r="BP410" s="24">
        <f t="shared" si="107"/>
        <v>0</v>
      </c>
    </row>
    <row r="411" spans="2:68" s="24" customFormat="1" ht="12.75" x14ac:dyDescent="0.2">
      <c r="B411" s="97"/>
      <c r="C411" s="92"/>
      <c r="D411" s="92"/>
      <c r="E411" s="92"/>
      <c r="F411" s="31" t="str">
        <f>IF(G411=1,IF(ISERROR(TableCosts[[#This Row],[N_Tariff]]),Err_Message1,IF(TableCosts[[#This Row],[N_Tariff]]=0,Err_Message2,VLOOKUP(C411&amp;TableCosts[[#This Row],[Calc_N_Typ]],TRAN_STRITEMS_LABEL,5,FALSE))),"")</f>
        <v/>
      </c>
      <c r="G411" s="31">
        <f t="shared" si="96"/>
        <v>0</v>
      </c>
      <c r="H411" s="31" t="str">
        <f>IF(G411=1,IFERROR(VLOOKUP(F411,Tab_ErrMessage[],2,0),VLOOKUP(C411&amp;TableCosts[[#This Row],[Calc_N_Typ]],TRAN_STRITEMS_LABEL,4,FALSE)),"")</f>
        <v/>
      </c>
      <c r="I411" s="94"/>
      <c r="J411" s="94"/>
      <c r="K411" s="94"/>
      <c r="L411" s="84"/>
      <c r="M411" s="84"/>
      <c r="N411" s="84"/>
      <c r="O411" s="84"/>
      <c r="P411" s="84"/>
      <c r="Q411" s="84"/>
      <c r="R411" s="84"/>
      <c r="S411" s="84"/>
      <c r="T411" s="84"/>
      <c r="U411" s="84"/>
      <c r="V411" s="84"/>
      <c r="W411" s="84"/>
      <c r="X411" s="84"/>
      <c r="Y411" s="84"/>
      <c r="Z411" s="84"/>
      <c r="AA411" s="84"/>
      <c r="AB411" s="84"/>
      <c r="AC411" s="84"/>
      <c r="AD411" s="84"/>
      <c r="AE411" s="84"/>
      <c r="AF411" s="84"/>
      <c r="AG411" s="84"/>
      <c r="AH411" s="84"/>
      <c r="AI411" s="84"/>
      <c r="AJ411" s="84"/>
      <c r="AK411" s="84"/>
      <c r="AL411" s="84"/>
      <c r="AM411" s="84"/>
      <c r="AN411" s="84"/>
      <c r="AO411" s="84"/>
      <c r="AP411" s="84"/>
      <c r="AQ411" s="84"/>
      <c r="AR411" s="84"/>
      <c r="AS411" s="84"/>
      <c r="AT411" s="84"/>
      <c r="AU411" s="84"/>
      <c r="AV411" s="84"/>
      <c r="AW411" s="84"/>
      <c r="AX411" s="87">
        <f t="array" ref="AX411">IF(G411=1,SUM((ROW(M0)=ROW(AW411))*(M0+M1_+M2_+M3_+M4_+M5_+M6_+M7_+M8_+M9_+M10_+M11_+M12_+M13_+M14_+M15_+M16_+M17_+M18_+M19_+M20_+M21_+M22_+M23_+M24_+M25_+M26_+M27_+M28_+M29_+M30_+M31_+M32_+M33_+M34_+M35_+M36_+M37_)),0)</f>
        <v>0</v>
      </c>
      <c r="AZ411" s="24" t="str">
        <f t="shared" si="97"/>
        <v/>
      </c>
      <c r="BA411" s="24" t="str">
        <f t="shared" si="98"/>
        <v/>
      </c>
      <c r="BB411" s="24" t="str">
        <f t="shared" si="99"/>
        <v/>
      </c>
      <c r="BC411" s="24" t="str">
        <f>IF(OR(E411="",LEFT(TableCosts[[#This Row],[Calc_N_Typ]],18)="Vynaložené náklady"),"",VLOOKUP(E411,Tab_Parts,2,0))</f>
        <v/>
      </c>
      <c r="BD411" s="24" t="str">
        <f t="shared" si="100"/>
        <v/>
      </c>
      <c r="BE411" s="24">
        <f t="shared" si="101"/>
        <v>0</v>
      </c>
      <c r="BF411" s="72">
        <f>TableCosts[[#This Row],[N_Amount]]*TableCosts[[#This Row],[N_Tariff]]*TableCosts[[#This Row],[N_ItemsCount]]</f>
        <v>0</v>
      </c>
      <c r="BG411" s="72">
        <f>IF(G411=1,IF(TableCosts[[#This Row],[N_Kateg]]="interné práce",TableCosts[[#This Row],[N_Amount]]*8*PAR_SGA_PERHOUR,0),0)</f>
        <v>0</v>
      </c>
      <c r="BH411" s="72">
        <f>SUM(TableCosts[[#This Row],[N_Direct]:[N_SGA]])</f>
        <v>0</v>
      </c>
      <c r="BI411" s="24">
        <f>IF(G411=1,IF(OR(AND(NOT(ISERROR(VLOOKUP(TableCosts[[#This Row],[Calc_N_Typ]],Cis_WorkPositions,1,0))),C411&lt;&gt;"",D411&lt;&gt;"",E411&lt;&gt;""),AND(ISERROR(VLOOKUP(TableCosts[[#This Row],[Calc_N_Typ]],Cis_WorkPositions,1,0)),C411="",D411="",E411&lt;&gt;""),LEFT(TableCosts[[#This Row],[Calc_N_Typ]],18)="Vynaložené náklady"),VLOOKUP(C411&amp;TableCosts[[#This Row],[Calc_N_Typ]],TRAN_STRITEMS_LABEL,VLOOKUP(D411,Tab_Hours,3,0),0),NA()),0)</f>
        <v>0</v>
      </c>
      <c r="BJ411" s="24">
        <f t="shared" si="102"/>
        <v>0</v>
      </c>
      <c r="BK411" s="24" t="str">
        <f t="shared" si="103"/>
        <v/>
      </c>
      <c r="BL411" s="24" t="str">
        <f t="shared" si="104"/>
        <v/>
      </c>
      <c r="BM411" s="24" t="str">
        <f>IF(G411=1,IF(TableCosts[[#This Row],[TransferFrom]]=TableCosts[[#This Row],[TranferTo]],0,1),"")</f>
        <v/>
      </c>
      <c r="BN411" s="24" t="str">
        <f t="shared" si="105"/>
        <v/>
      </c>
      <c r="BO411" s="24">
        <f t="shared" si="106"/>
        <v>0</v>
      </c>
      <c r="BP411" s="24">
        <f t="shared" si="107"/>
        <v>0</v>
      </c>
    </row>
    <row r="412" spans="2:68" s="24" customFormat="1" ht="12.75" x14ac:dyDescent="0.2">
      <c r="B412" s="97"/>
      <c r="C412" s="92"/>
      <c r="D412" s="92"/>
      <c r="E412" s="92"/>
      <c r="F412" s="31" t="str">
        <f>IF(G412=1,IF(ISERROR(TableCosts[[#This Row],[N_Tariff]]),Err_Message1,IF(TableCosts[[#This Row],[N_Tariff]]=0,Err_Message2,VLOOKUP(C412&amp;TableCosts[[#This Row],[Calc_N_Typ]],TRAN_STRITEMS_LABEL,5,FALSE))),"")</f>
        <v/>
      </c>
      <c r="G412" s="31">
        <f t="shared" si="96"/>
        <v>0</v>
      </c>
      <c r="H412" s="31" t="str">
        <f>IF(G412=1,IFERROR(VLOOKUP(F412,Tab_ErrMessage[],2,0),VLOOKUP(C412&amp;TableCosts[[#This Row],[Calc_N_Typ]],TRAN_STRITEMS_LABEL,4,FALSE)),"")</f>
        <v/>
      </c>
      <c r="I412" s="94"/>
      <c r="J412" s="94"/>
      <c r="K412" s="94"/>
      <c r="L412" s="84"/>
      <c r="M412" s="84"/>
      <c r="N412" s="84"/>
      <c r="O412" s="84"/>
      <c r="P412" s="84"/>
      <c r="Q412" s="84"/>
      <c r="R412" s="84"/>
      <c r="S412" s="84"/>
      <c r="T412" s="84"/>
      <c r="U412" s="84"/>
      <c r="V412" s="84"/>
      <c r="W412" s="84"/>
      <c r="X412" s="84"/>
      <c r="Y412" s="84"/>
      <c r="Z412" s="84"/>
      <c r="AA412" s="84"/>
      <c r="AB412" s="84"/>
      <c r="AC412" s="84"/>
      <c r="AD412" s="84"/>
      <c r="AE412" s="84"/>
      <c r="AF412" s="84"/>
      <c r="AG412" s="84"/>
      <c r="AH412" s="84"/>
      <c r="AI412" s="84"/>
      <c r="AJ412" s="84"/>
      <c r="AK412" s="84"/>
      <c r="AL412" s="84"/>
      <c r="AM412" s="84"/>
      <c r="AN412" s="84"/>
      <c r="AO412" s="84"/>
      <c r="AP412" s="84"/>
      <c r="AQ412" s="84"/>
      <c r="AR412" s="84"/>
      <c r="AS412" s="84"/>
      <c r="AT412" s="84"/>
      <c r="AU412" s="84"/>
      <c r="AV412" s="84"/>
      <c r="AW412" s="84"/>
      <c r="AX412" s="87">
        <f t="array" ref="AX412">IF(G412=1,SUM((ROW(M0)=ROW(AW412))*(M0+M1_+M2_+M3_+M4_+M5_+M6_+M7_+M8_+M9_+M10_+M11_+M12_+M13_+M14_+M15_+M16_+M17_+M18_+M19_+M20_+M21_+M22_+M23_+M24_+M25_+M26_+M27_+M28_+M29_+M30_+M31_+M32_+M33_+M34_+M35_+M36_+M37_)),0)</f>
        <v>0</v>
      </c>
      <c r="AZ412" s="24" t="str">
        <f t="shared" si="97"/>
        <v/>
      </c>
      <c r="BA412" s="24" t="str">
        <f t="shared" si="98"/>
        <v/>
      </c>
      <c r="BB412" s="24" t="str">
        <f t="shared" si="99"/>
        <v/>
      </c>
      <c r="BC412" s="24" t="str">
        <f>IF(OR(E412="",LEFT(TableCosts[[#This Row],[Calc_N_Typ]],18)="Vynaložené náklady"),"",VLOOKUP(E412,Tab_Parts,2,0))</f>
        <v/>
      </c>
      <c r="BD412" s="24" t="str">
        <f t="shared" si="100"/>
        <v/>
      </c>
      <c r="BE412" s="24">
        <f t="shared" si="101"/>
        <v>0</v>
      </c>
      <c r="BF412" s="72">
        <f>TableCosts[[#This Row],[N_Amount]]*TableCosts[[#This Row],[N_Tariff]]*TableCosts[[#This Row],[N_ItemsCount]]</f>
        <v>0</v>
      </c>
      <c r="BG412" s="72">
        <f>IF(G412=1,IF(TableCosts[[#This Row],[N_Kateg]]="interné práce",TableCosts[[#This Row],[N_Amount]]*8*PAR_SGA_PERHOUR,0),0)</f>
        <v>0</v>
      </c>
      <c r="BH412" s="72">
        <f>SUM(TableCosts[[#This Row],[N_Direct]:[N_SGA]])</f>
        <v>0</v>
      </c>
      <c r="BI412" s="24">
        <f>IF(G412=1,IF(OR(AND(NOT(ISERROR(VLOOKUP(TableCosts[[#This Row],[Calc_N_Typ]],Cis_WorkPositions,1,0))),C412&lt;&gt;"",D412&lt;&gt;"",E412&lt;&gt;""),AND(ISERROR(VLOOKUP(TableCosts[[#This Row],[Calc_N_Typ]],Cis_WorkPositions,1,0)),C412="",D412="",E412&lt;&gt;""),LEFT(TableCosts[[#This Row],[Calc_N_Typ]],18)="Vynaložené náklady"),VLOOKUP(C412&amp;TableCosts[[#This Row],[Calc_N_Typ]],TRAN_STRITEMS_LABEL,VLOOKUP(D412,Tab_Hours,3,0),0),NA()),0)</f>
        <v>0</v>
      </c>
      <c r="BJ412" s="24">
        <f t="shared" si="102"/>
        <v>0</v>
      </c>
      <c r="BK412" s="24" t="str">
        <f t="shared" si="103"/>
        <v/>
      </c>
      <c r="BL412" s="24" t="str">
        <f t="shared" si="104"/>
        <v/>
      </c>
      <c r="BM412" s="24" t="str">
        <f>IF(G412=1,IF(TableCosts[[#This Row],[TransferFrom]]=TableCosts[[#This Row],[TranferTo]],0,1),"")</f>
        <v/>
      </c>
      <c r="BN412" s="24" t="str">
        <f t="shared" si="105"/>
        <v/>
      </c>
      <c r="BO412" s="24">
        <f t="shared" si="106"/>
        <v>0</v>
      </c>
      <c r="BP412" s="24">
        <f t="shared" si="107"/>
        <v>0</v>
      </c>
    </row>
    <row r="413" spans="2:68" s="24" customFormat="1" ht="12.75" x14ac:dyDescent="0.2">
      <c r="B413" s="97"/>
      <c r="C413" s="92"/>
      <c r="D413" s="92"/>
      <c r="E413" s="92"/>
      <c r="F413" s="31" t="str">
        <f>IF(G413=1,IF(ISERROR(TableCosts[[#This Row],[N_Tariff]]),Err_Message1,IF(TableCosts[[#This Row],[N_Tariff]]=0,Err_Message2,VLOOKUP(C413&amp;TableCosts[[#This Row],[Calc_N_Typ]],TRAN_STRITEMS_LABEL,5,FALSE))),"")</f>
        <v/>
      </c>
      <c r="G413" s="31">
        <f t="shared" si="96"/>
        <v>0</v>
      </c>
      <c r="H413" s="31" t="str">
        <f>IF(G413=1,IFERROR(VLOOKUP(F413,Tab_ErrMessage[],2,0),VLOOKUP(C413&amp;TableCosts[[#This Row],[Calc_N_Typ]],TRAN_STRITEMS_LABEL,4,FALSE)),"")</f>
        <v/>
      </c>
      <c r="I413" s="94"/>
      <c r="J413" s="94"/>
      <c r="K413" s="94"/>
      <c r="L413" s="84"/>
      <c r="M413" s="84"/>
      <c r="N413" s="84"/>
      <c r="O413" s="84"/>
      <c r="P413" s="84"/>
      <c r="Q413" s="84"/>
      <c r="R413" s="84"/>
      <c r="S413" s="84"/>
      <c r="T413" s="84"/>
      <c r="U413" s="84"/>
      <c r="V413" s="84"/>
      <c r="W413" s="84"/>
      <c r="X413" s="84"/>
      <c r="Y413" s="84"/>
      <c r="Z413" s="84"/>
      <c r="AA413" s="84"/>
      <c r="AB413" s="84"/>
      <c r="AC413" s="84"/>
      <c r="AD413" s="84"/>
      <c r="AE413" s="84"/>
      <c r="AF413" s="84"/>
      <c r="AG413" s="84"/>
      <c r="AH413" s="84"/>
      <c r="AI413" s="84"/>
      <c r="AJ413" s="84"/>
      <c r="AK413" s="84"/>
      <c r="AL413" s="84"/>
      <c r="AM413" s="84"/>
      <c r="AN413" s="84"/>
      <c r="AO413" s="84"/>
      <c r="AP413" s="84"/>
      <c r="AQ413" s="84"/>
      <c r="AR413" s="84"/>
      <c r="AS413" s="84"/>
      <c r="AT413" s="84"/>
      <c r="AU413" s="84"/>
      <c r="AV413" s="84"/>
      <c r="AW413" s="84"/>
      <c r="AX413" s="87">
        <f t="array" ref="AX413">IF(G413=1,SUM((ROW(M0)=ROW(AW413))*(M0+M1_+M2_+M3_+M4_+M5_+M6_+M7_+M8_+M9_+M10_+M11_+M12_+M13_+M14_+M15_+M16_+M17_+M18_+M19_+M20_+M21_+M22_+M23_+M24_+M25_+M26_+M27_+M28_+M29_+M30_+M31_+M32_+M33_+M34_+M35_+M36_+M37_)),0)</f>
        <v>0</v>
      </c>
      <c r="AZ413" s="24" t="str">
        <f t="shared" si="97"/>
        <v/>
      </c>
      <c r="BA413" s="24" t="str">
        <f t="shared" si="98"/>
        <v/>
      </c>
      <c r="BB413" s="24" t="str">
        <f t="shared" si="99"/>
        <v/>
      </c>
      <c r="BC413" s="24" t="str">
        <f>IF(OR(E413="",LEFT(TableCosts[[#This Row],[Calc_N_Typ]],18)="Vynaložené náklady"),"",VLOOKUP(E413,Tab_Parts,2,0))</f>
        <v/>
      </c>
      <c r="BD413" s="24" t="str">
        <f t="shared" si="100"/>
        <v/>
      </c>
      <c r="BE413" s="24">
        <f t="shared" si="101"/>
        <v>0</v>
      </c>
      <c r="BF413" s="72">
        <f>TableCosts[[#This Row],[N_Amount]]*TableCosts[[#This Row],[N_Tariff]]*TableCosts[[#This Row],[N_ItemsCount]]</f>
        <v>0</v>
      </c>
      <c r="BG413" s="72">
        <f>IF(G413=1,IF(TableCosts[[#This Row],[N_Kateg]]="interné práce",TableCosts[[#This Row],[N_Amount]]*8*PAR_SGA_PERHOUR,0),0)</f>
        <v>0</v>
      </c>
      <c r="BH413" s="72">
        <f>SUM(TableCosts[[#This Row],[N_Direct]:[N_SGA]])</f>
        <v>0</v>
      </c>
      <c r="BI413" s="24">
        <f>IF(G413=1,IF(OR(AND(NOT(ISERROR(VLOOKUP(TableCosts[[#This Row],[Calc_N_Typ]],Cis_WorkPositions,1,0))),C413&lt;&gt;"",D413&lt;&gt;"",E413&lt;&gt;""),AND(ISERROR(VLOOKUP(TableCosts[[#This Row],[Calc_N_Typ]],Cis_WorkPositions,1,0)),C413="",D413="",E413&lt;&gt;""),LEFT(TableCosts[[#This Row],[Calc_N_Typ]],18)="Vynaložené náklady"),VLOOKUP(C413&amp;TableCosts[[#This Row],[Calc_N_Typ]],TRAN_STRITEMS_LABEL,VLOOKUP(D413,Tab_Hours,3,0),0),NA()),0)</f>
        <v>0</v>
      </c>
      <c r="BJ413" s="24">
        <f t="shared" si="102"/>
        <v>0</v>
      </c>
      <c r="BK413" s="24" t="str">
        <f t="shared" si="103"/>
        <v/>
      </c>
      <c r="BL413" s="24" t="str">
        <f t="shared" si="104"/>
        <v/>
      </c>
      <c r="BM413" s="24" t="str">
        <f>IF(G413=1,IF(TableCosts[[#This Row],[TransferFrom]]=TableCosts[[#This Row],[TranferTo]],0,1),"")</f>
        <v/>
      </c>
      <c r="BN413" s="24" t="str">
        <f t="shared" si="105"/>
        <v/>
      </c>
      <c r="BO413" s="24">
        <f t="shared" si="106"/>
        <v>0</v>
      </c>
      <c r="BP413" s="24">
        <f t="shared" si="107"/>
        <v>0</v>
      </c>
    </row>
    <row r="414" spans="2:68" s="24" customFormat="1" ht="12.75" x14ac:dyDescent="0.2">
      <c r="B414" s="97"/>
      <c r="C414" s="92"/>
      <c r="D414" s="92"/>
      <c r="E414" s="92"/>
      <c r="F414" s="31" t="str">
        <f>IF(G414=1,IF(ISERROR(TableCosts[[#This Row],[N_Tariff]]),Err_Message1,IF(TableCosts[[#This Row],[N_Tariff]]=0,Err_Message2,VLOOKUP(C414&amp;TableCosts[[#This Row],[Calc_N_Typ]],TRAN_STRITEMS_LABEL,5,FALSE))),"")</f>
        <v/>
      </c>
      <c r="G414" s="31">
        <f t="shared" si="96"/>
        <v>0</v>
      </c>
      <c r="H414" s="31" t="str">
        <f>IF(G414=1,IFERROR(VLOOKUP(F414,Tab_ErrMessage[],2,0),VLOOKUP(C414&amp;TableCosts[[#This Row],[Calc_N_Typ]],TRAN_STRITEMS_LABEL,4,FALSE)),"")</f>
        <v/>
      </c>
      <c r="I414" s="94"/>
      <c r="J414" s="94"/>
      <c r="K414" s="94"/>
      <c r="L414" s="84"/>
      <c r="M414" s="84"/>
      <c r="N414" s="84"/>
      <c r="O414" s="84"/>
      <c r="P414" s="84"/>
      <c r="Q414" s="84"/>
      <c r="R414" s="84"/>
      <c r="S414" s="84"/>
      <c r="T414" s="84"/>
      <c r="U414" s="84"/>
      <c r="V414" s="84"/>
      <c r="W414" s="84"/>
      <c r="X414" s="84"/>
      <c r="Y414" s="84"/>
      <c r="Z414" s="84"/>
      <c r="AA414" s="84"/>
      <c r="AB414" s="84"/>
      <c r="AC414" s="84"/>
      <c r="AD414" s="84"/>
      <c r="AE414" s="84"/>
      <c r="AF414" s="84"/>
      <c r="AG414" s="84"/>
      <c r="AH414" s="84"/>
      <c r="AI414" s="84"/>
      <c r="AJ414" s="84"/>
      <c r="AK414" s="84"/>
      <c r="AL414" s="84"/>
      <c r="AM414" s="84"/>
      <c r="AN414" s="84"/>
      <c r="AO414" s="84"/>
      <c r="AP414" s="84"/>
      <c r="AQ414" s="84"/>
      <c r="AR414" s="84"/>
      <c r="AS414" s="84"/>
      <c r="AT414" s="84"/>
      <c r="AU414" s="84"/>
      <c r="AV414" s="84"/>
      <c r="AW414" s="84"/>
      <c r="AX414" s="87">
        <f t="array" ref="AX414">IF(G414=1,SUM((ROW(M0)=ROW(AW414))*(M0+M1_+M2_+M3_+M4_+M5_+M6_+M7_+M8_+M9_+M10_+M11_+M12_+M13_+M14_+M15_+M16_+M17_+M18_+M19_+M20_+M21_+M22_+M23_+M24_+M25_+M26_+M27_+M28_+M29_+M30_+M31_+M32_+M33_+M34_+M35_+M36_+M37_)),0)</f>
        <v>0</v>
      </c>
      <c r="AZ414" s="24" t="str">
        <f t="shared" si="97"/>
        <v/>
      </c>
      <c r="BA414" s="24" t="str">
        <f t="shared" si="98"/>
        <v/>
      </c>
      <c r="BB414" s="24" t="str">
        <f t="shared" si="99"/>
        <v/>
      </c>
      <c r="BC414" s="24" t="str">
        <f>IF(OR(E414="",LEFT(TableCosts[[#This Row],[Calc_N_Typ]],18)="Vynaložené náklady"),"",VLOOKUP(E414,Tab_Parts,2,0))</f>
        <v/>
      </c>
      <c r="BD414" s="24" t="str">
        <f t="shared" si="100"/>
        <v/>
      </c>
      <c r="BE414" s="24">
        <f t="shared" si="101"/>
        <v>0</v>
      </c>
      <c r="BF414" s="72">
        <f>TableCosts[[#This Row],[N_Amount]]*TableCosts[[#This Row],[N_Tariff]]*TableCosts[[#This Row],[N_ItemsCount]]</f>
        <v>0</v>
      </c>
      <c r="BG414" s="72">
        <f>IF(G414=1,IF(TableCosts[[#This Row],[N_Kateg]]="interné práce",TableCosts[[#This Row],[N_Amount]]*8*PAR_SGA_PERHOUR,0),0)</f>
        <v>0</v>
      </c>
      <c r="BH414" s="72">
        <f>SUM(TableCosts[[#This Row],[N_Direct]:[N_SGA]])</f>
        <v>0</v>
      </c>
      <c r="BI414" s="24">
        <f>IF(G414=1,IF(OR(AND(NOT(ISERROR(VLOOKUP(TableCosts[[#This Row],[Calc_N_Typ]],Cis_WorkPositions,1,0))),C414&lt;&gt;"",D414&lt;&gt;"",E414&lt;&gt;""),AND(ISERROR(VLOOKUP(TableCosts[[#This Row],[Calc_N_Typ]],Cis_WorkPositions,1,0)),C414="",D414="",E414&lt;&gt;""),LEFT(TableCosts[[#This Row],[Calc_N_Typ]],18)="Vynaložené náklady"),VLOOKUP(C414&amp;TableCosts[[#This Row],[Calc_N_Typ]],TRAN_STRITEMS_LABEL,VLOOKUP(D414,Tab_Hours,3,0),0),NA()),0)</f>
        <v>0</v>
      </c>
      <c r="BJ414" s="24">
        <f t="shared" si="102"/>
        <v>0</v>
      </c>
      <c r="BK414" s="24" t="str">
        <f t="shared" si="103"/>
        <v/>
      </c>
      <c r="BL414" s="24" t="str">
        <f t="shared" si="104"/>
        <v/>
      </c>
      <c r="BM414" s="24" t="str">
        <f>IF(G414=1,IF(TableCosts[[#This Row],[TransferFrom]]=TableCosts[[#This Row],[TranferTo]],0,1),"")</f>
        <v/>
      </c>
      <c r="BN414" s="24" t="str">
        <f t="shared" si="105"/>
        <v/>
      </c>
      <c r="BO414" s="24">
        <f t="shared" si="106"/>
        <v>0</v>
      </c>
      <c r="BP414" s="24">
        <f t="shared" si="107"/>
        <v>0</v>
      </c>
    </row>
    <row r="415" spans="2:68" s="24" customFormat="1" ht="12.75" x14ac:dyDescent="0.2">
      <c r="B415" s="97"/>
      <c r="C415" s="92"/>
      <c r="D415" s="92"/>
      <c r="E415" s="92"/>
      <c r="F415" s="31" t="str">
        <f>IF(G415=1,IF(ISERROR(TableCosts[[#This Row],[N_Tariff]]),Err_Message1,IF(TableCosts[[#This Row],[N_Tariff]]=0,Err_Message2,VLOOKUP(C415&amp;TableCosts[[#This Row],[Calc_N_Typ]],TRAN_STRITEMS_LABEL,5,FALSE))),"")</f>
        <v/>
      </c>
      <c r="G415" s="31">
        <f t="shared" si="96"/>
        <v>0</v>
      </c>
      <c r="H415" s="31" t="str">
        <f>IF(G415=1,IFERROR(VLOOKUP(F415,Tab_ErrMessage[],2,0),VLOOKUP(C415&amp;TableCosts[[#This Row],[Calc_N_Typ]],TRAN_STRITEMS_LABEL,4,FALSE)),"")</f>
        <v/>
      </c>
      <c r="I415" s="94"/>
      <c r="J415" s="94"/>
      <c r="K415" s="94"/>
      <c r="L415" s="84"/>
      <c r="M415" s="84"/>
      <c r="N415" s="84"/>
      <c r="O415" s="84"/>
      <c r="P415" s="84"/>
      <c r="Q415" s="84"/>
      <c r="R415" s="84"/>
      <c r="S415" s="84"/>
      <c r="T415" s="84"/>
      <c r="U415" s="84"/>
      <c r="V415" s="84"/>
      <c r="W415" s="84"/>
      <c r="X415" s="84"/>
      <c r="Y415" s="84"/>
      <c r="Z415" s="84"/>
      <c r="AA415" s="84"/>
      <c r="AB415" s="84"/>
      <c r="AC415" s="84"/>
      <c r="AD415" s="84"/>
      <c r="AE415" s="84"/>
      <c r="AF415" s="84"/>
      <c r="AG415" s="84"/>
      <c r="AH415" s="84"/>
      <c r="AI415" s="84"/>
      <c r="AJ415" s="84"/>
      <c r="AK415" s="84"/>
      <c r="AL415" s="84"/>
      <c r="AM415" s="84"/>
      <c r="AN415" s="84"/>
      <c r="AO415" s="84"/>
      <c r="AP415" s="84"/>
      <c r="AQ415" s="84"/>
      <c r="AR415" s="84"/>
      <c r="AS415" s="84"/>
      <c r="AT415" s="84"/>
      <c r="AU415" s="84"/>
      <c r="AV415" s="84"/>
      <c r="AW415" s="84"/>
      <c r="AX415" s="87">
        <f t="array" ref="AX415">IF(G415=1,SUM((ROW(M0)=ROW(AW415))*(M0+M1_+M2_+M3_+M4_+M5_+M6_+M7_+M8_+M9_+M10_+M11_+M12_+M13_+M14_+M15_+M16_+M17_+M18_+M19_+M20_+M21_+M22_+M23_+M24_+M25_+M26_+M27_+M28_+M29_+M30_+M31_+M32_+M33_+M34_+M35_+M36_+M37_)),0)</f>
        <v>0</v>
      </c>
      <c r="AZ415" s="24" t="str">
        <f t="shared" si="97"/>
        <v/>
      </c>
      <c r="BA415" s="24" t="str">
        <f t="shared" si="98"/>
        <v/>
      </c>
      <c r="BB415" s="24" t="str">
        <f t="shared" si="99"/>
        <v/>
      </c>
      <c r="BC415" s="24" t="str">
        <f>IF(OR(E415="",LEFT(TableCosts[[#This Row],[Calc_N_Typ]],18)="Vynaložené náklady"),"",VLOOKUP(E415,Tab_Parts,2,0))</f>
        <v/>
      </c>
      <c r="BD415" s="24" t="str">
        <f t="shared" si="100"/>
        <v/>
      </c>
      <c r="BE415" s="24">
        <f t="shared" si="101"/>
        <v>0</v>
      </c>
      <c r="BF415" s="72">
        <f>TableCosts[[#This Row],[N_Amount]]*TableCosts[[#This Row],[N_Tariff]]*TableCosts[[#This Row],[N_ItemsCount]]</f>
        <v>0</v>
      </c>
      <c r="BG415" s="72">
        <f>IF(G415=1,IF(TableCosts[[#This Row],[N_Kateg]]="interné práce",TableCosts[[#This Row],[N_Amount]]*8*PAR_SGA_PERHOUR,0),0)</f>
        <v>0</v>
      </c>
      <c r="BH415" s="72">
        <f>SUM(TableCosts[[#This Row],[N_Direct]:[N_SGA]])</f>
        <v>0</v>
      </c>
      <c r="BI415" s="24">
        <f>IF(G415=1,IF(OR(AND(NOT(ISERROR(VLOOKUP(TableCosts[[#This Row],[Calc_N_Typ]],Cis_WorkPositions,1,0))),C415&lt;&gt;"",D415&lt;&gt;"",E415&lt;&gt;""),AND(ISERROR(VLOOKUP(TableCosts[[#This Row],[Calc_N_Typ]],Cis_WorkPositions,1,0)),C415="",D415="",E415&lt;&gt;""),LEFT(TableCosts[[#This Row],[Calc_N_Typ]],18)="Vynaložené náklady"),VLOOKUP(C415&amp;TableCosts[[#This Row],[Calc_N_Typ]],TRAN_STRITEMS_LABEL,VLOOKUP(D415,Tab_Hours,3,0),0),NA()),0)</f>
        <v>0</v>
      </c>
      <c r="BJ415" s="24">
        <f t="shared" si="102"/>
        <v>0</v>
      </c>
      <c r="BK415" s="24" t="str">
        <f t="shared" si="103"/>
        <v/>
      </c>
      <c r="BL415" s="24" t="str">
        <f t="shared" si="104"/>
        <v/>
      </c>
      <c r="BM415" s="24" t="str">
        <f>IF(G415=1,IF(TableCosts[[#This Row],[TransferFrom]]=TableCosts[[#This Row],[TranferTo]],0,1),"")</f>
        <v/>
      </c>
      <c r="BN415" s="24" t="str">
        <f t="shared" si="105"/>
        <v/>
      </c>
      <c r="BO415" s="24">
        <f t="shared" si="106"/>
        <v>0</v>
      </c>
      <c r="BP415" s="24">
        <f t="shared" si="107"/>
        <v>0</v>
      </c>
    </row>
    <row r="416" spans="2:68" s="24" customFormat="1" ht="12.75" x14ac:dyDescent="0.2">
      <c r="B416" s="97"/>
      <c r="C416" s="92"/>
      <c r="D416" s="92"/>
      <c r="E416" s="92"/>
      <c r="F416" s="31" t="str">
        <f>IF(G416=1,IF(ISERROR(TableCosts[[#This Row],[N_Tariff]]),Err_Message1,IF(TableCosts[[#This Row],[N_Tariff]]=0,Err_Message2,VLOOKUP(C416&amp;TableCosts[[#This Row],[Calc_N_Typ]],TRAN_STRITEMS_LABEL,5,FALSE))),"")</f>
        <v/>
      </c>
      <c r="G416" s="31">
        <f t="shared" si="96"/>
        <v>0</v>
      </c>
      <c r="H416" s="31" t="str">
        <f>IF(G416=1,IFERROR(VLOOKUP(F416,Tab_ErrMessage[],2,0),VLOOKUP(C416&amp;TableCosts[[#This Row],[Calc_N_Typ]],TRAN_STRITEMS_LABEL,4,FALSE)),"")</f>
        <v/>
      </c>
      <c r="I416" s="94"/>
      <c r="J416" s="94"/>
      <c r="K416" s="94"/>
      <c r="L416" s="84"/>
      <c r="M416" s="84"/>
      <c r="N416" s="84"/>
      <c r="O416" s="84"/>
      <c r="P416" s="84"/>
      <c r="Q416" s="84"/>
      <c r="R416" s="84"/>
      <c r="S416" s="84"/>
      <c r="T416" s="84"/>
      <c r="U416" s="84"/>
      <c r="V416" s="84"/>
      <c r="W416" s="84"/>
      <c r="X416" s="84"/>
      <c r="Y416" s="84"/>
      <c r="Z416" s="84"/>
      <c r="AA416" s="84"/>
      <c r="AB416" s="84"/>
      <c r="AC416" s="84"/>
      <c r="AD416" s="84"/>
      <c r="AE416" s="84"/>
      <c r="AF416" s="84"/>
      <c r="AG416" s="84"/>
      <c r="AH416" s="84"/>
      <c r="AI416" s="84"/>
      <c r="AJ416" s="84"/>
      <c r="AK416" s="84"/>
      <c r="AL416" s="84"/>
      <c r="AM416" s="84"/>
      <c r="AN416" s="84"/>
      <c r="AO416" s="84"/>
      <c r="AP416" s="84"/>
      <c r="AQ416" s="84"/>
      <c r="AR416" s="84"/>
      <c r="AS416" s="84"/>
      <c r="AT416" s="84"/>
      <c r="AU416" s="84"/>
      <c r="AV416" s="84"/>
      <c r="AW416" s="84"/>
      <c r="AX416" s="87">
        <f t="array" ref="AX416">IF(G416=1,SUM((ROW(M0)=ROW(AW416))*(M0+M1_+M2_+M3_+M4_+M5_+M6_+M7_+M8_+M9_+M10_+M11_+M12_+M13_+M14_+M15_+M16_+M17_+M18_+M19_+M20_+M21_+M22_+M23_+M24_+M25_+M26_+M27_+M28_+M29_+M30_+M31_+M32_+M33_+M34_+M35_+M36_+M37_)),0)</f>
        <v>0</v>
      </c>
      <c r="AZ416" s="24" t="str">
        <f t="shared" si="97"/>
        <v/>
      </c>
      <c r="BA416" s="24" t="str">
        <f t="shared" si="98"/>
        <v/>
      </c>
      <c r="BB416" s="24" t="str">
        <f t="shared" si="99"/>
        <v/>
      </c>
      <c r="BC416" s="24" t="str">
        <f>IF(OR(E416="",LEFT(TableCosts[[#This Row],[Calc_N_Typ]],18)="Vynaložené náklady"),"",VLOOKUP(E416,Tab_Parts,2,0))</f>
        <v/>
      </c>
      <c r="BD416" s="24" t="str">
        <f t="shared" si="100"/>
        <v/>
      </c>
      <c r="BE416" s="24">
        <f t="shared" si="101"/>
        <v>0</v>
      </c>
      <c r="BF416" s="72">
        <f>TableCosts[[#This Row],[N_Amount]]*TableCosts[[#This Row],[N_Tariff]]*TableCosts[[#This Row],[N_ItemsCount]]</f>
        <v>0</v>
      </c>
      <c r="BG416" s="72">
        <f>IF(G416=1,IF(TableCosts[[#This Row],[N_Kateg]]="interné práce",TableCosts[[#This Row],[N_Amount]]*8*PAR_SGA_PERHOUR,0),0)</f>
        <v>0</v>
      </c>
      <c r="BH416" s="72">
        <f>SUM(TableCosts[[#This Row],[N_Direct]:[N_SGA]])</f>
        <v>0</v>
      </c>
      <c r="BI416" s="24">
        <f>IF(G416=1,IF(OR(AND(NOT(ISERROR(VLOOKUP(TableCosts[[#This Row],[Calc_N_Typ]],Cis_WorkPositions,1,0))),C416&lt;&gt;"",D416&lt;&gt;"",E416&lt;&gt;""),AND(ISERROR(VLOOKUP(TableCosts[[#This Row],[Calc_N_Typ]],Cis_WorkPositions,1,0)),C416="",D416="",E416&lt;&gt;""),LEFT(TableCosts[[#This Row],[Calc_N_Typ]],18)="Vynaložené náklady"),VLOOKUP(C416&amp;TableCosts[[#This Row],[Calc_N_Typ]],TRAN_STRITEMS_LABEL,VLOOKUP(D416,Tab_Hours,3,0),0),NA()),0)</f>
        <v>0</v>
      </c>
      <c r="BJ416" s="24">
        <f t="shared" si="102"/>
        <v>0</v>
      </c>
      <c r="BK416" s="24" t="str">
        <f t="shared" si="103"/>
        <v/>
      </c>
      <c r="BL416" s="24" t="str">
        <f t="shared" si="104"/>
        <v/>
      </c>
      <c r="BM416" s="24" t="str">
        <f>IF(G416=1,IF(TableCosts[[#This Row],[TransferFrom]]=TableCosts[[#This Row],[TranferTo]],0,1),"")</f>
        <v/>
      </c>
      <c r="BN416" s="24" t="str">
        <f t="shared" si="105"/>
        <v/>
      </c>
      <c r="BO416" s="24">
        <f t="shared" si="106"/>
        <v>0</v>
      </c>
      <c r="BP416" s="24">
        <f t="shared" si="107"/>
        <v>0</v>
      </c>
    </row>
    <row r="417" spans="2:68" s="24" customFormat="1" ht="12.75" x14ac:dyDescent="0.2">
      <c r="B417" s="97"/>
      <c r="C417" s="92"/>
      <c r="D417" s="92"/>
      <c r="E417" s="92"/>
      <c r="F417" s="31" t="str">
        <f>IF(G417=1,IF(ISERROR(TableCosts[[#This Row],[N_Tariff]]),Err_Message1,IF(TableCosts[[#This Row],[N_Tariff]]=0,Err_Message2,VLOOKUP(C417&amp;TableCosts[[#This Row],[Calc_N_Typ]],TRAN_STRITEMS_LABEL,5,FALSE))),"")</f>
        <v/>
      </c>
      <c r="G417" s="31">
        <f t="shared" si="96"/>
        <v>0</v>
      </c>
      <c r="H417" s="31" t="str">
        <f>IF(G417=1,IFERROR(VLOOKUP(F417,Tab_ErrMessage[],2,0),VLOOKUP(C417&amp;TableCosts[[#This Row],[Calc_N_Typ]],TRAN_STRITEMS_LABEL,4,FALSE)),"")</f>
        <v/>
      </c>
      <c r="I417" s="94"/>
      <c r="J417" s="94"/>
      <c r="K417" s="94"/>
      <c r="L417" s="84"/>
      <c r="M417" s="84"/>
      <c r="N417" s="84"/>
      <c r="O417" s="84"/>
      <c r="P417" s="84"/>
      <c r="Q417" s="84"/>
      <c r="R417" s="84"/>
      <c r="S417" s="84"/>
      <c r="T417" s="84"/>
      <c r="U417" s="84"/>
      <c r="V417" s="84"/>
      <c r="W417" s="84"/>
      <c r="X417" s="84"/>
      <c r="Y417" s="84"/>
      <c r="Z417" s="84"/>
      <c r="AA417" s="84"/>
      <c r="AB417" s="84"/>
      <c r="AC417" s="84"/>
      <c r="AD417" s="84"/>
      <c r="AE417" s="84"/>
      <c r="AF417" s="84"/>
      <c r="AG417" s="84"/>
      <c r="AH417" s="84"/>
      <c r="AI417" s="84"/>
      <c r="AJ417" s="84"/>
      <c r="AK417" s="84"/>
      <c r="AL417" s="84"/>
      <c r="AM417" s="84"/>
      <c r="AN417" s="84"/>
      <c r="AO417" s="84"/>
      <c r="AP417" s="84"/>
      <c r="AQ417" s="84"/>
      <c r="AR417" s="84"/>
      <c r="AS417" s="84"/>
      <c r="AT417" s="84"/>
      <c r="AU417" s="84"/>
      <c r="AV417" s="84"/>
      <c r="AW417" s="84"/>
      <c r="AX417" s="87">
        <f t="array" ref="AX417">IF(G417=1,SUM((ROW(M0)=ROW(AW417))*(M0+M1_+M2_+M3_+M4_+M5_+M6_+M7_+M8_+M9_+M10_+M11_+M12_+M13_+M14_+M15_+M16_+M17_+M18_+M19_+M20_+M21_+M22_+M23_+M24_+M25_+M26_+M27_+M28_+M29_+M30_+M31_+M32_+M33_+M34_+M35_+M36_+M37_)),0)</f>
        <v>0</v>
      </c>
      <c r="AZ417" s="24" t="str">
        <f t="shared" si="97"/>
        <v/>
      </c>
      <c r="BA417" s="24" t="str">
        <f t="shared" si="98"/>
        <v/>
      </c>
      <c r="BB417" s="24" t="str">
        <f t="shared" si="99"/>
        <v/>
      </c>
      <c r="BC417" s="24" t="str">
        <f>IF(OR(E417="",LEFT(TableCosts[[#This Row],[Calc_N_Typ]],18)="Vynaložené náklady"),"",VLOOKUP(E417,Tab_Parts,2,0))</f>
        <v/>
      </c>
      <c r="BD417" s="24" t="str">
        <f t="shared" si="100"/>
        <v/>
      </c>
      <c r="BE417" s="24">
        <f t="shared" si="101"/>
        <v>0</v>
      </c>
      <c r="BF417" s="72">
        <f>TableCosts[[#This Row],[N_Amount]]*TableCosts[[#This Row],[N_Tariff]]*TableCosts[[#This Row],[N_ItemsCount]]</f>
        <v>0</v>
      </c>
      <c r="BG417" s="72">
        <f>IF(G417=1,IF(TableCosts[[#This Row],[N_Kateg]]="interné práce",TableCosts[[#This Row],[N_Amount]]*8*PAR_SGA_PERHOUR,0),0)</f>
        <v>0</v>
      </c>
      <c r="BH417" s="72">
        <f>SUM(TableCosts[[#This Row],[N_Direct]:[N_SGA]])</f>
        <v>0</v>
      </c>
      <c r="BI417" s="24">
        <f>IF(G417=1,IF(OR(AND(NOT(ISERROR(VLOOKUP(TableCosts[[#This Row],[Calc_N_Typ]],Cis_WorkPositions,1,0))),C417&lt;&gt;"",D417&lt;&gt;"",E417&lt;&gt;""),AND(ISERROR(VLOOKUP(TableCosts[[#This Row],[Calc_N_Typ]],Cis_WorkPositions,1,0)),C417="",D417="",E417&lt;&gt;""),LEFT(TableCosts[[#This Row],[Calc_N_Typ]],18)="Vynaložené náklady"),VLOOKUP(C417&amp;TableCosts[[#This Row],[Calc_N_Typ]],TRAN_STRITEMS_LABEL,VLOOKUP(D417,Tab_Hours,3,0),0),NA()),0)</f>
        <v>0</v>
      </c>
      <c r="BJ417" s="24">
        <f t="shared" si="102"/>
        <v>0</v>
      </c>
      <c r="BK417" s="24" t="str">
        <f t="shared" si="103"/>
        <v/>
      </c>
      <c r="BL417" s="24" t="str">
        <f t="shared" si="104"/>
        <v/>
      </c>
      <c r="BM417" s="24" t="str">
        <f>IF(G417=1,IF(TableCosts[[#This Row],[TransferFrom]]=TableCosts[[#This Row],[TranferTo]],0,1),"")</f>
        <v/>
      </c>
      <c r="BN417" s="24" t="str">
        <f t="shared" si="105"/>
        <v/>
      </c>
      <c r="BO417" s="24">
        <f t="shared" si="106"/>
        <v>0</v>
      </c>
      <c r="BP417" s="24">
        <f t="shared" si="107"/>
        <v>0</v>
      </c>
    </row>
    <row r="418" spans="2:68" s="24" customFormat="1" ht="12.75" x14ac:dyDescent="0.2">
      <c r="B418" s="97"/>
      <c r="C418" s="92"/>
      <c r="D418" s="92"/>
      <c r="E418" s="92"/>
      <c r="F418" s="31" t="str">
        <f>IF(G418=1,IF(ISERROR(TableCosts[[#This Row],[N_Tariff]]),Err_Message1,IF(TableCosts[[#This Row],[N_Tariff]]=0,Err_Message2,VLOOKUP(C418&amp;TableCosts[[#This Row],[Calc_N_Typ]],TRAN_STRITEMS_LABEL,5,FALSE))),"")</f>
        <v/>
      </c>
      <c r="G418" s="31">
        <f t="shared" si="96"/>
        <v>0</v>
      </c>
      <c r="H418" s="31" t="str">
        <f>IF(G418=1,IFERROR(VLOOKUP(F418,Tab_ErrMessage[],2,0),VLOOKUP(C418&amp;TableCosts[[#This Row],[Calc_N_Typ]],TRAN_STRITEMS_LABEL,4,FALSE)),"")</f>
        <v/>
      </c>
      <c r="I418" s="94"/>
      <c r="J418" s="94"/>
      <c r="K418" s="94"/>
      <c r="L418" s="84"/>
      <c r="M418" s="84"/>
      <c r="N418" s="84"/>
      <c r="O418" s="84"/>
      <c r="P418" s="84"/>
      <c r="Q418" s="84"/>
      <c r="R418" s="84"/>
      <c r="S418" s="84"/>
      <c r="T418" s="84"/>
      <c r="U418" s="84"/>
      <c r="V418" s="84"/>
      <c r="W418" s="84"/>
      <c r="X418" s="84"/>
      <c r="Y418" s="84"/>
      <c r="Z418" s="84"/>
      <c r="AA418" s="84"/>
      <c r="AB418" s="84"/>
      <c r="AC418" s="84"/>
      <c r="AD418" s="84"/>
      <c r="AE418" s="84"/>
      <c r="AF418" s="84"/>
      <c r="AG418" s="84"/>
      <c r="AH418" s="84"/>
      <c r="AI418" s="84"/>
      <c r="AJ418" s="84"/>
      <c r="AK418" s="84"/>
      <c r="AL418" s="84"/>
      <c r="AM418" s="84"/>
      <c r="AN418" s="84"/>
      <c r="AO418" s="84"/>
      <c r="AP418" s="84"/>
      <c r="AQ418" s="84"/>
      <c r="AR418" s="84"/>
      <c r="AS418" s="84"/>
      <c r="AT418" s="84"/>
      <c r="AU418" s="84"/>
      <c r="AV418" s="84"/>
      <c r="AW418" s="84"/>
      <c r="AX418" s="87">
        <f t="array" ref="AX418">IF(G418=1,SUM((ROW(M0)=ROW(AW418))*(M0+M1_+M2_+M3_+M4_+M5_+M6_+M7_+M8_+M9_+M10_+M11_+M12_+M13_+M14_+M15_+M16_+M17_+M18_+M19_+M20_+M21_+M22_+M23_+M24_+M25_+M26_+M27_+M28_+M29_+M30_+M31_+M32_+M33_+M34_+M35_+M36_+M37_)),0)</f>
        <v>0</v>
      </c>
      <c r="AZ418" s="24" t="str">
        <f t="shared" si="97"/>
        <v/>
      </c>
      <c r="BA418" s="24" t="str">
        <f t="shared" si="98"/>
        <v/>
      </c>
      <c r="BB418" s="24" t="str">
        <f t="shared" si="99"/>
        <v/>
      </c>
      <c r="BC418" s="24" t="str">
        <f>IF(OR(E418="",LEFT(TableCosts[[#This Row],[Calc_N_Typ]],18)="Vynaložené náklady"),"",VLOOKUP(E418,Tab_Parts,2,0))</f>
        <v/>
      </c>
      <c r="BD418" s="24" t="str">
        <f t="shared" si="100"/>
        <v/>
      </c>
      <c r="BE418" s="24">
        <f t="shared" si="101"/>
        <v>0</v>
      </c>
      <c r="BF418" s="72">
        <f>TableCosts[[#This Row],[N_Amount]]*TableCosts[[#This Row],[N_Tariff]]*TableCosts[[#This Row],[N_ItemsCount]]</f>
        <v>0</v>
      </c>
      <c r="BG418" s="72">
        <f>IF(G418=1,IF(TableCosts[[#This Row],[N_Kateg]]="interné práce",TableCosts[[#This Row],[N_Amount]]*8*PAR_SGA_PERHOUR,0),0)</f>
        <v>0</v>
      </c>
      <c r="BH418" s="72">
        <f>SUM(TableCosts[[#This Row],[N_Direct]:[N_SGA]])</f>
        <v>0</v>
      </c>
      <c r="BI418" s="24">
        <f>IF(G418=1,IF(OR(AND(NOT(ISERROR(VLOOKUP(TableCosts[[#This Row],[Calc_N_Typ]],Cis_WorkPositions,1,0))),C418&lt;&gt;"",D418&lt;&gt;"",E418&lt;&gt;""),AND(ISERROR(VLOOKUP(TableCosts[[#This Row],[Calc_N_Typ]],Cis_WorkPositions,1,0)),C418="",D418="",E418&lt;&gt;""),LEFT(TableCosts[[#This Row],[Calc_N_Typ]],18)="Vynaložené náklady"),VLOOKUP(C418&amp;TableCosts[[#This Row],[Calc_N_Typ]],TRAN_STRITEMS_LABEL,VLOOKUP(D418,Tab_Hours,3,0),0),NA()),0)</f>
        <v>0</v>
      </c>
      <c r="BJ418" s="24">
        <f t="shared" si="102"/>
        <v>0</v>
      </c>
      <c r="BK418" s="24" t="str">
        <f t="shared" si="103"/>
        <v/>
      </c>
      <c r="BL418" s="24" t="str">
        <f t="shared" si="104"/>
        <v/>
      </c>
      <c r="BM418" s="24" t="str">
        <f>IF(G418=1,IF(TableCosts[[#This Row],[TransferFrom]]=TableCosts[[#This Row],[TranferTo]],0,1),"")</f>
        <v/>
      </c>
      <c r="BN418" s="24" t="str">
        <f t="shared" si="105"/>
        <v/>
      </c>
      <c r="BO418" s="24">
        <f t="shared" si="106"/>
        <v>0</v>
      </c>
      <c r="BP418" s="24">
        <f t="shared" si="107"/>
        <v>0</v>
      </c>
    </row>
    <row r="419" spans="2:68" s="24" customFormat="1" ht="12.75" x14ac:dyDescent="0.2">
      <c r="B419" s="97"/>
      <c r="C419" s="92"/>
      <c r="D419" s="92"/>
      <c r="E419" s="92"/>
      <c r="F419" s="31" t="str">
        <f>IF(G419=1,IF(ISERROR(TableCosts[[#This Row],[N_Tariff]]),Err_Message1,IF(TableCosts[[#This Row],[N_Tariff]]=0,Err_Message2,VLOOKUP(C419&amp;TableCosts[[#This Row],[Calc_N_Typ]],TRAN_STRITEMS_LABEL,5,FALSE))),"")</f>
        <v/>
      </c>
      <c r="G419" s="31">
        <f t="shared" si="96"/>
        <v>0</v>
      </c>
      <c r="H419" s="31" t="str">
        <f>IF(G419=1,IFERROR(VLOOKUP(F419,Tab_ErrMessage[],2,0),VLOOKUP(C419&amp;TableCosts[[#This Row],[Calc_N_Typ]],TRAN_STRITEMS_LABEL,4,FALSE)),"")</f>
        <v/>
      </c>
      <c r="I419" s="94"/>
      <c r="J419" s="94"/>
      <c r="K419" s="94"/>
      <c r="L419" s="84"/>
      <c r="M419" s="84"/>
      <c r="N419" s="84"/>
      <c r="O419" s="84"/>
      <c r="P419" s="84"/>
      <c r="Q419" s="84"/>
      <c r="R419" s="84"/>
      <c r="S419" s="84"/>
      <c r="T419" s="84"/>
      <c r="U419" s="84"/>
      <c r="V419" s="84"/>
      <c r="W419" s="84"/>
      <c r="X419" s="84"/>
      <c r="Y419" s="84"/>
      <c r="Z419" s="84"/>
      <c r="AA419" s="84"/>
      <c r="AB419" s="84"/>
      <c r="AC419" s="84"/>
      <c r="AD419" s="84"/>
      <c r="AE419" s="84"/>
      <c r="AF419" s="84"/>
      <c r="AG419" s="84"/>
      <c r="AH419" s="84"/>
      <c r="AI419" s="84"/>
      <c r="AJ419" s="84"/>
      <c r="AK419" s="84"/>
      <c r="AL419" s="84"/>
      <c r="AM419" s="84"/>
      <c r="AN419" s="84"/>
      <c r="AO419" s="84"/>
      <c r="AP419" s="84"/>
      <c r="AQ419" s="84"/>
      <c r="AR419" s="84"/>
      <c r="AS419" s="84"/>
      <c r="AT419" s="84"/>
      <c r="AU419" s="84"/>
      <c r="AV419" s="84"/>
      <c r="AW419" s="84"/>
      <c r="AX419" s="87">
        <f t="array" ref="AX419">IF(G419=1,SUM((ROW(M0)=ROW(AW419))*(M0+M1_+M2_+M3_+M4_+M5_+M6_+M7_+M8_+M9_+M10_+M11_+M12_+M13_+M14_+M15_+M16_+M17_+M18_+M19_+M20_+M21_+M22_+M23_+M24_+M25_+M26_+M27_+M28_+M29_+M30_+M31_+M32_+M33_+M34_+M35_+M36_+M37_)),0)</f>
        <v>0</v>
      </c>
      <c r="AZ419" s="24" t="str">
        <f t="shared" si="97"/>
        <v/>
      </c>
      <c r="BA419" s="24" t="str">
        <f t="shared" si="98"/>
        <v/>
      </c>
      <c r="BB419" s="24" t="str">
        <f t="shared" si="99"/>
        <v/>
      </c>
      <c r="BC419" s="24" t="str">
        <f>IF(OR(E419="",LEFT(TableCosts[[#This Row],[Calc_N_Typ]],18)="Vynaložené náklady"),"",VLOOKUP(E419,Tab_Parts,2,0))</f>
        <v/>
      </c>
      <c r="BD419" s="24" t="str">
        <f t="shared" si="100"/>
        <v/>
      </c>
      <c r="BE419" s="24">
        <f t="shared" si="101"/>
        <v>0</v>
      </c>
      <c r="BF419" s="72">
        <f>TableCosts[[#This Row],[N_Amount]]*TableCosts[[#This Row],[N_Tariff]]*TableCosts[[#This Row],[N_ItemsCount]]</f>
        <v>0</v>
      </c>
      <c r="BG419" s="72">
        <f>IF(G419=1,IF(TableCosts[[#This Row],[N_Kateg]]="interné práce",TableCosts[[#This Row],[N_Amount]]*8*PAR_SGA_PERHOUR,0),0)</f>
        <v>0</v>
      </c>
      <c r="BH419" s="72">
        <f>SUM(TableCosts[[#This Row],[N_Direct]:[N_SGA]])</f>
        <v>0</v>
      </c>
      <c r="BI419" s="24">
        <f>IF(G419=1,IF(OR(AND(NOT(ISERROR(VLOOKUP(TableCosts[[#This Row],[Calc_N_Typ]],Cis_WorkPositions,1,0))),C419&lt;&gt;"",D419&lt;&gt;"",E419&lt;&gt;""),AND(ISERROR(VLOOKUP(TableCosts[[#This Row],[Calc_N_Typ]],Cis_WorkPositions,1,0)),C419="",D419="",E419&lt;&gt;""),LEFT(TableCosts[[#This Row],[Calc_N_Typ]],18)="Vynaložené náklady"),VLOOKUP(C419&amp;TableCosts[[#This Row],[Calc_N_Typ]],TRAN_STRITEMS_LABEL,VLOOKUP(D419,Tab_Hours,3,0),0),NA()),0)</f>
        <v>0</v>
      </c>
      <c r="BJ419" s="24">
        <f t="shared" si="102"/>
        <v>0</v>
      </c>
      <c r="BK419" s="24" t="str">
        <f t="shared" si="103"/>
        <v/>
      </c>
      <c r="BL419" s="24" t="str">
        <f t="shared" si="104"/>
        <v/>
      </c>
      <c r="BM419" s="24" t="str">
        <f>IF(G419=1,IF(TableCosts[[#This Row],[TransferFrom]]=TableCosts[[#This Row],[TranferTo]],0,1),"")</f>
        <v/>
      </c>
      <c r="BN419" s="24" t="str">
        <f t="shared" si="105"/>
        <v/>
      </c>
      <c r="BO419" s="24">
        <f t="shared" si="106"/>
        <v>0</v>
      </c>
      <c r="BP419" s="24">
        <f t="shared" si="107"/>
        <v>0</v>
      </c>
    </row>
    <row r="420" spans="2:68" s="24" customFormat="1" ht="12.75" x14ac:dyDescent="0.2">
      <c r="B420" s="97"/>
      <c r="C420" s="92"/>
      <c r="D420" s="92"/>
      <c r="E420" s="92"/>
      <c r="F420" s="31" t="str">
        <f>IF(G420=1,IF(ISERROR(TableCosts[[#This Row],[N_Tariff]]),Err_Message1,IF(TableCosts[[#This Row],[N_Tariff]]=0,Err_Message2,VLOOKUP(C420&amp;TableCosts[[#This Row],[Calc_N_Typ]],TRAN_STRITEMS_LABEL,5,FALSE))),"")</f>
        <v/>
      </c>
      <c r="G420" s="31">
        <f t="shared" si="96"/>
        <v>0</v>
      </c>
      <c r="H420" s="31" t="str">
        <f>IF(G420=1,IFERROR(VLOOKUP(F420,Tab_ErrMessage[],2,0),VLOOKUP(C420&amp;TableCosts[[#This Row],[Calc_N_Typ]],TRAN_STRITEMS_LABEL,4,FALSE)),"")</f>
        <v/>
      </c>
      <c r="I420" s="94"/>
      <c r="J420" s="94"/>
      <c r="K420" s="94"/>
      <c r="L420" s="84"/>
      <c r="M420" s="84"/>
      <c r="N420" s="84"/>
      <c r="O420" s="84"/>
      <c r="P420" s="84"/>
      <c r="Q420" s="84"/>
      <c r="R420" s="84"/>
      <c r="S420" s="84"/>
      <c r="T420" s="84"/>
      <c r="U420" s="84"/>
      <c r="V420" s="84"/>
      <c r="W420" s="84"/>
      <c r="X420" s="84"/>
      <c r="Y420" s="84"/>
      <c r="Z420" s="84"/>
      <c r="AA420" s="84"/>
      <c r="AB420" s="84"/>
      <c r="AC420" s="84"/>
      <c r="AD420" s="84"/>
      <c r="AE420" s="84"/>
      <c r="AF420" s="84"/>
      <c r="AG420" s="84"/>
      <c r="AH420" s="84"/>
      <c r="AI420" s="84"/>
      <c r="AJ420" s="84"/>
      <c r="AK420" s="84"/>
      <c r="AL420" s="84"/>
      <c r="AM420" s="84"/>
      <c r="AN420" s="84"/>
      <c r="AO420" s="84"/>
      <c r="AP420" s="84"/>
      <c r="AQ420" s="84"/>
      <c r="AR420" s="84"/>
      <c r="AS420" s="84"/>
      <c r="AT420" s="84"/>
      <c r="AU420" s="84"/>
      <c r="AV420" s="84"/>
      <c r="AW420" s="84"/>
      <c r="AX420" s="87">
        <f t="array" ref="AX420">IF(G420=1,SUM((ROW(M0)=ROW(AW420))*(M0+M1_+M2_+M3_+M4_+M5_+M6_+M7_+M8_+M9_+M10_+M11_+M12_+M13_+M14_+M15_+M16_+M17_+M18_+M19_+M20_+M21_+M22_+M23_+M24_+M25_+M26_+M27_+M28_+M29_+M30_+M31_+M32_+M33_+M34_+M35_+M36_+M37_)),0)</f>
        <v>0</v>
      </c>
      <c r="AZ420" s="24" t="str">
        <f t="shared" si="97"/>
        <v/>
      </c>
      <c r="BA420" s="24" t="str">
        <f t="shared" si="98"/>
        <v/>
      </c>
      <c r="BB420" s="24" t="str">
        <f t="shared" si="99"/>
        <v/>
      </c>
      <c r="BC420" s="24" t="str">
        <f>IF(OR(E420="",LEFT(TableCosts[[#This Row],[Calc_N_Typ]],18)="Vynaložené náklady"),"",VLOOKUP(E420,Tab_Parts,2,0))</f>
        <v/>
      </c>
      <c r="BD420" s="24" t="str">
        <f t="shared" si="100"/>
        <v/>
      </c>
      <c r="BE420" s="24">
        <f t="shared" si="101"/>
        <v>0</v>
      </c>
      <c r="BF420" s="72">
        <f>TableCosts[[#This Row],[N_Amount]]*TableCosts[[#This Row],[N_Tariff]]*TableCosts[[#This Row],[N_ItemsCount]]</f>
        <v>0</v>
      </c>
      <c r="BG420" s="72">
        <f>IF(G420=1,IF(TableCosts[[#This Row],[N_Kateg]]="interné práce",TableCosts[[#This Row],[N_Amount]]*8*PAR_SGA_PERHOUR,0),0)</f>
        <v>0</v>
      </c>
      <c r="BH420" s="72">
        <f>SUM(TableCosts[[#This Row],[N_Direct]:[N_SGA]])</f>
        <v>0</v>
      </c>
      <c r="BI420" s="24">
        <f>IF(G420=1,IF(OR(AND(NOT(ISERROR(VLOOKUP(TableCosts[[#This Row],[Calc_N_Typ]],Cis_WorkPositions,1,0))),C420&lt;&gt;"",D420&lt;&gt;"",E420&lt;&gt;""),AND(ISERROR(VLOOKUP(TableCosts[[#This Row],[Calc_N_Typ]],Cis_WorkPositions,1,0)),C420="",D420="",E420&lt;&gt;""),LEFT(TableCosts[[#This Row],[Calc_N_Typ]],18)="Vynaložené náklady"),VLOOKUP(C420&amp;TableCosts[[#This Row],[Calc_N_Typ]],TRAN_STRITEMS_LABEL,VLOOKUP(D420,Tab_Hours,3,0),0),NA()),0)</f>
        <v>0</v>
      </c>
      <c r="BJ420" s="24">
        <f t="shared" si="102"/>
        <v>0</v>
      </c>
      <c r="BK420" s="24" t="str">
        <f t="shared" si="103"/>
        <v/>
      </c>
      <c r="BL420" s="24" t="str">
        <f t="shared" si="104"/>
        <v/>
      </c>
      <c r="BM420" s="24" t="str">
        <f>IF(G420=1,IF(TableCosts[[#This Row],[TransferFrom]]=TableCosts[[#This Row],[TranferTo]],0,1),"")</f>
        <v/>
      </c>
      <c r="BN420" s="24" t="str">
        <f t="shared" si="105"/>
        <v/>
      </c>
      <c r="BO420" s="24">
        <f t="shared" si="106"/>
        <v>0</v>
      </c>
      <c r="BP420" s="24">
        <f t="shared" si="107"/>
        <v>0</v>
      </c>
    </row>
    <row r="421" spans="2:68" s="24" customFormat="1" ht="12.75" x14ac:dyDescent="0.2">
      <c r="B421" s="97"/>
      <c r="C421" s="92"/>
      <c r="D421" s="92"/>
      <c r="E421" s="92"/>
      <c r="F421" s="31" t="str">
        <f>IF(G421=1,IF(ISERROR(TableCosts[[#This Row],[N_Tariff]]),Err_Message1,IF(TableCosts[[#This Row],[N_Tariff]]=0,Err_Message2,VLOOKUP(C421&amp;TableCosts[[#This Row],[Calc_N_Typ]],TRAN_STRITEMS_LABEL,5,FALSE))),"")</f>
        <v/>
      </c>
      <c r="G421" s="31">
        <f t="shared" si="96"/>
        <v>0</v>
      </c>
      <c r="H421" s="31" t="str">
        <f>IF(G421=1,IFERROR(VLOOKUP(F421,Tab_ErrMessage[],2,0),VLOOKUP(C421&amp;TableCosts[[#This Row],[Calc_N_Typ]],TRAN_STRITEMS_LABEL,4,FALSE)),"")</f>
        <v/>
      </c>
      <c r="I421" s="94"/>
      <c r="J421" s="94"/>
      <c r="K421" s="94"/>
      <c r="L421" s="84"/>
      <c r="M421" s="84"/>
      <c r="N421" s="84"/>
      <c r="O421" s="84"/>
      <c r="P421" s="84"/>
      <c r="Q421" s="84"/>
      <c r="R421" s="84"/>
      <c r="S421" s="84"/>
      <c r="T421" s="84"/>
      <c r="U421" s="84"/>
      <c r="V421" s="84"/>
      <c r="W421" s="84"/>
      <c r="X421" s="84"/>
      <c r="Y421" s="84"/>
      <c r="Z421" s="84"/>
      <c r="AA421" s="84"/>
      <c r="AB421" s="84"/>
      <c r="AC421" s="84"/>
      <c r="AD421" s="84"/>
      <c r="AE421" s="84"/>
      <c r="AF421" s="84"/>
      <c r="AG421" s="84"/>
      <c r="AH421" s="84"/>
      <c r="AI421" s="84"/>
      <c r="AJ421" s="84"/>
      <c r="AK421" s="84"/>
      <c r="AL421" s="84"/>
      <c r="AM421" s="84"/>
      <c r="AN421" s="84"/>
      <c r="AO421" s="84"/>
      <c r="AP421" s="84"/>
      <c r="AQ421" s="84"/>
      <c r="AR421" s="84"/>
      <c r="AS421" s="84"/>
      <c r="AT421" s="84"/>
      <c r="AU421" s="84"/>
      <c r="AV421" s="84"/>
      <c r="AW421" s="84"/>
      <c r="AX421" s="87">
        <f t="array" ref="AX421">IF(G421=1,SUM((ROW(M0)=ROW(AW421))*(M0+M1_+M2_+M3_+M4_+M5_+M6_+M7_+M8_+M9_+M10_+M11_+M12_+M13_+M14_+M15_+M16_+M17_+M18_+M19_+M20_+M21_+M22_+M23_+M24_+M25_+M26_+M27_+M28_+M29_+M30_+M31_+M32_+M33_+M34_+M35_+M36_+M37_)),0)</f>
        <v>0</v>
      </c>
      <c r="AZ421" s="24" t="str">
        <f t="shared" si="97"/>
        <v/>
      </c>
      <c r="BA421" s="24" t="str">
        <f t="shared" si="98"/>
        <v/>
      </c>
      <c r="BB421" s="24" t="str">
        <f t="shared" si="99"/>
        <v/>
      </c>
      <c r="BC421" s="24" t="str">
        <f>IF(OR(E421="",LEFT(TableCosts[[#This Row],[Calc_N_Typ]],18)="Vynaložené náklady"),"",VLOOKUP(E421,Tab_Parts,2,0))</f>
        <v/>
      </c>
      <c r="BD421" s="24" t="str">
        <f t="shared" si="100"/>
        <v/>
      </c>
      <c r="BE421" s="24">
        <f t="shared" si="101"/>
        <v>0</v>
      </c>
      <c r="BF421" s="72">
        <f>TableCosts[[#This Row],[N_Amount]]*TableCosts[[#This Row],[N_Tariff]]*TableCosts[[#This Row],[N_ItemsCount]]</f>
        <v>0</v>
      </c>
      <c r="BG421" s="72">
        <f>IF(G421=1,IF(TableCosts[[#This Row],[N_Kateg]]="interné práce",TableCosts[[#This Row],[N_Amount]]*8*PAR_SGA_PERHOUR,0),0)</f>
        <v>0</v>
      </c>
      <c r="BH421" s="72">
        <f>SUM(TableCosts[[#This Row],[N_Direct]:[N_SGA]])</f>
        <v>0</v>
      </c>
      <c r="BI421" s="24">
        <f>IF(G421=1,IF(OR(AND(NOT(ISERROR(VLOOKUP(TableCosts[[#This Row],[Calc_N_Typ]],Cis_WorkPositions,1,0))),C421&lt;&gt;"",D421&lt;&gt;"",E421&lt;&gt;""),AND(ISERROR(VLOOKUP(TableCosts[[#This Row],[Calc_N_Typ]],Cis_WorkPositions,1,0)),C421="",D421="",E421&lt;&gt;""),LEFT(TableCosts[[#This Row],[Calc_N_Typ]],18)="Vynaložené náklady"),VLOOKUP(C421&amp;TableCosts[[#This Row],[Calc_N_Typ]],TRAN_STRITEMS_LABEL,VLOOKUP(D421,Tab_Hours,3,0),0),NA()),0)</f>
        <v>0</v>
      </c>
      <c r="BJ421" s="24">
        <f t="shared" si="102"/>
        <v>0</v>
      </c>
      <c r="BK421" s="24" t="str">
        <f t="shared" si="103"/>
        <v/>
      </c>
      <c r="BL421" s="24" t="str">
        <f t="shared" si="104"/>
        <v/>
      </c>
      <c r="BM421" s="24" t="str">
        <f>IF(G421=1,IF(TableCosts[[#This Row],[TransferFrom]]=TableCosts[[#This Row],[TranferTo]],0,1),"")</f>
        <v/>
      </c>
      <c r="BN421" s="24" t="str">
        <f t="shared" si="105"/>
        <v/>
      </c>
      <c r="BO421" s="24">
        <f t="shared" si="106"/>
        <v>0</v>
      </c>
      <c r="BP421" s="24">
        <f t="shared" si="107"/>
        <v>0</v>
      </c>
    </row>
    <row r="422" spans="2:68" s="24" customFormat="1" ht="12.75" x14ac:dyDescent="0.2">
      <c r="B422" s="97"/>
      <c r="C422" s="92"/>
      <c r="D422" s="92"/>
      <c r="E422" s="92"/>
      <c r="F422" s="31" t="str">
        <f>IF(G422=1,IF(ISERROR(TableCosts[[#This Row],[N_Tariff]]),Err_Message1,IF(TableCosts[[#This Row],[N_Tariff]]=0,Err_Message2,VLOOKUP(C422&amp;TableCosts[[#This Row],[Calc_N_Typ]],TRAN_STRITEMS_LABEL,5,FALSE))),"")</f>
        <v/>
      </c>
      <c r="G422" s="31">
        <f t="shared" si="96"/>
        <v>0</v>
      </c>
      <c r="H422" s="31" t="str">
        <f>IF(G422=1,IFERROR(VLOOKUP(F422,Tab_ErrMessage[],2,0),VLOOKUP(C422&amp;TableCosts[[#This Row],[Calc_N_Typ]],TRAN_STRITEMS_LABEL,4,FALSE)),"")</f>
        <v/>
      </c>
      <c r="I422" s="94"/>
      <c r="J422" s="94"/>
      <c r="K422" s="94"/>
      <c r="L422" s="84"/>
      <c r="M422" s="84"/>
      <c r="N422" s="84"/>
      <c r="O422" s="84"/>
      <c r="P422" s="84"/>
      <c r="Q422" s="84"/>
      <c r="R422" s="84"/>
      <c r="S422" s="84"/>
      <c r="T422" s="84"/>
      <c r="U422" s="84"/>
      <c r="V422" s="84"/>
      <c r="W422" s="84"/>
      <c r="X422" s="84"/>
      <c r="Y422" s="84"/>
      <c r="Z422" s="84"/>
      <c r="AA422" s="84"/>
      <c r="AB422" s="84"/>
      <c r="AC422" s="84"/>
      <c r="AD422" s="84"/>
      <c r="AE422" s="84"/>
      <c r="AF422" s="84"/>
      <c r="AG422" s="84"/>
      <c r="AH422" s="84"/>
      <c r="AI422" s="84"/>
      <c r="AJ422" s="84"/>
      <c r="AK422" s="84"/>
      <c r="AL422" s="84"/>
      <c r="AM422" s="84"/>
      <c r="AN422" s="84"/>
      <c r="AO422" s="84"/>
      <c r="AP422" s="84"/>
      <c r="AQ422" s="84"/>
      <c r="AR422" s="84"/>
      <c r="AS422" s="84"/>
      <c r="AT422" s="84"/>
      <c r="AU422" s="84"/>
      <c r="AV422" s="84"/>
      <c r="AW422" s="84"/>
      <c r="AX422" s="87">
        <f t="array" ref="AX422">IF(G422=1,SUM((ROW(M0)=ROW(AW422))*(M0+M1_+M2_+M3_+M4_+M5_+M6_+M7_+M8_+M9_+M10_+M11_+M12_+M13_+M14_+M15_+M16_+M17_+M18_+M19_+M20_+M21_+M22_+M23_+M24_+M25_+M26_+M27_+M28_+M29_+M30_+M31_+M32_+M33_+M34_+M35_+M36_+M37_)),0)</f>
        <v>0</v>
      </c>
      <c r="AZ422" s="24" t="str">
        <f t="shared" si="97"/>
        <v/>
      </c>
      <c r="BA422" s="24" t="str">
        <f t="shared" si="98"/>
        <v/>
      </c>
      <c r="BB422" s="24" t="str">
        <f t="shared" si="99"/>
        <v/>
      </c>
      <c r="BC422" s="24" t="str">
        <f>IF(OR(E422="",LEFT(TableCosts[[#This Row],[Calc_N_Typ]],18)="Vynaložené náklady"),"",VLOOKUP(E422,Tab_Parts,2,0))</f>
        <v/>
      </c>
      <c r="BD422" s="24" t="str">
        <f t="shared" si="100"/>
        <v/>
      </c>
      <c r="BE422" s="24">
        <f t="shared" si="101"/>
        <v>0</v>
      </c>
      <c r="BF422" s="72">
        <f>TableCosts[[#This Row],[N_Amount]]*TableCosts[[#This Row],[N_Tariff]]*TableCosts[[#This Row],[N_ItemsCount]]</f>
        <v>0</v>
      </c>
      <c r="BG422" s="72">
        <f>IF(G422=1,IF(TableCosts[[#This Row],[N_Kateg]]="interné práce",TableCosts[[#This Row],[N_Amount]]*8*PAR_SGA_PERHOUR,0),0)</f>
        <v>0</v>
      </c>
      <c r="BH422" s="72">
        <f>SUM(TableCosts[[#This Row],[N_Direct]:[N_SGA]])</f>
        <v>0</v>
      </c>
      <c r="BI422" s="24">
        <f>IF(G422=1,IF(OR(AND(NOT(ISERROR(VLOOKUP(TableCosts[[#This Row],[Calc_N_Typ]],Cis_WorkPositions,1,0))),C422&lt;&gt;"",D422&lt;&gt;"",E422&lt;&gt;""),AND(ISERROR(VLOOKUP(TableCosts[[#This Row],[Calc_N_Typ]],Cis_WorkPositions,1,0)),C422="",D422="",E422&lt;&gt;""),LEFT(TableCosts[[#This Row],[Calc_N_Typ]],18)="Vynaložené náklady"),VLOOKUP(C422&amp;TableCosts[[#This Row],[Calc_N_Typ]],TRAN_STRITEMS_LABEL,VLOOKUP(D422,Tab_Hours,3,0),0),NA()),0)</f>
        <v>0</v>
      </c>
      <c r="BJ422" s="24">
        <f t="shared" si="102"/>
        <v>0</v>
      </c>
      <c r="BK422" s="24" t="str">
        <f t="shared" si="103"/>
        <v/>
      </c>
      <c r="BL422" s="24" t="str">
        <f t="shared" si="104"/>
        <v/>
      </c>
      <c r="BM422" s="24" t="str">
        <f>IF(G422=1,IF(TableCosts[[#This Row],[TransferFrom]]=TableCosts[[#This Row],[TranferTo]],0,1),"")</f>
        <v/>
      </c>
      <c r="BN422" s="24" t="str">
        <f t="shared" si="105"/>
        <v/>
      </c>
      <c r="BO422" s="24">
        <f t="shared" si="106"/>
        <v>0</v>
      </c>
      <c r="BP422" s="24">
        <f t="shared" si="107"/>
        <v>0</v>
      </c>
    </row>
    <row r="423" spans="2:68" s="24" customFormat="1" ht="12.75" x14ac:dyDescent="0.2">
      <c r="B423" s="97"/>
      <c r="C423" s="92"/>
      <c r="D423" s="92"/>
      <c r="E423" s="92"/>
      <c r="F423" s="31" t="str">
        <f>IF(G423=1,IF(ISERROR(TableCosts[[#This Row],[N_Tariff]]),Err_Message1,IF(TableCosts[[#This Row],[N_Tariff]]=0,Err_Message2,VLOOKUP(C423&amp;TableCosts[[#This Row],[Calc_N_Typ]],TRAN_STRITEMS_LABEL,5,FALSE))),"")</f>
        <v/>
      </c>
      <c r="G423" s="31">
        <f t="shared" si="96"/>
        <v>0</v>
      </c>
      <c r="H423" s="31" t="str">
        <f>IF(G423=1,IFERROR(VLOOKUP(F423,Tab_ErrMessage[],2,0),VLOOKUP(C423&amp;TableCosts[[#This Row],[Calc_N_Typ]],TRAN_STRITEMS_LABEL,4,FALSE)),"")</f>
        <v/>
      </c>
      <c r="I423" s="94"/>
      <c r="J423" s="94"/>
      <c r="K423" s="94"/>
      <c r="L423" s="84"/>
      <c r="M423" s="84"/>
      <c r="N423" s="84"/>
      <c r="O423" s="84"/>
      <c r="P423" s="84"/>
      <c r="Q423" s="84"/>
      <c r="R423" s="84"/>
      <c r="S423" s="84"/>
      <c r="T423" s="84"/>
      <c r="U423" s="84"/>
      <c r="V423" s="84"/>
      <c r="W423" s="84"/>
      <c r="X423" s="84"/>
      <c r="Y423" s="84"/>
      <c r="Z423" s="84"/>
      <c r="AA423" s="84"/>
      <c r="AB423" s="84"/>
      <c r="AC423" s="84"/>
      <c r="AD423" s="84"/>
      <c r="AE423" s="84"/>
      <c r="AF423" s="84"/>
      <c r="AG423" s="84"/>
      <c r="AH423" s="84"/>
      <c r="AI423" s="84"/>
      <c r="AJ423" s="84"/>
      <c r="AK423" s="84"/>
      <c r="AL423" s="84"/>
      <c r="AM423" s="84"/>
      <c r="AN423" s="84"/>
      <c r="AO423" s="84"/>
      <c r="AP423" s="84"/>
      <c r="AQ423" s="84"/>
      <c r="AR423" s="84"/>
      <c r="AS423" s="84"/>
      <c r="AT423" s="84"/>
      <c r="AU423" s="84"/>
      <c r="AV423" s="84"/>
      <c r="AW423" s="84"/>
      <c r="AX423" s="87">
        <f t="array" ref="AX423">IF(G423=1,SUM((ROW(M0)=ROW(AW423))*(M0+M1_+M2_+M3_+M4_+M5_+M6_+M7_+M8_+M9_+M10_+M11_+M12_+M13_+M14_+M15_+M16_+M17_+M18_+M19_+M20_+M21_+M22_+M23_+M24_+M25_+M26_+M27_+M28_+M29_+M30_+M31_+M32_+M33_+M34_+M35_+M36_+M37_)),0)</f>
        <v>0</v>
      </c>
      <c r="AZ423" s="24" t="str">
        <f t="shared" si="97"/>
        <v/>
      </c>
      <c r="BA423" s="24" t="str">
        <f t="shared" si="98"/>
        <v/>
      </c>
      <c r="BB423" s="24" t="str">
        <f t="shared" si="99"/>
        <v/>
      </c>
      <c r="BC423" s="24" t="str">
        <f>IF(OR(E423="",LEFT(TableCosts[[#This Row],[Calc_N_Typ]],18)="Vynaložené náklady"),"",VLOOKUP(E423,Tab_Parts,2,0))</f>
        <v/>
      </c>
      <c r="BD423" s="24" t="str">
        <f t="shared" si="100"/>
        <v/>
      </c>
      <c r="BE423" s="24">
        <f t="shared" si="101"/>
        <v>0</v>
      </c>
      <c r="BF423" s="72">
        <f>TableCosts[[#This Row],[N_Amount]]*TableCosts[[#This Row],[N_Tariff]]*TableCosts[[#This Row],[N_ItemsCount]]</f>
        <v>0</v>
      </c>
      <c r="BG423" s="72">
        <f>IF(G423=1,IF(TableCosts[[#This Row],[N_Kateg]]="interné práce",TableCosts[[#This Row],[N_Amount]]*8*PAR_SGA_PERHOUR,0),0)</f>
        <v>0</v>
      </c>
      <c r="BH423" s="72">
        <f>SUM(TableCosts[[#This Row],[N_Direct]:[N_SGA]])</f>
        <v>0</v>
      </c>
      <c r="BI423" s="24">
        <f>IF(G423=1,IF(OR(AND(NOT(ISERROR(VLOOKUP(TableCosts[[#This Row],[Calc_N_Typ]],Cis_WorkPositions,1,0))),C423&lt;&gt;"",D423&lt;&gt;"",E423&lt;&gt;""),AND(ISERROR(VLOOKUP(TableCosts[[#This Row],[Calc_N_Typ]],Cis_WorkPositions,1,0)),C423="",D423="",E423&lt;&gt;""),LEFT(TableCosts[[#This Row],[Calc_N_Typ]],18)="Vynaložené náklady"),VLOOKUP(C423&amp;TableCosts[[#This Row],[Calc_N_Typ]],TRAN_STRITEMS_LABEL,VLOOKUP(D423,Tab_Hours,3,0),0),NA()),0)</f>
        <v>0</v>
      </c>
      <c r="BJ423" s="24">
        <f t="shared" si="102"/>
        <v>0</v>
      </c>
      <c r="BK423" s="24" t="str">
        <f t="shared" si="103"/>
        <v/>
      </c>
      <c r="BL423" s="24" t="str">
        <f t="shared" si="104"/>
        <v/>
      </c>
      <c r="BM423" s="24" t="str">
        <f>IF(G423=1,IF(TableCosts[[#This Row],[TransferFrom]]=TableCosts[[#This Row],[TranferTo]],0,1),"")</f>
        <v/>
      </c>
      <c r="BN423" s="24" t="str">
        <f t="shared" si="105"/>
        <v/>
      </c>
      <c r="BO423" s="24">
        <f t="shared" si="106"/>
        <v>0</v>
      </c>
      <c r="BP423" s="24">
        <f t="shared" si="107"/>
        <v>0</v>
      </c>
    </row>
    <row r="424" spans="2:68" s="24" customFormat="1" ht="12.75" x14ac:dyDescent="0.2">
      <c r="B424" s="97"/>
      <c r="C424" s="92"/>
      <c r="D424" s="92"/>
      <c r="E424" s="92"/>
      <c r="F424" s="31" t="str">
        <f>IF(G424=1,IF(ISERROR(TableCosts[[#This Row],[N_Tariff]]),Err_Message1,IF(TableCosts[[#This Row],[N_Tariff]]=0,Err_Message2,VLOOKUP(C424&amp;TableCosts[[#This Row],[Calc_N_Typ]],TRAN_STRITEMS_LABEL,5,FALSE))),"")</f>
        <v/>
      </c>
      <c r="G424" s="31">
        <f t="shared" si="96"/>
        <v>0</v>
      </c>
      <c r="H424" s="31" t="str">
        <f>IF(G424=1,IFERROR(VLOOKUP(F424,Tab_ErrMessage[],2,0),VLOOKUP(C424&amp;TableCosts[[#This Row],[Calc_N_Typ]],TRAN_STRITEMS_LABEL,4,FALSE)),"")</f>
        <v/>
      </c>
      <c r="I424" s="94"/>
      <c r="J424" s="94"/>
      <c r="K424" s="94"/>
      <c r="L424" s="84"/>
      <c r="M424" s="84"/>
      <c r="N424" s="84"/>
      <c r="O424" s="84"/>
      <c r="P424" s="84"/>
      <c r="Q424" s="84"/>
      <c r="R424" s="84"/>
      <c r="S424" s="84"/>
      <c r="T424" s="84"/>
      <c r="U424" s="84"/>
      <c r="V424" s="84"/>
      <c r="W424" s="84"/>
      <c r="X424" s="84"/>
      <c r="Y424" s="84"/>
      <c r="Z424" s="84"/>
      <c r="AA424" s="84"/>
      <c r="AB424" s="84"/>
      <c r="AC424" s="84"/>
      <c r="AD424" s="84"/>
      <c r="AE424" s="84"/>
      <c r="AF424" s="84"/>
      <c r="AG424" s="84"/>
      <c r="AH424" s="84"/>
      <c r="AI424" s="84"/>
      <c r="AJ424" s="84"/>
      <c r="AK424" s="84"/>
      <c r="AL424" s="84"/>
      <c r="AM424" s="84"/>
      <c r="AN424" s="84"/>
      <c r="AO424" s="84"/>
      <c r="AP424" s="84"/>
      <c r="AQ424" s="84"/>
      <c r="AR424" s="84"/>
      <c r="AS424" s="84"/>
      <c r="AT424" s="84"/>
      <c r="AU424" s="84"/>
      <c r="AV424" s="84"/>
      <c r="AW424" s="84"/>
      <c r="AX424" s="87">
        <f t="array" ref="AX424">IF(G424=1,SUM((ROW(M0)=ROW(AW424))*(M0+M1_+M2_+M3_+M4_+M5_+M6_+M7_+M8_+M9_+M10_+M11_+M12_+M13_+M14_+M15_+M16_+M17_+M18_+M19_+M20_+M21_+M22_+M23_+M24_+M25_+M26_+M27_+M28_+M29_+M30_+M31_+M32_+M33_+M34_+M35_+M36_+M37_)),0)</f>
        <v>0</v>
      </c>
      <c r="AZ424" s="24" t="str">
        <f t="shared" si="97"/>
        <v/>
      </c>
      <c r="BA424" s="24" t="str">
        <f t="shared" si="98"/>
        <v/>
      </c>
      <c r="BB424" s="24" t="str">
        <f t="shared" si="99"/>
        <v/>
      </c>
      <c r="BC424" s="24" t="str">
        <f>IF(OR(E424="",LEFT(TableCosts[[#This Row],[Calc_N_Typ]],18)="Vynaložené náklady"),"",VLOOKUP(E424,Tab_Parts,2,0))</f>
        <v/>
      </c>
      <c r="BD424" s="24" t="str">
        <f t="shared" si="100"/>
        <v/>
      </c>
      <c r="BE424" s="24">
        <f t="shared" si="101"/>
        <v>0</v>
      </c>
      <c r="BF424" s="72">
        <f>TableCosts[[#This Row],[N_Amount]]*TableCosts[[#This Row],[N_Tariff]]*TableCosts[[#This Row],[N_ItemsCount]]</f>
        <v>0</v>
      </c>
      <c r="BG424" s="72">
        <f>IF(G424=1,IF(TableCosts[[#This Row],[N_Kateg]]="interné práce",TableCosts[[#This Row],[N_Amount]]*8*PAR_SGA_PERHOUR,0),0)</f>
        <v>0</v>
      </c>
      <c r="BH424" s="72">
        <f>SUM(TableCosts[[#This Row],[N_Direct]:[N_SGA]])</f>
        <v>0</v>
      </c>
      <c r="BI424" s="24">
        <f>IF(G424=1,IF(OR(AND(NOT(ISERROR(VLOOKUP(TableCosts[[#This Row],[Calc_N_Typ]],Cis_WorkPositions,1,0))),C424&lt;&gt;"",D424&lt;&gt;"",E424&lt;&gt;""),AND(ISERROR(VLOOKUP(TableCosts[[#This Row],[Calc_N_Typ]],Cis_WorkPositions,1,0)),C424="",D424="",E424&lt;&gt;""),LEFT(TableCosts[[#This Row],[Calc_N_Typ]],18)="Vynaložené náklady"),VLOOKUP(C424&amp;TableCosts[[#This Row],[Calc_N_Typ]],TRAN_STRITEMS_LABEL,VLOOKUP(D424,Tab_Hours,3,0),0),NA()),0)</f>
        <v>0</v>
      </c>
      <c r="BJ424" s="24">
        <f t="shared" si="102"/>
        <v>0</v>
      </c>
      <c r="BK424" s="24" t="str">
        <f t="shared" si="103"/>
        <v/>
      </c>
      <c r="BL424" s="24" t="str">
        <f t="shared" si="104"/>
        <v/>
      </c>
      <c r="BM424" s="24" t="str">
        <f>IF(G424=1,IF(TableCosts[[#This Row],[TransferFrom]]=TableCosts[[#This Row],[TranferTo]],0,1),"")</f>
        <v/>
      </c>
      <c r="BN424" s="24" t="str">
        <f t="shared" si="105"/>
        <v/>
      </c>
      <c r="BO424" s="24">
        <f t="shared" si="106"/>
        <v>0</v>
      </c>
      <c r="BP424" s="24">
        <f t="shared" si="107"/>
        <v>0</v>
      </c>
    </row>
    <row r="425" spans="2:68" s="24" customFormat="1" ht="12.75" x14ac:dyDescent="0.2">
      <c r="B425" s="97"/>
      <c r="C425" s="92"/>
      <c r="D425" s="92"/>
      <c r="E425" s="92"/>
      <c r="F425" s="31" t="str">
        <f>IF(G425=1,IF(ISERROR(TableCosts[[#This Row],[N_Tariff]]),Err_Message1,IF(TableCosts[[#This Row],[N_Tariff]]=0,Err_Message2,VLOOKUP(C425&amp;TableCosts[[#This Row],[Calc_N_Typ]],TRAN_STRITEMS_LABEL,5,FALSE))),"")</f>
        <v/>
      </c>
      <c r="G425" s="31">
        <f t="shared" si="96"/>
        <v>0</v>
      </c>
      <c r="H425" s="31" t="str">
        <f>IF(G425=1,IFERROR(VLOOKUP(F425,Tab_ErrMessage[],2,0),VLOOKUP(C425&amp;TableCosts[[#This Row],[Calc_N_Typ]],TRAN_STRITEMS_LABEL,4,FALSE)),"")</f>
        <v/>
      </c>
      <c r="I425" s="94"/>
      <c r="J425" s="94"/>
      <c r="K425" s="94"/>
      <c r="L425" s="84"/>
      <c r="M425" s="84"/>
      <c r="N425" s="84"/>
      <c r="O425" s="84"/>
      <c r="P425" s="84"/>
      <c r="Q425" s="84"/>
      <c r="R425" s="84"/>
      <c r="S425" s="84"/>
      <c r="T425" s="84"/>
      <c r="U425" s="84"/>
      <c r="V425" s="84"/>
      <c r="W425" s="84"/>
      <c r="X425" s="84"/>
      <c r="Y425" s="84"/>
      <c r="Z425" s="84"/>
      <c r="AA425" s="84"/>
      <c r="AB425" s="84"/>
      <c r="AC425" s="84"/>
      <c r="AD425" s="84"/>
      <c r="AE425" s="84"/>
      <c r="AF425" s="84"/>
      <c r="AG425" s="84"/>
      <c r="AH425" s="84"/>
      <c r="AI425" s="84"/>
      <c r="AJ425" s="84"/>
      <c r="AK425" s="84"/>
      <c r="AL425" s="84"/>
      <c r="AM425" s="84"/>
      <c r="AN425" s="84"/>
      <c r="AO425" s="84"/>
      <c r="AP425" s="84"/>
      <c r="AQ425" s="84"/>
      <c r="AR425" s="84"/>
      <c r="AS425" s="84"/>
      <c r="AT425" s="84"/>
      <c r="AU425" s="84"/>
      <c r="AV425" s="84"/>
      <c r="AW425" s="84"/>
      <c r="AX425" s="87">
        <f t="array" ref="AX425">IF(G425=1,SUM((ROW(M0)=ROW(AW425))*(M0+M1_+M2_+M3_+M4_+M5_+M6_+M7_+M8_+M9_+M10_+M11_+M12_+M13_+M14_+M15_+M16_+M17_+M18_+M19_+M20_+M21_+M22_+M23_+M24_+M25_+M26_+M27_+M28_+M29_+M30_+M31_+M32_+M33_+M34_+M35_+M36_+M37_)),0)</f>
        <v>0</v>
      </c>
      <c r="AZ425" s="24" t="str">
        <f t="shared" si="97"/>
        <v/>
      </c>
      <c r="BA425" s="24" t="str">
        <f t="shared" si="98"/>
        <v/>
      </c>
      <c r="BB425" s="24" t="str">
        <f t="shared" si="99"/>
        <v/>
      </c>
      <c r="BC425" s="24" t="str">
        <f>IF(OR(E425="",LEFT(TableCosts[[#This Row],[Calc_N_Typ]],18)="Vynaložené náklady"),"",VLOOKUP(E425,Tab_Parts,2,0))</f>
        <v/>
      </c>
      <c r="BD425" s="24" t="str">
        <f t="shared" si="100"/>
        <v/>
      </c>
      <c r="BE425" s="24">
        <f t="shared" si="101"/>
        <v>0</v>
      </c>
      <c r="BF425" s="72">
        <f>TableCosts[[#This Row],[N_Amount]]*TableCosts[[#This Row],[N_Tariff]]*TableCosts[[#This Row],[N_ItemsCount]]</f>
        <v>0</v>
      </c>
      <c r="BG425" s="72">
        <f>IF(G425=1,IF(TableCosts[[#This Row],[N_Kateg]]="interné práce",TableCosts[[#This Row],[N_Amount]]*8*PAR_SGA_PERHOUR,0),0)</f>
        <v>0</v>
      </c>
      <c r="BH425" s="72">
        <f>SUM(TableCosts[[#This Row],[N_Direct]:[N_SGA]])</f>
        <v>0</v>
      </c>
      <c r="BI425" s="24">
        <f>IF(G425=1,IF(OR(AND(NOT(ISERROR(VLOOKUP(TableCosts[[#This Row],[Calc_N_Typ]],Cis_WorkPositions,1,0))),C425&lt;&gt;"",D425&lt;&gt;"",E425&lt;&gt;""),AND(ISERROR(VLOOKUP(TableCosts[[#This Row],[Calc_N_Typ]],Cis_WorkPositions,1,0)),C425="",D425="",E425&lt;&gt;""),LEFT(TableCosts[[#This Row],[Calc_N_Typ]],18)="Vynaložené náklady"),VLOOKUP(C425&amp;TableCosts[[#This Row],[Calc_N_Typ]],TRAN_STRITEMS_LABEL,VLOOKUP(D425,Tab_Hours,3,0),0),NA()),0)</f>
        <v>0</v>
      </c>
      <c r="BJ425" s="24">
        <f t="shared" si="102"/>
        <v>0</v>
      </c>
      <c r="BK425" s="24" t="str">
        <f t="shared" si="103"/>
        <v/>
      </c>
      <c r="BL425" s="24" t="str">
        <f t="shared" si="104"/>
        <v/>
      </c>
      <c r="BM425" s="24" t="str">
        <f>IF(G425=1,IF(TableCosts[[#This Row],[TransferFrom]]=TableCosts[[#This Row],[TranferTo]],0,1),"")</f>
        <v/>
      </c>
      <c r="BN425" s="24" t="str">
        <f t="shared" si="105"/>
        <v/>
      </c>
      <c r="BO425" s="24">
        <f t="shared" si="106"/>
        <v>0</v>
      </c>
      <c r="BP425" s="24">
        <f t="shared" si="107"/>
        <v>0</v>
      </c>
    </row>
    <row r="426" spans="2:68" s="24" customFormat="1" ht="12.75" x14ac:dyDescent="0.2">
      <c r="B426" s="97"/>
      <c r="C426" s="92"/>
      <c r="D426" s="92"/>
      <c r="E426" s="92"/>
      <c r="F426" s="31" t="str">
        <f>IF(G426=1,IF(ISERROR(TableCosts[[#This Row],[N_Tariff]]),Err_Message1,IF(TableCosts[[#This Row],[N_Tariff]]=0,Err_Message2,VLOOKUP(C426&amp;TableCosts[[#This Row],[Calc_N_Typ]],TRAN_STRITEMS_LABEL,5,FALSE))),"")</f>
        <v/>
      </c>
      <c r="G426" s="31">
        <f t="shared" si="96"/>
        <v>0</v>
      </c>
      <c r="H426" s="31" t="str">
        <f>IF(G426=1,IFERROR(VLOOKUP(F426,Tab_ErrMessage[],2,0),VLOOKUP(C426&amp;TableCosts[[#This Row],[Calc_N_Typ]],TRAN_STRITEMS_LABEL,4,FALSE)),"")</f>
        <v/>
      </c>
      <c r="I426" s="94"/>
      <c r="J426" s="94"/>
      <c r="K426" s="94"/>
      <c r="L426" s="84"/>
      <c r="M426" s="84"/>
      <c r="N426" s="84"/>
      <c r="O426" s="84"/>
      <c r="P426" s="84"/>
      <c r="Q426" s="84"/>
      <c r="R426" s="84"/>
      <c r="S426" s="84"/>
      <c r="T426" s="84"/>
      <c r="U426" s="84"/>
      <c r="V426" s="84"/>
      <c r="W426" s="84"/>
      <c r="X426" s="84"/>
      <c r="Y426" s="84"/>
      <c r="Z426" s="84"/>
      <c r="AA426" s="84"/>
      <c r="AB426" s="84"/>
      <c r="AC426" s="84"/>
      <c r="AD426" s="84"/>
      <c r="AE426" s="84"/>
      <c r="AF426" s="84"/>
      <c r="AG426" s="84"/>
      <c r="AH426" s="84"/>
      <c r="AI426" s="84"/>
      <c r="AJ426" s="84"/>
      <c r="AK426" s="84"/>
      <c r="AL426" s="84"/>
      <c r="AM426" s="84"/>
      <c r="AN426" s="84"/>
      <c r="AO426" s="84"/>
      <c r="AP426" s="84"/>
      <c r="AQ426" s="84"/>
      <c r="AR426" s="84"/>
      <c r="AS426" s="84"/>
      <c r="AT426" s="84"/>
      <c r="AU426" s="84"/>
      <c r="AV426" s="84"/>
      <c r="AW426" s="84"/>
      <c r="AX426" s="87">
        <f t="array" ref="AX426">IF(G426=1,SUM((ROW(M0)=ROW(AW426))*(M0+M1_+M2_+M3_+M4_+M5_+M6_+M7_+M8_+M9_+M10_+M11_+M12_+M13_+M14_+M15_+M16_+M17_+M18_+M19_+M20_+M21_+M22_+M23_+M24_+M25_+M26_+M27_+M28_+M29_+M30_+M31_+M32_+M33_+M34_+M35_+M36_+M37_)),0)</f>
        <v>0</v>
      </c>
      <c r="AZ426" s="24" t="str">
        <f t="shared" si="97"/>
        <v/>
      </c>
      <c r="BA426" s="24" t="str">
        <f t="shared" si="98"/>
        <v/>
      </c>
      <c r="BB426" s="24" t="str">
        <f t="shared" si="99"/>
        <v/>
      </c>
      <c r="BC426" s="24" t="str">
        <f>IF(OR(E426="",LEFT(TableCosts[[#This Row],[Calc_N_Typ]],18)="Vynaložené náklady"),"",VLOOKUP(E426,Tab_Parts,2,0))</f>
        <v/>
      </c>
      <c r="BD426" s="24" t="str">
        <f t="shared" si="100"/>
        <v/>
      </c>
      <c r="BE426" s="24">
        <f t="shared" si="101"/>
        <v>0</v>
      </c>
      <c r="BF426" s="72">
        <f>TableCosts[[#This Row],[N_Amount]]*TableCosts[[#This Row],[N_Tariff]]*TableCosts[[#This Row],[N_ItemsCount]]</f>
        <v>0</v>
      </c>
      <c r="BG426" s="72">
        <f>IF(G426=1,IF(TableCosts[[#This Row],[N_Kateg]]="interné práce",TableCosts[[#This Row],[N_Amount]]*8*PAR_SGA_PERHOUR,0),0)</f>
        <v>0</v>
      </c>
      <c r="BH426" s="72">
        <f>SUM(TableCosts[[#This Row],[N_Direct]:[N_SGA]])</f>
        <v>0</v>
      </c>
      <c r="BI426" s="24">
        <f>IF(G426=1,IF(OR(AND(NOT(ISERROR(VLOOKUP(TableCosts[[#This Row],[Calc_N_Typ]],Cis_WorkPositions,1,0))),C426&lt;&gt;"",D426&lt;&gt;"",E426&lt;&gt;""),AND(ISERROR(VLOOKUP(TableCosts[[#This Row],[Calc_N_Typ]],Cis_WorkPositions,1,0)),C426="",D426="",E426&lt;&gt;""),LEFT(TableCosts[[#This Row],[Calc_N_Typ]],18)="Vynaložené náklady"),VLOOKUP(C426&amp;TableCosts[[#This Row],[Calc_N_Typ]],TRAN_STRITEMS_LABEL,VLOOKUP(D426,Tab_Hours,3,0),0),NA()),0)</f>
        <v>0</v>
      </c>
      <c r="BJ426" s="24">
        <f t="shared" si="102"/>
        <v>0</v>
      </c>
      <c r="BK426" s="24" t="str">
        <f t="shared" si="103"/>
        <v/>
      </c>
      <c r="BL426" s="24" t="str">
        <f t="shared" si="104"/>
        <v/>
      </c>
      <c r="BM426" s="24" t="str">
        <f>IF(G426=1,IF(TableCosts[[#This Row],[TransferFrom]]=TableCosts[[#This Row],[TranferTo]],0,1),"")</f>
        <v/>
      </c>
      <c r="BN426" s="24" t="str">
        <f t="shared" si="105"/>
        <v/>
      </c>
      <c r="BO426" s="24">
        <f t="shared" si="106"/>
        <v>0</v>
      </c>
      <c r="BP426" s="24">
        <f t="shared" si="107"/>
        <v>0</v>
      </c>
    </row>
    <row r="427" spans="2:68" s="24" customFormat="1" ht="12.75" x14ac:dyDescent="0.2">
      <c r="B427" s="97"/>
      <c r="C427" s="92"/>
      <c r="D427" s="92"/>
      <c r="E427" s="92"/>
      <c r="F427" s="31" t="str">
        <f>IF(G427=1,IF(ISERROR(TableCosts[[#This Row],[N_Tariff]]),Err_Message1,IF(TableCosts[[#This Row],[N_Tariff]]=0,Err_Message2,VLOOKUP(C427&amp;TableCosts[[#This Row],[Calc_N_Typ]],TRAN_STRITEMS_LABEL,5,FALSE))),"")</f>
        <v/>
      </c>
      <c r="G427" s="31">
        <f t="shared" si="96"/>
        <v>0</v>
      </c>
      <c r="H427" s="31" t="str">
        <f>IF(G427=1,IFERROR(VLOOKUP(F427,Tab_ErrMessage[],2,0),VLOOKUP(C427&amp;TableCosts[[#This Row],[Calc_N_Typ]],TRAN_STRITEMS_LABEL,4,FALSE)),"")</f>
        <v/>
      </c>
      <c r="I427" s="94"/>
      <c r="J427" s="94"/>
      <c r="K427" s="9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  <c r="W427" s="84"/>
      <c r="X427" s="84"/>
      <c r="Y427" s="84"/>
      <c r="Z427" s="84"/>
      <c r="AA427" s="84"/>
      <c r="AB427" s="84"/>
      <c r="AC427" s="84"/>
      <c r="AD427" s="84"/>
      <c r="AE427" s="84"/>
      <c r="AF427" s="84"/>
      <c r="AG427" s="84"/>
      <c r="AH427" s="84"/>
      <c r="AI427" s="84"/>
      <c r="AJ427" s="84"/>
      <c r="AK427" s="84"/>
      <c r="AL427" s="84"/>
      <c r="AM427" s="84"/>
      <c r="AN427" s="84"/>
      <c r="AO427" s="84"/>
      <c r="AP427" s="84"/>
      <c r="AQ427" s="84"/>
      <c r="AR427" s="84"/>
      <c r="AS427" s="84"/>
      <c r="AT427" s="84"/>
      <c r="AU427" s="84"/>
      <c r="AV427" s="84"/>
      <c r="AW427" s="84"/>
      <c r="AX427" s="87">
        <f t="array" ref="AX427">IF(G427=1,SUM((ROW(M0)=ROW(AW427))*(M0+M1_+M2_+M3_+M4_+M5_+M6_+M7_+M8_+M9_+M10_+M11_+M12_+M13_+M14_+M15_+M16_+M17_+M18_+M19_+M20_+M21_+M22_+M23_+M24_+M25_+M26_+M27_+M28_+M29_+M30_+M31_+M32_+M33_+M34_+M35_+M36_+M37_)),0)</f>
        <v>0</v>
      </c>
      <c r="AZ427" s="24" t="str">
        <f t="shared" si="97"/>
        <v/>
      </c>
      <c r="BA427" s="24" t="str">
        <f t="shared" si="98"/>
        <v/>
      </c>
      <c r="BB427" s="24" t="str">
        <f t="shared" si="99"/>
        <v/>
      </c>
      <c r="BC427" s="24" t="str">
        <f>IF(OR(E427="",LEFT(TableCosts[[#This Row],[Calc_N_Typ]],18)="Vynaložené náklady"),"",VLOOKUP(E427,Tab_Parts,2,0))</f>
        <v/>
      </c>
      <c r="BD427" s="24" t="str">
        <f t="shared" si="100"/>
        <v/>
      </c>
      <c r="BE427" s="24">
        <f t="shared" si="101"/>
        <v>0</v>
      </c>
      <c r="BF427" s="72">
        <f>TableCosts[[#This Row],[N_Amount]]*TableCosts[[#This Row],[N_Tariff]]*TableCosts[[#This Row],[N_ItemsCount]]</f>
        <v>0</v>
      </c>
      <c r="BG427" s="72">
        <f>IF(G427=1,IF(TableCosts[[#This Row],[N_Kateg]]="interné práce",TableCosts[[#This Row],[N_Amount]]*8*PAR_SGA_PERHOUR,0),0)</f>
        <v>0</v>
      </c>
      <c r="BH427" s="72">
        <f>SUM(TableCosts[[#This Row],[N_Direct]:[N_SGA]])</f>
        <v>0</v>
      </c>
      <c r="BI427" s="24">
        <f>IF(G427=1,IF(OR(AND(NOT(ISERROR(VLOOKUP(TableCosts[[#This Row],[Calc_N_Typ]],Cis_WorkPositions,1,0))),C427&lt;&gt;"",D427&lt;&gt;"",E427&lt;&gt;""),AND(ISERROR(VLOOKUP(TableCosts[[#This Row],[Calc_N_Typ]],Cis_WorkPositions,1,0)),C427="",D427="",E427&lt;&gt;""),LEFT(TableCosts[[#This Row],[Calc_N_Typ]],18)="Vynaložené náklady"),VLOOKUP(C427&amp;TableCosts[[#This Row],[Calc_N_Typ]],TRAN_STRITEMS_LABEL,VLOOKUP(D427,Tab_Hours,3,0),0),NA()),0)</f>
        <v>0</v>
      </c>
      <c r="BJ427" s="24">
        <f t="shared" si="102"/>
        <v>0</v>
      </c>
      <c r="BK427" s="24" t="str">
        <f t="shared" si="103"/>
        <v/>
      </c>
      <c r="BL427" s="24" t="str">
        <f t="shared" si="104"/>
        <v/>
      </c>
      <c r="BM427" s="24" t="str">
        <f>IF(G427=1,IF(TableCosts[[#This Row],[TransferFrom]]=TableCosts[[#This Row],[TranferTo]],0,1),"")</f>
        <v/>
      </c>
      <c r="BN427" s="24" t="str">
        <f t="shared" si="105"/>
        <v/>
      </c>
      <c r="BO427" s="24">
        <f t="shared" si="106"/>
        <v>0</v>
      </c>
      <c r="BP427" s="24">
        <f t="shared" si="107"/>
        <v>0</v>
      </c>
    </row>
    <row r="428" spans="2:68" s="24" customFormat="1" ht="12.75" x14ac:dyDescent="0.2">
      <c r="B428" s="97"/>
      <c r="C428" s="92"/>
      <c r="D428" s="92"/>
      <c r="E428" s="92"/>
      <c r="F428" s="31" t="str">
        <f>IF(G428=1,IF(ISERROR(TableCosts[[#This Row],[N_Tariff]]),Err_Message1,IF(TableCosts[[#This Row],[N_Tariff]]=0,Err_Message2,VLOOKUP(C428&amp;TableCosts[[#This Row],[Calc_N_Typ]],TRAN_STRITEMS_LABEL,5,FALSE))),"")</f>
        <v/>
      </c>
      <c r="G428" s="31">
        <f t="shared" si="96"/>
        <v>0</v>
      </c>
      <c r="H428" s="31" t="str">
        <f>IF(G428=1,IFERROR(VLOOKUP(F428,Tab_ErrMessage[],2,0),VLOOKUP(C428&amp;TableCosts[[#This Row],[Calc_N_Typ]],TRAN_STRITEMS_LABEL,4,FALSE)),"")</f>
        <v/>
      </c>
      <c r="I428" s="94"/>
      <c r="J428" s="94"/>
      <c r="K428" s="94"/>
      <c r="L428" s="84"/>
      <c r="M428" s="84"/>
      <c r="N428" s="84"/>
      <c r="O428" s="84"/>
      <c r="P428" s="84"/>
      <c r="Q428" s="84"/>
      <c r="R428" s="84"/>
      <c r="S428" s="84"/>
      <c r="T428" s="84"/>
      <c r="U428" s="84"/>
      <c r="V428" s="84"/>
      <c r="W428" s="84"/>
      <c r="X428" s="84"/>
      <c r="Y428" s="84"/>
      <c r="Z428" s="84"/>
      <c r="AA428" s="84"/>
      <c r="AB428" s="84"/>
      <c r="AC428" s="84"/>
      <c r="AD428" s="84"/>
      <c r="AE428" s="84"/>
      <c r="AF428" s="84"/>
      <c r="AG428" s="84"/>
      <c r="AH428" s="84"/>
      <c r="AI428" s="84"/>
      <c r="AJ428" s="84"/>
      <c r="AK428" s="84"/>
      <c r="AL428" s="84"/>
      <c r="AM428" s="84"/>
      <c r="AN428" s="84"/>
      <c r="AO428" s="84"/>
      <c r="AP428" s="84"/>
      <c r="AQ428" s="84"/>
      <c r="AR428" s="84"/>
      <c r="AS428" s="84"/>
      <c r="AT428" s="84"/>
      <c r="AU428" s="84"/>
      <c r="AV428" s="84"/>
      <c r="AW428" s="84"/>
      <c r="AX428" s="87">
        <f t="array" ref="AX428">IF(G428=1,SUM((ROW(M0)=ROW(AW428))*(M0+M1_+M2_+M3_+M4_+M5_+M6_+M7_+M8_+M9_+M10_+M11_+M12_+M13_+M14_+M15_+M16_+M17_+M18_+M19_+M20_+M21_+M22_+M23_+M24_+M25_+M26_+M27_+M28_+M29_+M30_+M31_+M32_+M33_+M34_+M35_+M36_+M37_)),0)</f>
        <v>0</v>
      </c>
      <c r="AZ428" s="24" t="str">
        <f t="shared" si="97"/>
        <v/>
      </c>
      <c r="BA428" s="24" t="str">
        <f t="shared" si="98"/>
        <v/>
      </c>
      <c r="BB428" s="24" t="str">
        <f t="shared" si="99"/>
        <v/>
      </c>
      <c r="BC428" s="24" t="str">
        <f>IF(OR(E428="",LEFT(TableCosts[[#This Row],[Calc_N_Typ]],18)="Vynaložené náklady"),"",VLOOKUP(E428,Tab_Parts,2,0))</f>
        <v/>
      </c>
      <c r="BD428" s="24" t="str">
        <f t="shared" si="100"/>
        <v/>
      </c>
      <c r="BE428" s="24">
        <f t="shared" si="101"/>
        <v>0</v>
      </c>
      <c r="BF428" s="72">
        <f>TableCosts[[#This Row],[N_Amount]]*TableCosts[[#This Row],[N_Tariff]]*TableCosts[[#This Row],[N_ItemsCount]]</f>
        <v>0</v>
      </c>
      <c r="BG428" s="72">
        <f>IF(G428=1,IF(TableCosts[[#This Row],[N_Kateg]]="interné práce",TableCosts[[#This Row],[N_Amount]]*8*PAR_SGA_PERHOUR,0),0)</f>
        <v>0</v>
      </c>
      <c r="BH428" s="72">
        <f>SUM(TableCosts[[#This Row],[N_Direct]:[N_SGA]])</f>
        <v>0</v>
      </c>
      <c r="BI428" s="24">
        <f>IF(G428=1,IF(OR(AND(NOT(ISERROR(VLOOKUP(TableCosts[[#This Row],[Calc_N_Typ]],Cis_WorkPositions,1,0))),C428&lt;&gt;"",D428&lt;&gt;"",E428&lt;&gt;""),AND(ISERROR(VLOOKUP(TableCosts[[#This Row],[Calc_N_Typ]],Cis_WorkPositions,1,0)),C428="",D428="",E428&lt;&gt;""),LEFT(TableCosts[[#This Row],[Calc_N_Typ]],18)="Vynaložené náklady"),VLOOKUP(C428&amp;TableCosts[[#This Row],[Calc_N_Typ]],TRAN_STRITEMS_LABEL,VLOOKUP(D428,Tab_Hours,3,0),0),NA()),0)</f>
        <v>0</v>
      </c>
      <c r="BJ428" s="24">
        <f t="shared" si="102"/>
        <v>0</v>
      </c>
      <c r="BK428" s="24" t="str">
        <f t="shared" si="103"/>
        <v/>
      </c>
      <c r="BL428" s="24" t="str">
        <f t="shared" si="104"/>
        <v/>
      </c>
      <c r="BM428" s="24" t="str">
        <f>IF(G428=1,IF(TableCosts[[#This Row],[TransferFrom]]=TableCosts[[#This Row],[TranferTo]],0,1),"")</f>
        <v/>
      </c>
      <c r="BN428" s="24" t="str">
        <f t="shared" si="105"/>
        <v/>
      </c>
      <c r="BO428" s="24">
        <f t="shared" si="106"/>
        <v>0</v>
      </c>
      <c r="BP428" s="24">
        <f t="shared" si="107"/>
        <v>0</v>
      </c>
    </row>
    <row r="429" spans="2:68" s="24" customFormat="1" ht="12.75" x14ac:dyDescent="0.2">
      <c r="B429" s="97"/>
      <c r="C429" s="92"/>
      <c r="D429" s="92"/>
      <c r="E429" s="92"/>
      <c r="F429" s="31" t="str">
        <f>IF(G429=1,IF(ISERROR(TableCosts[[#This Row],[N_Tariff]]),Err_Message1,IF(TableCosts[[#This Row],[N_Tariff]]=0,Err_Message2,VLOOKUP(C429&amp;TableCosts[[#This Row],[Calc_N_Typ]],TRAN_STRITEMS_LABEL,5,FALSE))),"")</f>
        <v/>
      </c>
      <c r="G429" s="31">
        <f t="shared" si="96"/>
        <v>0</v>
      </c>
      <c r="H429" s="31" t="str">
        <f>IF(G429=1,IFERROR(VLOOKUP(F429,Tab_ErrMessage[],2,0),VLOOKUP(C429&amp;TableCosts[[#This Row],[Calc_N_Typ]],TRAN_STRITEMS_LABEL,4,FALSE)),"")</f>
        <v/>
      </c>
      <c r="I429" s="94"/>
      <c r="J429" s="94"/>
      <c r="K429" s="94"/>
      <c r="L429" s="84"/>
      <c r="M429" s="84"/>
      <c r="N429" s="84"/>
      <c r="O429" s="84"/>
      <c r="P429" s="84"/>
      <c r="Q429" s="84"/>
      <c r="R429" s="84"/>
      <c r="S429" s="84"/>
      <c r="T429" s="84"/>
      <c r="U429" s="84"/>
      <c r="V429" s="84"/>
      <c r="W429" s="84"/>
      <c r="X429" s="84"/>
      <c r="Y429" s="84"/>
      <c r="Z429" s="84"/>
      <c r="AA429" s="84"/>
      <c r="AB429" s="84"/>
      <c r="AC429" s="84"/>
      <c r="AD429" s="84"/>
      <c r="AE429" s="84"/>
      <c r="AF429" s="84"/>
      <c r="AG429" s="84"/>
      <c r="AH429" s="84"/>
      <c r="AI429" s="84"/>
      <c r="AJ429" s="84"/>
      <c r="AK429" s="84"/>
      <c r="AL429" s="84"/>
      <c r="AM429" s="84"/>
      <c r="AN429" s="84"/>
      <c r="AO429" s="84"/>
      <c r="AP429" s="84"/>
      <c r="AQ429" s="84"/>
      <c r="AR429" s="84"/>
      <c r="AS429" s="84"/>
      <c r="AT429" s="84"/>
      <c r="AU429" s="84"/>
      <c r="AV429" s="84"/>
      <c r="AW429" s="84"/>
      <c r="AX429" s="87">
        <f t="array" ref="AX429">IF(G429=1,SUM((ROW(M0)=ROW(AW429))*(M0+M1_+M2_+M3_+M4_+M5_+M6_+M7_+M8_+M9_+M10_+M11_+M12_+M13_+M14_+M15_+M16_+M17_+M18_+M19_+M20_+M21_+M22_+M23_+M24_+M25_+M26_+M27_+M28_+M29_+M30_+M31_+M32_+M33_+M34_+M35_+M36_+M37_)),0)</f>
        <v>0</v>
      </c>
      <c r="AZ429" s="24" t="str">
        <f t="shared" si="97"/>
        <v/>
      </c>
      <c r="BA429" s="24" t="str">
        <f t="shared" si="98"/>
        <v/>
      </c>
      <c r="BB429" s="24" t="str">
        <f t="shared" si="99"/>
        <v/>
      </c>
      <c r="BC429" s="24" t="str">
        <f>IF(OR(E429="",LEFT(TableCosts[[#This Row],[Calc_N_Typ]],18)="Vynaložené náklady"),"",VLOOKUP(E429,Tab_Parts,2,0))</f>
        <v/>
      </c>
      <c r="BD429" s="24" t="str">
        <f t="shared" si="100"/>
        <v/>
      </c>
      <c r="BE429" s="24">
        <f t="shared" si="101"/>
        <v>0</v>
      </c>
      <c r="BF429" s="72">
        <f>TableCosts[[#This Row],[N_Amount]]*TableCosts[[#This Row],[N_Tariff]]*TableCosts[[#This Row],[N_ItemsCount]]</f>
        <v>0</v>
      </c>
      <c r="BG429" s="72">
        <f>IF(G429=1,IF(TableCosts[[#This Row],[N_Kateg]]="interné práce",TableCosts[[#This Row],[N_Amount]]*8*PAR_SGA_PERHOUR,0),0)</f>
        <v>0</v>
      </c>
      <c r="BH429" s="72">
        <f>SUM(TableCosts[[#This Row],[N_Direct]:[N_SGA]])</f>
        <v>0</v>
      </c>
      <c r="BI429" s="24">
        <f>IF(G429=1,IF(OR(AND(NOT(ISERROR(VLOOKUP(TableCosts[[#This Row],[Calc_N_Typ]],Cis_WorkPositions,1,0))),C429&lt;&gt;"",D429&lt;&gt;"",E429&lt;&gt;""),AND(ISERROR(VLOOKUP(TableCosts[[#This Row],[Calc_N_Typ]],Cis_WorkPositions,1,0)),C429="",D429="",E429&lt;&gt;""),LEFT(TableCosts[[#This Row],[Calc_N_Typ]],18)="Vynaložené náklady"),VLOOKUP(C429&amp;TableCosts[[#This Row],[Calc_N_Typ]],TRAN_STRITEMS_LABEL,VLOOKUP(D429,Tab_Hours,3,0),0),NA()),0)</f>
        <v>0</v>
      </c>
      <c r="BJ429" s="24">
        <f t="shared" si="102"/>
        <v>0</v>
      </c>
      <c r="BK429" s="24" t="str">
        <f t="shared" si="103"/>
        <v/>
      </c>
      <c r="BL429" s="24" t="str">
        <f t="shared" si="104"/>
        <v/>
      </c>
      <c r="BM429" s="24" t="str">
        <f>IF(G429=1,IF(TableCosts[[#This Row],[TransferFrom]]=TableCosts[[#This Row],[TranferTo]],0,1),"")</f>
        <v/>
      </c>
      <c r="BN429" s="24" t="str">
        <f t="shared" si="105"/>
        <v/>
      </c>
      <c r="BO429" s="24">
        <f t="shared" si="106"/>
        <v>0</v>
      </c>
      <c r="BP429" s="24">
        <f t="shared" si="107"/>
        <v>0</v>
      </c>
    </row>
    <row r="430" spans="2:68" s="24" customFormat="1" ht="12.75" x14ac:dyDescent="0.2">
      <c r="B430" s="97"/>
      <c r="C430" s="92"/>
      <c r="D430" s="92"/>
      <c r="E430" s="92"/>
      <c r="F430" s="31" t="str">
        <f>IF(G430=1,IF(ISERROR(TableCosts[[#This Row],[N_Tariff]]),Err_Message1,IF(TableCosts[[#This Row],[N_Tariff]]=0,Err_Message2,VLOOKUP(C430&amp;TableCosts[[#This Row],[Calc_N_Typ]],TRAN_STRITEMS_LABEL,5,FALSE))),"")</f>
        <v/>
      </c>
      <c r="G430" s="31">
        <f t="shared" si="96"/>
        <v>0</v>
      </c>
      <c r="H430" s="31" t="str">
        <f>IF(G430=1,IFERROR(VLOOKUP(F430,Tab_ErrMessage[],2,0),VLOOKUP(C430&amp;TableCosts[[#This Row],[Calc_N_Typ]],TRAN_STRITEMS_LABEL,4,FALSE)),"")</f>
        <v/>
      </c>
      <c r="I430" s="94"/>
      <c r="J430" s="94"/>
      <c r="K430" s="94"/>
      <c r="L430" s="84"/>
      <c r="M430" s="84"/>
      <c r="N430" s="84"/>
      <c r="O430" s="84"/>
      <c r="P430" s="84"/>
      <c r="Q430" s="84"/>
      <c r="R430" s="84"/>
      <c r="S430" s="84"/>
      <c r="T430" s="84"/>
      <c r="U430" s="84"/>
      <c r="V430" s="84"/>
      <c r="W430" s="84"/>
      <c r="X430" s="84"/>
      <c r="Y430" s="84"/>
      <c r="Z430" s="84"/>
      <c r="AA430" s="84"/>
      <c r="AB430" s="84"/>
      <c r="AC430" s="84"/>
      <c r="AD430" s="84"/>
      <c r="AE430" s="84"/>
      <c r="AF430" s="84"/>
      <c r="AG430" s="84"/>
      <c r="AH430" s="84"/>
      <c r="AI430" s="84"/>
      <c r="AJ430" s="84"/>
      <c r="AK430" s="84"/>
      <c r="AL430" s="84"/>
      <c r="AM430" s="84"/>
      <c r="AN430" s="84"/>
      <c r="AO430" s="84"/>
      <c r="AP430" s="84"/>
      <c r="AQ430" s="84"/>
      <c r="AR430" s="84"/>
      <c r="AS430" s="84"/>
      <c r="AT430" s="84"/>
      <c r="AU430" s="84"/>
      <c r="AV430" s="84"/>
      <c r="AW430" s="84"/>
      <c r="AX430" s="87">
        <f t="array" ref="AX430">IF(G430=1,SUM((ROW(M0)=ROW(AW430))*(M0+M1_+M2_+M3_+M4_+M5_+M6_+M7_+M8_+M9_+M10_+M11_+M12_+M13_+M14_+M15_+M16_+M17_+M18_+M19_+M20_+M21_+M22_+M23_+M24_+M25_+M26_+M27_+M28_+M29_+M30_+M31_+M32_+M33_+M34_+M35_+M36_+M37_)),0)</f>
        <v>0</v>
      </c>
      <c r="AZ430" s="24" t="str">
        <f t="shared" si="97"/>
        <v/>
      </c>
      <c r="BA430" s="24" t="str">
        <f t="shared" si="98"/>
        <v/>
      </c>
      <c r="BB430" s="24" t="str">
        <f t="shared" si="99"/>
        <v/>
      </c>
      <c r="BC430" s="24" t="str">
        <f>IF(OR(E430="",LEFT(TableCosts[[#This Row],[Calc_N_Typ]],18)="Vynaložené náklady"),"",VLOOKUP(E430,Tab_Parts,2,0))</f>
        <v/>
      </c>
      <c r="BD430" s="24" t="str">
        <f t="shared" si="100"/>
        <v/>
      </c>
      <c r="BE430" s="24">
        <f t="shared" si="101"/>
        <v>0</v>
      </c>
      <c r="BF430" s="72">
        <f>TableCosts[[#This Row],[N_Amount]]*TableCosts[[#This Row],[N_Tariff]]*TableCosts[[#This Row],[N_ItemsCount]]</f>
        <v>0</v>
      </c>
      <c r="BG430" s="72">
        <f>IF(G430=1,IF(TableCosts[[#This Row],[N_Kateg]]="interné práce",TableCosts[[#This Row],[N_Amount]]*8*PAR_SGA_PERHOUR,0),0)</f>
        <v>0</v>
      </c>
      <c r="BH430" s="72">
        <f>SUM(TableCosts[[#This Row],[N_Direct]:[N_SGA]])</f>
        <v>0</v>
      </c>
      <c r="BI430" s="24">
        <f>IF(G430=1,IF(OR(AND(NOT(ISERROR(VLOOKUP(TableCosts[[#This Row],[Calc_N_Typ]],Cis_WorkPositions,1,0))),C430&lt;&gt;"",D430&lt;&gt;"",E430&lt;&gt;""),AND(ISERROR(VLOOKUP(TableCosts[[#This Row],[Calc_N_Typ]],Cis_WorkPositions,1,0)),C430="",D430="",E430&lt;&gt;""),LEFT(TableCosts[[#This Row],[Calc_N_Typ]],18)="Vynaložené náklady"),VLOOKUP(C430&amp;TableCosts[[#This Row],[Calc_N_Typ]],TRAN_STRITEMS_LABEL,VLOOKUP(D430,Tab_Hours,3,0),0),NA()),0)</f>
        <v>0</v>
      </c>
      <c r="BJ430" s="24">
        <f t="shared" si="102"/>
        <v>0</v>
      </c>
      <c r="BK430" s="24" t="str">
        <f t="shared" si="103"/>
        <v/>
      </c>
      <c r="BL430" s="24" t="str">
        <f t="shared" si="104"/>
        <v/>
      </c>
      <c r="BM430" s="24" t="str">
        <f>IF(G430=1,IF(TableCosts[[#This Row],[TransferFrom]]=TableCosts[[#This Row],[TranferTo]],0,1),"")</f>
        <v/>
      </c>
      <c r="BN430" s="24" t="str">
        <f t="shared" si="105"/>
        <v/>
      </c>
      <c r="BO430" s="24">
        <f t="shared" si="106"/>
        <v>0</v>
      </c>
      <c r="BP430" s="24">
        <f t="shared" si="107"/>
        <v>0</v>
      </c>
    </row>
    <row r="431" spans="2:68" s="24" customFormat="1" ht="12.75" x14ac:dyDescent="0.2">
      <c r="B431" s="97"/>
      <c r="C431" s="92"/>
      <c r="D431" s="92"/>
      <c r="E431" s="92"/>
      <c r="F431" s="31" t="str">
        <f>IF(G431=1,IF(ISERROR(TableCosts[[#This Row],[N_Tariff]]),Err_Message1,IF(TableCosts[[#This Row],[N_Tariff]]=0,Err_Message2,VLOOKUP(C431&amp;TableCosts[[#This Row],[Calc_N_Typ]],TRAN_STRITEMS_LABEL,5,FALSE))),"")</f>
        <v/>
      </c>
      <c r="G431" s="31">
        <f t="shared" si="96"/>
        <v>0</v>
      </c>
      <c r="H431" s="31" t="str">
        <f>IF(G431=1,IFERROR(VLOOKUP(F431,Tab_ErrMessage[],2,0),VLOOKUP(C431&amp;TableCosts[[#This Row],[Calc_N_Typ]],TRAN_STRITEMS_LABEL,4,FALSE)),"")</f>
        <v/>
      </c>
      <c r="I431" s="94"/>
      <c r="J431" s="94"/>
      <c r="K431" s="94"/>
      <c r="L431" s="84"/>
      <c r="M431" s="84"/>
      <c r="N431" s="84"/>
      <c r="O431" s="84"/>
      <c r="P431" s="84"/>
      <c r="Q431" s="84"/>
      <c r="R431" s="84"/>
      <c r="S431" s="84"/>
      <c r="T431" s="84"/>
      <c r="U431" s="84"/>
      <c r="V431" s="84"/>
      <c r="W431" s="84"/>
      <c r="X431" s="84"/>
      <c r="Y431" s="84"/>
      <c r="Z431" s="84"/>
      <c r="AA431" s="84"/>
      <c r="AB431" s="84"/>
      <c r="AC431" s="84"/>
      <c r="AD431" s="84"/>
      <c r="AE431" s="84"/>
      <c r="AF431" s="84"/>
      <c r="AG431" s="84"/>
      <c r="AH431" s="84"/>
      <c r="AI431" s="84"/>
      <c r="AJ431" s="84"/>
      <c r="AK431" s="84"/>
      <c r="AL431" s="84"/>
      <c r="AM431" s="84"/>
      <c r="AN431" s="84"/>
      <c r="AO431" s="84"/>
      <c r="AP431" s="84"/>
      <c r="AQ431" s="84"/>
      <c r="AR431" s="84"/>
      <c r="AS431" s="84"/>
      <c r="AT431" s="84"/>
      <c r="AU431" s="84"/>
      <c r="AV431" s="84"/>
      <c r="AW431" s="84"/>
      <c r="AX431" s="87">
        <f t="array" ref="AX431">IF(G431=1,SUM((ROW(M0)=ROW(AW431))*(M0+M1_+M2_+M3_+M4_+M5_+M6_+M7_+M8_+M9_+M10_+M11_+M12_+M13_+M14_+M15_+M16_+M17_+M18_+M19_+M20_+M21_+M22_+M23_+M24_+M25_+M26_+M27_+M28_+M29_+M30_+M31_+M32_+M33_+M34_+M35_+M36_+M37_)),0)</f>
        <v>0</v>
      </c>
      <c r="AZ431" s="24" t="str">
        <f t="shared" si="97"/>
        <v/>
      </c>
      <c r="BA431" s="24" t="str">
        <f t="shared" si="98"/>
        <v/>
      </c>
      <c r="BB431" s="24" t="str">
        <f t="shared" si="99"/>
        <v/>
      </c>
      <c r="BC431" s="24" t="str">
        <f>IF(OR(E431="",LEFT(TableCosts[[#This Row],[Calc_N_Typ]],18)="Vynaložené náklady"),"",VLOOKUP(E431,Tab_Parts,2,0))</f>
        <v/>
      </c>
      <c r="BD431" s="24" t="str">
        <f t="shared" si="100"/>
        <v/>
      </c>
      <c r="BE431" s="24">
        <f t="shared" si="101"/>
        <v>0</v>
      </c>
      <c r="BF431" s="72">
        <f>TableCosts[[#This Row],[N_Amount]]*TableCosts[[#This Row],[N_Tariff]]*TableCosts[[#This Row],[N_ItemsCount]]</f>
        <v>0</v>
      </c>
      <c r="BG431" s="72">
        <f>IF(G431=1,IF(TableCosts[[#This Row],[N_Kateg]]="interné práce",TableCosts[[#This Row],[N_Amount]]*8*PAR_SGA_PERHOUR,0),0)</f>
        <v>0</v>
      </c>
      <c r="BH431" s="72">
        <f>SUM(TableCosts[[#This Row],[N_Direct]:[N_SGA]])</f>
        <v>0</v>
      </c>
      <c r="BI431" s="24">
        <f>IF(G431=1,IF(OR(AND(NOT(ISERROR(VLOOKUP(TableCosts[[#This Row],[Calc_N_Typ]],Cis_WorkPositions,1,0))),C431&lt;&gt;"",D431&lt;&gt;"",E431&lt;&gt;""),AND(ISERROR(VLOOKUP(TableCosts[[#This Row],[Calc_N_Typ]],Cis_WorkPositions,1,0)),C431="",D431="",E431&lt;&gt;""),LEFT(TableCosts[[#This Row],[Calc_N_Typ]],18)="Vynaložené náklady"),VLOOKUP(C431&amp;TableCosts[[#This Row],[Calc_N_Typ]],TRAN_STRITEMS_LABEL,VLOOKUP(D431,Tab_Hours,3,0),0),NA()),0)</f>
        <v>0</v>
      </c>
      <c r="BJ431" s="24">
        <f t="shared" si="102"/>
        <v>0</v>
      </c>
      <c r="BK431" s="24" t="str">
        <f t="shared" si="103"/>
        <v/>
      </c>
      <c r="BL431" s="24" t="str">
        <f t="shared" si="104"/>
        <v/>
      </c>
      <c r="BM431" s="24" t="str">
        <f>IF(G431=1,IF(TableCosts[[#This Row],[TransferFrom]]=TableCosts[[#This Row],[TranferTo]],0,1),"")</f>
        <v/>
      </c>
      <c r="BN431" s="24" t="str">
        <f t="shared" si="105"/>
        <v/>
      </c>
      <c r="BO431" s="24">
        <f t="shared" si="106"/>
        <v>0</v>
      </c>
      <c r="BP431" s="24">
        <f t="shared" si="107"/>
        <v>0</v>
      </c>
    </row>
    <row r="432" spans="2:68" s="24" customFormat="1" ht="12.75" x14ac:dyDescent="0.2">
      <c r="B432" s="97"/>
      <c r="C432" s="92"/>
      <c r="D432" s="92"/>
      <c r="E432" s="92"/>
      <c r="F432" s="31" t="str">
        <f>IF(G432=1,IF(ISERROR(TableCosts[[#This Row],[N_Tariff]]),Err_Message1,IF(TableCosts[[#This Row],[N_Tariff]]=0,Err_Message2,VLOOKUP(C432&amp;TableCosts[[#This Row],[Calc_N_Typ]],TRAN_STRITEMS_LABEL,5,FALSE))),"")</f>
        <v/>
      </c>
      <c r="G432" s="31">
        <f t="shared" si="96"/>
        <v>0</v>
      </c>
      <c r="H432" s="31" t="str">
        <f>IF(G432=1,IFERROR(VLOOKUP(F432,Tab_ErrMessage[],2,0),VLOOKUP(C432&amp;TableCosts[[#This Row],[Calc_N_Typ]],TRAN_STRITEMS_LABEL,4,FALSE)),"")</f>
        <v/>
      </c>
      <c r="I432" s="94"/>
      <c r="J432" s="94"/>
      <c r="K432" s="94"/>
      <c r="L432" s="84"/>
      <c r="M432" s="84"/>
      <c r="N432" s="84"/>
      <c r="O432" s="84"/>
      <c r="P432" s="84"/>
      <c r="Q432" s="84"/>
      <c r="R432" s="84"/>
      <c r="S432" s="84"/>
      <c r="T432" s="84"/>
      <c r="U432" s="84"/>
      <c r="V432" s="84"/>
      <c r="W432" s="84"/>
      <c r="X432" s="84"/>
      <c r="Y432" s="84"/>
      <c r="Z432" s="84"/>
      <c r="AA432" s="84"/>
      <c r="AB432" s="84"/>
      <c r="AC432" s="84"/>
      <c r="AD432" s="84"/>
      <c r="AE432" s="84"/>
      <c r="AF432" s="84"/>
      <c r="AG432" s="84"/>
      <c r="AH432" s="84"/>
      <c r="AI432" s="84"/>
      <c r="AJ432" s="84"/>
      <c r="AK432" s="84"/>
      <c r="AL432" s="84"/>
      <c r="AM432" s="84"/>
      <c r="AN432" s="84"/>
      <c r="AO432" s="84"/>
      <c r="AP432" s="84"/>
      <c r="AQ432" s="84"/>
      <c r="AR432" s="84"/>
      <c r="AS432" s="84"/>
      <c r="AT432" s="84"/>
      <c r="AU432" s="84"/>
      <c r="AV432" s="84"/>
      <c r="AW432" s="84"/>
      <c r="AX432" s="87">
        <f t="array" ref="AX432">IF(G432=1,SUM((ROW(M0)=ROW(AW432))*(M0+M1_+M2_+M3_+M4_+M5_+M6_+M7_+M8_+M9_+M10_+M11_+M12_+M13_+M14_+M15_+M16_+M17_+M18_+M19_+M20_+M21_+M22_+M23_+M24_+M25_+M26_+M27_+M28_+M29_+M30_+M31_+M32_+M33_+M34_+M35_+M36_+M37_)),0)</f>
        <v>0</v>
      </c>
      <c r="AZ432" s="24" t="str">
        <f t="shared" si="97"/>
        <v/>
      </c>
      <c r="BA432" s="24" t="str">
        <f t="shared" si="98"/>
        <v/>
      </c>
      <c r="BB432" s="24" t="str">
        <f t="shared" si="99"/>
        <v/>
      </c>
      <c r="BC432" s="24" t="str">
        <f>IF(OR(E432="",LEFT(TableCosts[[#This Row],[Calc_N_Typ]],18)="Vynaložené náklady"),"",VLOOKUP(E432,Tab_Parts,2,0))</f>
        <v/>
      </c>
      <c r="BD432" s="24" t="str">
        <f t="shared" si="100"/>
        <v/>
      </c>
      <c r="BE432" s="24">
        <f t="shared" si="101"/>
        <v>0</v>
      </c>
      <c r="BF432" s="72">
        <f>TableCosts[[#This Row],[N_Amount]]*TableCosts[[#This Row],[N_Tariff]]*TableCosts[[#This Row],[N_ItemsCount]]</f>
        <v>0</v>
      </c>
      <c r="BG432" s="72">
        <f>IF(G432=1,IF(TableCosts[[#This Row],[N_Kateg]]="interné práce",TableCosts[[#This Row],[N_Amount]]*8*PAR_SGA_PERHOUR,0),0)</f>
        <v>0</v>
      </c>
      <c r="BH432" s="72">
        <f>SUM(TableCosts[[#This Row],[N_Direct]:[N_SGA]])</f>
        <v>0</v>
      </c>
      <c r="BI432" s="24">
        <f>IF(G432=1,IF(OR(AND(NOT(ISERROR(VLOOKUP(TableCosts[[#This Row],[Calc_N_Typ]],Cis_WorkPositions,1,0))),C432&lt;&gt;"",D432&lt;&gt;"",E432&lt;&gt;""),AND(ISERROR(VLOOKUP(TableCosts[[#This Row],[Calc_N_Typ]],Cis_WorkPositions,1,0)),C432="",D432="",E432&lt;&gt;""),LEFT(TableCosts[[#This Row],[Calc_N_Typ]],18)="Vynaložené náklady"),VLOOKUP(C432&amp;TableCosts[[#This Row],[Calc_N_Typ]],TRAN_STRITEMS_LABEL,VLOOKUP(D432,Tab_Hours,3,0),0),NA()),0)</f>
        <v>0</v>
      </c>
      <c r="BJ432" s="24">
        <f t="shared" si="102"/>
        <v>0</v>
      </c>
      <c r="BK432" s="24" t="str">
        <f t="shared" si="103"/>
        <v/>
      </c>
      <c r="BL432" s="24" t="str">
        <f t="shared" si="104"/>
        <v/>
      </c>
      <c r="BM432" s="24" t="str">
        <f>IF(G432=1,IF(TableCosts[[#This Row],[TransferFrom]]=TableCosts[[#This Row],[TranferTo]],0,1),"")</f>
        <v/>
      </c>
      <c r="BN432" s="24" t="str">
        <f t="shared" si="105"/>
        <v/>
      </c>
      <c r="BO432" s="24">
        <f t="shared" si="106"/>
        <v>0</v>
      </c>
      <c r="BP432" s="24">
        <f t="shared" si="107"/>
        <v>0</v>
      </c>
    </row>
    <row r="433" spans="2:68" s="24" customFormat="1" ht="12.75" x14ac:dyDescent="0.2">
      <c r="B433" s="97"/>
      <c r="C433" s="92"/>
      <c r="D433" s="92"/>
      <c r="E433" s="92"/>
      <c r="F433" s="31" t="str">
        <f>IF(G433=1,IF(ISERROR(TableCosts[[#This Row],[N_Tariff]]),Err_Message1,IF(TableCosts[[#This Row],[N_Tariff]]=0,Err_Message2,VLOOKUP(C433&amp;TableCosts[[#This Row],[Calc_N_Typ]],TRAN_STRITEMS_LABEL,5,FALSE))),"")</f>
        <v/>
      </c>
      <c r="G433" s="31">
        <f t="shared" si="96"/>
        <v>0</v>
      </c>
      <c r="H433" s="31" t="str">
        <f>IF(G433=1,IFERROR(VLOOKUP(F433,Tab_ErrMessage[],2,0),VLOOKUP(C433&amp;TableCosts[[#This Row],[Calc_N_Typ]],TRAN_STRITEMS_LABEL,4,FALSE)),"")</f>
        <v/>
      </c>
      <c r="I433" s="94"/>
      <c r="J433" s="94"/>
      <c r="K433" s="94"/>
      <c r="L433" s="84"/>
      <c r="M433" s="84"/>
      <c r="N433" s="84"/>
      <c r="O433" s="84"/>
      <c r="P433" s="84"/>
      <c r="Q433" s="84"/>
      <c r="R433" s="84"/>
      <c r="S433" s="84"/>
      <c r="T433" s="84"/>
      <c r="U433" s="84"/>
      <c r="V433" s="84"/>
      <c r="W433" s="84"/>
      <c r="X433" s="84"/>
      <c r="Y433" s="84"/>
      <c r="Z433" s="84"/>
      <c r="AA433" s="84"/>
      <c r="AB433" s="84"/>
      <c r="AC433" s="84"/>
      <c r="AD433" s="84"/>
      <c r="AE433" s="84"/>
      <c r="AF433" s="84"/>
      <c r="AG433" s="84"/>
      <c r="AH433" s="84"/>
      <c r="AI433" s="84"/>
      <c r="AJ433" s="84"/>
      <c r="AK433" s="84"/>
      <c r="AL433" s="84"/>
      <c r="AM433" s="84"/>
      <c r="AN433" s="84"/>
      <c r="AO433" s="84"/>
      <c r="AP433" s="84"/>
      <c r="AQ433" s="84"/>
      <c r="AR433" s="84"/>
      <c r="AS433" s="84"/>
      <c r="AT433" s="84"/>
      <c r="AU433" s="84"/>
      <c r="AV433" s="84"/>
      <c r="AW433" s="84"/>
      <c r="AX433" s="87">
        <f t="array" ref="AX433">IF(G433=1,SUM((ROW(M0)=ROW(AW433))*(M0+M1_+M2_+M3_+M4_+M5_+M6_+M7_+M8_+M9_+M10_+M11_+M12_+M13_+M14_+M15_+M16_+M17_+M18_+M19_+M20_+M21_+M22_+M23_+M24_+M25_+M26_+M27_+M28_+M29_+M30_+M31_+M32_+M33_+M34_+M35_+M36_+M37_)),0)</f>
        <v>0</v>
      </c>
      <c r="AZ433" s="24" t="str">
        <f t="shared" si="97"/>
        <v/>
      </c>
      <c r="BA433" s="24" t="str">
        <f t="shared" si="98"/>
        <v/>
      </c>
      <c r="BB433" s="24" t="str">
        <f t="shared" si="99"/>
        <v/>
      </c>
      <c r="BC433" s="24" t="str">
        <f>IF(OR(E433="",LEFT(TableCosts[[#This Row],[Calc_N_Typ]],18)="Vynaložené náklady"),"",VLOOKUP(E433,Tab_Parts,2,0))</f>
        <v/>
      </c>
      <c r="BD433" s="24" t="str">
        <f t="shared" si="100"/>
        <v/>
      </c>
      <c r="BE433" s="24">
        <f t="shared" si="101"/>
        <v>0</v>
      </c>
      <c r="BF433" s="72">
        <f>TableCosts[[#This Row],[N_Amount]]*TableCosts[[#This Row],[N_Tariff]]*TableCosts[[#This Row],[N_ItemsCount]]</f>
        <v>0</v>
      </c>
      <c r="BG433" s="72">
        <f>IF(G433=1,IF(TableCosts[[#This Row],[N_Kateg]]="interné práce",TableCosts[[#This Row],[N_Amount]]*8*PAR_SGA_PERHOUR,0),0)</f>
        <v>0</v>
      </c>
      <c r="BH433" s="72">
        <f>SUM(TableCosts[[#This Row],[N_Direct]:[N_SGA]])</f>
        <v>0</v>
      </c>
      <c r="BI433" s="24">
        <f>IF(G433=1,IF(OR(AND(NOT(ISERROR(VLOOKUP(TableCosts[[#This Row],[Calc_N_Typ]],Cis_WorkPositions,1,0))),C433&lt;&gt;"",D433&lt;&gt;"",E433&lt;&gt;""),AND(ISERROR(VLOOKUP(TableCosts[[#This Row],[Calc_N_Typ]],Cis_WorkPositions,1,0)),C433="",D433="",E433&lt;&gt;""),LEFT(TableCosts[[#This Row],[Calc_N_Typ]],18)="Vynaložené náklady"),VLOOKUP(C433&amp;TableCosts[[#This Row],[Calc_N_Typ]],TRAN_STRITEMS_LABEL,VLOOKUP(D433,Tab_Hours,3,0),0),NA()),0)</f>
        <v>0</v>
      </c>
      <c r="BJ433" s="24">
        <f t="shared" si="102"/>
        <v>0</v>
      </c>
      <c r="BK433" s="24" t="str">
        <f t="shared" si="103"/>
        <v/>
      </c>
      <c r="BL433" s="24" t="str">
        <f t="shared" si="104"/>
        <v/>
      </c>
      <c r="BM433" s="24" t="str">
        <f>IF(G433=1,IF(TableCosts[[#This Row],[TransferFrom]]=TableCosts[[#This Row],[TranferTo]],0,1),"")</f>
        <v/>
      </c>
      <c r="BN433" s="24" t="str">
        <f t="shared" si="105"/>
        <v/>
      </c>
      <c r="BO433" s="24">
        <f t="shared" si="106"/>
        <v>0</v>
      </c>
      <c r="BP433" s="24">
        <f t="shared" si="107"/>
        <v>0</v>
      </c>
    </row>
    <row r="434" spans="2:68" s="24" customFormat="1" ht="12.75" x14ac:dyDescent="0.2">
      <c r="B434" s="97"/>
      <c r="C434" s="92"/>
      <c r="D434" s="92"/>
      <c r="E434" s="92"/>
      <c r="F434" s="31" t="str">
        <f>IF(G434=1,IF(ISERROR(TableCosts[[#This Row],[N_Tariff]]),Err_Message1,IF(TableCosts[[#This Row],[N_Tariff]]=0,Err_Message2,VLOOKUP(C434&amp;TableCosts[[#This Row],[Calc_N_Typ]],TRAN_STRITEMS_LABEL,5,FALSE))),"")</f>
        <v/>
      </c>
      <c r="G434" s="31">
        <f t="shared" si="96"/>
        <v>0</v>
      </c>
      <c r="H434" s="31" t="str">
        <f>IF(G434=1,IFERROR(VLOOKUP(F434,Tab_ErrMessage[],2,0),VLOOKUP(C434&amp;TableCosts[[#This Row],[Calc_N_Typ]],TRAN_STRITEMS_LABEL,4,FALSE)),"")</f>
        <v/>
      </c>
      <c r="I434" s="94"/>
      <c r="J434" s="94"/>
      <c r="K434" s="94"/>
      <c r="L434" s="84"/>
      <c r="M434" s="84"/>
      <c r="N434" s="84"/>
      <c r="O434" s="84"/>
      <c r="P434" s="84"/>
      <c r="Q434" s="84"/>
      <c r="R434" s="84"/>
      <c r="S434" s="84"/>
      <c r="T434" s="84"/>
      <c r="U434" s="84"/>
      <c r="V434" s="84"/>
      <c r="W434" s="84"/>
      <c r="X434" s="84"/>
      <c r="Y434" s="84"/>
      <c r="Z434" s="84"/>
      <c r="AA434" s="84"/>
      <c r="AB434" s="84"/>
      <c r="AC434" s="84"/>
      <c r="AD434" s="84"/>
      <c r="AE434" s="84"/>
      <c r="AF434" s="84"/>
      <c r="AG434" s="84"/>
      <c r="AH434" s="84"/>
      <c r="AI434" s="84"/>
      <c r="AJ434" s="84"/>
      <c r="AK434" s="84"/>
      <c r="AL434" s="84"/>
      <c r="AM434" s="84"/>
      <c r="AN434" s="84"/>
      <c r="AO434" s="84"/>
      <c r="AP434" s="84"/>
      <c r="AQ434" s="84"/>
      <c r="AR434" s="84"/>
      <c r="AS434" s="84"/>
      <c r="AT434" s="84"/>
      <c r="AU434" s="84"/>
      <c r="AV434" s="84"/>
      <c r="AW434" s="84"/>
      <c r="AX434" s="87">
        <f t="array" ref="AX434">IF(G434=1,SUM((ROW(M0)=ROW(AW434))*(M0+M1_+M2_+M3_+M4_+M5_+M6_+M7_+M8_+M9_+M10_+M11_+M12_+M13_+M14_+M15_+M16_+M17_+M18_+M19_+M20_+M21_+M22_+M23_+M24_+M25_+M26_+M27_+M28_+M29_+M30_+M31_+M32_+M33_+M34_+M35_+M36_+M37_)),0)</f>
        <v>0</v>
      </c>
      <c r="AZ434" s="24" t="str">
        <f t="shared" si="97"/>
        <v/>
      </c>
      <c r="BA434" s="24" t="str">
        <f t="shared" si="98"/>
        <v/>
      </c>
      <c r="BB434" s="24" t="str">
        <f t="shared" si="99"/>
        <v/>
      </c>
      <c r="BC434" s="24" t="str">
        <f>IF(OR(E434="",LEFT(TableCosts[[#This Row],[Calc_N_Typ]],18)="Vynaložené náklady"),"",VLOOKUP(E434,Tab_Parts,2,0))</f>
        <v/>
      </c>
      <c r="BD434" s="24" t="str">
        <f t="shared" si="100"/>
        <v/>
      </c>
      <c r="BE434" s="24">
        <f t="shared" si="101"/>
        <v>0</v>
      </c>
      <c r="BF434" s="72">
        <f>TableCosts[[#This Row],[N_Amount]]*TableCosts[[#This Row],[N_Tariff]]*TableCosts[[#This Row],[N_ItemsCount]]</f>
        <v>0</v>
      </c>
      <c r="BG434" s="72">
        <f>IF(G434=1,IF(TableCosts[[#This Row],[N_Kateg]]="interné práce",TableCosts[[#This Row],[N_Amount]]*8*PAR_SGA_PERHOUR,0),0)</f>
        <v>0</v>
      </c>
      <c r="BH434" s="72">
        <f>SUM(TableCosts[[#This Row],[N_Direct]:[N_SGA]])</f>
        <v>0</v>
      </c>
      <c r="BI434" s="24">
        <f>IF(G434=1,IF(OR(AND(NOT(ISERROR(VLOOKUP(TableCosts[[#This Row],[Calc_N_Typ]],Cis_WorkPositions,1,0))),C434&lt;&gt;"",D434&lt;&gt;"",E434&lt;&gt;""),AND(ISERROR(VLOOKUP(TableCosts[[#This Row],[Calc_N_Typ]],Cis_WorkPositions,1,0)),C434="",D434="",E434&lt;&gt;""),LEFT(TableCosts[[#This Row],[Calc_N_Typ]],18)="Vynaložené náklady"),VLOOKUP(C434&amp;TableCosts[[#This Row],[Calc_N_Typ]],TRAN_STRITEMS_LABEL,VLOOKUP(D434,Tab_Hours,3,0),0),NA()),0)</f>
        <v>0</v>
      </c>
      <c r="BJ434" s="24">
        <f t="shared" si="102"/>
        <v>0</v>
      </c>
      <c r="BK434" s="24" t="str">
        <f t="shared" si="103"/>
        <v/>
      </c>
      <c r="BL434" s="24" t="str">
        <f t="shared" si="104"/>
        <v/>
      </c>
      <c r="BM434" s="24" t="str">
        <f>IF(G434=1,IF(TableCosts[[#This Row],[TransferFrom]]=TableCosts[[#This Row],[TranferTo]],0,1),"")</f>
        <v/>
      </c>
      <c r="BN434" s="24" t="str">
        <f t="shared" si="105"/>
        <v/>
      </c>
      <c r="BO434" s="24">
        <f t="shared" si="106"/>
        <v>0</v>
      </c>
      <c r="BP434" s="24">
        <f t="shared" si="107"/>
        <v>0</v>
      </c>
    </row>
    <row r="435" spans="2:68" s="24" customFormat="1" ht="12.75" x14ac:dyDescent="0.2">
      <c r="B435" s="97"/>
      <c r="C435" s="92"/>
      <c r="D435" s="92"/>
      <c r="E435" s="92"/>
      <c r="F435" s="31" t="str">
        <f>IF(G435=1,IF(ISERROR(TableCosts[[#This Row],[N_Tariff]]),Err_Message1,IF(TableCosts[[#This Row],[N_Tariff]]=0,Err_Message2,VLOOKUP(C435&amp;TableCosts[[#This Row],[Calc_N_Typ]],TRAN_STRITEMS_LABEL,5,FALSE))),"")</f>
        <v/>
      </c>
      <c r="G435" s="31">
        <f t="shared" si="96"/>
        <v>0</v>
      </c>
      <c r="H435" s="31" t="str">
        <f>IF(G435=1,IFERROR(VLOOKUP(F435,Tab_ErrMessage[],2,0),VLOOKUP(C435&amp;TableCosts[[#This Row],[Calc_N_Typ]],TRAN_STRITEMS_LABEL,4,FALSE)),"")</f>
        <v/>
      </c>
      <c r="I435" s="94"/>
      <c r="J435" s="94"/>
      <c r="K435" s="94"/>
      <c r="L435" s="84"/>
      <c r="M435" s="84"/>
      <c r="N435" s="84"/>
      <c r="O435" s="84"/>
      <c r="P435" s="84"/>
      <c r="Q435" s="84"/>
      <c r="R435" s="84"/>
      <c r="S435" s="84"/>
      <c r="T435" s="84"/>
      <c r="U435" s="84"/>
      <c r="V435" s="84"/>
      <c r="W435" s="84"/>
      <c r="X435" s="84"/>
      <c r="Y435" s="84"/>
      <c r="Z435" s="84"/>
      <c r="AA435" s="84"/>
      <c r="AB435" s="84"/>
      <c r="AC435" s="84"/>
      <c r="AD435" s="84"/>
      <c r="AE435" s="84"/>
      <c r="AF435" s="84"/>
      <c r="AG435" s="84"/>
      <c r="AH435" s="84"/>
      <c r="AI435" s="84"/>
      <c r="AJ435" s="84"/>
      <c r="AK435" s="84"/>
      <c r="AL435" s="84"/>
      <c r="AM435" s="84"/>
      <c r="AN435" s="84"/>
      <c r="AO435" s="84"/>
      <c r="AP435" s="84"/>
      <c r="AQ435" s="84"/>
      <c r="AR435" s="84"/>
      <c r="AS435" s="84"/>
      <c r="AT435" s="84"/>
      <c r="AU435" s="84"/>
      <c r="AV435" s="84"/>
      <c r="AW435" s="84"/>
      <c r="AX435" s="87">
        <f t="array" ref="AX435">IF(G435=1,SUM((ROW(M0)=ROW(AW435))*(M0+M1_+M2_+M3_+M4_+M5_+M6_+M7_+M8_+M9_+M10_+M11_+M12_+M13_+M14_+M15_+M16_+M17_+M18_+M19_+M20_+M21_+M22_+M23_+M24_+M25_+M26_+M27_+M28_+M29_+M30_+M31_+M32_+M33_+M34_+M35_+M36_+M37_)),0)</f>
        <v>0</v>
      </c>
      <c r="AZ435" s="24" t="str">
        <f t="shared" si="97"/>
        <v/>
      </c>
      <c r="BA435" s="24" t="str">
        <f t="shared" si="98"/>
        <v/>
      </c>
      <c r="BB435" s="24" t="str">
        <f t="shared" si="99"/>
        <v/>
      </c>
      <c r="BC435" s="24" t="str">
        <f>IF(OR(E435="",LEFT(TableCosts[[#This Row],[Calc_N_Typ]],18)="Vynaložené náklady"),"",VLOOKUP(E435,Tab_Parts,2,0))</f>
        <v/>
      </c>
      <c r="BD435" s="24" t="str">
        <f t="shared" si="100"/>
        <v/>
      </c>
      <c r="BE435" s="24">
        <f t="shared" si="101"/>
        <v>0</v>
      </c>
      <c r="BF435" s="72">
        <f>TableCosts[[#This Row],[N_Amount]]*TableCosts[[#This Row],[N_Tariff]]*TableCosts[[#This Row],[N_ItemsCount]]</f>
        <v>0</v>
      </c>
      <c r="BG435" s="72">
        <f>IF(G435=1,IF(TableCosts[[#This Row],[N_Kateg]]="interné práce",TableCosts[[#This Row],[N_Amount]]*8*PAR_SGA_PERHOUR,0),0)</f>
        <v>0</v>
      </c>
      <c r="BH435" s="72">
        <f>SUM(TableCosts[[#This Row],[N_Direct]:[N_SGA]])</f>
        <v>0</v>
      </c>
      <c r="BI435" s="24">
        <f>IF(G435=1,IF(OR(AND(NOT(ISERROR(VLOOKUP(TableCosts[[#This Row],[Calc_N_Typ]],Cis_WorkPositions,1,0))),C435&lt;&gt;"",D435&lt;&gt;"",E435&lt;&gt;""),AND(ISERROR(VLOOKUP(TableCosts[[#This Row],[Calc_N_Typ]],Cis_WorkPositions,1,0)),C435="",D435="",E435&lt;&gt;""),LEFT(TableCosts[[#This Row],[Calc_N_Typ]],18)="Vynaložené náklady"),VLOOKUP(C435&amp;TableCosts[[#This Row],[Calc_N_Typ]],TRAN_STRITEMS_LABEL,VLOOKUP(D435,Tab_Hours,3,0),0),NA()),0)</f>
        <v>0</v>
      </c>
      <c r="BJ435" s="24">
        <f t="shared" si="102"/>
        <v>0</v>
      </c>
      <c r="BK435" s="24" t="str">
        <f t="shared" si="103"/>
        <v/>
      </c>
      <c r="BL435" s="24" t="str">
        <f t="shared" si="104"/>
        <v/>
      </c>
      <c r="BM435" s="24" t="str">
        <f>IF(G435=1,IF(TableCosts[[#This Row],[TransferFrom]]=TableCosts[[#This Row],[TranferTo]],0,1),"")</f>
        <v/>
      </c>
      <c r="BN435" s="24" t="str">
        <f t="shared" si="105"/>
        <v/>
      </c>
      <c r="BO435" s="24">
        <f t="shared" si="106"/>
        <v>0</v>
      </c>
      <c r="BP435" s="24">
        <f t="shared" si="107"/>
        <v>0</v>
      </c>
    </row>
    <row r="436" spans="2:68" s="24" customFormat="1" ht="12.75" x14ac:dyDescent="0.2">
      <c r="B436" s="97"/>
      <c r="C436" s="92"/>
      <c r="D436" s="92"/>
      <c r="E436" s="92"/>
      <c r="F436" s="31" t="str">
        <f>IF(G436=1,IF(ISERROR(TableCosts[[#This Row],[N_Tariff]]),Err_Message1,IF(TableCosts[[#This Row],[N_Tariff]]=0,Err_Message2,VLOOKUP(C436&amp;TableCosts[[#This Row],[Calc_N_Typ]],TRAN_STRITEMS_LABEL,5,FALSE))),"")</f>
        <v/>
      </c>
      <c r="G436" s="31">
        <f t="shared" si="96"/>
        <v>0</v>
      </c>
      <c r="H436" s="31" t="str">
        <f>IF(G436=1,IFERROR(VLOOKUP(F436,Tab_ErrMessage[],2,0),VLOOKUP(C436&amp;TableCosts[[#This Row],[Calc_N_Typ]],TRAN_STRITEMS_LABEL,4,FALSE)),"")</f>
        <v/>
      </c>
      <c r="I436" s="94"/>
      <c r="J436" s="94"/>
      <c r="K436" s="94"/>
      <c r="L436" s="84"/>
      <c r="M436" s="84"/>
      <c r="N436" s="84"/>
      <c r="O436" s="84"/>
      <c r="P436" s="84"/>
      <c r="Q436" s="84"/>
      <c r="R436" s="84"/>
      <c r="S436" s="84"/>
      <c r="T436" s="84"/>
      <c r="U436" s="84"/>
      <c r="V436" s="84"/>
      <c r="W436" s="84"/>
      <c r="X436" s="84"/>
      <c r="Y436" s="84"/>
      <c r="Z436" s="84"/>
      <c r="AA436" s="84"/>
      <c r="AB436" s="84"/>
      <c r="AC436" s="84"/>
      <c r="AD436" s="84"/>
      <c r="AE436" s="84"/>
      <c r="AF436" s="84"/>
      <c r="AG436" s="84"/>
      <c r="AH436" s="84"/>
      <c r="AI436" s="84"/>
      <c r="AJ436" s="84"/>
      <c r="AK436" s="84"/>
      <c r="AL436" s="84"/>
      <c r="AM436" s="84"/>
      <c r="AN436" s="84"/>
      <c r="AO436" s="84"/>
      <c r="AP436" s="84"/>
      <c r="AQ436" s="84"/>
      <c r="AR436" s="84"/>
      <c r="AS436" s="84"/>
      <c r="AT436" s="84"/>
      <c r="AU436" s="84"/>
      <c r="AV436" s="84"/>
      <c r="AW436" s="84"/>
      <c r="AX436" s="87">
        <f t="array" ref="AX436">IF(G436=1,SUM((ROW(M0)=ROW(AW436))*(M0+M1_+M2_+M3_+M4_+M5_+M6_+M7_+M8_+M9_+M10_+M11_+M12_+M13_+M14_+M15_+M16_+M17_+M18_+M19_+M20_+M21_+M22_+M23_+M24_+M25_+M26_+M27_+M28_+M29_+M30_+M31_+M32_+M33_+M34_+M35_+M36_+M37_)),0)</f>
        <v>0</v>
      </c>
      <c r="AZ436" s="24" t="str">
        <f t="shared" si="97"/>
        <v/>
      </c>
      <c r="BA436" s="24" t="str">
        <f t="shared" si="98"/>
        <v/>
      </c>
      <c r="BB436" s="24" t="str">
        <f t="shared" si="99"/>
        <v/>
      </c>
      <c r="BC436" s="24" t="str">
        <f>IF(OR(E436="",LEFT(TableCosts[[#This Row],[Calc_N_Typ]],18)="Vynaložené náklady"),"",VLOOKUP(E436,Tab_Parts,2,0))</f>
        <v/>
      </c>
      <c r="BD436" s="24" t="str">
        <f t="shared" si="100"/>
        <v/>
      </c>
      <c r="BE436" s="24">
        <f t="shared" si="101"/>
        <v>0</v>
      </c>
      <c r="BF436" s="72">
        <f>TableCosts[[#This Row],[N_Amount]]*TableCosts[[#This Row],[N_Tariff]]*TableCosts[[#This Row],[N_ItemsCount]]</f>
        <v>0</v>
      </c>
      <c r="BG436" s="72">
        <f>IF(G436=1,IF(TableCosts[[#This Row],[N_Kateg]]="interné práce",TableCosts[[#This Row],[N_Amount]]*8*PAR_SGA_PERHOUR,0),0)</f>
        <v>0</v>
      </c>
      <c r="BH436" s="72">
        <f>SUM(TableCosts[[#This Row],[N_Direct]:[N_SGA]])</f>
        <v>0</v>
      </c>
      <c r="BI436" s="24">
        <f>IF(G436=1,IF(OR(AND(NOT(ISERROR(VLOOKUP(TableCosts[[#This Row],[Calc_N_Typ]],Cis_WorkPositions,1,0))),C436&lt;&gt;"",D436&lt;&gt;"",E436&lt;&gt;""),AND(ISERROR(VLOOKUP(TableCosts[[#This Row],[Calc_N_Typ]],Cis_WorkPositions,1,0)),C436="",D436="",E436&lt;&gt;""),LEFT(TableCosts[[#This Row],[Calc_N_Typ]],18)="Vynaložené náklady"),VLOOKUP(C436&amp;TableCosts[[#This Row],[Calc_N_Typ]],TRAN_STRITEMS_LABEL,VLOOKUP(D436,Tab_Hours,3,0),0),NA()),0)</f>
        <v>0</v>
      </c>
      <c r="BJ436" s="24">
        <f t="shared" si="102"/>
        <v>0</v>
      </c>
      <c r="BK436" s="24" t="str">
        <f t="shared" si="103"/>
        <v/>
      </c>
      <c r="BL436" s="24" t="str">
        <f t="shared" si="104"/>
        <v/>
      </c>
      <c r="BM436" s="24" t="str">
        <f>IF(G436=1,IF(TableCosts[[#This Row],[TransferFrom]]=TableCosts[[#This Row],[TranferTo]],0,1),"")</f>
        <v/>
      </c>
      <c r="BN436" s="24" t="str">
        <f t="shared" si="105"/>
        <v/>
      </c>
      <c r="BO436" s="24">
        <f t="shared" si="106"/>
        <v>0</v>
      </c>
      <c r="BP436" s="24">
        <f t="shared" si="107"/>
        <v>0</v>
      </c>
    </row>
    <row r="437" spans="2:68" s="24" customFormat="1" ht="12.75" x14ac:dyDescent="0.2">
      <c r="B437" s="97"/>
      <c r="C437" s="92"/>
      <c r="D437" s="92"/>
      <c r="E437" s="92"/>
      <c r="F437" s="31" t="str">
        <f>IF(G437=1,IF(ISERROR(TableCosts[[#This Row],[N_Tariff]]),Err_Message1,IF(TableCosts[[#This Row],[N_Tariff]]=0,Err_Message2,VLOOKUP(C437&amp;TableCosts[[#This Row],[Calc_N_Typ]],TRAN_STRITEMS_LABEL,5,FALSE))),"")</f>
        <v/>
      </c>
      <c r="G437" s="31">
        <f t="shared" si="96"/>
        <v>0</v>
      </c>
      <c r="H437" s="31" t="str">
        <f>IF(G437=1,IFERROR(VLOOKUP(F437,Tab_ErrMessage[],2,0),VLOOKUP(C437&amp;TableCosts[[#This Row],[Calc_N_Typ]],TRAN_STRITEMS_LABEL,4,FALSE)),"")</f>
        <v/>
      </c>
      <c r="I437" s="94"/>
      <c r="J437" s="94"/>
      <c r="K437" s="94"/>
      <c r="L437" s="84"/>
      <c r="M437" s="84"/>
      <c r="N437" s="84"/>
      <c r="O437" s="84"/>
      <c r="P437" s="84"/>
      <c r="Q437" s="84"/>
      <c r="R437" s="84"/>
      <c r="S437" s="84"/>
      <c r="T437" s="84"/>
      <c r="U437" s="84"/>
      <c r="V437" s="84"/>
      <c r="W437" s="84"/>
      <c r="X437" s="84"/>
      <c r="Y437" s="84"/>
      <c r="Z437" s="84"/>
      <c r="AA437" s="84"/>
      <c r="AB437" s="84"/>
      <c r="AC437" s="84"/>
      <c r="AD437" s="84"/>
      <c r="AE437" s="84"/>
      <c r="AF437" s="84"/>
      <c r="AG437" s="84"/>
      <c r="AH437" s="84"/>
      <c r="AI437" s="84"/>
      <c r="AJ437" s="84"/>
      <c r="AK437" s="84"/>
      <c r="AL437" s="84"/>
      <c r="AM437" s="84"/>
      <c r="AN437" s="84"/>
      <c r="AO437" s="84"/>
      <c r="AP437" s="84"/>
      <c r="AQ437" s="84"/>
      <c r="AR437" s="84"/>
      <c r="AS437" s="84"/>
      <c r="AT437" s="84"/>
      <c r="AU437" s="84"/>
      <c r="AV437" s="84"/>
      <c r="AW437" s="84"/>
      <c r="AX437" s="87">
        <f t="array" ref="AX437">IF(G437=1,SUM((ROW(M0)=ROW(AW437))*(M0+M1_+M2_+M3_+M4_+M5_+M6_+M7_+M8_+M9_+M10_+M11_+M12_+M13_+M14_+M15_+M16_+M17_+M18_+M19_+M20_+M21_+M22_+M23_+M24_+M25_+M26_+M27_+M28_+M29_+M30_+M31_+M32_+M33_+M34_+M35_+M36_+M37_)),0)</f>
        <v>0</v>
      </c>
      <c r="AZ437" s="24" t="str">
        <f t="shared" si="97"/>
        <v/>
      </c>
      <c r="BA437" s="24" t="str">
        <f t="shared" si="98"/>
        <v/>
      </c>
      <c r="BB437" s="24" t="str">
        <f t="shared" si="99"/>
        <v/>
      </c>
      <c r="BC437" s="24" t="str">
        <f>IF(OR(E437="",LEFT(TableCosts[[#This Row],[Calc_N_Typ]],18)="Vynaložené náklady"),"",VLOOKUP(E437,Tab_Parts,2,0))</f>
        <v/>
      </c>
      <c r="BD437" s="24" t="str">
        <f t="shared" si="100"/>
        <v/>
      </c>
      <c r="BE437" s="24">
        <f t="shared" si="101"/>
        <v>0</v>
      </c>
      <c r="BF437" s="72">
        <f>TableCosts[[#This Row],[N_Amount]]*TableCosts[[#This Row],[N_Tariff]]*TableCosts[[#This Row],[N_ItemsCount]]</f>
        <v>0</v>
      </c>
      <c r="BG437" s="72">
        <f>IF(G437=1,IF(TableCosts[[#This Row],[N_Kateg]]="interné práce",TableCosts[[#This Row],[N_Amount]]*8*PAR_SGA_PERHOUR,0),0)</f>
        <v>0</v>
      </c>
      <c r="BH437" s="72">
        <f>SUM(TableCosts[[#This Row],[N_Direct]:[N_SGA]])</f>
        <v>0</v>
      </c>
      <c r="BI437" s="24">
        <f>IF(G437=1,IF(OR(AND(NOT(ISERROR(VLOOKUP(TableCosts[[#This Row],[Calc_N_Typ]],Cis_WorkPositions,1,0))),C437&lt;&gt;"",D437&lt;&gt;"",E437&lt;&gt;""),AND(ISERROR(VLOOKUP(TableCosts[[#This Row],[Calc_N_Typ]],Cis_WorkPositions,1,0)),C437="",D437="",E437&lt;&gt;""),LEFT(TableCosts[[#This Row],[Calc_N_Typ]],18)="Vynaložené náklady"),VLOOKUP(C437&amp;TableCosts[[#This Row],[Calc_N_Typ]],TRAN_STRITEMS_LABEL,VLOOKUP(D437,Tab_Hours,3,0),0),NA()),0)</f>
        <v>0</v>
      </c>
      <c r="BJ437" s="24">
        <f t="shared" si="102"/>
        <v>0</v>
      </c>
      <c r="BK437" s="24" t="str">
        <f t="shared" si="103"/>
        <v/>
      </c>
      <c r="BL437" s="24" t="str">
        <f t="shared" si="104"/>
        <v/>
      </c>
      <c r="BM437" s="24" t="str">
        <f>IF(G437=1,IF(TableCosts[[#This Row],[TransferFrom]]=TableCosts[[#This Row],[TranferTo]],0,1),"")</f>
        <v/>
      </c>
      <c r="BN437" s="24" t="str">
        <f t="shared" si="105"/>
        <v/>
      </c>
      <c r="BO437" s="24">
        <f t="shared" si="106"/>
        <v>0</v>
      </c>
      <c r="BP437" s="24">
        <f t="shared" si="107"/>
        <v>0</v>
      </c>
    </row>
    <row r="438" spans="2:68" s="24" customFormat="1" ht="12.75" x14ac:dyDescent="0.2">
      <c r="B438" s="97"/>
      <c r="C438" s="92"/>
      <c r="D438" s="92"/>
      <c r="E438" s="92"/>
      <c r="F438" s="31" t="str">
        <f>IF(G438=1,IF(ISERROR(TableCosts[[#This Row],[N_Tariff]]),Err_Message1,IF(TableCosts[[#This Row],[N_Tariff]]=0,Err_Message2,VLOOKUP(C438&amp;TableCosts[[#This Row],[Calc_N_Typ]],TRAN_STRITEMS_LABEL,5,FALSE))),"")</f>
        <v/>
      </c>
      <c r="G438" s="31">
        <f t="shared" si="96"/>
        <v>0</v>
      </c>
      <c r="H438" s="31" t="str">
        <f>IF(G438=1,IFERROR(VLOOKUP(F438,Tab_ErrMessage[],2,0),VLOOKUP(C438&amp;TableCosts[[#This Row],[Calc_N_Typ]],TRAN_STRITEMS_LABEL,4,FALSE)),"")</f>
        <v/>
      </c>
      <c r="I438" s="94"/>
      <c r="J438" s="94"/>
      <c r="K438" s="94"/>
      <c r="L438" s="84"/>
      <c r="M438" s="84"/>
      <c r="N438" s="84"/>
      <c r="O438" s="84"/>
      <c r="P438" s="84"/>
      <c r="Q438" s="84"/>
      <c r="R438" s="84"/>
      <c r="S438" s="84"/>
      <c r="T438" s="84"/>
      <c r="U438" s="84"/>
      <c r="V438" s="84"/>
      <c r="W438" s="84"/>
      <c r="X438" s="84"/>
      <c r="Y438" s="84"/>
      <c r="Z438" s="84"/>
      <c r="AA438" s="84"/>
      <c r="AB438" s="84"/>
      <c r="AC438" s="84"/>
      <c r="AD438" s="84"/>
      <c r="AE438" s="84"/>
      <c r="AF438" s="84"/>
      <c r="AG438" s="84"/>
      <c r="AH438" s="84"/>
      <c r="AI438" s="84"/>
      <c r="AJ438" s="84"/>
      <c r="AK438" s="84"/>
      <c r="AL438" s="84"/>
      <c r="AM438" s="84"/>
      <c r="AN438" s="84"/>
      <c r="AO438" s="84"/>
      <c r="AP438" s="84"/>
      <c r="AQ438" s="84"/>
      <c r="AR438" s="84"/>
      <c r="AS438" s="84"/>
      <c r="AT438" s="84"/>
      <c r="AU438" s="84"/>
      <c r="AV438" s="84"/>
      <c r="AW438" s="84"/>
      <c r="AX438" s="87">
        <f t="array" ref="AX438">IF(G438=1,SUM((ROW(M0)=ROW(AW438))*(M0+M1_+M2_+M3_+M4_+M5_+M6_+M7_+M8_+M9_+M10_+M11_+M12_+M13_+M14_+M15_+M16_+M17_+M18_+M19_+M20_+M21_+M22_+M23_+M24_+M25_+M26_+M27_+M28_+M29_+M30_+M31_+M32_+M33_+M34_+M35_+M36_+M37_)),0)</f>
        <v>0</v>
      </c>
      <c r="AZ438" s="24" t="str">
        <f t="shared" si="97"/>
        <v/>
      </c>
      <c r="BA438" s="24" t="str">
        <f t="shared" si="98"/>
        <v/>
      </c>
      <c r="BB438" s="24" t="str">
        <f t="shared" si="99"/>
        <v/>
      </c>
      <c r="BC438" s="24" t="str">
        <f>IF(OR(E438="",LEFT(TableCosts[[#This Row],[Calc_N_Typ]],18)="Vynaložené náklady"),"",VLOOKUP(E438,Tab_Parts,2,0))</f>
        <v/>
      </c>
      <c r="BD438" s="24" t="str">
        <f t="shared" si="100"/>
        <v/>
      </c>
      <c r="BE438" s="24">
        <f t="shared" si="101"/>
        <v>0</v>
      </c>
      <c r="BF438" s="72">
        <f>TableCosts[[#This Row],[N_Amount]]*TableCosts[[#This Row],[N_Tariff]]*TableCosts[[#This Row],[N_ItemsCount]]</f>
        <v>0</v>
      </c>
      <c r="BG438" s="72">
        <f>IF(G438=1,IF(TableCosts[[#This Row],[N_Kateg]]="interné práce",TableCosts[[#This Row],[N_Amount]]*8*PAR_SGA_PERHOUR,0),0)</f>
        <v>0</v>
      </c>
      <c r="BH438" s="72">
        <f>SUM(TableCosts[[#This Row],[N_Direct]:[N_SGA]])</f>
        <v>0</v>
      </c>
      <c r="BI438" s="24">
        <f>IF(G438=1,IF(OR(AND(NOT(ISERROR(VLOOKUP(TableCosts[[#This Row],[Calc_N_Typ]],Cis_WorkPositions,1,0))),C438&lt;&gt;"",D438&lt;&gt;"",E438&lt;&gt;""),AND(ISERROR(VLOOKUP(TableCosts[[#This Row],[Calc_N_Typ]],Cis_WorkPositions,1,0)),C438="",D438="",E438&lt;&gt;""),LEFT(TableCosts[[#This Row],[Calc_N_Typ]],18)="Vynaložené náklady"),VLOOKUP(C438&amp;TableCosts[[#This Row],[Calc_N_Typ]],TRAN_STRITEMS_LABEL,VLOOKUP(D438,Tab_Hours,3,0),0),NA()),0)</f>
        <v>0</v>
      </c>
      <c r="BJ438" s="24">
        <f t="shared" si="102"/>
        <v>0</v>
      </c>
      <c r="BK438" s="24" t="str">
        <f t="shared" si="103"/>
        <v/>
      </c>
      <c r="BL438" s="24" t="str">
        <f t="shared" si="104"/>
        <v/>
      </c>
      <c r="BM438" s="24" t="str">
        <f>IF(G438=1,IF(TableCosts[[#This Row],[TransferFrom]]=TableCosts[[#This Row],[TranferTo]],0,1),"")</f>
        <v/>
      </c>
      <c r="BN438" s="24" t="str">
        <f t="shared" si="105"/>
        <v/>
      </c>
      <c r="BO438" s="24">
        <f t="shared" si="106"/>
        <v>0</v>
      </c>
      <c r="BP438" s="24">
        <f t="shared" si="107"/>
        <v>0</v>
      </c>
    </row>
    <row r="439" spans="2:68" s="24" customFormat="1" ht="12.75" x14ac:dyDescent="0.2">
      <c r="B439" s="97"/>
      <c r="C439" s="92"/>
      <c r="D439" s="92"/>
      <c r="E439" s="92"/>
      <c r="F439" s="31" t="str">
        <f>IF(G439=1,IF(ISERROR(TableCosts[[#This Row],[N_Tariff]]),Err_Message1,IF(TableCosts[[#This Row],[N_Tariff]]=0,Err_Message2,VLOOKUP(C439&amp;TableCosts[[#This Row],[Calc_N_Typ]],TRAN_STRITEMS_LABEL,5,FALSE))),"")</f>
        <v/>
      </c>
      <c r="G439" s="31">
        <f t="shared" si="96"/>
        <v>0</v>
      </c>
      <c r="H439" s="31" t="str">
        <f>IF(G439=1,IFERROR(VLOOKUP(F439,Tab_ErrMessage[],2,0),VLOOKUP(C439&amp;TableCosts[[#This Row],[Calc_N_Typ]],TRAN_STRITEMS_LABEL,4,FALSE)),"")</f>
        <v/>
      </c>
      <c r="I439" s="94"/>
      <c r="J439" s="94"/>
      <c r="K439" s="94"/>
      <c r="L439" s="84"/>
      <c r="M439" s="84"/>
      <c r="N439" s="84"/>
      <c r="O439" s="84"/>
      <c r="P439" s="84"/>
      <c r="Q439" s="84"/>
      <c r="R439" s="84"/>
      <c r="S439" s="84"/>
      <c r="T439" s="84"/>
      <c r="U439" s="84"/>
      <c r="V439" s="84"/>
      <c r="W439" s="84"/>
      <c r="X439" s="84"/>
      <c r="Y439" s="84"/>
      <c r="Z439" s="84"/>
      <c r="AA439" s="84"/>
      <c r="AB439" s="84"/>
      <c r="AC439" s="84"/>
      <c r="AD439" s="84"/>
      <c r="AE439" s="84"/>
      <c r="AF439" s="84"/>
      <c r="AG439" s="84"/>
      <c r="AH439" s="84"/>
      <c r="AI439" s="84"/>
      <c r="AJ439" s="84"/>
      <c r="AK439" s="84"/>
      <c r="AL439" s="84"/>
      <c r="AM439" s="84"/>
      <c r="AN439" s="84"/>
      <c r="AO439" s="84"/>
      <c r="AP439" s="84"/>
      <c r="AQ439" s="84"/>
      <c r="AR439" s="84"/>
      <c r="AS439" s="84"/>
      <c r="AT439" s="84"/>
      <c r="AU439" s="84"/>
      <c r="AV439" s="84"/>
      <c r="AW439" s="84"/>
      <c r="AX439" s="87">
        <f t="array" ref="AX439">IF(G439=1,SUM((ROW(M0)=ROW(AW439))*(M0+M1_+M2_+M3_+M4_+M5_+M6_+M7_+M8_+M9_+M10_+M11_+M12_+M13_+M14_+M15_+M16_+M17_+M18_+M19_+M20_+M21_+M22_+M23_+M24_+M25_+M26_+M27_+M28_+M29_+M30_+M31_+M32_+M33_+M34_+M35_+M36_+M37_)),0)</f>
        <v>0</v>
      </c>
      <c r="AZ439" s="24" t="str">
        <f t="shared" si="97"/>
        <v/>
      </c>
      <c r="BA439" s="24" t="str">
        <f t="shared" si="98"/>
        <v/>
      </c>
      <c r="BB439" s="24" t="str">
        <f t="shared" si="99"/>
        <v/>
      </c>
      <c r="BC439" s="24" t="str">
        <f>IF(OR(E439="",LEFT(TableCosts[[#This Row],[Calc_N_Typ]],18)="Vynaložené náklady"),"",VLOOKUP(E439,Tab_Parts,2,0))</f>
        <v/>
      </c>
      <c r="BD439" s="24" t="str">
        <f t="shared" si="100"/>
        <v/>
      </c>
      <c r="BE439" s="24">
        <f t="shared" si="101"/>
        <v>0</v>
      </c>
      <c r="BF439" s="72">
        <f>TableCosts[[#This Row],[N_Amount]]*TableCosts[[#This Row],[N_Tariff]]*TableCosts[[#This Row],[N_ItemsCount]]</f>
        <v>0</v>
      </c>
      <c r="BG439" s="72">
        <f>IF(G439=1,IF(TableCosts[[#This Row],[N_Kateg]]="interné práce",TableCosts[[#This Row],[N_Amount]]*8*PAR_SGA_PERHOUR,0),0)</f>
        <v>0</v>
      </c>
      <c r="BH439" s="72">
        <f>SUM(TableCosts[[#This Row],[N_Direct]:[N_SGA]])</f>
        <v>0</v>
      </c>
      <c r="BI439" s="24">
        <f>IF(G439=1,IF(OR(AND(NOT(ISERROR(VLOOKUP(TableCosts[[#This Row],[Calc_N_Typ]],Cis_WorkPositions,1,0))),C439&lt;&gt;"",D439&lt;&gt;"",E439&lt;&gt;""),AND(ISERROR(VLOOKUP(TableCosts[[#This Row],[Calc_N_Typ]],Cis_WorkPositions,1,0)),C439="",D439="",E439&lt;&gt;""),LEFT(TableCosts[[#This Row],[Calc_N_Typ]],18)="Vynaložené náklady"),VLOOKUP(C439&amp;TableCosts[[#This Row],[Calc_N_Typ]],TRAN_STRITEMS_LABEL,VLOOKUP(D439,Tab_Hours,3,0),0),NA()),0)</f>
        <v>0</v>
      </c>
      <c r="BJ439" s="24">
        <f t="shared" si="102"/>
        <v>0</v>
      </c>
      <c r="BK439" s="24" t="str">
        <f t="shared" si="103"/>
        <v/>
      </c>
      <c r="BL439" s="24" t="str">
        <f t="shared" si="104"/>
        <v/>
      </c>
      <c r="BM439" s="24" t="str">
        <f>IF(G439=1,IF(TableCosts[[#This Row],[TransferFrom]]=TableCosts[[#This Row],[TranferTo]],0,1),"")</f>
        <v/>
      </c>
      <c r="BN439" s="24" t="str">
        <f t="shared" si="105"/>
        <v/>
      </c>
      <c r="BO439" s="24">
        <f t="shared" si="106"/>
        <v>0</v>
      </c>
      <c r="BP439" s="24">
        <f t="shared" si="107"/>
        <v>0</v>
      </c>
    </row>
    <row r="440" spans="2:68" s="24" customFormat="1" ht="12.75" x14ac:dyDescent="0.2">
      <c r="B440" s="97"/>
      <c r="C440" s="92"/>
      <c r="D440" s="92"/>
      <c r="E440" s="92"/>
      <c r="F440" s="31" t="str">
        <f>IF(G440=1,IF(ISERROR(TableCosts[[#This Row],[N_Tariff]]),Err_Message1,IF(TableCosts[[#This Row],[N_Tariff]]=0,Err_Message2,VLOOKUP(C440&amp;TableCosts[[#This Row],[Calc_N_Typ]],TRAN_STRITEMS_LABEL,5,FALSE))),"")</f>
        <v/>
      </c>
      <c r="G440" s="31">
        <f t="shared" si="96"/>
        <v>0</v>
      </c>
      <c r="H440" s="31" t="str">
        <f>IF(G440=1,IFERROR(VLOOKUP(F440,Tab_ErrMessage[],2,0),VLOOKUP(C440&amp;TableCosts[[#This Row],[Calc_N_Typ]],TRAN_STRITEMS_LABEL,4,FALSE)),"")</f>
        <v/>
      </c>
      <c r="I440" s="94"/>
      <c r="J440" s="94"/>
      <c r="K440" s="94"/>
      <c r="L440" s="84"/>
      <c r="M440" s="84"/>
      <c r="N440" s="84"/>
      <c r="O440" s="84"/>
      <c r="P440" s="84"/>
      <c r="Q440" s="84"/>
      <c r="R440" s="84"/>
      <c r="S440" s="84"/>
      <c r="T440" s="84"/>
      <c r="U440" s="84"/>
      <c r="V440" s="84"/>
      <c r="W440" s="84"/>
      <c r="X440" s="84"/>
      <c r="Y440" s="84"/>
      <c r="Z440" s="84"/>
      <c r="AA440" s="84"/>
      <c r="AB440" s="84"/>
      <c r="AC440" s="84"/>
      <c r="AD440" s="84"/>
      <c r="AE440" s="84"/>
      <c r="AF440" s="84"/>
      <c r="AG440" s="84"/>
      <c r="AH440" s="84"/>
      <c r="AI440" s="84"/>
      <c r="AJ440" s="84"/>
      <c r="AK440" s="84"/>
      <c r="AL440" s="84"/>
      <c r="AM440" s="84"/>
      <c r="AN440" s="84"/>
      <c r="AO440" s="84"/>
      <c r="AP440" s="84"/>
      <c r="AQ440" s="84"/>
      <c r="AR440" s="84"/>
      <c r="AS440" s="84"/>
      <c r="AT440" s="84"/>
      <c r="AU440" s="84"/>
      <c r="AV440" s="84"/>
      <c r="AW440" s="84"/>
      <c r="AX440" s="87">
        <f t="array" ref="AX440">IF(G440=1,SUM((ROW(M0)=ROW(AW440))*(M0+M1_+M2_+M3_+M4_+M5_+M6_+M7_+M8_+M9_+M10_+M11_+M12_+M13_+M14_+M15_+M16_+M17_+M18_+M19_+M20_+M21_+M22_+M23_+M24_+M25_+M26_+M27_+M28_+M29_+M30_+M31_+M32_+M33_+M34_+M35_+M36_+M37_)),0)</f>
        <v>0</v>
      </c>
      <c r="AZ440" s="24" t="str">
        <f t="shared" si="97"/>
        <v/>
      </c>
      <c r="BA440" s="24" t="str">
        <f t="shared" si="98"/>
        <v/>
      </c>
      <c r="BB440" s="24" t="str">
        <f t="shared" si="99"/>
        <v/>
      </c>
      <c r="BC440" s="24" t="str">
        <f>IF(OR(E440="",LEFT(TableCosts[[#This Row],[Calc_N_Typ]],18)="Vynaložené náklady"),"",VLOOKUP(E440,Tab_Parts,2,0))</f>
        <v/>
      </c>
      <c r="BD440" s="24" t="str">
        <f t="shared" si="100"/>
        <v/>
      </c>
      <c r="BE440" s="24">
        <f t="shared" si="101"/>
        <v>0</v>
      </c>
      <c r="BF440" s="72">
        <f>TableCosts[[#This Row],[N_Amount]]*TableCosts[[#This Row],[N_Tariff]]*TableCosts[[#This Row],[N_ItemsCount]]</f>
        <v>0</v>
      </c>
      <c r="BG440" s="72">
        <f>IF(G440=1,IF(TableCosts[[#This Row],[N_Kateg]]="interné práce",TableCosts[[#This Row],[N_Amount]]*8*PAR_SGA_PERHOUR,0),0)</f>
        <v>0</v>
      </c>
      <c r="BH440" s="72">
        <f>SUM(TableCosts[[#This Row],[N_Direct]:[N_SGA]])</f>
        <v>0</v>
      </c>
      <c r="BI440" s="24">
        <f>IF(G440=1,IF(OR(AND(NOT(ISERROR(VLOOKUP(TableCosts[[#This Row],[Calc_N_Typ]],Cis_WorkPositions,1,0))),C440&lt;&gt;"",D440&lt;&gt;"",E440&lt;&gt;""),AND(ISERROR(VLOOKUP(TableCosts[[#This Row],[Calc_N_Typ]],Cis_WorkPositions,1,0)),C440="",D440="",E440&lt;&gt;""),LEFT(TableCosts[[#This Row],[Calc_N_Typ]],18)="Vynaložené náklady"),VLOOKUP(C440&amp;TableCosts[[#This Row],[Calc_N_Typ]],TRAN_STRITEMS_LABEL,VLOOKUP(D440,Tab_Hours,3,0),0),NA()),0)</f>
        <v>0</v>
      </c>
      <c r="BJ440" s="24">
        <f t="shared" si="102"/>
        <v>0</v>
      </c>
      <c r="BK440" s="24" t="str">
        <f t="shared" si="103"/>
        <v/>
      </c>
      <c r="BL440" s="24" t="str">
        <f t="shared" si="104"/>
        <v/>
      </c>
      <c r="BM440" s="24" t="str">
        <f>IF(G440=1,IF(TableCosts[[#This Row],[TransferFrom]]=TableCosts[[#This Row],[TranferTo]],0,1),"")</f>
        <v/>
      </c>
      <c r="BN440" s="24" t="str">
        <f t="shared" si="105"/>
        <v/>
      </c>
      <c r="BO440" s="24">
        <f t="shared" si="106"/>
        <v>0</v>
      </c>
      <c r="BP440" s="24">
        <f t="shared" si="107"/>
        <v>0</v>
      </c>
    </row>
    <row r="441" spans="2:68" s="24" customFormat="1" ht="12.75" x14ac:dyDescent="0.2">
      <c r="B441" s="97"/>
      <c r="C441" s="92"/>
      <c r="D441" s="92"/>
      <c r="E441" s="92"/>
      <c r="F441" s="31" t="str">
        <f>IF(G441=1,IF(ISERROR(TableCosts[[#This Row],[N_Tariff]]),Err_Message1,IF(TableCosts[[#This Row],[N_Tariff]]=0,Err_Message2,VLOOKUP(C441&amp;TableCosts[[#This Row],[Calc_N_Typ]],TRAN_STRITEMS_LABEL,5,FALSE))),"")</f>
        <v/>
      </c>
      <c r="G441" s="31">
        <f t="shared" si="96"/>
        <v>0</v>
      </c>
      <c r="H441" s="31" t="str">
        <f>IF(G441=1,IFERROR(VLOOKUP(F441,Tab_ErrMessage[],2,0),VLOOKUP(C441&amp;TableCosts[[#This Row],[Calc_N_Typ]],TRAN_STRITEMS_LABEL,4,FALSE)),"")</f>
        <v/>
      </c>
      <c r="I441" s="94"/>
      <c r="J441" s="94"/>
      <c r="K441" s="94"/>
      <c r="L441" s="84"/>
      <c r="M441" s="84"/>
      <c r="N441" s="84"/>
      <c r="O441" s="84"/>
      <c r="P441" s="84"/>
      <c r="Q441" s="84"/>
      <c r="R441" s="84"/>
      <c r="S441" s="84"/>
      <c r="T441" s="84"/>
      <c r="U441" s="84"/>
      <c r="V441" s="84"/>
      <c r="W441" s="84"/>
      <c r="X441" s="84"/>
      <c r="Y441" s="84"/>
      <c r="Z441" s="84"/>
      <c r="AA441" s="84"/>
      <c r="AB441" s="84"/>
      <c r="AC441" s="84"/>
      <c r="AD441" s="84"/>
      <c r="AE441" s="84"/>
      <c r="AF441" s="84"/>
      <c r="AG441" s="84"/>
      <c r="AH441" s="84"/>
      <c r="AI441" s="84"/>
      <c r="AJ441" s="84"/>
      <c r="AK441" s="84"/>
      <c r="AL441" s="84"/>
      <c r="AM441" s="84"/>
      <c r="AN441" s="84"/>
      <c r="AO441" s="84"/>
      <c r="AP441" s="84"/>
      <c r="AQ441" s="84"/>
      <c r="AR441" s="84"/>
      <c r="AS441" s="84"/>
      <c r="AT441" s="84"/>
      <c r="AU441" s="84"/>
      <c r="AV441" s="84"/>
      <c r="AW441" s="84"/>
      <c r="AX441" s="87">
        <f t="array" ref="AX441">IF(G441=1,SUM((ROW(M0)=ROW(AW441))*(M0+M1_+M2_+M3_+M4_+M5_+M6_+M7_+M8_+M9_+M10_+M11_+M12_+M13_+M14_+M15_+M16_+M17_+M18_+M19_+M20_+M21_+M22_+M23_+M24_+M25_+M26_+M27_+M28_+M29_+M30_+M31_+M32_+M33_+M34_+M35_+M36_+M37_)),0)</f>
        <v>0</v>
      </c>
      <c r="AZ441" s="24" t="str">
        <f t="shared" si="97"/>
        <v/>
      </c>
      <c r="BA441" s="24" t="str">
        <f t="shared" si="98"/>
        <v/>
      </c>
      <c r="BB441" s="24" t="str">
        <f t="shared" si="99"/>
        <v/>
      </c>
      <c r="BC441" s="24" t="str">
        <f>IF(OR(E441="",LEFT(TableCosts[[#This Row],[Calc_N_Typ]],18)="Vynaložené náklady"),"",VLOOKUP(E441,Tab_Parts,2,0))</f>
        <v/>
      </c>
      <c r="BD441" s="24" t="str">
        <f t="shared" si="100"/>
        <v/>
      </c>
      <c r="BE441" s="24">
        <f t="shared" si="101"/>
        <v>0</v>
      </c>
      <c r="BF441" s="72">
        <f>TableCosts[[#This Row],[N_Amount]]*TableCosts[[#This Row],[N_Tariff]]*TableCosts[[#This Row],[N_ItemsCount]]</f>
        <v>0</v>
      </c>
      <c r="BG441" s="72">
        <f>IF(G441=1,IF(TableCosts[[#This Row],[N_Kateg]]="interné práce",TableCosts[[#This Row],[N_Amount]]*8*PAR_SGA_PERHOUR,0),0)</f>
        <v>0</v>
      </c>
      <c r="BH441" s="72">
        <f>SUM(TableCosts[[#This Row],[N_Direct]:[N_SGA]])</f>
        <v>0</v>
      </c>
      <c r="BI441" s="24">
        <f>IF(G441=1,IF(OR(AND(NOT(ISERROR(VLOOKUP(TableCosts[[#This Row],[Calc_N_Typ]],Cis_WorkPositions,1,0))),C441&lt;&gt;"",D441&lt;&gt;"",E441&lt;&gt;""),AND(ISERROR(VLOOKUP(TableCosts[[#This Row],[Calc_N_Typ]],Cis_WorkPositions,1,0)),C441="",D441="",E441&lt;&gt;""),LEFT(TableCosts[[#This Row],[Calc_N_Typ]],18)="Vynaložené náklady"),VLOOKUP(C441&amp;TableCosts[[#This Row],[Calc_N_Typ]],TRAN_STRITEMS_LABEL,VLOOKUP(D441,Tab_Hours,3,0),0),NA()),0)</f>
        <v>0</v>
      </c>
      <c r="BJ441" s="24">
        <f t="shared" si="102"/>
        <v>0</v>
      </c>
      <c r="BK441" s="24" t="str">
        <f t="shared" si="103"/>
        <v/>
      </c>
      <c r="BL441" s="24" t="str">
        <f t="shared" si="104"/>
        <v/>
      </c>
      <c r="BM441" s="24" t="str">
        <f>IF(G441=1,IF(TableCosts[[#This Row],[TransferFrom]]=TableCosts[[#This Row],[TranferTo]],0,1),"")</f>
        <v/>
      </c>
      <c r="BN441" s="24" t="str">
        <f t="shared" si="105"/>
        <v/>
      </c>
      <c r="BO441" s="24">
        <f t="shared" si="106"/>
        <v>0</v>
      </c>
      <c r="BP441" s="24">
        <f t="shared" si="107"/>
        <v>0</v>
      </c>
    </row>
    <row r="442" spans="2:68" s="24" customFormat="1" ht="12.75" x14ac:dyDescent="0.2">
      <c r="B442" s="97"/>
      <c r="C442" s="92"/>
      <c r="D442" s="92"/>
      <c r="E442" s="92"/>
      <c r="F442" s="31" t="str">
        <f>IF(G442=1,IF(ISERROR(TableCosts[[#This Row],[N_Tariff]]),Err_Message1,IF(TableCosts[[#This Row],[N_Tariff]]=0,Err_Message2,VLOOKUP(C442&amp;TableCosts[[#This Row],[Calc_N_Typ]],TRAN_STRITEMS_LABEL,5,FALSE))),"")</f>
        <v/>
      </c>
      <c r="G442" s="31">
        <f t="shared" si="96"/>
        <v>0</v>
      </c>
      <c r="H442" s="31" t="str">
        <f>IF(G442=1,IFERROR(VLOOKUP(F442,Tab_ErrMessage[],2,0),VLOOKUP(C442&amp;TableCosts[[#This Row],[Calc_N_Typ]],TRAN_STRITEMS_LABEL,4,FALSE)),"")</f>
        <v/>
      </c>
      <c r="I442" s="94"/>
      <c r="J442" s="94"/>
      <c r="K442" s="94"/>
      <c r="L442" s="84"/>
      <c r="M442" s="84"/>
      <c r="N442" s="84"/>
      <c r="O442" s="84"/>
      <c r="P442" s="84"/>
      <c r="Q442" s="84"/>
      <c r="R442" s="84"/>
      <c r="S442" s="84"/>
      <c r="T442" s="84"/>
      <c r="U442" s="84"/>
      <c r="V442" s="84"/>
      <c r="W442" s="84"/>
      <c r="X442" s="84"/>
      <c r="Y442" s="84"/>
      <c r="Z442" s="84"/>
      <c r="AA442" s="84"/>
      <c r="AB442" s="84"/>
      <c r="AC442" s="84"/>
      <c r="AD442" s="84"/>
      <c r="AE442" s="84"/>
      <c r="AF442" s="84"/>
      <c r="AG442" s="84"/>
      <c r="AH442" s="84"/>
      <c r="AI442" s="84"/>
      <c r="AJ442" s="84"/>
      <c r="AK442" s="84"/>
      <c r="AL442" s="84"/>
      <c r="AM442" s="84"/>
      <c r="AN442" s="84"/>
      <c r="AO442" s="84"/>
      <c r="AP442" s="84"/>
      <c r="AQ442" s="84"/>
      <c r="AR442" s="84"/>
      <c r="AS442" s="84"/>
      <c r="AT442" s="84"/>
      <c r="AU442" s="84"/>
      <c r="AV442" s="84"/>
      <c r="AW442" s="84"/>
      <c r="AX442" s="87">
        <f t="array" ref="AX442">IF(G442=1,SUM((ROW(M0)=ROW(AW442))*(M0+M1_+M2_+M3_+M4_+M5_+M6_+M7_+M8_+M9_+M10_+M11_+M12_+M13_+M14_+M15_+M16_+M17_+M18_+M19_+M20_+M21_+M22_+M23_+M24_+M25_+M26_+M27_+M28_+M29_+M30_+M31_+M32_+M33_+M34_+M35_+M36_+M37_)),0)</f>
        <v>0</v>
      </c>
      <c r="AZ442" s="24" t="str">
        <f t="shared" si="97"/>
        <v/>
      </c>
      <c r="BA442" s="24" t="str">
        <f t="shared" si="98"/>
        <v/>
      </c>
      <c r="BB442" s="24" t="str">
        <f t="shared" si="99"/>
        <v/>
      </c>
      <c r="BC442" s="24" t="str">
        <f>IF(OR(E442="",LEFT(TableCosts[[#This Row],[Calc_N_Typ]],18)="Vynaložené náklady"),"",VLOOKUP(E442,Tab_Parts,2,0))</f>
        <v/>
      </c>
      <c r="BD442" s="24" t="str">
        <f t="shared" si="100"/>
        <v/>
      </c>
      <c r="BE442" s="24">
        <f t="shared" si="101"/>
        <v>0</v>
      </c>
      <c r="BF442" s="72">
        <f>TableCosts[[#This Row],[N_Amount]]*TableCosts[[#This Row],[N_Tariff]]*TableCosts[[#This Row],[N_ItemsCount]]</f>
        <v>0</v>
      </c>
      <c r="BG442" s="72">
        <f>IF(G442=1,IF(TableCosts[[#This Row],[N_Kateg]]="interné práce",TableCosts[[#This Row],[N_Amount]]*8*PAR_SGA_PERHOUR,0),0)</f>
        <v>0</v>
      </c>
      <c r="BH442" s="72">
        <f>SUM(TableCosts[[#This Row],[N_Direct]:[N_SGA]])</f>
        <v>0</v>
      </c>
      <c r="BI442" s="24">
        <f>IF(G442=1,IF(OR(AND(NOT(ISERROR(VLOOKUP(TableCosts[[#This Row],[Calc_N_Typ]],Cis_WorkPositions,1,0))),C442&lt;&gt;"",D442&lt;&gt;"",E442&lt;&gt;""),AND(ISERROR(VLOOKUP(TableCosts[[#This Row],[Calc_N_Typ]],Cis_WorkPositions,1,0)),C442="",D442="",E442&lt;&gt;""),LEFT(TableCosts[[#This Row],[Calc_N_Typ]],18)="Vynaložené náklady"),VLOOKUP(C442&amp;TableCosts[[#This Row],[Calc_N_Typ]],TRAN_STRITEMS_LABEL,VLOOKUP(D442,Tab_Hours,3,0),0),NA()),0)</f>
        <v>0</v>
      </c>
      <c r="BJ442" s="24">
        <f t="shared" si="102"/>
        <v>0</v>
      </c>
      <c r="BK442" s="24" t="str">
        <f t="shared" si="103"/>
        <v/>
      </c>
      <c r="BL442" s="24" t="str">
        <f t="shared" si="104"/>
        <v/>
      </c>
      <c r="BM442" s="24" t="str">
        <f>IF(G442=1,IF(TableCosts[[#This Row],[TransferFrom]]=TableCosts[[#This Row],[TranferTo]],0,1),"")</f>
        <v/>
      </c>
      <c r="BN442" s="24" t="str">
        <f t="shared" si="105"/>
        <v/>
      </c>
      <c r="BO442" s="24">
        <f t="shared" si="106"/>
        <v>0</v>
      </c>
      <c r="BP442" s="24">
        <f t="shared" si="107"/>
        <v>0</v>
      </c>
    </row>
    <row r="443" spans="2:68" s="24" customFormat="1" ht="12.75" x14ac:dyDescent="0.2">
      <c r="B443" s="97"/>
      <c r="C443" s="92"/>
      <c r="D443" s="92"/>
      <c r="E443" s="92"/>
      <c r="F443" s="31" t="str">
        <f>IF(G443=1,IF(ISERROR(TableCosts[[#This Row],[N_Tariff]]),Err_Message1,IF(TableCosts[[#This Row],[N_Tariff]]=0,Err_Message2,VLOOKUP(C443&amp;TableCosts[[#This Row],[Calc_N_Typ]],TRAN_STRITEMS_LABEL,5,FALSE))),"")</f>
        <v/>
      </c>
      <c r="G443" s="31">
        <f t="shared" si="96"/>
        <v>0</v>
      </c>
      <c r="H443" s="31" t="str">
        <f>IF(G443=1,IFERROR(VLOOKUP(F443,Tab_ErrMessage[],2,0),VLOOKUP(C443&amp;TableCosts[[#This Row],[Calc_N_Typ]],TRAN_STRITEMS_LABEL,4,FALSE)),"")</f>
        <v/>
      </c>
      <c r="I443" s="94"/>
      <c r="J443" s="94"/>
      <c r="K443" s="94"/>
      <c r="L443" s="84"/>
      <c r="M443" s="84"/>
      <c r="N443" s="84"/>
      <c r="O443" s="84"/>
      <c r="P443" s="84"/>
      <c r="Q443" s="84"/>
      <c r="R443" s="84"/>
      <c r="S443" s="84"/>
      <c r="T443" s="84"/>
      <c r="U443" s="84"/>
      <c r="V443" s="84"/>
      <c r="W443" s="84"/>
      <c r="X443" s="84"/>
      <c r="Y443" s="84"/>
      <c r="Z443" s="84"/>
      <c r="AA443" s="84"/>
      <c r="AB443" s="84"/>
      <c r="AC443" s="84"/>
      <c r="AD443" s="84"/>
      <c r="AE443" s="84"/>
      <c r="AF443" s="84"/>
      <c r="AG443" s="84"/>
      <c r="AH443" s="84"/>
      <c r="AI443" s="84"/>
      <c r="AJ443" s="84"/>
      <c r="AK443" s="84"/>
      <c r="AL443" s="84"/>
      <c r="AM443" s="84"/>
      <c r="AN443" s="84"/>
      <c r="AO443" s="84"/>
      <c r="AP443" s="84"/>
      <c r="AQ443" s="84"/>
      <c r="AR443" s="84"/>
      <c r="AS443" s="84"/>
      <c r="AT443" s="84"/>
      <c r="AU443" s="84"/>
      <c r="AV443" s="84"/>
      <c r="AW443" s="84"/>
      <c r="AX443" s="87">
        <f t="array" ref="AX443">IF(G443=1,SUM((ROW(M0)=ROW(AW443))*(M0+M1_+M2_+M3_+M4_+M5_+M6_+M7_+M8_+M9_+M10_+M11_+M12_+M13_+M14_+M15_+M16_+M17_+M18_+M19_+M20_+M21_+M22_+M23_+M24_+M25_+M26_+M27_+M28_+M29_+M30_+M31_+M32_+M33_+M34_+M35_+M36_+M37_)),0)</f>
        <v>0</v>
      </c>
      <c r="AZ443" s="24" t="str">
        <f t="shared" si="97"/>
        <v/>
      </c>
      <c r="BA443" s="24" t="str">
        <f t="shared" si="98"/>
        <v/>
      </c>
      <c r="BB443" s="24" t="str">
        <f t="shared" si="99"/>
        <v/>
      </c>
      <c r="BC443" s="24" t="str">
        <f>IF(OR(E443="",LEFT(TableCosts[[#This Row],[Calc_N_Typ]],18)="Vynaložené náklady"),"",VLOOKUP(E443,Tab_Parts,2,0))</f>
        <v/>
      </c>
      <c r="BD443" s="24" t="str">
        <f t="shared" si="100"/>
        <v/>
      </c>
      <c r="BE443" s="24">
        <f t="shared" si="101"/>
        <v>0</v>
      </c>
      <c r="BF443" s="72">
        <f>TableCosts[[#This Row],[N_Amount]]*TableCosts[[#This Row],[N_Tariff]]*TableCosts[[#This Row],[N_ItemsCount]]</f>
        <v>0</v>
      </c>
      <c r="BG443" s="72">
        <f>IF(G443=1,IF(TableCosts[[#This Row],[N_Kateg]]="interné práce",TableCosts[[#This Row],[N_Amount]]*8*PAR_SGA_PERHOUR,0),0)</f>
        <v>0</v>
      </c>
      <c r="BH443" s="72">
        <f>SUM(TableCosts[[#This Row],[N_Direct]:[N_SGA]])</f>
        <v>0</v>
      </c>
      <c r="BI443" s="24">
        <f>IF(G443=1,IF(OR(AND(NOT(ISERROR(VLOOKUP(TableCosts[[#This Row],[Calc_N_Typ]],Cis_WorkPositions,1,0))),C443&lt;&gt;"",D443&lt;&gt;"",E443&lt;&gt;""),AND(ISERROR(VLOOKUP(TableCosts[[#This Row],[Calc_N_Typ]],Cis_WorkPositions,1,0)),C443="",D443="",E443&lt;&gt;""),LEFT(TableCosts[[#This Row],[Calc_N_Typ]],18)="Vynaložené náklady"),VLOOKUP(C443&amp;TableCosts[[#This Row],[Calc_N_Typ]],TRAN_STRITEMS_LABEL,VLOOKUP(D443,Tab_Hours,3,0),0),NA()),0)</f>
        <v>0</v>
      </c>
      <c r="BJ443" s="24">
        <f t="shared" si="102"/>
        <v>0</v>
      </c>
      <c r="BK443" s="24" t="str">
        <f t="shared" si="103"/>
        <v/>
      </c>
      <c r="BL443" s="24" t="str">
        <f t="shared" si="104"/>
        <v/>
      </c>
      <c r="BM443" s="24" t="str">
        <f>IF(G443=1,IF(TableCosts[[#This Row],[TransferFrom]]=TableCosts[[#This Row],[TranferTo]],0,1),"")</f>
        <v/>
      </c>
      <c r="BN443" s="24" t="str">
        <f t="shared" si="105"/>
        <v/>
      </c>
      <c r="BO443" s="24">
        <f t="shared" si="106"/>
        <v>0</v>
      </c>
      <c r="BP443" s="24">
        <f t="shared" si="107"/>
        <v>0</v>
      </c>
    </row>
    <row r="444" spans="2:68" s="24" customFormat="1" ht="12.75" x14ac:dyDescent="0.2">
      <c r="B444" s="97"/>
      <c r="C444" s="92"/>
      <c r="D444" s="92"/>
      <c r="E444" s="92"/>
      <c r="F444" s="31" t="str">
        <f>IF(G444=1,IF(ISERROR(TableCosts[[#This Row],[N_Tariff]]),Err_Message1,IF(TableCosts[[#This Row],[N_Tariff]]=0,Err_Message2,VLOOKUP(C444&amp;TableCosts[[#This Row],[Calc_N_Typ]],TRAN_STRITEMS_LABEL,5,FALSE))),"")</f>
        <v/>
      </c>
      <c r="G444" s="31">
        <f t="shared" si="96"/>
        <v>0</v>
      </c>
      <c r="H444" s="31" t="str">
        <f>IF(G444=1,IFERROR(VLOOKUP(F444,Tab_ErrMessage[],2,0),VLOOKUP(C444&amp;TableCosts[[#This Row],[Calc_N_Typ]],TRAN_STRITEMS_LABEL,4,FALSE)),"")</f>
        <v/>
      </c>
      <c r="I444" s="94"/>
      <c r="J444" s="94"/>
      <c r="K444" s="94"/>
      <c r="L444" s="84"/>
      <c r="M444" s="84"/>
      <c r="N444" s="84"/>
      <c r="O444" s="84"/>
      <c r="P444" s="84"/>
      <c r="Q444" s="84"/>
      <c r="R444" s="84"/>
      <c r="S444" s="84"/>
      <c r="T444" s="84"/>
      <c r="U444" s="84"/>
      <c r="V444" s="84"/>
      <c r="W444" s="84"/>
      <c r="X444" s="84"/>
      <c r="Y444" s="84"/>
      <c r="Z444" s="84"/>
      <c r="AA444" s="84"/>
      <c r="AB444" s="84"/>
      <c r="AC444" s="84"/>
      <c r="AD444" s="84"/>
      <c r="AE444" s="84"/>
      <c r="AF444" s="84"/>
      <c r="AG444" s="84"/>
      <c r="AH444" s="84"/>
      <c r="AI444" s="84"/>
      <c r="AJ444" s="84"/>
      <c r="AK444" s="84"/>
      <c r="AL444" s="84"/>
      <c r="AM444" s="84"/>
      <c r="AN444" s="84"/>
      <c r="AO444" s="84"/>
      <c r="AP444" s="84"/>
      <c r="AQ444" s="84"/>
      <c r="AR444" s="84"/>
      <c r="AS444" s="84"/>
      <c r="AT444" s="84"/>
      <c r="AU444" s="84"/>
      <c r="AV444" s="84"/>
      <c r="AW444" s="84"/>
      <c r="AX444" s="87">
        <f t="array" ref="AX444">IF(G444=1,SUM((ROW(M0)=ROW(AW444))*(M0+M1_+M2_+M3_+M4_+M5_+M6_+M7_+M8_+M9_+M10_+M11_+M12_+M13_+M14_+M15_+M16_+M17_+M18_+M19_+M20_+M21_+M22_+M23_+M24_+M25_+M26_+M27_+M28_+M29_+M30_+M31_+M32_+M33_+M34_+M35_+M36_+M37_)),0)</f>
        <v>0</v>
      </c>
      <c r="AZ444" s="24" t="str">
        <f t="shared" si="97"/>
        <v/>
      </c>
      <c r="BA444" s="24" t="str">
        <f t="shared" si="98"/>
        <v/>
      </c>
      <c r="BB444" s="24" t="str">
        <f t="shared" si="99"/>
        <v/>
      </c>
      <c r="BC444" s="24" t="str">
        <f>IF(OR(E444="",LEFT(TableCosts[[#This Row],[Calc_N_Typ]],18)="Vynaložené náklady"),"",VLOOKUP(E444,Tab_Parts,2,0))</f>
        <v/>
      </c>
      <c r="BD444" s="24" t="str">
        <f t="shared" si="100"/>
        <v/>
      </c>
      <c r="BE444" s="24">
        <f t="shared" si="101"/>
        <v>0</v>
      </c>
      <c r="BF444" s="72">
        <f>TableCosts[[#This Row],[N_Amount]]*TableCosts[[#This Row],[N_Tariff]]*TableCosts[[#This Row],[N_ItemsCount]]</f>
        <v>0</v>
      </c>
      <c r="BG444" s="72">
        <f>IF(G444=1,IF(TableCosts[[#This Row],[N_Kateg]]="interné práce",TableCosts[[#This Row],[N_Amount]]*8*PAR_SGA_PERHOUR,0),0)</f>
        <v>0</v>
      </c>
      <c r="BH444" s="72">
        <f>SUM(TableCosts[[#This Row],[N_Direct]:[N_SGA]])</f>
        <v>0</v>
      </c>
      <c r="BI444" s="24">
        <f>IF(G444=1,IF(OR(AND(NOT(ISERROR(VLOOKUP(TableCosts[[#This Row],[Calc_N_Typ]],Cis_WorkPositions,1,0))),C444&lt;&gt;"",D444&lt;&gt;"",E444&lt;&gt;""),AND(ISERROR(VLOOKUP(TableCosts[[#This Row],[Calc_N_Typ]],Cis_WorkPositions,1,0)),C444="",D444="",E444&lt;&gt;""),LEFT(TableCosts[[#This Row],[Calc_N_Typ]],18)="Vynaložené náklady"),VLOOKUP(C444&amp;TableCosts[[#This Row],[Calc_N_Typ]],TRAN_STRITEMS_LABEL,VLOOKUP(D444,Tab_Hours,3,0),0),NA()),0)</f>
        <v>0</v>
      </c>
      <c r="BJ444" s="24">
        <f t="shared" si="102"/>
        <v>0</v>
      </c>
      <c r="BK444" s="24" t="str">
        <f t="shared" si="103"/>
        <v/>
      </c>
      <c r="BL444" s="24" t="str">
        <f t="shared" si="104"/>
        <v/>
      </c>
      <c r="BM444" s="24" t="str">
        <f>IF(G444=1,IF(TableCosts[[#This Row],[TransferFrom]]=TableCosts[[#This Row],[TranferTo]],0,1),"")</f>
        <v/>
      </c>
      <c r="BN444" s="24" t="str">
        <f t="shared" si="105"/>
        <v/>
      </c>
      <c r="BO444" s="24">
        <f t="shared" si="106"/>
        <v>0</v>
      </c>
      <c r="BP444" s="24">
        <f t="shared" si="107"/>
        <v>0</v>
      </c>
    </row>
    <row r="445" spans="2:68" s="24" customFormat="1" ht="12.75" x14ac:dyDescent="0.2">
      <c r="B445" s="97"/>
      <c r="C445" s="92"/>
      <c r="D445" s="92"/>
      <c r="E445" s="92"/>
      <c r="F445" s="31" t="str">
        <f>IF(G445=1,IF(ISERROR(TableCosts[[#This Row],[N_Tariff]]),Err_Message1,IF(TableCosts[[#This Row],[N_Tariff]]=0,Err_Message2,VLOOKUP(C445&amp;TableCosts[[#This Row],[Calc_N_Typ]],TRAN_STRITEMS_LABEL,5,FALSE))),"")</f>
        <v/>
      </c>
      <c r="G445" s="31">
        <f t="shared" si="96"/>
        <v>0</v>
      </c>
      <c r="H445" s="31" t="str">
        <f>IF(G445=1,IFERROR(VLOOKUP(F445,Tab_ErrMessage[],2,0),VLOOKUP(C445&amp;TableCosts[[#This Row],[Calc_N_Typ]],TRAN_STRITEMS_LABEL,4,FALSE)),"")</f>
        <v/>
      </c>
      <c r="I445" s="94"/>
      <c r="J445" s="94"/>
      <c r="K445" s="94"/>
      <c r="L445" s="84"/>
      <c r="M445" s="84"/>
      <c r="N445" s="84"/>
      <c r="O445" s="84"/>
      <c r="P445" s="84"/>
      <c r="Q445" s="84"/>
      <c r="R445" s="84"/>
      <c r="S445" s="84"/>
      <c r="T445" s="84"/>
      <c r="U445" s="84"/>
      <c r="V445" s="84"/>
      <c r="W445" s="84"/>
      <c r="X445" s="84"/>
      <c r="Y445" s="84"/>
      <c r="Z445" s="84"/>
      <c r="AA445" s="84"/>
      <c r="AB445" s="84"/>
      <c r="AC445" s="84"/>
      <c r="AD445" s="84"/>
      <c r="AE445" s="84"/>
      <c r="AF445" s="84"/>
      <c r="AG445" s="84"/>
      <c r="AH445" s="84"/>
      <c r="AI445" s="84"/>
      <c r="AJ445" s="84"/>
      <c r="AK445" s="84"/>
      <c r="AL445" s="84"/>
      <c r="AM445" s="84"/>
      <c r="AN445" s="84"/>
      <c r="AO445" s="84"/>
      <c r="AP445" s="84"/>
      <c r="AQ445" s="84"/>
      <c r="AR445" s="84"/>
      <c r="AS445" s="84"/>
      <c r="AT445" s="84"/>
      <c r="AU445" s="84"/>
      <c r="AV445" s="84"/>
      <c r="AW445" s="84"/>
      <c r="AX445" s="87">
        <f t="array" ref="AX445">IF(G445=1,SUM((ROW(M0)=ROW(AW445))*(M0+M1_+M2_+M3_+M4_+M5_+M6_+M7_+M8_+M9_+M10_+M11_+M12_+M13_+M14_+M15_+M16_+M17_+M18_+M19_+M20_+M21_+M22_+M23_+M24_+M25_+M26_+M27_+M28_+M29_+M30_+M31_+M32_+M33_+M34_+M35_+M36_+M37_)),0)</f>
        <v>0</v>
      </c>
      <c r="AZ445" s="24" t="str">
        <f t="shared" si="97"/>
        <v/>
      </c>
      <c r="BA445" s="24" t="str">
        <f t="shared" si="98"/>
        <v/>
      </c>
      <c r="BB445" s="24" t="str">
        <f t="shared" si="99"/>
        <v/>
      </c>
      <c r="BC445" s="24" t="str">
        <f>IF(OR(E445="",LEFT(TableCosts[[#This Row],[Calc_N_Typ]],18)="Vynaložené náklady"),"",VLOOKUP(E445,Tab_Parts,2,0))</f>
        <v/>
      </c>
      <c r="BD445" s="24" t="str">
        <f t="shared" si="100"/>
        <v/>
      </c>
      <c r="BE445" s="24">
        <f t="shared" si="101"/>
        <v>0</v>
      </c>
      <c r="BF445" s="72">
        <f>TableCosts[[#This Row],[N_Amount]]*TableCosts[[#This Row],[N_Tariff]]*TableCosts[[#This Row],[N_ItemsCount]]</f>
        <v>0</v>
      </c>
      <c r="BG445" s="72">
        <f>IF(G445=1,IF(TableCosts[[#This Row],[N_Kateg]]="interné práce",TableCosts[[#This Row],[N_Amount]]*8*PAR_SGA_PERHOUR,0),0)</f>
        <v>0</v>
      </c>
      <c r="BH445" s="72">
        <f>SUM(TableCosts[[#This Row],[N_Direct]:[N_SGA]])</f>
        <v>0</v>
      </c>
      <c r="BI445" s="24">
        <f>IF(G445=1,IF(OR(AND(NOT(ISERROR(VLOOKUP(TableCosts[[#This Row],[Calc_N_Typ]],Cis_WorkPositions,1,0))),C445&lt;&gt;"",D445&lt;&gt;"",E445&lt;&gt;""),AND(ISERROR(VLOOKUP(TableCosts[[#This Row],[Calc_N_Typ]],Cis_WorkPositions,1,0)),C445="",D445="",E445&lt;&gt;""),LEFT(TableCosts[[#This Row],[Calc_N_Typ]],18)="Vynaložené náklady"),VLOOKUP(C445&amp;TableCosts[[#This Row],[Calc_N_Typ]],TRAN_STRITEMS_LABEL,VLOOKUP(D445,Tab_Hours,3,0),0),NA()),0)</f>
        <v>0</v>
      </c>
      <c r="BJ445" s="24">
        <f t="shared" si="102"/>
        <v>0</v>
      </c>
      <c r="BK445" s="24" t="str">
        <f t="shared" si="103"/>
        <v/>
      </c>
      <c r="BL445" s="24" t="str">
        <f t="shared" si="104"/>
        <v/>
      </c>
      <c r="BM445" s="24" t="str">
        <f>IF(G445=1,IF(TableCosts[[#This Row],[TransferFrom]]=TableCosts[[#This Row],[TranferTo]],0,1),"")</f>
        <v/>
      </c>
      <c r="BN445" s="24" t="str">
        <f t="shared" si="105"/>
        <v/>
      </c>
      <c r="BO445" s="24">
        <f t="shared" si="106"/>
        <v>0</v>
      </c>
      <c r="BP445" s="24">
        <f t="shared" si="107"/>
        <v>0</v>
      </c>
    </row>
    <row r="446" spans="2:68" s="24" customFormat="1" ht="12.75" x14ac:dyDescent="0.2">
      <c r="B446" s="97"/>
      <c r="C446" s="92"/>
      <c r="D446" s="92"/>
      <c r="E446" s="92"/>
      <c r="F446" s="31" t="str">
        <f>IF(G446=1,IF(ISERROR(TableCosts[[#This Row],[N_Tariff]]),Err_Message1,IF(TableCosts[[#This Row],[N_Tariff]]=0,Err_Message2,VLOOKUP(C446&amp;TableCosts[[#This Row],[Calc_N_Typ]],TRAN_STRITEMS_LABEL,5,FALSE))),"")</f>
        <v/>
      </c>
      <c r="G446" s="31">
        <f t="shared" si="96"/>
        <v>0</v>
      </c>
      <c r="H446" s="31" t="str">
        <f>IF(G446=1,IFERROR(VLOOKUP(F446,Tab_ErrMessage[],2,0),VLOOKUP(C446&amp;TableCosts[[#This Row],[Calc_N_Typ]],TRAN_STRITEMS_LABEL,4,FALSE)),"")</f>
        <v/>
      </c>
      <c r="I446" s="94"/>
      <c r="J446" s="94"/>
      <c r="K446" s="94"/>
      <c r="L446" s="84"/>
      <c r="M446" s="84"/>
      <c r="N446" s="84"/>
      <c r="O446" s="84"/>
      <c r="P446" s="84"/>
      <c r="Q446" s="84"/>
      <c r="R446" s="84"/>
      <c r="S446" s="84"/>
      <c r="T446" s="84"/>
      <c r="U446" s="84"/>
      <c r="V446" s="84"/>
      <c r="W446" s="84"/>
      <c r="X446" s="84"/>
      <c r="Y446" s="84"/>
      <c r="Z446" s="84"/>
      <c r="AA446" s="84"/>
      <c r="AB446" s="84"/>
      <c r="AC446" s="84"/>
      <c r="AD446" s="84"/>
      <c r="AE446" s="84"/>
      <c r="AF446" s="84"/>
      <c r="AG446" s="84"/>
      <c r="AH446" s="84"/>
      <c r="AI446" s="84"/>
      <c r="AJ446" s="84"/>
      <c r="AK446" s="84"/>
      <c r="AL446" s="84"/>
      <c r="AM446" s="84"/>
      <c r="AN446" s="84"/>
      <c r="AO446" s="84"/>
      <c r="AP446" s="84"/>
      <c r="AQ446" s="84"/>
      <c r="AR446" s="84"/>
      <c r="AS446" s="84"/>
      <c r="AT446" s="84"/>
      <c r="AU446" s="84"/>
      <c r="AV446" s="84"/>
      <c r="AW446" s="84"/>
      <c r="AX446" s="87">
        <f t="array" ref="AX446">IF(G446=1,SUM((ROW(M0)=ROW(AW446))*(M0+M1_+M2_+M3_+M4_+M5_+M6_+M7_+M8_+M9_+M10_+M11_+M12_+M13_+M14_+M15_+M16_+M17_+M18_+M19_+M20_+M21_+M22_+M23_+M24_+M25_+M26_+M27_+M28_+M29_+M30_+M31_+M32_+M33_+M34_+M35_+M36_+M37_)),0)</f>
        <v>0</v>
      </c>
      <c r="AZ446" s="24" t="str">
        <f t="shared" si="97"/>
        <v/>
      </c>
      <c r="BA446" s="24" t="str">
        <f t="shared" si="98"/>
        <v/>
      </c>
      <c r="BB446" s="24" t="str">
        <f t="shared" si="99"/>
        <v/>
      </c>
      <c r="BC446" s="24" t="str">
        <f>IF(OR(E446="",LEFT(TableCosts[[#This Row],[Calc_N_Typ]],18)="Vynaložené náklady"),"",VLOOKUP(E446,Tab_Parts,2,0))</f>
        <v/>
      </c>
      <c r="BD446" s="24" t="str">
        <f t="shared" si="100"/>
        <v/>
      </c>
      <c r="BE446" s="24">
        <f t="shared" si="101"/>
        <v>0</v>
      </c>
      <c r="BF446" s="72">
        <f>TableCosts[[#This Row],[N_Amount]]*TableCosts[[#This Row],[N_Tariff]]*TableCosts[[#This Row],[N_ItemsCount]]</f>
        <v>0</v>
      </c>
      <c r="BG446" s="72">
        <f>IF(G446=1,IF(TableCosts[[#This Row],[N_Kateg]]="interné práce",TableCosts[[#This Row],[N_Amount]]*8*PAR_SGA_PERHOUR,0),0)</f>
        <v>0</v>
      </c>
      <c r="BH446" s="72">
        <f>SUM(TableCosts[[#This Row],[N_Direct]:[N_SGA]])</f>
        <v>0</v>
      </c>
      <c r="BI446" s="24">
        <f>IF(G446=1,IF(OR(AND(NOT(ISERROR(VLOOKUP(TableCosts[[#This Row],[Calc_N_Typ]],Cis_WorkPositions,1,0))),C446&lt;&gt;"",D446&lt;&gt;"",E446&lt;&gt;""),AND(ISERROR(VLOOKUP(TableCosts[[#This Row],[Calc_N_Typ]],Cis_WorkPositions,1,0)),C446="",D446="",E446&lt;&gt;""),LEFT(TableCosts[[#This Row],[Calc_N_Typ]],18)="Vynaložené náklady"),VLOOKUP(C446&amp;TableCosts[[#This Row],[Calc_N_Typ]],TRAN_STRITEMS_LABEL,VLOOKUP(D446,Tab_Hours,3,0),0),NA()),0)</f>
        <v>0</v>
      </c>
      <c r="BJ446" s="24">
        <f t="shared" si="102"/>
        <v>0</v>
      </c>
      <c r="BK446" s="24" t="str">
        <f t="shared" si="103"/>
        <v/>
      </c>
      <c r="BL446" s="24" t="str">
        <f t="shared" si="104"/>
        <v/>
      </c>
      <c r="BM446" s="24" t="str">
        <f>IF(G446=1,IF(TableCosts[[#This Row],[TransferFrom]]=TableCosts[[#This Row],[TranferTo]],0,1),"")</f>
        <v/>
      </c>
      <c r="BN446" s="24" t="str">
        <f t="shared" si="105"/>
        <v/>
      </c>
      <c r="BO446" s="24">
        <f t="shared" si="106"/>
        <v>0</v>
      </c>
      <c r="BP446" s="24">
        <f t="shared" si="107"/>
        <v>0</v>
      </c>
    </row>
    <row r="447" spans="2:68" s="24" customFormat="1" ht="12.75" x14ac:dyDescent="0.2">
      <c r="B447" s="97"/>
      <c r="C447" s="92"/>
      <c r="D447" s="92"/>
      <c r="E447" s="92"/>
      <c r="F447" s="31" t="str">
        <f>IF(G447=1,IF(ISERROR(TableCosts[[#This Row],[N_Tariff]]),Err_Message1,IF(TableCosts[[#This Row],[N_Tariff]]=0,Err_Message2,VLOOKUP(C447&amp;TableCosts[[#This Row],[Calc_N_Typ]],TRAN_STRITEMS_LABEL,5,FALSE))),"")</f>
        <v/>
      </c>
      <c r="G447" s="31">
        <f t="shared" si="96"/>
        <v>0</v>
      </c>
      <c r="H447" s="31" t="str">
        <f>IF(G447=1,IFERROR(VLOOKUP(F447,Tab_ErrMessage[],2,0),VLOOKUP(C447&amp;TableCosts[[#This Row],[Calc_N_Typ]],TRAN_STRITEMS_LABEL,4,FALSE)),"")</f>
        <v/>
      </c>
      <c r="I447" s="94"/>
      <c r="J447" s="94"/>
      <c r="K447" s="94"/>
      <c r="L447" s="84"/>
      <c r="M447" s="84"/>
      <c r="N447" s="84"/>
      <c r="O447" s="84"/>
      <c r="P447" s="84"/>
      <c r="Q447" s="84"/>
      <c r="R447" s="84"/>
      <c r="S447" s="84"/>
      <c r="T447" s="84"/>
      <c r="U447" s="84"/>
      <c r="V447" s="84"/>
      <c r="W447" s="84"/>
      <c r="X447" s="84"/>
      <c r="Y447" s="84"/>
      <c r="Z447" s="84"/>
      <c r="AA447" s="84"/>
      <c r="AB447" s="84"/>
      <c r="AC447" s="84"/>
      <c r="AD447" s="84"/>
      <c r="AE447" s="84"/>
      <c r="AF447" s="84"/>
      <c r="AG447" s="84"/>
      <c r="AH447" s="84"/>
      <c r="AI447" s="84"/>
      <c r="AJ447" s="84"/>
      <c r="AK447" s="84"/>
      <c r="AL447" s="84"/>
      <c r="AM447" s="84"/>
      <c r="AN447" s="84"/>
      <c r="AO447" s="84"/>
      <c r="AP447" s="84"/>
      <c r="AQ447" s="84"/>
      <c r="AR447" s="84"/>
      <c r="AS447" s="84"/>
      <c r="AT447" s="84"/>
      <c r="AU447" s="84"/>
      <c r="AV447" s="84"/>
      <c r="AW447" s="84"/>
      <c r="AX447" s="87">
        <f t="array" ref="AX447">IF(G447=1,SUM((ROW(M0)=ROW(AW447))*(M0+M1_+M2_+M3_+M4_+M5_+M6_+M7_+M8_+M9_+M10_+M11_+M12_+M13_+M14_+M15_+M16_+M17_+M18_+M19_+M20_+M21_+M22_+M23_+M24_+M25_+M26_+M27_+M28_+M29_+M30_+M31_+M32_+M33_+M34_+M35_+M36_+M37_)),0)</f>
        <v>0</v>
      </c>
      <c r="AZ447" s="24" t="str">
        <f t="shared" si="97"/>
        <v/>
      </c>
      <c r="BA447" s="24" t="str">
        <f t="shared" si="98"/>
        <v/>
      </c>
      <c r="BB447" s="24" t="str">
        <f t="shared" si="99"/>
        <v/>
      </c>
      <c r="BC447" s="24" t="str">
        <f>IF(OR(E447="",LEFT(TableCosts[[#This Row],[Calc_N_Typ]],18)="Vynaložené náklady"),"",VLOOKUP(E447,Tab_Parts,2,0))</f>
        <v/>
      </c>
      <c r="BD447" s="24" t="str">
        <f t="shared" si="100"/>
        <v/>
      </c>
      <c r="BE447" s="24">
        <f t="shared" si="101"/>
        <v>0</v>
      </c>
      <c r="BF447" s="72">
        <f>TableCosts[[#This Row],[N_Amount]]*TableCosts[[#This Row],[N_Tariff]]*TableCosts[[#This Row],[N_ItemsCount]]</f>
        <v>0</v>
      </c>
      <c r="BG447" s="72">
        <f>IF(G447=1,IF(TableCosts[[#This Row],[N_Kateg]]="interné práce",TableCosts[[#This Row],[N_Amount]]*8*PAR_SGA_PERHOUR,0),0)</f>
        <v>0</v>
      </c>
      <c r="BH447" s="72">
        <f>SUM(TableCosts[[#This Row],[N_Direct]:[N_SGA]])</f>
        <v>0</v>
      </c>
      <c r="BI447" s="24">
        <f>IF(G447=1,IF(OR(AND(NOT(ISERROR(VLOOKUP(TableCosts[[#This Row],[Calc_N_Typ]],Cis_WorkPositions,1,0))),C447&lt;&gt;"",D447&lt;&gt;"",E447&lt;&gt;""),AND(ISERROR(VLOOKUP(TableCosts[[#This Row],[Calc_N_Typ]],Cis_WorkPositions,1,0)),C447="",D447="",E447&lt;&gt;""),LEFT(TableCosts[[#This Row],[Calc_N_Typ]],18)="Vynaložené náklady"),VLOOKUP(C447&amp;TableCosts[[#This Row],[Calc_N_Typ]],TRAN_STRITEMS_LABEL,VLOOKUP(D447,Tab_Hours,3,0),0),NA()),0)</f>
        <v>0</v>
      </c>
      <c r="BJ447" s="24">
        <f t="shared" si="102"/>
        <v>0</v>
      </c>
      <c r="BK447" s="24" t="str">
        <f t="shared" si="103"/>
        <v/>
      </c>
      <c r="BL447" s="24" t="str">
        <f t="shared" si="104"/>
        <v/>
      </c>
      <c r="BM447" s="24" t="str">
        <f>IF(G447=1,IF(TableCosts[[#This Row],[TransferFrom]]=TableCosts[[#This Row],[TranferTo]],0,1),"")</f>
        <v/>
      </c>
      <c r="BN447" s="24" t="str">
        <f t="shared" si="105"/>
        <v/>
      </c>
      <c r="BO447" s="24">
        <f t="shared" si="106"/>
        <v>0</v>
      </c>
      <c r="BP447" s="24">
        <f t="shared" si="107"/>
        <v>0</v>
      </c>
    </row>
    <row r="448" spans="2:68" s="24" customFormat="1" ht="12.75" x14ac:dyDescent="0.2">
      <c r="B448" s="97"/>
      <c r="C448" s="92"/>
      <c r="D448" s="92"/>
      <c r="E448" s="92"/>
      <c r="F448" s="31" t="str">
        <f>IF(G448=1,IF(ISERROR(TableCosts[[#This Row],[N_Tariff]]),Err_Message1,IF(TableCosts[[#This Row],[N_Tariff]]=0,Err_Message2,VLOOKUP(C448&amp;TableCosts[[#This Row],[Calc_N_Typ]],TRAN_STRITEMS_LABEL,5,FALSE))),"")</f>
        <v/>
      </c>
      <c r="G448" s="31">
        <f t="shared" si="96"/>
        <v>0</v>
      </c>
      <c r="H448" s="31" t="str">
        <f>IF(G448=1,IFERROR(VLOOKUP(F448,Tab_ErrMessage[],2,0),VLOOKUP(C448&amp;TableCosts[[#This Row],[Calc_N_Typ]],TRAN_STRITEMS_LABEL,4,FALSE)),"")</f>
        <v/>
      </c>
      <c r="I448" s="94"/>
      <c r="J448" s="94"/>
      <c r="K448" s="94"/>
      <c r="L448" s="84"/>
      <c r="M448" s="84"/>
      <c r="N448" s="84"/>
      <c r="O448" s="84"/>
      <c r="P448" s="84"/>
      <c r="Q448" s="84"/>
      <c r="R448" s="84"/>
      <c r="S448" s="84"/>
      <c r="T448" s="84"/>
      <c r="U448" s="84"/>
      <c r="V448" s="84"/>
      <c r="W448" s="84"/>
      <c r="X448" s="84"/>
      <c r="Y448" s="84"/>
      <c r="Z448" s="84"/>
      <c r="AA448" s="84"/>
      <c r="AB448" s="84"/>
      <c r="AC448" s="84"/>
      <c r="AD448" s="84"/>
      <c r="AE448" s="84"/>
      <c r="AF448" s="84"/>
      <c r="AG448" s="84"/>
      <c r="AH448" s="84"/>
      <c r="AI448" s="84"/>
      <c r="AJ448" s="84"/>
      <c r="AK448" s="84"/>
      <c r="AL448" s="84"/>
      <c r="AM448" s="84"/>
      <c r="AN448" s="84"/>
      <c r="AO448" s="84"/>
      <c r="AP448" s="84"/>
      <c r="AQ448" s="84"/>
      <c r="AR448" s="84"/>
      <c r="AS448" s="84"/>
      <c r="AT448" s="84"/>
      <c r="AU448" s="84"/>
      <c r="AV448" s="84"/>
      <c r="AW448" s="84"/>
      <c r="AX448" s="87">
        <f t="array" ref="AX448">IF(G448=1,SUM((ROW(M0)=ROW(AW448))*(M0+M1_+M2_+M3_+M4_+M5_+M6_+M7_+M8_+M9_+M10_+M11_+M12_+M13_+M14_+M15_+M16_+M17_+M18_+M19_+M20_+M21_+M22_+M23_+M24_+M25_+M26_+M27_+M28_+M29_+M30_+M31_+M32_+M33_+M34_+M35_+M36_+M37_)),0)</f>
        <v>0</v>
      </c>
      <c r="AZ448" s="24" t="str">
        <f t="shared" si="97"/>
        <v/>
      </c>
      <c r="BA448" s="24" t="str">
        <f t="shared" si="98"/>
        <v/>
      </c>
      <c r="BB448" s="24" t="str">
        <f t="shared" si="99"/>
        <v/>
      </c>
      <c r="BC448" s="24" t="str">
        <f>IF(OR(E448="",LEFT(TableCosts[[#This Row],[Calc_N_Typ]],18)="Vynaložené náklady"),"",VLOOKUP(E448,Tab_Parts,2,0))</f>
        <v/>
      </c>
      <c r="BD448" s="24" t="str">
        <f t="shared" si="100"/>
        <v/>
      </c>
      <c r="BE448" s="24">
        <f t="shared" si="101"/>
        <v>0</v>
      </c>
      <c r="BF448" s="72">
        <f>TableCosts[[#This Row],[N_Amount]]*TableCosts[[#This Row],[N_Tariff]]*TableCosts[[#This Row],[N_ItemsCount]]</f>
        <v>0</v>
      </c>
      <c r="BG448" s="72">
        <f>IF(G448=1,IF(TableCosts[[#This Row],[N_Kateg]]="interné práce",TableCosts[[#This Row],[N_Amount]]*8*PAR_SGA_PERHOUR,0),0)</f>
        <v>0</v>
      </c>
      <c r="BH448" s="72">
        <f>SUM(TableCosts[[#This Row],[N_Direct]:[N_SGA]])</f>
        <v>0</v>
      </c>
      <c r="BI448" s="24">
        <f>IF(G448=1,IF(OR(AND(NOT(ISERROR(VLOOKUP(TableCosts[[#This Row],[Calc_N_Typ]],Cis_WorkPositions,1,0))),C448&lt;&gt;"",D448&lt;&gt;"",E448&lt;&gt;""),AND(ISERROR(VLOOKUP(TableCosts[[#This Row],[Calc_N_Typ]],Cis_WorkPositions,1,0)),C448="",D448="",E448&lt;&gt;""),LEFT(TableCosts[[#This Row],[Calc_N_Typ]],18)="Vynaložené náklady"),VLOOKUP(C448&amp;TableCosts[[#This Row],[Calc_N_Typ]],TRAN_STRITEMS_LABEL,VLOOKUP(D448,Tab_Hours,3,0),0),NA()),0)</f>
        <v>0</v>
      </c>
      <c r="BJ448" s="24">
        <f t="shared" si="102"/>
        <v>0</v>
      </c>
      <c r="BK448" s="24" t="str">
        <f t="shared" si="103"/>
        <v/>
      </c>
      <c r="BL448" s="24" t="str">
        <f t="shared" si="104"/>
        <v/>
      </c>
      <c r="BM448" s="24" t="str">
        <f>IF(G448=1,IF(TableCosts[[#This Row],[TransferFrom]]=TableCosts[[#This Row],[TranferTo]],0,1),"")</f>
        <v/>
      </c>
      <c r="BN448" s="24" t="str">
        <f t="shared" si="105"/>
        <v/>
      </c>
      <c r="BO448" s="24">
        <f t="shared" si="106"/>
        <v>0</v>
      </c>
      <c r="BP448" s="24">
        <f t="shared" si="107"/>
        <v>0</v>
      </c>
    </row>
    <row r="449" spans="2:68" s="24" customFormat="1" ht="12.75" x14ac:dyDescent="0.2">
      <c r="B449" s="97"/>
      <c r="C449" s="92"/>
      <c r="D449" s="92"/>
      <c r="E449" s="92"/>
      <c r="F449" s="31" t="str">
        <f>IF(G449=1,IF(ISERROR(TableCosts[[#This Row],[N_Tariff]]),Err_Message1,IF(TableCosts[[#This Row],[N_Tariff]]=0,Err_Message2,VLOOKUP(C449&amp;TableCosts[[#This Row],[Calc_N_Typ]],TRAN_STRITEMS_LABEL,5,FALSE))),"")</f>
        <v/>
      </c>
      <c r="G449" s="31">
        <f t="shared" si="96"/>
        <v>0</v>
      </c>
      <c r="H449" s="31" t="str">
        <f>IF(G449=1,IFERROR(VLOOKUP(F449,Tab_ErrMessage[],2,0),VLOOKUP(C449&amp;TableCosts[[#This Row],[Calc_N_Typ]],TRAN_STRITEMS_LABEL,4,FALSE)),"")</f>
        <v/>
      </c>
      <c r="I449" s="94"/>
      <c r="J449" s="94"/>
      <c r="K449" s="94"/>
      <c r="L449" s="84"/>
      <c r="M449" s="84"/>
      <c r="N449" s="84"/>
      <c r="O449" s="84"/>
      <c r="P449" s="84"/>
      <c r="Q449" s="84"/>
      <c r="R449" s="84"/>
      <c r="S449" s="84"/>
      <c r="T449" s="84"/>
      <c r="U449" s="84"/>
      <c r="V449" s="84"/>
      <c r="W449" s="84"/>
      <c r="X449" s="84"/>
      <c r="Y449" s="84"/>
      <c r="Z449" s="84"/>
      <c r="AA449" s="84"/>
      <c r="AB449" s="84"/>
      <c r="AC449" s="84"/>
      <c r="AD449" s="84"/>
      <c r="AE449" s="84"/>
      <c r="AF449" s="84"/>
      <c r="AG449" s="84"/>
      <c r="AH449" s="84"/>
      <c r="AI449" s="84"/>
      <c r="AJ449" s="84"/>
      <c r="AK449" s="84"/>
      <c r="AL449" s="84"/>
      <c r="AM449" s="84"/>
      <c r="AN449" s="84"/>
      <c r="AO449" s="84"/>
      <c r="AP449" s="84"/>
      <c r="AQ449" s="84"/>
      <c r="AR449" s="84"/>
      <c r="AS449" s="84"/>
      <c r="AT449" s="84"/>
      <c r="AU449" s="84"/>
      <c r="AV449" s="84"/>
      <c r="AW449" s="84"/>
      <c r="AX449" s="87">
        <f t="array" ref="AX449">IF(G449=1,SUM((ROW(M0)=ROW(AW449))*(M0+M1_+M2_+M3_+M4_+M5_+M6_+M7_+M8_+M9_+M10_+M11_+M12_+M13_+M14_+M15_+M16_+M17_+M18_+M19_+M20_+M21_+M22_+M23_+M24_+M25_+M26_+M27_+M28_+M29_+M30_+M31_+M32_+M33_+M34_+M35_+M36_+M37_)),0)</f>
        <v>0</v>
      </c>
      <c r="AZ449" s="24" t="str">
        <f t="shared" si="97"/>
        <v/>
      </c>
      <c r="BA449" s="24" t="str">
        <f t="shared" si="98"/>
        <v/>
      </c>
      <c r="BB449" s="24" t="str">
        <f t="shared" si="99"/>
        <v/>
      </c>
      <c r="BC449" s="24" t="str">
        <f>IF(OR(E449="",LEFT(TableCosts[[#This Row],[Calc_N_Typ]],18)="Vynaložené náklady"),"",VLOOKUP(E449,Tab_Parts,2,0))</f>
        <v/>
      </c>
      <c r="BD449" s="24" t="str">
        <f t="shared" si="100"/>
        <v/>
      </c>
      <c r="BE449" s="24">
        <f t="shared" si="101"/>
        <v>0</v>
      </c>
      <c r="BF449" s="72">
        <f>TableCosts[[#This Row],[N_Amount]]*TableCosts[[#This Row],[N_Tariff]]*TableCosts[[#This Row],[N_ItemsCount]]</f>
        <v>0</v>
      </c>
      <c r="BG449" s="72">
        <f>IF(G449=1,IF(TableCosts[[#This Row],[N_Kateg]]="interné práce",TableCosts[[#This Row],[N_Amount]]*8*PAR_SGA_PERHOUR,0),0)</f>
        <v>0</v>
      </c>
      <c r="BH449" s="72">
        <f>SUM(TableCosts[[#This Row],[N_Direct]:[N_SGA]])</f>
        <v>0</v>
      </c>
      <c r="BI449" s="24">
        <f>IF(G449=1,IF(OR(AND(NOT(ISERROR(VLOOKUP(TableCosts[[#This Row],[Calc_N_Typ]],Cis_WorkPositions,1,0))),C449&lt;&gt;"",D449&lt;&gt;"",E449&lt;&gt;""),AND(ISERROR(VLOOKUP(TableCosts[[#This Row],[Calc_N_Typ]],Cis_WorkPositions,1,0)),C449="",D449="",E449&lt;&gt;""),LEFT(TableCosts[[#This Row],[Calc_N_Typ]],18)="Vynaložené náklady"),VLOOKUP(C449&amp;TableCosts[[#This Row],[Calc_N_Typ]],TRAN_STRITEMS_LABEL,VLOOKUP(D449,Tab_Hours,3,0),0),NA()),0)</f>
        <v>0</v>
      </c>
      <c r="BJ449" s="24">
        <f t="shared" si="102"/>
        <v>0</v>
      </c>
      <c r="BK449" s="24" t="str">
        <f t="shared" si="103"/>
        <v/>
      </c>
      <c r="BL449" s="24" t="str">
        <f t="shared" si="104"/>
        <v/>
      </c>
      <c r="BM449" s="24" t="str">
        <f>IF(G449=1,IF(TableCosts[[#This Row],[TransferFrom]]=TableCosts[[#This Row],[TranferTo]],0,1),"")</f>
        <v/>
      </c>
      <c r="BN449" s="24" t="str">
        <f t="shared" si="105"/>
        <v/>
      </c>
      <c r="BO449" s="24">
        <f t="shared" si="106"/>
        <v>0</v>
      </c>
      <c r="BP449" s="24">
        <f t="shared" si="107"/>
        <v>0</v>
      </c>
    </row>
    <row r="450" spans="2:68" s="24" customFormat="1" ht="12.75" x14ac:dyDescent="0.2">
      <c r="B450" s="97"/>
      <c r="C450" s="92"/>
      <c r="D450" s="92"/>
      <c r="E450" s="92"/>
      <c r="F450" s="31" t="str">
        <f>IF(G450=1,IF(ISERROR(TableCosts[[#This Row],[N_Tariff]]),Err_Message1,IF(TableCosts[[#This Row],[N_Tariff]]=0,Err_Message2,VLOOKUP(C450&amp;TableCosts[[#This Row],[Calc_N_Typ]],TRAN_STRITEMS_LABEL,5,FALSE))),"")</f>
        <v/>
      </c>
      <c r="G450" s="31">
        <f t="shared" si="96"/>
        <v>0</v>
      </c>
      <c r="H450" s="31" t="str">
        <f>IF(G450=1,IFERROR(VLOOKUP(F450,Tab_ErrMessage[],2,0),VLOOKUP(C450&amp;TableCosts[[#This Row],[Calc_N_Typ]],TRAN_STRITEMS_LABEL,4,FALSE)),"")</f>
        <v/>
      </c>
      <c r="I450" s="94"/>
      <c r="J450" s="94"/>
      <c r="K450" s="94"/>
      <c r="L450" s="84"/>
      <c r="M450" s="84"/>
      <c r="N450" s="84"/>
      <c r="O450" s="84"/>
      <c r="P450" s="84"/>
      <c r="Q450" s="84"/>
      <c r="R450" s="84"/>
      <c r="S450" s="84"/>
      <c r="T450" s="84"/>
      <c r="U450" s="84"/>
      <c r="V450" s="84"/>
      <c r="W450" s="84"/>
      <c r="X450" s="84"/>
      <c r="Y450" s="84"/>
      <c r="Z450" s="84"/>
      <c r="AA450" s="84"/>
      <c r="AB450" s="84"/>
      <c r="AC450" s="84"/>
      <c r="AD450" s="84"/>
      <c r="AE450" s="84"/>
      <c r="AF450" s="84"/>
      <c r="AG450" s="84"/>
      <c r="AH450" s="84"/>
      <c r="AI450" s="84"/>
      <c r="AJ450" s="84"/>
      <c r="AK450" s="84"/>
      <c r="AL450" s="84"/>
      <c r="AM450" s="84"/>
      <c r="AN450" s="84"/>
      <c r="AO450" s="84"/>
      <c r="AP450" s="84"/>
      <c r="AQ450" s="84"/>
      <c r="AR450" s="84"/>
      <c r="AS450" s="84"/>
      <c r="AT450" s="84"/>
      <c r="AU450" s="84"/>
      <c r="AV450" s="84"/>
      <c r="AW450" s="84"/>
      <c r="AX450" s="87">
        <f t="array" ref="AX450">IF(G450=1,SUM((ROW(M0)=ROW(AW450))*(M0+M1_+M2_+M3_+M4_+M5_+M6_+M7_+M8_+M9_+M10_+M11_+M12_+M13_+M14_+M15_+M16_+M17_+M18_+M19_+M20_+M21_+M22_+M23_+M24_+M25_+M26_+M27_+M28_+M29_+M30_+M31_+M32_+M33_+M34_+M35_+M36_+M37_)),0)</f>
        <v>0</v>
      </c>
      <c r="AZ450" s="24" t="str">
        <f t="shared" si="97"/>
        <v/>
      </c>
      <c r="BA450" s="24" t="str">
        <f t="shared" si="98"/>
        <v/>
      </c>
      <c r="BB450" s="24" t="str">
        <f t="shared" si="99"/>
        <v/>
      </c>
      <c r="BC450" s="24" t="str">
        <f>IF(OR(E450="",LEFT(TableCosts[[#This Row],[Calc_N_Typ]],18)="Vynaložené náklady"),"",VLOOKUP(E450,Tab_Parts,2,0))</f>
        <v/>
      </c>
      <c r="BD450" s="24" t="str">
        <f t="shared" si="100"/>
        <v/>
      </c>
      <c r="BE450" s="24">
        <f t="shared" si="101"/>
        <v>0</v>
      </c>
      <c r="BF450" s="72">
        <f>TableCosts[[#This Row],[N_Amount]]*TableCosts[[#This Row],[N_Tariff]]*TableCosts[[#This Row],[N_ItemsCount]]</f>
        <v>0</v>
      </c>
      <c r="BG450" s="72">
        <f>IF(G450=1,IF(TableCosts[[#This Row],[N_Kateg]]="interné práce",TableCosts[[#This Row],[N_Amount]]*8*PAR_SGA_PERHOUR,0),0)</f>
        <v>0</v>
      </c>
      <c r="BH450" s="72">
        <f>SUM(TableCosts[[#This Row],[N_Direct]:[N_SGA]])</f>
        <v>0</v>
      </c>
      <c r="BI450" s="24">
        <f>IF(G450=1,IF(OR(AND(NOT(ISERROR(VLOOKUP(TableCosts[[#This Row],[Calc_N_Typ]],Cis_WorkPositions,1,0))),C450&lt;&gt;"",D450&lt;&gt;"",E450&lt;&gt;""),AND(ISERROR(VLOOKUP(TableCosts[[#This Row],[Calc_N_Typ]],Cis_WorkPositions,1,0)),C450="",D450="",E450&lt;&gt;""),LEFT(TableCosts[[#This Row],[Calc_N_Typ]],18)="Vynaložené náklady"),VLOOKUP(C450&amp;TableCosts[[#This Row],[Calc_N_Typ]],TRAN_STRITEMS_LABEL,VLOOKUP(D450,Tab_Hours,3,0),0),NA()),0)</f>
        <v>0</v>
      </c>
      <c r="BJ450" s="24">
        <f t="shared" si="102"/>
        <v>0</v>
      </c>
      <c r="BK450" s="24" t="str">
        <f t="shared" si="103"/>
        <v/>
      </c>
      <c r="BL450" s="24" t="str">
        <f t="shared" si="104"/>
        <v/>
      </c>
      <c r="BM450" s="24" t="str">
        <f>IF(G450=1,IF(TableCosts[[#This Row],[TransferFrom]]=TableCosts[[#This Row],[TranferTo]],0,1),"")</f>
        <v/>
      </c>
      <c r="BN450" s="24" t="str">
        <f t="shared" si="105"/>
        <v/>
      </c>
      <c r="BO450" s="24">
        <f t="shared" si="106"/>
        <v>0</v>
      </c>
      <c r="BP450" s="24">
        <f t="shared" si="107"/>
        <v>0</v>
      </c>
    </row>
    <row r="451" spans="2:68" s="24" customFormat="1" ht="12.75" x14ac:dyDescent="0.2">
      <c r="B451" s="97"/>
      <c r="C451" s="92"/>
      <c r="D451" s="92"/>
      <c r="E451" s="92"/>
      <c r="F451" s="31" t="str">
        <f>IF(G451=1,IF(ISERROR(TableCosts[[#This Row],[N_Tariff]]),Err_Message1,IF(TableCosts[[#This Row],[N_Tariff]]=0,Err_Message2,VLOOKUP(C451&amp;TableCosts[[#This Row],[Calc_N_Typ]],TRAN_STRITEMS_LABEL,5,FALSE))),"")</f>
        <v/>
      </c>
      <c r="G451" s="31">
        <f t="shared" si="96"/>
        <v>0</v>
      </c>
      <c r="H451" s="31" t="str">
        <f>IF(G451=1,IFERROR(VLOOKUP(F451,Tab_ErrMessage[],2,0),VLOOKUP(C451&amp;TableCosts[[#This Row],[Calc_N_Typ]],TRAN_STRITEMS_LABEL,4,FALSE)),"")</f>
        <v/>
      </c>
      <c r="I451" s="94"/>
      <c r="J451" s="94"/>
      <c r="K451" s="94"/>
      <c r="L451" s="84"/>
      <c r="M451" s="84"/>
      <c r="N451" s="84"/>
      <c r="O451" s="84"/>
      <c r="P451" s="84"/>
      <c r="Q451" s="84"/>
      <c r="R451" s="84"/>
      <c r="S451" s="84"/>
      <c r="T451" s="84"/>
      <c r="U451" s="84"/>
      <c r="V451" s="84"/>
      <c r="W451" s="84"/>
      <c r="X451" s="84"/>
      <c r="Y451" s="84"/>
      <c r="Z451" s="84"/>
      <c r="AA451" s="84"/>
      <c r="AB451" s="84"/>
      <c r="AC451" s="84"/>
      <c r="AD451" s="84"/>
      <c r="AE451" s="84"/>
      <c r="AF451" s="84"/>
      <c r="AG451" s="84"/>
      <c r="AH451" s="84"/>
      <c r="AI451" s="84"/>
      <c r="AJ451" s="84"/>
      <c r="AK451" s="84"/>
      <c r="AL451" s="84"/>
      <c r="AM451" s="84"/>
      <c r="AN451" s="84"/>
      <c r="AO451" s="84"/>
      <c r="AP451" s="84"/>
      <c r="AQ451" s="84"/>
      <c r="AR451" s="84"/>
      <c r="AS451" s="84"/>
      <c r="AT451" s="84"/>
      <c r="AU451" s="84"/>
      <c r="AV451" s="84"/>
      <c r="AW451" s="84"/>
      <c r="AX451" s="87">
        <f t="array" ref="AX451">IF(G451=1,SUM((ROW(M0)=ROW(AW451))*(M0+M1_+M2_+M3_+M4_+M5_+M6_+M7_+M8_+M9_+M10_+M11_+M12_+M13_+M14_+M15_+M16_+M17_+M18_+M19_+M20_+M21_+M22_+M23_+M24_+M25_+M26_+M27_+M28_+M29_+M30_+M31_+M32_+M33_+M34_+M35_+M36_+M37_)),0)</f>
        <v>0</v>
      </c>
      <c r="AZ451" s="24" t="str">
        <f t="shared" si="97"/>
        <v/>
      </c>
      <c r="BA451" s="24" t="str">
        <f t="shared" si="98"/>
        <v/>
      </c>
      <c r="BB451" s="24" t="str">
        <f t="shared" si="99"/>
        <v/>
      </c>
      <c r="BC451" s="24" t="str">
        <f>IF(OR(E451="",LEFT(TableCosts[[#This Row],[Calc_N_Typ]],18)="Vynaložené náklady"),"",VLOOKUP(E451,Tab_Parts,2,0))</f>
        <v/>
      </c>
      <c r="BD451" s="24" t="str">
        <f t="shared" si="100"/>
        <v/>
      </c>
      <c r="BE451" s="24">
        <f t="shared" si="101"/>
        <v>0</v>
      </c>
      <c r="BF451" s="72">
        <f>TableCosts[[#This Row],[N_Amount]]*TableCosts[[#This Row],[N_Tariff]]*TableCosts[[#This Row],[N_ItemsCount]]</f>
        <v>0</v>
      </c>
      <c r="BG451" s="72">
        <f>IF(G451=1,IF(TableCosts[[#This Row],[N_Kateg]]="interné práce",TableCosts[[#This Row],[N_Amount]]*8*PAR_SGA_PERHOUR,0),0)</f>
        <v>0</v>
      </c>
      <c r="BH451" s="72">
        <f>SUM(TableCosts[[#This Row],[N_Direct]:[N_SGA]])</f>
        <v>0</v>
      </c>
      <c r="BI451" s="24">
        <f>IF(G451=1,IF(OR(AND(NOT(ISERROR(VLOOKUP(TableCosts[[#This Row],[Calc_N_Typ]],Cis_WorkPositions,1,0))),C451&lt;&gt;"",D451&lt;&gt;"",E451&lt;&gt;""),AND(ISERROR(VLOOKUP(TableCosts[[#This Row],[Calc_N_Typ]],Cis_WorkPositions,1,0)),C451="",D451="",E451&lt;&gt;""),LEFT(TableCosts[[#This Row],[Calc_N_Typ]],18)="Vynaložené náklady"),VLOOKUP(C451&amp;TableCosts[[#This Row],[Calc_N_Typ]],TRAN_STRITEMS_LABEL,VLOOKUP(D451,Tab_Hours,3,0),0),NA()),0)</f>
        <v>0</v>
      </c>
      <c r="BJ451" s="24">
        <f t="shared" si="102"/>
        <v>0</v>
      </c>
      <c r="BK451" s="24" t="str">
        <f t="shared" si="103"/>
        <v/>
      </c>
      <c r="BL451" s="24" t="str">
        <f t="shared" si="104"/>
        <v/>
      </c>
      <c r="BM451" s="24" t="str">
        <f>IF(G451=1,IF(TableCosts[[#This Row],[TransferFrom]]=TableCosts[[#This Row],[TranferTo]],0,1),"")</f>
        <v/>
      </c>
      <c r="BN451" s="24" t="str">
        <f t="shared" si="105"/>
        <v/>
      </c>
      <c r="BO451" s="24">
        <f t="shared" si="106"/>
        <v>0</v>
      </c>
      <c r="BP451" s="24">
        <f t="shared" si="107"/>
        <v>0</v>
      </c>
    </row>
    <row r="452" spans="2:68" s="24" customFormat="1" ht="12.75" x14ac:dyDescent="0.2">
      <c r="B452" s="97"/>
      <c r="C452" s="92"/>
      <c r="D452" s="92"/>
      <c r="E452" s="92"/>
      <c r="F452" s="31" t="str">
        <f>IF(G452=1,IF(ISERROR(TableCosts[[#This Row],[N_Tariff]]),Err_Message1,IF(TableCosts[[#This Row],[N_Tariff]]=0,Err_Message2,VLOOKUP(C452&amp;TableCosts[[#This Row],[Calc_N_Typ]],TRAN_STRITEMS_LABEL,5,FALSE))),"")</f>
        <v/>
      </c>
      <c r="G452" s="31">
        <f t="shared" si="96"/>
        <v>0</v>
      </c>
      <c r="H452" s="31" t="str">
        <f>IF(G452=1,IFERROR(VLOOKUP(F452,Tab_ErrMessage[],2,0),VLOOKUP(C452&amp;TableCosts[[#This Row],[Calc_N_Typ]],TRAN_STRITEMS_LABEL,4,FALSE)),"")</f>
        <v/>
      </c>
      <c r="I452" s="94"/>
      <c r="J452" s="94"/>
      <c r="K452" s="94"/>
      <c r="L452" s="84"/>
      <c r="M452" s="84"/>
      <c r="N452" s="84"/>
      <c r="O452" s="84"/>
      <c r="P452" s="84"/>
      <c r="Q452" s="84"/>
      <c r="R452" s="84"/>
      <c r="S452" s="84"/>
      <c r="T452" s="84"/>
      <c r="U452" s="84"/>
      <c r="V452" s="84"/>
      <c r="W452" s="84"/>
      <c r="X452" s="84"/>
      <c r="Y452" s="84"/>
      <c r="Z452" s="84"/>
      <c r="AA452" s="84"/>
      <c r="AB452" s="84"/>
      <c r="AC452" s="84"/>
      <c r="AD452" s="84"/>
      <c r="AE452" s="84"/>
      <c r="AF452" s="84"/>
      <c r="AG452" s="84"/>
      <c r="AH452" s="84"/>
      <c r="AI452" s="84"/>
      <c r="AJ452" s="84"/>
      <c r="AK452" s="84"/>
      <c r="AL452" s="84"/>
      <c r="AM452" s="84"/>
      <c r="AN452" s="84"/>
      <c r="AO452" s="84"/>
      <c r="AP452" s="84"/>
      <c r="AQ452" s="84"/>
      <c r="AR452" s="84"/>
      <c r="AS452" s="84"/>
      <c r="AT452" s="84"/>
      <c r="AU452" s="84"/>
      <c r="AV452" s="84"/>
      <c r="AW452" s="84"/>
      <c r="AX452" s="87">
        <f t="array" ref="AX452">IF(G452=1,SUM((ROW(M0)=ROW(AW452))*(M0+M1_+M2_+M3_+M4_+M5_+M6_+M7_+M8_+M9_+M10_+M11_+M12_+M13_+M14_+M15_+M16_+M17_+M18_+M19_+M20_+M21_+M22_+M23_+M24_+M25_+M26_+M27_+M28_+M29_+M30_+M31_+M32_+M33_+M34_+M35_+M36_+M37_)),0)</f>
        <v>0</v>
      </c>
      <c r="AZ452" s="24" t="str">
        <f t="shared" si="97"/>
        <v/>
      </c>
      <c r="BA452" s="24" t="str">
        <f t="shared" si="98"/>
        <v/>
      </c>
      <c r="BB452" s="24" t="str">
        <f t="shared" si="99"/>
        <v/>
      </c>
      <c r="BC452" s="24" t="str">
        <f>IF(OR(E452="",LEFT(TableCosts[[#This Row],[Calc_N_Typ]],18)="Vynaložené náklady"),"",VLOOKUP(E452,Tab_Parts,2,0))</f>
        <v/>
      </c>
      <c r="BD452" s="24" t="str">
        <f t="shared" si="100"/>
        <v/>
      </c>
      <c r="BE452" s="24">
        <f t="shared" si="101"/>
        <v>0</v>
      </c>
      <c r="BF452" s="72">
        <f>TableCosts[[#This Row],[N_Amount]]*TableCosts[[#This Row],[N_Tariff]]*TableCosts[[#This Row],[N_ItemsCount]]</f>
        <v>0</v>
      </c>
      <c r="BG452" s="72">
        <f>IF(G452=1,IF(TableCosts[[#This Row],[N_Kateg]]="interné práce",TableCosts[[#This Row],[N_Amount]]*8*PAR_SGA_PERHOUR,0),0)</f>
        <v>0</v>
      </c>
      <c r="BH452" s="72">
        <f>SUM(TableCosts[[#This Row],[N_Direct]:[N_SGA]])</f>
        <v>0</v>
      </c>
      <c r="BI452" s="24">
        <f>IF(G452=1,IF(OR(AND(NOT(ISERROR(VLOOKUP(TableCosts[[#This Row],[Calc_N_Typ]],Cis_WorkPositions,1,0))),C452&lt;&gt;"",D452&lt;&gt;"",E452&lt;&gt;""),AND(ISERROR(VLOOKUP(TableCosts[[#This Row],[Calc_N_Typ]],Cis_WorkPositions,1,0)),C452="",D452="",E452&lt;&gt;""),LEFT(TableCosts[[#This Row],[Calc_N_Typ]],18)="Vynaložené náklady"),VLOOKUP(C452&amp;TableCosts[[#This Row],[Calc_N_Typ]],TRAN_STRITEMS_LABEL,VLOOKUP(D452,Tab_Hours,3,0),0),NA()),0)</f>
        <v>0</v>
      </c>
      <c r="BJ452" s="24">
        <f t="shared" si="102"/>
        <v>0</v>
      </c>
      <c r="BK452" s="24" t="str">
        <f t="shared" si="103"/>
        <v/>
      </c>
      <c r="BL452" s="24" t="str">
        <f t="shared" si="104"/>
        <v/>
      </c>
      <c r="BM452" s="24" t="str">
        <f>IF(G452=1,IF(TableCosts[[#This Row],[TransferFrom]]=TableCosts[[#This Row],[TranferTo]],0,1),"")</f>
        <v/>
      </c>
      <c r="BN452" s="24" t="str">
        <f t="shared" si="105"/>
        <v/>
      </c>
      <c r="BO452" s="24">
        <f t="shared" si="106"/>
        <v>0</v>
      </c>
      <c r="BP452" s="24">
        <f t="shared" si="107"/>
        <v>0</v>
      </c>
    </row>
    <row r="453" spans="2:68" s="24" customFormat="1" ht="12.75" x14ac:dyDescent="0.2">
      <c r="B453" s="97"/>
      <c r="C453" s="92"/>
      <c r="D453" s="92"/>
      <c r="E453" s="92"/>
      <c r="F453" s="31" t="str">
        <f>IF(G453=1,IF(ISERROR(TableCosts[[#This Row],[N_Tariff]]),Err_Message1,IF(TableCosts[[#This Row],[N_Tariff]]=0,Err_Message2,VLOOKUP(C453&amp;TableCosts[[#This Row],[Calc_N_Typ]],TRAN_STRITEMS_LABEL,5,FALSE))),"")</f>
        <v/>
      </c>
      <c r="G453" s="31">
        <f t="shared" si="96"/>
        <v>0</v>
      </c>
      <c r="H453" s="31" t="str">
        <f>IF(G453=1,IFERROR(VLOOKUP(F453,Tab_ErrMessage[],2,0),VLOOKUP(C453&amp;TableCosts[[#This Row],[Calc_N_Typ]],TRAN_STRITEMS_LABEL,4,FALSE)),"")</f>
        <v/>
      </c>
      <c r="I453" s="94"/>
      <c r="J453" s="94"/>
      <c r="K453" s="94"/>
      <c r="L453" s="84"/>
      <c r="M453" s="84"/>
      <c r="N453" s="84"/>
      <c r="O453" s="84"/>
      <c r="P453" s="84"/>
      <c r="Q453" s="84"/>
      <c r="R453" s="84"/>
      <c r="S453" s="84"/>
      <c r="T453" s="84"/>
      <c r="U453" s="84"/>
      <c r="V453" s="84"/>
      <c r="W453" s="84"/>
      <c r="X453" s="84"/>
      <c r="Y453" s="84"/>
      <c r="Z453" s="84"/>
      <c r="AA453" s="84"/>
      <c r="AB453" s="84"/>
      <c r="AC453" s="84"/>
      <c r="AD453" s="84"/>
      <c r="AE453" s="84"/>
      <c r="AF453" s="84"/>
      <c r="AG453" s="84"/>
      <c r="AH453" s="84"/>
      <c r="AI453" s="84"/>
      <c r="AJ453" s="84"/>
      <c r="AK453" s="84"/>
      <c r="AL453" s="84"/>
      <c r="AM453" s="84"/>
      <c r="AN453" s="84"/>
      <c r="AO453" s="84"/>
      <c r="AP453" s="84"/>
      <c r="AQ453" s="84"/>
      <c r="AR453" s="84"/>
      <c r="AS453" s="84"/>
      <c r="AT453" s="84"/>
      <c r="AU453" s="84"/>
      <c r="AV453" s="84"/>
      <c r="AW453" s="84"/>
      <c r="AX453" s="87">
        <f t="array" ref="AX453">IF(G453=1,SUM((ROW(M0)=ROW(AW453))*(M0+M1_+M2_+M3_+M4_+M5_+M6_+M7_+M8_+M9_+M10_+M11_+M12_+M13_+M14_+M15_+M16_+M17_+M18_+M19_+M20_+M21_+M22_+M23_+M24_+M25_+M26_+M27_+M28_+M29_+M30_+M31_+M32_+M33_+M34_+M35_+M36_+M37_)),0)</f>
        <v>0</v>
      </c>
      <c r="AZ453" s="24" t="str">
        <f t="shared" si="97"/>
        <v/>
      </c>
      <c r="BA453" s="24" t="str">
        <f t="shared" si="98"/>
        <v/>
      </c>
      <c r="BB453" s="24" t="str">
        <f t="shared" si="99"/>
        <v/>
      </c>
      <c r="BC453" s="24" t="str">
        <f>IF(OR(E453="",LEFT(TableCosts[[#This Row],[Calc_N_Typ]],18)="Vynaložené náklady"),"",VLOOKUP(E453,Tab_Parts,2,0))</f>
        <v/>
      </c>
      <c r="BD453" s="24" t="str">
        <f t="shared" si="100"/>
        <v/>
      </c>
      <c r="BE453" s="24">
        <f t="shared" si="101"/>
        <v>0</v>
      </c>
      <c r="BF453" s="72">
        <f>TableCosts[[#This Row],[N_Amount]]*TableCosts[[#This Row],[N_Tariff]]*TableCosts[[#This Row],[N_ItemsCount]]</f>
        <v>0</v>
      </c>
      <c r="BG453" s="72">
        <f>IF(G453=1,IF(TableCosts[[#This Row],[N_Kateg]]="interné práce",TableCosts[[#This Row],[N_Amount]]*8*PAR_SGA_PERHOUR,0),0)</f>
        <v>0</v>
      </c>
      <c r="BH453" s="72">
        <f>SUM(TableCosts[[#This Row],[N_Direct]:[N_SGA]])</f>
        <v>0</v>
      </c>
      <c r="BI453" s="24">
        <f>IF(G453=1,IF(OR(AND(NOT(ISERROR(VLOOKUP(TableCosts[[#This Row],[Calc_N_Typ]],Cis_WorkPositions,1,0))),C453&lt;&gt;"",D453&lt;&gt;"",E453&lt;&gt;""),AND(ISERROR(VLOOKUP(TableCosts[[#This Row],[Calc_N_Typ]],Cis_WorkPositions,1,0)),C453="",D453="",E453&lt;&gt;""),LEFT(TableCosts[[#This Row],[Calc_N_Typ]],18)="Vynaložené náklady"),VLOOKUP(C453&amp;TableCosts[[#This Row],[Calc_N_Typ]],TRAN_STRITEMS_LABEL,VLOOKUP(D453,Tab_Hours,3,0),0),NA()),0)</f>
        <v>0</v>
      </c>
      <c r="BJ453" s="24">
        <f t="shared" si="102"/>
        <v>0</v>
      </c>
      <c r="BK453" s="24" t="str">
        <f t="shared" si="103"/>
        <v/>
      </c>
      <c r="BL453" s="24" t="str">
        <f t="shared" si="104"/>
        <v/>
      </c>
      <c r="BM453" s="24" t="str">
        <f>IF(G453=1,IF(TableCosts[[#This Row],[TransferFrom]]=TableCosts[[#This Row],[TranferTo]],0,1),"")</f>
        <v/>
      </c>
      <c r="BN453" s="24" t="str">
        <f t="shared" si="105"/>
        <v/>
      </c>
      <c r="BO453" s="24">
        <f t="shared" si="106"/>
        <v>0</v>
      </c>
      <c r="BP453" s="24">
        <f t="shared" si="107"/>
        <v>0</v>
      </c>
    </row>
    <row r="454" spans="2:68" s="24" customFormat="1" ht="12.75" x14ac:dyDescent="0.2">
      <c r="B454" s="97"/>
      <c r="C454" s="92"/>
      <c r="D454" s="92"/>
      <c r="E454" s="92"/>
      <c r="F454" s="31" t="str">
        <f>IF(G454=1,IF(ISERROR(TableCosts[[#This Row],[N_Tariff]]),Err_Message1,IF(TableCosts[[#This Row],[N_Tariff]]=0,Err_Message2,VLOOKUP(C454&amp;TableCosts[[#This Row],[Calc_N_Typ]],TRAN_STRITEMS_LABEL,5,FALSE))),"")</f>
        <v/>
      </c>
      <c r="G454" s="31">
        <f t="shared" si="96"/>
        <v>0</v>
      </c>
      <c r="H454" s="31" t="str">
        <f>IF(G454=1,IFERROR(VLOOKUP(F454,Tab_ErrMessage[],2,0),VLOOKUP(C454&amp;TableCosts[[#This Row],[Calc_N_Typ]],TRAN_STRITEMS_LABEL,4,FALSE)),"")</f>
        <v/>
      </c>
      <c r="I454" s="94"/>
      <c r="J454" s="94"/>
      <c r="K454" s="94"/>
      <c r="L454" s="84"/>
      <c r="M454" s="84"/>
      <c r="N454" s="84"/>
      <c r="O454" s="84"/>
      <c r="P454" s="84"/>
      <c r="Q454" s="84"/>
      <c r="R454" s="84"/>
      <c r="S454" s="84"/>
      <c r="T454" s="84"/>
      <c r="U454" s="84"/>
      <c r="V454" s="84"/>
      <c r="W454" s="84"/>
      <c r="X454" s="84"/>
      <c r="Y454" s="84"/>
      <c r="Z454" s="84"/>
      <c r="AA454" s="84"/>
      <c r="AB454" s="84"/>
      <c r="AC454" s="84"/>
      <c r="AD454" s="84"/>
      <c r="AE454" s="84"/>
      <c r="AF454" s="84"/>
      <c r="AG454" s="84"/>
      <c r="AH454" s="84"/>
      <c r="AI454" s="84"/>
      <c r="AJ454" s="84"/>
      <c r="AK454" s="84"/>
      <c r="AL454" s="84"/>
      <c r="AM454" s="84"/>
      <c r="AN454" s="84"/>
      <c r="AO454" s="84"/>
      <c r="AP454" s="84"/>
      <c r="AQ454" s="84"/>
      <c r="AR454" s="84"/>
      <c r="AS454" s="84"/>
      <c r="AT454" s="84"/>
      <c r="AU454" s="84"/>
      <c r="AV454" s="84"/>
      <c r="AW454" s="84"/>
      <c r="AX454" s="87">
        <f t="array" ref="AX454">IF(G454=1,SUM((ROW(M0)=ROW(AW454))*(M0+M1_+M2_+M3_+M4_+M5_+M6_+M7_+M8_+M9_+M10_+M11_+M12_+M13_+M14_+M15_+M16_+M17_+M18_+M19_+M20_+M21_+M22_+M23_+M24_+M25_+M26_+M27_+M28_+M29_+M30_+M31_+M32_+M33_+M34_+M35_+M36_+M37_)),0)</f>
        <v>0</v>
      </c>
      <c r="AZ454" s="24" t="str">
        <f t="shared" si="97"/>
        <v/>
      </c>
      <c r="BA454" s="24" t="str">
        <f t="shared" si="98"/>
        <v/>
      </c>
      <c r="BB454" s="24" t="str">
        <f t="shared" si="99"/>
        <v/>
      </c>
      <c r="BC454" s="24" t="str">
        <f>IF(OR(E454="",LEFT(TableCosts[[#This Row],[Calc_N_Typ]],18)="Vynaložené náklady"),"",VLOOKUP(E454,Tab_Parts,2,0))</f>
        <v/>
      </c>
      <c r="BD454" s="24" t="str">
        <f t="shared" si="100"/>
        <v/>
      </c>
      <c r="BE454" s="24">
        <f t="shared" si="101"/>
        <v>0</v>
      </c>
      <c r="BF454" s="72">
        <f>TableCosts[[#This Row],[N_Amount]]*TableCosts[[#This Row],[N_Tariff]]*TableCosts[[#This Row],[N_ItemsCount]]</f>
        <v>0</v>
      </c>
      <c r="BG454" s="72">
        <f>IF(G454=1,IF(TableCosts[[#This Row],[N_Kateg]]="interné práce",TableCosts[[#This Row],[N_Amount]]*8*PAR_SGA_PERHOUR,0),0)</f>
        <v>0</v>
      </c>
      <c r="BH454" s="72">
        <f>SUM(TableCosts[[#This Row],[N_Direct]:[N_SGA]])</f>
        <v>0</v>
      </c>
      <c r="BI454" s="24">
        <f>IF(G454=1,IF(OR(AND(NOT(ISERROR(VLOOKUP(TableCosts[[#This Row],[Calc_N_Typ]],Cis_WorkPositions,1,0))),C454&lt;&gt;"",D454&lt;&gt;"",E454&lt;&gt;""),AND(ISERROR(VLOOKUP(TableCosts[[#This Row],[Calc_N_Typ]],Cis_WorkPositions,1,0)),C454="",D454="",E454&lt;&gt;""),LEFT(TableCosts[[#This Row],[Calc_N_Typ]],18)="Vynaložené náklady"),VLOOKUP(C454&amp;TableCosts[[#This Row],[Calc_N_Typ]],TRAN_STRITEMS_LABEL,VLOOKUP(D454,Tab_Hours,3,0),0),NA()),0)</f>
        <v>0</v>
      </c>
      <c r="BJ454" s="24">
        <f t="shared" si="102"/>
        <v>0</v>
      </c>
      <c r="BK454" s="24" t="str">
        <f t="shared" si="103"/>
        <v/>
      </c>
      <c r="BL454" s="24" t="str">
        <f t="shared" si="104"/>
        <v/>
      </c>
      <c r="BM454" s="24" t="str">
        <f>IF(G454=1,IF(TableCosts[[#This Row],[TransferFrom]]=TableCosts[[#This Row],[TranferTo]],0,1),"")</f>
        <v/>
      </c>
      <c r="BN454" s="24" t="str">
        <f t="shared" si="105"/>
        <v/>
      </c>
      <c r="BO454" s="24">
        <f t="shared" si="106"/>
        <v>0</v>
      </c>
      <c r="BP454" s="24">
        <f t="shared" si="107"/>
        <v>0</v>
      </c>
    </row>
    <row r="455" spans="2:68" s="24" customFormat="1" ht="12.75" x14ac:dyDescent="0.2">
      <c r="B455" s="97"/>
      <c r="C455" s="92"/>
      <c r="D455" s="92"/>
      <c r="E455" s="92"/>
      <c r="F455" s="31" t="str">
        <f>IF(G455=1,IF(ISERROR(TableCosts[[#This Row],[N_Tariff]]),Err_Message1,IF(TableCosts[[#This Row],[N_Tariff]]=0,Err_Message2,VLOOKUP(C455&amp;TableCosts[[#This Row],[Calc_N_Typ]],TRAN_STRITEMS_LABEL,5,FALSE))),"")</f>
        <v/>
      </c>
      <c r="G455" s="31">
        <f t="shared" si="96"/>
        <v>0</v>
      </c>
      <c r="H455" s="31" t="str">
        <f>IF(G455=1,IFERROR(VLOOKUP(F455,Tab_ErrMessage[],2,0),VLOOKUP(C455&amp;TableCosts[[#This Row],[Calc_N_Typ]],TRAN_STRITEMS_LABEL,4,FALSE)),"")</f>
        <v/>
      </c>
      <c r="I455" s="94"/>
      <c r="J455" s="94"/>
      <c r="K455" s="94"/>
      <c r="L455" s="84"/>
      <c r="M455" s="84"/>
      <c r="N455" s="84"/>
      <c r="O455" s="84"/>
      <c r="P455" s="84"/>
      <c r="Q455" s="84"/>
      <c r="R455" s="84"/>
      <c r="S455" s="84"/>
      <c r="T455" s="84"/>
      <c r="U455" s="84"/>
      <c r="V455" s="84"/>
      <c r="W455" s="84"/>
      <c r="X455" s="84"/>
      <c r="Y455" s="84"/>
      <c r="Z455" s="84"/>
      <c r="AA455" s="84"/>
      <c r="AB455" s="84"/>
      <c r="AC455" s="84"/>
      <c r="AD455" s="84"/>
      <c r="AE455" s="84"/>
      <c r="AF455" s="84"/>
      <c r="AG455" s="84"/>
      <c r="AH455" s="84"/>
      <c r="AI455" s="84"/>
      <c r="AJ455" s="84"/>
      <c r="AK455" s="84"/>
      <c r="AL455" s="84"/>
      <c r="AM455" s="84"/>
      <c r="AN455" s="84"/>
      <c r="AO455" s="84"/>
      <c r="AP455" s="84"/>
      <c r="AQ455" s="84"/>
      <c r="AR455" s="84"/>
      <c r="AS455" s="84"/>
      <c r="AT455" s="84"/>
      <c r="AU455" s="84"/>
      <c r="AV455" s="84"/>
      <c r="AW455" s="84"/>
      <c r="AX455" s="87">
        <f t="array" ref="AX455">IF(G455=1,SUM((ROW(M0)=ROW(AW455))*(M0+M1_+M2_+M3_+M4_+M5_+M6_+M7_+M8_+M9_+M10_+M11_+M12_+M13_+M14_+M15_+M16_+M17_+M18_+M19_+M20_+M21_+M22_+M23_+M24_+M25_+M26_+M27_+M28_+M29_+M30_+M31_+M32_+M33_+M34_+M35_+M36_+M37_)),0)</f>
        <v>0</v>
      </c>
      <c r="AZ455" s="24" t="str">
        <f t="shared" si="97"/>
        <v/>
      </c>
      <c r="BA455" s="24" t="str">
        <f t="shared" si="98"/>
        <v/>
      </c>
      <c r="BB455" s="24" t="str">
        <f t="shared" si="99"/>
        <v/>
      </c>
      <c r="BC455" s="24" t="str">
        <f>IF(OR(E455="",LEFT(TableCosts[[#This Row],[Calc_N_Typ]],18)="Vynaložené náklady"),"",VLOOKUP(E455,Tab_Parts,2,0))</f>
        <v/>
      </c>
      <c r="BD455" s="24" t="str">
        <f t="shared" si="100"/>
        <v/>
      </c>
      <c r="BE455" s="24">
        <f t="shared" si="101"/>
        <v>0</v>
      </c>
      <c r="BF455" s="72">
        <f>TableCosts[[#This Row],[N_Amount]]*TableCosts[[#This Row],[N_Tariff]]*TableCosts[[#This Row],[N_ItemsCount]]</f>
        <v>0</v>
      </c>
      <c r="BG455" s="72">
        <f>IF(G455=1,IF(TableCosts[[#This Row],[N_Kateg]]="interné práce",TableCosts[[#This Row],[N_Amount]]*8*PAR_SGA_PERHOUR,0),0)</f>
        <v>0</v>
      </c>
      <c r="BH455" s="72">
        <f>SUM(TableCosts[[#This Row],[N_Direct]:[N_SGA]])</f>
        <v>0</v>
      </c>
      <c r="BI455" s="24">
        <f>IF(G455=1,IF(OR(AND(NOT(ISERROR(VLOOKUP(TableCosts[[#This Row],[Calc_N_Typ]],Cis_WorkPositions,1,0))),C455&lt;&gt;"",D455&lt;&gt;"",E455&lt;&gt;""),AND(ISERROR(VLOOKUP(TableCosts[[#This Row],[Calc_N_Typ]],Cis_WorkPositions,1,0)),C455="",D455="",E455&lt;&gt;""),LEFT(TableCosts[[#This Row],[Calc_N_Typ]],18)="Vynaložené náklady"),VLOOKUP(C455&amp;TableCosts[[#This Row],[Calc_N_Typ]],TRAN_STRITEMS_LABEL,VLOOKUP(D455,Tab_Hours,3,0),0),NA()),0)</f>
        <v>0</v>
      </c>
      <c r="BJ455" s="24">
        <f t="shared" si="102"/>
        <v>0</v>
      </c>
      <c r="BK455" s="24" t="str">
        <f t="shared" si="103"/>
        <v/>
      </c>
      <c r="BL455" s="24" t="str">
        <f t="shared" si="104"/>
        <v/>
      </c>
      <c r="BM455" s="24" t="str">
        <f>IF(G455=1,IF(TableCosts[[#This Row],[TransferFrom]]=TableCosts[[#This Row],[TranferTo]],0,1),"")</f>
        <v/>
      </c>
      <c r="BN455" s="24" t="str">
        <f t="shared" si="105"/>
        <v/>
      </c>
      <c r="BO455" s="24">
        <f t="shared" si="106"/>
        <v>0</v>
      </c>
      <c r="BP455" s="24">
        <f t="shared" si="107"/>
        <v>0</v>
      </c>
    </row>
    <row r="456" spans="2:68" s="24" customFormat="1" ht="12.75" x14ac:dyDescent="0.2">
      <c r="B456" s="97"/>
      <c r="C456" s="92"/>
      <c r="D456" s="92"/>
      <c r="E456" s="92"/>
      <c r="F456" s="31" t="str">
        <f>IF(G456=1,IF(ISERROR(TableCosts[[#This Row],[N_Tariff]]),Err_Message1,IF(TableCosts[[#This Row],[N_Tariff]]=0,Err_Message2,VLOOKUP(C456&amp;TableCosts[[#This Row],[Calc_N_Typ]],TRAN_STRITEMS_LABEL,5,FALSE))),"")</f>
        <v/>
      </c>
      <c r="G456" s="31">
        <f t="shared" si="96"/>
        <v>0</v>
      </c>
      <c r="H456" s="31" t="str">
        <f>IF(G456=1,IFERROR(VLOOKUP(F456,Tab_ErrMessage[],2,0),VLOOKUP(C456&amp;TableCosts[[#This Row],[Calc_N_Typ]],TRAN_STRITEMS_LABEL,4,FALSE)),"")</f>
        <v/>
      </c>
      <c r="I456" s="94"/>
      <c r="J456" s="94"/>
      <c r="K456" s="94"/>
      <c r="L456" s="84"/>
      <c r="M456" s="84"/>
      <c r="N456" s="84"/>
      <c r="O456" s="84"/>
      <c r="P456" s="84"/>
      <c r="Q456" s="84"/>
      <c r="R456" s="84"/>
      <c r="S456" s="84"/>
      <c r="T456" s="84"/>
      <c r="U456" s="84"/>
      <c r="V456" s="84"/>
      <c r="W456" s="84"/>
      <c r="X456" s="84"/>
      <c r="Y456" s="84"/>
      <c r="Z456" s="84"/>
      <c r="AA456" s="84"/>
      <c r="AB456" s="84"/>
      <c r="AC456" s="84"/>
      <c r="AD456" s="84"/>
      <c r="AE456" s="84"/>
      <c r="AF456" s="84"/>
      <c r="AG456" s="84"/>
      <c r="AH456" s="84"/>
      <c r="AI456" s="84"/>
      <c r="AJ456" s="84"/>
      <c r="AK456" s="84"/>
      <c r="AL456" s="84"/>
      <c r="AM456" s="84"/>
      <c r="AN456" s="84"/>
      <c r="AO456" s="84"/>
      <c r="AP456" s="84"/>
      <c r="AQ456" s="84"/>
      <c r="AR456" s="84"/>
      <c r="AS456" s="84"/>
      <c r="AT456" s="84"/>
      <c r="AU456" s="84"/>
      <c r="AV456" s="84"/>
      <c r="AW456" s="84"/>
      <c r="AX456" s="87">
        <f t="array" ref="AX456">IF(G456=1,SUM((ROW(M0)=ROW(AW456))*(M0+M1_+M2_+M3_+M4_+M5_+M6_+M7_+M8_+M9_+M10_+M11_+M12_+M13_+M14_+M15_+M16_+M17_+M18_+M19_+M20_+M21_+M22_+M23_+M24_+M25_+M26_+M27_+M28_+M29_+M30_+M31_+M32_+M33_+M34_+M35_+M36_+M37_)),0)</f>
        <v>0</v>
      </c>
      <c r="AZ456" s="24" t="str">
        <f t="shared" si="97"/>
        <v/>
      </c>
      <c r="BA456" s="24" t="str">
        <f t="shared" si="98"/>
        <v/>
      </c>
      <c r="BB456" s="24" t="str">
        <f t="shared" si="99"/>
        <v/>
      </c>
      <c r="BC456" s="24" t="str">
        <f>IF(OR(E456="",LEFT(TableCosts[[#This Row],[Calc_N_Typ]],18)="Vynaložené náklady"),"",VLOOKUP(E456,Tab_Parts,2,0))</f>
        <v/>
      </c>
      <c r="BD456" s="24" t="str">
        <f t="shared" si="100"/>
        <v/>
      </c>
      <c r="BE456" s="24">
        <f t="shared" si="101"/>
        <v>0</v>
      </c>
      <c r="BF456" s="72">
        <f>TableCosts[[#This Row],[N_Amount]]*TableCosts[[#This Row],[N_Tariff]]*TableCosts[[#This Row],[N_ItemsCount]]</f>
        <v>0</v>
      </c>
      <c r="BG456" s="72">
        <f>IF(G456=1,IF(TableCosts[[#This Row],[N_Kateg]]="interné práce",TableCosts[[#This Row],[N_Amount]]*8*PAR_SGA_PERHOUR,0),0)</f>
        <v>0</v>
      </c>
      <c r="BH456" s="72">
        <f>SUM(TableCosts[[#This Row],[N_Direct]:[N_SGA]])</f>
        <v>0</v>
      </c>
      <c r="BI456" s="24">
        <f>IF(G456=1,IF(OR(AND(NOT(ISERROR(VLOOKUP(TableCosts[[#This Row],[Calc_N_Typ]],Cis_WorkPositions,1,0))),C456&lt;&gt;"",D456&lt;&gt;"",E456&lt;&gt;""),AND(ISERROR(VLOOKUP(TableCosts[[#This Row],[Calc_N_Typ]],Cis_WorkPositions,1,0)),C456="",D456="",E456&lt;&gt;""),LEFT(TableCosts[[#This Row],[Calc_N_Typ]],18)="Vynaložené náklady"),VLOOKUP(C456&amp;TableCosts[[#This Row],[Calc_N_Typ]],TRAN_STRITEMS_LABEL,VLOOKUP(D456,Tab_Hours,3,0),0),NA()),0)</f>
        <v>0</v>
      </c>
      <c r="BJ456" s="24">
        <f t="shared" si="102"/>
        <v>0</v>
      </c>
      <c r="BK456" s="24" t="str">
        <f t="shared" si="103"/>
        <v/>
      </c>
      <c r="BL456" s="24" t="str">
        <f t="shared" si="104"/>
        <v/>
      </c>
      <c r="BM456" s="24" t="str">
        <f>IF(G456=1,IF(TableCosts[[#This Row],[TransferFrom]]=TableCosts[[#This Row],[TranferTo]],0,1),"")</f>
        <v/>
      </c>
      <c r="BN456" s="24" t="str">
        <f t="shared" si="105"/>
        <v/>
      </c>
      <c r="BO456" s="24">
        <f t="shared" si="106"/>
        <v>0</v>
      </c>
      <c r="BP456" s="24">
        <f t="shared" si="107"/>
        <v>0</v>
      </c>
    </row>
    <row r="457" spans="2:68" s="24" customFormat="1" ht="12.75" x14ac:dyDescent="0.2">
      <c r="B457" s="97"/>
      <c r="C457" s="92"/>
      <c r="D457" s="92"/>
      <c r="E457" s="92"/>
      <c r="F457" s="31" t="str">
        <f>IF(G457=1,IF(ISERROR(TableCosts[[#This Row],[N_Tariff]]),Err_Message1,IF(TableCosts[[#This Row],[N_Tariff]]=0,Err_Message2,VLOOKUP(C457&amp;TableCosts[[#This Row],[Calc_N_Typ]],TRAN_STRITEMS_LABEL,5,FALSE))),"")</f>
        <v/>
      </c>
      <c r="G457" s="31">
        <f t="shared" si="96"/>
        <v>0</v>
      </c>
      <c r="H457" s="31" t="str">
        <f>IF(G457=1,IFERROR(VLOOKUP(F457,Tab_ErrMessage[],2,0),VLOOKUP(C457&amp;TableCosts[[#This Row],[Calc_N_Typ]],TRAN_STRITEMS_LABEL,4,FALSE)),"")</f>
        <v/>
      </c>
      <c r="I457" s="94"/>
      <c r="J457" s="94"/>
      <c r="K457" s="94"/>
      <c r="L457" s="84"/>
      <c r="M457" s="84"/>
      <c r="N457" s="84"/>
      <c r="O457" s="84"/>
      <c r="P457" s="84"/>
      <c r="Q457" s="84"/>
      <c r="R457" s="84"/>
      <c r="S457" s="84"/>
      <c r="T457" s="84"/>
      <c r="U457" s="84"/>
      <c r="V457" s="84"/>
      <c r="W457" s="84"/>
      <c r="X457" s="84"/>
      <c r="Y457" s="84"/>
      <c r="Z457" s="84"/>
      <c r="AA457" s="84"/>
      <c r="AB457" s="84"/>
      <c r="AC457" s="84"/>
      <c r="AD457" s="84"/>
      <c r="AE457" s="84"/>
      <c r="AF457" s="84"/>
      <c r="AG457" s="84"/>
      <c r="AH457" s="84"/>
      <c r="AI457" s="84"/>
      <c r="AJ457" s="84"/>
      <c r="AK457" s="84"/>
      <c r="AL457" s="84"/>
      <c r="AM457" s="84"/>
      <c r="AN457" s="84"/>
      <c r="AO457" s="84"/>
      <c r="AP457" s="84"/>
      <c r="AQ457" s="84"/>
      <c r="AR457" s="84"/>
      <c r="AS457" s="84"/>
      <c r="AT457" s="84"/>
      <c r="AU457" s="84"/>
      <c r="AV457" s="84"/>
      <c r="AW457" s="84"/>
      <c r="AX457" s="87">
        <f t="array" ref="AX457">IF(G457=1,SUM((ROW(M0)=ROW(AW457))*(M0+M1_+M2_+M3_+M4_+M5_+M6_+M7_+M8_+M9_+M10_+M11_+M12_+M13_+M14_+M15_+M16_+M17_+M18_+M19_+M20_+M21_+M22_+M23_+M24_+M25_+M26_+M27_+M28_+M29_+M30_+M31_+M32_+M33_+M34_+M35_+M36_+M37_)),0)</f>
        <v>0</v>
      </c>
      <c r="AZ457" s="24" t="str">
        <f t="shared" si="97"/>
        <v/>
      </c>
      <c r="BA457" s="24" t="str">
        <f t="shared" si="98"/>
        <v/>
      </c>
      <c r="BB457" s="24" t="str">
        <f t="shared" si="99"/>
        <v/>
      </c>
      <c r="BC457" s="24" t="str">
        <f>IF(OR(E457="",LEFT(TableCosts[[#This Row],[Calc_N_Typ]],18)="Vynaložené náklady"),"",VLOOKUP(E457,Tab_Parts,2,0))</f>
        <v/>
      </c>
      <c r="BD457" s="24" t="str">
        <f t="shared" si="100"/>
        <v/>
      </c>
      <c r="BE457" s="24">
        <f t="shared" si="101"/>
        <v>0</v>
      </c>
      <c r="BF457" s="72">
        <f>TableCosts[[#This Row],[N_Amount]]*TableCosts[[#This Row],[N_Tariff]]*TableCosts[[#This Row],[N_ItemsCount]]</f>
        <v>0</v>
      </c>
      <c r="BG457" s="72">
        <f>IF(G457=1,IF(TableCosts[[#This Row],[N_Kateg]]="interné práce",TableCosts[[#This Row],[N_Amount]]*8*PAR_SGA_PERHOUR,0),0)</f>
        <v>0</v>
      </c>
      <c r="BH457" s="72">
        <f>SUM(TableCosts[[#This Row],[N_Direct]:[N_SGA]])</f>
        <v>0</v>
      </c>
      <c r="BI457" s="24">
        <f>IF(G457=1,IF(OR(AND(NOT(ISERROR(VLOOKUP(TableCosts[[#This Row],[Calc_N_Typ]],Cis_WorkPositions,1,0))),C457&lt;&gt;"",D457&lt;&gt;"",E457&lt;&gt;""),AND(ISERROR(VLOOKUP(TableCosts[[#This Row],[Calc_N_Typ]],Cis_WorkPositions,1,0)),C457="",D457="",E457&lt;&gt;""),LEFT(TableCosts[[#This Row],[Calc_N_Typ]],18)="Vynaložené náklady"),VLOOKUP(C457&amp;TableCosts[[#This Row],[Calc_N_Typ]],TRAN_STRITEMS_LABEL,VLOOKUP(D457,Tab_Hours,3,0),0),NA()),0)</f>
        <v>0</v>
      </c>
      <c r="BJ457" s="24">
        <f t="shared" si="102"/>
        <v>0</v>
      </c>
      <c r="BK457" s="24" t="str">
        <f t="shared" si="103"/>
        <v/>
      </c>
      <c r="BL457" s="24" t="str">
        <f t="shared" si="104"/>
        <v/>
      </c>
      <c r="BM457" s="24" t="str">
        <f>IF(G457=1,IF(TableCosts[[#This Row],[TransferFrom]]=TableCosts[[#This Row],[TranferTo]],0,1),"")</f>
        <v/>
      </c>
      <c r="BN457" s="24" t="str">
        <f t="shared" si="105"/>
        <v/>
      </c>
      <c r="BO457" s="24">
        <f t="shared" si="106"/>
        <v>0</v>
      </c>
      <c r="BP457" s="24">
        <f t="shared" si="107"/>
        <v>0</v>
      </c>
    </row>
    <row r="458" spans="2:68" s="24" customFormat="1" ht="12.75" x14ac:dyDescent="0.2">
      <c r="B458" s="97"/>
      <c r="C458" s="92"/>
      <c r="D458" s="92"/>
      <c r="E458" s="92"/>
      <c r="F458" s="31" t="str">
        <f>IF(G458=1,IF(ISERROR(TableCosts[[#This Row],[N_Tariff]]),Err_Message1,IF(TableCosts[[#This Row],[N_Tariff]]=0,Err_Message2,VLOOKUP(C458&amp;TableCosts[[#This Row],[Calc_N_Typ]],TRAN_STRITEMS_LABEL,5,FALSE))),"")</f>
        <v/>
      </c>
      <c r="G458" s="31">
        <f t="shared" si="96"/>
        <v>0</v>
      </c>
      <c r="H458" s="31" t="str">
        <f>IF(G458=1,IFERROR(VLOOKUP(F458,Tab_ErrMessage[],2,0),VLOOKUP(C458&amp;TableCosts[[#This Row],[Calc_N_Typ]],TRAN_STRITEMS_LABEL,4,FALSE)),"")</f>
        <v/>
      </c>
      <c r="I458" s="94"/>
      <c r="J458" s="94"/>
      <c r="K458" s="94"/>
      <c r="L458" s="84"/>
      <c r="M458" s="84"/>
      <c r="N458" s="84"/>
      <c r="O458" s="84"/>
      <c r="P458" s="84"/>
      <c r="Q458" s="84"/>
      <c r="R458" s="84"/>
      <c r="S458" s="84"/>
      <c r="T458" s="84"/>
      <c r="U458" s="84"/>
      <c r="V458" s="84"/>
      <c r="W458" s="84"/>
      <c r="X458" s="84"/>
      <c r="Y458" s="84"/>
      <c r="Z458" s="84"/>
      <c r="AA458" s="84"/>
      <c r="AB458" s="84"/>
      <c r="AC458" s="84"/>
      <c r="AD458" s="84"/>
      <c r="AE458" s="84"/>
      <c r="AF458" s="84"/>
      <c r="AG458" s="84"/>
      <c r="AH458" s="84"/>
      <c r="AI458" s="84"/>
      <c r="AJ458" s="84"/>
      <c r="AK458" s="84"/>
      <c r="AL458" s="84"/>
      <c r="AM458" s="84"/>
      <c r="AN458" s="84"/>
      <c r="AO458" s="84"/>
      <c r="AP458" s="84"/>
      <c r="AQ458" s="84"/>
      <c r="AR458" s="84"/>
      <c r="AS458" s="84"/>
      <c r="AT458" s="84"/>
      <c r="AU458" s="84"/>
      <c r="AV458" s="84"/>
      <c r="AW458" s="84"/>
      <c r="AX458" s="87">
        <f t="array" ref="AX458">IF(G458=1,SUM((ROW(M0)=ROW(AW458))*(M0+M1_+M2_+M3_+M4_+M5_+M6_+M7_+M8_+M9_+M10_+M11_+M12_+M13_+M14_+M15_+M16_+M17_+M18_+M19_+M20_+M21_+M22_+M23_+M24_+M25_+M26_+M27_+M28_+M29_+M30_+M31_+M32_+M33_+M34_+M35_+M36_+M37_)),0)</f>
        <v>0</v>
      </c>
      <c r="AZ458" s="24" t="str">
        <f t="shared" si="97"/>
        <v/>
      </c>
      <c r="BA458" s="24" t="str">
        <f t="shared" si="98"/>
        <v/>
      </c>
      <c r="BB458" s="24" t="str">
        <f t="shared" si="99"/>
        <v/>
      </c>
      <c r="BC458" s="24" t="str">
        <f>IF(OR(E458="",LEFT(TableCosts[[#This Row],[Calc_N_Typ]],18)="Vynaložené náklady"),"",VLOOKUP(E458,Tab_Parts,2,0))</f>
        <v/>
      </c>
      <c r="BD458" s="24" t="str">
        <f t="shared" si="100"/>
        <v/>
      </c>
      <c r="BE458" s="24">
        <f t="shared" si="101"/>
        <v>0</v>
      </c>
      <c r="BF458" s="72">
        <f>TableCosts[[#This Row],[N_Amount]]*TableCosts[[#This Row],[N_Tariff]]*TableCosts[[#This Row],[N_ItemsCount]]</f>
        <v>0</v>
      </c>
      <c r="BG458" s="72">
        <f>IF(G458=1,IF(TableCosts[[#This Row],[N_Kateg]]="interné práce",TableCosts[[#This Row],[N_Amount]]*8*PAR_SGA_PERHOUR,0),0)</f>
        <v>0</v>
      </c>
      <c r="BH458" s="72">
        <f>SUM(TableCosts[[#This Row],[N_Direct]:[N_SGA]])</f>
        <v>0</v>
      </c>
      <c r="BI458" s="24">
        <f>IF(G458=1,IF(OR(AND(NOT(ISERROR(VLOOKUP(TableCosts[[#This Row],[Calc_N_Typ]],Cis_WorkPositions,1,0))),C458&lt;&gt;"",D458&lt;&gt;"",E458&lt;&gt;""),AND(ISERROR(VLOOKUP(TableCosts[[#This Row],[Calc_N_Typ]],Cis_WorkPositions,1,0)),C458="",D458="",E458&lt;&gt;""),LEFT(TableCosts[[#This Row],[Calc_N_Typ]],18)="Vynaložené náklady"),VLOOKUP(C458&amp;TableCosts[[#This Row],[Calc_N_Typ]],TRAN_STRITEMS_LABEL,VLOOKUP(D458,Tab_Hours,3,0),0),NA()),0)</f>
        <v>0</v>
      </c>
      <c r="BJ458" s="24">
        <f t="shared" si="102"/>
        <v>0</v>
      </c>
      <c r="BK458" s="24" t="str">
        <f t="shared" si="103"/>
        <v/>
      </c>
      <c r="BL458" s="24" t="str">
        <f t="shared" si="104"/>
        <v/>
      </c>
      <c r="BM458" s="24" t="str">
        <f>IF(G458=1,IF(TableCosts[[#This Row],[TransferFrom]]=TableCosts[[#This Row],[TranferTo]],0,1),"")</f>
        <v/>
      </c>
      <c r="BN458" s="24" t="str">
        <f t="shared" si="105"/>
        <v/>
      </c>
      <c r="BO458" s="24">
        <f t="shared" si="106"/>
        <v>0</v>
      </c>
      <c r="BP458" s="24">
        <f t="shared" si="107"/>
        <v>0</v>
      </c>
    </row>
    <row r="459" spans="2:68" s="24" customFormat="1" ht="12.75" x14ac:dyDescent="0.2">
      <c r="B459" s="97"/>
      <c r="C459" s="92"/>
      <c r="D459" s="92"/>
      <c r="E459" s="92"/>
      <c r="F459" s="31" t="str">
        <f>IF(G459=1,IF(ISERROR(TableCosts[[#This Row],[N_Tariff]]),Err_Message1,IF(TableCosts[[#This Row],[N_Tariff]]=0,Err_Message2,VLOOKUP(C459&amp;TableCosts[[#This Row],[Calc_N_Typ]],TRAN_STRITEMS_LABEL,5,FALSE))),"")</f>
        <v/>
      </c>
      <c r="G459" s="31">
        <f t="shared" si="96"/>
        <v>0</v>
      </c>
      <c r="H459" s="31" t="str">
        <f>IF(G459=1,IFERROR(VLOOKUP(F459,Tab_ErrMessage[],2,0),VLOOKUP(C459&amp;TableCosts[[#This Row],[Calc_N_Typ]],TRAN_STRITEMS_LABEL,4,FALSE)),"")</f>
        <v/>
      </c>
      <c r="I459" s="94"/>
      <c r="J459" s="94"/>
      <c r="K459" s="94"/>
      <c r="L459" s="84"/>
      <c r="M459" s="84"/>
      <c r="N459" s="84"/>
      <c r="O459" s="84"/>
      <c r="P459" s="84"/>
      <c r="Q459" s="84"/>
      <c r="R459" s="84"/>
      <c r="S459" s="84"/>
      <c r="T459" s="84"/>
      <c r="U459" s="84"/>
      <c r="V459" s="84"/>
      <c r="W459" s="84"/>
      <c r="X459" s="84"/>
      <c r="Y459" s="84"/>
      <c r="Z459" s="84"/>
      <c r="AA459" s="84"/>
      <c r="AB459" s="84"/>
      <c r="AC459" s="84"/>
      <c r="AD459" s="84"/>
      <c r="AE459" s="84"/>
      <c r="AF459" s="84"/>
      <c r="AG459" s="84"/>
      <c r="AH459" s="84"/>
      <c r="AI459" s="84"/>
      <c r="AJ459" s="84"/>
      <c r="AK459" s="84"/>
      <c r="AL459" s="84"/>
      <c r="AM459" s="84"/>
      <c r="AN459" s="84"/>
      <c r="AO459" s="84"/>
      <c r="AP459" s="84"/>
      <c r="AQ459" s="84"/>
      <c r="AR459" s="84"/>
      <c r="AS459" s="84"/>
      <c r="AT459" s="84"/>
      <c r="AU459" s="84"/>
      <c r="AV459" s="84"/>
      <c r="AW459" s="84"/>
      <c r="AX459" s="87">
        <f t="array" ref="AX459">IF(G459=1,SUM((ROW(M0)=ROW(AW459))*(M0+M1_+M2_+M3_+M4_+M5_+M6_+M7_+M8_+M9_+M10_+M11_+M12_+M13_+M14_+M15_+M16_+M17_+M18_+M19_+M20_+M21_+M22_+M23_+M24_+M25_+M26_+M27_+M28_+M29_+M30_+M31_+M32_+M33_+M34_+M35_+M36_+M37_)),0)</f>
        <v>0</v>
      </c>
      <c r="AZ459" s="24" t="str">
        <f t="shared" si="97"/>
        <v/>
      </c>
      <c r="BA459" s="24" t="str">
        <f t="shared" si="98"/>
        <v/>
      </c>
      <c r="BB459" s="24" t="str">
        <f t="shared" si="99"/>
        <v/>
      </c>
      <c r="BC459" s="24" t="str">
        <f>IF(OR(E459="",LEFT(TableCosts[[#This Row],[Calc_N_Typ]],18)="Vynaložené náklady"),"",VLOOKUP(E459,Tab_Parts,2,0))</f>
        <v/>
      </c>
      <c r="BD459" s="24" t="str">
        <f t="shared" si="100"/>
        <v/>
      </c>
      <c r="BE459" s="24">
        <f t="shared" si="101"/>
        <v>0</v>
      </c>
      <c r="BF459" s="72">
        <f>TableCosts[[#This Row],[N_Amount]]*TableCosts[[#This Row],[N_Tariff]]*TableCosts[[#This Row],[N_ItemsCount]]</f>
        <v>0</v>
      </c>
      <c r="BG459" s="72">
        <f>IF(G459=1,IF(TableCosts[[#This Row],[N_Kateg]]="interné práce",TableCosts[[#This Row],[N_Amount]]*8*PAR_SGA_PERHOUR,0),0)</f>
        <v>0</v>
      </c>
      <c r="BH459" s="72">
        <f>SUM(TableCosts[[#This Row],[N_Direct]:[N_SGA]])</f>
        <v>0</v>
      </c>
      <c r="BI459" s="24">
        <f>IF(G459=1,IF(OR(AND(NOT(ISERROR(VLOOKUP(TableCosts[[#This Row],[Calc_N_Typ]],Cis_WorkPositions,1,0))),C459&lt;&gt;"",D459&lt;&gt;"",E459&lt;&gt;""),AND(ISERROR(VLOOKUP(TableCosts[[#This Row],[Calc_N_Typ]],Cis_WorkPositions,1,0)),C459="",D459="",E459&lt;&gt;""),LEFT(TableCosts[[#This Row],[Calc_N_Typ]],18)="Vynaložené náklady"),VLOOKUP(C459&amp;TableCosts[[#This Row],[Calc_N_Typ]],TRAN_STRITEMS_LABEL,VLOOKUP(D459,Tab_Hours,3,0),0),NA()),0)</f>
        <v>0</v>
      </c>
      <c r="BJ459" s="24">
        <f t="shared" si="102"/>
        <v>0</v>
      </c>
      <c r="BK459" s="24" t="str">
        <f t="shared" si="103"/>
        <v/>
      </c>
      <c r="BL459" s="24" t="str">
        <f t="shared" si="104"/>
        <v/>
      </c>
      <c r="BM459" s="24" t="str">
        <f>IF(G459=1,IF(TableCosts[[#This Row],[TransferFrom]]=TableCosts[[#This Row],[TranferTo]],0,1),"")</f>
        <v/>
      </c>
      <c r="BN459" s="24" t="str">
        <f t="shared" si="105"/>
        <v/>
      </c>
      <c r="BO459" s="24">
        <f t="shared" si="106"/>
        <v>0</v>
      </c>
      <c r="BP459" s="24">
        <f t="shared" si="107"/>
        <v>0</v>
      </c>
    </row>
    <row r="460" spans="2:68" s="24" customFormat="1" ht="12.75" x14ac:dyDescent="0.2">
      <c r="B460" s="97"/>
      <c r="C460" s="92"/>
      <c r="D460" s="92"/>
      <c r="E460" s="92"/>
      <c r="F460" s="31" t="str">
        <f>IF(G460=1,IF(ISERROR(TableCosts[[#This Row],[N_Tariff]]),Err_Message1,IF(TableCosts[[#This Row],[N_Tariff]]=0,Err_Message2,VLOOKUP(C460&amp;TableCosts[[#This Row],[Calc_N_Typ]],TRAN_STRITEMS_LABEL,5,FALSE))),"")</f>
        <v/>
      </c>
      <c r="G460" s="31">
        <f t="shared" ref="G460:G523" si="108">IF(B460="",0,IF(LEFT(B460,3)="***",-1,1))</f>
        <v>0</v>
      </c>
      <c r="H460" s="31" t="str">
        <f>IF(G460=1,IFERROR(VLOOKUP(F460,Tab_ErrMessage[],2,0),VLOOKUP(C460&amp;TableCosts[[#This Row],[Calc_N_Typ]],TRAN_STRITEMS_LABEL,4,FALSE)),"")</f>
        <v/>
      </c>
      <c r="I460" s="94"/>
      <c r="J460" s="94"/>
      <c r="K460" s="94"/>
      <c r="L460" s="84"/>
      <c r="M460" s="84"/>
      <c r="N460" s="84"/>
      <c r="O460" s="84"/>
      <c r="P460" s="84"/>
      <c r="Q460" s="84"/>
      <c r="R460" s="84"/>
      <c r="S460" s="84"/>
      <c r="T460" s="84"/>
      <c r="U460" s="84"/>
      <c r="V460" s="84"/>
      <c r="W460" s="84"/>
      <c r="X460" s="84"/>
      <c r="Y460" s="84"/>
      <c r="Z460" s="84"/>
      <c r="AA460" s="84"/>
      <c r="AB460" s="84"/>
      <c r="AC460" s="84"/>
      <c r="AD460" s="84"/>
      <c r="AE460" s="84"/>
      <c r="AF460" s="84"/>
      <c r="AG460" s="84"/>
      <c r="AH460" s="84"/>
      <c r="AI460" s="84"/>
      <c r="AJ460" s="84"/>
      <c r="AK460" s="84"/>
      <c r="AL460" s="84"/>
      <c r="AM460" s="84"/>
      <c r="AN460" s="84"/>
      <c r="AO460" s="84"/>
      <c r="AP460" s="84"/>
      <c r="AQ460" s="84"/>
      <c r="AR460" s="84"/>
      <c r="AS460" s="84"/>
      <c r="AT460" s="84"/>
      <c r="AU460" s="84"/>
      <c r="AV460" s="84"/>
      <c r="AW460" s="84"/>
      <c r="AX460" s="87">
        <f t="array" ref="AX460">IF(G460=1,SUM((ROW(M0)=ROW(AW460))*(M0+M1_+M2_+M3_+M4_+M5_+M6_+M7_+M8_+M9_+M10_+M11_+M12_+M13_+M14_+M15_+M16_+M17_+M18_+M19_+M20_+M21_+M22_+M23_+M24_+M25_+M26_+M27_+M28_+M29_+M30_+M31_+M32_+M33_+M34_+M35_+M36_+M37_)),0)</f>
        <v>0</v>
      </c>
      <c r="AZ460" s="24" t="str">
        <f t="shared" ref="AZ460:AZ523" si="109">IF(G460=1,B460,"")</f>
        <v/>
      </c>
      <c r="BA460" s="24" t="str">
        <f t="shared" ref="BA460:BA523" si="110">IF(G460=1,C460,"")</f>
        <v/>
      </c>
      <c r="BB460" s="24" t="str">
        <f t="shared" ref="BB460:BB523" si="111">IF(G460=1,F460,"")</f>
        <v/>
      </c>
      <c r="BC460" s="24" t="str">
        <f>IF(OR(E460="",LEFT(TableCosts[[#This Row],[Calc_N_Typ]],18)="Vynaložené náklady"),"",VLOOKUP(E460,Tab_Parts,2,0))</f>
        <v/>
      </c>
      <c r="BD460" s="24" t="str">
        <f t="shared" ref="BD460:BD523" si="112">IF(G460=1,H460,"")</f>
        <v/>
      </c>
      <c r="BE460" s="24">
        <f t="shared" ref="BE460:BE523" si="113">IF(G460=1,AX460,0)</f>
        <v>0</v>
      </c>
      <c r="BF460" s="72">
        <f>TableCosts[[#This Row],[N_Amount]]*TableCosts[[#This Row],[N_Tariff]]*TableCosts[[#This Row],[N_ItemsCount]]</f>
        <v>0</v>
      </c>
      <c r="BG460" s="72">
        <f>IF(G460=1,IF(TableCosts[[#This Row],[N_Kateg]]="interné práce",TableCosts[[#This Row],[N_Amount]]*8*PAR_SGA_PERHOUR,0),0)</f>
        <v>0</v>
      </c>
      <c r="BH460" s="72">
        <f>SUM(TableCosts[[#This Row],[N_Direct]:[N_SGA]])</f>
        <v>0</v>
      </c>
      <c r="BI460" s="24">
        <f>IF(G460=1,IF(OR(AND(NOT(ISERROR(VLOOKUP(TableCosts[[#This Row],[Calc_N_Typ]],Cis_WorkPositions,1,0))),C460&lt;&gt;"",D460&lt;&gt;"",E460&lt;&gt;""),AND(ISERROR(VLOOKUP(TableCosts[[#This Row],[Calc_N_Typ]],Cis_WorkPositions,1,0)),C460="",D460="",E460&lt;&gt;""),LEFT(TableCosts[[#This Row],[Calc_N_Typ]],18)="Vynaložené náklady"),VLOOKUP(C460&amp;TableCosts[[#This Row],[Calc_N_Typ]],TRAN_STRITEMS_LABEL,VLOOKUP(D460,Tab_Hours,3,0),0),NA()),0)</f>
        <v>0</v>
      </c>
      <c r="BJ460" s="24">
        <f t="shared" ref="BJ460:BJ523" si="114">IF(G460=1,IF(H460="čld.",VLOOKUP(D460,Tab_Hours,4,0),1),0)</f>
        <v>0</v>
      </c>
      <c r="BK460" s="24" t="str">
        <f t="shared" ref="BK460:BK523" si="115">IF(G460=1,IFERROR(VLOOKUP(B460,IpsLicences,2,0),IF(C460="",Par_Center,C460)),"")</f>
        <v/>
      </c>
      <c r="BL460" s="24" t="str">
        <f t="shared" ref="BL460:BL523" si="116">IF(G460=1,Par_Center,"")</f>
        <v/>
      </c>
      <c r="BM460" s="24" t="str">
        <f>IF(G460=1,IF(TableCosts[[#This Row],[TransferFrom]]=TableCosts[[#This Row],[TranferTo]],0,1),"")</f>
        <v/>
      </c>
      <c r="BN460" s="24" t="str">
        <f t="shared" ref="BN460:BN523" si="117">IF(G460=1,IF(E460="ACQ","akvizícia","realizácia"),"")</f>
        <v/>
      </c>
      <c r="BO460" s="24">
        <f t="shared" ref="BO460:BO523" si="118">IF(RIGHT(B460,LEN(Par_LabelTravelTime))=Par_LabelTravelTime,LEFT(B460,LEN(B460)-LEN(Par_LabelTravelTime)),B460)</f>
        <v>0</v>
      </c>
      <c r="BP460" s="24">
        <f t="shared" ref="BP460:BP523" si="119">IF(RIGHT(B460,LEN(Par_LabelTravelTime))=Par_LabelTravelTime,1,0)</f>
        <v>0</v>
      </c>
    </row>
    <row r="461" spans="2:68" s="24" customFormat="1" ht="12.75" x14ac:dyDescent="0.2">
      <c r="B461" s="97"/>
      <c r="C461" s="92"/>
      <c r="D461" s="92"/>
      <c r="E461" s="92"/>
      <c r="F461" s="31" t="str">
        <f>IF(G461=1,IF(ISERROR(TableCosts[[#This Row],[N_Tariff]]),Err_Message1,IF(TableCosts[[#This Row],[N_Tariff]]=0,Err_Message2,VLOOKUP(C461&amp;TableCosts[[#This Row],[Calc_N_Typ]],TRAN_STRITEMS_LABEL,5,FALSE))),"")</f>
        <v/>
      </c>
      <c r="G461" s="31">
        <f t="shared" si="108"/>
        <v>0</v>
      </c>
      <c r="H461" s="31" t="str">
        <f>IF(G461=1,IFERROR(VLOOKUP(F461,Tab_ErrMessage[],2,0),VLOOKUP(C461&amp;TableCosts[[#This Row],[Calc_N_Typ]],TRAN_STRITEMS_LABEL,4,FALSE)),"")</f>
        <v/>
      </c>
      <c r="I461" s="94"/>
      <c r="J461" s="94"/>
      <c r="K461" s="94"/>
      <c r="L461" s="84"/>
      <c r="M461" s="84"/>
      <c r="N461" s="84"/>
      <c r="O461" s="84"/>
      <c r="P461" s="84"/>
      <c r="Q461" s="84"/>
      <c r="R461" s="84"/>
      <c r="S461" s="84"/>
      <c r="T461" s="84"/>
      <c r="U461" s="84"/>
      <c r="V461" s="84"/>
      <c r="W461" s="84"/>
      <c r="X461" s="84"/>
      <c r="Y461" s="84"/>
      <c r="Z461" s="84"/>
      <c r="AA461" s="84"/>
      <c r="AB461" s="84"/>
      <c r="AC461" s="84"/>
      <c r="AD461" s="84"/>
      <c r="AE461" s="84"/>
      <c r="AF461" s="84"/>
      <c r="AG461" s="84"/>
      <c r="AH461" s="84"/>
      <c r="AI461" s="84"/>
      <c r="AJ461" s="84"/>
      <c r="AK461" s="84"/>
      <c r="AL461" s="84"/>
      <c r="AM461" s="84"/>
      <c r="AN461" s="84"/>
      <c r="AO461" s="84"/>
      <c r="AP461" s="84"/>
      <c r="AQ461" s="84"/>
      <c r="AR461" s="84"/>
      <c r="AS461" s="84"/>
      <c r="AT461" s="84"/>
      <c r="AU461" s="84"/>
      <c r="AV461" s="84"/>
      <c r="AW461" s="84"/>
      <c r="AX461" s="87">
        <f t="array" ref="AX461">IF(G461=1,SUM((ROW(M0)=ROW(AW461))*(M0+M1_+M2_+M3_+M4_+M5_+M6_+M7_+M8_+M9_+M10_+M11_+M12_+M13_+M14_+M15_+M16_+M17_+M18_+M19_+M20_+M21_+M22_+M23_+M24_+M25_+M26_+M27_+M28_+M29_+M30_+M31_+M32_+M33_+M34_+M35_+M36_+M37_)),0)</f>
        <v>0</v>
      </c>
      <c r="AZ461" s="24" t="str">
        <f t="shared" si="109"/>
        <v/>
      </c>
      <c r="BA461" s="24" t="str">
        <f t="shared" si="110"/>
        <v/>
      </c>
      <c r="BB461" s="24" t="str">
        <f t="shared" si="111"/>
        <v/>
      </c>
      <c r="BC461" s="24" t="str">
        <f>IF(OR(E461="",LEFT(TableCosts[[#This Row],[Calc_N_Typ]],18)="Vynaložené náklady"),"",VLOOKUP(E461,Tab_Parts,2,0))</f>
        <v/>
      </c>
      <c r="BD461" s="24" t="str">
        <f t="shared" si="112"/>
        <v/>
      </c>
      <c r="BE461" s="24">
        <f t="shared" si="113"/>
        <v>0</v>
      </c>
      <c r="BF461" s="72">
        <f>TableCosts[[#This Row],[N_Amount]]*TableCosts[[#This Row],[N_Tariff]]*TableCosts[[#This Row],[N_ItemsCount]]</f>
        <v>0</v>
      </c>
      <c r="BG461" s="72">
        <f>IF(G461=1,IF(TableCosts[[#This Row],[N_Kateg]]="interné práce",TableCosts[[#This Row],[N_Amount]]*8*PAR_SGA_PERHOUR,0),0)</f>
        <v>0</v>
      </c>
      <c r="BH461" s="72">
        <f>SUM(TableCosts[[#This Row],[N_Direct]:[N_SGA]])</f>
        <v>0</v>
      </c>
      <c r="BI461" s="24">
        <f>IF(G461=1,IF(OR(AND(NOT(ISERROR(VLOOKUP(TableCosts[[#This Row],[Calc_N_Typ]],Cis_WorkPositions,1,0))),C461&lt;&gt;"",D461&lt;&gt;"",E461&lt;&gt;""),AND(ISERROR(VLOOKUP(TableCosts[[#This Row],[Calc_N_Typ]],Cis_WorkPositions,1,0)),C461="",D461="",E461&lt;&gt;""),LEFT(TableCosts[[#This Row],[Calc_N_Typ]],18)="Vynaložené náklady"),VLOOKUP(C461&amp;TableCosts[[#This Row],[Calc_N_Typ]],TRAN_STRITEMS_LABEL,VLOOKUP(D461,Tab_Hours,3,0),0),NA()),0)</f>
        <v>0</v>
      </c>
      <c r="BJ461" s="24">
        <f t="shared" si="114"/>
        <v>0</v>
      </c>
      <c r="BK461" s="24" t="str">
        <f t="shared" si="115"/>
        <v/>
      </c>
      <c r="BL461" s="24" t="str">
        <f t="shared" si="116"/>
        <v/>
      </c>
      <c r="BM461" s="24" t="str">
        <f>IF(G461=1,IF(TableCosts[[#This Row],[TransferFrom]]=TableCosts[[#This Row],[TranferTo]],0,1),"")</f>
        <v/>
      </c>
      <c r="BN461" s="24" t="str">
        <f t="shared" si="117"/>
        <v/>
      </c>
      <c r="BO461" s="24">
        <f t="shared" si="118"/>
        <v>0</v>
      </c>
      <c r="BP461" s="24">
        <f t="shared" si="119"/>
        <v>0</v>
      </c>
    </row>
    <row r="462" spans="2:68" s="24" customFormat="1" ht="12.75" x14ac:dyDescent="0.2">
      <c r="B462" s="97"/>
      <c r="C462" s="92"/>
      <c r="D462" s="92"/>
      <c r="E462" s="92"/>
      <c r="F462" s="31" t="str">
        <f>IF(G462=1,IF(ISERROR(TableCosts[[#This Row],[N_Tariff]]),Err_Message1,IF(TableCosts[[#This Row],[N_Tariff]]=0,Err_Message2,VLOOKUP(C462&amp;TableCosts[[#This Row],[Calc_N_Typ]],TRAN_STRITEMS_LABEL,5,FALSE))),"")</f>
        <v/>
      </c>
      <c r="G462" s="31">
        <f t="shared" si="108"/>
        <v>0</v>
      </c>
      <c r="H462" s="31" t="str">
        <f>IF(G462=1,IFERROR(VLOOKUP(F462,Tab_ErrMessage[],2,0),VLOOKUP(C462&amp;TableCosts[[#This Row],[Calc_N_Typ]],TRAN_STRITEMS_LABEL,4,FALSE)),"")</f>
        <v/>
      </c>
      <c r="I462" s="94"/>
      <c r="J462" s="94"/>
      <c r="K462" s="94"/>
      <c r="L462" s="84"/>
      <c r="M462" s="84"/>
      <c r="N462" s="84"/>
      <c r="O462" s="84"/>
      <c r="P462" s="84"/>
      <c r="Q462" s="84"/>
      <c r="R462" s="84"/>
      <c r="S462" s="84"/>
      <c r="T462" s="84"/>
      <c r="U462" s="84"/>
      <c r="V462" s="84"/>
      <c r="W462" s="84"/>
      <c r="X462" s="84"/>
      <c r="Y462" s="84"/>
      <c r="Z462" s="84"/>
      <c r="AA462" s="84"/>
      <c r="AB462" s="84"/>
      <c r="AC462" s="84"/>
      <c r="AD462" s="84"/>
      <c r="AE462" s="84"/>
      <c r="AF462" s="84"/>
      <c r="AG462" s="84"/>
      <c r="AH462" s="84"/>
      <c r="AI462" s="84"/>
      <c r="AJ462" s="84"/>
      <c r="AK462" s="84"/>
      <c r="AL462" s="84"/>
      <c r="AM462" s="84"/>
      <c r="AN462" s="84"/>
      <c r="AO462" s="84"/>
      <c r="AP462" s="84"/>
      <c r="AQ462" s="84"/>
      <c r="AR462" s="84"/>
      <c r="AS462" s="84"/>
      <c r="AT462" s="84"/>
      <c r="AU462" s="84"/>
      <c r="AV462" s="84"/>
      <c r="AW462" s="84"/>
      <c r="AX462" s="87">
        <f t="array" ref="AX462">IF(G462=1,SUM((ROW(M0)=ROW(AW462))*(M0+M1_+M2_+M3_+M4_+M5_+M6_+M7_+M8_+M9_+M10_+M11_+M12_+M13_+M14_+M15_+M16_+M17_+M18_+M19_+M20_+M21_+M22_+M23_+M24_+M25_+M26_+M27_+M28_+M29_+M30_+M31_+M32_+M33_+M34_+M35_+M36_+M37_)),0)</f>
        <v>0</v>
      </c>
      <c r="AZ462" s="24" t="str">
        <f t="shared" si="109"/>
        <v/>
      </c>
      <c r="BA462" s="24" t="str">
        <f t="shared" si="110"/>
        <v/>
      </c>
      <c r="BB462" s="24" t="str">
        <f t="shared" si="111"/>
        <v/>
      </c>
      <c r="BC462" s="24" t="str">
        <f>IF(OR(E462="",LEFT(TableCosts[[#This Row],[Calc_N_Typ]],18)="Vynaložené náklady"),"",VLOOKUP(E462,Tab_Parts,2,0))</f>
        <v/>
      </c>
      <c r="BD462" s="24" t="str">
        <f t="shared" si="112"/>
        <v/>
      </c>
      <c r="BE462" s="24">
        <f t="shared" si="113"/>
        <v>0</v>
      </c>
      <c r="BF462" s="72">
        <f>TableCosts[[#This Row],[N_Amount]]*TableCosts[[#This Row],[N_Tariff]]*TableCosts[[#This Row],[N_ItemsCount]]</f>
        <v>0</v>
      </c>
      <c r="BG462" s="72">
        <f>IF(G462=1,IF(TableCosts[[#This Row],[N_Kateg]]="interné práce",TableCosts[[#This Row],[N_Amount]]*8*PAR_SGA_PERHOUR,0),0)</f>
        <v>0</v>
      </c>
      <c r="BH462" s="72">
        <f>SUM(TableCosts[[#This Row],[N_Direct]:[N_SGA]])</f>
        <v>0</v>
      </c>
      <c r="BI462" s="24">
        <f>IF(G462=1,IF(OR(AND(NOT(ISERROR(VLOOKUP(TableCosts[[#This Row],[Calc_N_Typ]],Cis_WorkPositions,1,0))),C462&lt;&gt;"",D462&lt;&gt;"",E462&lt;&gt;""),AND(ISERROR(VLOOKUP(TableCosts[[#This Row],[Calc_N_Typ]],Cis_WorkPositions,1,0)),C462="",D462="",E462&lt;&gt;""),LEFT(TableCosts[[#This Row],[Calc_N_Typ]],18)="Vynaložené náklady"),VLOOKUP(C462&amp;TableCosts[[#This Row],[Calc_N_Typ]],TRAN_STRITEMS_LABEL,VLOOKUP(D462,Tab_Hours,3,0),0),NA()),0)</f>
        <v>0</v>
      </c>
      <c r="BJ462" s="24">
        <f t="shared" si="114"/>
        <v>0</v>
      </c>
      <c r="BK462" s="24" t="str">
        <f t="shared" si="115"/>
        <v/>
      </c>
      <c r="BL462" s="24" t="str">
        <f t="shared" si="116"/>
        <v/>
      </c>
      <c r="BM462" s="24" t="str">
        <f>IF(G462=1,IF(TableCosts[[#This Row],[TransferFrom]]=TableCosts[[#This Row],[TranferTo]],0,1),"")</f>
        <v/>
      </c>
      <c r="BN462" s="24" t="str">
        <f t="shared" si="117"/>
        <v/>
      </c>
      <c r="BO462" s="24">
        <f t="shared" si="118"/>
        <v>0</v>
      </c>
      <c r="BP462" s="24">
        <f t="shared" si="119"/>
        <v>0</v>
      </c>
    </row>
    <row r="463" spans="2:68" s="24" customFormat="1" ht="12.75" x14ac:dyDescent="0.2">
      <c r="B463" s="97"/>
      <c r="C463" s="92"/>
      <c r="D463" s="92"/>
      <c r="E463" s="92"/>
      <c r="F463" s="31" t="str">
        <f>IF(G463=1,IF(ISERROR(TableCosts[[#This Row],[N_Tariff]]),Err_Message1,IF(TableCosts[[#This Row],[N_Tariff]]=0,Err_Message2,VLOOKUP(C463&amp;TableCosts[[#This Row],[Calc_N_Typ]],TRAN_STRITEMS_LABEL,5,FALSE))),"")</f>
        <v/>
      </c>
      <c r="G463" s="31">
        <f t="shared" si="108"/>
        <v>0</v>
      </c>
      <c r="H463" s="31" t="str">
        <f>IF(G463=1,IFERROR(VLOOKUP(F463,Tab_ErrMessage[],2,0),VLOOKUP(C463&amp;TableCosts[[#This Row],[Calc_N_Typ]],TRAN_STRITEMS_LABEL,4,FALSE)),"")</f>
        <v/>
      </c>
      <c r="I463" s="94"/>
      <c r="J463" s="94"/>
      <c r="K463" s="94"/>
      <c r="L463" s="84"/>
      <c r="M463" s="84"/>
      <c r="N463" s="84"/>
      <c r="O463" s="84"/>
      <c r="P463" s="84"/>
      <c r="Q463" s="84"/>
      <c r="R463" s="84"/>
      <c r="S463" s="84"/>
      <c r="T463" s="84"/>
      <c r="U463" s="84"/>
      <c r="V463" s="84"/>
      <c r="W463" s="84"/>
      <c r="X463" s="84"/>
      <c r="Y463" s="84"/>
      <c r="Z463" s="84"/>
      <c r="AA463" s="84"/>
      <c r="AB463" s="84"/>
      <c r="AC463" s="84"/>
      <c r="AD463" s="84"/>
      <c r="AE463" s="84"/>
      <c r="AF463" s="84"/>
      <c r="AG463" s="84"/>
      <c r="AH463" s="84"/>
      <c r="AI463" s="84"/>
      <c r="AJ463" s="84"/>
      <c r="AK463" s="84"/>
      <c r="AL463" s="84"/>
      <c r="AM463" s="84"/>
      <c r="AN463" s="84"/>
      <c r="AO463" s="84"/>
      <c r="AP463" s="84"/>
      <c r="AQ463" s="84"/>
      <c r="AR463" s="84"/>
      <c r="AS463" s="84"/>
      <c r="AT463" s="84"/>
      <c r="AU463" s="84"/>
      <c r="AV463" s="84"/>
      <c r="AW463" s="84"/>
      <c r="AX463" s="87">
        <f t="array" ref="AX463">IF(G463=1,SUM((ROW(M0)=ROW(AW463))*(M0+M1_+M2_+M3_+M4_+M5_+M6_+M7_+M8_+M9_+M10_+M11_+M12_+M13_+M14_+M15_+M16_+M17_+M18_+M19_+M20_+M21_+M22_+M23_+M24_+M25_+M26_+M27_+M28_+M29_+M30_+M31_+M32_+M33_+M34_+M35_+M36_+M37_)),0)</f>
        <v>0</v>
      </c>
      <c r="AZ463" s="24" t="str">
        <f t="shared" si="109"/>
        <v/>
      </c>
      <c r="BA463" s="24" t="str">
        <f t="shared" si="110"/>
        <v/>
      </c>
      <c r="BB463" s="24" t="str">
        <f t="shared" si="111"/>
        <v/>
      </c>
      <c r="BC463" s="24" t="str">
        <f>IF(OR(E463="",LEFT(TableCosts[[#This Row],[Calc_N_Typ]],18)="Vynaložené náklady"),"",VLOOKUP(E463,Tab_Parts,2,0))</f>
        <v/>
      </c>
      <c r="BD463" s="24" t="str">
        <f t="shared" si="112"/>
        <v/>
      </c>
      <c r="BE463" s="24">
        <f t="shared" si="113"/>
        <v>0</v>
      </c>
      <c r="BF463" s="72">
        <f>TableCosts[[#This Row],[N_Amount]]*TableCosts[[#This Row],[N_Tariff]]*TableCosts[[#This Row],[N_ItemsCount]]</f>
        <v>0</v>
      </c>
      <c r="BG463" s="72">
        <f>IF(G463=1,IF(TableCosts[[#This Row],[N_Kateg]]="interné práce",TableCosts[[#This Row],[N_Amount]]*8*PAR_SGA_PERHOUR,0),0)</f>
        <v>0</v>
      </c>
      <c r="BH463" s="72">
        <f>SUM(TableCosts[[#This Row],[N_Direct]:[N_SGA]])</f>
        <v>0</v>
      </c>
      <c r="BI463" s="24">
        <f>IF(G463=1,IF(OR(AND(NOT(ISERROR(VLOOKUP(TableCosts[[#This Row],[Calc_N_Typ]],Cis_WorkPositions,1,0))),C463&lt;&gt;"",D463&lt;&gt;"",E463&lt;&gt;""),AND(ISERROR(VLOOKUP(TableCosts[[#This Row],[Calc_N_Typ]],Cis_WorkPositions,1,0)),C463="",D463="",E463&lt;&gt;""),LEFT(TableCosts[[#This Row],[Calc_N_Typ]],18)="Vynaložené náklady"),VLOOKUP(C463&amp;TableCosts[[#This Row],[Calc_N_Typ]],TRAN_STRITEMS_LABEL,VLOOKUP(D463,Tab_Hours,3,0),0),NA()),0)</f>
        <v>0</v>
      </c>
      <c r="BJ463" s="24">
        <f t="shared" si="114"/>
        <v>0</v>
      </c>
      <c r="BK463" s="24" t="str">
        <f t="shared" si="115"/>
        <v/>
      </c>
      <c r="BL463" s="24" t="str">
        <f t="shared" si="116"/>
        <v/>
      </c>
      <c r="BM463" s="24" t="str">
        <f>IF(G463=1,IF(TableCosts[[#This Row],[TransferFrom]]=TableCosts[[#This Row],[TranferTo]],0,1),"")</f>
        <v/>
      </c>
      <c r="BN463" s="24" t="str">
        <f t="shared" si="117"/>
        <v/>
      </c>
      <c r="BO463" s="24">
        <f t="shared" si="118"/>
        <v>0</v>
      </c>
      <c r="BP463" s="24">
        <f t="shared" si="119"/>
        <v>0</v>
      </c>
    </row>
    <row r="464" spans="2:68" s="24" customFormat="1" ht="12.75" x14ac:dyDescent="0.2">
      <c r="B464" s="97"/>
      <c r="C464" s="92"/>
      <c r="D464" s="92"/>
      <c r="E464" s="92"/>
      <c r="F464" s="31" t="str">
        <f>IF(G464=1,IF(ISERROR(TableCosts[[#This Row],[N_Tariff]]),Err_Message1,IF(TableCosts[[#This Row],[N_Tariff]]=0,Err_Message2,VLOOKUP(C464&amp;TableCosts[[#This Row],[Calc_N_Typ]],TRAN_STRITEMS_LABEL,5,FALSE))),"")</f>
        <v/>
      </c>
      <c r="G464" s="31">
        <f t="shared" si="108"/>
        <v>0</v>
      </c>
      <c r="H464" s="31" t="str">
        <f>IF(G464=1,IFERROR(VLOOKUP(F464,Tab_ErrMessage[],2,0),VLOOKUP(C464&amp;TableCosts[[#This Row],[Calc_N_Typ]],TRAN_STRITEMS_LABEL,4,FALSE)),"")</f>
        <v/>
      </c>
      <c r="I464" s="94"/>
      <c r="J464" s="94"/>
      <c r="K464" s="94"/>
      <c r="L464" s="84"/>
      <c r="M464" s="84"/>
      <c r="N464" s="84"/>
      <c r="O464" s="84"/>
      <c r="P464" s="84"/>
      <c r="Q464" s="84"/>
      <c r="R464" s="84"/>
      <c r="S464" s="84"/>
      <c r="T464" s="84"/>
      <c r="U464" s="84"/>
      <c r="V464" s="84"/>
      <c r="W464" s="84"/>
      <c r="X464" s="84"/>
      <c r="Y464" s="84"/>
      <c r="Z464" s="84"/>
      <c r="AA464" s="84"/>
      <c r="AB464" s="84"/>
      <c r="AC464" s="84"/>
      <c r="AD464" s="84"/>
      <c r="AE464" s="84"/>
      <c r="AF464" s="84"/>
      <c r="AG464" s="84"/>
      <c r="AH464" s="84"/>
      <c r="AI464" s="84"/>
      <c r="AJ464" s="84"/>
      <c r="AK464" s="84"/>
      <c r="AL464" s="84"/>
      <c r="AM464" s="84"/>
      <c r="AN464" s="84"/>
      <c r="AO464" s="84"/>
      <c r="AP464" s="84"/>
      <c r="AQ464" s="84"/>
      <c r="AR464" s="84"/>
      <c r="AS464" s="84"/>
      <c r="AT464" s="84"/>
      <c r="AU464" s="84"/>
      <c r="AV464" s="84"/>
      <c r="AW464" s="84"/>
      <c r="AX464" s="87">
        <f t="array" ref="AX464">IF(G464=1,SUM((ROW(M0)=ROW(AW464))*(M0+M1_+M2_+M3_+M4_+M5_+M6_+M7_+M8_+M9_+M10_+M11_+M12_+M13_+M14_+M15_+M16_+M17_+M18_+M19_+M20_+M21_+M22_+M23_+M24_+M25_+M26_+M27_+M28_+M29_+M30_+M31_+M32_+M33_+M34_+M35_+M36_+M37_)),0)</f>
        <v>0</v>
      </c>
      <c r="AZ464" s="24" t="str">
        <f t="shared" si="109"/>
        <v/>
      </c>
      <c r="BA464" s="24" t="str">
        <f t="shared" si="110"/>
        <v/>
      </c>
      <c r="BB464" s="24" t="str">
        <f t="shared" si="111"/>
        <v/>
      </c>
      <c r="BC464" s="24" t="str">
        <f>IF(OR(E464="",LEFT(TableCosts[[#This Row],[Calc_N_Typ]],18)="Vynaložené náklady"),"",VLOOKUP(E464,Tab_Parts,2,0))</f>
        <v/>
      </c>
      <c r="BD464" s="24" t="str">
        <f t="shared" si="112"/>
        <v/>
      </c>
      <c r="BE464" s="24">
        <f t="shared" si="113"/>
        <v>0</v>
      </c>
      <c r="BF464" s="72">
        <f>TableCosts[[#This Row],[N_Amount]]*TableCosts[[#This Row],[N_Tariff]]*TableCosts[[#This Row],[N_ItemsCount]]</f>
        <v>0</v>
      </c>
      <c r="BG464" s="72">
        <f>IF(G464=1,IF(TableCosts[[#This Row],[N_Kateg]]="interné práce",TableCosts[[#This Row],[N_Amount]]*8*PAR_SGA_PERHOUR,0),0)</f>
        <v>0</v>
      </c>
      <c r="BH464" s="72">
        <f>SUM(TableCosts[[#This Row],[N_Direct]:[N_SGA]])</f>
        <v>0</v>
      </c>
      <c r="BI464" s="24">
        <f>IF(G464=1,IF(OR(AND(NOT(ISERROR(VLOOKUP(TableCosts[[#This Row],[Calc_N_Typ]],Cis_WorkPositions,1,0))),C464&lt;&gt;"",D464&lt;&gt;"",E464&lt;&gt;""),AND(ISERROR(VLOOKUP(TableCosts[[#This Row],[Calc_N_Typ]],Cis_WorkPositions,1,0)),C464="",D464="",E464&lt;&gt;""),LEFT(TableCosts[[#This Row],[Calc_N_Typ]],18)="Vynaložené náklady"),VLOOKUP(C464&amp;TableCosts[[#This Row],[Calc_N_Typ]],TRAN_STRITEMS_LABEL,VLOOKUP(D464,Tab_Hours,3,0),0),NA()),0)</f>
        <v>0</v>
      </c>
      <c r="BJ464" s="24">
        <f t="shared" si="114"/>
        <v>0</v>
      </c>
      <c r="BK464" s="24" t="str">
        <f t="shared" si="115"/>
        <v/>
      </c>
      <c r="BL464" s="24" t="str">
        <f t="shared" si="116"/>
        <v/>
      </c>
      <c r="BM464" s="24" t="str">
        <f>IF(G464=1,IF(TableCosts[[#This Row],[TransferFrom]]=TableCosts[[#This Row],[TranferTo]],0,1),"")</f>
        <v/>
      </c>
      <c r="BN464" s="24" t="str">
        <f t="shared" si="117"/>
        <v/>
      </c>
      <c r="BO464" s="24">
        <f t="shared" si="118"/>
        <v>0</v>
      </c>
      <c r="BP464" s="24">
        <f t="shared" si="119"/>
        <v>0</v>
      </c>
    </row>
    <row r="465" spans="2:68" s="24" customFormat="1" ht="12.75" x14ac:dyDescent="0.2">
      <c r="B465" s="97"/>
      <c r="C465" s="92"/>
      <c r="D465" s="92"/>
      <c r="E465" s="92"/>
      <c r="F465" s="31" t="str">
        <f>IF(G465=1,IF(ISERROR(TableCosts[[#This Row],[N_Tariff]]),Err_Message1,IF(TableCosts[[#This Row],[N_Tariff]]=0,Err_Message2,VLOOKUP(C465&amp;TableCosts[[#This Row],[Calc_N_Typ]],TRAN_STRITEMS_LABEL,5,FALSE))),"")</f>
        <v/>
      </c>
      <c r="G465" s="31">
        <f t="shared" si="108"/>
        <v>0</v>
      </c>
      <c r="H465" s="31" t="str">
        <f>IF(G465=1,IFERROR(VLOOKUP(F465,Tab_ErrMessage[],2,0),VLOOKUP(C465&amp;TableCosts[[#This Row],[Calc_N_Typ]],TRAN_STRITEMS_LABEL,4,FALSE)),"")</f>
        <v/>
      </c>
      <c r="I465" s="94"/>
      <c r="J465" s="94"/>
      <c r="K465" s="94"/>
      <c r="L465" s="84"/>
      <c r="M465" s="84"/>
      <c r="N465" s="84"/>
      <c r="O465" s="84"/>
      <c r="P465" s="84"/>
      <c r="Q465" s="84"/>
      <c r="R465" s="84"/>
      <c r="S465" s="84"/>
      <c r="T465" s="84"/>
      <c r="U465" s="84"/>
      <c r="V465" s="84"/>
      <c r="W465" s="84"/>
      <c r="X465" s="84"/>
      <c r="Y465" s="84"/>
      <c r="Z465" s="84"/>
      <c r="AA465" s="84"/>
      <c r="AB465" s="84"/>
      <c r="AC465" s="84"/>
      <c r="AD465" s="84"/>
      <c r="AE465" s="84"/>
      <c r="AF465" s="84"/>
      <c r="AG465" s="84"/>
      <c r="AH465" s="84"/>
      <c r="AI465" s="84"/>
      <c r="AJ465" s="84"/>
      <c r="AK465" s="84"/>
      <c r="AL465" s="84"/>
      <c r="AM465" s="84"/>
      <c r="AN465" s="84"/>
      <c r="AO465" s="84"/>
      <c r="AP465" s="84"/>
      <c r="AQ465" s="84"/>
      <c r="AR465" s="84"/>
      <c r="AS465" s="84"/>
      <c r="AT465" s="84"/>
      <c r="AU465" s="84"/>
      <c r="AV465" s="84"/>
      <c r="AW465" s="84"/>
      <c r="AX465" s="87">
        <f t="array" ref="AX465">IF(G465=1,SUM((ROW(M0)=ROW(AW465))*(M0+M1_+M2_+M3_+M4_+M5_+M6_+M7_+M8_+M9_+M10_+M11_+M12_+M13_+M14_+M15_+M16_+M17_+M18_+M19_+M20_+M21_+M22_+M23_+M24_+M25_+M26_+M27_+M28_+M29_+M30_+M31_+M32_+M33_+M34_+M35_+M36_+M37_)),0)</f>
        <v>0</v>
      </c>
      <c r="AZ465" s="24" t="str">
        <f t="shared" si="109"/>
        <v/>
      </c>
      <c r="BA465" s="24" t="str">
        <f t="shared" si="110"/>
        <v/>
      </c>
      <c r="BB465" s="24" t="str">
        <f t="shared" si="111"/>
        <v/>
      </c>
      <c r="BC465" s="24" t="str">
        <f>IF(OR(E465="",LEFT(TableCosts[[#This Row],[Calc_N_Typ]],18)="Vynaložené náklady"),"",VLOOKUP(E465,Tab_Parts,2,0))</f>
        <v/>
      </c>
      <c r="BD465" s="24" t="str">
        <f t="shared" si="112"/>
        <v/>
      </c>
      <c r="BE465" s="24">
        <f t="shared" si="113"/>
        <v>0</v>
      </c>
      <c r="BF465" s="72">
        <f>TableCosts[[#This Row],[N_Amount]]*TableCosts[[#This Row],[N_Tariff]]*TableCosts[[#This Row],[N_ItemsCount]]</f>
        <v>0</v>
      </c>
      <c r="BG465" s="72">
        <f>IF(G465=1,IF(TableCosts[[#This Row],[N_Kateg]]="interné práce",TableCosts[[#This Row],[N_Amount]]*8*PAR_SGA_PERHOUR,0),0)</f>
        <v>0</v>
      </c>
      <c r="BH465" s="72">
        <f>SUM(TableCosts[[#This Row],[N_Direct]:[N_SGA]])</f>
        <v>0</v>
      </c>
      <c r="BI465" s="24">
        <f>IF(G465=1,IF(OR(AND(NOT(ISERROR(VLOOKUP(TableCosts[[#This Row],[Calc_N_Typ]],Cis_WorkPositions,1,0))),C465&lt;&gt;"",D465&lt;&gt;"",E465&lt;&gt;""),AND(ISERROR(VLOOKUP(TableCosts[[#This Row],[Calc_N_Typ]],Cis_WorkPositions,1,0)),C465="",D465="",E465&lt;&gt;""),LEFT(TableCosts[[#This Row],[Calc_N_Typ]],18)="Vynaložené náklady"),VLOOKUP(C465&amp;TableCosts[[#This Row],[Calc_N_Typ]],TRAN_STRITEMS_LABEL,VLOOKUP(D465,Tab_Hours,3,0),0),NA()),0)</f>
        <v>0</v>
      </c>
      <c r="BJ465" s="24">
        <f t="shared" si="114"/>
        <v>0</v>
      </c>
      <c r="BK465" s="24" t="str">
        <f t="shared" si="115"/>
        <v/>
      </c>
      <c r="BL465" s="24" t="str">
        <f t="shared" si="116"/>
        <v/>
      </c>
      <c r="BM465" s="24" t="str">
        <f>IF(G465=1,IF(TableCosts[[#This Row],[TransferFrom]]=TableCosts[[#This Row],[TranferTo]],0,1),"")</f>
        <v/>
      </c>
      <c r="BN465" s="24" t="str">
        <f t="shared" si="117"/>
        <v/>
      </c>
      <c r="BO465" s="24">
        <f t="shared" si="118"/>
        <v>0</v>
      </c>
      <c r="BP465" s="24">
        <f t="shared" si="119"/>
        <v>0</v>
      </c>
    </row>
    <row r="466" spans="2:68" s="24" customFormat="1" ht="12.75" x14ac:dyDescent="0.2">
      <c r="B466" s="97"/>
      <c r="C466" s="92"/>
      <c r="D466" s="92"/>
      <c r="E466" s="92"/>
      <c r="F466" s="31" t="str">
        <f>IF(G466=1,IF(ISERROR(TableCosts[[#This Row],[N_Tariff]]),Err_Message1,IF(TableCosts[[#This Row],[N_Tariff]]=0,Err_Message2,VLOOKUP(C466&amp;TableCosts[[#This Row],[Calc_N_Typ]],TRAN_STRITEMS_LABEL,5,FALSE))),"")</f>
        <v/>
      </c>
      <c r="G466" s="31">
        <f t="shared" si="108"/>
        <v>0</v>
      </c>
      <c r="H466" s="31" t="str">
        <f>IF(G466=1,IFERROR(VLOOKUP(F466,Tab_ErrMessage[],2,0),VLOOKUP(C466&amp;TableCosts[[#This Row],[Calc_N_Typ]],TRAN_STRITEMS_LABEL,4,FALSE)),"")</f>
        <v/>
      </c>
      <c r="I466" s="94"/>
      <c r="J466" s="94"/>
      <c r="K466" s="94"/>
      <c r="L466" s="84"/>
      <c r="M466" s="84"/>
      <c r="N466" s="84"/>
      <c r="O466" s="84"/>
      <c r="P466" s="84"/>
      <c r="Q466" s="84"/>
      <c r="R466" s="84"/>
      <c r="S466" s="84"/>
      <c r="T466" s="84"/>
      <c r="U466" s="84"/>
      <c r="V466" s="84"/>
      <c r="W466" s="84"/>
      <c r="X466" s="84"/>
      <c r="Y466" s="84"/>
      <c r="Z466" s="84"/>
      <c r="AA466" s="84"/>
      <c r="AB466" s="84"/>
      <c r="AC466" s="84"/>
      <c r="AD466" s="84"/>
      <c r="AE466" s="84"/>
      <c r="AF466" s="84"/>
      <c r="AG466" s="84"/>
      <c r="AH466" s="84"/>
      <c r="AI466" s="84"/>
      <c r="AJ466" s="84"/>
      <c r="AK466" s="84"/>
      <c r="AL466" s="84"/>
      <c r="AM466" s="84"/>
      <c r="AN466" s="84"/>
      <c r="AO466" s="84"/>
      <c r="AP466" s="84"/>
      <c r="AQ466" s="84"/>
      <c r="AR466" s="84"/>
      <c r="AS466" s="84"/>
      <c r="AT466" s="84"/>
      <c r="AU466" s="84"/>
      <c r="AV466" s="84"/>
      <c r="AW466" s="84"/>
      <c r="AX466" s="87">
        <f t="array" ref="AX466">IF(G466=1,SUM((ROW(M0)=ROW(AW466))*(M0+M1_+M2_+M3_+M4_+M5_+M6_+M7_+M8_+M9_+M10_+M11_+M12_+M13_+M14_+M15_+M16_+M17_+M18_+M19_+M20_+M21_+M22_+M23_+M24_+M25_+M26_+M27_+M28_+M29_+M30_+M31_+M32_+M33_+M34_+M35_+M36_+M37_)),0)</f>
        <v>0</v>
      </c>
      <c r="AZ466" s="24" t="str">
        <f t="shared" si="109"/>
        <v/>
      </c>
      <c r="BA466" s="24" t="str">
        <f t="shared" si="110"/>
        <v/>
      </c>
      <c r="BB466" s="24" t="str">
        <f t="shared" si="111"/>
        <v/>
      </c>
      <c r="BC466" s="24" t="str">
        <f>IF(OR(E466="",LEFT(TableCosts[[#This Row],[Calc_N_Typ]],18)="Vynaložené náklady"),"",VLOOKUP(E466,Tab_Parts,2,0))</f>
        <v/>
      </c>
      <c r="BD466" s="24" t="str">
        <f t="shared" si="112"/>
        <v/>
      </c>
      <c r="BE466" s="24">
        <f t="shared" si="113"/>
        <v>0</v>
      </c>
      <c r="BF466" s="72">
        <f>TableCosts[[#This Row],[N_Amount]]*TableCosts[[#This Row],[N_Tariff]]*TableCosts[[#This Row],[N_ItemsCount]]</f>
        <v>0</v>
      </c>
      <c r="BG466" s="72">
        <f>IF(G466=1,IF(TableCosts[[#This Row],[N_Kateg]]="interné práce",TableCosts[[#This Row],[N_Amount]]*8*PAR_SGA_PERHOUR,0),0)</f>
        <v>0</v>
      </c>
      <c r="BH466" s="72">
        <f>SUM(TableCosts[[#This Row],[N_Direct]:[N_SGA]])</f>
        <v>0</v>
      </c>
      <c r="BI466" s="24">
        <f>IF(G466=1,IF(OR(AND(NOT(ISERROR(VLOOKUP(TableCosts[[#This Row],[Calc_N_Typ]],Cis_WorkPositions,1,0))),C466&lt;&gt;"",D466&lt;&gt;"",E466&lt;&gt;""),AND(ISERROR(VLOOKUP(TableCosts[[#This Row],[Calc_N_Typ]],Cis_WorkPositions,1,0)),C466="",D466="",E466&lt;&gt;""),LEFT(TableCosts[[#This Row],[Calc_N_Typ]],18)="Vynaložené náklady"),VLOOKUP(C466&amp;TableCosts[[#This Row],[Calc_N_Typ]],TRAN_STRITEMS_LABEL,VLOOKUP(D466,Tab_Hours,3,0),0),NA()),0)</f>
        <v>0</v>
      </c>
      <c r="BJ466" s="24">
        <f t="shared" si="114"/>
        <v>0</v>
      </c>
      <c r="BK466" s="24" t="str">
        <f t="shared" si="115"/>
        <v/>
      </c>
      <c r="BL466" s="24" t="str">
        <f t="shared" si="116"/>
        <v/>
      </c>
      <c r="BM466" s="24" t="str">
        <f>IF(G466=1,IF(TableCosts[[#This Row],[TransferFrom]]=TableCosts[[#This Row],[TranferTo]],0,1),"")</f>
        <v/>
      </c>
      <c r="BN466" s="24" t="str">
        <f t="shared" si="117"/>
        <v/>
      </c>
      <c r="BO466" s="24">
        <f t="shared" si="118"/>
        <v>0</v>
      </c>
      <c r="BP466" s="24">
        <f t="shared" si="119"/>
        <v>0</v>
      </c>
    </row>
    <row r="467" spans="2:68" s="24" customFormat="1" ht="12.75" x14ac:dyDescent="0.2">
      <c r="B467" s="97"/>
      <c r="C467" s="92"/>
      <c r="D467" s="92"/>
      <c r="E467" s="92"/>
      <c r="F467" s="31" t="str">
        <f>IF(G467=1,IF(ISERROR(TableCosts[[#This Row],[N_Tariff]]),Err_Message1,IF(TableCosts[[#This Row],[N_Tariff]]=0,Err_Message2,VLOOKUP(C467&amp;TableCosts[[#This Row],[Calc_N_Typ]],TRAN_STRITEMS_LABEL,5,FALSE))),"")</f>
        <v/>
      </c>
      <c r="G467" s="31">
        <f t="shared" si="108"/>
        <v>0</v>
      </c>
      <c r="H467" s="31" t="str">
        <f>IF(G467=1,IFERROR(VLOOKUP(F467,Tab_ErrMessage[],2,0),VLOOKUP(C467&amp;TableCosts[[#This Row],[Calc_N_Typ]],TRAN_STRITEMS_LABEL,4,FALSE)),"")</f>
        <v/>
      </c>
      <c r="I467" s="94"/>
      <c r="J467" s="94"/>
      <c r="K467" s="94"/>
      <c r="L467" s="84"/>
      <c r="M467" s="84"/>
      <c r="N467" s="84"/>
      <c r="O467" s="84"/>
      <c r="P467" s="84"/>
      <c r="Q467" s="84"/>
      <c r="R467" s="84"/>
      <c r="S467" s="84"/>
      <c r="T467" s="84"/>
      <c r="U467" s="84"/>
      <c r="V467" s="84"/>
      <c r="W467" s="84"/>
      <c r="X467" s="84"/>
      <c r="Y467" s="84"/>
      <c r="Z467" s="84"/>
      <c r="AA467" s="84"/>
      <c r="AB467" s="84"/>
      <c r="AC467" s="84"/>
      <c r="AD467" s="84"/>
      <c r="AE467" s="84"/>
      <c r="AF467" s="84"/>
      <c r="AG467" s="84"/>
      <c r="AH467" s="84"/>
      <c r="AI467" s="84"/>
      <c r="AJ467" s="84"/>
      <c r="AK467" s="84"/>
      <c r="AL467" s="84"/>
      <c r="AM467" s="84"/>
      <c r="AN467" s="84"/>
      <c r="AO467" s="84"/>
      <c r="AP467" s="84"/>
      <c r="AQ467" s="84"/>
      <c r="AR467" s="84"/>
      <c r="AS467" s="84"/>
      <c r="AT467" s="84"/>
      <c r="AU467" s="84"/>
      <c r="AV467" s="84"/>
      <c r="AW467" s="84"/>
      <c r="AX467" s="87">
        <f t="array" ref="AX467">IF(G467=1,SUM((ROW(M0)=ROW(AW467))*(M0+M1_+M2_+M3_+M4_+M5_+M6_+M7_+M8_+M9_+M10_+M11_+M12_+M13_+M14_+M15_+M16_+M17_+M18_+M19_+M20_+M21_+M22_+M23_+M24_+M25_+M26_+M27_+M28_+M29_+M30_+M31_+M32_+M33_+M34_+M35_+M36_+M37_)),0)</f>
        <v>0</v>
      </c>
      <c r="AZ467" s="24" t="str">
        <f t="shared" si="109"/>
        <v/>
      </c>
      <c r="BA467" s="24" t="str">
        <f t="shared" si="110"/>
        <v/>
      </c>
      <c r="BB467" s="24" t="str">
        <f t="shared" si="111"/>
        <v/>
      </c>
      <c r="BC467" s="24" t="str">
        <f>IF(OR(E467="",LEFT(TableCosts[[#This Row],[Calc_N_Typ]],18)="Vynaložené náklady"),"",VLOOKUP(E467,Tab_Parts,2,0))</f>
        <v/>
      </c>
      <c r="BD467" s="24" t="str">
        <f t="shared" si="112"/>
        <v/>
      </c>
      <c r="BE467" s="24">
        <f t="shared" si="113"/>
        <v>0</v>
      </c>
      <c r="BF467" s="72">
        <f>TableCosts[[#This Row],[N_Amount]]*TableCosts[[#This Row],[N_Tariff]]*TableCosts[[#This Row],[N_ItemsCount]]</f>
        <v>0</v>
      </c>
      <c r="BG467" s="72">
        <f>IF(G467=1,IF(TableCosts[[#This Row],[N_Kateg]]="interné práce",TableCosts[[#This Row],[N_Amount]]*8*PAR_SGA_PERHOUR,0),0)</f>
        <v>0</v>
      </c>
      <c r="BH467" s="72">
        <f>SUM(TableCosts[[#This Row],[N_Direct]:[N_SGA]])</f>
        <v>0</v>
      </c>
      <c r="BI467" s="24">
        <f>IF(G467=1,IF(OR(AND(NOT(ISERROR(VLOOKUP(TableCosts[[#This Row],[Calc_N_Typ]],Cis_WorkPositions,1,0))),C467&lt;&gt;"",D467&lt;&gt;"",E467&lt;&gt;""),AND(ISERROR(VLOOKUP(TableCosts[[#This Row],[Calc_N_Typ]],Cis_WorkPositions,1,0)),C467="",D467="",E467&lt;&gt;""),LEFT(TableCosts[[#This Row],[Calc_N_Typ]],18)="Vynaložené náklady"),VLOOKUP(C467&amp;TableCosts[[#This Row],[Calc_N_Typ]],TRAN_STRITEMS_LABEL,VLOOKUP(D467,Tab_Hours,3,0),0),NA()),0)</f>
        <v>0</v>
      </c>
      <c r="BJ467" s="24">
        <f t="shared" si="114"/>
        <v>0</v>
      </c>
      <c r="BK467" s="24" t="str">
        <f t="shared" si="115"/>
        <v/>
      </c>
      <c r="BL467" s="24" t="str">
        <f t="shared" si="116"/>
        <v/>
      </c>
      <c r="BM467" s="24" t="str">
        <f>IF(G467=1,IF(TableCosts[[#This Row],[TransferFrom]]=TableCosts[[#This Row],[TranferTo]],0,1),"")</f>
        <v/>
      </c>
      <c r="BN467" s="24" t="str">
        <f t="shared" si="117"/>
        <v/>
      </c>
      <c r="BO467" s="24">
        <f t="shared" si="118"/>
        <v>0</v>
      </c>
      <c r="BP467" s="24">
        <f t="shared" si="119"/>
        <v>0</v>
      </c>
    </row>
    <row r="468" spans="2:68" s="24" customFormat="1" ht="12.75" x14ac:dyDescent="0.2">
      <c r="B468" s="97"/>
      <c r="C468" s="92"/>
      <c r="D468" s="92"/>
      <c r="E468" s="92"/>
      <c r="F468" s="31" t="str">
        <f>IF(G468=1,IF(ISERROR(TableCosts[[#This Row],[N_Tariff]]),Err_Message1,IF(TableCosts[[#This Row],[N_Tariff]]=0,Err_Message2,VLOOKUP(C468&amp;TableCosts[[#This Row],[Calc_N_Typ]],TRAN_STRITEMS_LABEL,5,FALSE))),"")</f>
        <v/>
      </c>
      <c r="G468" s="31">
        <f t="shared" si="108"/>
        <v>0</v>
      </c>
      <c r="H468" s="31" t="str">
        <f>IF(G468=1,IFERROR(VLOOKUP(F468,Tab_ErrMessage[],2,0),VLOOKUP(C468&amp;TableCosts[[#This Row],[Calc_N_Typ]],TRAN_STRITEMS_LABEL,4,FALSE)),"")</f>
        <v/>
      </c>
      <c r="I468" s="94"/>
      <c r="J468" s="94"/>
      <c r="K468" s="94"/>
      <c r="L468" s="84"/>
      <c r="M468" s="84"/>
      <c r="N468" s="84"/>
      <c r="O468" s="84"/>
      <c r="P468" s="84"/>
      <c r="Q468" s="84"/>
      <c r="R468" s="84"/>
      <c r="S468" s="84"/>
      <c r="T468" s="84"/>
      <c r="U468" s="84"/>
      <c r="V468" s="84"/>
      <c r="W468" s="84"/>
      <c r="X468" s="84"/>
      <c r="Y468" s="84"/>
      <c r="Z468" s="84"/>
      <c r="AA468" s="84"/>
      <c r="AB468" s="84"/>
      <c r="AC468" s="84"/>
      <c r="AD468" s="84"/>
      <c r="AE468" s="84"/>
      <c r="AF468" s="84"/>
      <c r="AG468" s="84"/>
      <c r="AH468" s="84"/>
      <c r="AI468" s="84"/>
      <c r="AJ468" s="84"/>
      <c r="AK468" s="84"/>
      <c r="AL468" s="84"/>
      <c r="AM468" s="84"/>
      <c r="AN468" s="84"/>
      <c r="AO468" s="84"/>
      <c r="AP468" s="84"/>
      <c r="AQ468" s="84"/>
      <c r="AR468" s="84"/>
      <c r="AS468" s="84"/>
      <c r="AT468" s="84"/>
      <c r="AU468" s="84"/>
      <c r="AV468" s="84"/>
      <c r="AW468" s="84"/>
      <c r="AX468" s="87">
        <f t="array" ref="AX468">IF(G468=1,SUM((ROW(M0)=ROW(AW468))*(M0+M1_+M2_+M3_+M4_+M5_+M6_+M7_+M8_+M9_+M10_+M11_+M12_+M13_+M14_+M15_+M16_+M17_+M18_+M19_+M20_+M21_+M22_+M23_+M24_+M25_+M26_+M27_+M28_+M29_+M30_+M31_+M32_+M33_+M34_+M35_+M36_+M37_)),0)</f>
        <v>0</v>
      </c>
      <c r="AZ468" s="24" t="str">
        <f t="shared" si="109"/>
        <v/>
      </c>
      <c r="BA468" s="24" t="str">
        <f t="shared" si="110"/>
        <v/>
      </c>
      <c r="BB468" s="24" t="str">
        <f t="shared" si="111"/>
        <v/>
      </c>
      <c r="BC468" s="24" t="str">
        <f>IF(OR(E468="",LEFT(TableCosts[[#This Row],[Calc_N_Typ]],18)="Vynaložené náklady"),"",VLOOKUP(E468,Tab_Parts,2,0))</f>
        <v/>
      </c>
      <c r="BD468" s="24" t="str">
        <f t="shared" si="112"/>
        <v/>
      </c>
      <c r="BE468" s="24">
        <f t="shared" si="113"/>
        <v>0</v>
      </c>
      <c r="BF468" s="72">
        <f>TableCosts[[#This Row],[N_Amount]]*TableCosts[[#This Row],[N_Tariff]]*TableCosts[[#This Row],[N_ItemsCount]]</f>
        <v>0</v>
      </c>
      <c r="BG468" s="72">
        <f>IF(G468=1,IF(TableCosts[[#This Row],[N_Kateg]]="interné práce",TableCosts[[#This Row],[N_Amount]]*8*PAR_SGA_PERHOUR,0),0)</f>
        <v>0</v>
      </c>
      <c r="BH468" s="72">
        <f>SUM(TableCosts[[#This Row],[N_Direct]:[N_SGA]])</f>
        <v>0</v>
      </c>
      <c r="BI468" s="24">
        <f>IF(G468=1,IF(OR(AND(NOT(ISERROR(VLOOKUP(TableCosts[[#This Row],[Calc_N_Typ]],Cis_WorkPositions,1,0))),C468&lt;&gt;"",D468&lt;&gt;"",E468&lt;&gt;""),AND(ISERROR(VLOOKUP(TableCosts[[#This Row],[Calc_N_Typ]],Cis_WorkPositions,1,0)),C468="",D468="",E468&lt;&gt;""),LEFT(TableCosts[[#This Row],[Calc_N_Typ]],18)="Vynaložené náklady"),VLOOKUP(C468&amp;TableCosts[[#This Row],[Calc_N_Typ]],TRAN_STRITEMS_LABEL,VLOOKUP(D468,Tab_Hours,3,0),0),NA()),0)</f>
        <v>0</v>
      </c>
      <c r="BJ468" s="24">
        <f t="shared" si="114"/>
        <v>0</v>
      </c>
      <c r="BK468" s="24" t="str">
        <f t="shared" si="115"/>
        <v/>
      </c>
      <c r="BL468" s="24" t="str">
        <f t="shared" si="116"/>
        <v/>
      </c>
      <c r="BM468" s="24" t="str">
        <f>IF(G468=1,IF(TableCosts[[#This Row],[TransferFrom]]=TableCosts[[#This Row],[TranferTo]],0,1),"")</f>
        <v/>
      </c>
      <c r="BN468" s="24" t="str">
        <f t="shared" si="117"/>
        <v/>
      </c>
      <c r="BO468" s="24">
        <f t="shared" si="118"/>
        <v>0</v>
      </c>
      <c r="BP468" s="24">
        <f t="shared" si="119"/>
        <v>0</v>
      </c>
    </row>
    <row r="469" spans="2:68" s="24" customFormat="1" ht="12.75" x14ac:dyDescent="0.2">
      <c r="B469" s="97"/>
      <c r="C469" s="92"/>
      <c r="D469" s="92"/>
      <c r="E469" s="92"/>
      <c r="F469" s="31" t="str">
        <f>IF(G469=1,IF(ISERROR(TableCosts[[#This Row],[N_Tariff]]),Err_Message1,IF(TableCosts[[#This Row],[N_Tariff]]=0,Err_Message2,VLOOKUP(C469&amp;TableCosts[[#This Row],[Calc_N_Typ]],TRAN_STRITEMS_LABEL,5,FALSE))),"")</f>
        <v/>
      </c>
      <c r="G469" s="31">
        <f t="shared" si="108"/>
        <v>0</v>
      </c>
      <c r="H469" s="31" t="str">
        <f>IF(G469=1,IFERROR(VLOOKUP(F469,Tab_ErrMessage[],2,0),VLOOKUP(C469&amp;TableCosts[[#This Row],[Calc_N_Typ]],TRAN_STRITEMS_LABEL,4,FALSE)),"")</f>
        <v/>
      </c>
      <c r="I469" s="94"/>
      <c r="J469" s="94"/>
      <c r="K469" s="94"/>
      <c r="L469" s="84"/>
      <c r="M469" s="84"/>
      <c r="N469" s="84"/>
      <c r="O469" s="84"/>
      <c r="P469" s="84"/>
      <c r="Q469" s="84"/>
      <c r="R469" s="84"/>
      <c r="S469" s="84"/>
      <c r="T469" s="84"/>
      <c r="U469" s="84"/>
      <c r="V469" s="84"/>
      <c r="W469" s="84"/>
      <c r="X469" s="84"/>
      <c r="Y469" s="84"/>
      <c r="Z469" s="84"/>
      <c r="AA469" s="84"/>
      <c r="AB469" s="84"/>
      <c r="AC469" s="84"/>
      <c r="AD469" s="84"/>
      <c r="AE469" s="84"/>
      <c r="AF469" s="84"/>
      <c r="AG469" s="84"/>
      <c r="AH469" s="84"/>
      <c r="AI469" s="84"/>
      <c r="AJ469" s="84"/>
      <c r="AK469" s="84"/>
      <c r="AL469" s="84"/>
      <c r="AM469" s="84"/>
      <c r="AN469" s="84"/>
      <c r="AO469" s="84"/>
      <c r="AP469" s="84"/>
      <c r="AQ469" s="84"/>
      <c r="AR469" s="84"/>
      <c r="AS469" s="84"/>
      <c r="AT469" s="84"/>
      <c r="AU469" s="84"/>
      <c r="AV469" s="84"/>
      <c r="AW469" s="84"/>
      <c r="AX469" s="87">
        <f t="array" ref="AX469">IF(G469=1,SUM((ROW(M0)=ROW(AW469))*(M0+M1_+M2_+M3_+M4_+M5_+M6_+M7_+M8_+M9_+M10_+M11_+M12_+M13_+M14_+M15_+M16_+M17_+M18_+M19_+M20_+M21_+M22_+M23_+M24_+M25_+M26_+M27_+M28_+M29_+M30_+M31_+M32_+M33_+M34_+M35_+M36_+M37_)),0)</f>
        <v>0</v>
      </c>
      <c r="AZ469" s="24" t="str">
        <f t="shared" si="109"/>
        <v/>
      </c>
      <c r="BA469" s="24" t="str">
        <f t="shared" si="110"/>
        <v/>
      </c>
      <c r="BB469" s="24" t="str">
        <f t="shared" si="111"/>
        <v/>
      </c>
      <c r="BC469" s="24" t="str">
        <f>IF(OR(E469="",LEFT(TableCosts[[#This Row],[Calc_N_Typ]],18)="Vynaložené náklady"),"",VLOOKUP(E469,Tab_Parts,2,0))</f>
        <v/>
      </c>
      <c r="BD469" s="24" t="str">
        <f t="shared" si="112"/>
        <v/>
      </c>
      <c r="BE469" s="24">
        <f t="shared" si="113"/>
        <v>0</v>
      </c>
      <c r="BF469" s="72">
        <f>TableCosts[[#This Row],[N_Amount]]*TableCosts[[#This Row],[N_Tariff]]*TableCosts[[#This Row],[N_ItemsCount]]</f>
        <v>0</v>
      </c>
      <c r="BG469" s="72">
        <f>IF(G469=1,IF(TableCosts[[#This Row],[N_Kateg]]="interné práce",TableCosts[[#This Row],[N_Amount]]*8*PAR_SGA_PERHOUR,0),0)</f>
        <v>0</v>
      </c>
      <c r="BH469" s="72">
        <f>SUM(TableCosts[[#This Row],[N_Direct]:[N_SGA]])</f>
        <v>0</v>
      </c>
      <c r="BI469" s="24">
        <f>IF(G469=1,IF(OR(AND(NOT(ISERROR(VLOOKUP(TableCosts[[#This Row],[Calc_N_Typ]],Cis_WorkPositions,1,0))),C469&lt;&gt;"",D469&lt;&gt;"",E469&lt;&gt;""),AND(ISERROR(VLOOKUP(TableCosts[[#This Row],[Calc_N_Typ]],Cis_WorkPositions,1,0)),C469="",D469="",E469&lt;&gt;""),LEFT(TableCosts[[#This Row],[Calc_N_Typ]],18)="Vynaložené náklady"),VLOOKUP(C469&amp;TableCosts[[#This Row],[Calc_N_Typ]],TRAN_STRITEMS_LABEL,VLOOKUP(D469,Tab_Hours,3,0),0),NA()),0)</f>
        <v>0</v>
      </c>
      <c r="BJ469" s="24">
        <f t="shared" si="114"/>
        <v>0</v>
      </c>
      <c r="BK469" s="24" t="str">
        <f t="shared" si="115"/>
        <v/>
      </c>
      <c r="BL469" s="24" t="str">
        <f t="shared" si="116"/>
        <v/>
      </c>
      <c r="BM469" s="24" t="str">
        <f>IF(G469=1,IF(TableCosts[[#This Row],[TransferFrom]]=TableCosts[[#This Row],[TranferTo]],0,1),"")</f>
        <v/>
      </c>
      <c r="BN469" s="24" t="str">
        <f t="shared" si="117"/>
        <v/>
      </c>
      <c r="BO469" s="24">
        <f t="shared" si="118"/>
        <v>0</v>
      </c>
      <c r="BP469" s="24">
        <f t="shared" si="119"/>
        <v>0</v>
      </c>
    </row>
    <row r="470" spans="2:68" s="24" customFormat="1" ht="12.75" x14ac:dyDescent="0.2">
      <c r="B470" s="97"/>
      <c r="C470" s="92"/>
      <c r="D470" s="92"/>
      <c r="E470" s="92"/>
      <c r="F470" s="31" t="str">
        <f>IF(G470=1,IF(ISERROR(TableCosts[[#This Row],[N_Tariff]]),Err_Message1,IF(TableCosts[[#This Row],[N_Tariff]]=0,Err_Message2,VLOOKUP(C470&amp;TableCosts[[#This Row],[Calc_N_Typ]],TRAN_STRITEMS_LABEL,5,FALSE))),"")</f>
        <v/>
      </c>
      <c r="G470" s="31">
        <f t="shared" si="108"/>
        <v>0</v>
      </c>
      <c r="H470" s="31" t="str">
        <f>IF(G470=1,IFERROR(VLOOKUP(F470,Tab_ErrMessage[],2,0),VLOOKUP(C470&amp;TableCosts[[#This Row],[Calc_N_Typ]],TRAN_STRITEMS_LABEL,4,FALSE)),"")</f>
        <v/>
      </c>
      <c r="I470" s="94"/>
      <c r="J470" s="94"/>
      <c r="K470" s="94"/>
      <c r="L470" s="84"/>
      <c r="M470" s="84"/>
      <c r="N470" s="84"/>
      <c r="O470" s="84"/>
      <c r="P470" s="84"/>
      <c r="Q470" s="84"/>
      <c r="R470" s="84"/>
      <c r="S470" s="84"/>
      <c r="T470" s="84"/>
      <c r="U470" s="84"/>
      <c r="V470" s="84"/>
      <c r="W470" s="84"/>
      <c r="X470" s="84"/>
      <c r="Y470" s="84"/>
      <c r="Z470" s="84"/>
      <c r="AA470" s="84"/>
      <c r="AB470" s="84"/>
      <c r="AC470" s="84"/>
      <c r="AD470" s="84"/>
      <c r="AE470" s="84"/>
      <c r="AF470" s="84"/>
      <c r="AG470" s="84"/>
      <c r="AH470" s="84"/>
      <c r="AI470" s="84"/>
      <c r="AJ470" s="84"/>
      <c r="AK470" s="84"/>
      <c r="AL470" s="84"/>
      <c r="AM470" s="84"/>
      <c r="AN470" s="84"/>
      <c r="AO470" s="84"/>
      <c r="AP470" s="84"/>
      <c r="AQ470" s="84"/>
      <c r="AR470" s="84"/>
      <c r="AS470" s="84"/>
      <c r="AT470" s="84"/>
      <c r="AU470" s="84"/>
      <c r="AV470" s="84"/>
      <c r="AW470" s="84"/>
      <c r="AX470" s="87">
        <f t="array" ref="AX470">IF(G470=1,SUM((ROW(M0)=ROW(AW470))*(M0+M1_+M2_+M3_+M4_+M5_+M6_+M7_+M8_+M9_+M10_+M11_+M12_+M13_+M14_+M15_+M16_+M17_+M18_+M19_+M20_+M21_+M22_+M23_+M24_+M25_+M26_+M27_+M28_+M29_+M30_+M31_+M32_+M33_+M34_+M35_+M36_+M37_)),0)</f>
        <v>0</v>
      </c>
      <c r="AZ470" s="24" t="str">
        <f t="shared" si="109"/>
        <v/>
      </c>
      <c r="BA470" s="24" t="str">
        <f t="shared" si="110"/>
        <v/>
      </c>
      <c r="BB470" s="24" t="str">
        <f t="shared" si="111"/>
        <v/>
      </c>
      <c r="BC470" s="24" t="str">
        <f>IF(OR(E470="",LEFT(TableCosts[[#This Row],[Calc_N_Typ]],18)="Vynaložené náklady"),"",VLOOKUP(E470,Tab_Parts,2,0))</f>
        <v/>
      </c>
      <c r="BD470" s="24" t="str">
        <f t="shared" si="112"/>
        <v/>
      </c>
      <c r="BE470" s="24">
        <f t="shared" si="113"/>
        <v>0</v>
      </c>
      <c r="BF470" s="72">
        <f>TableCosts[[#This Row],[N_Amount]]*TableCosts[[#This Row],[N_Tariff]]*TableCosts[[#This Row],[N_ItemsCount]]</f>
        <v>0</v>
      </c>
      <c r="BG470" s="72">
        <f>IF(G470=1,IF(TableCosts[[#This Row],[N_Kateg]]="interné práce",TableCosts[[#This Row],[N_Amount]]*8*PAR_SGA_PERHOUR,0),0)</f>
        <v>0</v>
      </c>
      <c r="BH470" s="72">
        <f>SUM(TableCosts[[#This Row],[N_Direct]:[N_SGA]])</f>
        <v>0</v>
      </c>
      <c r="BI470" s="24">
        <f>IF(G470=1,IF(OR(AND(NOT(ISERROR(VLOOKUP(TableCosts[[#This Row],[Calc_N_Typ]],Cis_WorkPositions,1,0))),C470&lt;&gt;"",D470&lt;&gt;"",E470&lt;&gt;""),AND(ISERROR(VLOOKUP(TableCosts[[#This Row],[Calc_N_Typ]],Cis_WorkPositions,1,0)),C470="",D470="",E470&lt;&gt;""),LEFT(TableCosts[[#This Row],[Calc_N_Typ]],18)="Vynaložené náklady"),VLOOKUP(C470&amp;TableCosts[[#This Row],[Calc_N_Typ]],TRAN_STRITEMS_LABEL,VLOOKUP(D470,Tab_Hours,3,0),0),NA()),0)</f>
        <v>0</v>
      </c>
      <c r="BJ470" s="24">
        <f t="shared" si="114"/>
        <v>0</v>
      </c>
      <c r="BK470" s="24" t="str">
        <f t="shared" si="115"/>
        <v/>
      </c>
      <c r="BL470" s="24" t="str">
        <f t="shared" si="116"/>
        <v/>
      </c>
      <c r="BM470" s="24" t="str">
        <f>IF(G470=1,IF(TableCosts[[#This Row],[TransferFrom]]=TableCosts[[#This Row],[TranferTo]],0,1),"")</f>
        <v/>
      </c>
      <c r="BN470" s="24" t="str">
        <f t="shared" si="117"/>
        <v/>
      </c>
      <c r="BO470" s="24">
        <f t="shared" si="118"/>
        <v>0</v>
      </c>
      <c r="BP470" s="24">
        <f t="shared" si="119"/>
        <v>0</v>
      </c>
    </row>
    <row r="471" spans="2:68" s="24" customFormat="1" ht="12.75" x14ac:dyDescent="0.2">
      <c r="B471" s="97"/>
      <c r="C471" s="92"/>
      <c r="D471" s="92"/>
      <c r="E471" s="92"/>
      <c r="F471" s="31" t="str">
        <f>IF(G471=1,IF(ISERROR(TableCosts[[#This Row],[N_Tariff]]),Err_Message1,IF(TableCosts[[#This Row],[N_Tariff]]=0,Err_Message2,VLOOKUP(C471&amp;TableCosts[[#This Row],[Calc_N_Typ]],TRAN_STRITEMS_LABEL,5,FALSE))),"")</f>
        <v/>
      </c>
      <c r="G471" s="31">
        <f t="shared" si="108"/>
        <v>0</v>
      </c>
      <c r="H471" s="31" t="str">
        <f>IF(G471=1,IFERROR(VLOOKUP(F471,Tab_ErrMessage[],2,0),VLOOKUP(C471&amp;TableCosts[[#This Row],[Calc_N_Typ]],TRAN_STRITEMS_LABEL,4,FALSE)),"")</f>
        <v/>
      </c>
      <c r="I471" s="94"/>
      <c r="J471" s="94"/>
      <c r="K471" s="94"/>
      <c r="L471" s="84"/>
      <c r="M471" s="84"/>
      <c r="N471" s="84"/>
      <c r="O471" s="84"/>
      <c r="P471" s="84"/>
      <c r="Q471" s="84"/>
      <c r="R471" s="84"/>
      <c r="S471" s="84"/>
      <c r="T471" s="84"/>
      <c r="U471" s="84"/>
      <c r="V471" s="84"/>
      <c r="W471" s="84"/>
      <c r="X471" s="84"/>
      <c r="Y471" s="84"/>
      <c r="Z471" s="84"/>
      <c r="AA471" s="84"/>
      <c r="AB471" s="84"/>
      <c r="AC471" s="84"/>
      <c r="AD471" s="84"/>
      <c r="AE471" s="84"/>
      <c r="AF471" s="84"/>
      <c r="AG471" s="84"/>
      <c r="AH471" s="84"/>
      <c r="AI471" s="84"/>
      <c r="AJ471" s="84"/>
      <c r="AK471" s="84"/>
      <c r="AL471" s="84"/>
      <c r="AM471" s="84"/>
      <c r="AN471" s="84"/>
      <c r="AO471" s="84"/>
      <c r="AP471" s="84"/>
      <c r="AQ471" s="84"/>
      <c r="AR471" s="84"/>
      <c r="AS471" s="84"/>
      <c r="AT471" s="84"/>
      <c r="AU471" s="84"/>
      <c r="AV471" s="84"/>
      <c r="AW471" s="84"/>
      <c r="AX471" s="87">
        <f t="array" ref="AX471">IF(G471=1,SUM((ROW(M0)=ROW(AW471))*(M0+M1_+M2_+M3_+M4_+M5_+M6_+M7_+M8_+M9_+M10_+M11_+M12_+M13_+M14_+M15_+M16_+M17_+M18_+M19_+M20_+M21_+M22_+M23_+M24_+M25_+M26_+M27_+M28_+M29_+M30_+M31_+M32_+M33_+M34_+M35_+M36_+M37_)),0)</f>
        <v>0</v>
      </c>
      <c r="AZ471" s="24" t="str">
        <f t="shared" si="109"/>
        <v/>
      </c>
      <c r="BA471" s="24" t="str">
        <f t="shared" si="110"/>
        <v/>
      </c>
      <c r="BB471" s="24" t="str">
        <f t="shared" si="111"/>
        <v/>
      </c>
      <c r="BC471" s="24" t="str">
        <f>IF(OR(E471="",LEFT(TableCosts[[#This Row],[Calc_N_Typ]],18)="Vynaložené náklady"),"",VLOOKUP(E471,Tab_Parts,2,0))</f>
        <v/>
      </c>
      <c r="BD471" s="24" t="str">
        <f t="shared" si="112"/>
        <v/>
      </c>
      <c r="BE471" s="24">
        <f t="shared" si="113"/>
        <v>0</v>
      </c>
      <c r="BF471" s="72">
        <f>TableCosts[[#This Row],[N_Amount]]*TableCosts[[#This Row],[N_Tariff]]*TableCosts[[#This Row],[N_ItemsCount]]</f>
        <v>0</v>
      </c>
      <c r="BG471" s="72">
        <f>IF(G471=1,IF(TableCosts[[#This Row],[N_Kateg]]="interné práce",TableCosts[[#This Row],[N_Amount]]*8*PAR_SGA_PERHOUR,0),0)</f>
        <v>0</v>
      </c>
      <c r="BH471" s="72">
        <f>SUM(TableCosts[[#This Row],[N_Direct]:[N_SGA]])</f>
        <v>0</v>
      </c>
      <c r="BI471" s="24">
        <f>IF(G471=1,IF(OR(AND(NOT(ISERROR(VLOOKUP(TableCosts[[#This Row],[Calc_N_Typ]],Cis_WorkPositions,1,0))),C471&lt;&gt;"",D471&lt;&gt;"",E471&lt;&gt;""),AND(ISERROR(VLOOKUP(TableCosts[[#This Row],[Calc_N_Typ]],Cis_WorkPositions,1,0)),C471="",D471="",E471&lt;&gt;""),LEFT(TableCosts[[#This Row],[Calc_N_Typ]],18)="Vynaložené náklady"),VLOOKUP(C471&amp;TableCosts[[#This Row],[Calc_N_Typ]],TRAN_STRITEMS_LABEL,VLOOKUP(D471,Tab_Hours,3,0),0),NA()),0)</f>
        <v>0</v>
      </c>
      <c r="BJ471" s="24">
        <f t="shared" si="114"/>
        <v>0</v>
      </c>
      <c r="BK471" s="24" t="str">
        <f t="shared" si="115"/>
        <v/>
      </c>
      <c r="BL471" s="24" t="str">
        <f t="shared" si="116"/>
        <v/>
      </c>
      <c r="BM471" s="24" t="str">
        <f>IF(G471=1,IF(TableCosts[[#This Row],[TransferFrom]]=TableCosts[[#This Row],[TranferTo]],0,1),"")</f>
        <v/>
      </c>
      <c r="BN471" s="24" t="str">
        <f t="shared" si="117"/>
        <v/>
      </c>
      <c r="BO471" s="24">
        <f t="shared" si="118"/>
        <v>0</v>
      </c>
      <c r="BP471" s="24">
        <f t="shared" si="119"/>
        <v>0</v>
      </c>
    </row>
    <row r="472" spans="2:68" s="24" customFormat="1" ht="12.75" x14ac:dyDescent="0.2">
      <c r="B472" s="97"/>
      <c r="C472" s="92"/>
      <c r="D472" s="92"/>
      <c r="E472" s="92"/>
      <c r="F472" s="31" t="str">
        <f>IF(G472=1,IF(ISERROR(TableCosts[[#This Row],[N_Tariff]]),Err_Message1,IF(TableCosts[[#This Row],[N_Tariff]]=0,Err_Message2,VLOOKUP(C472&amp;TableCosts[[#This Row],[Calc_N_Typ]],TRAN_STRITEMS_LABEL,5,FALSE))),"")</f>
        <v/>
      </c>
      <c r="G472" s="31">
        <f t="shared" si="108"/>
        <v>0</v>
      </c>
      <c r="H472" s="31" t="str">
        <f>IF(G472=1,IFERROR(VLOOKUP(F472,Tab_ErrMessage[],2,0),VLOOKUP(C472&amp;TableCosts[[#This Row],[Calc_N_Typ]],TRAN_STRITEMS_LABEL,4,FALSE)),"")</f>
        <v/>
      </c>
      <c r="I472" s="94"/>
      <c r="J472" s="94"/>
      <c r="K472" s="94"/>
      <c r="L472" s="84"/>
      <c r="M472" s="84"/>
      <c r="N472" s="84"/>
      <c r="O472" s="84"/>
      <c r="P472" s="84"/>
      <c r="Q472" s="84"/>
      <c r="R472" s="84"/>
      <c r="S472" s="84"/>
      <c r="T472" s="84"/>
      <c r="U472" s="84"/>
      <c r="V472" s="84"/>
      <c r="W472" s="84"/>
      <c r="X472" s="84"/>
      <c r="Y472" s="84"/>
      <c r="Z472" s="84"/>
      <c r="AA472" s="84"/>
      <c r="AB472" s="84"/>
      <c r="AC472" s="84"/>
      <c r="AD472" s="84"/>
      <c r="AE472" s="84"/>
      <c r="AF472" s="84"/>
      <c r="AG472" s="84"/>
      <c r="AH472" s="84"/>
      <c r="AI472" s="84"/>
      <c r="AJ472" s="84"/>
      <c r="AK472" s="84"/>
      <c r="AL472" s="84"/>
      <c r="AM472" s="84"/>
      <c r="AN472" s="84"/>
      <c r="AO472" s="84"/>
      <c r="AP472" s="84"/>
      <c r="AQ472" s="84"/>
      <c r="AR472" s="84"/>
      <c r="AS472" s="84"/>
      <c r="AT472" s="84"/>
      <c r="AU472" s="84"/>
      <c r="AV472" s="84"/>
      <c r="AW472" s="84"/>
      <c r="AX472" s="87">
        <f t="array" ref="AX472">IF(G472=1,SUM((ROW(M0)=ROW(AW472))*(M0+M1_+M2_+M3_+M4_+M5_+M6_+M7_+M8_+M9_+M10_+M11_+M12_+M13_+M14_+M15_+M16_+M17_+M18_+M19_+M20_+M21_+M22_+M23_+M24_+M25_+M26_+M27_+M28_+M29_+M30_+M31_+M32_+M33_+M34_+M35_+M36_+M37_)),0)</f>
        <v>0</v>
      </c>
      <c r="AZ472" s="24" t="str">
        <f t="shared" si="109"/>
        <v/>
      </c>
      <c r="BA472" s="24" t="str">
        <f t="shared" si="110"/>
        <v/>
      </c>
      <c r="BB472" s="24" t="str">
        <f t="shared" si="111"/>
        <v/>
      </c>
      <c r="BC472" s="24" t="str">
        <f>IF(OR(E472="",LEFT(TableCosts[[#This Row],[Calc_N_Typ]],18)="Vynaložené náklady"),"",VLOOKUP(E472,Tab_Parts,2,0))</f>
        <v/>
      </c>
      <c r="BD472" s="24" t="str">
        <f t="shared" si="112"/>
        <v/>
      </c>
      <c r="BE472" s="24">
        <f t="shared" si="113"/>
        <v>0</v>
      </c>
      <c r="BF472" s="72">
        <f>TableCosts[[#This Row],[N_Amount]]*TableCosts[[#This Row],[N_Tariff]]*TableCosts[[#This Row],[N_ItemsCount]]</f>
        <v>0</v>
      </c>
      <c r="BG472" s="72">
        <f>IF(G472=1,IF(TableCosts[[#This Row],[N_Kateg]]="interné práce",TableCosts[[#This Row],[N_Amount]]*8*PAR_SGA_PERHOUR,0),0)</f>
        <v>0</v>
      </c>
      <c r="BH472" s="72">
        <f>SUM(TableCosts[[#This Row],[N_Direct]:[N_SGA]])</f>
        <v>0</v>
      </c>
      <c r="BI472" s="24">
        <f>IF(G472=1,IF(OR(AND(NOT(ISERROR(VLOOKUP(TableCosts[[#This Row],[Calc_N_Typ]],Cis_WorkPositions,1,0))),C472&lt;&gt;"",D472&lt;&gt;"",E472&lt;&gt;""),AND(ISERROR(VLOOKUP(TableCosts[[#This Row],[Calc_N_Typ]],Cis_WorkPositions,1,0)),C472="",D472="",E472&lt;&gt;""),LEFT(TableCosts[[#This Row],[Calc_N_Typ]],18)="Vynaložené náklady"),VLOOKUP(C472&amp;TableCosts[[#This Row],[Calc_N_Typ]],TRAN_STRITEMS_LABEL,VLOOKUP(D472,Tab_Hours,3,0),0),NA()),0)</f>
        <v>0</v>
      </c>
      <c r="BJ472" s="24">
        <f t="shared" si="114"/>
        <v>0</v>
      </c>
      <c r="BK472" s="24" t="str">
        <f t="shared" si="115"/>
        <v/>
      </c>
      <c r="BL472" s="24" t="str">
        <f t="shared" si="116"/>
        <v/>
      </c>
      <c r="BM472" s="24" t="str">
        <f>IF(G472=1,IF(TableCosts[[#This Row],[TransferFrom]]=TableCosts[[#This Row],[TranferTo]],0,1),"")</f>
        <v/>
      </c>
      <c r="BN472" s="24" t="str">
        <f t="shared" si="117"/>
        <v/>
      </c>
      <c r="BO472" s="24">
        <f t="shared" si="118"/>
        <v>0</v>
      </c>
      <c r="BP472" s="24">
        <f t="shared" si="119"/>
        <v>0</v>
      </c>
    </row>
    <row r="473" spans="2:68" s="24" customFormat="1" ht="12.75" x14ac:dyDescent="0.2">
      <c r="B473" s="97"/>
      <c r="C473" s="92"/>
      <c r="D473" s="92"/>
      <c r="E473" s="92"/>
      <c r="F473" s="31" t="str">
        <f>IF(G473=1,IF(ISERROR(TableCosts[[#This Row],[N_Tariff]]),Err_Message1,IF(TableCosts[[#This Row],[N_Tariff]]=0,Err_Message2,VLOOKUP(C473&amp;TableCosts[[#This Row],[Calc_N_Typ]],TRAN_STRITEMS_LABEL,5,FALSE))),"")</f>
        <v/>
      </c>
      <c r="G473" s="31">
        <f t="shared" si="108"/>
        <v>0</v>
      </c>
      <c r="H473" s="31" t="str">
        <f>IF(G473=1,IFERROR(VLOOKUP(F473,Tab_ErrMessage[],2,0),VLOOKUP(C473&amp;TableCosts[[#This Row],[Calc_N_Typ]],TRAN_STRITEMS_LABEL,4,FALSE)),"")</f>
        <v/>
      </c>
      <c r="I473" s="94"/>
      <c r="J473" s="94"/>
      <c r="K473" s="94"/>
      <c r="L473" s="84"/>
      <c r="M473" s="84"/>
      <c r="N473" s="84"/>
      <c r="O473" s="84"/>
      <c r="P473" s="84"/>
      <c r="Q473" s="84"/>
      <c r="R473" s="84"/>
      <c r="S473" s="84"/>
      <c r="T473" s="84"/>
      <c r="U473" s="84"/>
      <c r="V473" s="84"/>
      <c r="W473" s="84"/>
      <c r="X473" s="84"/>
      <c r="Y473" s="84"/>
      <c r="Z473" s="84"/>
      <c r="AA473" s="84"/>
      <c r="AB473" s="84"/>
      <c r="AC473" s="84"/>
      <c r="AD473" s="84"/>
      <c r="AE473" s="84"/>
      <c r="AF473" s="84"/>
      <c r="AG473" s="84"/>
      <c r="AH473" s="84"/>
      <c r="AI473" s="84"/>
      <c r="AJ473" s="84"/>
      <c r="AK473" s="84"/>
      <c r="AL473" s="84"/>
      <c r="AM473" s="84"/>
      <c r="AN473" s="84"/>
      <c r="AO473" s="84"/>
      <c r="AP473" s="84"/>
      <c r="AQ473" s="84"/>
      <c r="AR473" s="84"/>
      <c r="AS473" s="84"/>
      <c r="AT473" s="84"/>
      <c r="AU473" s="84"/>
      <c r="AV473" s="84"/>
      <c r="AW473" s="84"/>
      <c r="AX473" s="87">
        <f t="array" ref="AX473">IF(G473=1,SUM((ROW(M0)=ROW(AW473))*(M0+M1_+M2_+M3_+M4_+M5_+M6_+M7_+M8_+M9_+M10_+M11_+M12_+M13_+M14_+M15_+M16_+M17_+M18_+M19_+M20_+M21_+M22_+M23_+M24_+M25_+M26_+M27_+M28_+M29_+M30_+M31_+M32_+M33_+M34_+M35_+M36_+M37_)),0)</f>
        <v>0</v>
      </c>
      <c r="AZ473" s="24" t="str">
        <f t="shared" si="109"/>
        <v/>
      </c>
      <c r="BA473" s="24" t="str">
        <f t="shared" si="110"/>
        <v/>
      </c>
      <c r="BB473" s="24" t="str">
        <f t="shared" si="111"/>
        <v/>
      </c>
      <c r="BC473" s="24" t="str">
        <f>IF(OR(E473="",LEFT(TableCosts[[#This Row],[Calc_N_Typ]],18)="Vynaložené náklady"),"",VLOOKUP(E473,Tab_Parts,2,0))</f>
        <v/>
      </c>
      <c r="BD473" s="24" t="str">
        <f t="shared" si="112"/>
        <v/>
      </c>
      <c r="BE473" s="24">
        <f t="shared" si="113"/>
        <v>0</v>
      </c>
      <c r="BF473" s="72">
        <f>TableCosts[[#This Row],[N_Amount]]*TableCosts[[#This Row],[N_Tariff]]*TableCosts[[#This Row],[N_ItemsCount]]</f>
        <v>0</v>
      </c>
      <c r="BG473" s="72">
        <f>IF(G473=1,IF(TableCosts[[#This Row],[N_Kateg]]="interné práce",TableCosts[[#This Row],[N_Amount]]*8*PAR_SGA_PERHOUR,0),0)</f>
        <v>0</v>
      </c>
      <c r="BH473" s="72">
        <f>SUM(TableCosts[[#This Row],[N_Direct]:[N_SGA]])</f>
        <v>0</v>
      </c>
      <c r="BI473" s="24">
        <f>IF(G473=1,IF(OR(AND(NOT(ISERROR(VLOOKUP(TableCosts[[#This Row],[Calc_N_Typ]],Cis_WorkPositions,1,0))),C473&lt;&gt;"",D473&lt;&gt;"",E473&lt;&gt;""),AND(ISERROR(VLOOKUP(TableCosts[[#This Row],[Calc_N_Typ]],Cis_WorkPositions,1,0)),C473="",D473="",E473&lt;&gt;""),LEFT(TableCosts[[#This Row],[Calc_N_Typ]],18)="Vynaložené náklady"),VLOOKUP(C473&amp;TableCosts[[#This Row],[Calc_N_Typ]],TRAN_STRITEMS_LABEL,VLOOKUP(D473,Tab_Hours,3,0),0),NA()),0)</f>
        <v>0</v>
      </c>
      <c r="BJ473" s="24">
        <f t="shared" si="114"/>
        <v>0</v>
      </c>
      <c r="BK473" s="24" t="str">
        <f t="shared" si="115"/>
        <v/>
      </c>
      <c r="BL473" s="24" t="str">
        <f t="shared" si="116"/>
        <v/>
      </c>
      <c r="BM473" s="24" t="str">
        <f>IF(G473=1,IF(TableCosts[[#This Row],[TransferFrom]]=TableCosts[[#This Row],[TranferTo]],0,1),"")</f>
        <v/>
      </c>
      <c r="BN473" s="24" t="str">
        <f t="shared" si="117"/>
        <v/>
      </c>
      <c r="BO473" s="24">
        <f t="shared" si="118"/>
        <v>0</v>
      </c>
      <c r="BP473" s="24">
        <f t="shared" si="119"/>
        <v>0</v>
      </c>
    </row>
    <row r="474" spans="2:68" s="24" customFormat="1" ht="12.75" x14ac:dyDescent="0.2">
      <c r="B474" s="97"/>
      <c r="C474" s="92"/>
      <c r="D474" s="92"/>
      <c r="E474" s="92"/>
      <c r="F474" s="31" t="str">
        <f>IF(G474=1,IF(ISERROR(TableCosts[[#This Row],[N_Tariff]]),Err_Message1,IF(TableCosts[[#This Row],[N_Tariff]]=0,Err_Message2,VLOOKUP(C474&amp;TableCosts[[#This Row],[Calc_N_Typ]],TRAN_STRITEMS_LABEL,5,FALSE))),"")</f>
        <v/>
      </c>
      <c r="G474" s="31">
        <f t="shared" si="108"/>
        <v>0</v>
      </c>
      <c r="H474" s="31" t="str">
        <f>IF(G474=1,IFERROR(VLOOKUP(F474,Tab_ErrMessage[],2,0),VLOOKUP(C474&amp;TableCosts[[#This Row],[Calc_N_Typ]],TRAN_STRITEMS_LABEL,4,FALSE)),"")</f>
        <v/>
      </c>
      <c r="I474" s="94"/>
      <c r="J474" s="94"/>
      <c r="K474" s="94"/>
      <c r="L474" s="84"/>
      <c r="M474" s="84"/>
      <c r="N474" s="84"/>
      <c r="O474" s="84"/>
      <c r="P474" s="84"/>
      <c r="Q474" s="84"/>
      <c r="R474" s="84"/>
      <c r="S474" s="84"/>
      <c r="T474" s="84"/>
      <c r="U474" s="84"/>
      <c r="V474" s="84"/>
      <c r="W474" s="84"/>
      <c r="X474" s="84"/>
      <c r="Y474" s="84"/>
      <c r="Z474" s="84"/>
      <c r="AA474" s="84"/>
      <c r="AB474" s="84"/>
      <c r="AC474" s="84"/>
      <c r="AD474" s="84"/>
      <c r="AE474" s="84"/>
      <c r="AF474" s="84"/>
      <c r="AG474" s="84"/>
      <c r="AH474" s="84"/>
      <c r="AI474" s="84"/>
      <c r="AJ474" s="84"/>
      <c r="AK474" s="84"/>
      <c r="AL474" s="84"/>
      <c r="AM474" s="84"/>
      <c r="AN474" s="84"/>
      <c r="AO474" s="84"/>
      <c r="AP474" s="84"/>
      <c r="AQ474" s="84"/>
      <c r="AR474" s="84"/>
      <c r="AS474" s="84"/>
      <c r="AT474" s="84"/>
      <c r="AU474" s="84"/>
      <c r="AV474" s="84"/>
      <c r="AW474" s="84"/>
      <c r="AX474" s="87">
        <f t="array" ref="AX474">IF(G474=1,SUM((ROW(M0)=ROW(AW474))*(M0+M1_+M2_+M3_+M4_+M5_+M6_+M7_+M8_+M9_+M10_+M11_+M12_+M13_+M14_+M15_+M16_+M17_+M18_+M19_+M20_+M21_+M22_+M23_+M24_+M25_+M26_+M27_+M28_+M29_+M30_+M31_+M32_+M33_+M34_+M35_+M36_+M37_)),0)</f>
        <v>0</v>
      </c>
      <c r="AZ474" s="24" t="str">
        <f t="shared" si="109"/>
        <v/>
      </c>
      <c r="BA474" s="24" t="str">
        <f t="shared" si="110"/>
        <v/>
      </c>
      <c r="BB474" s="24" t="str">
        <f t="shared" si="111"/>
        <v/>
      </c>
      <c r="BC474" s="24" t="str">
        <f>IF(OR(E474="",LEFT(TableCosts[[#This Row],[Calc_N_Typ]],18)="Vynaložené náklady"),"",VLOOKUP(E474,Tab_Parts,2,0))</f>
        <v/>
      </c>
      <c r="BD474" s="24" t="str">
        <f t="shared" si="112"/>
        <v/>
      </c>
      <c r="BE474" s="24">
        <f t="shared" si="113"/>
        <v>0</v>
      </c>
      <c r="BF474" s="72">
        <f>TableCosts[[#This Row],[N_Amount]]*TableCosts[[#This Row],[N_Tariff]]*TableCosts[[#This Row],[N_ItemsCount]]</f>
        <v>0</v>
      </c>
      <c r="BG474" s="72">
        <f>IF(G474=1,IF(TableCosts[[#This Row],[N_Kateg]]="interné práce",TableCosts[[#This Row],[N_Amount]]*8*PAR_SGA_PERHOUR,0),0)</f>
        <v>0</v>
      </c>
      <c r="BH474" s="72">
        <f>SUM(TableCosts[[#This Row],[N_Direct]:[N_SGA]])</f>
        <v>0</v>
      </c>
      <c r="BI474" s="24">
        <f>IF(G474=1,IF(OR(AND(NOT(ISERROR(VLOOKUP(TableCosts[[#This Row],[Calc_N_Typ]],Cis_WorkPositions,1,0))),C474&lt;&gt;"",D474&lt;&gt;"",E474&lt;&gt;""),AND(ISERROR(VLOOKUP(TableCosts[[#This Row],[Calc_N_Typ]],Cis_WorkPositions,1,0)),C474="",D474="",E474&lt;&gt;""),LEFT(TableCosts[[#This Row],[Calc_N_Typ]],18)="Vynaložené náklady"),VLOOKUP(C474&amp;TableCosts[[#This Row],[Calc_N_Typ]],TRAN_STRITEMS_LABEL,VLOOKUP(D474,Tab_Hours,3,0),0),NA()),0)</f>
        <v>0</v>
      </c>
      <c r="BJ474" s="24">
        <f t="shared" si="114"/>
        <v>0</v>
      </c>
      <c r="BK474" s="24" t="str">
        <f t="shared" si="115"/>
        <v/>
      </c>
      <c r="BL474" s="24" t="str">
        <f t="shared" si="116"/>
        <v/>
      </c>
      <c r="BM474" s="24" t="str">
        <f>IF(G474=1,IF(TableCosts[[#This Row],[TransferFrom]]=TableCosts[[#This Row],[TranferTo]],0,1),"")</f>
        <v/>
      </c>
      <c r="BN474" s="24" t="str">
        <f t="shared" si="117"/>
        <v/>
      </c>
      <c r="BO474" s="24">
        <f t="shared" si="118"/>
        <v>0</v>
      </c>
      <c r="BP474" s="24">
        <f t="shared" si="119"/>
        <v>0</v>
      </c>
    </row>
    <row r="475" spans="2:68" s="24" customFormat="1" ht="12.75" x14ac:dyDescent="0.2">
      <c r="B475" s="97"/>
      <c r="C475" s="92"/>
      <c r="D475" s="92"/>
      <c r="E475" s="92"/>
      <c r="F475" s="31" t="str">
        <f>IF(G475=1,IF(ISERROR(TableCosts[[#This Row],[N_Tariff]]),Err_Message1,IF(TableCosts[[#This Row],[N_Tariff]]=0,Err_Message2,VLOOKUP(C475&amp;TableCosts[[#This Row],[Calc_N_Typ]],TRAN_STRITEMS_LABEL,5,FALSE))),"")</f>
        <v/>
      </c>
      <c r="G475" s="31">
        <f t="shared" si="108"/>
        <v>0</v>
      </c>
      <c r="H475" s="31" t="str">
        <f>IF(G475=1,IFERROR(VLOOKUP(F475,Tab_ErrMessage[],2,0),VLOOKUP(C475&amp;TableCosts[[#This Row],[Calc_N_Typ]],TRAN_STRITEMS_LABEL,4,FALSE)),"")</f>
        <v/>
      </c>
      <c r="I475" s="94"/>
      <c r="J475" s="94"/>
      <c r="K475" s="94"/>
      <c r="L475" s="84"/>
      <c r="M475" s="84"/>
      <c r="N475" s="84"/>
      <c r="O475" s="84"/>
      <c r="P475" s="84"/>
      <c r="Q475" s="84"/>
      <c r="R475" s="84"/>
      <c r="S475" s="84"/>
      <c r="T475" s="84"/>
      <c r="U475" s="84"/>
      <c r="V475" s="84"/>
      <c r="W475" s="84"/>
      <c r="X475" s="84"/>
      <c r="Y475" s="84"/>
      <c r="Z475" s="84"/>
      <c r="AA475" s="84"/>
      <c r="AB475" s="84"/>
      <c r="AC475" s="84"/>
      <c r="AD475" s="84"/>
      <c r="AE475" s="84"/>
      <c r="AF475" s="84"/>
      <c r="AG475" s="84"/>
      <c r="AH475" s="84"/>
      <c r="AI475" s="84"/>
      <c r="AJ475" s="84"/>
      <c r="AK475" s="84"/>
      <c r="AL475" s="84"/>
      <c r="AM475" s="84"/>
      <c r="AN475" s="84"/>
      <c r="AO475" s="84"/>
      <c r="AP475" s="84"/>
      <c r="AQ475" s="84"/>
      <c r="AR475" s="84"/>
      <c r="AS475" s="84"/>
      <c r="AT475" s="84"/>
      <c r="AU475" s="84"/>
      <c r="AV475" s="84"/>
      <c r="AW475" s="84"/>
      <c r="AX475" s="87">
        <f t="array" ref="AX475">IF(G475=1,SUM((ROW(M0)=ROW(AW475))*(M0+M1_+M2_+M3_+M4_+M5_+M6_+M7_+M8_+M9_+M10_+M11_+M12_+M13_+M14_+M15_+M16_+M17_+M18_+M19_+M20_+M21_+M22_+M23_+M24_+M25_+M26_+M27_+M28_+M29_+M30_+M31_+M32_+M33_+M34_+M35_+M36_+M37_)),0)</f>
        <v>0</v>
      </c>
      <c r="AZ475" s="24" t="str">
        <f t="shared" si="109"/>
        <v/>
      </c>
      <c r="BA475" s="24" t="str">
        <f t="shared" si="110"/>
        <v/>
      </c>
      <c r="BB475" s="24" t="str">
        <f t="shared" si="111"/>
        <v/>
      </c>
      <c r="BC475" s="24" t="str">
        <f>IF(OR(E475="",LEFT(TableCosts[[#This Row],[Calc_N_Typ]],18)="Vynaložené náklady"),"",VLOOKUP(E475,Tab_Parts,2,0))</f>
        <v/>
      </c>
      <c r="BD475" s="24" t="str">
        <f t="shared" si="112"/>
        <v/>
      </c>
      <c r="BE475" s="24">
        <f t="shared" si="113"/>
        <v>0</v>
      </c>
      <c r="BF475" s="72">
        <f>TableCosts[[#This Row],[N_Amount]]*TableCosts[[#This Row],[N_Tariff]]*TableCosts[[#This Row],[N_ItemsCount]]</f>
        <v>0</v>
      </c>
      <c r="BG475" s="72">
        <f>IF(G475=1,IF(TableCosts[[#This Row],[N_Kateg]]="interné práce",TableCosts[[#This Row],[N_Amount]]*8*PAR_SGA_PERHOUR,0),0)</f>
        <v>0</v>
      </c>
      <c r="BH475" s="72">
        <f>SUM(TableCosts[[#This Row],[N_Direct]:[N_SGA]])</f>
        <v>0</v>
      </c>
      <c r="BI475" s="24">
        <f>IF(G475=1,IF(OR(AND(NOT(ISERROR(VLOOKUP(TableCosts[[#This Row],[Calc_N_Typ]],Cis_WorkPositions,1,0))),C475&lt;&gt;"",D475&lt;&gt;"",E475&lt;&gt;""),AND(ISERROR(VLOOKUP(TableCosts[[#This Row],[Calc_N_Typ]],Cis_WorkPositions,1,0)),C475="",D475="",E475&lt;&gt;""),LEFT(TableCosts[[#This Row],[Calc_N_Typ]],18)="Vynaložené náklady"),VLOOKUP(C475&amp;TableCosts[[#This Row],[Calc_N_Typ]],TRAN_STRITEMS_LABEL,VLOOKUP(D475,Tab_Hours,3,0),0),NA()),0)</f>
        <v>0</v>
      </c>
      <c r="BJ475" s="24">
        <f t="shared" si="114"/>
        <v>0</v>
      </c>
      <c r="BK475" s="24" t="str">
        <f t="shared" si="115"/>
        <v/>
      </c>
      <c r="BL475" s="24" t="str">
        <f t="shared" si="116"/>
        <v/>
      </c>
      <c r="BM475" s="24" t="str">
        <f>IF(G475=1,IF(TableCosts[[#This Row],[TransferFrom]]=TableCosts[[#This Row],[TranferTo]],0,1),"")</f>
        <v/>
      </c>
      <c r="BN475" s="24" t="str">
        <f t="shared" si="117"/>
        <v/>
      </c>
      <c r="BO475" s="24">
        <f t="shared" si="118"/>
        <v>0</v>
      </c>
      <c r="BP475" s="24">
        <f t="shared" si="119"/>
        <v>0</v>
      </c>
    </row>
    <row r="476" spans="2:68" s="24" customFormat="1" ht="12.75" x14ac:dyDescent="0.2">
      <c r="B476" s="97"/>
      <c r="C476" s="92"/>
      <c r="D476" s="92"/>
      <c r="E476" s="92"/>
      <c r="F476" s="31" t="str">
        <f>IF(G476=1,IF(ISERROR(TableCosts[[#This Row],[N_Tariff]]),Err_Message1,IF(TableCosts[[#This Row],[N_Tariff]]=0,Err_Message2,VLOOKUP(C476&amp;TableCosts[[#This Row],[Calc_N_Typ]],TRAN_STRITEMS_LABEL,5,FALSE))),"")</f>
        <v/>
      </c>
      <c r="G476" s="31">
        <f t="shared" si="108"/>
        <v>0</v>
      </c>
      <c r="H476" s="31" t="str">
        <f>IF(G476=1,IFERROR(VLOOKUP(F476,Tab_ErrMessage[],2,0),VLOOKUP(C476&amp;TableCosts[[#This Row],[Calc_N_Typ]],TRAN_STRITEMS_LABEL,4,FALSE)),"")</f>
        <v/>
      </c>
      <c r="I476" s="94"/>
      <c r="J476" s="94"/>
      <c r="K476" s="94"/>
      <c r="L476" s="84"/>
      <c r="M476" s="84"/>
      <c r="N476" s="84"/>
      <c r="O476" s="84"/>
      <c r="P476" s="84"/>
      <c r="Q476" s="84"/>
      <c r="R476" s="84"/>
      <c r="S476" s="84"/>
      <c r="T476" s="84"/>
      <c r="U476" s="84"/>
      <c r="V476" s="84"/>
      <c r="W476" s="84"/>
      <c r="X476" s="84"/>
      <c r="Y476" s="84"/>
      <c r="Z476" s="84"/>
      <c r="AA476" s="84"/>
      <c r="AB476" s="84"/>
      <c r="AC476" s="84"/>
      <c r="AD476" s="84"/>
      <c r="AE476" s="84"/>
      <c r="AF476" s="84"/>
      <c r="AG476" s="84"/>
      <c r="AH476" s="84"/>
      <c r="AI476" s="84"/>
      <c r="AJ476" s="84"/>
      <c r="AK476" s="84"/>
      <c r="AL476" s="84"/>
      <c r="AM476" s="84"/>
      <c r="AN476" s="84"/>
      <c r="AO476" s="84"/>
      <c r="AP476" s="84"/>
      <c r="AQ476" s="84"/>
      <c r="AR476" s="84"/>
      <c r="AS476" s="84"/>
      <c r="AT476" s="84"/>
      <c r="AU476" s="84"/>
      <c r="AV476" s="84"/>
      <c r="AW476" s="84"/>
      <c r="AX476" s="87">
        <f t="array" ref="AX476">IF(G476=1,SUM((ROW(M0)=ROW(AW476))*(M0+M1_+M2_+M3_+M4_+M5_+M6_+M7_+M8_+M9_+M10_+M11_+M12_+M13_+M14_+M15_+M16_+M17_+M18_+M19_+M20_+M21_+M22_+M23_+M24_+M25_+M26_+M27_+M28_+M29_+M30_+M31_+M32_+M33_+M34_+M35_+M36_+M37_)),0)</f>
        <v>0</v>
      </c>
      <c r="AZ476" s="24" t="str">
        <f t="shared" si="109"/>
        <v/>
      </c>
      <c r="BA476" s="24" t="str">
        <f t="shared" si="110"/>
        <v/>
      </c>
      <c r="BB476" s="24" t="str">
        <f t="shared" si="111"/>
        <v/>
      </c>
      <c r="BC476" s="24" t="str">
        <f>IF(OR(E476="",LEFT(TableCosts[[#This Row],[Calc_N_Typ]],18)="Vynaložené náklady"),"",VLOOKUP(E476,Tab_Parts,2,0))</f>
        <v/>
      </c>
      <c r="BD476" s="24" t="str">
        <f t="shared" si="112"/>
        <v/>
      </c>
      <c r="BE476" s="24">
        <f t="shared" si="113"/>
        <v>0</v>
      </c>
      <c r="BF476" s="72">
        <f>TableCosts[[#This Row],[N_Amount]]*TableCosts[[#This Row],[N_Tariff]]*TableCosts[[#This Row],[N_ItemsCount]]</f>
        <v>0</v>
      </c>
      <c r="BG476" s="72">
        <f>IF(G476=1,IF(TableCosts[[#This Row],[N_Kateg]]="interné práce",TableCosts[[#This Row],[N_Amount]]*8*PAR_SGA_PERHOUR,0),0)</f>
        <v>0</v>
      </c>
      <c r="BH476" s="72">
        <f>SUM(TableCosts[[#This Row],[N_Direct]:[N_SGA]])</f>
        <v>0</v>
      </c>
      <c r="BI476" s="24">
        <f>IF(G476=1,IF(OR(AND(NOT(ISERROR(VLOOKUP(TableCosts[[#This Row],[Calc_N_Typ]],Cis_WorkPositions,1,0))),C476&lt;&gt;"",D476&lt;&gt;"",E476&lt;&gt;""),AND(ISERROR(VLOOKUP(TableCosts[[#This Row],[Calc_N_Typ]],Cis_WorkPositions,1,0)),C476="",D476="",E476&lt;&gt;""),LEFT(TableCosts[[#This Row],[Calc_N_Typ]],18)="Vynaložené náklady"),VLOOKUP(C476&amp;TableCosts[[#This Row],[Calc_N_Typ]],TRAN_STRITEMS_LABEL,VLOOKUP(D476,Tab_Hours,3,0),0),NA()),0)</f>
        <v>0</v>
      </c>
      <c r="BJ476" s="24">
        <f t="shared" si="114"/>
        <v>0</v>
      </c>
      <c r="BK476" s="24" t="str">
        <f t="shared" si="115"/>
        <v/>
      </c>
      <c r="BL476" s="24" t="str">
        <f t="shared" si="116"/>
        <v/>
      </c>
      <c r="BM476" s="24" t="str">
        <f>IF(G476=1,IF(TableCosts[[#This Row],[TransferFrom]]=TableCosts[[#This Row],[TranferTo]],0,1),"")</f>
        <v/>
      </c>
      <c r="BN476" s="24" t="str">
        <f t="shared" si="117"/>
        <v/>
      </c>
      <c r="BO476" s="24">
        <f t="shared" si="118"/>
        <v>0</v>
      </c>
      <c r="BP476" s="24">
        <f t="shared" si="119"/>
        <v>0</v>
      </c>
    </row>
    <row r="477" spans="2:68" s="24" customFormat="1" ht="12.75" x14ac:dyDescent="0.2">
      <c r="B477" s="97"/>
      <c r="C477" s="92"/>
      <c r="D477" s="92"/>
      <c r="E477" s="92"/>
      <c r="F477" s="31" t="str">
        <f>IF(G477=1,IF(ISERROR(TableCosts[[#This Row],[N_Tariff]]),Err_Message1,IF(TableCosts[[#This Row],[N_Tariff]]=0,Err_Message2,VLOOKUP(C477&amp;TableCosts[[#This Row],[Calc_N_Typ]],TRAN_STRITEMS_LABEL,5,FALSE))),"")</f>
        <v/>
      </c>
      <c r="G477" s="31">
        <f t="shared" si="108"/>
        <v>0</v>
      </c>
      <c r="H477" s="31" t="str">
        <f>IF(G477=1,IFERROR(VLOOKUP(F477,Tab_ErrMessage[],2,0),VLOOKUP(C477&amp;TableCosts[[#This Row],[Calc_N_Typ]],TRAN_STRITEMS_LABEL,4,FALSE)),"")</f>
        <v/>
      </c>
      <c r="I477" s="94"/>
      <c r="J477" s="94"/>
      <c r="K477" s="94"/>
      <c r="L477" s="84"/>
      <c r="M477" s="84"/>
      <c r="N477" s="84"/>
      <c r="O477" s="84"/>
      <c r="P477" s="84"/>
      <c r="Q477" s="84"/>
      <c r="R477" s="84"/>
      <c r="S477" s="84"/>
      <c r="T477" s="84"/>
      <c r="U477" s="84"/>
      <c r="V477" s="84"/>
      <c r="W477" s="84"/>
      <c r="X477" s="84"/>
      <c r="Y477" s="84"/>
      <c r="Z477" s="84"/>
      <c r="AA477" s="84"/>
      <c r="AB477" s="84"/>
      <c r="AC477" s="84"/>
      <c r="AD477" s="84"/>
      <c r="AE477" s="84"/>
      <c r="AF477" s="84"/>
      <c r="AG477" s="84"/>
      <c r="AH477" s="84"/>
      <c r="AI477" s="84"/>
      <c r="AJ477" s="84"/>
      <c r="AK477" s="84"/>
      <c r="AL477" s="84"/>
      <c r="AM477" s="84"/>
      <c r="AN477" s="84"/>
      <c r="AO477" s="84"/>
      <c r="AP477" s="84"/>
      <c r="AQ477" s="84"/>
      <c r="AR477" s="84"/>
      <c r="AS477" s="84"/>
      <c r="AT477" s="84"/>
      <c r="AU477" s="84"/>
      <c r="AV477" s="84"/>
      <c r="AW477" s="84"/>
      <c r="AX477" s="87">
        <f t="array" ref="AX477">IF(G477=1,SUM((ROW(M0)=ROW(AW477))*(M0+M1_+M2_+M3_+M4_+M5_+M6_+M7_+M8_+M9_+M10_+M11_+M12_+M13_+M14_+M15_+M16_+M17_+M18_+M19_+M20_+M21_+M22_+M23_+M24_+M25_+M26_+M27_+M28_+M29_+M30_+M31_+M32_+M33_+M34_+M35_+M36_+M37_)),0)</f>
        <v>0</v>
      </c>
      <c r="AZ477" s="24" t="str">
        <f t="shared" si="109"/>
        <v/>
      </c>
      <c r="BA477" s="24" t="str">
        <f t="shared" si="110"/>
        <v/>
      </c>
      <c r="BB477" s="24" t="str">
        <f t="shared" si="111"/>
        <v/>
      </c>
      <c r="BC477" s="24" t="str">
        <f>IF(OR(E477="",LEFT(TableCosts[[#This Row],[Calc_N_Typ]],18)="Vynaložené náklady"),"",VLOOKUP(E477,Tab_Parts,2,0))</f>
        <v/>
      </c>
      <c r="BD477" s="24" t="str">
        <f t="shared" si="112"/>
        <v/>
      </c>
      <c r="BE477" s="24">
        <f t="shared" si="113"/>
        <v>0</v>
      </c>
      <c r="BF477" s="72">
        <f>TableCosts[[#This Row],[N_Amount]]*TableCosts[[#This Row],[N_Tariff]]*TableCosts[[#This Row],[N_ItemsCount]]</f>
        <v>0</v>
      </c>
      <c r="BG477" s="72">
        <f>IF(G477=1,IF(TableCosts[[#This Row],[N_Kateg]]="interné práce",TableCosts[[#This Row],[N_Amount]]*8*PAR_SGA_PERHOUR,0),0)</f>
        <v>0</v>
      </c>
      <c r="BH477" s="72">
        <f>SUM(TableCosts[[#This Row],[N_Direct]:[N_SGA]])</f>
        <v>0</v>
      </c>
      <c r="BI477" s="24">
        <f>IF(G477=1,IF(OR(AND(NOT(ISERROR(VLOOKUP(TableCosts[[#This Row],[Calc_N_Typ]],Cis_WorkPositions,1,0))),C477&lt;&gt;"",D477&lt;&gt;"",E477&lt;&gt;""),AND(ISERROR(VLOOKUP(TableCosts[[#This Row],[Calc_N_Typ]],Cis_WorkPositions,1,0)),C477="",D477="",E477&lt;&gt;""),LEFT(TableCosts[[#This Row],[Calc_N_Typ]],18)="Vynaložené náklady"),VLOOKUP(C477&amp;TableCosts[[#This Row],[Calc_N_Typ]],TRAN_STRITEMS_LABEL,VLOOKUP(D477,Tab_Hours,3,0),0),NA()),0)</f>
        <v>0</v>
      </c>
      <c r="BJ477" s="24">
        <f t="shared" si="114"/>
        <v>0</v>
      </c>
      <c r="BK477" s="24" t="str">
        <f t="shared" si="115"/>
        <v/>
      </c>
      <c r="BL477" s="24" t="str">
        <f t="shared" si="116"/>
        <v/>
      </c>
      <c r="BM477" s="24" t="str">
        <f>IF(G477=1,IF(TableCosts[[#This Row],[TransferFrom]]=TableCosts[[#This Row],[TranferTo]],0,1),"")</f>
        <v/>
      </c>
      <c r="BN477" s="24" t="str">
        <f t="shared" si="117"/>
        <v/>
      </c>
      <c r="BO477" s="24">
        <f t="shared" si="118"/>
        <v>0</v>
      </c>
      <c r="BP477" s="24">
        <f t="shared" si="119"/>
        <v>0</v>
      </c>
    </row>
    <row r="478" spans="2:68" s="24" customFormat="1" ht="12.75" x14ac:dyDescent="0.2">
      <c r="B478" s="97"/>
      <c r="C478" s="92"/>
      <c r="D478" s="92"/>
      <c r="E478" s="92"/>
      <c r="F478" s="31" t="str">
        <f>IF(G478=1,IF(ISERROR(TableCosts[[#This Row],[N_Tariff]]),Err_Message1,IF(TableCosts[[#This Row],[N_Tariff]]=0,Err_Message2,VLOOKUP(C478&amp;TableCosts[[#This Row],[Calc_N_Typ]],TRAN_STRITEMS_LABEL,5,FALSE))),"")</f>
        <v/>
      </c>
      <c r="G478" s="31">
        <f t="shared" si="108"/>
        <v>0</v>
      </c>
      <c r="H478" s="31" t="str">
        <f>IF(G478=1,IFERROR(VLOOKUP(F478,Tab_ErrMessage[],2,0),VLOOKUP(C478&amp;TableCosts[[#This Row],[Calc_N_Typ]],TRAN_STRITEMS_LABEL,4,FALSE)),"")</f>
        <v/>
      </c>
      <c r="I478" s="94"/>
      <c r="J478" s="94"/>
      <c r="K478" s="94"/>
      <c r="L478" s="84"/>
      <c r="M478" s="84"/>
      <c r="N478" s="84"/>
      <c r="O478" s="84"/>
      <c r="P478" s="84"/>
      <c r="Q478" s="84"/>
      <c r="R478" s="84"/>
      <c r="S478" s="84"/>
      <c r="T478" s="84"/>
      <c r="U478" s="84"/>
      <c r="V478" s="84"/>
      <c r="W478" s="84"/>
      <c r="X478" s="84"/>
      <c r="Y478" s="84"/>
      <c r="Z478" s="84"/>
      <c r="AA478" s="84"/>
      <c r="AB478" s="84"/>
      <c r="AC478" s="84"/>
      <c r="AD478" s="84"/>
      <c r="AE478" s="84"/>
      <c r="AF478" s="84"/>
      <c r="AG478" s="84"/>
      <c r="AH478" s="84"/>
      <c r="AI478" s="84"/>
      <c r="AJ478" s="84"/>
      <c r="AK478" s="84"/>
      <c r="AL478" s="84"/>
      <c r="AM478" s="84"/>
      <c r="AN478" s="84"/>
      <c r="AO478" s="84"/>
      <c r="AP478" s="84"/>
      <c r="AQ478" s="84"/>
      <c r="AR478" s="84"/>
      <c r="AS478" s="84"/>
      <c r="AT478" s="84"/>
      <c r="AU478" s="84"/>
      <c r="AV478" s="84"/>
      <c r="AW478" s="84"/>
      <c r="AX478" s="87">
        <f t="array" ref="AX478">IF(G478=1,SUM((ROW(M0)=ROW(AW478))*(M0+M1_+M2_+M3_+M4_+M5_+M6_+M7_+M8_+M9_+M10_+M11_+M12_+M13_+M14_+M15_+M16_+M17_+M18_+M19_+M20_+M21_+M22_+M23_+M24_+M25_+M26_+M27_+M28_+M29_+M30_+M31_+M32_+M33_+M34_+M35_+M36_+M37_)),0)</f>
        <v>0</v>
      </c>
      <c r="AZ478" s="24" t="str">
        <f t="shared" si="109"/>
        <v/>
      </c>
      <c r="BA478" s="24" t="str">
        <f t="shared" si="110"/>
        <v/>
      </c>
      <c r="BB478" s="24" t="str">
        <f t="shared" si="111"/>
        <v/>
      </c>
      <c r="BC478" s="24" t="str">
        <f>IF(OR(E478="",LEFT(TableCosts[[#This Row],[Calc_N_Typ]],18)="Vynaložené náklady"),"",VLOOKUP(E478,Tab_Parts,2,0))</f>
        <v/>
      </c>
      <c r="BD478" s="24" t="str">
        <f t="shared" si="112"/>
        <v/>
      </c>
      <c r="BE478" s="24">
        <f t="shared" si="113"/>
        <v>0</v>
      </c>
      <c r="BF478" s="72">
        <f>TableCosts[[#This Row],[N_Amount]]*TableCosts[[#This Row],[N_Tariff]]*TableCosts[[#This Row],[N_ItemsCount]]</f>
        <v>0</v>
      </c>
      <c r="BG478" s="72">
        <f>IF(G478=1,IF(TableCosts[[#This Row],[N_Kateg]]="interné práce",TableCosts[[#This Row],[N_Amount]]*8*PAR_SGA_PERHOUR,0),0)</f>
        <v>0</v>
      </c>
      <c r="BH478" s="72">
        <f>SUM(TableCosts[[#This Row],[N_Direct]:[N_SGA]])</f>
        <v>0</v>
      </c>
      <c r="BI478" s="24">
        <f>IF(G478=1,IF(OR(AND(NOT(ISERROR(VLOOKUP(TableCosts[[#This Row],[Calc_N_Typ]],Cis_WorkPositions,1,0))),C478&lt;&gt;"",D478&lt;&gt;"",E478&lt;&gt;""),AND(ISERROR(VLOOKUP(TableCosts[[#This Row],[Calc_N_Typ]],Cis_WorkPositions,1,0)),C478="",D478="",E478&lt;&gt;""),LEFT(TableCosts[[#This Row],[Calc_N_Typ]],18)="Vynaložené náklady"),VLOOKUP(C478&amp;TableCosts[[#This Row],[Calc_N_Typ]],TRAN_STRITEMS_LABEL,VLOOKUP(D478,Tab_Hours,3,0),0),NA()),0)</f>
        <v>0</v>
      </c>
      <c r="BJ478" s="24">
        <f t="shared" si="114"/>
        <v>0</v>
      </c>
      <c r="BK478" s="24" t="str">
        <f t="shared" si="115"/>
        <v/>
      </c>
      <c r="BL478" s="24" t="str">
        <f t="shared" si="116"/>
        <v/>
      </c>
      <c r="BM478" s="24" t="str">
        <f>IF(G478=1,IF(TableCosts[[#This Row],[TransferFrom]]=TableCosts[[#This Row],[TranferTo]],0,1),"")</f>
        <v/>
      </c>
      <c r="BN478" s="24" t="str">
        <f t="shared" si="117"/>
        <v/>
      </c>
      <c r="BO478" s="24">
        <f t="shared" si="118"/>
        <v>0</v>
      </c>
      <c r="BP478" s="24">
        <f t="shared" si="119"/>
        <v>0</v>
      </c>
    </row>
    <row r="479" spans="2:68" s="24" customFormat="1" ht="12.75" x14ac:dyDescent="0.2">
      <c r="B479" s="97"/>
      <c r="C479" s="92"/>
      <c r="D479" s="92"/>
      <c r="E479" s="92"/>
      <c r="F479" s="31" t="str">
        <f>IF(G479=1,IF(ISERROR(TableCosts[[#This Row],[N_Tariff]]),Err_Message1,IF(TableCosts[[#This Row],[N_Tariff]]=0,Err_Message2,VLOOKUP(C479&amp;TableCosts[[#This Row],[Calc_N_Typ]],TRAN_STRITEMS_LABEL,5,FALSE))),"")</f>
        <v/>
      </c>
      <c r="G479" s="31">
        <f t="shared" si="108"/>
        <v>0</v>
      </c>
      <c r="H479" s="31" t="str">
        <f>IF(G479=1,IFERROR(VLOOKUP(F479,Tab_ErrMessage[],2,0),VLOOKUP(C479&amp;TableCosts[[#This Row],[Calc_N_Typ]],TRAN_STRITEMS_LABEL,4,FALSE)),"")</f>
        <v/>
      </c>
      <c r="I479" s="94"/>
      <c r="J479" s="94"/>
      <c r="K479" s="94"/>
      <c r="L479" s="84"/>
      <c r="M479" s="84"/>
      <c r="N479" s="84"/>
      <c r="O479" s="84"/>
      <c r="P479" s="84"/>
      <c r="Q479" s="84"/>
      <c r="R479" s="84"/>
      <c r="S479" s="84"/>
      <c r="T479" s="84"/>
      <c r="U479" s="84"/>
      <c r="V479" s="84"/>
      <c r="W479" s="84"/>
      <c r="X479" s="84"/>
      <c r="Y479" s="84"/>
      <c r="Z479" s="84"/>
      <c r="AA479" s="84"/>
      <c r="AB479" s="84"/>
      <c r="AC479" s="84"/>
      <c r="AD479" s="84"/>
      <c r="AE479" s="84"/>
      <c r="AF479" s="84"/>
      <c r="AG479" s="84"/>
      <c r="AH479" s="84"/>
      <c r="AI479" s="84"/>
      <c r="AJ479" s="84"/>
      <c r="AK479" s="84"/>
      <c r="AL479" s="84"/>
      <c r="AM479" s="84"/>
      <c r="AN479" s="84"/>
      <c r="AO479" s="84"/>
      <c r="AP479" s="84"/>
      <c r="AQ479" s="84"/>
      <c r="AR479" s="84"/>
      <c r="AS479" s="84"/>
      <c r="AT479" s="84"/>
      <c r="AU479" s="84"/>
      <c r="AV479" s="84"/>
      <c r="AW479" s="84"/>
      <c r="AX479" s="87">
        <f t="array" ref="AX479">IF(G479=1,SUM((ROW(M0)=ROW(AW479))*(M0+M1_+M2_+M3_+M4_+M5_+M6_+M7_+M8_+M9_+M10_+M11_+M12_+M13_+M14_+M15_+M16_+M17_+M18_+M19_+M20_+M21_+M22_+M23_+M24_+M25_+M26_+M27_+M28_+M29_+M30_+M31_+M32_+M33_+M34_+M35_+M36_+M37_)),0)</f>
        <v>0</v>
      </c>
      <c r="AZ479" s="24" t="str">
        <f t="shared" si="109"/>
        <v/>
      </c>
      <c r="BA479" s="24" t="str">
        <f t="shared" si="110"/>
        <v/>
      </c>
      <c r="BB479" s="24" t="str">
        <f t="shared" si="111"/>
        <v/>
      </c>
      <c r="BC479" s="24" t="str">
        <f>IF(OR(E479="",LEFT(TableCosts[[#This Row],[Calc_N_Typ]],18)="Vynaložené náklady"),"",VLOOKUP(E479,Tab_Parts,2,0))</f>
        <v/>
      </c>
      <c r="BD479" s="24" t="str">
        <f t="shared" si="112"/>
        <v/>
      </c>
      <c r="BE479" s="24">
        <f t="shared" si="113"/>
        <v>0</v>
      </c>
      <c r="BF479" s="72">
        <f>TableCosts[[#This Row],[N_Amount]]*TableCosts[[#This Row],[N_Tariff]]*TableCosts[[#This Row],[N_ItemsCount]]</f>
        <v>0</v>
      </c>
      <c r="BG479" s="72">
        <f>IF(G479=1,IF(TableCosts[[#This Row],[N_Kateg]]="interné práce",TableCosts[[#This Row],[N_Amount]]*8*PAR_SGA_PERHOUR,0),0)</f>
        <v>0</v>
      </c>
      <c r="BH479" s="72">
        <f>SUM(TableCosts[[#This Row],[N_Direct]:[N_SGA]])</f>
        <v>0</v>
      </c>
      <c r="BI479" s="24">
        <f>IF(G479=1,IF(OR(AND(NOT(ISERROR(VLOOKUP(TableCosts[[#This Row],[Calc_N_Typ]],Cis_WorkPositions,1,0))),C479&lt;&gt;"",D479&lt;&gt;"",E479&lt;&gt;""),AND(ISERROR(VLOOKUP(TableCosts[[#This Row],[Calc_N_Typ]],Cis_WorkPositions,1,0)),C479="",D479="",E479&lt;&gt;""),LEFT(TableCosts[[#This Row],[Calc_N_Typ]],18)="Vynaložené náklady"),VLOOKUP(C479&amp;TableCosts[[#This Row],[Calc_N_Typ]],TRAN_STRITEMS_LABEL,VLOOKUP(D479,Tab_Hours,3,0),0),NA()),0)</f>
        <v>0</v>
      </c>
      <c r="BJ479" s="24">
        <f t="shared" si="114"/>
        <v>0</v>
      </c>
      <c r="BK479" s="24" t="str">
        <f t="shared" si="115"/>
        <v/>
      </c>
      <c r="BL479" s="24" t="str">
        <f t="shared" si="116"/>
        <v/>
      </c>
      <c r="BM479" s="24" t="str">
        <f>IF(G479=1,IF(TableCosts[[#This Row],[TransferFrom]]=TableCosts[[#This Row],[TranferTo]],0,1),"")</f>
        <v/>
      </c>
      <c r="BN479" s="24" t="str">
        <f t="shared" si="117"/>
        <v/>
      </c>
      <c r="BO479" s="24">
        <f t="shared" si="118"/>
        <v>0</v>
      </c>
      <c r="BP479" s="24">
        <f t="shared" si="119"/>
        <v>0</v>
      </c>
    </row>
    <row r="480" spans="2:68" s="24" customFormat="1" ht="12.75" x14ac:dyDescent="0.2">
      <c r="B480" s="97"/>
      <c r="C480" s="92"/>
      <c r="D480" s="92"/>
      <c r="E480" s="92"/>
      <c r="F480" s="31" t="str">
        <f>IF(G480=1,IF(ISERROR(TableCosts[[#This Row],[N_Tariff]]),Err_Message1,IF(TableCosts[[#This Row],[N_Tariff]]=0,Err_Message2,VLOOKUP(C480&amp;TableCosts[[#This Row],[Calc_N_Typ]],TRAN_STRITEMS_LABEL,5,FALSE))),"")</f>
        <v/>
      </c>
      <c r="G480" s="31">
        <f t="shared" si="108"/>
        <v>0</v>
      </c>
      <c r="H480" s="31" t="str">
        <f>IF(G480=1,IFERROR(VLOOKUP(F480,Tab_ErrMessage[],2,0),VLOOKUP(C480&amp;TableCosts[[#This Row],[Calc_N_Typ]],TRAN_STRITEMS_LABEL,4,FALSE)),"")</f>
        <v/>
      </c>
      <c r="I480" s="94"/>
      <c r="J480" s="94"/>
      <c r="K480" s="94"/>
      <c r="L480" s="84"/>
      <c r="M480" s="84"/>
      <c r="N480" s="84"/>
      <c r="O480" s="84"/>
      <c r="P480" s="84"/>
      <c r="Q480" s="84"/>
      <c r="R480" s="84"/>
      <c r="S480" s="84"/>
      <c r="T480" s="84"/>
      <c r="U480" s="84"/>
      <c r="V480" s="84"/>
      <c r="W480" s="84"/>
      <c r="X480" s="84"/>
      <c r="Y480" s="84"/>
      <c r="Z480" s="84"/>
      <c r="AA480" s="84"/>
      <c r="AB480" s="84"/>
      <c r="AC480" s="84"/>
      <c r="AD480" s="84"/>
      <c r="AE480" s="84"/>
      <c r="AF480" s="84"/>
      <c r="AG480" s="84"/>
      <c r="AH480" s="84"/>
      <c r="AI480" s="84"/>
      <c r="AJ480" s="84"/>
      <c r="AK480" s="84"/>
      <c r="AL480" s="84"/>
      <c r="AM480" s="84"/>
      <c r="AN480" s="84"/>
      <c r="AO480" s="84"/>
      <c r="AP480" s="84"/>
      <c r="AQ480" s="84"/>
      <c r="AR480" s="84"/>
      <c r="AS480" s="84"/>
      <c r="AT480" s="84"/>
      <c r="AU480" s="84"/>
      <c r="AV480" s="84"/>
      <c r="AW480" s="84"/>
      <c r="AX480" s="87">
        <f t="array" ref="AX480">IF(G480=1,SUM((ROW(M0)=ROW(AW480))*(M0+M1_+M2_+M3_+M4_+M5_+M6_+M7_+M8_+M9_+M10_+M11_+M12_+M13_+M14_+M15_+M16_+M17_+M18_+M19_+M20_+M21_+M22_+M23_+M24_+M25_+M26_+M27_+M28_+M29_+M30_+M31_+M32_+M33_+M34_+M35_+M36_+M37_)),0)</f>
        <v>0</v>
      </c>
      <c r="AZ480" s="24" t="str">
        <f t="shared" si="109"/>
        <v/>
      </c>
      <c r="BA480" s="24" t="str">
        <f t="shared" si="110"/>
        <v/>
      </c>
      <c r="BB480" s="24" t="str">
        <f t="shared" si="111"/>
        <v/>
      </c>
      <c r="BC480" s="24" t="str">
        <f>IF(OR(E480="",LEFT(TableCosts[[#This Row],[Calc_N_Typ]],18)="Vynaložené náklady"),"",VLOOKUP(E480,Tab_Parts,2,0))</f>
        <v/>
      </c>
      <c r="BD480" s="24" t="str">
        <f t="shared" si="112"/>
        <v/>
      </c>
      <c r="BE480" s="24">
        <f t="shared" si="113"/>
        <v>0</v>
      </c>
      <c r="BF480" s="72">
        <f>TableCosts[[#This Row],[N_Amount]]*TableCosts[[#This Row],[N_Tariff]]*TableCosts[[#This Row],[N_ItemsCount]]</f>
        <v>0</v>
      </c>
      <c r="BG480" s="72">
        <f>IF(G480=1,IF(TableCosts[[#This Row],[N_Kateg]]="interné práce",TableCosts[[#This Row],[N_Amount]]*8*PAR_SGA_PERHOUR,0),0)</f>
        <v>0</v>
      </c>
      <c r="BH480" s="72">
        <f>SUM(TableCosts[[#This Row],[N_Direct]:[N_SGA]])</f>
        <v>0</v>
      </c>
      <c r="BI480" s="24">
        <f>IF(G480=1,IF(OR(AND(NOT(ISERROR(VLOOKUP(TableCosts[[#This Row],[Calc_N_Typ]],Cis_WorkPositions,1,0))),C480&lt;&gt;"",D480&lt;&gt;"",E480&lt;&gt;""),AND(ISERROR(VLOOKUP(TableCosts[[#This Row],[Calc_N_Typ]],Cis_WorkPositions,1,0)),C480="",D480="",E480&lt;&gt;""),LEFT(TableCosts[[#This Row],[Calc_N_Typ]],18)="Vynaložené náklady"),VLOOKUP(C480&amp;TableCosts[[#This Row],[Calc_N_Typ]],TRAN_STRITEMS_LABEL,VLOOKUP(D480,Tab_Hours,3,0),0),NA()),0)</f>
        <v>0</v>
      </c>
      <c r="BJ480" s="24">
        <f t="shared" si="114"/>
        <v>0</v>
      </c>
      <c r="BK480" s="24" t="str">
        <f t="shared" si="115"/>
        <v/>
      </c>
      <c r="BL480" s="24" t="str">
        <f t="shared" si="116"/>
        <v/>
      </c>
      <c r="BM480" s="24" t="str">
        <f>IF(G480=1,IF(TableCosts[[#This Row],[TransferFrom]]=TableCosts[[#This Row],[TranferTo]],0,1),"")</f>
        <v/>
      </c>
      <c r="BN480" s="24" t="str">
        <f t="shared" si="117"/>
        <v/>
      </c>
      <c r="BO480" s="24">
        <f t="shared" si="118"/>
        <v>0</v>
      </c>
      <c r="BP480" s="24">
        <f t="shared" si="119"/>
        <v>0</v>
      </c>
    </row>
    <row r="481" spans="2:68" s="24" customFormat="1" ht="12.75" x14ac:dyDescent="0.2">
      <c r="B481" s="97"/>
      <c r="C481" s="92"/>
      <c r="D481" s="92"/>
      <c r="E481" s="92"/>
      <c r="F481" s="31" t="str">
        <f>IF(G481=1,IF(ISERROR(TableCosts[[#This Row],[N_Tariff]]),Err_Message1,IF(TableCosts[[#This Row],[N_Tariff]]=0,Err_Message2,VLOOKUP(C481&amp;TableCosts[[#This Row],[Calc_N_Typ]],TRAN_STRITEMS_LABEL,5,FALSE))),"")</f>
        <v/>
      </c>
      <c r="G481" s="31">
        <f t="shared" si="108"/>
        <v>0</v>
      </c>
      <c r="H481" s="31" t="str">
        <f>IF(G481=1,IFERROR(VLOOKUP(F481,Tab_ErrMessage[],2,0),VLOOKUP(C481&amp;TableCosts[[#This Row],[Calc_N_Typ]],TRAN_STRITEMS_LABEL,4,FALSE)),"")</f>
        <v/>
      </c>
      <c r="I481" s="94"/>
      <c r="J481" s="94"/>
      <c r="K481" s="94"/>
      <c r="L481" s="84"/>
      <c r="M481" s="84"/>
      <c r="N481" s="84"/>
      <c r="O481" s="84"/>
      <c r="P481" s="84"/>
      <c r="Q481" s="84"/>
      <c r="R481" s="84"/>
      <c r="S481" s="84"/>
      <c r="T481" s="84"/>
      <c r="U481" s="84"/>
      <c r="V481" s="84"/>
      <c r="W481" s="84"/>
      <c r="X481" s="84"/>
      <c r="Y481" s="84"/>
      <c r="Z481" s="84"/>
      <c r="AA481" s="84"/>
      <c r="AB481" s="84"/>
      <c r="AC481" s="84"/>
      <c r="AD481" s="84"/>
      <c r="AE481" s="84"/>
      <c r="AF481" s="84"/>
      <c r="AG481" s="84"/>
      <c r="AH481" s="84"/>
      <c r="AI481" s="84"/>
      <c r="AJ481" s="84"/>
      <c r="AK481" s="84"/>
      <c r="AL481" s="84"/>
      <c r="AM481" s="84"/>
      <c r="AN481" s="84"/>
      <c r="AO481" s="84"/>
      <c r="AP481" s="84"/>
      <c r="AQ481" s="84"/>
      <c r="AR481" s="84"/>
      <c r="AS481" s="84"/>
      <c r="AT481" s="84"/>
      <c r="AU481" s="84"/>
      <c r="AV481" s="84"/>
      <c r="AW481" s="84"/>
      <c r="AX481" s="87">
        <f t="array" ref="AX481">IF(G481=1,SUM((ROW(M0)=ROW(AW481))*(M0+M1_+M2_+M3_+M4_+M5_+M6_+M7_+M8_+M9_+M10_+M11_+M12_+M13_+M14_+M15_+M16_+M17_+M18_+M19_+M20_+M21_+M22_+M23_+M24_+M25_+M26_+M27_+M28_+M29_+M30_+M31_+M32_+M33_+M34_+M35_+M36_+M37_)),0)</f>
        <v>0</v>
      </c>
      <c r="AZ481" s="24" t="str">
        <f t="shared" si="109"/>
        <v/>
      </c>
      <c r="BA481" s="24" t="str">
        <f t="shared" si="110"/>
        <v/>
      </c>
      <c r="BB481" s="24" t="str">
        <f t="shared" si="111"/>
        <v/>
      </c>
      <c r="BC481" s="24" t="str">
        <f>IF(OR(E481="",LEFT(TableCosts[[#This Row],[Calc_N_Typ]],18)="Vynaložené náklady"),"",VLOOKUP(E481,Tab_Parts,2,0))</f>
        <v/>
      </c>
      <c r="BD481" s="24" t="str">
        <f t="shared" si="112"/>
        <v/>
      </c>
      <c r="BE481" s="24">
        <f t="shared" si="113"/>
        <v>0</v>
      </c>
      <c r="BF481" s="72">
        <f>TableCosts[[#This Row],[N_Amount]]*TableCosts[[#This Row],[N_Tariff]]*TableCosts[[#This Row],[N_ItemsCount]]</f>
        <v>0</v>
      </c>
      <c r="BG481" s="72">
        <f>IF(G481=1,IF(TableCosts[[#This Row],[N_Kateg]]="interné práce",TableCosts[[#This Row],[N_Amount]]*8*PAR_SGA_PERHOUR,0),0)</f>
        <v>0</v>
      </c>
      <c r="BH481" s="72">
        <f>SUM(TableCosts[[#This Row],[N_Direct]:[N_SGA]])</f>
        <v>0</v>
      </c>
      <c r="BI481" s="24">
        <f>IF(G481=1,IF(OR(AND(NOT(ISERROR(VLOOKUP(TableCosts[[#This Row],[Calc_N_Typ]],Cis_WorkPositions,1,0))),C481&lt;&gt;"",D481&lt;&gt;"",E481&lt;&gt;""),AND(ISERROR(VLOOKUP(TableCosts[[#This Row],[Calc_N_Typ]],Cis_WorkPositions,1,0)),C481="",D481="",E481&lt;&gt;""),LEFT(TableCosts[[#This Row],[Calc_N_Typ]],18)="Vynaložené náklady"),VLOOKUP(C481&amp;TableCosts[[#This Row],[Calc_N_Typ]],TRAN_STRITEMS_LABEL,VLOOKUP(D481,Tab_Hours,3,0),0),NA()),0)</f>
        <v>0</v>
      </c>
      <c r="BJ481" s="24">
        <f t="shared" si="114"/>
        <v>0</v>
      </c>
      <c r="BK481" s="24" t="str">
        <f t="shared" si="115"/>
        <v/>
      </c>
      <c r="BL481" s="24" t="str">
        <f t="shared" si="116"/>
        <v/>
      </c>
      <c r="BM481" s="24" t="str">
        <f>IF(G481=1,IF(TableCosts[[#This Row],[TransferFrom]]=TableCosts[[#This Row],[TranferTo]],0,1),"")</f>
        <v/>
      </c>
      <c r="BN481" s="24" t="str">
        <f t="shared" si="117"/>
        <v/>
      </c>
      <c r="BO481" s="24">
        <f t="shared" si="118"/>
        <v>0</v>
      </c>
      <c r="BP481" s="24">
        <f t="shared" si="119"/>
        <v>0</v>
      </c>
    </row>
    <row r="482" spans="2:68" s="24" customFormat="1" ht="12.75" x14ac:dyDescent="0.2">
      <c r="B482" s="97"/>
      <c r="C482" s="92"/>
      <c r="D482" s="92"/>
      <c r="E482" s="92"/>
      <c r="F482" s="31" t="str">
        <f>IF(G482=1,IF(ISERROR(TableCosts[[#This Row],[N_Tariff]]),Err_Message1,IF(TableCosts[[#This Row],[N_Tariff]]=0,Err_Message2,VLOOKUP(C482&amp;TableCosts[[#This Row],[Calc_N_Typ]],TRAN_STRITEMS_LABEL,5,FALSE))),"")</f>
        <v/>
      </c>
      <c r="G482" s="31">
        <f t="shared" si="108"/>
        <v>0</v>
      </c>
      <c r="H482" s="31" t="str">
        <f>IF(G482=1,IFERROR(VLOOKUP(F482,Tab_ErrMessage[],2,0),VLOOKUP(C482&amp;TableCosts[[#This Row],[Calc_N_Typ]],TRAN_STRITEMS_LABEL,4,FALSE)),"")</f>
        <v/>
      </c>
      <c r="I482" s="94"/>
      <c r="J482" s="94"/>
      <c r="K482" s="94"/>
      <c r="L482" s="84"/>
      <c r="M482" s="84"/>
      <c r="N482" s="84"/>
      <c r="O482" s="84"/>
      <c r="P482" s="84"/>
      <c r="Q482" s="84"/>
      <c r="R482" s="84"/>
      <c r="S482" s="84"/>
      <c r="T482" s="84"/>
      <c r="U482" s="84"/>
      <c r="V482" s="84"/>
      <c r="W482" s="84"/>
      <c r="X482" s="84"/>
      <c r="Y482" s="84"/>
      <c r="Z482" s="84"/>
      <c r="AA482" s="84"/>
      <c r="AB482" s="84"/>
      <c r="AC482" s="84"/>
      <c r="AD482" s="84"/>
      <c r="AE482" s="84"/>
      <c r="AF482" s="84"/>
      <c r="AG482" s="84"/>
      <c r="AH482" s="84"/>
      <c r="AI482" s="84"/>
      <c r="AJ482" s="84"/>
      <c r="AK482" s="84"/>
      <c r="AL482" s="84"/>
      <c r="AM482" s="84"/>
      <c r="AN482" s="84"/>
      <c r="AO482" s="84"/>
      <c r="AP482" s="84"/>
      <c r="AQ482" s="84"/>
      <c r="AR482" s="84"/>
      <c r="AS482" s="84"/>
      <c r="AT482" s="84"/>
      <c r="AU482" s="84"/>
      <c r="AV482" s="84"/>
      <c r="AW482" s="84"/>
      <c r="AX482" s="87">
        <f t="array" ref="AX482">IF(G482=1,SUM((ROW(M0)=ROW(AW482))*(M0+M1_+M2_+M3_+M4_+M5_+M6_+M7_+M8_+M9_+M10_+M11_+M12_+M13_+M14_+M15_+M16_+M17_+M18_+M19_+M20_+M21_+M22_+M23_+M24_+M25_+M26_+M27_+M28_+M29_+M30_+M31_+M32_+M33_+M34_+M35_+M36_+M37_)),0)</f>
        <v>0</v>
      </c>
      <c r="AZ482" s="24" t="str">
        <f t="shared" si="109"/>
        <v/>
      </c>
      <c r="BA482" s="24" t="str">
        <f t="shared" si="110"/>
        <v/>
      </c>
      <c r="BB482" s="24" t="str">
        <f t="shared" si="111"/>
        <v/>
      </c>
      <c r="BC482" s="24" t="str">
        <f>IF(OR(E482="",LEFT(TableCosts[[#This Row],[Calc_N_Typ]],18)="Vynaložené náklady"),"",VLOOKUP(E482,Tab_Parts,2,0))</f>
        <v/>
      </c>
      <c r="BD482" s="24" t="str">
        <f t="shared" si="112"/>
        <v/>
      </c>
      <c r="BE482" s="24">
        <f t="shared" si="113"/>
        <v>0</v>
      </c>
      <c r="BF482" s="72">
        <f>TableCosts[[#This Row],[N_Amount]]*TableCosts[[#This Row],[N_Tariff]]*TableCosts[[#This Row],[N_ItemsCount]]</f>
        <v>0</v>
      </c>
      <c r="BG482" s="72">
        <f>IF(G482=1,IF(TableCosts[[#This Row],[N_Kateg]]="interné práce",TableCosts[[#This Row],[N_Amount]]*8*PAR_SGA_PERHOUR,0),0)</f>
        <v>0</v>
      </c>
      <c r="BH482" s="72">
        <f>SUM(TableCosts[[#This Row],[N_Direct]:[N_SGA]])</f>
        <v>0</v>
      </c>
      <c r="BI482" s="24">
        <f>IF(G482=1,IF(OR(AND(NOT(ISERROR(VLOOKUP(TableCosts[[#This Row],[Calc_N_Typ]],Cis_WorkPositions,1,0))),C482&lt;&gt;"",D482&lt;&gt;"",E482&lt;&gt;""),AND(ISERROR(VLOOKUP(TableCosts[[#This Row],[Calc_N_Typ]],Cis_WorkPositions,1,0)),C482="",D482="",E482&lt;&gt;""),LEFT(TableCosts[[#This Row],[Calc_N_Typ]],18)="Vynaložené náklady"),VLOOKUP(C482&amp;TableCosts[[#This Row],[Calc_N_Typ]],TRAN_STRITEMS_LABEL,VLOOKUP(D482,Tab_Hours,3,0),0),NA()),0)</f>
        <v>0</v>
      </c>
      <c r="BJ482" s="24">
        <f t="shared" si="114"/>
        <v>0</v>
      </c>
      <c r="BK482" s="24" t="str">
        <f t="shared" si="115"/>
        <v/>
      </c>
      <c r="BL482" s="24" t="str">
        <f t="shared" si="116"/>
        <v/>
      </c>
      <c r="BM482" s="24" t="str">
        <f>IF(G482=1,IF(TableCosts[[#This Row],[TransferFrom]]=TableCosts[[#This Row],[TranferTo]],0,1),"")</f>
        <v/>
      </c>
      <c r="BN482" s="24" t="str">
        <f t="shared" si="117"/>
        <v/>
      </c>
      <c r="BO482" s="24">
        <f t="shared" si="118"/>
        <v>0</v>
      </c>
      <c r="BP482" s="24">
        <f t="shared" si="119"/>
        <v>0</v>
      </c>
    </row>
    <row r="483" spans="2:68" s="24" customFormat="1" ht="12.75" x14ac:dyDescent="0.2">
      <c r="B483" s="97"/>
      <c r="C483" s="92"/>
      <c r="D483" s="92"/>
      <c r="E483" s="92"/>
      <c r="F483" s="31" t="str">
        <f>IF(G483=1,IF(ISERROR(TableCosts[[#This Row],[N_Tariff]]),Err_Message1,IF(TableCosts[[#This Row],[N_Tariff]]=0,Err_Message2,VLOOKUP(C483&amp;TableCosts[[#This Row],[Calc_N_Typ]],TRAN_STRITEMS_LABEL,5,FALSE))),"")</f>
        <v/>
      </c>
      <c r="G483" s="31">
        <f t="shared" si="108"/>
        <v>0</v>
      </c>
      <c r="H483" s="31" t="str">
        <f>IF(G483=1,IFERROR(VLOOKUP(F483,Tab_ErrMessage[],2,0),VLOOKUP(C483&amp;TableCosts[[#This Row],[Calc_N_Typ]],TRAN_STRITEMS_LABEL,4,FALSE)),"")</f>
        <v/>
      </c>
      <c r="I483" s="94"/>
      <c r="J483" s="94"/>
      <c r="K483" s="94"/>
      <c r="L483" s="84"/>
      <c r="M483" s="84"/>
      <c r="N483" s="84"/>
      <c r="O483" s="84"/>
      <c r="P483" s="84"/>
      <c r="Q483" s="84"/>
      <c r="R483" s="84"/>
      <c r="S483" s="84"/>
      <c r="T483" s="84"/>
      <c r="U483" s="84"/>
      <c r="V483" s="84"/>
      <c r="W483" s="84"/>
      <c r="X483" s="84"/>
      <c r="Y483" s="84"/>
      <c r="Z483" s="84"/>
      <c r="AA483" s="84"/>
      <c r="AB483" s="84"/>
      <c r="AC483" s="84"/>
      <c r="AD483" s="84"/>
      <c r="AE483" s="84"/>
      <c r="AF483" s="84"/>
      <c r="AG483" s="84"/>
      <c r="AH483" s="84"/>
      <c r="AI483" s="84"/>
      <c r="AJ483" s="84"/>
      <c r="AK483" s="84"/>
      <c r="AL483" s="84"/>
      <c r="AM483" s="84"/>
      <c r="AN483" s="84"/>
      <c r="AO483" s="84"/>
      <c r="AP483" s="84"/>
      <c r="AQ483" s="84"/>
      <c r="AR483" s="84"/>
      <c r="AS483" s="84"/>
      <c r="AT483" s="84"/>
      <c r="AU483" s="84"/>
      <c r="AV483" s="84"/>
      <c r="AW483" s="84"/>
      <c r="AX483" s="87">
        <f t="array" ref="AX483">IF(G483=1,SUM((ROW(M0)=ROW(AW483))*(M0+M1_+M2_+M3_+M4_+M5_+M6_+M7_+M8_+M9_+M10_+M11_+M12_+M13_+M14_+M15_+M16_+M17_+M18_+M19_+M20_+M21_+M22_+M23_+M24_+M25_+M26_+M27_+M28_+M29_+M30_+M31_+M32_+M33_+M34_+M35_+M36_+M37_)),0)</f>
        <v>0</v>
      </c>
      <c r="AZ483" s="24" t="str">
        <f t="shared" si="109"/>
        <v/>
      </c>
      <c r="BA483" s="24" t="str">
        <f t="shared" si="110"/>
        <v/>
      </c>
      <c r="BB483" s="24" t="str">
        <f t="shared" si="111"/>
        <v/>
      </c>
      <c r="BC483" s="24" t="str">
        <f>IF(OR(E483="",LEFT(TableCosts[[#This Row],[Calc_N_Typ]],18)="Vynaložené náklady"),"",VLOOKUP(E483,Tab_Parts,2,0))</f>
        <v/>
      </c>
      <c r="BD483" s="24" t="str">
        <f t="shared" si="112"/>
        <v/>
      </c>
      <c r="BE483" s="24">
        <f t="shared" si="113"/>
        <v>0</v>
      </c>
      <c r="BF483" s="72">
        <f>TableCosts[[#This Row],[N_Amount]]*TableCosts[[#This Row],[N_Tariff]]*TableCosts[[#This Row],[N_ItemsCount]]</f>
        <v>0</v>
      </c>
      <c r="BG483" s="72">
        <f>IF(G483=1,IF(TableCosts[[#This Row],[N_Kateg]]="interné práce",TableCosts[[#This Row],[N_Amount]]*8*PAR_SGA_PERHOUR,0),0)</f>
        <v>0</v>
      </c>
      <c r="BH483" s="72">
        <f>SUM(TableCosts[[#This Row],[N_Direct]:[N_SGA]])</f>
        <v>0</v>
      </c>
      <c r="BI483" s="24">
        <f>IF(G483=1,IF(OR(AND(NOT(ISERROR(VLOOKUP(TableCosts[[#This Row],[Calc_N_Typ]],Cis_WorkPositions,1,0))),C483&lt;&gt;"",D483&lt;&gt;"",E483&lt;&gt;""),AND(ISERROR(VLOOKUP(TableCosts[[#This Row],[Calc_N_Typ]],Cis_WorkPositions,1,0)),C483="",D483="",E483&lt;&gt;""),LEFT(TableCosts[[#This Row],[Calc_N_Typ]],18)="Vynaložené náklady"),VLOOKUP(C483&amp;TableCosts[[#This Row],[Calc_N_Typ]],TRAN_STRITEMS_LABEL,VLOOKUP(D483,Tab_Hours,3,0),0),NA()),0)</f>
        <v>0</v>
      </c>
      <c r="BJ483" s="24">
        <f t="shared" si="114"/>
        <v>0</v>
      </c>
      <c r="BK483" s="24" t="str">
        <f t="shared" si="115"/>
        <v/>
      </c>
      <c r="BL483" s="24" t="str">
        <f t="shared" si="116"/>
        <v/>
      </c>
      <c r="BM483" s="24" t="str">
        <f>IF(G483=1,IF(TableCosts[[#This Row],[TransferFrom]]=TableCosts[[#This Row],[TranferTo]],0,1),"")</f>
        <v/>
      </c>
      <c r="BN483" s="24" t="str">
        <f t="shared" si="117"/>
        <v/>
      </c>
      <c r="BO483" s="24">
        <f t="shared" si="118"/>
        <v>0</v>
      </c>
      <c r="BP483" s="24">
        <f t="shared" si="119"/>
        <v>0</v>
      </c>
    </row>
    <row r="484" spans="2:68" s="24" customFormat="1" ht="12.75" x14ac:dyDescent="0.2">
      <c r="B484" s="97"/>
      <c r="C484" s="92"/>
      <c r="D484" s="92"/>
      <c r="E484" s="92"/>
      <c r="F484" s="31" t="str">
        <f>IF(G484=1,IF(ISERROR(TableCosts[[#This Row],[N_Tariff]]),Err_Message1,IF(TableCosts[[#This Row],[N_Tariff]]=0,Err_Message2,VLOOKUP(C484&amp;TableCosts[[#This Row],[Calc_N_Typ]],TRAN_STRITEMS_LABEL,5,FALSE))),"")</f>
        <v/>
      </c>
      <c r="G484" s="31">
        <f t="shared" si="108"/>
        <v>0</v>
      </c>
      <c r="H484" s="31" t="str">
        <f>IF(G484=1,IFERROR(VLOOKUP(F484,Tab_ErrMessage[],2,0),VLOOKUP(C484&amp;TableCosts[[#This Row],[Calc_N_Typ]],TRAN_STRITEMS_LABEL,4,FALSE)),"")</f>
        <v/>
      </c>
      <c r="I484" s="94"/>
      <c r="J484" s="94"/>
      <c r="K484" s="94"/>
      <c r="L484" s="84"/>
      <c r="M484" s="84"/>
      <c r="N484" s="84"/>
      <c r="O484" s="84"/>
      <c r="P484" s="84"/>
      <c r="Q484" s="84"/>
      <c r="R484" s="84"/>
      <c r="S484" s="84"/>
      <c r="T484" s="84"/>
      <c r="U484" s="84"/>
      <c r="V484" s="84"/>
      <c r="W484" s="84"/>
      <c r="X484" s="84"/>
      <c r="Y484" s="84"/>
      <c r="Z484" s="84"/>
      <c r="AA484" s="84"/>
      <c r="AB484" s="84"/>
      <c r="AC484" s="84"/>
      <c r="AD484" s="84"/>
      <c r="AE484" s="84"/>
      <c r="AF484" s="84"/>
      <c r="AG484" s="84"/>
      <c r="AH484" s="84"/>
      <c r="AI484" s="84"/>
      <c r="AJ484" s="84"/>
      <c r="AK484" s="84"/>
      <c r="AL484" s="84"/>
      <c r="AM484" s="84"/>
      <c r="AN484" s="84"/>
      <c r="AO484" s="84"/>
      <c r="AP484" s="84"/>
      <c r="AQ484" s="84"/>
      <c r="AR484" s="84"/>
      <c r="AS484" s="84"/>
      <c r="AT484" s="84"/>
      <c r="AU484" s="84"/>
      <c r="AV484" s="84"/>
      <c r="AW484" s="84"/>
      <c r="AX484" s="87">
        <f t="array" ref="AX484">IF(G484=1,SUM((ROW(M0)=ROW(AW484))*(M0+M1_+M2_+M3_+M4_+M5_+M6_+M7_+M8_+M9_+M10_+M11_+M12_+M13_+M14_+M15_+M16_+M17_+M18_+M19_+M20_+M21_+M22_+M23_+M24_+M25_+M26_+M27_+M28_+M29_+M30_+M31_+M32_+M33_+M34_+M35_+M36_+M37_)),0)</f>
        <v>0</v>
      </c>
      <c r="AZ484" s="24" t="str">
        <f t="shared" si="109"/>
        <v/>
      </c>
      <c r="BA484" s="24" t="str">
        <f t="shared" si="110"/>
        <v/>
      </c>
      <c r="BB484" s="24" t="str">
        <f t="shared" si="111"/>
        <v/>
      </c>
      <c r="BC484" s="24" t="str">
        <f>IF(OR(E484="",LEFT(TableCosts[[#This Row],[Calc_N_Typ]],18)="Vynaložené náklady"),"",VLOOKUP(E484,Tab_Parts,2,0))</f>
        <v/>
      </c>
      <c r="BD484" s="24" t="str">
        <f t="shared" si="112"/>
        <v/>
      </c>
      <c r="BE484" s="24">
        <f t="shared" si="113"/>
        <v>0</v>
      </c>
      <c r="BF484" s="72">
        <f>TableCosts[[#This Row],[N_Amount]]*TableCosts[[#This Row],[N_Tariff]]*TableCosts[[#This Row],[N_ItemsCount]]</f>
        <v>0</v>
      </c>
      <c r="BG484" s="72">
        <f>IF(G484=1,IF(TableCosts[[#This Row],[N_Kateg]]="interné práce",TableCosts[[#This Row],[N_Amount]]*8*PAR_SGA_PERHOUR,0),0)</f>
        <v>0</v>
      </c>
      <c r="BH484" s="72">
        <f>SUM(TableCosts[[#This Row],[N_Direct]:[N_SGA]])</f>
        <v>0</v>
      </c>
      <c r="BI484" s="24">
        <f>IF(G484=1,IF(OR(AND(NOT(ISERROR(VLOOKUP(TableCosts[[#This Row],[Calc_N_Typ]],Cis_WorkPositions,1,0))),C484&lt;&gt;"",D484&lt;&gt;"",E484&lt;&gt;""),AND(ISERROR(VLOOKUP(TableCosts[[#This Row],[Calc_N_Typ]],Cis_WorkPositions,1,0)),C484="",D484="",E484&lt;&gt;""),LEFT(TableCosts[[#This Row],[Calc_N_Typ]],18)="Vynaložené náklady"),VLOOKUP(C484&amp;TableCosts[[#This Row],[Calc_N_Typ]],TRAN_STRITEMS_LABEL,VLOOKUP(D484,Tab_Hours,3,0),0),NA()),0)</f>
        <v>0</v>
      </c>
      <c r="BJ484" s="24">
        <f t="shared" si="114"/>
        <v>0</v>
      </c>
      <c r="BK484" s="24" t="str">
        <f t="shared" si="115"/>
        <v/>
      </c>
      <c r="BL484" s="24" t="str">
        <f t="shared" si="116"/>
        <v/>
      </c>
      <c r="BM484" s="24" t="str">
        <f>IF(G484=1,IF(TableCosts[[#This Row],[TransferFrom]]=TableCosts[[#This Row],[TranferTo]],0,1),"")</f>
        <v/>
      </c>
      <c r="BN484" s="24" t="str">
        <f t="shared" si="117"/>
        <v/>
      </c>
      <c r="BO484" s="24">
        <f t="shared" si="118"/>
        <v>0</v>
      </c>
      <c r="BP484" s="24">
        <f t="shared" si="119"/>
        <v>0</v>
      </c>
    </row>
    <row r="485" spans="2:68" s="24" customFormat="1" ht="12.75" x14ac:dyDescent="0.2">
      <c r="B485" s="97"/>
      <c r="C485" s="92"/>
      <c r="D485" s="92"/>
      <c r="E485" s="92"/>
      <c r="F485" s="31" t="str">
        <f>IF(G485=1,IF(ISERROR(TableCosts[[#This Row],[N_Tariff]]),Err_Message1,IF(TableCosts[[#This Row],[N_Tariff]]=0,Err_Message2,VLOOKUP(C485&amp;TableCosts[[#This Row],[Calc_N_Typ]],TRAN_STRITEMS_LABEL,5,FALSE))),"")</f>
        <v/>
      </c>
      <c r="G485" s="31">
        <f t="shared" si="108"/>
        <v>0</v>
      </c>
      <c r="H485" s="31" t="str">
        <f>IF(G485=1,IFERROR(VLOOKUP(F485,Tab_ErrMessage[],2,0),VLOOKUP(C485&amp;TableCosts[[#This Row],[Calc_N_Typ]],TRAN_STRITEMS_LABEL,4,FALSE)),"")</f>
        <v/>
      </c>
      <c r="I485" s="94"/>
      <c r="J485" s="94"/>
      <c r="K485" s="94"/>
      <c r="L485" s="84"/>
      <c r="M485" s="84"/>
      <c r="N485" s="84"/>
      <c r="O485" s="84"/>
      <c r="P485" s="84"/>
      <c r="Q485" s="84"/>
      <c r="R485" s="84"/>
      <c r="S485" s="84"/>
      <c r="T485" s="84"/>
      <c r="U485" s="84"/>
      <c r="V485" s="84"/>
      <c r="W485" s="84"/>
      <c r="X485" s="84"/>
      <c r="Y485" s="84"/>
      <c r="Z485" s="84"/>
      <c r="AA485" s="84"/>
      <c r="AB485" s="84"/>
      <c r="AC485" s="84"/>
      <c r="AD485" s="84"/>
      <c r="AE485" s="84"/>
      <c r="AF485" s="84"/>
      <c r="AG485" s="84"/>
      <c r="AH485" s="84"/>
      <c r="AI485" s="84"/>
      <c r="AJ485" s="84"/>
      <c r="AK485" s="84"/>
      <c r="AL485" s="84"/>
      <c r="AM485" s="84"/>
      <c r="AN485" s="84"/>
      <c r="AO485" s="84"/>
      <c r="AP485" s="84"/>
      <c r="AQ485" s="84"/>
      <c r="AR485" s="84"/>
      <c r="AS485" s="84"/>
      <c r="AT485" s="84"/>
      <c r="AU485" s="84"/>
      <c r="AV485" s="84"/>
      <c r="AW485" s="84"/>
      <c r="AX485" s="87">
        <f t="array" ref="AX485">IF(G485=1,SUM((ROW(M0)=ROW(AW485))*(M0+M1_+M2_+M3_+M4_+M5_+M6_+M7_+M8_+M9_+M10_+M11_+M12_+M13_+M14_+M15_+M16_+M17_+M18_+M19_+M20_+M21_+M22_+M23_+M24_+M25_+M26_+M27_+M28_+M29_+M30_+M31_+M32_+M33_+M34_+M35_+M36_+M37_)),0)</f>
        <v>0</v>
      </c>
      <c r="AZ485" s="24" t="str">
        <f t="shared" si="109"/>
        <v/>
      </c>
      <c r="BA485" s="24" t="str">
        <f t="shared" si="110"/>
        <v/>
      </c>
      <c r="BB485" s="24" t="str">
        <f t="shared" si="111"/>
        <v/>
      </c>
      <c r="BC485" s="24" t="str">
        <f>IF(OR(E485="",LEFT(TableCosts[[#This Row],[Calc_N_Typ]],18)="Vynaložené náklady"),"",VLOOKUP(E485,Tab_Parts,2,0))</f>
        <v/>
      </c>
      <c r="BD485" s="24" t="str">
        <f t="shared" si="112"/>
        <v/>
      </c>
      <c r="BE485" s="24">
        <f t="shared" si="113"/>
        <v>0</v>
      </c>
      <c r="BF485" s="72">
        <f>TableCosts[[#This Row],[N_Amount]]*TableCosts[[#This Row],[N_Tariff]]*TableCosts[[#This Row],[N_ItemsCount]]</f>
        <v>0</v>
      </c>
      <c r="BG485" s="72">
        <f>IF(G485=1,IF(TableCosts[[#This Row],[N_Kateg]]="interné práce",TableCosts[[#This Row],[N_Amount]]*8*PAR_SGA_PERHOUR,0),0)</f>
        <v>0</v>
      </c>
      <c r="BH485" s="72">
        <f>SUM(TableCosts[[#This Row],[N_Direct]:[N_SGA]])</f>
        <v>0</v>
      </c>
      <c r="BI485" s="24">
        <f>IF(G485=1,IF(OR(AND(NOT(ISERROR(VLOOKUP(TableCosts[[#This Row],[Calc_N_Typ]],Cis_WorkPositions,1,0))),C485&lt;&gt;"",D485&lt;&gt;"",E485&lt;&gt;""),AND(ISERROR(VLOOKUP(TableCosts[[#This Row],[Calc_N_Typ]],Cis_WorkPositions,1,0)),C485="",D485="",E485&lt;&gt;""),LEFT(TableCosts[[#This Row],[Calc_N_Typ]],18)="Vynaložené náklady"),VLOOKUP(C485&amp;TableCosts[[#This Row],[Calc_N_Typ]],TRAN_STRITEMS_LABEL,VLOOKUP(D485,Tab_Hours,3,0),0),NA()),0)</f>
        <v>0</v>
      </c>
      <c r="BJ485" s="24">
        <f t="shared" si="114"/>
        <v>0</v>
      </c>
      <c r="BK485" s="24" t="str">
        <f t="shared" si="115"/>
        <v/>
      </c>
      <c r="BL485" s="24" t="str">
        <f t="shared" si="116"/>
        <v/>
      </c>
      <c r="BM485" s="24" t="str">
        <f>IF(G485=1,IF(TableCosts[[#This Row],[TransferFrom]]=TableCosts[[#This Row],[TranferTo]],0,1),"")</f>
        <v/>
      </c>
      <c r="BN485" s="24" t="str">
        <f t="shared" si="117"/>
        <v/>
      </c>
      <c r="BO485" s="24">
        <f t="shared" si="118"/>
        <v>0</v>
      </c>
      <c r="BP485" s="24">
        <f t="shared" si="119"/>
        <v>0</v>
      </c>
    </row>
    <row r="486" spans="2:68" s="24" customFormat="1" ht="12.75" x14ac:dyDescent="0.2">
      <c r="B486" s="97"/>
      <c r="C486" s="92"/>
      <c r="D486" s="92"/>
      <c r="E486" s="92"/>
      <c r="F486" s="31" t="str">
        <f>IF(G486=1,IF(ISERROR(TableCosts[[#This Row],[N_Tariff]]),Err_Message1,IF(TableCosts[[#This Row],[N_Tariff]]=0,Err_Message2,VLOOKUP(C486&amp;TableCosts[[#This Row],[Calc_N_Typ]],TRAN_STRITEMS_LABEL,5,FALSE))),"")</f>
        <v/>
      </c>
      <c r="G486" s="31">
        <f t="shared" si="108"/>
        <v>0</v>
      </c>
      <c r="H486" s="31" t="str">
        <f>IF(G486=1,IFERROR(VLOOKUP(F486,Tab_ErrMessage[],2,0),VLOOKUP(C486&amp;TableCosts[[#This Row],[Calc_N_Typ]],TRAN_STRITEMS_LABEL,4,FALSE)),"")</f>
        <v/>
      </c>
      <c r="I486" s="94"/>
      <c r="J486" s="94"/>
      <c r="K486" s="94"/>
      <c r="L486" s="84"/>
      <c r="M486" s="84"/>
      <c r="N486" s="84"/>
      <c r="O486" s="84"/>
      <c r="P486" s="84"/>
      <c r="Q486" s="84"/>
      <c r="R486" s="84"/>
      <c r="S486" s="84"/>
      <c r="T486" s="84"/>
      <c r="U486" s="84"/>
      <c r="V486" s="84"/>
      <c r="W486" s="84"/>
      <c r="X486" s="84"/>
      <c r="Y486" s="84"/>
      <c r="Z486" s="84"/>
      <c r="AA486" s="84"/>
      <c r="AB486" s="84"/>
      <c r="AC486" s="84"/>
      <c r="AD486" s="84"/>
      <c r="AE486" s="84"/>
      <c r="AF486" s="84"/>
      <c r="AG486" s="84"/>
      <c r="AH486" s="84"/>
      <c r="AI486" s="84"/>
      <c r="AJ486" s="84"/>
      <c r="AK486" s="84"/>
      <c r="AL486" s="84"/>
      <c r="AM486" s="84"/>
      <c r="AN486" s="84"/>
      <c r="AO486" s="84"/>
      <c r="AP486" s="84"/>
      <c r="AQ486" s="84"/>
      <c r="AR486" s="84"/>
      <c r="AS486" s="84"/>
      <c r="AT486" s="84"/>
      <c r="AU486" s="84"/>
      <c r="AV486" s="84"/>
      <c r="AW486" s="84"/>
      <c r="AX486" s="87">
        <f t="array" ref="AX486">IF(G486=1,SUM((ROW(M0)=ROW(AW486))*(M0+M1_+M2_+M3_+M4_+M5_+M6_+M7_+M8_+M9_+M10_+M11_+M12_+M13_+M14_+M15_+M16_+M17_+M18_+M19_+M20_+M21_+M22_+M23_+M24_+M25_+M26_+M27_+M28_+M29_+M30_+M31_+M32_+M33_+M34_+M35_+M36_+M37_)),0)</f>
        <v>0</v>
      </c>
      <c r="AZ486" s="24" t="str">
        <f t="shared" si="109"/>
        <v/>
      </c>
      <c r="BA486" s="24" t="str">
        <f t="shared" si="110"/>
        <v/>
      </c>
      <c r="BB486" s="24" t="str">
        <f t="shared" si="111"/>
        <v/>
      </c>
      <c r="BC486" s="24" t="str">
        <f>IF(OR(E486="",LEFT(TableCosts[[#This Row],[Calc_N_Typ]],18)="Vynaložené náklady"),"",VLOOKUP(E486,Tab_Parts,2,0))</f>
        <v/>
      </c>
      <c r="BD486" s="24" t="str">
        <f t="shared" si="112"/>
        <v/>
      </c>
      <c r="BE486" s="24">
        <f t="shared" si="113"/>
        <v>0</v>
      </c>
      <c r="BF486" s="72">
        <f>TableCosts[[#This Row],[N_Amount]]*TableCosts[[#This Row],[N_Tariff]]*TableCosts[[#This Row],[N_ItemsCount]]</f>
        <v>0</v>
      </c>
      <c r="BG486" s="72">
        <f>IF(G486=1,IF(TableCosts[[#This Row],[N_Kateg]]="interné práce",TableCosts[[#This Row],[N_Amount]]*8*PAR_SGA_PERHOUR,0),0)</f>
        <v>0</v>
      </c>
      <c r="BH486" s="72">
        <f>SUM(TableCosts[[#This Row],[N_Direct]:[N_SGA]])</f>
        <v>0</v>
      </c>
      <c r="BI486" s="24">
        <f>IF(G486=1,IF(OR(AND(NOT(ISERROR(VLOOKUP(TableCosts[[#This Row],[Calc_N_Typ]],Cis_WorkPositions,1,0))),C486&lt;&gt;"",D486&lt;&gt;"",E486&lt;&gt;""),AND(ISERROR(VLOOKUP(TableCosts[[#This Row],[Calc_N_Typ]],Cis_WorkPositions,1,0)),C486="",D486="",E486&lt;&gt;""),LEFT(TableCosts[[#This Row],[Calc_N_Typ]],18)="Vynaložené náklady"),VLOOKUP(C486&amp;TableCosts[[#This Row],[Calc_N_Typ]],TRAN_STRITEMS_LABEL,VLOOKUP(D486,Tab_Hours,3,0),0),NA()),0)</f>
        <v>0</v>
      </c>
      <c r="BJ486" s="24">
        <f t="shared" si="114"/>
        <v>0</v>
      </c>
      <c r="BK486" s="24" t="str">
        <f t="shared" si="115"/>
        <v/>
      </c>
      <c r="BL486" s="24" t="str">
        <f t="shared" si="116"/>
        <v/>
      </c>
      <c r="BM486" s="24" t="str">
        <f>IF(G486=1,IF(TableCosts[[#This Row],[TransferFrom]]=TableCosts[[#This Row],[TranferTo]],0,1),"")</f>
        <v/>
      </c>
      <c r="BN486" s="24" t="str">
        <f t="shared" si="117"/>
        <v/>
      </c>
      <c r="BO486" s="24">
        <f t="shared" si="118"/>
        <v>0</v>
      </c>
      <c r="BP486" s="24">
        <f t="shared" si="119"/>
        <v>0</v>
      </c>
    </row>
    <row r="487" spans="2:68" s="24" customFormat="1" ht="12.75" x14ac:dyDescent="0.2">
      <c r="B487" s="97"/>
      <c r="C487" s="92"/>
      <c r="D487" s="92"/>
      <c r="E487" s="92"/>
      <c r="F487" s="31" t="str">
        <f>IF(G487=1,IF(ISERROR(TableCosts[[#This Row],[N_Tariff]]),Err_Message1,IF(TableCosts[[#This Row],[N_Tariff]]=0,Err_Message2,VLOOKUP(C487&amp;TableCosts[[#This Row],[Calc_N_Typ]],TRAN_STRITEMS_LABEL,5,FALSE))),"")</f>
        <v/>
      </c>
      <c r="G487" s="31">
        <f t="shared" si="108"/>
        <v>0</v>
      </c>
      <c r="H487" s="31" t="str">
        <f>IF(G487=1,IFERROR(VLOOKUP(F487,Tab_ErrMessage[],2,0),VLOOKUP(C487&amp;TableCosts[[#This Row],[Calc_N_Typ]],TRAN_STRITEMS_LABEL,4,FALSE)),"")</f>
        <v/>
      </c>
      <c r="I487" s="94"/>
      <c r="J487" s="94"/>
      <c r="K487" s="94"/>
      <c r="L487" s="84"/>
      <c r="M487" s="84"/>
      <c r="N487" s="84"/>
      <c r="O487" s="84"/>
      <c r="P487" s="84"/>
      <c r="Q487" s="84"/>
      <c r="R487" s="84"/>
      <c r="S487" s="84"/>
      <c r="T487" s="84"/>
      <c r="U487" s="84"/>
      <c r="V487" s="84"/>
      <c r="W487" s="84"/>
      <c r="X487" s="84"/>
      <c r="Y487" s="84"/>
      <c r="Z487" s="84"/>
      <c r="AA487" s="84"/>
      <c r="AB487" s="84"/>
      <c r="AC487" s="84"/>
      <c r="AD487" s="84"/>
      <c r="AE487" s="84"/>
      <c r="AF487" s="84"/>
      <c r="AG487" s="84"/>
      <c r="AH487" s="84"/>
      <c r="AI487" s="84"/>
      <c r="AJ487" s="84"/>
      <c r="AK487" s="84"/>
      <c r="AL487" s="84"/>
      <c r="AM487" s="84"/>
      <c r="AN487" s="84"/>
      <c r="AO487" s="84"/>
      <c r="AP487" s="84"/>
      <c r="AQ487" s="84"/>
      <c r="AR487" s="84"/>
      <c r="AS487" s="84"/>
      <c r="AT487" s="84"/>
      <c r="AU487" s="84"/>
      <c r="AV487" s="84"/>
      <c r="AW487" s="84"/>
      <c r="AX487" s="87">
        <f t="array" ref="AX487">IF(G487=1,SUM((ROW(M0)=ROW(AW487))*(M0+M1_+M2_+M3_+M4_+M5_+M6_+M7_+M8_+M9_+M10_+M11_+M12_+M13_+M14_+M15_+M16_+M17_+M18_+M19_+M20_+M21_+M22_+M23_+M24_+M25_+M26_+M27_+M28_+M29_+M30_+M31_+M32_+M33_+M34_+M35_+M36_+M37_)),0)</f>
        <v>0</v>
      </c>
      <c r="AZ487" s="24" t="str">
        <f t="shared" si="109"/>
        <v/>
      </c>
      <c r="BA487" s="24" t="str">
        <f t="shared" si="110"/>
        <v/>
      </c>
      <c r="BB487" s="24" t="str">
        <f t="shared" si="111"/>
        <v/>
      </c>
      <c r="BC487" s="24" t="str">
        <f>IF(OR(E487="",LEFT(TableCosts[[#This Row],[Calc_N_Typ]],18)="Vynaložené náklady"),"",VLOOKUP(E487,Tab_Parts,2,0))</f>
        <v/>
      </c>
      <c r="BD487" s="24" t="str">
        <f t="shared" si="112"/>
        <v/>
      </c>
      <c r="BE487" s="24">
        <f t="shared" si="113"/>
        <v>0</v>
      </c>
      <c r="BF487" s="72">
        <f>TableCosts[[#This Row],[N_Amount]]*TableCosts[[#This Row],[N_Tariff]]*TableCosts[[#This Row],[N_ItemsCount]]</f>
        <v>0</v>
      </c>
      <c r="BG487" s="72">
        <f>IF(G487=1,IF(TableCosts[[#This Row],[N_Kateg]]="interné práce",TableCosts[[#This Row],[N_Amount]]*8*PAR_SGA_PERHOUR,0),0)</f>
        <v>0</v>
      </c>
      <c r="BH487" s="72">
        <f>SUM(TableCosts[[#This Row],[N_Direct]:[N_SGA]])</f>
        <v>0</v>
      </c>
      <c r="BI487" s="24">
        <f>IF(G487=1,IF(OR(AND(NOT(ISERROR(VLOOKUP(TableCosts[[#This Row],[Calc_N_Typ]],Cis_WorkPositions,1,0))),C487&lt;&gt;"",D487&lt;&gt;"",E487&lt;&gt;""),AND(ISERROR(VLOOKUP(TableCosts[[#This Row],[Calc_N_Typ]],Cis_WorkPositions,1,0)),C487="",D487="",E487&lt;&gt;""),LEFT(TableCosts[[#This Row],[Calc_N_Typ]],18)="Vynaložené náklady"),VLOOKUP(C487&amp;TableCosts[[#This Row],[Calc_N_Typ]],TRAN_STRITEMS_LABEL,VLOOKUP(D487,Tab_Hours,3,0),0),NA()),0)</f>
        <v>0</v>
      </c>
      <c r="BJ487" s="24">
        <f t="shared" si="114"/>
        <v>0</v>
      </c>
      <c r="BK487" s="24" t="str">
        <f t="shared" si="115"/>
        <v/>
      </c>
      <c r="BL487" s="24" t="str">
        <f t="shared" si="116"/>
        <v/>
      </c>
      <c r="BM487" s="24" t="str">
        <f>IF(G487=1,IF(TableCosts[[#This Row],[TransferFrom]]=TableCosts[[#This Row],[TranferTo]],0,1),"")</f>
        <v/>
      </c>
      <c r="BN487" s="24" t="str">
        <f t="shared" si="117"/>
        <v/>
      </c>
      <c r="BO487" s="24">
        <f t="shared" si="118"/>
        <v>0</v>
      </c>
      <c r="BP487" s="24">
        <f t="shared" si="119"/>
        <v>0</v>
      </c>
    </row>
    <row r="488" spans="2:68" s="24" customFormat="1" ht="12.75" x14ac:dyDescent="0.2">
      <c r="B488" s="97"/>
      <c r="C488" s="92"/>
      <c r="D488" s="92"/>
      <c r="E488" s="92"/>
      <c r="F488" s="31" t="str">
        <f>IF(G488=1,IF(ISERROR(TableCosts[[#This Row],[N_Tariff]]),Err_Message1,IF(TableCosts[[#This Row],[N_Tariff]]=0,Err_Message2,VLOOKUP(C488&amp;TableCosts[[#This Row],[Calc_N_Typ]],TRAN_STRITEMS_LABEL,5,FALSE))),"")</f>
        <v/>
      </c>
      <c r="G488" s="31">
        <f t="shared" si="108"/>
        <v>0</v>
      </c>
      <c r="H488" s="31" t="str">
        <f>IF(G488=1,IFERROR(VLOOKUP(F488,Tab_ErrMessage[],2,0),VLOOKUP(C488&amp;TableCosts[[#This Row],[Calc_N_Typ]],TRAN_STRITEMS_LABEL,4,FALSE)),"")</f>
        <v/>
      </c>
      <c r="I488" s="94"/>
      <c r="J488" s="94"/>
      <c r="K488" s="94"/>
      <c r="L488" s="84"/>
      <c r="M488" s="84"/>
      <c r="N488" s="84"/>
      <c r="O488" s="84"/>
      <c r="P488" s="84"/>
      <c r="Q488" s="84"/>
      <c r="R488" s="84"/>
      <c r="S488" s="84"/>
      <c r="T488" s="84"/>
      <c r="U488" s="84"/>
      <c r="V488" s="84"/>
      <c r="W488" s="84"/>
      <c r="X488" s="84"/>
      <c r="Y488" s="84"/>
      <c r="Z488" s="84"/>
      <c r="AA488" s="84"/>
      <c r="AB488" s="84"/>
      <c r="AC488" s="84"/>
      <c r="AD488" s="84"/>
      <c r="AE488" s="84"/>
      <c r="AF488" s="84"/>
      <c r="AG488" s="84"/>
      <c r="AH488" s="84"/>
      <c r="AI488" s="84"/>
      <c r="AJ488" s="84"/>
      <c r="AK488" s="84"/>
      <c r="AL488" s="84"/>
      <c r="AM488" s="84"/>
      <c r="AN488" s="84"/>
      <c r="AO488" s="84"/>
      <c r="AP488" s="84"/>
      <c r="AQ488" s="84"/>
      <c r="AR488" s="84"/>
      <c r="AS488" s="84"/>
      <c r="AT488" s="84"/>
      <c r="AU488" s="84"/>
      <c r="AV488" s="84"/>
      <c r="AW488" s="84"/>
      <c r="AX488" s="87">
        <f t="array" ref="AX488">IF(G488=1,SUM((ROW(M0)=ROW(AW488))*(M0+M1_+M2_+M3_+M4_+M5_+M6_+M7_+M8_+M9_+M10_+M11_+M12_+M13_+M14_+M15_+M16_+M17_+M18_+M19_+M20_+M21_+M22_+M23_+M24_+M25_+M26_+M27_+M28_+M29_+M30_+M31_+M32_+M33_+M34_+M35_+M36_+M37_)),0)</f>
        <v>0</v>
      </c>
      <c r="AZ488" s="24" t="str">
        <f t="shared" si="109"/>
        <v/>
      </c>
      <c r="BA488" s="24" t="str">
        <f t="shared" si="110"/>
        <v/>
      </c>
      <c r="BB488" s="24" t="str">
        <f t="shared" si="111"/>
        <v/>
      </c>
      <c r="BC488" s="24" t="str">
        <f>IF(OR(E488="",LEFT(TableCosts[[#This Row],[Calc_N_Typ]],18)="Vynaložené náklady"),"",VLOOKUP(E488,Tab_Parts,2,0))</f>
        <v/>
      </c>
      <c r="BD488" s="24" t="str">
        <f t="shared" si="112"/>
        <v/>
      </c>
      <c r="BE488" s="24">
        <f t="shared" si="113"/>
        <v>0</v>
      </c>
      <c r="BF488" s="72">
        <f>TableCosts[[#This Row],[N_Amount]]*TableCosts[[#This Row],[N_Tariff]]*TableCosts[[#This Row],[N_ItemsCount]]</f>
        <v>0</v>
      </c>
      <c r="BG488" s="72">
        <f>IF(G488=1,IF(TableCosts[[#This Row],[N_Kateg]]="interné práce",TableCosts[[#This Row],[N_Amount]]*8*PAR_SGA_PERHOUR,0),0)</f>
        <v>0</v>
      </c>
      <c r="BH488" s="72">
        <f>SUM(TableCosts[[#This Row],[N_Direct]:[N_SGA]])</f>
        <v>0</v>
      </c>
      <c r="BI488" s="24">
        <f>IF(G488=1,IF(OR(AND(NOT(ISERROR(VLOOKUP(TableCosts[[#This Row],[Calc_N_Typ]],Cis_WorkPositions,1,0))),C488&lt;&gt;"",D488&lt;&gt;"",E488&lt;&gt;""),AND(ISERROR(VLOOKUP(TableCosts[[#This Row],[Calc_N_Typ]],Cis_WorkPositions,1,0)),C488="",D488="",E488&lt;&gt;""),LEFT(TableCosts[[#This Row],[Calc_N_Typ]],18)="Vynaložené náklady"),VLOOKUP(C488&amp;TableCosts[[#This Row],[Calc_N_Typ]],TRAN_STRITEMS_LABEL,VLOOKUP(D488,Tab_Hours,3,0),0),NA()),0)</f>
        <v>0</v>
      </c>
      <c r="BJ488" s="24">
        <f t="shared" si="114"/>
        <v>0</v>
      </c>
      <c r="BK488" s="24" t="str">
        <f t="shared" si="115"/>
        <v/>
      </c>
      <c r="BL488" s="24" t="str">
        <f t="shared" si="116"/>
        <v/>
      </c>
      <c r="BM488" s="24" t="str">
        <f>IF(G488=1,IF(TableCosts[[#This Row],[TransferFrom]]=TableCosts[[#This Row],[TranferTo]],0,1),"")</f>
        <v/>
      </c>
      <c r="BN488" s="24" t="str">
        <f t="shared" si="117"/>
        <v/>
      </c>
      <c r="BO488" s="24">
        <f t="shared" si="118"/>
        <v>0</v>
      </c>
      <c r="BP488" s="24">
        <f t="shared" si="119"/>
        <v>0</v>
      </c>
    </row>
    <row r="489" spans="2:68" s="24" customFormat="1" ht="12.75" x14ac:dyDescent="0.2">
      <c r="B489" s="97"/>
      <c r="C489" s="92"/>
      <c r="D489" s="92"/>
      <c r="E489" s="92"/>
      <c r="F489" s="31" t="str">
        <f>IF(G489=1,IF(ISERROR(TableCosts[[#This Row],[N_Tariff]]),Err_Message1,IF(TableCosts[[#This Row],[N_Tariff]]=0,Err_Message2,VLOOKUP(C489&amp;TableCosts[[#This Row],[Calc_N_Typ]],TRAN_STRITEMS_LABEL,5,FALSE))),"")</f>
        <v/>
      </c>
      <c r="G489" s="31">
        <f t="shared" si="108"/>
        <v>0</v>
      </c>
      <c r="H489" s="31" t="str">
        <f>IF(G489=1,IFERROR(VLOOKUP(F489,Tab_ErrMessage[],2,0),VLOOKUP(C489&amp;TableCosts[[#This Row],[Calc_N_Typ]],TRAN_STRITEMS_LABEL,4,FALSE)),"")</f>
        <v/>
      </c>
      <c r="I489" s="94"/>
      <c r="J489" s="94"/>
      <c r="K489" s="94"/>
      <c r="L489" s="84"/>
      <c r="M489" s="84"/>
      <c r="N489" s="84"/>
      <c r="O489" s="84"/>
      <c r="P489" s="84"/>
      <c r="Q489" s="84"/>
      <c r="R489" s="84"/>
      <c r="S489" s="84"/>
      <c r="T489" s="84"/>
      <c r="U489" s="84"/>
      <c r="V489" s="84"/>
      <c r="W489" s="84"/>
      <c r="X489" s="84"/>
      <c r="Y489" s="84"/>
      <c r="Z489" s="84"/>
      <c r="AA489" s="84"/>
      <c r="AB489" s="84"/>
      <c r="AC489" s="84"/>
      <c r="AD489" s="84"/>
      <c r="AE489" s="84"/>
      <c r="AF489" s="84"/>
      <c r="AG489" s="84"/>
      <c r="AH489" s="84"/>
      <c r="AI489" s="84"/>
      <c r="AJ489" s="84"/>
      <c r="AK489" s="84"/>
      <c r="AL489" s="84"/>
      <c r="AM489" s="84"/>
      <c r="AN489" s="84"/>
      <c r="AO489" s="84"/>
      <c r="AP489" s="84"/>
      <c r="AQ489" s="84"/>
      <c r="AR489" s="84"/>
      <c r="AS489" s="84"/>
      <c r="AT489" s="84"/>
      <c r="AU489" s="84"/>
      <c r="AV489" s="84"/>
      <c r="AW489" s="84"/>
      <c r="AX489" s="87">
        <f t="array" ref="AX489">IF(G489=1,SUM((ROW(M0)=ROW(AW489))*(M0+M1_+M2_+M3_+M4_+M5_+M6_+M7_+M8_+M9_+M10_+M11_+M12_+M13_+M14_+M15_+M16_+M17_+M18_+M19_+M20_+M21_+M22_+M23_+M24_+M25_+M26_+M27_+M28_+M29_+M30_+M31_+M32_+M33_+M34_+M35_+M36_+M37_)),0)</f>
        <v>0</v>
      </c>
      <c r="AZ489" s="24" t="str">
        <f t="shared" si="109"/>
        <v/>
      </c>
      <c r="BA489" s="24" t="str">
        <f t="shared" si="110"/>
        <v/>
      </c>
      <c r="BB489" s="24" t="str">
        <f t="shared" si="111"/>
        <v/>
      </c>
      <c r="BC489" s="24" t="str">
        <f>IF(OR(E489="",LEFT(TableCosts[[#This Row],[Calc_N_Typ]],18)="Vynaložené náklady"),"",VLOOKUP(E489,Tab_Parts,2,0))</f>
        <v/>
      </c>
      <c r="BD489" s="24" t="str">
        <f t="shared" si="112"/>
        <v/>
      </c>
      <c r="BE489" s="24">
        <f t="shared" si="113"/>
        <v>0</v>
      </c>
      <c r="BF489" s="72">
        <f>TableCosts[[#This Row],[N_Amount]]*TableCosts[[#This Row],[N_Tariff]]*TableCosts[[#This Row],[N_ItemsCount]]</f>
        <v>0</v>
      </c>
      <c r="BG489" s="72">
        <f>IF(G489=1,IF(TableCosts[[#This Row],[N_Kateg]]="interné práce",TableCosts[[#This Row],[N_Amount]]*8*PAR_SGA_PERHOUR,0),0)</f>
        <v>0</v>
      </c>
      <c r="BH489" s="72">
        <f>SUM(TableCosts[[#This Row],[N_Direct]:[N_SGA]])</f>
        <v>0</v>
      </c>
      <c r="BI489" s="24">
        <f>IF(G489=1,IF(OR(AND(NOT(ISERROR(VLOOKUP(TableCosts[[#This Row],[Calc_N_Typ]],Cis_WorkPositions,1,0))),C489&lt;&gt;"",D489&lt;&gt;"",E489&lt;&gt;""),AND(ISERROR(VLOOKUP(TableCosts[[#This Row],[Calc_N_Typ]],Cis_WorkPositions,1,0)),C489="",D489="",E489&lt;&gt;""),LEFT(TableCosts[[#This Row],[Calc_N_Typ]],18)="Vynaložené náklady"),VLOOKUP(C489&amp;TableCosts[[#This Row],[Calc_N_Typ]],TRAN_STRITEMS_LABEL,VLOOKUP(D489,Tab_Hours,3,0),0),NA()),0)</f>
        <v>0</v>
      </c>
      <c r="BJ489" s="24">
        <f t="shared" si="114"/>
        <v>0</v>
      </c>
      <c r="BK489" s="24" t="str">
        <f t="shared" si="115"/>
        <v/>
      </c>
      <c r="BL489" s="24" t="str">
        <f t="shared" si="116"/>
        <v/>
      </c>
      <c r="BM489" s="24" t="str">
        <f>IF(G489=1,IF(TableCosts[[#This Row],[TransferFrom]]=TableCosts[[#This Row],[TranferTo]],0,1),"")</f>
        <v/>
      </c>
      <c r="BN489" s="24" t="str">
        <f t="shared" si="117"/>
        <v/>
      </c>
      <c r="BO489" s="24">
        <f t="shared" si="118"/>
        <v>0</v>
      </c>
      <c r="BP489" s="24">
        <f t="shared" si="119"/>
        <v>0</v>
      </c>
    </row>
    <row r="490" spans="2:68" s="24" customFormat="1" ht="12.75" x14ac:dyDescent="0.2">
      <c r="B490" s="97"/>
      <c r="C490" s="92"/>
      <c r="D490" s="92"/>
      <c r="E490" s="92"/>
      <c r="F490" s="31" t="str">
        <f>IF(G490=1,IF(ISERROR(TableCosts[[#This Row],[N_Tariff]]),Err_Message1,IF(TableCosts[[#This Row],[N_Tariff]]=0,Err_Message2,VLOOKUP(C490&amp;TableCosts[[#This Row],[Calc_N_Typ]],TRAN_STRITEMS_LABEL,5,FALSE))),"")</f>
        <v/>
      </c>
      <c r="G490" s="31">
        <f t="shared" si="108"/>
        <v>0</v>
      </c>
      <c r="H490" s="31" t="str">
        <f>IF(G490=1,IFERROR(VLOOKUP(F490,Tab_ErrMessage[],2,0),VLOOKUP(C490&amp;TableCosts[[#This Row],[Calc_N_Typ]],TRAN_STRITEMS_LABEL,4,FALSE)),"")</f>
        <v/>
      </c>
      <c r="I490" s="94"/>
      <c r="J490" s="94"/>
      <c r="K490" s="94"/>
      <c r="L490" s="84"/>
      <c r="M490" s="84"/>
      <c r="N490" s="84"/>
      <c r="O490" s="84"/>
      <c r="P490" s="84"/>
      <c r="Q490" s="84"/>
      <c r="R490" s="84"/>
      <c r="S490" s="84"/>
      <c r="T490" s="84"/>
      <c r="U490" s="84"/>
      <c r="V490" s="84"/>
      <c r="W490" s="84"/>
      <c r="X490" s="84"/>
      <c r="Y490" s="84"/>
      <c r="Z490" s="84"/>
      <c r="AA490" s="84"/>
      <c r="AB490" s="84"/>
      <c r="AC490" s="84"/>
      <c r="AD490" s="84"/>
      <c r="AE490" s="84"/>
      <c r="AF490" s="84"/>
      <c r="AG490" s="84"/>
      <c r="AH490" s="84"/>
      <c r="AI490" s="84"/>
      <c r="AJ490" s="84"/>
      <c r="AK490" s="84"/>
      <c r="AL490" s="84"/>
      <c r="AM490" s="84"/>
      <c r="AN490" s="84"/>
      <c r="AO490" s="84"/>
      <c r="AP490" s="84"/>
      <c r="AQ490" s="84"/>
      <c r="AR490" s="84"/>
      <c r="AS490" s="84"/>
      <c r="AT490" s="84"/>
      <c r="AU490" s="84"/>
      <c r="AV490" s="84"/>
      <c r="AW490" s="84"/>
      <c r="AX490" s="87">
        <f t="array" ref="AX490">IF(G490=1,SUM((ROW(M0)=ROW(AW490))*(M0+M1_+M2_+M3_+M4_+M5_+M6_+M7_+M8_+M9_+M10_+M11_+M12_+M13_+M14_+M15_+M16_+M17_+M18_+M19_+M20_+M21_+M22_+M23_+M24_+M25_+M26_+M27_+M28_+M29_+M30_+M31_+M32_+M33_+M34_+M35_+M36_+M37_)),0)</f>
        <v>0</v>
      </c>
      <c r="AZ490" s="24" t="str">
        <f t="shared" si="109"/>
        <v/>
      </c>
      <c r="BA490" s="24" t="str">
        <f t="shared" si="110"/>
        <v/>
      </c>
      <c r="BB490" s="24" t="str">
        <f t="shared" si="111"/>
        <v/>
      </c>
      <c r="BC490" s="24" t="str">
        <f>IF(OR(E490="",LEFT(TableCosts[[#This Row],[Calc_N_Typ]],18)="Vynaložené náklady"),"",VLOOKUP(E490,Tab_Parts,2,0))</f>
        <v/>
      </c>
      <c r="BD490" s="24" t="str">
        <f t="shared" si="112"/>
        <v/>
      </c>
      <c r="BE490" s="24">
        <f t="shared" si="113"/>
        <v>0</v>
      </c>
      <c r="BF490" s="72">
        <f>TableCosts[[#This Row],[N_Amount]]*TableCosts[[#This Row],[N_Tariff]]*TableCosts[[#This Row],[N_ItemsCount]]</f>
        <v>0</v>
      </c>
      <c r="BG490" s="72">
        <f>IF(G490=1,IF(TableCosts[[#This Row],[N_Kateg]]="interné práce",TableCosts[[#This Row],[N_Amount]]*8*PAR_SGA_PERHOUR,0),0)</f>
        <v>0</v>
      </c>
      <c r="BH490" s="72">
        <f>SUM(TableCosts[[#This Row],[N_Direct]:[N_SGA]])</f>
        <v>0</v>
      </c>
      <c r="BI490" s="24">
        <f>IF(G490=1,IF(OR(AND(NOT(ISERROR(VLOOKUP(TableCosts[[#This Row],[Calc_N_Typ]],Cis_WorkPositions,1,0))),C490&lt;&gt;"",D490&lt;&gt;"",E490&lt;&gt;""),AND(ISERROR(VLOOKUP(TableCosts[[#This Row],[Calc_N_Typ]],Cis_WorkPositions,1,0)),C490="",D490="",E490&lt;&gt;""),LEFT(TableCosts[[#This Row],[Calc_N_Typ]],18)="Vynaložené náklady"),VLOOKUP(C490&amp;TableCosts[[#This Row],[Calc_N_Typ]],TRAN_STRITEMS_LABEL,VLOOKUP(D490,Tab_Hours,3,0),0),NA()),0)</f>
        <v>0</v>
      </c>
      <c r="BJ490" s="24">
        <f t="shared" si="114"/>
        <v>0</v>
      </c>
      <c r="BK490" s="24" t="str">
        <f t="shared" si="115"/>
        <v/>
      </c>
      <c r="BL490" s="24" t="str">
        <f t="shared" si="116"/>
        <v/>
      </c>
      <c r="BM490" s="24" t="str">
        <f>IF(G490=1,IF(TableCosts[[#This Row],[TransferFrom]]=TableCosts[[#This Row],[TranferTo]],0,1),"")</f>
        <v/>
      </c>
      <c r="BN490" s="24" t="str">
        <f t="shared" si="117"/>
        <v/>
      </c>
      <c r="BO490" s="24">
        <f t="shared" si="118"/>
        <v>0</v>
      </c>
      <c r="BP490" s="24">
        <f t="shared" si="119"/>
        <v>0</v>
      </c>
    </row>
    <row r="491" spans="2:68" s="24" customFormat="1" ht="12.75" x14ac:dyDescent="0.2">
      <c r="B491" s="97"/>
      <c r="C491" s="92"/>
      <c r="D491" s="92"/>
      <c r="E491" s="92"/>
      <c r="F491" s="31" t="str">
        <f>IF(G491=1,IF(ISERROR(TableCosts[[#This Row],[N_Tariff]]),Err_Message1,IF(TableCosts[[#This Row],[N_Tariff]]=0,Err_Message2,VLOOKUP(C491&amp;TableCosts[[#This Row],[Calc_N_Typ]],TRAN_STRITEMS_LABEL,5,FALSE))),"")</f>
        <v/>
      </c>
      <c r="G491" s="31">
        <f t="shared" si="108"/>
        <v>0</v>
      </c>
      <c r="H491" s="31" t="str">
        <f>IF(G491=1,IFERROR(VLOOKUP(F491,Tab_ErrMessage[],2,0),VLOOKUP(C491&amp;TableCosts[[#This Row],[Calc_N_Typ]],TRAN_STRITEMS_LABEL,4,FALSE)),"")</f>
        <v/>
      </c>
      <c r="I491" s="94"/>
      <c r="J491" s="94"/>
      <c r="K491" s="94"/>
      <c r="L491" s="84"/>
      <c r="M491" s="84"/>
      <c r="N491" s="84"/>
      <c r="O491" s="84"/>
      <c r="P491" s="84"/>
      <c r="Q491" s="84"/>
      <c r="R491" s="84"/>
      <c r="S491" s="84"/>
      <c r="T491" s="84"/>
      <c r="U491" s="84"/>
      <c r="V491" s="84"/>
      <c r="W491" s="84"/>
      <c r="X491" s="84"/>
      <c r="Y491" s="84"/>
      <c r="Z491" s="84"/>
      <c r="AA491" s="84"/>
      <c r="AB491" s="84"/>
      <c r="AC491" s="84"/>
      <c r="AD491" s="84"/>
      <c r="AE491" s="84"/>
      <c r="AF491" s="84"/>
      <c r="AG491" s="84"/>
      <c r="AH491" s="84"/>
      <c r="AI491" s="84"/>
      <c r="AJ491" s="84"/>
      <c r="AK491" s="84"/>
      <c r="AL491" s="84"/>
      <c r="AM491" s="84"/>
      <c r="AN491" s="84"/>
      <c r="AO491" s="84"/>
      <c r="AP491" s="84"/>
      <c r="AQ491" s="84"/>
      <c r="AR491" s="84"/>
      <c r="AS491" s="84"/>
      <c r="AT491" s="84"/>
      <c r="AU491" s="84"/>
      <c r="AV491" s="84"/>
      <c r="AW491" s="84"/>
      <c r="AX491" s="87">
        <f t="array" ref="AX491">IF(G491=1,SUM((ROW(M0)=ROW(AW491))*(M0+M1_+M2_+M3_+M4_+M5_+M6_+M7_+M8_+M9_+M10_+M11_+M12_+M13_+M14_+M15_+M16_+M17_+M18_+M19_+M20_+M21_+M22_+M23_+M24_+M25_+M26_+M27_+M28_+M29_+M30_+M31_+M32_+M33_+M34_+M35_+M36_+M37_)),0)</f>
        <v>0</v>
      </c>
      <c r="AZ491" s="24" t="str">
        <f t="shared" si="109"/>
        <v/>
      </c>
      <c r="BA491" s="24" t="str">
        <f t="shared" si="110"/>
        <v/>
      </c>
      <c r="BB491" s="24" t="str">
        <f t="shared" si="111"/>
        <v/>
      </c>
      <c r="BC491" s="24" t="str">
        <f>IF(OR(E491="",LEFT(TableCosts[[#This Row],[Calc_N_Typ]],18)="Vynaložené náklady"),"",VLOOKUP(E491,Tab_Parts,2,0))</f>
        <v/>
      </c>
      <c r="BD491" s="24" t="str">
        <f t="shared" si="112"/>
        <v/>
      </c>
      <c r="BE491" s="24">
        <f t="shared" si="113"/>
        <v>0</v>
      </c>
      <c r="BF491" s="72">
        <f>TableCosts[[#This Row],[N_Amount]]*TableCosts[[#This Row],[N_Tariff]]*TableCosts[[#This Row],[N_ItemsCount]]</f>
        <v>0</v>
      </c>
      <c r="BG491" s="72">
        <f>IF(G491=1,IF(TableCosts[[#This Row],[N_Kateg]]="interné práce",TableCosts[[#This Row],[N_Amount]]*8*PAR_SGA_PERHOUR,0),0)</f>
        <v>0</v>
      </c>
      <c r="BH491" s="72">
        <f>SUM(TableCosts[[#This Row],[N_Direct]:[N_SGA]])</f>
        <v>0</v>
      </c>
      <c r="BI491" s="24">
        <f>IF(G491=1,IF(OR(AND(NOT(ISERROR(VLOOKUP(TableCosts[[#This Row],[Calc_N_Typ]],Cis_WorkPositions,1,0))),C491&lt;&gt;"",D491&lt;&gt;"",E491&lt;&gt;""),AND(ISERROR(VLOOKUP(TableCosts[[#This Row],[Calc_N_Typ]],Cis_WorkPositions,1,0)),C491="",D491="",E491&lt;&gt;""),LEFT(TableCosts[[#This Row],[Calc_N_Typ]],18)="Vynaložené náklady"),VLOOKUP(C491&amp;TableCosts[[#This Row],[Calc_N_Typ]],TRAN_STRITEMS_LABEL,VLOOKUP(D491,Tab_Hours,3,0),0),NA()),0)</f>
        <v>0</v>
      </c>
      <c r="BJ491" s="24">
        <f t="shared" si="114"/>
        <v>0</v>
      </c>
      <c r="BK491" s="24" t="str">
        <f t="shared" si="115"/>
        <v/>
      </c>
      <c r="BL491" s="24" t="str">
        <f t="shared" si="116"/>
        <v/>
      </c>
      <c r="BM491" s="24" t="str">
        <f>IF(G491=1,IF(TableCosts[[#This Row],[TransferFrom]]=TableCosts[[#This Row],[TranferTo]],0,1),"")</f>
        <v/>
      </c>
      <c r="BN491" s="24" t="str">
        <f t="shared" si="117"/>
        <v/>
      </c>
      <c r="BO491" s="24">
        <f t="shared" si="118"/>
        <v>0</v>
      </c>
      <c r="BP491" s="24">
        <f t="shared" si="119"/>
        <v>0</v>
      </c>
    </row>
    <row r="492" spans="2:68" s="24" customFormat="1" ht="12.75" x14ac:dyDescent="0.2">
      <c r="B492" s="97"/>
      <c r="C492" s="92"/>
      <c r="D492" s="92"/>
      <c r="E492" s="92"/>
      <c r="F492" s="31" t="str">
        <f>IF(G492=1,IF(ISERROR(TableCosts[[#This Row],[N_Tariff]]),Err_Message1,IF(TableCosts[[#This Row],[N_Tariff]]=0,Err_Message2,VLOOKUP(C492&amp;TableCosts[[#This Row],[Calc_N_Typ]],TRAN_STRITEMS_LABEL,5,FALSE))),"")</f>
        <v/>
      </c>
      <c r="G492" s="31">
        <f t="shared" si="108"/>
        <v>0</v>
      </c>
      <c r="H492" s="31" t="str">
        <f>IF(G492=1,IFERROR(VLOOKUP(F492,Tab_ErrMessage[],2,0),VLOOKUP(C492&amp;TableCosts[[#This Row],[Calc_N_Typ]],TRAN_STRITEMS_LABEL,4,FALSE)),"")</f>
        <v/>
      </c>
      <c r="I492" s="94"/>
      <c r="J492" s="94"/>
      <c r="K492" s="94"/>
      <c r="L492" s="84"/>
      <c r="M492" s="84"/>
      <c r="N492" s="84"/>
      <c r="O492" s="84"/>
      <c r="P492" s="84"/>
      <c r="Q492" s="84"/>
      <c r="R492" s="84"/>
      <c r="S492" s="84"/>
      <c r="T492" s="84"/>
      <c r="U492" s="84"/>
      <c r="V492" s="84"/>
      <c r="W492" s="84"/>
      <c r="X492" s="84"/>
      <c r="Y492" s="84"/>
      <c r="Z492" s="84"/>
      <c r="AA492" s="84"/>
      <c r="AB492" s="84"/>
      <c r="AC492" s="84"/>
      <c r="AD492" s="84"/>
      <c r="AE492" s="84"/>
      <c r="AF492" s="84"/>
      <c r="AG492" s="84"/>
      <c r="AH492" s="84"/>
      <c r="AI492" s="84"/>
      <c r="AJ492" s="84"/>
      <c r="AK492" s="84"/>
      <c r="AL492" s="84"/>
      <c r="AM492" s="84"/>
      <c r="AN492" s="84"/>
      <c r="AO492" s="84"/>
      <c r="AP492" s="84"/>
      <c r="AQ492" s="84"/>
      <c r="AR492" s="84"/>
      <c r="AS492" s="84"/>
      <c r="AT492" s="84"/>
      <c r="AU492" s="84"/>
      <c r="AV492" s="84"/>
      <c r="AW492" s="84"/>
      <c r="AX492" s="87">
        <f t="array" ref="AX492">IF(G492=1,SUM((ROW(M0)=ROW(AW492))*(M0+M1_+M2_+M3_+M4_+M5_+M6_+M7_+M8_+M9_+M10_+M11_+M12_+M13_+M14_+M15_+M16_+M17_+M18_+M19_+M20_+M21_+M22_+M23_+M24_+M25_+M26_+M27_+M28_+M29_+M30_+M31_+M32_+M33_+M34_+M35_+M36_+M37_)),0)</f>
        <v>0</v>
      </c>
      <c r="AZ492" s="24" t="str">
        <f t="shared" si="109"/>
        <v/>
      </c>
      <c r="BA492" s="24" t="str">
        <f t="shared" si="110"/>
        <v/>
      </c>
      <c r="BB492" s="24" t="str">
        <f t="shared" si="111"/>
        <v/>
      </c>
      <c r="BC492" s="24" t="str">
        <f>IF(OR(E492="",LEFT(TableCosts[[#This Row],[Calc_N_Typ]],18)="Vynaložené náklady"),"",VLOOKUP(E492,Tab_Parts,2,0))</f>
        <v/>
      </c>
      <c r="BD492" s="24" t="str">
        <f t="shared" si="112"/>
        <v/>
      </c>
      <c r="BE492" s="24">
        <f t="shared" si="113"/>
        <v>0</v>
      </c>
      <c r="BF492" s="72">
        <f>TableCosts[[#This Row],[N_Amount]]*TableCosts[[#This Row],[N_Tariff]]*TableCosts[[#This Row],[N_ItemsCount]]</f>
        <v>0</v>
      </c>
      <c r="BG492" s="72">
        <f>IF(G492=1,IF(TableCosts[[#This Row],[N_Kateg]]="interné práce",TableCosts[[#This Row],[N_Amount]]*8*PAR_SGA_PERHOUR,0),0)</f>
        <v>0</v>
      </c>
      <c r="BH492" s="72">
        <f>SUM(TableCosts[[#This Row],[N_Direct]:[N_SGA]])</f>
        <v>0</v>
      </c>
      <c r="BI492" s="24">
        <f>IF(G492=1,IF(OR(AND(NOT(ISERROR(VLOOKUP(TableCosts[[#This Row],[Calc_N_Typ]],Cis_WorkPositions,1,0))),C492&lt;&gt;"",D492&lt;&gt;"",E492&lt;&gt;""),AND(ISERROR(VLOOKUP(TableCosts[[#This Row],[Calc_N_Typ]],Cis_WorkPositions,1,0)),C492="",D492="",E492&lt;&gt;""),LEFT(TableCosts[[#This Row],[Calc_N_Typ]],18)="Vynaložené náklady"),VLOOKUP(C492&amp;TableCosts[[#This Row],[Calc_N_Typ]],TRAN_STRITEMS_LABEL,VLOOKUP(D492,Tab_Hours,3,0),0),NA()),0)</f>
        <v>0</v>
      </c>
      <c r="BJ492" s="24">
        <f t="shared" si="114"/>
        <v>0</v>
      </c>
      <c r="BK492" s="24" t="str">
        <f t="shared" si="115"/>
        <v/>
      </c>
      <c r="BL492" s="24" t="str">
        <f t="shared" si="116"/>
        <v/>
      </c>
      <c r="BM492" s="24" t="str">
        <f>IF(G492=1,IF(TableCosts[[#This Row],[TransferFrom]]=TableCosts[[#This Row],[TranferTo]],0,1),"")</f>
        <v/>
      </c>
      <c r="BN492" s="24" t="str">
        <f t="shared" si="117"/>
        <v/>
      </c>
      <c r="BO492" s="24">
        <f t="shared" si="118"/>
        <v>0</v>
      </c>
      <c r="BP492" s="24">
        <f t="shared" si="119"/>
        <v>0</v>
      </c>
    </row>
    <row r="493" spans="2:68" s="24" customFormat="1" ht="12.75" x14ac:dyDescent="0.2">
      <c r="B493" s="97"/>
      <c r="C493" s="92"/>
      <c r="D493" s="92"/>
      <c r="E493" s="92"/>
      <c r="F493" s="31" t="str">
        <f>IF(G493=1,IF(ISERROR(TableCosts[[#This Row],[N_Tariff]]),Err_Message1,IF(TableCosts[[#This Row],[N_Tariff]]=0,Err_Message2,VLOOKUP(C493&amp;TableCosts[[#This Row],[Calc_N_Typ]],TRAN_STRITEMS_LABEL,5,FALSE))),"")</f>
        <v/>
      </c>
      <c r="G493" s="31">
        <f t="shared" si="108"/>
        <v>0</v>
      </c>
      <c r="H493" s="31" t="str">
        <f>IF(G493=1,IFERROR(VLOOKUP(F493,Tab_ErrMessage[],2,0),VLOOKUP(C493&amp;TableCosts[[#This Row],[Calc_N_Typ]],TRAN_STRITEMS_LABEL,4,FALSE)),"")</f>
        <v/>
      </c>
      <c r="I493" s="94"/>
      <c r="J493" s="94"/>
      <c r="K493" s="94"/>
      <c r="L493" s="84"/>
      <c r="M493" s="84"/>
      <c r="N493" s="84"/>
      <c r="O493" s="84"/>
      <c r="P493" s="84"/>
      <c r="Q493" s="84"/>
      <c r="R493" s="84"/>
      <c r="S493" s="84"/>
      <c r="T493" s="84"/>
      <c r="U493" s="84"/>
      <c r="V493" s="84"/>
      <c r="W493" s="84"/>
      <c r="X493" s="84"/>
      <c r="Y493" s="84"/>
      <c r="Z493" s="84"/>
      <c r="AA493" s="84"/>
      <c r="AB493" s="84"/>
      <c r="AC493" s="84"/>
      <c r="AD493" s="84"/>
      <c r="AE493" s="84"/>
      <c r="AF493" s="84"/>
      <c r="AG493" s="84"/>
      <c r="AH493" s="84"/>
      <c r="AI493" s="84"/>
      <c r="AJ493" s="84"/>
      <c r="AK493" s="84"/>
      <c r="AL493" s="84"/>
      <c r="AM493" s="84"/>
      <c r="AN493" s="84"/>
      <c r="AO493" s="84"/>
      <c r="AP493" s="84"/>
      <c r="AQ493" s="84"/>
      <c r="AR493" s="84"/>
      <c r="AS493" s="84"/>
      <c r="AT493" s="84"/>
      <c r="AU493" s="84"/>
      <c r="AV493" s="84"/>
      <c r="AW493" s="84"/>
      <c r="AX493" s="87">
        <f t="array" ref="AX493">IF(G493=1,SUM((ROW(M0)=ROW(AW493))*(M0+M1_+M2_+M3_+M4_+M5_+M6_+M7_+M8_+M9_+M10_+M11_+M12_+M13_+M14_+M15_+M16_+M17_+M18_+M19_+M20_+M21_+M22_+M23_+M24_+M25_+M26_+M27_+M28_+M29_+M30_+M31_+M32_+M33_+M34_+M35_+M36_+M37_)),0)</f>
        <v>0</v>
      </c>
      <c r="AZ493" s="24" t="str">
        <f t="shared" si="109"/>
        <v/>
      </c>
      <c r="BA493" s="24" t="str">
        <f t="shared" si="110"/>
        <v/>
      </c>
      <c r="BB493" s="24" t="str">
        <f t="shared" si="111"/>
        <v/>
      </c>
      <c r="BC493" s="24" t="str">
        <f>IF(OR(E493="",LEFT(TableCosts[[#This Row],[Calc_N_Typ]],18)="Vynaložené náklady"),"",VLOOKUP(E493,Tab_Parts,2,0))</f>
        <v/>
      </c>
      <c r="BD493" s="24" t="str">
        <f t="shared" si="112"/>
        <v/>
      </c>
      <c r="BE493" s="24">
        <f t="shared" si="113"/>
        <v>0</v>
      </c>
      <c r="BF493" s="72">
        <f>TableCosts[[#This Row],[N_Amount]]*TableCosts[[#This Row],[N_Tariff]]*TableCosts[[#This Row],[N_ItemsCount]]</f>
        <v>0</v>
      </c>
      <c r="BG493" s="72">
        <f>IF(G493=1,IF(TableCosts[[#This Row],[N_Kateg]]="interné práce",TableCosts[[#This Row],[N_Amount]]*8*PAR_SGA_PERHOUR,0),0)</f>
        <v>0</v>
      </c>
      <c r="BH493" s="72">
        <f>SUM(TableCosts[[#This Row],[N_Direct]:[N_SGA]])</f>
        <v>0</v>
      </c>
      <c r="BI493" s="24">
        <f>IF(G493=1,IF(OR(AND(NOT(ISERROR(VLOOKUP(TableCosts[[#This Row],[Calc_N_Typ]],Cis_WorkPositions,1,0))),C493&lt;&gt;"",D493&lt;&gt;"",E493&lt;&gt;""),AND(ISERROR(VLOOKUP(TableCosts[[#This Row],[Calc_N_Typ]],Cis_WorkPositions,1,0)),C493="",D493="",E493&lt;&gt;""),LEFT(TableCosts[[#This Row],[Calc_N_Typ]],18)="Vynaložené náklady"),VLOOKUP(C493&amp;TableCosts[[#This Row],[Calc_N_Typ]],TRAN_STRITEMS_LABEL,VLOOKUP(D493,Tab_Hours,3,0),0),NA()),0)</f>
        <v>0</v>
      </c>
      <c r="BJ493" s="24">
        <f t="shared" si="114"/>
        <v>0</v>
      </c>
      <c r="BK493" s="24" t="str">
        <f t="shared" si="115"/>
        <v/>
      </c>
      <c r="BL493" s="24" t="str">
        <f t="shared" si="116"/>
        <v/>
      </c>
      <c r="BM493" s="24" t="str">
        <f>IF(G493=1,IF(TableCosts[[#This Row],[TransferFrom]]=TableCosts[[#This Row],[TranferTo]],0,1),"")</f>
        <v/>
      </c>
      <c r="BN493" s="24" t="str">
        <f t="shared" si="117"/>
        <v/>
      </c>
      <c r="BO493" s="24">
        <f t="shared" si="118"/>
        <v>0</v>
      </c>
      <c r="BP493" s="24">
        <f t="shared" si="119"/>
        <v>0</v>
      </c>
    </row>
    <row r="494" spans="2:68" s="24" customFormat="1" ht="12.75" x14ac:dyDescent="0.2">
      <c r="B494" s="97"/>
      <c r="C494" s="92"/>
      <c r="D494" s="92"/>
      <c r="E494" s="92"/>
      <c r="F494" s="31" t="str">
        <f>IF(G494=1,IF(ISERROR(TableCosts[[#This Row],[N_Tariff]]),Err_Message1,IF(TableCosts[[#This Row],[N_Tariff]]=0,Err_Message2,VLOOKUP(C494&amp;TableCosts[[#This Row],[Calc_N_Typ]],TRAN_STRITEMS_LABEL,5,FALSE))),"")</f>
        <v/>
      </c>
      <c r="G494" s="31">
        <f t="shared" si="108"/>
        <v>0</v>
      </c>
      <c r="H494" s="31" t="str">
        <f>IF(G494=1,IFERROR(VLOOKUP(F494,Tab_ErrMessage[],2,0),VLOOKUP(C494&amp;TableCosts[[#This Row],[Calc_N_Typ]],TRAN_STRITEMS_LABEL,4,FALSE)),"")</f>
        <v/>
      </c>
      <c r="I494" s="94"/>
      <c r="J494" s="94"/>
      <c r="K494" s="94"/>
      <c r="L494" s="84"/>
      <c r="M494" s="84"/>
      <c r="N494" s="84"/>
      <c r="O494" s="84"/>
      <c r="P494" s="84"/>
      <c r="Q494" s="84"/>
      <c r="R494" s="84"/>
      <c r="S494" s="84"/>
      <c r="T494" s="84"/>
      <c r="U494" s="84"/>
      <c r="V494" s="84"/>
      <c r="W494" s="84"/>
      <c r="X494" s="84"/>
      <c r="Y494" s="84"/>
      <c r="Z494" s="84"/>
      <c r="AA494" s="84"/>
      <c r="AB494" s="84"/>
      <c r="AC494" s="84"/>
      <c r="AD494" s="84"/>
      <c r="AE494" s="84"/>
      <c r="AF494" s="84"/>
      <c r="AG494" s="84"/>
      <c r="AH494" s="84"/>
      <c r="AI494" s="84"/>
      <c r="AJ494" s="84"/>
      <c r="AK494" s="84"/>
      <c r="AL494" s="84"/>
      <c r="AM494" s="84"/>
      <c r="AN494" s="84"/>
      <c r="AO494" s="84"/>
      <c r="AP494" s="84"/>
      <c r="AQ494" s="84"/>
      <c r="AR494" s="84"/>
      <c r="AS494" s="84"/>
      <c r="AT494" s="84"/>
      <c r="AU494" s="84"/>
      <c r="AV494" s="84"/>
      <c r="AW494" s="84"/>
      <c r="AX494" s="87">
        <f t="array" ref="AX494">IF(G494=1,SUM((ROW(M0)=ROW(AW494))*(M0+M1_+M2_+M3_+M4_+M5_+M6_+M7_+M8_+M9_+M10_+M11_+M12_+M13_+M14_+M15_+M16_+M17_+M18_+M19_+M20_+M21_+M22_+M23_+M24_+M25_+M26_+M27_+M28_+M29_+M30_+M31_+M32_+M33_+M34_+M35_+M36_+M37_)),0)</f>
        <v>0</v>
      </c>
      <c r="AZ494" s="24" t="str">
        <f t="shared" si="109"/>
        <v/>
      </c>
      <c r="BA494" s="24" t="str">
        <f t="shared" si="110"/>
        <v/>
      </c>
      <c r="BB494" s="24" t="str">
        <f t="shared" si="111"/>
        <v/>
      </c>
      <c r="BC494" s="24" t="str">
        <f>IF(OR(E494="",LEFT(TableCosts[[#This Row],[Calc_N_Typ]],18)="Vynaložené náklady"),"",VLOOKUP(E494,Tab_Parts,2,0))</f>
        <v/>
      </c>
      <c r="BD494" s="24" t="str">
        <f t="shared" si="112"/>
        <v/>
      </c>
      <c r="BE494" s="24">
        <f t="shared" si="113"/>
        <v>0</v>
      </c>
      <c r="BF494" s="72">
        <f>TableCosts[[#This Row],[N_Amount]]*TableCosts[[#This Row],[N_Tariff]]*TableCosts[[#This Row],[N_ItemsCount]]</f>
        <v>0</v>
      </c>
      <c r="BG494" s="72">
        <f>IF(G494=1,IF(TableCosts[[#This Row],[N_Kateg]]="interné práce",TableCosts[[#This Row],[N_Amount]]*8*PAR_SGA_PERHOUR,0),0)</f>
        <v>0</v>
      </c>
      <c r="BH494" s="72">
        <f>SUM(TableCosts[[#This Row],[N_Direct]:[N_SGA]])</f>
        <v>0</v>
      </c>
      <c r="BI494" s="24">
        <f>IF(G494=1,IF(OR(AND(NOT(ISERROR(VLOOKUP(TableCosts[[#This Row],[Calc_N_Typ]],Cis_WorkPositions,1,0))),C494&lt;&gt;"",D494&lt;&gt;"",E494&lt;&gt;""),AND(ISERROR(VLOOKUP(TableCosts[[#This Row],[Calc_N_Typ]],Cis_WorkPositions,1,0)),C494="",D494="",E494&lt;&gt;""),LEFT(TableCosts[[#This Row],[Calc_N_Typ]],18)="Vynaložené náklady"),VLOOKUP(C494&amp;TableCosts[[#This Row],[Calc_N_Typ]],TRAN_STRITEMS_LABEL,VLOOKUP(D494,Tab_Hours,3,0),0),NA()),0)</f>
        <v>0</v>
      </c>
      <c r="BJ494" s="24">
        <f t="shared" si="114"/>
        <v>0</v>
      </c>
      <c r="BK494" s="24" t="str">
        <f t="shared" si="115"/>
        <v/>
      </c>
      <c r="BL494" s="24" t="str">
        <f t="shared" si="116"/>
        <v/>
      </c>
      <c r="BM494" s="24" t="str">
        <f>IF(G494=1,IF(TableCosts[[#This Row],[TransferFrom]]=TableCosts[[#This Row],[TranferTo]],0,1),"")</f>
        <v/>
      </c>
      <c r="BN494" s="24" t="str">
        <f t="shared" si="117"/>
        <v/>
      </c>
      <c r="BO494" s="24">
        <f t="shared" si="118"/>
        <v>0</v>
      </c>
      <c r="BP494" s="24">
        <f t="shared" si="119"/>
        <v>0</v>
      </c>
    </row>
    <row r="495" spans="2:68" s="24" customFormat="1" ht="12.75" x14ac:dyDescent="0.2">
      <c r="B495" s="97"/>
      <c r="C495" s="92"/>
      <c r="D495" s="92"/>
      <c r="E495" s="92"/>
      <c r="F495" s="31" t="str">
        <f>IF(G495=1,IF(ISERROR(TableCosts[[#This Row],[N_Tariff]]),Err_Message1,IF(TableCosts[[#This Row],[N_Tariff]]=0,Err_Message2,VLOOKUP(C495&amp;TableCosts[[#This Row],[Calc_N_Typ]],TRAN_STRITEMS_LABEL,5,FALSE))),"")</f>
        <v/>
      </c>
      <c r="G495" s="31">
        <f t="shared" si="108"/>
        <v>0</v>
      </c>
      <c r="H495" s="31" t="str">
        <f>IF(G495=1,IFERROR(VLOOKUP(F495,Tab_ErrMessage[],2,0),VLOOKUP(C495&amp;TableCosts[[#This Row],[Calc_N_Typ]],TRAN_STRITEMS_LABEL,4,FALSE)),"")</f>
        <v/>
      </c>
      <c r="I495" s="94"/>
      <c r="J495" s="94"/>
      <c r="K495" s="94"/>
      <c r="L495" s="84"/>
      <c r="M495" s="84"/>
      <c r="N495" s="84"/>
      <c r="O495" s="84"/>
      <c r="P495" s="84"/>
      <c r="Q495" s="84"/>
      <c r="R495" s="84"/>
      <c r="S495" s="84"/>
      <c r="T495" s="84"/>
      <c r="U495" s="84"/>
      <c r="V495" s="84"/>
      <c r="W495" s="84"/>
      <c r="X495" s="84"/>
      <c r="Y495" s="84"/>
      <c r="Z495" s="84"/>
      <c r="AA495" s="84"/>
      <c r="AB495" s="84"/>
      <c r="AC495" s="84"/>
      <c r="AD495" s="84"/>
      <c r="AE495" s="84"/>
      <c r="AF495" s="84"/>
      <c r="AG495" s="84"/>
      <c r="AH495" s="84"/>
      <c r="AI495" s="84"/>
      <c r="AJ495" s="84"/>
      <c r="AK495" s="84"/>
      <c r="AL495" s="84"/>
      <c r="AM495" s="84"/>
      <c r="AN495" s="84"/>
      <c r="AO495" s="84"/>
      <c r="AP495" s="84"/>
      <c r="AQ495" s="84"/>
      <c r="AR495" s="84"/>
      <c r="AS495" s="84"/>
      <c r="AT495" s="84"/>
      <c r="AU495" s="84"/>
      <c r="AV495" s="84"/>
      <c r="AW495" s="84"/>
      <c r="AX495" s="87">
        <f t="array" ref="AX495">IF(G495=1,SUM((ROW(M0)=ROW(AW495))*(M0+M1_+M2_+M3_+M4_+M5_+M6_+M7_+M8_+M9_+M10_+M11_+M12_+M13_+M14_+M15_+M16_+M17_+M18_+M19_+M20_+M21_+M22_+M23_+M24_+M25_+M26_+M27_+M28_+M29_+M30_+M31_+M32_+M33_+M34_+M35_+M36_+M37_)),0)</f>
        <v>0</v>
      </c>
      <c r="AZ495" s="24" t="str">
        <f t="shared" si="109"/>
        <v/>
      </c>
      <c r="BA495" s="24" t="str">
        <f t="shared" si="110"/>
        <v/>
      </c>
      <c r="BB495" s="24" t="str">
        <f t="shared" si="111"/>
        <v/>
      </c>
      <c r="BC495" s="24" t="str">
        <f>IF(OR(E495="",LEFT(TableCosts[[#This Row],[Calc_N_Typ]],18)="Vynaložené náklady"),"",VLOOKUP(E495,Tab_Parts,2,0))</f>
        <v/>
      </c>
      <c r="BD495" s="24" t="str">
        <f t="shared" si="112"/>
        <v/>
      </c>
      <c r="BE495" s="24">
        <f t="shared" si="113"/>
        <v>0</v>
      </c>
      <c r="BF495" s="72">
        <f>TableCosts[[#This Row],[N_Amount]]*TableCosts[[#This Row],[N_Tariff]]*TableCosts[[#This Row],[N_ItemsCount]]</f>
        <v>0</v>
      </c>
      <c r="BG495" s="72">
        <f>IF(G495=1,IF(TableCosts[[#This Row],[N_Kateg]]="interné práce",TableCosts[[#This Row],[N_Amount]]*8*PAR_SGA_PERHOUR,0),0)</f>
        <v>0</v>
      </c>
      <c r="BH495" s="72">
        <f>SUM(TableCosts[[#This Row],[N_Direct]:[N_SGA]])</f>
        <v>0</v>
      </c>
      <c r="BI495" s="24">
        <f>IF(G495=1,IF(OR(AND(NOT(ISERROR(VLOOKUP(TableCosts[[#This Row],[Calc_N_Typ]],Cis_WorkPositions,1,0))),C495&lt;&gt;"",D495&lt;&gt;"",E495&lt;&gt;""),AND(ISERROR(VLOOKUP(TableCosts[[#This Row],[Calc_N_Typ]],Cis_WorkPositions,1,0)),C495="",D495="",E495&lt;&gt;""),LEFT(TableCosts[[#This Row],[Calc_N_Typ]],18)="Vynaložené náklady"),VLOOKUP(C495&amp;TableCosts[[#This Row],[Calc_N_Typ]],TRAN_STRITEMS_LABEL,VLOOKUP(D495,Tab_Hours,3,0),0),NA()),0)</f>
        <v>0</v>
      </c>
      <c r="BJ495" s="24">
        <f t="shared" si="114"/>
        <v>0</v>
      </c>
      <c r="BK495" s="24" t="str">
        <f t="shared" si="115"/>
        <v/>
      </c>
      <c r="BL495" s="24" t="str">
        <f t="shared" si="116"/>
        <v/>
      </c>
      <c r="BM495" s="24" t="str">
        <f>IF(G495=1,IF(TableCosts[[#This Row],[TransferFrom]]=TableCosts[[#This Row],[TranferTo]],0,1),"")</f>
        <v/>
      </c>
      <c r="BN495" s="24" t="str">
        <f t="shared" si="117"/>
        <v/>
      </c>
      <c r="BO495" s="24">
        <f t="shared" si="118"/>
        <v>0</v>
      </c>
      <c r="BP495" s="24">
        <f t="shared" si="119"/>
        <v>0</v>
      </c>
    </row>
    <row r="496" spans="2:68" s="24" customFormat="1" ht="12.75" x14ac:dyDescent="0.2">
      <c r="B496" s="97"/>
      <c r="C496" s="92"/>
      <c r="D496" s="92"/>
      <c r="E496" s="92"/>
      <c r="F496" s="31" t="str">
        <f>IF(G496=1,IF(ISERROR(TableCosts[[#This Row],[N_Tariff]]),Err_Message1,IF(TableCosts[[#This Row],[N_Tariff]]=0,Err_Message2,VLOOKUP(C496&amp;TableCosts[[#This Row],[Calc_N_Typ]],TRAN_STRITEMS_LABEL,5,FALSE))),"")</f>
        <v/>
      </c>
      <c r="G496" s="31">
        <f t="shared" si="108"/>
        <v>0</v>
      </c>
      <c r="H496" s="31" t="str">
        <f>IF(G496=1,IFERROR(VLOOKUP(F496,Tab_ErrMessage[],2,0),VLOOKUP(C496&amp;TableCosts[[#This Row],[Calc_N_Typ]],TRAN_STRITEMS_LABEL,4,FALSE)),"")</f>
        <v/>
      </c>
      <c r="I496" s="94"/>
      <c r="J496" s="94"/>
      <c r="K496" s="94"/>
      <c r="L496" s="84"/>
      <c r="M496" s="84"/>
      <c r="N496" s="84"/>
      <c r="O496" s="84"/>
      <c r="P496" s="84"/>
      <c r="Q496" s="84"/>
      <c r="R496" s="84"/>
      <c r="S496" s="84"/>
      <c r="T496" s="84"/>
      <c r="U496" s="84"/>
      <c r="V496" s="84"/>
      <c r="W496" s="84"/>
      <c r="X496" s="84"/>
      <c r="Y496" s="84"/>
      <c r="Z496" s="84"/>
      <c r="AA496" s="84"/>
      <c r="AB496" s="84"/>
      <c r="AC496" s="84"/>
      <c r="AD496" s="84"/>
      <c r="AE496" s="84"/>
      <c r="AF496" s="84"/>
      <c r="AG496" s="84"/>
      <c r="AH496" s="84"/>
      <c r="AI496" s="84"/>
      <c r="AJ496" s="84"/>
      <c r="AK496" s="84"/>
      <c r="AL496" s="84"/>
      <c r="AM496" s="84"/>
      <c r="AN496" s="84"/>
      <c r="AO496" s="84"/>
      <c r="AP496" s="84"/>
      <c r="AQ496" s="84"/>
      <c r="AR496" s="84"/>
      <c r="AS496" s="84"/>
      <c r="AT496" s="84"/>
      <c r="AU496" s="84"/>
      <c r="AV496" s="84"/>
      <c r="AW496" s="84"/>
      <c r="AX496" s="87">
        <f t="array" ref="AX496">IF(G496=1,SUM((ROW(M0)=ROW(AW496))*(M0+M1_+M2_+M3_+M4_+M5_+M6_+M7_+M8_+M9_+M10_+M11_+M12_+M13_+M14_+M15_+M16_+M17_+M18_+M19_+M20_+M21_+M22_+M23_+M24_+M25_+M26_+M27_+M28_+M29_+M30_+M31_+M32_+M33_+M34_+M35_+M36_+M37_)),0)</f>
        <v>0</v>
      </c>
      <c r="AZ496" s="24" t="str">
        <f t="shared" si="109"/>
        <v/>
      </c>
      <c r="BA496" s="24" t="str">
        <f t="shared" si="110"/>
        <v/>
      </c>
      <c r="BB496" s="24" t="str">
        <f t="shared" si="111"/>
        <v/>
      </c>
      <c r="BC496" s="24" t="str">
        <f>IF(OR(E496="",LEFT(TableCosts[[#This Row],[Calc_N_Typ]],18)="Vynaložené náklady"),"",VLOOKUP(E496,Tab_Parts,2,0))</f>
        <v/>
      </c>
      <c r="BD496" s="24" t="str">
        <f t="shared" si="112"/>
        <v/>
      </c>
      <c r="BE496" s="24">
        <f t="shared" si="113"/>
        <v>0</v>
      </c>
      <c r="BF496" s="72">
        <f>TableCosts[[#This Row],[N_Amount]]*TableCosts[[#This Row],[N_Tariff]]*TableCosts[[#This Row],[N_ItemsCount]]</f>
        <v>0</v>
      </c>
      <c r="BG496" s="72">
        <f>IF(G496=1,IF(TableCosts[[#This Row],[N_Kateg]]="interné práce",TableCosts[[#This Row],[N_Amount]]*8*PAR_SGA_PERHOUR,0),0)</f>
        <v>0</v>
      </c>
      <c r="BH496" s="72">
        <f>SUM(TableCosts[[#This Row],[N_Direct]:[N_SGA]])</f>
        <v>0</v>
      </c>
      <c r="BI496" s="24">
        <f>IF(G496=1,IF(OR(AND(NOT(ISERROR(VLOOKUP(TableCosts[[#This Row],[Calc_N_Typ]],Cis_WorkPositions,1,0))),C496&lt;&gt;"",D496&lt;&gt;"",E496&lt;&gt;""),AND(ISERROR(VLOOKUP(TableCosts[[#This Row],[Calc_N_Typ]],Cis_WorkPositions,1,0)),C496="",D496="",E496&lt;&gt;""),LEFT(TableCosts[[#This Row],[Calc_N_Typ]],18)="Vynaložené náklady"),VLOOKUP(C496&amp;TableCosts[[#This Row],[Calc_N_Typ]],TRAN_STRITEMS_LABEL,VLOOKUP(D496,Tab_Hours,3,0),0),NA()),0)</f>
        <v>0</v>
      </c>
      <c r="BJ496" s="24">
        <f t="shared" si="114"/>
        <v>0</v>
      </c>
      <c r="BK496" s="24" t="str">
        <f t="shared" si="115"/>
        <v/>
      </c>
      <c r="BL496" s="24" t="str">
        <f t="shared" si="116"/>
        <v/>
      </c>
      <c r="BM496" s="24" t="str">
        <f>IF(G496=1,IF(TableCosts[[#This Row],[TransferFrom]]=TableCosts[[#This Row],[TranferTo]],0,1),"")</f>
        <v/>
      </c>
      <c r="BN496" s="24" t="str">
        <f t="shared" si="117"/>
        <v/>
      </c>
      <c r="BO496" s="24">
        <f t="shared" si="118"/>
        <v>0</v>
      </c>
      <c r="BP496" s="24">
        <f t="shared" si="119"/>
        <v>0</v>
      </c>
    </row>
    <row r="497" spans="2:68" s="24" customFormat="1" ht="12.75" x14ac:dyDescent="0.2">
      <c r="B497" s="97"/>
      <c r="C497" s="92"/>
      <c r="D497" s="92"/>
      <c r="E497" s="92"/>
      <c r="F497" s="31" t="str">
        <f>IF(G497=1,IF(ISERROR(TableCosts[[#This Row],[N_Tariff]]),Err_Message1,IF(TableCosts[[#This Row],[N_Tariff]]=0,Err_Message2,VLOOKUP(C497&amp;TableCosts[[#This Row],[Calc_N_Typ]],TRAN_STRITEMS_LABEL,5,FALSE))),"")</f>
        <v/>
      </c>
      <c r="G497" s="31">
        <f t="shared" si="108"/>
        <v>0</v>
      </c>
      <c r="H497" s="31" t="str">
        <f>IF(G497=1,IFERROR(VLOOKUP(F497,Tab_ErrMessage[],2,0),VLOOKUP(C497&amp;TableCosts[[#This Row],[Calc_N_Typ]],TRAN_STRITEMS_LABEL,4,FALSE)),"")</f>
        <v/>
      </c>
      <c r="I497" s="94"/>
      <c r="J497" s="94"/>
      <c r="K497" s="94"/>
      <c r="L497" s="84"/>
      <c r="M497" s="84"/>
      <c r="N497" s="84"/>
      <c r="O497" s="84"/>
      <c r="P497" s="84"/>
      <c r="Q497" s="84"/>
      <c r="R497" s="84"/>
      <c r="S497" s="84"/>
      <c r="T497" s="84"/>
      <c r="U497" s="84"/>
      <c r="V497" s="84"/>
      <c r="W497" s="84"/>
      <c r="X497" s="84"/>
      <c r="Y497" s="84"/>
      <c r="Z497" s="84"/>
      <c r="AA497" s="84"/>
      <c r="AB497" s="84"/>
      <c r="AC497" s="84"/>
      <c r="AD497" s="84"/>
      <c r="AE497" s="84"/>
      <c r="AF497" s="84"/>
      <c r="AG497" s="84"/>
      <c r="AH497" s="84"/>
      <c r="AI497" s="84"/>
      <c r="AJ497" s="84"/>
      <c r="AK497" s="84"/>
      <c r="AL497" s="84"/>
      <c r="AM497" s="84"/>
      <c r="AN497" s="84"/>
      <c r="AO497" s="84"/>
      <c r="AP497" s="84"/>
      <c r="AQ497" s="84"/>
      <c r="AR497" s="84"/>
      <c r="AS497" s="84"/>
      <c r="AT497" s="84"/>
      <c r="AU497" s="84"/>
      <c r="AV497" s="84"/>
      <c r="AW497" s="84"/>
      <c r="AX497" s="87">
        <f t="array" ref="AX497">IF(G497=1,SUM((ROW(M0)=ROW(AW497))*(M0+M1_+M2_+M3_+M4_+M5_+M6_+M7_+M8_+M9_+M10_+M11_+M12_+M13_+M14_+M15_+M16_+M17_+M18_+M19_+M20_+M21_+M22_+M23_+M24_+M25_+M26_+M27_+M28_+M29_+M30_+M31_+M32_+M33_+M34_+M35_+M36_+M37_)),0)</f>
        <v>0</v>
      </c>
      <c r="AZ497" s="24" t="str">
        <f t="shared" si="109"/>
        <v/>
      </c>
      <c r="BA497" s="24" t="str">
        <f t="shared" si="110"/>
        <v/>
      </c>
      <c r="BB497" s="24" t="str">
        <f t="shared" si="111"/>
        <v/>
      </c>
      <c r="BC497" s="24" t="str">
        <f>IF(OR(E497="",LEFT(TableCosts[[#This Row],[Calc_N_Typ]],18)="Vynaložené náklady"),"",VLOOKUP(E497,Tab_Parts,2,0))</f>
        <v/>
      </c>
      <c r="BD497" s="24" t="str">
        <f t="shared" si="112"/>
        <v/>
      </c>
      <c r="BE497" s="24">
        <f t="shared" si="113"/>
        <v>0</v>
      </c>
      <c r="BF497" s="72">
        <f>TableCosts[[#This Row],[N_Amount]]*TableCosts[[#This Row],[N_Tariff]]*TableCosts[[#This Row],[N_ItemsCount]]</f>
        <v>0</v>
      </c>
      <c r="BG497" s="72">
        <f>IF(G497=1,IF(TableCosts[[#This Row],[N_Kateg]]="interné práce",TableCosts[[#This Row],[N_Amount]]*8*PAR_SGA_PERHOUR,0),0)</f>
        <v>0</v>
      </c>
      <c r="BH497" s="72">
        <f>SUM(TableCosts[[#This Row],[N_Direct]:[N_SGA]])</f>
        <v>0</v>
      </c>
      <c r="BI497" s="24">
        <f>IF(G497=1,IF(OR(AND(NOT(ISERROR(VLOOKUP(TableCosts[[#This Row],[Calc_N_Typ]],Cis_WorkPositions,1,0))),C497&lt;&gt;"",D497&lt;&gt;"",E497&lt;&gt;""),AND(ISERROR(VLOOKUP(TableCosts[[#This Row],[Calc_N_Typ]],Cis_WorkPositions,1,0)),C497="",D497="",E497&lt;&gt;""),LEFT(TableCosts[[#This Row],[Calc_N_Typ]],18)="Vynaložené náklady"),VLOOKUP(C497&amp;TableCosts[[#This Row],[Calc_N_Typ]],TRAN_STRITEMS_LABEL,VLOOKUP(D497,Tab_Hours,3,0),0),NA()),0)</f>
        <v>0</v>
      </c>
      <c r="BJ497" s="24">
        <f t="shared" si="114"/>
        <v>0</v>
      </c>
      <c r="BK497" s="24" t="str">
        <f t="shared" si="115"/>
        <v/>
      </c>
      <c r="BL497" s="24" t="str">
        <f t="shared" si="116"/>
        <v/>
      </c>
      <c r="BM497" s="24" t="str">
        <f>IF(G497=1,IF(TableCosts[[#This Row],[TransferFrom]]=TableCosts[[#This Row],[TranferTo]],0,1),"")</f>
        <v/>
      </c>
      <c r="BN497" s="24" t="str">
        <f t="shared" si="117"/>
        <v/>
      </c>
      <c r="BO497" s="24">
        <f t="shared" si="118"/>
        <v>0</v>
      </c>
      <c r="BP497" s="24">
        <f t="shared" si="119"/>
        <v>0</v>
      </c>
    </row>
    <row r="498" spans="2:68" s="24" customFormat="1" ht="12.75" x14ac:dyDescent="0.2">
      <c r="B498" s="97"/>
      <c r="C498" s="92"/>
      <c r="D498" s="92"/>
      <c r="E498" s="92"/>
      <c r="F498" s="31" t="str">
        <f>IF(G498=1,IF(ISERROR(TableCosts[[#This Row],[N_Tariff]]),Err_Message1,IF(TableCosts[[#This Row],[N_Tariff]]=0,Err_Message2,VLOOKUP(C498&amp;TableCosts[[#This Row],[Calc_N_Typ]],TRAN_STRITEMS_LABEL,5,FALSE))),"")</f>
        <v/>
      </c>
      <c r="G498" s="31">
        <f t="shared" si="108"/>
        <v>0</v>
      </c>
      <c r="H498" s="31" t="str">
        <f>IF(G498=1,IFERROR(VLOOKUP(F498,Tab_ErrMessage[],2,0),VLOOKUP(C498&amp;TableCosts[[#This Row],[Calc_N_Typ]],TRAN_STRITEMS_LABEL,4,FALSE)),"")</f>
        <v/>
      </c>
      <c r="I498" s="94"/>
      <c r="J498" s="94"/>
      <c r="K498" s="94"/>
      <c r="L498" s="84"/>
      <c r="M498" s="84"/>
      <c r="N498" s="84"/>
      <c r="O498" s="84"/>
      <c r="P498" s="84"/>
      <c r="Q498" s="84"/>
      <c r="R498" s="84"/>
      <c r="S498" s="84"/>
      <c r="T498" s="84"/>
      <c r="U498" s="84"/>
      <c r="V498" s="84"/>
      <c r="W498" s="84"/>
      <c r="X498" s="84"/>
      <c r="Y498" s="84"/>
      <c r="Z498" s="84"/>
      <c r="AA498" s="84"/>
      <c r="AB498" s="84"/>
      <c r="AC498" s="84"/>
      <c r="AD498" s="84"/>
      <c r="AE498" s="84"/>
      <c r="AF498" s="84"/>
      <c r="AG498" s="84"/>
      <c r="AH498" s="84"/>
      <c r="AI498" s="84"/>
      <c r="AJ498" s="84"/>
      <c r="AK498" s="84"/>
      <c r="AL498" s="84"/>
      <c r="AM498" s="84"/>
      <c r="AN498" s="84"/>
      <c r="AO498" s="84"/>
      <c r="AP498" s="84"/>
      <c r="AQ498" s="84"/>
      <c r="AR498" s="84"/>
      <c r="AS498" s="84"/>
      <c r="AT498" s="84"/>
      <c r="AU498" s="84"/>
      <c r="AV498" s="84"/>
      <c r="AW498" s="84"/>
      <c r="AX498" s="87">
        <f t="array" ref="AX498">IF(G498=1,SUM((ROW(M0)=ROW(AW498))*(M0+M1_+M2_+M3_+M4_+M5_+M6_+M7_+M8_+M9_+M10_+M11_+M12_+M13_+M14_+M15_+M16_+M17_+M18_+M19_+M20_+M21_+M22_+M23_+M24_+M25_+M26_+M27_+M28_+M29_+M30_+M31_+M32_+M33_+M34_+M35_+M36_+M37_)),0)</f>
        <v>0</v>
      </c>
      <c r="AZ498" s="24" t="str">
        <f t="shared" si="109"/>
        <v/>
      </c>
      <c r="BA498" s="24" t="str">
        <f t="shared" si="110"/>
        <v/>
      </c>
      <c r="BB498" s="24" t="str">
        <f t="shared" si="111"/>
        <v/>
      </c>
      <c r="BC498" s="24" t="str">
        <f>IF(OR(E498="",LEFT(TableCosts[[#This Row],[Calc_N_Typ]],18)="Vynaložené náklady"),"",VLOOKUP(E498,Tab_Parts,2,0))</f>
        <v/>
      </c>
      <c r="BD498" s="24" t="str">
        <f t="shared" si="112"/>
        <v/>
      </c>
      <c r="BE498" s="24">
        <f t="shared" si="113"/>
        <v>0</v>
      </c>
      <c r="BF498" s="72">
        <f>TableCosts[[#This Row],[N_Amount]]*TableCosts[[#This Row],[N_Tariff]]*TableCosts[[#This Row],[N_ItemsCount]]</f>
        <v>0</v>
      </c>
      <c r="BG498" s="72">
        <f>IF(G498=1,IF(TableCosts[[#This Row],[N_Kateg]]="interné práce",TableCosts[[#This Row],[N_Amount]]*8*PAR_SGA_PERHOUR,0),0)</f>
        <v>0</v>
      </c>
      <c r="BH498" s="72">
        <f>SUM(TableCosts[[#This Row],[N_Direct]:[N_SGA]])</f>
        <v>0</v>
      </c>
      <c r="BI498" s="24">
        <f>IF(G498=1,IF(OR(AND(NOT(ISERROR(VLOOKUP(TableCosts[[#This Row],[Calc_N_Typ]],Cis_WorkPositions,1,0))),C498&lt;&gt;"",D498&lt;&gt;"",E498&lt;&gt;""),AND(ISERROR(VLOOKUP(TableCosts[[#This Row],[Calc_N_Typ]],Cis_WorkPositions,1,0)),C498="",D498="",E498&lt;&gt;""),LEFT(TableCosts[[#This Row],[Calc_N_Typ]],18)="Vynaložené náklady"),VLOOKUP(C498&amp;TableCosts[[#This Row],[Calc_N_Typ]],TRAN_STRITEMS_LABEL,VLOOKUP(D498,Tab_Hours,3,0),0),NA()),0)</f>
        <v>0</v>
      </c>
      <c r="BJ498" s="24">
        <f t="shared" si="114"/>
        <v>0</v>
      </c>
      <c r="BK498" s="24" t="str">
        <f t="shared" si="115"/>
        <v/>
      </c>
      <c r="BL498" s="24" t="str">
        <f t="shared" si="116"/>
        <v/>
      </c>
      <c r="BM498" s="24" t="str">
        <f>IF(G498=1,IF(TableCosts[[#This Row],[TransferFrom]]=TableCosts[[#This Row],[TranferTo]],0,1),"")</f>
        <v/>
      </c>
      <c r="BN498" s="24" t="str">
        <f t="shared" si="117"/>
        <v/>
      </c>
      <c r="BO498" s="24">
        <f t="shared" si="118"/>
        <v>0</v>
      </c>
      <c r="BP498" s="24">
        <f t="shared" si="119"/>
        <v>0</v>
      </c>
    </row>
    <row r="499" spans="2:68" s="24" customFormat="1" ht="12.75" x14ac:dyDescent="0.2">
      <c r="B499" s="97"/>
      <c r="C499" s="92"/>
      <c r="D499" s="92"/>
      <c r="E499" s="92"/>
      <c r="F499" s="31" t="str">
        <f>IF(G499=1,IF(ISERROR(TableCosts[[#This Row],[N_Tariff]]),Err_Message1,IF(TableCosts[[#This Row],[N_Tariff]]=0,Err_Message2,VLOOKUP(C499&amp;TableCosts[[#This Row],[Calc_N_Typ]],TRAN_STRITEMS_LABEL,5,FALSE))),"")</f>
        <v/>
      </c>
      <c r="G499" s="31">
        <f t="shared" si="108"/>
        <v>0</v>
      </c>
      <c r="H499" s="31" t="str">
        <f>IF(G499=1,IFERROR(VLOOKUP(F499,Tab_ErrMessage[],2,0),VLOOKUP(C499&amp;TableCosts[[#This Row],[Calc_N_Typ]],TRAN_STRITEMS_LABEL,4,FALSE)),"")</f>
        <v/>
      </c>
      <c r="I499" s="94"/>
      <c r="J499" s="94"/>
      <c r="K499" s="94"/>
      <c r="L499" s="84"/>
      <c r="M499" s="84"/>
      <c r="N499" s="84"/>
      <c r="O499" s="84"/>
      <c r="P499" s="84"/>
      <c r="Q499" s="84"/>
      <c r="R499" s="84"/>
      <c r="S499" s="84"/>
      <c r="T499" s="84"/>
      <c r="U499" s="84"/>
      <c r="V499" s="84"/>
      <c r="W499" s="84"/>
      <c r="X499" s="84"/>
      <c r="Y499" s="84"/>
      <c r="Z499" s="84"/>
      <c r="AA499" s="84"/>
      <c r="AB499" s="84"/>
      <c r="AC499" s="84"/>
      <c r="AD499" s="84"/>
      <c r="AE499" s="84"/>
      <c r="AF499" s="84"/>
      <c r="AG499" s="84"/>
      <c r="AH499" s="84"/>
      <c r="AI499" s="84"/>
      <c r="AJ499" s="84"/>
      <c r="AK499" s="84"/>
      <c r="AL499" s="84"/>
      <c r="AM499" s="84"/>
      <c r="AN499" s="84"/>
      <c r="AO499" s="84"/>
      <c r="AP499" s="84"/>
      <c r="AQ499" s="84"/>
      <c r="AR499" s="84"/>
      <c r="AS499" s="84"/>
      <c r="AT499" s="84"/>
      <c r="AU499" s="84"/>
      <c r="AV499" s="84"/>
      <c r="AW499" s="84"/>
      <c r="AX499" s="87">
        <f t="array" ref="AX499">IF(G499=1,SUM((ROW(M0)=ROW(AW499))*(M0+M1_+M2_+M3_+M4_+M5_+M6_+M7_+M8_+M9_+M10_+M11_+M12_+M13_+M14_+M15_+M16_+M17_+M18_+M19_+M20_+M21_+M22_+M23_+M24_+M25_+M26_+M27_+M28_+M29_+M30_+M31_+M32_+M33_+M34_+M35_+M36_+M37_)),0)</f>
        <v>0</v>
      </c>
      <c r="AZ499" s="24" t="str">
        <f t="shared" si="109"/>
        <v/>
      </c>
      <c r="BA499" s="24" t="str">
        <f t="shared" si="110"/>
        <v/>
      </c>
      <c r="BB499" s="24" t="str">
        <f t="shared" si="111"/>
        <v/>
      </c>
      <c r="BC499" s="24" t="str">
        <f>IF(OR(E499="",LEFT(TableCosts[[#This Row],[Calc_N_Typ]],18)="Vynaložené náklady"),"",VLOOKUP(E499,Tab_Parts,2,0))</f>
        <v/>
      </c>
      <c r="BD499" s="24" t="str">
        <f t="shared" si="112"/>
        <v/>
      </c>
      <c r="BE499" s="24">
        <f t="shared" si="113"/>
        <v>0</v>
      </c>
      <c r="BF499" s="72">
        <f>TableCosts[[#This Row],[N_Amount]]*TableCosts[[#This Row],[N_Tariff]]*TableCosts[[#This Row],[N_ItemsCount]]</f>
        <v>0</v>
      </c>
      <c r="BG499" s="72">
        <f>IF(G499=1,IF(TableCosts[[#This Row],[N_Kateg]]="interné práce",TableCosts[[#This Row],[N_Amount]]*8*PAR_SGA_PERHOUR,0),0)</f>
        <v>0</v>
      </c>
      <c r="BH499" s="72">
        <f>SUM(TableCosts[[#This Row],[N_Direct]:[N_SGA]])</f>
        <v>0</v>
      </c>
      <c r="BI499" s="24">
        <f>IF(G499=1,IF(OR(AND(NOT(ISERROR(VLOOKUP(TableCosts[[#This Row],[Calc_N_Typ]],Cis_WorkPositions,1,0))),C499&lt;&gt;"",D499&lt;&gt;"",E499&lt;&gt;""),AND(ISERROR(VLOOKUP(TableCosts[[#This Row],[Calc_N_Typ]],Cis_WorkPositions,1,0)),C499="",D499="",E499&lt;&gt;""),LEFT(TableCosts[[#This Row],[Calc_N_Typ]],18)="Vynaložené náklady"),VLOOKUP(C499&amp;TableCosts[[#This Row],[Calc_N_Typ]],TRAN_STRITEMS_LABEL,VLOOKUP(D499,Tab_Hours,3,0),0),NA()),0)</f>
        <v>0</v>
      </c>
      <c r="BJ499" s="24">
        <f t="shared" si="114"/>
        <v>0</v>
      </c>
      <c r="BK499" s="24" t="str">
        <f t="shared" si="115"/>
        <v/>
      </c>
      <c r="BL499" s="24" t="str">
        <f t="shared" si="116"/>
        <v/>
      </c>
      <c r="BM499" s="24" t="str">
        <f>IF(G499=1,IF(TableCosts[[#This Row],[TransferFrom]]=TableCosts[[#This Row],[TranferTo]],0,1),"")</f>
        <v/>
      </c>
      <c r="BN499" s="24" t="str">
        <f t="shared" si="117"/>
        <v/>
      </c>
      <c r="BO499" s="24">
        <f t="shared" si="118"/>
        <v>0</v>
      </c>
      <c r="BP499" s="24">
        <f t="shared" si="119"/>
        <v>0</v>
      </c>
    </row>
    <row r="500" spans="2:68" s="24" customFormat="1" ht="12.75" x14ac:dyDescent="0.2">
      <c r="B500" s="97"/>
      <c r="C500" s="92"/>
      <c r="D500" s="92"/>
      <c r="E500" s="92"/>
      <c r="F500" s="31" t="str">
        <f>IF(G500=1,IF(ISERROR(TableCosts[[#This Row],[N_Tariff]]),Err_Message1,IF(TableCosts[[#This Row],[N_Tariff]]=0,Err_Message2,VLOOKUP(C500&amp;TableCosts[[#This Row],[Calc_N_Typ]],TRAN_STRITEMS_LABEL,5,FALSE))),"")</f>
        <v/>
      </c>
      <c r="G500" s="31">
        <f t="shared" si="108"/>
        <v>0</v>
      </c>
      <c r="H500" s="31" t="str">
        <f>IF(G500=1,IFERROR(VLOOKUP(F500,Tab_ErrMessage[],2,0),VLOOKUP(C500&amp;TableCosts[[#This Row],[Calc_N_Typ]],TRAN_STRITEMS_LABEL,4,FALSE)),"")</f>
        <v/>
      </c>
      <c r="I500" s="94"/>
      <c r="J500" s="94"/>
      <c r="K500" s="94"/>
      <c r="L500" s="84"/>
      <c r="M500" s="84"/>
      <c r="N500" s="84"/>
      <c r="O500" s="84"/>
      <c r="P500" s="84"/>
      <c r="Q500" s="84"/>
      <c r="R500" s="84"/>
      <c r="S500" s="84"/>
      <c r="T500" s="84"/>
      <c r="U500" s="84"/>
      <c r="V500" s="84"/>
      <c r="W500" s="84"/>
      <c r="X500" s="84"/>
      <c r="Y500" s="84"/>
      <c r="Z500" s="84"/>
      <c r="AA500" s="84"/>
      <c r="AB500" s="84"/>
      <c r="AC500" s="84"/>
      <c r="AD500" s="84"/>
      <c r="AE500" s="84"/>
      <c r="AF500" s="84"/>
      <c r="AG500" s="84"/>
      <c r="AH500" s="84"/>
      <c r="AI500" s="84"/>
      <c r="AJ500" s="84"/>
      <c r="AK500" s="84"/>
      <c r="AL500" s="84"/>
      <c r="AM500" s="84"/>
      <c r="AN500" s="84"/>
      <c r="AO500" s="84"/>
      <c r="AP500" s="84"/>
      <c r="AQ500" s="84"/>
      <c r="AR500" s="84"/>
      <c r="AS500" s="84"/>
      <c r="AT500" s="84"/>
      <c r="AU500" s="84"/>
      <c r="AV500" s="84"/>
      <c r="AW500" s="84"/>
      <c r="AX500" s="87">
        <f t="array" ref="AX500">IF(G500=1,SUM((ROW(M0)=ROW(AW500))*(M0+M1_+M2_+M3_+M4_+M5_+M6_+M7_+M8_+M9_+M10_+M11_+M12_+M13_+M14_+M15_+M16_+M17_+M18_+M19_+M20_+M21_+M22_+M23_+M24_+M25_+M26_+M27_+M28_+M29_+M30_+M31_+M32_+M33_+M34_+M35_+M36_+M37_)),0)</f>
        <v>0</v>
      </c>
      <c r="AZ500" s="24" t="str">
        <f t="shared" si="109"/>
        <v/>
      </c>
      <c r="BA500" s="24" t="str">
        <f t="shared" si="110"/>
        <v/>
      </c>
      <c r="BB500" s="24" t="str">
        <f t="shared" si="111"/>
        <v/>
      </c>
      <c r="BC500" s="24" t="str">
        <f>IF(OR(E500="",LEFT(TableCosts[[#This Row],[Calc_N_Typ]],18)="Vynaložené náklady"),"",VLOOKUP(E500,Tab_Parts,2,0))</f>
        <v/>
      </c>
      <c r="BD500" s="24" t="str">
        <f t="shared" si="112"/>
        <v/>
      </c>
      <c r="BE500" s="24">
        <f t="shared" si="113"/>
        <v>0</v>
      </c>
      <c r="BF500" s="72">
        <f>TableCosts[[#This Row],[N_Amount]]*TableCosts[[#This Row],[N_Tariff]]*TableCosts[[#This Row],[N_ItemsCount]]</f>
        <v>0</v>
      </c>
      <c r="BG500" s="72">
        <f>IF(G500=1,IF(TableCosts[[#This Row],[N_Kateg]]="interné práce",TableCosts[[#This Row],[N_Amount]]*8*PAR_SGA_PERHOUR,0),0)</f>
        <v>0</v>
      </c>
      <c r="BH500" s="72">
        <f>SUM(TableCosts[[#This Row],[N_Direct]:[N_SGA]])</f>
        <v>0</v>
      </c>
      <c r="BI500" s="24">
        <f>IF(G500=1,IF(OR(AND(NOT(ISERROR(VLOOKUP(TableCosts[[#This Row],[Calc_N_Typ]],Cis_WorkPositions,1,0))),C500&lt;&gt;"",D500&lt;&gt;"",E500&lt;&gt;""),AND(ISERROR(VLOOKUP(TableCosts[[#This Row],[Calc_N_Typ]],Cis_WorkPositions,1,0)),C500="",D500="",E500&lt;&gt;""),LEFT(TableCosts[[#This Row],[Calc_N_Typ]],18)="Vynaložené náklady"),VLOOKUP(C500&amp;TableCosts[[#This Row],[Calc_N_Typ]],TRAN_STRITEMS_LABEL,VLOOKUP(D500,Tab_Hours,3,0),0),NA()),0)</f>
        <v>0</v>
      </c>
      <c r="BJ500" s="24">
        <f t="shared" si="114"/>
        <v>0</v>
      </c>
      <c r="BK500" s="24" t="str">
        <f t="shared" si="115"/>
        <v/>
      </c>
      <c r="BL500" s="24" t="str">
        <f t="shared" si="116"/>
        <v/>
      </c>
      <c r="BM500" s="24" t="str">
        <f>IF(G500=1,IF(TableCosts[[#This Row],[TransferFrom]]=TableCosts[[#This Row],[TranferTo]],0,1),"")</f>
        <v/>
      </c>
      <c r="BN500" s="24" t="str">
        <f t="shared" si="117"/>
        <v/>
      </c>
      <c r="BO500" s="24">
        <f t="shared" si="118"/>
        <v>0</v>
      </c>
      <c r="BP500" s="24">
        <f t="shared" si="119"/>
        <v>0</v>
      </c>
    </row>
    <row r="501" spans="2:68" s="24" customFormat="1" ht="12.75" x14ac:dyDescent="0.2">
      <c r="B501" s="97"/>
      <c r="C501" s="92"/>
      <c r="D501" s="92"/>
      <c r="E501" s="92"/>
      <c r="F501" s="31" t="str">
        <f>IF(G501=1,IF(ISERROR(TableCosts[[#This Row],[N_Tariff]]),Err_Message1,IF(TableCosts[[#This Row],[N_Tariff]]=0,Err_Message2,VLOOKUP(C501&amp;TableCosts[[#This Row],[Calc_N_Typ]],TRAN_STRITEMS_LABEL,5,FALSE))),"")</f>
        <v/>
      </c>
      <c r="G501" s="31">
        <f t="shared" si="108"/>
        <v>0</v>
      </c>
      <c r="H501" s="31" t="str">
        <f>IF(G501=1,IFERROR(VLOOKUP(F501,Tab_ErrMessage[],2,0),VLOOKUP(C501&amp;TableCosts[[#This Row],[Calc_N_Typ]],TRAN_STRITEMS_LABEL,4,FALSE)),"")</f>
        <v/>
      </c>
      <c r="I501" s="94"/>
      <c r="J501" s="94"/>
      <c r="K501" s="94"/>
      <c r="L501" s="84"/>
      <c r="M501" s="84"/>
      <c r="N501" s="84"/>
      <c r="O501" s="84"/>
      <c r="P501" s="84"/>
      <c r="Q501" s="84"/>
      <c r="R501" s="84"/>
      <c r="S501" s="84"/>
      <c r="T501" s="84"/>
      <c r="U501" s="84"/>
      <c r="V501" s="84"/>
      <c r="W501" s="84"/>
      <c r="X501" s="84"/>
      <c r="Y501" s="84"/>
      <c r="Z501" s="84"/>
      <c r="AA501" s="84"/>
      <c r="AB501" s="84"/>
      <c r="AC501" s="84"/>
      <c r="AD501" s="84"/>
      <c r="AE501" s="84"/>
      <c r="AF501" s="84"/>
      <c r="AG501" s="84"/>
      <c r="AH501" s="84"/>
      <c r="AI501" s="84"/>
      <c r="AJ501" s="84"/>
      <c r="AK501" s="84"/>
      <c r="AL501" s="84"/>
      <c r="AM501" s="84"/>
      <c r="AN501" s="84"/>
      <c r="AO501" s="84"/>
      <c r="AP501" s="84"/>
      <c r="AQ501" s="84"/>
      <c r="AR501" s="84"/>
      <c r="AS501" s="84"/>
      <c r="AT501" s="84"/>
      <c r="AU501" s="84"/>
      <c r="AV501" s="84"/>
      <c r="AW501" s="84"/>
      <c r="AX501" s="87">
        <f t="array" ref="AX501">IF(G501=1,SUM((ROW(M0)=ROW(AW501))*(M0+M1_+M2_+M3_+M4_+M5_+M6_+M7_+M8_+M9_+M10_+M11_+M12_+M13_+M14_+M15_+M16_+M17_+M18_+M19_+M20_+M21_+M22_+M23_+M24_+M25_+M26_+M27_+M28_+M29_+M30_+M31_+M32_+M33_+M34_+M35_+M36_+M37_)),0)</f>
        <v>0</v>
      </c>
      <c r="AZ501" s="24" t="str">
        <f t="shared" si="109"/>
        <v/>
      </c>
      <c r="BA501" s="24" t="str">
        <f t="shared" si="110"/>
        <v/>
      </c>
      <c r="BB501" s="24" t="str">
        <f t="shared" si="111"/>
        <v/>
      </c>
      <c r="BC501" s="24" t="str">
        <f>IF(OR(E501="",LEFT(TableCosts[[#This Row],[Calc_N_Typ]],18)="Vynaložené náklady"),"",VLOOKUP(E501,Tab_Parts,2,0))</f>
        <v/>
      </c>
      <c r="BD501" s="24" t="str">
        <f t="shared" si="112"/>
        <v/>
      </c>
      <c r="BE501" s="24">
        <f t="shared" si="113"/>
        <v>0</v>
      </c>
      <c r="BF501" s="72">
        <f>TableCosts[[#This Row],[N_Amount]]*TableCosts[[#This Row],[N_Tariff]]*TableCosts[[#This Row],[N_ItemsCount]]</f>
        <v>0</v>
      </c>
      <c r="BG501" s="72">
        <f>IF(G501=1,IF(TableCosts[[#This Row],[N_Kateg]]="interné práce",TableCosts[[#This Row],[N_Amount]]*8*PAR_SGA_PERHOUR,0),0)</f>
        <v>0</v>
      </c>
      <c r="BH501" s="72">
        <f>SUM(TableCosts[[#This Row],[N_Direct]:[N_SGA]])</f>
        <v>0</v>
      </c>
      <c r="BI501" s="24">
        <f>IF(G501=1,IF(OR(AND(NOT(ISERROR(VLOOKUP(TableCosts[[#This Row],[Calc_N_Typ]],Cis_WorkPositions,1,0))),C501&lt;&gt;"",D501&lt;&gt;"",E501&lt;&gt;""),AND(ISERROR(VLOOKUP(TableCosts[[#This Row],[Calc_N_Typ]],Cis_WorkPositions,1,0)),C501="",D501="",E501&lt;&gt;""),LEFT(TableCosts[[#This Row],[Calc_N_Typ]],18)="Vynaložené náklady"),VLOOKUP(C501&amp;TableCosts[[#This Row],[Calc_N_Typ]],TRAN_STRITEMS_LABEL,VLOOKUP(D501,Tab_Hours,3,0),0),NA()),0)</f>
        <v>0</v>
      </c>
      <c r="BJ501" s="24">
        <f t="shared" si="114"/>
        <v>0</v>
      </c>
      <c r="BK501" s="24" t="str">
        <f t="shared" si="115"/>
        <v/>
      </c>
      <c r="BL501" s="24" t="str">
        <f t="shared" si="116"/>
        <v/>
      </c>
      <c r="BM501" s="24" t="str">
        <f>IF(G501=1,IF(TableCosts[[#This Row],[TransferFrom]]=TableCosts[[#This Row],[TranferTo]],0,1),"")</f>
        <v/>
      </c>
      <c r="BN501" s="24" t="str">
        <f t="shared" si="117"/>
        <v/>
      </c>
      <c r="BO501" s="24">
        <f t="shared" si="118"/>
        <v>0</v>
      </c>
      <c r="BP501" s="24">
        <f t="shared" si="119"/>
        <v>0</v>
      </c>
    </row>
    <row r="502" spans="2:68" s="24" customFormat="1" ht="12.75" x14ac:dyDescent="0.2">
      <c r="B502" s="97"/>
      <c r="C502" s="92"/>
      <c r="D502" s="92"/>
      <c r="E502" s="92"/>
      <c r="F502" s="31" t="str">
        <f>IF(G502=1,IF(ISERROR(TableCosts[[#This Row],[N_Tariff]]),Err_Message1,IF(TableCosts[[#This Row],[N_Tariff]]=0,Err_Message2,VLOOKUP(C502&amp;TableCosts[[#This Row],[Calc_N_Typ]],TRAN_STRITEMS_LABEL,5,FALSE))),"")</f>
        <v/>
      </c>
      <c r="G502" s="31">
        <f t="shared" si="108"/>
        <v>0</v>
      </c>
      <c r="H502" s="31" t="str">
        <f>IF(G502=1,IFERROR(VLOOKUP(F502,Tab_ErrMessage[],2,0),VLOOKUP(C502&amp;TableCosts[[#This Row],[Calc_N_Typ]],TRAN_STRITEMS_LABEL,4,FALSE)),"")</f>
        <v/>
      </c>
      <c r="I502" s="94"/>
      <c r="J502" s="94"/>
      <c r="K502" s="94"/>
      <c r="L502" s="84"/>
      <c r="M502" s="84"/>
      <c r="N502" s="84"/>
      <c r="O502" s="84"/>
      <c r="P502" s="84"/>
      <c r="Q502" s="84"/>
      <c r="R502" s="84"/>
      <c r="S502" s="84"/>
      <c r="T502" s="84"/>
      <c r="U502" s="84"/>
      <c r="V502" s="84"/>
      <c r="W502" s="84"/>
      <c r="X502" s="84"/>
      <c r="Y502" s="84"/>
      <c r="Z502" s="84"/>
      <c r="AA502" s="84"/>
      <c r="AB502" s="84"/>
      <c r="AC502" s="84"/>
      <c r="AD502" s="84"/>
      <c r="AE502" s="84"/>
      <c r="AF502" s="84"/>
      <c r="AG502" s="84"/>
      <c r="AH502" s="84"/>
      <c r="AI502" s="84"/>
      <c r="AJ502" s="84"/>
      <c r="AK502" s="84"/>
      <c r="AL502" s="84"/>
      <c r="AM502" s="84"/>
      <c r="AN502" s="84"/>
      <c r="AO502" s="84"/>
      <c r="AP502" s="84"/>
      <c r="AQ502" s="84"/>
      <c r="AR502" s="84"/>
      <c r="AS502" s="84"/>
      <c r="AT502" s="84"/>
      <c r="AU502" s="84"/>
      <c r="AV502" s="84"/>
      <c r="AW502" s="84"/>
      <c r="AX502" s="87">
        <f t="array" ref="AX502">IF(G502=1,SUM((ROW(M0)=ROW(AW502))*(M0+M1_+M2_+M3_+M4_+M5_+M6_+M7_+M8_+M9_+M10_+M11_+M12_+M13_+M14_+M15_+M16_+M17_+M18_+M19_+M20_+M21_+M22_+M23_+M24_+M25_+M26_+M27_+M28_+M29_+M30_+M31_+M32_+M33_+M34_+M35_+M36_+M37_)),0)</f>
        <v>0</v>
      </c>
      <c r="AZ502" s="24" t="str">
        <f t="shared" si="109"/>
        <v/>
      </c>
      <c r="BA502" s="24" t="str">
        <f t="shared" si="110"/>
        <v/>
      </c>
      <c r="BB502" s="24" t="str">
        <f t="shared" si="111"/>
        <v/>
      </c>
      <c r="BC502" s="24" t="str">
        <f>IF(OR(E502="",LEFT(TableCosts[[#This Row],[Calc_N_Typ]],18)="Vynaložené náklady"),"",VLOOKUP(E502,Tab_Parts,2,0))</f>
        <v/>
      </c>
      <c r="BD502" s="24" t="str">
        <f t="shared" si="112"/>
        <v/>
      </c>
      <c r="BE502" s="24">
        <f t="shared" si="113"/>
        <v>0</v>
      </c>
      <c r="BF502" s="72">
        <f>TableCosts[[#This Row],[N_Amount]]*TableCosts[[#This Row],[N_Tariff]]*TableCosts[[#This Row],[N_ItemsCount]]</f>
        <v>0</v>
      </c>
      <c r="BG502" s="72">
        <f>IF(G502=1,IF(TableCosts[[#This Row],[N_Kateg]]="interné práce",TableCosts[[#This Row],[N_Amount]]*8*PAR_SGA_PERHOUR,0),0)</f>
        <v>0</v>
      </c>
      <c r="BH502" s="72">
        <f>SUM(TableCosts[[#This Row],[N_Direct]:[N_SGA]])</f>
        <v>0</v>
      </c>
      <c r="BI502" s="24">
        <f>IF(G502=1,IF(OR(AND(NOT(ISERROR(VLOOKUP(TableCosts[[#This Row],[Calc_N_Typ]],Cis_WorkPositions,1,0))),C502&lt;&gt;"",D502&lt;&gt;"",E502&lt;&gt;""),AND(ISERROR(VLOOKUP(TableCosts[[#This Row],[Calc_N_Typ]],Cis_WorkPositions,1,0)),C502="",D502="",E502&lt;&gt;""),LEFT(TableCosts[[#This Row],[Calc_N_Typ]],18)="Vynaložené náklady"),VLOOKUP(C502&amp;TableCosts[[#This Row],[Calc_N_Typ]],TRAN_STRITEMS_LABEL,VLOOKUP(D502,Tab_Hours,3,0),0),NA()),0)</f>
        <v>0</v>
      </c>
      <c r="BJ502" s="24">
        <f t="shared" si="114"/>
        <v>0</v>
      </c>
      <c r="BK502" s="24" t="str">
        <f t="shared" si="115"/>
        <v/>
      </c>
      <c r="BL502" s="24" t="str">
        <f t="shared" si="116"/>
        <v/>
      </c>
      <c r="BM502" s="24" t="str">
        <f>IF(G502=1,IF(TableCosts[[#This Row],[TransferFrom]]=TableCosts[[#This Row],[TranferTo]],0,1),"")</f>
        <v/>
      </c>
      <c r="BN502" s="24" t="str">
        <f t="shared" si="117"/>
        <v/>
      </c>
      <c r="BO502" s="24">
        <f t="shared" si="118"/>
        <v>0</v>
      </c>
      <c r="BP502" s="24">
        <f t="shared" si="119"/>
        <v>0</v>
      </c>
    </row>
    <row r="503" spans="2:68" s="24" customFormat="1" ht="12.75" x14ac:dyDescent="0.2">
      <c r="B503" s="97"/>
      <c r="C503" s="92"/>
      <c r="D503" s="92"/>
      <c r="E503" s="92"/>
      <c r="F503" s="31" t="str">
        <f>IF(G503=1,IF(ISERROR(TableCosts[[#This Row],[N_Tariff]]),Err_Message1,IF(TableCosts[[#This Row],[N_Tariff]]=0,Err_Message2,VLOOKUP(C503&amp;TableCosts[[#This Row],[Calc_N_Typ]],TRAN_STRITEMS_LABEL,5,FALSE))),"")</f>
        <v/>
      </c>
      <c r="G503" s="31">
        <f t="shared" si="108"/>
        <v>0</v>
      </c>
      <c r="H503" s="31" t="str">
        <f>IF(G503=1,IFERROR(VLOOKUP(F503,Tab_ErrMessage[],2,0),VLOOKUP(C503&amp;TableCosts[[#This Row],[Calc_N_Typ]],TRAN_STRITEMS_LABEL,4,FALSE)),"")</f>
        <v/>
      </c>
      <c r="I503" s="94"/>
      <c r="J503" s="94"/>
      <c r="K503" s="94"/>
      <c r="L503" s="84"/>
      <c r="M503" s="84"/>
      <c r="N503" s="84"/>
      <c r="O503" s="84"/>
      <c r="P503" s="84"/>
      <c r="Q503" s="84"/>
      <c r="R503" s="84"/>
      <c r="S503" s="84"/>
      <c r="T503" s="84"/>
      <c r="U503" s="84"/>
      <c r="V503" s="84"/>
      <c r="W503" s="84"/>
      <c r="X503" s="84"/>
      <c r="Y503" s="84"/>
      <c r="Z503" s="84"/>
      <c r="AA503" s="84"/>
      <c r="AB503" s="84"/>
      <c r="AC503" s="84"/>
      <c r="AD503" s="84"/>
      <c r="AE503" s="84"/>
      <c r="AF503" s="84"/>
      <c r="AG503" s="84"/>
      <c r="AH503" s="84"/>
      <c r="AI503" s="84"/>
      <c r="AJ503" s="84"/>
      <c r="AK503" s="84"/>
      <c r="AL503" s="84"/>
      <c r="AM503" s="84"/>
      <c r="AN503" s="84"/>
      <c r="AO503" s="84"/>
      <c r="AP503" s="84"/>
      <c r="AQ503" s="84"/>
      <c r="AR503" s="84"/>
      <c r="AS503" s="84"/>
      <c r="AT503" s="84"/>
      <c r="AU503" s="84"/>
      <c r="AV503" s="84"/>
      <c r="AW503" s="84"/>
      <c r="AX503" s="87">
        <f t="array" ref="AX503">IF(G503=1,SUM((ROW(M0)=ROW(AW503))*(M0+M1_+M2_+M3_+M4_+M5_+M6_+M7_+M8_+M9_+M10_+M11_+M12_+M13_+M14_+M15_+M16_+M17_+M18_+M19_+M20_+M21_+M22_+M23_+M24_+M25_+M26_+M27_+M28_+M29_+M30_+M31_+M32_+M33_+M34_+M35_+M36_+M37_)),0)</f>
        <v>0</v>
      </c>
      <c r="AZ503" s="24" t="str">
        <f t="shared" si="109"/>
        <v/>
      </c>
      <c r="BA503" s="24" t="str">
        <f t="shared" si="110"/>
        <v/>
      </c>
      <c r="BB503" s="24" t="str">
        <f t="shared" si="111"/>
        <v/>
      </c>
      <c r="BC503" s="24" t="str">
        <f>IF(OR(E503="",LEFT(TableCosts[[#This Row],[Calc_N_Typ]],18)="Vynaložené náklady"),"",VLOOKUP(E503,Tab_Parts,2,0))</f>
        <v/>
      </c>
      <c r="BD503" s="24" t="str">
        <f t="shared" si="112"/>
        <v/>
      </c>
      <c r="BE503" s="24">
        <f t="shared" si="113"/>
        <v>0</v>
      </c>
      <c r="BF503" s="72">
        <f>TableCosts[[#This Row],[N_Amount]]*TableCosts[[#This Row],[N_Tariff]]*TableCosts[[#This Row],[N_ItemsCount]]</f>
        <v>0</v>
      </c>
      <c r="BG503" s="72">
        <f>IF(G503=1,IF(TableCosts[[#This Row],[N_Kateg]]="interné práce",TableCosts[[#This Row],[N_Amount]]*8*PAR_SGA_PERHOUR,0),0)</f>
        <v>0</v>
      </c>
      <c r="BH503" s="72">
        <f>SUM(TableCosts[[#This Row],[N_Direct]:[N_SGA]])</f>
        <v>0</v>
      </c>
      <c r="BI503" s="24">
        <f>IF(G503=1,IF(OR(AND(NOT(ISERROR(VLOOKUP(TableCosts[[#This Row],[Calc_N_Typ]],Cis_WorkPositions,1,0))),C503&lt;&gt;"",D503&lt;&gt;"",E503&lt;&gt;""),AND(ISERROR(VLOOKUP(TableCosts[[#This Row],[Calc_N_Typ]],Cis_WorkPositions,1,0)),C503="",D503="",E503&lt;&gt;""),LEFT(TableCosts[[#This Row],[Calc_N_Typ]],18)="Vynaložené náklady"),VLOOKUP(C503&amp;TableCosts[[#This Row],[Calc_N_Typ]],TRAN_STRITEMS_LABEL,VLOOKUP(D503,Tab_Hours,3,0),0),NA()),0)</f>
        <v>0</v>
      </c>
      <c r="BJ503" s="24">
        <f t="shared" si="114"/>
        <v>0</v>
      </c>
      <c r="BK503" s="24" t="str">
        <f t="shared" si="115"/>
        <v/>
      </c>
      <c r="BL503" s="24" t="str">
        <f t="shared" si="116"/>
        <v/>
      </c>
      <c r="BM503" s="24" t="str">
        <f>IF(G503=1,IF(TableCosts[[#This Row],[TransferFrom]]=TableCosts[[#This Row],[TranferTo]],0,1),"")</f>
        <v/>
      </c>
      <c r="BN503" s="24" t="str">
        <f t="shared" si="117"/>
        <v/>
      </c>
      <c r="BO503" s="24">
        <f t="shared" si="118"/>
        <v>0</v>
      </c>
      <c r="BP503" s="24">
        <f t="shared" si="119"/>
        <v>0</v>
      </c>
    </row>
    <row r="504" spans="2:68" s="24" customFormat="1" ht="12.75" x14ac:dyDescent="0.2">
      <c r="B504" s="97"/>
      <c r="C504" s="92"/>
      <c r="D504" s="92"/>
      <c r="E504" s="92"/>
      <c r="F504" s="31" t="str">
        <f>IF(G504=1,IF(ISERROR(TableCosts[[#This Row],[N_Tariff]]),Err_Message1,IF(TableCosts[[#This Row],[N_Tariff]]=0,Err_Message2,VLOOKUP(C504&amp;TableCosts[[#This Row],[Calc_N_Typ]],TRAN_STRITEMS_LABEL,5,FALSE))),"")</f>
        <v/>
      </c>
      <c r="G504" s="31">
        <f t="shared" si="108"/>
        <v>0</v>
      </c>
      <c r="H504" s="31" t="str">
        <f>IF(G504=1,IFERROR(VLOOKUP(F504,Tab_ErrMessage[],2,0),VLOOKUP(C504&amp;TableCosts[[#This Row],[Calc_N_Typ]],TRAN_STRITEMS_LABEL,4,FALSE)),"")</f>
        <v/>
      </c>
      <c r="I504" s="94"/>
      <c r="J504" s="94"/>
      <c r="K504" s="94"/>
      <c r="L504" s="84"/>
      <c r="M504" s="84"/>
      <c r="N504" s="84"/>
      <c r="O504" s="84"/>
      <c r="P504" s="84"/>
      <c r="Q504" s="84"/>
      <c r="R504" s="84"/>
      <c r="S504" s="84"/>
      <c r="T504" s="84"/>
      <c r="U504" s="84"/>
      <c r="V504" s="84"/>
      <c r="W504" s="84"/>
      <c r="X504" s="84"/>
      <c r="Y504" s="84"/>
      <c r="Z504" s="84"/>
      <c r="AA504" s="84"/>
      <c r="AB504" s="84"/>
      <c r="AC504" s="84"/>
      <c r="AD504" s="84"/>
      <c r="AE504" s="84"/>
      <c r="AF504" s="84"/>
      <c r="AG504" s="84"/>
      <c r="AH504" s="84"/>
      <c r="AI504" s="84"/>
      <c r="AJ504" s="84"/>
      <c r="AK504" s="84"/>
      <c r="AL504" s="84"/>
      <c r="AM504" s="84"/>
      <c r="AN504" s="84"/>
      <c r="AO504" s="84"/>
      <c r="AP504" s="84"/>
      <c r="AQ504" s="84"/>
      <c r="AR504" s="84"/>
      <c r="AS504" s="84"/>
      <c r="AT504" s="84"/>
      <c r="AU504" s="84"/>
      <c r="AV504" s="84"/>
      <c r="AW504" s="84"/>
      <c r="AX504" s="87">
        <f t="array" ref="AX504">IF(G504=1,SUM((ROW(M0)=ROW(AW504))*(M0+M1_+M2_+M3_+M4_+M5_+M6_+M7_+M8_+M9_+M10_+M11_+M12_+M13_+M14_+M15_+M16_+M17_+M18_+M19_+M20_+M21_+M22_+M23_+M24_+M25_+M26_+M27_+M28_+M29_+M30_+M31_+M32_+M33_+M34_+M35_+M36_+M37_)),0)</f>
        <v>0</v>
      </c>
      <c r="AZ504" s="24" t="str">
        <f t="shared" si="109"/>
        <v/>
      </c>
      <c r="BA504" s="24" t="str">
        <f t="shared" si="110"/>
        <v/>
      </c>
      <c r="BB504" s="24" t="str">
        <f t="shared" si="111"/>
        <v/>
      </c>
      <c r="BC504" s="24" t="str">
        <f>IF(OR(E504="",LEFT(TableCosts[[#This Row],[Calc_N_Typ]],18)="Vynaložené náklady"),"",VLOOKUP(E504,Tab_Parts,2,0))</f>
        <v/>
      </c>
      <c r="BD504" s="24" t="str">
        <f t="shared" si="112"/>
        <v/>
      </c>
      <c r="BE504" s="24">
        <f t="shared" si="113"/>
        <v>0</v>
      </c>
      <c r="BF504" s="72">
        <f>TableCosts[[#This Row],[N_Amount]]*TableCosts[[#This Row],[N_Tariff]]*TableCosts[[#This Row],[N_ItemsCount]]</f>
        <v>0</v>
      </c>
      <c r="BG504" s="72">
        <f>IF(G504=1,IF(TableCosts[[#This Row],[N_Kateg]]="interné práce",TableCosts[[#This Row],[N_Amount]]*8*PAR_SGA_PERHOUR,0),0)</f>
        <v>0</v>
      </c>
      <c r="BH504" s="72">
        <f>SUM(TableCosts[[#This Row],[N_Direct]:[N_SGA]])</f>
        <v>0</v>
      </c>
      <c r="BI504" s="24">
        <f>IF(G504=1,IF(OR(AND(NOT(ISERROR(VLOOKUP(TableCosts[[#This Row],[Calc_N_Typ]],Cis_WorkPositions,1,0))),C504&lt;&gt;"",D504&lt;&gt;"",E504&lt;&gt;""),AND(ISERROR(VLOOKUP(TableCosts[[#This Row],[Calc_N_Typ]],Cis_WorkPositions,1,0)),C504="",D504="",E504&lt;&gt;""),LEFT(TableCosts[[#This Row],[Calc_N_Typ]],18)="Vynaložené náklady"),VLOOKUP(C504&amp;TableCosts[[#This Row],[Calc_N_Typ]],TRAN_STRITEMS_LABEL,VLOOKUP(D504,Tab_Hours,3,0),0),NA()),0)</f>
        <v>0</v>
      </c>
      <c r="BJ504" s="24">
        <f t="shared" si="114"/>
        <v>0</v>
      </c>
      <c r="BK504" s="24" t="str">
        <f t="shared" si="115"/>
        <v/>
      </c>
      <c r="BL504" s="24" t="str">
        <f t="shared" si="116"/>
        <v/>
      </c>
      <c r="BM504" s="24" t="str">
        <f>IF(G504=1,IF(TableCosts[[#This Row],[TransferFrom]]=TableCosts[[#This Row],[TranferTo]],0,1),"")</f>
        <v/>
      </c>
      <c r="BN504" s="24" t="str">
        <f t="shared" si="117"/>
        <v/>
      </c>
      <c r="BO504" s="24">
        <f t="shared" si="118"/>
        <v>0</v>
      </c>
      <c r="BP504" s="24">
        <f t="shared" si="119"/>
        <v>0</v>
      </c>
    </row>
    <row r="505" spans="2:68" s="24" customFormat="1" ht="12.75" x14ac:dyDescent="0.2">
      <c r="B505" s="97"/>
      <c r="C505" s="92"/>
      <c r="D505" s="92"/>
      <c r="E505" s="92"/>
      <c r="F505" s="31" t="str">
        <f>IF(G505=1,IF(ISERROR(TableCosts[[#This Row],[N_Tariff]]),Err_Message1,IF(TableCosts[[#This Row],[N_Tariff]]=0,Err_Message2,VLOOKUP(C505&amp;TableCosts[[#This Row],[Calc_N_Typ]],TRAN_STRITEMS_LABEL,5,FALSE))),"")</f>
        <v/>
      </c>
      <c r="G505" s="31">
        <f t="shared" si="108"/>
        <v>0</v>
      </c>
      <c r="H505" s="31" t="str">
        <f>IF(G505=1,IFERROR(VLOOKUP(F505,Tab_ErrMessage[],2,0),VLOOKUP(C505&amp;TableCosts[[#This Row],[Calc_N_Typ]],TRAN_STRITEMS_LABEL,4,FALSE)),"")</f>
        <v/>
      </c>
      <c r="I505" s="94"/>
      <c r="J505" s="94"/>
      <c r="K505" s="94"/>
      <c r="L505" s="84"/>
      <c r="M505" s="84"/>
      <c r="N505" s="84"/>
      <c r="O505" s="84"/>
      <c r="P505" s="84"/>
      <c r="Q505" s="84"/>
      <c r="R505" s="84"/>
      <c r="S505" s="84"/>
      <c r="T505" s="84"/>
      <c r="U505" s="84"/>
      <c r="V505" s="84"/>
      <c r="W505" s="84"/>
      <c r="X505" s="84"/>
      <c r="Y505" s="84"/>
      <c r="Z505" s="84"/>
      <c r="AA505" s="84"/>
      <c r="AB505" s="84"/>
      <c r="AC505" s="84"/>
      <c r="AD505" s="84"/>
      <c r="AE505" s="84"/>
      <c r="AF505" s="84"/>
      <c r="AG505" s="84"/>
      <c r="AH505" s="84"/>
      <c r="AI505" s="84"/>
      <c r="AJ505" s="84"/>
      <c r="AK505" s="84"/>
      <c r="AL505" s="84"/>
      <c r="AM505" s="84"/>
      <c r="AN505" s="84"/>
      <c r="AO505" s="84"/>
      <c r="AP505" s="84"/>
      <c r="AQ505" s="84"/>
      <c r="AR505" s="84"/>
      <c r="AS505" s="84"/>
      <c r="AT505" s="84"/>
      <c r="AU505" s="84"/>
      <c r="AV505" s="84"/>
      <c r="AW505" s="84"/>
      <c r="AX505" s="87">
        <f t="array" ref="AX505">IF(G505=1,SUM((ROW(M0)=ROW(AW505))*(M0+M1_+M2_+M3_+M4_+M5_+M6_+M7_+M8_+M9_+M10_+M11_+M12_+M13_+M14_+M15_+M16_+M17_+M18_+M19_+M20_+M21_+M22_+M23_+M24_+M25_+M26_+M27_+M28_+M29_+M30_+M31_+M32_+M33_+M34_+M35_+M36_+M37_)),0)</f>
        <v>0</v>
      </c>
      <c r="AZ505" s="24" t="str">
        <f t="shared" si="109"/>
        <v/>
      </c>
      <c r="BA505" s="24" t="str">
        <f t="shared" si="110"/>
        <v/>
      </c>
      <c r="BB505" s="24" t="str">
        <f t="shared" si="111"/>
        <v/>
      </c>
      <c r="BC505" s="24" t="str">
        <f>IF(OR(E505="",LEFT(TableCosts[[#This Row],[Calc_N_Typ]],18)="Vynaložené náklady"),"",VLOOKUP(E505,Tab_Parts,2,0))</f>
        <v/>
      </c>
      <c r="BD505" s="24" t="str">
        <f t="shared" si="112"/>
        <v/>
      </c>
      <c r="BE505" s="24">
        <f t="shared" si="113"/>
        <v>0</v>
      </c>
      <c r="BF505" s="72">
        <f>TableCosts[[#This Row],[N_Amount]]*TableCosts[[#This Row],[N_Tariff]]*TableCosts[[#This Row],[N_ItemsCount]]</f>
        <v>0</v>
      </c>
      <c r="BG505" s="72">
        <f>IF(G505=1,IF(TableCosts[[#This Row],[N_Kateg]]="interné práce",TableCosts[[#This Row],[N_Amount]]*8*PAR_SGA_PERHOUR,0),0)</f>
        <v>0</v>
      </c>
      <c r="BH505" s="72">
        <f>SUM(TableCosts[[#This Row],[N_Direct]:[N_SGA]])</f>
        <v>0</v>
      </c>
      <c r="BI505" s="24">
        <f>IF(G505=1,IF(OR(AND(NOT(ISERROR(VLOOKUP(TableCosts[[#This Row],[Calc_N_Typ]],Cis_WorkPositions,1,0))),C505&lt;&gt;"",D505&lt;&gt;"",E505&lt;&gt;""),AND(ISERROR(VLOOKUP(TableCosts[[#This Row],[Calc_N_Typ]],Cis_WorkPositions,1,0)),C505="",D505="",E505&lt;&gt;""),LEFT(TableCosts[[#This Row],[Calc_N_Typ]],18)="Vynaložené náklady"),VLOOKUP(C505&amp;TableCosts[[#This Row],[Calc_N_Typ]],TRAN_STRITEMS_LABEL,VLOOKUP(D505,Tab_Hours,3,0),0),NA()),0)</f>
        <v>0</v>
      </c>
      <c r="BJ505" s="24">
        <f t="shared" si="114"/>
        <v>0</v>
      </c>
      <c r="BK505" s="24" t="str">
        <f t="shared" si="115"/>
        <v/>
      </c>
      <c r="BL505" s="24" t="str">
        <f t="shared" si="116"/>
        <v/>
      </c>
      <c r="BM505" s="24" t="str">
        <f>IF(G505=1,IF(TableCosts[[#This Row],[TransferFrom]]=TableCosts[[#This Row],[TranferTo]],0,1),"")</f>
        <v/>
      </c>
      <c r="BN505" s="24" t="str">
        <f t="shared" si="117"/>
        <v/>
      </c>
      <c r="BO505" s="24">
        <f t="shared" si="118"/>
        <v>0</v>
      </c>
      <c r="BP505" s="24">
        <f t="shared" si="119"/>
        <v>0</v>
      </c>
    </row>
    <row r="506" spans="2:68" s="24" customFormat="1" ht="12.75" x14ac:dyDescent="0.2">
      <c r="B506" s="97"/>
      <c r="C506" s="92"/>
      <c r="D506" s="92"/>
      <c r="E506" s="92"/>
      <c r="F506" s="31" t="str">
        <f>IF(G506=1,IF(ISERROR(TableCosts[[#This Row],[N_Tariff]]),Err_Message1,IF(TableCosts[[#This Row],[N_Tariff]]=0,Err_Message2,VLOOKUP(C506&amp;TableCosts[[#This Row],[Calc_N_Typ]],TRAN_STRITEMS_LABEL,5,FALSE))),"")</f>
        <v/>
      </c>
      <c r="G506" s="31">
        <f t="shared" si="108"/>
        <v>0</v>
      </c>
      <c r="H506" s="31" t="str">
        <f>IF(G506=1,IFERROR(VLOOKUP(F506,Tab_ErrMessage[],2,0),VLOOKUP(C506&amp;TableCosts[[#This Row],[Calc_N_Typ]],TRAN_STRITEMS_LABEL,4,FALSE)),"")</f>
        <v/>
      </c>
      <c r="I506" s="94"/>
      <c r="J506" s="94"/>
      <c r="K506" s="94"/>
      <c r="L506" s="84"/>
      <c r="M506" s="84"/>
      <c r="N506" s="84"/>
      <c r="O506" s="84"/>
      <c r="P506" s="84"/>
      <c r="Q506" s="84"/>
      <c r="R506" s="84"/>
      <c r="S506" s="84"/>
      <c r="T506" s="84"/>
      <c r="U506" s="84"/>
      <c r="V506" s="84"/>
      <c r="W506" s="84"/>
      <c r="X506" s="84"/>
      <c r="Y506" s="84"/>
      <c r="Z506" s="84"/>
      <c r="AA506" s="84"/>
      <c r="AB506" s="84"/>
      <c r="AC506" s="84"/>
      <c r="AD506" s="84"/>
      <c r="AE506" s="84"/>
      <c r="AF506" s="84"/>
      <c r="AG506" s="84"/>
      <c r="AH506" s="84"/>
      <c r="AI506" s="84"/>
      <c r="AJ506" s="84"/>
      <c r="AK506" s="84"/>
      <c r="AL506" s="84"/>
      <c r="AM506" s="84"/>
      <c r="AN506" s="84"/>
      <c r="AO506" s="84"/>
      <c r="AP506" s="84"/>
      <c r="AQ506" s="84"/>
      <c r="AR506" s="84"/>
      <c r="AS506" s="84"/>
      <c r="AT506" s="84"/>
      <c r="AU506" s="84"/>
      <c r="AV506" s="84"/>
      <c r="AW506" s="84"/>
      <c r="AX506" s="87">
        <f t="array" ref="AX506">IF(G506=1,SUM((ROW(M0)=ROW(AW506))*(M0+M1_+M2_+M3_+M4_+M5_+M6_+M7_+M8_+M9_+M10_+M11_+M12_+M13_+M14_+M15_+M16_+M17_+M18_+M19_+M20_+M21_+M22_+M23_+M24_+M25_+M26_+M27_+M28_+M29_+M30_+M31_+M32_+M33_+M34_+M35_+M36_+M37_)),0)</f>
        <v>0</v>
      </c>
      <c r="AZ506" s="24" t="str">
        <f t="shared" si="109"/>
        <v/>
      </c>
      <c r="BA506" s="24" t="str">
        <f t="shared" si="110"/>
        <v/>
      </c>
      <c r="BB506" s="24" t="str">
        <f t="shared" si="111"/>
        <v/>
      </c>
      <c r="BC506" s="24" t="str">
        <f>IF(OR(E506="",LEFT(TableCosts[[#This Row],[Calc_N_Typ]],18)="Vynaložené náklady"),"",VLOOKUP(E506,Tab_Parts,2,0))</f>
        <v/>
      </c>
      <c r="BD506" s="24" t="str">
        <f t="shared" si="112"/>
        <v/>
      </c>
      <c r="BE506" s="24">
        <f t="shared" si="113"/>
        <v>0</v>
      </c>
      <c r="BF506" s="72">
        <f>TableCosts[[#This Row],[N_Amount]]*TableCosts[[#This Row],[N_Tariff]]*TableCosts[[#This Row],[N_ItemsCount]]</f>
        <v>0</v>
      </c>
      <c r="BG506" s="72">
        <f>IF(G506=1,IF(TableCosts[[#This Row],[N_Kateg]]="interné práce",TableCosts[[#This Row],[N_Amount]]*8*PAR_SGA_PERHOUR,0),0)</f>
        <v>0</v>
      </c>
      <c r="BH506" s="72">
        <f>SUM(TableCosts[[#This Row],[N_Direct]:[N_SGA]])</f>
        <v>0</v>
      </c>
      <c r="BI506" s="24">
        <f>IF(G506=1,IF(OR(AND(NOT(ISERROR(VLOOKUP(TableCosts[[#This Row],[Calc_N_Typ]],Cis_WorkPositions,1,0))),C506&lt;&gt;"",D506&lt;&gt;"",E506&lt;&gt;""),AND(ISERROR(VLOOKUP(TableCosts[[#This Row],[Calc_N_Typ]],Cis_WorkPositions,1,0)),C506="",D506="",E506&lt;&gt;""),LEFT(TableCosts[[#This Row],[Calc_N_Typ]],18)="Vynaložené náklady"),VLOOKUP(C506&amp;TableCosts[[#This Row],[Calc_N_Typ]],TRAN_STRITEMS_LABEL,VLOOKUP(D506,Tab_Hours,3,0),0),NA()),0)</f>
        <v>0</v>
      </c>
      <c r="BJ506" s="24">
        <f t="shared" si="114"/>
        <v>0</v>
      </c>
      <c r="BK506" s="24" t="str">
        <f t="shared" si="115"/>
        <v/>
      </c>
      <c r="BL506" s="24" t="str">
        <f t="shared" si="116"/>
        <v/>
      </c>
      <c r="BM506" s="24" t="str">
        <f>IF(G506=1,IF(TableCosts[[#This Row],[TransferFrom]]=TableCosts[[#This Row],[TranferTo]],0,1),"")</f>
        <v/>
      </c>
      <c r="BN506" s="24" t="str">
        <f t="shared" si="117"/>
        <v/>
      </c>
      <c r="BO506" s="24">
        <f t="shared" si="118"/>
        <v>0</v>
      </c>
      <c r="BP506" s="24">
        <f t="shared" si="119"/>
        <v>0</v>
      </c>
    </row>
    <row r="507" spans="2:68" s="24" customFormat="1" ht="12.75" x14ac:dyDescent="0.2">
      <c r="B507" s="97"/>
      <c r="C507" s="92"/>
      <c r="D507" s="92"/>
      <c r="E507" s="92"/>
      <c r="F507" s="31" t="str">
        <f>IF(G507=1,IF(ISERROR(TableCosts[[#This Row],[N_Tariff]]),Err_Message1,IF(TableCosts[[#This Row],[N_Tariff]]=0,Err_Message2,VLOOKUP(C507&amp;TableCosts[[#This Row],[Calc_N_Typ]],TRAN_STRITEMS_LABEL,5,FALSE))),"")</f>
        <v/>
      </c>
      <c r="G507" s="31">
        <f t="shared" si="108"/>
        <v>0</v>
      </c>
      <c r="H507" s="31" t="str">
        <f>IF(G507=1,IFERROR(VLOOKUP(F507,Tab_ErrMessage[],2,0),VLOOKUP(C507&amp;TableCosts[[#This Row],[Calc_N_Typ]],TRAN_STRITEMS_LABEL,4,FALSE)),"")</f>
        <v/>
      </c>
      <c r="I507" s="94"/>
      <c r="J507" s="94"/>
      <c r="K507" s="94"/>
      <c r="L507" s="84"/>
      <c r="M507" s="84"/>
      <c r="N507" s="84"/>
      <c r="O507" s="84"/>
      <c r="P507" s="84"/>
      <c r="Q507" s="84"/>
      <c r="R507" s="84"/>
      <c r="S507" s="84"/>
      <c r="T507" s="84"/>
      <c r="U507" s="84"/>
      <c r="V507" s="84"/>
      <c r="W507" s="84"/>
      <c r="X507" s="84"/>
      <c r="Y507" s="84"/>
      <c r="Z507" s="84"/>
      <c r="AA507" s="84"/>
      <c r="AB507" s="84"/>
      <c r="AC507" s="84"/>
      <c r="AD507" s="84"/>
      <c r="AE507" s="84"/>
      <c r="AF507" s="84"/>
      <c r="AG507" s="84"/>
      <c r="AH507" s="84"/>
      <c r="AI507" s="84"/>
      <c r="AJ507" s="84"/>
      <c r="AK507" s="84"/>
      <c r="AL507" s="84"/>
      <c r="AM507" s="84"/>
      <c r="AN507" s="84"/>
      <c r="AO507" s="84"/>
      <c r="AP507" s="84"/>
      <c r="AQ507" s="84"/>
      <c r="AR507" s="84"/>
      <c r="AS507" s="84"/>
      <c r="AT507" s="84"/>
      <c r="AU507" s="84"/>
      <c r="AV507" s="84"/>
      <c r="AW507" s="84"/>
      <c r="AX507" s="87">
        <f t="array" ref="AX507">IF(G507=1,SUM((ROW(M0)=ROW(AW507))*(M0+M1_+M2_+M3_+M4_+M5_+M6_+M7_+M8_+M9_+M10_+M11_+M12_+M13_+M14_+M15_+M16_+M17_+M18_+M19_+M20_+M21_+M22_+M23_+M24_+M25_+M26_+M27_+M28_+M29_+M30_+M31_+M32_+M33_+M34_+M35_+M36_+M37_)),0)</f>
        <v>0</v>
      </c>
      <c r="AZ507" s="24" t="str">
        <f t="shared" si="109"/>
        <v/>
      </c>
      <c r="BA507" s="24" t="str">
        <f t="shared" si="110"/>
        <v/>
      </c>
      <c r="BB507" s="24" t="str">
        <f t="shared" si="111"/>
        <v/>
      </c>
      <c r="BC507" s="24" t="str">
        <f>IF(OR(E507="",LEFT(TableCosts[[#This Row],[Calc_N_Typ]],18)="Vynaložené náklady"),"",VLOOKUP(E507,Tab_Parts,2,0))</f>
        <v/>
      </c>
      <c r="BD507" s="24" t="str">
        <f t="shared" si="112"/>
        <v/>
      </c>
      <c r="BE507" s="24">
        <f t="shared" si="113"/>
        <v>0</v>
      </c>
      <c r="BF507" s="72">
        <f>TableCosts[[#This Row],[N_Amount]]*TableCosts[[#This Row],[N_Tariff]]*TableCosts[[#This Row],[N_ItemsCount]]</f>
        <v>0</v>
      </c>
      <c r="BG507" s="72">
        <f>IF(G507=1,IF(TableCosts[[#This Row],[N_Kateg]]="interné práce",TableCosts[[#This Row],[N_Amount]]*8*PAR_SGA_PERHOUR,0),0)</f>
        <v>0</v>
      </c>
      <c r="BH507" s="72">
        <f>SUM(TableCosts[[#This Row],[N_Direct]:[N_SGA]])</f>
        <v>0</v>
      </c>
      <c r="BI507" s="24">
        <f>IF(G507=1,IF(OR(AND(NOT(ISERROR(VLOOKUP(TableCosts[[#This Row],[Calc_N_Typ]],Cis_WorkPositions,1,0))),C507&lt;&gt;"",D507&lt;&gt;"",E507&lt;&gt;""),AND(ISERROR(VLOOKUP(TableCosts[[#This Row],[Calc_N_Typ]],Cis_WorkPositions,1,0)),C507="",D507="",E507&lt;&gt;""),LEFT(TableCosts[[#This Row],[Calc_N_Typ]],18)="Vynaložené náklady"),VLOOKUP(C507&amp;TableCosts[[#This Row],[Calc_N_Typ]],TRAN_STRITEMS_LABEL,VLOOKUP(D507,Tab_Hours,3,0),0),NA()),0)</f>
        <v>0</v>
      </c>
      <c r="BJ507" s="24">
        <f t="shared" si="114"/>
        <v>0</v>
      </c>
      <c r="BK507" s="24" t="str">
        <f t="shared" si="115"/>
        <v/>
      </c>
      <c r="BL507" s="24" t="str">
        <f t="shared" si="116"/>
        <v/>
      </c>
      <c r="BM507" s="24" t="str">
        <f>IF(G507=1,IF(TableCosts[[#This Row],[TransferFrom]]=TableCosts[[#This Row],[TranferTo]],0,1),"")</f>
        <v/>
      </c>
      <c r="BN507" s="24" t="str">
        <f t="shared" si="117"/>
        <v/>
      </c>
      <c r="BO507" s="24">
        <f t="shared" si="118"/>
        <v>0</v>
      </c>
      <c r="BP507" s="24">
        <f t="shared" si="119"/>
        <v>0</v>
      </c>
    </row>
    <row r="508" spans="2:68" s="24" customFormat="1" ht="12.75" x14ac:dyDescent="0.2">
      <c r="B508" s="97"/>
      <c r="C508" s="92"/>
      <c r="D508" s="92"/>
      <c r="E508" s="92"/>
      <c r="F508" s="31" t="str">
        <f>IF(G508=1,IF(ISERROR(TableCosts[[#This Row],[N_Tariff]]),Err_Message1,IF(TableCosts[[#This Row],[N_Tariff]]=0,Err_Message2,VLOOKUP(C508&amp;TableCosts[[#This Row],[Calc_N_Typ]],TRAN_STRITEMS_LABEL,5,FALSE))),"")</f>
        <v/>
      </c>
      <c r="G508" s="31">
        <f t="shared" si="108"/>
        <v>0</v>
      </c>
      <c r="H508" s="31" t="str">
        <f>IF(G508=1,IFERROR(VLOOKUP(F508,Tab_ErrMessage[],2,0),VLOOKUP(C508&amp;TableCosts[[#This Row],[Calc_N_Typ]],TRAN_STRITEMS_LABEL,4,FALSE)),"")</f>
        <v/>
      </c>
      <c r="I508" s="94"/>
      <c r="J508" s="94"/>
      <c r="K508" s="94"/>
      <c r="L508" s="84"/>
      <c r="M508" s="84"/>
      <c r="N508" s="84"/>
      <c r="O508" s="84"/>
      <c r="P508" s="84"/>
      <c r="Q508" s="84"/>
      <c r="R508" s="84"/>
      <c r="S508" s="84"/>
      <c r="T508" s="84"/>
      <c r="U508" s="84"/>
      <c r="V508" s="84"/>
      <c r="W508" s="84"/>
      <c r="X508" s="84"/>
      <c r="Y508" s="84"/>
      <c r="Z508" s="84"/>
      <c r="AA508" s="84"/>
      <c r="AB508" s="84"/>
      <c r="AC508" s="84"/>
      <c r="AD508" s="84"/>
      <c r="AE508" s="84"/>
      <c r="AF508" s="84"/>
      <c r="AG508" s="84"/>
      <c r="AH508" s="84"/>
      <c r="AI508" s="84"/>
      <c r="AJ508" s="84"/>
      <c r="AK508" s="84"/>
      <c r="AL508" s="84"/>
      <c r="AM508" s="84"/>
      <c r="AN508" s="84"/>
      <c r="AO508" s="84"/>
      <c r="AP508" s="84"/>
      <c r="AQ508" s="84"/>
      <c r="AR508" s="84"/>
      <c r="AS508" s="84"/>
      <c r="AT508" s="84"/>
      <c r="AU508" s="84"/>
      <c r="AV508" s="84"/>
      <c r="AW508" s="84"/>
      <c r="AX508" s="87">
        <f t="array" ref="AX508">IF(G508=1,SUM((ROW(M0)=ROW(AW508))*(M0+M1_+M2_+M3_+M4_+M5_+M6_+M7_+M8_+M9_+M10_+M11_+M12_+M13_+M14_+M15_+M16_+M17_+M18_+M19_+M20_+M21_+M22_+M23_+M24_+M25_+M26_+M27_+M28_+M29_+M30_+M31_+M32_+M33_+M34_+M35_+M36_+M37_)),0)</f>
        <v>0</v>
      </c>
      <c r="AZ508" s="24" t="str">
        <f t="shared" si="109"/>
        <v/>
      </c>
      <c r="BA508" s="24" t="str">
        <f t="shared" si="110"/>
        <v/>
      </c>
      <c r="BB508" s="24" t="str">
        <f t="shared" si="111"/>
        <v/>
      </c>
      <c r="BC508" s="24" t="str">
        <f>IF(OR(E508="",LEFT(TableCosts[[#This Row],[Calc_N_Typ]],18)="Vynaložené náklady"),"",VLOOKUP(E508,Tab_Parts,2,0))</f>
        <v/>
      </c>
      <c r="BD508" s="24" t="str">
        <f t="shared" si="112"/>
        <v/>
      </c>
      <c r="BE508" s="24">
        <f t="shared" si="113"/>
        <v>0</v>
      </c>
      <c r="BF508" s="72">
        <f>TableCosts[[#This Row],[N_Amount]]*TableCosts[[#This Row],[N_Tariff]]*TableCosts[[#This Row],[N_ItemsCount]]</f>
        <v>0</v>
      </c>
      <c r="BG508" s="72">
        <f>IF(G508=1,IF(TableCosts[[#This Row],[N_Kateg]]="interné práce",TableCosts[[#This Row],[N_Amount]]*8*PAR_SGA_PERHOUR,0),0)</f>
        <v>0</v>
      </c>
      <c r="BH508" s="72">
        <f>SUM(TableCosts[[#This Row],[N_Direct]:[N_SGA]])</f>
        <v>0</v>
      </c>
      <c r="BI508" s="24">
        <f>IF(G508=1,IF(OR(AND(NOT(ISERROR(VLOOKUP(TableCosts[[#This Row],[Calc_N_Typ]],Cis_WorkPositions,1,0))),C508&lt;&gt;"",D508&lt;&gt;"",E508&lt;&gt;""),AND(ISERROR(VLOOKUP(TableCosts[[#This Row],[Calc_N_Typ]],Cis_WorkPositions,1,0)),C508="",D508="",E508&lt;&gt;""),LEFT(TableCosts[[#This Row],[Calc_N_Typ]],18)="Vynaložené náklady"),VLOOKUP(C508&amp;TableCosts[[#This Row],[Calc_N_Typ]],TRAN_STRITEMS_LABEL,VLOOKUP(D508,Tab_Hours,3,0),0),NA()),0)</f>
        <v>0</v>
      </c>
      <c r="BJ508" s="24">
        <f t="shared" si="114"/>
        <v>0</v>
      </c>
      <c r="BK508" s="24" t="str">
        <f t="shared" si="115"/>
        <v/>
      </c>
      <c r="BL508" s="24" t="str">
        <f t="shared" si="116"/>
        <v/>
      </c>
      <c r="BM508" s="24" t="str">
        <f>IF(G508=1,IF(TableCosts[[#This Row],[TransferFrom]]=TableCosts[[#This Row],[TranferTo]],0,1),"")</f>
        <v/>
      </c>
      <c r="BN508" s="24" t="str">
        <f t="shared" si="117"/>
        <v/>
      </c>
      <c r="BO508" s="24">
        <f t="shared" si="118"/>
        <v>0</v>
      </c>
      <c r="BP508" s="24">
        <f t="shared" si="119"/>
        <v>0</v>
      </c>
    </row>
    <row r="509" spans="2:68" s="24" customFormat="1" ht="12.75" x14ac:dyDescent="0.2">
      <c r="B509" s="97"/>
      <c r="C509" s="92"/>
      <c r="D509" s="92"/>
      <c r="E509" s="92"/>
      <c r="F509" s="31" t="str">
        <f>IF(G509=1,IF(ISERROR(TableCosts[[#This Row],[N_Tariff]]),Err_Message1,IF(TableCosts[[#This Row],[N_Tariff]]=0,Err_Message2,VLOOKUP(C509&amp;TableCosts[[#This Row],[Calc_N_Typ]],TRAN_STRITEMS_LABEL,5,FALSE))),"")</f>
        <v/>
      </c>
      <c r="G509" s="31">
        <f t="shared" si="108"/>
        <v>0</v>
      </c>
      <c r="H509" s="31" t="str">
        <f>IF(G509=1,IFERROR(VLOOKUP(F509,Tab_ErrMessage[],2,0),VLOOKUP(C509&amp;TableCosts[[#This Row],[Calc_N_Typ]],TRAN_STRITEMS_LABEL,4,FALSE)),"")</f>
        <v/>
      </c>
      <c r="I509" s="94"/>
      <c r="J509" s="94"/>
      <c r="K509" s="94"/>
      <c r="L509" s="84"/>
      <c r="M509" s="84"/>
      <c r="N509" s="84"/>
      <c r="O509" s="84"/>
      <c r="P509" s="84"/>
      <c r="Q509" s="84"/>
      <c r="R509" s="84"/>
      <c r="S509" s="84"/>
      <c r="T509" s="84"/>
      <c r="U509" s="84"/>
      <c r="V509" s="84"/>
      <c r="W509" s="84"/>
      <c r="X509" s="84"/>
      <c r="Y509" s="84"/>
      <c r="Z509" s="84"/>
      <c r="AA509" s="84"/>
      <c r="AB509" s="84"/>
      <c r="AC509" s="84"/>
      <c r="AD509" s="84"/>
      <c r="AE509" s="84"/>
      <c r="AF509" s="84"/>
      <c r="AG509" s="84"/>
      <c r="AH509" s="84"/>
      <c r="AI509" s="84"/>
      <c r="AJ509" s="84"/>
      <c r="AK509" s="84"/>
      <c r="AL509" s="84"/>
      <c r="AM509" s="84"/>
      <c r="AN509" s="84"/>
      <c r="AO509" s="84"/>
      <c r="AP509" s="84"/>
      <c r="AQ509" s="84"/>
      <c r="AR509" s="84"/>
      <c r="AS509" s="84"/>
      <c r="AT509" s="84"/>
      <c r="AU509" s="84"/>
      <c r="AV509" s="84"/>
      <c r="AW509" s="84"/>
      <c r="AX509" s="87">
        <f t="array" ref="AX509">IF(G509=1,SUM((ROW(M0)=ROW(AW509))*(M0+M1_+M2_+M3_+M4_+M5_+M6_+M7_+M8_+M9_+M10_+M11_+M12_+M13_+M14_+M15_+M16_+M17_+M18_+M19_+M20_+M21_+M22_+M23_+M24_+M25_+M26_+M27_+M28_+M29_+M30_+M31_+M32_+M33_+M34_+M35_+M36_+M37_)),0)</f>
        <v>0</v>
      </c>
      <c r="AZ509" s="24" t="str">
        <f t="shared" si="109"/>
        <v/>
      </c>
      <c r="BA509" s="24" t="str">
        <f t="shared" si="110"/>
        <v/>
      </c>
      <c r="BB509" s="24" t="str">
        <f t="shared" si="111"/>
        <v/>
      </c>
      <c r="BC509" s="24" t="str">
        <f>IF(OR(E509="",LEFT(TableCosts[[#This Row],[Calc_N_Typ]],18)="Vynaložené náklady"),"",VLOOKUP(E509,Tab_Parts,2,0))</f>
        <v/>
      </c>
      <c r="BD509" s="24" t="str">
        <f t="shared" si="112"/>
        <v/>
      </c>
      <c r="BE509" s="24">
        <f t="shared" si="113"/>
        <v>0</v>
      </c>
      <c r="BF509" s="72">
        <f>TableCosts[[#This Row],[N_Amount]]*TableCosts[[#This Row],[N_Tariff]]*TableCosts[[#This Row],[N_ItemsCount]]</f>
        <v>0</v>
      </c>
      <c r="BG509" s="72">
        <f>IF(G509=1,IF(TableCosts[[#This Row],[N_Kateg]]="interné práce",TableCosts[[#This Row],[N_Amount]]*8*PAR_SGA_PERHOUR,0),0)</f>
        <v>0</v>
      </c>
      <c r="BH509" s="72">
        <f>SUM(TableCosts[[#This Row],[N_Direct]:[N_SGA]])</f>
        <v>0</v>
      </c>
      <c r="BI509" s="24">
        <f>IF(G509=1,IF(OR(AND(NOT(ISERROR(VLOOKUP(TableCosts[[#This Row],[Calc_N_Typ]],Cis_WorkPositions,1,0))),C509&lt;&gt;"",D509&lt;&gt;"",E509&lt;&gt;""),AND(ISERROR(VLOOKUP(TableCosts[[#This Row],[Calc_N_Typ]],Cis_WorkPositions,1,0)),C509="",D509="",E509&lt;&gt;""),LEFT(TableCosts[[#This Row],[Calc_N_Typ]],18)="Vynaložené náklady"),VLOOKUP(C509&amp;TableCosts[[#This Row],[Calc_N_Typ]],TRAN_STRITEMS_LABEL,VLOOKUP(D509,Tab_Hours,3,0),0),NA()),0)</f>
        <v>0</v>
      </c>
      <c r="BJ509" s="24">
        <f t="shared" si="114"/>
        <v>0</v>
      </c>
      <c r="BK509" s="24" t="str">
        <f t="shared" si="115"/>
        <v/>
      </c>
      <c r="BL509" s="24" t="str">
        <f t="shared" si="116"/>
        <v/>
      </c>
      <c r="BM509" s="24" t="str">
        <f>IF(G509=1,IF(TableCosts[[#This Row],[TransferFrom]]=TableCosts[[#This Row],[TranferTo]],0,1),"")</f>
        <v/>
      </c>
      <c r="BN509" s="24" t="str">
        <f t="shared" si="117"/>
        <v/>
      </c>
      <c r="BO509" s="24">
        <f t="shared" si="118"/>
        <v>0</v>
      </c>
      <c r="BP509" s="24">
        <f t="shared" si="119"/>
        <v>0</v>
      </c>
    </row>
    <row r="510" spans="2:68" s="24" customFormat="1" ht="12.75" x14ac:dyDescent="0.2">
      <c r="B510" s="97"/>
      <c r="C510" s="92"/>
      <c r="D510" s="92"/>
      <c r="E510" s="92"/>
      <c r="F510" s="31" t="str">
        <f>IF(G510=1,IF(ISERROR(TableCosts[[#This Row],[N_Tariff]]),Err_Message1,IF(TableCosts[[#This Row],[N_Tariff]]=0,Err_Message2,VLOOKUP(C510&amp;TableCosts[[#This Row],[Calc_N_Typ]],TRAN_STRITEMS_LABEL,5,FALSE))),"")</f>
        <v/>
      </c>
      <c r="G510" s="31">
        <f t="shared" si="108"/>
        <v>0</v>
      </c>
      <c r="H510" s="31" t="str">
        <f>IF(G510=1,IFERROR(VLOOKUP(F510,Tab_ErrMessage[],2,0),VLOOKUP(C510&amp;TableCosts[[#This Row],[Calc_N_Typ]],TRAN_STRITEMS_LABEL,4,FALSE)),"")</f>
        <v/>
      </c>
      <c r="I510" s="94"/>
      <c r="J510" s="94"/>
      <c r="K510" s="94"/>
      <c r="L510" s="84"/>
      <c r="M510" s="84"/>
      <c r="N510" s="84"/>
      <c r="O510" s="84"/>
      <c r="P510" s="84"/>
      <c r="Q510" s="84"/>
      <c r="R510" s="84"/>
      <c r="S510" s="84"/>
      <c r="T510" s="84"/>
      <c r="U510" s="84"/>
      <c r="V510" s="84"/>
      <c r="W510" s="84"/>
      <c r="X510" s="84"/>
      <c r="Y510" s="84"/>
      <c r="Z510" s="84"/>
      <c r="AA510" s="84"/>
      <c r="AB510" s="84"/>
      <c r="AC510" s="84"/>
      <c r="AD510" s="84"/>
      <c r="AE510" s="84"/>
      <c r="AF510" s="84"/>
      <c r="AG510" s="84"/>
      <c r="AH510" s="84"/>
      <c r="AI510" s="84"/>
      <c r="AJ510" s="84"/>
      <c r="AK510" s="84"/>
      <c r="AL510" s="84"/>
      <c r="AM510" s="84"/>
      <c r="AN510" s="84"/>
      <c r="AO510" s="84"/>
      <c r="AP510" s="84"/>
      <c r="AQ510" s="84"/>
      <c r="AR510" s="84"/>
      <c r="AS510" s="84"/>
      <c r="AT510" s="84"/>
      <c r="AU510" s="84"/>
      <c r="AV510" s="84"/>
      <c r="AW510" s="84"/>
      <c r="AX510" s="87">
        <f t="array" ref="AX510">IF(G510=1,SUM((ROW(M0)=ROW(AW510))*(M0+M1_+M2_+M3_+M4_+M5_+M6_+M7_+M8_+M9_+M10_+M11_+M12_+M13_+M14_+M15_+M16_+M17_+M18_+M19_+M20_+M21_+M22_+M23_+M24_+M25_+M26_+M27_+M28_+M29_+M30_+M31_+M32_+M33_+M34_+M35_+M36_+M37_)),0)</f>
        <v>0</v>
      </c>
      <c r="AZ510" s="24" t="str">
        <f t="shared" si="109"/>
        <v/>
      </c>
      <c r="BA510" s="24" t="str">
        <f t="shared" si="110"/>
        <v/>
      </c>
      <c r="BB510" s="24" t="str">
        <f t="shared" si="111"/>
        <v/>
      </c>
      <c r="BC510" s="24" t="str">
        <f>IF(OR(E510="",LEFT(TableCosts[[#This Row],[Calc_N_Typ]],18)="Vynaložené náklady"),"",VLOOKUP(E510,Tab_Parts,2,0))</f>
        <v/>
      </c>
      <c r="BD510" s="24" t="str">
        <f t="shared" si="112"/>
        <v/>
      </c>
      <c r="BE510" s="24">
        <f t="shared" si="113"/>
        <v>0</v>
      </c>
      <c r="BF510" s="72">
        <f>TableCosts[[#This Row],[N_Amount]]*TableCosts[[#This Row],[N_Tariff]]*TableCosts[[#This Row],[N_ItemsCount]]</f>
        <v>0</v>
      </c>
      <c r="BG510" s="72">
        <f>IF(G510=1,IF(TableCosts[[#This Row],[N_Kateg]]="interné práce",TableCosts[[#This Row],[N_Amount]]*8*PAR_SGA_PERHOUR,0),0)</f>
        <v>0</v>
      </c>
      <c r="BH510" s="72">
        <f>SUM(TableCosts[[#This Row],[N_Direct]:[N_SGA]])</f>
        <v>0</v>
      </c>
      <c r="BI510" s="24">
        <f>IF(G510=1,IF(OR(AND(NOT(ISERROR(VLOOKUP(TableCosts[[#This Row],[Calc_N_Typ]],Cis_WorkPositions,1,0))),C510&lt;&gt;"",D510&lt;&gt;"",E510&lt;&gt;""),AND(ISERROR(VLOOKUP(TableCosts[[#This Row],[Calc_N_Typ]],Cis_WorkPositions,1,0)),C510="",D510="",E510&lt;&gt;""),LEFT(TableCosts[[#This Row],[Calc_N_Typ]],18)="Vynaložené náklady"),VLOOKUP(C510&amp;TableCosts[[#This Row],[Calc_N_Typ]],TRAN_STRITEMS_LABEL,VLOOKUP(D510,Tab_Hours,3,0),0),NA()),0)</f>
        <v>0</v>
      </c>
      <c r="BJ510" s="24">
        <f t="shared" si="114"/>
        <v>0</v>
      </c>
      <c r="BK510" s="24" t="str">
        <f t="shared" si="115"/>
        <v/>
      </c>
      <c r="BL510" s="24" t="str">
        <f t="shared" si="116"/>
        <v/>
      </c>
      <c r="BM510" s="24" t="str">
        <f>IF(G510=1,IF(TableCosts[[#This Row],[TransferFrom]]=TableCosts[[#This Row],[TranferTo]],0,1),"")</f>
        <v/>
      </c>
      <c r="BN510" s="24" t="str">
        <f t="shared" si="117"/>
        <v/>
      </c>
      <c r="BO510" s="24">
        <f t="shared" si="118"/>
        <v>0</v>
      </c>
      <c r="BP510" s="24">
        <f t="shared" si="119"/>
        <v>0</v>
      </c>
    </row>
    <row r="511" spans="2:68" s="24" customFormat="1" ht="12.75" x14ac:dyDescent="0.2">
      <c r="B511" s="97"/>
      <c r="C511" s="92"/>
      <c r="D511" s="92"/>
      <c r="E511" s="92"/>
      <c r="F511" s="31" t="str">
        <f>IF(G511=1,IF(ISERROR(TableCosts[[#This Row],[N_Tariff]]),Err_Message1,IF(TableCosts[[#This Row],[N_Tariff]]=0,Err_Message2,VLOOKUP(C511&amp;TableCosts[[#This Row],[Calc_N_Typ]],TRAN_STRITEMS_LABEL,5,FALSE))),"")</f>
        <v/>
      </c>
      <c r="G511" s="31">
        <f t="shared" si="108"/>
        <v>0</v>
      </c>
      <c r="H511" s="31" t="str">
        <f>IF(G511=1,IFERROR(VLOOKUP(F511,Tab_ErrMessage[],2,0),VLOOKUP(C511&amp;TableCosts[[#This Row],[Calc_N_Typ]],TRAN_STRITEMS_LABEL,4,FALSE)),"")</f>
        <v/>
      </c>
      <c r="I511" s="94"/>
      <c r="J511" s="94"/>
      <c r="K511" s="94"/>
      <c r="L511" s="84"/>
      <c r="M511" s="84"/>
      <c r="N511" s="84"/>
      <c r="O511" s="84"/>
      <c r="P511" s="84"/>
      <c r="Q511" s="84"/>
      <c r="R511" s="84"/>
      <c r="S511" s="84"/>
      <c r="T511" s="84"/>
      <c r="U511" s="84"/>
      <c r="V511" s="84"/>
      <c r="W511" s="84"/>
      <c r="X511" s="84"/>
      <c r="Y511" s="84"/>
      <c r="Z511" s="84"/>
      <c r="AA511" s="84"/>
      <c r="AB511" s="84"/>
      <c r="AC511" s="84"/>
      <c r="AD511" s="84"/>
      <c r="AE511" s="84"/>
      <c r="AF511" s="84"/>
      <c r="AG511" s="84"/>
      <c r="AH511" s="84"/>
      <c r="AI511" s="84"/>
      <c r="AJ511" s="84"/>
      <c r="AK511" s="84"/>
      <c r="AL511" s="84"/>
      <c r="AM511" s="84"/>
      <c r="AN511" s="84"/>
      <c r="AO511" s="84"/>
      <c r="AP511" s="84"/>
      <c r="AQ511" s="84"/>
      <c r="AR511" s="84"/>
      <c r="AS511" s="84"/>
      <c r="AT511" s="84"/>
      <c r="AU511" s="84"/>
      <c r="AV511" s="84"/>
      <c r="AW511" s="84"/>
      <c r="AX511" s="87">
        <f t="array" ref="AX511">IF(G511=1,SUM((ROW(M0)=ROW(AW511))*(M0+M1_+M2_+M3_+M4_+M5_+M6_+M7_+M8_+M9_+M10_+M11_+M12_+M13_+M14_+M15_+M16_+M17_+M18_+M19_+M20_+M21_+M22_+M23_+M24_+M25_+M26_+M27_+M28_+M29_+M30_+M31_+M32_+M33_+M34_+M35_+M36_+M37_)),0)</f>
        <v>0</v>
      </c>
      <c r="AZ511" s="24" t="str">
        <f t="shared" si="109"/>
        <v/>
      </c>
      <c r="BA511" s="24" t="str">
        <f t="shared" si="110"/>
        <v/>
      </c>
      <c r="BB511" s="24" t="str">
        <f t="shared" si="111"/>
        <v/>
      </c>
      <c r="BC511" s="24" t="str">
        <f>IF(OR(E511="",LEFT(TableCosts[[#This Row],[Calc_N_Typ]],18)="Vynaložené náklady"),"",VLOOKUP(E511,Tab_Parts,2,0))</f>
        <v/>
      </c>
      <c r="BD511" s="24" t="str">
        <f t="shared" si="112"/>
        <v/>
      </c>
      <c r="BE511" s="24">
        <f t="shared" si="113"/>
        <v>0</v>
      </c>
      <c r="BF511" s="72">
        <f>TableCosts[[#This Row],[N_Amount]]*TableCosts[[#This Row],[N_Tariff]]*TableCosts[[#This Row],[N_ItemsCount]]</f>
        <v>0</v>
      </c>
      <c r="BG511" s="72">
        <f>IF(G511=1,IF(TableCosts[[#This Row],[N_Kateg]]="interné práce",TableCosts[[#This Row],[N_Amount]]*8*PAR_SGA_PERHOUR,0),0)</f>
        <v>0</v>
      </c>
      <c r="BH511" s="72">
        <f>SUM(TableCosts[[#This Row],[N_Direct]:[N_SGA]])</f>
        <v>0</v>
      </c>
      <c r="BI511" s="24">
        <f>IF(G511=1,IF(OR(AND(NOT(ISERROR(VLOOKUP(TableCosts[[#This Row],[Calc_N_Typ]],Cis_WorkPositions,1,0))),C511&lt;&gt;"",D511&lt;&gt;"",E511&lt;&gt;""),AND(ISERROR(VLOOKUP(TableCosts[[#This Row],[Calc_N_Typ]],Cis_WorkPositions,1,0)),C511="",D511="",E511&lt;&gt;""),LEFT(TableCosts[[#This Row],[Calc_N_Typ]],18)="Vynaložené náklady"),VLOOKUP(C511&amp;TableCosts[[#This Row],[Calc_N_Typ]],TRAN_STRITEMS_LABEL,VLOOKUP(D511,Tab_Hours,3,0),0),NA()),0)</f>
        <v>0</v>
      </c>
      <c r="BJ511" s="24">
        <f t="shared" si="114"/>
        <v>0</v>
      </c>
      <c r="BK511" s="24" t="str">
        <f t="shared" si="115"/>
        <v/>
      </c>
      <c r="BL511" s="24" t="str">
        <f t="shared" si="116"/>
        <v/>
      </c>
      <c r="BM511" s="24" t="str">
        <f>IF(G511=1,IF(TableCosts[[#This Row],[TransferFrom]]=TableCosts[[#This Row],[TranferTo]],0,1),"")</f>
        <v/>
      </c>
      <c r="BN511" s="24" t="str">
        <f t="shared" si="117"/>
        <v/>
      </c>
      <c r="BO511" s="24">
        <f t="shared" si="118"/>
        <v>0</v>
      </c>
      <c r="BP511" s="24">
        <f t="shared" si="119"/>
        <v>0</v>
      </c>
    </row>
    <row r="512" spans="2:68" s="24" customFormat="1" ht="12.75" x14ac:dyDescent="0.2">
      <c r="B512" s="97"/>
      <c r="C512" s="92"/>
      <c r="D512" s="92"/>
      <c r="E512" s="92"/>
      <c r="F512" s="31" t="str">
        <f>IF(G512=1,IF(ISERROR(TableCosts[[#This Row],[N_Tariff]]),Err_Message1,IF(TableCosts[[#This Row],[N_Tariff]]=0,Err_Message2,VLOOKUP(C512&amp;TableCosts[[#This Row],[Calc_N_Typ]],TRAN_STRITEMS_LABEL,5,FALSE))),"")</f>
        <v/>
      </c>
      <c r="G512" s="31">
        <f t="shared" si="108"/>
        <v>0</v>
      </c>
      <c r="H512" s="31" t="str">
        <f>IF(G512=1,IFERROR(VLOOKUP(F512,Tab_ErrMessage[],2,0),VLOOKUP(C512&amp;TableCosts[[#This Row],[Calc_N_Typ]],TRAN_STRITEMS_LABEL,4,FALSE)),"")</f>
        <v/>
      </c>
      <c r="I512" s="94"/>
      <c r="J512" s="94"/>
      <c r="K512" s="94"/>
      <c r="L512" s="84"/>
      <c r="M512" s="84"/>
      <c r="N512" s="84"/>
      <c r="O512" s="84"/>
      <c r="P512" s="84"/>
      <c r="Q512" s="84"/>
      <c r="R512" s="84"/>
      <c r="S512" s="84"/>
      <c r="T512" s="84"/>
      <c r="U512" s="84"/>
      <c r="V512" s="84"/>
      <c r="W512" s="84"/>
      <c r="X512" s="84"/>
      <c r="Y512" s="84"/>
      <c r="Z512" s="84"/>
      <c r="AA512" s="84"/>
      <c r="AB512" s="84"/>
      <c r="AC512" s="84"/>
      <c r="AD512" s="84"/>
      <c r="AE512" s="84"/>
      <c r="AF512" s="84"/>
      <c r="AG512" s="84"/>
      <c r="AH512" s="84"/>
      <c r="AI512" s="84"/>
      <c r="AJ512" s="84"/>
      <c r="AK512" s="84"/>
      <c r="AL512" s="84"/>
      <c r="AM512" s="84"/>
      <c r="AN512" s="84"/>
      <c r="AO512" s="84"/>
      <c r="AP512" s="84"/>
      <c r="AQ512" s="84"/>
      <c r="AR512" s="84"/>
      <c r="AS512" s="84"/>
      <c r="AT512" s="84"/>
      <c r="AU512" s="84"/>
      <c r="AV512" s="84"/>
      <c r="AW512" s="84"/>
      <c r="AX512" s="87">
        <f t="array" ref="AX512">IF(G512=1,SUM((ROW(M0)=ROW(AW512))*(M0+M1_+M2_+M3_+M4_+M5_+M6_+M7_+M8_+M9_+M10_+M11_+M12_+M13_+M14_+M15_+M16_+M17_+M18_+M19_+M20_+M21_+M22_+M23_+M24_+M25_+M26_+M27_+M28_+M29_+M30_+M31_+M32_+M33_+M34_+M35_+M36_+M37_)),0)</f>
        <v>0</v>
      </c>
      <c r="AZ512" s="24" t="str">
        <f t="shared" si="109"/>
        <v/>
      </c>
      <c r="BA512" s="24" t="str">
        <f t="shared" si="110"/>
        <v/>
      </c>
      <c r="BB512" s="24" t="str">
        <f t="shared" si="111"/>
        <v/>
      </c>
      <c r="BC512" s="24" t="str">
        <f>IF(OR(E512="",LEFT(TableCosts[[#This Row],[Calc_N_Typ]],18)="Vynaložené náklady"),"",VLOOKUP(E512,Tab_Parts,2,0))</f>
        <v/>
      </c>
      <c r="BD512" s="24" t="str">
        <f t="shared" si="112"/>
        <v/>
      </c>
      <c r="BE512" s="24">
        <f t="shared" si="113"/>
        <v>0</v>
      </c>
      <c r="BF512" s="72">
        <f>TableCosts[[#This Row],[N_Amount]]*TableCosts[[#This Row],[N_Tariff]]*TableCosts[[#This Row],[N_ItemsCount]]</f>
        <v>0</v>
      </c>
      <c r="BG512" s="72">
        <f>IF(G512=1,IF(TableCosts[[#This Row],[N_Kateg]]="interné práce",TableCosts[[#This Row],[N_Amount]]*8*PAR_SGA_PERHOUR,0),0)</f>
        <v>0</v>
      </c>
      <c r="BH512" s="72">
        <f>SUM(TableCosts[[#This Row],[N_Direct]:[N_SGA]])</f>
        <v>0</v>
      </c>
      <c r="BI512" s="24">
        <f>IF(G512=1,IF(OR(AND(NOT(ISERROR(VLOOKUP(TableCosts[[#This Row],[Calc_N_Typ]],Cis_WorkPositions,1,0))),C512&lt;&gt;"",D512&lt;&gt;"",E512&lt;&gt;""),AND(ISERROR(VLOOKUP(TableCosts[[#This Row],[Calc_N_Typ]],Cis_WorkPositions,1,0)),C512="",D512="",E512&lt;&gt;""),LEFT(TableCosts[[#This Row],[Calc_N_Typ]],18)="Vynaložené náklady"),VLOOKUP(C512&amp;TableCosts[[#This Row],[Calc_N_Typ]],TRAN_STRITEMS_LABEL,VLOOKUP(D512,Tab_Hours,3,0),0),NA()),0)</f>
        <v>0</v>
      </c>
      <c r="BJ512" s="24">
        <f t="shared" si="114"/>
        <v>0</v>
      </c>
      <c r="BK512" s="24" t="str">
        <f t="shared" si="115"/>
        <v/>
      </c>
      <c r="BL512" s="24" t="str">
        <f t="shared" si="116"/>
        <v/>
      </c>
      <c r="BM512" s="24" t="str">
        <f>IF(G512=1,IF(TableCosts[[#This Row],[TransferFrom]]=TableCosts[[#This Row],[TranferTo]],0,1),"")</f>
        <v/>
      </c>
      <c r="BN512" s="24" t="str">
        <f t="shared" si="117"/>
        <v/>
      </c>
      <c r="BO512" s="24">
        <f t="shared" si="118"/>
        <v>0</v>
      </c>
      <c r="BP512" s="24">
        <f t="shared" si="119"/>
        <v>0</v>
      </c>
    </row>
    <row r="513" spans="2:68" s="24" customFormat="1" ht="12.75" x14ac:dyDescent="0.2">
      <c r="B513" s="97"/>
      <c r="C513" s="92"/>
      <c r="D513" s="92"/>
      <c r="E513" s="92"/>
      <c r="F513" s="31" t="str">
        <f>IF(G513=1,IF(ISERROR(TableCosts[[#This Row],[N_Tariff]]),Err_Message1,IF(TableCosts[[#This Row],[N_Tariff]]=0,Err_Message2,VLOOKUP(C513&amp;TableCosts[[#This Row],[Calc_N_Typ]],TRAN_STRITEMS_LABEL,5,FALSE))),"")</f>
        <v/>
      </c>
      <c r="G513" s="31">
        <f t="shared" si="108"/>
        <v>0</v>
      </c>
      <c r="H513" s="31" t="str">
        <f>IF(G513=1,IFERROR(VLOOKUP(F513,Tab_ErrMessage[],2,0),VLOOKUP(C513&amp;TableCosts[[#This Row],[Calc_N_Typ]],TRAN_STRITEMS_LABEL,4,FALSE)),"")</f>
        <v/>
      </c>
      <c r="I513" s="94"/>
      <c r="J513" s="94"/>
      <c r="K513" s="94"/>
      <c r="L513" s="84"/>
      <c r="M513" s="84"/>
      <c r="N513" s="84"/>
      <c r="O513" s="84"/>
      <c r="P513" s="84"/>
      <c r="Q513" s="84"/>
      <c r="R513" s="84"/>
      <c r="S513" s="84"/>
      <c r="T513" s="84"/>
      <c r="U513" s="84"/>
      <c r="V513" s="84"/>
      <c r="W513" s="84"/>
      <c r="X513" s="84"/>
      <c r="Y513" s="84"/>
      <c r="Z513" s="84"/>
      <c r="AA513" s="84"/>
      <c r="AB513" s="84"/>
      <c r="AC513" s="84"/>
      <c r="AD513" s="84"/>
      <c r="AE513" s="84"/>
      <c r="AF513" s="84"/>
      <c r="AG513" s="84"/>
      <c r="AH513" s="84"/>
      <c r="AI513" s="84"/>
      <c r="AJ513" s="84"/>
      <c r="AK513" s="84"/>
      <c r="AL513" s="84"/>
      <c r="AM513" s="84"/>
      <c r="AN513" s="84"/>
      <c r="AO513" s="84"/>
      <c r="AP513" s="84"/>
      <c r="AQ513" s="84"/>
      <c r="AR513" s="84"/>
      <c r="AS513" s="84"/>
      <c r="AT513" s="84"/>
      <c r="AU513" s="84"/>
      <c r="AV513" s="84"/>
      <c r="AW513" s="84"/>
      <c r="AX513" s="87">
        <f t="array" ref="AX513">IF(G513=1,SUM((ROW(M0)=ROW(AW513))*(M0+M1_+M2_+M3_+M4_+M5_+M6_+M7_+M8_+M9_+M10_+M11_+M12_+M13_+M14_+M15_+M16_+M17_+M18_+M19_+M20_+M21_+M22_+M23_+M24_+M25_+M26_+M27_+M28_+M29_+M30_+M31_+M32_+M33_+M34_+M35_+M36_+M37_)),0)</f>
        <v>0</v>
      </c>
      <c r="AZ513" s="24" t="str">
        <f t="shared" si="109"/>
        <v/>
      </c>
      <c r="BA513" s="24" t="str">
        <f t="shared" si="110"/>
        <v/>
      </c>
      <c r="BB513" s="24" t="str">
        <f t="shared" si="111"/>
        <v/>
      </c>
      <c r="BC513" s="24" t="str">
        <f>IF(OR(E513="",LEFT(TableCosts[[#This Row],[Calc_N_Typ]],18)="Vynaložené náklady"),"",VLOOKUP(E513,Tab_Parts,2,0))</f>
        <v/>
      </c>
      <c r="BD513" s="24" t="str">
        <f t="shared" si="112"/>
        <v/>
      </c>
      <c r="BE513" s="24">
        <f t="shared" si="113"/>
        <v>0</v>
      </c>
      <c r="BF513" s="72">
        <f>TableCosts[[#This Row],[N_Amount]]*TableCosts[[#This Row],[N_Tariff]]*TableCosts[[#This Row],[N_ItemsCount]]</f>
        <v>0</v>
      </c>
      <c r="BG513" s="72">
        <f>IF(G513=1,IF(TableCosts[[#This Row],[N_Kateg]]="interné práce",TableCosts[[#This Row],[N_Amount]]*8*PAR_SGA_PERHOUR,0),0)</f>
        <v>0</v>
      </c>
      <c r="BH513" s="72">
        <f>SUM(TableCosts[[#This Row],[N_Direct]:[N_SGA]])</f>
        <v>0</v>
      </c>
      <c r="BI513" s="24">
        <f>IF(G513=1,IF(OR(AND(NOT(ISERROR(VLOOKUP(TableCosts[[#This Row],[Calc_N_Typ]],Cis_WorkPositions,1,0))),C513&lt;&gt;"",D513&lt;&gt;"",E513&lt;&gt;""),AND(ISERROR(VLOOKUP(TableCosts[[#This Row],[Calc_N_Typ]],Cis_WorkPositions,1,0)),C513="",D513="",E513&lt;&gt;""),LEFT(TableCosts[[#This Row],[Calc_N_Typ]],18)="Vynaložené náklady"),VLOOKUP(C513&amp;TableCosts[[#This Row],[Calc_N_Typ]],TRAN_STRITEMS_LABEL,VLOOKUP(D513,Tab_Hours,3,0),0),NA()),0)</f>
        <v>0</v>
      </c>
      <c r="BJ513" s="24">
        <f t="shared" si="114"/>
        <v>0</v>
      </c>
      <c r="BK513" s="24" t="str">
        <f t="shared" si="115"/>
        <v/>
      </c>
      <c r="BL513" s="24" t="str">
        <f t="shared" si="116"/>
        <v/>
      </c>
      <c r="BM513" s="24" t="str">
        <f>IF(G513=1,IF(TableCosts[[#This Row],[TransferFrom]]=TableCosts[[#This Row],[TranferTo]],0,1),"")</f>
        <v/>
      </c>
      <c r="BN513" s="24" t="str">
        <f t="shared" si="117"/>
        <v/>
      </c>
      <c r="BO513" s="24">
        <f t="shared" si="118"/>
        <v>0</v>
      </c>
      <c r="BP513" s="24">
        <f t="shared" si="119"/>
        <v>0</v>
      </c>
    </row>
    <row r="514" spans="2:68" s="24" customFormat="1" ht="12.75" x14ac:dyDescent="0.2">
      <c r="B514" s="97"/>
      <c r="C514" s="92"/>
      <c r="D514" s="92"/>
      <c r="E514" s="92"/>
      <c r="F514" s="31" t="str">
        <f>IF(G514=1,IF(ISERROR(TableCosts[[#This Row],[N_Tariff]]),Err_Message1,IF(TableCosts[[#This Row],[N_Tariff]]=0,Err_Message2,VLOOKUP(C514&amp;TableCosts[[#This Row],[Calc_N_Typ]],TRAN_STRITEMS_LABEL,5,FALSE))),"")</f>
        <v/>
      </c>
      <c r="G514" s="31">
        <f t="shared" si="108"/>
        <v>0</v>
      </c>
      <c r="H514" s="31" t="str">
        <f>IF(G514=1,IFERROR(VLOOKUP(F514,Tab_ErrMessage[],2,0),VLOOKUP(C514&amp;TableCosts[[#This Row],[Calc_N_Typ]],TRAN_STRITEMS_LABEL,4,FALSE)),"")</f>
        <v/>
      </c>
      <c r="I514" s="94"/>
      <c r="J514" s="94"/>
      <c r="K514" s="94"/>
      <c r="L514" s="84"/>
      <c r="M514" s="84"/>
      <c r="N514" s="84"/>
      <c r="O514" s="84"/>
      <c r="P514" s="84"/>
      <c r="Q514" s="84"/>
      <c r="R514" s="84"/>
      <c r="S514" s="84"/>
      <c r="T514" s="84"/>
      <c r="U514" s="84"/>
      <c r="V514" s="84"/>
      <c r="W514" s="84"/>
      <c r="X514" s="84"/>
      <c r="Y514" s="84"/>
      <c r="Z514" s="84"/>
      <c r="AA514" s="84"/>
      <c r="AB514" s="84"/>
      <c r="AC514" s="84"/>
      <c r="AD514" s="84"/>
      <c r="AE514" s="84"/>
      <c r="AF514" s="84"/>
      <c r="AG514" s="84"/>
      <c r="AH514" s="84"/>
      <c r="AI514" s="84"/>
      <c r="AJ514" s="84"/>
      <c r="AK514" s="84"/>
      <c r="AL514" s="84"/>
      <c r="AM514" s="84"/>
      <c r="AN514" s="84"/>
      <c r="AO514" s="84"/>
      <c r="AP514" s="84"/>
      <c r="AQ514" s="84"/>
      <c r="AR514" s="84"/>
      <c r="AS514" s="84"/>
      <c r="AT514" s="84"/>
      <c r="AU514" s="84"/>
      <c r="AV514" s="84"/>
      <c r="AW514" s="84"/>
      <c r="AX514" s="87">
        <f t="array" ref="AX514">IF(G514=1,SUM((ROW(M0)=ROW(AW514))*(M0+M1_+M2_+M3_+M4_+M5_+M6_+M7_+M8_+M9_+M10_+M11_+M12_+M13_+M14_+M15_+M16_+M17_+M18_+M19_+M20_+M21_+M22_+M23_+M24_+M25_+M26_+M27_+M28_+M29_+M30_+M31_+M32_+M33_+M34_+M35_+M36_+M37_)),0)</f>
        <v>0</v>
      </c>
      <c r="AZ514" s="24" t="str">
        <f t="shared" si="109"/>
        <v/>
      </c>
      <c r="BA514" s="24" t="str">
        <f t="shared" si="110"/>
        <v/>
      </c>
      <c r="BB514" s="24" t="str">
        <f t="shared" si="111"/>
        <v/>
      </c>
      <c r="BC514" s="24" t="str">
        <f>IF(OR(E514="",LEFT(TableCosts[[#This Row],[Calc_N_Typ]],18)="Vynaložené náklady"),"",VLOOKUP(E514,Tab_Parts,2,0))</f>
        <v/>
      </c>
      <c r="BD514" s="24" t="str">
        <f t="shared" si="112"/>
        <v/>
      </c>
      <c r="BE514" s="24">
        <f t="shared" si="113"/>
        <v>0</v>
      </c>
      <c r="BF514" s="72">
        <f>TableCosts[[#This Row],[N_Amount]]*TableCosts[[#This Row],[N_Tariff]]*TableCosts[[#This Row],[N_ItemsCount]]</f>
        <v>0</v>
      </c>
      <c r="BG514" s="72">
        <f>IF(G514=1,IF(TableCosts[[#This Row],[N_Kateg]]="interné práce",TableCosts[[#This Row],[N_Amount]]*8*PAR_SGA_PERHOUR,0),0)</f>
        <v>0</v>
      </c>
      <c r="BH514" s="72">
        <f>SUM(TableCosts[[#This Row],[N_Direct]:[N_SGA]])</f>
        <v>0</v>
      </c>
      <c r="BI514" s="24">
        <f>IF(G514=1,IF(OR(AND(NOT(ISERROR(VLOOKUP(TableCosts[[#This Row],[Calc_N_Typ]],Cis_WorkPositions,1,0))),C514&lt;&gt;"",D514&lt;&gt;"",E514&lt;&gt;""),AND(ISERROR(VLOOKUP(TableCosts[[#This Row],[Calc_N_Typ]],Cis_WorkPositions,1,0)),C514="",D514="",E514&lt;&gt;""),LEFT(TableCosts[[#This Row],[Calc_N_Typ]],18)="Vynaložené náklady"),VLOOKUP(C514&amp;TableCosts[[#This Row],[Calc_N_Typ]],TRAN_STRITEMS_LABEL,VLOOKUP(D514,Tab_Hours,3,0),0),NA()),0)</f>
        <v>0</v>
      </c>
      <c r="BJ514" s="24">
        <f t="shared" si="114"/>
        <v>0</v>
      </c>
      <c r="BK514" s="24" t="str">
        <f t="shared" si="115"/>
        <v/>
      </c>
      <c r="BL514" s="24" t="str">
        <f t="shared" si="116"/>
        <v/>
      </c>
      <c r="BM514" s="24" t="str">
        <f>IF(G514=1,IF(TableCosts[[#This Row],[TransferFrom]]=TableCosts[[#This Row],[TranferTo]],0,1),"")</f>
        <v/>
      </c>
      <c r="BN514" s="24" t="str">
        <f t="shared" si="117"/>
        <v/>
      </c>
      <c r="BO514" s="24">
        <f t="shared" si="118"/>
        <v>0</v>
      </c>
      <c r="BP514" s="24">
        <f t="shared" si="119"/>
        <v>0</v>
      </c>
    </row>
    <row r="515" spans="2:68" s="24" customFormat="1" ht="12.75" x14ac:dyDescent="0.2">
      <c r="B515" s="97"/>
      <c r="C515" s="92"/>
      <c r="D515" s="92"/>
      <c r="E515" s="92"/>
      <c r="F515" s="31" t="str">
        <f>IF(G515=1,IF(ISERROR(TableCosts[[#This Row],[N_Tariff]]),Err_Message1,IF(TableCosts[[#This Row],[N_Tariff]]=0,Err_Message2,VLOOKUP(C515&amp;TableCosts[[#This Row],[Calc_N_Typ]],TRAN_STRITEMS_LABEL,5,FALSE))),"")</f>
        <v/>
      </c>
      <c r="G515" s="31">
        <f t="shared" si="108"/>
        <v>0</v>
      </c>
      <c r="H515" s="31" t="str">
        <f>IF(G515=1,IFERROR(VLOOKUP(F515,Tab_ErrMessage[],2,0),VLOOKUP(C515&amp;TableCosts[[#This Row],[Calc_N_Typ]],TRAN_STRITEMS_LABEL,4,FALSE)),"")</f>
        <v/>
      </c>
      <c r="I515" s="94"/>
      <c r="J515" s="94"/>
      <c r="K515" s="94"/>
      <c r="L515" s="84"/>
      <c r="M515" s="84"/>
      <c r="N515" s="84"/>
      <c r="O515" s="84"/>
      <c r="P515" s="84"/>
      <c r="Q515" s="84"/>
      <c r="R515" s="84"/>
      <c r="S515" s="84"/>
      <c r="T515" s="84"/>
      <c r="U515" s="84"/>
      <c r="V515" s="84"/>
      <c r="W515" s="84"/>
      <c r="X515" s="84"/>
      <c r="Y515" s="84"/>
      <c r="Z515" s="84"/>
      <c r="AA515" s="84"/>
      <c r="AB515" s="84"/>
      <c r="AC515" s="84"/>
      <c r="AD515" s="84"/>
      <c r="AE515" s="84"/>
      <c r="AF515" s="84"/>
      <c r="AG515" s="84"/>
      <c r="AH515" s="84"/>
      <c r="AI515" s="84"/>
      <c r="AJ515" s="84"/>
      <c r="AK515" s="84"/>
      <c r="AL515" s="84"/>
      <c r="AM515" s="84"/>
      <c r="AN515" s="84"/>
      <c r="AO515" s="84"/>
      <c r="AP515" s="84"/>
      <c r="AQ515" s="84"/>
      <c r="AR515" s="84"/>
      <c r="AS515" s="84"/>
      <c r="AT515" s="84"/>
      <c r="AU515" s="84"/>
      <c r="AV515" s="84"/>
      <c r="AW515" s="84"/>
      <c r="AX515" s="87">
        <f t="array" ref="AX515">IF(G515=1,SUM((ROW(M0)=ROW(AW515))*(M0+M1_+M2_+M3_+M4_+M5_+M6_+M7_+M8_+M9_+M10_+M11_+M12_+M13_+M14_+M15_+M16_+M17_+M18_+M19_+M20_+M21_+M22_+M23_+M24_+M25_+M26_+M27_+M28_+M29_+M30_+M31_+M32_+M33_+M34_+M35_+M36_+M37_)),0)</f>
        <v>0</v>
      </c>
      <c r="AZ515" s="24" t="str">
        <f t="shared" si="109"/>
        <v/>
      </c>
      <c r="BA515" s="24" t="str">
        <f t="shared" si="110"/>
        <v/>
      </c>
      <c r="BB515" s="24" t="str">
        <f t="shared" si="111"/>
        <v/>
      </c>
      <c r="BC515" s="24" t="str">
        <f>IF(OR(E515="",LEFT(TableCosts[[#This Row],[Calc_N_Typ]],18)="Vynaložené náklady"),"",VLOOKUP(E515,Tab_Parts,2,0))</f>
        <v/>
      </c>
      <c r="BD515" s="24" t="str">
        <f t="shared" si="112"/>
        <v/>
      </c>
      <c r="BE515" s="24">
        <f t="shared" si="113"/>
        <v>0</v>
      </c>
      <c r="BF515" s="72">
        <f>TableCosts[[#This Row],[N_Amount]]*TableCosts[[#This Row],[N_Tariff]]*TableCosts[[#This Row],[N_ItemsCount]]</f>
        <v>0</v>
      </c>
      <c r="BG515" s="72">
        <f>IF(G515=1,IF(TableCosts[[#This Row],[N_Kateg]]="interné práce",TableCosts[[#This Row],[N_Amount]]*8*PAR_SGA_PERHOUR,0),0)</f>
        <v>0</v>
      </c>
      <c r="BH515" s="72">
        <f>SUM(TableCosts[[#This Row],[N_Direct]:[N_SGA]])</f>
        <v>0</v>
      </c>
      <c r="BI515" s="24">
        <f>IF(G515=1,IF(OR(AND(NOT(ISERROR(VLOOKUP(TableCosts[[#This Row],[Calc_N_Typ]],Cis_WorkPositions,1,0))),C515&lt;&gt;"",D515&lt;&gt;"",E515&lt;&gt;""),AND(ISERROR(VLOOKUP(TableCosts[[#This Row],[Calc_N_Typ]],Cis_WorkPositions,1,0)),C515="",D515="",E515&lt;&gt;""),LEFT(TableCosts[[#This Row],[Calc_N_Typ]],18)="Vynaložené náklady"),VLOOKUP(C515&amp;TableCosts[[#This Row],[Calc_N_Typ]],TRAN_STRITEMS_LABEL,VLOOKUP(D515,Tab_Hours,3,0),0),NA()),0)</f>
        <v>0</v>
      </c>
      <c r="BJ515" s="24">
        <f t="shared" si="114"/>
        <v>0</v>
      </c>
      <c r="BK515" s="24" t="str">
        <f t="shared" si="115"/>
        <v/>
      </c>
      <c r="BL515" s="24" t="str">
        <f t="shared" si="116"/>
        <v/>
      </c>
      <c r="BM515" s="24" t="str">
        <f>IF(G515=1,IF(TableCosts[[#This Row],[TransferFrom]]=TableCosts[[#This Row],[TranferTo]],0,1),"")</f>
        <v/>
      </c>
      <c r="BN515" s="24" t="str">
        <f t="shared" si="117"/>
        <v/>
      </c>
      <c r="BO515" s="24">
        <f t="shared" si="118"/>
        <v>0</v>
      </c>
      <c r="BP515" s="24">
        <f t="shared" si="119"/>
        <v>0</v>
      </c>
    </row>
    <row r="516" spans="2:68" s="24" customFormat="1" ht="12.75" x14ac:dyDescent="0.2">
      <c r="B516" s="97"/>
      <c r="C516" s="92"/>
      <c r="D516" s="92"/>
      <c r="E516" s="92"/>
      <c r="F516" s="31" t="str">
        <f>IF(G516=1,IF(ISERROR(TableCosts[[#This Row],[N_Tariff]]),Err_Message1,IF(TableCosts[[#This Row],[N_Tariff]]=0,Err_Message2,VLOOKUP(C516&amp;TableCosts[[#This Row],[Calc_N_Typ]],TRAN_STRITEMS_LABEL,5,FALSE))),"")</f>
        <v/>
      </c>
      <c r="G516" s="31">
        <f t="shared" si="108"/>
        <v>0</v>
      </c>
      <c r="H516" s="31" t="str">
        <f>IF(G516=1,IFERROR(VLOOKUP(F516,Tab_ErrMessage[],2,0),VLOOKUP(C516&amp;TableCosts[[#This Row],[Calc_N_Typ]],TRAN_STRITEMS_LABEL,4,FALSE)),"")</f>
        <v/>
      </c>
      <c r="I516" s="94"/>
      <c r="J516" s="94"/>
      <c r="K516" s="94"/>
      <c r="L516" s="84"/>
      <c r="M516" s="84"/>
      <c r="N516" s="84"/>
      <c r="O516" s="84"/>
      <c r="P516" s="84"/>
      <c r="Q516" s="84"/>
      <c r="R516" s="84"/>
      <c r="S516" s="84"/>
      <c r="T516" s="84"/>
      <c r="U516" s="84"/>
      <c r="V516" s="84"/>
      <c r="W516" s="84"/>
      <c r="X516" s="84"/>
      <c r="Y516" s="84"/>
      <c r="Z516" s="84"/>
      <c r="AA516" s="84"/>
      <c r="AB516" s="84"/>
      <c r="AC516" s="84"/>
      <c r="AD516" s="84"/>
      <c r="AE516" s="84"/>
      <c r="AF516" s="84"/>
      <c r="AG516" s="84"/>
      <c r="AH516" s="84"/>
      <c r="AI516" s="84"/>
      <c r="AJ516" s="84"/>
      <c r="AK516" s="84"/>
      <c r="AL516" s="84"/>
      <c r="AM516" s="84"/>
      <c r="AN516" s="84"/>
      <c r="AO516" s="84"/>
      <c r="AP516" s="84"/>
      <c r="AQ516" s="84"/>
      <c r="AR516" s="84"/>
      <c r="AS516" s="84"/>
      <c r="AT516" s="84"/>
      <c r="AU516" s="84"/>
      <c r="AV516" s="84"/>
      <c r="AW516" s="84"/>
      <c r="AX516" s="87">
        <f t="array" ref="AX516">IF(G516=1,SUM((ROW(M0)=ROW(AW516))*(M0+M1_+M2_+M3_+M4_+M5_+M6_+M7_+M8_+M9_+M10_+M11_+M12_+M13_+M14_+M15_+M16_+M17_+M18_+M19_+M20_+M21_+M22_+M23_+M24_+M25_+M26_+M27_+M28_+M29_+M30_+M31_+M32_+M33_+M34_+M35_+M36_+M37_)),0)</f>
        <v>0</v>
      </c>
      <c r="AZ516" s="24" t="str">
        <f t="shared" si="109"/>
        <v/>
      </c>
      <c r="BA516" s="24" t="str">
        <f t="shared" si="110"/>
        <v/>
      </c>
      <c r="BB516" s="24" t="str">
        <f t="shared" si="111"/>
        <v/>
      </c>
      <c r="BC516" s="24" t="str">
        <f>IF(OR(E516="",LEFT(TableCosts[[#This Row],[Calc_N_Typ]],18)="Vynaložené náklady"),"",VLOOKUP(E516,Tab_Parts,2,0))</f>
        <v/>
      </c>
      <c r="BD516" s="24" t="str">
        <f t="shared" si="112"/>
        <v/>
      </c>
      <c r="BE516" s="24">
        <f t="shared" si="113"/>
        <v>0</v>
      </c>
      <c r="BF516" s="72">
        <f>TableCosts[[#This Row],[N_Amount]]*TableCosts[[#This Row],[N_Tariff]]*TableCosts[[#This Row],[N_ItemsCount]]</f>
        <v>0</v>
      </c>
      <c r="BG516" s="72">
        <f>IF(G516=1,IF(TableCosts[[#This Row],[N_Kateg]]="interné práce",TableCosts[[#This Row],[N_Amount]]*8*PAR_SGA_PERHOUR,0),0)</f>
        <v>0</v>
      </c>
      <c r="BH516" s="72">
        <f>SUM(TableCosts[[#This Row],[N_Direct]:[N_SGA]])</f>
        <v>0</v>
      </c>
      <c r="BI516" s="24">
        <f>IF(G516=1,IF(OR(AND(NOT(ISERROR(VLOOKUP(TableCosts[[#This Row],[Calc_N_Typ]],Cis_WorkPositions,1,0))),C516&lt;&gt;"",D516&lt;&gt;"",E516&lt;&gt;""),AND(ISERROR(VLOOKUP(TableCosts[[#This Row],[Calc_N_Typ]],Cis_WorkPositions,1,0)),C516="",D516="",E516&lt;&gt;""),LEFT(TableCosts[[#This Row],[Calc_N_Typ]],18)="Vynaložené náklady"),VLOOKUP(C516&amp;TableCosts[[#This Row],[Calc_N_Typ]],TRAN_STRITEMS_LABEL,VLOOKUP(D516,Tab_Hours,3,0),0),NA()),0)</f>
        <v>0</v>
      </c>
      <c r="BJ516" s="24">
        <f t="shared" si="114"/>
        <v>0</v>
      </c>
      <c r="BK516" s="24" t="str">
        <f t="shared" si="115"/>
        <v/>
      </c>
      <c r="BL516" s="24" t="str">
        <f t="shared" si="116"/>
        <v/>
      </c>
      <c r="BM516" s="24" t="str">
        <f>IF(G516=1,IF(TableCosts[[#This Row],[TransferFrom]]=TableCosts[[#This Row],[TranferTo]],0,1),"")</f>
        <v/>
      </c>
      <c r="BN516" s="24" t="str">
        <f t="shared" si="117"/>
        <v/>
      </c>
      <c r="BO516" s="24">
        <f t="shared" si="118"/>
        <v>0</v>
      </c>
      <c r="BP516" s="24">
        <f t="shared" si="119"/>
        <v>0</v>
      </c>
    </row>
    <row r="517" spans="2:68" s="24" customFormat="1" ht="12.75" x14ac:dyDescent="0.2">
      <c r="B517" s="97"/>
      <c r="C517" s="92"/>
      <c r="D517" s="92"/>
      <c r="E517" s="92"/>
      <c r="F517" s="31" t="str">
        <f>IF(G517=1,IF(ISERROR(TableCosts[[#This Row],[N_Tariff]]),Err_Message1,IF(TableCosts[[#This Row],[N_Tariff]]=0,Err_Message2,VLOOKUP(C517&amp;TableCosts[[#This Row],[Calc_N_Typ]],TRAN_STRITEMS_LABEL,5,FALSE))),"")</f>
        <v/>
      </c>
      <c r="G517" s="31">
        <f t="shared" si="108"/>
        <v>0</v>
      </c>
      <c r="H517" s="31" t="str">
        <f>IF(G517=1,IFERROR(VLOOKUP(F517,Tab_ErrMessage[],2,0),VLOOKUP(C517&amp;TableCosts[[#This Row],[Calc_N_Typ]],TRAN_STRITEMS_LABEL,4,FALSE)),"")</f>
        <v/>
      </c>
      <c r="I517" s="94"/>
      <c r="J517" s="94"/>
      <c r="K517" s="94"/>
      <c r="L517" s="84"/>
      <c r="M517" s="84"/>
      <c r="N517" s="84"/>
      <c r="O517" s="84"/>
      <c r="P517" s="84"/>
      <c r="Q517" s="84"/>
      <c r="R517" s="84"/>
      <c r="S517" s="84"/>
      <c r="T517" s="84"/>
      <c r="U517" s="84"/>
      <c r="V517" s="84"/>
      <c r="W517" s="84"/>
      <c r="X517" s="84"/>
      <c r="Y517" s="84"/>
      <c r="Z517" s="84"/>
      <c r="AA517" s="84"/>
      <c r="AB517" s="84"/>
      <c r="AC517" s="84"/>
      <c r="AD517" s="84"/>
      <c r="AE517" s="84"/>
      <c r="AF517" s="84"/>
      <c r="AG517" s="84"/>
      <c r="AH517" s="84"/>
      <c r="AI517" s="84"/>
      <c r="AJ517" s="84"/>
      <c r="AK517" s="84"/>
      <c r="AL517" s="84"/>
      <c r="AM517" s="84"/>
      <c r="AN517" s="84"/>
      <c r="AO517" s="84"/>
      <c r="AP517" s="84"/>
      <c r="AQ517" s="84"/>
      <c r="AR517" s="84"/>
      <c r="AS517" s="84"/>
      <c r="AT517" s="84"/>
      <c r="AU517" s="84"/>
      <c r="AV517" s="84"/>
      <c r="AW517" s="84"/>
      <c r="AX517" s="87">
        <f t="array" ref="AX517">IF(G517=1,SUM((ROW(M0)=ROW(AW517))*(M0+M1_+M2_+M3_+M4_+M5_+M6_+M7_+M8_+M9_+M10_+M11_+M12_+M13_+M14_+M15_+M16_+M17_+M18_+M19_+M20_+M21_+M22_+M23_+M24_+M25_+M26_+M27_+M28_+M29_+M30_+M31_+M32_+M33_+M34_+M35_+M36_+M37_)),0)</f>
        <v>0</v>
      </c>
      <c r="AZ517" s="24" t="str">
        <f t="shared" si="109"/>
        <v/>
      </c>
      <c r="BA517" s="24" t="str">
        <f t="shared" si="110"/>
        <v/>
      </c>
      <c r="BB517" s="24" t="str">
        <f t="shared" si="111"/>
        <v/>
      </c>
      <c r="BC517" s="24" t="str">
        <f>IF(OR(E517="",LEFT(TableCosts[[#This Row],[Calc_N_Typ]],18)="Vynaložené náklady"),"",VLOOKUP(E517,Tab_Parts,2,0))</f>
        <v/>
      </c>
      <c r="BD517" s="24" t="str">
        <f t="shared" si="112"/>
        <v/>
      </c>
      <c r="BE517" s="24">
        <f t="shared" si="113"/>
        <v>0</v>
      </c>
      <c r="BF517" s="72">
        <f>TableCosts[[#This Row],[N_Amount]]*TableCosts[[#This Row],[N_Tariff]]*TableCosts[[#This Row],[N_ItemsCount]]</f>
        <v>0</v>
      </c>
      <c r="BG517" s="72">
        <f>IF(G517=1,IF(TableCosts[[#This Row],[N_Kateg]]="interné práce",TableCosts[[#This Row],[N_Amount]]*8*PAR_SGA_PERHOUR,0),0)</f>
        <v>0</v>
      </c>
      <c r="BH517" s="72">
        <f>SUM(TableCosts[[#This Row],[N_Direct]:[N_SGA]])</f>
        <v>0</v>
      </c>
      <c r="BI517" s="24">
        <f>IF(G517=1,IF(OR(AND(NOT(ISERROR(VLOOKUP(TableCosts[[#This Row],[Calc_N_Typ]],Cis_WorkPositions,1,0))),C517&lt;&gt;"",D517&lt;&gt;"",E517&lt;&gt;""),AND(ISERROR(VLOOKUP(TableCosts[[#This Row],[Calc_N_Typ]],Cis_WorkPositions,1,0)),C517="",D517="",E517&lt;&gt;""),LEFT(TableCosts[[#This Row],[Calc_N_Typ]],18)="Vynaložené náklady"),VLOOKUP(C517&amp;TableCosts[[#This Row],[Calc_N_Typ]],TRAN_STRITEMS_LABEL,VLOOKUP(D517,Tab_Hours,3,0),0),NA()),0)</f>
        <v>0</v>
      </c>
      <c r="BJ517" s="24">
        <f t="shared" si="114"/>
        <v>0</v>
      </c>
      <c r="BK517" s="24" t="str">
        <f t="shared" si="115"/>
        <v/>
      </c>
      <c r="BL517" s="24" t="str">
        <f t="shared" si="116"/>
        <v/>
      </c>
      <c r="BM517" s="24" t="str">
        <f>IF(G517=1,IF(TableCosts[[#This Row],[TransferFrom]]=TableCosts[[#This Row],[TranferTo]],0,1),"")</f>
        <v/>
      </c>
      <c r="BN517" s="24" t="str">
        <f t="shared" si="117"/>
        <v/>
      </c>
      <c r="BO517" s="24">
        <f t="shared" si="118"/>
        <v>0</v>
      </c>
      <c r="BP517" s="24">
        <f t="shared" si="119"/>
        <v>0</v>
      </c>
    </row>
    <row r="518" spans="2:68" s="24" customFormat="1" ht="12.75" x14ac:dyDescent="0.2">
      <c r="B518" s="97"/>
      <c r="C518" s="92"/>
      <c r="D518" s="92"/>
      <c r="E518" s="92"/>
      <c r="F518" s="31" t="str">
        <f>IF(G518=1,IF(ISERROR(TableCosts[[#This Row],[N_Tariff]]),Err_Message1,IF(TableCosts[[#This Row],[N_Tariff]]=0,Err_Message2,VLOOKUP(C518&amp;TableCosts[[#This Row],[Calc_N_Typ]],TRAN_STRITEMS_LABEL,5,FALSE))),"")</f>
        <v/>
      </c>
      <c r="G518" s="31">
        <f t="shared" si="108"/>
        <v>0</v>
      </c>
      <c r="H518" s="31" t="str">
        <f>IF(G518=1,IFERROR(VLOOKUP(F518,Tab_ErrMessage[],2,0),VLOOKUP(C518&amp;TableCosts[[#This Row],[Calc_N_Typ]],TRAN_STRITEMS_LABEL,4,FALSE)),"")</f>
        <v/>
      </c>
      <c r="I518" s="94"/>
      <c r="J518" s="94"/>
      <c r="K518" s="94"/>
      <c r="L518" s="84"/>
      <c r="M518" s="84"/>
      <c r="N518" s="84"/>
      <c r="O518" s="84"/>
      <c r="P518" s="84"/>
      <c r="Q518" s="84"/>
      <c r="R518" s="84"/>
      <c r="S518" s="84"/>
      <c r="T518" s="84"/>
      <c r="U518" s="84"/>
      <c r="V518" s="84"/>
      <c r="W518" s="84"/>
      <c r="X518" s="84"/>
      <c r="Y518" s="84"/>
      <c r="Z518" s="84"/>
      <c r="AA518" s="84"/>
      <c r="AB518" s="84"/>
      <c r="AC518" s="84"/>
      <c r="AD518" s="84"/>
      <c r="AE518" s="84"/>
      <c r="AF518" s="84"/>
      <c r="AG518" s="84"/>
      <c r="AH518" s="84"/>
      <c r="AI518" s="84"/>
      <c r="AJ518" s="84"/>
      <c r="AK518" s="84"/>
      <c r="AL518" s="84"/>
      <c r="AM518" s="84"/>
      <c r="AN518" s="84"/>
      <c r="AO518" s="84"/>
      <c r="AP518" s="84"/>
      <c r="AQ518" s="84"/>
      <c r="AR518" s="84"/>
      <c r="AS518" s="84"/>
      <c r="AT518" s="84"/>
      <c r="AU518" s="84"/>
      <c r="AV518" s="84"/>
      <c r="AW518" s="84"/>
      <c r="AX518" s="87">
        <f t="array" ref="AX518">IF(G518=1,SUM((ROW(M0)=ROW(AW518))*(M0+M1_+M2_+M3_+M4_+M5_+M6_+M7_+M8_+M9_+M10_+M11_+M12_+M13_+M14_+M15_+M16_+M17_+M18_+M19_+M20_+M21_+M22_+M23_+M24_+M25_+M26_+M27_+M28_+M29_+M30_+M31_+M32_+M33_+M34_+M35_+M36_+M37_)),0)</f>
        <v>0</v>
      </c>
      <c r="AZ518" s="24" t="str">
        <f t="shared" si="109"/>
        <v/>
      </c>
      <c r="BA518" s="24" t="str">
        <f t="shared" si="110"/>
        <v/>
      </c>
      <c r="BB518" s="24" t="str">
        <f t="shared" si="111"/>
        <v/>
      </c>
      <c r="BC518" s="24" t="str">
        <f>IF(OR(E518="",LEFT(TableCosts[[#This Row],[Calc_N_Typ]],18)="Vynaložené náklady"),"",VLOOKUP(E518,Tab_Parts,2,0))</f>
        <v/>
      </c>
      <c r="BD518" s="24" t="str">
        <f t="shared" si="112"/>
        <v/>
      </c>
      <c r="BE518" s="24">
        <f t="shared" si="113"/>
        <v>0</v>
      </c>
      <c r="BF518" s="72">
        <f>TableCosts[[#This Row],[N_Amount]]*TableCosts[[#This Row],[N_Tariff]]*TableCosts[[#This Row],[N_ItemsCount]]</f>
        <v>0</v>
      </c>
      <c r="BG518" s="72">
        <f>IF(G518=1,IF(TableCosts[[#This Row],[N_Kateg]]="interné práce",TableCosts[[#This Row],[N_Amount]]*8*PAR_SGA_PERHOUR,0),0)</f>
        <v>0</v>
      </c>
      <c r="BH518" s="72">
        <f>SUM(TableCosts[[#This Row],[N_Direct]:[N_SGA]])</f>
        <v>0</v>
      </c>
      <c r="BI518" s="24">
        <f>IF(G518=1,IF(OR(AND(NOT(ISERROR(VLOOKUP(TableCosts[[#This Row],[Calc_N_Typ]],Cis_WorkPositions,1,0))),C518&lt;&gt;"",D518&lt;&gt;"",E518&lt;&gt;""),AND(ISERROR(VLOOKUP(TableCosts[[#This Row],[Calc_N_Typ]],Cis_WorkPositions,1,0)),C518="",D518="",E518&lt;&gt;""),LEFT(TableCosts[[#This Row],[Calc_N_Typ]],18)="Vynaložené náklady"),VLOOKUP(C518&amp;TableCosts[[#This Row],[Calc_N_Typ]],TRAN_STRITEMS_LABEL,VLOOKUP(D518,Tab_Hours,3,0),0),NA()),0)</f>
        <v>0</v>
      </c>
      <c r="BJ518" s="24">
        <f t="shared" si="114"/>
        <v>0</v>
      </c>
      <c r="BK518" s="24" t="str">
        <f t="shared" si="115"/>
        <v/>
      </c>
      <c r="BL518" s="24" t="str">
        <f t="shared" si="116"/>
        <v/>
      </c>
      <c r="BM518" s="24" t="str">
        <f>IF(G518=1,IF(TableCosts[[#This Row],[TransferFrom]]=TableCosts[[#This Row],[TranferTo]],0,1),"")</f>
        <v/>
      </c>
      <c r="BN518" s="24" t="str">
        <f t="shared" si="117"/>
        <v/>
      </c>
      <c r="BO518" s="24">
        <f t="shared" si="118"/>
        <v>0</v>
      </c>
      <c r="BP518" s="24">
        <f t="shared" si="119"/>
        <v>0</v>
      </c>
    </row>
    <row r="519" spans="2:68" s="24" customFormat="1" ht="12.75" x14ac:dyDescent="0.2">
      <c r="B519" s="97"/>
      <c r="C519" s="92"/>
      <c r="D519" s="92"/>
      <c r="E519" s="92"/>
      <c r="F519" s="31" t="str">
        <f>IF(G519=1,IF(ISERROR(TableCosts[[#This Row],[N_Tariff]]),Err_Message1,IF(TableCosts[[#This Row],[N_Tariff]]=0,Err_Message2,VLOOKUP(C519&amp;TableCosts[[#This Row],[Calc_N_Typ]],TRAN_STRITEMS_LABEL,5,FALSE))),"")</f>
        <v/>
      </c>
      <c r="G519" s="31">
        <f t="shared" si="108"/>
        <v>0</v>
      </c>
      <c r="H519" s="31" t="str">
        <f>IF(G519=1,IFERROR(VLOOKUP(F519,Tab_ErrMessage[],2,0),VLOOKUP(C519&amp;TableCosts[[#This Row],[Calc_N_Typ]],TRAN_STRITEMS_LABEL,4,FALSE)),"")</f>
        <v/>
      </c>
      <c r="I519" s="94"/>
      <c r="J519" s="94"/>
      <c r="K519" s="94"/>
      <c r="L519" s="84"/>
      <c r="M519" s="84"/>
      <c r="N519" s="84"/>
      <c r="O519" s="84"/>
      <c r="P519" s="84"/>
      <c r="Q519" s="84"/>
      <c r="R519" s="84"/>
      <c r="S519" s="84"/>
      <c r="T519" s="84"/>
      <c r="U519" s="84"/>
      <c r="V519" s="84"/>
      <c r="W519" s="84"/>
      <c r="X519" s="84"/>
      <c r="Y519" s="84"/>
      <c r="Z519" s="84"/>
      <c r="AA519" s="84"/>
      <c r="AB519" s="84"/>
      <c r="AC519" s="84"/>
      <c r="AD519" s="84"/>
      <c r="AE519" s="84"/>
      <c r="AF519" s="84"/>
      <c r="AG519" s="84"/>
      <c r="AH519" s="84"/>
      <c r="AI519" s="84"/>
      <c r="AJ519" s="84"/>
      <c r="AK519" s="84"/>
      <c r="AL519" s="84"/>
      <c r="AM519" s="84"/>
      <c r="AN519" s="84"/>
      <c r="AO519" s="84"/>
      <c r="AP519" s="84"/>
      <c r="AQ519" s="84"/>
      <c r="AR519" s="84"/>
      <c r="AS519" s="84"/>
      <c r="AT519" s="84"/>
      <c r="AU519" s="84"/>
      <c r="AV519" s="84"/>
      <c r="AW519" s="84"/>
      <c r="AX519" s="87">
        <f t="array" ref="AX519">IF(G519=1,SUM((ROW(M0)=ROW(AW519))*(M0+M1_+M2_+M3_+M4_+M5_+M6_+M7_+M8_+M9_+M10_+M11_+M12_+M13_+M14_+M15_+M16_+M17_+M18_+M19_+M20_+M21_+M22_+M23_+M24_+M25_+M26_+M27_+M28_+M29_+M30_+M31_+M32_+M33_+M34_+M35_+M36_+M37_)),0)</f>
        <v>0</v>
      </c>
      <c r="AZ519" s="24" t="str">
        <f t="shared" si="109"/>
        <v/>
      </c>
      <c r="BA519" s="24" t="str">
        <f t="shared" si="110"/>
        <v/>
      </c>
      <c r="BB519" s="24" t="str">
        <f t="shared" si="111"/>
        <v/>
      </c>
      <c r="BC519" s="24" t="str">
        <f>IF(OR(E519="",LEFT(TableCosts[[#This Row],[Calc_N_Typ]],18)="Vynaložené náklady"),"",VLOOKUP(E519,Tab_Parts,2,0))</f>
        <v/>
      </c>
      <c r="BD519" s="24" t="str">
        <f t="shared" si="112"/>
        <v/>
      </c>
      <c r="BE519" s="24">
        <f t="shared" si="113"/>
        <v>0</v>
      </c>
      <c r="BF519" s="72">
        <f>TableCosts[[#This Row],[N_Amount]]*TableCosts[[#This Row],[N_Tariff]]*TableCosts[[#This Row],[N_ItemsCount]]</f>
        <v>0</v>
      </c>
      <c r="BG519" s="72">
        <f>IF(G519=1,IF(TableCosts[[#This Row],[N_Kateg]]="interné práce",TableCosts[[#This Row],[N_Amount]]*8*PAR_SGA_PERHOUR,0),0)</f>
        <v>0</v>
      </c>
      <c r="BH519" s="72">
        <f>SUM(TableCosts[[#This Row],[N_Direct]:[N_SGA]])</f>
        <v>0</v>
      </c>
      <c r="BI519" s="24">
        <f>IF(G519=1,IF(OR(AND(NOT(ISERROR(VLOOKUP(TableCosts[[#This Row],[Calc_N_Typ]],Cis_WorkPositions,1,0))),C519&lt;&gt;"",D519&lt;&gt;"",E519&lt;&gt;""),AND(ISERROR(VLOOKUP(TableCosts[[#This Row],[Calc_N_Typ]],Cis_WorkPositions,1,0)),C519="",D519="",E519&lt;&gt;""),LEFT(TableCosts[[#This Row],[Calc_N_Typ]],18)="Vynaložené náklady"),VLOOKUP(C519&amp;TableCosts[[#This Row],[Calc_N_Typ]],TRAN_STRITEMS_LABEL,VLOOKUP(D519,Tab_Hours,3,0),0),NA()),0)</f>
        <v>0</v>
      </c>
      <c r="BJ519" s="24">
        <f t="shared" si="114"/>
        <v>0</v>
      </c>
      <c r="BK519" s="24" t="str">
        <f t="shared" si="115"/>
        <v/>
      </c>
      <c r="BL519" s="24" t="str">
        <f t="shared" si="116"/>
        <v/>
      </c>
      <c r="BM519" s="24" t="str">
        <f>IF(G519=1,IF(TableCosts[[#This Row],[TransferFrom]]=TableCosts[[#This Row],[TranferTo]],0,1),"")</f>
        <v/>
      </c>
      <c r="BN519" s="24" t="str">
        <f t="shared" si="117"/>
        <v/>
      </c>
      <c r="BO519" s="24">
        <f t="shared" si="118"/>
        <v>0</v>
      </c>
      <c r="BP519" s="24">
        <f t="shared" si="119"/>
        <v>0</v>
      </c>
    </row>
    <row r="520" spans="2:68" s="24" customFormat="1" ht="12.75" x14ac:dyDescent="0.2">
      <c r="B520" s="97"/>
      <c r="C520" s="92"/>
      <c r="D520" s="92"/>
      <c r="E520" s="92"/>
      <c r="F520" s="31" t="str">
        <f>IF(G520=1,IF(ISERROR(TableCosts[[#This Row],[N_Tariff]]),Err_Message1,IF(TableCosts[[#This Row],[N_Tariff]]=0,Err_Message2,VLOOKUP(C520&amp;TableCosts[[#This Row],[Calc_N_Typ]],TRAN_STRITEMS_LABEL,5,FALSE))),"")</f>
        <v/>
      </c>
      <c r="G520" s="31">
        <f t="shared" si="108"/>
        <v>0</v>
      </c>
      <c r="H520" s="31" t="str">
        <f>IF(G520=1,IFERROR(VLOOKUP(F520,Tab_ErrMessage[],2,0),VLOOKUP(C520&amp;TableCosts[[#This Row],[Calc_N_Typ]],TRAN_STRITEMS_LABEL,4,FALSE)),"")</f>
        <v/>
      </c>
      <c r="I520" s="94"/>
      <c r="J520" s="94"/>
      <c r="K520" s="94"/>
      <c r="L520" s="84"/>
      <c r="M520" s="84"/>
      <c r="N520" s="84"/>
      <c r="O520" s="84"/>
      <c r="P520" s="84"/>
      <c r="Q520" s="84"/>
      <c r="R520" s="84"/>
      <c r="S520" s="84"/>
      <c r="T520" s="84"/>
      <c r="U520" s="84"/>
      <c r="V520" s="84"/>
      <c r="W520" s="84"/>
      <c r="X520" s="84"/>
      <c r="Y520" s="84"/>
      <c r="Z520" s="84"/>
      <c r="AA520" s="84"/>
      <c r="AB520" s="84"/>
      <c r="AC520" s="84"/>
      <c r="AD520" s="84"/>
      <c r="AE520" s="84"/>
      <c r="AF520" s="84"/>
      <c r="AG520" s="84"/>
      <c r="AH520" s="84"/>
      <c r="AI520" s="84"/>
      <c r="AJ520" s="84"/>
      <c r="AK520" s="84"/>
      <c r="AL520" s="84"/>
      <c r="AM520" s="84"/>
      <c r="AN520" s="84"/>
      <c r="AO520" s="84"/>
      <c r="AP520" s="84"/>
      <c r="AQ520" s="84"/>
      <c r="AR520" s="84"/>
      <c r="AS520" s="84"/>
      <c r="AT520" s="84"/>
      <c r="AU520" s="84"/>
      <c r="AV520" s="84"/>
      <c r="AW520" s="84"/>
      <c r="AX520" s="87">
        <f t="array" ref="AX520">IF(G520=1,SUM((ROW(M0)=ROW(AW520))*(M0+M1_+M2_+M3_+M4_+M5_+M6_+M7_+M8_+M9_+M10_+M11_+M12_+M13_+M14_+M15_+M16_+M17_+M18_+M19_+M20_+M21_+M22_+M23_+M24_+M25_+M26_+M27_+M28_+M29_+M30_+M31_+M32_+M33_+M34_+M35_+M36_+M37_)),0)</f>
        <v>0</v>
      </c>
      <c r="AZ520" s="24" t="str">
        <f t="shared" si="109"/>
        <v/>
      </c>
      <c r="BA520" s="24" t="str">
        <f t="shared" si="110"/>
        <v/>
      </c>
      <c r="BB520" s="24" t="str">
        <f t="shared" si="111"/>
        <v/>
      </c>
      <c r="BC520" s="24" t="str">
        <f>IF(OR(E520="",LEFT(TableCosts[[#This Row],[Calc_N_Typ]],18)="Vynaložené náklady"),"",VLOOKUP(E520,Tab_Parts,2,0))</f>
        <v/>
      </c>
      <c r="BD520" s="24" t="str">
        <f t="shared" si="112"/>
        <v/>
      </c>
      <c r="BE520" s="24">
        <f t="shared" si="113"/>
        <v>0</v>
      </c>
      <c r="BF520" s="72">
        <f>TableCosts[[#This Row],[N_Amount]]*TableCosts[[#This Row],[N_Tariff]]*TableCosts[[#This Row],[N_ItemsCount]]</f>
        <v>0</v>
      </c>
      <c r="BG520" s="72">
        <f>IF(G520=1,IF(TableCosts[[#This Row],[N_Kateg]]="interné práce",TableCosts[[#This Row],[N_Amount]]*8*PAR_SGA_PERHOUR,0),0)</f>
        <v>0</v>
      </c>
      <c r="BH520" s="72">
        <f>SUM(TableCosts[[#This Row],[N_Direct]:[N_SGA]])</f>
        <v>0</v>
      </c>
      <c r="BI520" s="24">
        <f>IF(G520=1,IF(OR(AND(NOT(ISERROR(VLOOKUP(TableCosts[[#This Row],[Calc_N_Typ]],Cis_WorkPositions,1,0))),C520&lt;&gt;"",D520&lt;&gt;"",E520&lt;&gt;""),AND(ISERROR(VLOOKUP(TableCosts[[#This Row],[Calc_N_Typ]],Cis_WorkPositions,1,0)),C520="",D520="",E520&lt;&gt;""),LEFT(TableCosts[[#This Row],[Calc_N_Typ]],18)="Vynaložené náklady"),VLOOKUP(C520&amp;TableCosts[[#This Row],[Calc_N_Typ]],TRAN_STRITEMS_LABEL,VLOOKUP(D520,Tab_Hours,3,0),0),NA()),0)</f>
        <v>0</v>
      </c>
      <c r="BJ520" s="24">
        <f t="shared" si="114"/>
        <v>0</v>
      </c>
      <c r="BK520" s="24" t="str">
        <f t="shared" si="115"/>
        <v/>
      </c>
      <c r="BL520" s="24" t="str">
        <f t="shared" si="116"/>
        <v/>
      </c>
      <c r="BM520" s="24" t="str">
        <f>IF(G520=1,IF(TableCosts[[#This Row],[TransferFrom]]=TableCosts[[#This Row],[TranferTo]],0,1),"")</f>
        <v/>
      </c>
      <c r="BN520" s="24" t="str">
        <f t="shared" si="117"/>
        <v/>
      </c>
      <c r="BO520" s="24">
        <f t="shared" si="118"/>
        <v>0</v>
      </c>
      <c r="BP520" s="24">
        <f t="shared" si="119"/>
        <v>0</v>
      </c>
    </row>
    <row r="521" spans="2:68" s="24" customFormat="1" ht="12.75" x14ac:dyDescent="0.2">
      <c r="B521" s="97"/>
      <c r="C521" s="92"/>
      <c r="D521" s="92"/>
      <c r="E521" s="92"/>
      <c r="F521" s="31" t="str">
        <f>IF(G521=1,IF(ISERROR(TableCosts[[#This Row],[N_Tariff]]),Err_Message1,IF(TableCosts[[#This Row],[N_Tariff]]=0,Err_Message2,VLOOKUP(C521&amp;TableCosts[[#This Row],[Calc_N_Typ]],TRAN_STRITEMS_LABEL,5,FALSE))),"")</f>
        <v/>
      </c>
      <c r="G521" s="31">
        <f t="shared" si="108"/>
        <v>0</v>
      </c>
      <c r="H521" s="31" t="str">
        <f>IF(G521=1,IFERROR(VLOOKUP(F521,Tab_ErrMessage[],2,0),VLOOKUP(C521&amp;TableCosts[[#This Row],[Calc_N_Typ]],TRAN_STRITEMS_LABEL,4,FALSE)),"")</f>
        <v/>
      </c>
      <c r="I521" s="94"/>
      <c r="J521" s="94"/>
      <c r="K521" s="94"/>
      <c r="L521" s="84"/>
      <c r="M521" s="84"/>
      <c r="N521" s="84"/>
      <c r="O521" s="84"/>
      <c r="P521" s="84"/>
      <c r="Q521" s="84"/>
      <c r="R521" s="84"/>
      <c r="S521" s="84"/>
      <c r="T521" s="84"/>
      <c r="U521" s="84"/>
      <c r="V521" s="84"/>
      <c r="W521" s="84"/>
      <c r="X521" s="84"/>
      <c r="Y521" s="84"/>
      <c r="Z521" s="84"/>
      <c r="AA521" s="84"/>
      <c r="AB521" s="84"/>
      <c r="AC521" s="84"/>
      <c r="AD521" s="84"/>
      <c r="AE521" s="84"/>
      <c r="AF521" s="84"/>
      <c r="AG521" s="84"/>
      <c r="AH521" s="84"/>
      <c r="AI521" s="84"/>
      <c r="AJ521" s="84"/>
      <c r="AK521" s="84"/>
      <c r="AL521" s="84"/>
      <c r="AM521" s="84"/>
      <c r="AN521" s="84"/>
      <c r="AO521" s="84"/>
      <c r="AP521" s="84"/>
      <c r="AQ521" s="84"/>
      <c r="AR521" s="84"/>
      <c r="AS521" s="84"/>
      <c r="AT521" s="84"/>
      <c r="AU521" s="84"/>
      <c r="AV521" s="84"/>
      <c r="AW521" s="84"/>
      <c r="AX521" s="87">
        <f t="array" ref="AX521">IF(G521=1,SUM((ROW(M0)=ROW(AW521))*(M0+M1_+M2_+M3_+M4_+M5_+M6_+M7_+M8_+M9_+M10_+M11_+M12_+M13_+M14_+M15_+M16_+M17_+M18_+M19_+M20_+M21_+M22_+M23_+M24_+M25_+M26_+M27_+M28_+M29_+M30_+M31_+M32_+M33_+M34_+M35_+M36_+M37_)),0)</f>
        <v>0</v>
      </c>
      <c r="AZ521" s="24" t="str">
        <f t="shared" si="109"/>
        <v/>
      </c>
      <c r="BA521" s="24" t="str">
        <f t="shared" si="110"/>
        <v/>
      </c>
      <c r="BB521" s="24" t="str">
        <f t="shared" si="111"/>
        <v/>
      </c>
      <c r="BC521" s="24" t="str">
        <f>IF(OR(E521="",LEFT(TableCosts[[#This Row],[Calc_N_Typ]],18)="Vynaložené náklady"),"",VLOOKUP(E521,Tab_Parts,2,0))</f>
        <v/>
      </c>
      <c r="BD521" s="24" t="str">
        <f t="shared" si="112"/>
        <v/>
      </c>
      <c r="BE521" s="24">
        <f t="shared" si="113"/>
        <v>0</v>
      </c>
      <c r="BF521" s="72">
        <f>TableCosts[[#This Row],[N_Amount]]*TableCosts[[#This Row],[N_Tariff]]*TableCosts[[#This Row],[N_ItemsCount]]</f>
        <v>0</v>
      </c>
      <c r="BG521" s="72">
        <f>IF(G521=1,IF(TableCosts[[#This Row],[N_Kateg]]="interné práce",TableCosts[[#This Row],[N_Amount]]*8*PAR_SGA_PERHOUR,0),0)</f>
        <v>0</v>
      </c>
      <c r="BH521" s="72">
        <f>SUM(TableCosts[[#This Row],[N_Direct]:[N_SGA]])</f>
        <v>0</v>
      </c>
      <c r="BI521" s="24">
        <f>IF(G521=1,IF(OR(AND(NOT(ISERROR(VLOOKUP(TableCosts[[#This Row],[Calc_N_Typ]],Cis_WorkPositions,1,0))),C521&lt;&gt;"",D521&lt;&gt;"",E521&lt;&gt;""),AND(ISERROR(VLOOKUP(TableCosts[[#This Row],[Calc_N_Typ]],Cis_WorkPositions,1,0)),C521="",D521="",E521&lt;&gt;""),LEFT(TableCosts[[#This Row],[Calc_N_Typ]],18)="Vynaložené náklady"),VLOOKUP(C521&amp;TableCosts[[#This Row],[Calc_N_Typ]],TRAN_STRITEMS_LABEL,VLOOKUP(D521,Tab_Hours,3,0),0),NA()),0)</f>
        <v>0</v>
      </c>
      <c r="BJ521" s="24">
        <f t="shared" si="114"/>
        <v>0</v>
      </c>
      <c r="BK521" s="24" t="str">
        <f t="shared" si="115"/>
        <v/>
      </c>
      <c r="BL521" s="24" t="str">
        <f t="shared" si="116"/>
        <v/>
      </c>
      <c r="BM521" s="24" t="str">
        <f>IF(G521=1,IF(TableCosts[[#This Row],[TransferFrom]]=TableCosts[[#This Row],[TranferTo]],0,1),"")</f>
        <v/>
      </c>
      <c r="BN521" s="24" t="str">
        <f t="shared" si="117"/>
        <v/>
      </c>
      <c r="BO521" s="24">
        <f t="shared" si="118"/>
        <v>0</v>
      </c>
      <c r="BP521" s="24">
        <f t="shared" si="119"/>
        <v>0</v>
      </c>
    </row>
    <row r="522" spans="2:68" s="24" customFormat="1" ht="12.75" x14ac:dyDescent="0.2">
      <c r="B522" s="97"/>
      <c r="C522" s="92"/>
      <c r="D522" s="92"/>
      <c r="E522" s="92"/>
      <c r="F522" s="31" t="str">
        <f>IF(G522=1,IF(ISERROR(TableCosts[[#This Row],[N_Tariff]]),Err_Message1,IF(TableCosts[[#This Row],[N_Tariff]]=0,Err_Message2,VLOOKUP(C522&amp;TableCosts[[#This Row],[Calc_N_Typ]],TRAN_STRITEMS_LABEL,5,FALSE))),"")</f>
        <v/>
      </c>
      <c r="G522" s="31">
        <f t="shared" si="108"/>
        <v>0</v>
      </c>
      <c r="H522" s="31" t="str">
        <f>IF(G522=1,IFERROR(VLOOKUP(F522,Tab_ErrMessage[],2,0),VLOOKUP(C522&amp;TableCosts[[#This Row],[Calc_N_Typ]],TRAN_STRITEMS_LABEL,4,FALSE)),"")</f>
        <v/>
      </c>
      <c r="I522" s="94"/>
      <c r="J522" s="94"/>
      <c r="K522" s="94"/>
      <c r="L522" s="84"/>
      <c r="M522" s="84"/>
      <c r="N522" s="84"/>
      <c r="O522" s="84"/>
      <c r="P522" s="84"/>
      <c r="Q522" s="84"/>
      <c r="R522" s="84"/>
      <c r="S522" s="84"/>
      <c r="T522" s="84"/>
      <c r="U522" s="84"/>
      <c r="V522" s="84"/>
      <c r="W522" s="84"/>
      <c r="X522" s="84"/>
      <c r="Y522" s="84"/>
      <c r="Z522" s="84"/>
      <c r="AA522" s="84"/>
      <c r="AB522" s="84"/>
      <c r="AC522" s="84"/>
      <c r="AD522" s="84"/>
      <c r="AE522" s="84"/>
      <c r="AF522" s="84"/>
      <c r="AG522" s="84"/>
      <c r="AH522" s="84"/>
      <c r="AI522" s="84"/>
      <c r="AJ522" s="84"/>
      <c r="AK522" s="84"/>
      <c r="AL522" s="84"/>
      <c r="AM522" s="84"/>
      <c r="AN522" s="84"/>
      <c r="AO522" s="84"/>
      <c r="AP522" s="84"/>
      <c r="AQ522" s="84"/>
      <c r="AR522" s="84"/>
      <c r="AS522" s="84"/>
      <c r="AT522" s="84"/>
      <c r="AU522" s="84"/>
      <c r="AV522" s="84"/>
      <c r="AW522" s="84"/>
      <c r="AX522" s="87">
        <f t="array" ref="AX522">IF(G522=1,SUM((ROW(M0)=ROW(AW522))*(M0+M1_+M2_+M3_+M4_+M5_+M6_+M7_+M8_+M9_+M10_+M11_+M12_+M13_+M14_+M15_+M16_+M17_+M18_+M19_+M20_+M21_+M22_+M23_+M24_+M25_+M26_+M27_+M28_+M29_+M30_+M31_+M32_+M33_+M34_+M35_+M36_+M37_)),0)</f>
        <v>0</v>
      </c>
      <c r="AZ522" s="24" t="str">
        <f t="shared" si="109"/>
        <v/>
      </c>
      <c r="BA522" s="24" t="str">
        <f t="shared" si="110"/>
        <v/>
      </c>
      <c r="BB522" s="24" t="str">
        <f t="shared" si="111"/>
        <v/>
      </c>
      <c r="BC522" s="24" t="str">
        <f>IF(OR(E522="",LEFT(TableCosts[[#This Row],[Calc_N_Typ]],18)="Vynaložené náklady"),"",VLOOKUP(E522,Tab_Parts,2,0))</f>
        <v/>
      </c>
      <c r="BD522" s="24" t="str">
        <f t="shared" si="112"/>
        <v/>
      </c>
      <c r="BE522" s="24">
        <f t="shared" si="113"/>
        <v>0</v>
      </c>
      <c r="BF522" s="72">
        <f>TableCosts[[#This Row],[N_Amount]]*TableCosts[[#This Row],[N_Tariff]]*TableCosts[[#This Row],[N_ItemsCount]]</f>
        <v>0</v>
      </c>
      <c r="BG522" s="72">
        <f>IF(G522=1,IF(TableCosts[[#This Row],[N_Kateg]]="interné práce",TableCosts[[#This Row],[N_Amount]]*8*PAR_SGA_PERHOUR,0),0)</f>
        <v>0</v>
      </c>
      <c r="BH522" s="72">
        <f>SUM(TableCosts[[#This Row],[N_Direct]:[N_SGA]])</f>
        <v>0</v>
      </c>
      <c r="BI522" s="24">
        <f>IF(G522=1,IF(OR(AND(NOT(ISERROR(VLOOKUP(TableCosts[[#This Row],[Calc_N_Typ]],Cis_WorkPositions,1,0))),C522&lt;&gt;"",D522&lt;&gt;"",E522&lt;&gt;""),AND(ISERROR(VLOOKUP(TableCosts[[#This Row],[Calc_N_Typ]],Cis_WorkPositions,1,0)),C522="",D522="",E522&lt;&gt;""),LEFT(TableCosts[[#This Row],[Calc_N_Typ]],18)="Vynaložené náklady"),VLOOKUP(C522&amp;TableCosts[[#This Row],[Calc_N_Typ]],TRAN_STRITEMS_LABEL,VLOOKUP(D522,Tab_Hours,3,0),0),NA()),0)</f>
        <v>0</v>
      </c>
      <c r="BJ522" s="24">
        <f t="shared" si="114"/>
        <v>0</v>
      </c>
      <c r="BK522" s="24" t="str">
        <f t="shared" si="115"/>
        <v/>
      </c>
      <c r="BL522" s="24" t="str">
        <f t="shared" si="116"/>
        <v/>
      </c>
      <c r="BM522" s="24" t="str">
        <f>IF(G522=1,IF(TableCosts[[#This Row],[TransferFrom]]=TableCosts[[#This Row],[TranferTo]],0,1),"")</f>
        <v/>
      </c>
      <c r="BN522" s="24" t="str">
        <f t="shared" si="117"/>
        <v/>
      </c>
      <c r="BO522" s="24">
        <f t="shared" si="118"/>
        <v>0</v>
      </c>
      <c r="BP522" s="24">
        <f t="shared" si="119"/>
        <v>0</v>
      </c>
    </row>
    <row r="523" spans="2:68" s="24" customFormat="1" ht="12.75" x14ac:dyDescent="0.2">
      <c r="B523" s="97"/>
      <c r="C523" s="92"/>
      <c r="D523" s="92"/>
      <c r="E523" s="92"/>
      <c r="F523" s="31" t="str">
        <f>IF(G523=1,IF(ISERROR(TableCosts[[#This Row],[N_Tariff]]),Err_Message1,IF(TableCosts[[#This Row],[N_Tariff]]=0,Err_Message2,VLOOKUP(C523&amp;TableCosts[[#This Row],[Calc_N_Typ]],TRAN_STRITEMS_LABEL,5,FALSE))),"")</f>
        <v/>
      </c>
      <c r="G523" s="31">
        <f t="shared" si="108"/>
        <v>0</v>
      </c>
      <c r="H523" s="31" t="str">
        <f>IF(G523=1,IFERROR(VLOOKUP(F523,Tab_ErrMessage[],2,0),VLOOKUP(C523&amp;TableCosts[[#This Row],[Calc_N_Typ]],TRAN_STRITEMS_LABEL,4,FALSE)),"")</f>
        <v/>
      </c>
      <c r="I523" s="94"/>
      <c r="J523" s="94"/>
      <c r="K523" s="94"/>
      <c r="L523" s="84"/>
      <c r="M523" s="84"/>
      <c r="N523" s="84"/>
      <c r="O523" s="84"/>
      <c r="P523" s="84"/>
      <c r="Q523" s="84"/>
      <c r="R523" s="84"/>
      <c r="S523" s="84"/>
      <c r="T523" s="84"/>
      <c r="U523" s="84"/>
      <c r="V523" s="84"/>
      <c r="W523" s="84"/>
      <c r="X523" s="84"/>
      <c r="Y523" s="84"/>
      <c r="Z523" s="84"/>
      <c r="AA523" s="84"/>
      <c r="AB523" s="84"/>
      <c r="AC523" s="84"/>
      <c r="AD523" s="84"/>
      <c r="AE523" s="84"/>
      <c r="AF523" s="84"/>
      <c r="AG523" s="84"/>
      <c r="AH523" s="84"/>
      <c r="AI523" s="84"/>
      <c r="AJ523" s="84"/>
      <c r="AK523" s="84"/>
      <c r="AL523" s="84"/>
      <c r="AM523" s="84"/>
      <c r="AN523" s="84"/>
      <c r="AO523" s="84"/>
      <c r="AP523" s="84"/>
      <c r="AQ523" s="84"/>
      <c r="AR523" s="84"/>
      <c r="AS523" s="84"/>
      <c r="AT523" s="84"/>
      <c r="AU523" s="84"/>
      <c r="AV523" s="84"/>
      <c r="AW523" s="84"/>
      <c r="AX523" s="87">
        <f t="array" ref="AX523">IF(G523=1,SUM((ROW(M0)=ROW(AW523))*(M0+M1_+M2_+M3_+M4_+M5_+M6_+M7_+M8_+M9_+M10_+M11_+M12_+M13_+M14_+M15_+M16_+M17_+M18_+M19_+M20_+M21_+M22_+M23_+M24_+M25_+M26_+M27_+M28_+M29_+M30_+M31_+M32_+M33_+M34_+M35_+M36_+M37_)),0)</f>
        <v>0</v>
      </c>
      <c r="AZ523" s="24" t="str">
        <f t="shared" si="109"/>
        <v/>
      </c>
      <c r="BA523" s="24" t="str">
        <f t="shared" si="110"/>
        <v/>
      </c>
      <c r="BB523" s="24" t="str">
        <f t="shared" si="111"/>
        <v/>
      </c>
      <c r="BC523" s="24" t="str">
        <f>IF(OR(E523="",LEFT(TableCosts[[#This Row],[Calc_N_Typ]],18)="Vynaložené náklady"),"",VLOOKUP(E523,Tab_Parts,2,0))</f>
        <v/>
      </c>
      <c r="BD523" s="24" t="str">
        <f t="shared" si="112"/>
        <v/>
      </c>
      <c r="BE523" s="24">
        <f t="shared" si="113"/>
        <v>0</v>
      </c>
      <c r="BF523" s="72">
        <f>TableCosts[[#This Row],[N_Amount]]*TableCosts[[#This Row],[N_Tariff]]*TableCosts[[#This Row],[N_ItemsCount]]</f>
        <v>0</v>
      </c>
      <c r="BG523" s="72">
        <f>IF(G523=1,IF(TableCosts[[#This Row],[N_Kateg]]="interné práce",TableCosts[[#This Row],[N_Amount]]*8*PAR_SGA_PERHOUR,0),0)</f>
        <v>0</v>
      </c>
      <c r="BH523" s="72">
        <f>SUM(TableCosts[[#This Row],[N_Direct]:[N_SGA]])</f>
        <v>0</v>
      </c>
      <c r="BI523" s="24">
        <f>IF(G523=1,IF(OR(AND(NOT(ISERROR(VLOOKUP(TableCosts[[#This Row],[Calc_N_Typ]],Cis_WorkPositions,1,0))),C523&lt;&gt;"",D523&lt;&gt;"",E523&lt;&gt;""),AND(ISERROR(VLOOKUP(TableCosts[[#This Row],[Calc_N_Typ]],Cis_WorkPositions,1,0)),C523="",D523="",E523&lt;&gt;""),LEFT(TableCosts[[#This Row],[Calc_N_Typ]],18)="Vynaložené náklady"),VLOOKUP(C523&amp;TableCosts[[#This Row],[Calc_N_Typ]],TRAN_STRITEMS_LABEL,VLOOKUP(D523,Tab_Hours,3,0),0),NA()),0)</f>
        <v>0</v>
      </c>
      <c r="BJ523" s="24">
        <f t="shared" si="114"/>
        <v>0</v>
      </c>
      <c r="BK523" s="24" t="str">
        <f t="shared" si="115"/>
        <v/>
      </c>
      <c r="BL523" s="24" t="str">
        <f t="shared" si="116"/>
        <v/>
      </c>
      <c r="BM523" s="24" t="str">
        <f>IF(G523=1,IF(TableCosts[[#This Row],[TransferFrom]]=TableCosts[[#This Row],[TranferTo]],0,1),"")</f>
        <v/>
      </c>
      <c r="BN523" s="24" t="str">
        <f t="shared" si="117"/>
        <v/>
      </c>
      <c r="BO523" s="24">
        <f t="shared" si="118"/>
        <v>0</v>
      </c>
      <c r="BP523" s="24">
        <f t="shared" si="119"/>
        <v>0</v>
      </c>
    </row>
    <row r="524" spans="2:68" s="24" customFormat="1" ht="12.75" x14ac:dyDescent="0.2">
      <c r="B524" s="97"/>
      <c r="C524" s="92"/>
      <c r="D524" s="92"/>
      <c r="E524" s="92"/>
      <c r="F524" s="31" t="str">
        <f>IF(G524=1,IF(ISERROR(TableCosts[[#This Row],[N_Tariff]]),Err_Message1,IF(TableCosts[[#This Row],[N_Tariff]]=0,Err_Message2,VLOOKUP(C524&amp;TableCosts[[#This Row],[Calc_N_Typ]],TRAN_STRITEMS_LABEL,5,FALSE))),"")</f>
        <v/>
      </c>
      <c r="G524" s="31">
        <f t="shared" ref="G524:G587" si="120">IF(B524="",0,IF(LEFT(B524,3)="***",-1,1))</f>
        <v>0</v>
      </c>
      <c r="H524" s="31" t="str">
        <f>IF(G524=1,IFERROR(VLOOKUP(F524,Tab_ErrMessage[],2,0),VLOOKUP(C524&amp;TableCosts[[#This Row],[Calc_N_Typ]],TRAN_STRITEMS_LABEL,4,FALSE)),"")</f>
        <v/>
      </c>
      <c r="I524" s="94"/>
      <c r="J524" s="94"/>
      <c r="K524" s="94"/>
      <c r="L524" s="84"/>
      <c r="M524" s="84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  <c r="Y524" s="84"/>
      <c r="Z524" s="84"/>
      <c r="AA524" s="84"/>
      <c r="AB524" s="84"/>
      <c r="AC524" s="84"/>
      <c r="AD524" s="84"/>
      <c r="AE524" s="84"/>
      <c r="AF524" s="84"/>
      <c r="AG524" s="84"/>
      <c r="AH524" s="84"/>
      <c r="AI524" s="84"/>
      <c r="AJ524" s="84"/>
      <c r="AK524" s="84"/>
      <c r="AL524" s="84"/>
      <c r="AM524" s="84"/>
      <c r="AN524" s="84"/>
      <c r="AO524" s="84"/>
      <c r="AP524" s="84"/>
      <c r="AQ524" s="84"/>
      <c r="AR524" s="84"/>
      <c r="AS524" s="84"/>
      <c r="AT524" s="84"/>
      <c r="AU524" s="84"/>
      <c r="AV524" s="84"/>
      <c r="AW524" s="84"/>
      <c r="AX524" s="87">
        <f t="array" ref="AX524">IF(G524=1,SUM((ROW(M0)=ROW(AW524))*(M0+M1_+M2_+M3_+M4_+M5_+M6_+M7_+M8_+M9_+M10_+M11_+M12_+M13_+M14_+M15_+M16_+M17_+M18_+M19_+M20_+M21_+M22_+M23_+M24_+M25_+M26_+M27_+M28_+M29_+M30_+M31_+M32_+M33_+M34_+M35_+M36_+M37_)),0)</f>
        <v>0</v>
      </c>
      <c r="AZ524" s="24" t="str">
        <f t="shared" ref="AZ524:AZ587" si="121">IF(G524=1,B524,"")</f>
        <v/>
      </c>
      <c r="BA524" s="24" t="str">
        <f t="shared" ref="BA524:BA587" si="122">IF(G524=1,C524,"")</f>
        <v/>
      </c>
      <c r="BB524" s="24" t="str">
        <f t="shared" ref="BB524:BB587" si="123">IF(G524=1,F524,"")</f>
        <v/>
      </c>
      <c r="BC524" s="24" t="str">
        <f>IF(OR(E524="",LEFT(TableCosts[[#This Row],[Calc_N_Typ]],18)="Vynaložené náklady"),"",VLOOKUP(E524,Tab_Parts,2,0))</f>
        <v/>
      </c>
      <c r="BD524" s="24" t="str">
        <f t="shared" ref="BD524:BD587" si="124">IF(G524=1,H524,"")</f>
        <v/>
      </c>
      <c r="BE524" s="24">
        <f t="shared" ref="BE524:BE587" si="125">IF(G524=1,AX524,0)</f>
        <v>0</v>
      </c>
      <c r="BF524" s="72">
        <f>TableCosts[[#This Row],[N_Amount]]*TableCosts[[#This Row],[N_Tariff]]*TableCosts[[#This Row],[N_ItemsCount]]</f>
        <v>0</v>
      </c>
      <c r="BG524" s="72">
        <f>IF(G524=1,IF(TableCosts[[#This Row],[N_Kateg]]="interné práce",TableCosts[[#This Row],[N_Amount]]*8*PAR_SGA_PERHOUR,0),0)</f>
        <v>0</v>
      </c>
      <c r="BH524" s="72">
        <f>SUM(TableCosts[[#This Row],[N_Direct]:[N_SGA]])</f>
        <v>0</v>
      </c>
      <c r="BI524" s="24">
        <f>IF(G524=1,IF(OR(AND(NOT(ISERROR(VLOOKUP(TableCosts[[#This Row],[Calc_N_Typ]],Cis_WorkPositions,1,0))),C524&lt;&gt;"",D524&lt;&gt;"",E524&lt;&gt;""),AND(ISERROR(VLOOKUP(TableCosts[[#This Row],[Calc_N_Typ]],Cis_WorkPositions,1,0)),C524="",D524="",E524&lt;&gt;""),LEFT(TableCosts[[#This Row],[Calc_N_Typ]],18)="Vynaložené náklady"),VLOOKUP(C524&amp;TableCosts[[#This Row],[Calc_N_Typ]],TRAN_STRITEMS_LABEL,VLOOKUP(D524,Tab_Hours,3,0),0),NA()),0)</f>
        <v>0</v>
      </c>
      <c r="BJ524" s="24">
        <f t="shared" ref="BJ524:BJ587" si="126">IF(G524=1,IF(H524="čld.",VLOOKUP(D524,Tab_Hours,4,0),1),0)</f>
        <v>0</v>
      </c>
      <c r="BK524" s="24" t="str">
        <f t="shared" ref="BK524:BK587" si="127">IF(G524=1,IFERROR(VLOOKUP(B524,IpsLicences,2,0),IF(C524="",Par_Center,C524)),"")</f>
        <v/>
      </c>
      <c r="BL524" s="24" t="str">
        <f t="shared" ref="BL524:BL587" si="128">IF(G524=1,Par_Center,"")</f>
        <v/>
      </c>
      <c r="BM524" s="24" t="str">
        <f>IF(G524=1,IF(TableCosts[[#This Row],[TransferFrom]]=TableCosts[[#This Row],[TranferTo]],0,1),"")</f>
        <v/>
      </c>
      <c r="BN524" s="24" t="str">
        <f t="shared" ref="BN524:BN587" si="129">IF(G524=1,IF(E524="ACQ","akvizícia","realizácia"),"")</f>
        <v/>
      </c>
      <c r="BO524" s="24">
        <f t="shared" ref="BO524:BO587" si="130">IF(RIGHT(B524,LEN(Par_LabelTravelTime))=Par_LabelTravelTime,LEFT(B524,LEN(B524)-LEN(Par_LabelTravelTime)),B524)</f>
        <v>0</v>
      </c>
      <c r="BP524" s="24">
        <f t="shared" ref="BP524:BP587" si="131">IF(RIGHT(B524,LEN(Par_LabelTravelTime))=Par_LabelTravelTime,1,0)</f>
        <v>0</v>
      </c>
    </row>
    <row r="525" spans="2:68" s="24" customFormat="1" ht="12.75" x14ac:dyDescent="0.2">
      <c r="B525" s="97"/>
      <c r="C525" s="92"/>
      <c r="D525" s="92"/>
      <c r="E525" s="92"/>
      <c r="F525" s="31" t="str">
        <f>IF(G525=1,IF(ISERROR(TableCosts[[#This Row],[N_Tariff]]),Err_Message1,IF(TableCosts[[#This Row],[N_Tariff]]=0,Err_Message2,VLOOKUP(C525&amp;TableCosts[[#This Row],[Calc_N_Typ]],TRAN_STRITEMS_LABEL,5,FALSE))),"")</f>
        <v/>
      </c>
      <c r="G525" s="31">
        <f t="shared" si="120"/>
        <v>0</v>
      </c>
      <c r="H525" s="31" t="str">
        <f>IF(G525=1,IFERROR(VLOOKUP(F525,Tab_ErrMessage[],2,0),VLOOKUP(C525&amp;TableCosts[[#This Row],[Calc_N_Typ]],TRAN_STRITEMS_LABEL,4,FALSE)),"")</f>
        <v/>
      </c>
      <c r="I525" s="94"/>
      <c r="J525" s="94"/>
      <c r="K525" s="94"/>
      <c r="L525" s="84"/>
      <c r="M525" s="84"/>
      <c r="N525" s="84"/>
      <c r="O525" s="84"/>
      <c r="P525" s="84"/>
      <c r="Q525" s="84"/>
      <c r="R525" s="84"/>
      <c r="S525" s="84"/>
      <c r="T525" s="84"/>
      <c r="U525" s="84"/>
      <c r="V525" s="84"/>
      <c r="W525" s="84"/>
      <c r="X525" s="84"/>
      <c r="Y525" s="84"/>
      <c r="Z525" s="84"/>
      <c r="AA525" s="84"/>
      <c r="AB525" s="84"/>
      <c r="AC525" s="84"/>
      <c r="AD525" s="84"/>
      <c r="AE525" s="84"/>
      <c r="AF525" s="84"/>
      <c r="AG525" s="84"/>
      <c r="AH525" s="84"/>
      <c r="AI525" s="84"/>
      <c r="AJ525" s="84"/>
      <c r="AK525" s="84"/>
      <c r="AL525" s="84"/>
      <c r="AM525" s="84"/>
      <c r="AN525" s="84"/>
      <c r="AO525" s="84"/>
      <c r="AP525" s="84"/>
      <c r="AQ525" s="84"/>
      <c r="AR525" s="84"/>
      <c r="AS525" s="84"/>
      <c r="AT525" s="84"/>
      <c r="AU525" s="84"/>
      <c r="AV525" s="84"/>
      <c r="AW525" s="84"/>
      <c r="AX525" s="87">
        <f t="array" ref="AX525">IF(G525=1,SUM((ROW(M0)=ROW(AW525))*(M0+M1_+M2_+M3_+M4_+M5_+M6_+M7_+M8_+M9_+M10_+M11_+M12_+M13_+M14_+M15_+M16_+M17_+M18_+M19_+M20_+M21_+M22_+M23_+M24_+M25_+M26_+M27_+M28_+M29_+M30_+M31_+M32_+M33_+M34_+M35_+M36_+M37_)),0)</f>
        <v>0</v>
      </c>
      <c r="AZ525" s="24" t="str">
        <f t="shared" si="121"/>
        <v/>
      </c>
      <c r="BA525" s="24" t="str">
        <f t="shared" si="122"/>
        <v/>
      </c>
      <c r="BB525" s="24" t="str">
        <f t="shared" si="123"/>
        <v/>
      </c>
      <c r="BC525" s="24" t="str">
        <f>IF(OR(E525="",LEFT(TableCosts[[#This Row],[Calc_N_Typ]],18)="Vynaložené náklady"),"",VLOOKUP(E525,Tab_Parts,2,0))</f>
        <v/>
      </c>
      <c r="BD525" s="24" t="str">
        <f t="shared" si="124"/>
        <v/>
      </c>
      <c r="BE525" s="24">
        <f t="shared" si="125"/>
        <v>0</v>
      </c>
      <c r="BF525" s="72">
        <f>TableCosts[[#This Row],[N_Amount]]*TableCosts[[#This Row],[N_Tariff]]*TableCosts[[#This Row],[N_ItemsCount]]</f>
        <v>0</v>
      </c>
      <c r="BG525" s="72">
        <f>IF(G525=1,IF(TableCosts[[#This Row],[N_Kateg]]="interné práce",TableCosts[[#This Row],[N_Amount]]*8*PAR_SGA_PERHOUR,0),0)</f>
        <v>0</v>
      </c>
      <c r="BH525" s="72">
        <f>SUM(TableCosts[[#This Row],[N_Direct]:[N_SGA]])</f>
        <v>0</v>
      </c>
      <c r="BI525" s="24">
        <f>IF(G525=1,IF(OR(AND(NOT(ISERROR(VLOOKUP(TableCosts[[#This Row],[Calc_N_Typ]],Cis_WorkPositions,1,0))),C525&lt;&gt;"",D525&lt;&gt;"",E525&lt;&gt;""),AND(ISERROR(VLOOKUP(TableCosts[[#This Row],[Calc_N_Typ]],Cis_WorkPositions,1,0)),C525="",D525="",E525&lt;&gt;""),LEFT(TableCosts[[#This Row],[Calc_N_Typ]],18)="Vynaložené náklady"),VLOOKUP(C525&amp;TableCosts[[#This Row],[Calc_N_Typ]],TRAN_STRITEMS_LABEL,VLOOKUP(D525,Tab_Hours,3,0),0),NA()),0)</f>
        <v>0</v>
      </c>
      <c r="BJ525" s="24">
        <f t="shared" si="126"/>
        <v>0</v>
      </c>
      <c r="BK525" s="24" t="str">
        <f t="shared" si="127"/>
        <v/>
      </c>
      <c r="BL525" s="24" t="str">
        <f t="shared" si="128"/>
        <v/>
      </c>
      <c r="BM525" s="24" t="str">
        <f>IF(G525=1,IF(TableCosts[[#This Row],[TransferFrom]]=TableCosts[[#This Row],[TranferTo]],0,1),"")</f>
        <v/>
      </c>
      <c r="BN525" s="24" t="str">
        <f t="shared" si="129"/>
        <v/>
      </c>
      <c r="BO525" s="24">
        <f t="shared" si="130"/>
        <v>0</v>
      </c>
      <c r="BP525" s="24">
        <f t="shared" si="131"/>
        <v>0</v>
      </c>
    </row>
    <row r="526" spans="2:68" s="24" customFormat="1" ht="12.75" x14ac:dyDescent="0.2">
      <c r="B526" s="97"/>
      <c r="C526" s="92"/>
      <c r="D526" s="92"/>
      <c r="E526" s="92"/>
      <c r="F526" s="31" t="str">
        <f>IF(G526=1,IF(ISERROR(TableCosts[[#This Row],[N_Tariff]]),Err_Message1,IF(TableCosts[[#This Row],[N_Tariff]]=0,Err_Message2,VLOOKUP(C526&amp;TableCosts[[#This Row],[Calc_N_Typ]],TRAN_STRITEMS_LABEL,5,FALSE))),"")</f>
        <v/>
      </c>
      <c r="G526" s="31">
        <f t="shared" si="120"/>
        <v>0</v>
      </c>
      <c r="H526" s="31" t="str">
        <f>IF(G526=1,IFERROR(VLOOKUP(F526,Tab_ErrMessage[],2,0),VLOOKUP(C526&amp;TableCosts[[#This Row],[Calc_N_Typ]],TRAN_STRITEMS_LABEL,4,FALSE)),"")</f>
        <v/>
      </c>
      <c r="I526" s="94"/>
      <c r="J526" s="94"/>
      <c r="K526" s="94"/>
      <c r="L526" s="84"/>
      <c r="M526" s="84"/>
      <c r="N526" s="84"/>
      <c r="O526" s="84"/>
      <c r="P526" s="84"/>
      <c r="Q526" s="84"/>
      <c r="R526" s="84"/>
      <c r="S526" s="84"/>
      <c r="T526" s="84"/>
      <c r="U526" s="84"/>
      <c r="V526" s="84"/>
      <c r="W526" s="84"/>
      <c r="X526" s="84"/>
      <c r="Y526" s="84"/>
      <c r="Z526" s="84"/>
      <c r="AA526" s="84"/>
      <c r="AB526" s="84"/>
      <c r="AC526" s="84"/>
      <c r="AD526" s="84"/>
      <c r="AE526" s="84"/>
      <c r="AF526" s="84"/>
      <c r="AG526" s="84"/>
      <c r="AH526" s="84"/>
      <c r="AI526" s="84"/>
      <c r="AJ526" s="84"/>
      <c r="AK526" s="84"/>
      <c r="AL526" s="84"/>
      <c r="AM526" s="84"/>
      <c r="AN526" s="84"/>
      <c r="AO526" s="84"/>
      <c r="AP526" s="84"/>
      <c r="AQ526" s="84"/>
      <c r="AR526" s="84"/>
      <c r="AS526" s="84"/>
      <c r="AT526" s="84"/>
      <c r="AU526" s="84"/>
      <c r="AV526" s="84"/>
      <c r="AW526" s="84"/>
      <c r="AX526" s="87">
        <f t="array" ref="AX526">IF(G526=1,SUM((ROW(M0)=ROW(AW526))*(M0+M1_+M2_+M3_+M4_+M5_+M6_+M7_+M8_+M9_+M10_+M11_+M12_+M13_+M14_+M15_+M16_+M17_+M18_+M19_+M20_+M21_+M22_+M23_+M24_+M25_+M26_+M27_+M28_+M29_+M30_+M31_+M32_+M33_+M34_+M35_+M36_+M37_)),0)</f>
        <v>0</v>
      </c>
      <c r="AZ526" s="24" t="str">
        <f t="shared" si="121"/>
        <v/>
      </c>
      <c r="BA526" s="24" t="str">
        <f t="shared" si="122"/>
        <v/>
      </c>
      <c r="BB526" s="24" t="str">
        <f t="shared" si="123"/>
        <v/>
      </c>
      <c r="BC526" s="24" t="str">
        <f>IF(OR(E526="",LEFT(TableCosts[[#This Row],[Calc_N_Typ]],18)="Vynaložené náklady"),"",VLOOKUP(E526,Tab_Parts,2,0))</f>
        <v/>
      </c>
      <c r="BD526" s="24" t="str">
        <f t="shared" si="124"/>
        <v/>
      </c>
      <c r="BE526" s="24">
        <f t="shared" si="125"/>
        <v>0</v>
      </c>
      <c r="BF526" s="72">
        <f>TableCosts[[#This Row],[N_Amount]]*TableCosts[[#This Row],[N_Tariff]]*TableCosts[[#This Row],[N_ItemsCount]]</f>
        <v>0</v>
      </c>
      <c r="BG526" s="72">
        <f>IF(G526=1,IF(TableCosts[[#This Row],[N_Kateg]]="interné práce",TableCosts[[#This Row],[N_Amount]]*8*PAR_SGA_PERHOUR,0),0)</f>
        <v>0</v>
      </c>
      <c r="BH526" s="72">
        <f>SUM(TableCosts[[#This Row],[N_Direct]:[N_SGA]])</f>
        <v>0</v>
      </c>
      <c r="BI526" s="24">
        <f>IF(G526=1,IF(OR(AND(NOT(ISERROR(VLOOKUP(TableCosts[[#This Row],[Calc_N_Typ]],Cis_WorkPositions,1,0))),C526&lt;&gt;"",D526&lt;&gt;"",E526&lt;&gt;""),AND(ISERROR(VLOOKUP(TableCosts[[#This Row],[Calc_N_Typ]],Cis_WorkPositions,1,0)),C526="",D526="",E526&lt;&gt;""),LEFT(TableCosts[[#This Row],[Calc_N_Typ]],18)="Vynaložené náklady"),VLOOKUP(C526&amp;TableCosts[[#This Row],[Calc_N_Typ]],TRAN_STRITEMS_LABEL,VLOOKUP(D526,Tab_Hours,3,0),0),NA()),0)</f>
        <v>0</v>
      </c>
      <c r="BJ526" s="24">
        <f t="shared" si="126"/>
        <v>0</v>
      </c>
      <c r="BK526" s="24" t="str">
        <f t="shared" si="127"/>
        <v/>
      </c>
      <c r="BL526" s="24" t="str">
        <f t="shared" si="128"/>
        <v/>
      </c>
      <c r="BM526" s="24" t="str">
        <f>IF(G526=1,IF(TableCosts[[#This Row],[TransferFrom]]=TableCosts[[#This Row],[TranferTo]],0,1),"")</f>
        <v/>
      </c>
      <c r="BN526" s="24" t="str">
        <f t="shared" si="129"/>
        <v/>
      </c>
      <c r="BO526" s="24">
        <f t="shared" si="130"/>
        <v>0</v>
      </c>
      <c r="BP526" s="24">
        <f t="shared" si="131"/>
        <v>0</v>
      </c>
    </row>
    <row r="527" spans="2:68" s="24" customFormat="1" ht="12.75" x14ac:dyDescent="0.2">
      <c r="B527" s="97"/>
      <c r="C527" s="92"/>
      <c r="D527" s="92"/>
      <c r="E527" s="92"/>
      <c r="F527" s="31" t="str">
        <f>IF(G527=1,IF(ISERROR(TableCosts[[#This Row],[N_Tariff]]),Err_Message1,IF(TableCosts[[#This Row],[N_Tariff]]=0,Err_Message2,VLOOKUP(C527&amp;TableCosts[[#This Row],[Calc_N_Typ]],TRAN_STRITEMS_LABEL,5,FALSE))),"")</f>
        <v/>
      </c>
      <c r="G527" s="31">
        <f t="shared" si="120"/>
        <v>0</v>
      </c>
      <c r="H527" s="31" t="str">
        <f>IF(G527=1,IFERROR(VLOOKUP(F527,Tab_ErrMessage[],2,0),VLOOKUP(C527&amp;TableCosts[[#This Row],[Calc_N_Typ]],TRAN_STRITEMS_LABEL,4,FALSE)),"")</f>
        <v/>
      </c>
      <c r="I527" s="94"/>
      <c r="J527" s="94"/>
      <c r="K527" s="94"/>
      <c r="L527" s="84"/>
      <c r="M527" s="84"/>
      <c r="N527" s="84"/>
      <c r="O527" s="84"/>
      <c r="P527" s="84"/>
      <c r="Q527" s="84"/>
      <c r="R527" s="84"/>
      <c r="S527" s="84"/>
      <c r="T527" s="84"/>
      <c r="U527" s="84"/>
      <c r="V527" s="84"/>
      <c r="W527" s="84"/>
      <c r="X527" s="84"/>
      <c r="Y527" s="84"/>
      <c r="Z527" s="84"/>
      <c r="AA527" s="84"/>
      <c r="AB527" s="84"/>
      <c r="AC527" s="84"/>
      <c r="AD527" s="84"/>
      <c r="AE527" s="84"/>
      <c r="AF527" s="84"/>
      <c r="AG527" s="84"/>
      <c r="AH527" s="84"/>
      <c r="AI527" s="84"/>
      <c r="AJ527" s="84"/>
      <c r="AK527" s="84"/>
      <c r="AL527" s="84"/>
      <c r="AM527" s="84"/>
      <c r="AN527" s="84"/>
      <c r="AO527" s="84"/>
      <c r="AP527" s="84"/>
      <c r="AQ527" s="84"/>
      <c r="AR527" s="84"/>
      <c r="AS527" s="84"/>
      <c r="AT527" s="84"/>
      <c r="AU527" s="84"/>
      <c r="AV527" s="84"/>
      <c r="AW527" s="84"/>
      <c r="AX527" s="87">
        <f t="array" ref="AX527">IF(G527=1,SUM((ROW(M0)=ROW(AW527))*(M0+M1_+M2_+M3_+M4_+M5_+M6_+M7_+M8_+M9_+M10_+M11_+M12_+M13_+M14_+M15_+M16_+M17_+M18_+M19_+M20_+M21_+M22_+M23_+M24_+M25_+M26_+M27_+M28_+M29_+M30_+M31_+M32_+M33_+M34_+M35_+M36_+M37_)),0)</f>
        <v>0</v>
      </c>
      <c r="AZ527" s="24" t="str">
        <f t="shared" si="121"/>
        <v/>
      </c>
      <c r="BA527" s="24" t="str">
        <f t="shared" si="122"/>
        <v/>
      </c>
      <c r="BB527" s="24" t="str">
        <f t="shared" si="123"/>
        <v/>
      </c>
      <c r="BC527" s="24" t="str">
        <f>IF(OR(E527="",LEFT(TableCosts[[#This Row],[Calc_N_Typ]],18)="Vynaložené náklady"),"",VLOOKUP(E527,Tab_Parts,2,0))</f>
        <v/>
      </c>
      <c r="BD527" s="24" t="str">
        <f t="shared" si="124"/>
        <v/>
      </c>
      <c r="BE527" s="24">
        <f t="shared" si="125"/>
        <v>0</v>
      </c>
      <c r="BF527" s="72">
        <f>TableCosts[[#This Row],[N_Amount]]*TableCosts[[#This Row],[N_Tariff]]*TableCosts[[#This Row],[N_ItemsCount]]</f>
        <v>0</v>
      </c>
      <c r="BG527" s="72">
        <f>IF(G527=1,IF(TableCosts[[#This Row],[N_Kateg]]="interné práce",TableCosts[[#This Row],[N_Amount]]*8*PAR_SGA_PERHOUR,0),0)</f>
        <v>0</v>
      </c>
      <c r="BH527" s="72">
        <f>SUM(TableCosts[[#This Row],[N_Direct]:[N_SGA]])</f>
        <v>0</v>
      </c>
      <c r="BI527" s="24">
        <f>IF(G527=1,IF(OR(AND(NOT(ISERROR(VLOOKUP(TableCosts[[#This Row],[Calc_N_Typ]],Cis_WorkPositions,1,0))),C527&lt;&gt;"",D527&lt;&gt;"",E527&lt;&gt;""),AND(ISERROR(VLOOKUP(TableCosts[[#This Row],[Calc_N_Typ]],Cis_WorkPositions,1,0)),C527="",D527="",E527&lt;&gt;""),LEFT(TableCosts[[#This Row],[Calc_N_Typ]],18)="Vynaložené náklady"),VLOOKUP(C527&amp;TableCosts[[#This Row],[Calc_N_Typ]],TRAN_STRITEMS_LABEL,VLOOKUP(D527,Tab_Hours,3,0),0),NA()),0)</f>
        <v>0</v>
      </c>
      <c r="BJ527" s="24">
        <f t="shared" si="126"/>
        <v>0</v>
      </c>
      <c r="BK527" s="24" t="str">
        <f t="shared" si="127"/>
        <v/>
      </c>
      <c r="BL527" s="24" t="str">
        <f t="shared" si="128"/>
        <v/>
      </c>
      <c r="BM527" s="24" t="str">
        <f>IF(G527=1,IF(TableCosts[[#This Row],[TransferFrom]]=TableCosts[[#This Row],[TranferTo]],0,1),"")</f>
        <v/>
      </c>
      <c r="BN527" s="24" t="str">
        <f t="shared" si="129"/>
        <v/>
      </c>
      <c r="BO527" s="24">
        <f t="shared" si="130"/>
        <v>0</v>
      </c>
      <c r="BP527" s="24">
        <f t="shared" si="131"/>
        <v>0</v>
      </c>
    </row>
    <row r="528" spans="2:68" s="24" customFormat="1" ht="12.75" x14ac:dyDescent="0.2">
      <c r="B528" s="97"/>
      <c r="C528" s="92"/>
      <c r="D528" s="92"/>
      <c r="E528" s="92"/>
      <c r="F528" s="31" t="str">
        <f>IF(G528=1,IF(ISERROR(TableCosts[[#This Row],[N_Tariff]]),Err_Message1,IF(TableCosts[[#This Row],[N_Tariff]]=0,Err_Message2,VLOOKUP(C528&amp;TableCosts[[#This Row],[Calc_N_Typ]],TRAN_STRITEMS_LABEL,5,FALSE))),"")</f>
        <v/>
      </c>
      <c r="G528" s="31">
        <f t="shared" si="120"/>
        <v>0</v>
      </c>
      <c r="H528" s="31" t="str">
        <f>IF(G528=1,IFERROR(VLOOKUP(F528,Tab_ErrMessage[],2,0),VLOOKUP(C528&amp;TableCosts[[#This Row],[Calc_N_Typ]],TRAN_STRITEMS_LABEL,4,FALSE)),"")</f>
        <v/>
      </c>
      <c r="I528" s="94"/>
      <c r="J528" s="94"/>
      <c r="K528" s="94"/>
      <c r="L528" s="84"/>
      <c r="M528" s="84"/>
      <c r="N528" s="84"/>
      <c r="O528" s="84"/>
      <c r="P528" s="84"/>
      <c r="Q528" s="84"/>
      <c r="R528" s="84"/>
      <c r="S528" s="84"/>
      <c r="T528" s="84"/>
      <c r="U528" s="84"/>
      <c r="V528" s="84"/>
      <c r="W528" s="84"/>
      <c r="X528" s="84"/>
      <c r="Y528" s="84"/>
      <c r="Z528" s="84"/>
      <c r="AA528" s="84"/>
      <c r="AB528" s="84"/>
      <c r="AC528" s="84"/>
      <c r="AD528" s="84"/>
      <c r="AE528" s="84"/>
      <c r="AF528" s="84"/>
      <c r="AG528" s="84"/>
      <c r="AH528" s="84"/>
      <c r="AI528" s="84"/>
      <c r="AJ528" s="84"/>
      <c r="AK528" s="84"/>
      <c r="AL528" s="84"/>
      <c r="AM528" s="84"/>
      <c r="AN528" s="84"/>
      <c r="AO528" s="84"/>
      <c r="AP528" s="84"/>
      <c r="AQ528" s="84"/>
      <c r="AR528" s="84"/>
      <c r="AS528" s="84"/>
      <c r="AT528" s="84"/>
      <c r="AU528" s="84"/>
      <c r="AV528" s="84"/>
      <c r="AW528" s="84"/>
      <c r="AX528" s="87">
        <f t="array" ref="AX528">IF(G528=1,SUM((ROW(M0)=ROW(AW528))*(M0+M1_+M2_+M3_+M4_+M5_+M6_+M7_+M8_+M9_+M10_+M11_+M12_+M13_+M14_+M15_+M16_+M17_+M18_+M19_+M20_+M21_+M22_+M23_+M24_+M25_+M26_+M27_+M28_+M29_+M30_+M31_+M32_+M33_+M34_+M35_+M36_+M37_)),0)</f>
        <v>0</v>
      </c>
      <c r="AZ528" s="24" t="str">
        <f t="shared" si="121"/>
        <v/>
      </c>
      <c r="BA528" s="24" t="str">
        <f t="shared" si="122"/>
        <v/>
      </c>
      <c r="BB528" s="24" t="str">
        <f t="shared" si="123"/>
        <v/>
      </c>
      <c r="BC528" s="24" t="str">
        <f>IF(OR(E528="",LEFT(TableCosts[[#This Row],[Calc_N_Typ]],18)="Vynaložené náklady"),"",VLOOKUP(E528,Tab_Parts,2,0))</f>
        <v/>
      </c>
      <c r="BD528" s="24" t="str">
        <f t="shared" si="124"/>
        <v/>
      </c>
      <c r="BE528" s="24">
        <f t="shared" si="125"/>
        <v>0</v>
      </c>
      <c r="BF528" s="72">
        <f>TableCosts[[#This Row],[N_Amount]]*TableCosts[[#This Row],[N_Tariff]]*TableCosts[[#This Row],[N_ItemsCount]]</f>
        <v>0</v>
      </c>
      <c r="BG528" s="72">
        <f>IF(G528=1,IF(TableCosts[[#This Row],[N_Kateg]]="interné práce",TableCosts[[#This Row],[N_Amount]]*8*PAR_SGA_PERHOUR,0),0)</f>
        <v>0</v>
      </c>
      <c r="BH528" s="72">
        <f>SUM(TableCosts[[#This Row],[N_Direct]:[N_SGA]])</f>
        <v>0</v>
      </c>
      <c r="BI528" s="24">
        <f>IF(G528=1,IF(OR(AND(NOT(ISERROR(VLOOKUP(TableCosts[[#This Row],[Calc_N_Typ]],Cis_WorkPositions,1,0))),C528&lt;&gt;"",D528&lt;&gt;"",E528&lt;&gt;""),AND(ISERROR(VLOOKUP(TableCosts[[#This Row],[Calc_N_Typ]],Cis_WorkPositions,1,0)),C528="",D528="",E528&lt;&gt;""),LEFT(TableCosts[[#This Row],[Calc_N_Typ]],18)="Vynaložené náklady"),VLOOKUP(C528&amp;TableCosts[[#This Row],[Calc_N_Typ]],TRAN_STRITEMS_LABEL,VLOOKUP(D528,Tab_Hours,3,0),0),NA()),0)</f>
        <v>0</v>
      </c>
      <c r="BJ528" s="24">
        <f t="shared" si="126"/>
        <v>0</v>
      </c>
      <c r="BK528" s="24" t="str">
        <f t="shared" si="127"/>
        <v/>
      </c>
      <c r="BL528" s="24" t="str">
        <f t="shared" si="128"/>
        <v/>
      </c>
      <c r="BM528" s="24" t="str">
        <f>IF(G528=1,IF(TableCosts[[#This Row],[TransferFrom]]=TableCosts[[#This Row],[TranferTo]],0,1),"")</f>
        <v/>
      </c>
      <c r="BN528" s="24" t="str">
        <f t="shared" si="129"/>
        <v/>
      </c>
      <c r="BO528" s="24">
        <f t="shared" si="130"/>
        <v>0</v>
      </c>
      <c r="BP528" s="24">
        <f t="shared" si="131"/>
        <v>0</v>
      </c>
    </row>
    <row r="529" spans="2:68" s="24" customFormat="1" ht="12.75" x14ac:dyDescent="0.2">
      <c r="B529" s="97"/>
      <c r="C529" s="92"/>
      <c r="D529" s="92"/>
      <c r="E529" s="92"/>
      <c r="F529" s="31" t="str">
        <f>IF(G529=1,IF(ISERROR(TableCosts[[#This Row],[N_Tariff]]),Err_Message1,IF(TableCosts[[#This Row],[N_Tariff]]=0,Err_Message2,VLOOKUP(C529&amp;TableCosts[[#This Row],[Calc_N_Typ]],TRAN_STRITEMS_LABEL,5,FALSE))),"")</f>
        <v/>
      </c>
      <c r="G529" s="31">
        <f t="shared" si="120"/>
        <v>0</v>
      </c>
      <c r="H529" s="31" t="str">
        <f>IF(G529=1,IFERROR(VLOOKUP(F529,Tab_ErrMessage[],2,0),VLOOKUP(C529&amp;TableCosts[[#This Row],[Calc_N_Typ]],TRAN_STRITEMS_LABEL,4,FALSE)),"")</f>
        <v/>
      </c>
      <c r="I529" s="94"/>
      <c r="J529" s="94"/>
      <c r="K529" s="94"/>
      <c r="L529" s="84"/>
      <c r="M529" s="84"/>
      <c r="N529" s="84"/>
      <c r="O529" s="84"/>
      <c r="P529" s="84"/>
      <c r="Q529" s="84"/>
      <c r="R529" s="84"/>
      <c r="S529" s="84"/>
      <c r="T529" s="84"/>
      <c r="U529" s="84"/>
      <c r="V529" s="84"/>
      <c r="W529" s="84"/>
      <c r="X529" s="84"/>
      <c r="Y529" s="84"/>
      <c r="Z529" s="84"/>
      <c r="AA529" s="84"/>
      <c r="AB529" s="84"/>
      <c r="AC529" s="84"/>
      <c r="AD529" s="84"/>
      <c r="AE529" s="84"/>
      <c r="AF529" s="84"/>
      <c r="AG529" s="84"/>
      <c r="AH529" s="84"/>
      <c r="AI529" s="84"/>
      <c r="AJ529" s="84"/>
      <c r="AK529" s="84"/>
      <c r="AL529" s="84"/>
      <c r="AM529" s="84"/>
      <c r="AN529" s="84"/>
      <c r="AO529" s="84"/>
      <c r="AP529" s="84"/>
      <c r="AQ529" s="84"/>
      <c r="AR529" s="84"/>
      <c r="AS529" s="84"/>
      <c r="AT529" s="84"/>
      <c r="AU529" s="84"/>
      <c r="AV529" s="84"/>
      <c r="AW529" s="84"/>
      <c r="AX529" s="87">
        <f t="array" ref="AX529">IF(G529=1,SUM((ROW(M0)=ROW(AW529))*(M0+M1_+M2_+M3_+M4_+M5_+M6_+M7_+M8_+M9_+M10_+M11_+M12_+M13_+M14_+M15_+M16_+M17_+M18_+M19_+M20_+M21_+M22_+M23_+M24_+M25_+M26_+M27_+M28_+M29_+M30_+M31_+M32_+M33_+M34_+M35_+M36_+M37_)),0)</f>
        <v>0</v>
      </c>
      <c r="AZ529" s="24" t="str">
        <f t="shared" si="121"/>
        <v/>
      </c>
      <c r="BA529" s="24" t="str">
        <f t="shared" si="122"/>
        <v/>
      </c>
      <c r="BB529" s="24" t="str">
        <f t="shared" si="123"/>
        <v/>
      </c>
      <c r="BC529" s="24" t="str">
        <f>IF(OR(E529="",LEFT(TableCosts[[#This Row],[Calc_N_Typ]],18)="Vynaložené náklady"),"",VLOOKUP(E529,Tab_Parts,2,0))</f>
        <v/>
      </c>
      <c r="BD529" s="24" t="str">
        <f t="shared" si="124"/>
        <v/>
      </c>
      <c r="BE529" s="24">
        <f t="shared" si="125"/>
        <v>0</v>
      </c>
      <c r="BF529" s="72">
        <f>TableCosts[[#This Row],[N_Amount]]*TableCosts[[#This Row],[N_Tariff]]*TableCosts[[#This Row],[N_ItemsCount]]</f>
        <v>0</v>
      </c>
      <c r="BG529" s="72">
        <f>IF(G529=1,IF(TableCosts[[#This Row],[N_Kateg]]="interné práce",TableCosts[[#This Row],[N_Amount]]*8*PAR_SGA_PERHOUR,0),0)</f>
        <v>0</v>
      </c>
      <c r="BH529" s="72">
        <f>SUM(TableCosts[[#This Row],[N_Direct]:[N_SGA]])</f>
        <v>0</v>
      </c>
      <c r="BI529" s="24">
        <f>IF(G529=1,IF(OR(AND(NOT(ISERROR(VLOOKUP(TableCosts[[#This Row],[Calc_N_Typ]],Cis_WorkPositions,1,0))),C529&lt;&gt;"",D529&lt;&gt;"",E529&lt;&gt;""),AND(ISERROR(VLOOKUP(TableCosts[[#This Row],[Calc_N_Typ]],Cis_WorkPositions,1,0)),C529="",D529="",E529&lt;&gt;""),LEFT(TableCosts[[#This Row],[Calc_N_Typ]],18)="Vynaložené náklady"),VLOOKUP(C529&amp;TableCosts[[#This Row],[Calc_N_Typ]],TRAN_STRITEMS_LABEL,VLOOKUP(D529,Tab_Hours,3,0),0),NA()),0)</f>
        <v>0</v>
      </c>
      <c r="BJ529" s="24">
        <f t="shared" si="126"/>
        <v>0</v>
      </c>
      <c r="BK529" s="24" t="str">
        <f t="shared" si="127"/>
        <v/>
      </c>
      <c r="BL529" s="24" t="str">
        <f t="shared" si="128"/>
        <v/>
      </c>
      <c r="BM529" s="24" t="str">
        <f>IF(G529=1,IF(TableCosts[[#This Row],[TransferFrom]]=TableCosts[[#This Row],[TranferTo]],0,1),"")</f>
        <v/>
      </c>
      <c r="BN529" s="24" t="str">
        <f t="shared" si="129"/>
        <v/>
      </c>
      <c r="BO529" s="24">
        <f t="shared" si="130"/>
        <v>0</v>
      </c>
      <c r="BP529" s="24">
        <f t="shared" si="131"/>
        <v>0</v>
      </c>
    </row>
    <row r="530" spans="2:68" s="24" customFormat="1" ht="12.75" x14ac:dyDescent="0.2">
      <c r="B530" s="97"/>
      <c r="C530" s="92"/>
      <c r="D530" s="92"/>
      <c r="E530" s="92"/>
      <c r="F530" s="31" t="str">
        <f>IF(G530=1,IF(ISERROR(TableCosts[[#This Row],[N_Tariff]]),Err_Message1,IF(TableCosts[[#This Row],[N_Tariff]]=0,Err_Message2,VLOOKUP(C530&amp;TableCosts[[#This Row],[Calc_N_Typ]],TRAN_STRITEMS_LABEL,5,FALSE))),"")</f>
        <v/>
      </c>
      <c r="G530" s="31">
        <f t="shared" si="120"/>
        <v>0</v>
      </c>
      <c r="H530" s="31" t="str">
        <f>IF(G530=1,IFERROR(VLOOKUP(F530,Tab_ErrMessage[],2,0),VLOOKUP(C530&amp;TableCosts[[#This Row],[Calc_N_Typ]],TRAN_STRITEMS_LABEL,4,FALSE)),"")</f>
        <v/>
      </c>
      <c r="I530" s="94"/>
      <c r="J530" s="94"/>
      <c r="K530" s="94"/>
      <c r="L530" s="84"/>
      <c r="M530" s="84"/>
      <c r="N530" s="84"/>
      <c r="O530" s="84"/>
      <c r="P530" s="84"/>
      <c r="Q530" s="84"/>
      <c r="R530" s="84"/>
      <c r="S530" s="84"/>
      <c r="T530" s="84"/>
      <c r="U530" s="84"/>
      <c r="V530" s="84"/>
      <c r="W530" s="84"/>
      <c r="X530" s="84"/>
      <c r="Y530" s="84"/>
      <c r="Z530" s="84"/>
      <c r="AA530" s="84"/>
      <c r="AB530" s="84"/>
      <c r="AC530" s="84"/>
      <c r="AD530" s="84"/>
      <c r="AE530" s="84"/>
      <c r="AF530" s="84"/>
      <c r="AG530" s="84"/>
      <c r="AH530" s="84"/>
      <c r="AI530" s="84"/>
      <c r="AJ530" s="84"/>
      <c r="AK530" s="84"/>
      <c r="AL530" s="84"/>
      <c r="AM530" s="84"/>
      <c r="AN530" s="84"/>
      <c r="AO530" s="84"/>
      <c r="AP530" s="84"/>
      <c r="AQ530" s="84"/>
      <c r="AR530" s="84"/>
      <c r="AS530" s="84"/>
      <c r="AT530" s="84"/>
      <c r="AU530" s="84"/>
      <c r="AV530" s="84"/>
      <c r="AW530" s="84"/>
      <c r="AX530" s="87">
        <f t="array" ref="AX530">IF(G530=1,SUM((ROW(M0)=ROW(AW530))*(M0+M1_+M2_+M3_+M4_+M5_+M6_+M7_+M8_+M9_+M10_+M11_+M12_+M13_+M14_+M15_+M16_+M17_+M18_+M19_+M20_+M21_+M22_+M23_+M24_+M25_+M26_+M27_+M28_+M29_+M30_+M31_+M32_+M33_+M34_+M35_+M36_+M37_)),0)</f>
        <v>0</v>
      </c>
      <c r="AZ530" s="24" t="str">
        <f t="shared" si="121"/>
        <v/>
      </c>
      <c r="BA530" s="24" t="str">
        <f t="shared" si="122"/>
        <v/>
      </c>
      <c r="BB530" s="24" t="str">
        <f t="shared" si="123"/>
        <v/>
      </c>
      <c r="BC530" s="24" t="str">
        <f>IF(OR(E530="",LEFT(TableCosts[[#This Row],[Calc_N_Typ]],18)="Vynaložené náklady"),"",VLOOKUP(E530,Tab_Parts,2,0))</f>
        <v/>
      </c>
      <c r="BD530" s="24" t="str">
        <f t="shared" si="124"/>
        <v/>
      </c>
      <c r="BE530" s="24">
        <f t="shared" si="125"/>
        <v>0</v>
      </c>
      <c r="BF530" s="72">
        <f>TableCosts[[#This Row],[N_Amount]]*TableCosts[[#This Row],[N_Tariff]]*TableCosts[[#This Row],[N_ItemsCount]]</f>
        <v>0</v>
      </c>
      <c r="BG530" s="72">
        <f>IF(G530=1,IF(TableCosts[[#This Row],[N_Kateg]]="interné práce",TableCosts[[#This Row],[N_Amount]]*8*PAR_SGA_PERHOUR,0),0)</f>
        <v>0</v>
      </c>
      <c r="BH530" s="72">
        <f>SUM(TableCosts[[#This Row],[N_Direct]:[N_SGA]])</f>
        <v>0</v>
      </c>
      <c r="BI530" s="24">
        <f>IF(G530=1,IF(OR(AND(NOT(ISERROR(VLOOKUP(TableCosts[[#This Row],[Calc_N_Typ]],Cis_WorkPositions,1,0))),C530&lt;&gt;"",D530&lt;&gt;"",E530&lt;&gt;""),AND(ISERROR(VLOOKUP(TableCosts[[#This Row],[Calc_N_Typ]],Cis_WorkPositions,1,0)),C530="",D530="",E530&lt;&gt;""),LEFT(TableCosts[[#This Row],[Calc_N_Typ]],18)="Vynaložené náklady"),VLOOKUP(C530&amp;TableCosts[[#This Row],[Calc_N_Typ]],TRAN_STRITEMS_LABEL,VLOOKUP(D530,Tab_Hours,3,0),0),NA()),0)</f>
        <v>0</v>
      </c>
      <c r="BJ530" s="24">
        <f t="shared" si="126"/>
        <v>0</v>
      </c>
      <c r="BK530" s="24" t="str">
        <f t="shared" si="127"/>
        <v/>
      </c>
      <c r="BL530" s="24" t="str">
        <f t="shared" si="128"/>
        <v/>
      </c>
      <c r="BM530" s="24" t="str">
        <f>IF(G530=1,IF(TableCosts[[#This Row],[TransferFrom]]=TableCosts[[#This Row],[TranferTo]],0,1),"")</f>
        <v/>
      </c>
      <c r="BN530" s="24" t="str">
        <f t="shared" si="129"/>
        <v/>
      </c>
      <c r="BO530" s="24">
        <f t="shared" si="130"/>
        <v>0</v>
      </c>
      <c r="BP530" s="24">
        <f t="shared" si="131"/>
        <v>0</v>
      </c>
    </row>
    <row r="531" spans="2:68" s="24" customFormat="1" ht="12.75" x14ac:dyDescent="0.2">
      <c r="B531" s="97"/>
      <c r="C531" s="92"/>
      <c r="D531" s="92"/>
      <c r="E531" s="92"/>
      <c r="F531" s="31" t="str">
        <f>IF(G531=1,IF(ISERROR(TableCosts[[#This Row],[N_Tariff]]),Err_Message1,IF(TableCosts[[#This Row],[N_Tariff]]=0,Err_Message2,VLOOKUP(C531&amp;TableCosts[[#This Row],[Calc_N_Typ]],TRAN_STRITEMS_LABEL,5,FALSE))),"")</f>
        <v/>
      </c>
      <c r="G531" s="31">
        <f t="shared" si="120"/>
        <v>0</v>
      </c>
      <c r="H531" s="31" t="str">
        <f>IF(G531=1,IFERROR(VLOOKUP(F531,Tab_ErrMessage[],2,0),VLOOKUP(C531&amp;TableCosts[[#This Row],[Calc_N_Typ]],TRAN_STRITEMS_LABEL,4,FALSE)),"")</f>
        <v/>
      </c>
      <c r="I531" s="94"/>
      <c r="J531" s="94"/>
      <c r="K531" s="94"/>
      <c r="L531" s="84"/>
      <c r="M531" s="84"/>
      <c r="N531" s="84"/>
      <c r="O531" s="84"/>
      <c r="P531" s="84"/>
      <c r="Q531" s="84"/>
      <c r="R531" s="84"/>
      <c r="S531" s="84"/>
      <c r="T531" s="84"/>
      <c r="U531" s="84"/>
      <c r="V531" s="84"/>
      <c r="W531" s="84"/>
      <c r="X531" s="84"/>
      <c r="Y531" s="84"/>
      <c r="Z531" s="84"/>
      <c r="AA531" s="84"/>
      <c r="AB531" s="84"/>
      <c r="AC531" s="84"/>
      <c r="AD531" s="84"/>
      <c r="AE531" s="84"/>
      <c r="AF531" s="84"/>
      <c r="AG531" s="84"/>
      <c r="AH531" s="84"/>
      <c r="AI531" s="84"/>
      <c r="AJ531" s="84"/>
      <c r="AK531" s="84"/>
      <c r="AL531" s="84"/>
      <c r="AM531" s="84"/>
      <c r="AN531" s="84"/>
      <c r="AO531" s="84"/>
      <c r="AP531" s="84"/>
      <c r="AQ531" s="84"/>
      <c r="AR531" s="84"/>
      <c r="AS531" s="84"/>
      <c r="AT531" s="84"/>
      <c r="AU531" s="84"/>
      <c r="AV531" s="84"/>
      <c r="AW531" s="84"/>
      <c r="AX531" s="87">
        <f t="array" ref="AX531">IF(G531=1,SUM((ROW(M0)=ROW(AW531))*(M0+M1_+M2_+M3_+M4_+M5_+M6_+M7_+M8_+M9_+M10_+M11_+M12_+M13_+M14_+M15_+M16_+M17_+M18_+M19_+M20_+M21_+M22_+M23_+M24_+M25_+M26_+M27_+M28_+M29_+M30_+M31_+M32_+M33_+M34_+M35_+M36_+M37_)),0)</f>
        <v>0</v>
      </c>
      <c r="AZ531" s="24" t="str">
        <f t="shared" si="121"/>
        <v/>
      </c>
      <c r="BA531" s="24" t="str">
        <f t="shared" si="122"/>
        <v/>
      </c>
      <c r="BB531" s="24" t="str">
        <f t="shared" si="123"/>
        <v/>
      </c>
      <c r="BC531" s="24" t="str">
        <f>IF(OR(E531="",LEFT(TableCosts[[#This Row],[Calc_N_Typ]],18)="Vynaložené náklady"),"",VLOOKUP(E531,Tab_Parts,2,0))</f>
        <v/>
      </c>
      <c r="BD531" s="24" t="str">
        <f t="shared" si="124"/>
        <v/>
      </c>
      <c r="BE531" s="24">
        <f t="shared" si="125"/>
        <v>0</v>
      </c>
      <c r="BF531" s="72">
        <f>TableCosts[[#This Row],[N_Amount]]*TableCosts[[#This Row],[N_Tariff]]*TableCosts[[#This Row],[N_ItemsCount]]</f>
        <v>0</v>
      </c>
      <c r="BG531" s="72">
        <f>IF(G531=1,IF(TableCosts[[#This Row],[N_Kateg]]="interné práce",TableCosts[[#This Row],[N_Amount]]*8*PAR_SGA_PERHOUR,0),0)</f>
        <v>0</v>
      </c>
      <c r="BH531" s="72">
        <f>SUM(TableCosts[[#This Row],[N_Direct]:[N_SGA]])</f>
        <v>0</v>
      </c>
      <c r="BI531" s="24">
        <f>IF(G531=1,IF(OR(AND(NOT(ISERROR(VLOOKUP(TableCosts[[#This Row],[Calc_N_Typ]],Cis_WorkPositions,1,0))),C531&lt;&gt;"",D531&lt;&gt;"",E531&lt;&gt;""),AND(ISERROR(VLOOKUP(TableCosts[[#This Row],[Calc_N_Typ]],Cis_WorkPositions,1,0)),C531="",D531="",E531&lt;&gt;""),LEFT(TableCosts[[#This Row],[Calc_N_Typ]],18)="Vynaložené náklady"),VLOOKUP(C531&amp;TableCosts[[#This Row],[Calc_N_Typ]],TRAN_STRITEMS_LABEL,VLOOKUP(D531,Tab_Hours,3,0),0),NA()),0)</f>
        <v>0</v>
      </c>
      <c r="BJ531" s="24">
        <f t="shared" si="126"/>
        <v>0</v>
      </c>
      <c r="BK531" s="24" t="str">
        <f t="shared" si="127"/>
        <v/>
      </c>
      <c r="BL531" s="24" t="str">
        <f t="shared" si="128"/>
        <v/>
      </c>
      <c r="BM531" s="24" t="str">
        <f>IF(G531=1,IF(TableCosts[[#This Row],[TransferFrom]]=TableCosts[[#This Row],[TranferTo]],0,1),"")</f>
        <v/>
      </c>
      <c r="BN531" s="24" t="str">
        <f t="shared" si="129"/>
        <v/>
      </c>
      <c r="BO531" s="24">
        <f t="shared" si="130"/>
        <v>0</v>
      </c>
      <c r="BP531" s="24">
        <f t="shared" si="131"/>
        <v>0</v>
      </c>
    </row>
    <row r="532" spans="2:68" s="24" customFormat="1" ht="12.75" x14ac:dyDescent="0.2">
      <c r="B532" s="97"/>
      <c r="C532" s="92"/>
      <c r="D532" s="92"/>
      <c r="E532" s="92"/>
      <c r="F532" s="31" t="str">
        <f>IF(G532=1,IF(ISERROR(TableCosts[[#This Row],[N_Tariff]]),Err_Message1,IF(TableCosts[[#This Row],[N_Tariff]]=0,Err_Message2,VLOOKUP(C532&amp;TableCosts[[#This Row],[Calc_N_Typ]],TRAN_STRITEMS_LABEL,5,FALSE))),"")</f>
        <v/>
      </c>
      <c r="G532" s="31">
        <f t="shared" si="120"/>
        <v>0</v>
      </c>
      <c r="H532" s="31" t="str">
        <f>IF(G532=1,IFERROR(VLOOKUP(F532,Tab_ErrMessage[],2,0),VLOOKUP(C532&amp;TableCosts[[#This Row],[Calc_N_Typ]],TRAN_STRITEMS_LABEL,4,FALSE)),"")</f>
        <v/>
      </c>
      <c r="I532" s="94"/>
      <c r="J532" s="94"/>
      <c r="K532" s="94"/>
      <c r="L532" s="84"/>
      <c r="M532" s="84"/>
      <c r="N532" s="84"/>
      <c r="O532" s="84"/>
      <c r="P532" s="84"/>
      <c r="Q532" s="84"/>
      <c r="R532" s="84"/>
      <c r="S532" s="84"/>
      <c r="T532" s="84"/>
      <c r="U532" s="84"/>
      <c r="V532" s="84"/>
      <c r="W532" s="84"/>
      <c r="X532" s="84"/>
      <c r="Y532" s="84"/>
      <c r="Z532" s="84"/>
      <c r="AA532" s="84"/>
      <c r="AB532" s="84"/>
      <c r="AC532" s="84"/>
      <c r="AD532" s="84"/>
      <c r="AE532" s="84"/>
      <c r="AF532" s="84"/>
      <c r="AG532" s="84"/>
      <c r="AH532" s="84"/>
      <c r="AI532" s="84"/>
      <c r="AJ532" s="84"/>
      <c r="AK532" s="84"/>
      <c r="AL532" s="84"/>
      <c r="AM532" s="84"/>
      <c r="AN532" s="84"/>
      <c r="AO532" s="84"/>
      <c r="AP532" s="84"/>
      <c r="AQ532" s="84"/>
      <c r="AR532" s="84"/>
      <c r="AS532" s="84"/>
      <c r="AT532" s="84"/>
      <c r="AU532" s="84"/>
      <c r="AV532" s="84"/>
      <c r="AW532" s="84"/>
      <c r="AX532" s="87">
        <f t="array" ref="AX532">IF(G532=1,SUM((ROW(M0)=ROW(AW532))*(M0+M1_+M2_+M3_+M4_+M5_+M6_+M7_+M8_+M9_+M10_+M11_+M12_+M13_+M14_+M15_+M16_+M17_+M18_+M19_+M20_+M21_+M22_+M23_+M24_+M25_+M26_+M27_+M28_+M29_+M30_+M31_+M32_+M33_+M34_+M35_+M36_+M37_)),0)</f>
        <v>0</v>
      </c>
      <c r="AZ532" s="24" t="str">
        <f t="shared" si="121"/>
        <v/>
      </c>
      <c r="BA532" s="24" t="str">
        <f t="shared" si="122"/>
        <v/>
      </c>
      <c r="BB532" s="24" t="str">
        <f t="shared" si="123"/>
        <v/>
      </c>
      <c r="BC532" s="24" t="str">
        <f>IF(OR(E532="",LEFT(TableCosts[[#This Row],[Calc_N_Typ]],18)="Vynaložené náklady"),"",VLOOKUP(E532,Tab_Parts,2,0))</f>
        <v/>
      </c>
      <c r="BD532" s="24" t="str">
        <f t="shared" si="124"/>
        <v/>
      </c>
      <c r="BE532" s="24">
        <f t="shared" si="125"/>
        <v>0</v>
      </c>
      <c r="BF532" s="72">
        <f>TableCosts[[#This Row],[N_Amount]]*TableCosts[[#This Row],[N_Tariff]]*TableCosts[[#This Row],[N_ItemsCount]]</f>
        <v>0</v>
      </c>
      <c r="BG532" s="72">
        <f>IF(G532=1,IF(TableCosts[[#This Row],[N_Kateg]]="interné práce",TableCosts[[#This Row],[N_Amount]]*8*PAR_SGA_PERHOUR,0),0)</f>
        <v>0</v>
      </c>
      <c r="BH532" s="72">
        <f>SUM(TableCosts[[#This Row],[N_Direct]:[N_SGA]])</f>
        <v>0</v>
      </c>
      <c r="BI532" s="24">
        <f>IF(G532=1,IF(OR(AND(NOT(ISERROR(VLOOKUP(TableCosts[[#This Row],[Calc_N_Typ]],Cis_WorkPositions,1,0))),C532&lt;&gt;"",D532&lt;&gt;"",E532&lt;&gt;""),AND(ISERROR(VLOOKUP(TableCosts[[#This Row],[Calc_N_Typ]],Cis_WorkPositions,1,0)),C532="",D532="",E532&lt;&gt;""),LEFT(TableCosts[[#This Row],[Calc_N_Typ]],18)="Vynaložené náklady"),VLOOKUP(C532&amp;TableCosts[[#This Row],[Calc_N_Typ]],TRAN_STRITEMS_LABEL,VLOOKUP(D532,Tab_Hours,3,0),0),NA()),0)</f>
        <v>0</v>
      </c>
      <c r="BJ532" s="24">
        <f t="shared" si="126"/>
        <v>0</v>
      </c>
      <c r="BK532" s="24" t="str">
        <f t="shared" si="127"/>
        <v/>
      </c>
      <c r="BL532" s="24" t="str">
        <f t="shared" si="128"/>
        <v/>
      </c>
      <c r="BM532" s="24" t="str">
        <f>IF(G532=1,IF(TableCosts[[#This Row],[TransferFrom]]=TableCosts[[#This Row],[TranferTo]],0,1),"")</f>
        <v/>
      </c>
      <c r="BN532" s="24" t="str">
        <f t="shared" si="129"/>
        <v/>
      </c>
      <c r="BO532" s="24">
        <f t="shared" si="130"/>
        <v>0</v>
      </c>
      <c r="BP532" s="24">
        <f t="shared" si="131"/>
        <v>0</v>
      </c>
    </row>
    <row r="533" spans="2:68" s="24" customFormat="1" ht="12.75" x14ac:dyDescent="0.2">
      <c r="B533" s="97"/>
      <c r="C533" s="92"/>
      <c r="D533" s="92"/>
      <c r="E533" s="92"/>
      <c r="F533" s="31" t="str">
        <f>IF(G533=1,IF(ISERROR(TableCosts[[#This Row],[N_Tariff]]),Err_Message1,IF(TableCosts[[#This Row],[N_Tariff]]=0,Err_Message2,VLOOKUP(C533&amp;TableCosts[[#This Row],[Calc_N_Typ]],TRAN_STRITEMS_LABEL,5,FALSE))),"")</f>
        <v/>
      </c>
      <c r="G533" s="31">
        <f t="shared" si="120"/>
        <v>0</v>
      </c>
      <c r="H533" s="31" t="str">
        <f>IF(G533=1,IFERROR(VLOOKUP(F533,Tab_ErrMessage[],2,0),VLOOKUP(C533&amp;TableCosts[[#This Row],[Calc_N_Typ]],TRAN_STRITEMS_LABEL,4,FALSE)),"")</f>
        <v/>
      </c>
      <c r="I533" s="94"/>
      <c r="J533" s="94"/>
      <c r="K533" s="94"/>
      <c r="L533" s="84"/>
      <c r="M533" s="84"/>
      <c r="N533" s="84"/>
      <c r="O533" s="84"/>
      <c r="P533" s="84"/>
      <c r="Q533" s="84"/>
      <c r="R533" s="84"/>
      <c r="S533" s="84"/>
      <c r="T533" s="84"/>
      <c r="U533" s="84"/>
      <c r="V533" s="84"/>
      <c r="W533" s="84"/>
      <c r="X533" s="84"/>
      <c r="Y533" s="84"/>
      <c r="Z533" s="84"/>
      <c r="AA533" s="84"/>
      <c r="AB533" s="84"/>
      <c r="AC533" s="84"/>
      <c r="AD533" s="84"/>
      <c r="AE533" s="84"/>
      <c r="AF533" s="84"/>
      <c r="AG533" s="84"/>
      <c r="AH533" s="84"/>
      <c r="AI533" s="84"/>
      <c r="AJ533" s="84"/>
      <c r="AK533" s="84"/>
      <c r="AL533" s="84"/>
      <c r="AM533" s="84"/>
      <c r="AN533" s="84"/>
      <c r="AO533" s="84"/>
      <c r="AP533" s="84"/>
      <c r="AQ533" s="84"/>
      <c r="AR533" s="84"/>
      <c r="AS533" s="84"/>
      <c r="AT533" s="84"/>
      <c r="AU533" s="84"/>
      <c r="AV533" s="84"/>
      <c r="AW533" s="84"/>
      <c r="AX533" s="87">
        <f t="array" ref="AX533">IF(G533=1,SUM((ROW(M0)=ROW(AW533))*(M0+M1_+M2_+M3_+M4_+M5_+M6_+M7_+M8_+M9_+M10_+M11_+M12_+M13_+M14_+M15_+M16_+M17_+M18_+M19_+M20_+M21_+M22_+M23_+M24_+M25_+M26_+M27_+M28_+M29_+M30_+M31_+M32_+M33_+M34_+M35_+M36_+M37_)),0)</f>
        <v>0</v>
      </c>
      <c r="AZ533" s="24" t="str">
        <f t="shared" si="121"/>
        <v/>
      </c>
      <c r="BA533" s="24" t="str">
        <f t="shared" si="122"/>
        <v/>
      </c>
      <c r="BB533" s="24" t="str">
        <f t="shared" si="123"/>
        <v/>
      </c>
      <c r="BC533" s="24" t="str">
        <f>IF(OR(E533="",LEFT(TableCosts[[#This Row],[Calc_N_Typ]],18)="Vynaložené náklady"),"",VLOOKUP(E533,Tab_Parts,2,0))</f>
        <v/>
      </c>
      <c r="BD533" s="24" t="str">
        <f t="shared" si="124"/>
        <v/>
      </c>
      <c r="BE533" s="24">
        <f t="shared" si="125"/>
        <v>0</v>
      </c>
      <c r="BF533" s="72">
        <f>TableCosts[[#This Row],[N_Amount]]*TableCosts[[#This Row],[N_Tariff]]*TableCosts[[#This Row],[N_ItemsCount]]</f>
        <v>0</v>
      </c>
      <c r="BG533" s="72">
        <f>IF(G533=1,IF(TableCosts[[#This Row],[N_Kateg]]="interné práce",TableCosts[[#This Row],[N_Amount]]*8*PAR_SGA_PERHOUR,0),0)</f>
        <v>0</v>
      </c>
      <c r="BH533" s="72">
        <f>SUM(TableCosts[[#This Row],[N_Direct]:[N_SGA]])</f>
        <v>0</v>
      </c>
      <c r="BI533" s="24">
        <f>IF(G533=1,IF(OR(AND(NOT(ISERROR(VLOOKUP(TableCosts[[#This Row],[Calc_N_Typ]],Cis_WorkPositions,1,0))),C533&lt;&gt;"",D533&lt;&gt;"",E533&lt;&gt;""),AND(ISERROR(VLOOKUP(TableCosts[[#This Row],[Calc_N_Typ]],Cis_WorkPositions,1,0)),C533="",D533="",E533&lt;&gt;""),LEFT(TableCosts[[#This Row],[Calc_N_Typ]],18)="Vynaložené náklady"),VLOOKUP(C533&amp;TableCosts[[#This Row],[Calc_N_Typ]],TRAN_STRITEMS_LABEL,VLOOKUP(D533,Tab_Hours,3,0),0),NA()),0)</f>
        <v>0</v>
      </c>
      <c r="BJ533" s="24">
        <f t="shared" si="126"/>
        <v>0</v>
      </c>
      <c r="BK533" s="24" t="str">
        <f t="shared" si="127"/>
        <v/>
      </c>
      <c r="BL533" s="24" t="str">
        <f t="shared" si="128"/>
        <v/>
      </c>
      <c r="BM533" s="24" t="str">
        <f>IF(G533=1,IF(TableCosts[[#This Row],[TransferFrom]]=TableCosts[[#This Row],[TranferTo]],0,1),"")</f>
        <v/>
      </c>
      <c r="BN533" s="24" t="str">
        <f t="shared" si="129"/>
        <v/>
      </c>
      <c r="BO533" s="24">
        <f t="shared" si="130"/>
        <v>0</v>
      </c>
      <c r="BP533" s="24">
        <f t="shared" si="131"/>
        <v>0</v>
      </c>
    </row>
    <row r="534" spans="2:68" s="24" customFormat="1" ht="12.75" x14ac:dyDescent="0.2">
      <c r="B534" s="97"/>
      <c r="C534" s="92"/>
      <c r="D534" s="92"/>
      <c r="E534" s="92"/>
      <c r="F534" s="31" t="str">
        <f>IF(G534=1,IF(ISERROR(TableCosts[[#This Row],[N_Tariff]]),Err_Message1,IF(TableCosts[[#This Row],[N_Tariff]]=0,Err_Message2,VLOOKUP(C534&amp;TableCosts[[#This Row],[Calc_N_Typ]],TRAN_STRITEMS_LABEL,5,FALSE))),"")</f>
        <v/>
      </c>
      <c r="G534" s="31">
        <f t="shared" si="120"/>
        <v>0</v>
      </c>
      <c r="H534" s="31" t="str">
        <f>IF(G534=1,IFERROR(VLOOKUP(F534,Tab_ErrMessage[],2,0),VLOOKUP(C534&amp;TableCosts[[#This Row],[Calc_N_Typ]],TRAN_STRITEMS_LABEL,4,FALSE)),"")</f>
        <v/>
      </c>
      <c r="I534" s="94"/>
      <c r="J534" s="94"/>
      <c r="K534" s="94"/>
      <c r="L534" s="84"/>
      <c r="M534" s="84"/>
      <c r="N534" s="84"/>
      <c r="O534" s="84"/>
      <c r="P534" s="84"/>
      <c r="Q534" s="84"/>
      <c r="R534" s="84"/>
      <c r="S534" s="84"/>
      <c r="T534" s="84"/>
      <c r="U534" s="84"/>
      <c r="V534" s="84"/>
      <c r="W534" s="84"/>
      <c r="X534" s="84"/>
      <c r="Y534" s="84"/>
      <c r="Z534" s="84"/>
      <c r="AA534" s="84"/>
      <c r="AB534" s="84"/>
      <c r="AC534" s="84"/>
      <c r="AD534" s="84"/>
      <c r="AE534" s="84"/>
      <c r="AF534" s="84"/>
      <c r="AG534" s="84"/>
      <c r="AH534" s="84"/>
      <c r="AI534" s="84"/>
      <c r="AJ534" s="84"/>
      <c r="AK534" s="84"/>
      <c r="AL534" s="84"/>
      <c r="AM534" s="84"/>
      <c r="AN534" s="84"/>
      <c r="AO534" s="84"/>
      <c r="AP534" s="84"/>
      <c r="AQ534" s="84"/>
      <c r="AR534" s="84"/>
      <c r="AS534" s="84"/>
      <c r="AT534" s="84"/>
      <c r="AU534" s="84"/>
      <c r="AV534" s="84"/>
      <c r="AW534" s="84"/>
      <c r="AX534" s="87">
        <f t="array" ref="AX534">IF(G534=1,SUM((ROW(M0)=ROW(AW534))*(M0+M1_+M2_+M3_+M4_+M5_+M6_+M7_+M8_+M9_+M10_+M11_+M12_+M13_+M14_+M15_+M16_+M17_+M18_+M19_+M20_+M21_+M22_+M23_+M24_+M25_+M26_+M27_+M28_+M29_+M30_+M31_+M32_+M33_+M34_+M35_+M36_+M37_)),0)</f>
        <v>0</v>
      </c>
      <c r="AZ534" s="24" t="str">
        <f t="shared" si="121"/>
        <v/>
      </c>
      <c r="BA534" s="24" t="str">
        <f t="shared" si="122"/>
        <v/>
      </c>
      <c r="BB534" s="24" t="str">
        <f t="shared" si="123"/>
        <v/>
      </c>
      <c r="BC534" s="24" t="str">
        <f>IF(OR(E534="",LEFT(TableCosts[[#This Row],[Calc_N_Typ]],18)="Vynaložené náklady"),"",VLOOKUP(E534,Tab_Parts,2,0))</f>
        <v/>
      </c>
      <c r="BD534" s="24" t="str">
        <f t="shared" si="124"/>
        <v/>
      </c>
      <c r="BE534" s="24">
        <f t="shared" si="125"/>
        <v>0</v>
      </c>
      <c r="BF534" s="72">
        <f>TableCosts[[#This Row],[N_Amount]]*TableCosts[[#This Row],[N_Tariff]]*TableCosts[[#This Row],[N_ItemsCount]]</f>
        <v>0</v>
      </c>
      <c r="BG534" s="72">
        <f>IF(G534=1,IF(TableCosts[[#This Row],[N_Kateg]]="interné práce",TableCosts[[#This Row],[N_Amount]]*8*PAR_SGA_PERHOUR,0),0)</f>
        <v>0</v>
      </c>
      <c r="BH534" s="72">
        <f>SUM(TableCosts[[#This Row],[N_Direct]:[N_SGA]])</f>
        <v>0</v>
      </c>
      <c r="BI534" s="24">
        <f>IF(G534=1,IF(OR(AND(NOT(ISERROR(VLOOKUP(TableCosts[[#This Row],[Calc_N_Typ]],Cis_WorkPositions,1,0))),C534&lt;&gt;"",D534&lt;&gt;"",E534&lt;&gt;""),AND(ISERROR(VLOOKUP(TableCosts[[#This Row],[Calc_N_Typ]],Cis_WorkPositions,1,0)),C534="",D534="",E534&lt;&gt;""),LEFT(TableCosts[[#This Row],[Calc_N_Typ]],18)="Vynaložené náklady"),VLOOKUP(C534&amp;TableCosts[[#This Row],[Calc_N_Typ]],TRAN_STRITEMS_LABEL,VLOOKUP(D534,Tab_Hours,3,0),0),NA()),0)</f>
        <v>0</v>
      </c>
      <c r="BJ534" s="24">
        <f t="shared" si="126"/>
        <v>0</v>
      </c>
      <c r="BK534" s="24" t="str">
        <f t="shared" si="127"/>
        <v/>
      </c>
      <c r="BL534" s="24" t="str">
        <f t="shared" si="128"/>
        <v/>
      </c>
      <c r="BM534" s="24" t="str">
        <f>IF(G534=1,IF(TableCosts[[#This Row],[TransferFrom]]=TableCosts[[#This Row],[TranferTo]],0,1),"")</f>
        <v/>
      </c>
      <c r="BN534" s="24" t="str">
        <f t="shared" si="129"/>
        <v/>
      </c>
      <c r="BO534" s="24">
        <f t="shared" si="130"/>
        <v>0</v>
      </c>
      <c r="BP534" s="24">
        <f t="shared" si="131"/>
        <v>0</v>
      </c>
    </row>
    <row r="535" spans="2:68" s="24" customFormat="1" ht="12.75" x14ac:dyDescent="0.2">
      <c r="B535" s="97"/>
      <c r="C535" s="92"/>
      <c r="D535" s="92"/>
      <c r="E535" s="92"/>
      <c r="F535" s="31" t="str">
        <f>IF(G535=1,IF(ISERROR(TableCosts[[#This Row],[N_Tariff]]),Err_Message1,IF(TableCosts[[#This Row],[N_Tariff]]=0,Err_Message2,VLOOKUP(C535&amp;TableCosts[[#This Row],[Calc_N_Typ]],TRAN_STRITEMS_LABEL,5,FALSE))),"")</f>
        <v/>
      </c>
      <c r="G535" s="31">
        <f t="shared" si="120"/>
        <v>0</v>
      </c>
      <c r="H535" s="31" t="str">
        <f>IF(G535=1,IFERROR(VLOOKUP(F535,Tab_ErrMessage[],2,0),VLOOKUP(C535&amp;TableCosts[[#This Row],[Calc_N_Typ]],TRAN_STRITEMS_LABEL,4,FALSE)),"")</f>
        <v/>
      </c>
      <c r="I535" s="94"/>
      <c r="J535" s="94"/>
      <c r="K535" s="94"/>
      <c r="L535" s="84"/>
      <c r="M535" s="84"/>
      <c r="N535" s="84"/>
      <c r="O535" s="84"/>
      <c r="P535" s="84"/>
      <c r="Q535" s="84"/>
      <c r="R535" s="84"/>
      <c r="S535" s="84"/>
      <c r="T535" s="84"/>
      <c r="U535" s="84"/>
      <c r="V535" s="84"/>
      <c r="W535" s="84"/>
      <c r="X535" s="84"/>
      <c r="Y535" s="84"/>
      <c r="Z535" s="84"/>
      <c r="AA535" s="84"/>
      <c r="AB535" s="84"/>
      <c r="AC535" s="84"/>
      <c r="AD535" s="84"/>
      <c r="AE535" s="84"/>
      <c r="AF535" s="84"/>
      <c r="AG535" s="84"/>
      <c r="AH535" s="84"/>
      <c r="AI535" s="84"/>
      <c r="AJ535" s="84"/>
      <c r="AK535" s="84"/>
      <c r="AL535" s="84"/>
      <c r="AM535" s="84"/>
      <c r="AN535" s="84"/>
      <c r="AO535" s="84"/>
      <c r="AP535" s="84"/>
      <c r="AQ535" s="84"/>
      <c r="AR535" s="84"/>
      <c r="AS535" s="84"/>
      <c r="AT535" s="84"/>
      <c r="AU535" s="84"/>
      <c r="AV535" s="84"/>
      <c r="AW535" s="84"/>
      <c r="AX535" s="87">
        <f t="array" ref="AX535">IF(G535=1,SUM((ROW(M0)=ROW(AW535))*(M0+M1_+M2_+M3_+M4_+M5_+M6_+M7_+M8_+M9_+M10_+M11_+M12_+M13_+M14_+M15_+M16_+M17_+M18_+M19_+M20_+M21_+M22_+M23_+M24_+M25_+M26_+M27_+M28_+M29_+M30_+M31_+M32_+M33_+M34_+M35_+M36_+M37_)),0)</f>
        <v>0</v>
      </c>
      <c r="AZ535" s="24" t="str">
        <f t="shared" si="121"/>
        <v/>
      </c>
      <c r="BA535" s="24" t="str">
        <f t="shared" si="122"/>
        <v/>
      </c>
      <c r="BB535" s="24" t="str">
        <f t="shared" si="123"/>
        <v/>
      </c>
      <c r="BC535" s="24" t="str">
        <f>IF(OR(E535="",LEFT(TableCosts[[#This Row],[Calc_N_Typ]],18)="Vynaložené náklady"),"",VLOOKUP(E535,Tab_Parts,2,0))</f>
        <v/>
      </c>
      <c r="BD535" s="24" t="str">
        <f t="shared" si="124"/>
        <v/>
      </c>
      <c r="BE535" s="24">
        <f t="shared" si="125"/>
        <v>0</v>
      </c>
      <c r="BF535" s="72">
        <f>TableCosts[[#This Row],[N_Amount]]*TableCosts[[#This Row],[N_Tariff]]*TableCosts[[#This Row],[N_ItemsCount]]</f>
        <v>0</v>
      </c>
      <c r="BG535" s="72">
        <f>IF(G535=1,IF(TableCosts[[#This Row],[N_Kateg]]="interné práce",TableCosts[[#This Row],[N_Amount]]*8*PAR_SGA_PERHOUR,0),0)</f>
        <v>0</v>
      </c>
      <c r="BH535" s="72">
        <f>SUM(TableCosts[[#This Row],[N_Direct]:[N_SGA]])</f>
        <v>0</v>
      </c>
      <c r="BI535" s="24">
        <f>IF(G535=1,IF(OR(AND(NOT(ISERROR(VLOOKUP(TableCosts[[#This Row],[Calc_N_Typ]],Cis_WorkPositions,1,0))),C535&lt;&gt;"",D535&lt;&gt;"",E535&lt;&gt;""),AND(ISERROR(VLOOKUP(TableCosts[[#This Row],[Calc_N_Typ]],Cis_WorkPositions,1,0)),C535="",D535="",E535&lt;&gt;""),LEFT(TableCosts[[#This Row],[Calc_N_Typ]],18)="Vynaložené náklady"),VLOOKUP(C535&amp;TableCosts[[#This Row],[Calc_N_Typ]],TRAN_STRITEMS_LABEL,VLOOKUP(D535,Tab_Hours,3,0),0),NA()),0)</f>
        <v>0</v>
      </c>
      <c r="BJ535" s="24">
        <f t="shared" si="126"/>
        <v>0</v>
      </c>
      <c r="BK535" s="24" t="str">
        <f t="shared" si="127"/>
        <v/>
      </c>
      <c r="BL535" s="24" t="str">
        <f t="shared" si="128"/>
        <v/>
      </c>
      <c r="BM535" s="24" t="str">
        <f>IF(G535=1,IF(TableCosts[[#This Row],[TransferFrom]]=TableCosts[[#This Row],[TranferTo]],0,1),"")</f>
        <v/>
      </c>
      <c r="BN535" s="24" t="str">
        <f t="shared" si="129"/>
        <v/>
      </c>
      <c r="BO535" s="24">
        <f t="shared" si="130"/>
        <v>0</v>
      </c>
      <c r="BP535" s="24">
        <f t="shared" si="131"/>
        <v>0</v>
      </c>
    </row>
    <row r="536" spans="2:68" s="24" customFormat="1" ht="12.75" x14ac:dyDescent="0.2">
      <c r="B536" s="97"/>
      <c r="C536" s="92"/>
      <c r="D536" s="92"/>
      <c r="E536" s="92"/>
      <c r="F536" s="31" t="str">
        <f>IF(G536=1,IF(ISERROR(TableCosts[[#This Row],[N_Tariff]]),Err_Message1,IF(TableCosts[[#This Row],[N_Tariff]]=0,Err_Message2,VLOOKUP(C536&amp;TableCosts[[#This Row],[Calc_N_Typ]],TRAN_STRITEMS_LABEL,5,FALSE))),"")</f>
        <v/>
      </c>
      <c r="G536" s="31">
        <f t="shared" si="120"/>
        <v>0</v>
      </c>
      <c r="H536" s="31" t="str">
        <f>IF(G536=1,IFERROR(VLOOKUP(F536,Tab_ErrMessage[],2,0),VLOOKUP(C536&amp;TableCosts[[#This Row],[Calc_N_Typ]],TRAN_STRITEMS_LABEL,4,FALSE)),"")</f>
        <v/>
      </c>
      <c r="I536" s="94"/>
      <c r="J536" s="94"/>
      <c r="K536" s="9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  <c r="AA536" s="84"/>
      <c r="AB536" s="84"/>
      <c r="AC536" s="84"/>
      <c r="AD536" s="84"/>
      <c r="AE536" s="84"/>
      <c r="AF536" s="84"/>
      <c r="AG536" s="84"/>
      <c r="AH536" s="84"/>
      <c r="AI536" s="84"/>
      <c r="AJ536" s="84"/>
      <c r="AK536" s="84"/>
      <c r="AL536" s="84"/>
      <c r="AM536" s="84"/>
      <c r="AN536" s="84"/>
      <c r="AO536" s="84"/>
      <c r="AP536" s="84"/>
      <c r="AQ536" s="84"/>
      <c r="AR536" s="84"/>
      <c r="AS536" s="84"/>
      <c r="AT536" s="84"/>
      <c r="AU536" s="84"/>
      <c r="AV536" s="84"/>
      <c r="AW536" s="84"/>
      <c r="AX536" s="87">
        <f t="array" ref="AX536">IF(G536=1,SUM((ROW(M0)=ROW(AW536))*(M0+M1_+M2_+M3_+M4_+M5_+M6_+M7_+M8_+M9_+M10_+M11_+M12_+M13_+M14_+M15_+M16_+M17_+M18_+M19_+M20_+M21_+M22_+M23_+M24_+M25_+M26_+M27_+M28_+M29_+M30_+M31_+M32_+M33_+M34_+M35_+M36_+M37_)),0)</f>
        <v>0</v>
      </c>
      <c r="AZ536" s="24" t="str">
        <f t="shared" si="121"/>
        <v/>
      </c>
      <c r="BA536" s="24" t="str">
        <f t="shared" si="122"/>
        <v/>
      </c>
      <c r="BB536" s="24" t="str">
        <f t="shared" si="123"/>
        <v/>
      </c>
      <c r="BC536" s="24" t="str">
        <f>IF(OR(E536="",LEFT(TableCosts[[#This Row],[Calc_N_Typ]],18)="Vynaložené náklady"),"",VLOOKUP(E536,Tab_Parts,2,0))</f>
        <v/>
      </c>
      <c r="BD536" s="24" t="str">
        <f t="shared" si="124"/>
        <v/>
      </c>
      <c r="BE536" s="24">
        <f t="shared" si="125"/>
        <v>0</v>
      </c>
      <c r="BF536" s="72">
        <f>TableCosts[[#This Row],[N_Amount]]*TableCosts[[#This Row],[N_Tariff]]*TableCosts[[#This Row],[N_ItemsCount]]</f>
        <v>0</v>
      </c>
      <c r="BG536" s="72">
        <f>IF(G536=1,IF(TableCosts[[#This Row],[N_Kateg]]="interné práce",TableCosts[[#This Row],[N_Amount]]*8*PAR_SGA_PERHOUR,0),0)</f>
        <v>0</v>
      </c>
      <c r="BH536" s="72">
        <f>SUM(TableCosts[[#This Row],[N_Direct]:[N_SGA]])</f>
        <v>0</v>
      </c>
      <c r="BI536" s="24">
        <f>IF(G536=1,IF(OR(AND(NOT(ISERROR(VLOOKUP(TableCosts[[#This Row],[Calc_N_Typ]],Cis_WorkPositions,1,0))),C536&lt;&gt;"",D536&lt;&gt;"",E536&lt;&gt;""),AND(ISERROR(VLOOKUP(TableCosts[[#This Row],[Calc_N_Typ]],Cis_WorkPositions,1,0)),C536="",D536="",E536&lt;&gt;""),LEFT(TableCosts[[#This Row],[Calc_N_Typ]],18)="Vynaložené náklady"),VLOOKUP(C536&amp;TableCosts[[#This Row],[Calc_N_Typ]],TRAN_STRITEMS_LABEL,VLOOKUP(D536,Tab_Hours,3,0),0),NA()),0)</f>
        <v>0</v>
      </c>
      <c r="BJ536" s="24">
        <f t="shared" si="126"/>
        <v>0</v>
      </c>
      <c r="BK536" s="24" t="str">
        <f t="shared" si="127"/>
        <v/>
      </c>
      <c r="BL536" s="24" t="str">
        <f t="shared" si="128"/>
        <v/>
      </c>
      <c r="BM536" s="24" t="str">
        <f>IF(G536=1,IF(TableCosts[[#This Row],[TransferFrom]]=TableCosts[[#This Row],[TranferTo]],0,1),"")</f>
        <v/>
      </c>
      <c r="BN536" s="24" t="str">
        <f t="shared" si="129"/>
        <v/>
      </c>
      <c r="BO536" s="24">
        <f t="shared" si="130"/>
        <v>0</v>
      </c>
      <c r="BP536" s="24">
        <f t="shared" si="131"/>
        <v>0</v>
      </c>
    </row>
    <row r="537" spans="2:68" s="24" customFormat="1" ht="12.75" x14ac:dyDescent="0.2">
      <c r="B537" s="97"/>
      <c r="C537" s="92"/>
      <c r="D537" s="92"/>
      <c r="E537" s="92"/>
      <c r="F537" s="31" t="str">
        <f>IF(G537=1,IF(ISERROR(TableCosts[[#This Row],[N_Tariff]]),Err_Message1,IF(TableCosts[[#This Row],[N_Tariff]]=0,Err_Message2,VLOOKUP(C537&amp;TableCosts[[#This Row],[Calc_N_Typ]],TRAN_STRITEMS_LABEL,5,FALSE))),"")</f>
        <v/>
      </c>
      <c r="G537" s="31">
        <f t="shared" si="120"/>
        <v>0</v>
      </c>
      <c r="H537" s="31" t="str">
        <f>IF(G537=1,IFERROR(VLOOKUP(F537,Tab_ErrMessage[],2,0),VLOOKUP(C537&amp;TableCosts[[#This Row],[Calc_N_Typ]],TRAN_STRITEMS_LABEL,4,FALSE)),"")</f>
        <v/>
      </c>
      <c r="I537" s="94"/>
      <c r="J537" s="94"/>
      <c r="K537" s="9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  <c r="AA537" s="84"/>
      <c r="AB537" s="84"/>
      <c r="AC537" s="84"/>
      <c r="AD537" s="84"/>
      <c r="AE537" s="84"/>
      <c r="AF537" s="84"/>
      <c r="AG537" s="84"/>
      <c r="AH537" s="84"/>
      <c r="AI537" s="84"/>
      <c r="AJ537" s="84"/>
      <c r="AK537" s="84"/>
      <c r="AL537" s="84"/>
      <c r="AM537" s="84"/>
      <c r="AN537" s="84"/>
      <c r="AO537" s="84"/>
      <c r="AP537" s="84"/>
      <c r="AQ537" s="84"/>
      <c r="AR537" s="84"/>
      <c r="AS537" s="84"/>
      <c r="AT537" s="84"/>
      <c r="AU537" s="84"/>
      <c r="AV537" s="84"/>
      <c r="AW537" s="84"/>
      <c r="AX537" s="87">
        <f t="array" ref="AX537">IF(G537=1,SUM((ROW(M0)=ROW(AW537))*(M0+M1_+M2_+M3_+M4_+M5_+M6_+M7_+M8_+M9_+M10_+M11_+M12_+M13_+M14_+M15_+M16_+M17_+M18_+M19_+M20_+M21_+M22_+M23_+M24_+M25_+M26_+M27_+M28_+M29_+M30_+M31_+M32_+M33_+M34_+M35_+M36_+M37_)),0)</f>
        <v>0</v>
      </c>
      <c r="AZ537" s="24" t="str">
        <f t="shared" si="121"/>
        <v/>
      </c>
      <c r="BA537" s="24" t="str">
        <f t="shared" si="122"/>
        <v/>
      </c>
      <c r="BB537" s="24" t="str">
        <f t="shared" si="123"/>
        <v/>
      </c>
      <c r="BC537" s="24" t="str">
        <f>IF(OR(E537="",LEFT(TableCosts[[#This Row],[Calc_N_Typ]],18)="Vynaložené náklady"),"",VLOOKUP(E537,Tab_Parts,2,0))</f>
        <v/>
      </c>
      <c r="BD537" s="24" t="str">
        <f t="shared" si="124"/>
        <v/>
      </c>
      <c r="BE537" s="24">
        <f t="shared" si="125"/>
        <v>0</v>
      </c>
      <c r="BF537" s="72">
        <f>TableCosts[[#This Row],[N_Amount]]*TableCosts[[#This Row],[N_Tariff]]*TableCosts[[#This Row],[N_ItemsCount]]</f>
        <v>0</v>
      </c>
      <c r="BG537" s="72">
        <f>IF(G537=1,IF(TableCosts[[#This Row],[N_Kateg]]="interné práce",TableCosts[[#This Row],[N_Amount]]*8*PAR_SGA_PERHOUR,0),0)</f>
        <v>0</v>
      </c>
      <c r="BH537" s="72">
        <f>SUM(TableCosts[[#This Row],[N_Direct]:[N_SGA]])</f>
        <v>0</v>
      </c>
      <c r="BI537" s="24">
        <f>IF(G537=1,IF(OR(AND(NOT(ISERROR(VLOOKUP(TableCosts[[#This Row],[Calc_N_Typ]],Cis_WorkPositions,1,0))),C537&lt;&gt;"",D537&lt;&gt;"",E537&lt;&gt;""),AND(ISERROR(VLOOKUP(TableCosts[[#This Row],[Calc_N_Typ]],Cis_WorkPositions,1,0)),C537="",D537="",E537&lt;&gt;""),LEFT(TableCosts[[#This Row],[Calc_N_Typ]],18)="Vynaložené náklady"),VLOOKUP(C537&amp;TableCosts[[#This Row],[Calc_N_Typ]],TRAN_STRITEMS_LABEL,VLOOKUP(D537,Tab_Hours,3,0),0),NA()),0)</f>
        <v>0</v>
      </c>
      <c r="BJ537" s="24">
        <f t="shared" si="126"/>
        <v>0</v>
      </c>
      <c r="BK537" s="24" t="str">
        <f t="shared" si="127"/>
        <v/>
      </c>
      <c r="BL537" s="24" t="str">
        <f t="shared" si="128"/>
        <v/>
      </c>
      <c r="BM537" s="24" t="str">
        <f>IF(G537=1,IF(TableCosts[[#This Row],[TransferFrom]]=TableCosts[[#This Row],[TranferTo]],0,1),"")</f>
        <v/>
      </c>
      <c r="BN537" s="24" t="str">
        <f t="shared" si="129"/>
        <v/>
      </c>
      <c r="BO537" s="24">
        <f t="shared" si="130"/>
        <v>0</v>
      </c>
      <c r="BP537" s="24">
        <f t="shared" si="131"/>
        <v>0</v>
      </c>
    </row>
    <row r="538" spans="2:68" s="24" customFormat="1" ht="12.75" x14ac:dyDescent="0.2">
      <c r="B538" s="97"/>
      <c r="C538" s="92"/>
      <c r="D538" s="92"/>
      <c r="E538" s="92"/>
      <c r="F538" s="31" t="str">
        <f>IF(G538=1,IF(ISERROR(TableCosts[[#This Row],[N_Tariff]]),Err_Message1,IF(TableCosts[[#This Row],[N_Tariff]]=0,Err_Message2,VLOOKUP(C538&amp;TableCosts[[#This Row],[Calc_N_Typ]],TRAN_STRITEMS_LABEL,5,FALSE))),"")</f>
        <v/>
      </c>
      <c r="G538" s="31">
        <f t="shared" si="120"/>
        <v>0</v>
      </c>
      <c r="H538" s="31" t="str">
        <f>IF(G538=1,IFERROR(VLOOKUP(F538,Tab_ErrMessage[],2,0),VLOOKUP(C538&amp;TableCosts[[#This Row],[Calc_N_Typ]],TRAN_STRITEMS_LABEL,4,FALSE)),"")</f>
        <v/>
      </c>
      <c r="I538" s="94"/>
      <c r="J538" s="94"/>
      <c r="K538" s="94"/>
      <c r="L538" s="84"/>
      <c r="M538" s="84"/>
      <c r="N538" s="84"/>
      <c r="O538" s="84"/>
      <c r="P538" s="84"/>
      <c r="Q538" s="84"/>
      <c r="R538" s="84"/>
      <c r="S538" s="84"/>
      <c r="T538" s="84"/>
      <c r="U538" s="84"/>
      <c r="V538" s="84"/>
      <c r="W538" s="84"/>
      <c r="X538" s="84"/>
      <c r="Y538" s="84"/>
      <c r="Z538" s="84"/>
      <c r="AA538" s="84"/>
      <c r="AB538" s="84"/>
      <c r="AC538" s="84"/>
      <c r="AD538" s="84"/>
      <c r="AE538" s="84"/>
      <c r="AF538" s="84"/>
      <c r="AG538" s="84"/>
      <c r="AH538" s="84"/>
      <c r="AI538" s="84"/>
      <c r="AJ538" s="84"/>
      <c r="AK538" s="84"/>
      <c r="AL538" s="84"/>
      <c r="AM538" s="84"/>
      <c r="AN538" s="84"/>
      <c r="AO538" s="84"/>
      <c r="AP538" s="84"/>
      <c r="AQ538" s="84"/>
      <c r="AR538" s="84"/>
      <c r="AS538" s="84"/>
      <c r="AT538" s="84"/>
      <c r="AU538" s="84"/>
      <c r="AV538" s="84"/>
      <c r="AW538" s="84"/>
      <c r="AX538" s="87">
        <f t="array" ref="AX538">IF(G538=1,SUM((ROW(M0)=ROW(AW538))*(M0+M1_+M2_+M3_+M4_+M5_+M6_+M7_+M8_+M9_+M10_+M11_+M12_+M13_+M14_+M15_+M16_+M17_+M18_+M19_+M20_+M21_+M22_+M23_+M24_+M25_+M26_+M27_+M28_+M29_+M30_+M31_+M32_+M33_+M34_+M35_+M36_+M37_)),0)</f>
        <v>0</v>
      </c>
      <c r="AZ538" s="24" t="str">
        <f t="shared" si="121"/>
        <v/>
      </c>
      <c r="BA538" s="24" t="str">
        <f t="shared" si="122"/>
        <v/>
      </c>
      <c r="BB538" s="24" t="str">
        <f t="shared" si="123"/>
        <v/>
      </c>
      <c r="BC538" s="24" t="str">
        <f>IF(OR(E538="",LEFT(TableCosts[[#This Row],[Calc_N_Typ]],18)="Vynaložené náklady"),"",VLOOKUP(E538,Tab_Parts,2,0))</f>
        <v/>
      </c>
      <c r="BD538" s="24" t="str">
        <f t="shared" si="124"/>
        <v/>
      </c>
      <c r="BE538" s="24">
        <f t="shared" si="125"/>
        <v>0</v>
      </c>
      <c r="BF538" s="72">
        <f>TableCosts[[#This Row],[N_Amount]]*TableCosts[[#This Row],[N_Tariff]]*TableCosts[[#This Row],[N_ItemsCount]]</f>
        <v>0</v>
      </c>
      <c r="BG538" s="72">
        <f>IF(G538=1,IF(TableCosts[[#This Row],[N_Kateg]]="interné práce",TableCosts[[#This Row],[N_Amount]]*8*PAR_SGA_PERHOUR,0),0)</f>
        <v>0</v>
      </c>
      <c r="BH538" s="72">
        <f>SUM(TableCosts[[#This Row],[N_Direct]:[N_SGA]])</f>
        <v>0</v>
      </c>
      <c r="BI538" s="24">
        <f>IF(G538=1,IF(OR(AND(NOT(ISERROR(VLOOKUP(TableCosts[[#This Row],[Calc_N_Typ]],Cis_WorkPositions,1,0))),C538&lt;&gt;"",D538&lt;&gt;"",E538&lt;&gt;""),AND(ISERROR(VLOOKUP(TableCosts[[#This Row],[Calc_N_Typ]],Cis_WorkPositions,1,0)),C538="",D538="",E538&lt;&gt;""),LEFT(TableCosts[[#This Row],[Calc_N_Typ]],18)="Vynaložené náklady"),VLOOKUP(C538&amp;TableCosts[[#This Row],[Calc_N_Typ]],TRAN_STRITEMS_LABEL,VLOOKUP(D538,Tab_Hours,3,0),0),NA()),0)</f>
        <v>0</v>
      </c>
      <c r="BJ538" s="24">
        <f t="shared" si="126"/>
        <v>0</v>
      </c>
      <c r="BK538" s="24" t="str">
        <f t="shared" si="127"/>
        <v/>
      </c>
      <c r="BL538" s="24" t="str">
        <f t="shared" si="128"/>
        <v/>
      </c>
      <c r="BM538" s="24" t="str">
        <f>IF(G538=1,IF(TableCosts[[#This Row],[TransferFrom]]=TableCosts[[#This Row],[TranferTo]],0,1),"")</f>
        <v/>
      </c>
      <c r="BN538" s="24" t="str">
        <f t="shared" si="129"/>
        <v/>
      </c>
      <c r="BO538" s="24">
        <f t="shared" si="130"/>
        <v>0</v>
      </c>
      <c r="BP538" s="24">
        <f t="shared" si="131"/>
        <v>0</v>
      </c>
    </row>
    <row r="539" spans="2:68" s="24" customFormat="1" ht="12.75" x14ac:dyDescent="0.2">
      <c r="B539" s="97"/>
      <c r="C539" s="92"/>
      <c r="D539" s="92"/>
      <c r="E539" s="92"/>
      <c r="F539" s="31" t="str">
        <f>IF(G539=1,IF(ISERROR(TableCosts[[#This Row],[N_Tariff]]),Err_Message1,IF(TableCosts[[#This Row],[N_Tariff]]=0,Err_Message2,VLOOKUP(C539&amp;TableCosts[[#This Row],[Calc_N_Typ]],TRAN_STRITEMS_LABEL,5,FALSE))),"")</f>
        <v/>
      </c>
      <c r="G539" s="31">
        <f t="shared" si="120"/>
        <v>0</v>
      </c>
      <c r="H539" s="31" t="str">
        <f>IF(G539=1,IFERROR(VLOOKUP(F539,Tab_ErrMessage[],2,0),VLOOKUP(C539&amp;TableCosts[[#This Row],[Calc_N_Typ]],TRAN_STRITEMS_LABEL,4,FALSE)),"")</f>
        <v/>
      </c>
      <c r="I539" s="94"/>
      <c r="J539" s="94"/>
      <c r="K539" s="94"/>
      <c r="L539" s="84"/>
      <c r="M539" s="84"/>
      <c r="N539" s="84"/>
      <c r="O539" s="84"/>
      <c r="P539" s="84"/>
      <c r="Q539" s="84"/>
      <c r="R539" s="84"/>
      <c r="S539" s="84"/>
      <c r="T539" s="84"/>
      <c r="U539" s="84"/>
      <c r="V539" s="84"/>
      <c r="W539" s="84"/>
      <c r="X539" s="84"/>
      <c r="Y539" s="84"/>
      <c r="Z539" s="84"/>
      <c r="AA539" s="84"/>
      <c r="AB539" s="84"/>
      <c r="AC539" s="84"/>
      <c r="AD539" s="84"/>
      <c r="AE539" s="84"/>
      <c r="AF539" s="84"/>
      <c r="AG539" s="84"/>
      <c r="AH539" s="84"/>
      <c r="AI539" s="84"/>
      <c r="AJ539" s="84"/>
      <c r="AK539" s="84"/>
      <c r="AL539" s="84"/>
      <c r="AM539" s="84"/>
      <c r="AN539" s="84"/>
      <c r="AO539" s="84"/>
      <c r="AP539" s="84"/>
      <c r="AQ539" s="84"/>
      <c r="AR539" s="84"/>
      <c r="AS539" s="84"/>
      <c r="AT539" s="84"/>
      <c r="AU539" s="84"/>
      <c r="AV539" s="84"/>
      <c r="AW539" s="84"/>
      <c r="AX539" s="87">
        <f t="array" ref="AX539">IF(G539=1,SUM((ROW(M0)=ROW(AW539))*(M0+M1_+M2_+M3_+M4_+M5_+M6_+M7_+M8_+M9_+M10_+M11_+M12_+M13_+M14_+M15_+M16_+M17_+M18_+M19_+M20_+M21_+M22_+M23_+M24_+M25_+M26_+M27_+M28_+M29_+M30_+M31_+M32_+M33_+M34_+M35_+M36_+M37_)),0)</f>
        <v>0</v>
      </c>
      <c r="AZ539" s="24" t="str">
        <f t="shared" si="121"/>
        <v/>
      </c>
      <c r="BA539" s="24" t="str">
        <f t="shared" si="122"/>
        <v/>
      </c>
      <c r="BB539" s="24" t="str">
        <f t="shared" si="123"/>
        <v/>
      </c>
      <c r="BC539" s="24" t="str">
        <f>IF(OR(E539="",LEFT(TableCosts[[#This Row],[Calc_N_Typ]],18)="Vynaložené náklady"),"",VLOOKUP(E539,Tab_Parts,2,0))</f>
        <v/>
      </c>
      <c r="BD539" s="24" t="str">
        <f t="shared" si="124"/>
        <v/>
      </c>
      <c r="BE539" s="24">
        <f t="shared" si="125"/>
        <v>0</v>
      </c>
      <c r="BF539" s="72">
        <f>TableCosts[[#This Row],[N_Amount]]*TableCosts[[#This Row],[N_Tariff]]*TableCosts[[#This Row],[N_ItemsCount]]</f>
        <v>0</v>
      </c>
      <c r="BG539" s="72">
        <f>IF(G539=1,IF(TableCosts[[#This Row],[N_Kateg]]="interné práce",TableCosts[[#This Row],[N_Amount]]*8*PAR_SGA_PERHOUR,0),0)</f>
        <v>0</v>
      </c>
      <c r="BH539" s="72">
        <f>SUM(TableCosts[[#This Row],[N_Direct]:[N_SGA]])</f>
        <v>0</v>
      </c>
      <c r="BI539" s="24">
        <f>IF(G539=1,IF(OR(AND(NOT(ISERROR(VLOOKUP(TableCosts[[#This Row],[Calc_N_Typ]],Cis_WorkPositions,1,0))),C539&lt;&gt;"",D539&lt;&gt;"",E539&lt;&gt;""),AND(ISERROR(VLOOKUP(TableCosts[[#This Row],[Calc_N_Typ]],Cis_WorkPositions,1,0)),C539="",D539="",E539&lt;&gt;""),LEFT(TableCosts[[#This Row],[Calc_N_Typ]],18)="Vynaložené náklady"),VLOOKUP(C539&amp;TableCosts[[#This Row],[Calc_N_Typ]],TRAN_STRITEMS_LABEL,VLOOKUP(D539,Tab_Hours,3,0),0),NA()),0)</f>
        <v>0</v>
      </c>
      <c r="BJ539" s="24">
        <f t="shared" si="126"/>
        <v>0</v>
      </c>
      <c r="BK539" s="24" t="str">
        <f t="shared" si="127"/>
        <v/>
      </c>
      <c r="BL539" s="24" t="str">
        <f t="shared" si="128"/>
        <v/>
      </c>
      <c r="BM539" s="24" t="str">
        <f>IF(G539=1,IF(TableCosts[[#This Row],[TransferFrom]]=TableCosts[[#This Row],[TranferTo]],0,1),"")</f>
        <v/>
      </c>
      <c r="BN539" s="24" t="str">
        <f t="shared" si="129"/>
        <v/>
      </c>
      <c r="BO539" s="24">
        <f t="shared" si="130"/>
        <v>0</v>
      </c>
      <c r="BP539" s="24">
        <f t="shared" si="131"/>
        <v>0</v>
      </c>
    </row>
    <row r="540" spans="2:68" s="24" customFormat="1" ht="12.75" x14ac:dyDescent="0.2">
      <c r="B540" s="97"/>
      <c r="C540" s="92"/>
      <c r="D540" s="92"/>
      <c r="E540" s="92"/>
      <c r="F540" s="31" t="str">
        <f>IF(G540=1,IF(ISERROR(TableCosts[[#This Row],[N_Tariff]]),Err_Message1,IF(TableCosts[[#This Row],[N_Tariff]]=0,Err_Message2,VLOOKUP(C540&amp;TableCosts[[#This Row],[Calc_N_Typ]],TRAN_STRITEMS_LABEL,5,FALSE))),"")</f>
        <v/>
      </c>
      <c r="G540" s="31">
        <f t="shared" si="120"/>
        <v>0</v>
      </c>
      <c r="H540" s="31" t="str">
        <f>IF(G540=1,IFERROR(VLOOKUP(F540,Tab_ErrMessage[],2,0),VLOOKUP(C540&amp;TableCosts[[#This Row],[Calc_N_Typ]],TRAN_STRITEMS_LABEL,4,FALSE)),"")</f>
        <v/>
      </c>
      <c r="I540" s="94"/>
      <c r="J540" s="94"/>
      <c r="K540" s="94"/>
      <c r="L540" s="84"/>
      <c r="M540" s="84"/>
      <c r="N540" s="84"/>
      <c r="O540" s="84"/>
      <c r="P540" s="84"/>
      <c r="Q540" s="84"/>
      <c r="R540" s="84"/>
      <c r="S540" s="84"/>
      <c r="T540" s="84"/>
      <c r="U540" s="84"/>
      <c r="V540" s="84"/>
      <c r="W540" s="84"/>
      <c r="X540" s="84"/>
      <c r="Y540" s="84"/>
      <c r="Z540" s="84"/>
      <c r="AA540" s="84"/>
      <c r="AB540" s="84"/>
      <c r="AC540" s="84"/>
      <c r="AD540" s="84"/>
      <c r="AE540" s="84"/>
      <c r="AF540" s="84"/>
      <c r="AG540" s="84"/>
      <c r="AH540" s="84"/>
      <c r="AI540" s="84"/>
      <c r="AJ540" s="84"/>
      <c r="AK540" s="84"/>
      <c r="AL540" s="84"/>
      <c r="AM540" s="84"/>
      <c r="AN540" s="84"/>
      <c r="AO540" s="84"/>
      <c r="AP540" s="84"/>
      <c r="AQ540" s="84"/>
      <c r="AR540" s="84"/>
      <c r="AS540" s="84"/>
      <c r="AT540" s="84"/>
      <c r="AU540" s="84"/>
      <c r="AV540" s="84"/>
      <c r="AW540" s="84"/>
      <c r="AX540" s="87">
        <f t="array" ref="AX540">IF(G540=1,SUM((ROW(M0)=ROW(AW540))*(M0+M1_+M2_+M3_+M4_+M5_+M6_+M7_+M8_+M9_+M10_+M11_+M12_+M13_+M14_+M15_+M16_+M17_+M18_+M19_+M20_+M21_+M22_+M23_+M24_+M25_+M26_+M27_+M28_+M29_+M30_+M31_+M32_+M33_+M34_+M35_+M36_+M37_)),0)</f>
        <v>0</v>
      </c>
      <c r="AZ540" s="24" t="str">
        <f t="shared" si="121"/>
        <v/>
      </c>
      <c r="BA540" s="24" t="str">
        <f t="shared" si="122"/>
        <v/>
      </c>
      <c r="BB540" s="24" t="str">
        <f t="shared" si="123"/>
        <v/>
      </c>
      <c r="BC540" s="24" t="str">
        <f>IF(OR(E540="",LEFT(TableCosts[[#This Row],[Calc_N_Typ]],18)="Vynaložené náklady"),"",VLOOKUP(E540,Tab_Parts,2,0))</f>
        <v/>
      </c>
      <c r="BD540" s="24" t="str">
        <f t="shared" si="124"/>
        <v/>
      </c>
      <c r="BE540" s="24">
        <f t="shared" si="125"/>
        <v>0</v>
      </c>
      <c r="BF540" s="72">
        <f>TableCosts[[#This Row],[N_Amount]]*TableCosts[[#This Row],[N_Tariff]]*TableCosts[[#This Row],[N_ItemsCount]]</f>
        <v>0</v>
      </c>
      <c r="BG540" s="72">
        <f>IF(G540=1,IF(TableCosts[[#This Row],[N_Kateg]]="interné práce",TableCosts[[#This Row],[N_Amount]]*8*PAR_SGA_PERHOUR,0),0)</f>
        <v>0</v>
      </c>
      <c r="BH540" s="72">
        <f>SUM(TableCosts[[#This Row],[N_Direct]:[N_SGA]])</f>
        <v>0</v>
      </c>
      <c r="BI540" s="24">
        <f>IF(G540=1,IF(OR(AND(NOT(ISERROR(VLOOKUP(TableCosts[[#This Row],[Calc_N_Typ]],Cis_WorkPositions,1,0))),C540&lt;&gt;"",D540&lt;&gt;"",E540&lt;&gt;""),AND(ISERROR(VLOOKUP(TableCosts[[#This Row],[Calc_N_Typ]],Cis_WorkPositions,1,0)),C540="",D540="",E540&lt;&gt;""),LEFT(TableCosts[[#This Row],[Calc_N_Typ]],18)="Vynaložené náklady"),VLOOKUP(C540&amp;TableCosts[[#This Row],[Calc_N_Typ]],TRAN_STRITEMS_LABEL,VLOOKUP(D540,Tab_Hours,3,0),0),NA()),0)</f>
        <v>0</v>
      </c>
      <c r="BJ540" s="24">
        <f t="shared" si="126"/>
        <v>0</v>
      </c>
      <c r="BK540" s="24" t="str">
        <f t="shared" si="127"/>
        <v/>
      </c>
      <c r="BL540" s="24" t="str">
        <f t="shared" si="128"/>
        <v/>
      </c>
      <c r="BM540" s="24" t="str">
        <f>IF(G540=1,IF(TableCosts[[#This Row],[TransferFrom]]=TableCosts[[#This Row],[TranferTo]],0,1),"")</f>
        <v/>
      </c>
      <c r="BN540" s="24" t="str">
        <f t="shared" si="129"/>
        <v/>
      </c>
      <c r="BO540" s="24">
        <f t="shared" si="130"/>
        <v>0</v>
      </c>
      <c r="BP540" s="24">
        <f t="shared" si="131"/>
        <v>0</v>
      </c>
    </row>
    <row r="541" spans="2:68" s="24" customFormat="1" ht="12.75" x14ac:dyDescent="0.2">
      <c r="B541" s="97"/>
      <c r="C541" s="92"/>
      <c r="D541" s="92"/>
      <c r="E541" s="92"/>
      <c r="F541" s="31" t="str">
        <f>IF(G541=1,IF(ISERROR(TableCosts[[#This Row],[N_Tariff]]),Err_Message1,IF(TableCosts[[#This Row],[N_Tariff]]=0,Err_Message2,VLOOKUP(C541&amp;TableCosts[[#This Row],[Calc_N_Typ]],TRAN_STRITEMS_LABEL,5,FALSE))),"")</f>
        <v/>
      </c>
      <c r="G541" s="31">
        <f t="shared" si="120"/>
        <v>0</v>
      </c>
      <c r="H541" s="31" t="str">
        <f>IF(G541=1,IFERROR(VLOOKUP(F541,Tab_ErrMessage[],2,0),VLOOKUP(C541&amp;TableCosts[[#This Row],[Calc_N_Typ]],TRAN_STRITEMS_LABEL,4,FALSE)),"")</f>
        <v/>
      </c>
      <c r="I541" s="94"/>
      <c r="J541" s="94"/>
      <c r="K541" s="94"/>
      <c r="L541" s="84"/>
      <c r="M541" s="84"/>
      <c r="N541" s="84"/>
      <c r="O541" s="84"/>
      <c r="P541" s="84"/>
      <c r="Q541" s="84"/>
      <c r="R541" s="84"/>
      <c r="S541" s="84"/>
      <c r="T541" s="84"/>
      <c r="U541" s="84"/>
      <c r="V541" s="84"/>
      <c r="W541" s="84"/>
      <c r="X541" s="84"/>
      <c r="Y541" s="84"/>
      <c r="Z541" s="84"/>
      <c r="AA541" s="84"/>
      <c r="AB541" s="84"/>
      <c r="AC541" s="84"/>
      <c r="AD541" s="84"/>
      <c r="AE541" s="84"/>
      <c r="AF541" s="84"/>
      <c r="AG541" s="84"/>
      <c r="AH541" s="84"/>
      <c r="AI541" s="84"/>
      <c r="AJ541" s="84"/>
      <c r="AK541" s="84"/>
      <c r="AL541" s="84"/>
      <c r="AM541" s="84"/>
      <c r="AN541" s="84"/>
      <c r="AO541" s="84"/>
      <c r="AP541" s="84"/>
      <c r="AQ541" s="84"/>
      <c r="AR541" s="84"/>
      <c r="AS541" s="84"/>
      <c r="AT541" s="84"/>
      <c r="AU541" s="84"/>
      <c r="AV541" s="84"/>
      <c r="AW541" s="84"/>
      <c r="AX541" s="87">
        <f t="array" ref="AX541">IF(G541=1,SUM((ROW(M0)=ROW(AW541))*(M0+M1_+M2_+M3_+M4_+M5_+M6_+M7_+M8_+M9_+M10_+M11_+M12_+M13_+M14_+M15_+M16_+M17_+M18_+M19_+M20_+M21_+M22_+M23_+M24_+M25_+M26_+M27_+M28_+M29_+M30_+M31_+M32_+M33_+M34_+M35_+M36_+M37_)),0)</f>
        <v>0</v>
      </c>
      <c r="AZ541" s="24" t="str">
        <f t="shared" si="121"/>
        <v/>
      </c>
      <c r="BA541" s="24" t="str">
        <f t="shared" si="122"/>
        <v/>
      </c>
      <c r="BB541" s="24" t="str">
        <f t="shared" si="123"/>
        <v/>
      </c>
      <c r="BC541" s="24" t="str">
        <f>IF(OR(E541="",LEFT(TableCosts[[#This Row],[Calc_N_Typ]],18)="Vynaložené náklady"),"",VLOOKUP(E541,Tab_Parts,2,0))</f>
        <v/>
      </c>
      <c r="BD541" s="24" t="str">
        <f t="shared" si="124"/>
        <v/>
      </c>
      <c r="BE541" s="24">
        <f t="shared" si="125"/>
        <v>0</v>
      </c>
      <c r="BF541" s="72">
        <f>TableCosts[[#This Row],[N_Amount]]*TableCosts[[#This Row],[N_Tariff]]*TableCosts[[#This Row],[N_ItemsCount]]</f>
        <v>0</v>
      </c>
      <c r="BG541" s="72">
        <f>IF(G541=1,IF(TableCosts[[#This Row],[N_Kateg]]="interné práce",TableCosts[[#This Row],[N_Amount]]*8*PAR_SGA_PERHOUR,0),0)</f>
        <v>0</v>
      </c>
      <c r="BH541" s="72">
        <f>SUM(TableCosts[[#This Row],[N_Direct]:[N_SGA]])</f>
        <v>0</v>
      </c>
      <c r="BI541" s="24">
        <f>IF(G541=1,IF(OR(AND(NOT(ISERROR(VLOOKUP(TableCosts[[#This Row],[Calc_N_Typ]],Cis_WorkPositions,1,0))),C541&lt;&gt;"",D541&lt;&gt;"",E541&lt;&gt;""),AND(ISERROR(VLOOKUP(TableCosts[[#This Row],[Calc_N_Typ]],Cis_WorkPositions,1,0)),C541="",D541="",E541&lt;&gt;""),LEFT(TableCosts[[#This Row],[Calc_N_Typ]],18)="Vynaložené náklady"),VLOOKUP(C541&amp;TableCosts[[#This Row],[Calc_N_Typ]],TRAN_STRITEMS_LABEL,VLOOKUP(D541,Tab_Hours,3,0),0),NA()),0)</f>
        <v>0</v>
      </c>
      <c r="BJ541" s="24">
        <f t="shared" si="126"/>
        <v>0</v>
      </c>
      <c r="BK541" s="24" t="str">
        <f t="shared" si="127"/>
        <v/>
      </c>
      <c r="BL541" s="24" t="str">
        <f t="shared" si="128"/>
        <v/>
      </c>
      <c r="BM541" s="24" t="str">
        <f>IF(G541=1,IF(TableCosts[[#This Row],[TransferFrom]]=TableCosts[[#This Row],[TranferTo]],0,1),"")</f>
        <v/>
      </c>
      <c r="BN541" s="24" t="str">
        <f t="shared" si="129"/>
        <v/>
      </c>
      <c r="BO541" s="24">
        <f t="shared" si="130"/>
        <v>0</v>
      </c>
      <c r="BP541" s="24">
        <f t="shared" si="131"/>
        <v>0</v>
      </c>
    </row>
    <row r="542" spans="2:68" s="24" customFormat="1" ht="12.75" x14ac:dyDescent="0.2">
      <c r="B542" s="97"/>
      <c r="C542" s="92"/>
      <c r="D542" s="92"/>
      <c r="E542" s="92"/>
      <c r="F542" s="31" t="str">
        <f>IF(G542=1,IF(ISERROR(TableCosts[[#This Row],[N_Tariff]]),Err_Message1,IF(TableCosts[[#This Row],[N_Tariff]]=0,Err_Message2,VLOOKUP(C542&amp;TableCosts[[#This Row],[Calc_N_Typ]],TRAN_STRITEMS_LABEL,5,FALSE))),"")</f>
        <v/>
      </c>
      <c r="G542" s="31">
        <f t="shared" si="120"/>
        <v>0</v>
      </c>
      <c r="H542" s="31" t="str">
        <f>IF(G542=1,IFERROR(VLOOKUP(F542,Tab_ErrMessage[],2,0),VLOOKUP(C542&amp;TableCosts[[#This Row],[Calc_N_Typ]],TRAN_STRITEMS_LABEL,4,FALSE)),"")</f>
        <v/>
      </c>
      <c r="I542" s="94"/>
      <c r="J542" s="94"/>
      <c r="K542" s="94"/>
      <c r="L542" s="84"/>
      <c r="M542" s="84"/>
      <c r="N542" s="84"/>
      <c r="O542" s="84"/>
      <c r="P542" s="84"/>
      <c r="Q542" s="84"/>
      <c r="R542" s="84"/>
      <c r="S542" s="84"/>
      <c r="T542" s="84"/>
      <c r="U542" s="84"/>
      <c r="V542" s="84"/>
      <c r="W542" s="84"/>
      <c r="X542" s="84"/>
      <c r="Y542" s="84"/>
      <c r="Z542" s="84"/>
      <c r="AA542" s="84"/>
      <c r="AB542" s="84"/>
      <c r="AC542" s="84"/>
      <c r="AD542" s="84"/>
      <c r="AE542" s="84"/>
      <c r="AF542" s="84"/>
      <c r="AG542" s="84"/>
      <c r="AH542" s="84"/>
      <c r="AI542" s="84"/>
      <c r="AJ542" s="84"/>
      <c r="AK542" s="84"/>
      <c r="AL542" s="84"/>
      <c r="AM542" s="84"/>
      <c r="AN542" s="84"/>
      <c r="AO542" s="84"/>
      <c r="AP542" s="84"/>
      <c r="AQ542" s="84"/>
      <c r="AR542" s="84"/>
      <c r="AS542" s="84"/>
      <c r="AT542" s="84"/>
      <c r="AU542" s="84"/>
      <c r="AV542" s="84"/>
      <c r="AW542" s="84"/>
      <c r="AX542" s="87">
        <f t="array" ref="AX542">IF(G542=1,SUM((ROW(M0)=ROW(AW542))*(M0+M1_+M2_+M3_+M4_+M5_+M6_+M7_+M8_+M9_+M10_+M11_+M12_+M13_+M14_+M15_+M16_+M17_+M18_+M19_+M20_+M21_+M22_+M23_+M24_+M25_+M26_+M27_+M28_+M29_+M30_+M31_+M32_+M33_+M34_+M35_+M36_+M37_)),0)</f>
        <v>0</v>
      </c>
      <c r="AZ542" s="24" t="str">
        <f t="shared" si="121"/>
        <v/>
      </c>
      <c r="BA542" s="24" t="str">
        <f t="shared" si="122"/>
        <v/>
      </c>
      <c r="BB542" s="24" t="str">
        <f t="shared" si="123"/>
        <v/>
      </c>
      <c r="BC542" s="24" t="str">
        <f>IF(OR(E542="",LEFT(TableCosts[[#This Row],[Calc_N_Typ]],18)="Vynaložené náklady"),"",VLOOKUP(E542,Tab_Parts,2,0))</f>
        <v/>
      </c>
      <c r="BD542" s="24" t="str">
        <f t="shared" si="124"/>
        <v/>
      </c>
      <c r="BE542" s="24">
        <f t="shared" si="125"/>
        <v>0</v>
      </c>
      <c r="BF542" s="72">
        <f>TableCosts[[#This Row],[N_Amount]]*TableCosts[[#This Row],[N_Tariff]]*TableCosts[[#This Row],[N_ItemsCount]]</f>
        <v>0</v>
      </c>
      <c r="BG542" s="72">
        <f>IF(G542=1,IF(TableCosts[[#This Row],[N_Kateg]]="interné práce",TableCosts[[#This Row],[N_Amount]]*8*PAR_SGA_PERHOUR,0),0)</f>
        <v>0</v>
      </c>
      <c r="BH542" s="72">
        <f>SUM(TableCosts[[#This Row],[N_Direct]:[N_SGA]])</f>
        <v>0</v>
      </c>
      <c r="BI542" s="24">
        <f>IF(G542=1,IF(OR(AND(NOT(ISERROR(VLOOKUP(TableCosts[[#This Row],[Calc_N_Typ]],Cis_WorkPositions,1,0))),C542&lt;&gt;"",D542&lt;&gt;"",E542&lt;&gt;""),AND(ISERROR(VLOOKUP(TableCosts[[#This Row],[Calc_N_Typ]],Cis_WorkPositions,1,0)),C542="",D542="",E542&lt;&gt;""),LEFT(TableCosts[[#This Row],[Calc_N_Typ]],18)="Vynaložené náklady"),VLOOKUP(C542&amp;TableCosts[[#This Row],[Calc_N_Typ]],TRAN_STRITEMS_LABEL,VLOOKUP(D542,Tab_Hours,3,0),0),NA()),0)</f>
        <v>0</v>
      </c>
      <c r="BJ542" s="24">
        <f t="shared" si="126"/>
        <v>0</v>
      </c>
      <c r="BK542" s="24" t="str">
        <f t="shared" si="127"/>
        <v/>
      </c>
      <c r="BL542" s="24" t="str">
        <f t="shared" si="128"/>
        <v/>
      </c>
      <c r="BM542" s="24" t="str">
        <f>IF(G542=1,IF(TableCosts[[#This Row],[TransferFrom]]=TableCosts[[#This Row],[TranferTo]],0,1),"")</f>
        <v/>
      </c>
      <c r="BN542" s="24" t="str">
        <f t="shared" si="129"/>
        <v/>
      </c>
      <c r="BO542" s="24">
        <f t="shared" si="130"/>
        <v>0</v>
      </c>
      <c r="BP542" s="24">
        <f t="shared" si="131"/>
        <v>0</v>
      </c>
    </row>
    <row r="543" spans="2:68" s="24" customFormat="1" ht="12.75" x14ac:dyDescent="0.2">
      <c r="B543" s="97"/>
      <c r="C543" s="92"/>
      <c r="D543" s="92"/>
      <c r="E543" s="92"/>
      <c r="F543" s="31" t="str">
        <f>IF(G543=1,IF(ISERROR(TableCosts[[#This Row],[N_Tariff]]),Err_Message1,IF(TableCosts[[#This Row],[N_Tariff]]=0,Err_Message2,VLOOKUP(C543&amp;TableCosts[[#This Row],[Calc_N_Typ]],TRAN_STRITEMS_LABEL,5,FALSE))),"")</f>
        <v/>
      </c>
      <c r="G543" s="31">
        <f t="shared" si="120"/>
        <v>0</v>
      </c>
      <c r="H543" s="31" t="str">
        <f>IF(G543=1,IFERROR(VLOOKUP(F543,Tab_ErrMessage[],2,0),VLOOKUP(C543&amp;TableCosts[[#This Row],[Calc_N_Typ]],TRAN_STRITEMS_LABEL,4,FALSE)),"")</f>
        <v/>
      </c>
      <c r="I543" s="94"/>
      <c r="J543" s="94"/>
      <c r="K543" s="94"/>
      <c r="L543" s="84"/>
      <c r="M543" s="84"/>
      <c r="N543" s="84"/>
      <c r="O543" s="84"/>
      <c r="P543" s="84"/>
      <c r="Q543" s="84"/>
      <c r="R543" s="84"/>
      <c r="S543" s="84"/>
      <c r="T543" s="84"/>
      <c r="U543" s="84"/>
      <c r="V543" s="84"/>
      <c r="W543" s="84"/>
      <c r="X543" s="84"/>
      <c r="Y543" s="84"/>
      <c r="Z543" s="84"/>
      <c r="AA543" s="84"/>
      <c r="AB543" s="84"/>
      <c r="AC543" s="84"/>
      <c r="AD543" s="84"/>
      <c r="AE543" s="84"/>
      <c r="AF543" s="84"/>
      <c r="AG543" s="84"/>
      <c r="AH543" s="84"/>
      <c r="AI543" s="84"/>
      <c r="AJ543" s="84"/>
      <c r="AK543" s="84"/>
      <c r="AL543" s="84"/>
      <c r="AM543" s="84"/>
      <c r="AN543" s="84"/>
      <c r="AO543" s="84"/>
      <c r="AP543" s="84"/>
      <c r="AQ543" s="84"/>
      <c r="AR543" s="84"/>
      <c r="AS543" s="84"/>
      <c r="AT543" s="84"/>
      <c r="AU543" s="84"/>
      <c r="AV543" s="84"/>
      <c r="AW543" s="84"/>
      <c r="AX543" s="87">
        <f t="array" ref="AX543">IF(G543=1,SUM((ROW(M0)=ROW(AW543))*(M0+M1_+M2_+M3_+M4_+M5_+M6_+M7_+M8_+M9_+M10_+M11_+M12_+M13_+M14_+M15_+M16_+M17_+M18_+M19_+M20_+M21_+M22_+M23_+M24_+M25_+M26_+M27_+M28_+M29_+M30_+M31_+M32_+M33_+M34_+M35_+M36_+M37_)),0)</f>
        <v>0</v>
      </c>
      <c r="AZ543" s="24" t="str">
        <f t="shared" si="121"/>
        <v/>
      </c>
      <c r="BA543" s="24" t="str">
        <f t="shared" si="122"/>
        <v/>
      </c>
      <c r="BB543" s="24" t="str">
        <f t="shared" si="123"/>
        <v/>
      </c>
      <c r="BC543" s="24" t="str">
        <f>IF(OR(E543="",LEFT(TableCosts[[#This Row],[Calc_N_Typ]],18)="Vynaložené náklady"),"",VLOOKUP(E543,Tab_Parts,2,0))</f>
        <v/>
      </c>
      <c r="BD543" s="24" t="str">
        <f t="shared" si="124"/>
        <v/>
      </c>
      <c r="BE543" s="24">
        <f t="shared" si="125"/>
        <v>0</v>
      </c>
      <c r="BF543" s="72">
        <f>TableCosts[[#This Row],[N_Amount]]*TableCosts[[#This Row],[N_Tariff]]*TableCosts[[#This Row],[N_ItemsCount]]</f>
        <v>0</v>
      </c>
      <c r="BG543" s="72">
        <f>IF(G543=1,IF(TableCosts[[#This Row],[N_Kateg]]="interné práce",TableCosts[[#This Row],[N_Amount]]*8*PAR_SGA_PERHOUR,0),0)</f>
        <v>0</v>
      </c>
      <c r="BH543" s="72">
        <f>SUM(TableCosts[[#This Row],[N_Direct]:[N_SGA]])</f>
        <v>0</v>
      </c>
      <c r="BI543" s="24">
        <f>IF(G543=1,IF(OR(AND(NOT(ISERROR(VLOOKUP(TableCosts[[#This Row],[Calc_N_Typ]],Cis_WorkPositions,1,0))),C543&lt;&gt;"",D543&lt;&gt;"",E543&lt;&gt;""),AND(ISERROR(VLOOKUP(TableCosts[[#This Row],[Calc_N_Typ]],Cis_WorkPositions,1,0)),C543="",D543="",E543&lt;&gt;""),LEFT(TableCosts[[#This Row],[Calc_N_Typ]],18)="Vynaložené náklady"),VLOOKUP(C543&amp;TableCosts[[#This Row],[Calc_N_Typ]],TRAN_STRITEMS_LABEL,VLOOKUP(D543,Tab_Hours,3,0),0),NA()),0)</f>
        <v>0</v>
      </c>
      <c r="BJ543" s="24">
        <f t="shared" si="126"/>
        <v>0</v>
      </c>
      <c r="BK543" s="24" t="str">
        <f t="shared" si="127"/>
        <v/>
      </c>
      <c r="BL543" s="24" t="str">
        <f t="shared" si="128"/>
        <v/>
      </c>
      <c r="BM543" s="24" t="str">
        <f>IF(G543=1,IF(TableCosts[[#This Row],[TransferFrom]]=TableCosts[[#This Row],[TranferTo]],0,1),"")</f>
        <v/>
      </c>
      <c r="BN543" s="24" t="str">
        <f t="shared" si="129"/>
        <v/>
      </c>
      <c r="BO543" s="24">
        <f t="shared" si="130"/>
        <v>0</v>
      </c>
      <c r="BP543" s="24">
        <f t="shared" si="131"/>
        <v>0</v>
      </c>
    </row>
    <row r="544" spans="2:68" s="24" customFormat="1" ht="12.75" x14ac:dyDescent="0.2">
      <c r="B544" s="97"/>
      <c r="C544" s="92"/>
      <c r="D544" s="92"/>
      <c r="E544" s="92"/>
      <c r="F544" s="31" t="str">
        <f>IF(G544=1,IF(ISERROR(TableCosts[[#This Row],[N_Tariff]]),Err_Message1,IF(TableCosts[[#This Row],[N_Tariff]]=0,Err_Message2,VLOOKUP(C544&amp;TableCosts[[#This Row],[Calc_N_Typ]],TRAN_STRITEMS_LABEL,5,FALSE))),"")</f>
        <v/>
      </c>
      <c r="G544" s="31">
        <f t="shared" si="120"/>
        <v>0</v>
      </c>
      <c r="H544" s="31" t="str">
        <f>IF(G544=1,IFERROR(VLOOKUP(F544,Tab_ErrMessage[],2,0),VLOOKUP(C544&amp;TableCosts[[#This Row],[Calc_N_Typ]],TRAN_STRITEMS_LABEL,4,FALSE)),"")</f>
        <v/>
      </c>
      <c r="I544" s="94"/>
      <c r="J544" s="94"/>
      <c r="K544" s="94"/>
      <c r="L544" s="84"/>
      <c r="M544" s="84"/>
      <c r="N544" s="84"/>
      <c r="O544" s="84"/>
      <c r="P544" s="84"/>
      <c r="Q544" s="84"/>
      <c r="R544" s="84"/>
      <c r="S544" s="84"/>
      <c r="T544" s="84"/>
      <c r="U544" s="84"/>
      <c r="V544" s="84"/>
      <c r="W544" s="84"/>
      <c r="X544" s="84"/>
      <c r="Y544" s="84"/>
      <c r="Z544" s="84"/>
      <c r="AA544" s="84"/>
      <c r="AB544" s="84"/>
      <c r="AC544" s="84"/>
      <c r="AD544" s="84"/>
      <c r="AE544" s="84"/>
      <c r="AF544" s="84"/>
      <c r="AG544" s="84"/>
      <c r="AH544" s="84"/>
      <c r="AI544" s="84"/>
      <c r="AJ544" s="84"/>
      <c r="AK544" s="84"/>
      <c r="AL544" s="84"/>
      <c r="AM544" s="84"/>
      <c r="AN544" s="84"/>
      <c r="AO544" s="84"/>
      <c r="AP544" s="84"/>
      <c r="AQ544" s="84"/>
      <c r="AR544" s="84"/>
      <c r="AS544" s="84"/>
      <c r="AT544" s="84"/>
      <c r="AU544" s="84"/>
      <c r="AV544" s="84"/>
      <c r="AW544" s="84"/>
      <c r="AX544" s="87">
        <f t="array" ref="AX544">IF(G544=1,SUM((ROW(M0)=ROW(AW544))*(M0+M1_+M2_+M3_+M4_+M5_+M6_+M7_+M8_+M9_+M10_+M11_+M12_+M13_+M14_+M15_+M16_+M17_+M18_+M19_+M20_+M21_+M22_+M23_+M24_+M25_+M26_+M27_+M28_+M29_+M30_+M31_+M32_+M33_+M34_+M35_+M36_+M37_)),0)</f>
        <v>0</v>
      </c>
      <c r="AZ544" s="24" t="str">
        <f t="shared" si="121"/>
        <v/>
      </c>
      <c r="BA544" s="24" t="str">
        <f t="shared" si="122"/>
        <v/>
      </c>
      <c r="BB544" s="24" t="str">
        <f t="shared" si="123"/>
        <v/>
      </c>
      <c r="BC544" s="24" t="str">
        <f>IF(OR(E544="",LEFT(TableCosts[[#This Row],[Calc_N_Typ]],18)="Vynaložené náklady"),"",VLOOKUP(E544,Tab_Parts,2,0))</f>
        <v/>
      </c>
      <c r="BD544" s="24" t="str">
        <f t="shared" si="124"/>
        <v/>
      </c>
      <c r="BE544" s="24">
        <f t="shared" si="125"/>
        <v>0</v>
      </c>
      <c r="BF544" s="72">
        <f>TableCosts[[#This Row],[N_Amount]]*TableCosts[[#This Row],[N_Tariff]]*TableCosts[[#This Row],[N_ItemsCount]]</f>
        <v>0</v>
      </c>
      <c r="BG544" s="72">
        <f>IF(G544=1,IF(TableCosts[[#This Row],[N_Kateg]]="interné práce",TableCosts[[#This Row],[N_Amount]]*8*PAR_SGA_PERHOUR,0),0)</f>
        <v>0</v>
      </c>
      <c r="BH544" s="72">
        <f>SUM(TableCosts[[#This Row],[N_Direct]:[N_SGA]])</f>
        <v>0</v>
      </c>
      <c r="BI544" s="24">
        <f>IF(G544=1,IF(OR(AND(NOT(ISERROR(VLOOKUP(TableCosts[[#This Row],[Calc_N_Typ]],Cis_WorkPositions,1,0))),C544&lt;&gt;"",D544&lt;&gt;"",E544&lt;&gt;""),AND(ISERROR(VLOOKUP(TableCosts[[#This Row],[Calc_N_Typ]],Cis_WorkPositions,1,0)),C544="",D544="",E544&lt;&gt;""),LEFT(TableCosts[[#This Row],[Calc_N_Typ]],18)="Vynaložené náklady"),VLOOKUP(C544&amp;TableCosts[[#This Row],[Calc_N_Typ]],TRAN_STRITEMS_LABEL,VLOOKUP(D544,Tab_Hours,3,0),0),NA()),0)</f>
        <v>0</v>
      </c>
      <c r="BJ544" s="24">
        <f t="shared" si="126"/>
        <v>0</v>
      </c>
      <c r="BK544" s="24" t="str">
        <f t="shared" si="127"/>
        <v/>
      </c>
      <c r="BL544" s="24" t="str">
        <f t="shared" si="128"/>
        <v/>
      </c>
      <c r="BM544" s="24" t="str">
        <f>IF(G544=1,IF(TableCosts[[#This Row],[TransferFrom]]=TableCosts[[#This Row],[TranferTo]],0,1),"")</f>
        <v/>
      </c>
      <c r="BN544" s="24" t="str">
        <f t="shared" si="129"/>
        <v/>
      </c>
      <c r="BO544" s="24">
        <f t="shared" si="130"/>
        <v>0</v>
      </c>
      <c r="BP544" s="24">
        <f t="shared" si="131"/>
        <v>0</v>
      </c>
    </row>
    <row r="545" spans="2:68" s="24" customFormat="1" ht="12.75" x14ac:dyDescent="0.2">
      <c r="B545" s="97"/>
      <c r="C545" s="92"/>
      <c r="D545" s="92"/>
      <c r="E545" s="92"/>
      <c r="F545" s="31" t="str">
        <f>IF(G545=1,IF(ISERROR(TableCosts[[#This Row],[N_Tariff]]),Err_Message1,IF(TableCosts[[#This Row],[N_Tariff]]=0,Err_Message2,VLOOKUP(C545&amp;TableCosts[[#This Row],[Calc_N_Typ]],TRAN_STRITEMS_LABEL,5,FALSE))),"")</f>
        <v/>
      </c>
      <c r="G545" s="31">
        <f t="shared" si="120"/>
        <v>0</v>
      </c>
      <c r="H545" s="31" t="str">
        <f>IF(G545=1,IFERROR(VLOOKUP(F545,Tab_ErrMessage[],2,0),VLOOKUP(C545&amp;TableCosts[[#This Row],[Calc_N_Typ]],TRAN_STRITEMS_LABEL,4,FALSE)),"")</f>
        <v/>
      </c>
      <c r="I545" s="94"/>
      <c r="J545" s="94"/>
      <c r="K545" s="94"/>
      <c r="L545" s="84"/>
      <c r="M545" s="84"/>
      <c r="N545" s="84"/>
      <c r="O545" s="84"/>
      <c r="P545" s="84"/>
      <c r="Q545" s="84"/>
      <c r="R545" s="84"/>
      <c r="S545" s="84"/>
      <c r="T545" s="84"/>
      <c r="U545" s="84"/>
      <c r="V545" s="84"/>
      <c r="W545" s="84"/>
      <c r="X545" s="84"/>
      <c r="Y545" s="84"/>
      <c r="Z545" s="84"/>
      <c r="AA545" s="84"/>
      <c r="AB545" s="84"/>
      <c r="AC545" s="84"/>
      <c r="AD545" s="84"/>
      <c r="AE545" s="84"/>
      <c r="AF545" s="84"/>
      <c r="AG545" s="84"/>
      <c r="AH545" s="84"/>
      <c r="AI545" s="84"/>
      <c r="AJ545" s="84"/>
      <c r="AK545" s="84"/>
      <c r="AL545" s="84"/>
      <c r="AM545" s="84"/>
      <c r="AN545" s="84"/>
      <c r="AO545" s="84"/>
      <c r="AP545" s="84"/>
      <c r="AQ545" s="84"/>
      <c r="AR545" s="84"/>
      <c r="AS545" s="84"/>
      <c r="AT545" s="84"/>
      <c r="AU545" s="84"/>
      <c r="AV545" s="84"/>
      <c r="AW545" s="84"/>
      <c r="AX545" s="87">
        <f t="array" ref="AX545">IF(G545=1,SUM((ROW(M0)=ROW(AW545))*(M0+M1_+M2_+M3_+M4_+M5_+M6_+M7_+M8_+M9_+M10_+M11_+M12_+M13_+M14_+M15_+M16_+M17_+M18_+M19_+M20_+M21_+M22_+M23_+M24_+M25_+M26_+M27_+M28_+M29_+M30_+M31_+M32_+M33_+M34_+M35_+M36_+M37_)),0)</f>
        <v>0</v>
      </c>
      <c r="AZ545" s="24" t="str">
        <f t="shared" si="121"/>
        <v/>
      </c>
      <c r="BA545" s="24" t="str">
        <f t="shared" si="122"/>
        <v/>
      </c>
      <c r="BB545" s="24" t="str">
        <f t="shared" si="123"/>
        <v/>
      </c>
      <c r="BC545" s="24" t="str">
        <f>IF(OR(E545="",LEFT(TableCosts[[#This Row],[Calc_N_Typ]],18)="Vynaložené náklady"),"",VLOOKUP(E545,Tab_Parts,2,0))</f>
        <v/>
      </c>
      <c r="BD545" s="24" t="str">
        <f t="shared" si="124"/>
        <v/>
      </c>
      <c r="BE545" s="24">
        <f t="shared" si="125"/>
        <v>0</v>
      </c>
      <c r="BF545" s="72">
        <f>TableCosts[[#This Row],[N_Amount]]*TableCosts[[#This Row],[N_Tariff]]*TableCosts[[#This Row],[N_ItemsCount]]</f>
        <v>0</v>
      </c>
      <c r="BG545" s="72">
        <f>IF(G545=1,IF(TableCosts[[#This Row],[N_Kateg]]="interné práce",TableCosts[[#This Row],[N_Amount]]*8*PAR_SGA_PERHOUR,0),0)</f>
        <v>0</v>
      </c>
      <c r="BH545" s="72">
        <f>SUM(TableCosts[[#This Row],[N_Direct]:[N_SGA]])</f>
        <v>0</v>
      </c>
      <c r="BI545" s="24">
        <f>IF(G545=1,IF(OR(AND(NOT(ISERROR(VLOOKUP(TableCosts[[#This Row],[Calc_N_Typ]],Cis_WorkPositions,1,0))),C545&lt;&gt;"",D545&lt;&gt;"",E545&lt;&gt;""),AND(ISERROR(VLOOKUP(TableCosts[[#This Row],[Calc_N_Typ]],Cis_WorkPositions,1,0)),C545="",D545="",E545&lt;&gt;""),LEFT(TableCosts[[#This Row],[Calc_N_Typ]],18)="Vynaložené náklady"),VLOOKUP(C545&amp;TableCosts[[#This Row],[Calc_N_Typ]],TRAN_STRITEMS_LABEL,VLOOKUP(D545,Tab_Hours,3,0),0),NA()),0)</f>
        <v>0</v>
      </c>
      <c r="BJ545" s="24">
        <f t="shared" si="126"/>
        <v>0</v>
      </c>
      <c r="BK545" s="24" t="str">
        <f t="shared" si="127"/>
        <v/>
      </c>
      <c r="BL545" s="24" t="str">
        <f t="shared" si="128"/>
        <v/>
      </c>
      <c r="BM545" s="24" t="str">
        <f>IF(G545=1,IF(TableCosts[[#This Row],[TransferFrom]]=TableCosts[[#This Row],[TranferTo]],0,1),"")</f>
        <v/>
      </c>
      <c r="BN545" s="24" t="str">
        <f t="shared" si="129"/>
        <v/>
      </c>
      <c r="BO545" s="24">
        <f t="shared" si="130"/>
        <v>0</v>
      </c>
      <c r="BP545" s="24">
        <f t="shared" si="131"/>
        <v>0</v>
      </c>
    </row>
    <row r="546" spans="2:68" s="24" customFormat="1" ht="12.75" x14ac:dyDescent="0.2">
      <c r="B546" s="97"/>
      <c r="C546" s="92"/>
      <c r="D546" s="92"/>
      <c r="E546" s="92"/>
      <c r="F546" s="31" t="str">
        <f>IF(G546=1,IF(ISERROR(TableCosts[[#This Row],[N_Tariff]]),Err_Message1,IF(TableCosts[[#This Row],[N_Tariff]]=0,Err_Message2,VLOOKUP(C546&amp;TableCosts[[#This Row],[Calc_N_Typ]],TRAN_STRITEMS_LABEL,5,FALSE))),"")</f>
        <v/>
      </c>
      <c r="G546" s="31">
        <f t="shared" si="120"/>
        <v>0</v>
      </c>
      <c r="H546" s="31" t="str">
        <f>IF(G546=1,IFERROR(VLOOKUP(F546,Tab_ErrMessage[],2,0),VLOOKUP(C546&amp;TableCosts[[#This Row],[Calc_N_Typ]],TRAN_STRITEMS_LABEL,4,FALSE)),"")</f>
        <v/>
      </c>
      <c r="I546" s="94"/>
      <c r="J546" s="94"/>
      <c r="K546" s="94"/>
      <c r="L546" s="84"/>
      <c r="M546" s="84"/>
      <c r="N546" s="84"/>
      <c r="O546" s="84"/>
      <c r="P546" s="84"/>
      <c r="Q546" s="84"/>
      <c r="R546" s="84"/>
      <c r="S546" s="84"/>
      <c r="T546" s="84"/>
      <c r="U546" s="84"/>
      <c r="V546" s="84"/>
      <c r="W546" s="84"/>
      <c r="X546" s="84"/>
      <c r="Y546" s="84"/>
      <c r="Z546" s="84"/>
      <c r="AA546" s="84"/>
      <c r="AB546" s="84"/>
      <c r="AC546" s="84"/>
      <c r="AD546" s="84"/>
      <c r="AE546" s="84"/>
      <c r="AF546" s="84"/>
      <c r="AG546" s="84"/>
      <c r="AH546" s="84"/>
      <c r="AI546" s="84"/>
      <c r="AJ546" s="84"/>
      <c r="AK546" s="84"/>
      <c r="AL546" s="84"/>
      <c r="AM546" s="84"/>
      <c r="AN546" s="84"/>
      <c r="AO546" s="84"/>
      <c r="AP546" s="84"/>
      <c r="AQ546" s="84"/>
      <c r="AR546" s="84"/>
      <c r="AS546" s="84"/>
      <c r="AT546" s="84"/>
      <c r="AU546" s="84"/>
      <c r="AV546" s="84"/>
      <c r="AW546" s="84"/>
      <c r="AX546" s="87">
        <f t="array" ref="AX546">IF(G546=1,SUM((ROW(M0)=ROW(AW546))*(M0+M1_+M2_+M3_+M4_+M5_+M6_+M7_+M8_+M9_+M10_+M11_+M12_+M13_+M14_+M15_+M16_+M17_+M18_+M19_+M20_+M21_+M22_+M23_+M24_+M25_+M26_+M27_+M28_+M29_+M30_+M31_+M32_+M33_+M34_+M35_+M36_+M37_)),0)</f>
        <v>0</v>
      </c>
      <c r="AZ546" s="24" t="str">
        <f t="shared" si="121"/>
        <v/>
      </c>
      <c r="BA546" s="24" t="str">
        <f t="shared" si="122"/>
        <v/>
      </c>
      <c r="BB546" s="24" t="str">
        <f t="shared" si="123"/>
        <v/>
      </c>
      <c r="BC546" s="24" t="str">
        <f>IF(OR(E546="",LEFT(TableCosts[[#This Row],[Calc_N_Typ]],18)="Vynaložené náklady"),"",VLOOKUP(E546,Tab_Parts,2,0))</f>
        <v/>
      </c>
      <c r="BD546" s="24" t="str">
        <f t="shared" si="124"/>
        <v/>
      </c>
      <c r="BE546" s="24">
        <f t="shared" si="125"/>
        <v>0</v>
      </c>
      <c r="BF546" s="72">
        <f>TableCosts[[#This Row],[N_Amount]]*TableCosts[[#This Row],[N_Tariff]]*TableCosts[[#This Row],[N_ItemsCount]]</f>
        <v>0</v>
      </c>
      <c r="BG546" s="72">
        <f>IF(G546=1,IF(TableCosts[[#This Row],[N_Kateg]]="interné práce",TableCosts[[#This Row],[N_Amount]]*8*PAR_SGA_PERHOUR,0),0)</f>
        <v>0</v>
      </c>
      <c r="BH546" s="72">
        <f>SUM(TableCosts[[#This Row],[N_Direct]:[N_SGA]])</f>
        <v>0</v>
      </c>
      <c r="BI546" s="24">
        <f>IF(G546=1,IF(OR(AND(NOT(ISERROR(VLOOKUP(TableCosts[[#This Row],[Calc_N_Typ]],Cis_WorkPositions,1,0))),C546&lt;&gt;"",D546&lt;&gt;"",E546&lt;&gt;""),AND(ISERROR(VLOOKUP(TableCosts[[#This Row],[Calc_N_Typ]],Cis_WorkPositions,1,0)),C546="",D546="",E546&lt;&gt;""),LEFT(TableCosts[[#This Row],[Calc_N_Typ]],18)="Vynaložené náklady"),VLOOKUP(C546&amp;TableCosts[[#This Row],[Calc_N_Typ]],TRAN_STRITEMS_LABEL,VLOOKUP(D546,Tab_Hours,3,0),0),NA()),0)</f>
        <v>0</v>
      </c>
      <c r="BJ546" s="24">
        <f t="shared" si="126"/>
        <v>0</v>
      </c>
      <c r="BK546" s="24" t="str">
        <f t="shared" si="127"/>
        <v/>
      </c>
      <c r="BL546" s="24" t="str">
        <f t="shared" si="128"/>
        <v/>
      </c>
      <c r="BM546" s="24" t="str">
        <f>IF(G546=1,IF(TableCosts[[#This Row],[TransferFrom]]=TableCosts[[#This Row],[TranferTo]],0,1),"")</f>
        <v/>
      </c>
      <c r="BN546" s="24" t="str">
        <f t="shared" si="129"/>
        <v/>
      </c>
      <c r="BO546" s="24">
        <f t="shared" si="130"/>
        <v>0</v>
      </c>
      <c r="BP546" s="24">
        <f t="shared" si="131"/>
        <v>0</v>
      </c>
    </row>
    <row r="547" spans="2:68" s="24" customFormat="1" ht="12.75" x14ac:dyDescent="0.2">
      <c r="B547" s="97"/>
      <c r="C547" s="92"/>
      <c r="D547" s="92"/>
      <c r="E547" s="92"/>
      <c r="F547" s="31" t="str">
        <f>IF(G547=1,IF(ISERROR(TableCosts[[#This Row],[N_Tariff]]),Err_Message1,IF(TableCosts[[#This Row],[N_Tariff]]=0,Err_Message2,VLOOKUP(C547&amp;TableCosts[[#This Row],[Calc_N_Typ]],TRAN_STRITEMS_LABEL,5,FALSE))),"")</f>
        <v/>
      </c>
      <c r="G547" s="31">
        <f t="shared" si="120"/>
        <v>0</v>
      </c>
      <c r="H547" s="31" t="str">
        <f>IF(G547=1,IFERROR(VLOOKUP(F547,Tab_ErrMessage[],2,0),VLOOKUP(C547&amp;TableCosts[[#This Row],[Calc_N_Typ]],TRAN_STRITEMS_LABEL,4,FALSE)),"")</f>
        <v/>
      </c>
      <c r="I547" s="94"/>
      <c r="J547" s="94"/>
      <c r="K547" s="94"/>
      <c r="L547" s="84"/>
      <c r="M547" s="84"/>
      <c r="N547" s="84"/>
      <c r="O547" s="84"/>
      <c r="P547" s="84"/>
      <c r="Q547" s="84"/>
      <c r="R547" s="84"/>
      <c r="S547" s="84"/>
      <c r="T547" s="84"/>
      <c r="U547" s="84"/>
      <c r="V547" s="84"/>
      <c r="W547" s="84"/>
      <c r="X547" s="84"/>
      <c r="Y547" s="84"/>
      <c r="Z547" s="84"/>
      <c r="AA547" s="84"/>
      <c r="AB547" s="84"/>
      <c r="AC547" s="84"/>
      <c r="AD547" s="84"/>
      <c r="AE547" s="84"/>
      <c r="AF547" s="84"/>
      <c r="AG547" s="84"/>
      <c r="AH547" s="84"/>
      <c r="AI547" s="84"/>
      <c r="AJ547" s="84"/>
      <c r="AK547" s="84"/>
      <c r="AL547" s="84"/>
      <c r="AM547" s="84"/>
      <c r="AN547" s="84"/>
      <c r="AO547" s="84"/>
      <c r="AP547" s="84"/>
      <c r="AQ547" s="84"/>
      <c r="AR547" s="84"/>
      <c r="AS547" s="84"/>
      <c r="AT547" s="84"/>
      <c r="AU547" s="84"/>
      <c r="AV547" s="84"/>
      <c r="AW547" s="84"/>
      <c r="AX547" s="87">
        <f t="array" ref="AX547">IF(G547=1,SUM((ROW(M0)=ROW(AW547))*(M0+M1_+M2_+M3_+M4_+M5_+M6_+M7_+M8_+M9_+M10_+M11_+M12_+M13_+M14_+M15_+M16_+M17_+M18_+M19_+M20_+M21_+M22_+M23_+M24_+M25_+M26_+M27_+M28_+M29_+M30_+M31_+M32_+M33_+M34_+M35_+M36_+M37_)),0)</f>
        <v>0</v>
      </c>
      <c r="AZ547" s="24" t="str">
        <f t="shared" si="121"/>
        <v/>
      </c>
      <c r="BA547" s="24" t="str">
        <f t="shared" si="122"/>
        <v/>
      </c>
      <c r="BB547" s="24" t="str">
        <f t="shared" si="123"/>
        <v/>
      </c>
      <c r="BC547" s="24" t="str">
        <f>IF(OR(E547="",LEFT(TableCosts[[#This Row],[Calc_N_Typ]],18)="Vynaložené náklady"),"",VLOOKUP(E547,Tab_Parts,2,0))</f>
        <v/>
      </c>
      <c r="BD547" s="24" t="str">
        <f t="shared" si="124"/>
        <v/>
      </c>
      <c r="BE547" s="24">
        <f t="shared" si="125"/>
        <v>0</v>
      </c>
      <c r="BF547" s="72">
        <f>TableCosts[[#This Row],[N_Amount]]*TableCosts[[#This Row],[N_Tariff]]*TableCosts[[#This Row],[N_ItemsCount]]</f>
        <v>0</v>
      </c>
      <c r="BG547" s="72">
        <f>IF(G547=1,IF(TableCosts[[#This Row],[N_Kateg]]="interné práce",TableCosts[[#This Row],[N_Amount]]*8*PAR_SGA_PERHOUR,0),0)</f>
        <v>0</v>
      </c>
      <c r="BH547" s="72">
        <f>SUM(TableCosts[[#This Row],[N_Direct]:[N_SGA]])</f>
        <v>0</v>
      </c>
      <c r="BI547" s="24">
        <f>IF(G547=1,IF(OR(AND(NOT(ISERROR(VLOOKUP(TableCosts[[#This Row],[Calc_N_Typ]],Cis_WorkPositions,1,0))),C547&lt;&gt;"",D547&lt;&gt;"",E547&lt;&gt;""),AND(ISERROR(VLOOKUP(TableCosts[[#This Row],[Calc_N_Typ]],Cis_WorkPositions,1,0)),C547="",D547="",E547&lt;&gt;""),LEFT(TableCosts[[#This Row],[Calc_N_Typ]],18)="Vynaložené náklady"),VLOOKUP(C547&amp;TableCosts[[#This Row],[Calc_N_Typ]],TRAN_STRITEMS_LABEL,VLOOKUP(D547,Tab_Hours,3,0),0),NA()),0)</f>
        <v>0</v>
      </c>
      <c r="BJ547" s="24">
        <f t="shared" si="126"/>
        <v>0</v>
      </c>
      <c r="BK547" s="24" t="str">
        <f t="shared" si="127"/>
        <v/>
      </c>
      <c r="BL547" s="24" t="str">
        <f t="shared" si="128"/>
        <v/>
      </c>
      <c r="BM547" s="24" t="str">
        <f>IF(G547=1,IF(TableCosts[[#This Row],[TransferFrom]]=TableCosts[[#This Row],[TranferTo]],0,1),"")</f>
        <v/>
      </c>
      <c r="BN547" s="24" t="str">
        <f t="shared" si="129"/>
        <v/>
      </c>
      <c r="BO547" s="24">
        <f t="shared" si="130"/>
        <v>0</v>
      </c>
      <c r="BP547" s="24">
        <f t="shared" si="131"/>
        <v>0</v>
      </c>
    </row>
    <row r="548" spans="2:68" s="24" customFormat="1" ht="12.75" x14ac:dyDescent="0.2">
      <c r="B548" s="97"/>
      <c r="C548" s="92"/>
      <c r="D548" s="92"/>
      <c r="E548" s="92"/>
      <c r="F548" s="31" t="str">
        <f>IF(G548=1,IF(ISERROR(TableCosts[[#This Row],[N_Tariff]]),Err_Message1,IF(TableCosts[[#This Row],[N_Tariff]]=0,Err_Message2,VLOOKUP(C548&amp;TableCosts[[#This Row],[Calc_N_Typ]],TRAN_STRITEMS_LABEL,5,FALSE))),"")</f>
        <v/>
      </c>
      <c r="G548" s="31">
        <f t="shared" si="120"/>
        <v>0</v>
      </c>
      <c r="H548" s="31" t="str">
        <f>IF(G548=1,IFERROR(VLOOKUP(F548,Tab_ErrMessage[],2,0),VLOOKUP(C548&amp;TableCosts[[#This Row],[Calc_N_Typ]],TRAN_STRITEMS_LABEL,4,FALSE)),"")</f>
        <v/>
      </c>
      <c r="I548" s="94"/>
      <c r="J548" s="94"/>
      <c r="K548" s="94"/>
      <c r="L548" s="84"/>
      <c r="M548" s="84"/>
      <c r="N548" s="84"/>
      <c r="O548" s="84"/>
      <c r="P548" s="84"/>
      <c r="Q548" s="84"/>
      <c r="R548" s="84"/>
      <c r="S548" s="84"/>
      <c r="T548" s="84"/>
      <c r="U548" s="84"/>
      <c r="V548" s="84"/>
      <c r="W548" s="84"/>
      <c r="X548" s="84"/>
      <c r="Y548" s="84"/>
      <c r="Z548" s="84"/>
      <c r="AA548" s="84"/>
      <c r="AB548" s="84"/>
      <c r="AC548" s="84"/>
      <c r="AD548" s="84"/>
      <c r="AE548" s="84"/>
      <c r="AF548" s="84"/>
      <c r="AG548" s="84"/>
      <c r="AH548" s="84"/>
      <c r="AI548" s="84"/>
      <c r="AJ548" s="84"/>
      <c r="AK548" s="84"/>
      <c r="AL548" s="84"/>
      <c r="AM548" s="84"/>
      <c r="AN548" s="84"/>
      <c r="AO548" s="84"/>
      <c r="AP548" s="84"/>
      <c r="AQ548" s="84"/>
      <c r="AR548" s="84"/>
      <c r="AS548" s="84"/>
      <c r="AT548" s="84"/>
      <c r="AU548" s="84"/>
      <c r="AV548" s="84"/>
      <c r="AW548" s="84"/>
      <c r="AX548" s="87">
        <f t="array" ref="AX548">IF(G548=1,SUM((ROW(M0)=ROW(AW548))*(M0+M1_+M2_+M3_+M4_+M5_+M6_+M7_+M8_+M9_+M10_+M11_+M12_+M13_+M14_+M15_+M16_+M17_+M18_+M19_+M20_+M21_+M22_+M23_+M24_+M25_+M26_+M27_+M28_+M29_+M30_+M31_+M32_+M33_+M34_+M35_+M36_+M37_)),0)</f>
        <v>0</v>
      </c>
      <c r="AZ548" s="24" t="str">
        <f t="shared" si="121"/>
        <v/>
      </c>
      <c r="BA548" s="24" t="str">
        <f t="shared" si="122"/>
        <v/>
      </c>
      <c r="BB548" s="24" t="str">
        <f t="shared" si="123"/>
        <v/>
      </c>
      <c r="BC548" s="24" t="str">
        <f>IF(OR(E548="",LEFT(TableCosts[[#This Row],[Calc_N_Typ]],18)="Vynaložené náklady"),"",VLOOKUP(E548,Tab_Parts,2,0))</f>
        <v/>
      </c>
      <c r="BD548" s="24" t="str">
        <f t="shared" si="124"/>
        <v/>
      </c>
      <c r="BE548" s="24">
        <f t="shared" si="125"/>
        <v>0</v>
      </c>
      <c r="BF548" s="72">
        <f>TableCosts[[#This Row],[N_Amount]]*TableCosts[[#This Row],[N_Tariff]]*TableCosts[[#This Row],[N_ItemsCount]]</f>
        <v>0</v>
      </c>
      <c r="BG548" s="72">
        <f>IF(G548=1,IF(TableCosts[[#This Row],[N_Kateg]]="interné práce",TableCosts[[#This Row],[N_Amount]]*8*PAR_SGA_PERHOUR,0),0)</f>
        <v>0</v>
      </c>
      <c r="BH548" s="72">
        <f>SUM(TableCosts[[#This Row],[N_Direct]:[N_SGA]])</f>
        <v>0</v>
      </c>
      <c r="BI548" s="24">
        <f>IF(G548=1,IF(OR(AND(NOT(ISERROR(VLOOKUP(TableCosts[[#This Row],[Calc_N_Typ]],Cis_WorkPositions,1,0))),C548&lt;&gt;"",D548&lt;&gt;"",E548&lt;&gt;""),AND(ISERROR(VLOOKUP(TableCosts[[#This Row],[Calc_N_Typ]],Cis_WorkPositions,1,0)),C548="",D548="",E548&lt;&gt;""),LEFT(TableCosts[[#This Row],[Calc_N_Typ]],18)="Vynaložené náklady"),VLOOKUP(C548&amp;TableCosts[[#This Row],[Calc_N_Typ]],TRAN_STRITEMS_LABEL,VLOOKUP(D548,Tab_Hours,3,0),0),NA()),0)</f>
        <v>0</v>
      </c>
      <c r="BJ548" s="24">
        <f t="shared" si="126"/>
        <v>0</v>
      </c>
      <c r="BK548" s="24" t="str">
        <f t="shared" si="127"/>
        <v/>
      </c>
      <c r="BL548" s="24" t="str">
        <f t="shared" si="128"/>
        <v/>
      </c>
      <c r="BM548" s="24" t="str">
        <f>IF(G548=1,IF(TableCosts[[#This Row],[TransferFrom]]=TableCosts[[#This Row],[TranferTo]],0,1),"")</f>
        <v/>
      </c>
      <c r="BN548" s="24" t="str">
        <f t="shared" si="129"/>
        <v/>
      </c>
      <c r="BO548" s="24">
        <f t="shared" si="130"/>
        <v>0</v>
      </c>
      <c r="BP548" s="24">
        <f t="shared" si="131"/>
        <v>0</v>
      </c>
    </row>
    <row r="549" spans="2:68" s="24" customFormat="1" ht="12.75" x14ac:dyDescent="0.2">
      <c r="B549" s="97"/>
      <c r="C549" s="92"/>
      <c r="D549" s="92"/>
      <c r="E549" s="92"/>
      <c r="F549" s="31" t="str">
        <f>IF(G549=1,IF(ISERROR(TableCosts[[#This Row],[N_Tariff]]),Err_Message1,IF(TableCosts[[#This Row],[N_Tariff]]=0,Err_Message2,VLOOKUP(C549&amp;TableCosts[[#This Row],[Calc_N_Typ]],TRAN_STRITEMS_LABEL,5,FALSE))),"")</f>
        <v/>
      </c>
      <c r="G549" s="31">
        <f t="shared" si="120"/>
        <v>0</v>
      </c>
      <c r="H549" s="31" t="str">
        <f>IF(G549=1,IFERROR(VLOOKUP(F549,Tab_ErrMessage[],2,0),VLOOKUP(C549&amp;TableCosts[[#This Row],[Calc_N_Typ]],TRAN_STRITEMS_LABEL,4,FALSE)),"")</f>
        <v/>
      </c>
      <c r="I549" s="94"/>
      <c r="J549" s="94"/>
      <c r="K549" s="94"/>
      <c r="L549" s="84"/>
      <c r="M549" s="84"/>
      <c r="N549" s="84"/>
      <c r="O549" s="84"/>
      <c r="P549" s="84"/>
      <c r="Q549" s="84"/>
      <c r="R549" s="84"/>
      <c r="S549" s="84"/>
      <c r="T549" s="84"/>
      <c r="U549" s="84"/>
      <c r="V549" s="84"/>
      <c r="W549" s="84"/>
      <c r="X549" s="84"/>
      <c r="Y549" s="84"/>
      <c r="Z549" s="84"/>
      <c r="AA549" s="84"/>
      <c r="AB549" s="84"/>
      <c r="AC549" s="84"/>
      <c r="AD549" s="84"/>
      <c r="AE549" s="84"/>
      <c r="AF549" s="84"/>
      <c r="AG549" s="84"/>
      <c r="AH549" s="84"/>
      <c r="AI549" s="84"/>
      <c r="AJ549" s="84"/>
      <c r="AK549" s="84"/>
      <c r="AL549" s="84"/>
      <c r="AM549" s="84"/>
      <c r="AN549" s="84"/>
      <c r="AO549" s="84"/>
      <c r="AP549" s="84"/>
      <c r="AQ549" s="84"/>
      <c r="AR549" s="84"/>
      <c r="AS549" s="84"/>
      <c r="AT549" s="84"/>
      <c r="AU549" s="84"/>
      <c r="AV549" s="84"/>
      <c r="AW549" s="84"/>
      <c r="AX549" s="87">
        <f t="array" ref="AX549">IF(G549=1,SUM((ROW(M0)=ROW(AW549))*(M0+M1_+M2_+M3_+M4_+M5_+M6_+M7_+M8_+M9_+M10_+M11_+M12_+M13_+M14_+M15_+M16_+M17_+M18_+M19_+M20_+M21_+M22_+M23_+M24_+M25_+M26_+M27_+M28_+M29_+M30_+M31_+M32_+M33_+M34_+M35_+M36_+M37_)),0)</f>
        <v>0</v>
      </c>
      <c r="AZ549" s="24" t="str">
        <f t="shared" si="121"/>
        <v/>
      </c>
      <c r="BA549" s="24" t="str">
        <f t="shared" si="122"/>
        <v/>
      </c>
      <c r="BB549" s="24" t="str">
        <f t="shared" si="123"/>
        <v/>
      </c>
      <c r="BC549" s="24" t="str">
        <f>IF(OR(E549="",LEFT(TableCosts[[#This Row],[Calc_N_Typ]],18)="Vynaložené náklady"),"",VLOOKUP(E549,Tab_Parts,2,0))</f>
        <v/>
      </c>
      <c r="BD549" s="24" t="str">
        <f t="shared" si="124"/>
        <v/>
      </c>
      <c r="BE549" s="24">
        <f t="shared" si="125"/>
        <v>0</v>
      </c>
      <c r="BF549" s="72">
        <f>TableCosts[[#This Row],[N_Amount]]*TableCosts[[#This Row],[N_Tariff]]*TableCosts[[#This Row],[N_ItemsCount]]</f>
        <v>0</v>
      </c>
      <c r="BG549" s="72">
        <f>IF(G549=1,IF(TableCosts[[#This Row],[N_Kateg]]="interné práce",TableCosts[[#This Row],[N_Amount]]*8*PAR_SGA_PERHOUR,0),0)</f>
        <v>0</v>
      </c>
      <c r="BH549" s="72">
        <f>SUM(TableCosts[[#This Row],[N_Direct]:[N_SGA]])</f>
        <v>0</v>
      </c>
      <c r="BI549" s="24">
        <f>IF(G549=1,IF(OR(AND(NOT(ISERROR(VLOOKUP(TableCosts[[#This Row],[Calc_N_Typ]],Cis_WorkPositions,1,0))),C549&lt;&gt;"",D549&lt;&gt;"",E549&lt;&gt;""),AND(ISERROR(VLOOKUP(TableCosts[[#This Row],[Calc_N_Typ]],Cis_WorkPositions,1,0)),C549="",D549="",E549&lt;&gt;""),LEFT(TableCosts[[#This Row],[Calc_N_Typ]],18)="Vynaložené náklady"),VLOOKUP(C549&amp;TableCosts[[#This Row],[Calc_N_Typ]],TRAN_STRITEMS_LABEL,VLOOKUP(D549,Tab_Hours,3,0),0),NA()),0)</f>
        <v>0</v>
      </c>
      <c r="BJ549" s="24">
        <f t="shared" si="126"/>
        <v>0</v>
      </c>
      <c r="BK549" s="24" t="str">
        <f t="shared" si="127"/>
        <v/>
      </c>
      <c r="BL549" s="24" t="str">
        <f t="shared" si="128"/>
        <v/>
      </c>
      <c r="BM549" s="24" t="str">
        <f>IF(G549=1,IF(TableCosts[[#This Row],[TransferFrom]]=TableCosts[[#This Row],[TranferTo]],0,1),"")</f>
        <v/>
      </c>
      <c r="BN549" s="24" t="str">
        <f t="shared" si="129"/>
        <v/>
      </c>
      <c r="BO549" s="24">
        <f t="shared" si="130"/>
        <v>0</v>
      </c>
      <c r="BP549" s="24">
        <f t="shared" si="131"/>
        <v>0</v>
      </c>
    </row>
    <row r="550" spans="2:68" s="24" customFormat="1" ht="12.75" x14ac:dyDescent="0.2">
      <c r="B550" s="97"/>
      <c r="C550" s="92"/>
      <c r="D550" s="92"/>
      <c r="E550" s="92"/>
      <c r="F550" s="31" t="str">
        <f>IF(G550=1,IF(ISERROR(TableCosts[[#This Row],[N_Tariff]]),Err_Message1,IF(TableCosts[[#This Row],[N_Tariff]]=0,Err_Message2,VLOOKUP(C550&amp;TableCosts[[#This Row],[Calc_N_Typ]],TRAN_STRITEMS_LABEL,5,FALSE))),"")</f>
        <v/>
      </c>
      <c r="G550" s="31">
        <f t="shared" si="120"/>
        <v>0</v>
      </c>
      <c r="H550" s="31" t="str">
        <f>IF(G550=1,IFERROR(VLOOKUP(F550,Tab_ErrMessage[],2,0),VLOOKUP(C550&amp;TableCosts[[#This Row],[Calc_N_Typ]],TRAN_STRITEMS_LABEL,4,FALSE)),"")</f>
        <v/>
      </c>
      <c r="I550" s="94"/>
      <c r="J550" s="94"/>
      <c r="K550" s="94"/>
      <c r="L550" s="84"/>
      <c r="M550" s="84"/>
      <c r="N550" s="84"/>
      <c r="O550" s="84"/>
      <c r="P550" s="84"/>
      <c r="Q550" s="84"/>
      <c r="R550" s="84"/>
      <c r="S550" s="84"/>
      <c r="T550" s="84"/>
      <c r="U550" s="84"/>
      <c r="V550" s="84"/>
      <c r="W550" s="84"/>
      <c r="X550" s="84"/>
      <c r="Y550" s="84"/>
      <c r="Z550" s="84"/>
      <c r="AA550" s="84"/>
      <c r="AB550" s="84"/>
      <c r="AC550" s="84"/>
      <c r="AD550" s="84"/>
      <c r="AE550" s="84"/>
      <c r="AF550" s="84"/>
      <c r="AG550" s="84"/>
      <c r="AH550" s="84"/>
      <c r="AI550" s="84"/>
      <c r="AJ550" s="84"/>
      <c r="AK550" s="84"/>
      <c r="AL550" s="84"/>
      <c r="AM550" s="84"/>
      <c r="AN550" s="84"/>
      <c r="AO550" s="84"/>
      <c r="AP550" s="84"/>
      <c r="AQ550" s="84"/>
      <c r="AR550" s="84"/>
      <c r="AS550" s="84"/>
      <c r="AT550" s="84"/>
      <c r="AU550" s="84"/>
      <c r="AV550" s="84"/>
      <c r="AW550" s="84"/>
      <c r="AX550" s="87">
        <f t="array" ref="AX550">IF(G550=1,SUM((ROW(M0)=ROW(AW550))*(M0+M1_+M2_+M3_+M4_+M5_+M6_+M7_+M8_+M9_+M10_+M11_+M12_+M13_+M14_+M15_+M16_+M17_+M18_+M19_+M20_+M21_+M22_+M23_+M24_+M25_+M26_+M27_+M28_+M29_+M30_+M31_+M32_+M33_+M34_+M35_+M36_+M37_)),0)</f>
        <v>0</v>
      </c>
      <c r="AZ550" s="24" t="str">
        <f t="shared" si="121"/>
        <v/>
      </c>
      <c r="BA550" s="24" t="str">
        <f t="shared" si="122"/>
        <v/>
      </c>
      <c r="BB550" s="24" t="str">
        <f t="shared" si="123"/>
        <v/>
      </c>
      <c r="BC550" s="24" t="str">
        <f>IF(OR(E550="",LEFT(TableCosts[[#This Row],[Calc_N_Typ]],18)="Vynaložené náklady"),"",VLOOKUP(E550,Tab_Parts,2,0))</f>
        <v/>
      </c>
      <c r="BD550" s="24" t="str">
        <f t="shared" si="124"/>
        <v/>
      </c>
      <c r="BE550" s="24">
        <f t="shared" si="125"/>
        <v>0</v>
      </c>
      <c r="BF550" s="72">
        <f>TableCosts[[#This Row],[N_Amount]]*TableCosts[[#This Row],[N_Tariff]]*TableCosts[[#This Row],[N_ItemsCount]]</f>
        <v>0</v>
      </c>
      <c r="BG550" s="72">
        <f>IF(G550=1,IF(TableCosts[[#This Row],[N_Kateg]]="interné práce",TableCosts[[#This Row],[N_Amount]]*8*PAR_SGA_PERHOUR,0),0)</f>
        <v>0</v>
      </c>
      <c r="BH550" s="72">
        <f>SUM(TableCosts[[#This Row],[N_Direct]:[N_SGA]])</f>
        <v>0</v>
      </c>
      <c r="BI550" s="24">
        <f>IF(G550=1,IF(OR(AND(NOT(ISERROR(VLOOKUP(TableCosts[[#This Row],[Calc_N_Typ]],Cis_WorkPositions,1,0))),C550&lt;&gt;"",D550&lt;&gt;"",E550&lt;&gt;""),AND(ISERROR(VLOOKUP(TableCosts[[#This Row],[Calc_N_Typ]],Cis_WorkPositions,1,0)),C550="",D550="",E550&lt;&gt;""),LEFT(TableCosts[[#This Row],[Calc_N_Typ]],18)="Vynaložené náklady"),VLOOKUP(C550&amp;TableCosts[[#This Row],[Calc_N_Typ]],TRAN_STRITEMS_LABEL,VLOOKUP(D550,Tab_Hours,3,0),0),NA()),0)</f>
        <v>0</v>
      </c>
      <c r="BJ550" s="24">
        <f t="shared" si="126"/>
        <v>0</v>
      </c>
      <c r="BK550" s="24" t="str">
        <f t="shared" si="127"/>
        <v/>
      </c>
      <c r="BL550" s="24" t="str">
        <f t="shared" si="128"/>
        <v/>
      </c>
      <c r="BM550" s="24" t="str">
        <f>IF(G550=1,IF(TableCosts[[#This Row],[TransferFrom]]=TableCosts[[#This Row],[TranferTo]],0,1),"")</f>
        <v/>
      </c>
      <c r="BN550" s="24" t="str">
        <f t="shared" si="129"/>
        <v/>
      </c>
      <c r="BO550" s="24">
        <f t="shared" si="130"/>
        <v>0</v>
      </c>
      <c r="BP550" s="24">
        <f t="shared" si="131"/>
        <v>0</v>
      </c>
    </row>
    <row r="551" spans="2:68" s="24" customFormat="1" ht="12.75" x14ac:dyDescent="0.2">
      <c r="B551" s="97"/>
      <c r="C551" s="92"/>
      <c r="D551" s="92"/>
      <c r="E551" s="92"/>
      <c r="F551" s="31" t="str">
        <f>IF(G551=1,IF(ISERROR(TableCosts[[#This Row],[N_Tariff]]),Err_Message1,IF(TableCosts[[#This Row],[N_Tariff]]=0,Err_Message2,VLOOKUP(C551&amp;TableCosts[[#This Row],[Calc_N_Typ]],TRAN_STRITEMS_LABEL,5,FALSE))),"")</f>
        <v/>
      </c>
      <c r="G551" s="31">
        <f t="shared" si="120"/>
        <v>0</v>
      </c>
      <c r="H551" s="31" t="str">
        <f>IF(G551=1,IFERROR(VLOOKUP(F551,Tab_ErrMessage[],2,0),VLOOKUP(C551&amp;TableCosts[[#This Row],[Calc_N_Typ]],TRAN_STRITEMS_LABEL,4,FALSE)),"")</f>
        <v/>
      </c>
      <c r="I551" s="94"/>
      <c r="J551" s="94"/>
      <c r="K551" s="94"/>
      <c r="L551" s="84"/>
      <c r="M551" s="84"/>
      <c r="N551" s="84"/>
      <c r="O551" s="84"/>
      <c r="P551" s="84"/>
      <c r="Q551" s="84"/>
      <c r="R551" s="84"/>
      <c r="S551" s="84"/>
      <c r="T551" s="84"/>
      <c r="U551" s="84"/>
      <c r="V551" s="84"/>
      <c r="W551" s="84"/>
      <c r="X551" s="84"/>
      <c r="Y551" s="84"/>
      <c r="Z551" s="84"/>
      <c r="AA551" s="84"/>
      <c r="AB551" s="84"/>
      <c r="AC551" s="84"/>
      <c r="AD551" s="84"/>
      <c r="AE551" s="84"/>
      <c r="AF551" s="84"/>
      <c r="AG551" s="84"/>
      <c r="AH551" s="84"/>
      <c r="AI551" s="84"/>
      <c r="AJ551" s="84"/>
      <c r="AK551" s="84"/>
      <c r="AL551" s="84"/>
      <c r="AM551" s="84"/>
      <c r="AN551" s="84"/>
      <c r="AO551" s="84"/>
      <c r="AP551" s="84"/>
      <c r="AQ551" s="84"/>
      <c r="AR551" s="84"/>
      <c r="AS551" s="84"/>
      <c r="AT551" s="84"/>
      <c r="AU551" s="84"/>
      <c r="AV551" s="84"/>
      <c r="AW551" s="84"/>
      <c r="AX551" s="87">
        <f t="array" ref="AX551">IF(G551=1,SUM((ROW(M0)=ROW(AW551))*(M0+M1_+M2_+M3_+M4_+M5_+M6_+M7_+M8_+M9_+M10_+M11_+M12_+M13_+M14_+M15_+M16_+M17_+M18_+M19_+M20_+M21_+M22_+M23_+M24_+M25_+M26_+M27_+M28_+M29_+M30_+M31_+M32_+M33_+M34_+M35_+M36_+M37_)),0)</f>
        <v>0</v>
      </c>
      <c r="AZ551" s="24" t="str">
        <f t="shared" si="121"/>
        <v/>
      </c>
      <c r="BA551" s="24" t="str">
        <f t="shared" si="122"/>
        <v/>
      </c>
      <c r="BB551" s="24" t="str">
        <f t="shared" si="123"/>
        <v/>
      </c>
      <c r="BC551" s="24" t="str">
        <f>IF(OR(E551="",LEFT(TableCosts[[#This Row],[Calc_N_Typ]],18)="Vynaložené náklady"),"",VLOOKUP(E551,Tab_Parts,2,0))</f>
        <v/>
      </c>
      <c r="BD551" s="24" t="str">
        <f t="shared" si="124"/>
        <v/>
      </c>
      <c r="BE551" s="24">
        <f t="shared" si="125"/>
        <v>0</v>
      </c>
      <c r="BF551" s="72">
        <f>TableCosts[[#This Row],[N_Amount]]*TableCosts[[#This Row],[N_Tariff]]*TableCosts[[#This Row],[N_ItemsCount]]</f>
        <v>0</v>
      </c>
      <c r="BG551" s="72">
        <f>IF(G551=1,IF(TableCosts[[#This Row],[N_Kateg]]="interné práce",TableCosts[[#This Row],[N_Amount]]*8*PAR_SGA_PERHOUR,0),0)</f>
        <v>0</v>
      </c>
      <c r="BH551" s="72">
        <f>SUM(TableCosts[[#This Row],[N_Direct]:[N_SGA]])</f>
        <v>0</v>
      </c>
      <c r="BI551" s="24">
        <f>IF(G551=1,IF(OR(AND(NOT(ISERROR(VLOOKUP(TableCosts[[#This Row],[Calc_N_Typ]],Cis_WorkPositions,1,0))),C551&lt;&gt;"",D551&lt;&gt;"",E551&lt;&gt;""),AND(ISERROR(VLOOKUP(TableCosts[[#This Row],[Calc_N_Typ]],Cis_WorkPositions,1,0)),C551="",D551="",E551&lt;&gt;""),LEFT(TableCosts[[#This Row],[Calc_N_Typ]],18)="Vynaložené náklady"),VLOOKUP(C551&amp;TableCosts[[#This Row],[Calc_N_Typ]],TRAN_STRITEMS_LABEL,VLOOKUP(D551,Tab_Hours,3,0),0),NA()),0)</f>
        <v>0</v>
      </c>
      <c r="BJ551" s="24">
        <f t="shared" si="126"/>
        <v>0</v>
      </c>
      <c r="BK551" s="24" t="str">
        <f t="shared" si="127"/>
        <v/>
      </c>
      <c r="BL551" s="24" t="str">
        <f t="shared" si="128"/>
        <v/>
      </c>
      <c r="BM551" s="24" t="str">
        <f>IF(G551=1,IF(TableCosts[[#This Row],[TransferFrom]]=TableCosts[[#This Row],[TranferTo]],0,1),"")</f>
        <v/>
      </c>
      <c r="BN551" s="24" t="str">
        <f t="shared" si="129"/>
        <v/>
      </c>
      <c r="BO551" s="24">
        <f t="shared" si="130"/>
        <v>0</v>
      </c>
      <c r="BP551" s="24">
        <f t="shared" si="131"/>
        <v>0</v>
      </c>
    </row>
    <row r="552" spans="2:68" s="24" customFormat="1" ht="12.75" x14ac:dyDescent="0.2">
      <c r="B552" s="97"/>
      <c r="C552" s="92"/>
      <c r="D552" s="92"/>
      <c r="E552" s="92"/>
      <c r="F552" s="31" t="str">
        <f>IF(G552=1,IF(ISERROR(TableCosts[[#This Row],[N_Tariff]]),Err_Message1,IF(TableCosts[[#This Row],[N_Tariff]]=0,Err_Message2,VLOOKUP(C552&amp;TableCosts[[#This Row],[Calc_N_Typ]],TRAN_STRITEMS_LABEL,5,FALSE))),"")</f>
        <v/>
      </c>
      <c r="G552" s="31">
        <f t="shared" si="120"/>
        <v>0</v>
      </c>
      <c r="H552" s="31" t="str">
        <f>IF(G552=1,IFERROR(VLOOKUP(F552,Tab_ErrMessage[],2,0),VLOOKUP(C552&amp;TableCosts[[#This Row],[Calc_N_Typ]],TRAN_STRITEMS_LABEL,4,FALSE)),"")</f>
        <v/>
      </c>
      <c r="I552" s="94"/>
      <c r="J552" s="94"/>
      <c r="K552" s="94"/>
      <c r="L552" s="84"/>
      <c r="M552" s="84"/>
      <c r="N552" s="84"/>
      <c r="O552" s="84"/>
      <c r="P552" s="84"/>
      <c r="Q552" s="84"/>
      <c r="R552" s="84"/>
      <c r="S552" s="84"/>
      <c r="T552" s="84"/>
      <c r="U552" s="84"/>
      <c r="V552" s="84"/>
      <c r="W552" s="84"/>
      <c r="X552" s="84"/>
      <c r="Y552" s="84"/>
      <c r="Z552" s="84"/>
      <c r="AA552" s="84"/>
      <c r="AB552" s="84"/>
      <c r="AC552" s="84"/>
      <c r="AD552" s="84"/>
      <c r="AE552" s="84"/>
      <c r="AF552" s="84"/>
      <c r="AG552" s="84"/>
      <c r="AH552" s="84"/>
      <c r="AI552" s="84"/>
      <c r="AJ552" s="84"/>
      <c r="AK552" s="84"/>
      <c r="AL552" s="84"/>
      <c r="AM552" s="84"/>
      <c r="AN552" s="84"/>
      <c r="AO552" s="84"/>
      <c r="AP552" s="84"/>
      <c r="AQ552" s="84"/>
      <c r="AR552" s="84"/>
      <c r="AS552" s="84"/>
      <c r="AT552" s="84"/>
      <c r="AU552" s="84"/>
      <c r="AV552" s="84"/>
      <c r="AW552" s="84"/>
      <c r="AX552" s="87">
        <f t="array" ref="AX552">IF(G552=1,SUM((ROW(M0)=ROW(AW552))*(M0+M1_+M2_+M3_+M4_+M5_+M6_+M7_+M8_+M9_+M10_+M11_+M12_+M13_+M14_+M15_+M16_+M17_+M18_+M19_+M20_+M21_+M22_+M23_+M24_+M25_+M26_+M27_+M28_+M29_+M30_+M31_+M32_+M33_+M34_+M35_+M36_+M37_)),0)</f>
        <v>0</v>
      </c>
      <c r="AZ552" s="24" t="str">
        <f t="shared" si="121"/>
        <v/>
      </c>
      <c r="BA552" s="24" t="str">
        <f t="shared" si="122"/>
        <v/>
      </c>
      <c r="BB552" s="24" t="str">
        <f t="shared" si="123"/>
        <v/>
      </c>
      <c r="BC552" s="24" t="str">
        <f>IF(OR(E552="",LEFT(TableCosts[[#This Row],[Calc_N_Typ]],18)="Vynaložené náklady"),"",VLOOKUP(E552,Tab_Parts,2,0))</f>
        <v/>
      </c>
      <c r="BD552" s="24" t="str">
        <f t="shared" si="124"/>
        <v/>
      </c>
      <c r="BE552" s="24">
        <f t="shared" si="125"/>
        <v>0</v>
      </c>
      <c r="BF552" s="72">
        <f>TableCosts[[#This Row],[N_Amount]]*TableCosts[[#This Row],[N_Tariff]]*TableCosts[[#This Row],[N_ItemsCount]]</f>
        <v>0</v>
      </c>
      <c r="BG552" s="72">
        <f>IF(G552=1,IF(TableCosts[[#This Row],[N_Kateg]]="interné práce",TableCosts[[#This Row],[N_Amount]]*8*PAR_SGA_PERHOUR,0),0)</f>
        <v>0</v>
      </c>
      <c r="BH552" s="72">
        <f>SUM(TableCosts[[#This Row],[N_Direct]:[N_SGA]])</f>
        <v>0</v>
      </c>
      <c r="BI552" s="24">
        <f>IF(G552=1,IF(OR(AND(NOT(ISERROR(VLOOKUP(TableCosts[[#This Row],[Calc_N_Typ]],Cis_WorkPositions,1,0))),C552&lt;&gt;"",D552&lt;&gt;"",E552&lt;&gt;""),AND(ISERROR(VLOOKUP(TableCosts[[#This Row],[Calc_N_Typ]],Cis_WorkPositions,1,0)),C552="",D552="",E552&lt;&gt;""),LEFT(TableCosts[[#This Row],[Calc_N_Typ]],18)="Vynaložené náklady"),VLOOKUP(C552&amp;TableCosts[[#This Row],[Calc_N_Typ]],TRAN_STRITEMS_LABEL,VLOOKUP(D552,Tab_Hours,3,0),0),NA()),0)</f>
        <v>0</v>
      </c>
      <c r="BJ552" s="24">
        <f t="shared" si="126"/>
        <v>0</v>
      </c>
      <c r="BK552" s="24" t="str">
        <f t="shared" si="127"/>
        <v/>
      </c>
      <c r="BL552" s="24" t="str">
        <f t="shared" si="128"/>
        <v/>
      </c>
      <c r="BM552" s="24" t="str">
        <f>IF(G552=1,IF(TableCosts[[#This Row],[TransferFrom]]=TableCosts[[#This Row],[TranferTo]],0,1),"")</f>
        <v/>
      </c>
      <c r="BN552" s="24" t="str">
        <f t="shared" si="129"/>
        <v/>
      </c>
      <c r="BO552" s="24">
        <f t="shared" si="130"/>
        <v>0</v>
      </c>
      <c r="BP552" s="24">
        <f t="shared" si="131"/>
        <v>0</v>
      </c>
    </row>
    <row r="553" spans="2:68" s="24" customFormat="1" ht="12.75" x14ac:dyDescent="0.2">
      <c r="B553" s="97"/>
      <c r="C553" s="92"/>
      <c r="D553" s="92"/>
      <c r="E553" s="92"/>
      <c r="F553" s="31" t="str">
        <f>IF(G553=1,IF(ISERROR(TableCosts[[#This Row],[N_Tariff]]),Err_Message1,IF(TableCosts[[#This Row],[N_Tariff]]=0,Err_Message2,VLOOKUP(C553&amp;TableCosts[[#This Row],[Calc_N_Typ]],TRAN_STRITEMS_LABEL,5,FALSE))),"")</f>
        <v/>
      </c>
      <c r="G553" s="31">
        <f t="shared" si="120"/>
        <v>0</v>
      </c>
      <c r="H553" s="31" t="str">
        <f>IF(G553=1,IFERROR(VLOOKUP(F553,Tab_ErrMessage[],2,0),VLOOKUP(C553&amp;TableCosts[[#This Row],[Calc_N_Typ]],TRAN_STRITEMS_LABEL,4,FALSE)),"")</f>
        <v/>
      </c>
      <c r="I553" s="94"/>
      <c r="J553" s="94"/>
      <c r="K553" s="94"/>
      <c r="L553" s="84"/>
      <c r="M553" s="84"/>
      <c r="N553" s="84"/>
      <c r="O553" s="84"/>
      <c r="P553" s="84"/>
      <c r="Q553" s="84"/>
      <c r="R553" s="84"/>
      <c r="S553" s="84"/>
      <c r="T553" s="84"/>
      <c r="U553" s="84"/>
      <c r="V553" s="84"/>
      <c r="W553" s="84"/>
      <c r="X553" s="84"/>
      <c r="Y553" s="84"/>
      <c r="Z553" s="84"/>
      <c r="AA553" s="84"/>
      <c r="AB553" s="84"/>
      <c r="AC553" s="84"/>
      <c r="AD553" s="84"/>
      <c r="AE553" s="84"/>
      <c r="AF553" s="84"/>
      <c r="AG553" s="84"/>
      <c r="AH553" s="84"/>
      <c r="AI553" s="84"/>
      <c r="AJ553" s="84"/>
      <c r="AK553" s="84"/>
      <c r="AL553" s="84"/>
      <c r="AM553" s="84"/>
      <c r="AN553" s="84"/>
      <c r="AO553" s="84"/>
      <c r="AP553" s="84"/>
      <c r="AQ553" s="84"/>
      <c r="AR553" s="84"/>
      <c r="AS553" s="84"/>
      <c r="AT553" s="84"/>
      <c r="AU553" s="84"/>
      <c r="AV553" s="84"/>
      <c r="AW553" s="84"/>
      <c r="AX553" s="87">
        <f t="array" ref="AX553">IF(G553=1,SUM((ROW(M0)=ROW(AW553))*(M0+M1_+M2_+M3_+M4_+M5_+M6_+M7_+M8_+M9_+M10_+M11_+M12_+M13_+M14_+M15_+M16_+M17_+M18_+M19_+M20_+M21_+M22_+M23_+M24_+M25_+M26_+M27_+M28_+M29_+M30_+M31_+M32_+M33_+M34_+M35_+M36_+M37_)),0)</f>
        <v>0</v>
      </c>
      <c r="AZ553" s="24" t="str">
        <f t="shared" si="121"/>
        <v/>
      </c>
      <c r="BA553" s="24" t="str">
        <f t="shared" si="122"/>
        <v/>
      </c>
      <c r="BB553" s="24" t="str">
        <f t="shared" si="123"/>
        <v/>
      </c>
      <c r="BC553" s="24" t="str">
        <f>IF(OR(E553="",LEFT(TableCosts[[#This Row],[Calc_N_Typ]],18)="Vynaložené náklady"),"",VLOOKUP(E553,Tab_Parts,2,0))</f>
        <v/>
      </c>
      <c r="BD553" s="24" t="str">
        <f t="shared" si="124"/>
        <v/>
      </c>
      <c r="BE553" s="24">
        <f t="shared" si="125"/>
        <v>0</v>
      </c>
      <c r="BF553" s="72">
        <f>TableCosts[[#This Row],[N_Amount]]*TableCosts[[#This Row],[N_Tariff]]*TableCosts[[#This Row],[N_ItemsCount]]</f>
        <v>0</v>
      </c>
      <c r="BG553" s="72">
        <f>IF(G553=1,IF(TableCosts[[#This Row],[N_Kateg]]="interné práce",TableCosts[[#This Row],[N_Amount]]*8*PAR_SGA_PERHOUR,0),0)</f>
        <v>0</v>
      </c>
      <c r="BH553" s="72">
        <f>SUM(TableCosts[[#This Row],[N_Direct]:[N_SGA]])</f>
        <v>0</v>
      </c>
      <c r="BI553" s="24">
        <f>IF(G553=1,IF(OR(AND(NOT(ISERROR(VLOOKUP(TableCosts[[#This Row],[Calc_N_Typ]],Cis_WorkPositions,1,0))),C553&lt;&gt;"",D553&lt;&gt;"",E553&lt;&gt;""),AND(ISERROR(VLOOKUP(TableCosts[[#This Row],[Calc_N_Typ]],Cis_WorkPositions,1,0)),C553="",D553="",E553&lt;&gt;""),LEFT(TableCosts[[#This Row],[Calc_N_Typ]],18)="Vynaložené náklady"),VLOOKUP(C553&amp;TableCosts[[#This Row],[Calc_N_Typ]],TRAN_STRITEMS_LABEL,VLOOKUP(D553,Tab_Hours,3,0),0),NA()),0)</f>
        <v>0</v>
      </c>
      <c r="BJ553" s="24">
        <f t="shared" si="126"/>
        <v>0</v>
      </c>
      <c r="BK553" s="24" t="str">
        <f t="shared" si="127"/>
        <v/>
      </c>
      <c r="BL553" s="24" t="str">
        <f t="shared" si="128"/>
        <v/>
      </c>
      <c r="BM553" s="24" t="str">
        <f>IF(G553=1,IF(TableCosts[[#This Row],[TransferFrom]]=TableCosts[[#This Row],[TranferTo]],0,1),"")</f>
        <v/>
      </c>
      <c r="BN553" s="24" t="str">
        <f t="shared" si="129"/>
        <v/>
      </c>
      <c r="BO553" s="24">
        <f t="shared" si="130"/>
        <v>0</v>
      </c>
      <c r="BP553" s="24">
        <f t="shared" si="131"/>
        <v>0</v>
      </c>
    </row>
    <row r="554" spans="2:68" s="24" customFormat="1" ht="12.75" x14ac:dyDescent="0.2">
      <c r="B554" s="97"/>
      <c r="C554" s="92"/>
      <c r="D554" s="92"/>
      <c r="E554" s="92"/>
      <c r="F554" s="31" t="str">
        <f>IF(G554=1,IF(ISERROR(TableCosts[[#This Row],[N_Tariff]]),Err_Message1,IF(TableCosts[[#This Row],[N_Tariff]]=0,Err_Message2,VLOOKUP(C554&amp;TableCosts[[#This Row],[Calc_N_Typ]],TRAN_STRITEMS_LABEL,5,FALSE))),"")</f>
        <v/>
      </c>
      <c r="G554" s="31">
        <f t="shared" si="120"/>
        <v>0</v>
      </c>
      <c r="H554" s="31" t="str">
        <f>IF(G554=1,IFERROR(VLOOKUP(F554,Tab_ErrMessage[],2,0),VLOOKUP(C554&amp;TableCosts[[#This Row],[Calc_N_Typ]],TRAN_STRITEMS_LABEL,4,FALSE)),"")</f>
        <v/>
      </c>
      <c r="I554" s="94"/>
      <c r="J554" s="94"/>
      <c r="K554" s="94"/>
      <c r="L554" s="84"/>
      <c r="M554" s="84"/>
      <c r="N554" s="84"/>
      <c r="O554" s="84"/>
      <c r="P554" s="84"/>
      <c r="Q554" s="84"/>
      <c r="R554" s="84"/>
      <c r="S554" s="84"/>
      <c r="T554" s="84"/>
      <c r="U554" s="84"/>
      <c r="V554" s="84"/>
      <c r="W554" s="84"/>
      <c r="X554" s="84"/>
      <c r="Y554" s="84"/>
      <c r="Z554" s="84"/>
      <c r="AA554" s="84"/>
      <c r="AB554" s="84"/>
      <c r="AC554" s="84"/>
      <c r="AD554" s="84"/>
      <c r="AE554" s="84"/>
      <c r="AF554" s="84"/>
      <c r="AG554" s="84"/>
      <c r="AH554" s="84"/>
      <c r="AI554" s="84"/>
      <c r="AJ554" s="84"/>
      <c r="AK554" s="84"/>
      <c r="AL554" s="84"/>
      <c r="AM554" s="84"/>
      <c r="AN554" s="84"/>
      <c r="AO554" s="84"/>
      <c r="AP554" s="84"/>
      <c r="AQ554" s="84"/>
      <c r="AR554" s="84"/>
      <c r="AS554" s="84"/>
      <c r="AT554" s="84"/>
      <c r="AU554" s="84"/>
      <c r="AV554" s="84"/>
      <c r="AW554" s="84"/>
      <c r="AX554" s="87">
        <f t="array" ref="AX554">IF(G554=1,SUM((ROW(M0)=ROW(AW554))*(M0+M1_+M2_+M3_+M4_+M5_+M6_+M7_+M8_+M9_+M10_+M11_+M12_+M13_+M14_+M15_+M16_+M17_+M18_+M19_+M20_+M21_+M22_+M23_+M24_+M25_+M26_+M27_+M28_+M29_+M30_+M31_+M32_+M33_+M34_+M35_+M36_+M37_)),0)</f>
        <v>0</v>
      </c>
      <c r="AZ554" s="24" t="str">
        <f t="shared" si="121"/>
        <v/>
      </c>
      <c r="BA554" s="24" t="str">
        <f t="shared" si="122"/>
        <v/>
      </c>
      <c r="BB554" s="24" t="str">
        <f t="shared" si="123"/>
        <v/>
      </c>
      <c r="BC554" s="24" t="str">
        <f>IF(OR(E554="",LEFT(TableCosts[[#This Row],[Calc_N_Typ]],18)="Vynaložené náklady"),"",VLOOKUP(E554,Tab_Parts,2,0))</f>
        <v/>
      </c>
      <c r="BD554" s="24" t="str">
        <f t="shared" si="124"/>
        <v/>
      </c>
      <c r="BE554" s="24">
        <f t="shared" si="125"/>
        <v>0</v>
      </c>
      <c r="BF554" s="72">
        <f>TableCosts[[#This Row],[N_Amount]]*TableCosts[[#This Row],[N_Tariff]]*TableCosts[[#This Row],[N_ItemsCount]]</f>
        <v>0</v>
      </c>
      <c r="BG554" s="72">
        <f>IF(G554=1,IF(TableCosts[[#This Row],[N_Kateg]]="interné práce",TableCosts[[#This Row],[N_Amount]]*8*PAR_SGA_PERHOUR,0),0)</f>
        <v>0</v>
      </c>
      <c r="BH554" s="72">
        <f>SUM(TableCosts[[#This Row],[N_Direct]:[N_SGA]])</f>
        <v>0</v>
      </c>
      <c r="BI554" s="24">
        <f>IF(G554=1,IF(OR(AND(NOT(ISERROR(VLOOKUP(TableCosts[[#This Row],[Calc_N_Typ]],Cis_WorkPositions,1,0))),C554&lt;&gt;"",D554&lt;&gt;"",E554&lt;&gt;""),AND(ISERROR(VLOOKUP(TableCosts[[#This Row],[Calc_N_Typ]],Cis_WorkPositions,1,0)),C554="",D554="",E554&lt;&gt;""),LEFT(TableCosts[[#This Row],[Calc_N_Typ]],18)="Vynaložené náklady"),VLOOKUP(C554&amp;TableCosts[[#This Row],[Calc_N_Typ]],TRAN_STRITEMS_LABEL,VLOOKUP(D554,Tab_Hours,3,0),0),NA()),0)</f>
        <v>0</v>
      </c>
      <c r="BJ554" s="24">
        <f t="shared" si="126"/>
        <v>0</v>
      </c>
      <c r="BK554" s="24" t="str">
        <f t="shared" si="127"/>
        <v/>
      </c>
      <c r="BL554" s="24" t="str">
        <f t="shared" si="128"/>
        <v/>
      </c>
      <c r="BM554" s="24" t="str">
        <f>IF(G554=1,IF(TableCosts[[#This Row],[TransferFrom]]=TableCosts[[#This Row],[TranferTo]],0,1),"")</f>
        <v/>
      </c>
      <c r="BN554" s="24" t="str">
        <f t="shared" si="129"/>
        <v/>
      </c>
      <c r="BO554" s="24">
        <f t="shared" si="130"/>
        <v>0</v>
      </c>
      <c r="BP554" s="24">
        <f t="shared" si="131"/>
        <v>0</v>
      </c>
    </row>
    <row r="555" spans="2:68" s="24" customFormat="1" ht="12.75" x14ac:dyDescent="0.2">
      <c r="B555" s="97"/>
      <c r="C555" s="92"/>
      <c r="D555" s="92"/>
      <c r="E555" s="92"/>
      <c r="F555" s="31" t="str">
        <f>IF(G555=1,IF(ISERROR(TableCosts[[#This Row],[N_Tariff]]),Err_Message1,IF(TableCosts[[#This Row],[N_Tariff]]=0,Err_Message2,VLOOKUP(C555&amp;TableCosts[[#This Row],[Calc_N_Typ]],TRAN_STRITEMS_LABEL,5,FALSE))),"")</f>
        <v/>
      </c>
      <c r="G555" s="31">
        <f t="shared" si="120"/>
        <v>0</v>
      </c>
      <c r="H555" s="31" t="str">
        <f>IF(G555=1,IFERROR(VLOOKUP(F555,Tab_ErrMessage[],2,0),VLOOKUP(C555&amp;TableCosts[[#This Row],[Calc_N_Typ]],TRAN_STRITEMS_LABEL,4,FALSE)),"")</f>
        <v/>
      </c>
      <c r="I555" s="94"/>
      <c r="J555" s="94"/>
      <c r="K555" s="94"/>
      <c r="L555" s="84"/>
      <c r="M555" s="84"/>
      <c r="N555" s="84"/>
      <c r="O555" s="84"/>
      <c r="P555" s="84"/>
      <c r="Q555" s="84"/>
      <c r="R555" s="84"/>
      <c r="S555" s="84"/>
      <c r="T555" s="84"/>
      <c r="U555" s="84"/>
      <c r="V555" s="84"/>
      <c r="W555" s="84"/>
      <c r="X555" s="84"/>
      <c r="Y555" s="84"/>
      <c r="Z555" s="84"/>
      <c r="AA555" s="84"/>
      <c r="AB555" s="84"/>
      <c r="AC555" s="84"/>
      <c r="AD555" s="84"/>
      <c r="AE555" s="84"/>
      <c r="AF555" s="84"/>
      <c r="AG555" s="84"/>
      <c r="AH555" s="84"/>
      <c r="AI555" s="84"/>
      <c r="AJ555" s="84"/>
      <c r="AK555" s="84"/>
      <c r="AL555" s="84"/>
      <c r="AM555" s="84"/>
      <c r="AN555" s="84"/>
      <c r="AO555" s="84"/>
      <c r="AP555" s="84"/>
      <c r="AQ555" s="84"/>
      <c r="AR555" s="84"/>
      <c r="AS555" s="84"/>
      <c r="AT555" s="84"/>
      <c r="AU555" s="84"/>
      <c r="AV555" s="84"/>
      <c r="AW555" s="84"/>
      <c r="AX555" s="87">
        <f t="array" ref="AX555">IF(G555=1,SUM((ROW(M0)=ROW(AW555))*(M0+M1_+M2_+M3_+M4_+M5_+M6_+M7_+M8_+M9_+M10_+M11_+M12_+M13_+M14_+M15_+M16_+M17_+M18_+M19_+M20_+M21_+M22_+M23_+M24_+M25_+M26_+M27_+M28_+M29_+M30_+M31_+M32_+M33_+M34_+M35_+M36_+M37_)),0)</f>
        <v>0</v>
      </c>
      <c r="AZ555" s="24" t="str">
        <f t="shared" si="121"/>
        <v/>
      </c>
      <c r="BA555" s="24" t="str">
        <f t="shared" si="122"/>
        <v/>
      </c>
      <c r="BB555" s="24" t="str">
        <f t="shared" si="123"/>
        <v/>
      </c>
      <c r="BC555" s="24" t="str">
        <f>IF(OR(E555="",LEFT(TableCosts[[#This Row],[Calc_N_Typ]],18)="Vynaložené náklady"),"",VLOOKUP(E555,Tab_Parts,2,0))</f>
        <v/>
      </c>
      <c r="BD555" s="24" t="str">
        <f t="shared" si="124"/>
        <v/>
      </c>
      <c r="BE555" s="24">
        <f t="shared" si="125"/>
        <v>0</v>
      </c>
      <c r="BF555" s="72">
        <f>TableCosts[[#This Row],[N_Amount]]*TableCosts[[#This Row],[N_Tariff]]*TableCosts[[#This Row],[N_ItemsCount]]</f>
        <v>0</v>
      </c>
      <c r="BG555" s="72">
        <f>IF(G555=1,IF(TableCosts[[#This Row],[N_Kateg]]="interné práce",TableCosts[[#This Row],[N_Amount]]*8*PAR_SGA_PERHOUR,0),0)</f>
        <v>0</v>
      </c>
      <c r="BH555" s="72">
        <f>SUM(TableCosts[[#This Row],[N_Direct]:[N_SGA]])</f>
        <v>0</v>
      </c>
      <c r="BI555" s="24">
        <f>IF(G555=1,IF(OR(AND(NOT(ISERROR(VLOOKUP(TableCosts[[#This Row],[Calc_N_Typ]],Cis_WorkPositions,1,0))),C555&lt;&gt;"",D555&lt;&gt;"",E555&lt;&gt;""),AND(ISERROR(VLOOKUP(TableCosts[[#This Row],[Calc_N_Typ]],Cis_WorkPositions,1,0)),C555="",D555="",E555&lt;&gt;""),LEFT(TableCosts[[#This Row],[Calc_N_Typ]],18)="Vynaložené náklady"),VLOOKUP(C555&amp;TableCosts[[#This Row],[Calc_N_Typ]],TRAN_STRITEMS_LABEL,VLOOKUP(D555,Tab_Hours,3,0),0),NA()),0)</f>
        <v>0</v>
      </c>
      <c r="BJ555" s="24">
        <f t="shared" si="126"/>
        <v>0</v>
      </c>
      <c r="BK555" s="24" t="str">
        <f t="shared" si="127"/>
        <v/>
      </c>
      <c r="BL555" s="24" t="str">
        <f t="shared" si="128"/>
        <v/>
      </c>
      <c r="BM555" s="24" t="str">
        <f>IF(G555=1,IF(TableCosts[[#This Row],[TransferFrom]]=TableCosts[[#This Row],[TranferTo]],0,1),"")</f>
        <v/>
      </c>
      <c r="BN555" s="24" t="str">
        <f t="shared" si="129"/>
        <v/>
      </c>
      <c r="BO555" s="24">
        <f t="shared" si="130"/>
        <v>0</v>
      </c>
      <c r="BP555" s="24">
        <f t="shared" si="131"/>
        <v>0</v>
      </c>
    </row>
    <row r="556" spans="2:68" s="24" customFormat="1" ht="12.75" x14ac:dyDescent="0.2">
      <c r="B556" s="97"/>
      <c r="C556" s="92"/>
      <c r="D556" s="92"/>
      <c r="E556" s="92"/>
      <c r="F556" s="31" t="str">
        <f>IF(G556=1,IF(ISERROR(TableCosts[[#This Row],[N_Tariff]]),Err_Message1,IF(TableCosts[[#This Row],[N_Tariff]]=0,Err_Message2,VLOOKUP(C556&amp;TableCosts[[#This Row],[Calc_N_Typ]],TRAN_STRITEMS_LABEL,5,FALSE))),"")</f>
        <v/>
      </c>
      <c r="G556" s="31">
        <f t="shared" si="120"/>
        <v>0</v>
      </c>
      <c r="H556" s="31" t="str">
        <f>IF(G556=1,IFERROR(VLOOKUP(F556,Tab_ErrMessage[],2,0),VLOOKUP(C556&amp;TableCosts[[#This Row],[Calc_N_Typ]],TRAN_STRITEMS_LABEL,4,FALSE)),"")</f>
        <v/>
      </c>
      <c r="I556" s="94"/>
      <c r="J556" s="94"/>
      <c r="K556" s="94"/>
      <c r="L556" s="84"/>
      <c r="M556" s="84"/>
      <c r="N556" s="84"/>
      <c r="O556" s="84"/>
      <c r="P556" s="84"/>
      <c r="Q556" s="84"/>
      <c r="R556" s="84"/>
      <c r="S556" s="84"/>
      <c r="T556" s="84"/>
      <c r="U556" s="84"/>
      <c r="V556" s="84"/>
      <c r="W556" s="84"/>
      <c r="X556" s="84"/>
      <c r="Y556" s="84"/>
      <c r="Z556" s="84"/>
      <c r="AA556" s="84"/>
      <c r="AB556" s="84"/>
      <c r="AC556" s="84"/>
      <c r="AD556" s="84"/>
      <c r="AE556" s="84"/>
      <c r="AF556" s="84"/>
      <c r="AG556" s="84"/>
      <c r="AH556" s="84"/>
      <c r="AI556" s="84"/>
      <c r="AJ556" s="84"/>
      <c r="AK556" s="84"/>
      <c r="AL556" s="84"/>
      <c r="AM556" s="84"/>
      <c r="AN556" s="84"/>
      <c r="AO556" s="84"/>
      <c r="AP556" s="84"/>
      <c r="AQ556" s="84"/>
      <c r="AR556" s="84"/>
      <c r="AS556" s="84"/>
      <c r="AT556" s="84"/>
      <c r="AU556" s="84"/>
      <c r="AV556" s="84"/>
      <c r="AW556" s="84"/>
      <c r="AX556" s="87">
        <f t="array" ref="AX556">IF(G556=1,SUM((ROW(M0)=ROW(AW556))*(M0+M1_+M2_+M3_+M4_+M5_+M6_+M7_+M8_+M9_+M10_+M11_+M12_+M13_+M14_+M15_+M16_+M17_+M18_+M19_+M20_+M21_+M22_+M23_+M24_+M25_+M26_+M27_+M28_+M29_+M30_+M31_+M32_+M33_+M34_+M35_+M36_+M37_)),0)</f>
        <v>0</v>
      </c>
      <c r="AZ556" s="24" t="str">
        <f t="shared" si="121"/>
        <v/>
      </c>
      <c r="BA556" s="24" t="str">
        <f t="shared" si="122"/>
        <v/>
      </c>
      <c r="BB556" s="24" t="str">
        <f t="shared" si="123"/>
        <v/>
      </c>
      <c r="BC556" s="24" t="str">
        <f>IF(OR(E556="",LEFT(TableCosts[[#This Row],[Calc_N_Typ]],18)="Vynaložené náklady"),"",VLOOKUP(E556,Tab_Parts,2,0))</f>
        <v/>
      </c>
      <c r="BD556" s="24" t="str">
        <f t="shared" si="124"/>
        <v/>
      </c>
      <c r="BE556" s="24">
        <f t="shared" si="125"/>
        <v>0</v>
      </c>
      <c r="BF556" s="72">
        <f>TableCosts[[#This Row],[N_Amount]]*TableCosts[[#This Row],[N_Tariff]]*TableCosts[[#This Row],[N_ItemsCount]]</f>
        <v>0</v>
      </c>
      <c r="BG556" s="72">
        <f>IF(G556=1,IF(TableCosts[[#This Row],[N_Kateg]]="interné práce",TableCosts[[#This Row],[N_Amount]]*8*PAR_SGA_PERHOUR,0),0)</f>
        <v>0</v>
      </c>
      <c r="BH556" s="72">
        <f>SUM(TableCosts[[#This Row],[N_Direct]:[N_SGA]])</f>
        <v>0</v>
      </c>
      <c r="BI556" s="24">
        <f>IF(G556=1,IF(OR(AND(NOT(ISERROR(VLOOKUP(TableCosts[[#This Row],[Calc_N_Typ]],Cis_WorkPositions,1,0))),C556&lt;&gt;"",D556&lt;&gt;"",E556&lt;&gt;""),AND(ISERROR(VLOOKUP(TableCosts[[#This Row],[Calc_N_Typ]],Cis_WorkPositions,1,0)),C556="",D556="",E556&lt;&gt;""),LEFT(TableCosts[[#This Row],[Calc_N_Typ]],18)="Vynaložené náklady"),VLOOKUP(C556&amp;TableCosts[[#This Row],[Calc_N_Typ]],TRAN_STRITEMS_LABEL,VLOOKUP(D556,Tab_Hours,3,0),0),NA()),0)</f>
        <v>0</v>
      </c>
      <c r="BJ556" s="24">
        <f t="shared" si="126"/>
        <v>0</v>
      </c>
      <c r="BK556" s="24" t="str">
        <f t="shared" si="127"/>
        <v/>
      </c>
      <c r="BL556" s="24" t="str">
        <f t="shared" si="128"/>
        <v/>
      </c>
      <c r="BM556" s="24" t="str">
        <f>IF(G556=1,IF(TableCosts[[#This Row],[TransferFrom]]=TableCosts[[#This Row],[TranferTo]],0,1),"")</f>
        <v/>
      </c>
      <c r="BN556" s="24" t="str">
        <f t="shared" si="129"/>
        <v/>
      </c>
      <c r="BO556" s="24">
        <f t="shared" si="130"/>
        <v>0</v>
      </c>
      <c r="BP556" s="24">
        <f t="shared" si="131"/>
        <v>0</v>
      </c>
    </row>
    <row r="557" spans="2:68" s="24" customFormat="1" ht="12.75" x14ac:dyDescent="0.2">
      <c r="B557" s="97"/>
      <c r="C557" s="92"/>
      <c r="D557" s="92"/>
      <c r="E557" s="92"/>
      <c r="F557" s="31" t="str">
        <f>IF(G557=1,IF(ISERROR(TableCosts[[#This Row],[N_Tariff]]),Err_Message1,IF(TableCosts[[#This Row],[N_Tariff]]=0,Err_Message2,VLOOKUP(C557&amp;TableCosts[[#This Row],[Calc_N_Typ]],TRAN_STRITEMS_LABEL,5,FALSE))),"")</f>
        <v/>
      </c>
      <c r="G557" s="31">
        <f t="shared" si="120"/>
        <v>0</v>
      </c>
      <c r="H557" s="31" t="str">
        <f>IF(G557=1,IFERROR(VLOOKUP(F557,Tab_ErrMessage[],2,0),VLOOKUP(C557&amp;TableCosts[[#This Row],[Calc_N_Typ]],TRAN_STRITEMS_LABEL,4,FALSE)),"")</f>
        <v/>
      </c>
      <c r="I557" s="94"/>
      <c r="J557" s="94"/>
      <c r="K557" s="94"/>
      <c r="L557" s="84"/>
      <c r="M557" s="84"/>
      <c r="N557" s="84"/>
      <c r="O557" s="84"/>
      <c r="P557" s="84"/>
      <c r="Q557" s="84"/>
      <c r="R557" s="84"/>
      <c r="S557" s="84"/>
      <c r="T557" s="84"/>
      <c r="U557" s="84"/>
      <c r="V557" s="84"/>
      <c r="W557" s="84"/>
      <c r="X557" s="84"/>
      <c r="Y557" s="84"/>
      <c r="Z557" s="84"/>
      <c r="AA557" s="84"/>
      <c r="AB557" s="84"/>
      <c r="AC557" s="84"/>
      <c r="AD557" s="84"/>
      <c r="AE557" s="84"/>
      <c r="AF557" s="84"/>
      <c r="AG557" s="84"/>
      <c r="AH557" s="84"/>
      <c r="AI557" s="84"/>
      <c r="AJ557" s="84"/>
      <c r="AK557" s="84"/>
      <c r="AL557" s="84"/>
      <c r="AM557" s="84"/>
      <c r="AN557" s="84"/>
      <c r="AO557" s="84"/>
      <c r="AP557" s="84"/>
      <c r="AQ557" s="84"/>
      <c r="AR557" s="84"/>
      <c r="AS557" s="84"/>
      <c r="AT557" s="84"/>
      <c r="AU557" s="84"/>
      <c r="AV557" s="84"/>
      <c r="AW557" s="84"/>
      <c r="AX557" s="87">
        <f t="array" ref="AX557">IF(G557=1,SUM((ROW(M0)=ROW(AW557))*(M0+M1_+M2_+M3_+M4_+M5_+M6_+M7_+M8_+M9_+M10_+M11_+M12_+M13_+M14_+M15_+M16_+M17_+M18_+M19_+M20_+M21_+M22_+M23_+M24_+M25_+M26_+M27_+M28_+M29_+M30_+M31_+M32_+M33_+M34_+M35_+M36_+M37_)),0)</f>
        <v>0</v>
      </c>
      <c r="AZ557" s="24" t="str">
        <f t="shared" si="121"/>
        <v/>
      </c>
      <c r="BA557" s="24" t="str">
        <f t="shared" si="122"/>
        <v/>
      </c>
      <c r="BB557" s="24" t="str">
        <f t="shared" si="123"/>
        <v/>
      </c>
      <c r="BC557" s="24" t="str">
        <f>IF(OR(E557="",LEFT(TableCosts[[#This Row],[Calc_N_Typ]],18)="Vynaložené náklady"),"",VLOOKUP(E557,Tab_Parts,2,0))</f>
        <v/>
      </c>
      <c r="BD557" s="24" t="str">
        <f t="shared" si="124"/>
        <v/>
      </c>
      <c r="BE557" s="24">
        <f t="shared" si="125"/>
        <v>0</v>
      </c>
      <c r="BF557" s="72">
        <f>TableCosts[[#This Row],[N_Amount]]*TableCosts[[#This Row],[N_Tariff]]*TableCosts[[#This Row],[N_ItemsCount]]</f>
        <v>0</v>
      </c>
      <c r="BG557" s="72">
        <f>IF(G557=1,IF(TableCosts[[#This Row],[N_Kateg]]="interné práce",TableCosts[[#This Row],[N_Amount]]*8*PAR_SGA_PERHOUR,0),0)</f>
        <v>0</v>
      </c>
      <c r="BH557" s="72">
        <f>SUM(TableCosts[[#This Row],[N_Direct]:[N_SGA]])</f>
        <v>0</v>
      </c>
      <c r="BI557" s="24">
        <f>IF(G557=1,IF(OR(AND(NOT(ISERROR(VLOOKUP(TableCosts[[#This Row],[Calc_N_Typ]],Cis_WorkPositions,1,0))),C557&lt;&gt;"",D557&lt;&gt;"",E557&lt;&gt;""),AND(ISERROR(VLOOKUP(TableCosts[[#This Row],[Calc_N_Typ]],Cis_WorkPositions,1,0)),C557="",D557="",E557&lt;&gt;""),LEFT(TableCosts[[#This Row],[Calc_N_Typ]],18)="Vynaložené náklady"),VLOOKUP(C557&amp;TableCosts[[#This Row],[Calc_N_Typ]],TRAN_STRITEMS_LABEL,VLOOKUP(D557,Tab_Hours,3,0),0),NA()),0)</f>
        <v>0</v>
      </c>
      <c r="BJ557" s="24">
        <f t="shared" si="126"/>
        <v>0</v>
      </c>
      <c r="BK557" s="24" t="str">
        <f t="shared" si="127"/>
        <v/>
      </c>
      <c r="BL557" s="24" t="str">
        <f t="shared" si="128"/>
        <v/>
      </c>
      <c r="BM557" s="24" t="str">
        <f>IF(G557=1,IF(TableCosts[[#This Row],[TransferFrom]]=TableCosts[[#This Row],[TranferTo]],0,1),"")</f>
        <v/>
      </c>
      <c r="BN557" s="24" t="str">
        <f t="shared" si="129"/>
        <v/>
      </c>
      <c r="BO557" s="24">
        <f t="shared" si="130"/>
        <v>0</v>
      </c>
      <c r="BP557" s="24">
        <f t="shared" si="131"/>
        <v>0</v>
      </c>
    </row>
    <row r="558" spans="2:68" s="24" customFormat="1" ht="12.75" x14ac:dyDescent="0.2">
      <c r="B558" s="97"/>
      <c r="C558" s="92"/>
      <c r="D558" s="92"/>
      <c r="E558" s="92"/>
      <c r="F558" s="31" t="str">
        <f>IF(G558=1,IF(ISERROR(TableCosts[[#This Row],[N_Tariff]]),Err_Message1,IF(TableCosts[[#This Row],[N_Tariff]]=0,Err_Message2,VLOOKUP(C558&amp;TableCosts[[#This Row],[Calc_N_Typ]],TRAN_STRITEMS_LABEL,5,FALSE))),"")</f>
        <v/>
      </c>
      <c r="G558" s="31">
        <f t="shared" si="120"/>
        <v>0</v>
      </c>
      <c r="H558" s="31" t="str">
        <f>IF(G558=1,IFERROR(VLOOKUP(F558,Tab_ErrMessage[],2,0),VLOOKUP(C558&amp;TableCosts[[#This Row],[Calc_N_Typ]],TRAN_STRITEMS_LABEL,4,FALSE)),"")</f>
        <v/>
      </c>
      <c r="I558" s="94"/>
      <c r="J558" s="94"/>
      <c r="K558" s="94"/>
      <c r="L558" s="84"/>
      <c r="M558" s="84"/>
      <c r="N558" s="84"/>
      <c r="O558" s="84"/>
      <c r="P558" s="84"/>
      <c r="Q558" s="84"/>
      <c r="R558" s="84"/>
      <c r="S558" s="84"/>
      <c r="T558" s="84"/>
      <c r="U558" s="84"/>
      <c r="V558" s="84"/>
      <c r="W558" s="84"/>
      <c r="X558" s="84"/>
      <c r="Y558" s="84"/>
      <c r="Z558" s="84"/>
      <c r="AA558" s="84"/>
      <c r="AB558" s="84"/>
      <c r="AC558" s="84"/>
      <c r="AD558" s="84"/>
      <c r="AE558" s="84"/>
      <c r="AF558" s="84"/>
      <c r="AG558" s="84"/>
      <c r="AH558" s="84"/>
      <c r="AI558" s="84"/>
      <c r="AJ558" s="84"/>
      <c r="AK558" s="84"/>
      <c r="AL558" s="84"/>
      <c r="AM558" s="84"/>
      <c r="AN558" s="84"/>
      <c r="AO558" s="84"/>
      <c r="AP558" s="84"/>
      <c r="AQ558" s="84"/>
      <c r="AR558" s="84"/>
      <c r="AS558" s="84"/>
      <c r="AT558" s="84"/>
      <c r="AU558" s="84"/>
      <c r="AV558" s="84"/>
      <c r="AW558" s="84"/>
      <c r="AX558" s="87">
        <f t="array" ref="AX558">IF(G558=1,SUM((ROW(M0)=ROW(AW558))*(M0+M1_+M2_+M3_+M4_+M5_+M6_+M7_+M8_+M9_+M10_+M11_+M12_+M13_+M14_+M15_+M16_+M17_+M18_+M19_+M20_+M21_+M22_+M23_+M24_+M25_+M26_+M27_+M28_+M29_+M30_+M31_+M32_+M33_+M34_+M35_+M36_+M37_)),0)</f>
        <v>0</v>
      </c>
      <c r="AZ558" s="24" t="str">
        <f t="shared" si="121"/>
        <v/>
      </c>
      <c r="BA558" s="24" t="str">
        <f t="shared" si="122"/>
        <v/>
      </c>
      <c r="BB558" s="24" t="str">
        <f t="shared" si="123"/>
        <v/>
      </c>
      <c r="BC558" s="24" t="str">
        <f>IF(OR(E558="",LEFT(TableCosts[[#This Row],[Calc_N_Typ]],18)="Vynaložené náklady"),"",VLOOKUP(E558,Tab_Parts,2,0))</f>
        <v/>
      </c>
      <c r="BD558" s="24" t="str">
        <f t="shared" si="124"/>
        <v/>
      </c>
      <c r="BE558" s="24">
        <f t="shared" si="125"/>
        <v>0</v>
      </c>
      <c r="BF558" s="72">
        <f>TableCosts[[#This Row],[N_Amount]]*TableCosts[[#This Row],[N_Tariff]]*TableCosts[[#This Row],[N_ItemsCount]]</f>
        <v>0</v>
      </c>
      <c r="BG558" s="72">
        <f>IF(G558=1,IF(TableCosts[[#This Row],[N_Kateg]]="interné práce",TableCosts[[#This Row],[N_Amount]]*8*PAR_SGA_PERHOUR,0),0)</f>
        <v>0</v>
      </c>
      <c r="BH558" s="72">
        <f>SUM(TableCosts[[#This Row],[N_Direct]:[N_SGA]])</f>
        <v>0</v>
      </c>
      <c r="BI558" s="24">
        <f>IF(G558=1,IF(OR(AND(NOT(ISERROR(VLOOKUP(TableCosts[[#This Row],[Calc_N_Typ]],Cis_WorkPositions,1,0))),C558&lt;&gt;"",D558&lt;&gt;"",E558&lt;&gt;""),AND(ISERROR(VLOOKUP(TableCosts[[#This Row],[Calc_N_Typ]],Cis_WorkPositions,1,0)),C558="",D558="",E558&lt;&gt;""),LEFT(TableCosts[[#This Row],[Calc_N_Typ]],18)="Vynaložené náklady"),VLOOKUP(C558&amp;TableCosts[[#This Row],[Calc_N_Typ]],TRAN_STRITEMS_LABEL,VLOOKUP(D558,Tab_Hours,3,0),0),NA()),0)</f>
        <v>0</v>
      </c>
      <c r="BJ558" s="24">
        <f t="shared" si="126"/>
        <v>0</v>
      </c>
      <c r="BK558" s="24" t="str">
        <f t="shared" si="127"/>
        <v/>
      </c>
      <c r="BL558" s="24" t="str">
        <f t="shared" si="128"/>
        <v/>
      </c>
      <c r="BM558" s="24" t="str">
        <f>IF(G558=1,IF(TableCosts[[#This Row],[TransferFrom]]=TableCosts[[#This Row],[TranferTo]],0,1),"")</f>
        <v/>
      </c>
      <c r="BN558" s="24" t="str">
        <f t="shared" si="129"/>
        <v/>
      </c>
      <c r="BO558" s="24">
        <f t="shared" si="130"/>
        <v>0</v>
      </c>
      <c r="BP558" s="24">
        <f t="shared" si="131"/>
        <v>0</v>
      </c>
    </row>
    <row r="559" spans="2:68" s="24" customFormat="1" ht="12.75" x14ac:dyDescent="0.2">
      <c r="B559" s="97"/>
      <c r="C559" s="92"/>
      <c r="D559" s="92"/>
      <c r="E559" s="92"/>
      <c r="F559" s="31" t="str">
        <f>IF(G559=1,IF(ISERROR(TableCosts[[#This Row],[N_Tariff]]),Err_Message1,IF(TableCosts[[#This Row],[N_Tariff]]=0,Err_Message2,VLOOKUP(C559&amp;TableCosts[[#This Row],[Calc_N_Typ]],TRAN_STRITEMS_LABEL,5,FALSE))),"")</f>
        <v/>
      </c>
      <c r="G559" s="31">
        <f t="shared" si="120"/>
        <v>0</v>
      </c>
      <c r="H559" s="31" t="str">
        <f>IF(G559=1,IFERROR(VLOOKUP(F559,Tab_ErrMessage[],2,0),VLOOKUP(C559&amp;TableCosts[[#This Row],[Calc_N_Typ]],TRAN_STRITEMS_LABEL,4,FALSE)),"")</f>
        <v/>
      </c>
      <c r="I559" s="94"/>
      <c r="J559" s="94"/>
      <c r="K559" s="94"/>
      <c r="L559" s="84"/>
      <c r="M559" s="84"/>
      <c r="N559" s="84"/>
      <c r="O559" s="84"/>
      <c r="P559" s="84"/>
      <c r="Q559" s="84"/>
      <c r="R559" s="84"/>
      <c r="S559" s="84"/>
      <c r="T559" s="84"/>
      <c r="U559" s="84"/>
      <c r="V559" s="84"/>
      <c r="W559" s="84"/>
      <c r="X559" s="84"/>
      <c r="Y559" s="84"/>
      <c r="Z559" s="84"/>
      <c r="AA559" s="84"/>
      <c r="AB559" s="84"/>
      <c r="AC559" s="84"/>
      <c r="AD559" s="84"/>
      <c r="AE559" s="84"/>
      <c r="AF559" s="84"/>
      <c r="AG559" s="84"/>
      <c r="AH559" s="84"/>
      <c r="AI559" s="84"/>
      <c r="AJ559" s="84"/>
      <c r="AK559" s="84"/>
      <c r="AL559" s="84"/>
      <c r="AM559" s="84"/>
      <c r="AN559" s="84"/>
      <c r="AO559" s="84"/>
      <c r="AP559" s="84"/>
      <c r="AQ559" s="84"/>
      <c r="AR559" s="84"/>
      <c r="AS559" s="84"/>
      <c r="AT559" s="84"/>
      <c r="AU559" s="84"/>
      <c r="AV559" s="84"/>
      <c r="AW559" s="84"/>
      <c r="AX559" s="87">
        <f t="array" ref="AX559">IF(G559=1,SUM((ROW(M0)=ROW(AW559))*(M0+M1_+M2_+M3_+M4_+M5_+M6_+M7_+M8_+M9_+M10_+M11_+M12_+M13_+M14_+M15_+M16_+M17_+M18_+M19_+M20_+M21_+M22_+M23_+M24_+M25_+M26_+M27_+M28_+M29_+M30_+M31_+M32_+M33_+M34_+M35_+M36_+M37_)),0)</f>
        <v>0</v>
      </c>
      <c r="AZ559" s="24" t="str">
        <f t="shared" si="121"/>
        <v/>
      </c>
      <c r="BA559" s="24" t="str">
        <f t="shared" si="122"/>
        <v/>
      </c>
      <c r="BB559" s="24" t="str">
        <f t="shared" si="123"/>
        <v/>
      </c>
      <c r="BC559" s="24" t="str">
        <f>IF(OR(E559="",LEFT(TableCosts[[#This Row],[Calc_N_Typ]],18)="Vynaložené náklady"),"",VLOOKUP(E559,Tab_Parts,2,0))</f>
        <v/>
      </c>
      <c r="BD559" s="24" t="str">
        <f t="shared" si="124"/>
        <v/>
      </c>
      <c r="BE559" s="24">
        <f t="shared" si="125"/>
        <v>0</v>
      </c>
      <c r="BF559" s="72">
        <f>TableCosts[[#This Row],[N_Amount]]*TableCosts[[#This Row],[N_Tariff]]*TableCosts[[#This Row],[N_ItemsCount]]</f>
        <v>0</v>
      </c>
      <c r="BG559" s="72">
        <f>IF(G559=1,IF(TableCosts[[#This Row],[N_Kateg]]="interné práce",TableCosts[[#This Row],[N_Amount]]*8*PAR_SGA_PERHOUR,0),0)</f>
        <v>0</v>
      </c>
      <c r="BH559" s="72">
        <f>SUM(TableCosts[[#This Row],[N_Direct]:[N_SGA]])</f>
        <v>0</v>
      </c>
      <c r="BI559" s="24">
        <f>IF(G559=1,IF(OR(AND(NOT(ISERROR(VLOOKUP(TableCosts[[#This Row],[Calc_N_Typ]],Cis_WorkPositions,1,0))),C559&lt;&gt;"",D559&lt;&gt;"",E559&lt;&gt;""),AND(ISERROR(VLOOKUP(TableCosts[[#This Row],[Calc_N_Typ]],Cis_WorkPositions,1,0)),C559="",D559="",E559&lt;&gt;""),LEFT(TableCosts[[#This Row],[Calc_N_Typ]],18)="Vynaložené náklady"),VLOOKUP(C559&amp;TableCosts[[#This Row],[Calc_N_Typ]],TRAN_STRITEMS_LABEL,VLOOKUP(D559,Tab_Hours,3,0),0),NA()),0)</f>
        <v>0</v>
      </c>
      <c r="BJ559" s="24">
        <f t="shared" si="126"/>
        <v>0</v>
      </c>
      <c r="BK559" s="24" t="str">
        <f t="shared" si="127"/>
        <v/>
      </c>
      <c r="BL559" s="24" t="str">
        <f t="shared" si="128"/>
        <v/>
      </c>
      <c r="BM559" s="24" t="str">
        <f>IF(G559=1,IF(TableCosts[[#This Row],[TransferFrom]]=TableCosts[[#This Row],[TranferTo]],0,1),"")</f>
        <v/>
      </c>
      <c r="BN559" s="24" t="str">
        <f t="shared" si="129"/>
        <v/>
      </c>
      <c r="BO559" s="24">
        <f t="shared" si="130"/>
        <v>0</v>
      </c>
      <c r="BP559" s="24">
        <f t="shared" si="131"/>
        <v>0</v>
      </c>
    </row>
    <row r="560" spans="2:68" s="24" customFormat="1" ht="12.75" x14ac:dyDescent="0.2">
      <c r="B560" s="97"/>
      <c r="C560" s="92"/>
      <c r="D560" s="92"/>
      <c r="E560" s="92"/>
      <c r="F560" s="31" t="str">
        <f>IF(G560=1,IF(ISERROR(TableCosts[[#This Row],[N_Tariff]]),Err_Message1,IF(TableCosts[[#This Row],[N_Tariff]]=0,Err_Message2,VLOOKUP(C560&amp;TableCosts[[#This Row],[Calc_N_Typ]],TRAN_STRITEMS_LABEL,5,FALSE))),"")</f>
        <v/>
      </c>
      <c r="G560" s="31">
        <f t="shared" si="120"/>
        <v>0</v>
      </c>
      <c r="H560" s="31" t="str">
        <f>IF(G560=1,IFERROR(VLOOKUP(F560,Tab_ErrMessage[],2,0),VLOOKUP(C560&amp;TableCosts[[#This Row],[Calc_N_Typ]],TRAN_STRITEMS_LABEL,4,FALSE)),"")</f>
        <v/>
      </c>
      <c r="I560" s="94"/>
      <c r="J560" s="94"/>
      <c r="K560" s="94"/>
      <c r="L560" s="84"/>
      <c r="M560" s="84"/>
      <c r="N560" s="84"/>
      <c r="O560" s="84"/>
      <c r="P560" s="84"/>
      <c r="Q560" s="84"/>
      <c r="R560" s="84"/>
      <c r="S560" s="84"/>
      <c r="T560" s="84"/>
      <c r="U560" s="84"/>
      <c r="V560" s="84"/>
      <c r="W560" s="84"/>
      <c r="X560" s="84"/>
      <c r="Y560" s="84"/>
      <c r="Z560" s="84"/>
      <c r="AA560" s="84"/>
      <c r="AB560" s="84"/>
      <c r="AC560" s="84"/>
      <c r="AD560" s="84"/>
      <c r="AE560" s="84"/>
      <c r="AF560" s="84"/>
      <c r="AG560" s="84"/>
      <c r="AH560" s="84"/>
      <c r="AI560" s="84"/>
      <c r="AJ560" s="84"/>
      <c r="AK560" s="84"/>
      <c r="AL560" s="84"/>
      <c r="AM560" s="84"/>
      <c r="AN560" s="84"/>
      <c r="AO560" s="84"/>
      <c r="AP560" s="84"/>
      <c r="AQ560" s="84"/>
      <c r="AR560" s="84"/>
      <c r="AS560" s="84"/>
      <c r="AT560" s="84"/>
      <c r="AU560" s="84"/>
      <c r="AV560" s="84"/>
      <c r="AW560" s="84"/>
      <c r="AX560" s="87">
        <f t="array" ref="AX560">IF(G560=1,SUM((ROW(M0)=ROW(AW560))*(M0+M1_+M2_+M3_+M4_+M5_+M6_+M7_+M8_+M9_+M10_+M11_+M12_+M13_+M14_+M15_+M16_+M17_+M18_+M19_+M20_+M21_+M22_+M23_+M24_+M25_+M26_+M27_+M28_+M29_+M30_+M31_+M32_+M33_+M34_+M35_+M36_+M37_)),0)</f>
        <v>0</v>
      </c>
      <c r="AZ560" s="24" t="str">
        <f t="shared" si="121"/>
        <v/>
      </c>
      <c r="BA560" s="24" t="str">
        <f t="shared" si="122"/>
        <v/>
      </c>
      <c r="BB560" s="24" t="str">
        <f t="shared" si="123"/>
        <v/>
      </c>
      <c r="BC560" s="24" t="str">
        <f>IF(OR(E560="",LEFT(TableCosts[[#This Row],[Calc_N_Typ]],18)="Vynaložené náklady"),"",VLOOKUP(E560,Tab_Parts,2,0))</f>
        <v/>
      </c>
      <c r="BD560" s="24" t="str">
        <f t="shared" si="124"/>
        <v/>
      </c>
      <c r="BE560" s="24">
        <f t="shared" si="125"/>
        <v>0</v>
      </c>
      <c r="BF560" s="72">
        <f>TableCosts[[#This Row],[N_Amount]]*TableCosts[[#This Row],[N_Tariff]]*TableCosts[[#This Row],[N_ItemsCount]]</f>
        <v>0</v>
      </c>
      <c r="BG560" s="72">
        <f>IF(G560=1,IF(TableCosts[[#This Row],[N_Kateg]]="interné práce",TableCosts[[#This Row],[N_Amount]]*8*PAR_SGA_PERHOUR,0),0)</f>
        <v>0</v>
      </c>
      <c r="BH560" s="72">
        <f>SUM(TableCosts[[#This Row],[N_Direct]:[N_SGA]])</f>
        <v>0</v>
      </c>
      <c r="BI560" s="24">
        <f>IF(G560=1,IF(OR(AND(NOT(ISERROR(VLOOKUP(TableCosts[[#This Row],[Calc_N_Typ]],Cis_WorkPositions,1,0))),C560&lt;&gt;"",D560&lt;&gt;"",E560&lt;&gt;""),AND(ISERROR(VLOOKUP(TableCosts[[#This Row],[Calc_N_Typ]],Cis_WorkPositions,1,0)),C560="",D560="",E560&lt;&gt;""),LEFT(TableCosts[[#This Row],[Calc_N_Typ]],18)="Vynaložené náklady"),VLOOKUP(C560&amp;TableCosts[[#This Row],[Calc_N_Typ]],TRAN_STRITEMS_LABEL,VLOOKUP(D560,Tab_Hours,3,0),0),NA()),0)</f>
        <v>0</v>
      </c>
      <c r="BJ560" s="24">
        <f t="shared" si="126"/>
        <v>0</v>
      </c>
      <c r="BK560" s="24" t="str">
        <f t="shared" si="127"/>
        <v/>
      </c>
      <c r="BL560" s="24" t="str">
        <f t="shared" si="128"/>
        <v/>
      </c>
      <c r="BM560" s="24" t="str">
        <f>IF(G560=1,IF(TableCosts[[#This Row],[TransferFrom]]=TableCosts[[#This Row],[TranferTo]],0,1),"")</f>
        <v/>
      </c>
      <c r="BN560" s="24" t="str">
        <f t="shared" si="129"/>
        <v/>
      </c>
      <c r="BO560" s="24">
        <f t="shared" si="130"/>
        <v>0</v>
      </c>
      <c r="BP560" s="24">
        <f t="shared" si="131"/>
        <v>0</v>
      </c>
    </row>
    <row r="561" spans="2:68" s="24" customFormat="1" ht="12.75" x14ac:dyDescent="0.2">
      <c r="B561" s="97"/>
      <c r="C561" s="92"/>
      <c r="D561" s="92"/>
      <c r="E561" s="92"/>
      <c r="F561" s="31" t="str">
        <f>IF(G561=1,IF(ISERROR(TableCosts[[#This Row],[N_Tariff]]),Err_Message1,IF(TableCosts[[#This Row],[N_Tariff]]=0,Err_Message2,VLOOKUP(C561&amp;TableCosts[[#This Row],[Calc_N_Typ]],TRAN_STRITEMS_LABEL,5,FALSE))),"")</f>
        <v/>
      </c>
      <c r="G561" s="31">
        <f t="shared" si="120"/>
        <v>0</v>
      </c>
      <c r="H561" s="31" t="str">
        <f>IF(G561=1,IFERROR(VLOOKUP(F561,Tab_ErrMessage[],2,0),VLOOKUP(C561&amp;TableCosts[[#This Row],[Calc_N_Typ]],TRAN_STRITEMS_LABEL,4,FALSE)),"")</f>
        <v/>
      </c>
      <c r="I561" s="94"/>
      <c r="J561" s="94"/>
      <c r="K561" s="94"/>
      <c r="L561" s="84"/>
      <c r="M561" s="84"/>
      <c r="N561" s="84"/>
      <c r="O561" s="84"/>
      <c r="P561" s="84"/>
      <c r="Q561" s="84"/>
      <c r="R561" s="84"/>
      <c r="S561" s="84"/>
      <c r="T561" s="84"/>
      <c r="U561" s="84"/>
      <c r="V561" s="84"/>
      <c r="W561" s="84"/>
      <c r="X561" s="84"/>
      <c r="Y561" s="84"/>
      <c r="Z561" s="84"/>
      <c r="AA561" s="84"/>
      <c r="AB561" s="84"/>
      <c r="AC561" s="84"/>
      <c r="AD561" s="84"/>
      <c r="AE561" s="84"/>
      <c r="AF561" s="84"/>
      <c r="AG561" s="84"/>
      <c r="AH561" s="84"/>
      <c r="AI561" s="84"/>
      <c r="AJ561" s="84"/>
      <c r="AK561" s="84"/>
      <c r="AL561" s="84"/>
      <c r="AM561" s="84"/>
      <c r="AN561" s="84"/>
      <c r="AO561" s="84"/>
      <c r="AP561" s="84"/>
      <c r="AQ561" s="84"/>
      <c r="AR561" s="84"/>
      <c r="AS561" s="84"/>
      <c r="AT561" s="84"/>
      <c r="AU561" s="84"/>
      <c r="AV561" s="84"/>
      <c r="AW561" s="84"/>
      <c r="AX561" s="87">
        <f t="array" ref="AX561">IF(G561=1,SUM((ROW(M0)=ROW(AW561))*(M0+M1_+M2_+M3_+M4_+M5_+M6_+M7_+M8_+M9_+M10_+M11_+M12_+M13_+M14_+M15_+M16_+M17_+M18_+M19_+M20_+M21_+M22_+M23_+M24_+M25_+M26_+M27_+M28_+M29_+M30_+M31_+M32_+M33_+M34_+M35_+M36_+M37_)),0)</f>
        <v>0</v>
      </c>
      <c r="AZ561" s="24" t="str">
        <f t="shared" si="121"/>
        <v/>
      </c>
      <c r="BA561" s="24" t="str">
        <f t="shared" si="122"/>
        <v/>
      </c>
      <c r="BB561" s="24" t="str">
        <f t="shared" si="123"/>
        <v/>
      </c>
      <c r="BC561" s="24" t="str">
        <f>IF(OR(E561="",LEFT(TableCosts[[#This Row],[Calc_N_Typ]],18)="Vynaložené náklady"),"",VLOOKUP(E561,Tab_Parts,2,0))</f>
        <v/>
      </c>
      <c r="BD561" s="24" t="str">
        <f t="shared" si="124"/>
        <v/>
      </c>
      <c r="BE561" s="24">
        <f t="shared" si="125"/>
        <v>0</v>
      </c>
      <c r="BF561" s="72">
        <f>TableCosts[[#This Row],[N_Amount]]*TableCosts[[#This Row],[N_Tariff]]*TableCosts[[#This Row],[N_ItemsCount]]</f>
        <v>0</v>
      </c>
      <c r="BG561" s="72">
        <f>IF(G561=1,IF(TableCosts[[#This Row],[N_Kateg]]="interné práce",TableCosts[[#This Row],[N_Amount]]*8*PAR_SGA_PERHOUR,0),0)</f>
        <v>0</v>
      </c>
      <c r="BH561" s="72">
        <f>SUM(TableCosts[[#This Row],[N_Direct]:[N_SGA]])</f>
        <v>0</v>
      </c>
      <c r="BI561" s="24">
        <f>IF(G561=1,IF(OR(AND(NOT(ISERROR(VLOOKUP(TableCosts[[#This Row],[Calc_N_Typ]],Cis_WorkPositions,1,0))),C561&lt;&gt;"",D561&lt;&gt;"",E561&lt;&gt;""),AND(ISERROR(VLOOKUP(TableCosts[[#This Row],[Calc_N_Typ]],Cis_WorkPositions,1,0)),C561="",D561="",E561&lt;&gt;""),LEFT(TableCosts[[#This Row],[Calc_N_Typ]],18)="Vynaložené náklady"),VLOOKUP(C561&amp;TableCosts[[#This Row],[Calc_N_Typ]],TRAN_STRITEMS_LABEL,VLOOKUP(D561,Tab_Hours,3,0),0),NA()),0)</f>
        <v>0</v>
      </c>
      <c r="BJ561" s="24">
        <f t="shared" si="126"/>
        <v>0</v>
      </c>
      <c r="BK561" s="24" t="str">
        <f t="shared" si="127"/>
        <v/>
      </c>
      <c r="BL561" s="24" t="str">
        <f t="shared" si="128"/>
        <v/>
      </c>
      <c r="BM561" s="24" t="str">
        <f>IF(G561=1,IF(TableCosts[[#This Row],[TransferFrom]]=TableCosts[[#This Row],[TranferTo]],0,1),"")</f>
        <v/>
      </c>
      <c r="BN561" s="24" t="str">
        <f t="shared" si="129"/>
        <v/>
      </c>
      <c r="BO561" s="24">
        <f t="shared" si="130"/>
        <v>0</v>
      </c>
      <c r="BP561" s="24">
        <f t="shared" si="131"/>
        <v>0</v>
      </c>
    </row>
    <row r="562" spans="2:68" s="24" customFormat="1" ht="12.75" x14ac:dyDescent="0.2">
      <c r="B562" s="97"/>
      <c r="C562" s="92"/>
      <c r="D562" s="92"/>
      <c r="E562" s="92"/>
      <c r="F562" s="31" t="str">
        <f>IF(G562=1,IF(ISERROR(TableCosts[[#This Row],[N_Tariff]]),Err_Message1,IF(TableCosts[[#This Row],[N_Tariff]]=0,Err_Message2,VLOOKUP(C562&amp;TableCosts[[#This Row],[Calc_N_Typ]],TRAN_STRITEMS_LABEL,5,FALSE))),"")</f>
        <v/>
      </c>
      <c r="G562" s="31">
        <f t="shared" si="120"/>
        <v>0</v>
      </c>
      <c r="H562" s="31" t="str">
        <f>IF(G562=1,IFERROR(VLOOKUP(F562,Tab_ErrMessage[],2,0),VLOOKUP(C562&amp;TableCosts[[#This Row],[Calc_N_Typ]],TRAN_STRITEMS_LABEL,4,FALSE)),"")</f>
        <v/>
      </c>
      <c r="I562" s="94"/>
      <c r="J562" s="94"/>
      <c r="K562" s="94"/>
      <c r="L562" s="84"/>
      <c r="M562" s="84"/>
      <c r="N562" s="84"/>
      <c r="O562" s="84"/>
      <c r="P562" s="84"/>
      <c r="Q562" s="84"/>
      <c r="R562" s="84"/>
      <c r="S562" s="84"/>
      <c r="T562" s="84"/>
      <c r="U562" s="84"/>
      <c r="V562" s="84"/>
      <c r="W562" s="84"/>
      <c r="X562" s="84"/>
      <c r="Y562" s="84"/>
      <c r="Z562" s="84"/>
      <c r="AA562" s="84"/>
      <c r="AB562" s="84"/>
      <c r="AC562" s="84"/>
      <c r="AD562" s="84"/>
      <c r="AE562" s="84"/>
      <c r="AF562" s="84"/>
      <c r="AG562" s="84"/>
      <c r="AH562" s="84"/>
      <c r="AI562" s="84"/>
      <c r="AJ562" s="84"/>
      <c r="AK562" s="84"/>
      <c r="AL562" s="84"/>
      <c r="AM562" s="84"/>
      <c r="AN562" s="84"/>
      <c r="AO562" s="84"/>
      <c r="AP562" s="84"/>
      <c r="AQ562" s="84"/>
      <c r="AR562" s="84"/>
      <c r="AS562" s="84"/>
      <c r="AT562" s="84"/>
      <c r="AU562" s="84"/>
      <c r="AV562" s="84"/>
      <c r="AW562" s="84"/>
      <c r="AX562" s="87">
        <f t="array" ref="AX562">IF(G562=1,SUM((ROW(M0)=ROW(AW562))*(M0+M1_+M2_+M3_+M4_+M5_+M6_+M7_+M8_+M9_+M10_+M11_+M12_+M13_+M14_+M15_+M16_+M17_+M18_+M19_+M20_+M21_+M22_+M23_+M24_+M25_+M26_+M27_+M28_+M29_+M30_+M31_+M32_+M33_+M34_+M35_+M36_+M37_)),0)</f>
        <v>0</v>
      </c>
      <c r="AZ562" s="24" t="str">
        <f t="shared" si="121"/>
        <v/>
      </c>
      <c r="BA562" s="24" t="str">
        <f t="shared" si="122"/>
        <v/>
      </c>
      <c r="BB562" s="24" t="str">
        <f t="shared" si="123"/>
        <v/>
      </c>
      <c r="BC562" s="24" t="str">
        <f>IF(OR(E562="",LEFT(TableCosts[[#This Row],[Calc_N_Typ]],18)="Vynaložené náklady"),"",VLOOKUP(E562,Tab_Parts,2,0))</f>
        <v/>
      </c>
      <c r="BD562" s="24" t="str">
        <f t="shared" si="124"/>
        <v/>
      </c>
      <c r="BE562" s="24">
        <f t="shared" si="125"/>
        <v>0</v>
      </c>
      <c r="BF562" s="72">
        <f>TableCosts[[#This Row],[N_Amount]]*TableCosts[[#This Row],[N_Tariff]]*TableCosts[[#This Row],[N_ItemsCount]]</f>
        <v>0</v>
      </c>
      <c r="BG562" s="72">
        <f>IF(G562=1,IF(TableCosts[[#This Row],[N_Kateg]]="interné práce",TableCosts[[#This Row],[N_Amount]]*8*PAR_SGA_PERHOUR,0),0)</f>
        <v>0</v>
      </c>
      <c r="BH562" s="72">
        <f>SUM(TableCosts[[#This Row],[N_Direct]:[N_SGA]])</f>
        <v>0</v>
      </c>
      <c r="BI562" s="24">
        <f>IF(G562=1,IF(OR(AND(NOT(ISERROR(VLOOKUP(TableCosts[[#This Row],[Calc_N_Typ]],Cis_WorkPositions,1,0))),C562&lt;&gt;"",D562&lt;&gt;"",E562&lt;&gt;""),AND(ISERROR(VLOOKUP(TableCosts[[#This Row],[Calc_N_Typ]],Cis_WorkPositions,1,0)),C562="",D562="",E562&lt;&gt;""),LEFT(TableCosts[[#This Row],[Calc_N_Typ]],18)="Vynaložené náklady"),VLOOKUP(C562&amp;TableCosts[[#This Row],[Calc_N_Typ]],TRAN_STRITEMS_LABEL,VLOOKUP(D562,Tab_Hours,3,0),0),NA()),0)</f>
        <v>0</v>
      </c>
      <c r="BJ562" s="24">
        <f t="shared" si="126"/>
        <v>0</v>
      </c>
      <c r="BK562" s="24" t="str">
        <f t="shared" si="127"/>
        <v/>
      </c>
      <c r="BL562" s="24" t="str">
        <f t="shared" si="128"/>
        <v/>
      </c>
      <c r="BM562" s="24" t="str">
        <f>IF(G562=1,IF(TableCosts[[#This Row],[TransferFrom]]=TableCosts[[#This Row],[TranferTo]],0,1),"")</f>
        <v/>
      </c>
      <c r="BN562" s="24" t="str">
        <f t="shared" si="129"/>
        <v/>
      </c>
      <c r="BO562" s="24">
        <f t="shared" si="130"/>
        <v>0</v>
      </c>
      <c r="BP562" s="24">
        <f t="shared" si="131"/>
        <v>0</v>
      </c>
    </row>
    <row r="563" spans="2:68" s="24" customFormat="1" ht="12.75" x14ac:dyDescent="0.2">
      <c r="B563" s="97"/>
      <c r="C563" s="92"/>
      <c r="D563" s="92"/>
      <c r="E563" s="92"/>
      <c r="F563" s="31" t="str">
        <f>IF(G563=1,IF(ISERROR(TableCosts[[#This Row],[N_Tariff]]),Err_Message1,IF(TableCosts[[#This Row],[N_Tariff]]=0,Err_Message2,VLOOKUP(C563&amp;TableCosts[[#This Row],[Calc_N_Typ]],TRAN_STRITEMS_LABEL,5,FALSE))),"")</f>
        <v/>
      </c>
      <c r="G563" s="31">
        <f t="shared" si="120"/>
        <v>0</v>
      </c>
      <c r="H563" s="31" t="str">
        <f>IF(G563=1,IFERROR(VLOOKUP(F563,Tab_ErrMessage[],2,0),VLOOKUP(C563&amp;TableCosts[[#This Row],[Calc_N_Typ]],TRAN_STRITEMS_LABEL,4,FALSE)),"")</f>
        <v/>
      </c>
      <c r="I563" s="94"/>
      <c r="J563" s="94"/>
      <c r="K563" s="94"/>
      <c r="L563" s="84"/>
      <c r="M563" s="84"/>
      <c r="N563" s="84"/>
      <c r="O563" s="84"/>
      <c r="P563" s="84"/>
      <c r="Q563" s="84"/>
      <c r="R563" s="84"/>
      <c r="S563" s="84"/>
      <c r="T563" s="84"/>
      <c r="U563" s="84"/>
      <c r="V563" s="84"/>
      <c r="W563" s="84"/>
      <c r="X563" s="84"/>
      <c r="Y563" s="84"/>
      <c r="Z563" s="84"/>
      <c r="AA563" s="84"/>
      <c r="AB563" s="84"/>
      <c r="AC563" s="84"/>
      <c r="AD563" s="84"/>
      <c r="AE563" s="84"/>
      <c r="AF563" s="84"/>
      <c r="AG563" s="84"/>
      <c r="AH563" s="84"/>
      <c r="AI563" s="84"/>
      <c r="AJ563" s="84"/>
      <c r="AK563" s="84"/>
      <c r="AL563" s="84"/>
      <c r="AM563" s="84"/>
      <c r="AN563" s="84"/>
      <c r="AO563" s="84"/>
      <c r="AP563" s="84"/>
      <c r="AQ563" s="84"/>
      <c r="AR563" s="84"/>
      <c r="AS563" s="84"/>
      <c r="AT563" s="84"/>
      <c r="AU563" s="84"/>
      <c r="AV563" s="84"/>
      <c r="AW563" s="84"/>
      <c r="AX563" s="87">
        <f t="array" ref="AX563">IF(G563=1,SUM((ROW(M0)=ROW(AW563))*(M0+M1_+M2_+M3_+M4_+M5_+M6_+M7_+M8_+M9_+M10_+M11_+M12_+M13_+M14_+M15_+M16_+M17_+M18_+M19_+M20_+M21_+M22_+M23_+M24_+M25_+M26_+M27_+M28_+M29_+M30_+M31_+M32_+M33_+M34_+M35_+M36_+M37_)),0)</f>
        <v>0</v>
      </c>
      <c r="AZ563" s="24" t="str">
        <f t="shared" si="121"/>
        <v/>
      </c>
      <c r="BA563" s="24" t="str">
        <f t="shared" si="122"/>
        <v/>
      </c>
      <c r="BB563" s="24" t="str">
        <f t="shared" si="123"/>
        <v/>
      </c>
      <c r="BC563" s="24" t="str">
        <f>IF(OR(E563="",LEFT(TableCosts[[#This Row],[Calc_N_Typ]],18)="Vynaložené náklady"),"",VLOOKUP(E563,Tab_Parts,2,0))</f>
        <v/>
      </c>
      <c r="BD563" s="24" t="str">
        <f t="shared" si="124"/>
        <v/>
      </c>
      <c r="BE563" s="24">
        <f t="shared" si="125"/>
        <v>0</v>
      </c>
      <c r="BF563" s="72">
        <f>TableCosts[[#This Row],[N_Amount]]*TableCosts[[#This Row],[N_Tariff]]*TableCosts[[#This Row],[N_ItemsCount]]</f>
        <v>0</v>
      </c>
      <c r="BG563" s="72">
        <f>IF(G563=1,IF(TableCosts[[#This Row],[N_Kateg]]="interné práce",TableCosts[[#This Row],[N_Amount]]*8*PAR_SGA_PERHOUR,0),0)</f>
        <v>0</v>
      </c>
      <c r="BH563" s="72">
        <f>SUM(TableCosts[[#This Row],[N_Direct]:[N_SGA]])</f>
        <v>0</v>
      </c>
      <c r="BI563" s="24">
        <f>IF(G563=1,IF(OR(AND(NOT(ISERROR(VLOOKUP(TableCosts[[#This Row],[Calc_N_Typ]],Cis_WorkPositions,1,0))),C563&lt;&gt;"",D563&lt;&gt;"",E563&lt;&gt;""),AND(ISERROR(VLOOKUP(TableCosts[[#This Row],[Calc_N_Typ]],Cis_WorkPositions,1,0)),C563="",D563="",E563&lt;&gt;""),LEFT(TableCosts[[#This Row],[Calc_N_Typ]],18)="Vynaložené náklady"),VLOOKUP(C563&amp;TableCosts[[#This Row],[Calc_N_Typ]],TRAN_STRITEMS_LABEL,VLOOKUP(D563,Tab_Hours,3,0),0),NA()),0)</f>
        <v>0</v>
      </c>
      <c r="BJ563" s="24">
        <f t="shared" si="126"/>
        <v>0</v>
      </c>
      <c r="BK563" s="24" t="str">
        <f t="shared" si="127"/>
        <v/>
      </c>
      <c r="BL563" s="24" t="str">
        <f t="shared" si="128"/>
        <v/>
      </c>
      <c r="BM563" s="24" t="str">
        <f>IF(G563=1,IF(TableCosts[[#This Row],[TransferFrom]]=TableCosts[[#This Row],[TranferTo]],0,1),"")</f>
        <v/>
      </c>
      <c r="BN563" s="24" t="str">
        <f t="shared" si="129"/>
        <v/>
      </c>
      <c r="BO563" s="24">
        <f t="shared" si="130"/>
        <v>0</v>
      </c>
      <c r="BP563" s="24">
        <f t="shared" si="131"/>
        <v>0</v>
      </c>
    </row>
    <row r="564" spans="2:68" s="24" customFormat="1" ht="12.75" x14ac:dyDescent="0.2">
      <c r="B564" s="97"/>
      <c r="C564" s="92"/>
      <c r="D564" s="92"/>
      <c r="E564" s="92"/>
      <c r="F564" s="31" t="str">
        <f>IF(G564=1,IF(ISERROR(TableCosts[[#This Row],[N_Tariff]]),Err_Message1,IF(TableCosts[[#This Row],[N_Tariff]]=0,Err_Message2,VLOOKUP(C564&amp;TableCosts[[#This Row],[Calc_N_Typ]],TRAN_STRITEMS_LABEL,5,FALSE))),"")</f>
        <v/>
      </c>
      <c r="G564" s="31">
        <f t="shared" si="120"/>
        <v>0</v>
      </c>
      <c r="H564" s="31" t="str">
        <f>IF(G564=1,IFERROR(VLOOKUP(F564,Tab_ErrMessage[],2,0),VLOOKUP(C564&amp;TableCosts[[#This Row],[Calc_N_Typ]],TRAN_STRITEMS_LABEL,4,FALSE)),"")</f>
        <v/>
      </c>
      <c r="I564" s="94"/>
      <c r="J564" s="94"/>
      <c r="K564" s="94"/>
      <c r="L564" s="84"/>
      <c r="M564" s="84"/>
      <c r="N564" s="84"/>
      <c r="O564" s="84"/>
      <c r="P564" s="84"/>
      <c r="Q564" s="84"/>
      <c r="R564" s="84"/>
      <c r="S564" s="84"/>
      <c r="T564" s="84"/>
      <c r="U564" s="84"/>
      <c r="V564" s="84"/>
      <c r="W564" s="84"/>
      <c r="X564" s="84"/>
      <c r="Y564" s="84"/>
      <c r="Z564" s="84"/>
      <c r="AA564" s="84"/>
      <c r="AB564" s="84"/>
      <c r="AC564" s="84"/>
      <c r="AD564" s="84"/>
      <c r="AE564" s="84"/>
      <c r="AF564" s="84"/>
      <c r="AG564" s="84"/>
      <c r="AH564" s="84"/>
      <c r="AI564" s="84"/>
      <c r="AJ564" s="84"/>
      <c r="AK564" s="84"/>
      <c r="AL564" s="84"/>
      <c r="AM564" s="84"/>
      <c r="AN564" s="84"/>
      <c r="AO564" s="84"/>
      <c r="AP564" s="84"/>
      <c r="AQ564" s="84"/>
      <c r="AR564" s="84"/>
      <c r="AS564" s="84"/>
      <c r="AT564" s="84"/>
      <c r="AU564" s="84"/>
      <c r="AV564" s="84"/>
      <c r="AW564" s="84"/>
      <c r="AX564" s="87">
        <f t="array" ref="AX564">IF(G564=1,SUM((ROW(M0)=ROW(AW564))*(M0+M1_+M2_+M3_+M4_+M5_+M6_+M7_+M8_+M9_+M10_+M11_+M12_+M13_+M14_+M15_+M16_+M17_+M18_+M19_+M20_+M21_+M22_+M23_+M24_+M25_+M26_+M27_+M28_+M29_+M30_+M31_+M32_+M33_+M34_+M35_+M36_+M37_)),0)</f>
        <v>0</v>
      </c>
      <c r="AZ564" s="24" t="str">
        <f t="shared" si="121"/>
        <v/>
      </c>
      <c r="BA564" s="24" t="str">
        <f t="shared" si="122"/>
        <v/>
      </c>
      <c r="BB564" s="24" t="str">
        <f t="shared" si="123"/>
        <v/>
      </c>
      <c r="BC564" s="24" t="str">
        <f>IF(OR(E564="",LEFT(TableCosts[[#This Row],[Calc_N_Typ]],18)="Vynaložené náklady"),"",VLOOKUP(E564,Tab_Parts,2,0))</f>
        <v/>
      </c>
      <c r="BD564" s="24" t="str">
        <f t="shared" si="124"/>
        <v/>
      </c>
      <c r="BE564" s="24">
        <f t="shared" si="125"/>
        <v>0</v>
      </c>
      <c r="BF564" s="72">
        <f>TableCosts[[#This Row],[N_Amount]]*TableCosts[[#This Row],[N_Tariff]]*TableCosts[[#This Row],[N_ItemsCount]]</f>
        <v>0</v>
      </c>
      <c r="BG564" s="72">
        <f>IF(G564=1,IF(TableCosts[[#This Row],[N_Kateg]]="interné práce",TableCosts[[#This Row],[N_Amount]]*8*PAR_SGA_PERHOUR,0),0)</f>
        <v>0</v>
      </c>
      <c r="BH564" s="72">
        <f>SUM(TableCosts[[#This Row],[N_Direct]:[N_SGA]])</f>
        <v>0</v>
      </c>
      <c r="BI564" s="24">
        <f>IF(G564=1,IF(OR(AND(NOT(ISERROR(VLOOKUP(TableCosts[[#This Row],[Calc_N_Typ]],Cis_WorkPositions,1,0))),C564&lt;&gt;"",D564&lt;&gt;"",E564&lt;&gt;""),AND(ISERROR(VLOOKUP(TableCosts[[#This Row],[Calc_N_Typ]],Cis_WorkPositions,1,0)),C564="",D564="",E564&lt;&gt;""),LEFT(TableCosts[[#This Row],[Calc_N_Typ]],18)="Vynaložené náklady"),VLOOKUP(C564&amp;TableCosts[[#This Row],[Calc_N_Typ]],TRAN_STRITEMS_LABEL,VLOOKUP(D564,Tab_Hours,3,0),0),NA()),0)</f>
        <v>0</v>
      </c>
      <c r="BJ564" s="24">
        <f t="shared" si="126"/>
        <v>0</v>
      </c>
      <c r="BK564" s="24" t="str">
        <f t="shared" si="127"/>
        <v/>
      </c>
      <c r="BL564" s="24" t="str">
        <f t="shared" si="128"/>
        <v/>
      </c>
      <c r="BM564" s="24" t="str">
        <f>IF(G564=1,IF(TableCosts[[#This Row],[TransferFrom]]=TableCosts[[#This Row],[TranferTo]],0,1),"")</f>
        <v/>
      </c>
      <c r="BN564" s="24" t="str">
        <f t="shared" si="129"/>
        <v/>
      </c>
      <c r="BO564" s="24">
        <f t="shared" si="130"/>
        <v>0</v>
      </c>
      <c r="BP564" s="24">
        <f t="shared" si="131"/>
        <v>0</v>
      </c>
    </row>
    <row r="565" spans="2:68" s="24" customFormat="1" ht="12.75" x14ac:dyDescent="0.2">
      <c r="B565" s="97"/>
      <c r="C565" s="92"/>
      <c r="D565" s="92"/>
      <c r="E565" s="92"/>
      <c r="F565" s="31" t="str">
        <f>IF(G565=1,IF(ISERROR(TableCosts[[#This Row],[N_Tariff]]),Err_Message1,IF(TableCosts[[#This Row],[N_Tariff]]=0,Err_Message2,VLOOKUP(C565&amp;TableCosts[[#This Row],[Calc_N_Typ]],TRAN_STRITEMS_LABEL,5,FALSE))),"")</f>
        <v/>
      </c>
      <c r="G565" s="31">
        <f t="shared" si="120"/>
        <v>0</v>
      </c>
      <c r="H565" s="31" t="str">
        <f>IF(G565=1,IFERROR(VLOOKUP(F565,Tab_ErrMessage[],2,0),VLOOKUP(C565&amp;TableCosts[[#This Row],[Calc_N_Typ]],TRAN_STRITEMS_LABEL,4,FALSE)),"")</f>
        <v/>
      </c>
      <c r="I565" s="94"/>
      <c r="J565" s="94"/>
      <c r="K565" s="94"/>
      <c r="L565" s="84"/>
      <c r="M565" s="84"/>
      <c r="N565" s="84"/>
      <c r="O565" s="84"/>
      <c r="P565" s="84"/>
      <c r="Q565" s="84"/>
      <c r="R565" s="84"/>
      <c r="S565" s="84"/>
      <c r="T565" s="84"/>
      <c r="U565" s="84"/>
      <c r="V565" s="84"/>
      <c r="W565" s="84"/>
      <c r="X565" s="84"/>
      <c r="Y565" s="84"/>
      <c r="Z565" s="84"/>
      <c r="AA565" s="84"/>
      <c r="AB565" s="84"/>
      <c r="AC565" s="84"/>
      <c r="AD565" s="84"/>
      <c r="AE565" s="84"/>
      <c r="AF565" s="84"/>
      <c r="AG565" s="84"/>
      <c r="AH565" s="84"/>
      <c r="AI565" s="84"/>
      <c r="AJ565" s="84"/>
      <c r="AK565" s="84"/>
      <c r="AL565" s="84"/>
      <c r="AM565" s="84"/>
      <c r="AN565" s="84"/>
      <c r="AO565" s="84"/>
      <c r="AP565" s="84"/>
      <c r="AQ565" s="84"/>
      <c r="AR565" s="84"/>
      <c r="AS565" s="84"/>
      <c r="AT565" s="84"/>
      <c r="AU565" s="84"/>
      <c r="AV565" s="84"/>
      <c r="AW565" s="84"/>
      <c r="AX565" s="87">
        <f t="array" ref="AX565">IF(G565=1,SUM((ROW(M0)=ROW(AW565))*(M0+M1_+M2_+M3_+M4_+M5_+M6_+M7_+M8_+M9_+M10_+M11_+M12_+M13_+M14_+M15_+M16_+M17_+M18_+M19_+M20_+M21_+M22_+M23_+M24_+M25_+M26_+M27_+M28_+M29_+M30_+M31_+M32_+M33_+M34_+M35_+M36_+M37_)),0)</f>
        <v>0</v>
      </c>
      <c r="AZ565" s="24" t="str">
        <f t="shared" si="121"/>
        <v/>
      </c>
      <c r="BA565" s="24" t="str">
        <f t="shared" si="122"/>
        <v/>
      </c>
      <c r="BB565" s="24" t="str">
        <f t="shared" si="123"/>
        <v/>
      </c>
      <c r="BC565" s="24" t="str">
        <f>IF(OR(E565="",LEFT(TableCosts[[#This Row],[Calc_N_Typ]],18)="Vynaložené náklady"),"",VLOOKUP(E565,Tab_Parts,2,0))</f>
        <v/>
      </c>
      <c r="BD565" s="24" t="str">
        <f t="shared" si="124"/>
        <v/>
      </c>
      <c r="BE565" s="24">
        <f t="shared" si="125"/>
        <v>0</v>
      </c>
      <c r="BF565" s="72">
        <f>TableCosts[[#This Row],[N_Amount]]*TableCosts[[#This Row],[N_Tariff]]*TableCosts[[#This Row],[N_ItemsCount]]</f>
        <v>0</v>
      </c>
      <c r="BG565" s="72">
        <f>IF(G565=1,IF(TableCosts[[#This Row],[N_Kateg]]="interné práce",TableCosts[[#This Row],[N_Amount]]*8*PAR_SGA_PERHOUR,0),0)</f>
        <v>0</v>
      </c>
      <c r="BH565" s="72">
        <f>SUM(TableCosts[[#This Row],[N_Direct]:[N_SGA]])</f>
        <v>0</v>
      </c>
      <c r="BI565" s="24">
        <f>IF(G565=1,IF(OR(AND(NOT(ISERROR(VLOOKUP(TableCosts[[#This Row],[Calc_N_Typ]],Cis_WorkPositions,1,0))),C565&lt;&gt;"",D565&lt;&gt;"",E565&lt;&gt;""),AND(ISERROR(VLOOKUP(TableCosts[[#This Row],[Calc_N_Typ]],Cis_WorkPositions,1,0)),C565="",D565="",E565&lt;&gt;""),LEFT(TableCosts[[#This Row],[Calc_N_Typ]],18)="Vynaložené náklady"),VLOOKUP(C565&amp;TableCosts[[#This Row],[Calc_N_Typ]],TRAN_STRITEMS_LABEL,VLOOKUP(D565,Tab_Hours,3,0),0),NA()),0)</f>
        <v>0</v>
      </c>
      <c r="BJ565" s="24">
        <f t="shared" si="126"/>
        <v>0</v>
      </c>
      <c r="BK565" s="24" t="str">
        <f t="shared" si="127"/>
        <v/>
      </c>
      <c r="BL565" s="24" t="str">
        <f t="shared" si="128"/>
        <v/>
      </c>
      <c r="BM565" s="24" t="str">
        <f>IF(G565=1,IF(TableCosts[[#This Row],[TransferFrom]]=TableCosts[[#This Row],[TranferTo]],0,1),"")</f>
        <v/>
      </c>
      <c r="BN565" s="24" t="str">
        <f t="shared" si="129"/>
        <v/>
      </c>
      <c r="BO565" s="24">
        <f t="shared" si="130"/>
        <v>0</v>
      </c>
      <c r="BP565" s="24">
        <f t="shared" si="131"/>
        <v>0</v>
      </c>
    </row>
    <row r="566" spans="2:68" s="24" customFormat="1" ht="12.75" x14ac:dyDescent="0.2">
      <c r="B566" s="97"/>
      <c r="C566" s="92"/>
      <c r="D566" s="92"/>
      <c r="E566" s="92"/>
      <c r="F566" s="31" t="str">
        <f>IF(G566=1,IF(ISERROR(TableCosts[[#This Row],[N_Tariff]]),Err_Message1,IF(TableCosts[[#This Row],[N_Tariff]]=0,Err_Message2,VLOOKUP(C566&amp;TableCosts[[#This Row],[Calc_N_Typ]],TRAN_STRITEMS_LABEL,5,FALSE))),"")</f>
        <v/>
      </c>
      <c r="G566" s="31">
        <f t="shared" si="120"/>
        <v>0</v>
      </c>
      <c r="H566" s="31" t="str">
        <f>IF(G566=1,IFERROR(VLOOKUP(F566,Tab_ErrMessage[],2,0),VLOOKUP(C566&amp;TableCosts[[#This Row],[Calc_N_Typ]],TRAN_STRITEMS_LABEL,4,FALSE)),"")</f>
        <v/>
      </c>
      <c r="I566" s="94"/>
      <c r="J566" s="94"/>
      <c r="K566" s="94"/>
      <c r="L566" s="84"/>
      <c r="M566" s="84"/>
      <c r="N566" s="84"/>
      <c r="O566" s="84"/>
      <c r="P566" s="84"/>
      <c r="Q566" s="84"/>
      <c r="R566" s="84"/>
      <c r="S566" s="84"/>
      <c r="T566" s="84"/>
      <c r="U566" s="84"/>
      <c r="V566" s="84"/>
      <c r="W566" s="84"/>
      <c r="X566" s="84"/>
      <c r="Y566" s="84"/>
      <c r="Z566" s="84"/>
      <c r="AA566" s="84"/>
      <c r="AB566" s="84"/>
      <c r="AC566" s="84"/>
      <c r="AD566" s="84"/>
      <c r="AE566" s="84"/>
      <c r="AF566" s="84"/>
      <c r="AG566" s="84"/>
      <c r="AH566" s="84"/>
      <c r="AI566" s="84"/>
      <c r="AJ566" s="84"/>
      <c r="AK566" s="84"/>
      <c r="AL566" s="84"/>
      <c r="AM566" s="84"/>
      <c r="AN566" s="84"/>
      <c r="AO566" s="84"/>
      <c r="AP566" s="84"/>
      <c r="AQ566" s="84"/>
      <c r="AR566" s="84"/>
      <c r="AS566" s="84"/>
      <c r="AT566" s="84"/>
      <c r="AU566" s="84"/>
      <c r="AV566" s="84"/>
      <c r="AW566" s="84"/>
      <c r="AX566" s="87">
        <f t="array" ref="AX566">IF(G566=1,SUM((ROW(M0)=ROW(AW566))*(M0+M1_+M2_+M3_+M4_+M5_+M6_+M7_+M8_+M9_+M10_+M11_+M12_+M13_+M14_+M15_+M16_+M17_+M18_+M19_+M20_+M21_+M22_+M23_+M24_+M25_+M26_+M27_+M28_+M29_+M30_+M31_+M32_+M33_+M34_+M35_+M36_+M37_)),0)</f>
        <v>0</v>
      </c>
      <c r="AZ566" s="24" t="str">
        <f t="shared" si="121"/>
        <v/>
      </c>
      <c r="BA566" s="24" t="str">
        <f t="shared" si="122"/>
        <v/>
      </c>
      <c r="BB566" s="24" t="str">
        <f t="shared" si="123"/>
        <v/>
      </c>
      <c r="BC566" s="24" t="str">
        <f>IF(OR(E566="",LEFT(TableCosts[[#This Row],[Calc_N_Typ]],18)="Vynaložené náklady"),"",VLOOKUP(E566,Tab_Parts,2,0))</f>
        <v/>
      </c>
      <c r="BD566" s="24" t="str">
        <f t="shared" si="124"/>
        <v/>
      </c>
      <c r="BE566" s="24">
        <f t="shared" si="125"/>
        <v>0</v>
      </c>
      <c r="BF566" s="72">
        <f>TableCosts[[#This Row],[N_Amount]]*TableCosts[[#This Row],[N_Tariff]]*TableCosts[[#This Row],[N_ItemsCount]]</f>
        <v>0</v>
      </c>
      <c r="BG566" s="72">
        <f>IF(G566=1,IF(TableCosts[[#This Row],[N_Kateg]]="interné práce",TableCosts[[#This Row],[N_Amount]]*8*PAR_SGA_PERHOUR,0),0)</f>
        <v>0</v>
      </c>
      <c r="BH566" s="72">
        <f>SUM(TableCosts[[#This Row],[N_Direct]:[N_SGA]])</f>
        <v>0</v>
      </c>
      <c r="BI566" s="24">
        <f>IF(G566=1,IF(OR(AND(NOT(ISERROR(VLOOKUP(TableCosts[[#This Row],[Calc_N_Typ]],Cis_WorkPositions,1,0))),C566&lt;&gt;"",D566&lt;&gt;"",E566&lt;&gt;""),AND(ISERROR(VLOOKUP(TableCosts[[#This Row],[Calc_N_Typ]],Cis_WorkPositions,1,0)),C566="",D566="",E566&lt;&gt;""),LEFT(TableCosts[[#This Row],[Calc_N_Typ]],18)="Vynaložené náklady"),VLOOKUP(C566&amp;TableCosts[[#This Row],[Calc_N_Typ]],TRAN_STRITEMS_LABEL,VLOOKUP(D566,Tab_Hours,3,0),0),NA()),0)</f>
        <v>0</v>
      </c>
      <c r="BJ566" s="24">
        <f t="shared" si="126"/>
        <v>0</v>
      </c>
      <c r="BK566" s="24" t="str">
        <f t="shared" si="127"/>
        <v/>
      </c>
      <c r="BL566" s="24" t="str">
        <f t="shared" si="128"/>
        <v/>
      </c>
      <c r="BM566" s="24" t="str">
        <f>IF(G566=1,IF(TableCosts[[#This Row],[TransferFrom]]=TableCosts[[#This Row],[TranferTo]],0,1),"")</f>
        <v/>
      </c>
      <c r="BN566" s="24" t="str">
        <f t="shared" si="129"/>
        <v/>
      </c>
      <c r="BO566" s="24">
        <f t="shared" si="130"/>
        <v>0</v>
      </c>
      <c r="BP566" s="24">
        <f t="shared" si="131"/>
        <v>0</v>
      </c>
    </row>
    <row r="567" spans="2:68" s="24" customFormat="1" ht="12.75" x14ac:dyDescent="0.2">
      <c r="B567" s="97"/>
      <c r="C567" s="92"/>
      <c r="D567" s="92"/>
      <c r="E567" s="92"/>
      <c r="F567" s="31" t="str">
        <f>IF(G567=1,IF(ISERROR(TableCosts[[#This Row],[N_Tariff]]),Err_Message1,IF(TableCosts[[#This Row],[N_Tariff]]=0,Err_Message2,VLOOKUP(C567&amp;TableCosts[[#This Row],[Calc_N_Typ]],TRAN_STRITEMS_LABEL,5,FALSE))),"")</f>
        <v/>
      </c>
      <c r="G567" s="31">
        <f t="shared" si="120"/>
        <v>0</v>
      </c>
      <c r="H567" s="31" t="str">
        <f>IF(G567=1,IFERROR(VLOOKUP(F567,Tab_ErrMessage[],2,0),VLOOKUP(C567&amp;TableCosts[[#This Row],[Calc_N_Typ]],TRAN_STRITEMS_LABEL,4,FALSE)),"")</f>
        <v/>
      </c>
      <c r="I567" s="94"/>
      <c r="J567" s="94"/>
      <c r="K567" s="94"/>
      <c r="L567" s="84"/>
      <c r="M567" s="84"/>
      <c r="N567" s="84"/>
      <c r="O567" s="84"/>
      <c r="P567" s="84"/>
      <c r="Q567" s="84"/>
      <c r="R567" s="84"/>
      <c r="S567" s="84"/>
      <c r="T567" s="84"/>
      <c r="U567" s="84"/>
      <c r="V567" s="84"/>
      <c r="W567" s="84"/>
      <c r="X567" s="84"/>
      <c r="Y567" s="84"/>
      <c r="Z567" s="84"/>
      <c r="AA567" s="84"/>
      <c r="AB567" s="84"/>
      <c r="AC567" s="84"/>
      <c r="AD567" s="84"/>
      <c r="AE567" s="84"/>
      <c r="AF567" s="84"/>
      <c r="AG567" s="84"/>
      <c r="AH567" s="84"/>
      <c r="AI567" s="84"/>
      <c r="AJ567" s="84"/>
      <c r="AK567" s="84"/>
      <c r="AL567" s="84"/>
      <c r="AM567" s="84"/>
      <c r="AN567" s="84"/>
      <c r="AO567" s="84"/>
      <c r="AP567" s="84"/>
      <c r="AQ567" s="84"/>
      <c r="AR567" s="84"/>
      <c r="AS567" s="84"/>
      <c r="AT567" s="84"/>
      <c r="AU567" s="84"/>
      <c r="AV567" s="84"/>
      <c r="AW567" s="84"/>
      <c r="AX567" s="87">
        <f t="array" ref="AX567">IF(G567=1,SUM((ROW(M0)=ROW(AW567))*(M0+M1_+M2_+M3_+M4_+M5_+M6_+M7_+M8_+M9_+M10_+M11_+M12_+M13_+M14_+M15_+M16_+M17_+M18_+M19_+M20_+M21_+M22_+M23_+M24_+M25_+M26_+M27_+M28_+M29_+M30_+M31_+M32_+M33_+M34_+M35_+M36_+M37_)),0)</f>
        <v>0</v>
      </c>
      <c r="AZ567" s="24" t="str">
        <f t="shared" si="121"/>
        <v/>
      </c>
      <c r="BA567" s="24" t="str">
        <f t="shared" si="122"/>
        <v/>
      </c>
      <c r="BB567" s="24" t="str">
        <f t="shared" si="123"/>
        <v/>
      </c>
      <c r="BC567" s="24" t="str">
        <f>IF(OR(E567="",LEFT(TableCosts[[#This Row],[Calc_N_Typ]],18)="Vynaložené náklady"),"",VLOOKUP(E567,Tab_Parts,2,0))</f>
        <v/>
      </c>
      <c r="BD567" s="24" t="str">
        <f t="shared" si="124"/>
        <v/>
      </c>
      <c r="BE567" s="24">
        <f t="shared" si="125"/>
        <v>0</v>
      </c>
      <c r="BF567" s="72">
        <f>TableCosts[[#This Row],[N_Amount]]*TableCosts[[#This Row],[N_Tariff]]*TableCosts[[#This Row],[N_ItemsCount]]</f>
        <v>0</v>
      </c>
      <c r="BG567" s="72">
        <f>IF(G567=1,IF(TableCosts[[#This Row],[N_Kateg]]="interné práce",TableCosts[[#This Row],[N_Amount]]*8*PAR_SGA_PERHOUR,0),0)</f>
        <v>0</v>
      </c>
      <c r="BH567" s="72">
        <f>SUM(TableCosts[[#This Row],[N_Direct]:[N_SGA]])</f>
        <v>0</v>
      </c>
      <c r="BI567" s="24">
        <f>IF(G567=1,IF(OR(AND(NOT(ISERROR(VLOOKUP(TableCosts[[#This Row],[Calc_N_Typ]],Cis_WorkPositions,1,0))),C567&lt;&gt;"",D567&lt;&gt;"",E567&lt;&gt;""),AND(ISERROR(VLOOKUP(TableCosts[[#This Row],[Calc_N_Typ]],Cis_WorkPositions,1,0)),C567="",D567="",E567&lt;&gt;""),LEFT(TableCosts[[#This Row],[Calc_N_Typ]],18)="Vynaložené náklady"),VLOOKUP(C567&amp;TableCosts[[#This Row],[Calc_N_Typ]],TRAN_STRITEMS_LABEL,VLOOKUP(D567,Tab_Hours,3,0),0),NA()),0)</f>
        <v>0</v>
      </c>
      <c r="BJ567" s="24">
        <f t="shared" si="126"/>
        <v>0</v>
      </c>
      <c r="BK567" s="24" t="str">
        <f t="shared" si="127"/>
        <v/>
      </c>
      <c r="BL567" s="24" t="str">
        <f t="shared" si="128"/>
        <v/>
      </c>
      <c r="BM567" s="24" t="str">
        <f>IF(G567=1,IF(TableCosts[[#This Row],[TransferFrom]]=TableCosts[[#This Row],[TranferTo]],0,1),"")</f>
        <v/>
      </c>
      <c r="BN567" s="24" t="str">
        <f t="shared" si="129"/>
        <v/>
      </c>
      <c r="BO567" s="24">
        <f t="shared" si="130"/>
        <v>0</v>
      </c>
      <c r="BP567" s="24">
        <f t="shared" si="131"/>
        <v>0</v>
      </c>
    </row>
    <row r="568" spans="2:68" s="24" customFormat="1" ht="12.75" x14ac:dyDescent="0.2">
      <c r="B568" s="97"/>
      <c r="C568" s="92"/>
      <c r="D568" s="92"/>
      <c r="E568" s="92"/>
      <c r="F568" s="31" t="str">
        <f>IF(G568=1,IF(ISERROR(TableCosts[[#This Row],[N_Tariff]]),Err_Message1,IF(TableCosts[[#This Row],[N_Tariff]]=0,Err_Message2,VLOOKUP(C568&amp;TableCosts[[#This Row],[Calc_N_Typ]],TRAN_STRITEMS_LABEL,5,FALSE))),"")</f>
        <v/>
      </c>
      <c r="G568" s="31">
        <f t="shared" si="120"/>
        <v>0</v>
      </c>
      <c r="H568" s="31" t="str">
        <f>IF(G568=1,IFERROR(VLOOKUP(F568,Tab_ErrMessage[],2,0),VLOOKUP(C568&amp;TableCosts[[#This Row],[Calc_N_Typ]],TRAN_STRITEMS_LABEL,4,FALSE)),"")</f>
        <v/>
      </c>
      <c r="I568" s="94"/>
      <c r="J568" s="94"/>
      <c r="K568" s="94"/>
      <c r="L568" s="84"/>
      <c r="M568" s="84"/>
      <c r="N568" s="84"/>
      <c r="O568" s="84"/>
      <c r="P568" s="84"/>
      <c r="Q568" s="84"/>
      <c r="R568" s="84"/>
      <c r="S568" s="84"/>
      <c r="T568" s="84"/>
      <c r="U568" s="84"/>
      <c r="V568" s="84"/>
      <c r="W568" s="84"/>
      <c r="X568" s="84"/>
      <c r="Y568" s="84"/>
      <c r="Z568" s="84"/>
      <c r="AA568" s="84"/>
      <c r="AB568" s="84"/>
      <c r="AC568" s="84"/>
      <c r="AD568" s="84"/>
      <c r="AE568" s="84"/>
      <c r="AF568" s="84"/>
      <c r="AG568" s="84"/>
      <c r="AH568" s="84"/>
      <c r="AI568" s="84"/>
      <c r="AJ568" s="84"/>
      <c r="AK568" s="84"/>
      <c r="AL568" s="84"/>
      <c r="AM568" s="84"/>
      <c r="AN568" s="84"/>
      <c r="AO568" s="84"/>
      <c r="AP568" s="84"/>
      <c r="AQ568" s="84"/>
      <c r="AR568" s="84"/>
      <c r="AS568" s="84"/>
      <c r="AT568" s="84"/>
      <c r="AU568" s="84"/>
      <c r="AV568" s="84"/>
      <c r="AW568" s="84"/>
      <c r="AX568" s="87">
        <f t="array" ref="AX568">IF(G568=1,SUM((ROW(M0)=ROW(AW568))*(M0+M1_+M2_+M3_+M4_+M5_+M6_+M7_+M8_+M9_+M10_+M11_+M12_+M13_+M14_+M15_+M16_+M17_+M18_+M19_+M20_+M21_+M22_+M23_+M24_+M25_+M26_+M27_+M28_+M29_+M30_+M31_+M32_+M33_+M34_+M35_+M36_+M37_)),0)</f>
        <v>0</v>
      </c>
      <c r="AZ568" s="24" t="str">
        <f t="shared" si="121"/>
        <v/>
      </c>
      <c r="BA568" s="24" t="str">
        <f t="shared" si="122"/>
        <v/>
      </c>
      <c r="BB568" s="24" t="str">
        <f t="shared" si="123"/>
        <v/>
      </c>
      <c r="BC568" s="24" t="str">
        <f>IF(OR(E568="",LEFT(TableCosts[[#This Row],[Calc_N_Typ]],18)="Vynaložené náklady"),"",VLOOKUP(E568,Tab_Parts,2,0))</f>
        <v/>
      </c>
      <c r="BD568" s="24" t="str">
        <f t="shared" si="124"/>
        <v/>
      </c>
      <c r="BE568" s="24">
        <f t="shared" si="125"/>
        <v>0</v>
      </c>
      <c r="BF568" s="72">
        <f>TableCosts[[#This Row],[N_Amount]]*TableCosts[[#This Row],[N_Tariff]]*TableCosts[[#This Row],[N_ItemsCount]]</f>
        <v>0</v>
      </c>
      <c r="BG568" s="72">
        <f>IF(G568=1,IF(TableCosts[[#This Row],[N_Kateg]]="interné práce",TableCosts[[#This Row],[N_Amount]]*8*PAR_SGA_PERHOUR,0),0)</f>
        <v>0</v>
      </c>
      <c r="BH568" s="72">
        <f>SUM(TableCosts[[#This Row],[N_Direct]:[N_SGA]])</f>
        <v>0</v>
      </c>
      <c r="BI568" s="24">
        <f>IF(G568=1,IF(OR(AND(NOT(ISERROR(VLOOKUP(TableCosts[[#This Row],[Calc_N_Typ]],Cis_WorkPositions,1,0))),C568&lt;&gt;"",D568&lt;&gt;"",E568&lt;&gt;""),AND(ISERROR(VLOOKUP(TableCosts[[#This Row],[Calc_N_Typ]],Cis_WorkPositions,1,0)),C568="",D568="",E568&lt;&gt;""),LEFT(TableCosts[[#This Row],[Calc_N_Typ]],18)="Vynaložené náklady"),VLOOKUP(C568&amp;TableCosts[[#This Row],[Calc_N_Typ]],TRAN_STRITEMS_LABEL,VLOOKUP(D568,Tab_Hours,3,0),0),NA()),0)</f>
        <v>0</v>
      </c>
      <c r="BJ568" s="24">
        <f t="shared" si="126"/>
        <v>0</v>
      </c>
      <c r="BK568" s="24" t="str">
        <f t="shared" si="127"/>
        <v/>
      </c>
      <c r="BL568" s="24" t="str">
        <f t="shared" si="128"/>
        <v/>
      </c>
      <c r="BM568" s="24" t="str">
        <f>IF(G568=1,IF(TableCosts[[#This Row],[TransferFrom]]=TableCosts[[#This Row],[TranferTo]],0,1),"")</f>
        <v/>
      </c>
      <c r="BN568" s="24" t="str">
        <f t="shared" si="129"/>
        <v/>
      </c>
      <c r="BO568" s="24">
        <f t="shared" si="130"/>
        <v>0</v>
      </c>
      <c r="BP568" s="24">
        <f t="shared" si="131"/>
        <v>0</v>
      </c>
    </row>
    <row r="569" spans="2:68" s="24" customFormat="1" ht="12.75" x14ac:dyDescent="0.2">
      <c r="B569" s="97"/>
      <c r="C569" s="92"/>
      <c r="D569" s="92"/>
      <c r="E569" s="92"/>
      <c r="F569" s="31" t="str">
        <f>IF(G569=1,IF(ISERROR(TableCosts[[#This Row],[N_Tariff]]),Err_Message1,IF(TableCosts[[#This Row],[N_Tariff]]=0,Err_Message2,VLOOKUP(C569&amp;TableCosts[[#This Row],[Calc_N_Typ]],TRAN_STRITEMS_LABEL,5,FALSE))),"")</f>
        <v/>
      </c>
      <c r="G569" s="31">
        <f t="shared" si="120"/>
        <v>0</v>
      </c>
      <c r="H569" s="31" t="str">
        <f>IF(G569=1,IFERROR(VLOOKUP(F569,Tab_ErrMessage[],2,0),VLOOKUP(C569&amp;TableCosts[[#This Row],[Calc_N_Typ]],TRAN_STRITEMS_LABEL,4,FALSE)),"")</f>
        <v/>
      </c>
      <c r="I569" s="94"/>
      <c r="J569" s="94"/>
      <c r="K569" s="94"/>
      <c r="L569" s="84"/>
      <c r="M569" s="84"/>
      <c r="N569" s="84"/>
      <c r="O569" s="84"/>
      <c r="P569" s="84"/>
      <c r="Q569" s="84"/>
      <c r="R569" s="84"/>
      <c r="S569" s="84"/>
      <c r="T569" s="84"/>
      <c r="U569" s="84"/>
      <c r="V569" s="84"/>
      <c r="W569" s="84"/>
      <c r="X569" s="84"/>
      <c r="Y569" s="84"/>
      <c r="Z569" s="84"/>
      <c r="AA569" s="84"/>
      <c r="AB569" s="84"/>
      <c r="AC569" s="84"/>
      <c r="AD569" s="84"/>
      <c r="AE569" s="84"/>
      <c r="AF569" s="84"/>
      <c r="AG569" s="84"/>
      <c r="AH569" s="84"/>
      <c r="AI569" s="84"/>
      <c r="AJ569" s="84"/>
      <c r="AK569" s="84"/>
      <c r="AL569" s="84"/>
      <c r="AM569" s="84"/>
      <c r="AN569" s="84"/>
      <c r="AO569" s="84"/>
      <c r="AP569" s="84"/>
      <c r="AQ569" s="84"/>
      <c r="AR569" s="84"/>
      <c r="AS569" s="84"/>
      <c r="AT569" s="84"/>
      <c r="AU569" s="84"/>
      <c r="AV569" s="84"/>
      <c r="AW569" s="84"/>
      <c r="AX569" s="87">
        <f t="array" ref="AX569">IF(G569=1,SUM((ROW(M0)=ROW(AW569))*(M0+M1_+M2_+M3_+M4_+M5_+M6_+M7_+M8_+M9_+M10_+M11_+M12_+M13_+M14_+M15_+M16_+M17_+M18_+M19_+M20_+M21_+M22_+M23_+M24_+M25_+M26_+M27_+M28_+M29_+M30_+M31_+M32_+M33_+M34_+M35_+M36_+M37_)),0)</f>
        <v>0</v>
      </c>
      <c r="AZ569" s="24" t="str">
        <f t="shared" si="121"/>
        <v/>
      </c>
      <c r="BA569" s="24" t="str">
        <f t="shared" si="122"/>
        <v/>
      </c>
      <c r="BB569" s="24" t="str">
        <f t="shared" si="123"/>
        <v/>
      </c>
      <c r="BC569" s="24" t="str">
        <f>IF(OR(E569="",LEFT(TableCosts[[#This Row],[Calc_N_Typ]],18)="Vynaložené náklady"),"",VLOOKUP(E569,Tab_Parts,2,0))</f>
        <v/>
      </c>
      <c r="BD569" s="24" t="str">
        <f t="shared" si="124"/>
        <v/>
      </c>
      <c r="BE569" s="24">
        <f t="shared" si="125"/>
        <v>0</v>
      </c>
      <c r="BF569" s="72">
        <f>TableCosts[[#This Row],[N_Amount]]*TableCosts[[#This Row],[N_Tariff]]*TableCosts[[#This Row],[N_ItemsCount]]</f>
        <v>0</v>
      </c>
      <c r="BG569" s="72">
        <f>IF(G569=1,IF(TableCosts[[#This Row],[N_Kateg]]="interné práce",TableCosts[[#This Row],[N_Amount]]*8*PAR_SGA_PERHOUR,0),0)</f>
        <v>0</v>
      </c>
      <c r="BH569" s="72">
        <f>SUM(TableCosts[[#This Row],[N_Direct]:[N_SGA]])</f>
        <v>0</v>
      </c>
      <c r="BI569" s="24">
        <f>IF(G569=1,IF(OR(AND(NOT(ISERROR(VLOOKUP(TableCosts[[#This Row],[Calc_N_Typ]],Cis_WorkPositions,1,0))),C569&lt;&gt;"",D569&lt;&gt;"",E569&lt;&gt;""),AND(ISERROR(VLOOKUP(TableCosts[[#This Row],[Calc_N_Typ]],Cis_WorkPositions,1,0)),C569="",D569="",E569&lt;&gt;""),LEFT(TableCosts[[#This Row],[Calc_N_Typ]],18)="Vynaložené náklady"),VLOOKUP(C569&amp;TableCosts[[#This Row],[Calc_N_Typ]],TRAN_STRITEMS_LABEL,VLOOKUP(D569,Tab_Hours,3,0),0),NA()),0)</f>
        <v>0</v>
      </c>
      <c r="BJ569" s="24">
        <f t="shared" si="126"/>
        <v>0</v>
      </c>
      <c r="BK569" s="24" t="str">
        <f t="shared" si="127"/>
        <v/>
      </c>
      <c r="BL569" s="24" t="str">
        <f t="shared" si="128"/>
        <v/>
      </c>
      <c r="BM569" s="24" t="str">
        <f>IF(G569=1,IF(TableCosts[[#This Row],[TransferFrom]]=TableCosts[[#This Row],[TranferTo]],0,1),"")</f>
        <v/>
      </c>
      <c r="BN569" s="24" t="str">
        <f t="shared" si="129"/>
        <v/>
      </c>
      <c r="BO569" s="24">
        <f t="shared" si="130"/>
        <v>0</v>
      </c>
      <c r="BP569" s="24">
        <f t="shared" si="131"/>
        <v>0</v>
      </c>
    </row>
    <row r="570" spans="2:68" s="24" customFormat="1" ht="12.75" x14ac:dyDescent="0.2">
      <c r="B570" s="97"/>
      <c r="C570" s="92"/>
      <c r="D570" s="92"/>
      <c r="E570" s="92"/>
      <c r="F570" s="31" t="str">
        <f>IF(G570=1,IF(ISERROR(TableCosts[[#This Row],[N_Tariff]]),Err_Message1,IF(TableCosts[[#This Row],[N_Tariff]]=0,Err_Message2,VLOOKUP(C570&amp;TableCosts[[#This Row],[Calc_N_Typ]],TRAN_STRITEMS_LABEL,5,FALSE))),"")</f>
        <v/>
      </c>
      <c r="G570" s="31">
        <f t="shared" si="120"/>
        <v>0</v>
      </c>
      <c r="H570" s="31" t="str">
        <f>IF(G570=1,IFERROR(VLOOKUP(F570,Tab_ErrMessage[],2,0),VLOOKUP(C570&amp;TableCosts[[#This Row],[Calc_N_Typ]],TRAN_STRITEMS_LABEL,4,FALSE)),"")</f>
        <v/>
      </c>
      <c r="I570" s="94"/>
      <c r="J570" s="94"/>
      <c r="K570" s="94"/>
      <c r="L570" s="84"/>
      <c r="M570" s="84"/>
      <c r="N570" s="84"/>
      <c r="O570" s="84"/>
      <c r="P570" s="84"/>
      <c r="Q570" s="84"/>
      <c r="R570" s="84"/>
      <c r="S570" s="84"/>
      <c r="T570" s="84"/>
      <c r="U570" s="84"/>
      <c r="V570" s="84"/>
      <c r="W570" s="84"/>
      <c r="X570" s="84"/>
      <c r="Y570" s="84"/>
      <c r="Z570" s="84"/>
      <c r="AA570" s="84"/>
      <c r="AB570" s="84"/>
      <c r="AC570" s="84"/>
      <c r="AD570" s="84"/>
      <c r="AE570" s="84"/>
      <c r="AF570" s="84"/>
      <c r="AG570" s="84"/>
      <c r="AH570" s="84"/>
      <c r="AI570" s="84"/>
      <c r="AJ570" s="84"/>
      <c r="AK570" s="84"/>
      <c r="AL570" s="84"/>
      <c r="AM570" s="84"/>
      <c r="AN570" s="84"/>
      <c r="AO570" s="84"/>
      <c r="AP570" s="84"/>
      <c r="AQ570" s="84"/>
      <c r="AR570" s="84"/>
      <c r="AS570" s="84"/>
      <c r="AT570" s="84"/>
      <c r="AU570" s="84"/>
      <c r="AV570" s="84"/>
      <c r="AW570" s="84"/>
      <c r="AX570" s="87">
        <f t="array" ref="AX570">IF(G570=1,SUM((ROW(M0)=ROW(AW570))*(M0+M1_+M2_+M3_+M4_+M5_+M6_+M7_+M8_+M9_+M10_+M11_+M12_+M13_+M14_+M15_+M16_+M17_+M18_+M19_+M20_+M21_+M22_+M23_+M24_+M25_+M26_+M27_+M28_+M29_+M30_+M31_+M32_+M33_+M34_+M35_+M36_+M37_)),0)</f>
        <v>0</v>
      </c>
      <c r="AZ570" s="24" t="str">
        <f t="shared" si="121"/>
        <v/>
      </c>
      <c r="BA570" s="24" t="str">
        <f t="shared" si="122"/>
        <v/>
      </c>
      <c r="BB570" s="24" t="str">
        <f t="shared" si="123"/>
        <v/>
      </c>
      <c r="BC570" s="24" t="str">
        <f>IF(OR(E570="",LEFT(TableCosts[[#This Row],[Calc_N_Typ]],18)="Vynaložené náklady"),"",VLOOKUP(E570,Tab_Parts,2,0))</f>
        <v/>
      </c>
      <c r="BD570" s="24" t="str">
        <f t="shared" si="124"/>
        <v/>
      </c>
      <c r="BE570" s="24">
        <f t="shared" si="125"/>
        <v>0</v>
      </c>
      <c r="BF570" s="72">
        <f>TableCosts[[#This Row],[N_Amount]]*TableCosts[[#This Row],[N_Tariff]]*TableCosts[[#This Row],[N_ItemsCount]]</f>
        <v>0</v>
      </c>
      <c r="BG570" s="72">
        <f>IF(G570=1,IF(TableCosts[[#This Row],[N_Kateg]]="interné práce",TableCosts[[#This Row],[N_Amount]]*8*PAR_SGA_PERHOUR,0),0)</f>
        <v>0</v>
      </c>
      <c r="BH570" s="72">
        <f>SUM(TableCosts[[#This Row],[N_Direct]:[N_SGA]])</f>
        <v>0</v>
      </c>
      <c r="BI570" s="24">
        <f>IF(G570=1,IF(OR(AND(NOT(ISERROR(VLOOKUP(TableCosts[[#This Row],[Calc_N_Typ]],Cis_WorkPositions,1,0))),C570&lt;&gt;"",D570&lt;&gt;"",E570&lt;&gt;""),AND(ISERROR(VLOOKUP(TableCosts[[#This Row],[Calc_N_Typ]],Cis_WorkPositions,1,0)),C570="",D570="",E570&lt;&gt;""),LEFT(TableCosts[[#This Row],[Calc_N_Typ]],18)="Vynaložené náklady"),VLOOKUP(C570&amp;TableCosts[[#This Row],[Calc_N_Typ]],TRAN_STRITEMS_LABEL,VLOOKUP(D570,Tab_Hours,3,0),0),NA()),0)</f>
        <v>0</v>
      </c>
      <c r="BJ570" s="24">
        <f t="shared" si="126"/>
        <v>0</v>
      </c>
      <c r="BK570" s="24" t="str">
        <f t="shared" si="127"/>
        <v/>
      </c>
      <c r="BL570" s="24" t="str">
        <f t="shared" si="128"/>
        <v/>
      </c>
      <c r="BM570" s="24" t="str">
        <f>IF(G570=1,IF(TableCosts[[#This Row],[TransferFrom]]=TableCosts[[#This Row],[TranferTo]],0,1),"")</f>
        <v/>
      </c>
      <c r="BN570" s="24" t="str">
        <f t="shared" si="129"/>
        <v/>
      </c>
      <c r="BO570" s="24">
        <f t="shared" si="130"/>
        <v>0</v>
      </c>
      <c r="BP570" s="24">
        <f t="shared" si="131"/>
        <v>0</v>
      </c>
    </row>
    <row r="571" spans="2:68" s="24" customFormat="1" ht="12.75" x14ac:dyDescent="0.2">
      <c r="B571" s="97"/>
      <c r="C571" s="92"/>
      <c r="D571" s="92"/>
      <c r="E571" s="92"/>
      <c r="F571" s="31" t="str">
        <f>IF(G571=1,IF(ISERROR(TableCosts[[#This Row],[N_Tariff]]),Err_Message1,IF(TableCosts[[#This Row],[N_Tariff]]=0,Err_Message2,VLOOKUP(C571&amp;TableCosts[[#This Row],[Calc_N_Typ]],TRAN_STRITEMS_LABEL,5,FALSE))),"")</f>
        <v/>
      </c>
      <c r="G571" s="31">
        <f t="shared" si="120"/>
        <v>0</v>
      </c>
      <c r="H571" s="31" t="str">
        <f>IF(G571=1,IFERROR(VLOOKUP(F571,Tab_ErrMessage[],2,0),VLOOKUP(C571&amp;TableCosts[[#This Row],[Calc_N_Typ]],TRAN_STRITEMS_LABEL,4,FALSE)),"")</f>
        <v/>
      </c>
      <c r="I571" s="94"/>
      <c r="J571" s="94"/>
      <c r="K571" s="94"/>
      <c r="L571" s="84"/>
      <c r="M571" s="84"/>
      <c r="N571" s="84"/>
      <c r="O571" s="84"/>
      <c r="P571" s="84"/>
      <c r="Q571" s="84"/>
      <c r="R571" s="84"/>
      <c r="S571" s="84"/>
      <c r="T571" s="84"/>
      <c r="U571" s="84"/>
      <c r="V571" s="84"/>
      <c r="W571" s="84"/>
      <c r="X571" s="84"/>
      <c r="Y571" s="84"/>
      <c r="Z571" s="84"/>
      <c r="AA571" s="84"/>
      <c r="AB571" s="84"/>
      <c r="AC571" s="84"/>
      <c r="AD571" s="84"/>
      <c r="AE571" s="84"/>
      <c r="AF571" s="84"/>
      <c r="AG571" s="84"/>
      <c r="AH571" s="84"/>
      <c r="AI571" s="84"/>
      <c r="AJ571" s="84"/>
      <c r="AK571" s="84"/>
      <c r="AL571" s="84"/>
      <c r="AM571" s="84"/>
      <c r="AN571" s="84"/>
      <c r="AO571" s="84"/>
      <c r="AP571" s="84"/>
      <c r="AQ571" s="84"/>
      <c r="AR571" s="84"/>
      <c r="AS571" s="84"/>
      <c r="AT571" s="84"/>
      <c r="AU571" s="84"/>
      <c r="AV571" s="84"/>
      <c r="AW571" s="84"/>
      <c r="AX571" s="87">
        <f t="array" ref="AX571">IF(G571=1,SUM((ROW(M0)=ROW(AW571))*(M0+M1_+M2_+M3_+M4_+M5_+M6_+M7_+M8_+M9_+M10_+M11_+M12_+M13_+M14_+M15_+M16_+M17_+M18_+M19_+M20_+M21_+M22_+M23_+M24_+M25_+M26_+M27_+M28_+M29_+M30_+M31_+M32_+M33_+M34_+M35_+M36_+M37_)),0)</f>
        <v>0</v>
      </c>
      <c r="AZ571" s="24" t="str">
        <f t="shared" si="121"/>
        <v/>
      </c>
      <c r="BA571" s="24" t="str">
        <f t="shared" si="122"/>
        <v/>
      </c>
      <c r="BB571" s="24" t="str">
        <f t="shared" si="123"/>
        <v/>
      </c>
      <c r="BC571" s="24" t="str">
        <f>IF(OR(E571="",LEFT(TableCosts[[#This Row],[Calc_N_Typ]],18)="Vynaložené náklady"),"",VLOOKUP(E571,Tab_Parts,2,0))</f>
        <v/>
      </c>
      <c r="BD571" s="24" t="str">
        <f t="shared" si="124"/>
        <v/>
      </c>
      <c r="BE571" s="24">
        <f t="shared" si="125"/>
        <v>0</v>
      </c>
      <c r="BF571" s="72">
        <f>TableCosts[[#This Row],[N_Amount]]*TableCosts[[#This Row],[N_Tariff]]*TableCosts[[#This Row],[N_ItemsCount]]</f>
        <v>0</v>
      </c>
      <c r="BG571" s="72">
        <f>IF(G571=1,IF(TableCosts[[#This Row],[N_Kateg]]="interné práce",TableCosts[[#This Row],[N_Amount]]*8*PAR_SGA_PERHOUR,0),0)</f>
        <v>0</v>
      </c>
      <c r="BH571" s="72">
        <f>SUM(TableCosts[[#This Row],[N_Direct]:[N_SGA]])</f>
        <v>0</v>
      </c>
      <c r="BI571" s="24">
        <f>IF(G571=1,IF(OR(AND(NOT(ISERROR(VLOOKUP(TableCosts[[#This Row],[Calc_N_Typ]],Cis_WorkPositions,1,0))),C571&lt;&gt;"",D571&lt;&gt;"",E571&lt;&gt;""),AND(ISERROR(VLOOKUP(TableCosts[[#This Row],[Calc_N_Typ]],Cis_WorkPositions,1,0)),C571="",D571="",E571&lt;&gt;""),LEFT(TableCosts[[#This Row],[Calc_N_Typ]],18)="Vynaložené náklady"),VLOOKUP(C571&amp;TableCosts[[#This Row],[Calc_N_Typ]],TRAN_STRITEMS_LABEL,VLOOKUP(D571,Tab_Hours,3,0),0),NA()),0)</f>
        <v>0</v>
      </c>
      <c r="BJ571" s="24">
        <f t="shared" si="126"/>
        <v>0</v>
      </c>
      <c r="BK571" s="24" t="str">
        <f t="shared" si="127"/>
        <v/>
      </c>
      <c r="BL571" s="24" t="str">
        <f t="shared" si="128"/>
        <v/>
      </c>
      <c r="BM571" s="24" t="str">
        <f>IF(G571=1,IF(TableCosts[[#This Row],[TransferFrom]]=TableCosts[[#This Row],[TranferTo]],0,1),"")</f>
        <v/>
      </c>
      <c r="BN571" s="24" t="str">
        <f t="shared" si="129"/>
        <v/>
      </c>
      <c r="BO571" s="24">
        <f t="shared" si="130"/>
        <v>0</v>
      </c>
      <c r="BP571" s="24">
        <f t="shared" si="131"/>
        <v>0</v>
      </c>
    </row>
    <row r="572" spans="2:68" s="24" customFormat="1" ht="12.75" x14ac:dyDescent="0.2">
      <c r="B572" s="97"/>
      <c r="C572" s="92"/>
      <c r="D572" s="92"/>
      <c r="E572" s="92"/>
      <c r="F572" s="31" t="str">
        <f>IF(G572=1,IF(ISERROR(TableCosts[[#This Row],[N_Tariff]]),Err_Message1,IF(TableCosts[[#This Row],[N_Tariff]]=0,Err_Message2,VLOOKUP(C572&amp;TableCosts[[#This Row],[Calc_N_Typ]],TRAN_STRITEMS_LABEL,5,FALSE))),"")</f>
        <v/>
      </c>
      <c r="G572" s="31">
        <f t="shared" si="120"/>
        <v>0</v>
      </c>
      <c r="H572" s="31" t="str">
        <f>IF(G572=1,IFERROR(VLOOKUP(F572,Tab_ErrMessage[],2,0),VLOOKUP(C572&amp;TableCosts[[#This Row],[Calc_N_Typ]],TRAN_STRITEMS_LABEL,4,FALSE)),"")</f>
        <v/>
      </c>
      <c r="I572" s="94"/>
      <c r="J572" s="94"/>
      <c r="K572" s="94"/>
      <c r="L572" s="84"/>
      <c r="M572" s="84"/>
      <c r="N572" s="84"/>
      <c r="O572" s="84"/>
      <c r="P572" s="84"/>
      <c r="Q572" s="84"/>
      <c r="R572" s="84"/>
      <c r="S572" s="84"/>
      <c r="T572" s="84"/>
      <c r="U572" s="84"/>
      <c r="V572" s="84"/>
      <c r="W572" s="84"/>
      <c r="X572" s="84"/>
      <c r="Y572" s="84"/>
      <c r="Z572" s="84"/>
      <c r="AA572" s="84"/>
      <c r="AB572" s="84"/>
      <c r="AC572" s="84"/>
      <c r="AD572" s="84"/>
      <c r="AE572" s="84"/>
      <c r="AF572" s="84"/>
      <c r="AG572" s="84"/>
      <c r="AH572" s="84"/>
      <c r="AI572" s="84"/>
      <c r="AJ572" s="84"/>
      <c r="AK572" s="84"/>
      <c r="AL572" s="84"/>
      <c r="AM572" s="84"/>
      <c r="AN572" s="84"/>
      <c r="AO572" s="84"/>
      <c r="AP572" s="84"/>
      <c r="AQ572" s="84"/>
      <c r="AR572" s="84"/>
      <c r="AS572" s="84"/>
      <c r="AT572" s="84"/>
      <c r="AU572" s="84"/>
      <c r="AV572" s="84"/>
      <c r="AW572" s="84"/>
      <c r="AX572" s="87">
        <f t="array" ref="AX572">IF(G572=1,SUM((ROW(M0)=ROW(AW572))*(M0+M1_+M2_+M3_+M4_+M5_+M6_+M7_+M8_+M9_+M10_+M11_+M12_+M13_+M14_+M15_+M16_+M17_+M18_+M19_+M20_+M21_+M22_+M23_+M24_+M25_+M26_+M27_+M28_+M29_+M30_+M31_+M32_+M33_+M34_+M35_+M36_+M37_)),0)</f>
        <v>0</v>
      </c>
      <c r="AZ572" s="24" t="str">
        <f t="shared" si="121"/>
        <v/>
      </c>
      <c r="BA572" s="24" t="str">
        <f t="shared" si="122"/>
        <v/>
      </c>
      <c r="BB572" s="24" t="str">
        <f t="shared" si="123"/>
        <v/>
      </c>
      <c r="BC572" s="24" t="str">
        <f>IF(OR(E572="",LEFT(TableCosts[[#This Row],[Calc_N_Typ]],18)="Vynaložené náklady"),"",VLOOKUP(E572,Tab_Parts,2,0))</f>
        <v/>
      </c>
      <c r="BD572" s="24" t="str">
        <f t="shared" si="124"/>
        <v/>
      </c>
      <c r="BE572" s="24">
        <f t="shared" si="125"/>
        <v>0</v>
      </c>
      <c r="BF572" s="72">
        <f>TableCosts[[#This Row],[N_Amount]]*TableCosts[[#This Row],[N_Tariff]]*TableCosts[[#This Row],[N_ItemsCount]]</f>
        <v>0</v>
      </c>
      <c r="BG572" s="72">
        <f>IF(G572=1,IF(TableCosts[[#This Row],[N_Kateg]]="interné práce",TableCosts[[#This Row],[N_Amount]]*8*PAR_SGA_PERHOUR,0),0)</f>
        <v>0</v>
      </c>
      <c r="BH572" s="72">
        <f>SUM(TableCosts[[#This Row],[N_Direct]:[N_SGA]])</f>
        <v>0</v>
      </c>
      <c r="BI572" s="24">
        <f>IF(G572=1,IF(OR(AND(NOT(ISERROR(VLOOKUP(TableCosts[[#This Row],[Calc_N_Typ]],Cis_WorkPositions,1,0))),C572&lt;&gt;"",D572&lt;&gt;"",E572&lt;&gt;""),AND(ISERROR(VLOOKUP(TableCosts[[#This Row],[Calc_N_Typ]],Cis_WorkPositions,1,0)),C572="",D572="",E572&lt;&gt;""),LEFT(TableCosts[[#This Row],[Calc_N_Typ]],18)="Vynaložené náklady"),VLOOKUP(C572&amp;TableCosts[[#This Row],[Calc_N_Typ]],TRAN_STRITEMS_LABEL,VLOOKUP(D572,Tab_Hours,3,0),0),NA()),0)</f>
        <v>0</v>
      </c>
      <c r="BJ572" s="24">
        <f t="shared" si="126"/>
        <v>0</v>
      </c>
      <c r="BK572" s="24" t="str">
        <f t="shared" si="127"/>
        <v/>
      </c>
      <c r="BL572" s="24" t="str">
        <f t="shared" si="128"/>
        <v/>
      </c>
      <c r="BM572" s="24" t="str">
        <f>IF(G572=1,IF(TableCosts[[#This Row],[TransferFrom]]=TableCosts[[#This Row],[TranferTo]],0,1),"")</f>
        <v/>
      </c>
      <c r="BN572" s="24" t="str">
        <f t="shared" si="129"/>
        <v/>
      </c>
      <c r="BO572" s="24">
        <f t="shared" si="130"/>
        <v>0</v>
      </c>
      <c r="BP572" s="24">
        <f t="shared" si="131"/>
        <v>0</v>
      </c>
    </row>
    <row r="573" spans="2:68" s="24" customFormat="1" ht="12.75" x14ac:dyDescent="0.2">
      <c r="B573" s="97"/>
      <c r="C573" s="92"/>
      <c r="D573" s="92"/>
      <c r="E573" s="92"/>
      <c r="F573" s="31" t="str">
        <f>IF(G573=1,IF(ISERROR(TableCosts[[#This Row],[N_Tariff]]),Err_Message1,IF(TableCosts[[#This Row],[N_Tariff]]=0,Err_Message2,VLOOKUP(C573&amp;TableCosts[[#This Row],[Calc_N_Typ]],TRAN_STRITEMS_LABEL,5,FALSE))),"")</f>
        <v/>
      </c>
      <c r="G573" s="31">
        <f t="shared" si="120"/>
        <v>0</v>
      </c>
      <c r="H573" s="31" t="str">
        <f>IF(G573=1,IFERROR(VLOOKUP(F573,Tab_ErrMessage[],2,0),VLOOKUP(C573&amp;TableCosts[[#This Row],[Calc_N_Typ]],TRAN_STRITEMS_LABEL,4,FALSE)),"")</f>
        <v/>
      </c>
      <c r="I573" s="94"/>
      <c r="J573" s="94"/>
      <c r="K573" s="94"/>
      <c r="L573" s="84"/>
      <c r="M573" s="84"/>
      <c r="N573" s="84"/>
      <c r="O573" s="84"/>
      <c r="P573" s="84"/>
      <c r="Q573" s="84"/>
      <c r="R573" s="84"/>
      <c r="S573" s="84"/>
      <c r="T573" s="84"/>
      <c r="U573" s="84"/>
      <c r="V573" s="84"/>
      <c r="W573" s="84"/>
      <c r="X573" s="84"/>
      <c r="Y573" s="84"/>
      <c r="Z573" s="84"/>
      <c r="AA573" s="84"/>
      <c r="AB573" s="84"/>
      <c r="AC573" s="84"/>
      <c r="AD573" s="84"/>
      <c r="AE573" s="84"/>
      <c r="AF573" s="84"/>
      <c r="AG573" s="84"/>
      <c r="AH573" s="84"/>
      <c r="AI573" s="84"/>
      <c r="AJ573" s="84"/>
      <c r="AK573" s="84"/>
      <c r="AL573" s="84"/>
      <c r="AM573" s="84"/>
      <c r="AN573" s="84"/>
      <c r="AO573" s="84"/>
      <c r="AP573" s="84"/>
      <c r="AQ573" s="84"/>
      <c r="AR573" s="84"/>
      <c r="AS573" s="84"/>
      <c r="AT573" s="84"/>
      <c r="AU573" s="84"/>
      <c r="AV573" s="84"/>
      <c r="AW573" s="84"/>
      <c r="AX573" s="87">
        <f t="array" ref="AX573">IF(G573=1,SUM((ROW(M0)=ROW(AW573))*(M0+M1_+M2_+M3_+M4_+M5_+M6_+M7_+M8_+M9_+M10_+M11_+M12_+M13_+M14_+M15_+M16_+M17_+M18_+M19_+M20_+M21_+M22_+M23_+M24_+M25_+M26_+M27_+M28_+M29_+M30_+M31_+M32_+M33_+M34_+M35_+M36_+M37_)),0)</f>
        <v>0</v>
      </c>
      <c r="AZ573" s="24" t="str">
        <f t="shared" si="121"/>
        <v/>
      </c>
      <c r="BA573" s="24" t="str">
        <f t="shared" si="122"/>
        <v/>
      </c>
      <c r="BB573" s="24" t="str">
        <f t="shared" si="123"/>
        <v/>
      </c>
      <c r="BC573" s="24" t="str">
        <f>IF(OR(E573="",LEFT(TableCosts[[#This Row],[Calc_N_Typ]],18)="Vynaložené náklady"),"",VLOOKUP(E573,Tab_Parts,2,0))</f>
        <v/>
      </c>
      <c r="BD573" s="24" t="str">
        <f t="shared" si="124"/>
        <v/>
      </c>
      <c r="BE573" s="24">
        <f t="shared" si="125"/>
        <v>0</v>
      </c>
      <c r="BF573" s="72">
        <f>TableCosts[[#This Row],[N_Amount]]*TableCosts[[#This Row],[N_Tariff]]*TableCosts[[#This Row],[N_ItemsCount]]</f>
        <v>0</v>
      </c>
      <c r="BG573" s="72">
        <f>IF(G573=1,IF(TableCosts[[#This Row],[N_Kateg]]="interné práce",TableCosts[[#This Row],[N_Amount]]*8*PAR_SGA_PERHOUR,0),0)</f>
        <v>0</v>
      </c>
      <c r="BH573" s="72">
        <f>SUM(TableCosts[[#This Row],[N_Direct]:[N_SGA]])</f>
        <v>0</v>
      </c>
      <c r="BI573" s="24">
        <f>IF(G573=1,IF(OR(AND(NOT(ISERROR(VLOOKUP(TableCosts[[#This Row],[Calc_N_Typ]],Cis_WorkPositions,1,0))),C573&lt;&gt;"",D573&lt;&gt;"",E573&lt;&gt;""),AND(ISERROR(VLOOKUP(TableCosts[[#This Row],[Calc_N_Typ]],Cis_WorkPositions,1,0)),C573="",D573="",E573&lt;&gt;""),LEFT(TableCosts[[#This Row],[Calc_N_Typ]],18)="Vynaložené náklady"),VLOOKUP(C573&amp;TableCosts[[#This Row],[Calc_N_Typ]],TRAN_STRITEMS_LABEL,VLOOKUP(D573,Tab_Hours,3,0),0),NA()),0)</f>
        <v>0</v>
      </c>
      <c r="BJ573" s="24">
        <f t="shared" si="126"/>
        <v>0</v>
      </c>
      <c r="BK573" s="24" t="str">
        <f t="shared" si="127"/>
        <v/>
      </c>
      <c r="BL573" s="24" t="str">
        <f t="shared" si="128"/>
        <v/>
      </c>
      <c r="BM573" s="24" t="str">
        <f>IF(G573=1,IF(TableCosts[[#This Row],[TransferFrom]]=TableCosts[[#This Row],[TranferTo]],0,1),"")</f>
        <v/>
      </c>
      <c r="BN573" s="24" t="str">
        <f t="shared" si="129"/>
        <v/>
      </c>
      <c r="BO573" s="24">
        <f t="shared" si="130"/>
        <v>0</v>
      </c>
      <c r="BP573" s="24">
        <f t="shared" si="131"/>
        <v>0</v>
      </c>
    </row>
    <row r="574" spans="2:68" s="24" customFormat="1" ht="12.75" x14ac:dyDescent="0.2">
      <c r="B574" s="97"/>
      <c r="C574" s="92"/>
      <c r="D574" s="92"/>
      <c r="E574" s="92"/>
      <c r="F574" s="31" t="str">
        <f>IF(G574=1,IF(ISERROR(TableCosts[[#This Row],[N_Tariff]]),Err_Message1,IF(TableCosts[[#This Row],[N_Tariff]]=0,Err_Message2,VLOOKUP(C574&amp;TableCosts[[#This Row],[Calc_N_Typ]],TRAN_STRITEMS_LABEL,5,FALSE))),"")</f>
        <v/>
      </c>
      <c r="G574" s="31">
        <f t="shared" si="120"/>
        <v>0</v>
      </c>
      <c r="H574" s="31" t="str">
        <f>IF(G574=1,IFERROR(VLOOKUP(F574,Tab_ErrMessage[],2,0),VLOOKUP(C574&amp;TableCosts[[#This Row],[Calc_N_Typ]],TRAN_STRITEMS_LABEL,4,FALSE)),"")</f>
        <v/>
      </c>
      <c r="I574" s="94"/>
      <c r="J574" s="94"/>
      <c r="K574" s="94"/>
      <c r="L574" s="84"/>
      <c r="M574" s="84"/>
      <c r="N574" s="84"/>
      <c r="O574" s="84"/>
      <c r="P574" s="84"/>
      <c r="Q574" s="84"/>
      <c r="R574" s="84"/>
      <c r="S574" s="84"/>
      <c r="T574" s="84"/>
      <c r="U574" s="84"/>
      <c r="V574" s="84"/>
      <c r="W574" s="84"/>
      <c r="X574" s="84"/>
      <c r="Y574" s="84"/>
      <c r="Z574" s="84"/>
      <c r="AA574" s="84"/>
      <c r="AB574" s="84"/>
      <c r="AC574" s="84"/>
      <c r="AD574" s="84"/>
      <c r="AE574" s="84"/>
      <c r="AF574" s="84"/>
      <c r="AG574" s="84"/>
      <c r="AH574" s="84"/>
      <c r="AI574" s="84"/>
      <c r="AJ574" s="84"/>
      <c r="AK574" s="84"/>
      <c r="AL574" s="84"/>
      <c r="AM574" s="84"/>
      <c r="AN574" s="84"/>
      <c r="AO574" s="84"/>
      <c r="AP574" s="84"/>
      <c r="AQ574" s="84"/>
      <c r="AR574" s="84"/>
      <c r="AS574" s="84"/>
      <c r="AT574" s="84"/>
      <c r="AU574" s="84"/>
      <c r="AV574" s="84"/>
      <c r="AW574" s="84"/>
      <c r="AX574" s="87">
        <f t="array" ref="AX574">IF(G574=1,SUM((ROW(M0)=ROW(AW574))*(M0+M1_+M2_+M3_+M4_+M5_+M6_+M7_+M8_+M9_+M10_+M11_+M12_+M13_+M14_+M15_+M16_+M17_+M18_+M19_+M20_+M21_+M22_+M23_+M24_+M25_+M26_+M27_+M28_+M29_+M30_+M31_+M32_+M33_+M34_+M35_+M36_+M37_)),0)</f>
        <v>0</v>
      </c>
      <c r="AZ574" s="24" t="str">
        <f t="shared" si="121"/>
        <v/>
      </c>
      <c r="BA574" s="24" t="str">
        <f t="shared" si="122"/>
        <v/>
      </c>
      <c r="BB574" s="24" t="str">
        <f t="shared" si="123"/>
        <v/>
      </c>
      <c r="BC574" s="24" t="str">
        <f>IF(OR(E574="",LEFT(TableCosts[[#This Row],[Calc_N_Typ]],18)="Vynaložené náklady"),"",VLOOKUP(E574,Tab_Parts,2,0))</f>
        <v/>
      </c>
      <c r="BD574" s="24" t="str">
        <f t="shared" si="124"/>
        <v/>
      </c>
      <c r="BE574" s="24">
        <f t="shared" si="125"/>
        <v>0</v>
      </c>
      <c r="BF574" s="72">
        <f>TableCosts[[#This Row],[N_Amount]]*TableCosts[[#This Row],[N_Tariff]]*TableCosts[[#This Row],[N_ItemsCount]]</f>
        <v>0</v>
      </c>
      <c r="BG574" s="72">
        <f>IF(G574=1,IF(TableCosts[[#This Row],[N_Kateg]]="interné práce",TableCosts[[#This Row],[N_Amount]]*8*PAR_SGA_PERHOUR,0),0)</f>
        <v>0</v>
      </c>
      <c r="BH574" s="72">
        <f>SUM(TableCosts[[#This Row],[N_Direct]:[N_SGA]])</f>
        <v>0</v>
      </c>
      <c r="BI574" s="24">
        <f>IF(G574=1,IF(OR(AND(NOT(ISERROR(VLOOKUP(TableCosts[[#This Row],[Calc_N_Typ]],Cis_WorkPositions,1,0))),C574&lt;&gt;"",D574&lt;&gt;"",E574&lt;&gt;""),AND(ISERROR(VLOOKUP(TableCosts[[#This Row],[Calc_N_Typ]],Cis_WorkPositions,1,0)),C574="",D574="",E574&lt;&gt;""),LEFT(TableCosts[[#This Row],[Calc_N_Typ]],18)="Vynaložené náklady"),VLOOKUP(C574&amp;TableCosts[[#This Row],[Calc_N_Typ]],TRAN_STRITEMS_LABEL,VLOOKUP(D574,Tab_Hours,3,0),0),NA()),0)</f>
        <v>0</v>
      </c>
      <c r="BJ574" s="24">
        <f t="shared" si="126"/>
        <v>0</v>
      </c>
      <c r="BK574" s="24" t="str">
        <f t="shared" si="127"/>
        <v/>
      </c>
      <c r="BL574" s="24" t="str">
        <f t="shared" si="128"/>
        <v/>
      </c>
      <c r="BM574" s="24" t="str">
        <f>IF(G574=1,IF(TableCosts[[#This Row],[TransferFrom]]=TableCosts[[#This Row],[TranferTo]],0,1),"")</f>
        <v/>
      </c>
      <c r="BN574" s="24" t="str">
        <f t="shared" si="129"/>
        <v/>
      </c>
      <c r="BO574" s="24">
        <f t="shared" si="130"/>
        <v>0</v>
      </c>
      <c r="BP574" s="24">
        <f t="shared" si="131"/>
        <v>0</v>
      </c>
    </row>
    <row r="575" spans="2:68" s="24" customFormat="1" ht="12.75" x14ac:dyDescent="0.2">
      <c r="B575" s="97"/>
      <c r="C575" s="92"/>
      <c r="D575" s="92"/>
      <c r="E575" s="92"/>
      <c r="F575" s="31" t="str">
        <f>IF(G575=1,IF(ISERROR(TableCosts[[#This Row],[N_Tariff]]),Err_Message1,IF(TableCosts[[#This Row],[N_Tariff]]=0,Err_Message2,VLOOKUP(C575&amp;TableCosts[[#This Row],[Calc_N_Typ]],TRAN_STRITEMS_LABEL,5,FALSE))),"")</f>
        <v/>
      </c>
      <c r="G575" s="31">
        <f t="shared" si="120"/>
        <v>0</v>
      </c>
      <c r="H575" s="31" t="str">
        <f>IF(G575=1,IFERROR(VLOOKUP(F575,Tab_ErrMessage[],2,0),VLOOKUP(C575&amp;TableCosts[[#This Row],[Calc_N_Typ]],TRAN_STRITEMS_LABEL,4,FALSE)),"")</f>
        <v/>
      </c>
      <c r="I575" s="94"/>
      <c r="J575" s="94"/>
      <c r="K575" s="94"/>
      <c r="L575" s="84"/>
      <c r="M575" s="84"/>
      <c r="N575" s="84"/>
      <c r="O575" s="84"/>
      <c r="P575" s="84"/>
      <c r="Q575" s="84"/>
      <c r="R575" s="84"/>
      <c r="S575" s="84"/>
      <c r="T575" s="84"/>
      <c r="U575" s="84"/>
      <c r="V575" s="84"/>
      <c r="W575" s="84"/>
      <c r="X575" s="84"/>
      <c r="Y575" s="84"/>
      <c r="Z575" s="84"/>
      <c r="AA575" s="84"/>
      <c r="AB575" s="84"/>
      <c r="AC575" s="84"/>
      <c r="AD575" s="84"/>
      <c r="AE575" s="84"/>
      <c r="AF575" s="84"/>
      <c r="AG575" s="84"/>
      <c r="AH575" s="84"/>
      <c r="AI575" s="84"/>
      <c r="AJ575" s="84"/>
      <c r="AK575" s="84"/>
      <c r="AL575" s="84"/>
      <c r="AM575" s="84"/>
      <c r="AN575" s="84"/>
      <c r="AO575" s="84"/>
      <c r="AP575" s="84"/>
      <c r="AQ575" s="84"/>
      <c r="AR575" s="84"/>
      <c r="AS575" s="84"/>
      <c r="AT575" s="84"/>
      <c r="AU575" s="84"/>
      <c r="AV575" s="84"/>
      <c r="AW575" s="84"/>
      <c r="AX575" s="87">
        <f t="array" ref="AX575">IF(G575=1,SUM((ROW(M0)=ROW(AW575))*(M0+M1_+M2_+M3_+M4_+M5_+M6_+M7_+M8_+M9_+M10_+M11_+M12_+M13_+M14_+M15_+M16_+M17_+M18_+M19_+M20_+M21_+M22_+M23_+M24_+M25_+M26_+M27_+M28_+M29_+M30_+M31_+M32_+M33_+M34_+M35_+M36_+M37_)),0)</f>
        <v>0</v>
      </c>
      <c r="AZ575" s="24" t="str">
        <f t="shared" si="121"/>
        <v/>
      </c>
      <c r="BA575" s="24" t="str">
        <f t="shared" si="122"/>
        <v/>
      </c>
      <c r="BB575" s="24" t="str">
        <f t="shared" si="123"/>
        <v/>
      </c>
      <c r="BC575" s="24" t="str">
        <f>IF(OR(E575="",LEFT(TableCosts[[#This Row],[Calc_N_Typ]],18)="Vynaložené náklady"),"",VLOOKUP(E575,Tab_Parts,2,0))</f>
        <v/>
      </c>
      <c r="BD575" s="24" t="str">
        <f t="shared" si="124"/>
        <v/>
      </c>
      <c r="BE575" s="24">
        <f t="shared" si="125"/>
        <v>0</v>
      </c>
      <c r="BF575" s="72">
        <f>TableCosts[[#This Row],[N_Amount]]*TableCosts[[#This Row],[N_Tariff]]*TableCosts[[#This Row],[N_ItemsCount]]</f>
        <v>0</v>
      </c>
      <c r="BG575" s="72">
        <f>IF(G575=1,IF(TableCosts[[#This Row],[N_Kateg]]="interné práce",TableCosts[[#This Row],[N_Amount]]*8*PAR_SGA_PERHOUR,0),0)</f>
        <v>0</v>
      </c>
      <c r="BH575" s="72">
        <f>SUM(TableCosts[[#This Row],[N_Direct]:[N_SGA]])</f>
        <v>0</v>
      </c>
      <c r="BI575" s="24">
        <f>IF(G575=1,IF(OR(AND(NOT(ISERROR(VLOOKUP(TableCosts[[#This Row],[Calc_N_Typ]],Cis_WorkPositions,1,0))),C575&lt;&gt;"",D575&lt;&gt;"",E575&lt;&gt;""),AND(ISERROR(VLOOKUP(TableCosts[[#This Row],[Calc_N_Typ]],Cis_WorkPositions,1,0)),C575="",D575="",E575&lt;&gt;""),LEFT(TableCosts[[#This Row],[Calc_N_Typ]],18)="Vynaložené náklady"),VLOOKUP(C575&amp;TableCosts[[#This Row],[Calc_N_Typ]],TRAN_STRITEMS_LABEL,VLOOKUP(D575,Tab_Hours,3,0),0),NA()),0)</f>
        <v>0</v>
      </c>
      <c r="BJ575" s="24">
        <f t="shared" si="126"/>
        <v>0</v>
      </c>
      <c r="BK575" s="24" t="str">
        <f t="shared" si="127"/>
        <v/>
      </c>
      <c r="BL575" s="24" t="str">
        <f t="shared" si="128"/>
        <v/>
      </c>
      <c r="BM575" s="24" t="str">
        <f>IF(G575=1,IF(TableCosts[[#This Row],[TransferFrom]]=TableCosts[[#This Row],[TranferTo]],0,1),"")</f>
        <v/>
      </c>
      <c r="BN575" s="24" t="str">
        <f t="shared" si="129"/>
        <v/>
      </c>
      <c r="BO575" s="24">
        <f t="shared" si="130"/>
        <v>0</v>
      </c>
      <c r="BP575" s="24">
        <f t="shared" si="131"/>
        <v>0</v>
      </c>
    </row>
    <row r="576" spans="2:68" s="24" customFormat="1" ht="12.75" x14ac:dyDescent="0.2">
      <c r="B576" s="97"/>
      <c r="C576" s="92"/>
      <c r="D576" s="92"/>
      <c r="E576" s="92"/>
      <c r="F576" s="31" t="str">
        <f>IF(G576=1,IF(ISERROR(TableCosts[[#This Row],[N_Tariff]]),Err_Message1,IF(TableCosts[[#This Row],[N_Tariff]]=0,Err_Message2,VLOOKUP(C576&amp;TableCosts[[#This Row],[Calc_N_Typ]],TRAN_STRITEMS_LABEL,5,FALSE))),"")</f>
        <v/>
      </c>
      <c r="G576" s="31">
        <f t="shared" si="120"/>
        <v>0</v>
      </c>
      <c r="H576" s="31" t="str">
        <f>IF(G576=1,IFERROR(VLOOKUP(F576,Tab_ErrMessage[],2,0),VLOOKUP(C576&amp;TableCosts[[#This Row],[Calc_N_Typ]],TRAN_STRITEMS_LABEL,4,FALSE)),"")</f>
        <v/>
      </c>
      <c r="I576" s="94"/>
      <c r="J576" s="94"/>
      <c r="K576" s="94"/>
      <c r="L576" s="84"/>
      <c r="M576" s="84"/>
      <c r="N576" s="84"/>
      <c r="O576" s="84"/>
      <c r="P576" s="84"/>
      <c r="Q576" s="84"/>
      <c r="R576" s="84"/>
      <c r="S576" s="84"/>
      <c r="T576" s="84"/>
      <c r="U576" s="84"/>
      <c r="V576" s="84"/>
      <c r="W576" s="84"/>
      <c r="X576" s="84"/>
      <c r="Y576" s="84"/>
      <c r="Z576" s="84"/>
      <c r="AA576" s="84"/>
      <c r="AB576" s="84"/>
      <c r="AC576" s="84"/>
      <c r="AD576" s="84"/>
      <c r="AE576" s="84"/>
      <c r="AF576" s="84"/>
      <c r="AG576" s="84"/>
      <c r="AH576" s="84"/>
      <c r="AI576" s="84"/>
      <c r="AJ576" s="84"/>
      <c r="AK576" s="84"/>
      <c r="AL576" s="84"/>
      <c r="AM576" s="84"/>
      <c r="AN576" s="84"/>
      <c r="AO576" s="84"/>
      <c r="AP576" s="84"/>
      <c r="AQ576" s="84"/>
      <c r="AR576" s="84"/>
      <c r="AS576" s="84"/>
      <c r="AT576" s="84"/>
      <c r="AU576" s="84"/>
      <c r="AV576" s="84"/>
      <c r="AW576" s="84"/>
      <c r="AX576" s="87">
        <f t="array" ref="AX576">IF(G576=1,SUM((ROW(M0)=ROW(AW576))*(M0+M1_+M2_+M3_+M4_+M5_+M6_+M7_+M8_+M9_+M10_+M11_+M12_+M13_+M14_+M15_+M16_+M17_+M18_+M19_+M20_+M21_+M22_+M23_+M24_+M25_+M26_+M27_+M28_+M29_+M30_+M31_+M32_+M33_+M34_+M35_+M36_+M37_)),0)</f>
        <v>0</v>
      </c>
      <c r="AZ576" s="24" t="str">
        <f t="shared" si="121"/>
        <v/>
      </c>
      <c r="BA576" s="24" t="str">
        <f t="shared" si="122"/>
        <v/>
      </c>
      <c r="BB576" s="24" t="str">
        <f t="shared" si="123"/>
        <v/>
      </c>
      <c r="BC576" s="24" t="str">
        <f>IF(OR(E576="",LEFT(TableCosts[[#This Row],[Calc_N_Typ]],18)="Vynaložené náklady"),"",VLOOKUP(E576,Tab_Parts,2,0))</f>
        <v/>
      </c>
      <c r="BD576" s="24" t="str">
        <f t="shared" si="124"/>
        <v/>
      </c>
      <c r="BE576" s="24">
        <f t="shared" si="125"/>
        <v>0</v>
      </c>
      <c r="BF576" s="72">
        <f>TableCosts[[#This Row],[N_Amount]]*TableCosts[[#This Row],[N_Tariff]]*TableCosts[[#This Row],[N_ItemsCount]]</f>
        <v>0</v>
      </c>
      <c r="BG576" s="72">
        <f>IF(G576=1,IF(TableCosts[[#This Row],[N_Kateg]]="interné práce",TableCosts[[#This Row],[N_Amount]]*8*PAR_SGA_PERHOUR,0),0)</f>
        <v>0</v>
      </c>
      <c r="BH576" s="72">
        <f>SUM(TableCosts[[#This Row],[N_Direct]:[N_SGA]])</f>
        <v>0</v>
      </c>
      <c r="BI576" s="24">
        <f>IF(G576=1,IF(OR(AND(NOT(ISERROR(VLOOKUP(TableCosts[[#This Row],[Calc_N_Typ]],Cis_WorkPositions,1,0))),C576&lt;&gt;"",D576&lt;&gt;"",E576&lt;&gt;""),AND(ISERROR(VLOOKUP(TableCosts[[#This Row],[Calc_N_Typ]],Cis_WorkPositions,1,0)),C576="",D576="",E576&lt;&gt;""),LEFT(TableCosts[[#This Row],[Calc_N_Typ]],18)="Vynaložené náklady"),VLOOKUP(C576&amp;TableCosts[[#This Row],[Calc_N_Typ]],TRAN_STRITEMS_LABEL,VLOOKUP(D576,Tab_Hours,3,0),0),NA()),0)</f>
        <v>0</v>
      </c>
      <c r="BJ576" s="24">
        <f t="shared" si="126"/>
        <v>0</v>
      </c>
      <c r="BK576" s="24" t="str">
        <f t="shared" si="127"/>
        <v/>
      </c>
      <c r="BL576" s="24" t="str">
        <f t="shared" si="128"/>
        <v/>
      </c>
      <c r="BM576" s="24" t="str">
        <f>IF(G576=1,IF(TableCosts[[#This Row],[TransferFrom]]=TableCosts[[#This Row],[TranferTo]],0,1),"")</f>
        <v/>
      </c>
      <c r="BN576" s="24" t="str">
        <f t="shared" si="129"/>
        <v/>
      </c>
      <c r="BO576" s="24">
        <f t="shared" si="130"/>
        <v>0</v>
      </c>
      <c r="BP576" s="24">
        <f t="shared" si="131"/>
        <v>0</v>
      </c>
    </row>
    <row r="577" spans="2:68" s="24" customFormat="1" ht="12.75" x14ac:dyDescent="0.2">
      <c r="B577" s="97"/>
      <c r="C577" s="92"/>
      <c r="D577" s="92"/>
      <c r="E577" s="92"/>
      <c r="F577" s="31" t="str">
        <f>IF(G577=1,IF(ISERROR(TableCosts[[#This Row],[N_Tariff]]),Err_Message1,IF(TableCosts[[#This Row],[N_Tariff]]=0,Err_Message2,VLOOKUP(C577&amp;TableCosts[[#This Row],[Calc_N_Typ]],TRAN_STRITEMS_LABEL,5,FALSE))),"")</f>
        <v/>
      </c>
      <c r="G577" s="31">
        <f t="shared" si="120"/>
        <v>0</v>
      </c>
      <c r="H577" s="31" t="str">
        <f>IF(G577=1,IFERROR(VLOOKUP(F577,Tab_ErrMessage[],2,0),VLOOKUP(C577&amp;TableCosts[[#This Row],[Calc_N_Typ]],TRAN_STRITEMS_LABEL,4,FALSE)),"")</f>
        <v/>
      </c>
      <c r="I577" s="94"/>
      <c r="J577" s="94"/>
      <c r="K577" s="94"/>
      <c r="L577" s="84"/>
      <c r="M577" s="84"/>
      <c r="N577" s="84"/>
      <c r="O577" s="84"/>
      <c r="P577" s="84"/>
      <c r="Q577" s="84"/>
      <c r="R577" s="84"/>
      <c r="S577" s="84"/>
      <c r="T577" s="84"/>
      <c r="U577" s="84"/>
      <c r="V577" s="84"/>
      <c r="W577" s="84"/>
      <c r="X577" s="84"/>
      <c r="Y577" s="84"/>
      <c r="Z577" s="84"/>
      <c r="AA577" s="84"/>
      <c r="AB577" s="84"/>
      <c r="AC577" s="84"/>
      <c r="AD577" s="84"/>
      <c r="AE577" s="84"/>
      <c r="AF577" s="84"/>
      <c r="AG577" s="84"/>
      <c r="AH577" s="84"/>
      <c r="AI577" s="84"/>
      <c r="AJ577" s="84"/>
      <c r="AK577" s="84"/>
      <c r="AL577" s="84"/>
      <c r="AM577" s="84"/>
      <c r="AN577" s="84"/>
      <c r="AO577" s="84"/>
      <c r="AP577" s="84"/>
      <c r="AQ577" s="84"/>
      <c r="AR577" s="84"/>
      <c r="AS577" s="84"/>
      <c r="AT577" s="84"/>
      <c r="AU577" s="84"/>
      <c r="AV577" s="84"/>
      <c r="AW577" s="84"/>
      <c r="AX577" s="87">
        <f t="array" ref="AX577">IF(G577=1,SUM((ROW(M0)=ROW(AW577))*(M0+M1_+M2_+M3_+M4_+M5_+M6_+M7_+M8_+M9_+M10_+M11_+M12_+M13_+M14_+M15_+M16_+M17_+M18_+M19_+M20_+M21_+M22_+M23_+M24_+M25_+M26_+M27_+M28_+M29_+M30_+M31_+M32_+M33_+M34_+M35_+M36_+M37_)),0)</f>
        <v>0</v>
      </c>
      <c r="AZ577" s="24" t="str">
        <f t="shared" si="121"/>
        <v/>
      </c>
      <c r="BA577" s="24" t="str">
        <f t="shared" si="122"/>
        <v/>
      </c>
      <c r="BB577" s="24" t="str">
        <f t="shared" si="123"/>
        <v/>
      </c>
      <c r="BC577" s="24" t="str">
        <f>IF(OR(E577="",LEFT(TableCosts[[#This Row],[Calc_N_Typ]],18)="Vynaložené náklady"),"",VLOOKUP(E577,Tab_Parts,2,0))</f>
        <v/>
      </c>
      <c r="BD577" s="24" t="str">
        <f t="shared" si="124"/>
        <v/>
      </c>
      <c r="BE577" s="24">
        <f t="shared" si="125"/>
        <v>0</v>
      </c>
      <c r="BF577" s="72">
        <f>TableCosts[[#This Row],[N_Amount]]*TableCosts[[#This Row],[N_Tariff]]*TableCosts[[#This Row],[N_ItemsCount]]</f>
        <v>0</v>
      </c>
      <c r="BG577" s="72">
        <f>IF(G577=1,IF(TableCosts[[#This Row],[N_Kateg]]="interné práce",TableCosts[[#This Row],[N_Amount]]*8*PAR_SGA_PERHOUR,0),0)</f>
        <v>0</v>
      </c>
      <c r="BH577" s="72">
        <f>SUM(TableCosts[[#This Row],[N_Direct]:[N_SGA]])</f>
        <v>0</v>
      </c>
      <c r="BI577" s="24">
        <f>IF(G577=1,IF(OR(AND(NOT(ISERROR(VLOOKUP(TableCosts[[#This Row],[Calc_N_Typ]],Cis_WorkPositions,1,0))),C577&lt;&gt;"",D577&lt;&gt;"",E577&lt;&gt;""),AND(ISERROR(VLOOKUP(TableCosts[[#This Row],[Calc_N_Typ]],Cis_WorkPositions,1,0)),C577="",D577="",E577&lt;&gt;""),LEFT(TableCosts[[#This Row],[Calc_N_Typ]],18)="Vynaložené náklady"),VLOOKUP(C577&amp;TableCosts[[#This Row],[Calc_N_Typ]],TRAN_STRITEMS_LABEL,VLOOKUP(D577,Tab_Hours,3,0),0),NA()),0)</f>
        <v>0</v>
      </c>
      <c r="BJ577" s="24">
        <f t="shared" si="126"/>
        <v>0</v>
      </c>
      <c r="BK577" s="24" t="str">
        <f t="shared" si="127"/>
        <v/>
      </c>
      <c r="BL577" s="24" t="str">
        <f t="shared" si="128"/>
        <v/>
      </c>
      <c r="BM577" s="24" t="str">
        <f>IF(G577=1,IF(TableCosts[[#This Row],[TransferFrom]]=TableCosts[[#This Row],[TranferTo]],0,1),"")</f>
        <v/>
      </c>
      <c r="BN577" s="24" t="str">
        <f t="shared" si="129"/>
        <v/>
      </c>
      <c r="BO577" s="24">
        <f t="shared" si="130"/>
        <v>0</v>
      </c>
      <c r="BP577" s="24">
        <f t="shared" si="131"/>
        <v>0</v>
      </c>
    </row>
    <row r="578" spans="2:68" s="24" customFormat="1" ht="12.75" x14ac:dyDescent="0.2">
      <c r="B578" s="97"/>
      <c r="C578" s="92"/>
      <c r="D578" s="92"/>
      <c r="E578" s="92"/>
      <c r="F578" s="31" t="str">
        <f>IF(G578=1,IF(ISERROR(TableCosts[[#This Row],[N_Tariff]]),Err_Message1,IF(TableCosts[[#This Row],[N_Tariff]]=0,Err_Message2,VLOOKUP(C578&amp;TableCosts[[#This Row],[Calc_N_Typ]],TRAN_STRITEMS_LABEL,5,FALSE))),"")</f>
        <v/>
      </c>
      <c r="G578" s="31">
        <f t="shared" si="120"/>
        <v>0</v>
      </c>
      <c r="H578" s="31" t="str">
        <f>IF(G578=1,IFERROR(VLOOKUP(F578,Tab_ErrMessage[],2,0),VLOOKUP(C578&amp;TableCosts[[#This Row],[Calc_N_Typ]],TRAN_STRITEMS_LABEL,4,FALSE)),"")</f>
        <v/>
      </c>
      <c r="I578" s="94"/>
      <c r="J578" s="94"/>
      <c r="K578" s="94"/>
      <c r="L578" s="84"/>
      <c r="M578" s="84"/>
      <c r="N578" s="84"/>
      <c r="O578" s="84"/>
      <c r="P578" s="84"/>
      <c r="Q578" s="84"/>
      <c r="R578" s="84"/>
      <c r="S578" s="84"/>
      <c r="T578" s="84"/>
      <c r="U578" s="84"/>
      <c r="V578" s="84"/>
      <c r="W578" s="84"/>
      <c r="X578" s="84"/>
      <c r="Y578" s="84"/>
      <c r="Z578" s="84"/>
      <c r="AA578" s="84"/>
      <c r="AB578" s="84"/>
      <c r="AC578" s="84"/>
      <c r="AD578" s="84"/>
      <c r="AE578" s="84"/>
      <c r="AF578" s="84"/>
      <c r="AG578" s="84"/>
      <c r="AH578" s="84"/>
      <c r="AI578" s="84"/>
      <c r="AJ578" s="84"/>
      <c r="AK578" s="84"/>
      <c r="AL578" s="84"/>
      <c r="AM578" s="84"/>
      <c r="AN578" s="84"/>
      <c r="AO578" s="84"/>
      <c r="AP578" s="84"/>
      <c r="AQ578" s="84"/>
      <c r="AR578" s="84"/>
      <c r="AS578" s="84"/>
      <c r="AT578" s="84"/>
      <c r="AU578" s="84"/>
      <c r="AV578" s="84"/>
      <c r="AW578" s="84"/>
      <c r="AX578" s="87">
        <f t="array" ref="AX578">IF(G578=1,SUM((ROW(M0)=ROW(AW578))*(M0+M1_+M2_+M3_+M4_+M5_+M6_+M7_+M8_+M9_+M10_+M11_+M12_+M13_+M14_+M15_+M16_+M17_+M18_+M19_+M20_+M21_+M22_+M23_+M24_+M25_+M26_+M27_+M28_+M29_+M30_+M31_+M32_+M33_+M34_+M35_+M36_+M37_)),0)</f>
        <v>0</v>
      </c>
      <c r="AZ578" s="24" t="str">
        <f t="shared" si="121"/>
        <v/>
      </c>
      <c r="BA578" s="24" t="str">
        <f t="shared" si="122"/>
        <v/>
      </c>
      <c r="BB578" s="24" t="str">
        <f t="shared" si="123"/>
        <v/>
      </c>
      <c r="BC578" s="24" t="str">
        <f>IF(OR(E578="",LEFT(TableCosts[[#This Row],[Calc_N_Typ]],18)="Vynaložené náklady"),"",VLOOKUP(E578,Tab_Parts,2,0))</f>
        <v/>
      </c>
      <c r="BD578" s="24" t="str">
        <f t="shared" si="124"/>
        <v/>
      </c>
      <c r="BE578" s="24">
        <f t="shared" si="125"/>
        <v>0</v>
      </c>
      <c r="BF578" s="72">
        <f>TableCosts[[#This Row],[N_Amount]]*TableCosts[[#This Row],[N_Tariff]]*TableCosts[[#This Row],[N_ItemsCount]]</f>
        <v>0</v>
      </c>
      <c r="BG578" s="72">
        <f>IF(G578=1,IF(TableCosts[[#This Row],[N_Kateg]]="interné práce",TableCosts[[#This Row],[N_Amount]]*8*PAR_SGA_PERHOUR,0),0)</f>
        <v>0</v>
      </c>
      <c r="BH578" s="72">
        <f>SUM(TableCosts[[#This Row],[N_Direct]:[N_SGA]])</f>
        <v>0</v>
      </c>
      <c r="BI578" s="24">
        <f>IF(G578=1,IF(OR(AND(NOT(ISERROR(VLOOKUP(TableCosts[[#This Row],[Calc_N_Typ]],Cis_WorkPositions,1,0))),C578&lt;&gt;"",D578&lt;&gt;"",E578&lt;&gt;""),AND(ISERROR(VLOOKUP(TableCosts[[#This Row],[Calc_N_Typ]],Cis_WorkPositions,1,0)),C578="",D578="",E578&lt;&gt;""),LEFT(TableCosts[[#This Row],[Calc_N_Typ]],18)="Vynaložené náklady"),VLOOKUP(C578&amp;TableCosts[[#This Row],[Calc_N_Typ]],TRAN_STRITEMS_LABEL,VLOOKUP(D578,Tab_Hours,3,0),0),NA()),0)</f>
        <v>0</v>
      </c>
      <c r="BJ578" s="24">
        <f t="shared" si="126"/>
        <v>0</v>
      </c>
      <c r="BK578" s="24" t="str">
        <f t="shared" si="127"/>
        <v/>
      </c>
      <c r="BL578" s="24" t="str">
        <f t="shared" si="128"/>
        <v/>
      </c>
      <c r="BM578" s="24" t="str">
        <f>IF(G578=1,IF(TableCosts[[#This Row],[TransferFrom]]=TableCosts[[#This Row],[TranferTo]],0,1),"")</f>
        <v/>
      </c>
      <c r="BN578" s="24" t="str">
        <f t="shared" si="129"/>
        <v/>
      </c>
      <c r="BO578" s="24">
        <f t="shared" si="130"/>
        <v>0</v>
      </c>
      <c r="BP578" s="24">
        <f t="shared" si="131"/>
        <v>0</v>
      </c>
    </row>
    <row r="579" spans="2:68" s="24" customFormat="1" ht="12.75" x14ac:dyDescent="0.2">
      <c r="B579" s="97"/>
      <c r="C579" s="92"/>
      <c r="D579" s="92"/>
      <c r="E579" s="92"/>
      <c r="F579" s="31" t="str">
        <f>IF(G579=1,IF(ISERROR(TableCosts[[#This Row],[N_Tariff]]),Err_Message1,IF(TableCosts[[#This Row],[N_Tariff]]=0,Err_Message2,VLOOKUP(C579&amp;TableCosts[[#This Row],[Calc_N_Typ]],TRAN_STRITEMS_LABEL,5,FALSE))),"")</f>
        <v/>
      </c>
      <c r="G579" s="31">
        <f t="shared" si="120"/>
        <v>0</v>
      </c>
      <c r="H579" s="31" t="str">
        <f>IF(G579=1,IFERROR(VLOOKUP(F579,Tab_ErrMessage[],2,0),VLOOKUP(C579&amp;TableCosts[[#This Row],[Calc_N_Typ]],TRAN_STRITEMS_LABEL,4,FALSE)),"")</f>
        <v/>
      </c>
      <c r="I579" s="94"/>
      <c r="J579" s="94"/>
      <c r="K579" s="94"/>
      <c r="L579" s="84"/>
      <c r="M579" s="84"/>
      <c r="N579" s="84"/>
      <c r="O579" s="84"/>
      <c r="P579" s="84"/>
      <c r="Q579" s="84"/>
      <c r="R579" s="84"/>
      <c r="S579" s="84"/>
      <c r="T579" s="84"/>
      <c r="U579" s="84"/>
      <c r="V579" s="84"/>
      <c r="W579" s="84"/>
      <c r="X579" s="84"/>
      <c r="Y579" s="84"/>
      <c r="Z579" s="84"/>
      <c r="AA579" s="84"/>
      <c r="AB579" s="84"/>
      <c r="AC579" s="84"/>
      <c r="AD579" s="84"/>
      <c r="AE579" s="84"/>
      <c r="AF579" s="84"/>
      <c r="AG579" s="84"/>
      <c r="AH579" s="84"/>
      <c r="AI579" s="84"/>
      <c r="AJ579" s="84"/>
      <c r="AK579" s="84"/>
      <c r="AL579" s="84"/>
      <c r="AM579" s="84"/>
      <c r="AN579" s="84"/>
      <c r="AO579" s="84"/>
      <c r="AP579" s="84"/>
      <c r="AQ579" s="84"/>
      <c r="AR579" s="84"/>
      <c r="AS579" s="84"/>
      <c r="AT579" s="84"/>
      <c r="AU579" s="84"/>
      <c r="AV579" s="84"/>
      <c r="AW579" s="84"/>
      <c r="AX579" s="87">
        <f t="array" ref="AX579">IF(G579=1,SUM((ROW(M0)=ROW(AW579))*(M0+M1_+M2_+M3_+M4_+M5_+M6_+M7_+M8_+M9_+M10_+M11_+M12_+M13_+M14_+M15_+M16_+M17_+M18_+M19_+M20_+M21_+M22_+M23_+M24_+M25_+M26_+M27_+M28_+M29_+M30_+M31_+M32_+M33_+M34_+M35_+M36_+M37_)),0)</f>
        <v>0</v>
      </c>
      <c r="AZ579" s="24" t="str">
        <f t="shared" si="121"/>
        <v/>
      </c>
      <c r="BA579" s="24" t="str">
        <f t="shared" si="122"/>
        <v/>
      </c>
      <c r="BB579" s="24" t="str">
        <f t="shared" si="123"/>
        <v/>
      </c>
      <c r="BC579" s="24" t="str">
        <f>IF(OR(E579="",LEFT(TableCosts[[#This Row],[Calc_N_Typ]],18)="Vynaložené náklady"),"",VLOOKUP(E579,Tab_Parts,2,0))</f>
        <v/>
      </c>
      <c r="BD579" s="24" t="str">
        <f t="shared" si="124"/>
        <v/>
      </c>
      <c r="BE579" s="24">
        <f t="shared" si="125"/>
        <v>0</v>
      </c>
      <c r="BF579" s="72">
        <f>TableCosts[[#This Row],[N_Amount]]*TableCosts[[#This Row],[N_Tariff]]*TableCosts[[#This Row],[N_ItemsCount]]</f>
        <v>0</v>
      </c>
      <c r="BG579" s="72">
        <f>IF(G579=1,IF(TableCosts[[#This Row],[N_Kateg]]="interné práce",TableCosts[[#This Row],[N_Amount]]*8*PAR_SGA_PERHOUR,0),0)</f>
        <v>0</v>
      </c>
      <c r="BH579" s="72">
        <f>SUM(TableCosts[[#This Row],[N_Direct]:[N_SGA]])</f>
        <v>0</v>
      </c>
      <c r="BI579" s="24">
        <f>IF(G579=1,IF(OR(AND(NOT(ISERROR(VLOOKUP(TableCosts[[#This Row],[Calc_N_Typ]],Cis_WorkPositions,1,0))),C579&lt;&gt;"",D579&lt;&gt;"",E579&lt;&gt;""),AND(ISERROR(VLOOKUP(TableCosts[[#This Row],[Calc_N_Typ]],Cis_WorkPositions,1,0)),C579="",D579="",E579&lt;&gt;""),LEFT(TableCosts[[#This Row],[Calc_N_Typ]],18)="Vynaložené náklady"),VLOOKUP(C579&amp;TableCosts[[#This Row],[Calc_N_Typ]],TRAN_STRITEMS_LABEL,VLOOKUP(D579,Tab_Hours,3,0),0),NA()),0)</f>
        <v>0</v>
      </c>
      <c r="BJ579" s="24">
        <f t="shared" si="126"/>
        <v>0</v>
      </c>
      <c r="BK579" s="24" t="str">
        <f t="shared" si="127"/>
        <v/>
      </c>
      <c r="BL579" s="24" t="str">
        <f t="shared" si="128"/>
        <v/>
      </c>
      <c r="BM579" s="24" t="str">
        <f>IF(G579=1,IF(TableCosts[[#This Row],[TransferFrom]]=TableCosts[[#This Row],[TranferTo]],0,1),"")</f>
        <v/>
      </c>
      <c r="BN579" s="24" t="str">
        <f t="shared" si="129"/>
        <v/>
      </c>
      <c r="BO579" s="24">
        <f t="shared" si="130"/>
        <v>0</v>
      </c>
      <c r="BP579" s="24">
        <f t="shared" si="131"/>
        <v>0</v>
      </c>
    </row>
    <row r="580" spans="2:68" s="24" customFormat="1" ht="12.75" x14ac:dyDescent="0.2">
      <c r="B580" s="97"/>
      <c r="C580" s="92"/>
      <c r="D580" s="92"/>
      <c r="E580" s="92"/>
      <c r="F580" s="31" t="str">
        <f>IF(G580=1,IF(ISERROR(TableCosts[[#This Row],[N_Tariff]]),Err_Message1,IF(TableCosts[[#This Row],[N_Tariff]]=0,Err_Message2,VLOOKUP(C580&amp;TableCosts[[#This Row],[Calc_N_Typ]],TRAN_STRITEMS_LABEL,5,FALSE))),"")</f>
        <v/>
      </c>
      <c r="G580" s="31">
        <f t="shared" si="120"/>
        <v>0</v>
      </c>
      <c r="H580" s="31" t="str">
        <f>IF(G580=1,IFERROR(VLOOKUP(F580,Tab_ErrMessage[],2,0),VLOOKUP(C580&amp;TableCosts[[#This Row],[Calc_N_Typ]],TRAN_STRITEMS_LABEL,4,FALSE)),"")</f>
        <v/>
      </c>
      <c r="I580" s="94"/>
      <c r="J580" s="94"/>
      <c r="K580" s="94"/>
      <c r="L580" s="84"/>
      <c r="M580" s="84"/>
      <c r="N580" s="84"/>
      <c r="O580" s="84"/>
      <c r="P580" s="84"/>
      <c r="Q580" s="84"/>
      <c r="R580" s="84"/>
      <c r="S580" s="84"/>
      <c r="T580" s="84"/>
      <c r="U580" s="84"/>
      <c r="V580" s="84"/>
      <c r="W580" s="84"/>
      <c r="X580" s="84"/>
      <c r="Y580" s="84"/>
      <c r="Z580" s="84"/>
      <c r="AA580" s="84"/>
      <c r="AB580" s="84"/>
      <c r="AC580" s="84"/>
      <c r="AD580" s="84"/>
      <c r="AE580" s="84"/>
      <c r="AF580" s="84"/>
      <c r="AG580" s="84"/>
      <c r="AH580" s="84"/>
      <c r="AI580" s="84"/>
      <c r="AJ580" s="84"/>
      <c r="AK580" s="84"/>
      <c r="AL580" s="84"/>
      <c r="AM580" s="84"/>
      <c r="AN580" s="84"/>
      <c r="AO580" s="84"/>
      <c r="AP580" s="84"/>
      <c r="AQ580" s="84"/>
      <c r="AR580" s="84"/>
      <c r="AS580" s="84"/>
      <c r="AT580" s="84"/>
      <c r="AU580" s="84"/>
      <c r="AV580" s="84"/>
      <c r="AW580" s="84"/>
      <c r="AX580" s="87">
        <f t="array" ref="AX580">IF(G580=1,SUM((ROW(M0)=ROW(AW580))*(M0+M1_+M2_+M3_+M4_+M5_+M6_+M7_+M8_+M9_+M10_+M11_+M12_+M13_+M14_+M15_+M16_+M17_+M18_+M19_+M20_+M21_+M22_+M23_+M24_+M25_+M26_+M27_+M28_+M29_+M30_+M31_+M32_+M33_+M34_+M35_+M36_+M37_)),0)</f>
        <v>0</v>
      </c>
      <c r="AZ580" s="24" t="str">
        <f t="shared" si="121"/>
        <v/>
      </c>
      <c r="BA580" s="24" t="str">
        <f t="shared" si="122"/>
        <v/>
      </c>
      <c r="BB580" s="24" t="str">
        <f t="shared" si="123"/>
        <v/>
      </c>
      <c r="BC580" s="24" t="str">
        <f>IF(OR(E580="",LEFT(TableCosts[[#This Row],[Calc_N_Typ]],18)="Vynaložené náklady"),"",VLOOKUP(E580,Tab_Parts,2,0))</f>
        <v/>
      </c>
      <c r="BD580" s="24" t="str">
        <f t="shared" si="124"/>
        <v/>
      </c>
      <c r="BE580" s="24">
        <f t="shared" si="125"/>
        <v>0</v>
      </c>
      <c r="BF580" s="72">
        <f>TableCosts[[#This Row],[N_Amount]]*TableCosts[[#This Row],[N_Tariff]]*TableCosts[[#This Row],[N_ItemsCount]]</f>
        <v>0</v>
      </c>
      <c r="BG580" s="72">
        <f>IF(G580=1,IF(TableCosts[[#This Row],[N_Kateg]]="interné práce",TableCosts[[#This Row],[N_Amount]]*8*PAR_SGA_PERHOUR,0),0)</f>
        <v>0</v>
      </c>
      <c r="BH580" s="72">
        <f>SUM(TableCosts[[#This Row],[N_Direct]:[N_SGA]])</f>
        <v>0</v>
      </c>
      <c r="BI580" s="24">
        <f>IF(G580=1,IF(OR(AND(NOT(ISERROR(VLOOKUP(TableCosts[[#This Row],[Calc_N_Typ]],Cis_WorkPositions,1,0))),C580&lt;&gt;"",D580&lt;&gt;"",E580&lt;&gt;""),AND(ISERROR(VLOOKUP(TableCosts[[#This Row],[Calc_N_Typ]],Cis_WorkPositions,1,0)),C580="",D580="",E580&lt;&gt;""),LEFT(TableCosts[[#This Row],[Calc_N_Typ]],18)="Vynaložené náklady"),VLOOKUP(C580&amp;TableCosts[[#This Row],[Calc_N_Typ]],TRAN_STRITEMS_LABEL,VLOOKUP(D580,Tab_Hours,3,0),0),NA()),0)</f>
        <v>0</v>
      </c>
      <c r="BJ580" s="24">
        <f t="shared" si="126"/>
        <v>0</v>
      </c>
      <c r="BK580" s="24" t="str">
        <f t="shared" si="127"/>
        <v/>
      </c>
      <c r="BL580" s="24" t="str">
        <f t="shared" si="128"/>
        <v/>
      </c>
      <c r="BM580" s="24" t="str">
        <f>IF(G580=1,IF(TableCosts[[#This Row],[TransferFrom]]=TableCosts[[#This Row],[TranferTo]],0,1),"")</f>
        <v/>
      </c>
      <c r="BN580" s="24" t="str">
        <f t="shared" si="129"/>
        <v/>
      </c>
      <c r="BO580" s="24">
        <f t="shared" si="130"/>
        <v>0</v>
      </c>
      <c r="BP580" s="24">
        <f t="shared" si="131"/>
        <v>0</v>
      </c>
    </row>
    <row r="581" spans="2:68" s="24" customFormat="1" ht="12.75" x14ac:dyDescent="0.2">
      <c r="B581" s="97"/>
      <c r="C581" s="92"/>
      <c r="D581" s="92"/>
      <c r="E581" s="92"/>
      <c r="F581" s="31" t="str">
        <f>IF(G581=1,IF(ISERROR(TableCosts[[#This Row],[N_Tariff]]),Err_Message1,IF(TableCosts[[#This Row],[N_Tariff]]=0,Err_Message2,VLOOKUP(C581&amp;TableCosts[[#This Row],[Calc_N_Typ]],TRAN_STRITEMS_LABEL,5,FALSE))),"")</f>
        <v/>
      </c>
      <c r="G581" s="31">
        <f t="shared" si="120"/>
        <v>0</v>
      </c>
      <c r="H581" s="31" t="str">
        <f>IF(G581=1,IFERROR(VLOOKUP(F581,Tab_ErrMessage[],2,0),VLOOKUP(C581&amp;TableCosts[[#This Row],[Calc_N_Typ]],TRAN_STRITEMS_LABEL,4,FALSE)),"")</f>
        <v/>
      </c>
      <c r="I581" s="94"/>
      <c r="J581" s="94"/>
      <c r="K581" s="94"/>
      <c r="L581" s="84"/>
      <c r="M581" s="84"/>
      <c r="N581" s="84"/>
      <c r="O581" s="84"/>
      <c r="P581" s="84"/>
      <c r="Q581" s="84"/>
      <c r="R581" s="84"/>
      <c r="S581" s="84"/>
      <c r="T581" s="84"/>
      <c r="U581" s="84"/>
      <c r="V581" s="84"/>
      <c r="W581" s="84"/>
      <c r="X581" s="84"/>
      <c r="Y581" s="84"/>
      <c r="Z581" s="84"/>
      <c r="AA581" s="84"/>
      <c r="AB581" s="84"/>
      <c r="AC581" s="84"/>
      <c r="AD581" s="84"/>
      <c r="AE581" s="84"/>
      <c r="AF581" s="84"/>
      <c r="AG581" s="84"/>
      <c r="AH581" s="84"/>
      <c r="AI581" s="84"/>
      <c r="AJ581" s="84"/>
      <c r="AK581" s="84"/>
      <c r="AL581" s="84"/>
      <c r="AM581" s="84"/>
      <c r="AN581" s="84"/>
      <c r="AO581" s="84"/>
      <c r="AP581" s="84"/>
      <c r="AQ581" s="84"/>
      <c r="AR581" s="84"/>
      <c r="AS581" s="84"/>
      <c r="AT581" s="84"/>
      <c r="AU581" s="84"/>
      <c r="AV581" s="84"/>
      <c r="AW581" s="84"/>
      <c r="AX581" s="87">
        <f t="array" ref="AX581">IF(G581=1,SUM((ROW(M0)=ROW(AW581))*(M0+M1_+M2_+M3_+M4_+M5_+M6_+M7_+M8_+M9_+M10_+M11_+M12_+M13_+M14_+M15_+M16_+M17_+M18_+M19_+M20_+M21_+M22_+M23_+M24_+M25_+M26_+M27_+M28_+M29_+M30_+M31_+M32_+M33_+M34_+M35_+M36_+M37_)),0)</f>
        <v>0</v>
      </c>
      <c r="AZ581" s="24" t="str">
        <f t="shared" si="121"/>
        <v/>
      </c>
      <c r="BA581" s="24" t="str">
        <f t="shared" si="122"/>
        <v/>
      </c>
      <c r="BB581" s="24" t="str">
        <f t="shared" si="123"/>
        <v/>
      </c>
      <c r="BC581" s="24" t="str">
        <f>IF(OR(E581="",LEFT(TableCosts[[#This Row],[Calc_N_Typ]],18)="Vynaložené náklady"),"",VLOOKUP(E581,Tab_Parts,2,0))</f>
        <v/>
      </c>
      <c r="BD581" s="24" t="str">
        <f t="shared" si="124"/>
        <v/>
      </c>
      <c r="BE581" s="24">
        <f t="shared" si="125"/>
        <v>0</v>
      </c>
      <c r="BF581" s="72">
        <f>TableCosts[[#This Row],[N_Amount]]*TableCosts[[#This Row],[N_Tariff]]*TableCosts[[#This Row],[N_ItemsCount]]</f>
        <v>0</v>
      </c>
      <c r="BG581" s="72">
        <f>IF(G581=1,IF(TableCosts[[#This Row],[N_Kateg]]="interné práce",TableCosts[[#This Row],[N_Amount]]*8*PAR_SGA_PERHOUR,0),0)</f>
        <v>0</v>
      </c>
      <c r="BH581" s="72">
        <f>SUM(TableCosts[[#This Row],[N_Direct]:[N_SGA]])</f>
        <v>0</v>
      </c>
      <c r="BI581" s="24">
        <f>IF(G581=1,IF(OR(AND(NOT(ISERROR(VLOOKUP(TableCosts[[#This Row],[Calc_N_Typ]],Cis_WorkPositions,1,0))),C581&lt;&gt;"",D581&lt;&gt;"",E581&lt;&gt;""),AND(ISERROR(VLOOKUP(TableCosts[[#This Row],[Calc_N_Typ]],Cis_WorkPositions,1,0)),C581="",D581="",E581&lt;&gt;""),LEFT(TableCosts[[#This Row],[Calc_N_Typ]],18)="Vynaložené náklady"),VLOOKUP(C581&amp;TableCosts[[#This Row],[Calc_N_Typ]],TRAN_STRITEMS_LABEL,VLOOKUP(D581,Tab_Hours,3,0),0),NA()),0)</f>
        <v>0</v>
      </c>
      <c r="BJ581" s="24">
        <f t="shared" si="126"/>
        <v>0</v>
      </c>
      <c r="BK581" s="24" t="str">
        <f t="shared" si="127"/>
        <v/>
      </c>
      <c r="BL581" s="24" t="str">
        <f t="shared" si="128"/>
        <v/>
      </c>
      <c r="BM581" s="24" t="str">
        <f>IF(G581=1,IF(TableCosts[[#This Row],[TransferFrom]]=TableCosts[[#This Row],[TranferTo]],0,1),"")</f>
        <v/>
      </c>
      <c r="BN581" s="24" t="str">
        <f t="shared" si="129"/>
        <v/>
      </c>
      <c r="BO581" s="24">
        <f t="shared" si="130"/>
        <v>0</v>
      </c>
      <c r="BP581" s="24">
        <f t="shared" si="131"/>
        <v>0</v>
      </c>
    </row>
    <row r="582" spans="2:68" s="24" customFormat="1" ht="12.75" x14ac:dyDescent="0.2">
      <c r="B582" s="97"/>
      <c r="C582" s="92"/>
      <c r="D582" s="92"/>
      <c r="E582" s="92"/>
      <c r="F582" s="31" t="str">
        <f>IF(G582=1,IF(ISERROR(TableCosts[[#This Row],[N_Tariff]]),Err_Message1,IF(TableCosts[[#This Row],[N_Tariff]]=0,Err_Message2,VLOOKUP(C582&amp;TableCosts[[#This Row],[Calc_N_Typ]],TRAN_STRITEMS_LABEL,5,FALSE))),"")</f>
        <v/>
      </c>
      <c r="G582" s="31">
        <f t="shared" si="120"/>
        <v>0</v>
      </c>
      <c r="H582" s="31" t="str">
        <f>IF(G582=1,IFERROR(VLOOKUP(F582,Tab_ErrMessage[],2,0),VLOOKUP(C582&amp;TableCosts[[#This Row],[Calc_N_Typ]],TRAN_STRITEMS_LABEL,4,FALSE)),"")</f>
        <v/>
      </c>
      <c r="I582" s="94"/>
      <c r="J582" s="94"/>
      <c r="K582" s="94"/>
      <c r="L582" s="84"/>
      <c r="M582" s="84"/>
      <c r="N582" s="84"/>
      <c r="O582" s="84"/>
      <c r="P582" s="84"/>
      <c r="Q582" s="84"/>
      <c r="R582" s="84"/>
      <c r="S582" s="84"/>
      <c r="T582" s="84"/>
      <c r="U582" s="84"/>
      <c r="V582" s="84"/>
      <c r="W582" s="84"/>
      <c r="X582" s="84"/>
      <c r="Y582" s="84"/>
      <c r="Z582" s="84"/>
      <c r="AA582" s="84"/>
      <c r="AB582" s="84"/>
      <c r="AC582" s="84"/>
      <c r="AD582" s="84"/>
      <c r="AE582" s="84"/>
      <c r="AF582" s="84"/>
      <c r="AG582" s="84"/>
      <c r="AH582" s="84"/>
      <c r="AI582" s="84"/>
      <c r="AJ582" s="84"/>
      <c r="AK582" s="84"/>
      <c r="AL582" s="84"/>
      <c r="AM582" s="84"/>
      <c r="AN582" s="84"/>
      <c r="AO582" s="84"/>
      <c r="AP582" s="84"/>
      <c r="AQ582" s="84"/>
      <c r="AR582" s="84"/>
      <c r="AS582" s="84"/>
      <c r="AT582" s="84"/>
      <c r="AU582" s="84"/>
      <c r="AV582" s="84"/>
      <c r="AW582" s="84"/>
      <c r="AX582" s="87">
        <f t="array" ref="AX582">IF(G582=1,SUM((ROW(M0)=ROW(AW582))*(M0+M1_+M2_+M3_+M4_+M5_+M6_+M7_+M8_+M9_+M10_+M11_+M12_+M13_+M14_+M15_+M16_+M17_+M18_+M19_+M20_+M21_+M22_+M23_+M24_+M25_+M26_+M27_+M28_+M29_+M30_+M31_+M32_+M33_+M34_+M35_+M36_+M37_)),0)</f>
        <v>0</v>
      </c>
      <c r="AZ582" s="24" t="str">
        <f t="shared" si="121"/>
        <v/>
      </c>
      <c r="BA582" s="24" t="str">
        <f t="shared" si="122"/>
        <v/>
      </c>
      <c r="BB582" s="24" t="str">
        <f t="shared" si="123"/>
        <v/>
      </c>
      <c r="BC582" s="24" t="str">
        <f>IF(OR(E582="",LEFT(TableCosts[[#This Row],[Calc_N_Typ]],18)="Vynaložené náklady"),"",VLOOKUP(E582,Tab_Parts,2,0))</f>
        <v/>
      </c>
      <c r="BD582" s="24" t="str">
        <f t="shared" si="124"/>
        <v/>
      </c>
      <c r="BE582" s="24">
        <f t="shared" si="125"/>
        <v>0</v>
      </c>
      <c r="BF582" s="72">
        <f>TableCosts[[#This Row],[N_Amount]]*TableCosts[[#This Row],[N_Tariff]]*TableCosts[[#This Row],[N_ItemsCount]]</f>
        <v>0</v>
      </c>
      <c r="BG582" s="72">
        <f>IF(G582=1,IF(TableCosts[[#This Row],[N_Kateg]]="interné práce",TableCosts[[#This Row],[N_Amount]]*8*PAR_SGA_PERHOUR,0),0)</f>
        <v>0</v>
      </c>
      <c r="BH582" s="72">
        <f>SUM(TableCosts[[#This Row],[N_Direct]:[N_SGA]])</f>
        <v>0</v>
      </c>
      <c r="BI582" s="24">
        <f>IF(G582=1,IF(OR(AND(NOT(ISERROR(VLOOKUP(TableCosts[[#This Row],[Calc_N_Typ]],Cis_WorkPositions,1,0))),C582&lt;&gt;"",D582&lt;&gt;"",E582&lt;&gt;""),AND(ISERROR(VLOOKUP(TableCosts[[#This Row],[Calc_N_Typ]],Cis_WorkPositions,1,0)),C582="",D582="",E582&lt;&gt;""),LEFT(TableCosts[[#This Row],[Calc_N_Typ]],18)="Vynaložené náklady"),VLOOKUP(C582&amp;TableCosts[[#This Row],[Calc_N_Typ]],TRAN_STRITEMS_LABEL,VLOOKUP(D582,Tab_Hours,3,0),0),NA()),0)</f>
        <v>0</v>
      </c>
      <c r="BJ582" s="24">
        <f t="shared" si="126"/>
        <v>0</v>
      </c>
      <c r="BK582" s="24" t="str">
        <f t="shared" si="127"/>
        <v/>
      </c>
      <c r="BL582" s="24" t="str">
        <f t="shared" si="128"/>
        <v/>
      </c>
      <c r="BM582" s="24" t="str">
        <f>IF(G582=1,IF(TableCosts[[#This Row],[TransferFrom]]=TableCosts[[#This Row],[TranferTo]],0,1),"")</f>
        <v/>
      </c>
      <c r="BN582" s="24" t="str">
        <f t="shared" si="129"/>
        <v/>
      </c>
      <c r="BO582" s="24">
        <f t="shared" si="130"/>
        <v>0</v>
      </c>
      <c r="BP582" s="24">
        <f t="shared" si="131"/>
        <v>0</v>
      </c>
    </row>
    <row r="583" spans="2:68" s="24" customFormat="1" ht="12.75" x14ac:dyDescent="0.2">
      <c r="B583" s="97"/>
      <c r="C583" s="92"/>
      <c r="D583" s="92"/>
      <c r="E583" s="92"/>
      <c r="F583" s="31" t="str">
        <f>IF(G583=1,IF(ISERROR(TableCosts[[#This Row],[N_Tariff]]),Err_Message1,IF(TableCosts[[#This Row],[N_Tariff]]=0,Err_Message2,VLOOKUP(C583&amp;TableCosts[[#This Row],[Calc_N_Typ]],TRAN_STRITEMS_LABEL,5,FALSE))),"")</f>
        <v/>
      </c>
      <c r="G583" s="31">
        <f t="shared" si="120"/>
        <v>0</v>
      </c>
      <c r="H583" s="31" t="str">
        <f>IF(G583=1,IFERROR(VLOOKUP(F583,Tab_ErrMessage[],2,0),VLOOKUP(C583&amp;TableCosts[[#This Row],[Calc_N_Typ]],TRAN_STRITEMS_LABEL,4,FALSE)),"")</f>
        <v/>
      </c>
      <c r="I583" s="94"/>
      <c r="J583" s="94"/>
      <c r="K583" s="94"/>
      <c r="L583" s="84"/>
      <c r="M583" s="84"/>
      <c r="N583" s="84"/>
      <c r="O583" s="84"/>
      <c r="P583" s="84"/>
      <c r="Q583" s="84"/>
      <c r="R583" s="84"/>
      <c r="S583" s="84"/>
      <c r="T583" s="84"/>
      <c r="U583" s="84"/>
      <c r="V583" s="84"/>
      <c r="W583" s="84"/>
      <c r="X583" s="84"/>
      <c r="Y583" s="84"/>
      <c r="Z583" s="84"/>
      <c r="AA583" s="84"/>
      <c r="AB583" s="84"/>
      <c r="AC583" s="84"/>
      <c r="AD583" s="84"/>
      <c r="AE583" s="84"/>
      <c r="AF583" s="84"/>
      <c r="AG583" s="84"/>
      <c r="AH583" s="84"/>
      <c r="AI583" s="84"/>
      <c r="AJ583" s="84"/>
      <c r="AK583" s="84"/>
      <c r="AL583" s="84"/>
      <c r="AM583" s="84"/>
      <c r="AN583" s="84"/>
      <c r="AO583" s="84"/>
      <c r="AP583" s="84"/>
      <c r="AQ583" s="84"/>
      <c r="AR583" s="84"/>
      <c r="AS583" s="84"/>
      <c r="AT583" s="84"/>
      <c r="AU583" s="84"/>
      <c r="AV583" s="84"/>
      <c r="AW583" s="84"/>
      <c r="AX583" s="87">
        <f t="array" ref="AX583">IF(G583=1,SUM((ROW(M0)=ROW(AW583))*(M0+M1_+M2_+M3_+M4_+M5_+M6_+M7_+M8_+M9_+M10_+M11_+M12_+M13_+M14_+M15_+M16_+M17_+M18_+M19_+M20_+M21_+M22_+M23_+M24_+M25_+M26_+M27_+M28_+M29_+M30_+M31_+M32_+M33_+M34_+M35_+M36_+M37_)),0)</f>
        <v>0</v>
      </c>
      <c r="AZ583" s="24" t="str">
        <f t="shared" si="121"/>
        <v/>
      </c>
      <c r="BA583" s="24" t="str">
        <f t="shared" si="122"/>
        <v/>
      </c>
      <c r="BB583" s="24" t="str">
        <f t="shared" si="123"/>
        <v/>
      </c>
      <c r="BC583" s="24" t="str">
        <f>IF(OR(E583="",LEFT(TableCosts[[#This Row],[Calc_N_Typ]],18)="Vynaložené náklady"),"",VLOOKUP(E583,Tab_Parts,2,0))</f>
        <v/>
      </c>
      <c r="BD583" s="24" t="str">
        <f t="shared" si="124"/>
        <v/>
      </c>
      <c r="BE583" s="24">
        <f t="shared" si="125"/>
        <v>0</v>
      </c>
      <c r="BF583" s="72">
        <f>TableCosts[[#This Row],[N_Amount]]*TableCosts[[#This Row],[N_Tariff]]*TableCosts[[#This Row],[N_ItemsCount]]</f>
        <v>0</v>
      </c>
      <c r="BG583" s="72">
        <f>IF(G583=1,IF(TableCosts[[#This Row],[N_Kateg]]="interné práce",TableCosts[[#This Row],[N_Amount]]*8*PAR_SGA_PERHOUR,0),0)</f>
        <v>0</v>
      </c>
      <c r="BH583" s="72">
        <f>SUM(TableCosts[[#This Row],[N_Direct]:[N_SGA]])</f>
        <v>0</v>
      </c>
      <c r="BI583" s="24">
        <f>IF(G583=1,IF(OR(AND(NOT(ISERROR(VLOOKUP(TableCosts[[#This Row],[Calc_N_Typ]],Cis_WorkPositions,1,0))),C583&lt;&gt;"",D583&lt;&gt;"",E583&lt;&gt;""),AND(ISERROR(VLOOKUP(TableCosts[[#This Row],[Calc_N_Typ]],Cis_WorkPositions,1,0)),C583="",D583="",E583&lt;&gt;""),LEFT(TableCosts[[#This Row],[Calc_N_Typ]],18)="Vynaložené náklady"),VLOOKUP(C583&amp;TableCosts[[#This Row],[Calc_N_Typ]],TRAN_STRITEMS_LABEL,VLOOKUP(D583,Tab_Hours,3,0),0),NA()),0)</f>
        <v>0</v>
      </c>
      <c r="BJ583" s="24">
        <f t="shared" si="126"/>
        <v>0</v>
      </c>
      <c r="BK583" s="24" t="str">
        <f t="shared" si="127"/>
        <v/>
      </c>
      <c r="BL583" s="24" t="str">
        <f t="shared" si="128"/>
        <v/>
      </c>
      <c r="BM583" s="24" t="str">
        <f>IF(G583=1,IF(TableCosts[[#This Row],[TransferFrom]]=TableCosts[[#This Row],[TranferTo]],0,1),"")</f>
        <v/>
      </c>
      <c r="BN583" s="24" t="str">
        <f t="shared" si="129"/>
        <v/>
      </c>
      <c r="BO583" s="24">
        <f t="shared" si="130"/>
        <v>0</v>
      </c>
      <c r="BP583" s="24">
        <f t="shared" si="131"/>
        <v>0</v>
      </c>
    </row>
    <row r="584" spans="2:68" s="24" customFormat="1" ht="12.75" x14ac:dyDescent="0.2">
      <c r="B584" s="97"/>
      <c r="C584" s="92"/>
      <c r="D584" s="92"/>
      <c r="E584" s="92"/>
      <c r="F584" s="31" t="str">
        <f>IF(G584=1,IF(ISERROR(TableCosts[[#This Row],[N_Tariff]]),Err_Message1,IF(TableCosts[[#This Row],[N_Tariff]]=0,Err_Message2,VLOOKUP(C584&amp;TableCosts[[#This Row],[Calc_N_Typ]],TRAN_STRITEMS_LABEL,5,FALSE))),"")</f>
        <v/>
      </c>
      <c r="G584" s="31">
        <f t="shared" si="120"/>
        <v>0</v>
      </c>
      <c r="H584" s="31" t="str">
        <f>IF(G584=1,IFERROR(VLOOKUP(F584,Tab_ErrMessage[],2,0),VLOOKUP(C584&amp;TableCosts[[#This Row],[Calc_N_Typ]],TRAN_STRITEMS_LABEL,4,FALSE)),"")</f>
        <v/>
      </c>
      <c r="I584" s="94"/>
      <c r="J584" s="94"/>
      <c r="K584" s="94"/>
      <c r="L584" s="84"/>
      <c r="M584" s="84"/>
      <c r="N584" s="84"/>
      <c r="O584" s="84"/>
      <c r="P584" s="84"/>
      <c r="Q584" s="84"/>
      <c r="R584" s="84"/>
      <c r="S584" s="84"/>
      <c r="T584" s="84"/>
      <c r="U584" s="84"/>
      <c r="V584" s="84"/>
      <c r="W584" s="84"/>
      <c r="X584" s="84"/>
      <c r="Y584" s="84"/>
      <c r="Z584" s="84"/>
      <c r="AA584" s="84"/>
      <c r="AB584" s="84"/>
      <c r="AC584" s="84"/>
      <c r="AD584" s="84"/>
      <c r="AE584" s="84"/>
      <c r="AF584" s="84"/>
      <c r="AG584" s="84"/>
      <c r="AH584" s="84"/>
      <c r="AI584" s="84"/>
      <c r="AJ584" s="84"/>
      <c r="AK584" s="84"/>
      <c r="AL584" s="84"/>
      <c r="AM584" s="84"/>
      <c r="AN584" s="84"/>
      <c r="AO584" s="84"/>
      <c r="AP584" s="84"/>
      <c r="AQ584" s="84"/>
      <c r="AR584" s="84"/>
      <c r="AS584" s="84"/>
      <c r="AT584" s="84"/>
      <c r="AU584" s="84"/>
      <c r="AV584" s="84"/>
      <c r="AW584" s="84"/>
      <c r="AX584" s="87">
        <f t="array" ref="AX584">IF(G584=1,SUM((ROW(M0)=ROW(AW584))*(M0+M1_+M2_+M3_+M4_+M5_+M6_+M7_+M8_+M9_+M10_+M11_+M12_+M13_+M14_+M15_+M16_+M17_+M18_+M19_+M20_+M21_+M22_+M23_+M24_+M25_+M26_+M27_+M28_+M29_+M30_+M31_+M32_+M33_+M34_+M35_+M36_+M37_)),0)</f>
        <v>0</v>
      </c>
      <c r="AZ584" s="24" t="str">
        <f t="shared" si="121"/>
        <v/>
      </c>
      <c r="BA584" s="24" t="str">
        <f t="shared" si="122"/>
        <v/>
      </c>
      <c r="BB584" s="24" t="str">
        <f t="shared" si="123"/>
        <v/>
      </c>
      <c r="BC584" s="24" t="str">
        <f>IF(OR(E584="",LEFT(TableCosts[[#This Row],[Calc_N_Typ]],18)="Vynaložené náklady"),"",VLOOKUP(E584,Tab_Parts,2,0))</f>
        <v/>
      </c>
      <c r="BD584" s="24" t="str">
        <f t="shared" si="124"/>
        <v/>
      </c>
      <c r="BE584" s="24">
        <f t="shared" si="125"/>
        <v>0</v>
      </c>
      <c r="BF584" s="72">
        <f>TableCosts[[#This Row],[N_Amount]]*TableCosts[[#This Row],[N_Tariff]]*TableCosts[[#This Row],[N_ItemsCount]]</f>
        <v>0</v>
      </c>
      <c r="BG584" s="72">
        <f>IF(G584=1,IF(TableCosts[[#This Row],[N_Kateg]]="interné práce",TableCosts[[#This Row],[N_Amount]]*8*PAR_SGA_PERHOUR,0),0)</f>
        <v>0</v>
      </c>
      <c r="BH584" s="72">
        <f>SUM(TableCosts[[#This Row],[N_Direct]:[N_SGA]])</f>
        <v>0</v>
      </c>
      <c r="BI584" s="24">
        <f>IF(G584=1,IF(OR(AND(NOT(ISERROR(VLOOKUP(TableCosts[[#This Row],[Calc_N_Typ]],Cis_WorkPositions,1,0))),C584&lt;&gt;"",D584&lt;&gt;"",E584&lt;&gt;""),AND(ISERROR(VLOOKUP(TableCosts[[#This Row],[Calc_N_Typ]],Cis_WorkPositions,1,0)),C584="",D584="",E584&lt;&gt;""),LEFT(TableCosts[[#This Row],[Calc_N_Typ]],18)="Vynaložené náklady"),VLOOKUP(C584&amp;TableCosts[[#This Row],[Calc_N_Typ]],TRAN_STRITEMS_LABEL,VLOOKUP(D584,Tab_Hours,3,0),0),NA()),0)</f>
        <v>0</v>
      </c>
      <c r="BJ584" s="24">
        <f t="shared" si="126"/>
        <v>0</v>
      </c>
      <c r="BK584" s="24" t="str">
        <f t="shared" si="127"/>
        <v/>
      </c>
      <c r="BL584" s="24" t="str">
        <f t="shared" si="128"/>
        <v/>
      </c>
      <c r="BM584" s="24" t="str">
        <f>IF(G584=1,IF(TableCosts[[#This Row],[TransferFrom]]=TableCosts[[#This Row],[TranferTo]],0,1),"")</f>
        <v/>
      </c>
      <c r="BN584" s="24" t="str">
        <f t="shared" si="129"/>
        <v/>
      </c>
      <c r="BO584" s="24">
        <f t="shared" si="130"/>
        <v>0</v>
      </c>
      <c r="BP584" s="24">
        <f t="shared" si="131"/>
        <v>0</v>
      </c>
    </row>
    <row r="585" spans="2:68" s="24" customFormat="1" ht="12.75" x14ac:dyDescent="0.2">
      <c r="B585" s="97"/>
      <c r="C585" s="92"/>
      <c r="D585" s="92"/>
      <c r="E585" s="92"/>
      <c r="F585" s="31" t="str">
        <f>IF(G585=1,IF(ISERROR(TableCosts[[#This Row],[N_Tariff]]),Err_Message1,IF(TableCosts[[#This Row],[N_Tariff]]=0,Err_Message2,VLOOKUP(C585&amp;TableCosts[[#This Row],[Calc_N_Typ]],TRAN_STRITEMS_LABEL,5,FALSE))),"")</f>
        <v/>
      </c>
      <c r="G585" s="31">
        <f t="shared" si="120"/>
        <v>0</v>
      </c>
      <c r="H585" s="31" t="str">
        <f>IF(G585=1,IFERROR(VLOOKUP(F585,Tab_ErrMessage[],2,0),VLOOKUP(C585&amp;TableCosts[[#This Row],[Calc_N_Typ]],TRAN_STRITEMS_LABEL,4,FALSE)),"")</f>
        <v/>
      </c>
      <c r="I585" s="94"/>
      <c r="J585" s="94"/>
      <c r="K585" s="94"/>
      <c r="L585" s="84"/>
      <c r="M585" s="84"/>
      <c r="N585" s="84"/>
      <c r="O585" s="84"/>
      <c r="P585" s="84"/>
      <c r="Q585" s="84"/>
      <c r="R585" s="84"/>
      <c r="S585" s="84"/>
      <c r="T585" s="84"/>
      <c r="U585" s="84"/>
      <c r="V585" s="84"/>
      <c r="W585" s="84"/>
      <c r="X585" s="84"/>
      <c r="Y585" s="84"/>
      <c r="Z585" s="84"/>
      <c r="AA585" s="84"/>
      <c r="AB585" s="84"/>
      <c r="AC585" s="84"/>
      <c r="AD585" s="84"/>
      <c r="AE585" s="84"/>
      <c r="AF585" s="84"/>
      <c r="AG585" s="84"/>
      <c r="AH585" s="84"/>
      <c r="AI585" s="84"/>
      <c r="AJ585" s="84"/>
      <c r="AK585" s="84"/>
      <c r="AL585" s="84"/>
      <c r="AM585" s="84"/>
      <c r="AN585" s="84"/>
      <c r="AO585" s="84"/>
      <c r="AP585" s="84"/>
      <c r="AQ585" s="84"/>
      <c r="AR585" s="84"/>
      <c r="AS585" s="84"/>
      <c r="AT585" s="84"/>
      <c r="AU585" s="84"/>
      <c r="AV585" s="84"/>
      <c r="AW585" s="84"/>
      <c r="AX585" s="87">
        <f t="array" ref="AX585">IF(G585=1,SUM((ROW(M0)=ROW(AW585))*(M0+M1_+M2_+M3_+M4_+M5_+M6_+M7_+M8_+M9_+M10_+M11_+M12_+M13_+M14_+M15_+M16_+M17_+M18_+M19_+M20_+M21_+M22_+M23_+M24_+M25_+M26_+M27_+M28_+M29_+M30_+M31_+M32_+M33_+M34_+M35_+M36_+M37_)),0)</f>
        <v>0</v>
      </c>
      <c r="AZ585" s="24" t="str">
        <f t="shared" si="121"/>
        <v/>
      </c>
      <c r="BA585" s="24" t="str">
        <f t="shared" si="122"/>
        <v/>
      </c>
      <c r="BB585" s="24" t="str">
        <f t="shared" si="123"/>
        <v/>
      </c>
      <c r="BC585" s="24" t="str">
        <f>IF(OR(E585="",LEFT(TableCosts[[#This Row],[Calc_N_Typ]],18)="Vynaložené náklady"),"",VLOOKUP(E585,Tab_Parts,2,0))</f>
        <v/>
      </c>
      <c r="BD585" s="24" t="str">
        <f t="shared" si="124"/>
        <v/>
      </c>
      <c r="BE585" s="24">
        <f t="shared" si="125"/>
        <v>0</v>
      </c>
      <c r="BF585" s="72">
        <f>TableCosts[[#This Row],[N_Amount]]*TableCosts[[#This Row],[N_Tariff]]*TableCosts[[#This Row],[N_ItemsCount]]</f>
        <v>0</v>
      </c>
      <c r="BG585" s="72">
        <f>IF(G585=1,IF(TableCosts[[#This Row],[N_Kateg]]="interné práce",TableCosts[[#This Row],[N_Amount]]*8*PAR_SGA_PERHOUR,0),0)</f>
        <v>0</v>
      </c>
      <c r="BH585" s="72">
        <f>SUM(TableCosts[[#This Row],[N_Direct]:[N_SGA]])</f>
        <v>0</v>
      </c>
      <c r="BI585" s="24">
        <f>IF(G585=1,IF(OR(AND(NOT(ISERROR(VLOOKUP(TableCosts[[#This Row],[Calc_N_Typ]],Cis_WorkPositions,1,0))),C585&lt;&gt;"",D585&lt;&gt;"",E585&lt;&gt;""),AND(ISERROR(VLOOKUP(TableCosts[[#This Row],[Calc_N_Typ]],Cis_WorkPositions,1,0)),C585="",D585="",E585&lt;&gt;""),LEFT(TableCosts[[#This Row],[Calc_N_Typ]],18)="Vynaložené náklady"),VLOOKUP(C585&amp;TableCosts[[#This Row],[Calc_N_Typ]],TRAN_STRITEMS_LABEL,VLOOKUP(D585,Tab_Hours,3,0),0),NA()),0)</f>
        <v>0</v>
      </c>
      <c r="BJ585" s="24">
        <f t="shared" si="126"/>
        <v>0</v>
      </c>
      <c r="BK585" s="24" t="str">
        <f t="shared" si="127"/>
        <v/>
      </c>
      <c r="BL585" s="24" t="str">
        <f t="shared" si="128"/>
        <v/>
      </c>
      <c r="BM585" s="24" t="str">
        <f>IF(G585=1,IF(TableCosts[[#This Row],[TransferFrom]]=TableCosts[[#This Row],[TranferTo]],0,1),"")</f>
        <v/>
      </c>
      <c r="BN585" s="24" t="str">
        <f t="shared" si="129"/>
        <v/>
      </c>
      <c r="BO585" s="24">
        <f t="shared" si="130"/>
        <v>0</v>
      </c>
      <c r="BP585" s="24">
        <f t="shared" si="131"/>
        <v>0</v>
      </c>
    </row>
    <row r="586" spans="2:68" s="24" customFormat="1" ht="12.75" x14ac:dyDescent="0.2">
      <c r="B586" s="97"/>
      <c r="C586" s="92"/>
      <c r="D586" s="92"/>
      <c r="E586" s="92"/>
      <c r="F586" s="31" t="str">
        <f>IF(G586=1,IF(ISERROR(TableCosts[[#This Row],[N_Tariff]]),Err_Message1,IF(TableCosts[[#This Row],[N_Tariff]]=0,Err_Message2,VLOOKUP(C586&amp;TableCosts[[#This Row],[Calc_N_Typ]],TRAN_STRITEMS_LABEL,5,FALSE))),"")</f>
        <v/>
      </c>
      <c r="G586" s="31">
        <f t="shared" si="120"/>
        <v>0</v>
      </c>
      <c r="H586" s="31" t="str">
        <f>IF(G586=1,IFERROR(VLOOKUP(F586,Tab_ErrMessage[],2,0),VLOOKUP(C586&amp;TableCosts[[#This Row],[Calc_N_Typ]],TRAN_STRITEMS_LABEL,4,FALSE)),"")</f>
        <v/>
      </c>
      <c r="I586" s="94"/>
      <c r="J586" s="94"/>
      <c r="K586" s="94"/>
      <c r="L586" s="84"/>
      <c r="M586" s="84"/>
      <c r="N586" s="84"/>
      <c r="O586" s="84"/>
      <c r="P586" s="84"/>
      <c r="Q586" s="84"/>
      <c r="R586" s="84"/>
      <c r="S586" s="84"/>
      <c r="T586" s="84"/>
      <c r="U586" s="84"/>
      <c r="V586" s="84"/>
      <c r="W586" s="84"/>
      <c r="X586" s="84"/>
      <c r="Y586" s="84"/>
      <c r="Z586" s="84"/>
      <c r="AA586" s="84"/>
      <c r="AB586" s="84"/>
      <c r="AC586" s="84"/>
      <c r="AD586" s="84"/>
      <c r="AE586" s="84"/>
      <c r="AF586" s="84"/>
      <c r="AG586" s="84"/>
      <c r="AH586" s="84"/>
      <c r="AI586" s="84"/>
      <c r="AJ586" s="84"/>
      <c r="AK586" s="84"/>
      <c r="AL586" s="84"/>
      <c r="AM586" s="84"/>
      <c r="AN586" s="84"/>
      <c r="AO586" s="84"/>
      <c r="AP586" s="84"/>
      <c r="AQ586" s="84"/>
      <c r="AR586" s="84"/>
      <c r="AS586" s="84"/>
      <c r="AT586" s="84"/>
      <c r="AU586" s="84"/>
      <c r="AV586" s="84"/>
      <c r="AW586" s="84"/>
      <c r="AX586" s="87">
        <f t="array" ref="AX586">IF(G586=1,SUM((ROW(M0)=ROW(AW586))*(M0+M1_+M2_+M3_+M4_+M5_+M6_+M7_+M8_+M9_+M10_+M11_+M12_+M13_+M14_+M15_+M16_+M17_+M18_+M19_+M20_+M21_+M22_+M23_+M24_+M25_+M26_+M27_+M28_+M29_+M30_+M31_+M32_+M33_+M34_+M35_+M36_+M37_)),0)</f>
        <v>0</v>
      </c>
      <c r="AZ586" s="24" t="str">
        <f t="shared" si="121"/>
        <v/>
      </c>
      <c r="BA586" s="24" t="str">
        <f t="shared" si="122"/>
        <v/>
      </c>
      <c r="BB586" s="24" t="str">
        <f t="shared" si="123"/>
        <v/>
      </c>
      <c r="BC586" s="24" t="str">
        <f>IF(OR(E586="",LEFT(TableCosts[[#This Row],[Calc_N_Typ]],18)="Vynaložené náklady"),"",VLOOKUP(E586,Tab_Parts,2,0))</f>
        <v/>
      </c>
      <c r="BD586" s="24" t="str">
        <f t="shared" si="124"/>
        <v/>
      </c>
      <c r="BE586" s="24">
        <f t="shared" si="125"/>
        <v>0</v>
      </c>
      <c r="BF586" s="72">
        <f>TableCosts[[#This Row],[N_Amount]]*TableCosts[[#This Row],[N_Tariff]]*TableCosts[[#This Row],[N_ItemsCount]]</f>
        <v>0</v>
      </c>
      <c r="BG586" s="72">
        <f>IF(G586=1,IF(TableCosts[[#This Row],[N_Kateg]]="interné práce",TableCosts[[#This Row],[N_Amount]]*8*PAR_SGA_PERHOUR,0),0)</f>
        <v>0</v>
      </c>
      <c r="BH586" s="72">
        <f>SUM(TableCosts[[#This Row],[N_Direct]:[N_SGA]])</f>
        <v>0</v>
      </c>
      <c r="BI586" s="24">
        <f>IF(G586=1,IF(OR(AND(NOT(ISERROR(VLOOKUP(TableCosts[[#This Row],[Calc_N_Typ]],Cis_WorkPositions,1,0))),C586&lt;&gt;"",D586&lt;&gt;"",E586&lt;&gt;""),AND(ISERROR(VLOOKUP(TableCosts[[#This Row],[Calc_N_Typ]],Cis_WorkPositions,1,0)),C586="",D586="",E586&lt;&gt;""),LEFT(TableCosts[[#This Row],[Calc_N_Typ]],18)="Vynaložené náklady"),VLOOKUP(C586&amp;TableCosts[[#This Row],[Calc_N_Typ]],TRAN_STRITEMS_LABEL,VLOOKUP(D586,Tab_Hours,3,0),0),NA()),0)</f>
        <v>0</v>
      </c>
      <c r="BJ586" s="24">
        <f t="shared" si="126"/>
        <v>0</v>
      </c>
      <c r="BK586" s="24" t="str">
        <f t="shared" si="127"/>
        <v/>
      </c>
      <c r="BL586" s="24" t="str">
        <f t="shared" si="128"/>
        <v/>
      </c>
      <c r="BM586" s="24" t="str">
        <f>IF(G586=1,IF(TableCosts[[#This Row],[TransferFrom]]=TableCosts[[#This Row],[TranferTo]],0,1),"")</f>
        <v/>
      </c>
      <c r="BN586" s="24" t="str">
        <f t="shared" si="129"/>
        <v/>
      </c>
      <c r="BO586" s="24">
        <f t="shared" si="130"/>
        <v>0</v>
      </c>
      <c r="BP586" s="24">
        <f t="shared" si="131"/>
        <v>0</v>
      </c>
    </row>
    <row r="587" spans="2:68" s="24" customFormat="1" ht="12.75" x14ac:dyDescent="0.2">
      <c r="B587" s="97"/>
      <c r="C587" s="92"/>
      <c r="D587" s="92"/>
      <c r="E587" s="92"/>
      <c r="F587" s="31" t="str">
        <f>IF(G587=1,IF(ISERROR(TableCosts[[#This Row],[N_Tariff]]),Err_Message1,IF(TableCosts[[#This Row],[N_Tariff]]=0,Err_Message2,VLOOKUP(C587&amp;TableCosts[[#This Row],[Calc_N_Typ]],TRAN_STRITEMS_LABEL,5,FALSE))),"")</f>
        <v/>
      </c>
      <c r="G587" s="31">
        <f t="shared" si="120"/>
        <v>0</v>
      </c>
      <c r="H587" s="31" t="str">
        <f>IF(G587=1,IFERROR(VLOOKUP(F587,Tab_ErrMessage[],2,0),VLOOKUP(C587&amp;TableCosts[[#This Row],[Calc_N_Typ]],TRAN_STRITEMS_LABEL,4,FALSE)),"")</f>
        <v/>
      </c>
      <c r="I587" s="94"/>
      <c r="J587" s="94"/>
      <c r="K587" s="94"/>
      <c r="L587" s="84"/>
      <c r="M587" s="84"/>
      <c r="N587" s="84"/>
      <c r="O587" s="84"/>
      <c r="P587" s="84"/>
      <c r="Q587" s="84"/>
      <c r="R587" s="84"/>
      <c r="S587" s="84"/>
      <c r="T587" s="84"/>
      <c r="U587" s="84"/>
      <c r="V587" s="84"/>
      <c r="W587" s="84"/>
      <c r="X587" s="84"/>
      <c r="Y587" s="84"/>
      <c r="Z587" s="84"/>
      <c r="AA587" s="84"/>
      <c r="AB587" s="84"/>
      <c r="AC587" s="84"/>
      <c r="AD587" s="84"/>
      <c r="AE587" s="84"/>
      <c r="AF587" s="84"/>
      <c r="AG587" s="84"/>
      <c r="AH587" s="84"/>
      <c r="AI587" s="84"/>
      <c r="AJ587" s="84"/>
      <c r="AK587" s="84"/>
      <c r="AL587" s="84"/>
      <c r="AM587" s="84"/>
      <c r="AN587" s="84"/>
      <c r="AO587" s="84"/>
      <c r="AP587" s="84"/>
      <c r="AQ587" s="84"/>
      <c r="AR587" s="84"/>
      <c r="AS587" s="84"/>
      <c r="AT587" s="84"/>
      <c r="AU587" s="84"/>
      <c r="AV587" s="84"/>
      <c r="AW587" s="84"/>
      <c r="AX587" s="87">
        <f t="array" ref="AX587">IF(G587=1,SUM((ROW(M0)=ROW(AW587))*(M0+M1_+M2_+M3_+M4_+M5_+M6_+M7_+M8_+M9_+M10_+M11_+M12_+M13_+M14_+M15_+M16_+M17_+M18_+M19_+M20_+M21_+M22_+M23_+M24_+M25_+M26_+M27_+M28_+M29_+M30_+M31_+M32_+M33_+M34_+M35_+M36_+M37_)),0)</f>
        <v>0</v>
      </c>
      <c r="AZ587" s="24" t="str">
        <f t="shared" si="121"/>
        <v/>
      </c>
      <c r="BA587" s="24" t="str">
        <f t="shared" si="122"/>
        <v/>
      </c>
      <c r="BB587" s="24" t="str">
        <f t="shared" si="123"/>
        <v/>
      </c>
      <c r="BC587" s="24" t="str">
        <f>IF(OR(E587="",LEFT(TableCosts[[#This Row],[Calc_N_Typ]],18)="Vynaložené náklady"),"",VLOOKUP(E587,Tab_Parts,2,0))</f>
        <v/>
      </c>
      <c r="BD587" s="24" t="str">
        <f t="shared" si="124"/>
        <v/>
      </c>
      <c r="BE587" s="24">
        <f t="shared" si="125"/>
        <v>0</v>
      </c>
      <c r="BF587" s="72">
        <f>TableCosts[[#This Row],[N_Amount]]*TableCosts[[#This Row],[N_Tariff]]*TableCosts[[#This Row],[N_ItemsCount]]</f>
        <v>0</v>
      </c>
      <c r="BG587" s="72">
        <f>IF(G587=1,IF(TableCosts[[#This Row],[N_Kateg]]="interné práce",TableCosts[[#This Row],[N_Amount]]*8*PAR_SGA_PERHOUR,0),0)</f>
        <v>0</v>
      </c>
      <c r="BH587" s="72">
        <f>SUM(TableCosts[[#This Row],[N_Direct]:[N_SGA]])</f>
        <v>0</v>
      </c>
      <c r="BI587" s="24">
        <f>IF(G587=1,IF(OR(AND(NOT(ISERROR(VLOOKUP(TableCosts[[#This Row],[Calc_N_Typ]],Cis_WorkPositions,1,0))),C587&lt;&gt;"",D587&lt;&gt;"",E587&lt;&gt;""),AND(ISERROR(VLOOKUP(TableCosts[[#This Row],[Calc_N_Typ]],Cis_WorkPositions,1,0)),C587="",D587="",E587&lt;&gt;""),LEFT(TableCosts[[#This Row],[Calc_N_Typ]],18)="Vynaložené náklady"),VLOOKUP(C587&amp;TableCosts[[#This Row],[Calc_N_Typ]],TRAN_STRITEMS_LABEL,VLOOKUP(D587,Tab_Hours,3,0),0),NA()),0)</f>
        <v>0</v>
      </c>
      <c r="BJ587" s="24">
        <f t="shared" si="126"/>
        <v>0</v>
      </c>
      <c r="BK587" s="24" t="str">
        <f t="shared" si="127"/>
        <v/>
      </c>
      <c r="BL587" s="24" t="str">
        <f t="shared" si="128"/>
        <v/>
      </c>
      <c r="BM587" s="24" t="str">
        <f>IF(G587=1,IF(TableCosts[[#This Row],[TransferFrom]]=TableCosts[[#This Row],[TranferTo]],0,1),"")</f>
        <v/>
      </c>
      <c r="BN587" s="24" t="str">
        <f t="shared" si="129"/>
        <v/>
      </c>
      <c r="BO587" s="24">
        <f t="shared" si="130"/>
        <v>0</v>
      </c>
      <c r="BP587" s="24">
        <f t="shared" si="131"/>
        <v>0</v>
      </c>
    </row>
    <row r="588" spans="2:68" s="24" customFormat="1" ht="12.75" x14ac:dyDescent="0.2">
      <c r="B588" s="97"/>
      <c r="C588" s="92"/>
      <c r="D588" s="92"/>
      <c r="E588" s="92"/>
      <c r="F588" s="31" t="str">
        <f>IF(G588=1,IF(ISERROR(TableCosts[[#This Row],[N_Tariff]]),Err_Message1,IF(TableCosts[[#This Row],[N_Tariff]]=0,Err_Message2,VLOOKUP(C588&amp;TableCosts[[#This Row],[Calc_N_Typ]],TRAN_STRITEMS_LABEL,5,FALSE))),"")</f>
        <v/>
      </c>
      <c r="G588" s="31">
        <f t="shared" ref="G588:G651" si="132">IF(B588="",0,IF(LEFT(B588,3)="***",-1,1))</f>
        <v>0</v>
      </c>
      <c r="H588" s="31" t="str">
        <f>IF(G588=1,IFERROR(VLOOKUP(F588,Tab_ErrMessage[],2,0),VLOOKUP(C588&amp;TableCosts[[#This Row],[Calc_N_Typ]],TRAN_STRITEMS_LABEL,4,FALSE)),"")</f>
        <v/>
      </c>
      <c r="I588" s="94"/>
      <c r="J588" s="94"/>
      <c r="K588" s="94"/>
      <c r="L588" s="84"/>
      <c r="M588" s="84"/>
      <c r="N588" s="84"/>
      <c r="O588" s="84"/>
      <c r="P588" s="84"/>
      <c r="Q588" s="84"/>
      <c r="R588" s="84"/>
      <c r="S588" s="84"/>
      <c r="T588" s="84"/>
      <c r="U588" s="84"/>
      <c r="V588" s="84"/>
      <c r="W588" s="84"/>
      <c r="X588" s="84"/>
      <c r="Y588" s="84"/>
      <c r="Z588" s="84"/>
      <c r="AA588" s="84"/>
      <c r="AB588" s="84"/>
      <c r="AC588" s="84"/>
      <c r="AD588" s="84"/>
      <c r="AE588" s="84"/>
      <c r="AF588" s="84"/>
      <c r="AG588" s="84"/>
      <c r="AH588" s="84"/>
      <c r="AI588" s="84"/>
      <c r="AJ588" s="84"/>
      <c r="AK588" s="84"/>
      <c r="AL588" s="84"/>
      <c r="AM588" s="84"/>
      <c r="AN588" s="84"/>
      <c r="AO588" s="84"/>
      <c r="AP588" s="84"/>
      <c r="AQ588" s="84"/>
      <c r="AR588" s="84"/>
      <c r="AS588" s="84"/>
      <c r="AT588" s="84"/>
      <c r="AU588" s="84"/>
      <c r="AV588" s="84"/>
      <c r="AW588" s="84"/>
      <c r="AX588" s="87">
        <f t="array" ref="AX588">IF(G588=1,SUM((ROW(M0)=ROW(AW588))*(M0+M1_+M2_+M3_+M4_+M5_+M6_+M7_+M8_+M9_+M10_+M11_+M12_+M13_+M14_+M15_+M16_+M17_+M18_+M19_+M20_+M21_+M22_+M23_+M24_+M25_+M26_+M27_+M28_+M29_+M30_+M31_+M32_+M33_+M34_+M35_+M36_+M37_)),0)</f>
        <v>0</v>
      </c>
      <c r="AZ588" s="24" t="str">
        <f t="shared" ref="AZ588:AZ651" si="133">IF(G588=1,B588,"")</f>
        <v/>
      </c>
      <c r="BA588" s="24" t="str">
        <f t="shared" ref="BA588:BA651" si="134">IF(G588=1,C588,"")</f>
        <v/>
      </c>
      <c r="BB588" s="24" t="str">
        <f t="shared" ref="BB588:BB651" si="135">IF(G588=1,F588,"")</f>
        <v/>
      </c>
      <c r="BC588" s="24" t="str">
        <f>IF(OR(E588="",LEFT(TableCosts[[#This Row],[Calc_N_Typ]],18)="Vynaložené náklady"),"",VLOOKUP(E588,Tab_Parts,2,0))</f>
        <v/>
      </c>
      <c r="BD588" s="24" t="str">
        <f t="shared" ref="BD588:BD651" si="136">IF(G588=1,H588,"")</f>
        <v/>
      </c>
      <c r="BE588" s="24">
        <f t="shared" ref="BE588:BE651" si="137">IF(G588=1,AX588,0)</f>
        <v>0</v>
      </c>
      <c r="BF588" s="72">
        <f>TableCosts[[#This Row],[N_Amount]]*TableCosts[[#This Row],[N_Tariff]]*TableCosts[[#This Row],[N_ItemsCount]]</f>
        <v>0</v>
      </c>
      <c r="BG588" s="72">
        <f>IF(G588=1,IF(TableCosts[[#This Row],[N_Kateg]]="interné práce",TableCosts[[#This Row],[N_Amount]]*8*PAR_SGA_PERHOUR,0),0)</f>
        <v>0</v>
      </c>
      <c r="BH588" s="72">
        <f>SUM(TableCosts[[#This Row],[N_Direct]:[N_SGA]])</f>
        <v>0</v>
      </c>
      <c r="BI588" s="24">
        <f>IF(G588=1,IF(OR(AND(NOT(ISERROR(VLOOKUP(TableCosts[[#This Row],[Calc_N_Typ]],Cis_WorkPositions,1,0))),C588&lt;&gt;"",D588&lt;&gt;"",E588&lt;&gt;""),AND(ISERROR(VLOOKUP(TableCosts[[#This Row],[Calc_N_Typ]],Cis_WorkPositions,1,0)),C588="",D588="",E588&lt;&gt;""),LEFT(TableCosts[[#This Row],[Calc_N_Typ]],18)="Vynaložené náklady"),VLOOKUP(C588&amp;TableCosts[[#This Row],[Calc_N_Typ]],TRAN_STRITEMS_LABEL,VLOOKUP(D588,Tab_Hours,3,0),0),NA()),0)</f>
        <v>0</v>
      </c>
      <c r="BJ588" s="24">
        <f t="shared" ref="BJ588:BJ651" si="138">IF(G588=1,IF(H588="čld.",VLOOKUP(D588,Tab_Hours,4,0),1),0)</f>
        <v>0</v>
      </c>
      <c r="BK588" s="24" t="str">
        <f t="shared" ref="BK588:BK651" si="139">IF(G588=1,IFERROR(VLOOKUP(B588,IpsLicences,2,0),IF(C588="",Par_Center,C588)),"")</f>
        <v/>
      </c>
      <c r="BL588" s="24" t="str">
        <f t="shared" ref="BL588:BL651" si="140">IF(G588=1,Par_Center,"")</f>
        <v/>
      </c>
      <c r="BM588" s="24" t="str">
        <f>IF(G588=1,IF(TableCosts[[#This Row],[TransferFrom]]=TableCosts[[#This Row],[TranferTo]],0,1),"")</f>
        <v/>
      </c>
      <c r="BN588" s="24" t="str">
        <f t="shared" ref="BN588:BN651" si="141">IF(G588=1,IF(E588="ACQ","akvizícia","realizácia"),"")</f>
        <v/>
      </c>
      <c r="BO588" s="24">
        <f t="shared" ref="BO588:BO651" si="142">IF(RIGHT(B588,LEN(Par_LabelTravelTime))=Par_LabelTravelTime,LEFT(B588,LEN(B588)-LEN(Par_LabelTravelTime)),B588)</f>
        <v>0</v>
      </c>
      <c r="BP588" s="24">
        <f t="shared" ref="BP588:BP651" si="143">IF(RIGHT(B588,LEN(Par_LabelTravelTime))=Par_LabelTravelTime,1,0)</f>
        <v>0</v>
      </c>
    </row>
    <row r="589" spans="2:68" s="24" customFormat="1" ht="12.75" x14ac:dyDescent="0.2">
      <c r="B589" s="97"/>
      <c r="C589" s="92"/>
      <c r="D589" s="92"/>
      <c r="E589" s="92"/>
      <c r="F589" s="31" t="str">
        <f>IF(G589=1,IF(ISERROR(TableCosts[[#This Row],[N_Tariff]]),Err_Message1,IF(TableCosts[[#This Row],[N_Tariff]]=0,Err_Message2,VLOOKUP(C589&amp;TableCosts[[#This Row],[Calc_N_Typ]],TRAN_STRITEMS_LABEL,5,FALSE))),"")</f>
        <v/>
      </c>
      <c r="G589" s="31">
        <f t="shared" si="132"/>
        <v>0</v>
      </c>
      <c r="H589" s="31" t="str">
        <f>IF(G589=1,IFERROR(VLOOKUP(F589,Tab_ErrMessage[],2,0),VLOOKUP(C589&amp;TableCosts[[#This Row],[Calc_N_Typ]],TRAN_STRITEMS_LABEL,4,FALSE)),"")</f>
        <v/>
      </c>
      <c r="I589" s="94"/>
      <c r="J589" s="94"/>
      <c r="K589" s="94"/>
      <c r="L589" s="84"/>
      <c r="M589" s="84"/>
      <c r="N589" s="84"/>
      <c r="O589" s="84"/>
      <c r="P589" s="84"/>
      <c r="Q589" s="84"/>
      <c r="R589" s="84"/>
      <c r="S589" s="84"/>
      <c r="T589" s="84"/>
      <c r="U589" s="84"/>
      <c r="V589" s="84"/>
      <c r="W589" s="84"/>
      <c r="X589" s="84"/>
      <c r="Y589" s="84"/>
      <c r="Z589" s="84"/>
      <c r="AA589" s="84"/>
      <c r="AB589" s="84"/>
      <c r="AC589" s="84"/>
      <c r="AD589" s="84"/>
      <c r="AE589" s="84"/>
      <c r="AF589" s="84"/>
      <c r="AG589" s="84"/>
      <c r="AH589" s="84"/>
      <c r="AI589" s="84"/>
      <c r="AJ589" s="84"/>
      <c r="AK589" s="84"/>
      <c r="AL589" s="84"/>
      <c r="AM589" s="84"/>
      <c r="AN589" s="84"/>
      <c r="AO589" s="84"/>
      <c r="AP589" s="84"/>
      <c r="AQ589" s="84"/>
      <c r="AR589" s="84"/>
      <c r="AS589" s="84"/>
      <c r="AT589" s="84"/>
      <c r="AU589" s="84"/>
      <c r="AV589" s="84"/>
      <c r="AW589" s="84"/>
      <c r="AX589" s="87">
        <f t="array" ref="AX589">IF(G589=1,SUM((ROW(M0)=ROW(AW589))*(M0+M1_+M2_+M3_+M4_+M5_+M6_+M7_+M8_+M9_+M10_+M11_+M12_+M13_+M14_+M15_+M16_+M17_+M18_+M19_+M20_+M21_+M22_+M23_+M24_+M25_+M26_+M27_+M28_+M29_+M30_+M31_+M32_+M33_+M34_+M35_+M36_+M37_)),0)</f>
        <v>0</v>
      </c>
      <c r="AZ589" s="24" t="str">
        <f t="shared" si="133"/>
        <v/>
      </c>
      <c r="BA589" s="24" t="str">
        <f t="shared" si="134"/>
        <v/>
      </c>
      <c r="BB589" s="24" t="str">
        <f t="shared" si="135"/>
        <v/>
      </c>
      <c r="BC589" s="24" t="str">
        <f>IF(OR(E589="",LEFT(TableCosts[[#This Row],[Calc_N_Typ]],18)="Vynaložené náklady"),"",VLOOKUP(E589,Tab_Parts,2,0))</f>
        <v/>
      </c>
      <c r="BD589" s="24" t="str">
        <f t="shared" si="136"/>
        <v/>
      </c>
      <c r="BE589" s="24">
        <f t="shared" si="137"/>
        <v>0</v>
      </c>
      <c r="BF589" s="72">
        <f>TableCosts[[#This Row],[N_Amount]]*TableCosts[[#This Row],[N_Tariff]]*TableCosts[[#This Row],[N_ItemsCount]]</f>
        <v>0</v>
      </c>
      <c r="BG589" s="72">
        <f>IF(G589=1,IF(TableCosts[[#This Row],[N_Kateg]]="interné práce",TableCosts[[#This Row],[N_Amount]]*8*PAR_SGA_PERHOUR,0),0)</f>
        <v>0</v>
      </c>
      <c r="BH589" s="72">
        <f>SUM(TableCosts[[#This Row],[N_Direct]:[N_SGA]])</f>
        <v>0</v>
      </c>
      <c r="BI589" s="24">
        <f>IF(G589=1,IF(OR(AND(NOT(ISERROR(VLOOKUP(TableCosts[[#This Row],[Calc_N_Typ]],Cis_WorkPositions,1,0))),C589&lt;&gt;"",D589&lt;&gt;"",E589&lt;&gt;""),AND(ISERROR(VLOOKUP(TableCosts[[#This Row],[Calc_N_Typ]],Cis_WorkPositions,1,0)),C589="",D589="",E589&lt;&gt;""),LEFT(TableCosts[[#This Row],[Calc_N_Typ]],18)="Vynaložené náklady"),VLOOKUP(C589&amp;TableCosts[[#This Row],[Calc_N_Typ]],TRAN_STRITEMS_LABEL,VLOOKUP(D589,Tab_Hours,3,0),0),NA()),0)</f>
        <v>0</v>
      </c>
      <c r="BJ589" s="24">
        <f t="shared" si="138"/>
        <v>0</v>
      </c>
      <c r="BK589" s="24" t="str">
        <f t="shared" si="139"/>
        <v/>
      </c>
      <c r="BL589" s="24" t="str">
        <f t="shared" si="140"/>
        <v/>
      </c>
      <c r="BM589" s="24" t="str">
        <f>IF(G589=1,IF(TableCosts[[#This Row],[TransferFrom]]=TableCosts[[#This Row],[TranferTo]],0,1),"")</f>
        <v/>
      </c>
      <c r="BN589" s="24" t="str">
        <f t="shared" si="141"/>
        <v/>
      </c>
      <c r="BO589" s="24">
        <f t="shared" si="142"/>
        <v>0</v>
      </c>
      <c r="BP589" s="24">
        <f t="shared" si="143"/>
        <v>0</v>
      </c>
    </row>
    <row r="590" spans="2:68" s="24" customFormat="1" ht="12.75" x14ac:dyDescent="0.2">
      <c r="B590" s="97"/>
      <c r="C590" s="92"/>
      <c r="D590" s="92"/>
      <c r="E590" s="92"/>
      <c r="F590" s="31" t="str">
        <f>IF(G590=1,IF(ISERROR(TableCosts[[#This Row],[N_Tariff]]),Err_Message1,IF(TableCosts[[#This Row],[N_Tariff]]=0,Err_Message2,VLOOKUP(C590&amp;TableCosts[[#This Row],[Calc_N_Typ]],TRAN_STRITEMS_LABEL,5,FALSE))),"")</f>
        <v/>
      </c>
      <c r="G590" s="31">
        <f t="shared" si="132"/>
        <v>0</v>
      </c>
      <c r="H590" s="31" t="str">
        <f>IF(G590=1,IFERROR(VLOOKUP(F590,Tab_ErrMessage[],2,0),VLOOKUP(C590&amp;TableCosts[[#This Row],[Calc_N_Typ]],TRAN_STRITEMS_LABEL,4,FALSE)),"")</f>
        <v/>
      </c>
      <c r="I590" s="94"/>
      <c r="J590" s="94"/>
      <c r="K590" s="94"/>
      <c r="L590" s="84"/>
      <c r="M590" s="84"/>
      <c r="N590" s="84"/>
      <c r="O590" s="84"/>
      <c r="P590" s="84"/>
      <c r="Q590" s="84"/>
      <c r="R590" s="84"/>
      <c r="S590" s="84"/>
      <c r="T590" s="84"/>
      <c r="U590" s="84"/>
      <c r="V590" s="84"/>
      <c r="W590" s="84"/>
      <c r="X590" s="84"/>
      <c r="Y590" s="84"/>
      <c r="Z590" s="84"/>
      <c r="AA590" s="84"/>
      <c r="AB590" s="84"/>
      <c r="AC590" s="84"/>
      <c r="AD590" s="84"/>
      <c r="AE590" s="84"/>
      <c r="AF590" s="84"/>
      <c r="AG590" s="84"/>
      <c r="AH590" s="84"/>
      <c r="AI590" s="84"/>
      <c r="AJ590" s="84"/>
      <c r="AK590" s="84"/>
      <c r="AL590" s="84"/>
      <c r="AM590" s="84"/>
      <c r="AN590" s="84"/>
      <c r="AO590" s="84"/>
      <c r="AP590" s="84"/>
      <c r="AQ590" s="84"/>
      <c r="AR590" s="84"/>
      <c r="AS590" s="84"/>
      <c r="AT590" s="84"/>
      <c r="AU590" s="84"/>
      <c r="AV590" s="84"/>
      <c r="AW590" s="84"/>
      <c r="AX590" s="87">
        <f t="array" ref="AX590">IF(G590=1,SUM((ROW(M0)=ROW(AW590))*(M0+M1_+M2_+M3_+M4_+M5_+M6_+M7_+M8_+M9_+M10_+M11_+M12_+M13_+M14_+M15_+M16_+M17_+M18_+M19_+M20_+M21_+M22_+M23_+M24_+M25_+M26_+M27_+M28_+M29_+M30_+M31_+M32_+M33_+M34_+M35_+M36_+M37_)),0)</f>
        <v>0</v>
      </c>
      <c r="AZ590" s="24" t="str">
        <f t="shared" si="133"/>
        <v/>
      </c>
      <c r="BA590" s="24" t="str">
        <f t="shared" si="134"/>
        <v/>
      </c>
      <c r="BB590" s="24" t="str">
        <f t="shared" si="135"/>
        <v/>
      </c>
      <c r="BC590" s="24" t="str">
        <f>IF(OR(E590="",LEFT(TableCosts[[#This Row],[Calc_N_Typ]],18)="Vynaložené náklady"),"",VLOOKUP(E590,Tab_Parts,2,0))</f>
        <v/>
      </c>
      <c r="BD590" s="24" t="str">
        <f t="shared" si="136"/>
        <v/>
      </c>
      <c r="BE590" s="24">
        <f t="shared" si="137"/>
        <v>0</v>
      </c>
      <c r="BF590" s="72">
        <f>TableCosts[[#This Row],[N_Amount]]*TableCosts[[#This Row],[N_Tariff]]*TableCosts[[#This Row],[N_ItemsCount]]</f>
        <v>0</v>
      </c>
      <c r="BG590" s="72">
        <f>IF(G590=1,IF(TableCosts[[#This Row],[N_Kateg]]="interné práce",TableCosts[[#This Row],[N_Amount]]*8*PAR_SGA_PERHOUR,0),0)</f>
        <v>0</v>
      </c>
      <c r="BH590" s="72">
        <f>SUM(TableCosts[[#This Row],[N_Direct]:[N_SGA]])</f>
        <v>0</v>
      </c>
      <c r="BI590" s="24">
        <f>IF(G590=1,IF(OR(AND(NOT(ISERROR(VLOOKUP(TableCosts[[#This Row],[Calc_N_Typ]],Cis_WorkPositions,1,0))),C590&lt;&gt;"",D590&lt;&gt;"",E590&lt;&gt;""),AND(ISERROR(VLOOKUP(TableCosts[[#This Row],[Calc_N_Typ]],Cis_WorkPositions,1,0)),C590="",D590="",E590&lt;&gt;""),LEFT(TableCosts[[#This Row],[Calc_N_Typ]],18)="Vynaložené náklady"),VLOOKUP(C590&amp;TableCosts[[#This Row],[Calc_N_Typ]],TRAN_STRITEMS_LABEL,VLOOKUP(D590,Tab_Hours,3,0),0),NA()),0)</f>
        <v>0</v>
      </c>
      <c r="BJ590" s="24">
        <f t="shared" si="138"/>
        <v>0</v>
      </c>
      <c r="BK590" s="24" t="str">
        <f t="shared" si="139"/>
        <v/>
      </c>
      <c r="BL590" s="24" t="str">
        <f t="shared" si="140"/>
        <v/>
      </c>
      <c r="BM590" s="24" t="str">
        <f>IF(G590=1,IF(TableCosts[[#This Row],[TransferFrom]]=TableCosts[[#This Row],[TranferTo]],0,1),"")</f>
        <v/>
      </c>
      <c r="BN590" s="24" t="str">
        <f t="shared" si="141"/>
        <v/>
      </c>
      <c r="BO590" s="24">
        <f t="shared" si="142"/>
        <v>0</v>
      </c>
      <c r="BP590" s="24">
        <f t="shared" si="143"/>
        <v>0</v>
      </c>
    </row>
    <row r="591" spans="2:68" s="24" customFormat="1" ht="12.75" x14ac:dyDescent="0.2">
      <c r="B591" s="97"/>
      <c r="C591" s="92"/>
      <c r="D591" s="92"/>
      <c r="E591" s="92"/>
      <c r="F591" s="31" t="str">
        <f>IF(G591=1,IF(ISERROR(TableCosts[[#This Row],[N_Tariff]]),Err_Message1,IF(TableCosts[[#This Row],[N_Tariff]]=0,Err_Message2,VLOOKUP(C591&amp;TableCosts[[#This Row],[Calc_N_Typ]],TRAN_STRITEMS_LABEL,5,FALSE))),"")</f>
        <v/>
      </c>
      <c r="G591" s="31">
        <f t="shared" si="132"/>
        <v>0</v>
      </c>
      <c r="H591" s="31" t="str">
        <f>IF(G591=1,IFERROR(VLOOKUP(F591,Tab_ErrMessage[],2,0),VLOOKUP(C591&amp;TableCosts[[#This Row],[Calc_N_Typ]],TRAN_STRITEMS_LABEL,4,FALSE)),"")</f>
        <v/>
      </c>
      <c r="I591" s="94"/>
      <c r="J591" s="94"/>
      <c r="K591" s="94"/>
      <c r="L591" s="84"/>
      <c r="M591" s="84"/>
      <c r="N591" s="84"/>
      <c r="O591" s="84"/>
      <c r="P591" s="84"/>
      <c r="Q591" s="84"/>
      <c r="R591" s="84"/>
      <c r="S591" s="84"/>
      <c r="T591" s="84"/>
      <c r="U591" s="84"/>
      <c r="V591" s="84"/>
      <c r="W591" s="84"/>
      <c r="X591" s="84"/>
      <c r="Y591" s="84"/>
      <c r="Z591" s="84"/>
      <c r="AA591" s="84"/>
      <c r="AB591" s="84"/>
      <c r="AC591" s="84"/>
      <c r="AD591" s="84"/>
      <c r="AE591" s="84"/>
      <c r="AF591" s="84"/>
      <c r="AG591" s="84"/>
      <c r="AH591" s="84"/>
      <c r="AI591" s="84"/>
      <c r="AJ591" s="84"/>
      <c r="AK591" s="84"/>
      <c r="AL591" s="84"/>
      <c r="AM591" s="84"/>
      <c r="AN591" s="84"/>
      <c r="AO591" s="84"/>
      <c r="AP591" s="84"/>
      <c r="AQ591" s="84"/>
      <c r="AR591" s="84"/>
      <c r="AS591" s="84"/>
      <c r="AT591" s="84"/>
      <c r="AU591" s="84"/>
      <c r="AV591" s="84"/>
      <c r="AW591" s="84"/>
      <c r="AX591" s="87">
        <f t="array" ref="AX591">IF(G591=1,SUM((ROW(M0)=ROW(AW591))*(M0+M1_+M2_+M3_+M4_+M5_+M6_+M7_+M8_+M9_+M10_+M11_+M12_+M13_+M14_+M15_+M16_+M17_+M18_+M19_+M20_+M21_+M22_+M23_+M24_+M25_+M26_+M27_+M28_+M29_+M30_+M31_+M32_+M33_+M34_+M35_+M36_+M37_)),0)</f>
        <v>0</v>
      </c>
      <c r="AZ591" s="24" t="str">
        <f t="shared" si="133"/>
        <v/>
      </c>
      <c r="BA591" s="24" t="str">
        <f t="shared" si="134"/>
        <v/>
      </c>
      <c r="BB591" s="24" t="str">
        <f t="shared" si="135"/>
        <v/>
      </c>
      <c r="BC591" s="24" t="str">
        <f>IF(OR(E591="",LEFT(TableCosts[[#This Row],[Calc_N_Typ]],18)="Vynaložené náklady"),"",VLOOKUP(E591,Tab_Parts,2,0))</f>
        <v/>
      </c>
      <c r="BD591" s="24" t="str">
        <f t="shared" si="136"/>
        <v/>
      </c>
      <c r="BE591" s="24">
        <f t="shared" si="137"/>
        <v>0</v>
      </c>
      <c r="BF591" s="72">
        <f>TableCosts[[#This Row],[N_Amount]]*TableCosts[[#This Row],[N_Tariff]]*TableCosts[[#This Row],[N_ItemsCount]]</f>
        <v>0</v>
      </c>
      <c r="BG591" s="72">
        <f>IF(G591=1,IF(TableCosts[[#This Row],[N_Kateg]]="interné práce",TableCosts[[#This Row],[N_Amount]]*8*PAR_SGA_PERHOUR,0),0)</f>
        <v>0</v>
      </c>
      <c r="BH591" s="72">
        <f>SUM(TableCosts[[#This Row],[N_Direct]:[N_SGA]])</f>
        <v>0</v>
      </c>
      <c r="BI591" s="24">
        <f>IF(G591=1,IF(OR(AND(NOT(ISERROR(VLOOKUP(TableCosts[[#This Row],[Calc_N_Typ]],Cis_WorkPositions,1,0))),C591&lt;&gt;"",D591&lt;&gt;"",E591&lt;&gt;""),AND(ISERROR(VLOOKUP(TableCosts[[#This Row],[Calc_N_Typ]],Cis_WorkPositions,1,0)),C591="",D591="",E591&lt;&gt;""),LEFT(TableCosts[[#This Row],[Calc_N_Typ]],18)="Vynaložené náklady"),VLOOKUP(C591&amp;TableCosts[[#This Row],[Calc_N_Typ]],TRAN_STRITEMS_LABEL,VLOOKUP(D591,Tab_Hours,3,0),0),NA()),0)</f>
        <v>0</v>
      </c>
      <c r="BJ591" s="24">
        <f t="shared" si="138"/>
        <v>0</v>
      </c>
      <c r="BK591" s="24" t="str">
        <f t="shared" si="139"/>
        <v/>
      </c>
      <c r="BL591" s="24" t="str">
        <f t="shared" si="140"/>
        <v/>
      </c>
      <c r="BM591" s="24" t="str">
        <f>IF(G591=1,IF(TableCosts[[#This Row],[TransferFrom]]=TableCosts[[#This Row],[TranferTo]],0,1),"")</f>
        <v/>
      </c>
      <c r="BN591" s="24" t="str">
        <f t="shared" si="141"/>
        <v/>
      </c>
      <c r="BO591" s="24">
        <f t="shared" si="142"/>
        <v>0</v>
      </c>
      <c r="BP591" s="24">
        <f t="shared" si="143"/>
        <v>0</v>
      </c>
    </row>
    <row r="592" spans="2:68" s="24" customFormat="1" ht="12.75" x14ac:dyDescent="0.2">
      <c r="B592" s="97"/>
      <c r="C592" s="92"/>
      <c r="D592" s="92"/>
      <c r="E592" s="92"/>
      <c r="F592" s="31" t="str">
        <f>IF(G592=1,IF(ISERROR(TableCosts[[#This Row],[N_Tariff]]),Err_Message1,IF(TableCosts[[#This Row],[N_Tariff]]=0,Err_Message2,VLOOKUP(C592&amp;TableCosts[[#This Row],[Calc_N_Typ]],TRAN_STRITEMS_LABEL,5,FALSE))),"")</f>
        <v/>
      </c>
      <c r="G592" s="31">
        <f t="shared" si="132"/>
        <v>0</v>
      </c>
      <c r="H592" s="31" t="str">
        <f>IF(G592=1,IFERROR(VLOOKUP(F592,Tab_ErrMessage[],2,0),VLOOKUP(C592&amp;TableCosts[[#This Row],[Calc_N_Typ]],TRAN_STRITEMS_LABEL,4,FALSE)),"")</f>
        <v/>
      </c>
      <c r="I592" s="94"/>
      <c r="J592" s="94"/>
      <c r="K592" s="94"/>
      <c r="L592" s="84"/>
      <c r="M592" s="84"/>
      <c r="N592" s="84"/>
      <c r="O592" s="84"/>
      <c r="P592" s="84"/>
      <c r="Q592" s="84"/>
      <c r="R592" s="84"/>
      <c r="S592" s="84"/>
      <c r="T592" s="84"/>
      <c r="U592" s="84"/>
      <c r="V592" s="84"/>
      <c r="W592" s="84"/>
      <c r="X592" s="84"/>
      <c r="Y592" s="84"/>
      <c r="Z592" s="84"/>
      <c r="AA592" s="84"/>
      <c r="AB592" s="84"/>
      <c r="AC592" s="84"/>
      <c r="AD592" s="84"/>
      <c r="AE592" s="84"/>
      <c r="AF592" s="84"/>
      <c r="AG592" s="84"/>
      <c r="AH592" s="84"/>
      <c r="AI592" s="84"/>
      <c r="AJ592" s="84"/>
      <c r="AK592" s="84"/>
      <c r="AL592" s="84"/>
      <c r="AM592" s="84"/>
      <c r="AN592" s="84"/>
      <c r="AO592" s="84"/>
      <c r="AP592" s="84"/>
      <c r="AQ592" s="84"/>
      <c r="AR592" s="84"/>
      <c r="AS592" s="84"/>
      <c r="AT592" s="84"/>
      <c r="AU592" s="84"/>
      <c r="AV592" s="84"/>
      <c r="AW592" s="84"/>
      <c r="AX592" s="87">
        <f t="array" ref="AX592">IF(G592=1,SUM((ROW(M0)=ROW(AW592))*(M0+M1_+M2_+M3_+M4_+M5_+M6_+M7_+M8_+M9_+M10_+M11_+M12_+M13_+M14_+M15_+M16_+M17_+M18_+M19_+M20_+M21_+M22_+M23_+M24_+M25_+M26_+M27_+M28_+M29_+M30_+M31_+M32_+M33_+M34_+M35_+M36_+M37_)),0)</f>
        <v>0</v>
      </c>
      <c r="AZ592" s="24" t="str">
        <f t="shared" si="133"/>
        <v/>
      </c>
      <c r="BA592" s="24" t="str">
        <f t="shared" si="134"/>
        <v/>
      </c>
      <c r="BB592" s="24" t="str">
        <f t="shared" si="135"/>
        <v/>
      </c>
      <c r="BC592" s="24" t="str">
        <f>IF(OR(E592="",LEFT(TableCosts[[#This Row],[Calc_N_Typ]],18)="Vynaložené náklady"),"",VLOOKUP(E592,Tab_Parts,2,0))</f>
        <v/>
      </c>
      <c r="BD592" s="24" t="str">
        <f t="shared" si="136"/>
        <v/>
      </c>
      <c r="BE592" s="24">
        <f t="shared" si="137"/>
        <v>0</v>
      </c>
      <c r="BF592" s="72">
        <f>TableCosts[[#This Row],[N_Amount]]*TableCosts[[#This Row],[N_Tariff]]*TableCosts[[#This Row],[N_ItemsCount]]</f>
        <v>0</v>
      </c>
      <c r="BG592" s="72">
        <f>IF(G592=1,IF(TableCosts[[#This Row],[N_Kateg]]="interné práce",TableCosts[[#This Row],[N_Amount]]*8*PAR_SGA_PERHOUR,0),0)</f>
        <v>0</v>
      </c>
      <c r="BH592" s="72">
        <f>SUM(TableCosts[[#This Row],[N_Direct]:[N_SGA]])</f>
        <v>0</v>
      </c>
      <c r="BI592" s="24">
        <f>IF(G592=1,IF(OR(AND(NOT(ISERROR(VLOOKUP(TableCosts[[#This Row],[Calc_N_Typ]],Cis_WorkPositions,1,0))),C592&lt;&gt;"",D592&lt;&gt;"",E592&lt;&gt;""),AND(ISERROR(VLOOKUP(TableCosts[[#This Row],[Calc_N_Typ]],Cis_WorkPositions,1,0)),C592="",D592="",E592&lt;&gt;""),LEFT(TableCosts[[#This Row],[Calc_N_Typ]],18)="Vynaložené náklady"),VLOOKUP(C592&amp;TableCosts[[#This Row],[Calc_N_Typ]],TRAN_STRITEMS_LABEL,VLOOKUP(D592,Tab_Hours,3,0),0),NA()),0)</f>
        <v>0</v>
      </c>
      <c r="BJ592" s="24">
        <f t="shared" si="138"/>
        <v>0</v>
      </c>
      <c r="BK592" s="24" t="str">
        <f t="shared" si="139"/>
        <v/>
      </c>
      <c r="BL592" s="24" t="str">
        <f t="shared" si="140"/>
        <v/>
      </c>
      <c r="BM592" s="24" t="str">
        <f>IF(G592=1,IF(TableCosts[[#This Row],[TransferFrom]]=TableCosts[[#This Row],[TranferTo]],0,1),"")</f>
        <v/>
      </c>
      <c r="BN592" s="24" t="str">
        <f t="shared" si="141"/>
        <v/>
      </c>
      <c r="BO592" s="24">
        <f t="shared" si="142"/>
        <v>0</v>
      </c>
      <c r="BP592" s="24">
        <f t="shared" si="143"/>
        <v>0</v>
      </c>
    </row>
    <row r="593" spans="2:68" s="24" customFormat="1" ht="12.75" x14ac:dyDescent="0.2">
      <c r="B593" s="97"/>
      <c r="C593" s="92"/>
      <c r="D593" s="92"/>
      <c r="E593" s="92"/>
      <c r="F593" s="31" t="str">
        <f>IF(G593=1,IF(ISERROR(TableCosts[[#This Row],[N_Tariff]]),Err_Message1,IF(TableCosts[[#This Row],[N_Tariff]]=0,Err_Message2,VLOOKUP(C593&amp;TableCosts[[#This Row],[Calc_N_Typ]],TRAN_STRITEMS_LABEL,5,FALSE))),"")</f>
        <v/>
      </c>
      <c r="G593" s="31">
        <f t="shared" si="132"/>
        <v>0</v>
      </c>
      <c r="H593" s="31" t="str">
        <f>IF(G593=1,IFERROR(VLOOKUP(F593,Tab_ErrMessage[],2,0),VLOOKUP(C593&amp;TableCosts[[#This Row],[Calc_N_Typ]],TRAN_STRITEMS_LABEL,4,FALSE)),"")</f>
        <v/>
      </c>
      <c r="I593" s="94"/>
      <c r="J593" s="94"/>
      <c r="K593" s="94"/>
      <c r="L593" s="84"/>
      <c r="M593" s="84"/>
      <c r="N593" s="84"/>
      <c r="O593" s="84"/>
      <c r="P593" s="84"/>
      <c r="Q593" s="84"/>
      <c r="R593" s="84"/>
      <c r="S593" s="84"/>
      <c r="T593" s="84"/>
      <c r="U593" s="84"/>
      <c r="V593" s="84"/>
      <c r="W593" s="84"/>
      <c r="X593" s="84"/>
      <c r="Y593" s="84"/>
      <c r="Z593" s="84"/>
      <c r="AA593" s="84"/>
      <c r="AB593" s="84"/>
      <c r="AC593" s="84"/>
      <c r="AD593" s="84"/>
      <c r="AE593" s="84"/>
      <c r="AF593" s="84"/>
      <c r="AG593" s="84"/>
      <c r="AH593" s="84"/>
      <c r="AI593" s="84"/>
      <c r="AJ593" s="84"/>
      <c r="AK593" s="84"/>
      <c r="AL593" s="84"/>
      <c r="AM593" s="84"/>
      <c r="AN593" s="84"/>
      <c r="AO593" s="84"/>
      <c r="AP593" s="84"/>
      <c r="AQ593" s="84"/>
      <c r="AR593" s="84"/>
      <c r="AS593" s="84"/>
      <c r="AT593" s="84"/>
      <c r="AU593" s="84"/>
      <c r="AV593" s="84"/>
      <c r="AW593" s="84"/>
      <c r="AX593" s="87">
        <f t="array" ref="AX593">IF(G593=1,SUM((ROW(M0)=ROW(AW593))*(M0+M1_+M2_+M3_+M4_+M5_+M6_+M7_+M8_+M9_+M10_+M11_+M12_+M13_+M14_+M15_+M16_+M17_+M18_+M19_+M20_+M21_+M22_+M23_+M24_+M25_+M26_+M27_+M28_+M29_+M30_+M31_+M32_+M33_+M34_+M35_+M36_+M37_)),0)</f>
        <v>0</v>
      </c>
      <c r="AZ593" s="24" t="str">
        <f t="shared" si="133"/>
        <v/>
      </c>
      <c r="BA593" s="24" t="str">
        <f t="shared" si="134"/>
        <v/>
      </c>
      <c r="BB593" s="24" t="str">
        <f t="shared" si="135"/>
        <v/>
      </c>
      <c r="BC593" s="24" t="str">
        <f>IF(OR(E593="",LEFT(TableCosts[[#This Row],[Calc_N_Typ]],18)="Vynaložené náklady"),"",VLOOKUP(E593,Tab_Parts,2,0))</f>
        <v/>
      </c>
      <c r="BD593" s="24" t="str">
        <f t="shared" si="136"/>
        <v/>
      </c>
      <c r="BE593" s="24">
        <f t="shared" si="137"/>
        <v>0</v>
      </c>
      <c r="BF593" s="72">
        <f>TableCosts[[#This Row],[N_Amount]]*TableCosts[[#This Row],[N_Tariff]]*TableCosts[[#This Row],[N_ItemsCount]]</f>
        <v>0</v>
      </c>
      <c r="BG593" s="72">
        <f>IF(G593=1,IF(TableCosts[[#This Row],[N_Kateg]]="interné práce",TableCosts[[#This Row],[N_Amount]]*8*PAR_SGA_PERHOUR,0),0)</f>
        <v>0</v>
      </c>
      <c r="BH593" s="72">
        <f>SUM(TableCosts[[#This Row],[N_Direct]:[N_SGA]])</f>
        <v>0</v>
      </c>
      <c r="BI593" s="24">
        <f>IF(G593=1,IF(OR(AND(NOT(ISERROR(VLOOKUP(TableCosts[[#This Row],[Calc_N_Typ]],Cis_WorkPositions,1,0))),C593&lt;&gt;"",D593&lt;&gt;"",E593&lt;&gt;""),AND(ISERROR(VLOOKUP(TableCosts[[#This Row],[Calc_N_Typ]],Cis_WorkPositions,1,0)),C593="",D593="",E593&lt;&gt;""),LEFT(TableCosts[[#This Row],[Calc_N_Typ]],18)="Vynaložené náklady"),VLOOKUP(C593&amp;TableCosts[[#This Row],[Calc_N_Typ]],TRAN_STRITEMS_LABEL,VLOOKUP(D593,Tab_Hours,3,0),0),NA()),0)</f>
        <v>0</v>
      </c>
      <c r="BJ593" s="24">
        <f t="shared" si="138"/>
        <v>0</v>
      </c>
      <c r="BK593" s="24" t="str">
        <f t="shared" si="139"/>
        <v/>
      </c>
      <c r="BL593" s="24" t="str">
        <f t="shared" si="140"/>
        <v/>
      </c>
      <c r="BM593" s="24" t="str">
        <f>IF(G593=1,IF(TableCosts[[#This Row],[TransferFrom]]=TableCosts[[#This Row],[TranferTo]],0,1),"")</f>
        <v/>
      </c>
      <c r="BN593" s="24" t="str">
        <f t="shared" si="141"/>
        <v/>
      </c>
      <c r="BO593" s="24">
        <f t="shared" si="142"/>
        <v>0</v>
      </c>
      <c r="BP593" s="24">
        <f t="shared" si="143"/>
        <v>0</v>
      </c>
    </row>
    <row r="594" spans="2:68" s="24" customFormat="1" ht="12.75" x14ac:dyDescent="0.2">
      <c r="B594" s="97"/>
      <c r="C594" s="92"/>
      <c r="D594" s="92"/>
      <c r="E594" s="92"/>
      <c r="F594" s="31" t="str">
        <f>IF(G594=1,IF(ISERROR(TableCosts[[#This Row],[N_Tariff]]),Err_Message1,IF(TableCosts[[#This Row],[N_Tariff]]=0,Err_Message2,VLOOKUP(C594&amp;TableCosts[[#This Row],[Calc_N_Typ]],TRAN_STRITEMS_LABEL,5,FALSE))),"")</f>
        <v/>
      </c>
      <c r="G594" s="31">
        <f t="shared" si="132"/>
        <v>0</v>
      </c>
      <c r="H594" s="31" t="str">
        <f>IF(G594=1,IFERROR(VLOOKUP(F594,Tab_ErrMessage[],2,0),VLOOKUP(C594&amp;TableCosts[[#This Row],[Calc_N_Typ]],TRAN_STRITEMS_LABEL,4,FALSE)),"")</f>
        <v/>
      </c>
      <c r="I594" s="94"/>
      <c r="J594" s="94"/>
      <c r="K594" s="94"/>
      <c r="L594" s="84"/>
      <c r="M594" s="84"/>
      <c r="N594" s="84"/>
      <c r="O594" s="84"/>
      <c r="P594" s="84"/>
      <c r="Q594" s="84"/>
      <c r="R594" s="84"/>
      <c r="S594" s="84"/>
      <c r="T594" s="84"/>
      <c r="U594" s="84"/>
      <c r="V594" s="84"/>
      <c r="W594" s="84"/>
      <c r="X594" s="84"/>
      <c r="Y594" s="84"/>
      <c r="Z594" s="84"/>
      <c r="AA594" s="84"/>
      <c r="AB594" s="84"/>
      <c r="AC594" s="84"/>
      <c r="AD594" s="84"/>
      <c r="AE594" s="84"/>
      <c r="AF594" s="84"/>
      <c r="AG594" s="84"/>
      <c r="AH594" s="84"/>
      <c r="AI594" s="84"/>
      <c r="AJ594" s="84"/>
      <c r="AK594" s="84"/>
      <c r="AL594" s="84"/>
      <c r="AM594" s="84"/>
      <c r="AN594" s="84"/>
      <c r="AO594" s="84"/>
      <c r="AP594" s="84"/>
      <c r="AQ594" s="84"/>
      <c r="AR594" s="84"/>
      <c r="AS594" s="84"/>
      <c r="AT594" s="84"/>
      <c r="AU594" s="84"/>
      <c r="AV594" s="84"/>
      <c r="AW594" s="84"/>
      <c r="AX594" s="87">
        <f t="array" ref="AX594">IF(G594=1,SUM((ROW(M0)=ROW(AW594))*(M0+M1_+M2_+M3_+M4_+M5_+M6_+M7_+M8_+M9_+M10_+M11_+M12_+M13_+M14_+M15_+M16_+M17_+M18_+M19_+M20_+M21_+M22_+M23_+M24_+M25_+M26_+M27_+M28_+M29_+M30_+M31_+M32_+M33_+M34_+M35_+M36_+M37_)),0)</f>
        <v>0</v>
      </c>
      <c r="AZ594" s="24" t="str">
        <f t="shared" si="133"/>
        <v/>
      </c>
      <c r="BA594" s="24" t="str">
        <f t="shared" si="134"/>
        <v/>
      </c>
      <c r="BB594" s="24" t="str">
        <f t="shared" si="135"/>
        <v/>
      </c>
      <c r="BC594" s="24" t="str">
        <f>IF(OR(E594="",LEFT(TableCosts[[#This Row],[Calc_N_Typ]],18)="Vynaložené náklady"),"",VLOOKUP(E594,Tab_Parts,2,0))</f>
        <v/>
      </c>
      <c r="BD594" s="24" t="str">
        <f t="shared" si="136"/>
        <v/>
      </c>
      <c r="BE594" s="24">
        <f t="shared" si="137"/>
        <v>0</v>
      </c>
      <c r="BF594" s="72">
        <f>TableCosts[[#This Row],[N_Amount]]*TableCosts[[#This Row],[N_Tariff]]*TableCosts[[#This Row],[N_ItemsCount]]</f>
        <v>0</v>
      </c>
      <c r="BG594" s="72">
        <f>IF(G594=1,IF(TableCosts[[#This Row],[N_Kateg]]="interné práce",TableCosts[[#This Row],[N_Amount]]*8*PAR_SGA_PERHOUR,0),0)</f>
        <v>0</v>
      </c>
      <c r="BH594" s="72">
        <f>SUM(TableCosts[[#This Row],[N_Direct]:[N_SGA]])</f>
        <v>0</v>
      </c>
      <c r="BI594" s="24">
        <f>IF(G594=1,IF(OR(AND(NOT(ISERROR(VLOOKUP(TableCosts[[#This Row],[Calc_N_Typ]],Cis_WorkPositions,1,0))),C594&lt;&gt;"",D594&lt;&gt;"",E594&lt;&gt;""),AND(ISERROR(VLOOKUP(TableCosts[[#This Row],[Calc_N_Typ]],Cis_WorkPositions,1,0)),C594="",D594="",E594&lt;&gt;""),LEFT(TableCosts[[#This Row],[Calc_N_Typ]],18)="Vynaložené náklady"),VLOOKUP(C594&amp;TableCosts[[#This Row],[Calc_N_Typ]],TRAN_STRITEMS_LABEL,VLOOKUP(D594,Tab_Hours,3,0),0),NA()),0)</f>
        <v>0</v>
      </c>
      <c r="BJ594" s="24">
        <f t="shared" si="138"/>
        <v>0</v>
      </c>
      <c r="BK594" s="24" t="str">
        <f t="shared" si="139"/>
        <v/>
      </c>
      <c r="BL594" s="24" t="str">
        <f t="shared" si="140"/>
        <v/>
      </c>
      <c r="BM594" s="24" t="str">
        <f>IF(G594=1,IF(TableCosts[[#This Row],[TransferFrom]]=TableCosts[[#This Row],[TranferTo]],0,1),"")</f>
        <v/>
      </c>
      <c r="BN594" s="24" t="str">
        <f t="shared" si="141"/>
        <v/>
      </c>
      <c r="BO594" s="24">
        <f t="shared" si="142"/>
        <v>0</v>
      </c>
      <c r="BP594" s="24">
        <f t="shared" si="143"/>
        <v>0</v>
      </c>
    </row>
    <row r="595" spans="2:68" s="24" customFormat="1" ht="12.75" x14ac:dyDescent="0.2">
      <c r="B595" s="97"/>
      <c r="C595" s="92"/>
      <c r="D595" s="92"/>
      <c r="E595" s="92"/>
      <c r="F595" s="31" t="str">
        <f>IF(G595=1,IF(ISERROR(TableCosts[[#This Row],[N_Tariff]]),Err_Message1,IF(TableCosts[[#This Row],[N_Tariff]]=0,Err_Message2,VLOOKUP(C595&amp;TableCosts[[#This Row],[Calc_N_Typ]],TRAN_STRITEMS_LABEL,5,FALSE))),"")</f>
        <v/>
      </c>
      <c r="G595" s="31">
        <f t="shared" si="132"/>
        <v>0</v>
      </c>
      <c r="H595" s="31" t="str">
        <f>IF(G595=1,IFERROR(VLOOKUP(F595,Tab_ErrMessage[],2,0),VLOOKUP(C595&amp;TableCosts[[#This Row],[Calc_N_Typ]],TRAN_STRITEMS_LABEL,4,FALSE)),"")</f>
        <v/>
      </c>
      <c r="I595" s="94"/>
      <c r="J595" s="94"/>
      <c r="K595" s="94"/>
      <c r="L595" s="84"/>
      <c r="M595" s="84"/>
      <c r="N595" s="84"/>
      <c r="O595" s="84"/>
      <c r="P595" s="84"/>
      <c r="Q595" s="84"/>
      <c r="R595" s="84"/>
      <c r="S595" s="84"/>
      <c r="T595" s="84"/>
      <c r="U595" s="84"/>
      <c r="V595" s="84"/>
      <c r="W595" s="84"/>
      <c r="X595" s="84"/>
      <c r="Y595" s="84"/>
      <c r="Z595" s="84"/>
      <c r="AA595" s="84"/>
      <c r="AB595" s="84"/>
      <c r="AC595" s="84"/>
      <c r="AD595" s="84"/>
      <c r="AE595" s="84"/>
      <c r="AF595" s="84"/>
      <c r="AG595" s="84"/>
      <c r="AH595" s="84"/>
      <c r="AI595" s="84"/>
      <c r="AJ595" s="84"/>
      <c r="AK595" s="84"/>
      <c r="AL595" s="84"/>
      <c r="AM595" s="84"/>
      <c r="AN595" s="84"/>
      <c r="AO595" s="84"/>
      <c r="AP595" s="84"/>
      <c r="AQ595" s="84"/>
      <c r="AR595" s="84"/>
      <c r="AS595" s="84"/>
      <c r="AT595" s="84"/>
      <c r="AU595" s="84"/>
      <c r="AV595" s="84"/>
      <c r="AW595" s="84"/>
      <c r="AX595" s="87">
        <f t="array" ref="AX595">IF(G595=1,SUM((ROW(M0)=ROW(AW595))*(M0+M1_+M2_+M3_+M4_+M5_+M6_+M7_+M8_+M9_+M10_+M11_+M12_+M13_+M14_+M15_+M16_+M17_+M18_+M19_+M20_+M21_+M22_+M23_+M24_+M25_+M26_+M27_+M28_+M29_+M30_+M31_+M32_+M33_+M34_+M35_+M36_+M37_)),0)</f>
        <v>0</v>
      </c>
      <c r="AZ595" s="24" t="str">
        <f t="shared" si="133"/>
        <v/>
      </c>
      <c r="BA595" s="24" t="str">
        <f t="shared" si="134"/>
        <v/>
      </c>
      <c r="BB595" s="24" t="str">
        <f t="shared" si="135"/>
        <v/>
      </c>
      <c r="BC595" s="24" t="str">
        <f>IF(OR(E595="",LEFT(TableCosts[[#This Row],[Calc_N_Typ]],18)="Vynaložené náklady"),"",VLOOKUP(E595,Tab_Parts,2,0))</f>
        <v/>
      </c>
      <c r="BD595" s="24" t="str">
        <f t="shared" si="136"/>
        <v/>
      </c>
      <c r="BE595" s="24">
        <f t="shared" si="137"/>
        <v>0</v>
      </c>
      <c r="BF595" s="72">
        <f>TableCosts[[#This Row],[N_Amount]]*TableCosts[[#This Row],[N_Tariff]]*TableCosts[[#This Row],[N_ItemsCount]]</f>
        <v>0</v>
      </c>
      <c r="BG595" s="72">
        <f>IF(G595=1,IF(TableCosts[[#This Row],[N_Kateg]]="interné práce",TableCosts[[#This Row],[N_Amount]]*8*PAR_SGA_PERHOUR,0),0)</f>
        <v>0</v>
      </c>
      <c r="BH595" s="72">
        <f>SUM(TableCosts[[#This Row],[N_Direct]:[N_SGA]])</f>
        <v>0</v>
      </c>
      <c r="BI595" s="24">
        <f>IF(G595=1,IF(OR(AND(NOT(ISERROR(VLOOKUP(TableCosts[[#This Row],[Calc_N_Typ]],Cis_WorkPositions,1,0))),C595&lt;&gt;"",D595&lt;&gt;"",E595&lt;&gt;""),AND(ISERROR(VLOOKUP(TableCosts[[#This Row],[Calc_N_Typ]],Cis_WorkPositions,1,0)),C595="",D595="",E595&lt;&gt;""),LEFT(TableCosts[[#This Row],[Calc_N_Typ]],18)="Vynaložené náklady"),VLOOKUP(C595&amp;TableCosts[[#This Row],[Calc_N_Typ]],TRAN_STRITEMS_LABEL,VLOOKUP(D595,Tab_Hours,3,0),0),NA()),0)</f>
        <v>0</v>
      </c>
      <c r="BJ595" s="24">
        <f t="shared" si="138"/>
        <v>0</v>
      </c>
      <c r="BK595" s="24" t="str">
        <f t="shared" si="139"/>
        <v/>
      </c>
      <c r="BL595" s="24" t="str">
        <f t="shared" si="140"/>
        <v/>
      </c>
      <c r="BM595" s="24" t="str">
        <f>IF(G595=1,IF(TableCosts[[#This Row],[TransferFrom]]=TableCosts[[#This Row],[TranferTo]],0,1),"")</f>
        <v/>
      </c>
      <c r="BN595" s="24" t="str">
        <f t="shared" si="141"/>
        <v/>
      </c>
      <c r="BO595" s="24">
        <f t="shared" si="142"/>
        <v>0</v>
      </c>
      <c r="BP595" s="24">
        <f t="shared" si="143"/>
        <v>0</v>
      </c>
    </row>
    <row r="596" spans="2:68" s="24" customFormat="1" ht="12.75" x14ac:dyDescent="0.2">
      <c r="B596" s="97"/>
      <c r="C596" s="92"/>
      <c r="D596" s="92"/>
      <c r="E596" s="92"/>
      <c r="F596" s="31" t="str">
        <f>IF(G596=1,IF(ISERROR(TableCosts[[#This Row],[N_Tariff]]),Err_Message1,IF(TableCosts[[#This Row],[N_Tariff]]=0,Err_Message2,VLOOKUP(C596&amp;TableCosts[[#This Row],[Calc_N_Typ]],TRAN_STRITEMS_LABEL,5,FALSE))),"")</f>
        <v/>
      </c>
      <c r="G596" s="31">
        <f t="shared" si="132"/>
        <v>0</v>
      </c>
      <c r="H596" s="31" t="str">
        <f>IF(G596=1,IFERROR(VLOOKUP(F596,Tab_ErrMessage[],2,0),VLOOKUP(C596&amp;TableCosts[[#This Row],[Calc_N_Typ]],TRAN_STRITEMS_LABEL,4,FALSE)),"")</f>
        <v/>
      </c>
      <c r="I596" s="94"/>
      <c r="J596" s="94"/>
      <c r="K596" s="94"/>
      <c r="L596" s="84"/>
      <c r="M596" s="84"/>
      <c r="N596" s="84"/>
      <c r="O596" s="84"/>
      <c r="P596" s="84"/>
      <c r="Q596" s="84"/>
      <c r="R596" s="84"/>
      <c r="S596" s="84"/>
      <c r="T596" s="84"/>
      <c r="U596" s="84"/>
      <c r="V596" s="84"/>
      <c r="W596" s="84"/>
      <c r="X596" s="84"/>
      <c r="Y596" s="84"/>
      <c r="Z596" s="84"/>
      <c r="AA596" s="84"/>
      <c r="AB596" s="84"/>
      <c r="AC596" s="84"/>
      <c r="AD596" s="84"/>
      <c r="AE596" s="84"/>
      <c r="AF596" s="84"/>
      <c r="AG596" s="84"/>
      <c r="AH596" s="84"/>
      <c r="AI596" s="84"/>
      <c r="AJ596" s="84"/>
      <c r="AK596" s="84"/>
      <c r="AL596" s="84"/>
      <c r="AM596" s="84"/>
      <c r="AN596" s="84"/>
      <c r="AO596" s="84"/>
      <c r="AP596" s="84"/>
      <c r="AQ596" s="84"/>
      <c r="AR596" s="84"/>
      <c r="AS596" s="84"/>
      <c r="AT596" s="84"/>
      <c r="AU596" s="84"/>
      <c r="AV596" s="84"/>
      <c r="AW596" s="84"/>
      <c r="AX596" s="87">
        <f t="array" ref="AX596">IF(G596=1,SUM((ROW(M0)=ROW(AW596))*(M0+M1_+M2_+M3_+M4_+M5_+M6_+M7_+M8_+M9_+M10_+M11_+M12_+M13_+M14_+M15_+M16_+M17_+M18_+M19_+M20_+M21_+M22_+M23_+M24_+M25_+M26_+M27_+M28_+M29_+M30_+M31_+M32_+M33_+M34_+M35_+M36_+M37_)),0)</f>
        <v>0</v>
      </c>
      <c r="AZ596" s="24" t="str">
        <f t="shared" si="133"/>
        <v/>
      </c>
      <c r="BA596" s="24" t="str">
        <f t="shared" si="134"/>
        <v/>
      </c>
      <c r="BB596" s="24" t="str">
        <f t="shared" si="135"/>
        <v/>
      </c>
      <c r="BC596" s="24" t="str">
        <f>IF(OR(E596="",LEFT(TableCosts[[#This Row],[Calc_N_Typ]],18)="Vynaložené náklady"),"",VLOOKUP(E596,Tab_Parts,2,0))</f>
        <v/>
      </c>
      <c r="BD596" s="24" t="str">
        <f t="shared" si="136"/>
        <v/>
      </c>
      <c r="BE596" s="24">
        <f t="shared" si="137"/>
        <v>0</v>
      </c>
      <c r="BF596" s="72">
        <f>TableCosts[[#This Row],[N_Amount]]*TableCosts[[#This Row],[N_Tariff]]*TableCosts[[#This Row],[N_ItemsCount]]</f>
        <v>0</v>
      </c>
      <c r="BG596" s="72">
        <f>IF(G596=1,IF(TableCosts[[#This Row],[N_Kateg]]="interné práce",TableCosts[[#This Row],[N_Amount]]*8*PAR_SGA_PERHOUR,0),0)</f>
        <v>0</v>
      </c>
      <c r="BH596" s="72">
        <f>SUM(TableCosts[[#This Row],[N_Direct]:[N_SGA]])</f>
        <v>0</v>
      </c>
      <c r="BI596" s="24">
        <f>IF(G596=1,IF(OR(AND(NOT(ISERROR(VLOOKUP(TableCosts[[#This Row],[Calc_N_Typ]],Cis_WorkPositions,1,0))),C596&lt;&gt;"",D596&lt;&gt;"",E596&lt;&gt;""),AND(ISERROR(VLOOKUP(TableCosts[[#This Row],[Calc_N_Typ]],Cis_WorkPositions,1,0)),C596="",D596="",E596&lt;&gt;""),LEFT(TableCosts[[#This Row],[Calc_N_Typ]],18)="Vynaložené náklady"),VLOOKUP(C596&amp;TableCosts[[#This Row],[Calc_N_Typ]],TRAN_STRITEMS_LABEL,VLOOKUP(D596,Tab_Hours,3,0),0),NA()),0)</f>
        <v>0</v>
      </c>
      <c r="BJ596" s="24">
        <f t="shared" si="138"/>
        <v>0</v>
      </c>
      <c r="BK596" s="24" t="str">
        <f t="shared" si="139"/>
        <v/>
      </c>
      <c r="BL596" s="24" t="str">
        <f t="shared" si="140"/>
        <v/>
      </c>
      <c r="BM596" s="24" t="str">
        <f>IF(G596=1,IF(TableCosts[[#This Row],[TransferFrom]]=TableCosts[[#This Row],[TranferTo]],0,1),"")</f>
        <v/>
      </c>
      <c r="BN596" s="24" t="str">
        <f t="shared" si="141"/>
        <v/>
      </c>
      <c r="BO596" s="24">
        <f t="shared" si="142"/>
        <v>0</v>
      </c>
      <c r="BP596" s="24">
        <f t="shared" si="143"/>
        <v>0</v>
      </c>
    </row>
    <row r="597" spans="2:68" s="24" customFormat="1" ht="12.75" x14ac:dyDescent="0.2">
      <c r="B597" s="97"/>
      <c r="C597" s="92"/>
      <c r="D597" s="92"/>
      <c r="E597" s="92"/>
      <c r="F597" s="31" t="str">
        <f>IF(G597=1,IF(ISERROR(TableCosts[[#This Row],[N_Tariff]]),Err_Message1,IF(TableCosts[[#This Row],[N_Tariff]]=0,Err_Message2,VLOOKUP(C597&amp;TableCosts[[#This Row],[Calc_N_Typ]],TRAN_STRITEMS_LABEL,5,FALSE))),"")</f>
        <v/>
      </c>
      <c r="G597" s="31">
        <f t="shared" si="132"/>
        <v>0</v>
      </c>
      <c r="H597" s="31" t="str">
        <f>IF(G597=1,IFERROR(VLOOKUP(F597,Tab_ErrMessage[],2,0),VLOOKUP(C597&amp;TableCosts[[#This Row],[Calc_N_Typ]],TRAN_STRITEMS_LABEL,4,FALSE)),"")</f>
        <v/>
      </c>
      <c r="I597" s="94"/>
      <c r="J597" s="94"/>
      <c r="K597" s="94"/>
      <c r="L597" s="84"/>
      <c r="M597" s="84"/>
      <c r="N597" s="84"/>
      <c r="O597" s="84"/>
      <c r="P597" s="84"/>
      <c r="Q597" s="84"/>
      <c r="R597" s="84"/>
      <c r="S597" s="84"/>
      <c r="T597" s="84"/>
      <c r="U597" s="84"/>
      <c r="V597" s="84"/>
      <c r="W597" s="84"/>
      <c r="X597" s="84"/>
      <c r="Y597" s="84"/>
      <c r="Z597" s="84"/>
      <c r="AA597" s="84"/>
      <c r="AB597" s="84"/>
      <c r="AC597" s="84"/>
      <c r="AD597" s="84"/>
      <c r="AE597" s="84"/>
      <c r="AF597" s="84"/>
      <c r="AG597" s="84"/>
      <c r="AH597" s="84"/>
      <c r="AI597" s="84"/>
      <c r="AJ597" s="84"/>
      <c r="AK597" s="84"/>
      <c r="AL597" s="84"/>
      <c r="AM597" s="84"/>
      <c r="AN597" s="84"/>
      <c r="AO597" s="84"/>
      <c r="AP597" s="84"/>
      <c r="AQ597" s="84"/>
      <c r="AR597" s="84"/>
      <c r="AS597" s="84"/>
      <c r="AT597" s="84"/>
      <c r="AU597" s="84"/>
      <c r="AV597" s="84"/>
      <c r="AW597" s="84"/>
      <c r="AX597" s="87">
        <f t="array" ref="AX597">IF(G597=1,SUM((ROW(M0)=ROW(AW597))*(M0+M1_+M2_+M3_+M4_+M5_+M6_+M7_+M8_+M9_+M10_+M11_+M12_+M13_+M14_+M15_+M16_+M17_+M18_+M19_+M20_+M21_+M22_+M23_+M24_+M25_+M26_+M27_+M28_+M29_+M30_+M31_+M32_+M33_+M34_+M35_+M36_+M37_)),0)</f>
        <v>0</v>
      </c>
      <c r="AZ597" s="24" t="str">
        <f t="shared" si="133"/>
        <v/>
      </c>
      <c r="BA597" s="24" t="str">
        <f t="shared" si="134"/>
        <v/>
      </c>
      <c r="BB597" s="24" t="str">
        <f t="shared" si="135"/>
        <v/>
      </c>
      <c r="BC597" s="24" t="str">
        <f>IF(OR(E597="",LEFT(TableCosts[[#This Row],[Calc_N_Typ]],18)="Vynaložené náklady"),"",VLOOKUP(E597,Tab_Parts,2,0))</f>
        <v/>
      </c>
      <c r="BD597" s="24" t="str">
        <f t="shared" si="136"/>
        <v/>
      </c>
      <c r="BE597" s="24">
        <f t="shared" si="137"/>
        <v>0</v>
      </c>
      <c r="BF597" s="72">
        <f>TableCosts[[#This Row],[N_Amount]]*TableCosts[[#This Row],[N_Tariff]]*TableCosts[[#This Row],[N_ItemsCount]]</f>
        <v>0</v>
      </c>
      <c r="BG597" s="72">
        <f>IF(G597=1,IF(TableCosts[[#This Row],[N_Kateg]]="interné práce",TableCosts[[#This Row],[N_Amount]]*8*PAR_SGA_PERHOUR,0),0)</f>
        <v>0</v>
      </c>
      <c r="BH597" s="72">
        <f>SUM(TableCosts[[#This Row],[N_Direct]:[N_SGA]])</f>
        <v>0</v>
      </c>
      <c r="BI597" s="24">
        <f>IF(G597=1,IF(OR(AND(NOT(ISERROR(VLOOKUP(TableCosts[[#This Row],[Calc_N_Typ]],Cis_WorkPositions,1,0))),C597&lt;&gt;"",D597&lt;&gt;"",E597&lt;&gt;""),AND(ISERROR(VLOOKUP(TableCosts[[#This Row],[Calc_N_Typ]],Cis_WorkPositions,1,0)),C597="",D597="",E597&lt;&gt;""),LEFT(TableCosts[[#This Row],[Calc_N_Typ]],18)="Vynaložené náklady"),VLOOKUP(C597&amp;TableCosts[[#This Row],[Calc_N_Typ]],TRAN_STRITEMS_LABEL,VLOOKUP(D597,Tab_Hours,3,0),0),NA()),0)</f>
        <v>0</v>
      </c>
      <c r="BJ597" s="24">
        <f t="shared" si="138"/>
        <v>0</v>
      </c>
      <c r="BK597" s="24" t="str">
        <f t="shared" si="139"/>
        <v/>
      </c>
      <c r="BL597" s="24" t="str">
        <f t="shared" si="140"/>
        <v/>
      </c>
      <c r="BM597" s="24" t="str">
        <f>IF(G597=1,IF(TableCosts[[#This Row],[TransferFrom]]=TableCosts[[#This Row],[TranferTo]],0,1),"")</f>
        <v/>
      </c>
      <c r="BN597" s="24" t="str">
        <f t="shared" si="141"/>
        <v/>
      </c>
      <c r="BO597" s="24">
        <f t="shared" si="142"/>
        <v>0</v>
      </c>
      <c r="BP597" s="24">
        <f t="shared" si="143"/>
        <v>0</v>
      </c>
    </row>
    <row r="598" spans="2:68" s="24" customFormat="1" ht="12.75" x14ac:dyDescent="0.2">
      <c r="B598" s="97"/>
      <c r="C598" s="92"/>
      <c r="D598" s="92"/>
      <c r="E598" s="92"/>
      <c r="F598" s="31" t="str">
        <f>IF(G598=1,IF(ISERROR(TableCosts[[#This Row],[N_Tariff]]),Err_Message1,IF(TableCosts[[#This Row],[N_Tariff]]=0,Err_Message2,VLOOKUP(C598&amp;TableCosts[[#This Row],[Calc_N_Typ]],TRAN_STRITEMS_LABEL,5,FALSE))),"")</f>
        <v/>
      </c>
      <c r="G598" s="31">
        <f t="shared" si="132"/>
        <v>0</v>
      </c>
      <c r="H598" s="31" t="str">
        <f>IF(G598=1,IFERROR(VLOOKUP(F598,Tab_ErrMessage[],2,0),VLOOKUP(C598&amp;TableCosts[[#This Row],[Calc_N_Typ]],TRAN_STRITEMS_LABEL,4,FALSE)),"")</f>
        <v/>
      </c>
      <c r="I598" s="94"/>
      <c r="J598" s="94"/>
      <c r="K598" s="94"/>
      <c r="L598" s="84"/>
      <c r="M598" s="84"/>
      <c r="N598" s="84"/>
      <c r="O598" s="84"/>
      <c r="P598" s="84"/>
      <c r="Q598" s="84"/>
      <c r="R598" s="84"/>
      <c r="S598" s="84"/>
      <c r="T598" s="84"/>
      <c r="U598" s="84"/>
      <c r="V598" s="84"/>
      <c r="W598" s="84"/>
      <c r="X598" s="84"/>
      <c r="Y598" s="84"/>
      <c r="Z598" s="84"/>
      <c r="AA598" s="84"/>
      <c r="AB598" s="84"/>
      <c r="AC598" s="84"/>
      <c r="AD598" s="84"/>
      <c r="AE598" s="84"/>
      <c r="AF598" s="84"/>
      <c r="AG598" s="84"/>
      <c r="AH598" s="84"/>
      <c r="AI598" s="84"/>
      <c r="AJ598" s="84"/>
      <c r="AK598" s="84"/>
      <c r="AL598" s="84"/>
      <c r="AM598" s="84"/>
      <c r="AN598" s="84"/>
      <c r="AO598" s="84"/>
      <c r="AP598" s="84"/>
      <c r="AQ598" s="84"/>
      <c r="AR598" s="84"/>
      <c r="AS598" s="84"/>
      <c r="AT598" s="84"/>
      <c r="AU598" s="84"/>
      <c r="AV598" s="84"/>
      <c r="AW598" s="84"/>
      <c r="AX598" s="87">
        <f t="array" ref="AX598">IF(G598=1,SUM((ROW(M0)=ROW(AW598))*(M0+M1_+M2_+M3_+M4_+M5_+M6_+M7_+M8_+M9_+M10_+M11_+M12_+M13_+M14_+M15_+M16_+M17_+M18_+M19_+M20_+M21_+M22_+M23_+M24_+M25_+M26_+M27_+M28_+M29_+M30_+M31_+M32_+M33_+M34_+M35_+M36_+M37_)),0)</f>
        <v>0</v>
      </c>
      <c r="AZ598" s="24" t="str">
        <f t="shared" si="133"/>
        <v/>
      </c>
      <c r="BA598" s="24" t="str">
        <f t="shared" si="134"/>
        <v/>
      </c>
      <c r="BB598" s="24" t="str">
        <f t="shared" si="135"/>
        <v/>
      </c>
      <c r="BC598" s="24" t="str">
        <f>IF(OR(E598="",LEFT(TableCosts[[#This Row],[Calc_N_Typ]],18)="Vynaložené náklady"),"",VLOOKUP(E598,Tab_Parts,2,0))</f>
        <v/>
      </c>
      <c r="BD598" s="24" t="str">
        <f t="shared" si="136"/>
        <v/>
      </c>
      <c r="BE598" s="24">
        <f t="shared" si="137"/>
        <v>0</v>
      </c>
      <c r="BF598" s="72">
        <f>TableCosts[[#This Row],[N_Amount]]*TableCosts[[#This Row],[N_Tariff]]*TableCosts[[#This Row],[N_ItemsCount]]</f>
        <v>0</v>
      </c>
      <c r="BG598" s="72">
        <f>IF(G598=1,IF(TableCosts[[#This Row],[N_Kateg]]="interné práce",TableCosts[[#This Row],[N_Amount]]*8*PAR_SGA_PERHOUR,0),0)</f>
        <v>0</v>
      </c>
      <c r="BH598" s="72">
        <f>SUM(TableCosts[[#This Row],[N_Direct]:[N_SGA]])</f>
        <v>0</v>
      </c>
      <c r="BI598" s="24">
        <f>IF(G598=1,IF(OR(AND(NOT(ISERROR(VLOOKUP(TableCosts[[#This Row],[Calc_N_Typ]],Cis_WorkPositions,1,0))),C598&lt;&gt;"",D598&lt;&gt;"",E598&lt;&gt;""),AND(ISERROR(VLOOKUP(TableCosts[[#This Row],[Calc_N_Typ]],Cis_WorkPositions,1,0)),C598="",D598="",E598&lt;&gt;""),LEFT(TableCosts[[#This Row],[Calc_N_Typ]],18)="Vynaložené náklady"),VLOOKUP(C598&amp;TableCosts[[#This Row],[Calc_N_Typ]],TRAN_STRITEMS_LABEL,VLOOKUP(D598,Tab_Hours,3,0),0),NA()),0)</f>
        <v>0</v>
      </c>
      <c r="BJ598" s="24">
        <f t="shared" si="138"/>
        <v>0</v>
      </c>
      <c r="BK598" s="24" t="str">
        <f t="shared" si="139"/>
        <v/>
      </c>
      <c r="BL598" s="24" t="str">
        <f t="shared" si="140"/>
        <v/>
      </c>
      <c r="BM598" s="24" t="str">
        <f>IF(G598=1,IF(TableCosts[[#This Row],[TransferFrom]]=TableCosts[[#This Row],[TranferTo]],0,1),"")</f>
        <v/>
      </c>
      <c r="BN598" s="24" t="str">
        <f t="shared" si="141"/>
        <v/>
      </c>
      <c r="BO598" s="24">
        <f t="shared" si="142"/>
        <v>0</v>
      </c>
      <c r="BP598" s="24">
        <f t="shared" si="143"/>
        <v>0</v>
      </c>
    </row>
    <row r="599" spans="2:68" s="24" customFormat="1" ht="12.75" x14ac:dyDescent="0.2">
      <c r="B599" s="97"/>
      <c r="C599" s="92"/>
      <c r="D599" s="92"/>
      <c r="E599" s="92"/>
      <c r="F599" s="31" t="str">
        <f>IF(G599=1,IF(ISERROR(TableCosts[[#This Row],[N_Tariff]]),Err_Message1,IF(TableCosts[[#This Row],[N_Tariff]]=0,Err_Message2,VLOOKUP(C599&amp;TableCosts[[#This Row],[Calc_N_Typ]],TRAN_STRITEMS_LABEL,5,FALSE))),"")</f>
        <v/>
      </c>
      <c r="G599" s="31">
        <f t="shared" si="132"/>
        <v>0</v>
      </c>
      <c r="H599" s="31" t="str">
        <f>IF(G599=1,IFERROR(VLOOKUP(F599,Tab_ErrMessage[],2,0),VLOOKUP(C599&amp;TableCosts[[#This Row],[Calc_N_Typ]],TRAN_STRITEMS_LABEL,4,FALSE)),"")</f>
        <v/>
      </c>
      <c r="I599" s="94"/>
      <c r="J599" s="94"/>
      <c r="K599" s="94"/>
      <c r="L599" s="84"/>
      <c r="M599" s="84"/>
      <c r="N599" s="84"/>
      <c r="O599" s="84"/>
      <c r="P599" s="84"/>
      <c r="Q599" s="84"/>
      <c r="R599" s="84"/>
      <c r="S599" s="84"/>
      <c r="T599" s="84"/>
      <c r="U599" s="84"/>
      <c r="V599" s="84"/>
      <c r="W599" s="84"/>
      <c r="X599" s="84"/>
      <c r="Y599" s="84"/>
      <c r="Z599" s="84"/>
      <c r="AA599" s="84"/>
      <c r="AB599" s="84"/>
      <c r="AC599" s="84"/>
      <c r="AD599" s="84"/>
      <c r="AE599" s="84"/>
      <c r="AF599" s="84"/>
      <c r="AG599" s="84"/>
      <c r="AH599" s="84"/>
      <c r="AI599" s="84"/>
      <c r="AJ599" s="84"/>
      <c r="AK599" s="84"/>
      <c r="AL599" s="84"/>
      <c r="AM599" s="84"/>
      <c r="AN599" s="84"/>
      <c r="AO599" s="84"/>
      <c r="AP599" s="84"/>
      <c r="AQ599" s="84"/>
      <c r="AR599" s="84"/>
      <c r="AS599" s="84"/>
      <c r="AT599" s="84"/>
      <c r="AU599" s="84"/>
      <c r="AV599" s="84"/>
      <c r="AW599" s="84"/>
      <c r="AX599" s="87">
        <f t="array" ref="AX599">IF(G599=1,SUM((ROW(M0)=ROW(AW599))*(M0+M1_+M2_+M3_+M4_+M5_+M6_+M7_+M8_+M9_+M10_+M11_+M12_+M13_+M14_+M15_+M16_+M17_+M18_+M19_+M20_+M21_+M22_+M23_+M24_+M25_+M26_+M27_+M28_+M29_+M30_+M31_+M32_+M33_+M34_+M35_+M36_+M37_)),0)</f>
        <v>0</v>
      </c>
      <c r="AZ599" s="24" t="str">
        <f t="shared" si="133"/>
        <v/>
      </c>
      <c r="BA599" s="24" t="str">
        <f t="shared" si="134"/>
        <v/>
      </c>
      <c r="BB599" s="24" t="str">
        <f t="shared" si="135"/>
        <v/>
      </c>
      <c r="BC599" s="24" t="str">
        <f>IF(OR(E599="",LEFT(TableCosts[[#This Row],[Calc_N_Typ]],18)="Vynaložené náklady"),"",VLOOKUP(E599,Tab_Parts,2,0))</f>
        <v/>
      </c>
      <c r="BD599" s="24" t="str">
        <f t="shared" si="136"/>
        <v/>
      </c>
      <c r="BE599" s="24">
        <f t="shared" si="137"/>
        <v>0</v>
      </c>
      <c r="BF599" s="72">
        <f>TableCosts[[#This Row],[N_Amount]]*TableCosts[[#This Row],[N_Tariff]]*TableCosts[[#This Row],[N_ItemsCount]]</f>
        <v>0</v>
      </c>
      <c r="BG599" s="72">
        <f>IF(G599=1,IF(TableCosts[[#This Row],[N_Kateg]]="interné práce",TableCosts[[#This Row],[N_Amount]]*8*PAR_SGA_PERHOUR,0),0)</f>
        <v>0</v>
      </c>
      <c r="BH599" s="72">
        <f>SUM(TableCosts[[#This Row],[N_Direct]:[N_SGA]])</f>
        <v>0</v>
      </c>
      <c r="BI599" s="24">
        <f>IF(G599=1,IF(OR(AND(NOT(ISERROR(VLOOKUP(TableCosts[[#This Row],[Calc_N_Typ]],Cis_WorkPositions,1,0))),C599&lt;&gt;"",D599&lt;&gt;"",E599&lt;&gt;""),AND(ISERROR(VLOOKUP(TableCosts[[#This Row],[Calc_N_Typ]],Cis_WorkPositions,1,0)),C599="",D599="",E599&lt;&gt;""),LEFT(TableCosts[[#This Row],[Calc_N_Typ]],18)="Vynaložené náklady"),VLOOKUP(C599&amp;TableCosts[[#This Row],[Calc_N_Typ]],TRAN_STRITEMS_LABEL,VLOOKUP(D599,Tab_Hours,3,0),0),NA()),0)</f>
        <v>0</v>
      </c>
      <c r="BJ599" s="24">
        <f t="shared" si="138"/>
        <v>0</v>
      </c>
      <c r="BK599" s="24" t="str">
        <f t="shared" si="139"/>
        <v/>
      </c>
      <c r="BL599" s="24" t="str">
        <f t="shared" si="140"/>
        <v/>
      </c>
      <c r="BM599" s="24" t="str">
        <f>IF(G599=1,IF(TableCosts[[#This Row],[TransferFrom]]=TableCosts[[#This Row],[TranferTo]],0,1),"")</f>
        <v/>
      </c>
      <c r="BN599" s="24" t="str">
        <f t="shared" si="141"/>
        <v/>
      </c>
      <c r="BO599" s="24">
        <f t="shared" si="142"/>
        <v>0</v>
      </c>
      <c r="BP599" s="24">
        <f t="shared" si="143"/>
        <v>0</v>
      </c>
    </row>
    <row r="600" spans="2:68" s="24" customFormat="1" ht="12.75" x14ac:dyDescent="0.2">
      <c r="B600" s="97"/>
      <c r="C600" s="92"/>
      <c r="D600" s="92"/>
      <c r="E600" s="92"/>
      <c r="F600" s="31" t="str">
        <f>IF(G600=1,IF(ISERROR(TableCosts[[#This Row],[N_Tariff]]),Err_Message1,IF(TableCosts[[#This Row],[N_Tariff]]=0,Err_Message2,VLOOKUP(C600&amp;TableCosts[[#This Row],[Calc_N_Typ]],TRAN_STRITEMS_LABEL,5,FALSE))),"")</f>
        <v/>
      </c>
      <c r="G600" s="31">
        <f t="shared" si="132"/>
        <v>0</v>
      </c>
      <c r="H600" s="31" t="str">
        <f>IF(G600=1,IFERROR(VLOOKUP(F600,Tab_ErrMessage[],2,0),VLOOKUP(C600&amp;TableCosts[[#This Row],[Calc_N_Typ]],TRAN_STRITEMS_LABEL,4,FALSE)),"")</f>
        <v/>
      </c>
      <c r="I600" s="94"/>
      <c r="J600" s="94"/>
      <c r="K600" s="94"/>
      <c r="L600" s="84"/>
      <c r="M600" s="84"/>
      <c r="N600" s="84"/>
      <c r="O600" s="84"/>
      <c r="P600" s="84"/>
      <c r="Q600" s="84"/>
      <c r="R600" s="84"/>
      <c r="S600" s="84"/>
      <c r="T600" s="84"/>
      <c r="U600" s="84"/>
      <c r="V600" s="84"/>
      <c r="W600" s="84"/>
      <c r="X600" s="84"/>
      <c r="Y600" s="84"/>
      <c r="Z600" s="84"/>
      <c r="AA600" s="84"/>
      <c r="AB600" s="84"/>
      <c r="AC600" s="84"/>
      <c r="AD600" s="84"/>
      <c r="AE600" s="84"/>
      <c r="AF600" s="84"/>
      <c r="AG600" s="84"/>
      <c r="AH600" s="84"/>
      <c r="AI600" s="84"/>
      <c r="AJ600" s="84"/>
      <c r="AK600" s="84"/>
      <c r="AL600" s="84"/>
      <c r="AM600" s="84"/>
      <c r="AN600" s="84"/>
      <c r="AO600" s="84"/>
      <c r="AP600" s="84"/>
      <c r="AQ600" s="84"/>
      <c r="AR600" s="84"/>
      <c r="AS600" s="84"/>
      <c r="AT600" s="84"/>
      <c r="AU600" s="84"/>
      <c r="AV600" s="84"/>
      <c r="AW600" s="84"/>
      <c r="AX600" s="87">
        <f t="array" ref="AX600">IF(G600=1,SUM((ROW(M0)=ROW(AW600))*(M0+M1_+M2_+M3_+M4_+M5_+M6_+M7_+M8_+M9_+M10_+M11_+M12_+M13_+M14_+M15_+M16_+M17_+M18_+M19_+M20_+M21_+M22_+M23_+M24_+M25_+M26_+M27_+M28_+M29_+M30_+M31_+M32_+M33_+M34_+M35_+M36_+M37_)),0)</f>
        <v>0</v>
      </c>
      <c r="AZ600" s="24" t="str">
        <f t="shared" si="133"/>
        <v/>
      </c>
      <c r="BA600" s="24" t="str">
        <f t="shared" si="134"/>
        <v/>
      </c>
      <c r="BB600" s="24" t="str">
        <f t="shared" si="135"/>
        <v/>
      </c>
      <c r="BC600" s="24" t="str">
        <f>IF(OR(E600="",LEFT(TableCosts[[#This Row],[Calc_N_Typ]],18)="Vynaložené náklady"),"",VLOOKUP(E600,Tab_Parts,2,0))</f>
        <v/>
      </c>
      <c r="BD600" s="24" t="str">
        <f t="shared" si="136"/>
        <v/>
      </c>
      <c r="BE600" s="24">
        <f t="shared" si="137"/>
        <v>0</v>
      </c>
      <c r="BF600" s="72">
        <f>TableCosts[[#This Row],[N_Amount]]*TableCosts[[#This Row],[N_Tariff]]*TableCosts[[#This Row],[N_ItemsCount]]</f>
        <v>0</v>
      </c>
      <c r="BG600" s="72">
        <f>IF(G600=1,IF(TableCosts[[#This Row],[N_Kateg]]="interné práce",TableCosts[[#This Row],[N_Amount]]*8*PAR_SGA_PERHOUR,0),0)</f>
        <v>0</v>
      </c>
      <c r="BH600" s="72">
        <f>SUM(TableCosts[[#This Row],[N_Direct]:[N_SGA]])</f>
        <v>0</v>
      </c>
      <c r="BI600" s="24">
        <f>IF(G600=1,IF(OR(AND(NOT(ISERROR(VLOOKUP(TableCosts[[#This Row],[Calc_N_Typ]],Cis_WorkPositions,1,0))),C600&lt;&gt;"",D600&lt;&gt;"",E600&lt;&gt;""),AND(ISERROR(VLOOKUP(TableCosts[[#This Row],[Calc_N_Typ]],Cis_WorkPositions,1,0)),C600="",D600="",E600&lt;&gt;""),LEFT(TableCosts[[#This Row],[Calc_N_Typ]],18)="Vynaložené náklady"),VLOOKUP(C600&amp;TableCosts[[#This Row],[Calc_N_Typ]],TRAN_STRITEMS_LABEL,VLOOKUP(D600,Tab_Hours,3,0),0),NA()),0)</f>
        <v>0</v>
      </c>
      <c r="BJ600" s="24">
        <f t="shared" si="138"/>
        <v>0</v>
      </c>
      <c r="BK600" s="24" t="str">
        <f t="shared" si="139"/>
        <v/>
      </c>
      <c r="BL600" s="24" t="str">
        <f t="shared" si="140"/>
        <v/>
      </c>
      <c r="BM600" s="24" t="str">
        <f>IF(G600=1,IF(TableCosts[[#This Row],[TransferFrom]]=TableCosts[[#This Row],[TranferTo]],0,1),"")</f>
        <v/>
      </c>
      <c r="BN600" s="24" t="str">
        <f t="shared" si="141"/>
        <v/>
      </c>
      <c r="BO600" s="24">
        <f t="shared" si="142"/>
        <v>0</v>
      </c>
      <c r="BP600" s="24">
        <f t="shared" si="143"/>
        <v>0</v>
      </c>
    </row>
    <row r="601" spans="2:68" s="24" customFormat="1" ht="12.75" x14ac:dyDescent="0.2">
      <c r="B601" s="97"/>
      <c r="C601" s="92"/>
      <c r="D601" s="92"/>
      <c r="E601" s="92"/>
      <c r="F601" s="31" t="str">
        <f>IF(G601=1,IF(ISERROR(TableCosts[[#This Row],[N_Tariff]]),Err_Message1,IF(TableCosts[[#This Row],[N_Tariff]]=0,Err_Message2,VLOOKUP(C601&amp;TableCosts[[#This Row],[Calc_N_Typ]],TRAN_STRITEMS_LABEL,5,FALSE))),"")</f>
        <v/>
      </c>
      <c r="G601" s="31">
        <f t="shared" si="132"/>
        <v>0</v>
      </c>
      <c r="H601" s="31" t="str">
        <f>IF(G601=1,IFERROR(VLOOKUP(F601,Tab_ErrMessage[],2,0),VLOOKUP(C601&amp;TableCosts[[#This Row],[Calc_N_Typ]],TRAN_STRITEMS_LABEL,4,FALSE)),"")</f>
        <v/>
      </c>
      <c r="I601" s="94"/>
      <c r="J601" s="94"/>
      <c r="K601" s="94"/>
      <c r="L601" s="84"/>
      <c r="M601" s="84"/>
      <c r="N601" s="84"/>
      <c r="O601" s="84"/>
      <c r="P601" s="84"/>
      <c r="Q601" s="84"/>
      <c r="R601" s="84"/>
      <c r="S601" s="84"/>
      <c r="T601" s="84"/>
      <c r="U601" s="84"/>
      <c r="V601" s="84"/>
      <c r="W601" s="84"/>
      <c r="X601" s="84"/>
      <c r="Y601" s="84"/>
      <c r="Z601" s="84"/>
      <c r="AA601" s="84"/>
      <c r="AB601" s="84"/>
      <c r="AC601" s="84"/>
      <c r="AD601" s="84"/>
      <c r="AE601" s="84"/>
      <c r="AF601" s="84"/>
      <c r="AG601" s="84"/>
      <c r="AH601" s="84"/>
      <c r="AI601" s="84"/>
      <c r="AJ601" s="84"/>
      <c r="AK601" s="84"/>
      <c r="AL601" s="84"/>
      <c r="AM601" s="84"/>
      <c r="AN601" s="84"/>
      <c r="AO601" s="84"/>
      <c r="AP601" s="84"/>
      <c r="AQ601" s="84"/>
      <c r="AR601" s="84"/>
      <c r="AS601" s="84"/>
      <c r="AT601" s="84"/>
      <c r="AU601" s="84"/>
      <c r="AV601" s="84"/>
      <c r="AW601" s="84"/>
      <c r="AX601" s="87">
        <f t="array" ref="AX601">IF(G601=1,SUM((ROW(M0)=ROW(AW601))*(M0+M1_+M2_+M3_+M4_+M5_+M6_+M7_+M8_+M9_+M10_+M11_+M12_+M13_+M14_+M15_+M16_+M17_+M18_+M19_+M20_+M21_+M22_+M23_+M24_+M25_+M26_+M27_+M28_+M29_+M30_+M31_+M32_+M33_+M34_+M35_+M36_+M37_)),0)</f>
        <v>0</v>
      </c>
      <c r="AZ601" s="24" t="str">
        <f t="shared" si="133"/>
        <v/>
      </c>
      <c r="BA601" s="24" t="str">
        <f t="shared" si="134"/>
        <v/>
      </c>
      <c r="BB601" s="24" t="str">
        <f t="shared" si="135"/>
        <v/>
      </c>
      <c r="BC601" s="24" t="str">
        <f>IF(OR(E601="",LEFT(TableCosts[[#This Row],[Calc_N_Typ]],18)="Vynaložené náklady"),"",VLOOKUP(E601,Tab_Parts,2,0))</f>
        <v/>
      </c>
      <c r="BD601" s="24" t="str">
        <f t="shared" si="136"/>
        <v/>
      </c>
      <c r="BE601" s="24">
        <f t="shared" si="137"/>
        <v>0</v>
      </c>
      <c r="BF601" s="72">
        <f>TableCosts[[#This Row],[N_Amount]]*TableCosts[[#This Row],[N_Tariff]]*TableCosts[[#This Row],[N_ItemsCount]]</f>
        <v>0</v>
      </c>
      <c r="BG601" s="72">
        <f>IF(G601=1,IF(TableCosts[[#This Row],[N_Kateg]]="interné práce",TableCosts[[#This Row],[N_Amount]]*8*PAR_SGA_PERHOUR,0),0)</f>
        <v>0</v>
      </c>
      <c r="BH601" s="72">
        <f>SUM(TableCosts[[#This Row],[N_Direct]:[N_SGA]])</f>
        <v>0</v>
      </c>
      <c r="BI601" s="24">
        <f>IF(G601=1,IF(OR(AND(NOT(ISERROR(VLOOKUP(TableCosts[[#This Row],[Calc_N_Typ]],Cis_WorkPositions,1,0))),C601&lt;&gt;"",D601&lt;&gt;"",E601&lt;&gt;""),AND(ISERROR(VLOOKUP(TableCosts[[#This Row],[Calc_N_Typ]],Cis_WorkPositions,1,0)),C601="",D601="",E601&lt;&gt;""),LEFT(TableCosts[[#This Row],[Calc_N_Typ]],18)="Vynaložené náklady"),VLOOKUP(C601&amp;TableCosts[[#This Row],[Calc_N_Typ]],TRAN_STRITEMS_LABEL,VLOOKUP(D601,Tab_Hours,3,0),0),NA()),0)</f>
        <v>0</v>
      </c>
      <c r="BJ601" s="24">
        <f t="shared" si="138"/>
        <v>0</v>
      </c>
      <c r="BK601" s="24" t="str">
        <f t="shared" si="139"/>
        <v/>
      </c>
      <c r="BL601" s="24" t="str">
        <f t="shared" si="140"/>
        <v/>
      </c>
      <c r="BM601" s="24" t="str">
        <f>IF(G601=1,IF(TableCosts[[#This Row],[TransferFrom]]=TableCosts[[#This Row],[TranferTo]],0,1),"")</f>
        <v/>
      </c>
      <c r="BN601" s="24" t="str">
        <f t="shared" si="141"/>
        <v/>
      </c>
      <c r="BO601" s="24">
        <f t="shared" si="142"/>
        <v>0</v>
      </c>
      <c r="BP601" s="24">
        <f t="shared" si="143"/>
        <v>0</v>
      </c>
    </row>
    <row r="602" spans="2:68" s="24" customFormat="1" ht="12.75" x14ac:dyDescent="0.2">
      <c r="B602" s="97"/>
      <c r="C602" s="92"/>
      <c r="D602" s="92"/>
      <c r="E602" s="92"/>
      <c r="F602" s="31" t="str">
        <f>IF(G602=1,IF(ISERROR(TableCosts[[#This Row],[N_Tariff]]),Err_Message1,IF(TableCosts[[#This Row],[N_Tariff]]=0,Err_Message2,VLOOKUP(C602&amp;TableCosts[[#This Row],[Calc_N_Typ]],TRAN_STRITEMS_LABEL,5,FALSE))),"")</f>
        <v/>
      </c>
      <c r="G602" s="31">
        <f t="shared" si="132"/>
        <v>0</v>
      </c>
      <c r="H602" s="31" t="str">
        <f>IF(G602=1,IFERROR(VLOOKUP(F602,Tab_ErrMessage[],2,0),VLOOKUP(C602&amp;TableCosts[[#This Row],[Calc_N_Typ]],TRAN_STRITEMS_LABEL,4,FALSE)),"")</f>
        <v/>
      </c>
      <c r="I602" s="94"/>
      <c r="J602" s="94"/>
      <c r="K602" s="94"/>
      <c r="L602" s="84"/>
      <c r="M602" s="84"/>
      <c r="N602" s="84"/>
      <c r="O602" s="84"/>
      <c r="P602" s="84"/>
      <c r="Q602" s="84"/>
      <c r="R602" s="84"/>
      <c r="S602" s="84"/>
      <c r="T602" s="84"/>
      <c r="U602" s="84"/>
      <c r="V602" s="84"/>
      <c r="W602" s="84"/>
      <c r="X602" s="84"/>
      <c r="Y602" s="84"/>
      <c r="Z602" s="84"/>
      <c r="AA602" s="84"/>
      <c r="AB602" s="84"/>
      <c r="AC602" s="84"/>
      <c r="AD602" s="84"/>
      <c r="AE602" s="84"/>
      <c r="AF602" s="84"/>
      <c r="AG602" s="84"/>
      <c r="AH602" s="84"/>
      <c r="AI602" s="84"/>
      <c r="AJ602" s="84"/>
      <c r="AK602" s="84"/>
      <c r="AL602" s="84"/>
      <c r="AM602" s="84"/>
      <c r="AN602" s="84"/>
      <c r="AO602" s="84"/>
      <c r="AP602" s="84"/>
      <c r="AQ602" s="84"/>
      <c r="AR602" s="84"/>
      <c r="AS602" s="84"/>
      <c r="AT602" s="84"/>
      <c r="AU602" s="84"/>
      <c r="AV602" s="84"/>
      <c r="AW602" s="84"/>
      <c r="AX602" s="87">
        <f t="array" ref="AX602">IF(G602=1,SUM((ROW(M0)=ROW(AW602))*(M0+M1_+M2_+M3_+M4_+M5_+M6_+M7_+M8_+M9_+M10_+M11_+M12_+M13_+M14_+M15_+M16_+M17_+M18_+M19_+M20_+M21_+M22_+M23_+M24_+M25_+M26_+M27_+M28_+M29_+M30_+M31_+M32_+M33_+M34_+M35_+M36_+M37_)),0)</f>
        <v>0</v>
      </c>
      <c r="AZ602" s="24" t="str">
        <f t="shared" si="133"/>
        <v/>
      </c>
      <c r="BA602" s="24" t="str">
        <f t="shared" si="134"/>
        <v/>
      </c>
      <c r="BB602" s="24" t="str">
        <f t="shared" si="135"/>
        <v/>
      </c>
      <c r="BC602" s="24" t="str">
        <f>IF(OR(E602="",LEFT(TableCosts[[#This Row],[Calc_N_Typ]],18)="Vynaložené náklady"),"",VLOOKUP(E602,Tab_Parts,2,0))</f>
        <v/>
      </c>
      <c r="BD602" s="24" t="str">
        <f t="shared" si="136"/>
        <v/>
      </c>
      <c r="BE602" s="24">
        <f t="shared" si="137"/>
        <v>0</v>
      </c>
      <c r="BF602" s="72">
        <f>TableCosts[[#This Row],[N_Amount]]*TableCosts[[#This Row],[N_Tariff]]*TableCosts[[#This Row],[N_ItemsCount]]</f>
        <v>0</v>
      </c>
      <c r="BG602" s="72">
        <f>IF(G602=1,IF(TableCosts[[#This Row],[N_Kateg]]="interné práce",TableCosts[[#This Row],[N_Amount]]*8*PAR_SGA_PERHOUR,0),0)</f>
        <v>0</v>
      </c>
      <c r="BH602" s="72">
        <f>SUM(TableCosts[[#This Row],[N_Direct]:[N_SGA]])</f>
        <v>0</v>
      </c>
      <c r="BI602" s="24">
        <f>IF(G602=1,IF(OR(AND(NOT(ISERROR(VLOOKUP(TableCosts[[#This Row],[Calc_N_Typ]],Cis_WorkPositions,1,0))),C602&lt;&gt;"",D602&lt;&gt;"",E602&lt;&gt;""),AND(ISERROR(VLOOKUP(TableCosts[[#This Row],[Calc_N_Typ]],Cis_WorkPositions,1,0)),C602="",D602="",E602&lt;&gt;""),LEFT(TableCosts[[#This Row],[Calc_N_Typ]],18)="Vynaložené náklady"),VLOOKUP(C602&amp;TableCosts[[#This Row],[Calc_N_Typ]],TRAN_STRITEMS_LABEL,VLOOKUP(D602,Tab_Hours,3,0),0),NA()),0)</f>
        <v>0</v>
      </c>
      <c r="BJ602" s="24">
        <f t="shared" si="138"/>
        <v>0</v>
      </c>
      <c r="BK602" s="24" t="str">
        <f t="shared" si="139"/>
        <v/>
      </c>
      <c r="BL602" s="24" t="str">
        <f t="shared" si="140"/>
        <v/>
      </c>
      <c r="BM602" s="24" t="str">
        <f>IF(G602=1,IF(TableCosts[[#This Row],[TransferFrom]]=TableCosts[[#This Row],[TranferTo]],0,1),"")</f>
        <v/>
      </c>
      <c r="BN602" s="24" t="str">
        <f t="shared" si="141"/>
        <v/>
      </c>
      <c r="BO602" s="24">
        <f t="shared" si="142"/>
        <v>0</v>
      </c>
      <c r="BP602" s="24">
        <f t="shared" si="143"/>
        <v>0</v>
      </c>
    </row>
    <row r="603" spans="2:68" s="24" customFormat="1" ht="12.75" x14ac:dyDescent="0.2">
      <c r="B603" s="97"/>
      <c r="C603" s="92"/>
      <c r="D603" s="92"/>
      <c r="E603" s="92"/>
      <c r="F603" s="31" t="str">
        <f>IF(G603=1,IF(ISERROR(TableCosts[[#This Row],[N_Tariff]]),Err_Message1,IF(TableCosts[[#This Row],[N_Tariff]]=0,Err_Message2,VLOOKUP(C603&amp;TableCosts[[#This Row],[Calc_N_Typ]],TRAN_STRITEMS_LABEL,5,FALSE))),"")</f>
        <v/>
      </c>
      <c r="G603" s="31">
        <f t="shared" si="132"/>
        <v>0</v>
      </c>
      <c r="H603" s="31" t="str">
        <f>IF(G603=1,IFERROR(VLOOKUP(F603,Tab_ErrMessage[],2,0),VLOOKUP(C603&amp;TableCosts[[#This Row],[Calc_N_Typ]],TRAN_STRITEMS_LABEL,4,FALSE)),"")</f>
        <v/>
      </c>
      <c r="I603" s="94"/>
      <c r="J603" s="94"/>
      <c r="K603" s="94"/>
      <c r="L603" s="84"/>
      <c r="M603" s="84"/>
      <c r="N603" s="84"/>
      <c r="O603" s="84"/>
      <c r="P603" s="84"/>
      <c r="Q603" s="84"/>
      <c r="R603" s="84"/>
      <c r="S603" s="84"/>
      <c r="T603" s="84"/>
      <c r="U603" s="84"/>
      <c r="V603" s="84"/>
      <c r="W603" s="84"/>
      <c r="X603" s="84"/>
      <c r="Y603" s="84"/>
      <c r="Z603" s="84"/>
      <c r="AA603" s="84"/>
      <c r="AB603" s="84"/>
      <c r="AC603" s="84"/>
      <c r="AD603" s="84"/>
      <c r="AE603" s="84"/>
      <c r="AF603" s="84"/>
      <c r="AG603" s="84"/>
      <c r="AH603" s="84"/>
      <c r="AI603" s="84"/>
      <c r="AJ603" s="84"/>
      <c r="AK603" s="84"/>
      <c r="AL603" s="84"/>
      <c r="AM603" s="84"/>
      <c r="AN603" s="84"/>
      <c r="AO603" s="84"/>
      <c r="AP603" s="84"/>
      <c r="AQ603" s="84"/>
      <c r="AR603" s="84"/>
      <c r="AS603" s="84"/>
      <c r="AT603" s="84"/>
      <c r="AU603" s="84"/>
      <c r="AV603" s="84"/>
      <c r="AW603" s="84"/>
      <c r="AX603" s="87">
        <f t="array" ref="AX603">IF(G603=1,SUM((ROW(M0)=ROW(AW603))*(M0+M1_+M2_+M3_+M4_+M5_+M6_+M7_+M8_+M9_+M10_+M11_+M12_+M13_+M14_+M15_+M16_+M17_+M18_+M19_+M20_+M21_+M22_+M23_+M24_+M25_+M26_+M27_+M28_+M29_+M30_+M31_+M32_+M33_+M34_+M35_+M36_+M37_)),0)</f>
        <v>0</v>
      </c>
      <c r="AZ603" s="24" t="str">
        <f t="shared" si="133"/>
        <v/>
      </c>
      <c r="BA603" s="24" t="str">
        <f t="shared" si="134"/>
        <v/>
      </c>
      <c r="BB603" s="24" t="str">
        <f t="shared" si="135"/>
        <v/>
      </c>
      <c r="BC603" s="24" t="str">
        <f>IF(OR(E603="",LEFT(TableCosts[[#This Row],[Calc_N_Typ]],18)="Vynaložené náklady"),"",VLOOKUP(E603,Tab_Parts,2,0))</f>
        <v/>
      </c>
      <c r="BD603" s="24" t="str">
        <f t="shared" si="136"/>
        <v/>
      </c>
      <c r="BE603" s="24">
        <f t="shared" si="137"/>
        <v>0</v>
      </c>
      <c r="BF603" s="72">
        <f>TableCosts[[#This Row],[N_Amount]]*TableCosts[[#This Row],[N_Tariff]]*TableCosts[[#This Row],[N_ItemsCount]]</f>
        <v>0</v>
      </c>
      <c r="BG603" s="72">
        <f>IF(G603=1,IF(TableCosts[[#This Row],[N_Kateg]]="interné práce",TableCosts[[#This Row],[N_Amount]]*8*PAR_SGA_PERHOUR,0),0)</f>
        <v>0</v>
      </c>
      <c r="BH603" s="72">
        <f>SUM(TableCosts[[#This Row],[N_Direct]:[N_SGA]])</f>
        <v>0</v>
      </c>
      <c r="BI603" s="24">
        <f>IF(G603=1,IF(OR(AND(NOT(ISERROR(VLOOKUP(TableCosts[[#This Row],[Calc_N_Typ]],Cis_WorkPositions,1,0))),C603&lt;&gt;"",D603&lt;&gt;"",E603&lt;&gt;""),AND(ISERROR(VLOOKUP(TableCosts[[#This Row],[Calc_N_Typ]],Cis_WorkPositions,1,0)),C603="",D603="",E603&lt;&gt;""),LEFT(TableCosts[[#This Row],[Calc_N_Typ]],18)="Vynaložené náklady"),VLOOKUP(C603&amp;TableCosts[[#This Row],[Calc_N_Typ]],TRAN_STRITEMS_LABEL,VLOOKUP(D603,Tab_Hours,3,0),0),NA()),0)</f>
        <v>0</v>
      </c>
      <c r="BJ603" s="24">
        <f t="shared" si="138"/>
        <v>0</v>
      </c>
      <c r="BK603" s="24" t="str">
        <f t="shared" si="139"/>
        <v/>
      </c>
      <c r="BL603" s="24" t="str">
        <f t="shared" si="140"/>
        <v/>
      </c>
      <c r="BM603" s="24" t="str">
        <f>IF(G603=1,IF(TableCosts[[#This Row],[TransferFrom]]=TableCosts[[#This Row],[TranferTo]],0,1),"")</f>
        <v/>
      </c>
      <c r="BN603" s="24" t="str">
        <f t="shared" si="141"/>
        <v/>
      </c>
      <c r="BO603" s="24">
        <f t="shared" si="142"/>
        <v>0</v>
      </c>
      <c r="BP603" s="24">
        <f t="shared" si="143"/>
        <v>0</v>
      </c>
    </row>
    <row r="604" spans="2:68" s="24" customFormat="1" ht="12.75" x14ac:dyDescent="0.2">
      <c r="B604" s="97"/>
      <c r="C604" s="92"/>
      <c r="D604" s="92"/>
      <c r="E604" s="92"/>
      <c r="F604" s="31" t="str">
        <f>IF(G604=1,IF(ISERROR(TableCosts[[#This Row],[N_Tariff]]),Err_Message1,IF(TableCosts[[#This Row],[N_Tariff]]=0,Err_Message2,VLOOKUP(C604&amp;TableCosts[[#This Row],[Calc_N_Typ]],TRAN_STRITEMS_LABEL,5,FALSE))),"")</f>
        <v/>
      </c>
      <c r="G604" s="31">
        <f t="shared" si="132"/>
        <v>0</v>
      </c>
      <c r="H604" s="31" t="str">
        <f>IF(G604=1,IFERROR(VLOOKUP(F604,Tab_ErrMessage[],2,0),VLOOKUP(C604&amp;TableCosts[[#This Row],[Calc_N_Typ]],TRAN_STRITEMS_LABEL,4,FALSE)),"")</f>
        <v/>
      </c>
      <c r="I604" s="94"/>
      <c r="J604" s="94"/>
      <c r="K604" s="94"/>
      <c r="L604" s="84"/>
      <c r="M604" s="84"/>
      <c r="N604" s="84"/>
      <c r="O604" s="84"/>
      <c r="P604" s="84"/>
      <c r="Q604" s="84"/>
      <c r="R604" s="84"/>
      <c r="S604" s="84"/>
      <c r="T604" s="84"/>
      <c r="U604" s="84"/>
      <c r="V604" s="84"/>
      <c r="W604" s="84"/>
      <c r="X604" s="84"/>
      <c r="Y604" s="84"/>
      <c r="Z604" s="84"/>
      <c r="AA604" s="84"/>
      <c r="AB604" s="84"/>
      <c r="AC604" s="84"/>
      <c r="AD604" s="84"/>
      <c r="AE604" s="84"/>
      <c r="AF604" s="84"/>
      <c r="AG604" s="84"/>
      <c r="AH604" s="84"/>
      <c r="AI604" s="84"/>
      <c r="AJ604" s="84"/>
      <c r="AK604" s="84"/>
      <c r="AL604" s="84"/>
      <c r="AM604" s="84"/>
      <c r="AN604" s="84"/>
      <c r="AO604" s="84"/>
      <c r="AP604" s="84"/>
      <c r="AQ604" s="84"/>
      <c r="AR604" s="84"/>
      <c r="AS604" s="84"/>
      <c r="AT604" s="84"/>
      <c r="AU604" s="84"/>
      <c r="AV604" s="84"/>
      <c r="AW604" s="84"/>
      <c r="AX604" s="87">
        <f t="array" ref="AX604">IF(G604=1,SUM((ROW(M0)=ROW(AW604))*(M0+M1_+M2_+M3_+M4_+M5_+M6_+M7_+M8_+M9_+M10_+M11_+M12_+M13_+M14_+M15_+M16_+M17_+M18_+M19_+M20_+M21_+M22_+M23_+M24_+M25_+M26_+M27_+M28_+M29_+M30_+M31_+M32_+M33_+M34_+M35_+M36_+M37_)),0)</f>
        <v>0</v>
      </c>
      <c r="AZ604" s="24" t="str">
        <f t="shared" si="133"/>
        <v/>
      </c>
      <c r="BA604" s="24" t="str">
        <f t="shared" si="134"/>
        <v/>
      </c>
      <c r="BB604" s="24" t="str">
        <f t="shared" si="135"/>
        <v/>
      </c>
      <c r="BC604" s="24" t="str">
        <f>IF(OR(E604="",LEFT(TableCosts[[#This Row],[Calc_N_Typ]],18)="Vynaložené náklady"),"",VLOOKUP(E604,Tab_Parts,2,0))</f>
        <v/>
      </c>
      <c r="BD604" s="24" t="str">
        <f t="shared" si="136"/>
        <v/>
      </c>
      <c r="BE604" s="24">
        <f t="shared" si="137"/>
        <v>0</v>
      </c>
      <c r="BF604" s="72">
        <f>TableCosts[[#This Row],[N_Amount]]*TableCosts[[#This Row],[N_Tariff]]*TableCosts[[#This Row],[N_ItemsCount]]</f>
        <v>0</v>
      </c>
      <c r="BG604" s="72">
        <f>IF(G604=1,IF(TableCosts[[#This Row],[N_Kateg]]="interné práce",TableCosts[[#This Row],[N_Amount]]*8*PAR_SGA_PERHOUR,0),0)</f>
        <v>0</v>
      </c>
      <c r="BH604" s="72">
        <f>SUM(TableCosts[[#This Row],[N_Direct]:[N_SGA]])</f>
        <v>0</v>
      </c>
      <c r="BI604" s="24">
        <f>IF(G604=1,IF(OR(AND(NOT(ISERROR(VLOOKUP(TableCosts[[#This Row],[Calc_N_Typ]],Cis_WorkPositions,1,0))),C604&lt;&gt;"",D604&lt;&gt;"",E604&lt;&gt;""),AND(ISERROR(VLOOKUP(TableCosts[[#This Row],[Calc_N_Typ]],Cis_WorkPositions,1,0)),C604="",D604="",E604&lt;&gt;""),LEFT(TableCosts[[#This Row],[Calc_N_Typ]],18)="Vynaložené náklady"),VLOOKUP(C604&amp;TableCosts[[#This Row],[Calc_N_Typ]],TRAN_STRITEMS_LABEL,VLOOKUP(D604,Tab_Hours,3,0),0),NA()),0)</f>
        <v>0</v>
      </c>
      <c r="BJ604" s="24">
        <f t="shared" si="138"/>
        <v>0</v>
      </c>
      <c r="BK604" s="24" t="str">
        <f t="shared" si="139"/>
        <v/>
      </c>
      <c r="BL604" s="24" t="str">
        <f t="shared" si="140"/>
        <v/>
      </c>
      <c r="BM604" s="24" t="str">
        <f>IF(G604=1,IF(TableCosts[[#This Row],[TransferFrom]]=TableCosts[[#This Row],[TranferTo]],0,1),"")</f>
        <v/>
      </c>
      <c r="BN604" s="24" t="str">
        <f t="shared" si="141"/>
        <v/>
      </c>
      <c r="BO604" s="24">
        <f t="shared" si="142"/>
        <v>0</v>
      </c>
      <c r="BP604" s="24">
        <f t="shared" si="143"/>
        <v>0</v>
      </c>
    </row>
    <row r="605" spans="2:68" s="24" customFormat="1" ht="12.75" x14ac:dyDescent="0.2">
      <c r="B605" s="97"/>
      <c r="C605" s="92"/>
      <c r="D605" s="92"/>
      <c r="E605" s="92"/>
      <c r="F605" s="31" t="str">
        <f>IF(G605=1,IF(ISERROR(TableCosts[[#This Row],[N_Tariff]]),Err_Message1,IF(TableCosts[[#This Row],[N_Tariff]]=0,Err_Message2,VLOOKUP(C605&amp;TableCosts[[#This Row],[Calc_N_Typ]],TRAN_STRITEMS_LABEL,5,FALSE))),"")</f>
        <v/>
      </c>
      <c r="G605" s="31">
        <f t="shared" si="132"/>
        <v>0</v>
      </c>
      <c r="H605" s="31" t="str">
        <f>IF(G605=1,IFERROR(VLOOKUP(F605,Tab_ErrMessage[],2,0),VLOOKUP(C605&amp;TableCosts[[#This Row],[Calc_N_Typ]],TRAN_STRITEMS_LABEL,4,FALSE)),"")</f>
        <v/>
      </c>
      <c r="I605" s="94"/>
      <c r="J605" s="94"/>
      <c r="K605" s="94"/>
      <c r="L605" s="84"/>
      <c r="M605" s="84"/>
      <c r="N605" s="84"/>
      <c r="O605" s="84"/>
      <c r="P605" s="84"/>
      <c r="Q605" s="84"/>
      <c r="R605" s="84"/>
      <c r="S605" s="84"/>
      <c r="T605" s="84"/>
      <c r="U605" s="84"/>
      <c r="V605" s="84"/>
      <c r="W605" s="84"/>
      <c r="X605" s="84"/>
      <c r="Y605" s="84"/>
      <c r="Z605" s="84"/>
      <c r="AA605" s="84"/>
      <c r="AB605" s="84"/>
      <c r="AC605" s="84"/>
      <c r="AD605" s="84"/>
      <c r="AE605" s="84"/>
      <c r="AF605" s="84"/>
      <c r="AG605" s="84"/>
      <c r="AH605" s="84"/>
      <c r="AI605" s="84"/>
      <c r="AJ605" s="84"/>
      <c r="AK605" s="84"/>
      <c r="AL605" s="84"/>
      <c r="AM605" s="84"/>
      <c r="AN605" s="84"/>
      <c r="AO605" s="84"/>
      <c r="AP605" s="84"/>
      <c r="AQ605" s="84"/>
      <c r="AR605" s="84"/>
      <c r="AS605" s="84"/>
      <c r="AT605" s="84"/>
      <c r="AU605" s="84"/>
      <c r="AV605" s="84"/>
      <c r="AW605" s="84"/>
      <c r="AX605" s="87">
        <f t="array" ref="AX605">IF(G605=1,SUM((ROW(M0)=ROW(AW605))*(M0+M1_+M2_+M3_+M4_+M5_+M6_+M7_+M8_+M9_+M10_+M11_+M12_+M13_+M14_+M15_+M16_+M17_+M18_+M19_+M20_+M21_+M22_+M23_+M24_+M25_+M26_+M27_+M28_+M29_+M30_+M31_+M32_+M33_+M34_+M35_+M36_+M37_)),0)</f>
        <v>0</v>
      </c>
      <c r="AZ605" s="24" t="str">
        <f t="shared" si="133"/>
        <v/>
      </c>
      <c r="BA605" s="24" t="str">
        <f t="shared" si="134"/>
        <v/>
      </c>
      <c r="BB605" s="24" t="str">
        <f t="shared" si="135"/>
        <v/>
      </c>
      <c r="BC605" s="24" t="str">
        <f>IF(OR(E605="",LEFT(TableCosts[[#This Row],[Calc_N_Typ]],18)="Vynaložené náklady"),"",VLOOKUP(E605,Tab_Parts,2,0))</f>
        <v/>
      </c>
      <c r="BD605" s="24" t="str">
        <f t="shared" si="136"/>
        <v/>
      </c>
      <c r="BE605" s="24">
        <f t="shared" si="137"/>
        <v>0</v>
      </c>
      <c r="BF605" s="72">
        <f>TableCosts[[#This Row],[N_Amount]]*TableCosts[[#This Row],[N_Tariff]]*TableCosts[[#This Row],[N_ItemsCount]]</f>
        <v>0</v>
      </c>
      <c r="BG605" s="72">
        <f>IF(G605=1,IF(TableCosts[[#This Row],[N_Kateg]]="interné práce",TableCosts[[#This Row],[N_Amount]]*8*PAR_SGA_PERHOUR,0),0)</f>
        <v>0</v>
      </c>
      <c r="BH605" s="72">
        <f>SUM(TableCosts[[#This Row],[N_Direct]:[N_SGA]])</f>
        <v>0</v>
      </c>
      <c r="BI605" s="24">
        <f>IF(G605=1,IF(OR(AND(NOT(ISERROR(VLOOKUP(TableCosts[[#This Row],[Calc_N_Typ]],Cis_WorkPositions,1,0))),C605&lt;&gt;"",D605&lt;&gt;"",E605&lt;&gt;""),AND(ISERROR(VLOOKUP(TableCosts[[#This Row],[Calc_N_Typ]],Cis_WorkPositions,1,0)),C605="",D605="",E605&lt;&gt;""),LEFT(TableCosts[[#This Row],[Calc_N_Typ]],18)="Vynaložené náklady"),VLOOKUP(C605&amp;TableCosts[[#This Row],[Calc_N_Typ]],TRAN_STRITEMS_LABEL,VLOOKUP(D605,Tab_Hours,3,0),0),NA()),0)</f>
        <v>0</v>
      </c>
      <c r="BJ605" s="24">
        <f t="shared" si="138"/>
        <v>0</v>
      </c>
      <c r="BK605" s="24" t="str">
        <f t="shared" si="139"/>
        <v/>
      </c>
      <c r="BL605" s="24" t="str">
        <f t="shared" si="140"/>
        <v/>
      </c>
      <c r="BM605" s="24" t="str">
        <f>IF(G605=1,IF(TableCosts[[#This Row],[TransferFrom]]=TableCosts[[#This Row],[TranferTo]],0,1),"")</f>
        <v/>
      </c>
      <c r="BN605" s="24" t="str">
        <f t="shared" si="141"/>
        <v/>
      </c>
      <c r="BO605" s="24">
        <f t="shared" si="142"/>
        <v>0</v>
      </c>
      <c r="BP605" s="24">
        <f t="shared" si="143"/>
        <v>0</v>
      </c>
    </row>
    <row r="606" spans="2:68" s="24" customFormat="1" ht="12.75" x14ac:dyDescent="0.2">
      <c r="B606" s="97"/>
      <c r="C606" s="92"/>
      <c r="D606" s="92"/>
      <c r="E606" s="92"/>
      <c r="F606" s="31" t="str">
        <f>IF(G606=1,IF(ISERROR(TableCosts[[#This Row],[N_Tariff]]),Err_Message1,IF(TableCosts[[#This Row],[N_Tariff]]=0,Err_Message2,VLOOKUP(C606&amp;TableCosts[[#This Row],[Calc_N_Typ]],TRAN_STRITEMS_LABEL,5,FALSE))),"")</f>
        <v/>
      </c>
      <c r="G606" s="31">
        <f t="shared" si="132"/>
        <v>0</v>
      </c>
      <c r="H606" s="31" t="str">
        <f>IF(G606=1,IFERROR(VLOOKUP(F606,Tab_ErrMessage[],2,0),VLOOKUP(C606&amp;TableCosts[[#This Row],[Calc_N_Typ]],TRAN_STRITEMS_LABEL,4,FALSE)),"")</f>
        <v/>
      </c>
      <c r="I606" s="94"/>
      <c r="J606" s="94"/>
      <c r="K606" s="94"/>
      <c r="L606" s="84"/>
      <c r="M606" s="84"/>
      <c r="N606" s="84"/>
      <c r="O606" s="84"/>
      <c r="P606" s="84"/>
      <c r="Q606" s="84"/>
      <c r="R606" s="84"/>
      <c r="S606" s="84"/>
      <c r="T606" s="84"/>
      <c r="U606" s="84"/>
      <c r="V606" s="84"/>
      <c r="W606" s="84"/>
      <c r="X606" s="84"/>
      <c r="Y606" s="84"/>
      <c r="Z606" s="84"/>
      <c r="AA606" s="84"/>
      <c r="AB606" s="84"/>
      <c r="AC606" s="84"/>
      <c r="AD606" s="84"/>
      <c r="AE606" s="84"/>
      <c r="AF606" s="84"/>
      <c r="AG606" s="84"/>
      <c r="AH606" s="84"/>
      <c r="AI606" s="84"/>
      <c r="AJ606" s="84"/>
      <c r="AK606" s="84"/>
      <c r="AL606" s="84"/>
      <c r="AM606" s="84"/>
      <c r="AN606" s="84"/>
      <c r="AO606" s="84"/>
      <c r="AP606" s="84"/>
      <c r="AQ606" s="84"/>
      <c r="AR606" s="84"/>
      <c r="AS606" s="84"/>
      <c r="AT606" s="84"/>
      <c r="AU606" s="84"/>
      <c r="AV606" s="84"/>
      <c r="AW606" s="84"/>
      <c r="AX606" s="87">
        <f t="array" ref="AX606">IF(G606=1,SUM((ROW(M0)=ROW(AW606))*(M0+M1_+M2_+M3_+M4_+M5_+M6_+M7_+M8_+M9_+M10_+M11_+M12_+M13_+M14_+M15_+M16_+M17_+M18_+M19_+M20_+M21_+M22_+M23_+M24_+M25_+M26_+M27_+M28_+M29_+M30_+M31_+M32_+M33_+M34_+M35_+M36_+M37_)),0)</f>
        <v>0</v>
      </c>
      <c r="AZ606" s="24" t="str">
        <f t="shared" si="133"/>
        <v/>
      </c>
      <c r="BA606" s="24" t="str">
        <f t="shared" si="134"/>
        <v/>
      </c>
      <c r="BB606" s="24" t="str">
        <f t="shared" si="135"/>
        <v/>
      </c>
      <c r="BC606" s="24" t="str">
        <f>IF(OR(E606="",LEFT(TableCosts[[#This Row],[Calc_N_Typ]],18)="Vynaložené náklady"),"",VLOOKUP(E606,Tab_Parts,2,0))</f>
        <v/>
      </c>
      <c r="BD606" s="24" t="str">
        <f t="shared" si="136"/>
        <v/>
      </c>
      <c r="BE606" s="24">
        <f t="shared" si="137"/>
        <v>0</v>
      </c>
      <c r="BF606" s="72">
        <f>TableCosts[[#This Row],[N_Amount]]*TableCosts[[#This Row],[N_Tariff]]*TableCosts[[#This Row],[N_ItemsCount]]</f>
        <v>0</v>
      </c>
      <c r="BG606" s="72">
        <f>IF(G606=1,IF(TableCosts[[#This Row],[N_Kateg]]="interné práce",TableCosts[[#This Row],[N_Amount]]*8*PAR_SGA_PERHOUR,0),0)</f>
        <v>0</v>
      </c>
      <c r="BH606" s="72">
        <f>SUM(TableCosts[[#This Row],[N_Direct]:[N_SGA]])</f>
        <v>0</v>
      </c>
      <c r="BI606" s="24">
        <f>IF(G606=1,IF(OR(AND(NOT(ISERROR(VLOOKUP(TableCosts[[#This Row],[Calc_N_Typ]],Cis_WorkPositions,1,0))),C606&lt;&gt;"",D606&lt;&gt;"",E606&lt;&gt;""),AND(ISERROR(VLOOKUP(TableCosts[[#This Row],[Calc_N_Typ]],Cis_WorkPositions,1,0)),C606="",D606="",E606&lt;&gt;""),LEFT(TableCosts[[#This Row],[Calc_N_Typ]],18)="Vynaložené náklady"),VLOOKUP(C606&amp;TableCosts[[#This Row],[Calc_N_Typ]],TRAN_STRITEMS_LABEL,VLOOKUP(D606,Tab_Hours,3,0),0),NA()),0)</f>
        <v>0</v>
      </c>
      <c r="BJ606" s="24">
        <f t="shared" si="138"/>
        <v>0</v>
      </c>
      <c r="BK606" s="24" t="str">
        <f t="shared" si="139"/>
        <v/>
      </c>
      <c r="BL606" s="24" t="str">
        <f t="shared" si="140"/>
        <v/>
      </c>
      <c r="BM606" s="24" t="str">
        <f>IF(G606=1,IF(TableCosts[[#This Row],[TransferFrom]]=TableCosts[[#This Row],[TranferTo]],0,1),"")</f>
        <v/>
      </c>
      <c r="BN606" s="24" t="str">
        <f t="shared" si="141"/>
        <v/>
      </c>
      <c r="BO606" s="24">
        <f t="shared" si="142"/>
        <v>0</v>
      </c>
      <c r="BP606" s="24">
        <f t="shared" si="143"/>
        <v>0</v>
      </c>
    </row>
    <row r="607" spans="2:68" s="24" customFormat="1" ht="12.75" x14ac:dyDescent="0.2">
      <c r="B607" s="97"/>
      <c r="C607" s="92"/>
      <c r="D607" s="92"/>
      <c r="E607" s="92"/>
      <c r="F607" s="31" t="str">
        <f>IF(G607=1,IF(ISERROR(TableCosts[[#This Row],[N_Tariff]]),Err_Message1,IF(TableCosts[[#This Row],[N_Tariff]]=0,Err_Message2,VLOOKUP(C607&amp;TableCosts[[#This Row],[Calc_N_Typ]],TRAN_STRITEMS_LABEL,5,FALSE))),"")</f>
        <v/>
      </c>
      <c r="G607" s="31">
        <f t="shared" si="132"/>
        <v>0</v>
      </c>
      <c r="H607" s="31" t="str">
        <f>IF(G607=1,IFERROR(VLOOKUP(F607,Tab_ErrMessage[],2,0),VLOOKUP(C607&amp;TableCosts[[#This Row],[Calc_N_Typ]],TRAN_STRITEMS_LABEL,4,FALSE)),"")</f>
        <v/>
      </c>
      <c r="I607" s="94"/>
      <c r="J607" s="94"/>
      <c r="K607" s="94"/>
      <c r="L607" s="84"/>
      <c r="M607" s="84"/>
      <c r="N607" s="84"/>
      <c r="O607" s="84"/>
      <c r="P607" s="84"/>
      <c r="Q607" s="84"/>
      <c r="R607" s="84"/>
      <c r="S607" s="84"/>
      <c r="T607" s="84"/>
      <c r="U607" s="84"/>
      <c r="V607" s="84"/>
      <c r="W607" s="84"/>
      <c r="X607" s="84"/>
      <c r="Y607" s="84"/>
      <c r="Z607" s="84"/>
      <c r="AA607" s="84"/>
      <c r="AB607" s="84"/>
      <c r="AC607" s="84"/>
      <c r="AD607" s="84"/>
      <c r="AE607" s="84"/>
      <c r="AF607" s="84"/>
      <c r="AG607" s="84"/>
      <c r="AH607" s="84"/>
      <c r="AI607" s="84"/>
      <c r="AJ607" s="84"/>
      <c r="AK607" s="84"/>
      <c r="AL607" s="84"/>
      <c r="AM607" s="84"/>
      <c r="AN607" s="84"/>
      <c r="AO607" s="84"/>
      <c r="AP607" s="84"/>
      <c r="AQ607" s="84"/>
      <c r="AR607" s="84"/>
      <c r="AS607" s="84"/>
      <c r="AT607" s="84"/>
      <c r="AU607" s="84"/>
      <c r="AV607" s="84"/>
      <c r="AW607" s="84"/>
      <c r="AX607" s="87">
        <f t="array" ref="AX607">IF(G607=1,SUM((ROW(M0)=ROW(AW607))*(M0+M1_+M2_+M3_+M4_+M5_+M6_+M7_+M8_+M9_+M10_+M11_+M12_+M13_+M14_+M15_+M16_+M17_+M18_+M19_+M20_+M21_+M22_+M23_+M24_+M25_+M26_+M27_+M28_+M29_+M30_+M31_+M32_+M33_+M34_+M35_+M36_+M37_)),0)</f>
        <v>0</v>
      </c>
      <c r="AZ607" s="24" t="str">
        <f t="shared" si="133"/>
        <v/>
      </c>
      <c r="BA607" s="24" t="str">
        <f t="shared" si="134"/>
        <v/>
      </c>
      <c r="BB607" s="24" t="str">
        <f t="shared" si="135"/>
        <v/>
      </c>
      <c r="BC607" s="24" t="str">
        <f>IF(OR(E607="",LEFT(TableCosts[[#This Row],[Calc_N_Typ]],18)="Vynaložené náklady"),"",VLOOKUP(E607,Tab_Parts,2,0))</f>
        <v/>
      </c>
      <c r="BD607" s="24" t="str">
        <f t="shared" si="136"/>
        <v/>
      </c>
      <c r="BE607" s="24">
        <f t="shared" si="137"/>
        <v>0</v>
      </c>
      <c r="BF607" s="72">
        <f>TableCosts[[#This Row],[N_Amount]]*TableCosts[[#This Row],[N_Tariff]]*TableCosts[[#This Row],[N_ItemsCount]]</f>
        <v>0</v>
      </c>
      <c r="BG607" s="72">
        <f>IF(G607=1,IF(TableCosts[[#This Row],[N_Kateg]]="interné práce",TableCosts[[#This Row],[N_Amount]]*8*PAR_SGA_PERHOUR,0),0)</f>
        <v>0</v>
      </c>
      <c r="BH607" s="72">
        <f>SUM(TableCosts[[#This Row],[N_Direct]:[N_SGA]])</f>
        <v>0</v>
      </c>
      <c r="BI607" s="24">
        <f>IF(G607=1,IF(OR(AND(NOT(ISERROR(VLOOKUP(TableCosts[[#This Row],[Calc_N_Typ]],Cis_WorkPositions,1,0))),C607&lt;&gt;"",D607&lt;&gt;"",E607&lt;&gt;""),AND(ISERROR(VLOOKUP(TableCosts[[#This Row],[Calc_N_Typ]],Cis_WorkPositions,1,0)),C607="",D607="",E607&lt;&gt;""),LEFT(TableCosts[[#This Row],[Calc_N_Typ]],18)="Vynaložené náklady"),VLOOKUP(C607&amp;TableCosts[[#This Row],[Calc_N_Typ]],TRAN_STRITEMS_LABEL,VLOOKUP(D607,Tab_Hours,3,0),0),NA()),0)</f>
        <v>0</v>
      </c>
      <c r="BJ607" s="24">
        <f t="shared" si="138"/>
        <v>0</v>
      </c>
      <c r="BK607" s="24" t="str">
        <f t="shared" si="139"/>
        <v/>
      </c>
      <c r="BL607" s="24" t="str">
        <f t="shared" si="140"/>
        <v/>
      </c>
      <c r="BM607" s="24" t="str">
        <f>IF(G607=1,IF(TableCosts[[#This Row],[TransferFrom]]=TableCosts[[#This Row],[TranferTo]],0,1),"")</f>
        <v/>
      </c>
      <c r="BN607" s="24" t="str">
        <f t="shared" si="141"/>
        <v/>
      </c>
      <c r="BO607" s="24">
        <f t="shared" si="142"/>
        <v>0</v>
      </c>
      <c r="BP607" s="24">
        <f t="shared" si="143"/>
        <v>0</v>
      </c>
    </row>
    <row r="608" spans="2:68" s="24" customFormat="1" ht="12.75" x14ac:dyDescent="0.2">
      <c r="B608" s="97"/>
      <c r="C608" s="92"/>
      <c r="D608" s="92"/>
      <c r="E608" s="92"/>
      <c r="F608" s="31" t="str">
        <f>IF(G608=1,IF(ISERROR(TableCosts[[#This Row],[N_Tariff]]),Err_Message1,IF(TableCosts[[#This Row],[N_Tariff]]=0,Err_Message2,VLOOKUP(C608&amp;TableCosts[[#This Row],[Calc_N_Typ]],TRAN_STRITEMS_LABEL,5,FALSE))),"")</f>
        <v/>
      </c>
      <c r="G608" s="31">
        <f t="shared" si="132"/>
        <v>0</v>
      </c>
      <c r="H608" s="31" t="str">
        <f>IF(G608=1,IFERROR(VLOOKUP(F608,Tab_ErrMessage[],2,0),VLOOKUP(C608&amp;TableCosts[[#This Row],[Calc_N_Typ]],TRAN_STRITEMS_LABEL,4,FALSE)),"")</f>
        <v/>
      </c>
      <c r="I608" s="94"/>
      <c r="J608" s="94"/>
      <c r="K608" s="94"/>
      <c r="L608" s="84"/>
      <c r="M608" s="84"/>
      <c r="N608" s="84"/>
      <c r="O608" s="84"/>
      <c r="P608" s="84"/>
      <c r="Q608" s="84"/>
      <c r="R608" s="84"/>
      <c r="S608" s="84"/>
      <c r="T608" s="84"/>
      <c r="U608" s="84"/>
      <c r="V608" s="84"/>
      <c r="W608" s="84"/>
      <c r="X608" s="84"/>
      <c r="Y608" s="84"/>
      <c r="Z608" s="84"/>
      <c r="AA608" s="84"/>
      <c r="AB608" s="84"/>
      <c r="AC608" s="84"/>
      <c r="AD608" s="84"/>
      <c r="AE608" s="84"/>
      <c r="AF608" s="84"/>
      <c r="AG608" s="84"/>
      <c r="AH608" s="84"/>
      <c r="AI608" s="84"/>
      <c r="AJ608" s="84"/>
      <c r="AK608" s="84"/>
      <c r="AL608" s="84"/>
      <c r="AM608" s="84"/>
      <c r="AN608" s="84"/>
      <c r="AO608" s="84"/>
      <c r="AP608" s="84"/>
      <c r="AQ608" s="84"/>
      <c r="AR608" s="84"/>
      <c r="AS608" s="84"/>
      <c r="AT608" s="84"/>
      <c r="AU608" s="84"/>
      <c r="AV608" s="84"/>
      <c r="AW608" s="84"/>
      <c r="AX608" s="87">
        <f t="array" ref="AX608">IF(G608=1,SUM((ROW(M0)=ROW(AW608))*(M0+M1_+M2_+M3_+M4_+M5_+M6_+M7_+M8_+M9_+M10_+M11_+M12_+M13_+M14_+M15_+M16_+M17_+M18_+M19_+M20_+M21_+M22_+M23_+M24_+M25_+M26_+M27_+M28_+M29_+M30_+M31_+M32_+M33_+M34_+M35_+M36_+M37_)),0)</f>
        <v>0</v>
      </c>
      <c r="AZ608" s="24" t="str">
        <f t="shared" si="133"/>
        <v/>
      </c>
      <c r="BA608" s="24" t="str">
        <f t="shared" si="134"/>
        <v/>
      </c>
      <c r="BB608" s="24" t="str">
        <f t="shared" si="135"/>
        <v/>
      </c>
      <c r="BC608" s="24" t="str">
        <f>IF(OR(E608="",LEFT(TableCosts[[#This Row],[Calc_N_Typ]],18)="Vynaložené náklady"),"",VLOOKUP(E608,Tab_Parts,2,0))</f>
        <v/>
      </c>
      <c r="BD608" s="24" t="str">
        <f t="shared" si="136"/>
        <v/>
      </c>
      <c r="BE608" s="24">
        <f t="shared" si="137"/>
        <v>0</v>
      </c>
      <c r="BF608" s="72">
        <f>TableCosts[[#This Row],[N_Amount]]*TableCosts[[#This Row],[N_Tariff]]*TableCosts[[#This Row],[N_ItemsCount]]</f>
        <v>0</v>
      </c>
      <c r="BG608" s="72">
        <f>IF(G608=1,IF(TableCosts[[#This Row],[N_Kateg]]="interné práce",TableCosts[[#This Row],[N_Amount]]*8*PAR_SGA_PERHOUR,0),0)</f>
        <v>0</v>
      </c>
      <c r="BH608" s="72">
        <f>SUM(TableCosts[[#This Row],[N_Direct]:[N_SGA]])</f>
        <v>0</v>
      </c>
      <c r="BI608" s="24">
        <f>IF(G608=1,IF(OR(AND(NOT(ISERROR(VLOOKUP(TableCosts[[#This Row],[Calc_N_Typ]],Cis_WorkPositions,1,0))),C608&lt;&gt;"",D608&lt;&gt;"",E608&lt;&gt;""),AND(ISERROR(VLOOKUP(TableCosts[[#This Row],[Calc_N_Typ]],Cis_WorkPositions,1,0)),C608="",D608="",E608&lt;&gt;""),LEFT(TableCosts[[#This Row],[Calc_N_Typ]],18)="Vynaložené náklady"),VLOOKUP(C608&amp;TableCosts[[#This Row],[Calc_N_Typ]],TRAN_STRITEMS_LABEL,VLOOKUP(D608,Tab_Hours,3,0),0),NA()),0)</f>
        <v>0</v>
      </c>
      <c r="BJ608" s="24">
        <f t="shared" si="138"/>
        <v>0</v>
      </c>
      <c r="BK608" s="24" t="str">
        <f t="shared" si="139"/>
        <v/>
      </c>
      <c r="BL608" s="24" t="str">
        <f t="shared" si="140"/>
        <v/>
      </c>
      <c r="BM608" s="24" t="str">
        <f>IF(G608=1,IF(TableCosts[[#This Row],[TransferFrom]]=TableCosts[[#This Row],[TranferTo]],0,1),"")</f>
        <v/>
      </c>
      <c r="BN608" s="24" t="str">
        <f t="shared" si="141"/>
        <v/>
      </c>
      <c r="BO608" s="24">
        <f t="shared" si="142"/>
        <v>0</v>
      </c>
      <c r="BP608" s="24">
        <f t="shared" si="143"/>
        <v>0</v>
      </c>
    </row>
    <row r="609" spans="2:68" s="24" customFormat="1" ht="12.75" x14ac:dyDescent="0.2">
      <c r="B609" s="97"/>
      <c r="C609" s="92"/>
      <c r="D609" s="92"/>
      <c r="E609" s="92"/>
      <c r="F609" s="31" t="str">
        <f>IF(G609=1,IF(ISERROR(TableCosts[[#This Row],[N_Tariff]]),Err_Message1,IF(TableCosts[[#This Row],[N_Tariff]]=0,Err_Message2,VLOOKUP(C609&amp;TableCosts[[#This Row],[Calc_N_Typ]],TRAN_STRITEMS_LABEL,5,FALSE))),"")</f>
        <v/>
      </c>
      <c r="G609" s="31">
        <f t="shared" si="132"/>
        <v>0</v>
      </c>
      <c r="H609" s="31" t="str">
        <f>IF(G609=1,IFERROR(VLOOKUP(F609,Tab_ErrMessage[],2,0),VLOOKUP(C609&amp;TableCosts[[#This Row],[Calc_N_Typ]],TRAN_STRITEMS_LABEL,4,FALSE)),"")</f>
        <v/>
      </c>
      <c r="I609" s="94"/>
      <c r="J609" s="94"/>
      <c r="K609" s="94"/>
      <c r="L609" s="84"/>
      <c r="M609" s="84"/>
      <c r="N609" s="84"/>
      <c r="O609" s="84"/>
      <c r="P609" s="84"/>
      <c r="Q609" s="84"/>
      <c r="R609" s="84"/>
      <c r="S609" s="84"/>
      <c r="T609" s="84"/>
      <c r="U609" s="84"/>
      <c r="V609" s="84"/>
      <c r="W609" s="84"/>
      <c r="X609" s="84"/>
      <c r="Y609" s="84"/>
      <c r="Z609" s="84"/>
      <c r="AA609" s="84"/>
      <c r="AB609" s="84"/>
      <c r="AC609" s="84"/>
      <c r="AD609" s="84"/>
      <c r="AE609" s="84"/>
      <c r="AF609" s="84"/>
      <c r="AG609" s="84"/>
      <c r="AH609" s="84"/>
      <c r="AI609" s="84"/>
      <c r="AJ609" s="84"/>
      <c r="AK609" s="84"/>
      <c r="AL609" s="84"/>
      <c r="AM609" s="84"/>
      <c r="AN609" s="84"/>
      <c r="AO609" s="84"/>
      <c r="AP609" s="84"/>
      <c r="AQ609" s="84"/>
      <c r="AR609" s="84"/>
      <c r="AS609" s="84"/>
      <c r="AT609" s="84"/>
      <c r="AU609" s="84"/>
      <c r="AV609" s="84"/>
      <c r="AW609" s="84"/>
      <c r="AX609" s="87">
        <f t="array" ref="AX609">IF(G609=1,SUM((ROW(M0)=ROW(AW609))*(M0+M1_+M2_+M3_+M4_+M5_+M6_+M7_+M8_+M9_+M10_+M11_+M12_+M13_+M14_+M15_+M16_+M17_+M18_+M19_+M20_+M21_+M22_+M23_+M24_+M25_+M26_+M27_+M28_+M29_+M30_+M31_+M32_+M33_+M34_+M35_+M36_+M37_)),0)</f>
        <v>0</v>
      </c>
      <c r="AZ609" s="24" t="str">
        <f t="shared" si="133"/>
        <v/>
      </c>
      <c r="BA609" s="24" t="str">
        <f t="shared" si="134"/>
        <v/>
      </c>
      <c r="BB609" s="24" t="str">
        <f t="shared" si="135"/>
        <v/>
      </c>
      <c r="BC609" s="24" t="str">
        <f>IF(OR(E609="",LEFT(TableCosts[[#This Row],[Calc_N_Typ]],18)="Vynaložené náklady"),"",VLOOKUP(E609,Tab_Parts,2,0))</f>
        <v/>
      </c>
      <c r="BD609" s="24" t="str">
        <f t="shared" si="136"/>
        <v/>
      </c>
      <c r="BE609" s="24">
        <f t="shared" si="137"/>
        <v>0</v>
      </c>
      <c r="BF609" s="72">
        <f>TableCosts[[#This Row],[N_Amount]]*TableCosts[[#This Row],[N_Tariff]]*TableCosts[[#This Row],[N_ItemsCount]]</f>
        <v>0</v>
      </c>
      <c r="BG609" s="72">
        <f>IF(G609=1,IF(TableCosts[[#This Row],[N_Kateg]]="interné práce",TableCosts[[#This Row],[N_Amount]]*8*PAR_SGA_PERHOUR,0),0)</f>
        <v>0</v>
      </c>
      <c r="BH609" s="72">
        <f>SUM(TableCosts[[#This Row],[N_Direct]:[N_SGA]])</f>
        <v>0</v>
      </c>
      <c r="BI609" s="24">
        <f>IF(G609=1,IF(OR(AND(NOT(ISERROR(VLOOKUP(TableCosts[[#This Row],[Calc_N_Typ]],Cis_WorkPositions,1,0))),C609&lt;&gt;"",D609&lt;&gt;"",E609&lt;&gt;""),AND(ISERROR(VLOOKUP(TableCosts[[#This Row],[Calc_N_Typ]],Cis_WorkPositions,1,0)),C609="",D609="",E609&lt;&gt;""),LEFT(TableCosts[[#This Row],[Calc_N_Typ]],18)="Vynaložené náklady"),VLOOKUP(C609&amp;TableCosts[[#This Row],[Calc_N_Typ]],TRAN_STRITEMS_LABEL,VLOOKUP(D609,Tab_Hours,3,0),0),NA()),0)</f>
        <v>0</v>
      </c>
      <c r="BJ609" s="24">
        <f t="shared" si="138"/>
        <v>0</v>
      </c>
      <c r="BK609" s="24" t="str">
        <f t="shared" si="139"/>
        <v/>
      </c>
      <c r="BL609" s="24" t="str">
        <f t="shared" si="140"/>
        <v/>
      </c>
      <c r="BM609" s="24" t="str">
        <f>IF(G609=1,IF(TableCosts[[#This Row],[TransferFrom]]=TableCosts[[#This Row],[TranferTo]],0,1),"")</f>
        <v/>
      </c>
      <c r="BN609" s="24" t="str">
        <f t="shared" si="141"/>
        <v/>
      </c>
      <c r="BO609" s="24">
        <f t="shared" si="142"/>
        <v>0</v>
      </c>
      <c r="BP609" s="24">
        <f t="shared" si="143"/>
        <v>0</v>
      </c>
    </row>
    <row r="610" spans="2:68" s="24" customFormat="1" ht="12.75" x14ac:dyDescent="0.2">
      <c r="B610" s="97"/>
      <c r="C610" s="92"/>
      <c r="D610" s="92"/>
      <c r="E610" s="92"/>
      <c r="F610" s="31" t="str">
        <f>IF(G610=1,IF(ISERROR(TableCosts[[#This Row],[N_Tariff]]),Err_Message1,IF(TableCosts[[#This Row],[N_Tariff]]=0,Err_Message2,VLOOKUP(C610&amp;TableCosts[[#This Row],[Calc_N_Typ]],TRAN_STRITEMS_LABEL,5,FALSE))),"")</f>
        <v/>
      </c>
      <c r="G610" s="31">
        <f t="shared" si="132"/>
        <v>0</v>
      </c>
      <c r="H610" s="31" t="str">
        <f>IF(G610=1,IFERROR(VLOOKUP(F610,Tab_ErrMessage[],2,0),VLOOKUP(C610&amp;TableCosts[[#This Row],[Calc_N_Typ]],TRAN_STRITEMS_LABEL,4,FALSE)),"")</f>
        <v/>
      </c>
      <c r="I610" s="94"/>
      <c r="J610" s="94"/>
      <c r="K610" s="94"/>
      <c r="L610" s="84"/>
      <c r="M610" s="84"/>
      <c r="N610" s="84"/>
      <c r="O610" s="84"/>
      <c r="P610" s="84"/>
      <c r="Q610" s="84"/>
      <c r="R610" s="84"/>
      <c r="S610" s="84"/>
      <c r="T610" s="84"/>
      <c r="U610" s="84"/>
      <c r="V610" s="84"/>
      <c r="W610" s="84"/>
      <c r="X610" s="84"/>
      <c r="Y610" s="84"/>
      <c r="Z610" s="84"/>
      <c r="AA610" s="84"/>
      <c r="AB610" s="84"/>
      <c r="AC610" s="84"/>
      <c r="AD610" s="84"/>
      <c r="AE610" s="84"/>
      <c r="AF610" s="84"/>
      <c r="AG610" s="84"/>
      <c r="AH610" s="84"/>
      <c r="AI610" s="84"/>
      <c r="AJ610" s="84"/>
      <c r="AK610" s="84"/>
      <c r="AL610" s="84"/>
      <c r="AM610" s="84"/>
      <c r="AN610" s="84"/>
      <c r="AO610" s="84"/>
      <c r="AP610" s="84"/>
      <c r="AQ610" s="84"/>
      <c r="AR610" s="84"/>
      <c r="AS610" s="84"/>
      <c r="AT610" s="84"/>
      <c r="AU610" s="84"/>
      <c r="AV610" s="84"/>
      <c r="AW610" s="84"/>
      <c r="AX610" s="87">
        <f t="array" ref="AX610">IF(G610=1,SUM((ROW(M0)=ROW(AW610))*(M0+M1_+M2_+M3_+M4_+M5_+M6_+M7_+M8_+M9_+M10_+M11_+M12_+M13_+M14_+M15_+M16_+M17_+M18_+M19_+M20_+M21_+M22_+M23_+M24_+M25_+M26_+M27_+M28_+M29_+M30_+M31_+M32_+M33_+M34_+M35_+M36_+M37_)),0)</f>
        <v>0</v>
      </c>
      <c r="AZ610" s="24" t="str">
        <f t="shared" si="133"/>
        <v/>
      </c>
      <c r="BA610" s="24" t="str">
        <f t="shared" si="134"/>
        <v/>
      </c>
      <c r="BB610" s="24" t="str">
        <f t="shared" si="135"/>
        <v/>
      </c>
      <c r="BC610" s="24" t="str">
        <f>IF(OR(E610="",LEFT(TableCosts[[#This Row],[Calc_N_Typ]],18)="Vynaložené náklady"),"",VLOOKUP(E610,Tab_Parts,2,0))</f>
        <v/>
      </c>
      <c r="BD610" s="24" t="str">
        <f t="shared" si="136"/>
        <v/>
      </c>
      <c r="BE610" s="24">
        <f t="shared" si="137"/>
        <v>0</v>
      </c>
      <c r="BF610" s="72">
        <f>TableCosts[[#This Row],[N_Amount]]*TableCosts[[#This Row],[N_Tariff]]*TableCosts[[#This Row],[N_ItemsCount]]</f>
        <v>0</v>
      </c>
      <c r="BG610" s="72">
        <f>IF(G610=1,IF(TableCosts[[#This Row],[N_Kateg]]="interné práce",TableCosts[[#This Row],[N_Amount]]*8*PAR_SGA_PERHOUR,0),0)</f>
        <v>0</v>
      </c>
      <c r="BH610" s="72">
        <f>SUM(TableCosts[[#This Row],[N_Direct]:[N_SGA]])</f>
        <v>0</v>
      </c>
      <c r="BI610" s="24">
        <f>IF(G610=1,IF(OR(AND(NOT(ISERROR(VLOOKUP(TableCosts[[#This Row],[Calc_N_Typ]],Cis_WorkPositions,1,0))),C610&lt;&gt;"",D610&lt;&gt;"",E610&lt;&gt;""),AND(ISERROR(VLOOKUP(TableCosts[[#This Row],[Calc_N_Typ]],Cis_WorkPositions,1,0)),C610="",D610="",E610&lt;&gt;""),LEFT(TableCosts[[#This Row],[Calc_N_Typ]],18)="Vynaložené náklady"),VLOOKUP(C610&amp;TableCosts[[#This Row],[Calc_N_Typ]],TRAN_STRITEMS_LABEL,VLOOKUP(D610,Tab_Hours,3,0),0),NA()),0)</f>
        <v>0</v>
      </c>
      <c r="BJ610" s="24">
        <f t="shared" si="138"/>
        <v>0</v>
      </c>
      <c r="BK610" s="24" t="str">
        <f t="shared" si="139"/>
        <v/>
      </c>
      <c r="BL610" s="24" t="str">
        <f t="shared" si="140"/>
        <v/>
      </c>
      <c r="BM610" s="24" t="str">
        <f>IF(G610=1,IF(TableCosts[[#This Row],[TransferFrom]]=TableCosts[[#This Row],[TranferTo]],0,1),"")</f>
        <v/>
      </c>
      <c r="BN610" s="24" t="str">
        <f t="shared" si="141"/>
        <v/>
      </c>
      <c r="BO610" s="24">
        <f t="shared" si="142"/>
        <v>0</v>
      </c>
      <c r="BP610" s="24">
        <f t="shared" si="143"/>
        <v>0</v>
      </c>
    </row>
    <row r="611" spans="2:68" s="24" customFormat="1" ht="12.75" x14ac:dyDescent="0.2">
      <c r="B611" s="97"/>
      <c r="C611" s="92"/>
      <c r="D611" s="92"/>
      <c r="E611" s="92"/>
      <c r="F611" s="31" t="str">
        <f>IF(G611=1,IF(ISERROR(TableCosts[[#This Row],[N_Tariff]]),Err_Message1,IF(TableCosts[[#This Row],[N_Tariff]]=0,Err_Message2,VLOOKUP(C611&amp;TableCosts[[#This Row],[Calc_N_Typ]],TRAN_STRITEMS_LABEL,5,FALSE))),"")</f>
        <v/>
      </c>
      <c r="G611" s="31">
        <f t="shared" si="132"/>
        <v>0</v>
      </c>
      <c r="H611" s="31" t="str">
        <f>IF(G611=1,IFERROR(VLOOKUP(F611,Tab_ErrMessage[],2,0),VLOOKUP(C611&amp;TableCosts[[#This Row],[Calc_N_Typ]],TRAN_STRITEMS_LABEL,4,FALSE)),"")</f>
        <v/>
      </c>
      <c r="I611" s="94"/>
      <c r="J611" s="94"/>
      <c r="K611" s="94"/>
      <c r="L611" s="84"/>
      <c r="M611" s="84"/>
      <c r="N611" s="84"/>
      <c r="O611" s="84"/>
      <c r="P611" s="84"/>
      <c r="Q611" s="84"/>
      <c r="R611" s="84"/>
      <c r="S611" s="84"/>
      <c r="T611" s="84"/>
      <c r="U611" s="84"/>
      <c r="V611" s="84"/>
      <c r="W611" s="84"/>
      <c r="X611" s="84"/>
      <c r="Y611" s="84"/>
      <c r="Z611" s="84"/>
      <c r="AA611" s="84"/>
      <c r="AB611" s="84"/>
      <c r="AC611" s="84"/>
      <c r="AD611" s="84"/>
      <c r="AE611" s="84"/>
      <c r="AF611" s="84"/>
      <c r="AG611" s="84"/>
      <c r="AH611" s="84"/>
      <c r="AI611" s="84"/>
      <c r="AJ611" s="84"/>
      <c r="AK611" s="84"/>
      <c r="AL611" s="84"/>
      <c r="AM611" s="84"/>
      <c r="AN611" s="84"/>
      <c r="AO611" s="84"/>
      <c r="AP611" s="84"/>
      <c r="AQ611" s="84"/>
      <c r="AR611" s="84"/>
      <c r="AS611" s="84"/>
      <c r="AT611" s="84"/>
      <c r="AU611" s="84"/>
      <c r="AV611" s="84"/>
      <c r="AW611" s="84"/>
      <c r="AX611" s="87">
        <f t="array" ref="AX611">IF(G611=1,SUM((ROW(M0)=ROW(AW611))*(M0+M1_+M2_+M3_+M4_+M5_+M6_+M7_+M8_+M9_+M10_+M11_+M12_+M13_+M14_+M15_+M16_+M17_+M18_+M19_+M20_+M21_+M22_+M23_+M24_+M25_+M26_+M27_+M28_+M29_+M30_+M31_+M32_+M33_+M34_+M35_+M36_+M37_)),0)</f>
        <v>0</v>
      </c>
      <c r="AZ611" s="24" t="str">
        <f t="shared" si="133"/>
        <v/>
      </c>
      <c r="BA611" s="24" t="str">
        <f t="shared" si="134"/>
        <v/>
      </c>
      <c r="BB611" s="24" t="str">
        <f t="shared" si="135"/>
        <v/>
      </c>
      <c r="BC611" s="24" t="str">
        <f>IF(OR(E611="",LEFT(TableCosts[[#This Row],[Calc_N_Typ]],18)="Vynaložené náklady"),"",VLOOKUP(E611,Tab_Parts,2,0))</f>
        <v/>
      </c>
      <c r="BD611" s="24" t="str">
        <f t="shared" si="136"/>
        <v/>
      </c>
      <c r="BE611" s="24">
        <f t="shared" si="137"/>
        <v>0</v>
      </c>
      <c r="BF611" s="72">
        <f>TableCosts[[#This Row],[N_Amount]]*TableCosts[[#This Row],[N_Tariff]]*TableCosts[[#This Row],[N_ItemsCount]]</f>
        <v>0</v>
      </c>
      <c r="BG611" s="72">
        <f>IF(G611=1,IF(TableCosts[[#This Row],[N_Kateg]]="interné práce",TableCosts[[#This Row],[N_Amount]]*8*PAR_SGA_PERHOUR,0),0)</f>
        <v>0</v>
      </c>
      <c r="BH611" s="72">
        <f>SUM(TableCosts[[#This Row],[N_Direct]:[N_SGA]])</f>
        <v>0</v>
      </c>
      <c r="BI611" s="24">
        <f>IF(G611=1,IF(OR(AND(NOT(ISERROR(VLOOKUP(TableCosts[[#This Row],[Calc_N_Typ]],Cis_WorkPositions,1,0))),C611&lt;&gt;"",D611&lt;&gt;"",E611&lt;&gt;""),AND(ISERROR(VLOOKUP(TableCosts[[#This Row],[Calc_N_Typ]],Cis_WorkPositions,1,0)),C611="",D611="",E611&lt;&gt;""),LEFT(TableCosts[[#This Row],[Calc_N_Typ]],18)="Vynaložené náklady"),VLOOKUP(C611&amp;TableCosts[[#This Row],[Calc_N_Typ]],TRAN_STRITEMS_LABEL,VLOOKUP(D611,Tab_Hours,3,0),0),NA()),0)</f>
        <v>0</v>
      </c>
      <c r="BJ611" s="24">
        <f t="shared" si="138"/>
        <v>0</v>
      </c>
      <c r="BK611" s="24" t="str">
        <f t="shared" si="139"/>
        <v/>
      </c>
      <c r="BL611" s="24" t="str">
        <f t="shared" si="140"/>
        <v/>
      </c>
      <c r="BM611" s="24" t="str">
        <f>IF(G611=1,IF(TableCosts[[#This Row],[TransferFrom]]=TableCosts[[#This Row],[TranferTo]],0,1),"")</f>
        <v/>
      </c>
      <c r="BN611" s="24" t="str">
        <f t="shared" si="141"/>
        <v/>
      </c>
      <c r="BO611" s="24">
        <f t="shared" si="142"/>
        <v>0</v>
      </c>
      <c r="BP611" s="24">
        <f t="shared" si="143"/>
        <v>0</v>
      </c>
    </row>
    <row r="612" spans="2:68" s="24" customFormat="1" ht="12.75" x14ac:dyDescent="0.2">
      <c r="B612" s="97"/>
      <c r="C612" s="92"/>
      <c r="D612" s="92"/>
      <c r="E612" s="92"/>
      <c r="F612" s="31" t="str">
        <f>IF(G612=1,IF(ISERROR(TableCosts[[#This Row],[N_Tariff]]),Err_Message1,IF(TableCosts[[#This Row],[N_Tariff]]=0,Err_Message2,VLOOKUP(C612&amp;TableCosts[[#This Row],[Calc_N_Typ]],TRAN_STRITEMS_LABEL,5,FALSE))),"")</f>
        <v/>
      </c>
      <c r="G612" s="31">
        <f t="shared" si="132"/>
        <v>0</v>
      </c>
      <c r="H612" s="31" t="str">
        <f>IF(G612=1,IFERROR(VLOOKUP(F612,Tab_ErrMessage[],2,0),VLOOKUP(C612&amp;TableCosts[[#This Row],[Calc_N_Typ]],TRAN_STRITEMS_LABEL,4,FALSE)),"")</f>
        <v/>
      </c>
      <c r="I612" s="94"/>
      <c r="J612" s="94"/>
      <c r="K612" s="94"/>
      <c r="L612" s="84"/>
      <c r="M612" s="84"/>
      <c r="N612" s="84"/>
      <c r="O612" s="84"/>
      <c r="P612" s="84"/>
      <c r="Q612" s="84"/>
      <c r="R612" s="84"/>
      <c r="S612" s="84"/>
      <c r="T612" s="84"/>
      <c r="U612" s="84"/>
      <c r="V612" s="84"/>
      <c r="W612" s="84"/>
      <c r="X612" s="84"/>
      <c r="Y612" s="84"/>
      <c r="Z612" s="84"/>
      <c r="AA612" s="84"/>
      <c r="AB612" s="84"/>
      <c r="AC612" s="84"/>
      <c r="AD612" s="84"/>
      <c r="AE612" s="84"/>
      <c r="AF612" s="84"/>
      <c r="AG612" s="84"/>
      <c r="AH612" s="84"/>
      <c r="AI612" s="84"/>
      <c r="AJ612" s="84"/>
      <c r="AK612" s="84"/>
      <c r="AL612" s="84"/>
      <c r="AM612" s="84"/>
      <c r="AN612" s="84"/>
      <c r="AO612" s="84"/>
      <c r="AP612" s="84"/>
      <c r="AQ612" s="84"/>
      <c r="AR612" s="84"/>
      <c r="AS612" s="84"/>
      <c r="AT612" s="84"/>
      <c r="AU612" s="84"/>
      <c r="AV612" s="84"/>
      <c r="AW612" s="84"/>
      <c r="AX612" s="87">
        <f t="array" ref="AX612">IF(G612=1,SUM((ROW(M0)=ROW(AW612))*(M0+M1_+M2_+M3_+M4_+M5_+M6_+M7_+M8_+M9_+M10_+M11_+M12_+M13_+M14_+M15_+M16_+M17_+M18_+M19_+M20_+M21_+M22_+M23_+M24_+M25_+M26_+M27_+M28_+M29_+M30_+M31_+M32_+M33_+M34_+M35_+M36_+M37_)),0)</f>
        <v>0</v>
      </c>
      <c r="AZ612" s="24" t="str">
        <f t="shared" si="133"/>
        <v/>
      </c>
      <c r="BA612" s="24" t="str">
        <f t="shared" si="134"/>
        <v/>
      </c>
      <c r="BB612" s="24" t="str">
        <f t="shared" si="135"/>
        <v/>
      </c>
      <c r="BC612" s="24" t="str">
        <f>IF(OR(E612="",LEFT(TableCosts[[#This Row],[Calc_N_Typ]],18)="Vynaložené náklady"),"",VLOOKUP(E612,Tab_Parts,2,0))</f>
        <v/>
      </c>
      <c r="BD612" s="24" t="str">
        <f t="shared" si="136"/>
        <v/>
      </c>
      <c r="BE612" s="24">
        <f t="shared" si="137"/>
        <v>0</v>
      </c>
      <c r="BF612" s="72">
        <f>TableCosts[[#This Row],[N_Amount]]*TableCosts[[#This Row],[N_Tariff]]*TableCosts[[#This Row],[N_ItemsCount]]</f>
        <v>0</v>
      </c>
      <c r="BG612" s="72">
        <f>IF(G612=1,IF(TableCosts[[#This Row],[N_Kateg]]="interné práce",TableCosts[[#This Row],[N_Amount]]*8*PAR_SGA_PERHOUR,0),0)</f>
        <v>0</v>
      </c>
      <c r="BH612" s="72">
        <f>SUM(TableCosts[[#This Row],[N_Direct]:[N_SGA]])</f>
        <v>0</v>
      </c>
      <c r="BI612" s="24">
        <f>IF(G612=1,IF(OR(AND(NOT(ISERROR(VLOOKUP(TableCosts[[#This Row],[Calc_N_Typ]],Cis_WorkPositions,1,0))),C612&lt;&gt;"",D612&lt;&gt;"",E612&lt;&gt;""),AND(ISERROR(VLOOKUP(TableCosts[[#This Row],[Calc_N_Typ]],Cis_WorkPositions,1,0)),C612="",D612="",E612&lt;&gt;""),LEFT(TableCosts[[#This Row],[Calc_N_Typ]],18)="Vynaložené náklady"),VLOOKUP(C612&amp;TableCosts[[#This Row],[Calc_N_Typ]],TRAN_STRITEMS_LABEL,VLOOKUP(D612,Tab_Hours,3,0),0),NA()),0)</f>
        <v>0</v>
      </c>
      <c r="BJ612" s="24">
        <f t="shared" si="138"/>
        <v>0</v>
      </c>
      <c r="BK612" s="24" t="str">
        <f t="shared" si="139"/>
        <v/>
      </c>
      <c r="BL612" s="24" t="str">
        <f t="shared" si="140"/>
        <v/>
      </c>
      <c r="BM612" s="24" t="str">
        <f>IF(G612=1,IF(TableCosts[[#This Row],[TransferFrom]]=TableCosts[[#This Row],[TranferTo]],0,1),"")</f>
        <v/>
      </c>
      <c r="BN612" s="24" t="str">
        <f t="shared" si="141"/>
        <v/>
      </c>
      <c r="BO612" s="24">
        <f t="shared" si="142"/>
        <v>0</v>
      </c>
      <c r="BP612" s="24">
        <f t="shared" si="143"/>
        <v>0</v>
      </c>
    </row>
    <row r="613" spans="2:68" s="24" customFormat="1" ht="12.75" x14ac:dyDescent="0.2">
      <c r="B613" s="97"/>
      <c r="C613" s="92"/>
      <c r="D613" s="92"/>
      <c r="E613" s="92"/>
      <c r="F613" s="31" t="str">
        <f>IF(G613=1,IF(ISERROR(TableCosts[[#This Row],[N_Tariff]]),Err_Message1,IF(TableCosts[[#This Row],[N_Tariff]]=0,Err_Message2,VLOOKUP(C613&amp;TableCosts[[#This Row],[Calc_N_Typ]],TRAN_STRITEMS_LABEL,5,FALSE))),"")</f>
        <v/>
      </c>
      <c r="G613" s="31">
        <f t="shared" si="132"/>
        <v>0</v>
      </c>
      <c r="H613" s="31" t="str">
        <f>IF(G613=1,IFERROR(VLOOKUP(F613,Tab_ErrMessage[],2,0),VLOOKUP(C613&amp;TableCosts[[#This Row],[Calc_N_Typ]],TRAN_STRITEMS_LABEL,4,FALSE)),"")</f>
        <v/>
      </c>
      <c r="I613" s="94"/>
      <c r="J613" s="94"/>
      <c r="K613" s="94"/>
      <c r="L613" s="84"/>
      <c r="M613" s="84"/>
      <c r="N613" s="84"/>
      <c r="O613" s="84"/>
      <c r="P613" s="84"/>
      <c r="Q613" s="84"/>
      <c r="R613" s="84"/>
      <c r="S613" s="84"/>
      <c r="T613" s="84"/>
      <c r="U613" s="84"/>
      <c r="V613" s="84"/>
      <c r="W613" s="84"/>
      <c r="X613" s="84"/>
      <c r="Y613" s="84"/>
      <c r="Z613" s="84"/>
      <c r="AA613" s="84"/>
      <c r="AB613" s="84"/>
      <c r="AC613" s="84"/>
      <c r="AD613" s="84"/>
      <c r="AE613" s="84"/>
      <c r="AF613" s="84"/>
      <c r="AG613" s="84"/>
      <c r="AH613" s="84"/>
      <c r="AI613" s="84"/>
      <c r="AJ613" s="84"/>
      <c r="AK613" s="84"/>
      <c r="AL613" s="84"/>
      <c r="AM613" s="84"/>
      <c r="AN613" s="84"/>
      <c r="AO613" s="84"/>
      <c r="AP613" s="84"/>
      <c r="AQ613" s="84"/>
      <c r="AR613" s="84"/>
      <c r="AS613" s="84"/>
      <c r="AT613" s="84"/>
      <c r="AU613" s="84"/>
      <c r="AV613" s="84"/>
      <c r="AW613" s="84"/>
      <c r="AX613" s="87">
        <f t="array" ref="AX613">IF(G613=1,SUM((ROW(M0)=ROW(AW613))*(M0+M1_+M2_+M3_+M4_+M5_+M6_+M7_+M8_+M9_+M10_+M11_+M12_+M13_+M14_+M15_+M16_+M17_+M18_+M19_+M20_+M21_+M22_+M23_+M24_+M25_+M26_+M27_+M28_+M29_+M30_+M31_+M32_+M33_+M34_+M35_+M36_+M37_)),0)</f>
        <v>0</v>
      </c>
      <c r="AZ613" s="24" t="str">
        <f t="shared" si="133"/>
        <v/>
      </c>
      <c r="BA613" s="24" t="str">
        <f t="shared" si="134"/>
        <v/>
      </c>
      <c r="BB613" s="24" t="str">
        <f t="shared" si="135"/>
        <v/>
      </c>
      <c r="BC613" s="24" t="str">
        <f>IF(OR(E613="",LEFT(TableCosts[[#This Row],[Calc_N_Typ]],18)="Vynaložené náklady"),"",VLOOKUP(E613,Tab_Parts,2,0))</f>
        <v/>
      </c>
      <c r="BD613" s="24" t="str">
        <f t="shared" si="136"/>
        <v/>
      </c>
      <c r="BE613" s="24">
        <f t="shared" si="137"/>
        <v>0</v>
      </c>
      <c r="BF613" s="72">
        <f>TableCosts[[#This Row],[N_Amount]]*TableCosts[[#This Row],[N_Tariff]]*TableCosts[[#This Row],[N_ItemsCount]]</f>
        <v>0</v>
      </c>
      <c r="BG613" s="72">
        <f>IF(G613=1,IF(TableCosts[[#This Row],[N_Kateg]]="interné práce",TableCosts[[#This Row],[N_Amount]]*8*PAR_SGA_PERHOUR,0),0)</f>
        <v>0</v>
      </c>
      <c r="BH613" s="72">
        <f>SUM(TableCosts[[#This Row],[N_Direct]:[N_SGA]])</f>
        <v>0</v>
      </c>
      <c r="BI613" s="24">
        <f>IF(G613=1,IF(OR(AND(NOT(ISERROR(VLOOKUP(TableCosts[[#This Row],[Calc_N_Typ]],Cis_WorkPositions,1,0))),C613&lt;&gt;"",D613&lt;&gt;"",E613&lt;&gt;""),AND(ISERROR(VLOOKUP(TableCosts[[#This Row],[Calc_N_Typ]],Cis_WorkPositions,1,0)),C613="",D613="",E613&lt;&gt;""),LEFT(TableCosts[[#This Row],[Calc_N_Typ]],18)="Vynaložené náklady"),VLOOKUP(C613&amp;TableCosts[[#This Row],[Calc_N_Typ]],TRAN_STRITEMS_LABEL,VLOOKUP(D613,Tab_Hours,3,0),0),NA()),0)</f>
        <v>0</v>
      </c>
      <c r="BJ613" s="24">
        <f t="shared" si="138"/>
        <v>0</v>
      </c>
      <c r="BK613" s="24" t="str">
        <f t="shared" si="139"/>
        <v/>
      </c>
      <c r="BL613" s="24" t="str">
        <f t="shared" si="140"/>
        <v/>
      </c>
      <c r="BM613" s="24" t="str">
        <f>IF(G613=1,IF(TableCosts[[#This Row],[TransferFrom]]=TableCosts[[#This Row],[TranferTo]],0,1),"")</f>
        <v/>
      </c>
      <c r="BN613" s="24" t="str">
        <f t="shared" si="141"/>
        <v/>
      </c>
      <c r="BO613" s="24">
        <f t="shared" si="142"/>
        <v>0</v>
      </c>
      <c r="BP613" s="24">
        <f t="shared" si="143"/>
        <v>0</v>
      </c>
    </row>
    <row r="614" spans="2:68" s="24" customFormat="1" ht="12.75" x14ac:dyDescent="0.2">
      <c r="B614" s="97"/>
      <c r="C614" s="92"/>
      <c r="D614" s="92"/>
      <c r="E614" s="92"/>
      <c r="F614" s="31" t="str">
        <f>IF(G614=1,IF(ISERROR(TableCosts[[#This Row],[N_Tariff]]),Err_Message1,IF(TableCosts[[#This Row],[N_Tariff]]=0,Err_Message2,VLOOKUP(C614&amp;TableCosts[[#This Row],[Calc_N_Typ]],TRAN_STRITEMS_LABEL,5,FALSE))),"")</f>
        <v/>
      </c>
      <c r="G614" s="31">
        <f t="shared" si="132"/>
        <v>0</v>
      </c>
      <c r="H614" s="31" t="str">
        <f>IF(G614=1,IFERROR(VLOOKUP(F614,Tab_ErrMessage[],2,0),VLOOKUP(C614&amp;TableCosts[[#This Row],[Calc_N_Typ]],TRAN_STRITEMS_LABEL,4,FALSE)),"")</f>
        <v/>
      </c>
      <c r="I614" s="94"/>
      <c r="J614" s="94"/>
      <c r="K614" s="94"/>
      <c r="L614" s="84"/>
      <c r="M614" s="84"/>
      <c r="N614" s="84"/>
      <c r="O614" s="84"/>
      <c r="P614" s="84"/>
      <c r="Q614" s="84"/>
      <c r="R614" s="84"/>
      <c r="S614" s="84"/>
      <c r="T614" s="84"/>
      <c r="U614" s="84"/>
      <c r="V614" s="84"/>
      <c r="W614" s="84"/>
      <c r="X614" s="84"/>
      <c r="Y614" s="84"/>
      <c r="Z614" s="84"/>
      <c r="AA614" s="84"/>
      <c r="AB614" s="84"/>
      <c r="AC614" s="84"/>
      <c r="AD614" s="84"/>
      <c r="AE614" s="84"/>
      <c r="AF614" s="84"/>
      <c r="AG614" s="84"/>
      <c r="AH614" s="84"/>
      <c r="AI614" s="84"/>
      <c r="AJ614" s="84"/>
      <c r="AK614" s="84"/>
      <c r="AL614" s="84"/>
      <c r="AM614" s="84"/>
      <c r="AN614" s="84"/>
      <c r="AO614" s="84"/>
      <c r="AP614" s="84"/>
      <c r="AQ614" s="84"/>
      <c r="AR614" s="84"/>
      <c r="AS614" s="84"/>
      <c r="AT614" s="84"/>
      <c r="AU614" s="84"/>
      <c r="AV614" s="84"/>
      <c r="AW614" s="84"/>
      <c r="AX614" s="87">
        <f t="array" ref="AX614">IF(G614=1,SUM((ROW(M0)=ROW(AW614))*(M0+M1_+M2_+M3_+M4_+M5_+M6_+M7_+M8_+M9_+M10_+M11_+M12_+M13_+M14_+M15_+M16_+M17_+M18_+M19_+M20_+M21_+M22_+M23_+M24_+M25_+M26_+M27_+M28_+M29_+M30_+M31_+M32_+M33_+M34_+M35_+M36_+M37_)),0)</f>
        <v>0</v>
      </c>
      <c r="AZ614" s="24" t="str">
        <f t="shared" si="133"/>
        <v/>
      </c>
      <c r="BA614" s="24" t="str">
        <f t="shared" si="134"/>
        <v/>
      </c>
      <c r="BB614" s="24" t="str">
        <f t="shared" si="135"/>
        <v/>
      </c>
      <c r="BC614" s="24" t="str">
        <f>IF(OR(E614="",LEFT(TableCosts[[#This Row],[Calc_N_Typ]],18)="Vynaložené náklady"),"",VLOOKUP(E614,Tab_Parts,2,0))</f>
        <v/>
      </c>
      <c r="BD614" s="24" t="str">
        <f t="shared" si="136"/>
        <v/>
      </c>
      <c r="BE614" s="24">
        <f t="shared" si="137"/>
        <v>0</v>
      </c>
      <c r="BF614" s="72">
        <f>TableCosts[[#This Row],[N_Amount]]*TableCosts[[#This Row],[N_Tariff]]*TableCosts[[#This Row],[N_ItemsCount]]</f>
        <v>0</v>
      </c>
      <c r="BG614" s="72">
        <f>IF(G614=1,IF(TableCosts[[#This Row],[N_Kateg]]="interné práce",TableCosts[[#This Row],[N_Amount]]*8*PAR_SGA_PERHOUR,0),0)</f>
        <v>0</v>
      </c>
      <c r="BH614" s="72">
        <f>SUM(TableCosts[[#This Row],[N_Direct]:[N_SGA]])</f>
        <v>0</v>
      </c>
      <c r="BI614" s="24">
        <f>IF(G614=1,IF(OR(AND(NOT(ISERROR(VLOOKUP(TableCosts[[#This Row],[Calc_N_Typ]],Cis_WorkPositions,1,0))),C614&lt;&gt;"",D614&lt;&gt;"",E614&lt;&gt;""),AND(ISERROR(VLOOKUP(TableCosts[[#This Row],[Calc_N_Typ]],Cis_WorkPositions,1,0)),C614="",D614="",E614&lt;&gt;""),LEFT(TableCosts[[#This Row],[Calc_N_Typ]],18)="Vynaložené náklady"),VLOOKUP(C614&amp;TableCosts[[#This Row],[Calc_N_Typ]],TRAN_STRITEMS_LABEL,VLOOKUP(D614,Tab_Hours,3,0),0),NA()),0)</f>
        <v>0</v>
      </c>
      <c r="BJ614" s="24">
        <f t="shared" si="138"/>
        <v>0</v>
      </c>
      <c r="BK614" s="24" t="str">
        <f t="shared" si="139"/>
        <v/>
      </c>
      <c r="BL614" s="24" t="str">
        <f t="shared" si="140"/>
        <v/>
      </c>
      <c r="BM614" s="24" t="str">
        <f>IF(G614=1,IF(TableCosts[[#This Row],[TransferFrom]]=TableCosts[[#This Row],[TranferTo]],0,1),"")</f>
        <v/>
      </c>
      <c r="BN614" s="24" t="str">
        <f t="shared" si="141"/>
        <v/>
      </c>
      <c r="BO614" s="24">
        <f t="shared" si="142"/>
        <v>0</v>
      </c>
      <c r="BP614" s="24">
        <f t="shared" si="143"/>
        <v>0</v>
      </c>
    </row>
    <row r="615" spans="2:68" s="24" customFormat="1" ht="12.75" x14ac:dyDescent="0.2">
      <c r="B615" s="97"/>
      <c r="C615" s="92"/>
      <c r="D615" s="92"/>
      <c r="E615" s="92"/>
      <c r="F615" s="31" t="str">
        <f>IF(G615=1,IF(ISERROR(TableCosts[[#This Row],[N_Tariff]]),Err_Message1,IF(TableCosts[[#This Row],[N_Tariff]]=0,Err_Message2,VLOOKUP(C615&amp;TableCosts[[#This Row],[Calc_N_Typ]],TRAN_STRITEMS_LABEL,5,FALSE))),"")</f>
        <v/>
      </c>
      <c r="G615" s="31">
        <f t="shared" si="132"/>
        <v>0</v>
      </c>
      <c r="H615" s="31" t="str">
        <f>IF(G615=1,IFERROR(VLOOKUP(F615,Tab_ErrMessage[],2,0),VLOOKUP(C615&amp;TableCosts[[#This Row],[Calc_N_Typ]],TRAN_STRITEMS_LABEL,4,FALSE)),"")</f>
        <v/>
      </c>
      <c r="I615" s="94"/>
      <c r="J615" s="94"/>
      <c r="K615" s="94"/>
      <c r="L615" s="84"/>
      <c r="M615" s="84"/>
      <c r="N615" s="84"/>
      <c r="O615" s="84"/>
      <c r="P615" s="84"/>
      <c r="Q615" s="84"/>
      <c r="R615" s="84"/>
      <c r="S615" s="84"/>
      <c r="T615" s="84"/>
      <c r="U615" s="84"/>
      <c r="V615" s="84"/>
      <c r="W615" s="84"/>
      <c r="X615" s="84"/>
      <c r="Y615" s="84"/>
      <c r="Z615" s="84"/>
      <c r="AA615" s="84"/>
      <c r="AB615" s="84"/>
      <c r="AC615" s="84"/>
      <c r="AD615" s="84"/>
      <c r="AE615" s="84"/>
      <c r="AF615" s="84"/>
      <c r="AG615" s="84"/>
      <c r="AH615" s="84"/>
      <c r="AI615" s="84"/>
      <c r="AJ615" s="84"/>
      <c r="AK615" s="84"/>
      <c r="AL615" s="84"/>
      <c r="AM615" s="84"/>
      <c r="AN615" s="84"/>
      <c r="AO615" s="84"/>
      <c r="AP615" s="84"/>
      <c r="AQ615" s="84"/>
      <c r="AR615" s="84"/>
      <c r="AS615" s="84"/>
      <c r="AT615" s="84"/>
      <c r="AU615" s="84"/>
      <c r="AV615" s="84"/>
      <c r="AW615" s="84"/>
      <c r="AX615" s="87">
        <f t="array" ref="AX615">IF(G615=1,SUM((ROW(M0)=ROW(AW615))*(M0+M1_+M2_+M3_+M4_+M5_+M6_+M7_+M8_+M9_+M10_+M11_+M12_+M13_+M14_+M15_+M16_+M17_+M18_+M19_+M20_+M21_+M22_+M23_+M24_+M25_+M26_+M27_+M28_+M29_+M30_+M31_+M32_+M33_+M34_+M35_+M36_+M37_)),0)</f>
        <v>0</v>
      </c>
      <c r="AZ615" s="24" t="str">
        <f t="shared" si="133"/>
        <v/>
      </c>
      <c r="BA615" s="24" t="str">
        <f t="shared" si="134"/>
        <v/>
      </c>
      <c r="BB615" s="24" t="str">
        <f t="shared" si="135"/>
        <v/>
      </c>
      <c r="BC615" s="24" t="str">
        <f>IF(OR(E615="",LEFT(TableCosts[[#This Row],[Calc_N_Typ]],18)="Vynaložené náklady"),"",VLOOKUP(E615,Tab_Parts,2,0))</f>
        <v/>
      </c>
      <c r="BD615" s="24" t="str">
        <f t="shared" si="136"/>
        <v/>
      </c>
      <c r="BE615" s="24">
        <f t="shared" si="137"/>
        <v>0</v>
      </c>
      <c r="BF615" s="72">
        <f>TableCosts[[#This Row],[N_Amount]]*TableCosts[[#This Row],[N_Tariff]]*TableCosts[[#This Row],[N_ItemsCount]]</f>
        <v>0</v>
      </c>
      <c r="BG615" s="72">
        <f>IF(G615=1,IF(TableCosts[[#This Row],[N_Kateg]]="interné práce",TableCosts[[#This Row],[N_Amount]]*8*PAR_SGA_PERHOUR,0),0)</f>
        <v>0</v>
      </c>
      <c r="BH615" s="72">
        <f>SUM(TableCosts[[#This Row],[N_Direct]:[N_SGA]])</f>
        <v>0</v>
      </c>
      <c r="BI615" s="24">
        <f>IF(G615=1,IF(OR(AND(NOT(ISERROR(VLOOKUP(TableCosts[[#This Row],[Calc_N_Typ]],Cis_WorkPositions,1,0))),C615&lt;&gt;"",D615&lt;&gt;"",E615&lt;&gt;""),AND(ISERROR(VLOOKUP(TableCosts[[#This Row],[Calc_N_Typ]],Cis_WorkPositions,1,0)),C615="",D615="",E615&lt;&gt;""),LEFT(TableCosts[[#This Row],[Calc_N_Typ]],18)="Vynaložené náklady"),VLOOKUP(C615&amp;TableCosts[[#This Row],[Calc_N_Typ]],TRAN_STRITEMS_LABEL,VLOOKUP(D615,Tab_Hours,3,0),0),NA()),0)</f>
        <v>0</v>
      </c>
      <c r="BJ615" s="24">
        <f t="shared" si="138"/>
        <v>0</v>
      </c>
      <c r="BK615" s="24" t="str">
        <f t="shared" si="139"/>
        <v/>
      </c>
      <c r="BL615" s="24" t="str">
        <f t="shared" si="140"/>
        <v/>
      </c>
      <c r="BM615" s="24" t="str">
        <f>IF(G615=1,IF(TableCosts[[#This Row],[TransferFrom]]=TableCosts[[#This Row],[TranferTo]],0,1),"")</f>
        <v/>
      </c>
      <c r="BN615" s="24" t="str">
        <f t="shared" si="141"/>
        <v/>
      </c>
      <c r="BO615" s="24">
        <f t="shared" si="142"/>
        <v>0</v>
      </c>
      <c r="BP615" s="24">
        <f t="shared" si="143"/>
        <v>0</v>
      </c>
    </row>
    <row r="616" spans="2:68" s="24" customFormat="1" ht="12.75" x14ac:dyDescent="0.2">
      <c r="B616" s="97"/>
      <c r="C616" s="92"/>
      <c r="D616" s="92"/>
      <c r="E616" s="92"/>
      <c r="F616" s="31" t="str">
        <f>IF(G616=1,IF(ISERROR(TableCosts[[#This Row],[N_Tariff]]),Err_Message1,IF(TableCosts[[#This Row],[N_Tariff]]=0,Err_Message2,VLOOKUP(C616&amp;TableCosts[[#This Row],[Calc_N_Typ]],TRAN_STRITEMS_LABEL,5,FALSE))),"")</f>
        <v/>
      </c>
      <c r="G616" s="31">
        <f t="shared" si="132"/>
        <v>0</v>
      </c>
      <c r="H616" s="31" t="str">
        <f>IF(G616=1,IFERROR(VLOOKUP(F616,Tab_ErrMessage[],2,0),VLOOKUP(C616&amp;TableCosts[[#This Row],[Calc_N_Typ]],TRAN_STRITEMS_LABEL,4,FALSE)),"")</f>
        <v/>
      </c>
      <c r="I616" s="94"/>
      <c r="J616" s="94"/>
      <c r="K616" s="94"/>
      <c r="L616" s="84"/>
      <c r="M616" s="84"/>
      <c r="N616" s="84"/>
      <c r="O616" s="84"/>
      <c r="P616" s="84"/>
      <c r="Q616" s="84"/>
      <c r="R616" s="84"/>
      <c r="S616" s="84"/>
      <c r="T616" s="84"/>
      <c r="U616" s="84"/>
      <c r="V616" s="84"/>
      <c r="W616" s="84"/>
      <c r="X616" s="84"/>
      <c r="Y616" s="84"/>
      <c r="Z616" s="84"/>
      <c r="AA616" s="84"/>
      <c r="AB616" s="84"/>
      <c r="AC616" s="84"/>
      <c r="AD616" s="84"/>
      <c r="AE616" s="84"/>
      <c r="AF616" s="84"/>
      <c r="AG616" s="84"/>
      <c r="AH616" s="84"/>
      <c r="AI616" s="84"/>
      <c r="AJ616" s="84"/>
      <c r="AK616" s="84"/>
      <c r="AL616" s="84"/>
      <c r="AM616" s="84"/>
      <c r="AN616" s="84"/>
      <c r="AO616" s="84"/>
      <c r="AP616" s="84"/>
      <c r="AQ616" s="84"/>
      <c r="AR616" s="84"/>
      <c r="AS616" s="84"/>
      <c r="AT616" s="84"/>
      <c r="AU616" s="84"/>
      <c r="AV616" s="84"/>
      <c r="AW616" s="84"/>
      <c r="AX616" s="87">
        <f t="array" ref="AX616">IF(G616=1,SUM((ROW(M0)=ROW(AW616))*(M0+M1_+M2_+M3_+M4_+M5_+M6_+M7_+M8_+M9_+M10_+M11_+M12_+M13_+M14_+M15_+M16_+M17_+M18_+M19_+M20_+M21_+M22_+M23_+M24_+M25_+M26_+M27_+M28_+M29_+M30_+M31_+M32_+M33_+M34_+M35_+M36_+M37_)),0)</f>
        <v>0</v>
      </c>
      <c r="AZ616" s="24" t="str">
        <f t="shared" si="133"/>
        <v/>
      </c>
      <c r="BA616" s="24" t="str">
        <f t="shared" si="134"/>
        <v/>
      </c>
      <c r="BB616" s="24" t="str">
        <f t="shared" si="135"/>
        <v/>
      </c>
      <c r="BC616" s="24" t="str">
        <f>IF(OR(E616="",LEFT(TableCosts[[#This Row],[Calc_N_Typ]],18)="Vynaložené náklady"),"",VLOOKUP(E616,Tab_Parts,2,0))</f>
        <v/>
      </c>
      <c r="BD616" s="24" t="str">
        <f t="shared" si="136"/>
        <v/>
      </c>
      <c r="BE616" s="24">
        <f t="shared" si="137"/>
        <v>0</v>
      </c>
      <c r="BF616" s="72">
        <f>TableCosts[[#This Row],[N_Amount]]*TableCosts[[#This Row],[N_Tariff]]*TableCosts[[#This Row],[N_ItemsCount]]</f>
        <v>0</v>
      </c>
      <c r="BG616" s="72">
        <f>IF(G616=1,IF(TableCosts[[#This Row],[N_Kateg]]="interné práce",TableCosts[[#This Row],[N_Amount]]*8*PAR_SGA_PERHOUR,0),0)</f>
        <v>0</v>
      </c>
      <c r="BH616" s="72">
        <f>SUM(TableCosts[[#This Row],[N_Direct]:[N_SGA]])</f>
        <v>0</v>
      </c>
      <c r="BI616" s="24">
        <f>IF(G616=1,IF(OR(AND(NOT(ISERROR(VLOOKUP(TableCosts[[#This Row],[Calc_N_Typ]],Cis_WorkPositions,1,0))),C616&lt;&gt;"",D616&lt;&gt;"",E616&lt;&gt;""),AND(ISERROR(VLOOKUP(TableCosts[[#This Row],[Calc_N_Typ]],Cis_WorkPositions,1,0)),C616="",D616="",E616&lt;&gt;""),LEFT(TableCosts[[#This Row],[Calc_N_Typ]],18)="Vynaložené náklady"),VLOOKUP(C616&amp;TableCosts[[#This Row],[Calc_N_Typ]],TRAN_STRITEMS_LABEL,VLOOKUP(D616,Tab_Hours,3,0),0),NA()),0)</f>
        <v>0</v>
      </c>
      <c r="BJ616" s="24">
        <f t="shared" si="138"/>
        <v>0</v>
      </c>
      <c r="BK616" s="24" t="str">
        <f t="shared" si="139"/>
        <v/>
      </c>
      <c r="BL616" s="24" t="str">
        <f t="shared" si="140"/>
        <v/>
      </c>
      <c r="BM616" s="24" t="str">
        <f>IF(G616=1,IF(TableCosts[[#This Row],[TransferFrom]]=TableCosts[[#This Row],[TranferTo]],0,1),"")</f>
        <v/>
      </c>
      <c r="BN616" s="24" t="str">
        <f t="shared" si="141"/>
        <v/>
      </c>
      <c r="BO616" s="24">
        <f t="shared" si="142"/>
        <v>0</v>
      </c>
      <c r="BP616" s="24">
        <f t="shared" si="143"/>
        <v>0</v>
      </c>
    </row>
    <row r="617" spans="2:68" s="24" customFormat="1" ht="12.75" x14ac:dyDescent="0.2">
      <c r="B617" s="97"/>
      <c r="C617" s="92"/>
      <c r="D617" s="92"/>
      <c r="E617" s="92"/>
      <c r="F617" s="31" t="str">
        <f>IF(G617=1,IF(ISERROR(TableCosts[[#This Row],[N_Tariff]]),Err_Message1,IF(TableCosts[[#This Row],[N_Tariff]]=0,Err_Message2,VLOOKUP(C617&amp;TableCosts[[#This Row],[Calc_N_Typ]],TRAN_STRITEMS_LABEL,5,FALSE))),"")</f>
        <v/>
      </c>
      <c r="G617" s="31">
        <f t="shared" si="132"/>
        <v>0</v>
      </c>
      <c r="H617" s="31" t="str">
        <f>IF(G617=1,IFERROR(VLOOKUP(F617,Tab_ErrMessage[],2,0),VLOOKUP(C617&amp;TableCosts[[#This Row],[Calc_N_Typ]],TRAN_STRITEMS_LABEL,4,FALSE)),"")</f>
        <v/>
      </c>
      <c r="I617" s="94"/>
      <c r="J617" s="94"/>
      <c r="K617" s="94"/>
      <c r="L617" s="84"/>
      <c r="M617" s="84"/>
      <c r="N617" s="84"/>
      <c r="O617" s="84"/>
      <c r="P617" s="84"/>
      <c r="Q617" s="84"/>
      <c r="R617" s="84"/>
      <c r="S617" s="84"/>
      <c r="T617" s="84"/>
      <c r="U617" s="84"/>
      <c r="V617" s="84"/>
      <c r="W617" s="84"/>
      <c r="X617" s="84"/>
      <c r="Y617" s="84"/>
      <c r="Z617" s="84"/>
      <c r="AA617" s="84"/>
      <c r="AB617" s="84"/>
      <c r="AC617" s="84"/>
      <c r="AD617" s="84"/>
      <c r="AE617" s="84"/>
      <c r="AF617" s="84"/>
      <c r="AG617" s="84"/>
      <c r="AH617" s="84"/>
      <c r="AI617" s="84"/>
      <c r="AJ617" s="84"/>
      <c r="AK617" s="84"/>
      <c r="AL617" s="84"/>
      <c r="AM617" s="84"/>
      <c r="AN617" s="84"/>
      <c r="AO617" s="84"/>
      <c r="AP617" s="84"/>
      <c r="AQ617" s="84"/>
      <c r="AR617" s="84"/>
      <c r="AS617" s="84"/>
      <c r="AT617" s="84"/>
      <c r="AU617" s="84"/>
      <c r="AV617" s="84"/>
      <c r="AW617" s="84"/>
      <c r="AX617" s="87">
        <f t="array" ref="AX617">IF(G617=1,SUM((ROW(M0)=ROW(AW617))*(M0+M1_+M2_+M3_+M4_+M5_+M6_+M7_+M8_+M9_+M10_+M11_+M12_+M13_+M14_+M15_+M16_+M17_+M18_+M19_+M20_+M21_+M22_+M23_+M24_+M25_+M26_+M27_+M28_+M29_+M30_+M31_+M32_+M33_+M34_+M35_+M36_+M37_)),0)</f>
        <v>0</v>
      </c>
      <c r="AZ617" s="24" t="str">
        <f t="shared" si="133"/>
        <v/>
      </c>
      <c r="BA617" s="24" t="str">
        <f t="shared" si="134"/>
        <v/>
      </c>
      <c r="BB617" s="24" t="str">
        <f t="shared" si="135"/>
        <v/>
      </c>
      <c r="BC617" s="24" t="str">
        <f>IF(OR(E617="",LEFT(TableCosts[[#This Row],[Calc_N_Typ]],18)="Vynaložené náklady"),"",VLOOKUP(E617,Tab_Parts,2,0))</f>
        <v/>
      </c>
      <c r="BD617" s="24" t="str">
        <f t="shared" si="136"/>
        <v/>
      </c>
      <c r="BE617" s="24">
        <f t="shared" si="137"/>
        <v>0</v>
      </c>
      <c r="BF617" s="72">
        <f>TableCosts[[#This Row],[N_Amount]]*TableCosts[[#This Row],[N_Tariff]]*TableCosts[[#This Row],[N_ItemsCount]]</f>
        <v>0</v>
      </c>
      <c r="BG617" s="72">
        <f>IF(G617=1,IF(TableCosts[[#This Row],[N_Kateg]]="interné práce",TableCosts[[#This Row],[N_Amount]]*8*PAR_SGA_PERHOUR,0),0)</f>
        <v>0</v>
      </c>
      <c r="BH617" s="72">
        <f>SUM(TableCosts[[#This Row],[N_Direct]:[N_SGA]])</f>
        <v>0</v>
      </c>
      <c r="BI617" s="24">
        <f>IF(G617=1,IF(OR(AND(NOT(ISERROR(VLOOKUP(TableCosts[[#This Row],[Calc_N_Typ]],Cis_WorkPositions,1,0))),C617&lt;&gt;"",D617&lt;&gt;"",E617&lt;&gt;""),AND(ISERROR(VLOOKUP(TableCosts[[#This Row],[Calc_N_Typ]],Cis_WorkPositions,1,0)),C617="",D617="",E617&lt;&gt;""),LEFT(TableCosts[[#This Row],[Calc_N_Typ]],18)="Vynaložené náklady"),VLOOKUP(C617&amp;TableCosts[[#This Row],[Calc_N_Typ]],TRAN_STRITEMS_LABEL,VLOOKUP(D617,Tab_Hours,3,0),0),NA()),0)</f>
        <v>0</v>
      </c>
      <c r="BJ617" s="24">
        <f t="shared" si="138"/>
        <v>0</v>
      </c>
      <c r="BK617" s="24" t="str">
        <f t="shared" si="139"/>
        <v/>
      </c>
      <c r="BL617" s="24" t="str">
        <f t="shared" si="140"/>
        <v/>
      </c>
      <c r="BM617" s="24" t="str">
        <f>IF(G617=1,IF(TableCosts[[#This Row],[TransferFrom]]=TableCosts[[#This Row],[TranferTo]],0,1),"")</f>
        <v/>
      </c>
      <c r="BN617" s="24" t="str">
        <f t="shared" si="141"/>
        <v/>
      </c>
      <c r="BO617" s="24">
        <f t="shared" si="142"/>
        <v>0</v>
      </c>
      <c r="BP617" s="24">
        <f t="shared" si="143"/>
        <v>0</v>
      </c>
    </row>
    <row r="618" spans="2:68" s="24" customFormat="1" ht="12.75" x14ac:dyDescent="0.2">
      <c r="B618" s="97"/>
      <c r="C618" s="92"/>
      <c r="D618" s="92"/>
      <c r="E618" s="92"/>
      <c r="F618" s="31" t="str">
        <f>IF(G618=1,IF(ISERROR(TableCosts[[#This Row],[N_Tariff]]),Err_Message1,IF(TableCosts[[#This Row],[N_Tariff]]=0,Err_Message2,VLOOKUP(C618&amp;TableCosts[[#This Row],[Calc_N_Typ]],TRAN_STRITEMS_LABEL,5,FALSE))),"")</f>
        <v/>
      </c>
      <c r="G618" s="31">
        <f t="shared" si="132"/>
        <v>0</v>
      </c>
      <c r="H618" s="31" t="str">
        <f>IF(G618=1,IFERROR(VLOOKUP(F618,Tab_ErrMessage[],2,0),VLOOKUP(C618&amp;TableCosts[[#This Row],[Calc_N_Typ]],TRAN_STRITEMS_LABEL,4,FALSE)),"")</f>
        <v/>
      </c>
      <c r="I618" s="94"/>
      <c r="J618" s="94"/>
      <c r="K618" s="94"/>
      <c r="L618" s="84"/>
      <c r="M618" s="84"/>
      <c r="N618" s="84"/>
      <c r="O618" s="84"/>
      <c r="P618" s="84"/>
      <c r="Q618" s="84"/>
      <c r="R618" s="84"/>
      <c r="S618" s="84"/>
      <c r="T618" s="84"/>
      <c r="U618" s="84"/>
      <c r="V618" s="84"/>
      <c r="W618" s="84"/>
      <c r="X618" s="84"/>
      <c r="Y618" s="84"/>
      <c r="Z618" s="84"/>
      <c r="AA618" s="84"/>
      <c r="AB618" s="84"/>
      <c r="AC618" s="84"/>
      <c r="AD618" s="84"/>
      <c r="AE618" s="84"/>
      <c r="AF618" s="84"/>
      <c r="AG618" s="84"/>
      <c r="AH618" s="84"/>
      <c r="AI618" s="84"/>
      <c r="AJ618" s="84"/>
      <c r="AK618" s="84"/>
      <c r="AL618" s="84"/>
      <c r="AM618" s="84"/>
      <c r="AN618" s="84"/>
      <c r="AO618" s="84"/>
      <c r="AP618" s="84"/>
      <c r="AQ618" s="84"/>
      <c r="AR618" s="84"/>
      <c r="AS618" s="84"/>
      <c r="AT618" s="84"/>
      <c r="AU618" s="84"/>
      <c r="AV618" s="84"/>
      <c r="AW618" s="84"/>
      <c r="AX618" s="87">
        <f t="array" ref="AX618">IF(G618=1,SUM((ROW(M0)=ROW(AW618))*(M0+M1_+M2_+M3_+M4_+M5_+M6_+M7_+M8_+M9_+M10_+M11_+M12_+M13_+M14_+M15_+M16_+M17_+M18_+M19_+M20_+M21_+M22_+M23_+M24_+M25_+M26_+M27_+M28_+M29_+M30_+M31_+M32_+M33_+M34_+M35_+M36_+M37_)),0)</f>
        <v>0</v>
      </c>
      <c r="AZ618" s="24" t="str">
        <f t="shared" si="133"/>
        <v/>
      </c>
      <c r="BA618" s="24" t="str">
        <f t="shared" si="134"/>
        <v/>
      </c>
      <c r="BB618" s="24" t="str">
        <f t="shared" si="135"/>
        <v/>
      </c>
      <c r="BC618" s="24" t="str">
        <f>IF(OR(E618="",LEFT(TableCosts[[#This Row],[Calc_N_Typ]],18)="Vynaložené náklady"),"",VLOOKUP(E618,Tab_Parts,2,0))</f>
        <v/>
      </c>
      <c r="BD618" s="24" t="str">
        <f t="shared" si="136"/>
        <v/>
      </c>
      <c r="BE618" s="24">
        <f t="shared" si="137"/>
        <v>0</v>
      </c>
      <c r="BF618" s="72">
        <f>TableCosts[[#This Row],[N_Amount]]*TableCosts[[#This Row],[N_Tariff]]*TableCosts[[#This Row],[N_ItemsCount]]</f>
        <v>0</v>
      </c>
      <c r="BG618" s="72">
        <f>IF(G618=1,IF(TableCosts[[#This Row],[N_Kateg]]="interné práce",TableCosts[[#This Row],[N_Amount]]*8*PAR_SGA_PERHOUR,0),0)</f>
        <v>0</v>
      </c>
      <c r="BH618" s="72">
        <f>SUM(TableCosts[[#This Row],[N_Direct]:[N_SGA]])</f>
        <v>0</v>
      </c>
      <c r="BI618" s="24">
        <f>IF(G618=1,IF(OR(AND(NOT(ISERROR(VLOOKUP(TableCosts[[#This Row],[Calc_N_Typ]],Cis_WorkPositions,1,0))),C618&lt;&gt;"",D618&lt;&gt;"",E618&lt;&gt;""),AND(ISERROR(VLOOKUP(TableCosts[[#This Row],[Calc_N_Typ]],Cis_WorkPositions,1,0)),C618="",D618="",E618&lt;&gt;""),LEFT(TableCosts[[#This Row],[Calc_N_Typ]],18)="Vynaložené náklady"),VLOOKUP(C618&amp;TableCosts[[#This Row],[Calc_N_Typ]],TRAN_STRITEMS_LABEL,VLOOKUP(D618,Tab_Hours,3,0),0),NA()),0)</f>
        <v>0</v>
      </c>
      <c r="BJ618" s="24">
        <f t="shared" si="138"/>
        <v>0</v>
      </c>
      <c r="BK618" s="24" t="str">
        <f t="shared" si="139"/>
        <v/>
      </c>
      <c r="BL618" s="24" t="str">
        <f t="shared" si="140"/>
        <v/>
      </c>
      <c r="BM618" s="24" t="str">
        <f>IF(G618=1,IF(TableCosts[[#This Row],[TransferFrom]]=TableCosts[[#This Row],[TranferTo]],0,1),"")</f>
        <v/>
      </c>
      <c r="BN618" s="24" t="str">
        <f t="shared" si="141"/>
        <v/>
      </c>
      <c r="BO618" s="24">
        <f t="shared" si="142"/>
        <v>0</v>
      </c>
      <c r="BP618" s="24">
        <f t="shared" si="143"/>
        <v>0</v>
      </c>
    </row>
    <row r="619" spans="2:68" s="24" customFormat="1" ht="12.75" x14ac:dyDescent="0.2">
      <c r="B619" s="97"/>
      <c r="C619" s="92"/>
      <c r="D619" s="92"/>
      <c r="E619" s="92"/>
      <c r="F619" s="31" t="str">
        <f>IF(G619=1,IF(ISERROR(TableCosts[[#This Row],[N_Tariff]]),Err_Message1,IF(TableCosts[[#This Row],[N_Tariff]]=0,Err_Message2,VLOOKUP(C619&amp;TableCosts[[#This Row],[Calc_N_Typ]],TRAN_STRITEMS_LABEL,5,FALSE))),"")</f>
        <v/>
      </c>
      <c r="G619" s="31">
        <f t="shared" si="132"/>
        <v>0</v>
      </c>
      <c r="H619" s="31" t="str">
        <f>IF(G619=1,IFERROR(VLOOKUP(F619,Tab_ErrMessage[],2,0),VLOOKUP(C619&amp;TableCosts[[#This Row],[Calc_N_Typ]],TRAN_STRITEMS_LABEL,4,FALSE)),"")</f>
        <v/>
      </c>
      <c r="I619" s="94"/>
      <c r="J619" s="94"/>
      <c r="K619" s="94"/>
      <c r="L619" s="84"/>
      <c r="M619" s="84"/>
      <c r="N619" s="84"/>
      <c r="O619" s="84"/>
      <c r="P619" s="84"/>
      <c r="Q619" s="84"/>
      <c r="R619" s="84"/>
      <c r="S619" s="84"/>
      <c r="T619" s="84"/>
      <c r="U619" s="84"/>
      <c r="V619" s="84"/>
      <c r="W619" s="84"/>
      <c r="X619" s="84"/>
      <c r="Y619" s="84"/>
      <c r="Z619" s="84"/>
      <c r="AA619" s="84"/>
      <c r="AB619" s="84"/>
      <c r="AC619" s="84"/>
      <c r="AD619" s="84"/>
      <c r="AE619" s="84"/>
      <c r="AF619" s="84"/>
      <c r="AG619" s="84"/>
      <c r="AH619" s="84"/>
      <c r="AI619" s="84"/>
      <c r="AJ619" s="84"/>
      <c r="AK619" s="84"/>
      <c r="AL619" s="84"/>
      <c r="AM619" s="84"/>
      <c r="AN619" s="84"/>
      <c r="AO619" s="84"/>
      <c r="AP619" s="84"/>
      <c r="AQ619" s="84"/>
      <c r="AR619" s="84"/>
      <c r="AS619" s="84"/>
      <c r="AT619" s="84"/>
      <c r="AU619" s="84"/>
      <c r="AV619" s="84"/>
      <c r="AW619" s="84"/>
      <c r="AX619" s="87">
        <f t="array" ref="AX619">IF(G619=1,SUM((ROW(M0)=ROW(AW619))*(M0+M1_+M2_+M3_+M4_+M5_+M6_+M7_+M8_+M9_+M10_+M11_+M12_+M13_+M14_+M15_+M16_+M17_+M18_+M19_+M20_+M21_+M22_+M23_+M24_+M25_+M26_+M27_+M28_+M29_+M30_+M31_+M32_+M33_+M34_+M35_+M36_+M37_)),0)</f>
        <v>0</v>
      </c>
      <c r="AZ619" s="24" t="str">
        <f t="shared" si="133"/>
        <v/>
      </c>
      <c r="BA619" s="24" t="str">
        <f t="shared" si="134"/>
        <v/>
      </c>
      <c r="BB619" s="24" t="str">
        <f t="shared" si="135"/>
        <v/>
      </c>
      <c r="BC619" s="24" t="str">
        <f>IF(OR(E619="",LEFT(TableCosts[[#This Row],[Calc_N_Typ]],18)="Vynaložené náklady"),"",VLOOKUP(E619,Tab_Parts,2,0))</f>
        <v/>
      </c>
      <c r="BD619" s="24" t="str">
        <f t="shared" si="136"/>
        <v/>
      </c>
      <c r="BE619" s="24">
        <f t="shared" si="137"/>
        <v>0</v>
      </c>
      <c r="BF619" s="72">
        <f>TableCosts[[#This Row],[N_Amount]]*TableCosts[[#This Row],[N_Tariff]]*TableCosts[[#This Row],[N_ItemsCount]]</f>
        <v>0</v>
      </c>
      <c r="BG619" s="72">
        <f>IF(G619=1,IF(TableCosts[[#This Row],[N_Kateg]]="interné práce",TableCosts[[#This Row],[N_Amount]]*8*PAR_SGA_PERHOUR,0),0)</f>
        <v>0</v>
      </c>
      <c r="BH619" s="72">
        <f>SUM(TableCosts[[#This Row],[N_Direct]:[N_SGA]])</f>
        <v>0</v>
      </c>
      <c r="BI619" s="24">
        <f>IF(G619=1,IF(OR(AND(NOT(ISERROR(VLOOKUP(TableCosts[[#This Row],[Calc_N_Typ]],Cis_WorkPositions,1,0))),C619&lt;&gt;"",D619&lt;&gt;"",E619&lt;&gt;""),AND(ISERROR(VLOOKUP(TableCosts[[#This Row],[Calc_N_Typ]],Cis_WorkPositions,1,0)),C619="",D619="",E619&lt;&gt;""),LEFT(TableCosts[[#This Row],[Calc_N_Typ]],18)="Vynaložené náklady"),VLOOKUP(C619&amp;TableCosts[[#This Row],[Calc_N_Typ]],TRAN_STRITEMS_LABEL,VLOOKUP(D619,Tab_Hours,3,0),0),NA()),0)</f>
        <v>0</v>
      </c>
      <c r="BJ619" s="24">
        <f t="shared" si="138"/>
        <v>0</v>
      </c>
      <c r="BK619" s="24" t="str">
        <f t="shared" si="139"/>
        <v/>
      </c>
      <c r="BL619" s="24" t="str">
        <f t="shared" si="140"/>
        <v/>
      </c>
      <c r="BM619" s="24" t="str">
        <f>IF(G619=1,IF(TableCosts[[#This Row],[TransferFrom]]=TableCosts[[#This Row],[TranferTo]],0,1),"")</f>
        <v/>
      </c>
      <c r="BN619" s="24" t="str">
        <f t="shared" si="141"/>
        <v/>
      </c>
      <c r="BO619" s="24">
        <f t="shared" si="142"/>
        <v>0</v>
      </c>
      <c r="BP619" s="24">
        <f t="shared" si="143"/>
        <v>0</v>
      </c>
    </row>
    <row r="620" spans="2:68" s="24" customFormat="1" ht="12.75" x14ac:dyDescent="0.2">
      <c r="B620" s="97"/>
      <c r="C620" s="92"/>
      <c r="D620" s="92"/>
      <c r="E620" s="92"/>
      <c r="F620" s="31" t="str">
        <f>IF(G620=1,IF(ISERROR(TableCosts[[#This Row],[N_Tariff]]),Err_Message1,IF(TableCosts[[#This Row],[N_Tariff]]=0,Err_Message2,VLOOKUP(C620&amp;TableCosts[[#This Row],[Calc_N_Typ]],TRAN_STRITEMS_LABEL,5,FALSE))),"")</f>
        <v/>
      </c>
      <c r="G620" s="31">
        <f t="shared" si="132"/>
        <v>0</v>
      </c>
      <c r="H620" s="31" t="str">
        <f>IF(G620=1,IFERROR(VLOOKUP(F620,Tab_ErrMessage[],2,0),VLOOKUP(C620&amp;TableCosts[[#This Row],[Calc_N_Typ]],TRAN_STRITEMS_LABEL,4,FALSE)),"")</f>
        <v/>
      </c>
      <c r="I620" s="94"/>
      <c r="J620" s="94"/>
      <c r="K620" s="94"/>
      <c r="L620" s="84"/>
      <c r="M620" s="84"/>
      <c r="N620" s="84"/>
      <c r="O620" s="84"/>
      <c r="P620" s="84"/>
      <c r="Q620" s="84"/>
      <c r="R620" s="84"/>
      <c r="S620" s="84"/>
      <c r="T620" s="84"/>
      <c r="U620" s="84"/>
      <c r="V620" s="84"/>
      <c r="W620" s="84"/>
      <c r="X620" s="84"/>
      <c r="Y620" s="84"/>
      <c r="Z620" s="84"/>
      <c r="AA620" s="84"/>
      <c r="AB620" s="84"/>
      <c r="AC620" s="84"/>
      <c r="AD620" s="84"/>
      <c r="AE620" s="84"/>
      <c r="AF620" s="84"/>
      <c r="AG620" s="84"/>
      <c r="AH620" s="84"/>
      <c r="AI620" s="84"/>
      <c r="AJ620" s="84"/>
      <c r="AK620" s="84"/>
      <c r="AL620" s="84"/>
      <c r="AM620" s="84"/>
      <c r="AN620" s="84"/>
      <c r="AO620" s="84"/>
      <c r="AP620" s="84"/>
      <c r="AQ620" s="84"/>
      <c r="AR620" s="84"/>
      <c r="AS620" s="84"/>
      <c r="AT620" s="84"/>
      <c r="AU620" s="84"/>
      <c r="AV620" s="84"/>
      <c r="AW620" s="84"/>
      <c r="AX620" s="87">
        <f t="array" ref="AX620">IF(G620=1,SUM((ROW(M0)=ROW(AW620))*(M0+M1_+M2_+M3_+M4_+M5_+M6_+M7_+M8_+M9_+M10_+M11_+M12_+M13_+M14_+M15_+M16_+M17_+M18_+M19_+M20_+M21_+M22_+M23_+M24_+M25_+M26_+M27_+M28_+M29_+M30_+M31_+M32_+M33_+M34_+M35_+M36_+M37_)),0)</f>
        <v>0</v>
      </c>
      <c r="AZ620" s="24" t="str">
        <f t="shared" si="133"/>
        <v/>
      </c>
      <c r="BA620" s="24" t="str">
        <f t="shared" si="134"/>
        <v/>
      </c>
      <c r="BB620" s="24" t="str">
        <f t="shared" si="135"/>
        <v/>
      </c>
      <c r="BC620" s="24" t="str">
        <f>IF(OR(E620="",LEFT(TableCosts[[#This Row],[Calc_N_Typ]],18)="Vynaložené náklady"),"",VLOOKUP(E620,Tab_Parts,2,0))</f>
        <v/>
      </c>
      <c r="BD620" s="24" t="str">
        <f t="shared" si="136"/>
        <v/>
      </c>
      <c r="BE620" s="24">
        <f t="shared" si="137"/>
        <v>0</v>
      </c>
      <c r="BF620" s="72">
        <f>TableCosts[[#This Row],[N_Amount]]*TableCosts[[#This Row],[N_Tariff]]*TableCosts[[#This Row],[N_ItemsCount]]</f>
        <v>0</v>
      </c>
      <c r="BG620" s="72">
        <f>IF(G620=1,IF(TableCosts[[#This Row],[N_Kateg]]="interné práce",TableCosts[[#This Row],[N_Amount]]*8*PAR_SGA_PERHOUR,0),0)</f>
        <v>0</v>
      </c>
      <c r="BH620" s="72">
        <f>SUM(TableCosts[[#This Row],[N_Direct]:[N_SGA]])</f>
        <v>0</v>
      </c>
      <c r="BI620" s="24">
        <f>IF(G620=1,IF(OR(AND(NOT(ISERROR(VLOOKUP(TableCosts[[#This Row],[Calc_N_Typ]],Cis_WorkPositions,1,0))),C620&lt;&gt;"",D620&lt;&gt;"",E620&lt;&gt;""),AND(ISERROR(VLOOKUP(TableCosts[[#This Row],[Calc_N_Typ]],Cis_WorkPositions,1,0)),C620="",D620="",E620&lt;&gt;""),LEFT(TableCosts[[#This Row],[Calc_N_Typ]],18)="Vynaložené náklady"),VLOOKUP(C620&amp;TableCosts[[#This Row],[Calc_N_Typ]],TRAN_STRITEMS_LABEL,VLOOKUP(D620,Tab_Hours,3,0),0),NA()),0)</f>
        <v>0</v>
      </c>
      <c r="BJ620" s="24">
        <f t="shared" si="138"/>
        <v>0</v>
      </c>
      <c r="BK620" s="24" t="str">
        <f t="shared" si="139"/>
        <v/>
      </c>
      <c r="BL620" s="24" t="str">
        <f t="shared" si="140"/>
        <v/>
      </c>
      <c r="BM620" s="24" t="str">
        <f>IF(G620=1,IF(TableCosts[[#This Row],[TransferFrom]]=TableCosts[[#This Row],[TranferTo]],0,1),"")</f>
        <v/>
      </c>
      <c r="BN620" s="24" t="str">
        <f t="shared" si="141"/>
        <v/>
      </c>
      <c r="BO620" s="24">
        <f t="shared" si="142"/>
        <v>0</v>
      </c>
      <c r="BP620" s="24">
        <f t="shared" si="143"/>
        <v>0</v>
      </c>
    </row>
    <row r="621" spans="2:68" s="24" customFormat="1" ht="12.75" x14ac:dyDescent="0.2">
      <c r="B621" s="97"/>
      <c r="C621" s="92"/>
      <c r="D621" s="92"/>
      <c r="E621" s="92"/>
      <c r="F621" s="31" t="str">
        <f>IF(G621=1,IF(ISERROR(TableCosts[[#This Row],[N_Tariff]]),Err_Message1,IF(TableCosts[[#This Row],[N_Tariff]]=0,Err_Message2,VLOOKUP(C621&amp;TableCosts[[#This Row],[Calc_N_Typ]],TRAN_STRITEMS_LABEL,5,FALSE))),"")</f>
        <v/>
      </c>
      <c r="G621" s="31">
        <f t="shared" si="132"/>
        <v>0</v>
      </c>
      <c r="H621" s="31" t="str">
        <f>IF(G621=1,IFERROR(VLOOKUP(F621,Tab_ErrMessage[],2,0),VLOOKUP(C621&amp;TableCosts[[#This Row],[Calc_N_Typ]],TRAN_STRITEMS_LABEL,4,FALSE)),"")</f>
        <v/>
      </c>
      <c r="I621" s="94"/>
      <c r="J621" s="94"/>
      <c r="K621" s="94"/>
      <c r="L621" s="84"/>
      <c r="M621" s="84"/>
      <c r="N621" s="84"/>
      <c r="O621" s="84"/>
      <c r="P621" s="84"/>
      <c r="Q621" s="84"/>
      <c r="R621" s="84"/>
      <c r="S621" s="84"/>
      <c r="T621" s="84"/>
      <c r="U621" s="84"/>
      <c r="V621" s="84"/>
      <c r="W621" s="84"/>
      <c r="X621" s="84"/>
      <c r="Y621" s="84"/>
      <c r="Z621" s="84"/>
      <c r="AA621" s="84"/>
      <c r="AB621" s="84"/>
      <c r="AC621" s="84"/>
      <c r="AD621" s="84"/>
      <c r="AE621" s="84"/>
      <c r="AF621" s="84"/>
      <c r="AG621" s="84"/>
      <c r="AH621" s="84"/>
      <c r="AI621" s="84"/>
      <c r="AJ621" s="84"/>
      <c r="AK621" s="84"/>
      <c r="AL621" s="84"/>
      <c r="AM621" s="84"/>
      <c r="AN621" s="84"/>
      <c r="AO621" s="84"/>
      <c r="AP621" s="84"/>
      <c r="AQ621" s="84"/>
      <c r="AR621" s="84"/>
      <c r="AS621" s="84"/>
      <c r="AT621" s="84"/>
      <c r="AU621" s="84"/>
      <c r="AV621" s="84"/>
      <c r="AW621" s="84"/>
      <c r="AX621" s="87">
        <f t="array" ref="AX621">IF(G621=1,SUM((ROW(M0)=ROW(AW621))*(M0+M1_+M2_+M3_+M4_+M5_+M6_+M7_+M8_+M9_+M10_+M11_+M12_+M13_+M14_+M15_+M16_+M17_+M18_+M19_+M20_+M21_+M22_+M23_+M24_+M25_+M26_+M27_+M28_+M29_+M30_+M31_+M32_+M33_+M34_+M35_+M36_+M37_)),0)</f>
        <v>0</v>
      </c>
      <c r="AZ621" s="24" t="str">
        <f t="shared" si="133"/>
        <v/>
      </c>
      <c r="BA621" s="24" t="str">
        <f t="shared" si="134"/>
        <v/>
      </c>
      <c r="BB621" s="24" t="str">
        <f t="shared" si="135"/>
        <v/>
      </c>
      <c r="BC621" s="24" t="str">
        <f>IF(OR(E621="",LEFT(TableCosts[[#This Row],[Calc_N_Typ]],18)="Vynaložené náklady"),"",VLOOKUP(E621,Tab_Parts,2,0))</f>
        <v/>
      </c>
      <c r="BD621" s="24" t="str">
        <f t="shared" si="136"/>
        <v/>
      </c>
      <c r="BE621" s="24">
        <f t="shared" si="137"/>
        <v>0</v>
      </c>
      <c r="BF621" s="72">
        <f>TableCosts[[#This Row],[N_Amount]]*TableCosts[[#This Row],[N_Tariff]]*TableCosts[[#This Row],[N_ItemsCount]]</f>
        <v>0</v>
      </c>
      <c r="BG621" s="72">
        <f>IF(G621=1,IF(TableCosts[[#This Row],[N_Kateg]]="interné práce",TableCosts[[#This Row],[N_Amount]]*8*PAR_SGA_PERHOUR,0),0)</f>
        <v>0</v>
      </c>
      <c r="BH621" s="72">
        <f>SUM(TableCosts[[#This Row],[N_Direct]:[N_SGA]])</f>
        <v>0</v>
      </c>
      <c r="BI621" s="24">
        <f>IF(G621=1,IF(OR(AND(NOT(ISERROR(VLOOKUP(TableCosts[[#This Row],[Calc_N_Typ]],Cis_WorkPositions,1,0))),C621&lt;&gt;"",D621&lt;&gt;"",E621&lt;&gt;""),AND(ISERROR(VLOOKUP(TableCosts[[#This Row],[Calc_N_Typ]],Cis_WorkPositions,1,0)),C621="",D621="",E621&lt;&gt;""),LEFT(TableCosts[[#This Row],[Calc_N_Typ]],18)="Vynaložené náklady"),VLOOKUP(C621&amp;TableCosts[[#This Row],[Calc_N_Typ]],TRAN_STRITEMS_LABEL,VLOOKUP(D621,Tab_Hours,3,0),0),NA()),0)</f>
        <v>0</v>
      </c>
      <c r="BJ621" s="24">
        <f t="shared" si="138"/>
        <v>0</v>
      </c>
      <c r="BK621" s="24" t="str">
        <f t="shared" si="139"/>
        <v/>
      </c>
      <c r="BL621" s="24" t="str">
        <f t="shared" si="140"/>
        <v/>
      </c>
      <c r="BM621" s="24" t="str">
        <f>IF(G621=1,IF(TableCosts[[#This Row],[TransferFrom]]=TableCosts[[#This Row],[TranferTo]],0,1),"")</f>
        <v/>
      </c>
      <c r="BN621" s="24" t="str">
        <f t="shared" si="141"/>
        <v/>
      </c>
      <c r="BO621" s="24">
        <f t="shared" si="142"/>
        <v>0</v>
      </c>
      <c r="BP621" s="24">
        <f t="shared" si="143"/>
        <v>0</v>
      </c>
    </row>
    <row r="622" spans="2:68" s="24" customFormat="1" ht="12.75" x14ac:dyDescent="0.2">
      <c r="B622" s="97"/>
      <c r="C622" s="92"/>
      <c r="D622" s="92"/>
      <c r="E622" s="92"/>
      <c r="F622" s="31" t="str">
        <f>IF(G622=1,IF(ISERROR(TableCosts[[#This Row],[N_Tariff]]),Err_Message1,IF(TableCosts[[#This Row],[N_Tariff]]=0,Err_Message2,VLOOKUP(C622&amp;TableCosts[[#This Row],[Calc_N_Typ]],TRAN_STRITEMS_LABEL,5,FALSE))),"")</f>
        <v/>
      </c>
      <c r="G622" s="31">
        <f t="shared" si="132"/>
        <v>0</v>
      </c>
      <c r="H622" s="31" t="str">
        <f>IF(G622=1,IFERROR(VLOOKUP(F622,Tab_ErrMessage[],2,0),VLOOKUP(C622&amp;TableCosts[[#This Row],[Calc_N_Typ]],TRAN_STRITEMS_LABEL,4,FALSE)),"")</f>
        <v/>
      </c>
      <c r="I622" s="94"/>
      <c r="J622" s="94"/>
      <c r="K622" s="94"/>
      <c r="L622" s="84"/>
      <c r="M622" s="84"/>
      <c r="N622" s="84"/>
      <c r="O622" s="84"/>
      <c r="P622" s="84"/>
      <c r="Q622" s="84"/>
      <c r="R622" s="84"/>
      <c r="S622" s="84"/>
      <c r="T622" s="84"/>
      <c r="U622" s="84"/>
      <c r="V622" s="84"/>
      <c r="W622" s="84"/>
      <c r="X622" s="84"/>
      <c r="Y622" s="84"/>
      <c r="Z622" s="84"/>
      <c r="AA622" s="84"/>
      <c r="AB622" s="84"/>
      <c r="AC622" s="84"/>
      <c r="AD622" s="84"/>
      <c r="AE622" s="84"/>
      <c r="AF622" s="84"/>
      <c r="AG622" s="84"/>
      <c r="AH622" s="84"/>
      <c r="AI622" s="84"/>
      <c r="AJ622" s="84"/>
      <c r="AK622" s="84"/>
      <c r="AL622" s="84"/>
      <c r="AM622" s="84"/>
      <c r="AN622" s="84"/>
      <c r="AO622" s="84"/>
      <c r="AP622" s="84"/>
      <c r="AQ622" s="84"/>
      <c r="AR622" s="84"/>
      <c r="AS622" s="84"/>
      <c r="AT622" s="84"/>
      <c r="AU622" s="84"/>
      <c r="AV622" s="84"/>
      <c r="AW622" s="84"/>
      <c r="AX622" s="87">
        <f t="array" ref="AX622">IF(G622=1,SUM((ROW(M0)=ROW(AW622))*(M0+M1_+M2_+M3_+M4_+M5_+M6_+M7_+M8_+M9_+M10_+M11_+M12_+M13_+M14_+M15_+M16_+M17_+M18_+M19_+M20_+M21_+M22_+M23_+M24_+M25_+M26_+M27_+M28_+M29_+M30_+M31_+M32_+M33_+M34_+M35_+M36_+M37_)),0)</f>
        <v>0</v>
      </c>
      <c r="AZ622" s="24" t="str">
        <f t="shared" si="133"/>
        <v/>
      </c>
      <c r="BA622" s="24" t="str">
        <f t="shared" si="134"/>
        <v/>
      </c>
      <c r="BB622" s="24" t="str">
        <f t="shared" si="135"/>
        <v/>
      </c>
      <c r="BC622" s="24" t="str">
        <f>IF(OR(E622="",LEFT(TableCosts[[#This Row],[Calc_N_Typ]],18)="Vynaložené náklady"),"",VLOOKUP(E622,Tab_Parts,2,0))</f>
        <v/>
      </c>
      <c r="BD622" s="24" t="str">
        <f t="shared" si="136"/>
        <v/>
      </c>
      <c r="BE622" s="24">
        <f t="shared" si="137"/>
        <v>0</v>
      </c>
      <c r="BF622" s="72">
        <f>TableCosts[[#This Row],[N_Amount]]*TableCosts[[#This Row],[N_Tariff]]*TableCosts[[#This Row],[N_ItemsCount]]</f>
        <v>0</v>
      </c>
      <c r="BG622" s="72">
        <f>IF(G622=1,IF(TableCosts[[#This Row],[N_Kateg]]="interné práce",TableCosts[[#This Row],[N_Amount]]*8*PAR_SGA_PERHOUR,0),0)</f>
        <v>0</v>
      </c>
      <c r="BH622" s="72">
        <f>SUM(TableCosts[[#This Row],[N_Direct]:[N_SGA]])</f>
        <v>0</v>
      </c>
      <c r="BI622" s="24">
        <f>IF(G622=1,IF(OR(AND(NOT(ISERROR(VLOOKUP(TableCosts[[#This Row],[Calc_N_Typ]],Cis_WorkPositions,1,0))),C622&lt;&gt;"",D622&lt;&gt;"",E622&lt;&gt;""),AND(ISERROR(VLOOKUP(TableCosts[[#This Row],[Calc_N_Typ]],Cis_WorkPositions,1,0)),C622="",D622="",E622&lt;&gt;""),LEFT(TableCosts[[#This Row],[Calc_N_Typ]],18)="Vynaložené náklady"),VLOOKUP(C622&amp;TableCosts[[#This Row],[Calc_N_Typ]],TRAN_STRITEMS_LABEL,VLOOKUP(D622,Tab_Hours,3,0),0),NA()),0)</f>
        <v>0</v>
      </c>
      <c r="BJ622" s="24">
        <f t="shared" si="138"/>
        <v>0</v>
      </c>
      <c r="BK622" s="24" t="str">
        <f t="shared" si="139"/>
        <v/>
      </c>
      <c r="BL622" s="24" t="str">
        <f t="shared" si="140"/>
        <v/>
      </c>
      <c r="BM622" s="24" t="str">
        <f>IF(G622=1,IF(TableCosts[[#This Row],[TransferFrom]]=TableCosts[[#This Row],[TranferTo]],0,1),"")</f>
        <v/>
      </c>
      <c r="BN622" s="24" t="str">
        <f t="shared" si="141"/>
        <v/>
      </c>
      <c r="BO622" s="24">
        <f t="shared" si="142"/>
        <v>0</v>
      </c>
      <c r="BP622" s="24">
        <f t="shared" si="143"/>
        <v>0</v>
      </c>
    </row>
    <row r="623" spans="2:68" s="24" customFormat="1" ht="12.75" x14ac:dyDescent="0.2">
      <c r="B623" s="97"/>
      <c r="C623" s="92"/>
      <c r="D623" s="92"/>
      <c r="E623" s="92"/>
      <c r="F623" s="31" t="str">
        <f>IF(G623=1,IF(ISERROR(TableCosts[[#This Row],[N_Tariff]]),Err_Message1,IF(TableCosts[[#This Row],[N_Tariff]]=0,Err_Message2,VLOOKUP(C623&amp;TableCosts[[#This Row],[Calc_N_Typ]],TRAN_STRITEMS_LABEL,5,FALSE))),"")</f>
        <v/>
      </c>
      <c r="G623" s="31">
        <f t="shared" si="132"/>
        <v>0</v>
      </c>
      <c r="H623" s="31" t="str">
        <f>IF(G623=1,IFERROR(VLOOKUP(F623,Tab_ErrMessage[],2,0),VLOOKUP(C623&amp;TableCosts[[#This Row],[Calc_N_Typ]],TRAN_STRITEMS_LABEL,4,FALSE)),"")</f>
        <v/>
      </c>
      <c r="I623" s="94"/>
      <c r="J623" s="94"/>
      <c r="K623" s="94"/>
      <c r="L623" s="84"/>
      <c r="M623" s="84"/>
      <c r="N623" s="84"/>
      <c r="O623" s="84"/>
      <c r="P623" s="84"/>
      <c r="Q623" s="84"/>
      <c r="R623" s="84"/>
      <c r="S623" s="84"/>
      <c r="T623" s="84"/>
      <c r="U623" s="84"/>
      <c r="V623" s="84"/>
      <c r="W623" s="84"/>
      <c r="X623" s="84"/>
      <c r="Y623" s="84"/>
      <c r="Z623" s="84"/>
      <c r="AA623" s="84"/>
      <c r="AB623" s="84"/>
      <c r="AC623" s="84"/>
      <c r="AD623" s="84"/>
      <c r="AE623" s="84"/>
      <c r="AF623" s="84"/>
      <c r="AG623" s="84"/>
      <c r="AH623" s="84"/>
      <c r="AI623" s="84"/>
      <c r="AJ623" s="84"/>
      <c r="AK623" s="84"/>
      <c r="AL623" s="84"/>
      <c r="AM623" s="84"/>
      <c r="AN623" s="84"/>
      <c r="AO623" s="84"/>
      <c r="AP623" s="84"/>
      <c r="AQ623" s="84"/>
      <c r="AR623" s="84"/>
      <c r="AS623" s="84"/>
      <c r="AT623" s="84"/>
      <c r="AU623" s="84"/>
      <c r="AV623" s="84"/>
      <c r="AW623" s="84"/>
      <c r="AX623" s="87">
        <f t="array" ref="AX623">IF(G623=1,SUM((ROW(M0)=ROW(AW623))*(M0+M1_+M2_+M3_+M4_+M5_+M6_+M7_+M8_+M9_+M10_+M11_+M12_+M13_+M14_+M15_+M16_+M17_+M18_+M19_+M20_+M21_+M22_+M23_+M24_+M25_+M26_+M27_+M28_+M29_+M30_+M31_+M32_+M33_+M34_+M35_+M36_+M37_)),0)</f>
        <v>0</v>
      </c>
      <c r="AZ623" s="24" t="str">
        <f t="shared" si="133"/>
        <v/>
      </c>
      <c r="BA623" s="24" t="str">
        <f t="shared" si="134"/>
        <v/>
      </c>
      <c r="BB623" s="24" t="str">
        <f t="shared" si="135"/>
        <v/>
      </c>
      <c r="BC623" s="24" t="str">
        <f>IF(OR(E623="",LEFT(TableCosts[[#This Row],[Calc_N_Typ]],18)="Vynaložené náklady"),"",VLOOKUP(E623,Tab_Parts,2,0))</f>
        <v/>
      </c>
      <c r="BD623" s="24" t="str">
        <f t="shared" si="136"/>
        <v/>
      </c>
      <c r="BE623" s="24">
        <f t="shared" si="137"/>
        <v>0</v>
      </c>
      <c r="BF623" s="72">
        <f>TableCosts[[#This Row],[N_Amount]]*TableCosts[[#This Row],[N_Tariff]]*TableCosts[[#This Row],[N_ItemsCount]]</f>
        <v>0</v>
      </c>
      <c r="BG623" s="72">
        <f>IF(G623=1,IF(TableCosts[[#This Row],[N_Kateg]]="interné práce",TableCosts[[#This Row],[N_Amount]]*8*PAR_SGA_PERHOUR,0),0)</f>
        <v>0</v>
      </c>
      <c r="BH623" s="72">
        <f>SUM(TableCosts[[#This Row],[N_Direct]:[N_SGA]])</f>
        <v>0</v>
      </c>
      <c r="BI623" s="24">
        <f>IF(G623=1,IF(OR(AND(NOT(ISERROR(VLOOKUP(TableCosts[[#This Row],[Calc_N_Typ]],Cis_WorkPositions,1,0))),C623&lt;&gt;"",D623&lt;&gt;"",E623&lt;&gt;""),AND(ISERROR(VLOOKUP(TableCosts[[#This Row],[Calc_N_Typ]],Cis_WorkPositions,1,0)),C623="",D623="",E623&lt;&gt;""),LEFT(TableCosts[[#This Row],[Calc_N_Typ]],18)="Vynaložené náklady"),VLOOKUP(C623&amp;TableCosts[[#This Row],[Calc_N_Typ]],TRAN_STRITEMS_LABEL,VLOOKUP(D623,Tab_Hours,3,0),0),NA()),0)</f>
        <v>0</v>
      </c>
      <c r="BJ623" s="24">
        <f t="shared" si="138"/>
        <v>0</v>
      </c>
      <c r="BK623" s="24" t="str">
        <f t="shared" si="139"/>
        <v/>
      </c>
      <c r="BL623" s="24" t="str">
        <f t="shared" si="140"/>
        <v/>
      </c>
      <c r="BM623" s="24" t="str">
        <f>IF(G623=1,IF(TableCosts[[#This Row],[TransferFrom]]=TableCosts[[#This Row],[TranferTo]],0,1),"")</f>
        <v/>
      </c>
      <c r="BN623" s="24" t="str">
        <f t="shared" si="141"/>
        <v/>
      </c>
      <c r="BO623" s="24">
        <f t="shared" si="142"/>
        <v>0</v>
      </c>
      <c r="BP623" s="24">
        <f t="shared" si="143"/>
        <v>0</v>
      </c>
    </row>
    <row r="624" spans="2:68" s="24" customFormat="1" ht="12.75" x14ac:dyDescent="0.2">
      <c r="B624" s="97"/>
      <c r="C624" s="92"/>
      <c r="D624" s="92"/>
      <c r="E624" s="92"/>
      <c r="F624" s="31" t="str">
        <f>IF(G624=1,IF(ISERROR(TableCosts[[#This Row],[N_Tariff]]),Err_Message1,IF(TableCosts[[#This Row],[N_Tariff]]=0,Err_Message2,VLOOKUP(C624&amp;TableCosts[[#This Row],[Calc_N_Typ]],TRAN_STRITEMS_LABEL,5,FALSE))),"")</f>
        <v/>
      </c>
      <c r="G624" s="31">
        <f t="shared" si="132"/>
        <v>0</v>
      </c>
      <c r="H624" s="31" t="str">
        <f>IF(G624=1,IFERROR(VLOOKUP(F624,Tab_ErrMessage[],2,0),VLOOKUP(C624&amp;TableCosts[[#This Row],[Calc_N_Typ]],TRAN_STRITEMS_LABEL,4,FALSE)),"")</f>
        <v/>
      </c>
      <c r="I624" s="94"/>
      <c r="J624" s="94"/>
      <c r="K624" s="94"/>
      <c r="L624" s="84"/>
      <c r="M624" s="84"/>
      <c r="N624" s="84"/>
      <c r="O624" s="84"/>
      <c r="P624" s="84"/>
      <c r="Q624" s="84"/>
      <c r="R624" s="84"/>
      <c r="S624" s="84"/>
      <c r="T624" s="84"/>
      <c r="U624" s="84"/>
      <c r="V624" s="84"/>
      <c r="W624" s="84"/>
      <c r="X624" s="84"/>
      <c r="Y624" s="84"/>
      <c r="Z624" s="84"/>
      <c r="AA624" s="84"/>
      <c r="AB624" s="84"/>
      <c r="AC624" s="84"/>
      <c r="AD624" s="84"/>
      <c r="AE624" s="84"/>
      <c r="AF624" s="84"/>
      <c r="AG624" s="84"/>
      <c r="AH624" s="84"/>
      <c r="AI624" s="84"/>
      <c r="AJ624" s="84"/>
      <c r="AK624" s="84"/>
      <c r="AL624" s="84"/>
      <c r="AM624" s="84"/>
      <c r="AN624" s="84"/>
      <c r="AO624" s="84"/>
      <c r="AP624" s="84"/>
      <c r="AQ624" s="84"/>
      <c r="AR624" s="84"/>
      <c r="AS624" s="84"/>
      <c r="AT624" s="84"/>
      <c r="AU624" s="84"/>
      <c r="AV624" s="84"/>
      <c r="AW624" s="84"/>
      <c r="AX624" s="87">
        <f t="array" ref="AX624">IF(G624=1,SUM((ROW(M0)=ROW(AW624))*(M0+M1_+M2_+M3_+M4_+M5_+M6_+M7_+M8_+M9_+M10_+M11_+M12_+M13_+M14_+M15_+M16_+M17_+M18_+M19_+M20_+M21_+M22_+M23_+M24_+M25_+M26_+M27_+M28_+M29_+M30_+M31_+M32_+M33_+M34_+M35_+M36_+M37_)),0)</f>
        <v>0</v>
      </c>
      <c r="AZ624" s="24" t="str">
        <f t="shared" si="133"/>
        <v/>
      </c>
      <c r="BA624" s="24" t="str">
        <f t="shared" si="134"/>
        <v/>
      </c>
      <c r="BB624" s="24" t="str">
        <f t="shared" si="135"/>
        <v/>
      </c>
      <c r="BC624" s="24" t="str">
        <f>IF(OR(E624="",LEFT(TableCosts[[#This Row],[Calc_N_Typ]],18)="Vynaložené náklady"),"",VLOOKUP(E624,Tab_Parts,2,0))</f>
        <v/>
      </c>
      <c r="BD624" s="24" t="str">
        <f t="shared" si="136"/>
        <v/>
      </c>
      <c r="BE624" s="24">
        <f t="shared" si="137"/>
        <v>0</v>
      </c>
      <c r="BF624" s="72">
        <f>TableCosts[[#This Row],[N_Amount]]*TableCosts[[#This Row],[N_Tariff]]*TableCosts[[#This Row],[N_ItemsCount]]</f>
        <v>0</v>
      </c>
      <c r="BG624" s="72">
        <f>IF(G624=1,IF(TableCosts[[#This Row],[N_Kateg]]="interné práce",TableCosts[[#This Row],[N_Amount]]*8*PAR_SGA_PERHOUR,0),0)</f>
        <v>0</v>
      </c>
      <c r="BH624" s="72">
        <f>SUM(TableCosts[[#This Row],[N_Direct]:[N_SGA]])</f>
        <v>0</v>
      </c>
      <c r="BI624" s="24">
        <f>IF(G624=1,IF(OR(AND(NOT(ISERROR(VLOOKUP(TableCosts[[#This Row],[Calc_N_Typ]],Cis_WorkPositions,1,0))),C624&lt;&gt;"",D624&lt;&gt;"",E624&lt;&gt;""),AND(ISERROR(VLOOKUP(TableCosts[[#This Row],[Calc_N_Typ]],Cis_WorkPositions,1,0)),C624="",D624="",E624&lt;&gt;""),LEFT(TableCosts[[#This Row],[Calc_N_Typ]],18)="Vynaložené náklady"),VLOOKUP(C624&amp;TableCosts[[#This Row],[Calc_N_Typ]],TRAN_STRITEMS_LABEL,VLOOKUP(D624,Tab_Hours,3,0),0),NA()),0)</f>
        <v>0</v>
      </c>
      <c r="BJ624" s="24">
        <f t="shared" si="138"/>
        <v>0</v>
      </c>
      <c r="BK624" s="24" t="str">
        <f t="shared" si="139"/>
        <v/>
      </c>
      <c r="BL624" s="24" t="str">
        <f t="shared" si="140"/>
        <v/>
      </c>
      <c r="BM624" s="24" t="str">
        <f>IF(G624=1,IF(TableCosts[[#This Row],[TransferFrom]]=TableCosts[[#This Row],[TranferTo]],0,1),"")</f>
        <v/>
      </c>
      <c r="BN624" s="24" t="str">
        <f t="shared" si="141"/>
        <v/>
      </c>
      <c r="BO624" s="24">
        <f t="shared" si="142"/>
        <v>0</v>
      </c>
      <c r="BP624" s="24">
        <f t="shared" si="143"/>
        <v>0</v>
      </c>
    </row>
    <row r="625" spans="2:68" s="24" customFormat="1" ht="12.75" x14ac:dyDescent="0.2">
      <c r="B625" s="97"/>
      <c r="C625" s="92"/>
      <c r="D625" s="92"/>
      <c r="E625" s="92"/>
      <c r="F625" s="31" t="str">
        <f>IF(G625=1,IF(ISERROR(TableCosts[[#This Row],[N_Tariff]]),Err_Message1,IF(TableCosts[[#This Row],[N_Tariff]]=0,Err_Message2,VLOOKUP(C625&amp;TableCosts[[#This Row],[Calc_N_Typ]],TRAN_STRITEMS_LABEL,5,FALSE))),"")</f>
        <v/>
      </c>
      <c r="G625" s="31">
        <f t="shared" si="132"/>
        <v>0</v>
      </c>
      <c r="H625" s="31" t="str">
        <f>IF(G625=1,IFERROR(VLOOKUP(F625,Tab_ErrMessage[],2,0),VLOOKUP(C625&amp;TableCosts[[#This Row],[Calc_N_Typ]],TRAN_STRITEMS_LABEL,4,FALSE)),"")</f>
        <v/>
      </c>
      <c r="I625" s="94"/>
      <c r="J625" s="94"/>
      <c r="K625" s="94"/>
      <c r="L625" s="84"/>
      <c r="M625" s="84"/>
      <c r="N625" s="84"/>
      <c r="O625" s="84"/>
      <c r="P625" s="84"/>
      <c r="Q625" s="84"/>
      <c r="R625" s="84"/>
      <c r="S625" s="84"/>
      <c r="T625" s="84"/>
      <c r="U625" s="84"/>
      <c r="V625" s="84"/>
      <c r="W625" s="84"/>
      <c r="X625" s="84"/>
      <c r="Y625" s="84"/>
      <c r="Z625" s="84"/>
      <c r="AA625" s="84"/>
      <c r="AB625" s="84"/>
      <c r="AC625" s="84"/>
      <c r="AD625" s="84"/>
      <c r="AE625" s="84"/>
      <c r="AF625" s="84"/>
      <c r="AG625" s="84"/>
      <c r="AH625" s="84"/>
      <c r="AI625" s="84"/>
      <c r="AJ625" s="84"/>
      <c r="AK625" s="84"/>
      <c r="AL625" s="84"/>
      <c r="AM625" s="84"/>
      <c r="AN625" s="84"/>
      <c r="AO625" s="84"/>
      <c r="AP625" s="84"/>
      <c r="AQ625" s="84"/>
      <c r="AR625" s="84"/>
      <c r="AS625" s="84"/>
      <c r="AT625" s="84"/>
      <c r="AU625" s="84"/>
      <c r="AV625" s="84"/>
      <c r="AW625" s="84"/>
      <c r="AX625" s="87">
        <f t="array" ref="AX625">IF(G625=1,SUM((ROW(M0)=ROW(AW625))*(M0+M1_+M2_+M3_+M4_+M5_+M6_+M7_+M8_+M9_+M10_+M11_+M12_+M13_+M14_+M15_+M16_+M17_+M18_+M19_+M20_+M21_+M22_+M23_+M24_+M25_+M26_+M27_+M28_+M29_+M30_+M31_+M32_+M33_+M34_+M35_+M36_+M37_)),0)</f>
        <v>0</v>
      </c>
      <c r="AZ625" s="24" t="str">
        <f t="shared" si="133"/>
        <v/>
      </c>
      <c r="BA625" s="24" t="str">
        <f t="shared" si="134"/>
        <v/>
      </c>
      <c r="BB625" s="24" t="str">
        <f t="shared" si="135"/>
        <v/>
      </c>
      <c r="BC625" s="24" t="str">
        <f>IF(OR(E625="",LEFT(TableCosts[[#This Row],[Calc_N_Typ]],18)="Vynaložené náklady"),"",VLOOKUP(E625,Tab_Parts,2,0))</f>
        <v/>
      </c>
      <c r="BD625" s="24" t="str">
        <f t="shared" si="136"/>
        <v/>
      </c>
      <c r="BE625" s="24">
        <f t="shared" si="137"/>
        <v>0</v>
      </c>
      <c r="BF625" s="72">
        <f>TableCosts[[#This Row],[N_Amount]]*TableCosts[[#This Row],[N_Tariff]]*TableCosts[[#This Row],[N_ItemsCount]]</f>
        <v>0</v>
      </c>
      <c r="BG625" s="72">
        <f>IF(G625=1,IF(TableCosts[[#This Row],[N_Kateg]]="interné práce",TableCosts[[#This Row],[N_Amount]]*8*PAR_SGA_PERHOUR,0),0)</f>
        <v>0</v>
      </c>
      <c r="BH625" s="72">
        <f>SUM(TableCosts[[#This Row],[N_Direct]:[N_SGA]])</f>
        <v>0</v>
      </c>
      <c r="BI625" s="24">
        <f>IF(G625=1,IF(OR(AND(NOT(ISERROR(VLOOKUP(TableCosts[[#This Row],[Calc_N_Typ]],Cis_WorkPositions,1,0))),C625&lt;&gt;"",D625&lt;&gt;"",E625&lt;&gt;""),AND(ISERROR(VLOOKUP(TableCosts[[#This Row],[Calc_N_Typ]],Cis_WorkPositions,1,0)),C625="",D625="",E625&lt;&gt;""),LEFT(TableCosts[[#This Row],[Calc_N_Typ]],18)="Vynaložené náklady"),VLOOKUP(C625&amp;TableCosts[[#This Row],[Calc_N_Typ]],TRAN_STRITEMS_LABEL,VLOOKUP(D625,Tab_Hours,3,0),0),NA()),0)</f>
        <v>0</v>
      </c>
      <c r="BJ625" s="24">
        <f t="shared" si="138"/>
        <v>0</v>
      </c>
      <c r="BK625" s="24" t="str">
        <f t="shared" si="139"/>
        <v/>
      </c>
      <c r="BL625" s="24" t="str">
        <f t="shared" si="140"/>
        <v/>
      </c>
      <c r="BM625" s="24" t="str">
        <f>IF(G625=1,IF(TableCosts[[#This Row],[TransferFrom]]=TableCosts[[#This Row],[TranferTo]],0,1),"")</f>
        <v/>
      </c>
      <c r="BN625" s="24" t="str">
        <f t="shared" si="141"/>
        <v/>
      </c>
      <c r="BO625" s="24">
        <f t="shared" si="142"/>
        <v>0</v>
      </c>
      <c r="BP625" s="24">
        <f t="shared" si="143"/>
        <v>0</v>
      </c>
    </row>
    <row r="626" spans="2:68" s="24" customFormat="1" ht="12.75" x14ac:dyDescent="0.2">
      <c r="B626" s="97"/>
      <c r="C626" s="92"/>
      <c r="D626" s="92"/>
      <c r="E626" s="92"/>
      <c r="F626" s="31" t="str">
        <f>IF(G626=1,IF(ISERROR(TableCosts[[#This Row],[N_Tariff]]),Err_Message1,IF(TableCosts[[#This Row],[N_Tariff]]=0,Err_Message2,VLOOKUP(C626&amp;TableCosts[[#This Row],[Calc_N_Typ]],TRAN_STRITEMS_LABEL,5,FALSE))),"")</f>
        <v/>
      </c>
      <c r="G626" s="31">
        <f t="shared" si="132"/>
        <v>0</v>
      </c>
      <c r="H626" s="31" t="str">
        <f>IF(G626=1,IFERROR(VLOOKUP(F626,Tab_ErrMessage[],2,0),VLOOKUP(C626&amp;TableCosts[[#This Row],[Calc_N_Typ]],TRAN_STRITEMS_LABEL,4,FALSE)),"")</f>
        <v/>
      </c>
      <c r="I626" s="94"/>
      <c r="J626" s="94"/>
      <c r="K626" s="94"/>
      <c r="L626" s="84"/>
      <c r="M626" s="84"/>
      <c r="N626" s="84"/>
      <c r="O626" s="84"/>
      <c r="P626" s="84"/>
      <c r="Q626" s="84"/>
      <c r="R626" s="84"/>
      <c r="S626" s="84"/>
      <c r="T626" s="84"/>
      <c r="U626" s="84"/>
      <c r="V626" s="84"/>
      <c r="W626" s="84"/>
      <c r="X626" s="84"/>
      <c r="Y626" s="84"/>
      <c r="Z626" s="84"/>
      <c r="AA626" s="84"/>
      <c r="AB626" s="84"/>
      <c r="AC626" s="84"/>
      <c r="AD626" s="84"/>
      <c r="AE626" s="84"/>
      <c r="AF626" s="84"/>
      <c r="AG626" s="84"/>
      <c r="AH626" s="84"/>
      <c r="AI626" s="84"/>
      <c r="AJ626" s="84"/>
      <c r="AK626" s="84"/>
      <c r="AL626" s="84"/>
      <c r="AM626" s="84"/>
      <c r="AN626" s="84"/>
      <c r="AO626" s="84"/>
      <c r="AP626" s="84"/>
      <c r="AQ626" s="84"/>
      <c r="AR626" s="84"/>
      <c r="AS626" s="84"/>
      <c r="AT626" s="84"/>
      <c r="AU626" s="84"/>
      <c r="AV626" s="84"/>
      <c r="AW626" s="84"/>
      <c r="AX626" s="87">
        <f t="array" ref="AX626">IF(G626=1,SUM((ROW(M0)=ROW(AW626))*(M0+M1_+M2_+M3_+M4_+M5_+M6_+M7_+M8_+M9_+M10_+M11_+M12_+M13_+M14_+M15_+M16_+M17_+M18_+M19_+M20_+M21_+M22_+M23_+M24_+M25_+M26_+M27_+M28_+M29_+M30_+M31_+M32_+M33_+M34_+M35_+M36_+M37_)),0)</f>
        <v>0</v>
      </c>
      <c r="AZ626" s="24" t="str">
        <f t="shared" si="133"/>
        <v/>
      </c>
      <c r="BA626" s="24" t="str">
        <f t="shared" si="134"/>
        <v/>
      </c>
      <c r="BB626" s="24" t="str">
        <f t="shared" si="135"/>
        <v/>
      </c>
      <c r="BC626" s="24" t="str">
        <f>IF(OR(E626="",LEFT(TableCosts[[#This Row],[Calc_N_Typ]],18)="Vynaložené náklady"),"",VLOOKUP(E626,Tab_Parts,2,0))</f>
        <v/>
      </c>
      <c r="BD626" s="24" t="str">
        <f t="shared" si="136"/>
        <v/>
      </c>
      <c r="BE626" s="24">
        <f t="shared" si="137"/>
        <v>0</v>
      </c>
      <c r="BF626" s="72">
        <f>TableCosts[[#This Row],[N_Amount]]*TableCosts[[#This Row],[N_Tariff]]*TableCosts[[#This Row],[N_ItemsCount]]</f>
        <v>0</v>
      </c>
      <c r="BG626" s="72">
        <f>IF(G626=1,IF(TableCosts[[#This Row],[N_Kateg]]="interné práce",TableCosts[[#This Row],[N_Amount]]*8*PAR_SGA_PERHOUR,0),0)</f>
        <v>0</v>
      </c>
      <c r="BH626" s="72">
        <f>SUM(TableCosts[[#This Row],[N_Direct]:[N_SGA]])</f>
        <v>0</v>
      </c>
      <c r="BI626" s="24">
        <f>IF(G626=1,IF(OR(AND(NOT(ISERROR(VLOOKUP(TableCosts[[#This Row],[Calc_N_Typ]],Cis_WorkPositions,1,0))),C626&lt;&gt;"",D626&lt;&gt;"",E626&lt;&gt;""),AND(ISERROR(VLOOKUP(TableCosts[[#This Row],[Calc_N_Typ]],Cis_WorkPositions,1,0)),C626="",D626="",E626&lt;&gt;""),LEFT(TableCosts[[#This Row],[Calc_N_Typ]],18)="Vynaložené náklady"),VLOOKUP(C626&amp;TableCosts[[#This Row],[Calc_N_Typ]],TRAN_STRITEMS_LABEL,VLOOKUP(D626,Tab_Hours,3,0),0),NA()),0)</f>
        <v>0</v>
      </c>
      <c r="BJ626" s="24">
        <f t="shared" si="138"/>
        <v>0</v>
      </c>
      <c r="BK626" s="24" t="str">
        <f t="shared" si="139"/>
        <v/>
      </c>
      <c r="BL626" s="24" t="str">
        <f t="shared" si="140"/>
        <v/>
      </c>
      <c r="BM626" s="24" t="str">
        <f>IF(G626=1,IF(TableCosts[[#This Row],[TransferFrom]]=TableCosts[[#This Row],[TranferTo]],0,1),"")</f>
        <v/>
      </c>
      <c r="BN626" s="24" t="str">
        <f t="shared" si="141"/>
        <v/>
      </c>
      <c r="BO626" s="24">
        <f t="shared" si="142"/>
        <v>0</v>
      </c>
      <c r="BP626" s="24">
        <f t="shared" si="143"/>
        <v>0</v>
      </c>
    </row>
    <row r="627" spans="2:68" s="24" customFormat="1" ht="12.75" x14ac:dyDescent="0.2">
      <c r="B627" s="97"/>
      <c r="C627" s="92"/>
      <c r="D627" s="92"/>
      <c r="E627" s="92"/>
      <c r="F627" s="31" t="str">
        <f>IF(G627=1,IF(ISERROR(TableCosts[[#This Row],[N_Tariff]]),Err_Message1,IF(TableCosts[[#This Row],[N_Tariff]]=0,Err_Message2,VLOOKUP(C627&amp;TableCosts[[#This Row],[Calc_N_Typ]],TRAN_STRITEMS_LABEL,5,FALSE))),"")</f>
        <v/>
      </c>
      <c r="G627" s="31">
        <f t="shared" si="132"/>
        <v>0</v>
      </c>
      <c r="H627" s="31" t="str">
        <f>IF(G627=1,IFERROR(VLOOKUP(F627,Tab_ErrMessage[],2,0),VLOOKUP(C627&amp;TableCosts[[#This Row],[Calc_N_Typ]],TRAN_STRITEMS_LABEL,4,FALSE)),"")</f>
        <v/>
      </c>
      <c r="I627" s="94"/>
      <c r="J627" s="94"/>
      <c r="K627" s="94"/>
      <c r="L627" s="84"/>
      <c r="M627" s="84"/>
      <c r="N627" s="84"/>
      <c r="O627" s="84"/>
      <c r="P627" s="84"/>
      <c r="Q627" s="84"/>
      <c r="R627" s="84"/>
      <c r="S627" s="84"/>
      <c r="T627" s="84"/>
      <c r="U627" s="84"/>
      <c r="V627" s="84"/>
      <c r="W627" s="84"/>
      <c r="X627" s="84"/>
      <c r="Y627" s="84"/>
      <c r="Z627" s="84"/>
      <c r="AA627" s="84"/>
      <c r="AB627" s="84"/>
      <c r="AC627" s="84"/>
      <c r="AD627" s="84"/>
      <c r="AE627" s="84"/>
      <c r="AF627" s="84"/>
      <c r="AG627" s="84"/>
      <c r="AH627" s="84"/>
      <c r="AI627" s="84"/>
      <c r="AJ627" s="84"/>
      <c r="AK627" s="84"/>
      <c r="AL627" s="84"/>
      <c r="AM627" s="84"/>
      <c r="AN627" s="84"/>
      <c r="AO627" s="84"/>
      <c r="AP627" s="84"/>
      <c r="AQ627" s="84"/>
      <c r="AR627" s="84"/>
      <c r="AS627" s="84"/>
      <c r="AT627" s="84"/>
      <c r="AU627" s="84"/>
      <c r="AV627" s="84"/>
      <c r="AW627" s="84"/>
      <c r="AX627" s="87">
        <f t="array" ref="AX627">IF(G627=1,SUM((ROW(M0)=ROW(AW627))*(M0+M1_+M2_+M3_+M4_+M5_+M6_+M7_+M8_+M9_+M10_+M11_+M12_+M13_+M14_+M15_+M16_+M17_+M18_+M19_+M20_+M21_+M22_+M23_+M24_+M25_+M26_+M27_+M28_+M29_+M30_+M31_+M32_+M33_+M34_+M35_+M36_+M37_)),0)</f>
        <v>0</v>
      </c>
      <c r="AZ627" s="24" t="str">
        <f t="shared" si="133"/>
        <v/>
      </c>
      <c r="BA627" s="24" t="str">
        <f t="shared" si="134"/>
        <v/>
      </c>
      <c r="BB627" s="24" t="str">
        <f t="shared" si="135"/>
        <v/>
      </c>
      <c r="BC627" s="24" t="str">
        <f>IF(OR(E627="",LEFT(TableCosts[[#This Row],[Calc_N_Typ]],18)="Vynaložené náklady"),"",VLOOKUP(E627,Tab_Parts,2,0))</f>
        <v/>
      </c>
      <c r="BD627" s="24" t="str">
        <f t="shared" si="136"/>
        <v/>
      </c>
      <c r="BE627" s="24">
        <f t="shared" si="137"/>
        <v>0</v>
      </c>
      <c r="BF627" s="72">
        <f>TableCosts[[#This Row],[N_Amount]]*TableCosts[[#This Row],[N_Tariff]]*TableCosts[[#This Row],[N_ItemsCount]]</f>
        <v>0</v>
      </c>
      <c r="BG627" s="72">
        <f>IF(G627=1,IF(TableCosts[[#This Row],[N_Kateg]]="interné práce",TableCosts[[#This Row],[N_Amount]]*8*PAR_SGA_PERHOUR,0),0)</f>
        <v>0</v>
      </c>
      <c r="BH627" s="72">
        <f>SUM(TableCosts[[#This Row],[N_Direct]:[N_SGA]])</f>
        <v>0</v>
      </c>
      <c r="BI627" s="24">
        <f>IF(G627=1,IF(OR(AND(NOT(ISERROR(VLOOKUP(TableCosts[[#This Row],[Calc_N_Typ]],Cis_WorkPositions,1,0))),C627&lt;&gt;"",D627&lt;&gt;"",E627&lt;&gt;""),AND(ISERROR(VLOOKUP(TableCosts[[#This Row],[Calc_N_Typ]],Cis_WorkPositions,1,0)),C627="",D627="",E627&lt;&gt;""),LEFT(TableCosts[[#This Row],[Calc_N_Typ]],18)="Vynaložené náklady"),VLOOKUP(C627&amp;TableCosts[[#This Row],[Calc_N_Typ]],TRAN_STRITEMS_LABEL,VLOOKUP(D627,Tab_Hours,3,0),0),NA()),0)</f>
        <v>0</v>
      </c>
      <c r="BJ627" s="24">
        <f t="shared" si="138"/>
        <v>0</v>
      </c>
      <c r="BK627" s="24" t="str">
        <f t="shared" si="139"/>
        <v/>
      </c>
      <c r="BL627" s="24" t="str">
        <f t="shared" si="140"/>
        <v/>
      </c>
      <c r="BM627" s="24" t="str">
        <f>IF(G627=1,IF(TableCosts[[#This Row],[TransferFrom]]=TableCosts[[#This Row],[TranferTo]],0,1),"")</f>
        <v/>
      </c>
      <c r="BN627" s="24" t="str">
        <f t="shared" si="141"/>
        <v/>
      </c>
      <c r="BO627" s="24">
        <f t="shared" si="142"/>
        <v>0</v>
      </c>
      <c r="BP627" s="24">
        <f t="shared" si="143"/>
        <v>0</v>
      </c>
    </row>
    <row r="628" spans="2:68" s="24" customFormat="1" ht="12.75" x14ac:dyDescent="0.2">
      <c r="B628" s="97"/>
      <c r="C628" s="92"/>
      <c r="D628" s="92"/>
      <c r="E628" s="92"/>
      <c r="F628" s="31" t="str">
        <f>IF(G628=1,IF(ISERROR(TableCosts[[#This Row],[N_Tariff]]),Err_Message1,IF(TableCosts[[#This Row],[N_Tariff]]=0,Err_Message2,VLOOKUP(C628&amp;TableCosts[[#This Row],[Calc_N_Typ]],TRAN_STRITEMS_LABEL,5,FALSE))),"")</f>
        <v/>
      </c>
      <c r="G628" s="31">
        <f t="shared" si="132"/>
        <v>0</v>
      </c>
      <c r="H628" s="31" t="str">
        <f>IF(G628=1,IFERROR(VLOOKUP(F628,Tab_ErrMessage[],2,0),VLOOKUP(C628&amp;TableCosts[[#This Row],[Calc_N_Typ]],TRAN_STRITEMS_LABEL,4,FALSE)),"")</f>
        <v/>
      </c>
      <c r="I628" s="94"/>
      <c r="J628" s="94"/>
      <c r="K628" s="94"/>
      <c r="L628" s="84"/>
      <c r="M628" s="84"/>
      <c r="N628" s="84"/>
      <c r="O628" s="84"/>
      <c r="P628" s="84"/>
      <c r="Q628" s="84"/>
      <c r="R628" s="84"/>
      <c r="S628" s="84"/>
      <c r="T628" s="84"/>
      <c r="U628" s="84"/>
      <c r="V628" s="84"/>
      <c r="W628" s="84"/>
      <c r="X628" s="84"/>
      <c r="Y628" s="84"/>
      <c r="Z628" s="84"/>
      <c r="AA628" s="84"/>
      <c r="AB628" s="84"/>
      <c r="AC628" s="84"/>
      <c r="AD628" s="84"/>
      <c r="AE628" s="84"/>
      <c r="AF628" s="84"/>
      <c r="AG628" s="84"/>
      <c r="AH628" s="84"/>
      <c r="AI628" s="84"/>
      <c r="AJ628" s="84"/>
      <c r="AK628" s="84"/>
      <c r="AL628" s="84"/>
      <c r="AM628" s="84"/>
      <c r="AN628" s="84"/>
      <c r="AO628" s="84"/>
      <c r="AP628" s="84"/>
      <c r="AQ628" s="84"/>
      <c r="AR628" s="84"/>
      <c r="AS628" s="84"/>
      <c r="AT628" s="84"/>
      <c r="AU628" s="84"/>
      <c r="AV628" s="84"/>
      <c r="AW628" s="84"/>
      <c r="AX628" s="87">
        <f t="array" ref="AX628">IF(G628=1,SUM((ROW(M0)=ROW(AW628))*(M0+M1_+M2_+M3_+M4_+M5_+M6_+M7_+M8_+M9_+M10_+M11_+M12_+M13_+M14_+M15_+M16_+M17_+M18_+M19_+M20_+M21_+M22_+M23_+M24_+M25_+M26_+M27_+M28_+M29_+M30_+M31_+M32_+M33_+M34_+M35_+M36_+M37_)),0)</f>
        <v>0</v>
      </c>
      <c r="AZ628" s="24" t="str">
        <f t="shared" si="133"/>
        <v/>
      </c>
      <c r="BA628" s="24" t="str">
        <f t="shared" si="134"/>
        <v/>
      </c>
      <c r="BB628" s="24" t="str">
        <f t="shared" si="135"/>
        <v/>
      </c>
      <c r="BC628" s="24" t="str">
        <f>IF(OR(E628="",LEFT(TableCosts[[#This Row],[Calc_N_Typ]],18)="Vynaložené náklady"),"",VLOOKUP(E628,Tab_Parts,2,0))</f>
        <v/>
      </c>
      <c r="BD628" s="24" t="str">
        <f t="shared" si="136"/>
        <v/>
      </c>
      <c r="BE628" s="24">
        <f t="shared" si="137"/>
        <v>0</v>
      </c>
      <c r="BF628" s="72">
        <f>TableCosts[[#This Row],[N_Amount]]*TableCosts[[#This Row],[N_Tariff]]*TableCosts[[#This Row],[N_ItemsCount]]</f>
        <v>0</v>
      </c>
      <c r="BG628" s="72">
        <f>IF(G628=1,IF(TableCosts[[#This Row],[N_Kateg]]="interné práce",TableCosts[[#This Row],[N_Amount]]*8*PAR_SGA_PERHOUR,0),0)</f>
        <v>0</v>
      </c>
      <c r="BH628" s="72">
        <f>SUM(TableCosts[[#This Row],[N_Direct]:[N_SGA]])</f>
        <v>0</v>
      </c>
      <c r="BI628" s="24">
        <f>IF(G628=1,IF(OR(AND(NOT(ISERROR(VLOOKUP(TableCosts[[#This Row],[Calc_N_Typ]],Cis_WorkPositions,1,0))),C628&lt;&gt;"",D628&lt;&gt;"",E628&lt;&gt;""),AND(ISERROR(VLOOKUP(TableCosts[[#This Row],[Calc_N_Typ]],Cis_WorkPositions,1,0)),C628="",D628="",E628&lt;&gt;""),LEFT(TableCosts[[#This Row],[Calc_N_Typ]],18)="Vynaložené náklady"),VLOOKUP(C628&amp;TableCosts[[#This Row],[Calc_N_Typ]],TRAN_STRITEMS_LABEL,VLOOKUP(D628,Tab_Hours,3,0),0),NA()),0)</f>
        <v>0</v>
      </c>
      <c r="BJ628" s="24">
        <f t="shared" si="138"/>
        <v>0</v>
      </c>
      <c r="BK628" s="24" t="str">
        <f t="shared" si="139"/>
        <v/>
      </c>
      <c r="BL628" s="24" t="str">
        <f t="shared" si="140"/>
        <v/>
      </c>
      <c r="BM628" s="24" t="str">
        <f>IF(G628=1,IF(TableCosts[[#This Row],[TransferFrom]]=TableCosts[[#This Row],[TranferTo]],0,1),"")</f>
        <v/>
      </c>
      <c r="BN628" s="24" t="str">
        <f t="shared" si="141"/>
        <v/>
      </c>
      <c r="BO628" s="24">
        <f t="shared" si="142"/>
        <v>0</v>
      </c>
      <c r="BP628" s="24">
        <f t="shared" si="143"/>
        <v>0</v>
      </c>
    </row>
    <row r="629" spans="2:68" s="24" customFormat="1" ht="12.75" x14ac:dyDescent="0.2">
      <c r="B629" s="97"/>
      <c r="C629" s="92"/>
      <c r="D629" s="92"/>
      <c r="E629" s="92"/>
      <c r="F629" s="31" t="str">
        <f>IF(G629=1,IF(ISERROR(TableCosts[[#This Row],[N_Tariff]]),Err_Message1,IF(TableCosts[[#This Row],[N_Tariff]]=0,Err_Message2,VLOOKUP(C629&amp;TableCosts[[#This Row],[Calc_N_Typ]],TRAN_STRITEMS_LABEL,5,FALSE))),"")</f>
        <v/>
      </c>
      <c r="G629" s="31">
        <f t="shared" si="132"/>
        <v>0</v>
      </c>
      <c r="H629" s="31" t="str">
        <f>IF(G629=1,IFERROR(VLOOKUP(F629,Tab_ErrMessage[],2,0),VLOOKUP(C629&amp;TableCosts[[#This Row],[Calc_N_Typ]],TRAN_STRITEMS_LABEL,4,FALSE)),"")</f>
        <v/>
      </c>
      <c r="I629" s="94"/>
      <c r="J629" s="94"/>
      <c r="K629" s="94"/>
      <c r="L629" s="84"/>
      <c r="M629" s="84"/>
      <c r="N629" s="84"/>
      <c r="O629" s="84"/>
      <c r="P629" s="84"/>
      <c r="Q629" s="84"/>
      <c r="R629" s="84"/>
      <c r="S629" s="84"/>
      <c r="T629" s="84"/>
      <c r="U629" s="84"/>
      <c r="V629" s="84"/>
      <c r="W629" s="84"/>
      <c r="X629" s="84"/>
      <c r="Y629" s="84"/>
      <c r="Z629" s="84"/>
      <c r="AA629" s="84"/>
      <c r="AB629" s="84"/>
      <c r="AC629" s="84"/>
      <c r="AD629" s="84"/>
      <c r="AE629" s="84"/>
      <c r="AF629" s="84"/>
      <c r="AG629" s="84"/>
      <c r="AH629" s="84"/>
      <c r="AI629" s="84"/>
      <c r="AJ629" s="84"/>
      <c r="AK629" s="84"/>
      <c r="AL629" s="84"/>
      <c r="AM629" s="84"/>
      <c r="AN629" s="84"/>
      <c r="AO629" s="84"/>
      <c r="AP629" s="84"/>
      <c r="AQ629" s="84"/>
      <c r="AR629" s="84"/>
      <c r="AS629" s="84"/>
      <c r="AT629" s="84"/>
      <c r="AU629" s="84"/>
      <c r="AV629" s="84"/>
      <c r="AW629" s="84"/>
      <c r="AX629" s="87">
        <f t="array" ref="AX629">IF(G629=1,SUM((ROW(M0)=ROW(AW629))*(M0+M1_+M2_+M3_+M4_+M5_+M6_+M7_+M8_+M9_+M10_+M11_+M12_+M13_+M14_+M15_+M16_+M17_+M18_+M19_+M20_+M21_+M22_+M23_+M24_+M25_+M26_+M27_+M28_+M29_+M30_+M31_+M32_+M33_+M34_+M35_+M36_+M37_)),0)</f>
        <v>0</v>
      </c>
      <c r="AZ629" s="24" t="str">
        <f t="shared" si="133"/>
        <v/>
      </c>
      <c r="BA629" s="24" t="str">
        <f t="shared" si="134"/>
        <v/>
      </c>
      <c r="BB629" s="24" t="str">
        <f t="shared" si="135"/>
        <v/>
      </c>
      <c r="BC629" s="24" t="str">
        <f>IF(OR(E629="",LEFT(TableCosts[[#This Row],[Calc_N_Typ]],18)="Vynaložené náklady"),"",VLOOKUP(E629,Tab_Parts,2,0))</f>
        <v/>
      </c>
      <c r="BD629" s="24" t="str">
        <f t="shared" si="136"/>
        <v/>
      </c>
      <c r="BE629" s="24">
        <f t="shared" si="137"/>
        <v>0</v>
      </c>
      <c r="BF629" s="72">
        <f>TableCosts[[#This Row],[N_Amount]]*TableCosts[[#This Row],[N_Tariff]]*TableCosts[[#This Row],[N_ItemsCount]]</f>
        <v>0</v>
      </c>
      <c r="BG629" s="72">
        <f>IF(G629=1,IF(TableCosts[[#This Row],[N_Kateg]]="interné práce",TableCosts[[#This Row],[N_Amount]]*8*PAR_SGA_PERHOUR,0),0)</f>
        <v>0</v>
      </c>
      <c r="BH629" s="72">
        <f>SUM(TableCosts[[#This Row],[N_Direct]:[N_SGA]])</f>
        <v>0</v>
      </c>
      <c r="BI629" s="24">
        <f>IF(G629=1,IF(OR(AND(NOT(ISERROR(VLOOKUP(TableCosts[[#This Row],[Calc_N_Typ]],Cis_WorkPositions,1,0))),C629&lt;&gt;"",D629&lt;&gt;"",E629&lt;&gt;""),AND(ISERROR(VLOOKUP(TableCosts[[#This Row],[Calc_N_Typ]],Cis_WorkPositions,1,0)),C629="",D629="",E629&lt;&gt;""),LEFT(TableCosts[[#This Row],[Calc_N_Typ]],18)="Vynaložené náklady"),VLOOKUP(C629&amp;TableCosts[[#This Row],[Calc_N_Typ]],TRAN_STRITEMS_LABEL,VLOOKUP(D629,Tab_Hours,3,0),0),NA()),0)</f>
        <v>0</v>
      </c>
      <c r="BJ629" s="24">
        <f t="shared" si="138"/>
        <v>0</v>
      </c>
      <c r="BK629" s="24" t="str">
        <f t="shared" si="139"/>
        <v/>
      </c>
      <c r="BL629" s="24" t="str">
        <f t="shared" si="140"/>
        <v/>
      </c>
      <c r="BM629" s="24" t="str">
        <f>IF(G629=1,IF(TableCosts[[#This Row],[TransferFrom]]=TableCosts[[#This Row],[TranferTo]],0,1),"")</f>
        <v/>
      </c>
      <c r="BN629" s="24" t="str">
        <f t="shared" si="141"/>
        <v/>
      </c>
      <c r="BO629" s="24">
        <f t="shared" si="142"/>
        <v>0</v>
      </c>
      <c r="BP629" s="24">
        <f t="shared" si="143"/>
        <v>0</v>
      </c>
    </row>
    <row r="630" spans="2:68" s="24" customFormat="1" ht="12.75" x14ac:dyDescent="0.2">
      <c r="B630" s="97"/>
      <c r="C630" s="92"/>
      <c r="D630" s="92"/>
      <c r="E630" s="92"/>
      <c r="F630" s="31" t="str">
        <f>IF(G630=1,IF(ISERROR(TableCosts[[#This Row],[N_Tariff]]),Err_Message1,IF(TableCosts[[#This Row],[N_Tariff]]=0,Err_Message2,VLOOKUP(C630&amp;TableCosts[[#This Row],[Calc_N_Typ]],TRAN_STRITEMS_LABEL,5,FALSE))),"")</f>
        <v/>
      </c>
      <c r="G630" s="31">
        <f t="shared" si="132"/>
        <v>0</v>
      </c>
      <c r="H630" s="31" t="str">
        <f>IF(G630=1,IFERROR(VLOOKUP(F630,Tab_ErrMessage[],2,0),VLOOKUP(C630&amp;TableCosts[[#This Row],[Calc_N_Typ]],TRAN_STRITEMS_LABEL,4,FALSE)),"")</f>
        <v/>
      </c>
      <c r="I630" s="94"/>
      <c r="J630" s="94"/>
      <c r="K630" s="94"/>
      <c r="L630" s="84"/>
      <c r="M630" s="84"/>
      <c r="N630" s="84"/>
      <c r="O630" s="84"/>
      <c r="P630" s="84"/>
      <c r="Q630" s="84"/>
      <c r="R630" s="84"/>
      <c r="S630" s="84"/>
      <c r="T630" s="84"/>
      <c r="U630" s="84"/>
      <c r="V630" s="84"/>
      <c r="W630" s="84"/>
      <c r="X630" s="84"/>
      <c r="Y630" s="84"/>
      <c r="Z630" s="84"/>
      <c r="AA630" s="84"/>
      <c r="AB630" s="84"/>
      <c r="AC630" s="84"/>
      <c r="AD630" s="84"/>
      <c r="AE630" s="84"/>
      <c r="AF630" s="84"/>
      <c r="AG630" s="84"/>
      <c r="AH630" s="84"/>
      <c r="AI630" s="84"/>
      <c r="AJ630" s="84"/>
      <c r="AK630" s="84"/>
      <c r="AL630" s="84"/>
      <c r="AM630" s="84"/>
      <c r="AN630" s="84"/>
      <c r="AO630" s="84"/>
      <c r="AP630" s="84"/>
      <c r="AQ630" s="84"/>
      <c r="AR630" s="84"/>
      <c r="AS630" s="84"/>
      <c r="AT630" s="84"/>
      <c r="AU630" s="84"/>
      <c r="AV630" s="84"/>
      <c r="AW630" s="84"/>
      <c r="AX630" s="87">
        <f t="array" ref="AX630">IF(G630=1,SUM((ROW(M0)=ROW(AW630))*(M0+M1_+M2_+M3_+M4_+M5_+M6_+M7_+M8_+M9_+M10_+M11_+M12_+M13_+M14_+M15_+M16_+M17_+M18_+M19_+M20_+M21_+M22_+M23_+M24_+M25_+M26_+M27_+M28_+M29_+M30_+M31_+M32_+M33_+M34_+M35_+M36_+M37_)),0)</f>
        <v>0</v>
      </c>
      <c r="AZ630" s="24" t="str">
        <f t="shared" si="133"/>
        <v/>
      </c>
      <c r="BA630" s="24" t="str">
        <f t="shared" si="134"/>
        <v/>
      </c>
      <c r="BB630" s="24" t="str">
        <f t="shared" si="135"/>
        <v/>
      </c>
      <c r="BC630" s="24" t="str">
        <f>IF(OR(E630="",LEFT(TableCosts[[#This Row],[Calc_N_Typ]],18)="Vynaložené náklady"),"",VLOOKUP(E630,Tab_Parts,2,0))</f>
        <v/>
      </c>
      <c r="BD630" s="24" t="str">
        <f t="shared" si="136"/>
        <v/>
      </c>
      <c r="BE630" s="24">
        <f t="shared" si="137"/>
        <v>0</v>
      </c>
      <c r="BF630" s="72">
        <f>TableCosts[[#This Row],[N_Amount]]*TableCosts[[#This Row],[N_Tariff]]*TableCosts[[#This Row],[N_ItemsCount]]</f>
        <v>0</v>
      </c>
      <c r="BG630" s="72">
        <f>IF(G630=1,IF(TableCosts[[#This Row],[N_Kateg]]="interné práce",TableCosts[[#This Row],[N_Amount]]*8*PAR_SGA_PERHOUR,0),0)</f>
        <v>0</v>
      </c>
      <c r="BH630" s="72">
        <f>SUM(TableCosts[[#This Row],[N_Direct]:[N_SGA]])</f>
        <v>0</v>
      </c>
      <c r="BI630" s="24">
        <f>IF(G630=1,IF(OR(AND(NOT(ISERROR(VLOOKUP(TableCosts[[#This Row],[Calc_N_Typ]],Cis_WorkPositions,1,0))),C630&lt;&gt;"",D630&lt;&gt;"",E630&lt;&gt;""),AND(ISERROR(VLOOKUP(TableCosts[[#This Row],[Calc_N_Typ]],Cis_WorkPositions,1,0)),C630="",D630="",E630&lt;&gt;""),LEFT(TableCosts[[#This Row],[Calc_N_Typ]],18)="Vynaložené náklady"),VLOOKUP(C630&amp;TableCosts[[#This Row],[Calc_N_Typ]],TRAN_STRITEMS_LABEL,VLOOKUP(D630,Tab_Hours,3,0),0),NA()),0)</f>
        <v>0</v>
      </c>
      <c r="BJ630" s="24">
        <f t="shared" si="138"/>
        <v>0</v>
      </c>
      <c r="BK630" s="24" t="str">
        <f t="shared" si="139"/>
        <v/>
      </c>
      <c r="BL630" s="24" t="str">
        <f t="shared" si="140"/>
        <v/>
      </c>
      <c r="BM630" s="24" t="str">
        <f>IF(G630=1,IF(TableCosts[[#This Row],[TransferFrom]]=TableCosts[[#This Row],[TranferTo]],0,1),"")</f>
        <v/>
      </c>
      <c r="BN630" s="24" t="str">
        <f t="shared" si="141"/>
        <v/>
      </c>
      <c r="BO630" s="24">
        <f t="shared" si="142"/>
        <v>0</v>
      </c>
      <c r="BP630" s="24">
        <f t="shared" si="143"/>
        <v>0</v>
      </c>
    </row>
    <row r="631" spans="2:68" s="24" customFormat="1" ht="12.75" x14ac:dyDescent="0.2">
      <c r="B631" s="97"/>
      <c r="C631" s="92"/>
      <c r="D631" s="92"/>
      <c r="E631" s="92"/>
      <c r="F631" s="31" t="str">
        <f>IF(G631=1,IF(ISERROR(TableCosts[[#This Row],[N_Tariff]]),Err_Message1,IF(TableCosts[[#This Row],[N_Tariff]]=0,Err_Message2,VLOOKUP(C631&amp;TableCosts[[#This Row],[Calc_N_Typ]],TRAN_STRITEMS_LABEL,5,FALSE))),"")</f>
        <v/>
      </c>
      <c r="G631" s="31">
        <f t="shared" si="132"/>
        <v>0</v>
      </c>
      <c r="H631" s="31" t="str">
        <f>IF(G631=1,IFERROR(VLOOKUP(F631,Tab_ErrMessage[],2,0),VLOOKUP(C631&amp;TableCosts[[#This Row],[Calc_N_Typ]],TRAN_STRITEMS_LABEL,4,FALSE)),"")</f>
        <v/>
      </c>
      <c r="I631" s="94"/>
      <c r="J631" s="94"/>
      <c r="K631" s="94"/>
      <c r="L631" s="84"/>
      <c r="M631" s="84"/>
      <c r="N631" s="84"/>
      <c r="O631" s="84"/>
      <c r="P631" s="84"/>
      <c r="Q631" s="84"/>
      <c r="R631" s="84"/>
      <c r="S631" s="84"/>
      <c r="T631" s="84"/>
      <c r="U631" s="84"/>
      <c r="V631" s="84"/>
      <c r="W631" s="84"/>
      <c r="X631" s="84"/>
      <c r="Y631" s="84"/>
      <c r="Z631" s="84"/>
      <c r="AA631" s="84"/>
      <c r="AB631" s="84"/>
      <c r="AC631" s="84"/>
      <c r="AD631" s="84"/>
      <c r="AE631" s="84"/>
      <c r="AF631" s="84"/>
      <c r="AG631" s="84"/>
      <c r="AH631" s="84"/>
      <c r="AI631" s="84"/>
      <c r="AJ631" s="84"/>
      <c r="AK631" s="84"/>
      <c r="AL631" s="84"/>
      <c r="AM631" s="84"/>
      <c r="AN631" s="84"/>
      <c r="AO631" s="84"/>
      <c r="AP631" s="84"/>
      <c r="AQ631" s="84"/>
      <c r="AR631" s="84"/>
      <c r="AS631" s="84"/>
      <c r="AT631" s="84"/>
      <c r="AU631" s="84"/>
      <c r="AV631" s="84"/>
      <c r="AW631" s="84"/>
      <c r="AX631" s="87">
        <f t="array" ref="AX631">IF(G631=1,SUM((ROW(M0)=ROW(AW631))*(M0+M1_+M2_+M3_+M4_+M5_+M6_+M7_+M8_+M9_+M10_+M11_+M12_+M13_+M14_+M15_+M16_+M17_+M18_+M19_+M20_+M21_+M22_+M23_+M24_+M25_+M26_+M27_+M28_+M29_+M30_+M31_+M32_+M33_+M34_+M35_+M36_+M37_)),0)</f>
        <v>0</v>
      </c>
      <c r="AZ631" s="24" t="str">
        <f t="shared" si="133"/>
        <v/>
      </c>
      <c r="BA631" s="24" t="str">
        <f t="shared" si="134"/>
        <v/>
      </c>
      <c r="BB631" s="24" t="str">
        <f t="shared" si="135"/>
        <v/>
      </c>
      <c r="BC631" s="24" t="str">
        <f>IF(OR(E631="",LEFT(TableCosts[[#This Row],[Calc_N_Typ]],18)="Vynaložené náklady"),"",VLOOKUP(E631,Tab_Parts,2,0))</f>
        <v/>
      </c>
      <c r="BD631" s="24" t="str">
        <f t="shared" si="136"/>
        <v/>
      </c>
      <c r="BE631" s="24">
        <f t="shared" si="137"/>
        <v>0</v>
      </c>
      <c r="BF631" s="72">
        <f>TableCosts[[#This Row],[N_Amount]]*TableCosts[[#This Row],[N_Tariff]]*TableCosts[[#This Row],[N_ItemsCount]]</f>
        <v>0</v>
      </c>
      <c r="BG631" s="72">
        <f>IF(G631=1,IF(TableCosts[[#This Row],[N_Kateg]]="interné práce",TableCosts[[#This Row],[N_Amount]]*8*PAR_SGA_PERHOUR,0),0)</f>
        <v>0</v>
      </c>
      <c r="BH631" s="72">
        <f>SUM(TableCosts[[#This Row],[N_Direct]:[N_SGA]])</f>
        <v>0</v>
      </c>
      <c r="BI631" s="24">
        <f>IF(G631=1,IF(OR(AND(NOT(ISERROR(VLOOKUP(TableCosts[[#This Row],[Calc_N_Typ]],Cis_WorkPositions,1,0))),C631&lt;&gt;"",D631&lt;&gt;"",E631&lt;&gt;""),AND(ISERROR(VLOOKUP(TableCosts[[#This Row],[Calc_N_Typ]],Cis_WorkPositions,1,0)),C631="",D631="",E631&lt;&gt;""),LEFT(TableCosts[[#This Row],[Calc_N_Typ]],18)="Vynaložené náklady"),VLOOKUP(C631&amp;TableCosts[[#This Row],[Calc_N_Typ]],TRAN_STRITEMS_LABEL,VLOOKUP(D631,Tab_Hours,3,0),0),NA()),0)</f>
        <v>0</v>
      </c>
      <c r="BJ631" s="24">
        <f t="shared" si="138"/>
        <v>0</v>
      </c>
      <c r="BK631" s="24" t="str">
        <f t="shared" si="139"/>
        <v/>
      </c>
      <c r="BL631" s="24" t="str">
        <f t="shared" si="140"/>
        <v/>
      </c>
      <c r="BM631" s="24" t="str">
        <f>IF(G631=1,IF(TableCosts[[#This Row],[TransferFrom]]=TableCosts[[#This Row],[TranferTo]],0,1),"")</f>
        <v/>
      </c>
      <c r="BN631" s="24" t="str">
        <f t="shared" si="141"/>
        <v/>
      </c>
      <c r="BO631" s="24">
        <f t="shared" si="142"/>
        <v>0</v>
      </c>
      <c r="BP631" s="24">
        <f t="shared" si="143"/>
        <v>0</v>
      </c>
    </row>
    <row r="632" spans="2:68" s="24" customFormat="1" ht="12.75" x14ac:dyDescent="0.2">
      <c r="B632" s="97"/>
      <c r="C632" s="92"/>
      <c r="D632" s="92"/>
      <c r="E632" s="92"/>
      <c r="F632" s="31" t="str">
        <f>IF(G632=1,IF(ISERROR(TableCosts[[#This Row],[N_Tariff]]),Err_Message1,IF(TableCosts[[#This Row],[N_Tariff]]=0,Err_Message2,VLOOKUP(C632&amp;TableCosts[[#This Row],[Calc_N_Typ]],TRAN_STRITEMS_LABEL,5,FALSE))),"")</f>
        <v/>
      </c>
      <c r="G632" s="31">
        <f t="shared" si="132"/>
        <v>0</v>
      </c>
      <c r="H632" s="31" t="str">
        <f>IF(G632=1,IFERROR(VLOOKUP(F632,Tab_ErrMessage[],2,0),VLOOKUP(C632&amp;TableCosts[[#This Row],[Calc_N_Typ]],TRAN_STRITEMS_LABEL,4,FALSE)),"")</f>
        <v/>
      </c>
      <c r="I632" s="94"/>
      <c r="J632" s="94"/>
      <c r="K632" s="94"/>
      <c r="L632" s="84"/>
      <c r="M632" s="84"/>
      <c r="N632" s="84"/>
      <c r="O632" s="84"/>
      <c r="P632" s="84"/>
      <c r="Q632" s="84"/>
      <c r="R632" s="84"/>
      <c r="S632" s="84"/>
      <c r="T632" s="84"/>
      <c r="U632" s="84"/>
      <c r="V632" s="84"/>
      <c r="W632" s="84"/>
      <c r="X632" s="84"/>
      <c r="Y632" s="84"/>
      <c r="Z632" s="84"/>
      <c r="AA632" s="84"/>
      <c r="AB632" s="84"/>
      <c r="AC632" s="84"/>
      <c r="AD632" s="84"/>
      <c r="AE632" s="84"/>
      <c r="AF632" s="84"/>
      <c r="AG632" s="84"/>
      <c r="AH632" s="84"/>
      <c r="AI632" s="84"/>
      <c r="AJ632" s="84"/>
      <c r="AK632" s="84"/>
      <c r="AL632" s="84"/>
      <c r="AM632" s="84"/>
      <c r="AN632" s="84"/>
      <c r="AO632" s="84"/>
      <c r="AP632" s="84"/>
      <c r="AQ632" s="84"/>
      <c r="AR632" s="84"/>
      <c r="AS632" s="84"/>
      <c r="AT632" s="84"/>
      <c r="AU632" s="84"/>
      <c r="AV632" s="84"/>
      <c r="AW632" s="84"/>
      <c r="AX632" s="87">
        <f t="array" ref="AX632">IF(G632=1,SUM((ROW(M0)=ROW(AW632))*(M0+M1_+M2_+M3_+M4_+M5_+M6_+M7_+M8_+M9_+M10_+M11_+M12_+M13_+M14_+M15_+M16_+M17_+M18_+M19_+M20_+M21_+M22_+M23_+M24_+M25_+M26_+M27_+M28_+M29_+M30_+M31_+M32_+M33_+M34_+M35_+M36_+M37_)),0)</f>
        <v>0</v>
      </c>
      <c r="AZ632" s="24" t="str">
        <f t="shared" si="133"/>
        <v/>
      </c>
      <c r="BA632" s="24" t="str">
        <f t="shared" si="134"/>
        <v/>
      </c>
      <c r="BB632" s="24" t="str">
        <f t="shared" si="135"/>
        <v/>
      </c>
      <c r="BC632" s="24" t="str">
        <f>IF(OR(E632="",LEFT(TableCosts[[#This Row],[Calc_N_Typ]],18)="Vynaložené náklady"),"",VLOOKUP(E632,Tab_Parts,2,0))</f>
        <v/>
      </c>
      <c r="BD632" s="24" t="str">
        <f t="shared" si="136"/>
        <v/>
      </c>
      <c r="BE632" s="24">
        <f t="shared" si="137"/>
        <v>0</v>
      </c>
      <c r="BF632" s="72">
        <f>TableCosts[[#This Row],[N_Amount]]*TableCosts[[#This Row],[N_Tariff]]*TableCosts[[#This Row],[N_ItemsCount]]</f>
        <v>0</v>
      </c>
      <c r="BG632" s="72">
        <f>IF(G632=1,IF(TableCosts[[#This Row],[N_Kateg]]="interné práce",TableCosts[[#This Row],[N_Amount]]*8*PAR_SGA_PERHOUR,0),0)</f>
        <v>0</v>
      </c>
      <c r="BH632" s="72">
        <f>SUM(TableCosts[[#This Row],[N_Direct]:[N_SGA]])</f>
        <v>0</v>
      </c>
      <c r="BI632" s="24">
        <f>IF(G632=1,IF(OR(AND(NOT(ISERROR(VLOOKUP(TableCosts[[#This Row],[Calc_N_Typ]],Cis_WorkPositions,1,0))),C632&lt;&gt;"",D632&lt;&gt;"",E632&lt;&gt;""),AND(ISERROR(VLOOKUP(TableCosts[[#This Row],[Calc_N_Typ]],Cis_WorkPositions,1,0)),C632="",D632="",E632&lt;&gt;""),LEFT(TableCosts[[#This Row],[Calc_N_Typ]],18)="Vynaložené náklady"),VLOOKUP(C632&amp;TableCosts[[#This Row],[Calc_N_Typ]],TRAN_STRITEMS_LABEL,VLOOKUP(D632,Tab_Hours,3,0),0),NA()),0)</f>
        <v>0</v>
      </c>
      <c r="BJ632" s="24">
        <f t="shared" si="138"/>
        <v>0</v>
      </c>
      <c r="BK632" s="24" t="str">
        <f t="shared" si="139"/>
        <v/>
      </c>
      <c r="BL632" s="24" t="str">
        <f t="shared" si="140"/>
        <v/>
      </c>
      <c r="BM632" s="24" t="str">
        <f>IF(G632=1,IF(TableCosts[[#This Row],[TransferFrom]]=TableCosts[[#This Row],[TranferTo]],0,1),"")</f>
        <v/>
      </c>
      <c r="BN632" s="24" t="str">
        <f t="shared" si="141"/>
        <v/>
      </c>
      <c r="BO632" s="24">
        <f t="shared" si="142"/>
        <v>0</v>
      </c>
      <c r="BP632" s="24">
        <f t="shared" si="143"/>
        <v>0</v>
      </c>
    </row>
    <row r="633" spans="2:68" s="24" customFormat="1" ht="12.75" x14ac:dyDescent="0.2">
      <c r="B633" s="97"/>
      <c r="C633" s="92"/>
      <c r="D633" s="92"/>
      <c r="E633" s="92"/>
      <c r="F633" s="31" t="str">
        <f>IF(G633=1,IF(ISERROR(TableCosts[[#This Row],[N_Tariff]]),Err_Message1,IF(TableCosts[[#This Row],[N_Tariff]]=0,Err_Message2,VLOOKUP(C633&amp;TableCosts[[#This Row],[Calc_N_Typ]],TRAN_STRITEMS_LABEL,5,FALSE))),"")</f>
        <v/>
      </c>
      <c r="G633" s="31">
        <f t="shared" si="132"/>
        <v>0</v>
      </c>
      <c r="H633" s="31" t="str">
        <f>IF(G633=1,IFERROR(VLOOKUP(F633,Tab_ErrMessage[],2,0),VLOOKUP(C633&amp;TableCosts[[#This Row],[Calc_N_Typ]],TRAN_STRITEMS_LABEL,4,FALSE)),"")</f>
        <v/>
      </c>
      <c r="I633" s="94"/>
      <c r="J633" s="94"/>
      <c r="K633" s="94"/>
      <c r="L633" s="84"/>
      <c r="M633" s="84"/>
      <c r="N633" s="84"/>
      <c r="O633" s="84"/>
      <c r="P633" s="84"/>
      <c r="Q633" s="84"/>
      <c r="R633" s="84"/>
      <c r="S633" s="84"/>
      <c r="T633" s="84"/>
      <c r="U633" s="84"/>
      <c r="V633" s="84"/>
      <c r="W633" s="84"/>
      <c r="X633" s="84"/>
      <c r="Y633" s="84"/>
      <c r="Z633" s="84"/>
      <c r="AA633" s="84"/>
      <c r="AB633" s="84"/>
      <c r="AC633" s="84"/>
      <c r="AD633" s="84"/>
      <c r="AE633" s="84"/>
      <c r="AF633" s="84"/>
      <c r="AG633" s="84"/>
      <c r="AH633" s="84"/>
      <c r="AI633" s="84"/>
      <c r="AJ633" s="84"/>
      <c r="AK633" s="84"/>
      <c r="AL633" s="84"/>
      <c r="AM633" s="84"/>
      <c r="AN633" s="84"/>
      <c r="AO633" s="84"/>
      <c r="AP633" s="84"/>
      <c r="AQ633" s="84"/>
      <c r="AR633" s="84"/>
      <c r="AS633" s="84"/>
      <c r="AT633" s="84"/>
      <c r="AU633" s="84"/>
      <c r="AV633" s="84"/>
      <c r="AW633" s="84"/>
      <c r="AX633" s="87">
        <f t="array" ref="AX633">IF(G633=1,SUM((ROW(M0)=ROW(AW633))*(M0+M1_+M2_+M3_+M4_+M5_+M6_+M7_+M8_+M9_+M10_+M11_+M12_+M13_+M14_+M15_+M16_+M17_+M18_+M19_+M20_+M21_+M22_+M23_+M24_+M25_+M26_+M27_+M28_+M29_+M30_+M31_+M32_+M33_+M34_+M35_+M36_+M37_)),0)</f>
        <v>0</v>
      </c>
      <c r="AZ633" s="24" t="str">
        <f t="shared" si="133"/>
        <v/>
      </c>
      <c r="BA633" s="24" t="str">
        <f t="shared" si="134"/>
        <v/>
      </c>
      <c r="BB633" s="24" t="str">
        <f t="shared" si="135"/>
        <v/>
      </c>
      <c r="BC633" s="24" t="str">
        <f>IF(OR(E633="",LEFT(TableCosts[[#This Row],[Calc_N_Typ]],18)="Vynaložené náklady"),"",VLOOKUP(E633,Tab_Parts,2,0))</f>
        <v/>
      </c>
      <c r="BD633" s="24" t="str">
        <f t="shared" si="136"/>
        <v/>
      </c>
      <c r="BE633" s="24">
        <f t="shared" si="137"/>
        <v>0</v>
      </c>
      <c r="BF633" s="72">
        <f>TableCosts[[#This Row],[N_Amount]]*TableCosts[[#This Row],[N_Tariff]]*TableCosts[[#This Row],[N_ItemsCount]]</f>
        <v>0</v>
      </c>
      <c r="BG633" s="72">
        <f>IF(G633=1,IF(TableCosts[[#This Row],[N_Kateg]]="interné práce",TableCosts[[#This Row],[N_Amount]]*8*PAR_SGA_PERHOUR,0),0)</f>
        <v>0</v>
      </c>
      <c r="BH633" s="72">
        <f>SUM(TableCosts[[#This Row],[N_Direct]:[N_SGA]])</f>
        <v>0</v>
      </c>
      <c r="BI633" s="24">
        <f>IF(G633=1,IF(OR(AND(NOT(ISERROR(VLOOKUP(TableCosts[[#This Row],[Calc_N_Typ]],Cis_WorkPositions,1,0))),C633&lt;&gt;"",D633&lt;&gt;"",E633&lt;&gt;""),AND(ISERROR(VLOOKUP(TableCosts[[#This Row],[Calc_N_Typ]],Cis_WorkPositions,1,0)),C633="",D633="",E633&lt;&gt;""),LEFT(TableCosts[[#This Row],[Calc_N_Typ]],18)="Vynaložené náklady"),VLOOKUP(C633&amp;TableCosts[[#This Row],[Calc_N_Typ]],TRAN_STRITEMS_LABEL,VLOOKUP(D633,Tab_Hours,3,0),0),NA()),0)</f>
        <v>0</v>
      </c>
      <c r="BJ633" s="24">
        <f t="shared" si="138"/>
        <v>0</v>
      </c>
      <c r="BK633" s="24" t="str">
        <f t="shared" si="139"/>
        <v/>
      </c>
      <c r="BL633" s="24" t="str">
        <f t="shared" si="140"/>
        <v/>
      </c>
      <c r="BM633" s="24" t="str">
        <f>IF(G633=1,IF(TableCosts[[#This Row],[TransferFrom]]=TableCosts[[#This Row],[TranferTo]],0,1),"")</f>
        <v/>
      </c>
      <c r="BN633" s="24" t="str">
        <f t="shared" si="141"/>
        <v/>
      </c>
      <c r="BO633" s="24">
        <f t="shared" si="142"/>
        <v>0</v>
      </c>
      <c r="BP633" s="24">
        <f t="shared" si="143"/>
        <v>0</v>
      </c>
    </row>
    <row r="634" spans="2:68" s="24" customFormat="1" ht="12.75" x14ac:dyDescent="0.2">
      <c r="B634" s="97"/>
      <c r="C634" s="92"/>
      <c r="D634" s="92"/>
      <c r="E634" s="92"/>
      <c r="F634" s="31" t="str">
        <f>IF(G634=1,IF(ISERROR(TableCosts[[#This Row],[N_Tariff]]),Err_Message1,IF(TableCosts[[#This Row],[N_Tariff]]=0,Err_Message2,VLOOKUP(C634&amp;TableCosts[[#This Row],[Calc_N_Typ]],TRAN_STRITEMS_LABEL,5,FALSE))),"")</f>
        <v/>
      </c>
      <c r="G634" s="31">
        <f t="shared" si="132"/>
        <v>0</v>
      </c>
      <c r="H634" s="31" t="str">
        <f>IF(G634=1,IFERROR(VLOOKUP(F634,Tab_ErrMessage[],2,0),VLOOKUP(C634&amp;TableCosts[[#This Row],[Calc_N_Typ]],TRAN_STRITEMS_LABEL,4,FALSE)),"")</f>
        <v/>
      </c>
      <c r="I634" s="94"/>
      <c r="J634" s="94"/>
      <c r="K634" s="94"/>
      <c r="L634" s="84"/>
      <c r="M634" s="84"/>
      <c r="N634" s="84"/>
      <c r="O634" s="84"/>
      <c r="P634" s="84"/>
      <c r="Q634" s="84"/>
      <c r="R634" s="84"/>
      <c r="S634" s="84"/>
      <c r="T634" s="84"/>
      <c r="U634" s="84"/>
      <c r="V634" s="84"/>
      <c r="W634" s="84"/>
      <c r="X634" s="84"/>
      <c r="Y634" s="84"/>
      <c r="Z634" s="84"/>
      <c r="AA634" s="84"/>
      <c r="AB634" s="84"/>
      <c r="AC634" s="84"/>
      <c r="AD634" s="84"/>
      <c r="AE634" s="84"/>
      <c r="AF634" s="84"/>
      <c r="AG634" s="84"/>
      <c r="AH634" s="84"/>
      <c r="AI634" s="84"/>
      <c r="AJ634" s="84"/>
      <c r="AK634" s="84"/>
      <c r="AL634" s="84"/>
      <c r="AM634" s="84"/>
      <c r="AN634" s="84"/>
      <c r="AO634" s="84"/>
      <c r="AP634" s="84"/>
      <c r="AQ634" s="84"/>
      <c r="AR634" s="84"/>
      <c r="AS634" s="84"/>
      <c r="AT634" s="84"/>
      <c r="AU634" s="84"/>
      <c r="AV634" s="84"/>
      <c r="AW634" s="84"/>
      <c r="AX634" s="87">
        <f t="array" ref="AX634">IF(G634=1,SUM((ROW(M0)=ROW(AW634))*(M0+M1_+M2_+M3_+M4_+M5_+M6_+M7_+M8_+M9_+M10_+M11_+M12_+M13_+M14_+M15_+M16_+M17_+M18_+M19_+M20_+M21_+M22_+M23_+M24_+M25_+M26_+M27_+M28_+M29_+M30_+M31_+M32_+M33_+M34_+M35_+M36_+M37_)),0)</f>
        <v>0</v>
      </c>
      <c r="AZ634" s="24" t="str">
        <f t="shared" si="133"/>
        <v/>
      </c>
      <c r="BA634" s="24" t="str">
        <f t="shared" si="134"/>
        <v/>
      </c>
      <c r="BB634" s="24" t="str">
        <f t="shared" si="135"/>
        <v/>
      </c>
      <c r="BC634" s="24" t="str">
        <f>IF(OR(E634="",LEFT(TableCosts[[#This Row],[Calc_N_Typ]],18)="Vynaložené náklady"),"",VLOOKUP(E634,Tab_Parts,2,0))</f>
        <v/>
      </c>
      <c r="BD634" s="24" t="str">
        <f t="shared" si="136"/>
        <v/>
      </c>
      <c r="BE634" s="24">
        <f t="shared" si="137"/>
        <v>0</v>
      </c>
      <c r="BF634" s="72">
        <f>TableCosts[[#This Row],[N_Amount]]*TableCosts[[#This Row],[N_Tariff]]*TableCosts[[#This Row],[N_ItemsCount]]</f>
        <v>0</v>
      </c>
      <c r="BG634" s="72">
        <f>IF(G634=1,IF(TableCosts[[#This Row],[N_Kateg]]="interné práce",TableCosts[[#This Row],[N_Amount]]*8*PAR_SGA_PERHOUR,0),0)</f>
        <v>0</v>
      </c>
      <c r="BH634" s="72">
        <f>SUM(TableCosts[[#This Row],[N_Direct]:[N_SGA]])</f>
        <v>0</v>
      </c>
      <c r="BI634" s="24">
        <f>IF(G634=1,IF(OR(AND(NOT(ISERROR(VLOOKUP(TableCosts[[#This Row],[Calc_N_Typ]],Cis_WorkPositions,1,0))),C634&lt;&gt;"",D634&lt;&gt;"",E634&lt;&gt;""),AND(ISERROR(VLOOKUP(TableCosts[[#This Row],[Calc_N_Typ]],Cis_WorkPositions,1,0)),C634="",D634="",E634&lt;&gt;""),LEFT(TableCosts[[#This Row],[Calc_N_Typ]],18)="Vynaložené náklady"),VLOOKUP(C634&amp;TableCosts[[#This Row],[Calc_N_Typ]],TRAN_STRITEMS_LABEL,VLOOKUP(D634,Tab_Hours,3,0),0),NA()),0)</f>
        <v>0</v>
      </c>
      <c r="BJ634" s="24">
        <f t="shared" si="138"/>
        <v>0</v>
      </c>
      <c r="BK634" s="24" t="str">
        <f t="shared" si="139"/>
        <v/>
      </c>
      <c r="BL634" s="24" t="str">
        <f t="shared" si="140"/>
        <v/>
      </c>
      <c r="BM634" s="24" t="str">
        <f>IF(G634=1,IF(TableCosts[[#This Row],[TransferFrom]]=TableCosts[[#This Row],[TranferTo]],0,1),"")</f>
        <v/>
      </c>
      <c r="BN634" s="24" t="str">
        <f t="shared" si="141"/>
        <v/>
      </c>
      <c r="BO634" s="24">
        <f t="shared" si="142"/>
        <v>0</v>
      </c>
      <c r="BP634" s="24">
        <f t="shared" si="143"/>
        <v>0</v>
      </c>
    </row>
    <row r="635" spans="2:68" s="24" customFormat="1" ht="12.75" x14ac:dyDescent="0.2">
      <c r="B635" s="97"/>
      <c r="C635" s="92"/>
      <c r="D635" s="92"/>
      <c r="E635" s="92"/>
      <c r="F635" s="31" t="str">
        <f>IF(G635=1,IF(ISERROR(TableCosts[[#This Row],[N_Tariff]]),Err_Message1,IF(TableCosts[[#This Row],[N_Tariff]]=0,Err_Message2,VLOOKUP(C635&amp;TableCosts[[#This Row],[Calc_N_Typ]],TRAN_STRITEMS_LABEL,5,FALSE))),"")</f>
        <v/>
      </c>
      <c r="G635" s="31">
        <f t="shared" si="132"/>
        <v>0</v>
      </c>
      <c r="H635" s="31" t="str">
        <f>IF(G635=1,IFERROR(VLOOKUP(F635,Tab_ErrMessage[],2,0),VLOOKUP(C635&amp;TableCosts[[#This Row],[Calc_N_Typ]],TRAN_STRITEMS_LABEL,4,FALSE)),"")</f>
        <v/>
      </c>
      <c r="I635" s="94"/>
      <c r="J635" s="94"/>
      <c r="K635" s="94"/>
      <c r="L635" s="84"/>
      <c r="M635" s="84"/>
      <c r="N635" s="84"/>
      <c r="O635" s="84"/>
      <c r="P635" s="84"/>
      <c r="Q635" s="84"/>
      <c r="R635" s="84"/>
      <c r="S635" s="84"/>
      <c r="T635" s="84"/>
      <c r="U635" s="84"/>
      <c r="V635" s="84"/>
      <c r="W635" s="84"/>
      <c r="X635" s="84"/>
      <c r="Y635" s="84"/>
      <c r="Z635" s="84"/>
      <c r="AA635" s="84"/>
      <c r="AB635" s="84"/>
      <c r="AC635" s="84"/>
      <c r="AD635" s="84"/>
      <c r="AE635" s="84"/>
      <c r="AF635" s="84"/>
      <c r="AG635" s="84"/>
      <c r="AH635" s="84"/>
      <c r="AI635" s="84"/>
      <c r="AJ635" s="84"/>
      <c r="AK635" s="84"/>
      <c r="AL635" s="84"/>
      <c r="AM635" s="84"/>
      <c r="AN635" s="84"/>
      <c r="AO635" s="84"/>
      <c r="AP635" s="84"/>
      <c r="AQ635" s="84"/>
      <c r="AR635" s="84"/>
      <c r="AS635" s="84"/>
      <c r="AT635" s="84"/>
      <c r="AU635" s="84"/>
      <c r="AV635" s="84"/>
      <c r="AW635" s="84"/>
      <c r="AX635" s="87">
        <f t="array" ref="AX635">IF(G635=1,SUM((ROW(M0)=ROW(AW635))*(M0+M1_+M2_+M3_+M4_+M5_+M6_+M7_+M8_+M9_+M10_+M11_+M12_+M13_+M14_+M15_+M16_+M17_+M18_+M19_+M20_+M21_+M22_+M23_+M24_+M25_+M26_+M27_+M28_+M29_+M30_+M31_+M32_+M33_+M34_+M35_+M36_+M37_)),0)</f>
        <v>0</v>
      </c>
      <c r="AZ635" s="24" t="str">
        <f t="shared" si="133"/>
        <v/>
      </c>
      <c r="BA635" s="24" t="str">
        <f t="shared" si="134"/>
        <v/>
      </c>
      <c r="BB635" s="24" t="str">
        <f t="shared" si="135"/>
        <v/>
      </c>
      <c r="BC635" s="24" t="str">
        <f>IF(OR(E635="",LEFT(TableCosts[[#This Row],[Calc_N_Typ]],18)="Vynaložené náklady"),"",VLOOKUP(E635,Tab_Parts,2,0))</f>
        <v/>
      </c>
      <c r="BD635" s="24" t="str">
        <f t="shared" si="136"/>
        <v/>
      </c>
      <c r="BE635" s="24">
        <f t="shared" si="137"/>
        <v>0</v>
      </c>
      <c r="BF635" s="72">
        <f>TableCosts[[#This Row],[N_Amount]]*TableCosts[[#This Row],[N_Tariff]]*TableCosts[[#This Row],[N_ItemsCount]]</f>
        <v>0</v>
      </c>
      <c r="BG635" s="72">
        <f>IF(G635=1,IF(TableCosts[[#This Row],[N_Kateg]]="interné práce",TableCosts[[#This Row],[N_Amount]]*8*PAR_SGA_PERHOUR,0),0)</f>
        <v>0</v>
      </c>
      <c r="BH635" s="72">
        <f>SUM(TableCosts[[#This Row],[N_Direct]:[N_SGA]])</f>
        <v>0</v>
      </c>
      <c r="BI635" s="24">
        <f>IF(G635=1,IF(OR(AND(NOT(ISERROR(VLOOKUP(TableCosts[[#This Row],[Calc_N_Typ]],Cis_WorkPositions,1,0))),C635&lt;&gt;"",D635&lt;&gt;"",E635&lt;&gt;""),AND(ISERROR(VLOOKUP(TableCosts[[#This Row],[Calc_N_Typ]],Cis_WorkPositions,1,0)),C635="",D635="",E635&lt;&gt;""),LEFT(TableCosts[[#This Row],[Calc_N_Typ]],18)="Vynaložené náklady"),VLOOKUP(C635&amp;TableCosts[[#This Row],[Calc_N_Typ]],TRAN_STRITEMS_LABEL,VLOOKUP(D635,Tab_Hours,3,0),0),NA()),0)</f>
        <v>0</v>
      </c>
      <c r="BJ635" s="24">
        <f t="shared" si="138"/>
        <v>0</v>
      </c>
      <c r="BK635" s="24" t="str">
        <f t="shared" si="139"/>
        <v/>
      </c>
      <c r="BL635" s="24" t="str">
        <f t="shared" si="140"/>
        <v/>
      </c>
      <c r="BM635" s="24" t="str">
        <f>IF(G635=1,IF(TableCosts[[#This Row],[TransferFrom]]=TableCosts[[#This Row],[TranferTo]],0,1),"")</f>
        <v/>
      </c>
      <c r="BN635" s="24" t="str">
        <f t="shared" si="141"/>
        <v/>
      </c>
      <c r="BO635" s="24">
        <f t="shared" si="142"/>
        <v>0</v>
      </c>
      <c r="BP635" s="24">
        <f t="shared" si="143"/>
        <v>0</v>
      </c>
    </row>
    <row r="636" spans="2:68" s="24" customFormat="1" ht="12.75" x14ac:dyDescent="0.2">
      <c r="B636" s="97"/>
      <c r="C636" s="92"/>
      <c r="D636" s="92"/>
      <c r="E636" s="92"/>
      <c r="F636" s="31" t="str">
        <f>IF(G636=1,IF(ISERROR(TableCosts[[#This Row],[N_Tariff]]),Err_Message1,IF(TableCosts[[#This Row],[N_Tariff]]=0,Err_Message2,VLOOKUP(C636&amp;TableCosts[[#This Row],[Calc_N_Typ]],TRAN_STRITEMS_LABEL,5,FALSE))),"")</f>
        <v/>
      </c>
      <c r="G636" s="31">
        <f t="shared" si="132"/>
        <v>0</v>
      </c>
      <c r="H636" s="31" t="str">
        <f>IF(G636=1,IFERROR(VLOOKUP(F636,Tab_ErrMessage[],2,0),VLOOKUP(C636&amp;TableCosts[[#This Row],[Calc_N_Typ]],TRAN_STRITEMS_LABEL,4,FALSE)),"")</f>
        <v/>
      </c>
      <c r="I636" s="94"/>
      <c r="J636" s="94"/>
      <c r="K636" s="94"/>
      <c r="L636" s="84"/>
      <c r="M636" s="84"/>
      <c r="N636" s="84"/>
      <c r="O636" s="84"/>
      <c r="P636" s="84"/>
      <c r="Q636" s="84"/>
      <c r="R636" s="84"/>
      <c r="S636" s="84"/>
      <c r="T636" s="84"/>
      <c r="U636" s="84"/>
      <c r="V636" s="84"/>
      <c r="W636" s="84"/>
      <c r="X636" s="84"/>
      <c r="Y636" s="84"/>
      <c r="Z636" s="84"/>
      <c r="AA636" s="84"/>
      <c r="AB636" s="84"/>
      <c r="AC636" s="84"/>
      <c r="AD636" s="84"/>
      <c r="AE636" s="84"/>
      <c r="AF636" s="84"/>
      <c r="AG636" s="84"/>
      <c r="AH636" s="84"/>
      <c r="AI636" s="84"/>
      <c r="AJ636" s="84"/>
      <c r="AK636" s="84"/>
      <c r="AL636" s="84"/>
      <c r="AM636" s="84"/>
      <c r="AN636" s="84"/>
      <c r="AO636" s="84"/>
      <c r="AP636" s="84"/>
      <c r="AQ636" s="84"/>
      <c r="AR636" s="84"/>
      <c r="AS636" s="84"/>
      <c r="AT636" s="84"/>
      <c r="AU636" s="84"/>
      <c r="AV636" s="84"/>
      <c r="AW636" s="84"/>
      <c r="AX636" s="87">
        <f t="array" ref="AX636">IF(G636=1,SUM((ROW(M0)=ROW(AW636))*(M0+M1_+M2_+M3_+M4_+M5_+M6_+M7_+M8_+M9_+M10_+M11_+M12_+M13_+M14_+M15_+M16_+M17_+M18_+M19_+M20_+M21_+M22_+M23_+M24_+M25_+M26_+M27_+M28_+M29_+M30_+M31_+M32_+M33_+M34_+M35_+M36_+M37_)),0)</f>
        <v>0</v>
      </c>
      <c r="AZ636" s="24" t="str">
        <f t="shared" si="133"/>
        <v/>
      </c>
      <c r="BA636" s="24" t="str">
        <f t="shared" si="134"/>
        <v/>
      </c>
      <c r="BB636" s="24" t="str">
        <f t="shared" si="135"/>
        <v/>
      </c>
      <c r="BC636" s="24" t="str">
        <f>IF(OR(E636="",LEFT(TableCosts[[#This Row],[Calc_N_Typ]],18)="Vynaložené náklady"),"",VLOOKUP(E636,Tab_Parts,2,0))</f>
        <v/>
      </c>
      <c r="BD636" s="24" t="str">
        <f t="shared" si="136"/>
        <v/>
      </c>
      <c r="BE636" s="24">
        <f t="shared" si="137"/>
        <v>0</v>
      </c>
      <c r="BF636" s="72">
        <f>TableCosts[[#This Row],[N_Amount]]*TableCosts[[#This Row],[N_Tariff]]*TableCosts[[#This Row],[N_ItemsCount]]</f>
        <v>0</v>
      </c>
      <c r="BG636" s="72">
        <f>IF(G636=1,IF(TableCosts[[#This Row],[N_Kateg]]="interné práce",TableCosts[[#This Row],[N_Amount]]*8*PAR_SGA_PERHOUR,0),0)</f>
        <v>0</v>
      </c>
      <c r="BH636" s="72">
        <f>SUM(TableCosts[[#This Row],[N_Direct]:[N_SGA]])</f>
        <v>0</v>
      </c>
      <c r="BI636" s="24">
        <f>IF(G636=1,IF(OR(AND(NOT(ISERROR(VLOOKUP(TableCosts[[#This Row],[Calc_N_Typ]],Cis_WorkPositions,1,0))),C636&lt;&gt;"",D636&lt;&gt;"",E636&lt;&gt;""),AND(ISERROR(VLOOKUP(TableCosts[[#This Row],[Calc_N_Typ]],Cis_WorkPositions,1,0)),C636="",D636="",E636&lt;&gt;""),LEFT(TableCosts[[#This Row],[Calc_N_Typ]],18)="Vynaložené náklady"),VLOOKUP(C636&amp;TableCosts[[#This Row],[Calc_N_Typ]],TRAN_STRITEMS_LABEL,VLOOKUP(D636,Tab_Hours,3,0),0),NA()),0)</f>
        <v>0</v>
      </c>
      <c r="BJ636" s="24">
        <f t="shared" si="138"/>
        <v>0</v>
      </c>
      <c r="BK636" s="24" t="str">
        <f t="shared" si="139"/>
        <v/>
      </c>
      <c r="BL636" s="24" t="str">
        <f t="shared" si="140"/>
        <v/>
      </c>
      <c r="BM636" s="24" t="str">
        <f>IF(G636=1,IF(TableCosts[[#This Row],[TransferFrom]]=TableCosts[[#This Row],[TranferTo]],0,1),"")</f>
        <v/>
      </c>
      <c r="BN636" s="24" t="str">
        <f t="shared" si="141"/>
        <v/>
      </c>
      <c r="BO636" s="24">
        <f t="shared" si="142"/>
        <v>0</v>
      </c>
      <c r="BP636" s="24">
        <f t="shared" si="143"/>
        <v>0</v>
      </c>
    </row>
    <row r="637" spans="2:68" s="24" customFormat="1" ht="12.75" x14ac:dyDescent="0.2">
      <c r="B637" s="97"/>
      <c r="C637" s="92"/>
      <c r="D637" s="92"/>
      <c r="E637" s="92"/>
      <c r="F637" s="31" t="str">
        <f>IF(G637=1,IF(ISERROR(TableCosts[[#This Row],[N_Tariff]]),Err_Message1,IF(TableCosts[[#This Row],[N_Tariff]]=0,Err_Message2,VLOOKUP(C637&amp;TableCosts[[#This Row],[Calc_N_Typ]],TRAN_STRITEMS_LABEL,5,FALSE))),"")</f>
        <v/>
      </c>
      <c r="G637" s="31">
        <f t="shared" si="132"/>
        <v>0</v>
      </c>
      <c r="H637" s="31" t="str">
        <f>IF(G637=1,IFERROR(VLOOKUP(F637,Tab_ErrMessage[],2,0),VLOOKUP(C637&amp;TableCosts[[#This Row],[Calc_N_Typ]],TRAN_STRITEMS_LABEL,4,FALSE)),"")</f>
        <v/>
      </c>
      <c r="I637" s="94"/>
      <c r="J637" s="94"/>
      <c r="K637" s="94"/>
      <c r="L637" s="84"/>
      <c r="M637" s="84"/>
      <c r="N637" s="84"/>
      <c r="O637" s="84"/>
      <c r="P637" s="84"/>
      <c r="Q637" s="84"/>
      <c r="R637" s="84"/>
      <c r="S637" s="84"/>
      <c r="T637" s="84"/>
      <c r="U637" s="84"/>
      <c r="V637" s="84"/>
      <c r="W637" s="84"/>
      <c r="X637" s="84"/>
      <c r="Y637" s="84"/>
      <c r="Z637" s="84"/>
      <c r="AA637" s="84"/>
      <c r="AB637" s="84"/>
      <c r="AC637" s="84"/>
      <c r="AD637" s="84"/>
      <c r="AE637" s="84"/>
      <c r="AF637" s="84"/>
      <c r="AG637" s="84"/>
      <c r="AH637" s="84"/>
      <c r="AI637" s="84"/>
      <c r="AJ637" s="84"/>
      <c r="AK637" s="84"/>
      <c r="AL637" s="84"/>
      <c r="AM637" s="84"/>
      <c r="AN637" s="84"/>
      <c r="AO637" s="84"/>
      <c r="AP637" s="84"/>
      <c r="AQ637" s="84"/>
      <c r="AR637" s="84"/>
      <c r="AS637" s="84"/>
      <c r="AT637" s="84"/>
      <c r="AU637" s="84"/>
      <c r="AV637" s="84"/>
      <c r="AW637" s="84"/>
      <c r="AX637" s="87">
        <f t="array" ref="AX637">IF(G637=1,SUM((ROW(M0)=ROW(AW637))*(M0+M1_+M2_+M3_+M4_+M5_+M6_+M7_+M8_+M9_+M10_+M11_+M12_+M13_+M14_+M15_+M16_+M17_+M18_+M19_+M20_+M21_+M22_+M23_+M24_+M25_+M26_+M27_+M28_+M29_+M30_+M31_+M32_+M33_+M34_+M35_+M36_+M37_)),0)</f>
        <v>0</v>
      </c>
      <c r="AZ637" s="24" t="str">
        <f t="shared" si="133"/>
        <v/>
      </c>
      <c r="BA637" s="24" t="str">
        <f t="shared" si="134"/>
        <v/>
      </c>
      <c r="BB637" s="24" t="str">
        <f t="shared" si="135"/>
        <v/>
      </c>
      <c r="BC637" s="24" t="str">
        <f>IF(OR(E637="",LEFT(TableCosts[[#This Row],[Calc_N_Typ]],18)="Vynaložené náklady"),"",VLOOKUP(E637,Tab_Parts,2,0))</f>
        <v/>
      </c>
      <c r="BD637" s="24" t="str">
        <f t="shared" si="136"/>
        <v/>
      </c>
      <c r="BE637" s="24">
        <f t="shared" si="137"/>
        <v>0</v>
      </c>
      <c r="BF637" s="72">
        <f>TableCosts[[#This Row],[N_Amount]]*TableCosts[[#This Row],[N_Tariff]]*TableCosts[[#This Row],[N_ItemsCount]]</f>
        <v>0</v>
      </c>
      <c r="BG637" s="72">
        <f>IF(G637=1,IF(TableCosts[[#This Row],[N_Kateg]]="interné práce",TableCosts[[#This Row],[N_Amount]]*8*PAR_SGA_PERHOUR,0),0)</f>
        <v>0</v>
      </c>
      <c r="BH637" s="72">
        <f>SUM(TableCosts[[#This Row],[N_Direct]:[N_SGA]])</f>
        <v>0</v>
      </c>
      <c r="BI637" s="24">
        <f>IF(G637=1,IF(OR(AND(NOT(ISERROR(VLOOKUP(TableCosts[[#This Row],[Calc_N_Typ]],Cis_WorkPositions,1,0))),C637&lt;&gt;"",D637&lt;&gt;"",E637&lt;&gt;""),AND(ISERROR(VLOOKUP(TableCosts[[#This Row],[Calc_N_Typ]],Cis_WorkPositions,1,0)),C637="",D637="",E637&lt;&gt;""),LEFT(TableCosts[[#This Row],[Calc_N_Typ]],18)="Vynaložené náklady"),VLOOKUP(C637&amp;TableCosts[[#This Row],[Calc_N_Typ]],TRAN_STRITEMS_LABEL,VLOOKUP(D637,Tab_Hours,3,0),0),NA()),0)</f>
        <v>0</v>
      </c>
      <c r="BJ637" s="24">
        <f t="shared" si="138"/>
        <v>0</v>
      </c>
      <c r="BK637" s="24" t="str">
        <f t="shared" si="139"/>
        <v/>
      </c>
      <c r="BL637" s="24" t="str">
        <f t="shared" si="140"/>
        <v/>
      </c>
      <c r="BM637" s="24" t="str">
        <f>IF(G637=1,IF(TableCosts[[#This Row],[TransferFrom]]=TableCosts[[#This Row],[TranferTo]],0,1),"")</f>
        <v/>
      </c>
      <c r="BN637" s="24" t="str">
        <f t="shared" si="141"/>
        <v/>
      </c>
      <c r="BO637" s="24">
        <f t="shared" si="142"/>
        <v>0</v>
      </c>
      <c r="BP637" s="24">
        <f t="shared" si="143"/>
        <v>0</v>
      </c>
    </row>
    <row r="638" spans="2:68" s="24" customFormat="1" ht="12.75" x14ac:dyDescent="0.2">
      <c r="B638" s="97"/>
      <c r="C638" s="92"/>
      <c r="D638" s="92"/>
      <c r="E638" s="92"/>
      <c r="F638" s="31" t="str">
        <f>IF(G638=1,IF(ISERROR(TableCosts[[#This Row],[N_Tariff]]),Err_Message1,IF(TableCosts[[#This Row],[N_Tariff]]=0,Err_Message2,VLOOKUP(C638&amp;TableCosts[[#This Row],[Calc_N_Typ]],TRAN_STRITEMS_LABEL,5,FALSE))),"")</f>
        <v/>
      </c>
      <c r="G638" s="31">
        <f t="shared" si="132"/>
        <v>0</v>
      </c>
      <c r="H638" s="31" t="str">
        <f>IF(G638=1,IFERROR(VLOOKUP(F638,Tab_ErrMessage[],2,0),VLOOKUP(C638&amp;TableCosts[[#This Row],[Calc_N_Typ]],TRAN_STRITEMS_LABEL,4,FALSE)),"")</f>
        <v/>
      </c>
      <c r="I638" s="94"/>
      <c r="J638" s="94"/>
      <c r="K638" s="94"/>
      <c r="L638" s="84"/>
      <c r="M638" s="84"/>
      <c r="N638" s="84"/>
      <c r="O638" s="84"/>
      <c r="P638" s="84"/>
      <c r="Q638" s="84"/>
      <c r="R638" s="84"/>
      <c r="S638" s="84"/>
      <c r="T638" s="84"/>
      <c r="U638" s="84"/>
      <c r="V638" s="84"/>
      <c r="W638" s="84"/>
      <c r="X638" s="84"/>
      <c r="Y638" s="84"/>
      <c r="Z638" s="84"/>
      <c r="AA638" s="84"/>
      <c r="AB638" s="84"/>
      <c r="AC638" s="84"/>
      <c r="AD638" s="84"/>
      <c r="AE638" s="84"/>
      <c r="AF638" s="84"/>
      <c r="AG638" s="84"/>
      <c r="AH638" s="84"/>
      <c r="AI638" s="84"/>
      <c r="AJ638" s="84"/>
      <c r="AK638" s="84"/>
      <c r="AL638" s="84"/>
      <c r="AM638" s="84"/>
      <c r="AN638" s="84"/>
      <c r="AO638" s="84"/>
      <c r="AP638" s="84"/>
      <c r="AQ638" s="84"/>
      <c r="AR638" s="84"/>
      <c r="AS638" s="84"/>
      <c r="AT638" s="84"/>
      <c r="AU638" s="84"/>
      <c r="AV638" s="84"/>
      <c r="AW638" s="84"/>
      <c r="AX638" s="87">
        <f t="array" ref="AX638">IF(G638=1,SUM((ROW(M0)=ROW(AW638))*(M0+M1_+M2_+M3_+M4_+M5_+M6_+M7_+M8_+M9_+M10_+M11_+M12_+M13_+M14_+M15_+M16_+M17_+M18_+M19_+M20_+M21_+M22_+M23_+M24_+M25_+M26_+M27_+M28_+M29_+M30_+M31_+M32_+M33_+M34_+M35_+M36_+M37_)),0)</f>
        <v>0</v>
      </c>
      <c r="AZ638" s="24" t="str">
        <f t="shared" si="133"/>
        <v/>
      </c>
      <c r="BA638" s="24" t="str">
        <f t="shared" si="134"/>
        <v/>
      </c>
      <c r="BB638" s="24" t="str">
        <f t="shared" si="135"/>
        <v/>
      </c>
      <c r="BC638" s="24" t="str">
        <f>IF(OR(E638="",LEFT(TableCosts[[#This Row],[Calc_N_Typ]],18)="Vynaložené náklady"),"",VLOOKUP(E638,Tab_Parts,2,0))</f>
        <v/>
      </c>
      <c r="BD638" s="24" t="str">
        <f t="shared" si="136"/>
        <v/>
      </c>
      <c r="BE638" s="24">
        <f t="shared" si="137"/>
        <v>0</v>
      </c>
      <c r="BF638" s="72">
        <f>TableCosts[[#This Row],[N_Amount]]*TableCosts[[#This Row],[N_Tariff]]*TableCosts[[#This Row],[N_ItemsCount]]</f>
        <v>0</v>
      </c>
      <c r="BG638" s="72">
        <f>IF(G638=1,IF(TableCosts[[#This Row],[N_Kateg]]="interné práce",TableCosts[[#This Row],[N_Amount]]*8*PAR_SGA_PERHOUR,0),0)</f>
        <v>0</v>
      </c>
      <c r="BH638" s="72">
        <f>SUM(TableCosts[[#This Row],[N_Direct]:[N_SGA]])</f>
        <v>0</v>
      </c>
      <c r="BI638" s="24">
        <f>IF(G638=1,IF(OR(AND(NOT(ISERROR(VLOOKUP(TableCosts[[#This Row],[Calc_N_Typ]],Cis_WorkPositions,1,0))),C638&lt;&gt;"",D638&lt;&gt;"",E638&lt;&gt;""),AND(ISERROR(VLOOKUP(TableCosts[[#This Row],[Calc_N_Typ]],Cis_WorkPositions,1,0)),C638="",D638="",E638&lt;&gt;""),LEFT(TableCosts[[#This Row],[Calc_N_Typ]],18)="Vynaložené náklady"),VLOOKUP(C638&amp;TableCosts[[#This Row],[Calc_N_Typ]],TRAN_STRITEMS_LABEL,VLOOKUP(D638,Tab_Hours,3,0),0),NA()),0)</f>
        <v>0</v>
      </c>
      <c r="BJ638" s="24">
        <f t="shared" si="138"/>
        <v>0</v>
      </c>
      <c r="BK638" s="24" t="str">
        <f t="shared" si="139"/>
        <v/>
      </c>
      <c r="BL638" s="24" t="str">
        <f t="shared" si="140"/>
        <v/>
      </c>
      <c r="BM638" s="24" t="str">
        <f>IF(G638=1,IF(TableCosts[[#This Row],[TransferFrom]]=TableCosts[[#This Row],[TranferTo]],0,1),"")</f>
        <v/>
      </c>
      <c r="BN638" s="24" t="str">
        <f t="shared" si="141"/>
        <v/>
      </c>
      <c r="BO638" s="24">
        <f t="shared" si="142"/>
        <v>0</v>
      </c>
      <c r="BP638" s="24">
        <f t="shared" si="143"/>
        <v>0</v>
      </c>
    </row>
    <row r="639" spans="2:68" s="24" customFormat="1" ht="12.75" x14ac:dyDescent="0.2">
      <c r="B639" s="97"/>
      <c r="C639" s="92"/>
      <c r="D639" s="92"/>
      <c r="E639" s="92"/>
      <c r="F639" s="31" t="str">
        <f>IF(G639=1,IF(ISERROR(TableCosts[[#This Row],[N_Tariff]]),Err_Message1,IF(TableCosts[[#This Row],[N_Tariff]]=0,Err_Message2,VLOOKUP(C639&amp;TableCosts[[#This Row],[Calc_N_Typ]],TRAN_STRITEMS_LABEL,5,FALSE))),"")</f>
        <v/>
      </c>
      <c r="G639" s="31">
        <f t="shared" si="132"/>
        <v>0</v>
      </c>
      <c r="H639" s="31" t="str">
        <f>IF(G639=1,IFERROR(VLOOKUP(F639,Tab_ErrMessage[],2,0),VLOOKUP(C639&amp;TableCosts[[#This Row],[Calc_N_Typ]],TRAN_STRITEMS_LABEL,4,FALSE)),"")</f>
        <v/>
      </c>
      <c r="I639" s="94"/>
      <c r="J639" s="94"/>
      <c r="K639" s="94"/>
      <c r="L639" s="84"/>
      <c r="M639" s="84"/>
      <c r="N639" s="84"/>
      <c r="O639" s="84"/>
      <c r="P639" s="84"/>
      <c r="Q639" s="84"/>
      <c r="R639" s="84"/>
      <c r="S639" s="84"/>
      <c r="T639" s="84"/>
      <c r="U639" s="84"/>
      <c r="V639" s="84"/>
      <c r="W639" s="84"/>
      <c r="X639" s="84"/>
      <c r="Y639" s="84"/>
      <c r="Z639" s="84"/>
      <c r="AA639" s="84"/>
      <c r="AB639" s="84"/>
      <c r="AC639" s="84"/>
      <c r="AD639" s="84"/>
      <c r="AE639" s="84"/>
      <c r="AF639" s="84"/>
      <c r="AG639" s="84"/>
      <c r="AH639" s="84"/>
      <c r="AI639" s="84"/>
      <c r="AJ639" s="84"/>
      <c r="AK639" s="84"/>
      <c r="AL639" s="84"/>
      <c r="AM639" s="84"/>
      <c r="AN639" s="84"/>
      <c r="AO639" s="84"/>
      <c r="AP639" s="84"/>
      <c r="AQ639" s="84"/>
      <c r="AR639" s="84"/>
      <c r="AS639" s="84"/>
      <c r="AT639" s="84"/>
      <c r="AU639" s="84"/>
      <c r="AV639" s="84"/>
      <c r="AW639" s="84"/>
      <c r="AX639" s="87">
        <f t="array" ref="AX639">IF(G639=1,SUM((ROW(M0)=ROW(AW639))*(M0+M1_+M2_+M3_+M4_+M5_+M6_+M7_+M8_+M9_+M10_+M11_+M12_+M13_+M14_+M15_+M16_+M17_+M18_+M19_+M20_+M21_+M22_+M23_+M24_+M25_+M26_+M27_+M28_+M29_+M30_+M31_+M32_+M33_+M34_+M35_+M36_+M37_)),0)</f>
        <v>0</v>
      </c>
      <c r="AZ639" s="24" t="str">
        <f t="shared" si="133"/>
        <v/>
      </c>
      <c r="BA639" s="24" t="str">
        <f t="shared" si="134"/>
        <v/>
      </c>
      <c r="BB639" s="24" t="str">
        <f t="shared" si="135"/>
        <v/>
      </c>
      <c r="BC639" s="24" t="str">
        <f>IF(OR(E639="",LEFT(TableCosts[[#This Row],[Calc_N_Typ]],18)="Vynaložené náklady"),"",VLOOKUP(E639,Tab_Parts,2,0))</f>
        <v/>
      </c>
      <c r="BD639" s="24" t="str">
        <f t="shared" si="136"/>
        <v/>
      </c>
      <c r="BE639" s="24">
        <f t="shared" si="137"/>
        <v>0</v>
      </c>
      <c r="BF639" s="72">
        <f>TableCosts[[#This Row],[N_Amount]]*TableCosts[[#This Row],[N_Tariff]]*TableCosts[[#This Row],[N_ItemsCount]]</f>
        <v>0</v>
      </c>
      <c r="BG639" s="72">
        <f>IF(G639=1,IF(TableCosts[[#This Row],[N_Kateg]]="interné práce",TableCosts[[#This Row],[N_Amount]]*8*PAR_SGA_PERHOUR,0),0)</f>
        <v>0</v>
      </c>
      <c r="BH639" s="72">
        <f>SUM(TableCosts[[#This Row],[N_Direct]:[N_SGA]])</f>
        <v>0</v>
      </c>
      <c r="BI639" s="24">
        <f>IF(G639=1,IF(OR(AND(NOT(ISERROR(VLOOKUP(TableCosts[[#This Row],[Calc_N_Typ]],Cis_WorkPositions,1,0))),C639&lt;&gt;"",D639&lt;&gt;"",E639&lt;&gt;""),AND(ISERROR(VLOOKUP(TableCosts[[#This Row],[Calc_N_Typ]],Cis_WorkPositions,1,0)),C639="",D639="",E639&lt;&gt;""),LEFT(TableCosts[[#This Row],[Calc_N_Typ]],18)="Vynaložené náklady"),VLOOKUP(C639&amp;TableCosts[[#This Row],[Calc_N_Typ]],TRAN_STRITEMS_LABEL,VLOOKUP(D639,Tab_Hours,3,0),0),NA()),0)</f>
        <v>0</v>
      </c>
      <c r="BJ639" s="24">
        <f t="shared" si="138"/>
        <v>0</v>
      </c>
      <c r="BK639" s="24" t="str">
        <f t="shared" si="139"/>
        <v/>
      </c>
      <c r="BL639" s="24" t="str">
        <f t="shared" si="140"/>
        <v/>
      </c>
      <c r="BM639" s="24" t="str">
        <f>IF(G639=1,IF(TableCosts[[#This Row],[TransferFrom]]=TableCosts[[#This Row],[TranferTo]],0,1),"")</f>
        <v/>
      </c>
      <c r="BN639" s="24" t="str">
        <f t="shared" si="141"/>
        <v/>
      </c>
      <c r="BO639" s="24">
        <f t="shared" si="142"/>
        <v>0</v>
      </c>
      <c r="BP639" s="24">
        <f t="shared" si="143"/>
        <v>0</v>
      </c>
    </row>
    <row r="640" spans="2:68" s="24" customFormat="1" ht="12.75" x14ac:dyDescent="0.2">
      <c r="B640" s="97"/>
      <c r="C640" s="92"/>
      <c r="D640" s="92"/>
      <c r="E640" s="92"/>
      <c r="F640" s="31" t="str">
        <f>IF(G640=1,IF(ISERROR(TableCosts[[#This Row],[N_Tariff]]),Err_Message1,IF(TableCosts[[#This Row],[N_Tariff]]=0,Err_Message2,VLOOKUP(C640&amp;TableCosts[[#This Row],[Calc_N_Typ]],TRAN_STRITEMS_LABEL,5,FALSE))),"")</f>
        <v/>
      </c>
      <c r="G640" s="31">
        <f t="shared" si="132"/>
        <v>0</v>
      </c>
      <c r="H640" s="31" t="str">
        <f>IF(G640=1,IFERROR(VLOOKUP(F640,Tab_ErrMessage[],2,0),VLOOKUP(C640&amp;TableCosts[[#This Row],[Calc_N_Typ]],TRAN_STRITEMS_LABEL,4,FALSE)),"")</f>
        <v/>
      </c>
      <c r="I640" s="94"/>
      <c r="J640" s="94"/>
      <c r="K640" s="94"/>
      <c r="L640" s="84"/>
      <c r="M640" s="84"/>
      <c r="N640" s="84"/>
      <c r="O640" s="84"/>
      <c r="P640" s="84"/>
      <c r="Q640" s="84"/>
      <c r="R640" s="84"/>
      <c r="S640" s="84"/>
      <c r="T640" s="84"/>
      <c r="U640" s="84"/>
      <c r="V640" s="84"/>
      <c r="W640" s="84"/>
      <c r="X640" s="84"/>
      <c r="Y640" s="84"/>
      <c r="Z640" s="84"/>
      <c r="AA640" s="84"/>
      <c r="AB640" s="84"/>
      <c r="AC640" s="84"/>
      <c r="AD640" s="84"/>
      <c r="AE640" s="84"/>
      <c r="AF640" s="84"/>
      <c r="AG640" s="84"/>
      <c r="AH640" s="84"/>
      <c r="AI640" s="84"/>
      <c r="AJ640" s="84"/>
      <c r="AK640" s="84"/>
      <c r="AL640" s="84"/>
      <c r="AM640" s="84"/>
      <c r="AN640" s="84"/>
      <c r="AO640" s="84"/>
      <c r="AP640" s="84"/>
      <c r="AQ640" s="84"/>
      <c r="AR640" s="84"/>
      <c r="AS640" s="84"/>
      <c r="AT640" s="84"/>
      <c r="AU640" s="84"/>
      <c r="AV640" s="84"/>
      <c r="AW640" s="84"/>
      <c r="AX640" s="87">
        <f t="array" ref="AX640">IF(G640=1,SUM((ROW(M0)=ROW(AW640))*(M0+M1_+M2_+M3_+M4_+M5_+M6_+M7_+M8_+M9_+M10_+M11_+M12_+M13_+M14_+M15_+M16_+M17_+M18_+M19_+M20_+M21_+M22_+M23_+M24_+M25_+M26_+M27_+M28_+M29_+M30_+M31_+M32_+M33_+M34_+M35_+M36_+M37_)),0)</f>
        <v>0</v>
      </c>
      <c r="AZ640" s="24" t="str">
        <f t="shared" si="133"/>
        <v/>
      </c>
      <c r="BA640" s="24" t="str">
        <f t="shared" si="134"/>
        <v/>
      </c>
      <c r="BB640" s="24" t="str">
        <f t="shared" si="135"/>
        <v/>
      </c>
      <c r="BC640" s="24" t="str">
        <f>IF(OR(E640="",LEFT(TableCosts[[#This Row],[Calc_N_Typ]],18)="Vynaložené náklady"),"",VLOOKUP(E640,Tab_Parts,2,0))</f>
        <v/>
      </c>
      <c r="BD640" s="24" t="str">
        <f t="shared" si="136"/>
        <v/>
      </c>
      <c r="BE640" s="24">
        <f t="shared" si="137"/>
        <v>0</v>
      </c>
      <c r="BF640" s="72">
        <f>TableCosts[[#This Row],[N_Amount]]*TableCosts[[#This Row],[N_Tariff]]*TableCosts[[#This Row],[N_ItemsCount]]</f>
        <v>0</v>
      </c>
      <c r="BG640" s="72">
        <f>IF(G640=1,IF(TableCosts[[#This Row],[N_Kateg]]="interné práce",TableCosts[[#This Row],[N_Amount]]*8*PAR_SGA_PERHOUR,0),0)</f>
        <v>0</v>
      </c>
      <c r="BH640" s="72">
        <f>SUM(TableCosts[[#This Row],[N_Direct]:[N_SGA]])</f>
        <v>0</v>
      </c>
      <c r="BI640" s="24">
        <f>IF(G640=1,IF(OR(AND(NOT(ISERROR(VLOOKUP(TableCosts[[#This Row],[Calc_N_Typ]],Cis_WorkPositions,1,0))),C640&lt;&gt;"",D640&lt;&gt;"",E640&lt;&gt;""),AND(ISERROR(VLOOKUP(TableCosts[[#This Row],[Calc_N_Typ]],Cis_WorkPositions,1,0)),C640="",D640="",E640&lt;&gt;""),LEFT(TableCosts[[#This Row],[Calc_N_Typ]],18)="Vynaložené náklady"),VLOOKUP(C640&amp;TableCosts[[#This Row],[Calc_N_Typ]],TRAN_STRITEMS_LABEL,VLOOKUP(D640,Tab_Hours,3,0),0),NA()),0)</f>
        <v>0</v>
      </c>
      <c r="BJ640" s="24">
        <f t="shared" si="138"/>
        <v>0</v>
      </c>
      <c r="BK640" s="24" t="str">
        <f t="shared" si="139"/>
        <v/>
      </c>
      <c r="BL640" s="24" t="str">
        <f t="shared" si="140"/>
        <v/>
      </c>
      <c r="BM640" s="24" t="str">
        <f>IF(G640=1,IF(TableCosts[[#This Row],[TransferFrom]]=TableCosts[[#This Row],[TranferTo]],0,1),"")</f>
        <v/>
      </c>
      <c r="BN640" s="24" t="str">
        <f t="shared" si="141"/>
        <v/>
      </c>
      <c r="BO640" s="24">
        <f t="shared" si="142"/>
        <v>0</v>
      </c>
      <c r="BP640" s="24">
        <f t="shared" si="143"/>
        <v>0</v>
      </c>
    </row>
    <row r="641" spans="2:68" s="24" customFormat="1" ht="12.75" x14ac:dyDescent="0.2">
      <c r="B641" s="97"/>
      <c r="C641" s="92"/>
      <c r="D641" s="92"/>
      <c r="E641" s="92"/>
      <c r="F641" s="31" t="str">
        <f>IF(G641=1,IF(ISERROR(TableCosts[[#This Row],[N_Tariff]]),Err_Message1,IF(TableCosts[[#This Row],[N_Tariff]]=0,Err_Message2,VLOOKUP(C641&amp;TableCosts[[#This Row],[Calc_N_Typ]],TRAN_STRITEMS_LABEL,5,FALSE))),"")</f>
        <v/>
      </c>
      <c r="G641" s="31">
        <f t="shared" si="132"/>
        <v>0</v>
      </c>
      <c r="H641" s="31" t="str">
        <f>IF(G641=1,IFERROR(VLOOKUP(F641,Tab_ErrMessage[],2,0),VLOOKUP(C641&amp;TableCosts[[#This Row],[Calc_N_Typ]],TRAN_STRITEMS_LABEL,4,FALSE)),"")</f>
        <v/>
      </c>
      <c r="I641" s="94"/>
      <c r="J641" s="94"/>
      <c r="K641" s="94"/>
      <c r="L641" s="84"/>
      <c r="M641" s="84"/>
      <c r="N641" s="84"/>
      <c r="O641" s="84"/>
      <c r="P641" s="84"/>
      <c r="Q641" s="84"/>
      <c r="R641" s="84"/>
      <c r="S641" s="84"/>
      <c r="T641" s="84"/>
      <c r="U641" s="84"/>
      <c r="V641" s="84"/>
      <c r="W641" s="84"/>
      <c r="X641" s="84"/>
      <c r="Y641" s="84"/>
      <c r="Z641" s="84"/>
      <c r="AA641" s="84"/>
      <c r="AB641" s="84"/>
      <c r="AC641" s="84"/>
      <c r="AD641" s="84"/>
      <c r="AE641" s="84"/>
      <c r="AF641" s="84"/>
      <c r="AG641" s="84"/>
      <c r="AH641" s="84"/>
      <c r="AI641" s="84"/>
      <c r="AJ641" s="84"/>
      <c r="AK641" s="84"/>
      <c r="AL641" s="84"/>
      <c r="AM641" s="84"/>
      <c r="AN641" s="84"/>
      <c r="AO641" s="84"/>
      <c r="AP641" s="84"/>
      <c r="AQ641" s="84"/>
      <c r="AR641" s="84"/>
      <c r="AS641" s="84"/>
      <c r="AT641" s="84"/>
      <c r="AU641" s="84"/>
      <c r="AV641" s="84"/>
      <c r="AW641" s="84"/>
      <c r="AX641" s="87">
        <f t="array" ref="AX641">IF(G641=1,SUM((ROW(M0)=ROW(AW641))*(M0+M1_+M2_+M3_+M4_+M5_+M6_+M7_+M8_+M9_+M10_+M11_+M12_+M13_+M14_+M15_+M16_+M17_+M18_+M19_+M20_+M21_+M22_+M23_+M24_+M25_+M26_+M27_+M28_+M29_+M30_+M31_+M32_+M33_+M34_+M35_+M36_+M37_)),0)</f>
        <v>0</v>
      </c>
      <c r="AZ641" s="24" t="str">
        <f t="shared" si="133"/>
        <v/>
      </c>
      <c r="BA641" s="24" t="str">
        <f t="shared" si="134"/>
        <v/>
      </c>
      <c r="BB641" s="24" t="str">
        <f t="shared" si="135"/>
        <v/>
      </c>
      <c r="BC641" s="24" t="str">
        <f>IF(OR(E641="",LEFT(TableCosts[[#This Row],[Calc_N_Typ]],18)="Vynaložené náklady"),"",VLOOKUP(E641,Tab_Parts,2,0))</f>
        <v/>
      </c>
      <c r="BD641" s="24" t="str">
        <f t="shared" si="136"/>
        <v/>
      </c>
      <c r="BE641" s="24">
        <f t="shared" si="137"/>
        <v>0</v>
      </c>
      <c r="BF641" s="72">
        <f>TableCosts[[#This Row],[N_Amount]]*TableCosts[[#This Row],[N_Tariff]]*TableCosts[[#This Row],[N_ItemsCount]]</f>
        <v>0</v>
      </c>
      <c r="BG641" s="72">
        <f>IF(G641=1,IF(TableCosts[[#This Row],[N_Kateg]]="interné práce",TableCosts[[#This Row],[N_Amount]]*8*PAR_SGA_PERHOUR,0),0)</f>
        <v>0</v>
      </c>
      <c r="BH641" s="72">
        <f>SUM(TableCosts[[#This Row],[N_Direct]:[N_SGA]])</f>
        <v>0</v>
      </c>
      <c r="BI641" s="24">
        <f>IF(G641=1,IF(OR(AND(NOT(ISERROR(VLOOKUP(TableCosts[[#This Row],[Calc_N_Typ]],Cis_WorkPositions,1,0))),C641&lt;&gt;"",D641&lt;&gt;"",E641&lt;&gt;""),AND(ISERROR(VLOOKUP(TableCosts[[#This Row],[Calc_N_Typ]],Cis_WorkPositions,1,0)),C641="",D641="",E641&lt;&gt;""),LEFT(TableCosts[[#This Row],[Calc_N_Typ]],18)="Vynaložené náklady"),VLOOKUP(C641&amp;TableCosts[[#This Row],[Calc_N_Typ]],TRAN_STRITEMS_LABEL,VLOOKUP(D641,Tab_Hours,3,0),0),NA()),0)</f>
        <v>0</v>
      </c>
      <c r="BJ641" s="24">
        <f t="shared" si="138"/>
        <v>0</v>
      </c>
      <c r="BK641" s="24" t="str">
        <f t="shared" si="139"/>
        <v/>
      </c>
      <c r="BL641" s="24" t="str">
        <f t="shared" si="140"/>
        <v/>
      </c>
      <c r="BM641" s="24" t="str">
        <f>IF(G641=1,IF(TableCosts[[#This Row],[TransferFrom]]=TableCosts[[#This Row],[TranferTo]],0,1),"")</f>
        <v/>
      </c>
      <c r="BN641" s="24" t="str">
        <f t="shared" si="141"/>
        <v/>
      </c>
      <c r="BO641" s="24">
        <f t="shared" si="142"/>
        <v>0</v>
      </c>
      <c r="BP641" s="24">
        <f t="shared" si="143"/>
        <v>0</v>
      </c>
    </row>
    <row r="642" spans="2:68" s="24" customFormat="1" ht="12.75" x14ac:dyDescent="0.2">
      <c r="B642" s="97"/>
      <c r="C642" s="92"/>
      <c r="D642" s="92"/>
      <c r="E642" s="92"/>
      <c r="F642" s="31" t="str">
        <f>IF(G642=1,IF(ISERROR(TableCosts[[#This Row],[N_Tariff]]),Err_Message1,IF(TableCosts[[#This Row],[N_Tariff]]=0,Err_Message2,VLOOKUP(C642&amp;TableCosts[[#This Row],[Calc_N_Typ]],TRAN_STRITEMS_LABEL,5,FALSE))),"")</f>
        <v/>
      </c>
      <c r="G642" s="31">
        <f t="shared" si="132"/>
        <v>0</v>
      </c>
      <c r="H642" s="31" t="str">
        <f>IF(G642=1,IFERROR(VLOOKUP(F642,Tab_ErrMessage[],2,0),VLOOKUP(C642&amp;TableCosts[[#This Row],[Calc_N_Typ]],TRAN_STRITEMS_LABEL,4,FALSE)),"")</f>
        <v/>
      </c>
      <c r="I642" s="94"/>
      <c r="J642" s="94"/>
      <c r="K642" s="94"/>
      <c r="L642" s="84"/>
      <c r="M642" s="84"/>
      <c r="N642" s="84"/>
      <c r="O642" s="84"/>
      <c r="P642" s="84"/>
      <c r="Q642" s="84"/>
      <c r="R642" s="84"/>
      <c r="S642" s="84"/>
      <c r="T642" s="84"/>
      <c r="U642" s="84"/>
      <c r="V642" s="84"/>
      <c r="W642" s="84"/>
      <c r="X642" s="84"/>
      <c r="Y642" s="84"/>
      <c r="Z642" s="84"/>
      <c r="AA642" s="84"/>
      <c r="AB642" s="84"/>
      <c r="AC642" s="84"/>
      <c r="AD642" s="84"/>
      <c r="AE642" s="84"/>
      <c r="AF642" s="84"/>
      <c r="AG642" s="84"/>
      <c r="AH642" s="84"/>
      <c r="AI642" s="84"/>
      <c r="AJ642" s="84"/>
      <c r="AK642" s="84"/>
      <c r="AL642" s="84"/>
      <c r="AM642" s="84"/>
      <c r="AN642" s="84"/>
      <c r="AO642" s="84"/>
      <c r="AP642" s="84"/>
      <c r="AQ642" s="84"/>
      <c r="AR642" s="84"/>
      <c r="AS642" s="84"/>
      <c r="AT642" s="84"/>
      <c r="AU642" s="84"/>
      <c r="AV642" s="84"/>
      <c r="AW642" s="84"/>
      <c r="AX642" s="87">
        <f t="array" ref="AX642">IF(G642=1,SUM((ROW(M0)=ROW(AW642))*(M0+M1_+M2_+M3_+M4_+M5_+M6_+M7_+M8_+M9_+M10_+M11_+M12_+M13_+M14_+M15_+M16_+M17_+M18_+M19_+M20_+M21_+M22_+M23_+M24_+M25_+M26_+M27_+M28_+M29_+M30_+M31_+M32_+M33_+M34_+M35_+M36_+M37_)),0)</f>
        <v>0</v>
      </c>
      <c r="AZ642" s="24" t="str">
        <f t="shared" si="133"/>
        <v/>
      </c>
      <c r="BA642" s="24" t="str">
        <f t="shared" si="134"/>
        <v/>
      </c>
      <c r="BB642" s="24" t="str">
        <f t="shared" si="135"/>
        <v/>
      </c>
      <c r="BC642" s="24" t="str">
        <f>IF(OR(E642="",LEFT(TableCosts[[#This Row],[Calc_N_Typ]],18)="Vynaložené náklady"),"",VLOOKUP(E642,Tab_Parts,2,0))</f>
        <v/>
      </c>
      <c r="BD642" s="24" t="str">
        <f t="shared" si="136"/>
        <v/>
      </c>
      <c r="BE642" s="24">
        <f t="shared" si="137"/>
        <v>0</v>
      </c>
      <c r="BF642" s="72">
        <f>TableCosts[[#This Row],[N_Amount]]*TableCosts[[#This Row],[N_Tariff]]*TableCosts[[#This Row],[N_ItemsCount]]</f>
        <v>0</v>
      </c>
      <c r="BG642" s="72">
        <f>IF(G642=1,IF(TableCosts[[#This Row],[N_Kateg]]="interné práce",TableCosts[[#This Row],[N_Amount]]*8*PAR_SGA_PERHOUR,0),0)</f>
        <v>0</v>
      </c>
      <c r="BH642" s="72">
        <f>SUM(TableCosts[[#This Row],[N_Direct]:[N_SGA]])</f>
        <v>0</v>
      </c>
      <c r="BI642" s="24">
        <f>IF(G642=1,IF(OR(AND(NOT(ISERROR(VLOOKUP(TableCosts[[#This Row],[Calc_N_Typ]],Cis_WorkPositions,1,0))),C642&lt;&gt;"",D642&lt;&gt;"",E642&lt;&gt;""),AND(ISERROR(VLOOKUP(TableCosts[[#This Row],[Calc_N_Typ]],Cis_WorkPositions,1,0)),C642="",D642="",E642&lt;&gt;""),LEFT(TableCosts[[#This Row],[Calc_N_Typ]],18)="Vynaložené náklady"),VLOOKUP(C642&amp;TableCosts[[#This Row],[Calc_N_Typ]],TRAN_STRITEMS_LABEL,VLOOKUP(D642,Tab_Hours,3,0),0),NA()),0)</f>
        <v>0</v>
      </c>
      <c r="BJ642" s="24">
        <f t="shared" si="138"/>
        <v>0</v>
      </c>
      <c r="BK642" s="24" t="str">
        <f t="shared" si="139"/>
        <v/>
      </c>
      <c r="BL642" s="24" t="str">
        <f t="shared" si="140"/>
        <v/>
      </c>
      <c r="BM642" s="24" t="str">
        <f>IF(G642=1,IF(TableCosts[[#This Row],[TransferFrom]]=TableCosts[[#This Row],[TranferTo]],0,1),"")</f>
        <v/>
      </c>
      <c r="BN642" s="24" t="str">
        <f t="shared" si="141"/>
        <v/>
      </c>
      <c r="BO642" s="24">
        <f t="shared" si="142"/>
        <v>0</v>
      </c>
      <c r="BP642" s="24">
        <f t="shared" si="143"/>
        <v>0</v>
      </c>
    </row>
    <row r="643" spans="2:68" s="24" customFormat="1" ht="12.75" x14ac:dyDescent="0.2">
      <c r="B643" s="97"/>
      <c r="C643" s="92"/>
      <c r="D643" s="92"/>
      <c r="E643" s="92"/>
      <c r="F643" s="31" t="str">
        <f>IF(G643=1,IF(ISERROR(TableCosts[[#This Row],[N_Tariff]]),Err_Message1,IF(TableCosts[[#This Row],[N_Tariff]]=0,Err_Message2,VLOOKUP(C643&amp;TableCosts[[#This Row],[Calc_N_Typ]],TRAN_STRITEMS_LABEL,5,FALSE))),"")</f>
        <v/>
      </c>
      <c r="G643" s="31">
        <f t="shared" si="132"/>
        <v>0</v>
      </c>
      <c r="H643" s="31" t="str">
        <f>IF(G643=1,IFERROR(VLOOKUP(F643,Tab_ErrMessage[],2,0),VLOOKUP(C643&amp;TableCosts[[#This Row],[Calc_N_Typ]],TRAN_STRITEMS_LABEL,4,FALSE)),"")</f>
        <v/>
      </c>
      <c r="I643" s="94"/>
      <c r="J643" s="94"/>
      <c r="K643" s="94"/>
      <c r="L643" s="84"/>
      <c r="M643" s="84"/>
      <c r="N643" s="84"/>
      <c r="O643" s="84"/>
      <c r="P643" s="84"/>
      <c r="Q643" s="84"/>
      <c r="R643" s="84"/>
      <c r="S643" s="84"/>
      <c r="T643" s="84"/>
      <c r="U643" s="84"/>
      <c r="V643" s="84"/>
      <c r="W643" s="84"/>
      <c r="X643" s="84"/>
      <c r="Y643" s="84"/>
      <c r="Z643" s="84"/>
      <c r="AA643" s="84"/>
      <c r="AB643" s="84"/>
      <c r="AC643" s="84"/>
      <c r="AD643" s="84"/>
      <c r="AE643" s="84"/>
      <c r="AF643" s="84"/>
      <c r="AG643" s="84"/>
      <c r="AH643" s="84"/>
      <c r="AI643" s="84"/>
      <c r="AJ643" s="84"/>
      <c r="AK643" s="84"/>
      <c r="AL643" s="84"/>
      <c r="AM643" s="84"/>
      <c r="AN643" s="84"/>
      <c r="AO643" s="84"/>
      <c r="AP643" s="84"/>
      <c r="AQ643" s="84"/>
      <c r="AR643" s="84"/>
      <c r="AS643" s="84"/>
      <c r="AT643" s="84"/>
      <c r="AU643" s="84"/>
      <c r="AV643" s="84"/>
      <c r="AW643" s="84"/>
      <c r="AX643" s="87">
        <f t="array" ref="AX643">IF(G643=1,SUM((ROW(M0)=ROW(AW643))*(M0+M1_+M2_+M3_+M4_+M5_+M6_+M7_+M8_+M9_+M10_+M11_+M12_+M13_+M14_+M15_+M16_+M17_+M18_+M19_+M20_+M21_+M22_+M23_+M24_+M25_+M26_+M27_+M28_+M29_+M30_+M31_+M32_+M33_+M34_+M35_+M36_+M37_)),0)</f>
        <v>0</v>
      </c>
      <c r="AZ643" s="24" t="str">
        <f t="shared" si="133"/>
        <v/>
      </c>
      <c r="BA643" s="24" t="str">
        <f t="shared" si="134"/>
        <v/>
      </c>
      <c r="BB643" s="24" t="str">
        <f t="shared" si="135"/>
        <v/>
      </c>
      <c r="BC643" s="24" t="str">
        <f>IF(OR(E643="",LEFT(TableCosts[[#This Row],[Calc_N_Typ]],18)="Vynaložené náklady"),"",VLOOKUP(E643,Tab_Parts,2,0))</f>
        <v/>
      </c>
      <c r="BD643" s="24" t="str">
        <f t="shared" si="136"/>
        <v/>
      </c>
      <c r="BE643" s="24">
        <f t="shared" si="137"/>
        <v>0</v>
      </c>
      <c r="BF643" s="72">
        <f>TableCosts[[#This Row],[N_Amount]]*TableCosts[[#This Row],[N_Tariff]]*TableCosts[[#This Row],[N_ItemsCount]]</f>
        <v>0</v>
      </c>
      <c r="BG643" s="72">
        <f>IF(G643=1,IF(TableCosts[[#This Row],[N_Kateg]]="interné práce",TableCosts[[#This Row],[N_Amount]]*8*PAR_SGA_PERHOUR,0),0)</f>
        <v>0</v>
      </c>
      <c r="BH643" s="72">
        <f>SUM(TableCosts[[#This Row],[N_Direct]:[N_SGA]])</f>
        <v>0</v>
      </c>
      <c r="BI643" s="24">
        <f>IF(G643=1,IF(OR(AND(NOT(ISERROR(VLOOKUP(TableCosts[[#This Row],[Calc_N_Typ]],Cis_WorkPositions,1,0))),C643&lt;&gt;"",D643&lt;&gt;"",E643&lt;&gt;""),AND(ISERROR(VLOOKUP(TableCosts[[#This Row],[Calc_N_Typ]],Cis_WorkPositions,1,0)),C643="",D643="",E643&lt;&gt;""),LEFT(TableCosts[[#This Row],[Calc_N_Typ]],18)="Vynaložené náklady"),VLOOKUP(C643&amp;TableCosts[[#This Row],[Calc_N_Typ]],TRAN_STRITEMS_LABEL,VLOOKUP(D643,Tab_Hours,3,0),0),NA()),0)</f>
        <v>0</v>
      </c>
      <c r="BJ643" s="24">
        <f t="shared" si="138"/>
        <v>0</v>
      </c>
      <c r="BK643" s="24" t="str">
        <f t="shared" si="139"/>
        <v/>
      </c>
      <c r="BL643" s="24" t="str">
        <f t="shared" si="140"/>
        <v/>
      </c>
      <c r="BM643" s="24" t="str">
        <f>IF(G643=1,IF(TableCosts[[#This Row],[TransferFrom]]=TableCosts[[#This Row],[TranferTo]],0,1),"")</f>
        <v/>
      </c>
      <c r="BN643" s="24" t="str">
        <f t="shared" si="141"/>
        <v/>
      </c>
      <c r="BO643" s="24">
        <f t="shared" si="142"/>
        <v>0</v>
      </c>
      <c r="BP643" s="24">
        <f t="shared" si="143"/>
        <v>0</v>
      </c>
    </row>
    <row r="644" spans="2:68" s="24" customFormat="1" ht="12.75" x14ac:dyDescent="0.2">
      <c r="B644" s="97"/>
      <c r="C644" s="92"/>
      <c r="D644" s="92"/>
      <c r="E644" s="92"/>
      <c r="F644" s="31" t="str">
        <f>IF(G644=1,IF(ISERROR(TableCosts[[#This Row],[N_Tariff]]),Err_Message1,IF(TableCosts[[#This Row],[N_Tariff]]=0,Err_Message2,VLOOKUP(C644&amp;TableCosts[[#This Row],[Calc_N_Typ]],TRAN_STRITEMS_LABEL,5,FALSE))),"")</f>
        <v/>
      </c>
      <c r="G644" s="31">
        <f t="shared" si="132"/>
        <v>0</v>
      </c>
      <c r="H644" s="31" t="str">
        <f>IF(G644=1,IFERROR(VLOOKUP(F644,Tab_ErrMessage[],2,0),VLOOKUP(C644&amp;TableCosts[[#This Row],[Calc_N_Typ]],TRAN_STRITEMS_LABEL,4,FALSE)),"")</f>
        <v/>
      </c>
      <c r="I644" s="94"/>
      <c r="J644" s="94"/>
      <c r="K644" s="94"/>
      <c r="L644" s="84"/>
      <c r="M644" s="84"/>
      <c r="N644" s="84"/>
      <c r="O644" s="84"/>
      <c r="P644" s="84"/>
      <c r="Q644" s="84"/>
      <c r="R644" s="84"/>
      <c r="S644" s="84"/>
      <c r="T644" s="84"/>
      <c r="U644" s="84"/>
      <c r="V644" s="84"/>
      <c r="W644" s="84"/>
      <c r="X644" s="84"/>
      <c r="Y644" s="84"/>
      <c r="Z644" s="84"/>
      <c r="AA644" s="84"/>
      <c r="AB644" s="84"/>
      <c r="AC644" s="84"/>
      <c r="AD644" s="84"/>
      <c r="AE644" s="84"/>
      <c r="AF644" s="84"/>
      <c r="AG644" s="84"/>
      <c r="AH644" s="84"/>
      <c r="AI644" s="84"/>
      <c r="AJ644" s="84"/>
      <c r="AK644" s="84"/>
      <c r="AL644" s="84"/>
      <c r="AM644" s="84"/>
      <c r="AN644" s="84"/>
      <c r="AO644" s="84"/>
      <c r="AP644" s="84"/>
      <c r="AQ644" s="84"/>
      <c r="AR644" s="84"/>
      <c r="AS644" s="84"/>
      <c r="AT644" s="84"/>
      <c r="AU644" s="84"/>
      <c r="AV644" s="84"/>
      <c r="AW644" s="84"/>
      <c r="AX644" s="87">
        <f t="array" ref="AX644">IF(G644=1,SUM((ROW(M0)=ROW(AW644))*(M0+M1_+M2_+M3_+M4_+M5_+M6_+M7_+M8_+M9_+M10_+M11_+M12_+M13_+M14_+M15_+M16_+M17_+M18_+M19_+M20_+M21_+M22_+M23_+M24_+M25_+M26_+M27_+M28_+M29_+M30_+M31_+M32_+M33_+M34_+M35_+M36_+M37_)),0)</f>
        <v>0</v>
      </c>
      <c r="AZ644" s="24" t="str">
        <f t="shared" si="133"/>
        <v/>
      </c>
      <c r="BA644" s="24" t="str">
        <f t="shared" si="134"/>
        <v/>
      </c>
      <c r="BB644" s="24" t="str">
        <f t="shared" si="135"/>
        <v/>
      </c>
      <c r="BC644" s="24" t="str">
        <f>IF(OR(E644="",LEFT(TableCosts[[#This Row],[Calc_N_Typ]],18)="Vynaložené náklady"),"",VLOOKUP(E644,Tab_Parts,2,0))</f>
        <v/>
      </c>
      <c r="BD644" s="24" t="str">
        <f t="shared" si="136"/>
        <v/>
      </c>
      <c r="BE644" s="24">
        <f t="shared" si="137"/>
        <v>0</v>
      </c>
      <c r="BF644" s="72">
        <f>TableCosts[[#This Row],[N_Amount]]*TableCosts[[#This Row],[N_Tariff]]*TableCosts[[#This Row],[N_ItemsCount]]</f>
        <v>0</v>
      </c>
      <c r="BG644" s="72">
        <f>IF(G644=1,IF(TableCosts[[#This Row],[N_Kateg]]="interné práce",TableCosts[[#This Row],[N_Amount]]*8*PAR_SGA_PERHOUR,0),0)</f>
        <v>0</v>
      </c>
      <c r="BH644" s="72">
        <f>SUM(TableCosts[[#This Row],[N_Direct]:[N_SGA]])</f>
        <v>0</v>
      </c>
      <c r="BI644" s="24">
        <f>IF(G644=1,IF(OR(AND(NOT(ISERROR(VLOOKUP(TableCosts[[#This Row],[Calc_N_Typ]],Cis_WorkPositions,1,0))),C644&lt;&gt;"",D644&lt;&gt;"",E644&lt;&gt;""),AND(ISERROR(VLOOKUP(TableCosts[[#This Row],[Calc_N_Typ]],Cis_WorkPositions,1,0)),C644="",D644="",E644&lt;&gt;""),LEFT(TableCosts[[#This Row],[Calc_N_Typ]],18)="Vynaložené náklady"),VLOOKUP(C644&amp;TableCosts[[#This Row],[Calc_N_Typ]],TRAN_STRITEMS_LABEL,VLOOKUP(D644,Tab_Hours,3,0),0),NA()),0)</f>
        <v>0</v>
      </c>
      <c r="BJ644" s="24">
        <f t="shared" si="138"/>
        <v>0</v>
      </c>
      <c r="BK644" s="24" t="str">
        <f t="shared" si="139"/>
        <v/>
      </c>
      <c r="BL644" s="24" t="str">
        <f t="shared" si="140"/>
        <v/>
      </c>
      <c r="BM644" s="24" t="str">
        <f>IF(G644=1,IF(TableCosts[[#This Row],[TransferFrom]]=TableCosts[[#This Row],[TranferTo]],0,1),"")</f>
        <v/>
      </c>
      <c r="BN644" s="24" t="str">
        <f t="shared" si="141"/>
        <v/>
      </c>
      <c r="BO644" s="24">
        <f t="shared" si="142"/>
        <v>0</v>
      </c>
      <c r="BP644" s="24">
        <f t="shared" si="143"/>
        <v>0</v>
      </c>
    </row>
    <row r="645" spans="2:68" s="24" customFormat="1" ht="12.75" x14ac:dyDescent="0.2">
      <c r="B645" s="97"/>
      <c r="C645" s="92"/>
      <c r="D645" s="92"/>
      <c r="E645" s="92"/>
      <c r="F645" s="31" t="str">
        <f>IF(G645=1,IF(ISERROR(TableCosts[[#This Row],[N_Tariff]]),Err_Message1,IF(TableCosts[[#This Row],[N_Tariff]]=0,Err_Message2,VLOOKUP(C645&amp;TableCosts[[#This Row],[Calc_N_Typ]],TRAN_STRITEMS_LABEL,5,FALSE))),"")</f>
        <v/>
      </c>
      <c r="G645" s="31">
        <f t="shared" si="132"/>
        <v>0</v>
      </c>
      <c r="H645" s="31" t="str">
        <f>IF(G645=1,IFERROR(VLOOKUP(F645,Tab_ErrMessage[],2,0),VLOOKUP(C645&amp;TableCosts[[#This Row],[Calc_N_Typ]],TRAN_STRITEMS_LABEL,4,FALSE)),"")</f>
        <v/>
      </c>
      <c r="I645" s="94"/>
      <c r="J645" s="94"/>
      <c r="K645" s="94"/>
      <c r="L645" s="84"/>
      <c r="M645" s="84"/>
      <c r="N645" s="84"/>
      <c r="O645" s="84"/>
      <c r="P645" s="84"/>
      <c r="Q645" s="84"/>
      <c r="R645" s="84"/>
      <c r="S645" s="84"/>
      <c r="T645" s="84"/>
      <c r="U645" s="84"/>
      <c r="V645" s="84"/>
      <c r="W645" s="84"/>
      <c r="X645" s="84"/>
      <c r="Y645" s="84"/>
      <c r="Z645" s="84"/>
      <c r="AA645" s="84"/>
      <c r="AB645" s="84"/>
      <c r="AC645" s="84"/>
      <c r="AD645" s="84"/>
      <c r="AE645" s="84"/>
      <c r="AF645" s="84"/>
      <c r="AG645" s="84"/>
      <c r="AH645" s="84"/>
      <c r="AI645" s="84"/>
      <c r="AJ645" s="84"/>
      <c r="AK645" s="84"/>
      <c r="AL645" s="84"/>
      <c r="AM645" s="84"/>
      <c r="AN645" s="84"/>
      <c r="AO645" s="84"/>
      <c r="AP645" s="84"/>
      <c r="AQ645" s="84"/>
      <c r="AR645" s="84"/>
      <c r="AS645" s="84"/>
      <c r="AT645" s="84"/>
      <c r="AU645" s="84"/>
      <c r="AV645" s="84"/>
      <c r="AW645" s="84"/>
      <c r="AX645" s="87">
        <f t="array" ref="AX645">IF(G645=1,SUM((ROW(M0)=ROW(AW645))*(M0+M1_+M2_+M3_+M4_+M5_+M6_+M7_+M8_+M9_+M10_+M11_+M12_+M13_+M14_+M15_+M16_+M17_+M18_+M19_+M20_+M21_+M22_+M23_+M24_+M25_+M26_+M27_+M28_+M29_+M30_+M31_+M32_+M33_+M34_+M35_+M36_+M37_)),0)</f>
        <v>0</v>
      </c>
      <c r="AZ645" s="24" t="str">
        <f t="shared" si="133"/>
        <v/>
      </c>
      <c r="BA645" s="24" t="str">
        <f t="shared" si="134"/>
        <v/>
      </c>
      <c r="BB645" s="24" t="str">
        <f t="shared" si="135"/>
        <v/>
      </c>
      <c r="BC645" s="24" t="str">
        <f>IF(OR(E645="",LEFT(TableCosts[[#This Row],[Calc_N_Typ]],18)="Vynaložené náklady"),"",VLOOKUP(E645,Tab_Parts,2,0))</f>
        <v/>
      </c>
      <c r="BD645" s="24" t="str">
        <f t="shared" si="136"/>
        <v/>
      </c>
      <c r="BE645" s="24">
        <f t="shared" si="137"/>
        <v>0</v>
      </c>
      <c r="BF645" s="72">
        <f>TableCosts[[#This Row],[N_Amount]]*TableCosts[[#This Row],[N_Tariff]]*TableCosts[[#This Row],[N_ItemsCount]]</f>
        <v>0</v>
      </c>
      <c r="BG645" s="72">
        <f>IF(G645=1,IF(TableCosts[[#This Row],[N_Kateg]]="interné práce",TableCosts[[#This Row],[N_Amount]]*8*PAR_SGA_PERHOUR,0),0)</f>
        <v>0</v>
      </c>
      <c r="BH645" s="72">
        <f>SUM(TableCosts[[#This Row],[N_Direct]:[N_SGA]])</f>
        <v>0</v>
      </c>
      <c r="BI645" s="24">
        <f>IF(G645=1,IF(OR(AND(NOT(ISERROR(VLOOKUP(TableCosts[[#This Row],[Calc_N_Typ]],Cis_WorkPositions,1,0))),C645&lt;&gt;"",D645&lt;&gt;"",E645&lt;&gt;""),AND(ISERROR(VLOOKUP(TableCosts[[#This Row],[Calc_N_Typ]],Cis_WorkPositions,1,0)),C645="",D645="",E645&lt;&gt;""),LEFT(TableCosts[[#This Row],[Calc_N_Typ]],18)="Vynaložené náklady"),VLOOKUP(C645&amp;TableCosts[[#This Row],[Calc_N_Typ]],TRAN_STRITEMS_LABEL,VLOOKUP(D645,Tab_Hours,3,0),0),NA()),0)</f>
        <v>0</v>
      </c>
      <c r="BJ645" s="24">
        <f t="shared" si="138"/>
        <v>0</v>
      </c>
      <c r="BK645" s="24" t="str">
        <f t="shared" si="139"/>
        <v/>
      </c>
      <c r="BL645" s="24" t="str">
        <f t="shared" si="140"/>
        <v/>
      </c>
      <c r="BM645" s="24" t="str">
        <f>IF(G645=1,IF(TableCosts[[#This Row],[TransferFrom]]=TableCosts[[#This Row],[TranferTo]],0,1),"")</f>
        <v/>
      </c>
      <c r="BN645" s="24" t="str">
        <f t="shared" si="141"/>
        <v/>
      </c>
      <c r="BO645" s="24">
        <f t="shared" si="142"/>
        <v>0</v>
      </c>
      <c r="BP645" s="24">
        <f t="shared" si="143"/>
        <v>0</v>
      </c>
    </row>
    <row r="646" spans="2:68" s="24" customFormat="1" ht="12.75" x14ac:dyDescent="0.2">
      <c r="B646" s="97"/>
      <c r="C646" s="92"/>
      <c r="D646" s="92"/>
      <c r="E646" s="92"/>
      <c r="F646" s="31" t="str">
        <f>IF(G646=1,IF(ISERROR(TableCosts[[#This Row],[N_Tariff]]),Err_Message1,IF(TableCosts[[#This Row],[N_Tariff]]=0,Err_Message2,VLOOKUP(C646&amp;TableCosts[[#This Row],[Calc_N_Typ]],TRAN_STRITEMS_LABEL,5,FALSE))),"")</f>
        <v/>
      </c>
      <c r="G646" s="31">
        <f t="shared" si="132"/>
        <v>0</v>
      </c>
      <c r="H646" s="31" t="str">
        <f>IF(G646=1,IFERROR(VLOOKUP(F646,Tab_ErrMessage[],2,0),VLOOKUP(C646&amp;TableCosts[[#This Row],[Calc_N_Typ]],TRAN_STRITEMS_LABEL,4,FALSE)),"")</f>
        <v/>
      </c>
      <c r="I646" s="94"/>
      <c r="J646" s="94"/>
      <c r="K646" s="94"/>
      <c r="L646" s="84"/>
      <c r="M646" s="84"/>
      <c r="N646" s="84"/>
      <c r="O646" s="84"/>
      <c r="P646" s="84"/>
      <c r="Q646" s="84"/>
      <c r="R646" s="84"/>
      <c r="S646" s="84"/>
      <c r="T646" s="84"/>
      <c r="U646" s="84"/>
      <c r="V646" s="84"/>
      <c r="W646" s="84"/>
      <c r="X646" s="84"/>
      <c r="Y646" s="84"/>
      <c r="Z646" s="84"/>
      <c r="AA646" s="84"/>
      <c r="AB646" s="84"/>
      <c r="AC646" s="84"/>
      <c r="AD646" s="84"/>
      <c r="AE646" s="84"/>
      <c r="AF646" s="84"/>
      <c r="AG646" s="84"/>
      <c r="AH646" s="84"/>
      <c r="AI646" s="84"/>
      <c r="AJ646" s="84"/>
      <c r="AK646" s="84"/>
      <c r="AL646" s="84"/>
      <c r="AM646" s="84"/>
      <c r="AN646" s="84"/>
      <c r="AO646" s="84"/>
      <c r="AP646" s="84"/>
      <c r="AQ646" s="84"/>
      <c r="AR646" s="84"/>
      <c r="AS646" s="84"/>
      <c r="AT646" s="84"/>
      <c r="AU646" s="84"/>
      <c r="AV646" s="84"/>
      <c r="AW646" s="84"/>
      <c r="AX646" s="87">
        <f t="array" ref="AX646">IF(G646=1,SUM((ROW(M0)=ROW(AW646))*(M0+M1_+M2_+M3_+M4_+M5_+M6_+M7_+M8_+M9_+M10_+M11_+M12_+M13_+M14_+M15_+M16_+M17_+M18_+M19_+M20_+M21_+M22_+M23_+M24_+M25_+M26_+M27_+M28_+M29_+M30_+M31_+M32_+M33_+M34_+M35_+M36_+M37_)),0)</f>
        <v>0</v>
      </c>
      <c r="AZ646" s="24" t="str">
        <f t="shared" si="133"/>
        <v/>
      </c>
      <c r="BA646" s="24" t="str">
        <f t="shared" si="134"/>
        <v/>
      </c>
      <c r="BB646" s="24" t="str">
        <f t="shared" si="135"/>
        <v/>
      </c>
      <c r="BC646" s="24" t="str">
        <f>IF(OR(E646="",LEFT(TableCosts[[#This Row],[Calc_N_Typ]],18)="Vynaložené náklady"),"",VLOOKUP(E646,Tab_Parts,2,0))</f>
        <v/>
      </c>
      <c r="BD646" s="24" t="str">
        <f t="shared" si="136"/>
        <v/>
      </c>
      <c r="BE646" s="24">
        <f t="shared" si="137"/>
        <v>0</v>
      </c>
      <c r="BF646" s="72">
        <f>TableCosts[[#This Row],[N_Amount]]*TableCosts[[#This Row],[N_Tariff]]*TableCosts[[#This Row],[N_ItemsCount]]</f>
        <v>0</v>
      </c>
      <c r="BG646" s="72">
        <f>IF(G646=1,IF(TableCosts[[#This Row],[N_Kateg]]="interné práce",TableCosts[[#This Row],[N_Amount]]*8*PAR_SGA_PERHOUR,0),0)</f>
        <v>0</v>
      </c>
      <c r="BH646" s="72">
        <f>SUM(TableCosts[[#This Row],[N_Direct]:[N_SGA]])</f>
        <v>0</v>
      </c>
      <c r="BI646" s="24">
        <f>IF(G646=1,IF(OR(AND(NOT(ISERROR(VLOOKUP(TableCosts[[#This Row],[Calc_N_Typ]],Cis_WorkPositions,1,0))),C646&lt;&gt;"",D646&lt;&gt;"",E646&lt;&gt;""),AND(ISERROR(VLOOKUP(TableCosts[[#This Row],[Calc_N_Typ]],Cis_WorkPositions,1,0)),C646="",D646="",E646&lt;&gt;""),LEFT(TableCosts[[#This Row],[Calc_N_Typ]],18)="Vynaložené náklady"),VLOOKUP(C646&amp;TableCosts[[#This Row],[Calc_N_Typ]],TRAN_STRITEMS_LABEL,VLOOKUP(D646,Tab_Hours,3,0),0),NA()),0)</f>
        <v>0</v>
      </c>
      <c r="BJ646" s="24">
        <f t="shared" si="138"/>
        <v>0</v>
      </c>
      <c r="BK646" s="24" t="str">
        <f t="shared" si="139"/>
        <v/>
      </c>
      <c r="BL646" s="24" t="str">
        <f t="shared" si="140"/>
        <v/>
      </c>
      <c r="BM646" s="24" t="str">
        <f>IF(G646=1,IF(TableCosts[[#This Row],[TransferFrom]]=TableCosts[[#This Row],[TranferTo]],0,1),"")</f>
        <v/>
      </c>
      <c r="BN646" s="24" t="str">
        <f t="shared" si="141"/>
        <v/>
      </c>
      <c r="BO646" s="24">
        <f t="shared" si="142"/>
        <v>0</v>
      </c>
      <c r="BP646" s="24">
        <f t="shared" si="143"/>
        <v>0</v>
      </c>
    </row>
    <row r="647" spans="2:68" s="24" customFormat="1" ht="12.75" x14ac:dyDescent="0.2">
      <c r="B647" s="97"/>
      <c r="C647" s="92"/>
      <c r="D647" s="92"/>
      <c r="E647" s="92"/>
      <c r="F647" s="31" t="str">
        <f>IF(G647=1,IF(ISERROR(TableCosts[[#This Row],[N_Tariff]]),Err_Message1,IF(TableCosts[[#This Row],[N_Tariff]]=0,Err_Message2,VLOOKUP(C647&amp;TableCosts[[#This Row],[Calc_N_Typ]],TRAN_STRITEMS_LABEL,5,FALSE))),"")</f>
        <v/>
      </c>
      <c r="G647" s="31">
        <f t="shared" si="132"/>
        <v>0</v>
      </c>
      <c r="H647" s="31" t="str">
        <f>IF(G647=1,IFERROR(VLOOKUP(F647,Tab_ErrMessage[],2,0),VLOOKUP(C647&amp;TableCosts[[#This Row],[Calc_N_Typ]],TRAN_STRITEMS_LABEL,4,FALSE)),"")</f>
        <v/>
      </c>
      <c r="I647" s="94"/>
      <c r="J647" s="94"/>
      <c r="K647" s="94"/>
      <c r="L647" s="84"/>
      <c r="M647" s="84"/>
      <c r="N647" s="84"/>
      <c r="O647" s="84"/>
      <c r="P647" s="84"/>
      <c r="Q647" s="84"/>
      <c r="R647" s="84"/>
      <c r="S647" s="84"/>
      <c r="T647" s="84"/>
      <c r="U647" s="84"/>
      <c r="V647" s="84"/>
      <c r="W647" s="84"/>
      <c r="X647" s="84"/>
      <c r="Y647" s="84"/>
      <c r="Z647" s="84"/>
      <c r="AA647" s="84"/>
      <c r="AB647" s="84"/>
      <c r="AC647" s="84"/>
      <c r="AD647" s="84"/>
      <c r="AE647" s="84"/>
      <c r="AF647" s="84"/>
      <c r="AG647" s="84"/>
      <c r="AH647" s="84"/>
      <c r="AI647" s="84"/>
      <c r="AJ647" s="84"/>
      <c r="AK647" s="84"/>
      <c r="AL647" s="84"/>
      <c r="AM647" s="84"/>
      <c r="AN647" s="84"/>
      <c r="AO647" s="84"/>
      <c r="AP647" s="84"/>
      <c r="AQ647" s="84"/>
      <c r="AR647" s="84"/>
      <c r="AS647" s="84"/>
      <c r="AT647" s="84"/>
      <c r="AU647" s="84"/>
      <c r="AV647" s="84"/>
      <c r="AW647" s="84"/>
      <c r="AX647" s="87">
        <f t="array" ref="AX647">IF(G647=1,SUM((ROW(M0)=ROW(AW647))*(M0+M1_+M2_+M3_+M4_+M5_+M6_+M7_+M8_+M9_+M10_+M11_+M12_+M13_+M14_+M15_+M16_+M17_+M18_+M19_+M20_+M21_+M22_+M23_+M24_+M25_+M26_+M27_+M28_+M29_+M30_+M31_+M32_+M33_+M34_+M35_+M36_+M37_)),0)</f>
        <v>0</v>
      </c>
      <c r="AZ647" s="24" t="str">
        <f t="shared" si="133"/>
        <v/>
      </c>
      <c r="BA647" s="24" t="str">
        <f t="shared" si="134"/>
        <v/>
      </c>
      <c r="BB647" s="24" t="str">
        <f t="shared" si="135"/>
        <v/>
      </c>
      <c r="BC647" s="24" t="str">
        <f>IF(OR(E647="",LEFT(TableCosts[[#This Row],[Calc_N_Typ]],18)="Vynaložené náklady"),"",VLOOKUP(E647,Tab_Parts,2,0))</f>
        <v/>
      </c>
      <c r="BD647" s="24" t="str">
        <f t="shared" si="136"/>
        <v/>
      </c>
      <c r="BE647" s="24">
        <f t="shared" si="137"/>
        <v>0</v>
      </c>
      <c r="BF647" s="72">
        <f>TableCosts[[#This Row],[N_Amount]]*TableCosts[[#This Row],[N_Tariff]]*TableCosts[[#This Row],[N_ItemsCount]]</f>
        <v>0</v>
      </c>
      <c r="BG647" s="72">
        <f>IF(G647=1,IF(TableCosts[[#This Row],[N_Kateg]]="interné práce",TableCosts[[#This Row],[N_Amount]]*8*PAR_SGA_PERHOUR,0),0)</f>
        <v>0</v>
      </c>
      <c r="BH647" s="72">
        <f>SUM(TableCosts[[#This Row],[N_Direct]:[N_SGA]])</f>
        <v>0</v>
      </c>
      <c r="BI647" s="24">
        <f>IF(G647=1,IF(OR(AND(NOT(ISERROR(VLOOKUP(TableCosts[[#This Row],[Calc_N_Typ]],Cis_WorkPositions,1,0))),C647&lt;&gt;"",D647&lt;&gt;"",E647&lt;&gt;""),AND(ISERROR(VLOOKUP(TableCosts[[#This Row],[Calc_N_Typ]],Cis_WorkPositions,1,0)),C647="",D647="",E647&lt;&gt;""),LEFT(TableCosts[[#This Row],[Calc_N_Typ]],18)="Vynaložené náklady"),VLOOKUP(C647&amp;TableCosts[[#This Row],[Calc_N_Typ]],TRAN_STRITEMS_LABEL,VLOOKUP(D647,Tab_Hours,3,0),0),NA()),0)</f>
        <v>0</v>
      </c>
      <c r="BJ647" s="24">
        <f t="shared" si="138"/>
        <v>0</v>
      </c>
      <c r="BK647" s="24" t="str">
        <f t="shared" si="139"/>
        <v/>
      </c>
      <c r="BL647" s="24" t="str">
        <f t="shared" si="140"/>
        <v/>
      </c>
      <c r="BM647" s="24" t="str">
        <f>IF(G647=1,IF(TableCosts[[#This Row],[TransferFrom]]=TableCosts[[#This Row],[TranferTo]],0,1),"")</f>
        <v/>
      </c>
      <c r="BN647" s="24" t="str">
        <f t="shared" si="141"/>
        <v/>
      </c>
      <c r="BO647" s="24">
        <f t="shared" si="142"/>
        <v>0</v>
      </c>
      <c r="BP647" s="24">
        <f t="shared" si="143"/>
        <v>0</v>
      </c>
    </row>
    <row r="648" spans="2:68" s="24" customFormat="1" ht="12.75" x14ac:dyDescent="0.2">
      <c r="B648" s="97"/>
      <c r="C648" s="92"/>
      <c r="D648" s="92"/>
      <c r="E648" s="92"/>
      <c r="F648" s="31" t="str">
        <f>IF(G648=1,IF(ISERROR(TableCosts[[#This Row],[N_Tariff]]),Err_Message1,IF(TableCosts[[#This Row],[N_Tariff]]=0,Err_Message2,VLOOKUP(C648&amp;TableCosts[[#This Row],[Calc_N_Typ]],TRAN_STRITEMS_LABEL,5,FALSE))),"")</f>
        <v/>
      </c>
      <c r="G648" s="31">
        <f t="shared" si="132"/>
        <v>0</v>
      </c>
      <c r="H648" s="31" t="str">
        <f>IF(G648=1,IFERROR(VLOOKUP(F648,Tab_ErrMessage[],2,0),VLOOKUP(C648&amp;TableCosts[[#This Row],[Calc_N_Typ]],TRAN_STRITEMS_LABEL,4,FALSE)),"")</f>
        <v/>
      </c>
      <c r="I648" s="94"/>
      <c r="J648" s="94"/>
      <c r="K648" s="94"/>
      <c r="L648" s="84"/>
      <c r="M648" s="84"/>
      <c r="N648" s="84"/>
      <c r="O648" s="84"/>
      <c r="P648" s="84"/>
      <c r="Q648" s="84"/>
      <c r="R648" s="84"/>
      <c r="S648" s="84"/>
      <c r="T648" s="84"/>
      <c r="U648" s="84"/>
      <c r="V648" s="84"/>
      <c r="W648" s="84"/>
      <c r="X648" s="84"/>
      <c r="Y648" s="84"/>
      <c r="Z648" s="84"/>
      <c r="AA648" s="84"/>
      <c r="AB648" s="84"/>
      <c r="AC648" s="84"/>
      <c r="AD648" s="84"/>
      <c r="AE648" s="84"/>
      <c r="AF648" s="84"/>
      <c r="AG648" s="84"/>
      <c r="AH648" s="84"/>
      <c r="AI648" s="84"/>
      <c r="AJ648" s="84"/>
      <c r="AK648" s="84"/>
      <c r="AL648" s="84"/>
      <c r="AM648" s="84"/>
      <c r="AN648" s="84"/>
      <c r="AO648" s="84"/>
      <c r="AP648" s="84"/>
      <c r="AQ648" s="84"/>
      <c r="AR648" s="84"/>
      <c r="AS648" s="84"/>
      <c r="AT648" s="84"/>
      <c r="AU648" s="84"/>
      <c r="AV648" s="84"/>
      <c r="AW648" s="84"/>
      <c r="AX648" s="87">
        <f t="array" ref="AX648">IF(G648=1,SUM((ROW(M0)=ROW(AW648))*(M0+M1_+M2_+M3_+M4_+M5_+M6_+M7_+M8_+M9_+M10_+M11_+M12_+M13_+M14_+M15_+M16_+M17_+M18_+M19_+M20_+M21_+M22_+M23_+M24_+M25_+M26_+M27_+M28_+M29_+M30_+M31_+M32_+M33_+M34_+M35_+M36_+M37_)),0)</f>
        <v>0</v>
      </c>
      <c r="AZ648" s="24" t="str">
        <f t="shared" si="133"/>
        <v/>
      </c>
      <c r="BA648" s="24" t="str">
        <f t="shared" si="134"/>
        <v/>
      </c>
      <c r="BB648" s="24" t="str">
        <f t="shared" si="135"/>
        <v/>
      </c>
      <c r="BC648" s="24" t="str">
        <f>IF(OR(E648="",LEFT(TableCosts[[#This Row],[Calc_N_Typ]],18)="Vynaložené náklady"),"",VLOOKUP(E648,Tab_Parts,2,0))</f>
        <v/>
      </c>
      <c r="BD648" s="24" t="str">
        <f t="shared" si="136"/>
        <v/>
      </c>
      <c r="BE648" s="24">
        <f t="shared" si="137"/>
        <v>0</v>
      </c>
      <c r="BF648" s="72">
        <f>TableCosts[[#This Row],[N_Amount]]*TableCosts[[#This Row],[N_Tariff]]*TableCosts[[#This Row],[N_ItemsCount]]</f>
        <v>0</v>
      </c>
      <c r="BG648" s="72">
        <f>IF(G648=1,IF(TableCosts[[#This Row],[N_Kateg]]="interné práce",TableCosts[[#This Row],[N_Amount]]*8*PAR_SGA_PERHOUR,0),0)</f>
        <v>0</v>
      </c>
      <c r="BH648" s="72">
        <f>SUM(TableCosts[[#This Row],[N_Direct]:[N_SGA]])</f>
        <v>0</v>
      </c>
      <c r="BI648" s="24">
        <f>IF(G648=1,IF(OR(AND(NOT(ISERROR(VLOOKUP(TableCosts[[#This Row],[Calc_N_Typ]],Cis_WorkPositions,1,0))),C648&lt;&gt;"",D648&lt;&gt;"",E648&lt;&gt;""),AND(ISERROR(VLOOKUP(TableCosts[[#This Row],[Calc_N_Typ]],Cis_WorkPositions,1,0)),C648="",D648="",E648&lt;&gt;""),LEFT(TableCosts[[#This Row],[Calc_N_Typ]],18)="Vynaložené náklady"),VLOOKUP(C648&amp;TableCosts[[#This Row],[Calc_N_Typ]],TRAN_STRITEMS_LABEL,VLOOKUP(D648,Tab_Hours,3,0),0),NA()),0)</f>
        <v>0</v>
      </c>
      <c r="BJ648" s="24">
        <f t="shared" si="138"/>
        <v>0</v>
      </c>
      <c r="BK648" s="24" t="str">
        <f t="shared" si="139"/>
        <v/>
      </c>
      <c r="BL648" s="24" t="str">
        <f t="shared" si="140"/>
        <v/>
      </c>
      <c r="BM648" s="24" t="str">
        <f>IF(G648=1,IF(TableCosts[[#This Row],[TransferFrom]]=TableCosts[[#This Row],[TranferTo]],0,1),"")</f>
        <v/>
      </c>
      <c r="BN648" s="24" t="str">
        <f t="shared" si="141"/>
        <v/>
      </c>
      <c r="BO648" s="24">
        <f t="shared" si="142"/>
        <v>0</v>
      </c>
      <c r="BP648" s="24">
        <f t="shared" si="143"/>
        <v>0</v>
      </c>
    </row>
    <row r="649" spans="2:68" s="24" customFormat="1" ht="12.75" x14ac:dyDescent="0.2">
      <c r="B649" s="97"/>
      <c r="C649" s="92"/>
      <c r="D649" s="92"/>
      <c r="E649" s="92"/>
      <c r="F649" s="31" t="str">
        <f>IF(G649=1,IF(ISERROR(TableCosts[[#This Row],[N_Tariff]]),Err_Message1,IF(TableCosts[[#This Row],[N_Tariff]]=0,Err_Message2,VLOOKUP(C649&amp;TableCosts[[#This Row],[Calc_N_Typ]],TRAN_STRITEMS_LABEL,5,FALSE))),"")</f>
        <v/>
      </c>
      <c r="G649" s="31">
        <f t="shared" si="132"/>
        <v>0</v>
      </c>
      <c r="H649" s="31" t="str">
        <f>IF(G649=1,IFERROR(VLOOKUP(F649,Tab_ErrMessage[],2,0),VLOOKUP(C649&amp;TableCosts[[#This Row],[Calc_N_Typ]],TRAN_STRITEMS_LABEL,4,FALSE)),"")</f>
        <v/>
      </c>
      <c r="I649" s="94"/>
      <c r="J649" s="94"/>
      <c r="K649" s="94"/>
      <c r="L649" s="84"/>
      <c r="M649" s="84"/>
      <c r="N649" s="84"/>
      <c r="O649" s="84"/>
      <c r="P649" s="84"/>
      <c r="Q649" s="84"/>
      <c r="R649" s="84"/>
      <c r="S649" s="84"/>
      <c r="T649" s="84"/>
      <c r="U649" s="84"/>
      <c r="V649" s="84"/>
      <c r="W649" s="84"/>
      <c r="X649" s="84"/>
      <c r="Y649" s="84"/>
      <c r="Z649" s="84"/>
      <c r="AA649" s="84"/>
      <c r="AB649" s="84"/>
      <c r="AC649" s="84"/>
      <c r="AD649" s="84"/>
      <c r="AE649" s="84"/>
      <c r="AF649" s="84"/>
      <c r="AG649" s="84"/>
      <c r="AH649" s="84"/>
      <c r="AI649" s="84"/>
      <c r="AJ649" s="84"/>
      <c r="AK649" s="84"/>
      <c r="AL649" s="84"/>
      <c r="AM649" s="84"/>
      <c r="AN649" s="84"/>
      <c r="AO649" s="84"/>
      <c r="AP649" s="84"/>
      <c r="AQ649" s="84"/>
      <c r="AR649" s="84"/>
      <c r="AS649" s="84"/>
      <c r="AT649" s="84"/>
      <c r="AU649" s="84"/>
      <c r="AV649" s="84"/>
      <c r="AW649" s="84"/>
      <c r="AX649" s="87">
        <f t="array" ref="AX649">IF(G649=1,SUM((ROW(M0)=ROW(AW649))*(M0+M1_+M2_+M3_+M4_+M5_+M6_+M7_+M8_+M9_+M10_+M11_+M12_+M13_+M14_+M15_+M16_+M17_+M18_+M19_+M20_+M21_+M22_+M23_+M24_+M25_+M26_+M27_+M28_+M29_+M30_+M31_+M32_+M33_+M34_+M35_+M36_+M37_)),0)</f>
        <v>0</v>
      </c>
      <c r="AZ649" s="24" t="str">
        <f t="shared" si="133"/>
        <v/>
      </c>
      <c r="BA649" s="24" t="str">
        <f t="shared" si="134"/>
        <v/>
      </c>
      <c r="BB649" s="24" t="str">
        <f t="shared" si="135"/>
        <v/>
      </c>
      <c r="BC649" s="24" t="str">
        <f>IF(OR(E649="",LEFT(TableCosts[[#This Row],[Calc_N_Typ]],18)="Vynaložené náklady"),"",VLOOKUP(E649,Tab_Parts,2,0))</f>
        <v/>
      </c>
      <c r="BD649" s="24" t="str">
        <f t="shared" si="136"/>
        <v/>
      </c>
      <c r="BE649" s="24">
        <f t="shared" si="137"/>
        <v>0</v>
      </c>
      <c r="BF649" s="72">
        <f>TableCosts[[#This Row],[N_Amount]]*TableCosts[[#This Row],[N_Tariff]]*TableCosts[[#This Row],[N_ItemsCount]]</f>
        <v>0</v>
      </c>
      <c r="BG649" s="72">
        <f>IF(G649=1,IF(TableCosts[[#This Row],[N_Kateg]]="interné práce",TableCosts[[#This Row],[N_Amount]]*8*PAR_SGA_PERHOUR,0),0)</f>
        <v>0</v>
      </c>
      <c r="BH649" s="72">
        <f>SUM(TableCosts[[#This Row],[N_Direct]:[N_SGA]])</f>
        <v>0</v>
      </c>
      <c r="BI649" s="24">
        <f>IF(G649=1,IF(OR(AND(NOT(ISERROR(VLOOKUP(TableCosts[[#This Row],[Calc_N_Typ]],Cis_WorkPositions,1,0))),C649&lt;&gt;"",D649&lt;&gt;"",E649&lt;&gt;""),AND(ISERROR(VLOOKUP(TableCosts[[#This Row],[Calc_N_Typ]],Cis_WorkPositions,1,0)),C649="",D649="",E649&lt;&gt;""),LEFT(TableCosts[[#This Row],[Calc_N_Typ]],18)="Vynaložené náklady"),VLOOKUP(C649&amp;TableCosts[[#This Row],[Calc_N_Typ]],TRAN_STRITEMS_LABEL,VLOOKUP(D649,Tab_Hours,3,0),0),NA()),0)</f>
        <v>0</v>
      </c>
      <c r="BJ649" s="24">
        <f t="shared" si="138"/>
        <v>0</v>
      </c>
      <c r="BK649" s="24" t="str">
        <f t="shared" si="139"/>
        <v/>
      </c>
      <c r="BL649" s="24" t="str">
        <f t="shared" si="140"/>
        <v/>
      </c>
      <c r="BM649" s="24" t="str">
        <f>IF(G649=1,IF(TableCosts[[#This Row],[TransferFrom]]=TableCosts[[#This Row],[TranferTo]],0,1),"")</f>
        <v/>
      </c>
      <c r="BN649" s="24" t="str">
        <f t="shared" si="141"/>
        <v/>
      </c>
      <c r="BO649" s="24">
        <f t="shared" si="142"/>
        <v>0</v>
      </c>
      <c r="BP649" s="24">
        <f t="shared" si="143"/>
        <v>0</v>
      </c>
    </row>
    <row r="650" spans="2:68" s="24" customFormat="1" ht="12.75" x14ac:dyDescent="0.2">
      <c r="B650" s="97"/>
      <c r="C650" s="92"/>
      <c r="D650" s="92"/>
      <c r="E650" s="92"/>
      <c r="F650" s="31" t="str">
        <f>IF(G650=1,IF(ISERROR(TableCosts[[#This Row],[N_Tariff]]),Err_Message1,IF(TableCosts[[#This Row],[N_Tariff]]=0,Err_Message2,VLOOKUP(C650&amp;TableCosts[[#This Row],[Calc_N_Typ]],TRAN_STRITEMS_LABEL,5,FALSE))),"")</f>
        <v/>
      </c>
      <c r="G650" s="31">
        <f t="shared" si="132"/>
        <v>0</v>
      </c>
      <c r="H650" s="31" t="str">
        <f>IF(G650=1,IFERROR(VLOOKUP(F650,Tab_ErrMessage[],2,0),VLOOKUP(C650&amp;TableCosts[[#This Row],[Calc_N_Typ]],TRAN_STRITEMS_LABEL,4,FALSE)),"")</f>
        <v/>
      </c>
      <c r="I650" s="94"/>
      <c r="J650" s="94"/>
      <c r="K650" s="94"/>
      <c r="L650" s="84"/>
      <c r="M650" s="84"/>
      <c r="N650" s="84"/>
      <c r="O650" s="84"/>
      <c r="P650" s="84"/>
      <c r="Q650" s="84"/>
      <c r="R650" s="84"/>
      <c r="S650" s="84"/>
      <c r="T650" s="84"/>
      <c r="U650" s="84"/>
      <c r="V650" s="84"/>
      <c r="W650" s="84"/>
      <c r="X650" s="84"/>
      <c r="Y650" s="84"/>
      <c r="Z650" s="84"/>
      <c r="AA650" s="84"/>
      <c r="AB650" s="84"/>
      <c r="AC650" s="84"/>
      <c r="AD650" s="84"/>
      <c r="AE650" s="84"/>
      <c r="AF650" s="84"/>
      <c r="AG650" s="84"/>
      <c r="AH650" s="84"/>
      <c r="AI650" s="84"/>
      <c r="AJ650" s="84"/>
      <c r="AK650" s="84"/>
      <c r="AL650" s="84"/>
      <c r="AM650" s="84"/>
      <c r="AN650" s="84"/>
      <c r="AO650" s="84"/>
      <c r="AP650" s="84"/>
      <c r="AQ650" s="84"/>
      <c r="AR650" s="84"/>
      <c r="AS650" s="84"/>
      <c r="AT650" s="84"/>
      <c r="AU650" s="84"/>
      <c r="AV650" s="84"/>
      <c r="AW650" s="84"/>
      <c r="AX650" s="87">
        <f t="array" ref="AX650">IF(G650=1,SUM((ROW(M0)=ROW(AW650))*(M0+M1_+M2_+M3_+M4_+M5_+M6_+M7_+M8_+M9_+M10_+M11_+M12_+M13_+M14_+M15_+M16_+M17_+M18_+M19_+M20_+M21_+M22_+M23_+M24_+M25_+M26_+M27_+M28_+M29_+M30_+M31_+M32_+M33_+M34_+M35_+M36_+M37_)),0)</f>
        <v>0</v>
      </c>
      <c r="AZ650" s="24" t="str">
        <f t="shared" si="133"/>
        <v/>
      </c>
      <c r="BA650" s="24" t="str">
        <f t="shared" si="134"/>
        <v/>
      </c>
      <c r="BB650" s="24" t="str">
        <f t="shared" si="135"/>
        <v/>
      </c>
      <c r="BC650" s="24" t="str">
        <f>IF(OR(E650="",LEFT(TableCosts[[#This Row],[Calc_N_Typ]],18)="Vynaložené náklady"),"",VLOOKUP(E650,Tab_Parts,2,0))</f>
        <v/>
      </c>
      <c r="BD650" s="24" t="str">
        <f t="shared" si="136"/>
        <v/>
      </c>
      <c r="BE650" s="24">
        <f t="shared" si="137"/>
        <v>0</v>
      </c>
      <c r="BF650" s="72">
        <f>TableCosts[[#This Row],[N_Amount]]*TableCosts[[#This Row],[N_Tariff]]*TableCosts[[#This Row],[N_ItemsCount]]</f>
        <v>0</v>
      </c>
      <c r="BG650" s="72">
        <f>IF(G650=1,IF(TableCosts[[#This Row],[N_Kateg]]="interné práce",TableCosts[[#This Row],[N_Amount]]*8*PAR_SGA_PERHOUR,0),0)</f>
        <v>0</v>
      </c>
      <c r="BH650" s="72">
        <f>SUM(TableCosts[[#This Row],[N_Direct]:[N_SGA]])</f>
        <v>0</v>
      </c>
      <c r="BI650" s="24">
        <f>IF(G650=1,IF(OR(AND(NOT(ISERROR(VLOOKUP(TableCosts[[#This Row],[Calc_N_Typ]],Cis_WorkPositions,1,0))),C650&lt;&gt;"",D650&lt;&gt;"",E650&lt;&gt;""),AND(ISERROR(VLOOKUP(TableCosts[[#This Row],[Calc_N_Typ]],Cis_WorkPositions,1,0)),C650="",D650="",E650&lt;&gt;""),LEFT(TableCosts[[#This Row],[Calc_N_Typ]],18)="Vynaložené náklady"),VLOOKUP(C650&amp;TableCosts[[#This Row],[Calc_N_Typ]],TRAN_STRITEMS_LABEL,VLOOKUP(D650,Tab_Hours,3,0),0),NA()),0)</f>
        <v>0</v>
      </c>
      <c r="BJ650" s="24">
        <f t="shared" si="138"/>
        <v>0</v>
      </c>
      <c r="BK650" s="24" t="str">
        <f t="shared" si="139"/>
        <v/>
      </c>
      <c r="BL650" s="24" t="str">
        <f t="shared" si="140"/>
        <v/>
      </c>
      <c r="BM650" s="24" t="str">
        <f>IF(G650=1,IF(TableCosts[[#This Row],[TransferFrom]]=TableCosts[[#This Row],[TranferTo]],0,1),"")</f>
        <v/>
      </c>
      <c r="BN650" s="24" t="str">
        <f t="shared" si="141"/>
        <v/>
      </c>
      <c r="BO650" s="24">
        <f t="shared" si="142"/>
        <v>0</v>
      </c>
      <c r="BP650" s="24">
        <f t="shared" si="143"/>
        <v>0</v>
      </c>
    </row>
    <row r="651" spans="2:68" s="24" customFormat="1" ht="12.75" x14ac:dyDescent="0.2">
      <c r="B651" s="97"/>
      <c r="C651" s="92"/>
      <c r="D651" s="92"/>
      <c r="E651" s="92"/>
      <c r="F651" s="31" t="str">
        <f>IF(G651=1,IF(ISERROR(TableCosts[[#This Row],[N_Tariff]]),Err_Message1,IF(TableCosts[[#This Row],[N_Tariff]]=0,Err_Message2,VLOOKUP(C651&amp;TableCosts[[#This Row],[Calc_N_Typ]],TRAN_STRITEMS_LABEL,5,FALSE))),"")</f>
        <v/>
      </c>
      <c r="G651" s="31">
        <f t="shared" si="132"/>
        <v>0</v>
      </c>
      <c r="H651" s="31" t="str">
        <f>IF(G651=1,IFERROR(VLOOKUP(F651,Tab_ErrMessage[],2,0),VLOOKUP(C651&amp;TableCosts[[#This Row],[Calc_N_Typ]],TRAN_STRITEMS_LABEL,4,FALSE)),"")</f>
        <v/>
      </c>
      <c r="I651" s="94"/>
      <c r="J651" s="94"/>
      <c r="K651" s="94"/>
      <c r="L651" s="84"/>
      <c r="M651" s="84"/>
      <c r="N651" s="84"/>
      <c r="O651" s="84"/>
      <c r="P651" s="84"/>
      <c r="Q651" s="84"/>
      <c r="R651" s="84"/>
      <c r="S651" s="84"/>
      <c r="T651" s="84"/>
      <c r="U651" s="84"/>
      <c r="V651" s="84"/>
      <c r="W651" s="84"/>
      <c r="X651" s="84"/>
      <c r="Y651" s="84"/>
      <c r="Z651" s="84"/>
      <c r="AA651" s="84"/>
      <c r="AB651" s="84"/>
      <c r="AC651" s="84"/>
      <c r="AD651" s="84"/>
      <c r="AE651" s="84"/>
      <c r="AF651" s="84"/>
      <c r="AG651" s="84"/>
      <c r="AH651" s="84"/>
      <c r="AI651" s="84"/>
      <c r="AJ651" s="84"/>
      <c r="AK651" s="84"/>
      <c r="AL651" s="84"/>
      <c r="AM651" s="84"/>
      <c r="AN651" s="84"/>
      <c r="AO651" s="84"/>
      <c r="AP651" s="84"/>
      <c r="AQ651" s="84"/>
      <c r="AR651" s="84"/>
      <c r="AS651" s="84"/>
      <c r="AT651" s="84"/>
      <c r="AU651" s="84"/>
      <c r="AV651" s="84"/>
      <c r="AW651" s="84"/>
      <c r="AX651" s="87">
        <f t="array" ref="AX651">IF(G651=1,SUM((ROW(M0)=ROW(AW651))*(M0+M1_+M2_+M3_+M4_+M5_+M6_+M7_+M8_+M9_+M10_+M11_+M12_+M13_+M14_+M15_+M16_+M17_+M18_+M19_+M20_+M21_+M22_+M23_+M24_+M25_+M26_+M27_+M28_+M29_+M30_+M31_+M32_+M33_+M34_+M35_+M36_+M37_)),0)</f>
        <v>0</v>
      </c>
      <c r="AZ651" s="24" t="str">
        <f t="shared" si="133"/>
        <v/>
      </c>
      <c r="BA651" s="24" t="str">
        <f t="shared" si="134"/>
        <v/>
      </c>
      <c r="BB651" s="24" t="str">
        <f t="shared" si="135"/>
        <v/>
      </c>
      <c r="BC651" s="24" t="str">
        <f>IF(OR(E651="",LEFT(TableCosts[[#This Row],[Calc_N_Typ]],18)="Vynaložené náklady"),"",VLOOKUP(E651,Tab_Parts,2,0))</f>
        <v/>
      </c>
      <c r="BD651" s="24" t="str">
        <f t="shared" si="136"/>
        <v/>
      </c>
      <c r="BE651" s="24">
        <f t="shared" si="137"/>
        <v>0</v>
      </c>
      <c r="BF651" s="72">
        <f>TableCosts[[#This Row],[N_Amount]]*TableCosts[[#This Row],[N_Tariff]]*TableCosts[[#This Row],[N_ItemsCount]]</f>
        <v>0</v>
      </c>
      <c r="BG651" s="72">
        <f>IF(G651=1,IF(TableCosts[[#This Row],[N_Kateg]]="interné práce",TableCosts[[#This Row],[N_Amount]]*8*PAR_SGA_PERHOUR,0),0)</f>
        <v>0</v>
      </c>
      <c r="BH651" s="72">
        <f>SUM(TableCosts[[#This Row],[N_Direct]:[N_SGA]])</f>
        <v>0</v>
      </c>
      <c r="BI651" s="24">
        <f>IF(G651=1,IF(OR(AND(NOT(ISERROR(VLOOKUP(TableCosts[[#This Row],[Calc_N_Typ]],Cis_WorkPositions,1,0))),C651&lt;&gt;"",D651&lt;&gt;"",E651&lt;&gt;""),AND(ISERROR(VLOOKUP(TableCosts[[#This Row],[Calc_N_Typ]],Cis_WorkPositions,1,0)),C651="",D651="",E651&lt;&gt;""),LEFT(TableCosts[[#This Row],[Calc_N_Typ]],18)="Vynaložené náklady"),VLOOKUP(C651&amp;TableCosts[[#This Row],[Calc_N_Typ]],TRAN_STRITEMS_LABEL,VLOOKUP(D651,Tab_Hours,3,0),0),NA()),0)</f>
        <v>0</v>
      </c>
      <c r="BJ651" s="24">
        <f t="shared" si="138"/>
        <v>0</v>
      </c>
      <c r="BK651" s="24" t="str">
        <f t="shared" si="139"/>
        <v/>
      </c>
      <c r="BL651" s="24" t="str">
        <f t="shared" si="140"/>
        <v/>
      </c>
      <c r="BM651" s="24" t="str">
        <f>IF(G651=1,IF(TableCosts[[#This Row],[TransferFrom]]=TableCosts[[#This Row],[TranferTo]],0,1),"")</f>
        <v/>
      </c>
      <c r="BN651" s="24" t="str">
        <f t="shared" si="141"/>
        <v/>
      </c>
      <c r="BO651" s="24">
        <f t="shared" si="142"/>
        <v>0</v>
      </c>
      <c r="BP651" s="24">
        <f t="shared" si="143"/>
        <v>0</v>
      </c>
    </row>
    <row r="652" spans="2:68" s="24" customFormat="1" ht="12.75" x14ac:dyDescent="0.2">
      <c r="B652" s="97"/>
      <c r="C652" s="92"/>
      <c r="D652" s="92"/>
      <c r="E652" s="92"/>
      <c r="F652" s="31" t="str">
        <f>IF(G652=1,IF(ISERROR(TableCosts[[#This Row],[N_Tariff]]),Err_Message1,IF(TableCosts[[#This Row],[N_Tariff]]=0,Err_Message2,VLOOKUP(C652&amp;TableCosts[[#This Row],[Calc_N_Typ]],TRAN_STRITEMS_LABEL,5,FALSE))),"")</f>
        <v/>
      </c>
      <c r="G652" s="31">
        <f t="shared" ref="G652:G715" si="144">IF(B652="",0,IF(LEFT(B652,3)="***",-1,1))</f>
        <v>0</v>
      </c>
      <c r="H652" s="31" t="str">
        <f>IF(G652=1,IFERROR(VLOOKUP(F652,Tab_ErrMessage[],2,0),VLOOKUP(C652&amp;TableCosts[[#This Row],[Calc_N_Typ]],TRAN_STRITEMS_LABEL,4,FALSE)),"")</f>
        <v/>
      </c>
      <c r="I652" s="94"/>
      <c r="J652" s="94"/>
      <c r="K652" s="94"/>
      <c r="L652" s="84"/>
      <c r="M652" s="84"/>
      <c r="N652" s="84"/>
      <c r="O652" s="84"/>
      <c r="P652" s="84"/>
      <c r="Q652" s="84"/>
      <c r="R652" s="84"/>
      <c r="S652" s="84"/>
      <c r="T652" s="84"/>
      <c r="U652" s="84"/>
      <c r="V652" s="84"/>
      <c r="W652" s="84"/>
      <c r="X652" s="84"/>
      <c r="Y652" s="84"/>
      <c r="Z652" s="84"/>
      <c r="AA652" s="84"/>
      <c r="AB652" s="84"/>
      <c r="AC652" s="84"/>
      <c r="AD652" s="84"/>
      <c r="AE652" s="84"/>
      <c r="AF652" s="84"/>
      <c r="AG652" s="84"/>
      <c r="AH652" s="84"/>
      <c r="AI652" s="84"/>
      <c r="AJ652" s="84"/>
      <c r="AK652" s="84"/>
      <c r="AL652" s="84"/>
      <c r="AM652" s="84"/>
      <c r="AN652" s="84"/>
      <c r="AO652" s="84"/>
      <c r="AP652" s="84"/>
      <c r="AQ652" s="84"/>
      <c r="AR652" s="84"/>
      <c r="AS652" s="84"/>
      <c r="AT652" s="84"/>
      <c r="AU652" s="84"/>
      <c r="AV652" s="84"/>
      <c r="AW652" s="84"/>
      <c r="AX652" s="87">
        <f t="array" ref="AX652">IF(G652=1,SUM((ROW(M0)=ROW(AW652))*(M0+M1_+M2_+M3_+M4_+M5_+M6_+M7_+M8_+M9_+M10_+M11_+M12_+M13_+M14_+M15_+M16_+M17_+M18_+M19_+M20_+M21_+M22_+M23_+M24_+M25_+M26_+M27_+M28_+M29_+M30_+M31_+M32_+M33_+M34_+M35_+M36_+M37_)),0)</f>
        <v>0</v>
      </c>
      <c r="AZ652" s="24" t="str">
        <f t="shared" ref="AZ652:AZ715" si="145">IF(G652=1,B652,"")</f>
        <v/>
      </c>
      <c r="BA652" s="24" t="str">
        <f t="shared" ref="BA652:BA715" si="146">IF(G652=1,C652,"")</f>
        <v/>
      </c>
      <c r="BB652" s="24" t="str">
        <f t="shared" ref="BB652:BB715" si="147">IF(G652=1,F652,"")</f>
        <v/>
      </c>
      <c r="BC652" s="24" t="str">
        <f>IF(OR(E652="",LEFT(TableCosts[[#This Row],[Calc_N_Typ]],18)="Vynaložené náklady"),"",VLOOKUP(E652,Tab_Parts,2,0))</f>
        <v/>
      </c>
      <c r="BD652" s="24" t="str">
        <f t="shared" ref="BD652:BD715" si="148">IF(G652=1,H652,"")</f>
        <v/>
      </c>
      <c r="BE652" s="24">
        <f t="shared" ref="BE652:BE715" si="149">IF(G652=1,AX652,0)</f>
        <v>0</v>
      </c>
      <c r="BF652" s="72">
        <f>TableCosts[[#This Row],[N_Amount]]*TableCosts[[#This Row],[N_Tariff]]*TableCosts[[#This Row],[N_ItemsCount]]</f>
        <v>0</v>
      </c>
      <c r="BG652" s="72">
        <f>IF(G652=1,IF(TableCosts[[#This Row],[N_Kateg]]="interné práce",TableCosts[[#This Row],[N_Amount]]*8*PAR_SGA_PERHOUR,0),0)</f>
        <v>0</v>
      </c>
      <c r="BH652" s="72">
        <f>SUM(TableCosts[[#This Row],[N_Direct]:[N_SGA]])</f>
        <v>0</v>
      </c>
      <c r="BI652" s="24">
        <f>IF(G652=1,IF(OR(AND(NOT(ISERROR(VLOOKUP(TableCosts[[#This Row],[Calc_N_Typ]],Cis_WorkPositions,1,0))),C652&lt;&gt;"",D652&lt;&gt;"",E652&lt;&gt;""),AND(ISERROR(VLOOKUP(TableCosts[[#This Row],[Calc_N_Typ]],Cis_WorkPositions,1,0)),C652="",D652="",E652&lt;&gt;""),LEFT(TableCosts[[#This Row],[Calc_N_Typ]],18)="Vynaložené náklady"),VLOOKUP(C652&amp;TableCosts[[#This Row],[Calc_N_Typ]],TRAN_STRITEMS_LABEL,VLOOKUP(D652,Tab_Hours,3,0),0),NA()),0)</f>
        <v>0</v>
      </c>
      <c r="BJ652" s="24">
        <f t="shared" ref="BJ652:BJ715" si="150">IF(G652=1,IF(H652="čld.",VLOOKUP(D652,Tab_Hours,4,0),1),0)</f>
        <v>0</v>
      </c>
      <c r="BK652" s="24" t="str">
        <f t="shared" ref="BK652:BK715" si="151">IF(G652=1,IFERROR(VLOOKUP(B652,IpsLicences,2,0),IF(C652="",Par_Center,C652)),"")</f>
        <v/>
      </c>
      <c r="BL652" s="24" t="str">
        <f t="shared" ref="BL652:BL715" si="152">IF(G652=1,Par_Center,"")</f>
        <v/>
      </c>
      <c r="BM652" s="24" t="str">
        <f>IF(G652=1,IF(TableCosts[[#This Row],[TransferFrom]]=TableCosts[[#This Row],[TranferTo]],0,1),"")</f>
        <v/>
      </c>
      <c r="BN652" s="24" t="str">
        <f t="shared" ref="BN652:BN715" si="153">IF(G652=1,IF(E652="ACQ","akvizícia","realizácia"),"")</f>
        <v/>
      </c>
      <c r="BO652" s="24">
        <f t="shared" ref="BO652:BO715" si="154">IF(RIGHT(B652,LEN(Par_LabelTravelTime))=Par_LabelTravelTime,LEFT(B652,LEN(B652)-LEN(Par_LabelTravelTime)),B652)</f>
        <v>0</v>
      </c>
      <c r="BP652" s="24">
        <f t="shared" ref="BP652:BP715" si="155">IF(RIGHT(B652,LEN(Par_LabelTravelTime))=Par_LabelTravelTime,1,0)</f>
        <v>0</v>
      </c>
    </row>
    <row r="653" spans="2:68" s="24" customFormat="1" ht="12.75" x14ac:dyDescent="0.2">
      <c r="B653" s="97"/>
      <c r="C653" s="92"/>
      <c r="D653" s="92"/>
      <c r="E653" s="92"/>
      <c r="F653" s="31" t="str">
        <f>IF(G653=1,IF(ISERROR(TableCosts[[#This Row],[N_Tariff]]),Err_Message1,IF(TableCosts[[#This Row],[N_Tariff]]=0,Err_Message2,VLOOKUP(C653&amp;TableCosts[[#This Row],[Calc_N_Typ]],TRAN_STRITEMS_LABEL,5,FALSE))),"")</f>
        <v/>
      </c>
      <c r="G653" s="31">
        <f t="shared" si="144"/>
        <v>0</v>
      </c>
      <c r="H653" s="31" t="str">
        <f>IF(G653=1,IFERROR(VLOOKUP(F653,Tab_ErrMessage[],2,0),VLOOKUP(C653&amp;TableCosts[[#This Row],[Calc_N_Typ]],TRAN_STRITEMS_LABEL,4,FALSE)),"")</f>
        <v/>
      </c>
      <c r="I653" s="94"/>
      <c r="J653" s="94"/>
      <c r="K653" s="94"/>
      <c r="L653" s="84"/>
      <c r="M653" s="84"/>
      <c r="N653" s="84"/>
      <c r="O653" s="84"/>
      <c r="P653" s="84"/>
      <c r="Q653" s="84"/>
      <c r="R653" s="84"/>
      <c r="S653" s="84"/>
      <c r="T653" s="84"/>
      <c r="U653" s="84"/>
      <c r="V653" s="84"/>
      <c r="W653" s="84"/>
      <c r="X653" s="84"/>
      <c r="Y653" s="84"/>
      <c r="Z653" s="84"/>
      <c r="AA653" s="84"/>
      <c r="AB653" s="84"/>
      <c r="AC653" s="84"/>
      <c r="AD653" s="84"/>
      <c r="AE653" s="84"/>
      <c r="AF653" s="84"/>
      <c r="AG653" s="84"/>
      <c r="AH653" s="84"/>
      <c r="AI653" s="84"/>
      <c r="AJ653" s="84"/>
      <c r="AK653" s="84"/>
      <c r="AL653" s="84"/>
      <c r="AM653" s="84"/>
      <c r="AN653" s="84"/>
      <c r="AO653" s="84"/>
      <c r="AP653" s="84"/>
      <c r="AQ653" s="84"/>
      <c r="AR653" s="84"/>
      <c r="AS653" s="84"/>
      <c r="AT653" s="84"/>
      <c r="AU653" s="84"/>
      <c r="AV653" s="84"/>
      <c r="AW653" s="84"/>
      <c r="AX653" s="87">
        <f t="array" ref="AX653">IF(G653=1,SUM((ROW(M0)=ROW(AW653))*(M0+M1_+M2_+M3_+M4_+M5_+M6_+M7_+M8_+M9_+M10_+M11_+M12_+M13_+M14_+M15_+M16_+M17_+M18_+M19_+M20_+M21_+M22_+M23_+M24_+M25_+M26_+M27_+M28_+M29_+M30_+M31_+M32_+M33_+M34_+M35_+M36_+M37_)),0)</f>
        <v>0</v>
      </c>
      <c r="AZ653" s="24" t="str">
        <f t="shared" si="145"/>
        <v/>
      </c>
      <c r="BA653" s="24" t="str">
        <f t="shared" si="146"/>
        <v/>
      </c>
      <c r="BB653" s="24" t="str">
        <f t="shared" si="147"/>
        <v/>
      </c>
      <c r="BC653" s="24" t="str">
        <f>IF(OR(E653="",LEFT(TableCosts[[#This Row],[Calc_N_Typ]],18)="Vynaložené náklady"),"",VLOOKUP(E653,Tab_Parts,2,0))</f>
        <v/>
      </c>
      <c r="BD653" s="24" t="str">
        <f t="shared" si="148"/>
        <v/>
      </c>
      <c r="BE653" s="24">
        <f t="shared" si="149"/>
        <v>0</v>
      </c>
      <c r="BF653" s="72">
        <f>TableCosts[[#This Row],[N_Amount]]*TableCosts[[#This Row],[N_Tariff]]*TableCosts[[#This Row],[N_ItemsCount]]</f>
        <v>0</v>
      </c>
      <c r="BG653" s="72">
        <f>IF(G653=1,IF(TableCosts[[#This Row],[N_Kateg]]="interné práce",TableCosts[[#This Row],[N_Amount]]*8*PAR_SGA_PERHOUR,0),0)</f>
        <v>0</v>
      </c>
      <c r="BH653" s="72">
        <f>SUM(TableCosts[[#This Row],[N_Direct]:[N_SGA]])</f>
        <v>0</v>
      </c>
      <c r="BI653" s="24">
        <f>IF(G653=1,IF(OR(AND(NOT(ISERROR(VLOOKUP(TableCosts[[#This Row],[Calc_N_Typ]],Cis_WorkPositions,1,0))),C653&lt;&gt;"",D653&lt;&gt;"",E653&lt;&gt;""),AND(ISERROR(VLOOKUP(TableCosts[[#This Row],[Calc_N_Typ]],Cis_WorkPositions,1,0)),C653="",D653="",E653&lt;&gt;""),LEFT(TableCosts[[#This Row],[Calc_N_Typ]],18)="Vynaložené náklady"),VLOOKUP(C653&amp;TableCosts[[#This Row],[Calc_N_Typ]],TRAN_STRITEMS_LABEL,VLOOKUP(D653,Tab_Hours,3,0),0),NA()),0)</f>
        <v>0</v>
      </c>
      <c r="BJ653" s="24">
        <f t="shared" si="150"/>
        <v>0</v>
      </c>
      <c r="BK653" s="24" t="str">
        <f t="shared" si="151"/>
        <v/>
      </c>
      <c r="BL653" s="24" t="str">
        <f t="shared" si="152"/>
        <v/>
      </c>
      <c r="BM653" s="24" t="str">
        <f>IF(G653=1,IF(TableCosts[[#This Row],[TransferFrom]]=TableCosts[[#This Row],[TranferTo]],0,1),"")</f>
        <v/>
      </c>
      <c r="BN653" s="24" t="str">
        <f t="shared" si="153"/>
        <v/>
      </c>
      <c r="BO653" s="24">
        <f t="shared" si="154"/>
        <v>0</v>
      </c>
      <c r="BP653" s="24">
        <f t="shared" si="155"/>
        <v>0</v>
      </c>
    </row>
    <row r="654" spans="2:68" s="24" customFormat="1" ht="12.75" x14ac:dyDescent="0.2">
      <c r="B654" s="97"/>
      <c r="C654" s="92"/>
      <c r="D654" s="92"/>
      <c r="E654" s="92"/>
      <c r="F654" s="31" t="str">
        <f>IF(G654=1,IF(ISERROR(TableCosts[[#This Row],[N_Tariff]]),Err_Message1,IF(TableCosts[[#This Row],[N_Tariff]]=0,Err_Message2,VLOOKUP(C654&amp;TableCosts[[#This Row],[Calc_N_Typ]],TRAN_STRITEMS_LABEL,5,FALSE))),"")</f>
        <v/>
      </c>
      <c r="G654" s="31">
        <f t="shared" si="144"/>
        <v>0</v>
      </c>
      <c r="H654" s="31" t="str">
        <f>IF(G654=1,IFERROR(VLOOKUP(F654,Tab_ErrMessage[],2,0),VLOOKUP(C654&amp;TableCosts[[#This Row],[Calc_N_Typ]],TRAN_STRITEMS_LABEL,4,FALSE)),"")</f>
        <v/>
      </c>
      <c r="I654" s="94"/>
      <c r="J654" s="94"/>
      <c r="K654" s="94"/>
      <c r="L654" s="84"/>
      <c r="M654" s="84"/>
      <c r="N654" s="84"/>
      <c r="O654" s="84"/>
      <c r="P654" s="84"/>
      <c r="Q654" s="84"/>
      <c r="R654" s="84"/>
      <c r="S654" s="84"/>
      <c r="T654" s="84"/>
      <c r="U654" s="84"/>
      <c r="V654" s="84"/>
      <c r="W654" s="84"/>
      <c r="X654" s="84"/>
      <c r="Y654" s="84"/>
      <c r="Z654" s="84"/>
      <c r="AA654" s="84"/>
      <c r="AB654" s="84"/>
      <c r="AC654" s="84"/>
      <c r="AD654" s="84"/>
      <c r="AE654" s="84"/>
      <c r="AF654" s="84"/>
      <c r="AG654" s="84"/>
      <c r="AH654" s="84"/>
      <c r="AI654" s="84"/>
      <c r="AJ654" s="84"/>
      <c r="AK654" s="84"/>
      <c r="AL654" s="84"/>
      <c r="AM654" s="84"/>
      <c r="AN654" s="84"/>
      <c r="AO654" s="84"/>
      <c r="AP654" s="84"/>
      <c r="AQ654" s="84"/>
      <c r="AR654" s="84"/>
      <c r="AS654" s="84"/>
      <c r="AT654" s="84"/>
      <c r="AU654" s="84"/>
      <c r="AV654" s="84"/>
      <c r="AW654" s="84"/>
      <c r="AX654" s="87">
        <f t="array" ref="AX654">IF(G654=1,SUM((ROW(M0)=ROW(AW654))*(M0+M1_+M2_+M3_+M4_+M5_+M6_+M7_+M8_+M9_+M10_+M11_+M12_+M13_+M14_+M15_+M16_+M17_+M18_+M19_+M20_+M21_+M22_+M23_+M24_+M25_+M26_+M27_+M28_+M29_+M30_+M31_+M32_+M33_+M34_+M35_+M36_+M37_)),0)</f>
        <v>0</v>
      </c>
      <c r="AZ654" s="24" t="str">
        <f t="shared" si="145"/>
        <v/>
      </c>
      <c r="BA654" s="24" t="str">
        <f t="shared" si="146"/>
        <v/>
      </c>
      <c r="BB654" s="24" t="str">
        <f t="shared" si="147"/>
        <v/>
      </c>
      <c r="BC654" s="24" t="str">
        <f>IF(OR(E654="",LEFT(TableCosts[[#This Row],[Calc_N_Typ]],18)="Vynaložené náklady"),"",VLOOKUP(E654,Tab_Parts,2,0))</f>
        <v/>
      </c>
      <c r="BD654" s="24" t="str">
        <f t="shared" si="148"/>
        <v/>
      </c>
      <c r="BE654" s="24">
        <f t="shared" si="149"/>
        <v>0</v>
      </c>
      <c r="BF654" s="72">
        <f>TableCosts[[#This Row],[N_Amount]]*TableCosts[[#This Row],[N_Tariff]]*TableCosts[[#This Row],[N_ItemsCount]]</f>
        <v>0</v>
      </c>
      <c r="BG654" s="72">
        <f>IF(G654=1,IF(TableCosts[[#This Row],[N_Kateg]]="interné práce",TableCosts[[#This Row],[N_Amount]]*8*PAR_SGA_PERHOUR,0),0)</f>
        <v>0</v>
      </c>
      <c r="BH654" s="72">
        <f>SUM(TableCosts[[#This Row],[N_Direct]:[N_SGA]])</f>
        <v>0</v>
      </c>
      <c r="BI654" s="24">
        <f>IF(G654=1,IF(OR(AND(NOT(ISERROR(VLOOKUP(TableCosts[[#This Row],[Calc_N_Typ]],Cis_WorkPositions,1,0))),C654&lt;&gt;"",D654&lt;&gt;"",E654&lt;&gt;""),AND(ISERROR(VLOOKUP(TableCosts[[#This Row],[Calc_N_Typ]],Cis_WorkPositions,1,0)),C654="",D654="",E654&lt;&gt;""),LEFT(TableCosts[[#This Row],[Calc_N_Typ]],18)="Vynaložené náklady"),VLOOKUP(C654&amp;TableCosts[[#This Row],[Calc_N_Typ]],TRAN_STRITEMS_LABEL,VLOOKUP(D654,Tab_Hours,3,0),0),NA()),0)</f>
        <v>0</v>
      </c>
      <c r="BJ654" s="24">
        <f t="shared" si="150"/>
        <v>0</v>
      </c>
      <c r="BK654" s="24" t="str">
        <f t="shared" si="151"/>
        <v/>
      </c>
      <c r="BL654" s="24" t="str">
        <f t="shared" si="152"/>
        <v/>
      </c>
      <c r="BM654" s="24" t="str">
        <f>IF(G654=1,IF(TableCosts[[#This Row],[TransferFrom]]=TableCosts[[#This Row],[TranferTo]],0,1),"")</f>
        <v/>
      </c>
      <c r="BN654" s="24" t="str">
        <f t="shared" si="153"/>
        <v/>
      </c>
      <c r="BO654" s="24">
        <f t="shared" si="154"/>
        <v>0</v>
      </c>
      <c r="BP654" s="24">
        <f t="shared" si="155"/>
        <v>0</v>
      </c>
    </row>
    <row r="655" spans="2:68" s="24" customFormat="1" ht="12.75" x14ac:dyDescent="0.2">
      <c r="B655" s="97"/>
      <c r="C655" s="92"/>
      <c r="D655" s="92"/>
      <c r="E655" s="92"/>
      <c r="F655" s="31" t="str">
        <f>IF(G655=1,IF(ISERROR(TableCosts[[#This Row],[N_Tariff]]),Err_Message1,IF(TableCosts[[#This Row],[N_Tariff]]=0,Err_Message2,VLOOKUP(C655&amp;TableCosts[[#This Row],[Calc_N_Typ]],TRAN_STRITEMS_LABEL,5,FALSE))),"")</f>
        <v/>
      </c>
      <c r="G655" s="31">
        <f t="shared" si="144"/>
        <v>0</v>
      </c>
      <c r="H655" s="31" t="str">
        <f>IF(G655=1,IFERROR(VLOOKUP(F655,Tab_ErrMessage[],2,0),VLOOKUP(C655&amp;TableCosts[[#This Row],[Calc_N_Typ]],TRAN_STRITEMS_LABEL,4,FALSE)),"")</f>
        <v/>
      </c>
      <c r="I655" s="94"/>
      <c r="J655" s="94"/>
      <c r="K655" s="94"/>
      <c r="L655" s="84"/>
      <c r="M655" s="84"/>
      <c r="N655" s="84"/>
      <c r="O655" s="84"/>
      <c r="P655" s="84"/>
      <c r="Q655" s="84"/>
      <c r="R655" s="84"/>
      <c r="S655" s="84"/>
      <c r="T655" s="84"/>
      <c r="U655" s="84"/>
      <c r="V655" s="84"/>
      <c r="W655" s="84"/>
      <c r="X655" s="84"/>
      <c r="Y655" s="84"/>
      <c r="Z655" s="84"/>
      <c r="AA655" s="84"/>
      <c r="AB655" s="84"/>
      <c r="AC655" s="84"/>
      <c r="AD655" s="84"/>
      <c r="AE655" s="84"/>
      <c r="AF655" s="84"/>
      <c r="AG655" s="84"/>
      <c r="AH655" s="84"/>
      <c r="AI655" s="84"/>
      <c r="AJ655" s="84"/>
      <c r="AK655" s="84"/>
      <c r="AL655" s="84"/>
      <c r="AM655" s="84"/>
      <c r="AN655" s="84"/>
      <c r="AO655" s="84"/>
      <c r="AP655" s="84"/>
      <c r="AQ655" s="84"/>
      <c r="AR655" s="84"/>
      <c r="AS655" s="84"/>
      <c r="AT655" s="84"/>
      <c r="AU655" s="84"/>
      <c r="AV655" s="84"/>
      <c r="AW655" s="84"/>
      <c r="AX655" s="87">
        <f t="array" ref="AX655">IF(G655=1,SUM((ROW(M0)=ROW(AW655))*(M0+M1_+M2_+M3_+M4_+M5_+M6_+M7_+M8_+M9_+M10_+M11_+M12_+M13_+M14_+M15_+M16_+M17_+M18_+M19_+M20_+M21_+M22_+M23_+M24_+M25_+M26_+M27_+M28_+M29_+M30_+M31_+M32_+M33_+M34_+M35_+M36_+M37_)),0)</f>
        <v>0</v>
      </c>
      <c r="AZ655" s="24" t="str">
        <f t="shared" si="145"/>
        <v/>
      </c>
      <c r="BA655" s="24" t="str">
        <f t="shared" si="146"/>
        <v/>
      </c>
      <c r="BB655" s="24" t="str">
        <f t="shared" si="147"/>
        <v/>
      </c>
      <c r="BC655" s="24" t="str">
        <f>IF(OR(E655="",LEFT(TableCosts[[#This Row],[Calc_N_Typ]],18)="Vynaložené náklady"),"",VLOOKUP(E655,Tab_Parts,2,0))</f>
        <v/>
      </c>
      <c r="BD655" s="24" t="str">
        <f t="shared" si="148"/>
        <v/>
      </c>
      <c r="BE655" s="24">
        <f t="shared" si="149"/>
        <v>0</v>
      </c>
      <c r="BF655" s="72">
        <f>TableCosts[[#This Row],[N_Amount]]*TableCosts[[#This Row],[N_Tariff]]*TableCosts[[#This Row],[N_ItemsCount]]</f>
        <v>0</v>
      </c>
      <c r="BG655" s="72">
        <f>IF(G655=1,IF(TableCosts[[#This Row],[N_Kateg]]="interné práce",TableCosts[[#This Row],[N_Amount]]*8*PAR_SGA_PERHOUR,0),0)</f>
        <v>0</v>
      </c>
      <c r="BH655" s="72">
        <f>SUM(TableCosts[[#This Row],[N_Direct]:[N_SGA]])</f>
        <v>0</v>
      </c>
      <c r="BI655" s="24">
        <f>IF(G655=1,IF(OR(AND(NOT(ISERROR(VLOOKUP(TableCosts[[#This Row],[Calc_N_Typ]],Cis_WorkPositions,1,0))),C655&lt;&gt;"",D655&lt;&gt;"",E655&lt;&gt;""),AND(ISERROR(VLOOKUP(TableCosts[[#This Row],[Calc_N_Typ]],Cis_WorkPositions,1,0)),C655="",D655="",E655&lt;&gt;""),LEFT(TableCosts[[#This Row],[Calc_N_Typ]],18)="Vynaložené náklady"),VLOOKUP(C655&amp;TableCosts[[#This Row],[Calc_N_Typ]],TRAN_STRITEMS_LABEL,VLOOKUP(D655,Tab_Hours,3,0),0),NA()),0)</f>
        <v>0</v>
      </c>
      <c r="BJ655" s="24">
        <f t="shared" si="150"/>
        <v>0</v>
      </c>
      <c r="BK655" s="24" t="str">
        <f t="shared" si="151"/>
        <v/>
      </c>
      <c r="BL655" s="24" t="str">
        <f t="shared" si="152"/>
        <v/>
      </c>
      <c r="BM655" s="24" t="str">
        <f>IF(G655=1,IF(TableCosts[[#This Row],[TransferFrom]]=TableCosts[[#This Row],[TranferTo]],0,1),"")</f>
        <v/>
      </c>
      <c r="BN655" s="24" t="str">
        <f t="shared" si="153"/>
        <v/>
      </c>
      <c r="BO655" s="24">
        <f t="shared" si="154"/>
        <v>0</v>
      </c>
      <c r="BP655" s="24">
        <f t="shared" si="155"/>
        <v>0</v>
      </c>
    </row>
    <row r="656" spans="2:68" s="24" customFormat="1" ht="12.75" x14ac:dyDescent="0.2">
      <c r="B656" s="97"/>
      <c r="C656" s="92"/>
      <c r="D656" s="92"/>
      <c r="E656" s="92"/>
      <c r="F656" s="31" t="str">
        <f>IF(G656=1,IF(ISERROR(TableCosts[[#This Row],[N_Tariff]]),Err_Message1,IF(TableCosts[[#This Row],[N_Tariff]]=0,Err_Message2,VLOOKUP(C656&amp;TableCosts[[#This Row],[Calc_N_Typ]],TRAN_STRITEMS_LABEL,5,FALSE))),"")</f>
        <v/>
      </c>
      <c r="G656" s="31">
        <f t="shared" si="144"/>
        <v>0</v>
      </c>
      <c r="H656" s="31" t="str">
        <f>IF(G656=1,IFERROR(VLOOKUP(F656,Tab_ErrMessage[],2,0),VLOOKUP(C656&amp;TableCosts[[#This Row],[Calc_N_Typ]],TRAN_STRITEMS_LABEL,4,FALSE)),"")</f>
        <v/>
      </c>
      <c r="I656" s="94"/>
      <c r="J656" s="94"/>
      <c r="K656" s="94"/>
      <c r="L656" s="84"/>
      <c r="M656" s="84"/>
      <c r="N656" s="84"/>
      <c r="O656" s="84"/>
      <c r="P656" s="84"/>
      <c r="Q656" s="84"/>
      <c r="R656" s="84"/>
      <c r="S656" s="84"/>
      <c r="T656" s="84"/>
      <c r="U656" s="84"/>
      <c r="V656" s="84"/>
      <c r="W656" s="84"/>
      <c r="X656" s="84"/>
      <c r="Y656" s="84"/>
      <c r="Z656" s="84"/>
      <c r="AA656" s="84"/>
      <c r="AB656" s="84"/>
      <c r="AC656" s="84"/>
      <c r="AD656" s="84"/>
      <c r="AE656" s="84"/>
      <c r="AF656" s="84"/>
      <c r="AG656" s="84"/>
      <c r="AH656" s="84"/>
      <c r="AI656" s="84"/>
      <c r="AJ656" s="84"/>
      <c r="AK656" s="84"/>
      <c r="AL656" s="84"/>
      <c r="AM656" s="84"/>
      <c r="AN656" s="84"/>
      <c r="AO656" s="84"/>
      <c r="AP656" s="84"/>
      <c r="AQ656" s="84"/>
      <c r="AR656" s="84"/>
      <c r="AS656" s="84"/>
      <c r="AT656" s="84"/>
      <c r="AU656" s="84"/>
      <c r="AV656" s="84"/>
      <c r="AW656" s="84"/>
      <c r="AX656" s="87">
        <f t="array" ref="AX656">IF(G656=1,SUM((ROW(M0)=ROW(AW656))*(M0+M1_+M2_+M3_+M4_+M5_+M6_+M7_+M8_+M9_+M10_+M11_+M12_+M13_+M14_+M15_+M16_+M17_+M18_+M19_+M20_+M21_+M22_+M23_+M24_+M25_+M26_+M27_+M28_+M29_+M30_+M31_+M32_+M33_+M34_+M35_+M36_+M37_)),0)</f>
        <v>0</v>
      </c>
      <c r="AZ656" s="24" t="str">
        <f t="shared" si="145"/>
        <v/>
      </c>
      <c r="BA656" s="24" t="str">
        <f t="shared" si="146"/>
        <v/>
      </c>
      <c r="BB656" s="24" t="str">
        <f t="shared" si="147"/>
        <v/>
      </c>
      <c r="BC656" s="24" t="str">
        <f>IF(OR(E656="",LEFT(TableCosts[[#This Row],[Calc_N_Typ]],18)="Vynaložené náklady"),"",VLOOKUP(E656,Tab_Parts,2,0))</f>
        <v/>
      </c>
      <c r="BD656" s="24" t="str">
        <f t="shared" si="148"/>
        <v/>
      </c>
      <c r="BE656" s="24">
        <f t="shared" si="149"/>
        <v>0</v>
      </c>
      <c r="BF656" s="72">
        <f>TableCosts[[#This Row],[N_Amount]]*TableCosts[[#This Row],[N_Tariff]]*TableCosts[[#This Row],[N_ItemsCount]]</f>
        <v>0</v>
      </c>
      <c r="BG656" s="72">
        <f>IF(G656=1,IF(TableCosts[[#This Row],[N_Kateg]]="interné práce",TableCosts[[#This Row],[N_Amount]]*8*PAR_SGA_PERHOUR,0),0)</f>
        <v>0</v>
      </c>
      <c r="BH656" s="72">
        <f>SUM(TableCosts[[#This Row],[N_Direct]:[N_SGA]])</f>
        <v>0</v>
      </c>
      <c r="BI656" s="24">
        <f>IF(G656=1,IF(OR(AND(NOT(ISERROR(VLOOKUP(TableCosts[[#This Row],[Calc_N_Typ]],Cis_WorkPositions,1,0))),C656&lt;&gt;"",D656&lt;&gt;"",E656&lt;&gt;""),AND(ISERROR(VLOOKUP(TableCosts[[#This Row],[Calc_N_Typ]],Cis_WorkPositions,1,0)),C656="",D656="",E656&lt;&gt;""),LEFT(TableCosts[[#This Row],[Calc_N_Typ]],18)="Vynaložené náklady"),VLOOKUP(C656&amp;TableCosts[[#This Row],[Calc_N_Typ]],TRAN_STRITEMS_LABEL,VLOOKUP(D656,Tab_Hours,3,0),0),NA()),0)</f>
        <v>0</v>
      </c>
      <c r="BJ656" s="24">
        <f t="shared" si="150"/>
        <v>0</v>
      </c>
      <c r="BK656" s="24" t="str">
        <f t="shared" si="151"/>
        <v/>
      </c>
      <c r="BL656" s="24" t="str">
        <f t="shared" si="152"/>
        <v/>
      </c>
      <c r="BM656" s="24" t="str">
        <f>IF(G656=1,IF(TableCosts[[#This Row],[TransferFrom]]=TableCosts[[#This Row],[TranferTo]],0,1),"")</f>
        <v/>
      </c>
      <c r="BN656" s="24" t="str">
        <f t="shared" si="153"/>
        <v/>
      </c>
      <c r="BO656" s="24">
        <f t="shared" si="154"/>
        <v>0</v>
      </c>
      <c r="BP656" s="24">
        <f t="shared" si="155"/>
        <v>0</v>
      </c>
    </row>
    <row r="657" spans="2:68" s="24" customFormat="1" ht="12.75" x14ac:dyDescent="0.2">
      <c r="B657" s="97"/>
      <c r="C657" s="92"/>
      <c r="D657" s="92"/>
      <c r="E657" s="92"/>
      <c r="F657" s="31" t="str">
        <f>IF(G657=1,IF(ISERROR(TableCosts[[#This Row],[N_Tariff]]),Err_Message1,IF(TableCosts[[#This Row],[N_Tariff]]=0,Err_Message2,VLOOKUP(C657&amp;TableCosts[[#This Row],[Calc_N_Typ]],TRAN_STRITEMS_LABEL,5,FALSE))),"")</f>
        <v/>
      </c>
      <c r="G657" s="31">
        <f t="shared" si="144"/>
        <v>0</v>
      </c>
      <c r="H657" s="31" t="str">
        <f>IF(G657=1,IFERROR(VLOOKUP(F657,Tab_ErrMessage[],2,0),VLOOKUP(C657&amp;TableCosts[[#This Row],[Calc_N_Typ]],TRAN_STRITEMS_LABEL,4,FALSE)),"")</f>
        <v/>
      </c>
      <c r="I657" s="94"/>
      <c r="J657" s="94"/>
      <c r="K657" s="94"/>
      <c r="L657" s="84"/>
      <c r="M657" s="84"/>
      <c r="N657" s="84"/>
      <c r="O657" s="84"/>
      <c r="P657" s="84"/>
      <c r="Q657" s="84"/>
      <c r="R657" s="84"/>
      <c r="S657" s="84"/>
      <c r="T657" s="84"/>
      <c r="U657" s="84"/>
      <c r="V657" s="84"/>
      <c r="W657" s="84"/>
      <c r="X657" s="84"/>
      <c r="Y657" s="84"/>
      <c r="Z657" s="84"/>
      <c r="AA657" s="84"/>
      <c r="AB657" s="84"/>
      <c r="AC657" s="84"/>
      <c r="AD657" s="84"/>
      <c r="AE657" s="84"/>
      <c r="AF657" s="84"/>
      <c r="AG657" s="84"/>
      <c r="AH657" s="84"/>
      <c r="AI657" s="84"/>
      <c r="AJ657" s="84"/>
      <c r="AK657" s="84"/>
      <c r="AL657" s="84"/>
      <c r="AM657" s="84"/>
      <c r="AN657" s="84"/>
      <c r="AO657" s="84"/>
      <c r="AP657" s="84"/>
      <c r="AQ657" s="84"/>
      <c r="AR657" s="84"/>
      <c r="AS657" s="84"/>
      <c r="AT657" s="84"/>
      <c r="AU657" s="84"/>
      <c r="AV657" s="84"/>
      <c r="AW657" s="84"/>
      <c r="AX657" s="87">
        <f t="array" ref="AX657">IF(G657=1,SUM((ROW(M0)=ROW(AW657))*(M0+M1_+M2_+M3_+M4_+M5_+M6_+M7_+M8_+M9_+M10_+M11_+M12_+M13_+M14_+M15_+M16_+M17_+M18_+M19_+M20_+M21_+M22_+M23_+M24_+M25_+M26_+M27_+M28_+M29_+M30_+M31_+M32_+M33_+M34_+M35_+M36_+M37_)),0)</f>
        <v>0</v>
      </c>
      <c r="AZ657" s="24" t="str">
        <f t="shared" si="145"/>
        <v/>
      </c>
      <c r="BA657" s="24" t="str">
        <f t="shared" si="146"/>
        <v/>
      </c>
      <c r="BB657" s="24" t="str">
        <f t="shared" si="147"/>
        <v/>
      </c>
      <c r="BC657" s="24" t="str">
        <f>IF(OR(E657="",LEFT(TableCosts[[#This Row],[Calc_N_Typ]],18)="Vynaložené náklady"),"",VLOOKUP(E657,Tab_Parts,2,0))</f>
        <v/>
      </c>
      <c r="BD657" s="24" t="str">
        <f t="shared" si="148"/>
        <v/>
      </c>
      <c r="BE657" s="24">
        <f t="shared" si="149"/>
        <v>0</v>
      </c>
      <c r="BF657" s="72">
        <f>TableCosts[[#This Row],[N_Amount]]*TableCosts[[#This Row],[N_Tariff]]*TableCosts[[#This Row],[N_ItemsCount]]</f>
        <v>0</v>
      </c>
      <c r="BG657" s="72">
        <f>IF(G657=1,IF(TableCosts[[#This Row],[N_Kateg]]="interné práce",TableCosts[[#This Row],[N_Amount]]*8*PAR_SGA_PERHOUR,0),0)</f>
        <v>0</v>
      </c>
      <c r="BH657" s="72">
        <f>SUM(TableCosts[[#This Row],[N_Direct]:[N_SGA]])</f>
        <v>0</v>
      </c>
      <c r="BI657" s="24">
        <f>IF(G657=1,IF(OR(AND(NOT(ISERROR(VLOOKUP(TableCosts[[#This Row],[Calc_N_Typ]],Cis_WorkPositions,1,0))),C657&lt;&gt;"",D657&lt;&gt;"",E657&lt;&gt;""),AND(ISERROR(VLOOKUP(TableCosts[[#This Row],[Calc_N_Typ]],Cis_WorkPositions,1,0)),C657="",D657="",E657&lt;&gt;""),LEFT(TableCosts[[#This Row],[Calc_N_Typ]],18)="Vynaložené náklady"),VLOOKUP(C657&amp;TableCosts[[#This Row],[Calc_N_Typ]],TRAN_STRITEMS_LABEL,VLOOKUP(D657,Tab_Hours,3,0),0),NA()),0)</f>
        <v>0</v>
      </c>
      <c r="BJ657" s="24">
        <f t="shared" si="150"/>
        <v>0</v>
      </c>
      <c r="BK657" s="24" t="str">
        <f t="shared" si="151"/>
        <v/>
      </c>
      <c r="BL657" s="24" t="str">
        <f t="shared" si="152"/>
        <v/>
      </c>
      <c r="BM657" s="24" t="str">
        <f>IF(G657=1,IF(TableCosts[[#This Row],[TransferFrom]]=TableCosts[[#This Row],[TranferTo]],0,1),"")</f>
        <v/>
      </c>
      <c r="BN657" s="24" t="str">
        <f t="shared" si="153"/>
        <v/>
      </c>
      <c r="BO657" s="24">
        <f t="shared" si="154"/>
        <v>0</v>
      </c>
      <c r="BP657" s="24">
        <f t="shared" si="155"/>
        <v>0</v>
      </c>
    </row>
    <row r="658" spans="2:68" s="24" customFormat="1" ht="12.75" x14ac:dyDescent="0.2">
      <c r="B658" s="97"/>
      <c r="C658" s="92"/>
      <c r="D658" s="92"/>
      <c r="E658" s="92"/>
      <c r="F658" s="31" t="str">
        <f>IF(G658=1,IF(ISERROR(TableCosts[[#This Row],[N_Tariff]]),Err_Message1,IF(TableCosts[[#This Row],[N_Tariff]]=0,Err_Message2,VLOOKUP(C658&amp;TableCosts[[#This Row],[Calc_N_Typ]],TRAN_STRITEMS_LABEL,5,FALSE))),"")</f>
        <v/>
      </c>
      <c r="G658" s="31">
        <f t="shared" si="144"/>
        <v>0</v>
      </c>
      <c r="H658" s="31" t="str">
        <f>IF(G658=1,IFERROR(VLOOKUP(F658,Tab_ErrMessage[],2,0),VLOOKUP(C658&amp;TableCosts[[#This Row],[Calc_N_Typ]],TRAN_STRITEMS_LABEL,4,FALSE)),"")</f>
        <v/>
      </c>
      <c r="I658" s="94"/>
      <c r="J658" s="94"/>
      <c r="K658" s="94"/>
      <c r="L658" s="84"/>
      <c r="M658" s="84"/>
      <c r="N658" s="84"/>
      <c r="O658" s="84"/>
      <c r="P658" s="84"/>
      <c r="Q658" s="84"/>
      <c r="R658" s="84"/>
      <c r="S658" s="84"/>
      <c r="T658" s="84"/>
      <c r="U658" s="84"/>
      <c r="V658" s="84"/>
      <c r="W658" s="84"/>
      <c r="X658" s="84"/>
      <c r="Y658" s="84"/>
      <c r="Z658" s="84"/>
      <c r="AA658" s="84"/>
      <c r="AB658" s="84"/>
      <c r="AC658" s="84"/>
      <c r="AD658" s="84"/>
      <c r="AE658" s="84"/>
      <c r="AF658" s="84"/>
      <c r="AG658" s="84"/>
      <c r="AH658" s="84"/>
      <c r="AI658" s="84"/>
      <c r="AJ658" s="84"/>
      <c r="AK658" s="84"/>
      <c r="AL658" s="84"/>
      <c r="AM658" s="84"/>
      <c r="AN658" s="84"/>
      <c r="AO658" s="84"/>
      <c r="AP658" s="84"/>
      <c r="AQ658" s="84"/>
      <c r="AR658" s="84"/>
      <c r="AS658" s="84"/>
      <c r="AT658" s="84"/>
      <c r="AU658" s="84"/>
      <c r="AV658" s="84"/>
      <c r="AW658" s="84"/>
      <c r="AX658" s="87">
        <f t="array" ref="AX658">IF(G658=1,SUM((ROW(M0)=ROW(AW658))*(M0+M1_+M2_+M3_+M4_+M5_+M6_+M7_+M8_+M9_+M10_+M11_+M12_+M13_+M14_+M15_+M16_+M17_+M18_+M19_+M20_+M21_+M22_+M23_+M24_+M25_+M26_+M27_+M28_+M29_+M30_+M31_+M32_+M33_+M34_+M35_+M36_+M37_)),0)</f>
        <v>0</v>
      </c>
      <c r="AZ658" s="24" t="str">
        <f t="shared" si="145"/>
        <v/>
      </c>
      <c r="BA658" s="24" t="str">
        <f t="shared" si="146"/>
        <v/>
      </c>
      <c r="BB658" s="24" t="str">
        <f t="shared" si="147"/>
        <v/>
      </c>
      <c r="BC658" s="24" t="str">
        <f>IF(OR(E658="",LEFT(TableCosts[[#This Row],[Calc_N_Typ]],18)="Vynaložené náklady"),"",VLOOKUP(E658,Tab_Parts,2,0))</f>
        <v/>
      </c>
      <c r="BD658" s="24" t="str">
        <f t="shared" si="148"/>
        <v/>
      </c>
      <c r="BE658" s="24">
        <f t="shared" si="149"/>
        <v>0</v>
      </c>
      <c r="BF658" s="72">
        <f>TableCosts[[#This Row],[N_Amount]]*TableCosts[[#This Row],[N_Tariff]]*TableCosts[[#This Row],[N_ItemsCount]]</f>
        <v>0</v>
      </c>
      <c r="BG658" s="72">
        <f>IF(G658=1,IF(TableCosts[[#This Row],[N_Kateg]]="interné práce",TableCosts[[#This Row],[N_Amount]]*8*PAR_SGA_PERHOUR,0),0)</f>
        <v>0</v>
      </c>
      <c r="BH658" s="72">
        <f>SUM(TableCosts[[#This Row],[N_Direct]:[N_SGA]])</f>
        <v>0</v>
      </c>
      <c r="BI658" s="24">
        <f>IF(G658=1,IF(OR(AND(NOT(ISERROR(VLOOKUP(TableCosts[[#This Row],[Calc_N_Typ]],Cis_WorkPositions,1,0))),C658&lt;&gt;"",D658&lt;&gt;"",E658&lt;&gt;""),AND(ISERROR(VLOOKUP(TableCosts[[#This Row],[Calc_N_Typ]],Cis_WorkPositions,1,0)),C658="",D658="",E658&lt;&gt;""),LEFT(TableCosts[[#This Row],[Calc_N_Typ]],18)="Vynaložené náklady"),VLOOKUP(C658&amp;TableCosts[[#This Row],[Calc_N_Typ]],TRAN_STRITEMS_LABEL,VLOOKUP(D658,Tab_Hours,3,0),0),NA()),0)</f>
        <v>0</v>
      </c>
      <c r="BJ658" s="24">
        <f t="shared" si="150"/>
        <v>0</v>
      </c>
      <c r="BK658" s="24" t="str">
        <f t="shared" si="151"/>
        <v/>
      </c>
      <c r="BL658" s="24" t="str">
        <f t="shared" si="152"/>
        <v/>
      </c>
      <c r="BM658" s="24" t="str">
        <f>IF(G658=1,IF(TableCosts[[#This Row],[TransferFrom]]=TableCosts[[#This Row],[TranferTo]],0,1),"")</f>
        <v/>
      </c>
      <c r="BN658" s="24" t="str">
        <f t="shared" si="153"/>
        <v/>
      </c>
      <c r="BO658" s="24">
        <f t="shared" si="154"/>
        <v>0</v>
      </c>
      <c r="BP658" s="24">
        <f t="shared" si="155"/>
        <v>0</v>
      </c>
    </row>
    <row r="659" spans="2:68" s="24" customFormat="1" ht="12.75" x14ac:dyDescent="0.2">
      <c r="B659" s="97"/>
      <c r="C659" s="92"/>
      <c r="D659" s="92"/>
      <c r="E659" s="92"/>
      <c r="F659" s="31" t="str">
        <f>IF(G659=1,IF(ISERROR(TableCosts[[#This Row],[N_Tariff]]),Err_Message1,IF(TableCosts[[#This Row],[N_Tariff]]=0,Err_Message2,VLOOKUP(C659&amp;TableCosts[[#This Row],[Calc_N_Typ]],TRAN_STRITEMS_LABEL,5,FALSE))),"")</f>
        <v/>
      </c>
      <c r="G659" s="31">
        <f t="shared" si="144"/>
        <v>0</v>
      </c>
      <c r="H659" s="31" t="str">
        <f>IF(G659=1,IFERROR(VLOOKUP(F659,Tab_ErrMessage[],2,0),VLOOKUP(C659&amp;TableCosts[[#This Row],[Calc_N_Typ]],TRAN_STRITEMS_LABEL,4,FALSE)),"")</f>
        <v/>
      </c>
      <c r="I659" s="94"/>
      <c r="J659" s="94"/>
      <c r="K659" s="94"/>
      <c r="L659" s="84"/>
      <c r="M659" s="84"/>
      <c r="N659" s="84"/>
      <c r="O659" s="84"/>
      <c r="P659" s="84"/>
      <c r="Q659" s="84"/>
      <c r="R659" s="84"/>
      <c r="S659" s="84"/>
      <c r="T659" s="84"/>
      <c r="U659" s="84"/>
      <c r="V659" s="84"/>
      <c r="W659" s="84"/>
      <c r="X659" s="84"/>
      <c r="Y659" s="84"/>
      <c r="Z659" s="84"/>
      <c r="AA659" s="84"/>
      <c r="AB659" s="84"/>
      <c r="AC659" s="84"/>
      <c r="AD659" s="84"/>
      <c r="AE659" s="84"/>
      <c r="AF659" s="84"/>
      <c r="AG659" s="84"/>
      <c r="AH659" s="84"/>
      <c r="AI659" s="84"/>
      <c r="AJ659" s="84"/>
      <c r="AK659" s="84"/>
      <c r="AL659" s="84"/>
      <c r="AM659" s="84"/>
      <c r="AN659" s="84"/>
      <c r="AO659" s="84"/>
      <c r="AP659" s="84"/>
      <c r="AQ659" s="84"/>
      <c r="AR659" s="84"/>
      <c r="AS659" s="84"/>
      <c r="AT659" s="84"/>
      <c r="AU659" s="84"/>
      <c r="AV659" s="84"/>
      <c r="AW659" s="84"/>
      <c r="AX659" s="87">
        <f t="array" ref="AX659">IF(G659=1,SUM((ROW(M0)=ROW(AW659))*(M0+M1_+M2_+M3_+M4_+M5_+M6_+M7_+M8_+M9_+M10_+M11_+M12_+M13_+M14_+M15_+M16_+M17_+M18_+M19_+M20_+M21_+M22_+M23_+M24_+M25_+M26_+M27_+M28_+M29_+M30_+M31_+M32_+M33_+M34_+M35_+M36_+M37_)),0)</f>
        <v>0</v>
      </c>
      <c r="AZ659" s="24" t="str">
        <f t="shared" si="145"/>
        <v/>
      </c>
      <c r="BA659" s="24" t="str">
        <f t="shared" si="146"/>
        <v/>
      </c>
      <c r="BB659" s="24" t="str">
        <f t="shared" si="147"/>
        <v/>
      </c>
      <c r="BC659" s="24" t="str">
        <f>IF(OR(E659="",LEFT(TableCosts[[#This Row],[Calc_N_Typ]],18)="Vynaložené náklady"),"",VLOOKUP(E659,Tab_Parts,2,0))</f>
        <v/>
      </c>
      <c r="BD659" s="24" t="str">
        <f t="shared" si="148"/>
        <v/>
      </c>
      <c r="BE659" s="24">
        <f t="shared" si="149"/>
        <v>0</v>
      </c>
      <c r="BF659" s="72">
        <f>TableCosts[[#This Row],[N_Amount]]*TableCosts[[#This Row],[N_Tariff]]*TableCosts[[#This Row],[N_ItemsCount]]</f>
        <v>0</v>
      </c>
      <c r="BG659" s="72">
        <f>IF(G659=1,IF(TableCosts[[#This Row],[N_Kateg]]="interné práce",TableCosts[[#This Row],[N_Amount]]*8*PAR_SGA_PERHOUR,0),0)</f>
        <v>0</v>
      </c>
      <c r="BH659" s="72">
        <f>SUM(TableCosts[[#This Row],[N_Direct]:[N_SGA]])</f>
        <v>0</v>
      </c>
      <c r="BI659" s="24">
        <f>IF(G659=1,IF(OR(AND(NOT(ISERROR(VLOOKUP(TableCosts[[#This Row],[Calc_N_Typ]],Cis_WorkPositions,1,0))),C659&lt;&gt;"",D659&lt;&gt;"",E659&lt;&gt;""),AND(ISERROR(VLOOKUP(TableCosts[[#This Row],[Calc_N_Typ]],Cis_WorkPositions,1,0)),C659="",D659="",E659&lt;&gt;""),LEFT(TableCosts[[#This Row],[Calc_N_Typ]],18)="Vynaložené náklady"),VLOOKUP(C659&amp;TableCosts[[#This Row],[Calc_N_Typ]],TRAN_STRITEMS_LABEL,VLOOKUP(D659,Tab_Hours,3,0),0),NA()),0)</f>
        <v>0</v>
      </c>
      <c r="BJ659" s="24">
        <f t="shared" si="150"/>
        <v>0</v>
      </c>
      <c r="BK659" s="24" t="str">
        <f t="shared" si="151"/>
        <v/>
      </c>
      <c r="BL659" s="24" t="str">
        <f t="shared" si="152"/>
        <v/>
      </c>
      <c r="BM659" s="24" t="str">
        <f>IF(G659=1,IF(TableCosts[[#This Row],[TransferFrom]]=TableCosts[[#This Row],[TranferTo]],0,1),"")</f>
        <v/>
      </c>
      <c r="BN659" s="24" t="str">
        <f t="shared" si="153"/>
        <v/>
      </c>
      <c r="BO659" s="24">
        <f t="shared" si="154"/>
        <v>0</v>
      </c>
      <c r="BP659" s="24">
        <f t="shared" si="155"/>
        <v>0</v>
      </c>
    </row>
    <row r="660" spans="2:68" s="24" customFormat="1" ht="12.75" x14ac:dyDescent="0.2">
      <c r="B660" s="97"/>
      <c r="C660" s="92"/>
      <c r="D660" s="92"/>
      <c r="E660" s="92"/>
      <c r="F660" s="31" t="str">
        <f>IF(G660=1,IF(ISERROR(TableCosts[[#This Row],[N_Tariff]]),Err_Message1,IF(TableCosts[[#This Row],[N_Tariff]]=0,Err_Message2,VLOOKUP(C660&amp;TableCosts[[#This Row],[Calc_N_Typ]],TRAN_STRITEMS_LABEL,5,FALSE))),"")</f>
        <v/>
      </c>
      <c r="G660" s="31">
        <f t="shared" si="144"/>
        <v>0</v>
      </c>
      <c r="H660" s="31" t="str">
        <f>IF(G660=1,IFERROR(VLOOKUP(F660,Tab_ErrMessage[],2,0),VLOOKUP(C660&amp;TableCosts[[#This Row],[Calc_N_Typ]],TRAN_STRITEMS_LABEL,4,FALSE)),"")</f>
        <v/>
      </c>
      <c r="I660" s="94"/>
      <c r="J660" s="94"/>
      <c r="K660" s="94"/>
      <c r="L660" s="84"/>
      <c r="M660" s="84"/>
      <c r="N660" s="84"/>
      <c r="O660" s="84"/>
      <c r="P660" s="84"/>
      <c r="Q660" s="84"/>
      <c r="R660" s="84"/>
      <c r="S660" s="84"/>
      <c r="T660" s="84"/>
      <c r="U660" s="84"/>
      <c r="V660" s="84"/>
      <c r="W660" s="84"/>
      <c r="X660" s="84"/>
      <c r="Y660" s="84"/>
      <c r="Z660" s="84"/>
      <c r="AA660" s="84"/>
      <c r="AB660" s="84"/>
      <c r="AC660" s="84"/>
      <c r="AD660" s="84"/>
      <c r="AE660" s="84"/>
      <c r="AF660" s="84"/>
      <c r="AG660" s="84"/>
      <c r="AH660" s="84"/>
      <c r="AI660" s="84"/>
      <c r="AJ660" s="84"/>
      <c r="AK660" s="84"/>
      <c r="AL660" s="84"/>
      <c r="AM660" s="84"/>
      <c r="AN660" s="84"/>
      <c r="AO660" s="84"/>
      <c r="AP660" s="84"/>
      <c r="AQ660" s="84"/>
      <c r="AR660" s="84"/>
      <c r="AS660" s="84"/>
      <c r="AT660" s="84"/>
      <c r="AU660" s="84"/>
      <c r="AV660" s="84"/>
      <c r="AW660" s="84"/>
      <c r="AX660" s="87">
        <f t="array" ref="AX660">IF(G660=1,SUM((ROW(M0)=ROW(AW660))*(M0+M1_+M2_+M3_+M4_+M5_+M6_+M7_+M8_+M9_+M10_+M11_+M12_+M13_+M14_+M15_+M16_+M17_+M18_+M19_+M20_+M21_+M22_+M23_+M24_+M25_+M26_+M27_+M28_+M29_+M30_+M31_+M32_+M33_+M34_+M35_+M36_+M37_)),0)</f>
        <v>0</v>
      </c>
      <c r="AZ660" s="24" t="str">
        <f t="shared" si="145"/>
        <v/>
      </c>
      <c r="BA660" s="24" t="str">
        <f t="shared" si="146"/>
        <v/>
      </c>
      <c r="BB660" s="24" t="str">
        <f t="shared" si="147"/>
        <v/>
      </c>
      <c r="BC660" s="24" t="str">
        <f>IF(OR(E660="",LEFT(TableCosts[[#This Row],[Calc_N_Typ]],18)="Vynaložené náklady"),"",VLOOKUP(E660,Tab_Parts,2,0))</f>
        <v/>
      </c>
      <c r="BD660" s="24" t="str">
        <f t="shared" si="148"/>
        <v/>
      </c>
      <c r="BE660" s="24">
        <f t="shared" si="149"/>
        <v>0</v>
      </c>
      <c r="BF660" s="72">
        <f>TableCosts[[#This Row],[N_Amount]]*TableCosts[[#This Row],[N_Tariff]]*TableCosts[[#This Row],[N_ItemsCount]]</f>
        <v>0</v>
      </c>
      <c r="BG660" s="72">
        <f>IF(G660=1,IF(TableCosts[[#This Row],[N_Kateg]]="interné práce",TableCosts[[#This Row],[N_Amount]]*8*PAR_SGA_PERHOUR,0),0)</f>
        <v>0</v>
      </c>
      <c r="BH660" s="72">
        <f>SUM(TableCosts[[#This Row],[N_Direct]:[N_SGA]])</f>
        <v>0</v>
      </c>
      <c r="BI660" s="24">
        <f>IF(G660=1,IF(OR(AND(NOT(ISERROR(VLOOKUP(TableCosts[[#This Row],[Calc_N_Typ]],Cis_WorkPositions,1,0))),C660&lt;&gt;"",D660&lt;&gt;"",E660&lt;&gt;""),AND(ISERROR(VLOOKUP(TableCosts[[#This Row],[Calc_N_Typ]],Cis_WorkPositions,1,0)),C660="",D660="",E660&lt;&gt;""),LEFT(TableCosts[[#This Row],[Calc_N_Typ]],18)="Vynaložené náklady"),VLOOKUP(C660&amp;TableCosts[[#This Row],[Calc_N_Typ]],TRAN_STRITEMS_LABEL,VLOOKUP(D660,Tab_Hours,3,0),0),NA()),0)</f>
        <v>0</v>
      </c>
      <c r="BJ660" s="24">
        <f t="shared" si="150"/>
        <v>0</v>
      </c>
      <c r="BK660" s="24" t="str">
        <f t="shared" si="151"/>
        <v/>
      </c>
      <c r="BL660" s="24" t="str">
        <f t="shared" si="152"/>
        <v/>
      </c>
      <c r="BM660" s="24" t="str">
        <f>IF(G660=1,IF(TableCosts[[#This Row],[TransferFrom]]=TableCosts[[#This Row],[TranferTo]],0,1),"")</f>
        <v/>
      </c>
      <c r="BN660" s="24" t="str">
        <f t="shared" si="153"/>
        <v/>
      </c>
      <c r="BO660" s="24">
        <f t="shared" si="154"/>
        <v>0</v>
      </c>
      <c r="BP660" s="24">
        <f t="shared" si="155"/>
        <v>0</v>
      </c>
    </row>
    <row r="661" spans="2:68" s="24" customFormat="1" ht="12.75" x14ac:dyDescent="0.2">
      <c r="B661" s="97"/>
      <c r="C661" s="92"/>
      <c r="D661" s="92"/>
      <c r="E661" s="92"/>
      <c r="F661" s="31" t="str">
        <f>IF(G661=1,IF(ISERROR(TableCosts[[#This Row],[N_Tariff]]),Err_Message1,IF(TableCosts[[#This Row],[N_Tariff]]=0,Err_Message2,VLOOKUP(C661&amp;TableCosts[[#This Row],[Calc_N_Typ]],TRAN_STRITEMS_LABEL,5,FALSE))),"")</f>
        <v/>
      </c>
      <c r="G661" s="31">
        <f t="shared" si="144"/>
        <v>0</v>
      </c>
      <c r="H661" s="31" t="str">
        <f>IF(G661=1,IFERROR(VLOOKUP(F661,Tab_ErrMessage[],2,0),VLOOKUP(C661&amp;TableCosts[[#This Row],[Calc_N_Typ]],TRAN_STRITEMS_LABEL,4,FALSE)),"")</f>
        <v/>
      </c>
      <c r="I661" s="94"/>
      <c r="J661" s="94"/>
      <c r="K661" s="94"/>
      <c r="L661" s="84"/>
      <c r="M661" s="84"/>
      <c r="N661" s="84"/>
      <c r="O661" s="84"/>
      <c r="P661" s="84"/>
      <c r="Q661" s="84"/>
      <c r="R661" s="84"/>
      <c r="S661" s="84"/>
      <c r="T661" s="84"/>
      <c r="U661" s="84"/>
      <c r="V661" s="84"/>
      <c r="W661" s="84"/>
      <c r="X661" s="84"/>
      <c r="Y661" s="84"/>
      <c r="Z661" s="84"/>
      <c r="AA661" s="84"/>
      <c r="AB661" s="84"/>
      <c r="AC661" s="84"/>
      <c r="AD661" s="84"/>
      <c r="AE661" s="84"/>
      <c r="AF661" s="84"/>
      <c r="AG661" s="84"/>
      <c r="AH661" s="84"/>
      <c r="AI661" s="84"/>
      <c r="AJ661" s="84"/>
      <c r="AK661" s="84"/>
      <c r="AL661" s="84"/>
      <c r="AM661" s="84"/>
      <c r="AN661" s="84"/>
      <c r="AO661" s="84"/>
      <c r="AP661" s="84"/>
      <c r="AQ661" s="84"/>
      <c r="AR661" s="84"/>
      <c r="AS661" s="84"/>
      <c r="AT661" s="84"/>
      <c r="AU661" s="84"/>
      <c r="AV661" s="84"/>
      <c r="AW661" s="84"/>
      <c r="AX661" s="87">
        <f t="array" ref="AX661">IF(G661=1,SUM((ROW(M0)=ROW(AW661))*(M0+M1_+M2_+M3_+M4_+M5_+M6_+M7_+M8_+M9_+M10_+M11_+M12_+M13_+M14_+M15_+M16_+M17_+M18_+M19_+M20_+M21_+M22_+M23_+M24_+M25_+M26_+M27_+M28_+M29_+M30_+M31_+M32_+M33_+M34_+M35_+M36_+M37_)),0)</f>
        <v>0</v>
      </c>
      <c r="AZ661" s="24" t="str">
        <f t="shared" si="145"/>
        <v/>
      </c>
      <c r="BA661" s="24" t="str">
        <f t="shared" si="146"/>
        <v/>
      </c>
      <c r="BB661" s="24" t="str">
        <f t="shared" si="147"/>
        <v/>
      </c>
      <c r="BC661" s="24" t="str">
        <f>IF(OR(E661="",LEFT(TableCosts[[#This Row],[Calc_N_Typ]],18)="Vynaložené náklady"),"",VLOOKUP(E661,Tab_Parts,2,0))</f>
        <v/>
      </c>
      <c r="BD661" s="24" t="str">
        <f t="shared" si="148"/>
        <v/>
      </c>
      <c r="BE661" s="24">
        <f t="shared" si="149"/>
        <v>0</v>
      </c>
      <c r="BF661" s="72">
        <f>TableCosts[[#This Row],[N_Amount]]*TableCosts[[#This Row],[N_Tariff]]*TableCosts[[#This Row],[N_ItemsCount]]</f>
        <v>0</v>
      </c>
      <c r="BG661" s="72">
        <f>IF(G661=1,IF(TableCosts[[#This Row],[N_Kateg]]="interné práce",TableCosts[[#This Row],[N_Amount]]*8*PAR_SGA_PERHOUR,0),0)</f>
        <v>0</v>
      </c>
      <c r="BH661" s="72">
        <f>SUM(TableCosts[[#This Row],[N_Direct]:[N_SGA]])</f>
        <v>0</v>
      </c>
      <c r="BI661" s="24">
        <f>IF(G661=1,IF(OR(AND(NOT(ISERROR(VLOOKUP(TableCosts[[#This Row],[Calc_N_Typ]],Cis_WorkPositions,1,0))),C661&lt;&gt;"",D661&lt;&gt;"",E661&lt;&gt;""),AND(ISERROR(VLOOKUP(TableCosts[[#This Row],[Calc_N_Typ]],Cis_WorkPositions,1,0)),C661="",D661="",E661&lt;&gt;""),LEFT(TableCosts[[#This Row],[Calc_N_Typ]],18)="Vynaložené náklady"),VLOOKUP(C661&amp;TableCosts[[#This Row],[Calc_N_Typ]],TRAN_STRITEMS_LABEL,VLOOKUP(D661,Tab_Hours,3,0),0),NA()),0)</f>
        <v>0</v>
      </c>
      <c r="BJ661" s="24">
        <f t="shared" si="150"/>
        <v>0</v>
      </c>
      <c r="BK661" s="24" t="str">
        <f t="shared" si="151"/>
        <v/>
      </c>
      <c r="BL661" s="24" t="str">
        <f t="shared" si="152"/>
        <v/>
      </c>
      <c r="BM661" s="24" t="str">
        <f>IF(G661=1,IF(TableCosts[[#This Row],[TransferFrom]]=TableCosts[[#This Row],[TranferTo]],0,1),"")</f>
        <v/>
      </c>
      <c r="BN661" s="24" t="str">
        <f t="shared" si="153"/>
        <v/>
      </c>
      <c r="BO661" s="24">
        <f t="shared" si="154"/>
        <v>0</v>
      </c>
      <c r="BP661" s="24">
        <f t="shared" si="155"/>
        <v>0</v>
      </c>
    </row>
    <row r="662" spans="2:68" s="24" customFormat="1" ht="12.75" x14ac:dyDescent="0.2">
      <c r="B662" s="97"/>
      <c r="C662" s="92"/>
      <c r="D662" s="92"/>
      <c r="E662" s="92"/>
      <c r="F662" s="31" t="str">
        <f>IF(G662=1,IF(ISERROR(TableCosts[[#This Row],[N_Tariff]]),Err_Message1,IF(TableCosts[[#This Row],[N_Tariff]]=0,Err_Message2,VLOOKUP(C662&amp;TableCosts[[#This Row],[Calc_N_Typ]],TRAN_STRITEMS_LABEL,5,FALSE))),"")</f>
        <v/>
      </c>
      <c r="G662" s="31">
        <f t="shared" si="144"/>
        <v>0</v>
      </c>
      <c r="H662" s="31" t="str">
        <f>IF(G662=1,IFERROR(VLOOKUP(F662,Tab_ErrMessage[],2,0),VLOOKUP(C662&amp;TableCosts[[#This Row],[Calc_N_Typ]],TRAN_STRITEMS_LABEL,4,FALSE)),"")</f>
        <v/>
      </c>
      <c r="I662" s="94"/>
      <c r="J662" s="94"/>
      <c r="K662" s="94"/>
      <c r="L662" s="84"/>
      <c r="M662" s="84"/>
      <c r="N662" s="84"/>
      <c r="O662" s="84"/>
      <c r="P662" s="84"/>
      <c r="Q662" s="84"/>
      <c r="R662" s="84"/>
      <c r="S662" s="84"/>
      <c r="T662" s="84"/>
      <c r="U662" s="84"/>
      <c r="V662" s="84"/>
      <c r="W662" s="84"/>
      <c r="X662" s="84"/>
      <c r="Y662" s="84"/>
      <c r="Z662" s="84"/>
      <c r="AA662" s="84"/>
      <c r="AB662" s="84"/>
      <c r="AC662" s="84"/>
      <c r="AD662" s="84"/>
      <c r="AE662" s="84"/>
      <c r="AF662" s="84"/>
      <c r="AG662" s="84"/>
      <c r="AH662" s="84"/>
      <c r="AI662" s="84"/>
      <c r="AJ662" s="84"/>
      <c r="AK662" s="84"/>
      <c r="AL662" s="84"/>
      <c r="AM662" s="84"/>
      <c r="AN662" s="84"/>
      <c r="AO662" s="84"/>
      <c r="AP662" s="84"/>
      <c r="AQ662" s="84"/>
      <c r="AR662" s="84"/>
      <c r="AS662" s="84"/>
      <c r="AT662" s="84"/>
      <c r="AU662" s="84"/>
      <c r="AV662" s="84"/>
      <c r="AW662" s="84"/>
      <c r="AX662" s="87">
        <f t="array" ref="AX662">IF(G662=1,SUM((ROW(M0)=ROW(AW662))*(M0+M1_+M2_+M3_+M4_+M5_+M6_+M7_+M8_+M9_+M10_+M11_+M12_+M13_+M14_+M15_+M16_+M17_+M18_+M19_+M20_+M21_+M22_+M23_+M24_+M25_+M26_+M27_+M28_+M29_+M30_+M31_+M32_+M33_+M34_+M35_+M36_+M37_)),0)</f>
        <v>0</v>
      </c>
      <c r="AZ662" s="24" t="str">
        <f t="shared" si="145"/>
        <v/>
      </c>
      <c r="BA662" s="24" t="str">
        <f t="shared" si="146"/>
        <v/>
      </c>
      <c r="BB662" s="24" t="str">
        <f t="shared" si="147"/>
        <v/>
      </c>
      <c r="BC662" s="24" t="str">
        <f>IF(OR(E662="",LEFT(TableCosts[[#This Row],[Calc_N_Typ]],18)="Vynaložené náklady"),"",VLOOKUP(E662,Tab_Parts,2,0))</f>
        <v/>
      </c>
      <c r="BD662" s="24" t="str">
        <f t="shared" si="148"/>
        <v/>
      </c>
      <c r="BE662" s="24">
        <f t="shared" si="149"/>
        <v>0</v>
      </c>
      <c r="BF662" s="72">
        <f>TableCosts[[#This Row],[N_Amount]]*TableCosts[[#This Row],[N_Tariff]]*TableCosts[[#This Row],[N_ItemsCount]]</f>
        <v>0</v>
      </c>
      <c r="BG662" s="72">
        <f>IF(G662=1,IF(TableCosts[[#This Row],[N_Kateg]]="interné práce",TableCosts[[#This Row],[N_Amount]]*8*PAR_SGA_PERHOUR,0),0)</f>
        <v>0</v>
      </c>
      <c r="BH662" s="72">
        <f>SUM(TableCosts[[#This Row],[N_Direct]:[N_SGA]])</f>
        <v>0</v>
      </c>
      <c r="BI662" s="24">
        <f>IF(G662=1,IF(OR(AND(NOT(ISERROR(VLOOKUP(TableCosts[[#This Row],[Calc_N_Typ]],Cis_WorkPositions,1,0))),C662&lt;&gt;"",D662&lt;&gt;"",E662&lt;&gt;""),AND(ISERROR(VLOOKUP(TableCosts[[#This Row],[Calc_N_Typ]],Cis_WorkPositions,1,0)),C662="",D662="",E662&lt;&gt;""),LEFT(TableCosts[[#This Row],[Calc_N_Typ]],18)="Vynaložené náklady"),VLOOKUP(C662&amp;TableCosts[[#This Row],[Calc_N_Typ]],TRAN_STRITEMS_LABEL,VLOOKUP(D662,Tab_Hours,3,0),0),NA()),0)</f>
        <v>0</v>
      </c>
      <c r="BJ662" s="24">
        <f t="shared" si="150"/>
        <v>0</v>
      </c>
      <c r="BK662" s="24" t="str">
        <f t="shared" si="151"/>
        <v/>
      </c>
      <c r="BL662" s="24" t="str">
        <f t="shared" si="152"/>
        <v/>
      </c>
      <c r="BM662" s="24" t="str">
        <f>IF(G662=1,IF(TableCosts[[#This Row],[TransferFrom]]=TableCosts[[#This Row],[TranferTo]],0,1),"")</f>
        <v/>
      </c>
      <c r="BN662" s="24" t="str">
        <f t="shared" si="153"/>
        <v/>
      </c>
      <c r="BO662" s="24">
        <f t="shared" si="154"/>
        <v>0</v>
      </c>
      <c r="BP662" s="24">
        <f t="shared" si="155"/>
        <v>0</v>
      </c>
    </row>
    <row r="663" spans="2:68" s="24" customFormat="1" ht="12.75" x14ac:dyDescent="0.2">
      <c r="B663" s="97"/>
      <c r="C663" s="92"/>
      <c r="D663" s="92"/>
      <c r="E663" s="92"/>
      <c r="F663" s="31" t="str">
        <f>IF(G663=1,IF(ISERROR(TableCosts[[#This Row],[N_Tariff]]),Err_Message1,IF(TableCosts[[#This Row],[N_Tariff]]=0,Err_Message2,VLOOKUP(C663&amp;TableCosts[[#This Row],[Calc_N_Typ]],TRAN_STRITEMS_LABEL,5,FALSE))),"")</f>
        <v/>
      </c>
      <c r="G663" s="31">
        <f t="shared" si="144"/>
        <v>0</v>
      </c>
      <c r="H663" s="31" t="str">
        <f>IF(G663=1,IFERROR(VLOOKUP(F663,Tab_ErrMessage[],2,0),VLOOKUP(C663&amp;TableCosts[[#This Row],[Calc_N_Typ]],TRAN_STRITEMS_LABEL,4,FALSE)),"")</f>
        <v/>
      </c>
      <c r="I663" s="94"/>
      <c r="J663" s="94"/>
      <c r="K663" s="94"/>
      <c r="L663" s="84"/>
      <c r="M663" s="84"/>
      <c r="N663" s="84"/>
      <c r="O663" s="84"/>
      <c r="P663" s="84"/>
      <c r="Q663" s="84"/>
      <c r="R663" s="84"/>
      <c r="S663" s="84"/>
      <c r="T663" s="84"/>
      <c r="U663" s="84"/>
      <c r="V663" s="84"/>
      <c r="W663" s="84"/>
      <c r="X663" s="84"/>
      <c r="Y663" s="84"/>
      <c r="Z663" s="84"/>
      <c r="AA663" s="84"/>
      <c r="AB663" s="84"/>
      <c r="AC663" s="84"/>
      <c r="AD663" s="84"/>
      <c r="AE663" s="84"/>
      <c r="AF663" s="84"/>
      <c r="AG663" s="84"/>
      <c r="AH663" s="84"/>
      <c r="AI663" s="84"/>
      <c r="AJ663" s="84"/>
      <c r="AK663" s="84"/>
      <c r="AL663" s="84"/>
      <c r="AM663" s="84"/>
      <c r="AN663" s="84"/>
      <c r="AO663" s="84"/>
      <c r="AP663" s="84"/>
      <c r="AQ663" s="84"/>
      <c r="AR663" s="84"/>
      <c r="AS663" s="84"/>
      <c r="AT663" s="84"/>
      <c r="AU663" s="84"/>
      <c r="AV663" s="84"/>
      <c r="AW663" s="84"/>
      <c r="AX663" s="87">
        <f t="array" ref="AX663">IF(G663=1,SUM((ROW(M0)=ROW(AW663))*(M0+M1_+M2_+M3_+M4_+M5_+M6_+M7_+M8_+M9_+M10_+M11_+M12_+M13_+M14_+M15_+M16_+M17_+M18_+M19_+M20_+M21_+M22_+M23_+M24_+M25_+M26_+M27_+M28_+M29_+M30_+M31_+M32_+M33_+M34_+M35_+M36_+M37_)),0)</f>
        <v>0</v>
      </c>
      <c r="AZ663" s="24" t="str">
        <f t="shared" si="145"/>
        <v/>
      </c>
      <c r="BA663" s="24" t="str">
        <f t="shared" si="146"/>
        <v/>
      </c>
      <c r="BB663" s="24" t="str">
        <f t="shared" si="147"/>
        <v/>
      </c>
      <c r="BC663" s="24" t="str">
        <f>IF(OR(E663="",LEFT(TableCosts[[#This Row],[Calc_N_Typ]],18)="Vynaložené náklady"),"",VLOOKUP(E663,Tab_Parts,2,0))</f>
        <v/>
      </c>
      <c r="BD663" s="24" t="str">
        <f t="shared" si="148"/>
        <v/>
      </c>
      <c r="BE663" s="24">
        <f t="shared" si="149"/>
        <v>0</v>
      </c>
      <c r="BF663" s="72">
        <f>TableCosts[[#This Row],[N_Amount]]*TableCosts[[#This Row],[N_Tariff]]*TableCosts[[#This Row],[N_ItemsCount]]</f>
        <v>0</v>
      </c>
      <c r="BG663" s="72">
        <f>IF(G663=1,IF(TableCosts[[#This Row],[N_Kateg]]="interné práce",TableCosts[[#This Row],[N_Amount]]*8*PAR_SGA_PERHOUR,0),0)</f>
        <v>0</v>
      </c>
      <c r="BH663" s="72">
        <f>SUM(TableCosts[[#This Row],[N_Direct]:[N_SGA]])</f>
        <v>0</v>
      </c>
      <c r="BI663" s="24">
        <f>IF(G663=1,IF(OR(AND(NOT(ISERROR(VLOOKUP(TableCosts[[#This Row],[Calc_N_Typ]],Cis_WorkPositions,1,0))),C663&lt;&gt;"",D663&lt;&gt;"",E663&lt;&gt;""),AND(ISERROR(VLOOKUP(TableCosts[[#This Row],[Calc_N_Typ]],Cis_WorkPositions,1,0)),C663="",D663="",E663&lt;&gt;""),LEFT(TableCosts[[#This Row],[Calc_N_Typ]],18)="Vynaložené náklady"),VLOOKUP(C663&amp;TableCosts[[#This Row],[Calc_N_Typ]],TRAN_STRITEMS_LABEL,VLOOKUP(D663,Tab_Hours,3,0),0),NA()),0)</f>
        <v>0</v>
      </c>
      <c r="BJ663" s="24">
        <f t="shared" si="150"/>
        <v>0</v>
      </c>
      <c r="BK663" s="24" t="str">
        <f t="shared" si="151"/>
        <v/>
      </c>
      <c r="BL663" s="24" t="str">
        <f t="shared" si="152"/>
        <v/>
      </c>
      <c r="BM663" s="24" t="str">
        <f>IF(G663=1,IF(TableCosts[[#This Row],[TransferFrom]]=TableCosts[[#This Row],[TranferTo]],0,1),"")</f>
        <v/>
      </c>
      <c r="BN663" s="24" t="str">
        <f t="shared" si="153"/>
        <v/>
      </c>
      <c r="BO663" s="24">
        <f t="shared" si="154"/>
        <v>0</v>
      </c>
      <c r="BP663" s="24">
        <f t="shared" si="155"/>
        <v>0</v>
      </c>
    </row>
    <row r="664" spans="2:68" s="24" customFormat="1" ht="12.75" x14ac:dyDescent="0.2">
      <c r="B664" s="97"/>
      <c r="C664" s="92"/>
      <c r="D664" s="92"/>
      <c r="E664" s="92"/>
      <c r="F664" s="31" t="str">
        <f>IF(G664=1,IF(ISERROR(TableCosts[[#This Row],[N_Tariff]]),Err_Message1,IF(TableCosts[[#This Row],[N_Tariff]]=0,Err_Message2,VLOOKUP(C664&amp;TableCosts[[#This Row],[Calc_N_Typ]],TRAN_STRITEMS_LABEL,5,FALSE))),"")</f>
        <v/>
      </c>
      <c r="G664" s="31">
        <f t="shared" si="144"/>
        <v>0</v>
      </c>
      <c r="H664" s="31" t="str">
        <f>IF(G664=1,IFERROR(VLOOKUP(F664,Tab_ErrMessage[],2,0),VLOOKUP(C664&amp;TableCosts[[#This Row],[Calc_N_Typ]],TRAN_STRITEMS_LABEL,4,FALSE)),"")</f>
        <v/>
      </c>
      <c r="I664" s="94"/>
      <c r="J664" s="94"/>
      <c r="K664" s="94"/>
      <c r="L664" s="84"/>
      <c r="M664" s="84"/>
      <c r="N664" s="84"/>
      <c r="O664" s="84"/>
      <c r="P664" s="84"/>
      <c r="Q664" s="84"/>
      <c r="R664" s="84"/>
      <c r="S664" s="84"/>
      <c r="T664" s="84"/>
      <c r="U664" s="84"/>
      <c r="V664" s="84"/>
      <c r="W664" s="84"/>
      <c r="X664" s="84"/>
      <c r="Y664" s="84"/>
      <c r="Z664" s="84"/>
      <c r="AA664" s="84"/>
      <c r="AB664" s="84"/>
      <c r="AC664" s="84"/>
      <c r="AD664" s="84"/>
      <c r="AE664" s="84"/>
      <c r="AF664" s="84"/>
      <c r="AG664" s="84"/>
      <c r="AH664" s="84"/>
      <c r="AI664" s="84"/>
      <c r="AJ664" s="84"/>
      <c r="AK664" s="84"/>
      <c r="AL664" s="84"/>
      <c r="AM664" s="84"/>
      <c r="AN664" s="84"/>
      <c r="AO664" s="84"/>
      <c r="AP664" s="84"/>
      <c r="AQ664" s="84"/>
      <c r="AR664" s="84"/>
      <c r="AS664" s="84"/>
      <c r="AT664" s="84"/>
      <c r="AU664" s="84"/>
      <c r="AV664" s="84"/>
      <c r="AW664" s="84"/>
      <c r="AX664" s="87">
        <f t="array" ref="AX664">IF(G664=1,SUM((ROW(M0)=ROW(AW664))*(M0+M1_+M2_+M3_+M4_+M5_+M6_+M7_+M8_+M9_+M10_+M11_+M12_+M13_+M14_+M15_+M16_+M17_+M18_+M19_+M20_+M21_+M22_+M23_+M24_+M25_+M26_+M27_+M28_+M29_+M30_+M31_+M32_+M33_+M34_+M35_+M36_+M37_)),0)</f>
        <v>0</v>
      </c>
      <c r="AZ664" s="24" t="str">
        <f t="shared" si="145"/>
        <v/>
      </c>
      <c r="BA664" s="24" t="str">
        <f t="shared" si="146"/>
        <v/>
      </c>
      <c r="BB664" s="24" t="str">
        <f t="shared" si="147"/>
        <v/>
      </c>
      <c r="BC664" s="24" t="str">
        <f>IF(OR(E664="",LEFT(TableCosts[[#This Row],[Calc_N_Typ]],18)="Vynaložené náklady"),"",VLOOKUP(E664,Tab_Parts,2,0))</f>
        <v/>
      </c>
      <c r="BD664" s="24" t="str">
        <f t="shared" si="148"/>
        <v/>
      </c>
      <c r="BE664" s="24">
        <f t="shared" si="149"/>
        <v>0</v>
      </c>
      <c r="BF664" s="72">
        <f>TableCosts[[#This Row],[N_Amount]]*TableCosts[[#This Row],[N_Tariff]]*TableCosts[[#This Row],[N_ItemsCount]]</f>
        <v>0</v>
      </c>
      <c r="BG664" s="72">
        <f>IF(G664=1,IF(TableCosts[[#This Row],[N_Kateg]]="interné práce",TableCosts[[#This Row],[N_Amount]]*8*PAR_SGA_PERHOUR,0),0)</f>
        <v>0</v>
      </c>
      <c r="BH664" s="72">
        <f>SUM(TableCosts[[#This Row],[N_Direct]:[N_SGA]])</f>
        <v>0</v>
      </c>
      <c r="BI664" s="24">
        <f>IF(G664=1,IF(OR(AND(NOT(ISERROR(VLOOKUP(TableCosts[[#This Row],[Calc_N_Typ]],Cis_WorkPositions,1,0))),C664&lt;&gt;"",D664&lt;&gt;"",E664&lt;&gt;""),AND(ISERROR(VLOOKUP(TableCosts[[#This Row],[Calc_N_Typ]],Cis_WorkPositions,1,0)),C664="",D664="",E664&lt;&gt;""),LEFT(TableCosts[[#This Row],[Calc_N_Typ]],18)="Vynaložené náklady"),VLOOKUP(C664&amp;TableCosts[[#This Row],[Calc_N_Typ]],TRAN_STRITEMS_LABEL,VLOOKUP(D664,Tab_Hours,3,0),0),NA()),0)</f>
        <v>0</v>
      </c>
      <c r="BJ664" s="24">
        <f t="shared" si="150"/>
        <v>0</v>
      </c>
      <c r="BK664" s="24" t="str">
        <f t="shared" si="151"/>
        <v/>
      </c>
      <c r="BL664" s="24" t="str">
        <f t="shared" si="152"/>
        <v/>
      </c>
      <c r="BM664" s="24" t="str">
        <f>IF(G664=1,IF(TableCosts[[#This Row],[TransferFrom]]=TableCosts[[#This Row],[TranferTo]],0,1),"")</f>
        <v/>
      </c>
      <c r="BN664" s="24" t="str">
        <f t="shared" si="153"/>
        <v/>
      </c>
      <c r="BO664" s="24">
        <f t="shared" si="154"/>
        <v>0</v>
      </c>
      <c r="BP664" s="24">
        <f t="shared" si="155"/>
        <v>0</v>
      </c>
    </row>
    <row r="665" spans="2:68" s="24" customFormat="1" ht="12.75" x14ac:dyDescent="0.2">
      <c r="B665" s="97"/>
      <c r="C665" s="92"/>
      <c r="D665" s="92"/>
      <c r="E665" s="92"/>
      <c r="F665" s="31" t="str">
        <f>IF(G665=1,IF(ISERROR(TableCosts[[#This Row],[N_Tariff]]),Err_Message1,IF(TableCosts[[#This Row],[N_Tariff]]=0,Err_Message2,VLOOKUP(C665&amp;TableCosts[[#This Row],[Calc_N_Typ]],TRAN_STRITEMS_LABEL,5,FALSE))),"")</f>
        <v/>
      </c>
      <c r="G665" s="31">
        <f t="shared" si="144"/>
        <v>0</v>
      </c>
      <c r="H665" s="31" t="str">
        <f>IF(G665=1,IFERROR(VLOOKUP(F665,Tab_ErrMessage[],2,0),VLOOKUP(C665&amp;TableCosts[[#This Row],[Calc_N_Typ]],TRAN_STRITEMS_LABEL,4,FALSE)),"")</f>
        <v/>
      </c>
      <c r="I665" s="94"/>
      <c r="J665" s="94"/>
      <c r="K665" s="94"/>
      <c r="L665" s="84"/>
      <c r="M665" s="84"/>
      <c r="N665" s="84"/>
      <c r="O665" s="84"/>
      <c r="P665" s="84"/>
      <c r="Q665" s="84"/>
      <c r="R665" s="84"/>
      <c r="S665" s="84"/>
      <c r="T665" s="84"/>
      <c r="U665" s="84"/>
      <c r="V665" s="84"/>
      <c r="W665" s="84"/>
      <c r="X665" s="84"/>
      <c r="Y665" s="84"/>
      <c r="Z665" s="84"/>
      <c r="AA665" s="84"/>
      <c r="AB665" s="84"/>
      <c r="AC665" s="84"/>
      <c r="AD665" s="84"/>
      <c r="AE665" s="84"/>
      <c r="AF665" s="84"/>
      <c r="AG665" s="84"/>
      <c r="AH665" s="84"/>
      <c r="AI665" s="84"/>
      <c r="AJ665" s="84"/>
      <c r="AK665" s="84"/>
      <c r="AL665" s="84"/>
      <c r="AM665" s="84"/>
      <c r="AN665" s="84"/>
      <c r="AO665" s="84"/>
      <c r="AP665" s="84"/>
      <c r="AQ665" s="84"/>
      <c r="AR665" s="84"/>
      <c r="AS665" s="84"/>
      <c r="AT665" s="84"/>
      <c r="AU665" s="84"/>
      <c r="AV665" s="84"/>
      <c r="AW665" s="84"/>
      <c r="AX665" s="87">
        <f t="array" ref="AX665">IF(G665=1,SUM((ROW(M0)=ROW(AW665))*(M0+M1_+M2_+M3_+M4_+M5_+M6_+M7_+M8_+M9_+M10_+M11_+M12_+M13_+M14_+M15_+M16_+M17_+M18_+M19_+M20_+M21_+M22_+M23_+M24_+M25_+M26_+M27_+M28_+M29_+M30_+M31_+M32_+M33_+M34_+M35_+M36_+M37_)),0)</f>
        <v>0</v>
      </c>
      <c r="AZ665" s="24" t="str">
        <f t="shared" si="145"/>
        <v/>
      </c>
      <c r="BA665" s="24" t="str">
        <f t="shared" si="146"/>
        <v/>
      </c>
      <c r="BB665" s="24" t="str">
        <f t="shared" si="147"/>
        <v/>
      </c>
      <c r="BC665" s="24" t="str">
        <f>IF(OR(E665="",LEFT(TableCosts[[#This Row],[Calc_N_Typ]],18)="Vynaložené náklady"),"",VLOOKUP(E665,Tab_Parts,2,0))</f>
        <v/>
      </c>
      <c r="BD665" s="24" t="str">
        <f t="shared" si="148"/>
        <v/>
      </c>
      <c r="BE665" s="24">
        <f t="shared" si="149"/>
        <v>0</v>
      </c>
      <c r="BF665" s="72">
        <f>TableCosts[[#This Row],[N_Amount]]*TableCosts[[#This Row],[N_Tariff]]*TableCosts[[#This Row],[N_ItemsCount]]</f>
        <v>0</v>
      </c>
      <c r="BG665" s="72">
        <f>IF(G665=1,IF(TableCosts[[#This Row],[N_Kateg]]="interné práce",TableCosts[[#This Row],[N_Amount]]*8*PAR_SGA_PERHOUR,0),0)</f>
        <v>0</v>
      </c>
      <c r="BH665" s="72">
        <f>SUM(TableCosts[[#This Row],[N_Direct]:[N_SGA]])</f>
        <v>0</v>
      </c>
      <c r="BI665" s="24">
        <f>IF(G665=1,IF(OR(AND(NOT(ISERROR(VLOOKUP(TableCosts[[#This Row],[Calc_N_Typ]],Cis_WorkPositions,1,0))),C665&lt;&gt;"",D665&lt;&gt;"",E665&lt;&gt;""),AND(ISERROR(VLOOKUP(TableCosts[[#This Row],[Calc_N_Typ]],Cis_WorkPositions,1,0)),C665="",D665="",E665&lt;&gt;""),LEFT(TableCosts[[#This Row],[Calc_N_Typ]],18)="Vynaložené náklady"),VLOOKUP(C665&amp;TableCosts[[#This Row],[Calc_N_Typ]],TRAN_STRITEMS_LABEL,VLOOKUP(D665,Tab_Hours,3,0),0),NA()),0)</f>
        <v>0</v>
      </c>
      <c r="BJ665" s="24">
        <f t="shared" si="150"/>
        <v>0</v>
      </c>
      <c r="BK665" s="24" t="str">
        <f t="shared" si="151"/>
        <v/>
      </c>
      <c r="BL665" s="24" t="str">
        <f t="shared" si="152"/>
        <v/>
      </c>
      <c r="BM665" s="24" t="str">
        <f>IF(G665=1,IF(TableCosts[[#This Row],[TransferFrom]]=TableCosts[[#This Row],[TranferTo]],0,1),"")</f>
        <v/>
      </c>
      <c r="BN665" s="24" t="str">
        <f t="shared" si="153"/>
        <v/>
      </c>
      <c r="BO665" s="24">
        <f t="shared" si="154"/>
        <v>0</v>
      </c>
      <c r="BP665" s="24">
        <f t="shared" si="155"/>
        <v>0</v>
      </c>
    </row>
    <row r="666" spans="2:68" s="24" customFormat="1" ht="12.75" x14ac:dyDescent="0.2">
      <c r="B666" s="97"/>
      <c r="C666" s="92"/>
      <c r="D666" s="92"/>
      <c r="E666" s="92"/>
      <c r="F666" s="31" t="str">
        <f>IF(G666=1,IF(ISERROR(TableCosts[[#This Row],[N_Tariff]]),Err_Message1,IF(TableCosts[[#This Row],[N_Tariff]]=0,Err_Message2,VLOOKUP(C666&amp;TableCosts[[#This Row],[Calc_N_Typ]],TRAN_STRITEMS_LABEL,5,FALSE))),"")</f>
        <v/>
      </c>
      <c r="G666" s="31">
        <f t="shared" si="144"/>
        <v>0</v>
      </c>
      <c r="H666" s="31" t="str">
        <f>IF(G666=1,IFERROR(VLOOKUP(F666,Tab_ErrMessage[],2,0),VLOOKUP(C666&amp;TableCosts[[#This Row],[Calc_N_Typ]],TRAN_STRITEMS_LABEL,4,FALSE)),"")</f>
        <v/>
      </c>
      <c r="I666" s="94"/>
      <c r="J666" s="94"/>
      <c r="K666" s="94"/>
      <c r="L666" s="84"/>
      <c r="M666" s="84"/>
      <c r="N666" s="84"/>
      <c r="O666" s="84"/>
      <c r="P666" s="84"/>
      <c r="Q666" s="84"/>
      <c r="R666" s="84"/>
      <c r="S666" s="84"/>
      <c r="T666" s="84"/>
      <c r="U666" s="84"/>
      <c r="V666" s="84"/>
      <c r="W666" s="84"/>
      <c r="X666" s="84"/>
      <c r="Y666" s="84"/>
      <c r="Z666" s="84"/>
      <c r="AA666" s="84"/>
      <c r="AB666" s="84"/>
      <c r="AC666" s="84"/>
      <c r="AD666" s="84"/>
      <c r="AE666" s="84"/>
      <c r="AF666" s="84"/>
      <c r="AG666" s="84"/>
      <c r="AH666" s="84"/>
      <c r="AI666" s="84"/>
      <c r="AJ666" s="84"/>
      <c r="AK666" s="84"/>
      <c r="AL666" s="84"/>
      <c r="AM666" s="84"/>
      <c r="AN666" s="84"/>
      <c r="AO666" s="84"/>
      <c r="AP666" s="84"/>
      <c r="AQ666" s="84"/>
      <c r="AR666" s="84"/>
      <c r="AS666" s="84"/>
      <c r="AT666" s="84"/>
      <c r="AU666" s="84"/>
      <c r="AV666" s="84"/>
      <c r="AW666" s="84"/>
      <c r="AX666" s="87">
        <f t="array" ref="AX666">IF(G666=1,SUM((ROW(M0)=ROW(AW666))*(M0+M1_+M2_+M3_+M4_+M5_+M6_+M7_+M8_+M9_+M10_+M11_+M12_+M13_+M14_+M15_+M16_+M17_+M18_+M19_+M20_+M21_+M22_+M23_+M24_+M25_+M26_+M27_+M28_+M29_+M30_+M31_+M32_+M33_+M34_+M35_+M36_+M37_)),0)</f>
        <v>0</v>
      </c>
      <c r="AZ666" s="24" t="str">
        <f t="shared" si="145"/>
        <v/>
      </c>
      <c r="BA666" s="24" t="str">
        <f t="shared" si="146"/>
        <v/>
      </c>
      <c r="BB666" s="24" t="str">
        <f t="shared" si="147"/>
        <v/>
      </c>
      <c r="BC666" s="24" t="str">
        <f>IF(OR(E666="",LEFT(TableCosts[[#This Row],[Calc_N_Typ]],18)="Vynaložené náklady"),"",VLOOKUP(E666,Tab_Parts,2,0))</f>
        <v/>
      </c>
      <c r="BD666" s="24" t="str">
        <f t="shared" si="148"/>
        <v/>
      </c>
      <c r="BE666" s="24">
        <f t="shared" si="149"/>
        <v>0</v>
      </c>
      <c r="BF666" s="72">
        <f>TableCosts[[#This Row],[N_Amount]]*TableCosts[[#This Row],[N_Tariff]]*TableCosts[[#This Row],[N_ItemsCount]]</f>
        <v>0</v>
      </c>
      <c r="BG666" s="72">
        <f>IF(G666=1,IF(TableCosts[[#This Row],[N_Kateg]]="interné práce",TableCosts[[#This Row],[N_Amount]]*8*PAR_SGA_PERHOUR,0),0)</f>
        <v>0</v>
      </c>
      <c r="BH666" s="72">
        <f>SUM(TableCosts[[#This Row],[N_Direct]:[N_SGA]])</f>
        <v>0</v>
      </c>
      <c r="BI666" s="24">
        <f>IF(G666=1,IF(OR(AND(NOT(ISERROR(VLOOKUP(TableCosts[[#This Row],[Calc_N_Typ]],Cis_WorkPositions,1,0))),C666&lt;&gt;"",D666&lt;&gt;"",E666&lt;&gt;""),AND(ISERROR(VLOOKUP(TableCosts[[#This Row],[Calc_N_Typ]],Cis_WorkPositions,1,0)),C666="",D666="",E666&lt;&gt;""),LEFT(TableCosts[[#This Row],[Calc_N_Typ]],18)="Vynaložené náklady"),VLOOKUP(C666&amp;TableCosts[[#This Row],[Calc_N_Typ]],TRAN_STRITEMS_LABEL,VLOOKUP(D666,Tab_Hours,3,0),0),NA()),0)</f>
        <v>0</v>
      </c>
      <c r="BJ666" s="24">
        <f t="shared" si="150"/>
        <v>0</v>
      </c>
      <c r="BK666" s="24" t="str">
        <f t="shared" si="151"/>
        <v/>
      </c>
      <c r="BL666" s="24" t="str">
        <f t="shared" si="152"/>
        <v/>
      </c>
      <c r="BM666" s="24" t="str">
        <f>IF(G666=1,IF(TableCosts[[#This Row],[TransferFrom]]=TableCosts[[#This Row],[TranferTo]],0,1),"")</f>
        <v/>
      </c>
      <c r="BN666" s="24" t="str">
        <f t="shared" si="153"/>
        <v/>
      </c>
      <c r="BO666" s="24">
        <f t="shared" si="154"/>
        <v>0</v>
      </c>
      <c r="BP666" s="24">
        <f t="shared" si="155"/>
        <v>0</v>
      </c>
    </row>
    <row r="667" spans="2:68" s="24" customFormat="1" ht="12.75" x14ac:dyDescent="0.2">
      <c r="B667" s="97"/>
      <c r="C667" s="92"/>
      <c r="D667" s="92"/>
      <c r="E667" s="92"/>
      <c r="F667" s="31" t="str">
        <f>IF(G667=1,IF(ISERROR(TableCosts[[#This Row],[N_Tariff]]),Err_Message1,IF(TableCosts[[#This Row],[N_Tariff]]=0,Err_Message2,VLOOKUP(C667&amp;TableCosts[[#This Row],[Calc_N_Typ]],TRAN_STRITEMS_LABEL,5,FALSE))),"")</f>
        <v/>
      </c>
      <c r="G667" s="31">
        <f t="shared" si="144"/>
        <v>0</v>
      </c>
      <c r="H667" s="31" t="str">
        <f>IF(G667=1,IFERROR(VLOOKUP(F667,Tab_ErrMessage[],2,0),VLOOKUP(C667&amp;TableCosts[[#This Row],[Calc_N_Typ]],TRAN_STRITEMS_LABEL,4,FALSE)),"")</f>
        <v/>
      </c>
      <c r="I667" s="94"/>
      <c r="J667" s="94"/>
      <c r="K667" s="94"/>
      <c r="L667" s="84"/>
      <c r="M667" s="84"/>
      <c r="N667" s="84"/>
      <c r="O667" s="84"/>
      <c r="P667" s="84"/>
      <c r="Q667" s="84"/>
      <c r="R667" s="84"/>
      <c r="S667" s="84"/>
      <c r="T667" s="84"/>
      <c r="U667" s="84"/>
      <c r="V667" s="84"/>
      <c r="W667" s="84"/>
      <c r="X667" s="84"/>
      <c r="Y667" s="84"/>
      <c r="Z667" s="84"/>
      <c r="AA667" s="84"/>
      <c r="AB667" s="84"/>
      <c r="AC667" s="84"/>
      <c r="AD667" s="84"/>
      <c r="AE667" s="84"/>
      <c r="AF667" s="84"/>
      <c r="AG667" s="84"/>
      <c r="AH667" s="84"/>
      <c r="AI667" s="84"/>
      <c r="AJ667" s="84"/>
      <c r="AK667" s="84"/>
      <c r="AL667" s="84"/>
      <c r="AM667" s="84"/>
      <c r="AN667" s="84"/>
      <c r="AO667" s="84"/>
      <c r="AP667" s="84"/>
      <c r="AQ667" s="84"/>
      <c r="AR667" s="84"/>
      <c r="AS667" s="84"/>
      <c r="AT667" s="84"/>
      <c r="AU667" s="84"/>
      <c r="AV667" s="84"/>
      <c r="AW667" s="84"/>
      <c r="AX667" s="87">
        <f t="array" ref="AX667">IF(G667=1,SUM((ROW(M0)=ROW(AW667))*(M0+M1_+M2_+M3_+M4_+M5_+M6_+M7_+M8_+M9_+M10_+M11_+M12_+M13_+M14_+M15_+M16_+M17_+M18_+M19_+M20_+M21_+M22_+M23_+M24_+M25_+M26_+M27_+M28_+M29_+M30_+M31_+M32_+M33_+M34_+M35_+M36_+M37_)),0)</f>
        <v>0</v>
      </c>
      <c r="AZ667" s="24" t="str">
        <f t="shared" si="145"/>
        <v/>
      </c>
      <c r="BA667" s="24" t="str">
        <f t="shared" si="146"/>
        <v/>
      </c>
      <c r="BB667" s="24" t="str">
        <f t="shared" si="147"/>
        <v/>
      </c>
      <c r="BC667" s="24" t="str">
        <f>IF(OR(E667="",LEFT(TableCosts[[#This Row],[Calc_N_Typ]],18)="Vynaložené náklady"),"",VLOOKUP(E667,Tab_Parts,2,0))</f>
        <v/>
      </c>
      <c r="BD667" s="24" t="str">
        <f t="shared" si="148"/>
        <v/>
      </c>
      <c r="BE667" s="24">
        <f t="shared" si="149"/>
        <v>0</v>
      </c>
      <c r="BF667" s="72">
        <f>TableCosts[[#This Row],[N_Amount]]*TableCosts[[#This Row],[N_Tariff]]*TableCosts[[#This Row],[N_ItemsCount]]</f>
        <v>0</v>
      </c>
      <c r="BG667" s="72">
        <f>IF(G667=1,IF(TableCosts[[#This Row],[N_Kateg]]="interné práce",TableCosts[[#This Row],[N_Amount]]*8*PAR_SGA_PERHOUR,0),0)</f>
        <v>0</v>
      </c>
      <c r="BH667" s="72">
        <f>SUM(TableCosts[[#This Row],[N_Direct]:[N_SGA]])</f>
        <v>0</v>
      </c>
      <c r="BI667" s="24">
        <f>IF(G667=1,IF(OR(AND(NOT(ISERROR(VLOOKUP(TableCosts[[#This Row],[Calc_N_Typ]],Cis_WorkPositions,1,0))),C667&lt;&gt;"",D667&lt;&gt;"",E667&lt;&gt;""),AND(ISERROR(VLOOKUP(TableCosts[[#This Row],[Calc_N_Typ]],Cis_WorkPositions,1,0)),C667="",D667="",E667&lt;&gt;""),LEFT(TableCosts[[#This Row],[Calc_N_Typ]],18)="Vynaložené náklady"),VLOOKUP(C667&amp;TableCosts[[#This Row],[Calc_N_Typ]],TRAN_STRITEMS_LABEL,VLOOKUP(D667,Tab_Hours,3,0),0),NA()),0)</f>
        <v>0</v>
      </c>
      <c r="BJ667" s="24">
        <f t="shared" si="150"/>
        <v>0</v>
      </c>
      <c r="BK667" s="24" t="str">
        <f t="shared" si="151"/>
        <v/>
      </c>
      <c r="BL667" s="24" t="str">
        <f t="shared" si="152"/>
        <v/>
      </c>
      <c r="BM667" s="24" t="str">
        <f>IF(G667=1,IF(TableCosts[[#This Row],[TransferFrom]]=TableCosts[[#This Row],[TranferTo]],0,1),"")</f>
        <v/>
      </c>
      <c r="BN667" s="24" t="str">
        <f t="shared" si="153"/>
        <v/>
      </c>
      <c r="BO667" s="24">
        <f t="shared" si="154"/>
        <v>0</v>
      </c>
      <c r="BP667" s="24">
        <f t="shared" si="155"/>
        <v>0</v>
      </c>
    </row>
    <row r="668" spans="2:68" s="24" customFormat="1" ht="12.75" x14ac:dyDescent="0.2">
      <c r="B668" s="97"/>
      <c r="C668" s="92"/>
      <c r="D668" s="92"/>
      <c r="E668" s="92"/>
      <c r="F668" s="31" t="str">
        <f>IF(G668=1,IF(ISERROR(TableCosts[[#This Row],[N_Tariff]]),Err_Message1,IF(TableCosts[[#This Row],[N_Tariff]]=0,Err_Message2,VLOOKUP(C668&amp;TableCosts[[#This Row],[Calc_N_Typ]],TRAN_STRITEMS_LABEL,5,FALSE))),"")</f>
        <v/>
      </c>
      <c r="G668" s="31">
        <f t="shared" si="144"/>
        <v>0</v>
      </c>
      <c r="H668" s="31" t="str">
        <f>IF(G668=1,IFERROR(VLOOKUP(F668,Tab_ErrMessage[],2,0),VLOOKUP(C668&amp;TableCosts[[#This Row],[Calc_N_Typ]],TRAN_STRITEMS_LABEL,4,FALSE)),"")</f>
        <v/>
      </c>
      <c r="I668" s="94"/>
      <c r="J668" s="94"/>
      <c r="K668" s="94"/>
      <c r="L668" s="84"/>
      <c r="M668" s="84"/>
      <c r="N668" s="84"/>
      <c r="O668" s="84"/>
      <c r="P668" s="84"/>
      <c r="Q668" s="84"/>
      <c r="R668" s="84"/>
      <c r="S668" s="84"/>
      <c r="T668" s="84"/>
      <c r="U668" s="84"/>
      <c r="V668" s="84"/>
      <c r="W668" s="84"/>
      <c r="X668" s="84"/>
      <c r="Y668" s="84"/>
      <c r="Z668" s="84"/>
      <c r="AA668" s="84"/>
      <c r="AB668" s="84"/>
      <c r="AC668" s="84"/>
      <c r="AD668" s="84"/>
      <c r="AE668" s="84"/>
      <c r="AF668" s="84"/>
      <c r="AG668" s="84"/>
      <c r="AH668" s="84"/>
      <c r="AI668" s="84"/>
      <c r="AJ668" s="84"/>
      <c r="AK668" s="84"/>
      <c r="AL668" s="84"/>
      <c r="AM668" s="84"/>
      <c r="AN668" s="84"/>
      <c r="AO668" s="84"/>
      <c r="AP668" s="84"/>
      <c r="AQ668" s="84"/>
      <c r="AR668" s="84"/>
      <c r="AS668" s="84"/>
      <c r="AT668" s="84"/>
      <c r="AU668" s="84"/>
      <c r="AV668" s="84"/>
      <c r="AW668" s="84"/>
      <c r="AX668" s="87">
        <f t="array" ref="AX668">IF(G668=1,SUM((ROW(M0)=ROW(AW668))*(M0+M1_+M2_+M3_+M4_+M5_+M6_+M7_+M8_+M9_+M10_+M11_+M12_+M13_+M14_+M15_+M16_+M17_+M18_+M19_+M20_+M21_+M22_+M23_+M24_+M25_+M26_+M27_+M28_+M29_+M30_+M31_+M32_+M33_+M34_+M35_+M36_+M37_)),0)</f>
        <v>0</v>
      </c>
      <c r="AZ668" s="24" t="str">
        <f t="shared" si="145"/>
        <v/>
      </c>
      <c r="BA668" s="24" t="str">
        <f t="shared" si="146"/>
        <v/>
      </c>
      <c r="BB668" s="24" t="str">
        <f t="shared" si="147"/>
        <v/>
      </c>
      <c r="BC668" s="24" t="str">
        <f>IF(OR(E668="",LEFT(TableCosts[[#This Row],[Calc_N_Typ]],18)="Vynaložené náklady"),"",VLOOKUP(E668,Tab_Parts,2,0))</f>
        <v/>
      </c>
      <c r="BD668" s="24" t="str">
        <f t="shared" si="148"/>
        <v/>
      </c>
      <c r="BE668" s="24">
        <f t="shared" si="149"/>
        <v>0</v>
      </c>
      <c r="BF668" s="72">
        <f>TableCosts[[#This Row],[N_Amount]]*TableCosts[[#This Row],[N_Tariff]]*TableCosts[[#This Row],[N_ItemsCount]]</f>
        <v>0</v>
      </c>
      <c r="BG668" s="72">
        <f>IF(G668=1,IF(TableCosts[[#This Row],[N_Kateg]]="interné práce",TableCosts[[#This Row],[N_Amount]]*8*PAR_SGA_PERHOUR,0),0)</f>
        <v>0</v>
      </c>
      <c r="BH668" s="72">
        <f>SUM(TableCosts[[#This Row],[N_Direct]:[N_SGA]])</f>
        <v>0</v>
      </c>
      <c r="BI668" s="24">
        <f>IF(G668=1,IF(OR(AND(NOT(ISERROR(VLOOKUP(TableCosts[[#This Row],[Calc_N_Typ]],Cis_WorkPositions,1,0))),C668&lt;&gt;"",D668&lt;&gt;"",E668&lt;&gt;""),AND(ISERROR(VLOOKUP(TableCosts[[#This Row],[Calc_N_Typ]],Cis_WorkPositions,1,0)),C668="",D668="",E668&lt;&gt;""),LEFT(TableCosts[[#This Row],[Calc_N_Typ]],18)="Vynaložené náklady"),VLOOKUP(C668&amp;TableCosts[[#This Row],[Calc_N_Typ]],TRAN_STRITEMS_LABEL,VLOOKUP(D668,Tab_Hours,3,0),0),NA()),0)</f>
        <v>0</v>
      </c>
      <c r="BJ668" s="24">
        <f t="shared" si="150"/>
        <v>0</v>
      </c>
      <c r="BK668" s="24" t="str">
        <f t="shared" si="151"/>
        <v/>
      </c>
      <c r="BL668" s="24" t="str">
        <f t="shared" si="152"/>
        <v/>
      </c>
      <c r="BM668" s="24" t="str">
        <f>IF(G668=1,IF(TableCosts[[#This Row],[TransferFrom]]=TableCosts[[#This Row],[TranferTo]],0,1),"")</f>
        <v/>
      </c>
      <c r="BN668" s="24" t="str">
        <f t="shared" si="153"/>
        <v/>
      </c>
      <c r="BO668" s="24">
        <f t="shared" si="154"/>
        <v>0</v>
      </c>
      <c r="BP668" s="24">
        <f t="shared" si="155"/>
        <v>0</v>
      </c>
    </row>
    <row r="669" spans="2:68" s="24" customFormat="1" ht="12.75" x14ac:dyDescent="0.2">
      <c r="B669" s="97"/>
      <c r="C669" s="92"/>
      <c r="D669" s="92"/>
      <c r="E669" s="92"/>
      <c r="F669" s="31" t="str">
        <f>IF(G669=1,IF(ISERROR(TableCosts[[#This Row],[N_Tariff]]),Err_Message1,IF(TableCosts[[#This Row],[N_Tariff]]=0,Err_Message2,VLOOKUP(C669&amp;TableCosts[[#This Row],[Calc_N_Typ]],TRAN_STRITEMS_LABEL,5,FALSE))),"")</f>
        <v/>
      </c>
      <c r="G669" s="31">
        <f t="shared" si="144"/>
        <v>0</v>
      </c>
      <c r="H669" s="31" t="str">
        <f>IF(G669=1,IFERROR(VLOOKUP(F669,Tab_ErrMessage[],2,0),VLOOKUP(C669&amp;TableCosts[[#This Row],[Calc_N_Typ]],TRAN_STRITEMS_LABEL,4,FALSE)),"")</f>
        <v/>
      </c>
      <c r="I669" s="94"/>
      <c r="J669" s="94"/>
      <c r="K669" s="94"/>
      <c r="L669" s="84"/>
      <c r="M669" s="84"/>
      <c r="N669" s="84"/>
      <c r="O669" s="84"/>
      <c r="P669" s="84"/>
      <c r="Q669" s="84"/>
      <c r="R669" s="84"/>
      <c r="S669" s="84"/>
      <c r="T669" s="84"/>
      <c r="U669" s="84"/>
      <c r="V669" s="84"/>
      <c r="W669" s="84"/>
      <c r="X669" s="84"/>
      <c r="Y669" s="84"/>
      <c r="Z669" s="84"/>
      <c r="AA669" s="84"/>
      <c r="AB669" s="84"/>
      <c r="AC669" s="84"/>
      <c r="AD669" s="84"/>
      <c r="AE669" s="84"/>
      <c r="AF669" s="84"/>
      <c r="AG669" s="84"/>
      <c r="AH669" s="84"/>
      <c r="AI669" s="84"/>
      <c r="AJ669" s="84"/>
      <c r="AK669" s="84"/>
      <c r="AL669" s="84"/>
      <c r="AM669" s="84"/>
      <c r="AN669" s="84"/>
      <c r="AO669" s="84"/>
      <c r="AP669" s="84"/>
      <c r="AQ669" s="84"/>
      <c r="AR669" s="84"/>
      <c r="AS669" s="84"/>
      <c r="AT669" s="84"/>
      <c r="AU669" s="84"/>
      <c r="AV669" s="84"/>
      <c r="AW669" s="84"/>
      <c r="AX669" s="87">
        <f t="array" ref="AX669">IF(G669=1,SUM((ROW(M0)=ROW(AW669))*(M0+M1_+M2_+M3_+M4_+M5_+M6_+M7_+M8_+M9_+M10_+M11_+M12_+M13_+M14_+M15_+M16_+M17_+M18_+M19_+M20_+M21_+M22_+M23_+M24_+M25_+M26_+M27_+M28_+M29_+M30_+M31_+M32_+M33_+M34_+M35_+M36_+M37_)),0)</f>
        <v>0</v>
      </c>
      <c r="AZ669" s="24" t="str">
        <f t="shared" si="145"/>
        <v/>
      </c>
      <c r="BA669" s="24" t="str">
        <f t="shared" si="146"/>
        <v/>
      </c>
      <c r="BB669" s="24" t="str">
        <f t="shared" si="147"/>
        <v/>
      </c>
      <c r="BC669" s="24" t="str">
        <f>IF(OR(E669="",LEFT(TableCosts[[#This Row],[Calc_N_Typ]],18)="Vynaložené náklady"),"",VLOOKUP(E669,Tab_Parts,2,0))</f>
        <v/>
      </c>
      <c r="BD669" s="24" t="str">
        <f t="shared" si="148"/>
        <v/>
      </c>
      <c r="BE669" s="24">
        <f t="shared" si="149"/>
        <v>0</v>
      </c>
      <c r="BF669" s="72">
        <f>TableCosts[[#This Row],[N_Amount]]*TableCosts[[#This Row],[N_Tariff]]*TableCosts[[#This Row],[N_ItemsCount]]</f>
        <v>0</v>
      </c>
      <c r="BG669" s="72">
        <f>IF(G669=1,IF(TableCosts[[#This Row],[N_Kateg]]="interné práce",TableCosts[[#This Row],[N_Amount]]*8*PAR_SGA_PERHOUR,0),0)</f>
        <v>0</v>
      </c>
      <c r="BH669" s="72">
        <f>SUM(TableCosts[[#This Row],[N_Direct]:[N_SGA]])</f>
        <v>0</v>
      </c>
      <c r="BI669" s="24">
        <f>IF(G669=1,IF(OR(AND(NOT(ISERROR(VLOOKUP(TableCosts[[#This Row],[Calc_N_Typ]],Cis_WorkPositions,1,0))),C669&lt;&gt;"",D669&lt;&gt;"",E669&lt;&gt;""),AND(ISERROR(VLOOKUP(TableCosts[[#This Row],[Calc_N_Typ]],Cis_WorkPositions,1,0)),C669="",D669="",E669&lt;&gt;""),LEFT(TableCosts[[#This Row],[Calc_N_Typ]],18)="Vynaložené náklady"),VLOOKUP(C669&amp;TableCosts[[#This Row],[Calc_N_Typ]],TRAN_STRITEMS_LABEL,VLOOKUP(D669,Tab_Hours,3,0),0),NA()),0)</f>
        <v>0</v>
      </c>
      <c r="BJ669" s="24">
        <f t="shared" si="150"/>
        <v>0</v>
      </c>
      <c r="BK669" s="24" t="str">
        <f t="shared" si="151"/>
        <v/>
      </c>
      <c r="BL669" s="24" t="str">
        <f t="shared" si="152"/>
        <v/>
      </c>
      <c r="BM669" s="24" t="str">
        <f>IF(G669=1,IF(TableCosts[[#This Row],[TransferFrom]]=TableCosts[[#This Row],[TranferTo]],0,1),"")</f>
        <v/>
      </c>
      <c r="BN669" s="24" t="str">
        <f t="shared" si="153"/>
        <v/>
      </c>
      <c r="BO669" s="24">
        <f t="shared" si="154"/>
        <v>0</v>
      </c>
      <c r="BP669" s="24">
        <f t="shared" si="155"/>
        <v>0</v>
      </c>
    </row>
    <row r="670" spans="2:68" s="24" customFormat="1" ht="12.75" x14ac:dyDescent="0.2">
      <c r="B670" s="97"/>
      <c r="C670" s="92"/>
      <c r="D670" s="92"/>
      <c r="E670" s="92"/>
      <c r="F670" s="31" t="str">
        <f>IF(G670=1,IF(ISERROR(TableCosts[[#This Row],[N_Tariff]]),Err_Message1,IF(TableCosts[[#This Row],[N_Tariff]]=0,Err_Message2,VLOOKUP(C670&amp;TableCosts[[#This Row],[Calc_N_Typ]],TRAN_STRITEMS_LABEL,5,FALSE))),"")</f>
        <v/>
      </c>
      <c r="G670" s="31">
        <f t="shared" si="144"/>
        <v>0</v>
      </c>
      <c r="H670" s="31" t="str">
        <f>IF(G670=1,IFERROR(VLOOKUP(F670,Tab_ErrMessage[],2,0),VLOOKUP(C670&amp;TableCosts[[#This Row],[Calc_N_Typ]],TRAN_STRITEMS_LABEL,4,FALSE)),"")</f>
        <v/>
      </c>
      <c r="I670" s="94"/>
      <c r="J670" s="94"/>
      <c r="K670" s="94"/>
      <c r="L670" s="84"/>
      <c r="M670" s="84"/>
      <c r="N670" s="84"/>
      <c r="O670" s="84"/>
      <c r="P670" s="84"/>
      <c r="Q670" s="84"/>
      <c r="R670" s="84"/>
      <c r="S670" s="84"/>
      <c r="T670" s="84"/>
      <c r="U670" s="84"/>
      <c r="V670" s="84"/>
      <c r="W670" s="84"/>
      <c r="X670" s="84"/>
      <c r="Y670" s="84"/>
      <c r="Z670" s="84"/>
      <c r="AA670" s="84"/>
      <c r="AB670" s="84"/>
      <c r="AC670" s="84"/>
      <c r="AD670" s="84"/>
      <c r="AE670" s="84"/>
      <c r="AF670" s="84"/>
      <c r="AG670" s="84"/>
      <c r="AH670" s="84"/>
      <c r="AI670" s="84"/>
      <c r="AJ670" s="84"/>
      <c r="AK670" s="84"/>
      <c r="AL670" s="84"/>
      <c r="AM670" s="84"/>
      <c r="AN670" s="84"/>
      <c r="AO670" s="84"/>
      <c r="AP670" s="84"/>
      <c r="AQ670" s="84"/>
      <c r="AR670" s="84"/>
      <c r="AS670" s="84"/>
      <c r="AT670" s="84"/>
      <c r="AU670" s="84"/>
      <c r="AV670" s="84"/>
      <c r="AW670" s="84"/>
      <c r="AX670" s="87">
        <f t="array" ref="AX670">IF(G670=1,SUM((ROW(M0)=ROW(AW670))*(M0+M1_+M2_+M3_+M4_+M5_+M6_+M7_+M8_+M9_+M10_+M11_+M12_+M13_+M14_+M15_+M16_+M17_+M18_+M19_+M20_+M21_+M22_+M23_+M24_+M25_+M26_+M27_+M28_+M29_+M30_+M31_+M32_+M33_+M34_+M35_+M36_+M37_)),0)</f>
        <v>0</v>
      </c>
      <c r="AZ670" s="24" t="str">
        <f t="shared" si="145"/>
        <v/>
      </c>
      <c r="BA670" s="24" t="str">
        <f t="shared" si="146"/>
        <v/>
      </c>
      <c r="BB670" s="24" t="str">
        <f t="shared" si="147"/>
        <v/>
      </c>
      <c r="BC670" s="24" t="str">
        <f>IF(OR(E670="",LEFT(TableCosts[[#This Row],[Calc_N_Typ]],18)="Vynaložené náklady"),"",VLOOKUP(E670,Tab_Parts,2,0))</f>
        <v/>
      </c>
      <c r="BD670" s="24" t="str">
        <f t="shared" si="148"/>
        <v/>
      </c>
      <c r="BE670" s="24">
        <f t="shared" si="149"/>
        <v>0</v>
      </c>
      <c r="BF670" s="72">
        <f>TableCosts[[#This Row],[N_Amount]]*TableCosts[[#This Row],[N_Tariff]]*TableCosts[[#This Row],[N_ItemsCount]]</f>
        <v>0</v>
      </c>
      <c r="BG670" s="72">
        <f>IF(G670=1,IF(TableCosts[[#This Row],[N_Kateg]]="interné práce",TableCosts[[#This Row],[N_Amount]]*8*PAR_SGA_PERHOUR,0),0)</f>
        <v>0</v>
      </c>
      <c r="BH670" s="72">
        <f>SUM(TableCosts[[#This Row],[N_Direct]:[N_SGA]])</f>
        <v>0</v>
      </c>
      <c r="BI670" s="24">
        <f>IF(G670=1,IF(OR(AND(NOT(ISERROR(VLOOKUP(TableCosts[[#This Row],[Calc_N_Typ]],Cis_WorkPositions,1,0))),C670&lt;&gt;"",D670&lt;&gt;"",E670&lt;&gt;""),AND(ISERROR(VLOOKUP(TableCosts[[#This Row],[Calc_N_Typ]],Cis_WorkPositions,1,0)),C670="",D670="",E670&lt;&gt;""),LEFT(TableCosts[[#This Row],[Calc_N_Typ]],18)="Vynaložené náklady"),VLOOKUP(C670&amp;TableCosts[[#This Row],[Calc_N_Typ]],TRAN_STRITEMS_LABEL,VLOOKUP(D670,Tab_Hours,3,0),0),NA()),0)</f>
        <v>0</v>
      </c>
      <c r="BJ670" s="24">
        <f t="shared" si="150"/>
        <v>0</v>
      </c>
      <c r="BK670" s="24" t="str">
        <f t="shared" si="151"/>
        <v/>
      </c>
      <c r="BL670" s="24" t="str">
        <f t="shared" si="152"/>
        <v/>
      </c>
      <c r="BM670" s="24" t="str">
        <f>IF(G670=1,IF(TableCosts[[#This Row],[TransferFrom]]=TableCosts[[#This Row],[TranferTo]],0,1),"")</f>
        <v/>
      </c>
      <c r="BN670" s="24" t="str">
        <f t="shared" si="153"/>
        <v/>
      </c>
      <c r="BO670" s="24">
        <f t="shared" si="154"/>
        <v>0</v>
      </c>
      <c r="BP670" s="24">
        <f t="shared" si="155"/>
        <v>0</v>
      </c>
    </row>
    <row r="671" spans="2:68" s="24" customFormat="1" ht="12.75" x14ac:dyDescent="0.2">
      <c r="B671" s="97"/>
      <c r="C671" s="92"/>
      <c r="D671" s="92"/>
      <c r="E671" s="92"/>
      <c r="F671" s="31" t="str">
        <f>IF(G671=1,IF(ISERROR(TableCosts[[#This Row],[N_Tariff]]),Err_Message1,IF(TableCosts[[#This Row],[N_Tariff]]=0,Err_Message2,VLOOKUP(C671&amp;TableCosts[[#This Row],[Calc_N_Typ]],TRAN_STRITEMS_LABEL,5,FALSE))),"")</f>
        <v/>
      </c>
      <c r="G671" s="31">
        <f t="shared" si="144"/>
        <v>0</v>
      </c>
      <c r="H671" s="31" t="str">
        <f>IF(G671=1,IFERROR(VLOOKUP(F671,Tab_ErrMessage[],2,0),VLOOKUP(C671&amp;TableCosts[[#This Row],[Calc_N_Typ]],TRAN_STRITEMS_LABEL,4,FALSE)),"")</f>
        <v/>
      </c>
      <c r="I671" s="94"/>
      <c r="J671" s="94"/>
      <c r="K671" s="94"/>
      <c r="L671" s="84"/>
      <c r="M671" s="84"/>
      <c r="N671" s="84"/>
      <c r="O671" s="84"/>
      <c r="P671" s="84"/>
      <c r="Q671" s="84"/>
      <c r="R671" s="84"/>
      <c r="S671" s="84"/>
      <c r="T671" s="84"/>
      <c r="U671" s="84"/>
      <c r="V671" s="84"/>
      <c r="W671" s="84"/>
      <c r="X671" s="84"/>
      <c r="Y671" s="84"/>
      <c r="Z671" s="84"/>
      <c r="AA671" s="84"/>
      <c r="AB671" s="84"/>
      <c r="AC671" s="84"/>
      <c r="AD671" s="84"/>
      <c r="AE671" s="84"/>
      <c r="AF671" s="84"/>
      <c r="AG671" s="84"/>
      <c r="AH671" s="84"/>
      <c r="AI671" s="84"/>
      <c r="AJ671" s="84"/>
      <c r="AK671" s="84"/>
      <c r="AL671" s="84"/>
      <c r="AM671" s="84"/>
      <c r="AN671" s="84"/>
      <c r="AO671" s="84"/>
      <c r="AP671" s="84"/>
      <c r="AQ671" s="84"/>
      <c r="AR671" s="84"/>
      <c r="AS671" s="84"/>
      <c r="AT671" s="84"/>
      <c r="AU671" s="84"/>
      <c r="AV671" s="84"/>
      <c r="AW671" s="84"/>
      <c r="AX671" s="87">
        <f t="array" ref="AX671">IF(G671=1,SUM((ROW(M0)=ROW(AW671))*(M0+M1_+M2_+M3_+M4_+M5_+M6_+M7_+M8_+M9_+M10_+M11_+M12_+M13_+M14_+M15_+M16_+M17_+M18_+M19_+M20_+M21_+M22_+M23_+M24_+M25_+M26_+M27_+M28_+M29_+M30_+M31_+M32_+M33_+M34_+M35_+M36_+M37_)),0)</f>
        <v>0</v>
      </c>
      <c r="AZ671" s="24" t="str">
        <f t="shared" si="145"/>
        <v/>
      </c>
      <c r="BA671" s="24" t="str">
        <f t="shared" si="146"/>
        <v/>
      </c>
      <c r="BB671" s="24" t="str">
        <f t="shared" si="147"/>
        <v/>
      </c>
      <c r="BC671" s="24" t="str">
        <f>IF(OR(E671="",LEFT(TableCosts[[#This Row],[Calc_N_Typ]],18)="Vynaložené náklady"),"",VLOOKUP(E671,Tab_Parts,2,0))</f>
        <v/>
      </c>
      <c r="BD671" s="24" t="str">
        <f t="shared" si="148"/>
        <v/>
      </c>
      <c r="BE671" s="24">
        <f t="shared" si="149"/>
        <v>0</v>
      </c>
      <c r="BF671" s="72">
        <f>TableCosts[[#This Row],[N_Amount]]*TableCosts[[#This Row],[N_Tariff]]*TableCosts[[#This Row],[N_ItemsCount]]</f>
        <v>0</v>
      </c>
      <c r="BG671" s="72">
        <f>IF(G671=1,IF(TableCosts[[#This Row],[N_Kateg]]="interné práce",TableCosts[[#This Row],[N_Amount]]*8*PAR_SGA_PERHOUR,0),0)</f>
        <v>0</v>
      </c>
      <c r="BH671" s="72">
        <f>SUM(TableCosts[[#This Row],[N_Direct]:[N_SGA]])</f>
        <v>0</v>
      </c>
      <c r="BI671" s="24">
        <f>IF(G671=1,IF(OR(AND(NOT(ISERROR(VLOOKUP(TableCosts[[#This Row],[Calc_N_Typ]],Cis_WorkPositions,1,0))),C671&lt;&gt;"",D671&lt;&gt;"",E671&lt;&gt;""),AND(ISERROR(VLOOKUP(TableCosts[[#This Row],[Calc_N_Typ]],Cis_WorkPositions,1,0)),C671="",D671="",E671&lt;&gt;""),LEFT(TableCosts[[#This Row],[Calc_N_Typ]],18)="Vynaložené náklady"),VLOOKUP(C671&amp;TableCosts[[#This Row],[Calc_N_Typ]],TRAN_STRITEMS_LABEL,VLOOKUP(D671,Tab_Hours,3,0),0),NA()),0)</f>
        <v>0</v>
      </c>
      <c r="BJ671" s="24">
        <f t="shared" si="150"/>
        <v>0</v>
      </c>
      <c r="BK671" s="24" t="str">
        <f t="shared" si="151"/>
        <v/>
      </c>
      <c r="BL671" s="24" t="str">
        <f t="shared" si="152"/>
        <v/>
      </c>
      <c r="BM671" s="24" t="str">
        <f>IF(G671=1,IF(TableCosts[[#This Row],[TransferFrom]]=TableCosts[[#This Row],[TranferTo]],0,1),"")</f>
        <v/>
      </c>
      <c r="BN671" s="24" t="str">
        <f t="shared" si="153"/>
        <v/>
      </c>
      <c r="BO671" s="24">
        <f t="shared" si="154"/>
        <v>0</v>
      </c>
      <c r="BP671" s="24">
        <f t="shared" si="155"/>
        <v>0</v>
      </c>
    </row>
    <row r="672" spans="2:68" s="24" customFormat="1" ht="12.75" x14ac:dyDescent="0.2">
      <c r="B672" s="97"/>
      <c r="C672" s="92"/>
      <c r="D672" s="92"/>
      <c r="E672" s="92"/>
      <c r="F672" s="31" t="str">
        <f>IF(G672=1,IF(ISERROR(TableCosts[[#This Row],[N_Tariff]]),Err_Message1,IF(TableCosts[[#This Row],[N_Tariff]]=0,Err_Message2,VLOOKUP(C672&amp;TableCosts[[#This Row],[Calc_N_Typ]],TRAN_STRITEMS_LABEL,5,FALSE))),"")</f>
        <v/>
      </c>
      <c r="G672" s="31">
        <f t="shared" si="144"/>
        <v>0</v>
      </c>
      <c r="H672" s="31" t="str">
        <f>IF(G672=1,IFERROR(VLOOKUP(F672,Tab_ErrMessage[],2,0),VLOOKUP(C672&amp;TableCosts[[#This Row],[Calc_N_Typ]],TRAN_STRITEMS_LABEL,4,FALSE)),"")</f>
        <v/>
      </c>
      <c r="I672" s="94"/>
      <c r="J672" s="94"/>
      <c r="K672" s="94"/>
      <c r="L672" s="84"/>
      <c r="M672" s="84"/>
      <c r="N672" s="84"/>
      <c r="O672" s="84"/>
      <c r="P672" s="84"/>
      <c r="Q672" s="84"/>
      <c r="R672" s="84"/>
      <c r="S672" s="84"/>
      <c r="T672" s="84"/>
      <c r="U672" s="84"/>
      <c r="V672" s="84"/>
      <c r="W672" s="84"/>
      <c r="X672" s="84"/>
      <c r="Y672" s="84"/>
      <c r="Z672" s="84"/>
      <c r="AA672" s="84"/>
      <c r="AB672" s="84"/>
      <c r="AC672" s="84"/>
      <c r="AD672" s="84"/>
      <c r="AE672" s="84"/>
      <c r="AF672" s="84"/>
      <c r="AG672" s="84"/>
      <c r="AH672" s="84"/>
      <c r="AI672" s="84"/>
      <c r="AJ672" s="84"/>
      <c r="AK672" s="84"/>
      <c r="AL672" s="84"/>
      <c r="AM672" s="84"/>
      <c r="AN672" s="84"/>
      <c r="AO672" s="84"/>
      <c r="AP672" s="84"/>
      <c r="AQ672" s="84"/>
      <c r="AR672" s="84"/>
      <c r="AS672" s="84"/>
      <c r="AT672" s="84"/>
      <c r="AU672" s="84"/>
      <c r="AV672" s="84"/>
      <c r="AW672" s="84"/>
      <c r="AX672" s="87">
        <f t="array" ref="AX672">IF(G672=1,SUM((ROW(M0)=ROW(AW672))*(M0+M1_+M2_+M3_+M4_+M5_+M6_+M7_+M8_+M9_+M10_+M11_+M12_+M13_+M14_+M15_+M16_+M17_+M18_+M19_+M20_+M21_+M22_+M23_+M24_+M25_+M26_+M27_+M28_+M29_+M30_+M31_+M32_+M33_+M34_+M35_+M36_+M37_)),0)</f>
        <v>0</v>
      </c>
      <c r="AZ672" s="24" t="str">
        <f t="shared" si="145"/>
        <v/>
      </c>
      <c r="BA672" s="24" t="str">
        <f t="shared" si="146"/>
        <v/>
      </c>
      <c r="BB672" s="24" t="str">
        <f t="shared" si="147"/>
        <v/>
      </c>
      <c r="BC672" s="24" t="str">
        <f>IF(OR(E672="",LEFT(TableCosts[[#This Row],[Calc_N_Typ]],18)="Vynaložené náklady"),"",VLOOKUP(E672,Tab_Parts,2,0))</f>
        <v/>
      </c>
      <c r="BD672" s="24" t="str">
        <f t="shared" si="148"/>
        <v/>
      </c>
      <c r="BE672" s="24">
        <f t="shared" si="149"/>
        <v>0</v>
      </c>
      <c r="BF672" s="72">
        <f>TableCosts[[#This Row],[N_Amount]]*TableCosts[[#This Row],[N_Tariff]]*TableCosts[[#This Row],[N_ItemsCount]]</f>
        <v>0</v>
      </c>
      <c r="BG672" s="72">
        <f>IF(G672=1,IF(TableCosts[[#This Row],[N_Kateg]]="interné práce",TableCosts[[#This Row],[N_Amount]]*8*PAR_SGA_PERHOUR,0),0)</f>
        <v>0</v>
      </c>
      <c r="BH672" s="72">
        <f>SUM(TableCosts[[#This Row],[N_Direct]:[N_SGA]])</f>
        <v>0</v>
      </c>
      <c r="BI672" s="24">
        <f>IF(G672=1,IF(OR(AND(NOT(ISERROR(VLOOKUP(TableCosts[[#This Row],[Calc_N_Typ]],Cis_WorkPositions,1,0))),C672&lt;&gt;"",D672&lt;&gt;"",E672&lt;&gt;""),AND(ISERROR(VLOOKUP(TableCosts[[#This Row],[Calc_N_Typ]],Cis_WorkPositions,1,0)),C672="",D672="",E672&lt;&gt;""),LEFT(TableCosts[[#This Row],[Calc_N_Typ]],18)="Vynaložené náklady"),VLOOKUP(C672&amp;TableCosts[[#This Row],[Calc_N_Typ]],TRAN_STRITEMS_LABEL,VLOOKUP(D672,Tab_Hours,3,0),0),NA()),0)</f>
        <v>0</v>
      </c>
      <c r="BJ672" s="24">
        <f t="shared" si="150"/>
        <v>0</v>
      </c>
      <c r="BK672" s="24" t="str">
        <f t="shared" si="151"/>
        <v/>
      </c>
      <c r="BL672" s="24" t="str">
        <f t="shared" si="152"/>
        <v/>
      </c>
      <c r="BM672" s="24" t="str">
        <f>IF(G672=1,IF(TableCosts[[#This Row],[TransferFrom]]=TableCosts[[#This Row],[TranferTo]],0,1),"")</f>
        <v/>
      </c>
      <c r="BN672" s="24" t="str">
        <f t="shared" si="153"/>
        <v/>
      </c>
      <c r="BO672" s="24">
        <f t="shared" si="154"/>
        <v>0</v>
      </c>
      <c r="BP672" s="24">
        <f t="shared" si="155"/>
        <v>0</v>
      </c>
    </row>
    <row r="673" spans="2:68" s="24" customFormat="1" ht="12.75" x14ac:dyDescent="0.2">
      <c r="B673" s="97"/>
      <c r="C673" s="92"/>
      <c r="D673" s="92"/>
      <c r="E673" s="92"/>
      <c r="F673" s="31" t="str">
        <f>IF(G673=1,IF(ISERROR(TableCosts[[#This Row],[N_Tariff]]),Err_Message1,IF(TableCosts[[#This Row],[N_Tariff]]=0,Err_Message2,VLOOKUP(C673&amp;TableCosts[[#This Row],[Calc_N_Typ]],TRAN_STRITEMS_LABEL,5,FALSE))),"")</f>
        <v/>
      </c>
      <c r="G673" s="31">
        <f t="shared" si="144"/>
        <v>0</v>
      </c>
      <c r="H673" s="31" t="str">
        <f>IF(G673=1,IFERROR(VLOOKUP(F673,Tab_ErrMessage[],2,0),VLOOKUP(C673&amp;TableCosts[[#This Row],[Calc_N_Typ]],TRAN_STRITEMS_LABEL,4,FALSE)),"")</f>
        <v/>
      </c>
      <c r="I673" s="94"/>
      <c r="J673" s="94"/>
      <c r="K673" s="94"/>
      <c r="L673" s="84"/>
      <c r="M673" s="84"/>
      <c r="N673" s="84"/>
      <c r="O673" s="84"/>
      <c r="P673" s="84"/>
      <c r="Q673" s="84"/>
      <c r="R673" s="84"/>
      <c r="S673" s="84"/>
      <c r="T673" s="84"/>
      <c r="U673" s="84"/>
      <c r="V673" s="84"/>
      <c r="W673" s="84"/>
      <c r="X673" s="84"/>
      <c r="Y673" s="84"/>
      <c r="Z673" s="84"/>
      <c r="AA673" s="84"/>
      <c r="AB673" s="84"/>
      <c r="AC673" s="84"/>
      <c r="AD673" s="84"/>
      <c r="AE673" s="84"/>
      <c r="AF673" s="84"/>
      <c r="AG673" s="84"/>
      <c r="AH673" s="84"/>
      <c r="AI673" s="84"/>
      <c r="AJ673" s="84"/>
      <c r="AK673" s="84"/>
      <c r="AL673" s="84"/>
      <c r="AM673" s="84"/>
      <c r="AN673" s="84"/>
      <c r="AO673" s="84"/>
      <c r="AP673" s="84"/>
      <c r="AQ673" s="84"/>
      <c r="AR673" s="84"/>
      <c r="AS673" s="84"/>
      <c r="AT673" s="84"/>
      <c r="AU673" s="84"/>
      <c r="AV673" s="84"/>
      <c r="AW673" s="84"/>
      <c r="AX673" s="87">
        <f t="array" ref="AX673">IF(G673=1,SUM((ROW(M0)=ROW(AW673))*(M0+M1_+M2_+M3_+M4_+M5_+M6_+M7_+M8_+M9_+M10_+M11_+M12_+M13_+M14_+M15_+M16_+M17_+M18_+M19_+M20_+M21_+M22_+M23_+M24_+M25_+M26_+M27_+M28_+M29_+M30_+M31_+M32_+M33_+M34_+M35_+M36_+M37_)),0)</f>
        <v>0</v>
      </c>
      <c r="AZ673" s="24" t="str">
        <f t="shared" si="145"/>
        <v/>
      </c>
      <c r="BA673" s="24" t="str">
        <f t="shared" si="146"/>
        <v/>
      </c>
      <c r="BB673" s="24" t="str">
        <f t="shared" si="147"/>
        <v/>
      </c>
      <c r="BC673" s="24" t="str">
        <f>IF(OR(E673="",LEFT(TableCosts[[#This Row],[Calc_N_Typ]],18)="Vynaložené náklady"),"",VLOOKUP(E673,Tab_Parts,2,0))</f>
        <v/>
      </c>
      <c r="BD673" s="24" t="str">
        <f t="shared" si="148"/>
        <v/>
      </c>
      <c r="BE673" s="24">
        <f t="shared" si="149"/>
        <v>0</v>
      </c>
      <c r="BF673" s="72">
        <f>TableCosts[[#This Row],[N_Amount]]*TableCosts[[#This Row],[N_Tariff]]*TableCosts[[#This Row],[N_ItemsCount]]</f>
        <v>0</v>
      </c>
      <c r="BG673" s="72">
        <f>IF(G673=1,IF(TableCosts[[#This Row],[N_Kateg]]="interné práce",TableCosts[[#This Row],[N_Amount]]*8*PAR_SGA_PERHOUR,0),0)</f>
        <v>0</v>
      </c>
      <c r="BH673" s="72">
        <f>SUM(TableCosts[[#This Row],[N_Direct]:[N_SGA]])</f>
        <v>0</v>
      </c>
      <c r="BI673" s="24">
        <f>IF(G673=1,IF(OR(AND(NOT(ISERROR(VLOOKUP(TableCosts[[#This Row],[Calc_N_Typ]],Cis_WorkPositions,1,0))),C673&lt;&gt;"",D673&lt;&gt;"",E673&lt;&gt;""),AND(ISERROR(VLOOKUP(TableCosts[[#This Row],[Calc_N_Typ]],Cis_WorkPositions,1,0)),C673="",D673="",E673&lt;&gt;""),LEFT(TableCosts[[#This Row],[Calc_N_Typ]],18)="Vynaložené náklady"),VLOOKUP(C673&amp;TableCosts[[#This Row],[Calc_N_Typ]],TRAN_STRITEMS_LABEL,VLOOKUP(D673,Tab_Hours,3,0),0),NA()),0)</f>
        <v>0</v>
      </c>
      <c r="BJ673" s="24">
        <f t="shared" si="150"/>
        <v>0</v>
      </c>
      <c r="BK673" s="24" t="str">
        <f t="shared" si="151"/>
        <v/>
      </c>
      <c r="BL673" s="24" t="str">
        <f t="shared" si="152"/>
        <v/>
      </c>
      <c r="BM673" s="24" t="str">
        <f>IF(G673=1,IF(TableCosts[[#This Row],[TransferFrom]]=TableCosts[[#This Row],[TranferTo]],0,1),"")</f>
        <v/>
      </c>
      <c r="BN673" s="24" t="str">
        <f t="shared" si="153"/>
        <v/>
      </c>
      <c r="BO673" s="24">
        <f t="shared" si="154"/>
        <v>0</v>
      </c>
      <c r="BP673" s="24">
        <f t="shared" si="155"/>
        <v>0</v>
      </c>
    </row>
    <row r="674" spans="2:68" s="24" customFormat="1" ht="12.75" x14ac:dyDescent="0.2">
      <c r="B674" s="97"/>
      <c r="C674" s="92"/>
      <c r="D674" s="92"/>
      <c r="E674" s="92"/>
      <c r="F674" s="31" t="str">
        <f>IF(G674=1,IF(ISERROR(TableCosts[[#This Row],[N_Tariff]]),Err_Message1,IF(TableCosts[[#This Row],[N_Tariff]]=0,Err_Message2,VLOOKUP(C674&amp;TableCosts[[#This Row],[Calc_N_Typ]],TRAN_STRITEMS_LABEL,5,FALSE))),"")</f>
        <v/>
      </c>
      <c r="G674" s="31">
        <f t="shared" si="144"/>
        <v>0</v>
      </c>
      <c r="H674" s="31" t="str">
        <f>IF(G674=1,IFERROR(VLOOKUP(F674,Tab_ErrMessage[],2,0),VLOOKUP(C674&amp;TableCosts[[#This Row],[Calc_N_Typ]],TRAN_STRITEMS_LABEL,4,FALSE)),"")</f>
        <v/>
      </c>
      <c r="I674" s="94"/>
      <c r="J674" s="94"/>
      <c r="K674" s="94"/>
      <c r="L674" s="84"/>
      <c r="M674" s="84"/>
      <c r="N674" s="84"/>
      <c r="O674" s="84"/>
      <c r="P674" s="84"/>
      <c r="Q674" s="84"/>
      <c r="R674" s="84"/>
      <c r="S674" s="84"/>
      <c r="T674" s="84"/>
      <c r="U674" s="84"/>
      <c r="V674" s="84"/>
      <c r="W674" s="84"/>
      <c r="X674" s="84"/>
      <c r="Y674" s="84"/>
      <c r="Z674" s="84"/>
      <c r="AA674" s="84"/>
      <c r="AB674" s="84"/>
      <c r="AC674" s="84"/>
      <c r="AD674" s="84"/>
      <c r="AE674" s="84"/>
      <c r="AF674" s="84"/>
      <c r="AG674" s="84"/>
      <c r="AH674" s="84"/>
      <c r="AI674" s="84"/>
      <c r="AJ674" s="84"/>
      <c r="AK674" s="84"/>
      <c r="AL674" s="84"/>
      <c r="AM674" s="84"/>
      <c r="AN674" s="84"/>
      <c r="AO674" s="84"/>
      <c r="AP674" s="84"/>
      <c r="AQ674" s="84"/>
      <c r="AR674" s="84"/>
      <c r="AS674" s="84"/>
      <c r="AT674" s="84"/>
      <c r="AU674" s="84"/>
      <c r="AV674" s="84"/>
      <c r="AW674" s="84"/>
      <c r="AX674" s="87">
        <f t="array" ref="AX674">IF(G674=1,SUM((ROW(M0)=ROW(AW674))*(M0+M1_+M2_+M3_+M4_+M5_+M6_+M7_+M8_+M9_+M10_+M11_+M12_+M13_+M14_+M15_+M16_+M17_+M18_+M19_+M20_+M21_+M22_+M23_+M24_+M25_+M26_+M27_+M28_+M29_+M30_+M31_+M32_+M33_+M34_+M35_+M36_+M37_)),0)</f>
        <v>0</v>
      </c>
      <c r="AZ674" s="24" t="str">
        <f t="shared" si="145"/>
        <v/>
      </c>
      <c r="BA674" s="24" t="str">
        <f t="shared" si="146"/>
        <v/>
      </c>
      <c r="BB674" s="24" t="str">
        <f t="shared" si="147"/>
        <v/>
      </c>
      <c r="BC674" s="24" t="str">
        <f>IF(OR(E674="",LEFT(TableCosts[[#This Row],[Calc_N_Typ]],18)="Vynaložené náklady"),"",VLOOKUP(E674,Tab_Parts,2,0))</f>
        <v/>
      </c>
      <c r="BD674" s="24" t="str">
        <f t="shared" si="148"/>
        <v/>
      </c>
      <c r="BE674" s="24">
        <f t="shared" si="149"/>
        <v>0</v>
      </c>
      <c r="BF674" s="72">
        <f>TableCosts[[#This Row],[N_Amount]]*TableCosts[[#This Row],[N_Tariff]]*TableCosts[[#This Row],[N_ItemsCount]]</f>
        <v>0</v>
      </c>
      <c r="BG674" s="72">
        <f>IF(G674=1,IF(TableCosts[[#This Row],[N_Kateg]]="interné práce",TableCosts[[#This Row],[N_Amount]]*8*PAR_SGA_PERHOUR,0),0)</f>
        <v>0</v>
      </c>
      <c r="BH674" s="72">
        <f>SUM(TableCosts[[#This Row],[N_Direct]:[N_SGA]])</f>
        <v>0</v>
      </c>
      <c r="BI674" s="24">
        <f>IF(G674=1,IF(OR(AND(NOT(ISERROR(VLOOKUP(TableCosts[[#This Row],[Calc_N_Typ]],Cis_WorkPositions,1,0))),C674&lt;&gt;"",D674&lt;&gt;"",E674&lt;&gt;""),AND(ISERROR(VLOOKUP(TableCosts[[#This Row],[Calc_N_Typ]],Cis_WorkPositions,1,0)),C674="",D674="",E674&lt;&gt;""),LEFT(TableCosts[[#This Row],[Calc_N_Typ]],18)="Vynaložené náklady"),VLOOKUP(C674&amp;TableCosts[[#This Row],[Calc_N_Typ]],TRAN_STRITEMS_LABEL,VLOOKUP(D674,Tab_Hours,3,0),0),NA()),0)</f>
        <v>0</v>
      </c>
      <c r="BJ674" s="24">
        <f t="shared" si="150"/>
        <v>0</v>
      </c>
      <c r="BK674" s="24" t="str">
        <f t="shared" si="151"/>
        <v/>
      </c>
      <c r="BL674" s="24" t="str">
        <f t="shared" si="152"/>
        <v/>
      </c>
      <c r="BM674" s="24" t="str">
        <f>IF(G674=1,IF(TableCosts[[#This Row],[TransferFrom]]=TableCosts[[#This Row],[TranferTo]],0,1),"")</f>
        <v/>
      </c>
      <c r="BN674" s="24" t="str">
        <f t="shared" si="153"/>
        <v/>
      </c>
      <c r="BO674" s="24">
        <f t="shared" si="154"/>
        <v>0</v>
      </c>
      <c r="BP674" s="24">
        <f t="shared" si="155"/>
        <v>0</v>
      </c>
    </row>
    <row r="675" spans="2:68" s="24" customFormat="1" ht="12.75" x14ac:dyDescent="0.2">
      <c r="B675" s="97"/>
      <c r="C675" s="92"/>
      <c r="D675" s="92"/>
      <c r="E675" s="92"/>
      <c r="F675" s="31" t="str">
        <f>IF(G675=1,IF(ISERROR(TableCosts[[#This Row],[N_Tariff]]),Err_Message1,IF(TableCosts[[#This Row],[N_Tariff]]=0,Err_Message2,VLOOKUP(C675&amp;TableCosts[[#This Row],[Calc_N_Typ]],TRAN_STRITEMS_LABEL,5,FALSE))),"")</f>
        <v/>
      </c>
      <c r="G675" s="31">
        <f t="shared" si="144"/>
        <v>0</v>
      </c>
      <c r="H675" s="31" t="str">
        <f>IF(G675=1,IFERROR(VLOOKUP(F675,Tab_ErrMessage[],2,0),VLOOKUP(C675&amp;TableCosts[[#This Row],[Calc_N_Typ]],TRAN_STRITEMS_LABEL,4,FALSE)),"")</f>
        <v/>
      </c>
      <c r="I675" s="94"/>
      <c r="J675" s="94"/>
      <c r="K675" s="94"/>
      <c r="L675" s="84"/>
      <c r="M675" s="84"/>
      <c r="N675" s="84"/>
      <c r="O675" s="84"/>
      <c r="P675" s="84"/>
      <c r="Q675" s="84"/>
      <c r="R675" s="84"/>
      <c r="S675" s="84"/>
      <c r="T675" s="84"/>
      <c r="U675" s="84"/>
      <c r="V675" s="84"/>
      <c r="W675" s="84"/>
      <c r="X675" s="84"/>
      <c r="Y675" s="84"/>
      <c r="Z675" s="84"/>
      <c r="AA675" s="84"/>
      <c r="AB675" s="84"/>
      <c r="AC675" s="84"/>
      <c r="AD675" s="84"/>
      <c r="AE675" s="84"/>
      <c r="AF675" s="84"/>
      <c r="AG675" s="84"/>
      <c r="AH675" s="84"/>
      <c r="AI675" s="84"/>
      <c r="AJ675" s="84"/>
      <c r="AK675" s="84"/>
      <c r="AL675" s="84"/>
      <c r="AM675" s="84"/>
      <c r="AN675" s="84"/>
      <c r="AO675" s="84"/>
      <c r="AP675" s="84"/>
      <c r="AQ675" s="84"/>
      <c r="AR675" s="84"/>
      <c r="AS675" s="84"/>
      <c r="AT675" s="84"/>
      <c r="AU675" s="84"/>
      <c r="AV675" s="84"/>
      <c r="AW675" s="84"/>
      <c r="AX675" s="87">
        <f t="array" ref="AX675">IF(G675=1,SUM((ROW(M0)=ROW(AW675))*(M0+M1_+M2_+M3_+M4_+M5_+M6_+M7_+M8_+M9_+M10_+M11_+M12_+M13_+M14_+M15_+M16_+M17_+M18_+M19_+M20_+M21_+M22_+M23_+M24_+M25_+M26_+M27_+M28_+M29_+M30_+M31_+M32_+M33_+M34_+M35_+M36_+M37_)),0)</f>
        <v>0</v>
      </c>
      <c r="AZ675" s="24" t="str">
        <f t="shared" si="145"/>
        <v/>
      </c>
      <c r="BA675" s="24" t="str">
        <f t="shared" si="146"/>
        <v/>
      </c>
      <c r="BB675" s="24" t="str">
        <f t="shared" si="147"/>
        <v/>
      </c>
      <c r="BC675" s="24" t="str">
        <f>IF(OR(E675="",LEFT(TableCosts[[#This Row],[Calc_N_Typ]],18)="Vynaložené náklady"),"",VLOOKUP(E675,Tab_Parts,2,0))</f>
        <v/>
      </c>
      <c r="BD675" s="24" t="str">
        <f t="shared" si="148"/>
        <v/>
      </c>
      <c r="BE675" s="24">
        <f t="shared" si="149"/>
        <v>0</v>
      </c>
      <c r="BF675" s="72">
        <f>TableCosts[[#This Row],[N_Amount]]*TableCosts[[#This Row],[N_Tariff]]*TableCosts[[#This Row],[N_ItemsCount]]</f>
        <v>0</v>
      </c>
      <c r="BG675" s="72">
        <f>IF(G675=1,IF(TableCosts[[#This Row],[N_Kateg]]="interné práce",TableCosts[[#This Row],[N_Amount]]*8*PAR_SGA_PERHOUR,0),0)</f>
        <v>0</v>
      </c>
      <c r="BH675" s="72">
        <f>SUM(TableCosts[[#This Row],[N_Direct]:[N_SGA]])</f>
        <v>0</v>
      </c>
      <c r="BI675" s="24">
        <f>IF(G675=1,IF(OR(AND(NOT(ISERROR(VLOOKUP(TableCosts[[#This Row],[Calc_N_Typ]],Cis_WorkPositions,1,0))),C675&lt;&gt;"",D675&lt;&gt;"",E675&lt;&gt;""),AND(ISERROR(VLOOKUP(TableCosts[[#This Row],[Calc_N_Typ]],Cis_WorkPositions,1,0)),C675="",D675="",E675&lt;&gt;""),LEFT(TableCosts[[#This Row],[Calc_N_Typ]],18)="Vynaložené náklady"),VLOOKUP(C675&amp;TableCosts[[#This Row],[Calc_N_Typ]],TRAN_STRITEMS_LABEL,VLOOKUP(D675,Tab_Hours,3,0),0),NA()),0)</f>
        <v>0</v>
      </c>
      <c r="BJ675" s="24">
        <f t="shared" si="150"/>
        <v>0</v>
      </c>
      <c r="BK675" s="24" t="str">
        <f t="shared" si="151"/>
        <v/>
      </c>
      <c r="BL675" s="24" t="str">
        <f t="shared" si="152"/>
        <v/>
      </c>
      <c r="BM675" s="24" t="str">
        <f>IF(G675=1,IF(TableCosts[[#This Row],[TransferFrom]]=TableCosts[[#This Row],[TranferTo]],0,1),"")</f>
        <v/>
      </c>
      <c r="BN675" s="24" t="str">
        <f t="shared" si="153"/>
        <v/>
      </c>
      <c r="BO675" s="24">
        <f t="shared" si="154"/>
        <v>0</v>
      </c>
      <c r="BP675" s="24">
        <f t="shared" si="155"/>
        <v>0</v>
      </c>
    </row>
    <row r="676" spans="2:68" s="24" customFormat="1" ht="12.75" x14ac:dyDescent="0.2">
      <c r="B676" s="97"/>
      <c r="C676" s="92"/>
      <c r="D676" s="92"/>
      <c r="E676" s="92"/>
      <c r="F676" s="31" t="str">
        <f>IF(G676=1,IF(ISERROR(TableCosts[[#This Row],[N_Tariff]]),Err_Message1,IF(TableCosts[[#This Row],[N_Tariff]]=0,Err_Message2,VLOOKUP(C676&amp;TableCosts[[#This Row],[Calc_N_Typ]],TRAN_STRITEMS_LABEL,5,FALSE))),"")</f>
        <v/>
      </c>
      <c r="G676" s="31">
        <f t="shared" si="144"/>
        <v>0</v>
      </c>
      <c r="H676" s="31" t="str">
        <f>IF(G676=1,IFERROR(VLOOKUP(F676,Tab_ErrMessage[],2,0),VLOOKUP(C676&amp;TableCosts[[#This Row],[Calc_N_Typ]],TRAN_STRITEMS_LABEL,4,FALSE)),"")</f>
        <v/>
      </c>
      <c r="I676" s="94"/>
      <c r="J676" s="94"/>
      <c r="K676" s="94"/>
      <c r="L676" s="84"/>
      <c r="M676" s="84"/>
      <c r="N676" s="84"/>
      <c r="O676" s="84"/>
      <c r="P676" s="84"/>
      <c r="Q676" s="84"/>
      <c r="R676" s="84"/>
      <c r="S676" s="84"/>
      <c r="T676" s="84"/>
      <c r="U676" s="84"/>
      <c r="V676" s="84"/>
      <c r="W676" s="84"/>
      <c r="X676" s="84"/>
      <c r="Y676" s="84"/>
      <c r="Z676" s="84"/>
      <c r="AA676" s="84"/>
      <c r="AB676" s="84"/>
      <c r="AC676" s="84"/>
      <c r="AD676" s="84"/>
      <c r="AE676" s="84"/>
      <c r="AF676" s="84"/>
      <c r="AG676" s="84"/>
      <c r="AH676" s="84"/>
      <c r="AI676" s="84"/>
      <c r="AJ676" s="84"/>
      <c r="AK676" s="84"/>
      <c r="AL676" s="84"/>
      <c r="AM676" s="84"/>
      <c r="AN676" s="84"/>
      <c r="AO676" s="84"/>
      <c r="AP676" s="84"/>
      <c r="AQ676" s="84"/>
      <c r="AR676" s="84"/>
      <c r="AS676" s="84"/>
      <c r="AT676" s="84"/>
      <c r="AU676" s="84"/>
      <c r="AV676" s="84"/>
      <c r="AW676" s="84"/>
      <c r="AX676" s="87">
        <f t="array" ref="AX676">IF(G676=1,SUM((ROW(M0)=ROW(AW676))*(M0+M1_+M2_+M3_+M4_+M5_+M6_+M7_+M8_+M9_+M10_+M11_+M12_+M13_+M14_+M15_+M16_+M17_+M18_+M19_+M20_+M21_+M22_+M23_+M24_+M25_+M26_+M27_+M28_+M29_+M30_+M31_+M32_+M33_+M34_+M35_+M36_+M37_)),0)</f>
        <v>0</v>
      </c>
      <c r="AZ676" s="24" t="str">
        <f t="shared" si="145"/>
        <v/>
      </c>
      <c r="BA676" s="24" t="str">
        <f t="shared" si="146"/>
        <v/>
      </c>
      <c r="BB676" s="24" t="str">
        <f t="shared" si="147"/>
        <v/>
      </c>
      <c r="BC676" s="24" t="str">
        <f>IF(OR(E676="",LEFT(TableCosts[[#This Row],[Calc_N_Typ]],18)="Vynaložené náklady"),"",VLOOKUP(E676,Tab_Parts,2,0))</f>
        <v/>
      </c>
      <c r="BD676" s="24" t="str">
        <f t="shared" si="148"/>
        <v/>
      </c>
      <c r="BE676" s="24">
        <f t="shared" si="149"/>
        <v>0</v>
      </c>
      <c r="BF676" s="72">
        <f>TableCosts[[#This Row],[N_Amount]]*TableCosts[[#This Row],[N_Tariff]]*TableCosts[[#This Row],[N_ItemsCount]]</f>
        <v>0</v>
      </c>
      <c r="BG676" s="72">
        <f>IF(G676=1,IF(TableCosts[[#This Row],[N_Kateg]]="interné práce",TableCosts[[#This Row],[N_Amount]]*8*PAR_SGA_PERHOUR,0),0)</f>
        <v>0</v>
      </c>
      <c r="BH676" s="72">
        <f>SUM(TableCosts[[#This Row],[N_Direct]:[N_SGA]])</f>
        <v>0</v>
      </c>
      <c r="BI676" s="24">
        <f>IF(G676=1,IF(OR(AND(NOT(ISERROR(VLOOKUP(TableCosts[[#This Row],[Calc_N_Typ]],Cis_WorkPositions,1,0))),C676&lt;&gt;"",D676&lt;&gt;"",E676&lt;&gt;""),AND(ISERROR(VLOOKUP(TableCosts[[#This Row],[Calc_N_Typ]],Cis_WorkPositions,1,0)),C676="",D676="",E676&lt;&gt;""),LEFT(TableCosts[[#This Row],[Calc_N_Typ]],18)="Vynaložené náklady"),VLOOKUP(C676&amp;TableCosts[[#This Row],[Calc_N_Typ]],TRAN_STRITEMS_LABEL,VLOOKUP(D676,Tab_Hours,3,0),0),NA()),0)</f>
        <v>0</v>
      </c>
      <c r="BJ676" s="24">
        <f t="shared" si="150"/>
        <v>0</v>
      </c>
      <c r="BK676" s="24" t="str">
        <f t="shared" si="151"/>
        <v/>
      </c>
      <c r="BL676" s="24" t="str">
        <f t="shared" si="152"/>
        <v/>
      </c>
      <c r="BM676" s="24" t="str">
        <f>IF(G676=1,IF(TableCosts[[#This Row],[TransferFrom]]=TableCosts[[#This Row],[TranferTo]],0,1),"")</f>
        <v/>
      </c>
      <c r="BN676" s="24" t="str">
        <f t="shared" si="153"/>
        <v/>
      </c>
      <c r="BO676" s="24">
        <f t="shared" si="154"/>
        <v>0</v>
      </c>
      <c r="BP676" s="24">
        <f t="shared" si="155"/>
        <v>0</v>
      </c>
    </row>
    <row r="677" spans="2:68" s="24" customFormat="1" ht="12.75" x14ac:dyDescent="0.2">
      <c r="B677" s="97"/>
      <c r="C677" s="92"/>
      <c r="D677" s="92"/>
      <c r="E677" s="92"/>
      <c r="F677" s="31" t="str">
        <f>IF(G677=1,IF(ISERROR(TableCosts[[#This Row],[N_Tariff]]),Err_Message1,IF(TableCosts[[#This Row],[N_Tariff]]=0,Err_Message2,VLOOKUP(C677&amp;TableCosts[[#This Row],[Calc_N_Typ]],TRAN_STRITEMS_LABEL,5,FALSE))),"")</f>
        <v/>
      </c>
      <c r="G677" s="31">
        <f t="shared" si="144"/>
        <v>0</v>
      </c>
      <c r="H677" s="31" t="str">
        <f>IF(G677=1,IFERROR(VLOOKUP(F677,Tab_ErrMessage[],2,0),VLOOKUP(C677&amp;TableCosts[[#This Row],[Calc_N_Typ]],TRAN_STRITEMS_LABEL,4,FALSE)),"")</f>
        <v/>
      </c>
      <c r="I677" s="94"/>
      <c r="J677" s="94"/>
      <c r="K677" s="94"/>
      <c r="L677" s="84"/>
      <c r="M677" s="84"/>
      <c r="N677" s="84"/>
      <c r="O677" s="84"/>
      <c r="P677" s="84"/>
      <c r="Q677" s="84"/>
      <c r="R677" s="84"/>
      <c r="S677" s="84"/>
      <c r="T677" s="84"/>
      <c r="U677" s="84"/>
      <c r="V677" s="84"/>
      <c r="W677" s="84"/>
      <c r="X677" s="84"/>
      <c r="Y677" s="84"/>
      <c r="Z677" s="84"/>
      <c r="AA677" s="84"/>
      <c r="AB677" s="84"/>
      <c r="AC677" s="84"/>
      <c r="AD677" s="84"/>
      <c r="AE677" s="84"/>
      <c r="AF677" s="84"/>
      <c r="AG677" s="84"/>
      <c r="AH677" s="84"/>
      <c r="AI677" s="84"/>
      <c r="AJ677" s="84"/>
      <c r="AK677" s="84"/>
      <c r="AL677" s="84"/>
      <c r="AM677" s="84"/>
      <c r="AN677" s="84"/>
      <c r="AO677" s="84"/>
      <c r="AP677" s="84"/>
      <c r="AQ677" s="84"/>
      <c r="AR677" s="84"/>
      <c r="AS677" s="84"/>
      <c r="AT677" s="84"/>
      <c r="AU677" s="84"/>
      <c r="AV677" s="84"/>
      <c r="AW677" s="84"/>
      <c r="AX677" s="87">
        <f t="array" ref="AX677">IF(G677=1,SUM((ROW(M0)=ROW(AW677))*(M0+M1_+M2_+M3_+M4_+M5_+M6_+M7_+M8_+M9_+M10_+M11_+M12_+M13_+M14_+M15_+M16_+M17_+M18_+M19_+M20_+M21_+M22_+M23_+M24_+M25_+M26_+M27_+M28_+M29_+M30_+M31_+M32_+M33_+M34_+M35_+M36_+M37_)),0)</f>
        <v>0</v>
      </c>
      <c r="AZ677" s="24" t="str">
        <f t="shared" si="145"/>
        <v/>
      </c>
      <c r="BA677" s="24" t="str">
        <f t="shared" si="146"/>
        <v/>
      </c>
      <c r="BB677" s="24" t="str">
        <f t="shared" si="147"/>
        <v/>
      </c>
      <c r="BC677" s="24" t="str">
        <f>IF(OR(E677="",LEFT(TableCosts[[#This Row],[Calc_N_Typ]],18)="Vynaložené náklady"),"",VLOOKUP(E677,Tab_Parts,2,0))</f>
        <v/>
      </c>
      <c r="BD677" s="24" t="str">
        <f t="shared" si="148"/>
        <v/>
      </c>
      <c r="BE677" s="24">
        <f t="shared" si="149"/>
        <v>0</v>
      </c>
      <c r="BF677" s="72">
        <f>TableCosts[[#This Row],[N_Amount]]*TableCosts[[#This Row],[N_Tariff]]*TableCosts[[#This Row],[N_ItemsCount]]</f>
        <v>0</v>
      </c>
      <c r="BG677" s="72">
        <f>IF(G677=1,IF(TableCosts[[#This Row],[N_Kateg]]="interné práce",TableCosts[[#This Row],[N_Amount]]*8*PAR_SGA_PERHOUR,0),0)</f>
        <v>0</v>
      </c>
      <c r="BH677" s="72">
        <f>SUM(TableCosts[[#This Row],[N_Direct]:[N_SGA]])</f>
        <v>0</v>
      </c>
      <c r="BI677" s="24">
        <f>IF(G677=1,IF(OR(AND(NOT(ISERROR(VLOOKUP(TableCosts[[#This Row],[Calc_N_Typ]],Cis_WorkPositions,1,0))),C677&lt;&gt;"",D677&lt;&gt;"",E677&lt;&gt;""),AND(ISERROR(VLOOKUP(TableCosts[[#This Row],[Calc_N_Typ]],Cis_WorkPositions,1,0)),C677="",D677="",E677&lt;&gt;""),LEFT(TableCosts[[#This Row],[Calc_N_Typ]],18)="Vynaložené náklady"),VLOOKUP(C677&amp;TableCosts[[#This Row],[Calc_N_Typ]],TRAN_STRITEMS_LABEL,VLOOKUP(D677,Tab_Hours,3,0),0),NA()),0)</f>
        <v>0</v>
      </c>
      <c r="BJ677" s="24">
        <f t="shared" si="150"/>
        <v>0</v>
      </c>
      <c r="BK677" s="24" t="str">
        <f t="shared" si="151"/>
        <v/>
      </c>
      <c r="BL677" s="24" t="str">
        <f t="shared" si="152"/>
        <v/>
      </c>
      <c r="BM677" s="24" t="str">
        <f>IF(G677=1,IF(TableCosts[[#This Row],[TransferFrom]]=TableCosts[[#This Row],[TranferTo]],0,1),"")</f>
        <v/>
      </c>
      <c r="BN677" s="24" t="str">
        <f t="shared" si="153"/>
        <v/>
      </c>
      <c r="BO677" s="24">
        <f t="shared" si="154"/>
        <v>0</v>
      </c>
      <c r="BP677" s="24">
        <f t="shared" si="155"/>
        <v>0</v>
      </c>
    </row>
    <row r="678" spans="2:68" s="24" customFormat="1" ht="12.75" x14ac:dyDescent="0.2">
      <c r="B678" s="97"/>
      <c r="C678" s="92"/>
      <c r="D678" s="92"/>
      <c r="E678" s="92"/>
      <c r="F678" s="31" t="str">
        <f>IF(G678=1,IF(ISERROR(TableCosts[[#This Row],[N_Tariff]]),Err_Message1,IF(TableCosts[[#This Row],[N_Tariff]]=0,Err_Message2,VLOOKUP(C678&amp;TableCosts[[#This Row],[Calc_N_Typ]],TRAN_STRITEMS_LABEL,5,FALSE))),"")</f>
        <v/>
      </c>
      <c r="G678" s="31">
        <f t="shared" si="144"/>
        <v>0</v>
      </c>
      <c r="H678" s="31" t="str">
        <f>IF(G678=1,IFERROR(VLOOKUP(F678,Tab_ErrMessage[],2,0),VLOOKUP(C678&amp;TableCosts[[#This Row],[Calc_N_Typ]],TRAN_STRITEMS_LABEL,4,FALSE)),"")</f>
        <v/>
      </c>
      <c r="I678" s="94"/>
      <c r="J678" s="94"/>
      <c r="K678" s="94"/>
      <c r="L678" s="84"/>
      <c r="M678" s="84"/>
      <c r="N678" s="84"/>
      <c r="O678" s="84"/>
      <c r="P678" s="84"/>
      <c r="Q678" s="84"/>
      <c r="R678" s="84"/>
      <c r="S678" s="84"/>
      <c r="T678" s="84"/>
      <c r="U678" s="84"/>
      <c r="V678" s="84"/>
      <c r="W678" s="84"/>
      <c r="X678" s="84"/>
      <c r="Y678" s="84"/>
      <c r="Z678" s="84"/>
      <c r="AA678" s="84"/>
      <c r="AB678" s="84"/>
      <c r="AC678" s="84"/>
      <c r="AD678" s="84"/>
      <c r="AE678" s="84"/>
      <c r="AF678" s="84"/>
      <c r="AG678" s="84"/>
      <c r="AH678" s="84"/>
      <c r="AI678" s="84"/>
      <c r="AJ678" s="84"/>
      <c r="AK678" s="84"/>
      <c r="AL678" s="84"/>
      <c r="AM678" s="84"/>
      <c r="AN678" s="84"/>
      <c r="AO678" s="84"/>
      <c r="AP678" s="84"/>
      <c r="AQ678" s="84"/>
      <c r="AR678" s="84"/>
      <c r="AS678" s="84"/>
      <c r="AT678" s="84"/>
      <c r="AU678" s="84"/>
      <c r="AV678" s="84"/>
      <c r="AW678" s="84"/>
      <c r="AX678" s="87">
        <f t="array" ref="AX678">IF(G678=1,SUM((ROW(M0)=ROW(AW678))*(M0+M1_+M2_+M3_+M4_+M5_+M6_+M7_+M8_+M9_+M10_+M11_+M12_+M13_+M14_+M15_+M16_+M17_+M18_+M19_+M20_+M21_+M22_+M23_+M24_+M25_+M26_+M27_+M28_+M29_+M30_+M31_+M32_+M33_+M34_+M35_+M36_+M37_)),0)</f>
        <v>0</v>
      </c>
      <c r="AZ678" s="24" t="str">
        <f t="shared" si="145"/>
        <v/>
      </c>
      <c r="BA678" s="24" t="str">
        <f t="shared" si="146"/>
        <v/>
      </c>
      <c r="BB678" s="24" t="str">
        <f t="shared" si="147"/>
        <v/>
      </c>
      <c r="BC678" s="24" t="str">
        <f>IF(OR(E678="",LEFT(TableCosts[[#This Row],[Calc_N_Typ]],18)="Vynaložené náklady"),"",VLOOKUP(E678,Tab_Parts,2,0))</f>
        <v/>
      </c>
      <c r="BD678" s="24" t="str">
        <f t="shared" si="148"/>
        <v/>
      </c>
      <c r="BE678" s="24">
        <f t="shared" si="149"/>
        <v>0</v>
      </c>
      <c r="BF678" s="72">
        <f>TableCosts[[#This Row],[N_Amount]]*TableCosts[[#This Row],[N_Tariff]]*TableCosts[[#This Row],[N_ItemsCount]]</f>
        <v>0</v>
      </c>
      <c r="BG678" s="72">
        <f>IF(G678=1,IF(TableCosts[[#This Row],[N_Kateg]]="interné práce",TableCosts[[#This Row],[N_Amount]]*8*PAR_SGA_PERHOUR,0),0)</f>
        <v>0</v>
      </c>
      <c r="BH678" s="72">
        <f>SUM(TableCosts[[#This Row],[N_Direct]:[N_SGA]])</f>
        <v>0</v>
      </c>
      <c r="BI678" s="24">
        <f>IF(G678=1,IF(OR(AND(NOT(ISERROR(VLOOKUP(TableCosts[[#This Row],[Calc_N_Typ]],Cis_WorkPositions,1,0))),C678&lt;&gt;"",D678&lt;&gt;"",E678&lt;&gt;""),AND(ISERROR(VLOOKUP(TableCosts[[#This Row],[Calc_N_Typ]],Cis_WorkPositions,1,0)),C678="",D678="",E678&lt;&gt;""),LEFT(TableCosts[[#This Row],[Calc_N_Typ]],18)="Vynaložené náklady"),VLOOKUP(C678&amp;TableCosts[[#This Row],[Calc_N_Typ]],TRAN_STRITEMS_LABEL,VLOOKUP(D678,Tab_Hours,3,0),0),NA()),0)</f>
        <v>0</v>
      </c>
      <c r="BJ678" s="24">
        <f t="shared" si="150"/>
        <v>0</v>
      </c>
      <c r="BK678" s="24" t="str">
        <f t="shared" si="151"/>
        <v/>
      </c>
      <c r="BL678" s="24" t="str">
        <f t="shared" si="152"/>
        <v/>
      </c>
      <c r="BM678" s="24" t="str">
        <f>IF(G678=1,IF(TableCosts[[#This Row],[TransferFrom]]=TableCosts[[#This Row],[TranferTo]],0,1),"")</f>
        <v/>
      </c>
      <c r="BN678" s="24" t="str">
        <f t="shared" si="153"/>
        <v/>
      </c>
      <c r="BO678" s="24">
        <f t="shared" si="154"/>
        <v>0</v>
      </c>
      <c r="BP678" s="24">
        <f t="shared" si="155"/>
        <v>0</v>
      </c>
    </row>
    <row r="679" spans="2:68" s="24" customFormat="1" ht="12.75" x14ac:dyDescent="0.2">
      <c r="B679" s="97"/>
      <c r="C679" s="92"/>
      <c r="D679" s="92"/>
      <c r="E679" s="92"/>
      <c r="F679" s="31" t="str">
        <f>IF(G679=1,IF(ISERROR(TableCosts[[#This Row],[N_Tariff]]),Err_Message1,IF(TableCosts[[#This Row],[N_Tariff]]=0,Err_Message2,VLOOKUP(C679&amp;TableCosts[[#This Row],[Calc_N_Typ]],TRAN_STRITEMS_LABEL,5,FALSE))),"")</f>
        <v/>
      </c>
      <c r="G679" s="31">
        <f t="shared" si="144"/>
        <v>0</v>
      </c>
      <c r="H679" s="31" t="str">
        <f>IF(G679=1,IFERROR(VLOOKUP(F679,Tab_ErrMessage[],2,0),VLOOKUP(C679&amp;TableCosts[[#This Row],[Calc_N_Typ]],TRAN_STRITEMS_LABEL,4,FALSE)),"")</f>
        <v/>
      </c>
      <c r="I679" s="94"/>
      <c r="J679" s="94"/>
      <c r="K679" s="94"/>
      <c r="L679" s="84"/>
      <c r="M679" s="84"/>
      <c r="N679" s="84"/>
      <c r="O679" s="84"/>
      <c r="P679" s="84"/>
      <c r="Q679" s="84"/>
      <c r="R679" s="84"/>
      <c r="S679" s="84"/>
      <c r="T679" s="84"/>
      <c r="U679" s="84"/>
      <c r="V679" s="84"/>
      <c r="W679" s="84"/>
      <c r="X679" s="84"/>
      <c r="Y679" s="84"/>
      <c r="Z679" s="84"/>
      <c r="AA679" s="84"/>
      <c r="AB679" s="84"/>
      <c r="AC679" s="84"/>
      <c r="AD679" s="84"/>
      <c r="AE679" s="84"/>
      <c r="AF679" s="84"/>
      <c r="AG679" s="84"/>
      <c r="AH679" s="84"/>
      <c r="AI679" s="84"/>
      <c r="AJ679" s="84"/>
      <c r="AK679" s="84"/>
      <c r="AL679" s="84"/>
      <c r="AM679" s="84"/>
      <c r="AN679" s="84"/>
      <c r="AO679" s="84"/>
      <c r="AP679" s="84"/>
      <c r="AQ679" s="84"/>
      <c r="AR679" s="84"/>
      <c r="AS679" s="84"/>
      <c r="AT679" s="84"/>
      <c r="AU679" s="84"/>
      <c r="AV679" s="84"/>
      <c r="AW679" s="84"/>
      <c r="AX679" s="87">
        <f t="array" ref="AX679">IF(G679=1,SUM((ROW(M0)=ROW(AW679))*(M0+M1_+M2_+M3_+M4_+M5_+M6_+M7_+M8_+M9_+M10_+M11_+M12_+M13_+M14_+M15_+M16_+M17_+M18_+M19_+M20_+M21_+M22_+M23_+M24_+M25_+M26_+M27_+M28_+M29_+M30_+M31_+M32_+M33_+M34_+M35_+M36_+M37_)),0)</f>
        <v>0</v>
      </c>
      <c r="AZ679" s="24" t="str">
        <f t="shared" si="145"/>
        <v/>
      </c>
      <c r="BA679" s="24" t="str">
        <f t="shared" si="146"/>
        <v/>
      </c>
      <c r="BB679" s="24" t="str">
        <f t="shared" si="147"/>
        <v/>
      </c>
      <c r="BC679" s="24" t="str">
        <f>IF(OR(E679="",LEFT(TableCosts[[#This Row],[Calc_N_Typ]],18)="Vynaložené náklady"),"",VLOOKUP(E679,Tab_Parts,2,0))</f>
        <v/>
      </c>
      <c r="BD679" s="24" t="str">
        <f t="shared" si="148"/>
        <v/>
      </c>
      <c r="BE679" s="24">
        <f t="shared" si="149"/>
        <v>0</v>
      </c>
      <c r="BF679" s="72">
        <f>TableCosts[[#This Row],[N_Amount]]*TableCosts[[#This Row],[N_Tariff]]*TableCosts[[#This Row],[N_ItemsCount]]</f>
        <v>0</v>
      </c>
      <c r="BG679" s="72">
        <f>IF(G679=1,IF(TableCosts[[#This Row],[N_Kateg]]="interné práce",TableCosts[[#This Row],[N_Amount]]*8*PAR_SGA_PERHOUR,0),0)</f>
        <v>0</v>
      </c>
      <c r="BH679" s="72">
        <f>SUM(TableCosts[[#This Row],[N_Direct]:[N_SGA]])</f>
        <v>0</v>
      </c>
      <c r="BI679" s="24">
        <f>IF(G679=1,IF(OR(AND(NOT(ISERROR(VLOOKUP(TableCosts[[#This Row],[Calc_N_Typ]],Cis_WorkPositions,1,0))),C679&lt;&gt;"",D679&lt;&gt;"",E679&lt;&gt;""),AND(ISERROR(VLOOKUP(TableCosts[[#This Row],[Calc_N_Typ]],Cis_WorkPositions,1,0)),C679="",D679="",E679&lt;&gt;""),LEFT(TableCosts[[#This Row],[Calc_N_Typ]],18)="Vynaložené náklady"),VLOOKUP(C679&amp;TableCosts[[#This Row],[Calc_N_Typ]],TRAN_STRITEMS_LABEL,VLOOKUP(D679,Tab_Hours,3,0),0),NA()),0)</f>
        <v>0</v>
      </c>
      <c r="BJ679" s="24">
        <f t="shared" si="150"/>
        <v>0</v>
      </c>
      <c r="BK679" s="24" t="str">
        <f t="shared" si="151"/>
        <v/>
      </c>
      <c r="BL679" s="24" t="str">
        <f t="shared" si="152"/>
        <v/>
      </c>
      <c r="BM679" s="24" t="str">
        <f>IF(G679=1,IF(TableCosts[[#This Row],[TransferFrom]]=TableCosts[[#This Row],[TranferTo]],0,1),"")</f>
        <v/>
      </c>
      <c r="BN679" s="24" t="str">
        <f t="shared" si="153"/>
        <v/>
      </c>
      <c r="BO679" s="24">
        <f t="shared" si="154"/>
        <v>0</v>
      </c>
      <c r="BP679" s="24">
        <f t="shared" si="155"/>
        <v>0</v>
      </c>
    </row>
    <row r="680" spans="2:68" s="24" customFormat="1" ht="12.75" x14ac:dyDescent="0.2">
      <c r="B680" s="97"/>
      <c r="C680" s="92"/>
      <c r="D680" s="92"/>
      <c r="E680" s="92"/>
      <c r="F680" s="31" t="str">
        <f>IF(G680=1,IF(ISERROR(TableCosts[[#This Row],[N_Tariff]]),Err_Message1,IF(TableCosts[[#This Row],[N_Tariff]]=0,Err_Message2,VLOOKUP(C680&amp;TableCosts[[#This Row],[Calc_N_Typ]],TRAN_STRITEMS_LABEL,5,FALSE))),"")</f>
        <v/>
      </c>
      <c r="G680" s="31">
        <f t="shared" si="144"/>
        <v>0</v>
      </c>
      <c r="H680" s="31" t="str">
        <f>IF(G680=1,IFERROR(VLOOKUP(F680,Tab_ErrMessage[],2,0),VLOOKUP(C680&amp;TableCosts[[#This Row],[Calc_N_Typ]],TRAN_STRITEMS_LABEL,4,FALSE)),"")</f>
        <v/>
      </c>
      <c r="I680" s="94"/>
      <c r="J680" s="94"/>
      <c r="K680" s="94"/>
      <c r="L680" s="84"/>
      <c r="M680" s="84"/>
      <c r="N680" s="84"/>
      <c r="O680" s="84"/>
      <c r="P680" s="84"/>
      <c r="Q680" s="84"/>
      <c r="R680" s="84"/>
      <c r="S680" s="84"/>
      <c r="T680" s="84"/>
      <c r="U680" s="84"/>
      <c r="V680" s="84"/>
      <c r="W680" s="84"/>
      <c r="X680" s="84"/>
      <c r="Y680" s="84"/>
      <c r="Z680" s="84"/>
      <c r="AA680" s="84"/>
      <c r="AB680" s="84"/>
      <c r="AC680" s="84"/>
      <c r="AD680" s="84"/>
      <c r="AE680" s="84"/>
      <c r="AF680" s="84"/>
      <c r="AG680" s="84"/>
      <c r="AH680" s="84"/>
      <c r="AI680" s="84"/>
      <c r="AJ680" s="84"/>
      <c r="AK680" s="84"/>
      <c r="AL680" s="84"/>
      <c r="AM680" s="84"/>
      <c r="AN680" s="84"/>
      <c r="AO680" s="84"/>
      <c r="AP680" s="84"/>
      <c r="AQ680" s="84"/>
      <c r="AR680" s="84"/>
      <c r="AS680" s="84"/>
      <c r="AT680" s="84"/>
      <c r="AU680" s="84"/>
      <c r="AV680" s="84"/>
      <c r="AW680" s="84"/>
      <c r="AX680" s="87">
        <f t="array" ref="AX680">IF(G680=1,SUM((ROW(M0)=ROW(AW680))*(M0+M1_+M2_+M3_+M4_+M5_+M6_+M7_+M8_+M9_+M10_+M11_+M12_+M13_+M14_+M15_+M16_+M17_+M18_+M19_+M20_+M21_+M22_+M23_+M24_+M25_+M26_+M27_+M28_+M29_+M30_+M31_+M32_+M33_+M34_+M35_+M36_+M37_)),0)</f>
        <v>0</v>
      </c>
      <c r="AZ680" s="24" t="str">
        <f t="shared" si="145"/>
        <v/>
      </c>
      <c r="BA680" s="24" t="str">
        <f t="shared" si="146"/>
        <v/>
      </c>
      <c r="BB680" s="24" t="str">
        <f t="shared" si="147"/>
        <v/>
      </c>
      <c r="BC680" s="24" t="str">
        <f>IF(OR(E680="",LEFT(TableCosts[[#This Row],[Calc_N_Typ]],18)="Vynaložené náklady"),"",VLOOKUP(E680,Tab_Parts,2,0))</f>
        <v/>
      </c>
      <c r="BD680" s="24" t="str">
        <f t="shared" si="148"/>
        <v/>
      </c>
      <c r="BE680" s="24">
        <f t="shared" si="149"/>
        <v>0</v>
      </c>
      <c r="BF680" s="72">
        <f>TableCosts[[#This Row],[N_Amount]]*TableCosts[[#This Row],[N_Tariff]]*TableCosts[[#This Row],[N_ItemsCount]]</f>
        <v>0</v>
      </c>
      <c r="BG680" s="72">
        <f>IF(G680=1,IF(TableCosts[[#This Row],[N_Kateg]]="interné práce",TableCosts[[#This Row],[N_Amount]]*8*PAR_SGA_PERHOUR,0),0)</f>
        <v>0</v>
      </c>
      <c r="BH680" s="72">
        <f>SUM(TableCosts[[#This Row],[N_Direct]:[N_SGA]])</f>
        <v>0</v>
      </c>
      <c r="BI680" s="24">
        <f>IF(G680=1,IF(OR(AND(NOT(ISERROR(VLOOKUP(TableCosts[[#This Row],[Calc_N_Typ]],Cis_WorkPositions,1,0))),C680&lt;&gt;"",D680&lt;&gt;"",E680&lt;&gt;""),AND(ISERROR(VLOOKUP(TableCosts[[#This Row],[Calc_N_Typ]],Cis_WorkPositions,1,0)),C680="",D680="",E680&lt;&gt;""),LEFT(TableCosts[[#This Row],[Calc_N_Typ]],18)="Vynaložené náklady"),VLOOKUP(C680&amp;TableCosts[[#This Row],[Calc_N_Typ]],TRAN_STRITEMS_LABEL,VLOOKUP(D680,Tab_Hours,3,0),0),NA()),0)</f>
        <v>0</v>
      </c>
      <c r="BJ680" s="24">
        <f t="shared" si="150"/>
        <v>0</v>
      </c>
      <c r="BK680" s="24" t="str">
        <f t="shared" si="151"/>
        <v/>
      </c>
      <c r="BL680" s="24" t="str">
        <f t="shared" si="152"/>
        <v/>
      </c>
      <c r="BM680" s="24" t="str">
        <f>IF(G680=1,IF(TableCosts[[#This Row],[TransferFrom]]=TableCosts[[#This Row],[TranferTo]],0,1),"")</f>
        <v/>
      </c>
      <c r="BN680" s="24" t="str">
        <f t="shared" si="153"/>
        <v/>
      </c>
      <c r="BO680" s="24">
        <f t="shared" si="154"/>
        <v>0</v>
      </c>
      <c r="BP680" s="24">
        <f t="shared" si="155"/>
        <v>0</v>
      </c>
    </row>
    <row r="681" spans="2:68" s="24" customFormat="1" ht="12.75" x14ac:dyDescent="0.2">
      <c r="B681" s="97"/>
      <c r="C681" s="92"/>
      <c r="D681" s="92"/>
      <c r="E681" s="92"/>
      <c r="F681" s="31" t="str">
        <f>IF(G681=1,IF(ISERROR(TableCosts[[#This Row],[N_Tariff]]),Err_Message1,IF(TableCosts[[#This Row],[N_Tariff]]=0,Err_Message2,VLOOKUP(C681&amp;TableCosts[[#This Row],[Calc_N_Typ]],TRAN_STRITEMS_LABEL,5,FALSE))),"")</f>
        <v/>
      </c>
      <c r="G681" s="31">
        <f t="shared" si="144"/>
        <v>0</v>
      </c>
      <c r="H681" s="31" t="str">
        <f>IF(G681=1,IFERROR(VLOOKUP(F681,Tab_ErrMessage[],2,0),VLOOKUP(C681&amp;TableCosts[[#This Row],[Calc_N_Typ]],TRAN_STRITEMS_LABEL,4,FALSE)),"")</f>
        <v/>
      </c>
      <c r="I681" s="94"/>
      <c r="J681" s="94"/>
      <c r="K681" s="94"/>
      <c r="L681" s="84"/>
      <c r="M681" s="84"/>
      <c r="N681" s="84"/>
      <c r="O681" s="84"/>
      <c r="P681" s="84"/>
      <c r="Q681" s="84"/>
      <c r="R681" s="84"/>
      <c r="S681" s="84"/>
      <c r="T681" s="84"/>
      <c r="U681" s="84"/>
      <c r="V681" s="84"/>
      <c r="W681" s="84"/>
      <c r="X681" s="84"/>
      <c r="Y681" s="84"/>
      <c r="Z681" s="84"/>
      <c r="AA681" s="84"/>
      <c r="AB681" s="84"/>
      <c r="AC681" s="84"/>
      <c r="AD681" s="84"/>
      <c r="AE681" s="84"/>
      <c r="AF681" s="84"/>
      <c r="AG681" s="84"/>
      <c r="AH681" s="84"/>
      <c r="AI681" s="84"/>
      <c r="AJ681" s="84"/>
      <c r="AK681" s="84"/>
      <c r="AL681" s="84"/>
      <c r="AM681" s="84"/>
      <c r="AN681" s="84"/>
      <c r="AO681" s="84"/>
      <c r="AP681" s="84"/>
      <c r="AQ681" s="84"/>
      <c r="AR681" s="84"/>
      <c r="AS681" s="84"/>
      <c r="AT681" s="84"/>
      <c r="AU681" s="84"/>
      <c r="AV681" s="84"/>
      <c r="AW681" s="84"/>
      <c r="AX681" s="87">
        <f t="array" ref="AX681">IF(G681=1,SUM((ROW(M0)=ROW(AW681))*(M0+M1_+M2_+M3_+M4_+M5_+M6_+M7_+M8_+M9_+M10_+M11_+M12_+M13_+M14_+M15_+M16_+M17_+M18_+M19_+M20_+M21_+M22_+M23_+M24_+M25_+M26_+M27_+M28_+M29_+M30_+M31_+M32_+M33_+M34_+M35_+M36_+M37_)),0)</f>
        <v>0</v>
      </c>
      <c r="AZ681" s="24" t="str">
        <f t="shared" si="145"/>
        <v/>
      </c>
      <c r="BA681" s="24" t="str">
        <f t="shared" si="146"/>
        <v/>
      </c>
      <c r="BB681" s="24" t="str">
        <f t="shared" si="147"/>
        <v/>
      </c>
      <c r="BC681" s="24" t="str">
        <f>IF(OR(E681="",LEFT(TableCosts[[#This Row],[Calc_N_Typ]],18)="Vynaložené náklady"),"",VLOOKUP(E681,Tab_Parts,2,0))</f>
        <v/>
      </c>
      <c r="BD681" s="24" t="str">
        <f t="shared" si="148"/>
        <v/>
      </c>
      <c r="BE681" s="24">
        <f t="shared" si="149"/>
        <v>0</v>
      </c>
      <c r="BF681" s="72">
        <f>TableCosts[[#This Row],[N_Amount]]*TableCosts[[#This Row],[N_Tariff]]*TableCosts[[#This Row],[N_ItemsCount]]</f>
        <v>0</v>
      </c>
      <c r="BG681" s="72">
        <f>IF(G681=1,IF(TableCosts[[#This Row],[N_Kateg]]="interné práce",TableCosts[[#This Row],[N_Amount]]*8*PAR_SGA_PERHOUR,0),0)</f>
        <v>0</v>
      </c>
      <c r="BH681" s="72">
        <f>SUM(TableCosts[[#This Row],[N_Direct]:[N_SGA]])</f>
        <v>0</v>
      </c>
      <c r="BI681" s="24">
        <f>IF(G681=1,IF(OR(AND(NOT(ISERROR(VLOOKUP(TableCosts[[#This Row],[Calc_N_Typ]],Cis_WorkPositions,1,0))),C681&lt;&gt;"",D681&lt;&gt;"",E681&lt;&gt;""),AND(ISERROR(VLOOKUP(TableCosts[[#This Row],[Calc_N_Typ]],Cis_WorkPositions,1,0)),C681="",D681="",E681&lt;&gt;""),LEFT(TableCosts[[#This Row],[Calc_N_Typ]],18)="Vynaložené náklady"),VLOOKUP(C681&amp;TableCosts[[#This Row],[Calc_N_Typ]],TRAN_STRITEMS_LABEL,VLOOKUP(D681,Tab_Hours,3,0),0),NA()),0)</f>
        <v>0</v>
      </c>
      <c r="BJ681" s="24">
        <f t="shared" si="150"/>
        <v>0</v>
      </c>
      <c r="BK681" s="24" t="str">
        <f t="shared" si="151"/>
        <v/>
      </c>
      <c r="BL681" s="24" t="str">
        <f t="shared" si="152"/>
        <v/>
      </c>
      <c r="BM681" s="24" t="str">
        <f>IF(G681=1,IF(TableCosts[[#This Row],[TransferFrom]]=TableCosts[[#This Row],[TranferTo]],0,1),"")</f>
        <v/>
      </c>
      <c r="BN681" s="24" t="str">
        <f t="shared" si="153"/>
        <v/>
      </c>
      <c r="BO681" s="24">
        <f t="shared" si="154"/>
        <v>0</v>
      </c>
      <c r="BP681" s="24">
        <f t="shared" si="155"/>
        <v>0</v>
      </c>
    </row>
    <row r="682" spans="2:68" s="24" customFormat="1" ht="12.75" x14ac:dyDescent="0.2">
      <c r="B682" s="97"/>
      <c r="C682" s="92"/>
      <c r="D682" s="92"/>
      <c r="E682" s="92"/>
      <c r="F682" s="31" t="str">
        <f>IF(G682=1,IF(ISERROR(TableCosts[[#This Row],[N_Tariff]]),Err_Message1,IF(TableCosts[[#This Row],[N_Tariff]]=0,Err_Message2,VLOOKUP(C682&amp;TableCosts[[#This Row],[Calc_N_Typ]],TRAN_STRITEMS_LABEL,5,FALSE))),"")</f>
        <v/>
      </c>
      <c r="G682" s="31">
        <f t="shared" si="144"/>
        <v>0</v>
      </c>
      <c r="H682" s="31" t="str">
        <f>IF(G682=1,IFERROR(VLOOKUP(F682,Tab_ErrMessage[],2,0),VLOOKUP(C682&amp;TableCosts[[#This Row],[Calc_N_Typ]],TRAN_STRITEMS_LABEL,4,FALSE)),"")</f>
        <v/>
      </c>
      <c r="I682" s="94"/>
      <c r="J682" s="94"/>
      <c r="K682" s="94"/>
      <c r="L682" s="84"/>
      <c r="M682" s="84"/>
      <c r="N682" s="84"/>
      <c r="O682" s="84"/>
      <c r="P682" s="84"/>
      <c r="Q682" s="84"/>
      <c r="R682" s="84"/>
      <c r="S682" s="84"/>
      <c r="T682" s="84"/>
      <c r="U682" s="84"/>
      <c r="V682" s="84"/>
      <c r="W682" s="84"/>
      <c r="X682" s="84"/>
      <c r="Y682" s="84"/>
      <c r="Z682" s="84"/>
      <c r="AA682" s="84"/>
      <c r="AB682" s="84"/>
      <c r="AC682" s="84"/>
      <c r="AD682" s="84"/>
      <c r="AE682" s="84"/>
      <c r="AF682" s="84"/>
      <c r="AG682" s="84"/>
      <c r="AH682" s="84"/>
      <c r="AI682" s="84"/>
      <c r="AJ682" s="84"/>
      <c r="AK682" s="84"/>
      <c r="AL682" s="84"/>
      <c r="AM682" s="84"/>
      <c r="AN682" s="84"/>
      <c r="AO682" s="84"/>
      <c r="AP682" s="84"/>
      <c r="AQ682" s="84"/>
      <c r="AR682" s="84"/>
      <c r="AS682" s="84"/>
      <c r="AT682" s="84"/>
      <c r="AU682" s="84"/>
      <c r="AV682" s="84"/>
      <c r="AW682" s="84"/>
      <c r="AX682" s="87">
        <f t="array" ref="AX682">IF(G682=1,SUM((ROW(M0)=ROW(AW682))*(M0+M1_+M2_+M3_+M4_+M5_+M6_+M7_+M8_+M9_+M10_+M11_+M12_+M13_+M14_+M15_+M16_+M17_+M18_+M19_+M20_+M21_+M22_+M23_+M24_+M25_+M26_+M27_+M28_+M29_+M30_+M31_+M32_+M33_+M34_+M35_+M36_+M37_)),0)</f>
        <v>0</v>
      </c>
      <c r="AZ682" s="24" t="str">
        <f t="shared" si="145"/>
        <v/>
      </c>
      <c r="BA682" s="24" t="str">
        <f t="shared" si="146"/>
        <v/>
      </c>
      <c r="BB682" s="24" t="str">
        <f t="shared" si="147"/>
        <v/>
      </c>
      <c r="BC682" s="24" t="str">
        <f>IF(OR(E682="",LEFT(TableCosts[[#This Row],[Calc_N_Typ]],18)="Vynaložené náklady"),"",VLOOKUP(E682,Tab_Parts,2,0))</f>
        <v/>
      </c>
      <c r="BD682" s="24" t="str">
        <f t="shared" si="148"/>
        <v/>
      </c>
      <c r="BE682" s="24">
        <f t="shared" si="149"/>
        <v>0</v>
      </c>
      <c r="BF682" s="72">
        <f>TableCosts[[#This Row],[N_Amount]]*TableCosts[[#This Row],[N_Tariff]]*TableCosts[[#This Row],[N_ItemsCount]]</f>
        <v>0</v>
      </c>
      <c r="BG682" s="72">
        <f>IF(G682=1,IF(TableCosts[[#This Row],[N_Kateg]]="interné práce",TableCosts[[#This Row],[N_Amount]]*8*PAR_SGA_PERHOUR,0),0)</f>
        <v>0</v>
      </c>
      <c r="BH682" s="72">
        <f>SUM(TableCosts[[#This Row],[N_Direct]:[N_SGA]])</f>
        <v>0</v>
      </c>
      <c r="BI682" s="24">
        <f>IF(G682=1,IF(OR(AND(NOT(ISERROR(VLOOKUP(TableCosts[[#This Row],[Calc_N_Typ]],Cis_WorkPositions,1,0))),C682&lt;&gt;"",D682&lt;&gt;"",E682&lt;&gt;""),AND(ISERROR(VLOOKUP(TableCosts[[#This Row],[Calc_N_Typ]],Cis_WorkPositions,1,0)),C682="",D682="",E682&lt;&gt;""),LEFT(TableCosts[[#This Row],[Calc_N_Typ]],18)="Vynaložené náklady"),VLOOKUP(C682&amp;TableCosts[[#This Row],[Calc_N_Typ]],TRAN_STRITEMS_LABEL,VLOOKUP(D682,Tab_Hours,3,0),0),NA()),0)</f>
        <v>0</v>
      </c>
      <c r="BJ682" s="24">
        <f t="shared" si="150"/>
        <v>0</v>
      </c>
      <c r="BK682" s="24" t="str">
        <f t="shared" si="151"/>
        <v/>
      </c>
      <c r="BL682" s="24" t="str">
        <f t="shared" si="152"/>
        <v/>
      </c>
      <c r="BM682" s="24" t="str">
        <f>IF(G682=1,IF(TableCosts[[#This Row],[TransferFrom]]=TableCosts[[#This Row],[TranferTo]],0,1),"")</f>
        <v/>
      </c>
      <c r="BN682" s="24" t="str">
        <f t="shared" si="153"/>
        <v/>
      </c>
      <c r="BO682" s="24">
        <f t="shared" si="154"/>
        <v>0</v>
      </c>
      <c r="BP682" s="24">
        <f t="shared" si="155"/>
        <v>0</v>
      </c>
    </row>
    <row r="683" spans="2:68" s="24" customFormat="1" ht="12.75" x14ac:dyDescent="0.2">
      <c r="B683" s="97"/>
      <c r="C683" s="92"/>
      <c r="D683" s="92"/>
      <c r="E683" s="92"/>
      <c r="F683" s="31" t="str">
        <f>IF(G683=1,IF(ISERROR(TableCosts[[#This Row],[N_Tariff]]),Err_Message1,IF(TableCosts[[#This Row],[N_Tariff]]=0,Err_Message2,VLOOKUP(C683&amp;TableCosts[[#This Row],[Calc_N_Typ]],TRAN_STRITEMS_LABEL,5,FALSE))),"")</f>
        <v/>
      </c>
      <c r="G683" s="31">
        <f t="shared" si="144"/>
        <v>0</v>
      </c>
      <c r="H683" s="31" t="str">
        <f>IF(G683=1,IFERROR(VLOOKUP(F683,Tab_ErrMessage[],2,0),VLOOKUP(C683&amp;TableCosts[[#This Row],[Calc_N_Typ]],TRAN_STRITEMS_LABEL,4,FALSE)),"")</f>
        <v/>
      </c>
      <c r="I683" s="94"/>
      <c r="J683" s="94"/>
      <c r="K683" s="94"/>
      <c r="L683" s="84"/>
      <c r="M683" s="84"/>
      <c r="N683" s="84"/>
      <c r="O683" s="84"/>
      <c r="P683" s="84"/>
      <c r="Q683" s="84"/>
      <c r="R683" s="84"/>
      <c r="S683" s="84"/>
      <c r="T683" s="84"/>
      <c r="U683" s="84"/>
      <c r="V683" s="84"/>
      <c r="W683" s="84"/>
      <c r="X683" s="84"/>
      <c r="Y683" s="84"/>
      <c r="Z683" s="84"/>
      <c r="AA683" s="84"/>
      <c r="AB683" s="84"/>
      <c r="AC683" s="84"/>
      <c r="AD683" s="84"/>
      <c r="AE683" s="84"/>
      <c r="AF683" s="84"/>
      <c r="AG683" s="84"/>
      <c r="AH683" s="84"/>
      <c r="AI683" s="84"/>
      <c r="AJ683" s="84"/>
      <c r="AK683" s="84"/>
      <c r="AL683" s="84"/>
      <c r="AM683" s="84"/>
      <c r="AN683" s="84"/>
      <c r="AO683" s="84"/>
      <c r="AP683" s="84"/>
      <c r="AQ683" s="84"/>
      <c r="AR683" s="84"/>
      <c r="AS683" s="84"/>
      <c r="AT683" s="84"/>
      <c r="AU683" s="84"/>
      <c r="AV683" s="84"/>
      <c r="AW683" s="84"/>
      <c r="AX683" s="87">
        <f t="array" ref="AX683">IF(G683=1,SUM((ROW(M0)=ROW(AW683))*(M0+M1_+M2_+M3_+M4_+M5_+M6_+M7_+M8_+M9_+M10_+M11_+M12_+M13_+M14_+M15_+M16_+M17_+M18_+M19_+M20_+M21_+M22_+M23_+M24_+M25_+M26_+M27_+M28_+M29_+M30_+M31_+M32_+M33_+M34_+M35_+M36_+M37_)),0)</f>
        <v>0</v>
      </c>
      <c r="AZ683" s="24" t="str">
        <f t="shared" si="145"/>
        <v/>
      </c>
      <c r="BA683" s="24" t="str">
        <f t="shared" si="146"/>
        <v/>
      </c>
      <c r="BB683" s="24" t="str">
        <f t="shared" si="147"/>
        <v/>
      </c>
      <c r="BC683" s="24" t="str">
        <f>IF(OR(E683="",LEFT(TableCosts[[#This Row],[Calc_N_Typ]],18)="Vynaložené náklady"),"",VLOOKUP(E683,Tab_Parts,2,0))</f>
        <v/>
      </c>
      <c r="BD683" s="24" t="str">
        <f t="shared" si="148"/>
        <v/>
      </c>
      <c r="BE683" s="24">
        <f t="shared" si="149"/>
        <v>0</v>
      </c>
      <c r="BF683" s="72">
        <f>TableCosts[[#This Row],[N_Amount]]*TableCosts[[#This Row],[N_Tariff]]*TableCosts[[#This Row],[N_ItemsCount]]</f>
        <v>0</v>
      </c>
      <c r="BG683" s="72">
        <f>IF(G683=1,IF(TableCosts[[#This Row],[N_Kateg]]="interné práce",TableCosts[[#This Row],[N_Amount]]*8*PAR_SGA_PERHOUR,0),0)</f>
        <v>0</v>
      </c>
      <c r="BH683" s="72">
        <f>SUM(TableCosts[[#This Row],[N_Direct]:[N_SGA]])</f>
        <v>0</v>
      </c>
      <c r="BI683" s="24">
        <f>IF(G683=1,IF(OR(AND(NOT(ISERROR(VLOOKUP(TableCosts[[#This Row],[Calc_N_Typ]],Cis_WorkPositions,1,0))),C683&lt;&gt;"",D683&lt;&gt;"",E683&lt;&gt;""),AND(ISERROR(VLOOKUP(TableCosts[[#This Row],[Calc_N_Typ]],Cis_WorkPositions,1,0)),C683="",D683="",E683&lt;&gt;""),LEFT(TableCosts[[#This Row],[Calc_N_Typ]],18)="Vynaložené náklady"),VLOOKUP(C683&amp;TableCosts[[#This Row],[Calc_N_Typ]],TRAN_STRITEMS_LABEL,VLOOKUP(D683,Tab_Hours,3,0),0),NA()),0)</f>
        <v>0</v>
      </c>
      <c r="BJ683" s="24">
        <f t="shared" si="150"/>
        <v>0</v>
      </c>
      <c r="BK683" s="24" t="str">
        <f t="shared" si="151"/>
        <v/>
      </c>
      <c r="BL683" s="24" t="str">
        <f t="shared" si="152"/>
        <v/>
      </c>
      <c r="BM683" s="24" t="str">
        <f>IF(G683=1,IF(TableCosts[[#This Row],[TransferFrom]]=TableCosts[[#This Row],[TranferTo]],0,1),"")</f>
        <v/>
      </c>
      <c r="BN683" s="24" t="str">
        <f t="shared" si="153"/>
        <v/>
      </c>
      <c r="BO683" s="24">
        <f t="shared" si="154"/>
        <v>0</v>
      </c>
      <c r="BP683" s="24">
        <f t="shared" si="155"/>
        <v>0</v>
      </c>
    </row>
    <row r="684" spans="2:68" s="24" customFormat="1" ht="12.75" x14ac:dyDescent="0.2">
      <c r="B684" s="97"/>
      <c r="C684" s="92"/>
      <c r="D684" s="92"/>
      <c r="E684" s="92"/>
      <c r="F684" s="31" t="str">
        <f>IF(G684=1,IF(ISERROR(TableCosts[[#This Row],[N_Tariff]]),Err_Message1,IF(TableCosts[[#This Row],[N_Tariff]]=0,Err_Message2,VLOOKUP(C684&amp;TableCosts[[#This Row],[Calc_N_Typ]],TRAN_STRITEMS_LABEL,5,FALSE))),"")</f>
        <v/>
      </c>
      <c r="G684" s="31">
        <f t="shared" si="144"/>
        <v>0</v>
      </c>
      <c r="H684" s="31" t="str">
        <f>IF(G684=1,IFERROR(VLOOKUP(F684,Tab_ErrMessage[],2,0),VLOOKUP(C684&amp;TableCosts[[#This Row],[Calc_N_Typ]],TRAN_STRITEMS_LABEL,4,FALSE)),"")</f>
        <v/>
      </c>
      <c r="I684" s="94"/>
      <c r="J684" s="94"/>
      <c r="K684" s="94"/>
      <c r="L684" s="84"/>
      <c r="M684" s="84"/>
      <c r="N684" s="84"/>
      <c r="O684" s="84"/>
      <c r="P684" s="84"/>
      <c r="Q684" s="84"/>
      <c r="R684" s="84"/>
      <c r="S684" s="84"/>
      <c r="T684" s="84"/>
      <c r="U684" s="84"/>
      <c r="V684" s="84"/>
      <c r="W684" s="84"/>
      <c r="X684" s="84"/>
      <c r="Y684" s="84"/>
      <c r="Z684" s="84"/>
      <c r="AA684" s="84"/>
      <c r="AB684" s="84"/>
      <c r="AC684" s="84"/>
      <c r="AD684" s="84"/>
      <c r="AE684" s="84"/>
      <c r="AF684" s="84"/>
      <c r="AG684" s="84"/>
      <c r="AH684" s="84"/>
      <c r="AI684" s="84"/>
      <c r="AJ684" s="84"/>
      <c r="AK684" s="84"/>
      <c r="AL684" s="84"/>
      <c r="AM684" s="84"/>
      <c r="AN684" s="84"/>
      <c r="AO684" s="84"/>
      <c r="AP684" s="84"/>
      <c r="AQ684" s="84"/>
      <c r="AR684" s="84"/>
      <c r="AS684" s="84"/>
      <c r="AT684" s="84"/>
      <c r="AU684" s="84"/>
      <c r="AV684" s="84"/>
      <c r="AW684" s="84"/>
      <c r="AX684" s="87">
        <f t="array" ref="AX684">IF(G684=1,SUM((ROW(M0)=ROW(AW684))*(M0+M1_+M2_+M3_+M4_+M5_+M6_+M7_+M8_+M9_+M10_+M11_+M12_+M13_+M14_+M15_+M16_+M17_+M18_+M19_+M20_+M21_+M22_+M23_+M24_+M25_+M26_+M27_+M28_+M29_+M30_+M31_+M32_+M33_+M34_+M35_+M36_+M37_)),0)</f>
        <v>0</v>
      </c>
      <c r="AZ684" s="24" t="str">
        <f t="shared" si="145"/>
        <v/>
      </c>
      <c r="BA684" s="24" t="str">
        <f t="shared" si="146"/>
        <v/>
      </c>
      <c r="BB684" s="24" t="str">
        <f t="shared" si="147"/>
        <v/>
      </c>
      <c r="BC684" s="24" t="str">
        <f>IF(OR(E684="",LEFT(TableCosts[[#This Row],[Calc_N_Typ]],18)="Vynaložené náklady"),"",VLOOKUP(E684,Tab_Parts,2,0))</f>
        <v/>
      </c>
      <c r="BD684" s="24" t="str">
        <f t="shared" si="148"/>
        <v/>
      </c>
      <c r="BE684" s="24">
        <f t="shared" si="149"/>
        <v>0</v>
      </c>
      <c r="BF684" s="72">
        <f>TableCosts[[#This Row],[N_Amount]]*TableCosts[[#This Row],[N_Tariff]]*TableCosts[[#This Row],[N_ItemsCount]]</f>
        <v>0</v>
      </c>
      <c r="BG684" s="72">
        <f>IF(G684=1,IF(TableCosts[[#This Row],[N_Kateg]]="interné práce",TableCosts[[#This Row],[N_Amount]]*8*PAR_SGA_PERHOUR,0),0)</f>
        <v>0</v>
      </c>
      <c r="BH684" s="72">
        <f>SUM(TableCosts[[#This Row],[N_Direct]:[N_SGA]])</f>
        <v>0</v>
      </c>
      <c r="BI684" s="24">
        <f>IF(G684=1,IF(OR(AND(NOT(ISERROR(VLOOKUP(TableCosts[[#This Row],[Calc_N_Typ]],Cis_WorkPositions,1,0))),C684&lt;&gt;"",D684&lt;&gt;"",E684&lt;&gt;""),AND(ISERROR(VLOOKUP(TableCosts[[#This Row],[Calc_N_Typ]],Cis_WorkPositions,1,0)),C684="",D684="",E684&lt;&gt;""),LEFT(TableCosts[[#This Row],[Calc_N_Typ]],18)="Vynaložené náklady"),VLOOKUP(C684&amp;TableCosts[[#This Row],[Calc_N_Typ]],TRAN_STRITEMS_LABEL,VLOOKUP(D684,Tab_Hours,3,0),0),NA()),0)</f>
        <v>0</v>
      </c>
      <c r="BJ684" s="24">
        <f t="shared" si="150"/>
        <v>0</v>
      </c>
      <c r="BK684" s="24" t="str">
        <f t="shared" si="151"/>
        <v/>
      </c>
      <c r="BL684" s="24" t="str">
        <f t="shared" si="152"/>
        <v/>
      </c>
      <c r="BM684" s="24" t="str">
        <f>IF(G684=1,IF(TableCosts[[#This Row],[TransferFrom]]=TableCosts[[#This Row],[TranferTo]],0,1),"")</f>
        <v/>
      </c>
      <c r="BN684" s="24" t="str">
        <f t="shared" si="153"/>
        <v/>
      </c>
      <c r="BO684" s="24">
        <f t="shared" si="154"/>
        <v>0</v>
      </c>
      <c r="BP684" s="24">
        <f t="shared" si="155"/>
        <v>0</v>
      </c>
    </row>
    <row r="685" spans="2:68" s="24" customFormat="1" ht="12.75" x14ac:dyDescent="0.2">
      <c r="B685" s="97"/>
      <c r="C685" s="92"/>
      <c r="D685" s="92"/>
      <c r="E685" s="92"/>
      <c r="F685" s="31" t="str">
        <f>IF(G685=1,IF(ISERROR(TableCosts[[#This Row],[N_Tariff]]),Err_Message1,IF(TableCosts[[#This Row],[N_Tariff]]=0,Err_Message2,VLOOKUP(C685&amp;TableCosts[[#This Row],[Calc_N_Typ]],TRAN_STRITEMS_LABEL,5,FALSE))),"")</f>
        <v/>
      </c>
      <c r="G685" s="31">
        <f t="shared" si="144"/>
        <v>0</v>
      </c>
      <c r="H685" s="31" t="str">
        <f>IF(G685=1,IFERROR(VLOOKUP(F685,Tab_ErrMessage[],2,0),VLOOKUP(C685&amp;TableCosts[[#This Row],[Calc_N_Typ]],TRAN_STRITEMS_LABEL,4,FALSE)),"")</f>
        <v/>
      </c>
      <c r="I685" s="94"/>
      <c r="J685" s="94"/>
      <c r="K685" s="94"/>
      <c r="L685" s="84"/>
      <c r="M685" s="84"/>
      <c r="N685" s="84"/>
      <c r="O685" s="84"/>
      <c r="P685" s="84"/>
      <c r="Q685" s="84"/>
      <c r="R685" s="84"/>
      <c r="S685" s="84"/>
      <c r="T685" s="84"/>
      <c r="U685" s="84"/>
      <c r="V685" s="84"/>
      <c r="W685" s="84"/>
      <c r="X685" s="84"/>
      <c r="Y685" s="84"/>
      <c r="Z685" s="84"/>
      <c r="AA685" s="84"/>
      <c r="AB685" s="84"/>
      <c r="AC685" s="84"/>
      <c r="AD685" s="84"/>
      <c r="AE685" s="84"/>
      <c r="AF685" s="84"/>
      <c r="AG685" s="84"/>
      <c r="AH685" s="84"/>
      <c r="AI685" s="84"/>
      <c r="AJ685" s="84"/>
      <c r="AK685" s="84"/>
      <c r="AL685" s="84"/>
      <c r="AM685" s="84"/>
      <c r="AN685" s="84"/>
      <c r="AO685" s="84"/>
      <c r="AP685" s="84"/>
      <c r="AQ685" s="84"/>
      <c r="AR685" s="84"/>
      <c r="AS685" s="84"/>
      <c r="AT685" s="84"/>
      <c r="AU685" s="84"/>
      <c r="AV685" s="84"/>
      <c r="AW685" s="84"/>
      <c r="AX685" s="87">
        <f t="array" ref="AX685">IF(G685=1,SUM((ROW(M0)=ROW(AW685))*(M0+M1_+M2_+M3_+M4_+M5_+M6_+M7_+M8_+M9_+M10_+M11_+M12_+M13_+M14_+M15_+M16_+M17_+M18_+M19_+M20_+M21_+M22_+M23_+M24_+M25_+M26_+M27_+M28_+M29_+M30_+M31_+M32_+M33_+M34_+M35_+M36_+M37_)),0)</f>
        <v>0</v>
      </c>
      <c r="AZ685" s="24" t="str">
        <f t="shared" si="145"/>
        <v/>
      </c>
      <c r="BA685" s="24" t="str">
        <f t="shared" si="146"/>
        <v/>
      </c>
      <c r="BB685" s="24" t="str">
        <f t="shared" si="147"/>
        <v/>
      </c>
      <c r="BC685" s="24" t="str">
        <f>IF(OR(E685="",LEFT(TableCosts[[#This Row],[Calc_N_Typ]],18)="Vynaložené náklady"),"",VLOOKUP(E685,Tab_Parts,2,0))</f>
        <v/>
      </c>
      <c r="BD685" s="24" t="str">
        <f t="shared" si="148"/>
        <v/>
      </c>
      <c r="BE685" s="24">
        <f t="shared" si="149"/>
        <v>0</v>
      </c>
      <c r="BF685" s="72">
        <f>TableCosts[[#This Row],[N_Amount]]*TableCosts[[#This Row],[N_Tariff]]*TableCosts[[#This Row],[N_ItemsCount]]</f>
        <v>0</v>
      </c>
      <c r="BG685" s="72">
        <f>IF(G685=1,IF(TableCosts[[#This Row],[N_Kateg]]="interné práce",TableCosts[[#This Row],[N_Amount]]*8*PAR_SGA_PERHOUR,0),0)</f>
        <v>0</v>
      </c>
      <c r="BH685" s="72">
        <f>SUM(TableCosts[[#This Row],[N_Direct]:[N_SGA]])</f>
        <v>0</v>
      </c>
      <c r="BI685" s="24">
        <f>IF(G685=1,IF(OR(AND(NOT(ISERROR(VLOOKUP(TableCosts[[#This Row],[Calc_N_Typ]],Cis_WorkPositions,1,0))),C685&lt;&gt;"",D685&lt;&gt;"",E685&lt;&gt;""),AND(ISERROR(VLOOKUP(TableCosts[[#This Row],[Calc_N_Typ]],Cis_WorkPositions,1,0)),C685="",D685="",E685&lt;&gt;""),LEFT(TableCosts[[#This Row],[Calc_N_Typ]],18)="Vynaložené náklady"),VLOOKUP(C685&amp;TableCosts[[#This Row],[Calc_N_Typ]],TRAN_STRITEMS_LABEL,VLOOKUP(D685,Tab_Hours,3,0),0),NA()),0)</f>
        <v>0</v>
      </c>
      <c r="BJ685" s="24">
        <f t="shared" si="150"/>
        <v>0</v>
      </c>
      <c r="BK685" s="24" t="str">
        <f t="shared" si="151"/>
        <v/>
      </c>
      <c r="BL685" s="24" t="str">
        <f t="shared" si="152"/>
        <v/>
      </c>
      <c r="BM685" s="24" t="str">
        <f>IF(G685=1,IF(TableCosts[[#This Row],[TransferFrom]]=TableCosts[[#This Row],[TranferTo]],0,1),"")</f>
        <v/>
      </c>
      <c r="BN685" s="24" t="str">
        <f t="shared" si="153"/>
        <v/>
      </c>
      <c r="BO685" s="24">
        <f t="shared" si="154"/>
        <v>0</v>
      </c>
      <c r="BP685" s="24">
        <f t="shared" si="155"/>
        <v>0</v>
      </c>
    </row>
    <row r="686" spans="2:68" s="24" customFormat="1" ht="12.75" x14ac:dyDescent="0.2">
      <c r="B686" s="97"/>
      <c r="C686" s="92"/>
      <c r="D686" s="92"/>
      <c r="E686" s="92"/>
      <c r="F686" s="31" t="str">
        <f>IF(G686=1,IF(ISERROR(TableCosts[[#This Row],[N_Tariff]]),Err_Message1,IF(TableCosts[[#This Row],[N_Tariff]]=0,Err_Message2,VLOOKUP(C686&amp;TableCosts[[#This Row],[Calc_N_Typ]],TRAN_STRITEMS_LABEL,5,FALSE))),"")</f>
        <v/>
      </c>
      <c r="G686" s="31">
        <f t="shared" si="144"/>
        <v>0</v>
      </c>
      <c r="H686" s="31" t="str">
        <f>IF(G686=1,IFERROR(VLOOKUP(F686,Tab_ErrMessage[],2,0),VLOOKUP(C686&amp;TableCosts[[#This Row],[Calc_N_Typ]],TRAN_STRITEMS_LABEL,4,FALSE)),"")</f>
        <v/>
      </c>
      <c r="I686" s="94"/>
      <c r="J686" s="94"/>
      <c r="K686" s="94"/>
      <c r="L686" s="84"/>
      <c r="M686" s="84"/>
      <c r="N686" s="84"/>
      <c r="O686" s="84"/>
      <c r="P686" s="84"/>
      <c r="Q686" s="84"/>
      <c r="R686" s="84"/>
      <c r="S686" s="84"/>
      <c r="T686" s="84"/>
      <c r="U686" s="84"/>
      <c r="V686" s="84"/>
      <c r="W686" s="84"/>
      <c r="X686" s="84"/>
      <c r="Y686" s="84"/>
      <c r="Z686" s="84"/>
      <c r="AA686" s="84"/>
      <c r="AB686" s="84"/>
      <c r="AC686" s="84"/>
      <c r="AD686" s="84"/>
      <c r="AE686" s="84"/>
      <c r="AF686" s="84"/>
      <c r="AG686" s="84"/>
      <c r="AH686" s="84"/>
      <c r="AI686" s="84"/>
      <c r="AJ686" s="84"/>
      <c r="AK686" s="84"/>
      <c r="AL686" s="84"/>
      <c r="AM686" s="84"/>
      <c r="AN686" s="84"/>
      <c r="AO686" s="84"/>
      <c r="AP686" s="84"/>
      <c r="AQ686" s="84"/>
      <c r="AR686" s="84"/>
      <c r="AS686" s="84"/>
      <c r="AT686" s="84"/>
      <c r="AU686" s="84"/>
      <c r="AV686" s="84"/>
      <c r="AW686" s="84"/>
      <c r="AX686" s="87">
        <f t="array" ref="AX686">IF(G686=1,SUM((ROW(M0)=ROW(AW686))*(M0+M1_+M2_+M3_+M4_+M5_+M6_+M7_+M8_+M9_+M10_+M11_+M12_+M13_+M14_+M15_+M16_+M17_+M18_+M19_+M20_+M21_+M22_+M23_+M24_+M25_+M26_+M27_+M28_+M29_+M30_+M31_+M32_+M33_+M34_+M35_+M36_+M37_)),0)</f>
        <v>0</v>
      </c>
      <c r="AZ686" s="24" t="str">
        <f t="shared" si="145"/>
        <v/>
      </c>
      <c r="BA686" s="24" t="str">
        <f t="shared" si="146"/>
        <v/>
      </c>
      <c r="BB686" s="24" t="str">
        <f t="shared" si="147"/>
        <v/>
      </c>
      <c r="BC686" s="24" t="str">
        <f>IF(OR(E686="",LEFT(TableCosts[[#This Row],[Calc_N_Typ]],18)="Vynaložené náklady"),"",VLOOKUP(E686,Tab_Parts,2,0))</f>
        <v/>
      </c>
      <c r="BD686" s="24" t="str">
        <f t="shared" si="148"/>
        <v/>
      </c>
      <c r="BE686" s="24">
        <f t="shared" si="149"/>
        <v>0</v>
      </c>
      <c r="BF686" s="72">
        <f>TableCosts[[#This Row],[N_Amount]]*TableCosts[[#This Row],[N_Tariff]]*TableCosts[[#This Row],[N_ItemsCount]]</f>
        <v>0</v>
      </c>
      <c r="BG686" s="72">
        <f>IF(G686=1,IF(TableCosts[[#This Row],[N_Kateg]]="interné práce",TableCosts[[#This Row],[N_Amount]]*8*PAR_SGA_PERHOUR,0),0)</f>
        <v>0</v>
      </c>
      <c r="BH686" s="72">
        <f>SUM(TableCosts[[#This Row],[N_Direct]:[N_SGA]])</f>
        <v>0</v>
      </c>
      <c r="BI686" s="24">
        <f>IF(G686=1,IF(OR(AND(NOT(ISERROR(VLOOKUP(TableCosts[[#This Row],[Calc_N_Typ]],Cis_WorkPositions,1,0))),C686&lt;&gt;"",D686&lt;&gt;"",E686&lt;&gt;""),AND(ISERROR(VLOOKUP(TableCosts[[#This Row],[Calc_N_Typ]],Cis_WorkPositions,1,0)),C686="",D686="",E686&lt;&gt;""),LEFT(TableCosts[[#This Row],[Calc_N_Typ]],18)="Vynaložené náklady"),VLOOKUP(C686&amp;TableCosts[[#This Row],[Calc_N_Typ]],TRAN_STRITEMS_LABEL,VLOOKUP(D686,Tab_Hours,3,0),0),NA()),0)</f>
        <v>0</v>
      </c>
      <c r="BJ686" s="24">
        <f t="shared" si="150"/>
        <v>0</v>
      </c>
      <c r="BK686" s="24" t="str">
        <f t="shared" si="151"/>
        <v/>
      </c>
      <c r="BL686" s="24" t="str">
        <f t="shared" si="152"/>
        <v/>
      </c>
      <c r="BM686" s="24" t="str">
        <f>IF(G686=1,IF(TableCosts[[#This Row],[TransferFrom]]=TableCosts[[#This Row],[TranferTo]],0,1),"")</f>
        <v/>
      </c>
      <c r="BN686" s="24" t="str">
        <f t="shared" si="153"/>
        <v/>
      </c>
      <c r="BO686" s="24">
        <f t="shared" si="154"/>
        <v>0</v>
      </c>
      <c r="BP686" s="24">
        <f t="shared" si="155"/>
        <v>0</v>
      </c>
    </row>
    <row r="687" spans="2:68" s="24" customFormat="1" ht="12.75" x14ac:dyDescent="0.2">
      <c r="B687" s="97"/>
      <c r="C687" s="92"/>
      <c r="D687" s="92"/>
      <c r="E687" s="92"/>
      <c r="F687" s="31" t="str">
        <f>IF(G687=1,IF(ISERROR(TableCosts[[#This Row],[N_Tariff]]),Err_Message1,IF(TableCosts[[#This Row],[N_Tariff]]=0,Err_Message2,VLOOKUP(C687&amp;TableCosts[[#This Row],[Calc_N_Typ]],TRAN_STRITEMS_LABEL,5,FALSE))),"")</f>
        <v/>
      </c>
      <c r="G687" s="31">
        <f t="shared" si="144"/>
        <v>0</v>
      </c>
      <c r="H687" s="31" t="str">
        <f>IF(G687=1,IFERROR(VLOOKUP(F687,Tab_ErrMessage[],2,0),VLOOKUP(C687&amp;TableCosts[[#This Row],[Calc_N_Typ]],TRAN_STRITEMS_LABEL,4,FALSE)),"")</f>
        <v/>
      </c>
      <c r="I687" s="94"/>
      <c r="J687" s="94"/>
      <c r="K687" s="94"/>
      <c r="L687" s="84"/>
      <c r="M687" s="84"/>
      <c r="N687" s="84"/>
      <c r="O687" s="84"/>
      <c r="P687" s="84"/>
      <c r="Q687" s="84"/>
      <c r="R687" s="84"/>
      <c r="S687" s="84"/>
      <c r="T687" s="84"/>
      <c r="U687" s="84"/>
      <c r="V687" s="84"/>
      <c r="W687" s="84"/>
      <c r="X687" s="84"/>
      <c r="Y687" s="84"/>
      <c r="Z687" s="84"/>
      <c r="AA687" s="84"/>
      <c r="AB687" s="84"/>
      <c r="AC687" s="84"/>
      <c r="AD687" s="84"/>
      <c r="AE687" s="84"/>
      <c r="AF687" s="84"/>
      <c r="AG687" s="84"/>
      <c r="AH687" s="84"/>
      <c r="AI687" s="84"/>
      <c r="AJ687" s="84"/>
      <c r="AK687" s="84"/>
      <c r="AL687" s="84"/>
      <c r="AM687" s="84"/>
      <c r="AN687" s="84"/>
      <c r="AO687" s="84"/>
      <c r="AP687" s="84"/>
      <c r="AQ687" s="84"/>
      <c r="AR687" s="84"/>
      <c r="AS687" s="84"/>
      <c r="AT687" s="84"/>
      <c r="AU687" s="84"/>
      <c r="AV687" s="84"/>
      <c r="AW687" s="84"/>
      <c r="AX687" s="87">
        <f t="array" ref="AX687">IF(G687=1,SUM((ROW(M0)=ROW(AW687))*(M0+M1_+M2_+M3_+M4_+M5_+M6_+M7_+M8_+M9_+M10_+M11_+M12_+M13_+M14_+M15_+M16_+M17_+M18_+M19_+M20_+M21_+M22_+M23_+M24_+M25_+M26_+M27_+M28_+M29_+M30_+M31_+M32_+M33_+M34_+M35_+M36_+M37_)),0)</f>
        <v>0</v>
      </c>
      <c r="AZ687" s="24" t="str">
        <f t="shared" si="145"/>
        <v/>
      </c>
      <c r="BA687" s="24" t="str">
        <f t="shared" si="146"/>
        <v/>
      </c>
      <c r="BB687" s="24" t="str">
        <f t="shared" si="147"/>
        <v/>
      </c>
      <c r="BC687" s="24" t="str">
        <f>IF(OR(E687="",LEFT(TableCosts[[#This Row],[Calc_N_Typ]],18)="Vynaložené náklady"),"",VLOOKUP(E687,Tab_Parts,2,0))</f>
        <v/>
      </c>
      <c r="BD687" s="24" t="str">
        <f t="shared" si="148"/>
        <v/>
      </c>
      <c r="BE687" s="24">
        <f t="shared" si="149"/>
        <v>0</v>
      </c>
      <c r="BF687" s="72">
        <f>TableCosts[[#This Row],[N_Amount]]*TableCosts[[#This Row],[N_Tariff]]*TableCosts[[#This Row],[N_ItemsCount]]</f>
        <v>0</v>
      </c>
      <c r="BG687" s="72">
        <f>IF(G687=1,IF(TableCosts[[#This Row],[N_Kateg]]="interné práce",TableCosts[[#This Row],[N_Amount]]*8*PAR_SGA_PERHOUR,0),0)</f>
        <v>0</v>
      </c>
      <c r="BH687" s="72">
        <f>SUM(TableCosts[[#This Row],[N_Direct]:[N_SGA]])</f>
        <v>0</v>
      </c>
      <c r="BI687" s="24">
        <f>IF(G687=1,IF(OR(AND(NOT(ISERROR(VLOOKUP(TableCosts[[#This Row],[Calc_N_Typ]],Cis_WorkPositions,1,0))),C687&lt;&gt;"",D687&lt;&gt;"",E687&lt;&gt;""),AND(ISERROR(VLOOKUP(TableCosts[[#This Row],[Calc_N_Typ]],Cis_WorkPositions,1,0)),C687="",D687="",E687&lt;&gt;""),LEFT(TableCosts[[#This Row],[Calc_N_Typ]],18)="Vynaložené náklady"),VLOOKUP(C687&amp;TableCosts[[#This Row],[Calc_N_Typ]],TRAN_STRITEMS_LABEL,VLOOKUP(D687,Tab_Hours,3,0),0),NA()),0)</f>
        <v>0</v>
      </c>
      <c r="BJ687" s="24">
        <f t="shared" si="150"/>
        <v>0</v>
      </c>
      <c r="BK687" s="24" t="str">
        <f t="shared" si="151"/>
        <v/>
      </c>
      <c r="BL687" s="24" t="str">
        <f t="shared" si="152"/>
        <v/>
      </c>
      <c r="BM687" s="24" t="str">
        <f>IF(G687=1,IF(TableCosts[[#This Row],[TransferFrom]]=TableCosts[[#This Row],[TranferTo]],0,1),"")</f>
        <v/>
      </c>
      <c r="BN687" s="24" t="str">
        <f t="shared" si="153"/>
        <v/>
      </c>
      <c r="BO687" s="24">
        <f t="shared" si="154"/>
        <v>0</v>
      </c>
      <c r="BP687" s="24">
        <f t="shared" si="155"/>
        <v>0</v>
      </c>
    </row>
    <row r="688" spans="2:68" s="24" customFormat="1" ht="12.75" x14ac:dyDescent="0.2">
      <c r="B688" s="97"/>
      <c r="C688" s="92"/>
      <c r="D688" s="92"/>
      <c r="E688" s="92"/>
      <c r="F688" s="31" t="str">
        <f>IF(G688=1,IF(ISERROR(TableCosts[[#This Row],[N_Tariff]]),Err_Message1,IF(TableCosts[[#This Row],[N_Tariff]]=0,Err_Message2,VLOOKUP(C688&amp;TableCosts[[#This Row],[Calc_N_Typ]],TRAN_STRITEMS_LABEL,5,FALSE))),"")</f>
        <v/>
      </c>
      <c r="G688" s="31">
        <f t="shared" si="144"/>
        <v>0</v>
      </c>
      <c r="H688" s="31" t="str">
        <f>IF(G688=1,IFERROR(VLOOKUP(F688,Tab_ErrMessage[],2,0),VLOOKUP(C688&amp;TableCosts[[#This Row],[Calc_N_Typ]],TRAN_STRITEMS_LABEL,4,FALSE)),"")</f>
        <v/>
      </c>
      <c r="I688" s="94"/>
      <c r="J688" s="94"/>
      <c r="K688" s="94"/>
      <c r="L688" s="84"/>
      <c r="M688" s="84"/>
      <c r="N688" s="84"/>
      <c r="O688" s="84"/>
      <c r="P688" s="84"/>
      <c r="Q688" s="84"/>
      <c r="R688" s="84"/>
      <c r="S688" s="84"/>
      <c r="T688" s="84"/>
      <c r="U688" s="84"/>
      <c r="V688" s="84"/>
      <c r="W688" s="84"/>
      <c r="X688" s="84"/>
      <c r="Y688" s="84"/>
      <c r="Z688" s="84"/>
      <c r="AA688" s="84"/>
      <c r="AB688" s="84"/>
      <c r="AC688" s="84"/>
      <c r="AD688" s="84"/>
      <c r="AE688" s="84"/>
      <c r="AF688" s="84"/>
      <c r="AG688" s="84"/>
      <c r="AH688" s="84"/>
      <c r="AI688" s="84"/>
      <c r="AJ688" s="84"/>
      <c r="AK688" s="84"/>
      <c r="AL688" s="84"/>
      <c r="AM688" s="84"/>
      <c r="AN688" s="84"/>
      <c r="AO688" s="84"/>
      <c r="AP688" s="84"/>
      <c r="AQ688" s="84"/>
      <c r="AR688" s="84"/>
      <c r="AS688" s="84"/>
      <c r="AT688" s="84"/>
      <c r="AU688" s="84"/>
      <c r="AV688" s="84"/>
      <c r="AW688" s="84"/>
      <c r="AX688" s="87">
        <f t="array" ref="AX688">IF(G688=1,SUM((ROW(M0)=ROW(AW688))*(M0+M1_+M2_+M3_+M4_+M5_+M6_+M7_+M8_+M9_+M10_+M11_+M12_+M13_+M14_+M15_+M16_+M17_+M18_+M19_+M20_+M21_+M22_+M23_+M24_+M25_+M26_+M27_+M28_+M29_+M30_+M31_+M32_+M33_+M34_+M35_+M36_+M37_)),0)</f>
        <v>0</v>
      </c>
      <c r="AZ688" s="24" t="str">
        <f t="shared" si="145"/>
        <v/>
      </c>
      <c r="BA688" s="24" t="str">
        <f t="shared" si="146"/>
        <v/>
      </c>
      <c r="BB688" s="24" t="str">
        <f t="shared" si="147"/>
        <v/>
      </c>
      <c r="BC688" s="24" t="str">
        <f>IF(OR(E688="",LEFT(TableCosts[[#This Row],[Calc_N_Typ]],18)="Vynaložené náklady"),"",VLOOKUP(E688,Tab_Parts,2,0))</f>
        <v/>
      </c>
      <c r="BD688" s="24" t="str">
        <f t="shared" si="148"/>
        <v/>
      </c>
      <c r="BE688" s="24">
        <f t="shared" si="149"/>
        <v>0</v>
      </c>
      <c r="BF688" s="72">
        <f>TableCosts[[#This Row],[N_Amount]]*TableCosts[[#This Row],[N_Tariff]]*TableCosts[[#This Row],[N_ItemsCount]]</f>
        <v>0</v>
      </c>
      <c r="BG688" s="72">
        <f>IF(G688=1,IF(TableCosts[[#This Row],[N_Kateg]]="interné práce",TableCosts[[#This Row],[N_Amount]]*8*PAR_SGA_PERHOUR,0),0)</f>
        <v>0</v>
      </c>
      <c r="BH688" s="72">
        <f>SUM(TableCosts[[#This Row],[N_Direct]:[N_SGA]])</f>
        <v>0</v>
      </c>
      <c r="BI688" s="24">
        <f>IF(G688=1,IF(OR(AND(NOT(ISERROR(VLOOKUP(TableCosts[[#This Row],[Calc_N_Typ]],Cis_WorkPositions,1,0))),C688&lt;&gt;"",D688&lt;&gt;"",E688&lt;&gt;""),AND(ISERROR(VLOOKUP(TableCosts[[#This Row],[Calc_N_Typ]],Cis_WorkPositions,1,0)),C688="",D688="",E688&lt;&gt;""),LEFT(TableCosts[[#This Row],[Calc_N_Typ]],18)="Vynaložené náklady"),VLOOKUP(C688&amp;TableCosts[[#This Row],[Calc_N_Typ]],TRAN_STRITEMS_LABEL,VLOOKUP(D688,Tab_Hours,3,0),0),NA()),0)</f>
        <v>0</v>
      </c>
      <c r="BJ688" s="24">
        <f t="shared" si="150"/>
        <v>0</v>
      </c>
      <c r="BK688" s="24" t="str">
        <f t="shared" si="151"/>
        <v/>
      </c>
      <c r="BL688" s="24" t="str">
        <f t="shared" si="152"/>
        <v/>
      </c>
      <c r="BM688" s="24" t="str">
        <f>IF(G688=1,IF(TableCosts[[#This Row],[TransferFrom]]=TableCosts[[#This Row],[TranferTo]],0,1),"")</f>
        <v/>
      </c>
      <c r="BN688" s="24" t="str">
        <f t="shared" si="153"/>
        <v/>
      </c>
      <c r="BO688" s="24">
        <f t="shared" si="154"/>
        <v>0</v>
      </c>
      <c r="BP688" s="24">
        <f t="shared" si="155"/>
        <v>0</v>
      </c>
    </row>
    <row r="689" spans="2:68" s="24" customFormat="1" ht="12.75" x14ac:dyDescent="0.2">
      <c r="B689" s="97"/>
      <c r="C689" s="92"/>
      <c r="D689" s="92"/>
      <c r="E689" s="92"/>
      <c r="F689" s="31" t="str">
        <f>IF(G689=1,IF(ISERROR(TableCosts[[#This Row],[N_Tariff]]),Err_Message1,IF(TableCosts[[#This Row],[N_Tariff]]=0,Err_Message2,VLOOKUP(C689&amp;TableCosts[[#This Row],[Calc_N_Typ]],TRAN_STRITEMS_LABEL,5,FALSE))),"")</f>
        <v/>
      </c>
      <c r="G689" s="31">
        <f t="shared" si="144"/>
        <v>0</v>
      </c>
      <c r="H689" s="31" t="str">
        <f>IF(G689=1,IFERROR(VLOOKUP(F689,Tab_ErrMessage[],2,0),VLOOKUP(C689&amp;TableCosts[[#This Row],[Calc_N_Typ]],TRAN_STRITEMS_LABEL,4,FALSE)),"")</f>
        <v/>
      </c>
      <c r="I689" s="94"/>
      <c r="J689" s="94"/>
      <c r="K689" s="94"/>
      <c r="L689" s="84"/>
      <c r="M689" s="84"/>
      <c r="N689" s="84"/>
      <c r="O689" s="84"/>
      <c r="P689" s="84"/>
      <c r="Q689" s="84"/>
      <c r="R689" s="84"/>
      <c r="S689" s="84"/>
      <c r="T689" s="84"/>
      <c r="U689" s="84"/>
      <c r="V689" s="84"/>
      <c r="W689" s="84"/>
      <c r="X689" s="84"/>
      <c r="Y689" s="84"/>
      <c r="Z689" s="84"/>
      <c r="AA689" s="84"/>
      <c r="AB689" s="84"/>
      <c r="AC689" s="84"/>
      <c r="AD689" s="84"/>
      <c r="AE689" s="84"/>
      <c r="AF689" s="84"/>
      <c r="AG689" s="84"/>
      <c r="AH689" s="84"/>
      <c r="AI689" s="84"/>
      <c r="AJ689" s="84"/>
      <c r="AK689" s="84"/>
      <c r="AL689" s="84"/>
      <c r="AM689" s="84"/>
      <c r="AN689" s="84"/>
      <c r="AO689" s="84"/>
      <c r="AP689" s="84"/>
      <c r="AQ689" s="84"/>
      <c r="AR689" s="84"/>
      <c r="AS689" s="84"/>
      <c r="AT689" s="84"/>
      <c r="AU689" s="84"/>
      <c r="AV689" s="84"/>
      <c r="AW689" s="84"/>
      <c r="AX689" s="87">
        <f t="array" ref="AX689">IF(G689=1,SUM((ROW(M0)=ROW(AW689))*(M0+M1_+M2_+M3_+M4_+M5_+M6_+M7_+M8_+M9_+M10_+M11_+M12_+M13_+M14_+M15_+M16_+M17_+M18_+M19_+M20_+M21_+M22_+M23_+M24_+M25_+M26_+M27_+M28_+M29_+M30_+M31_+M32_+M33_+M34_+M35_+M36_+M37_)),0)</f>
        <v>0</v>
      </c>
      <c r="AZ689" s="24" t="str">
        <f t="shared" si="145"/>
        <v/>
      </c>
      <c r="BA689" s="24" t="str">
        <f t="shared" si="146"/>
        <v/>
      </c>
      <c r="BB689" s="24" t="str">
        <f t="shared" si="147"/>
        <v/>
      </c>
      <c r="BC689" s="24" t="str">
        <f>IF(OR(E689="",LEFT(TableCosts[[#This Row],[Calc_N_Typ]],18)="Vynaložené náklady"),"",VLOOKUP(E689,Tab_Parts,2,0))</f>
        <v/>
      </c>
      <c r="BD689" s="24" t="str">
        <f t="shared" si="148"/>
        <v/>
      </c>
      <c r="BE689" s="24">
        <f t="shared" si="149"/>
        <v>0</v>
      </c>
      <c r="BF689" s="72">
        <f>TableCosts[[#This Row],[N_Amount]]*TableCosts[[#This Row],[N_Tariff]]*TableCosts[[#This Row],[N_ItemsCount]]</f>
        <v>0</v>
      </c>
      <c r="BG689" s="72">
        <f>IF(G689=1,IF(TableCosts[[#This Row],[N_Kateg]]="interné práce",TableCosts[[#This Row],[N_Amount]]*8*PAR_SGA_PERHOUR,0),0)</f>
        <v>0</v>
      </c>
      <c r="BH689" s="72">
        <f>SUM(TableCosts[[#This Row],[N_Direct]:[N_SGA]])</f>
        <v>0</v>
      </c>
      <c r="BI689" s="24">
        <f>IF(G689=1,IF(OR(AND(NOT(ISERROR(VLOOKUP(TableCosts[[#This Row],[Calc_N_Typ]],Cis_WorkPositions,1,0))),C689&lt;&gt;"",D689&lt;&gt;"",E689&lt;&gt;""),AND(ISERROR(VLOOKUP(TableCosts[[#This Row],[Calc_N_Typ]],Cis_WorkPositions,1,0)),C689="",D689="",E689&lt;&gt;""),LEFT(TableCosts[[#This Row],[Calc_N_Typ]],18)="Vynaložené náklady"),VLOOKUP(C689&amp;TableCosts[[#This Row],[Calc_N_Typ]],TRAN_STRITEMS_LABEL,VLOOKUP(D689,Tab_Hours,3,0),0),NA()),0)</f>
        <v>0</v>
      </c>
      <c r="BJ689" s="24">
        <f t="shared" si="150"/>
        <v>0</v>
      </c>
      <c r="BK689" s="24" t="str">
        <f t="shared" si="151"/>
        <v/>
      </c>
      <c r="BL689" s="24" t="str">
        <f t="shared" si="152"/>
        <v/>
      </c>
      <c r="BM689" s="24" t="str">
        <f>IF(G689=1,IF(TableCosts[[#This Row],[TransferFrom]]=TableCosts[[#This Row],[TranferTo]],0,1),"")</f>
        <v/>
      </c>
      <c r="BN689" s="24" t="str">
        <f t="shared" si="153"/>
        <v/>
      </c>
      <c r="BO689" s="24">
        <f t="shared" si="154"/>
        <v>0</v>
      </c>
      <c r="BP689" s="24">
        <f t="shared" si="155"/>
        <v>0</v>
      </c>
    </row>
    <row r="690" spans="2:68" s="24" customFormat="1" ht="12.75" x14ac:dyDescent="0.2">
      <c r="B690" s="97"/>
      <c r="C690" s="92"/>
      <c r="D690" s="92"/>
      <c r="E690" s="92"/>
      <c r="F690" s="31" t="str">
        <f>IF(G690=1,IF(ISERROR(TableCosts[[#This Row],[N_Tariff]]),Err_Message1,IF(TableCosts[[#This Row],[N_Tariff]]=0,Err_Message2,VLOOKUP(C690&amp;TableCosts[[#This Row],[Calc_N_Typ]],TRAN_STRITEMS_LABEL,5,FALSE))),"")</f>
        <v/>
      </c>
      <c r="G690" s="31">
        <f t="shared" si="144"/>
        <v>0</v>
      </c>
      <c r="H690" s="31" t="str">
        <f>IF(G690=1,IFERROR(VLOOKUP(F690,Tab_ErrMessage[],2,0),VLOOKUP(C690&amp;TableCosts[[#This Row],[Calc_N_Typ]],TRAN_STRITEMS_LABEL,4,FALSE)),"")</f>
        <v/>
      </c>
      <c r="I690" s="94"/>
      <c r="J690" s="94"/>
      <c r="K690" s="94"/>
      <c r="L690" s="84"/>
      <c r="M690" s="84"/>
      <c r="N690" s="84"/>
      <c r="O690" s="84"/>
      <c r="P690" s="84"/>
      <c r="Q690" s="84"/>
      <c r="R690" s="84"/>
      <c r="S690" s="84"/>
      <c r="T690" s="84"/>
      <c r="U690" s="84"/>
      <c r="V690" s="84"/>
      <c r="W690" s="84"/>
      <c r="X690" s="84"/>
      <c r="Y690" s="84"/>
      <c r="Z690" s="84"/>
      <c r="AA690" s="84"/>
      <c r="AB690" s="84"/>
      <c r="AC690" s="84"/>
      <c r="AD690" s="84"/>
      <c r="AE690" s="84"/>
      <c r="AF690" s="84"/>
      <c r="AG690" s="84"/>
      <c r="AH690" s="84"/>
      <c r="AI690" s="84"/>
      <c r="AJ690" s="84"/>
      <c r="AK690" s="84"/>
      <c r="AL690" s="84"/>
      <c r="AM690" s="84"/>
      <c r="AN690" s="84"/>
      <c r="AO690" s="84"/>
      <c r="AP690" s="84"/>
      <c r="AQ690" s="84"/>
      <c r="AR690" s="84"/>
      <c r="AS690" s="84"/>
      <c r="AT690" s="84"/>
      <c r="AU690" s="84"/>
      <c r="AV690" s="84"/>
      <c r="AW690" s="84"/>
      <c r="AX690" s="87">
        <f t="array" ref="AX690">IF(G690=1,SUM((ROW(M0)=ROW(AW690))*(M0+M1_+M2_+M3_+M4_+M5_+M6_+M7_+M8_+M9_+M10_+M11_+M12_+M13_+M14_+M15_+M16_+M17_+M18_+M19_+M20_+M21_+M22_+M23_+M24_+M25_+M26_+M27_+M28_+M29_+M30_+M31_+M32_+M33_+M34_+M35_+M36_+M37_)),0)</f>
        <v>0</v>
      </c>
      <c r="AZ690" s="24" t="str">
        <f t="shared" si="145"/>
        <v/>
      </c>
      <c r="BA690" s="24" t="str">
        <f t="shared" si="146"/>
        <v/>
      </c>
      <c r="BB690" s="24" t="str">
        <f t="shared" si="147"/>
        <v/>
      </c>
      <c r="BC690" s="24" t="str">
        <f>IF(OR(E690="",LEFT(TableCosts[[#This Row],[Calc_N_Typ]],18)="Vynaložené náklady"),"",VLOOKUP(E690,Tab_Parts,2,0))</f>
        <v/>
      </c>
      <c r="BD690" s="24" t="str">
        <f t="shared" si="148"/>
        <v/>
      </c>
      <c r="BE690" s="24">
        <f t="shared" si="149"/>
        <v>0</v>
      </c>
      <c r="BF690" s="72">
        <f>TableCosts[[#This Row],[N_Amount]]*TableCosts[[#This Row],[N_Tariff]]*TableCosts[[#This Row],[N_ItemsCount]]</f>
        <v>0</v>
      </c>
      <c r="BG690" s="72">
        <f>IF(G690=1,IF(TableCosts[[#This Row],[N_Kateg]]="interné práce",TableCosts[[#This Row],[N_Amount]]*8*PAR_SGA_PERHOUR,0),0)</f>
        <v>0</v>
      </c>
      <c r="BH690" s="72">
        <f>SUM(TableCosts[[#This Row],[N_Direct]:[N_SGA]])</f>
        <v>0</v>
      </c>
      <c r="BI690" s="24">
        <f>IF(G690=1,IF(OR(AND(NOT(ISERROR(VLOOKUP(TableCosts[[#This Row],[Calc_N_Typ]],Cis_WorkPositions,1,0))),C690&lt;&gt;"",D690&lt;&gt;"",E690&lt;&gt;""),AND(ISERROR(VLOOKUP(TableCosts[[#This Row],[Calc_N_Typ]],Cis_WorkPositions,1,0)),C690="",D690="",E690&lt;&gt;""),LEFT(TableCosts[[#This Row],[Calc_N_Typ]],18)="Vynaložené náklady"),VLOOKUP(C690&amp;TableCosts[[#This Row],[Calc_N_Typ]],TRAN_STRITEMS_LABEL,VLOOKUP(D690,Tab_Hours,3,0),0),NA()),0)</f>
        <v>0</v>
      </c>
      <c r="BJ690" s="24">
        <f t="shared" si="150"/>
        <v>0</v>
      </c>
      <c r="BK690" s="24" t="str">
        <f t="shared" si="151"/>
        <v/>
      </c>
      <c r="BL690" s="24" t="str">
        <f t="shared" si="152"/>
        <v/>
      </c>
      <c r="BM690" s="24" t="str">
        <f>IF(G690=1,IF(TableCosts[[#This Row],[TransferFrom]]=TableCosts[[#This Row],[TranferTo]],0,1),"")</f>
        <v/>
      </c>
      <c r="BN690" s="24" t="str">
        <f t="shared" si="153"/>
        <v/>
      </c>
      <c r="BO690" s="24">
        <f t="shared" si="154"/>
        <v>0</v>
      </c>
      <c r="BP690" s="24">
        <f t="shared" si="155"/>
        <v>0</v>
      </c>
    </row>
    <row r="691" spans="2:68" s="24" customFormat="1" ht="12.75" x14ac:dyDescent="0.2">
      <c r="B691" s="97"/>
      <c r="C691" s="92"/>
      <c r="D691" s="92"/>
      <c r="E691" s="92"/>
      <c r="F691" s="31" t="str">
        <f>IF(G691=1,IF(ISERROR(TableCosts[[#This Row],[N_Tariff]]),Err_Message1,IF(TableCosts[[#This Row],[N_Tariff]]=0,Err_Message2,VLOOKUP(C691&amp;TableCosts[[#This Row],[Calc_N_Typ]],TRAN_STRITEMS_LABEL,5,FALSE))),"")</f>
        <v/>
      </c>
      <c r="G691" s="31">
        <f t="shared" si="144"/>
        <v>0</v>
      </c>
      <c r="H691" s="31" t="str">
        <f>IF(G691=1,IFERROR(VLOOKUP(F691,Tab_ErrMessage[],2,0),VLOOKUP(C691&amp;TableCosts[[#This Row],[Calc_N_Typ]],TRAN_STRITEMS_LABEL,4,FALSE)),"")</f>
        <v/>
      </c>
      <c r="I691" s="94"/>
      <c r="J691" s="94"/>
      <c r="K691" s="94"/>
      <c r="L691" s="84"/>
      <c r="M691" s="84"/>
      <c r="N691" s="84"/>
      <c r="O691" s="84"/>
      <c r="P691" s="84"/>
      <c r="Q691" s="84"/>
      <c r="R691" s="84"/>
      <c r="S691" s="84"/>
      <c r="T691" s="84"/>
      <c r="U691" s="84"/>
      <c r="V691" s="84"/>
      <c r="W691" s="84"/>
      <c r="X691" s="84"/>
      <c r="Y691" s="84"/>
      <c r="Z691" s="84"/>
      <c r="AA691" s="84"/>
      <c r="AB691" s="84"/>
      <c r="AC691" s="84"/>
      <c r="AD691" s="84"/>
      <c r="AE691" s="84"/>
      <c r="AF691" s="84"/>
      <c r="AG691" s="84"/>
      <c r="AH691" s="84"/>
      <c r="AI691" s="84"/>
      <c r="AJ691" s="84"/>
      <c r="AK691" s="84"/>
      <c r="AL691" s="84"/>
      <c r="AM691" s="84"/>
      <c r="AN691" s="84"/>
      <c r="AO691" s="84"/>
      <c r="AP691" s="84"/>
      <c r="AQ691" s="84"/>
      <c r="AR691" s="84"/>
      <c r="AS691" s="84"/>
      <c r="AT691" s="84"/>
      <c r="AU691" s="84"/>
      <c r="AV691" s="84"/>
      <c r="AW691" s="84"/>
      <c r="AX691" s="87">
        <f t="array" ref="AX691">IF(G691=1,SUM((ROW(M0)=ROW(AW691))*(M0+M1_+M2_+M3_+M4_+M5_+M6_+M7_+M8_+M9_+M10_+M11_+M12_+M13_+M14_+M15_+M16_+M17_+M18_+M19_+M20_+M21_+M22_+M23_+M24_+M25_+M26_+M27_+M28_+M29_+M30_+M31_+M32_+M33_+M34_+M35_+M36_+M37_)),0)</f>
        <v>0</v>
      </c>
      <c r="AZ691" s="24" t="str">
        <f t="shared" si="145"/>
        <v/>
      </c>
      <c r="BA691" s="24" t="str">
        <f t="shared" si="146"/>
        <v/>
      </c>
      <c r="BB691" s="24" t="str">
        <f t="shared" si="147"/>
        <v/>
      </c>
      <c r="BC691" s="24" t="str">
        <f>IF(OR(E691="",LEFT(TableCosts[[#This Row],[Calc_N_Typ]],18)="Vynaložené náklady"),"",VLOOKUP(E691,Tab_Parts,2,0))</f>
        <v/>
      </c>
      <c r="BD691" s="24" t="str">
        <f t="shared" si="148"/>
        <v/>
      </c>
      <c r="BE691" s="24">
        <f t="shared" si="149"/>
        <v>0</v>
      </c>
      <c r="BF691" s="72">
        <f>TableCosts[[#This Row],[N_Amount]]*TableCosts[[#This Row],[N_Tariff]]*TableCosts[[#This Row],[N_ItemsCount]]</f>
        <v>0</v>
      </c>
      <c r="BG691" s="72">
        <f>IF(G691=1,IF(TableCosts[[#This Row],[N_Kateg]]="interné práce",TableCosts[[#This Row],[N_Amount]]*8*PAR_SGA_PERHOUR,0),0)</f>
        <v>0</v>
      </c>
      <c r="BH691" s="72">
        <f>SUM(TableCosts[[#This Row],[N_Direct]:[N_SGA]])</f>
        <v>0</v>
      </c>
      <c r="BI691" s="24">
        <f>IF(G691=1,IF(OR(AND(NOT(ISERROR(VLOOKUP(TableCosts[[#This Row],[Calc_N_Typ]],Cis_WorkPositions,1,0))),C691&lt;&gt;"",D691&lt;&gt;"",E691&lt;&gt;""),AND(ISERROR(VLOOKUP(TableCosts[[#This Row],[Calc_N_Typ]],Cis_WorkPositions,1,0)),C691="",D691="",E691&lt;&gt;""),LEFT(TableCosts[[#This Row],[Calc_N_Typ]],18)="Vynaložené náklady"),VLOOKUP(C691&amp;TableCosts[[#This Row],[Calc_N_Typ]],TRAN_STRITEMS_LABEL,VLOOKUP(D691,Tab_Hours,3,0),0),NA()),0)</f>
        <v>0</v>
      </c>
      <c r="BJ691" s="24">
        <f t="shared" si="150"/>
        <v>0</v>
      </c>
      <c r="BK691" s="24" t="str">
        <f t="shared" si="151"/>
        <v/>
      </c>
      <c r="BL691" s="24" t="str">
        <f t="shared" si="152"/>
        <v/>
      </c>
      <c r="BM691" s="24" t="str">
        <f>IF(G691=1,IF(TableCosts[[#This Row],[TransferFrom]]=TableCosts[[#This Row],[TranferTo]],0,1),"")</f>
        <v/>
      </c>
      <c r="BN691" s="24" t="str">
        <f t="shared" si="153"/>
        <v/>
      </c>
      <c r="BO691" s="24">
        <f t="shared" si="154"/>
        <v>0</v>
      </c>
      <c r="BP691" s="24">
        <f t="shared" si="155"/>
        <v>0</v>
      </c>
    </row>
    <row r="692" spans="2:68" s="24" customFormat="1" ht="12.75" x14ac:dyDescent="0.2">
      <c r="B692" s="97"/>
      <c r="C692" s="92"/>
      <c r="D692" s="92"/>
      <c r="E692" s="92"/>
      <c r="F692" s="31" t="str">
        <f>IF(G692=1,IF(ISERROR(TableCosts[[#This Row],[N_Tariff]]),Err_Message1,IF(TableCosts[[#This Row],[N_Tariff]]=0,Err_Message2,VLOOKUP(C692&amp;TableCosts[[#This Row],[Calc_N_Typ]],TRAN_STRITEMS_LABEL,5,FALSE))),"")</f>
        <v/>
      </c>
      <c r="G692" s="31">
        <f t="shared" si="144"/>
        <v>0</v>
      </c>
      <c r="H692" s="31" t="str">
        <f>IF(G692=1,IFERROR(VLOOKUP(F692,Tab_ErrMessage[],2,0),VLOOKUP(C692&amp;TableCosts[[#This Row],[Calc_N_Typ]],TRAN_STRITEMS_LABEL,4,FALSE)),"")</f>
        <v/>
      </c>
      <c r="I692" s="94"/>
      <c r="J692" s="94"/>
      <c r="K692" s="94"/>
      <c r="L692" s="84"/>
      <c r="M692" s="84"/>
      <c r="N692" s="84"/>
      <c r="O692" s="84"/>
      <c r="P692" s="84"/>
      <c r="Q692" s="84"/>
      <c r="R692" s="84"/>
      <c r="S692" s="84"/>
      <c r="T692" s="84"/>
      <c r="U692" s="84"/>
      <c r="V692" s="84"/>
      <c r="W692" s="84"/>
      <c r="X692" s="84"/>
      <c r="Y692" s="84"/>
      <c r="Z692" s="84"/>
      <c r="AA692" s="84"/>
      <c r="AB692" s="84"/>
      <c r="AC692" s="84"/>
      <c r="AD692" s="84"/>
      <c r="AE692" s="84"/>
      <c r="AF692" s="84"/>
      <c r="AG692" s="84"/>
      <c r="AH692" s="84"/>
      <c r="AI692" s="84"/>
      <c r="AJ692" s="84"/>
      <c r="AK692" s="84"/>
      <c r="AL692" s="84"/>
      <c r="AM692" s="84"/>
      <c r="AN692" s="84"/>
      <c r="AO692" s="84"/>
      <c r="AP692" s="84"/>
      <c r="AQ692" s="84"/>
      <c r="AR692" s="84"/>
      <c r="AS692" s="84"/>
      <c r="AT692" s="84"/>
      <c r="AU692" s="84"/>
      <c r="AV692" s="84"/>
      <c r="AW692" s="84"/>
      <c r="AX692" s="87">
        <f t="array" ref="AX692">IF(G692=1,SUM((ROW(M0)=ROW(AW692))*(M0+M1_+M2_+M3_+M4_+M5_+M6_+M7_+M8_+M9_+M10_+M11_+M12_+M13_+M14_+M15_+M16_+M17_+M18_+M19_+M20_+M21_+M22_+M23_+M24_+M25_+M26_+M27_+M28_+M29_+M30_+M31_+M32_+M33_+M34_+M35_+M36_+M37_)),0)</f>
        <v>0</v>
      </c>
      <c r="AZ692" s="24" t="str">
        <f t="shared" si="145"/>
        <v/>
      </c>
      <c r="BA692" s="24" t="str">
        <f t="shared" si="146"/>
        <v/>
      </c>
      <c r="BB692" s="24" t="str">
        <f t="shared" si="147"/>
        <v/>
      </c>
      <c r="BC692" s="24" t="str">
        <f>IF(OR(E692="",LEFT(TableCosts[[#This Row],[Calc_N_Typ]],18)="Vynaložené náklady"),"",VLOOKUP(E692,Tab_Parts,2,0))</f>
        <v/>
      </c>
      <c r="BD692" s="24" t="str">
        <f t="shared" si="148"/>
        <v/>
      </c>
      <c r="BE692" s="24">
        <f t="shared" si="149"/>
        <v>0</v>
      </c>
      <c r="BF692" s="72">
        <f>TableCosts[[#This Row],[N_Amount]]*TableCosts[[#This Row],[N_Tariff]]*TableCosts[[#This Row],[N_ItemsCount]]</f>
        <v>0</v>
      </c>
      <c r="BG692" s="72">
        <f>IF(G692=1,IF(TableCosts[[#This Row],[N_Kateg]]="interné práce",TableCosts[[#This Row],[N_Amount]]*8*PAR_SGA_PERHOUR,0),0)</f>
        <v>0</v>
      </c>
      <c r="BH692" s="72">
        <f>SUM(TableCosts[[#This Row],[N_Direct]:[N_SGA]])</f>
        <v>0</v>
      </c>
      <c r="BI692" s="24">
        <f>IF(G692=1,IF(OR(AND(NOT(ISERROR(VLOOKUP(TableCosts[[#This Row],[Calc_N_Typ]],Cis_WorkPositions,1,0))),C692&lt;&gt;"",D692&lt;&gt;"",E692&lt;&gt;""),AND(ISERROR(VLOOKUP(TableCosts[[#This Row],[Calc_N_Typ]],Cis_WorkPositions,1,0)),C692="",D692="",E692&lt;&gt;""),LEFT(TableCosts[[#This Row],[Calc_N_Typ]],18)="Vynaložené náklady"),VLOOKUP(C692&amp;TableCosts[[#This Row],[Calc_N_Typ]],TRAN_STRITEMS_LABEL,VLOOKUP(D692,Tab_Hours,3,0),0),NA()),0)</f>
        <v>0</v>
      </c>
      <c r="BJ692" s="24">
        <f t="shared" si="150"/>
        <v>0</v>
      </c>
      <c r="BK692" s="24" t="str">
        <f t="shared" si="151"/>
        <v/>
      </c>
      <c r="BL692" s="24" t="str">
        <f t="shared" si="152"/>
        <v/>
      </c>
      <c r="BM692" s="24" t="str">
        <f>IF(G692=1,IF(TableCosts[[#This Row],[TransferFrom]]=TableCosts[[#This Row],[TranferTo]],0,1),"")</f>
        <v/>
      </c>
      <c r="BN692" s="24" t="str">
        <f t="shared" si="153"/>
        <v/>
      </c>
      <c r="BO692" s="24">
        <f t="shared" si="154"/>
        <v>0</v>
      </c>
      <c r="BP692" s="24">
        <f t="shared" si="155"/>
        <v>0</v>
      </c>
    </row>
    <row r="693" spans="2:68" s="24" customFormat="1" ht="12.75" x14ac:dyDescent="0.2">
      <c r="B693" s="97"/>
      <c r="C693" s="92"/>
      <c r="D693" s="92"/>
      <c r="E693" s="92"/>
      <c r="F693" s="31" t="str">
        <f>IF(G693=1,IF(ISERROR(TableCosts[[#This Row],[N_Tariff]]),Err_Message1,IF(TableCosts[[#This Row],[N_Tariff]]=0,Err_Message2,VLOOKUP(C693&amp;TableCosts[[#This Row],[Calc_N_Typ]],TRAN_STRITEMS_LABEL,5,FALSE))),"")</f>
        <v/>
      </c>
      <c r="G693" s="31">
        <f t="shared" si="144"/>
        <v>0</v>
      </c>
      <c r="H693" s="31" t="str">
        <f>IF(G693=1,IFERROR(VLOOKUP(F693,Tab_ErrMessage[],2,0),VLOOKUP(C693&amp;TableCosts[[#This Row],[Calc_N_Typ]],TRAN_STRITEMS_LABEL,4,FALSE)),"")</f>
        <v/>
      </c>
      <c r="I693" s="94"/>
      <c r="J693" s="94"/>
      <c r="K693" s="94"/>
      <c r="L693" s="84"/>
      <c r="M693" s="84"/>
      <c r="N693" s="84"/>
      <c r="O693" s="84"/>
      <c r="P693" s="84"/>
      <c r="Q693" s="84"/>
      <c r="R693" s="84"/>
      <c r="S693" s="84"/>
      <c r="T693" s="84"/>
      <c r="U693" s="84"/>
      <c r="V693" s="84"/>
      <c r="W693" s="84"/>
      <c r="X693" s="84"/>
      <c r="Y693" s="84"/>
      <c r="Z693" s="84"/>
      <c r="AA693" s="84"/>
      <c r="AB693" s="84"/>
      <c r="AC693" s="84"/>
      <c r="AD693" s="84"/>
      <c r="AE693" s="84"/>
      <c r="AF693" s="84"/>
      <c r="AG693" s="84"/>
      <c r="AH693" s="84"/>
      <c r="AI693" s="84"/>
      <c r="AJ693" s="84"/>
      <c r="AK693" s="84"/>
      <c r="AL693" s="84"/>
      <c r="AM693" s="84"/>
      <c r="AN693" s="84"/>
      <c r="AO693" s="84"/>
      <c r="AP693" s="84"/>
      <c r="AQ693" s="84"/>
      <c r="AR693" s="84"/>
      <c r="AS693" s="84"/>
      <c r="AT693" s="84"/>
      <c r="AU693" s="84"/>
      <c r="AV693" s="84"/>
      <c r="AW693" s="84"/>
      <c r="AX693" s="87">
        <f t="array" ref="AX693">IF(G693=1,SUM((ROW(M0)=ROW(AW693))*(M0+M1_+M2_+M3_+M4_+M5_+M6_+M7_+M8_+M9_+M10_+M11_+M12_+M13_+M14_+M15_+M16_+M17_+M18_+M19_+M20_+M21_+M22_+M23_+M24_+M25_+M26_+M27_+M28_+M29_+M30_+M31_+M32_+M33_+M34_+M35_+M36_+M37_)),0)</f>
        <v>0</v>
      </c>
      <c r="AZ693" s="24" t="str">
        <f t="shared" si="145"/>
        <v/>
      </c>
      <c r="BA693" s="24" t="str">
        <f t="shared" si="146"/>
        <v/>
      </c>
      <c r="BB693" s="24" t="str">
        <f t="shared" si="147"/>
        <v/>
      </c>
      <c r="BC693" s="24" t="str">
        <f>IF(OR(E693="",LEFT(TableCosts[[#This Row],[Calc_N_Typ]],18)="Vynaložené náklady"),"",VLOOKUP(E693,Tab_Parts,2,0))</f>
        <v/>
      </c>
      <c r="BD693" s="24" t="str">
        <f t="shared" si="148"/>
        <v/>
      </c>
      <c r="BE693" s="24">
        <f t="shared" si="149"/>
        <v>0</v>
      </c>
      <c r="BF693" s="72">
        <f>TableCosts[[#This Row],[N_Amount]]*TableCosts[[#This Row],[N_Tariff]]*TableCosts[[#This Row],[N_ItemsCount]]</f>
        <v>0</v>
      </c>
      <c r="BG693" s="72">
        <f>IF(G693=1,IF(TableCosts[[#This Row],[N_Kateg]]="interné práce",TableCosts[[#This Row],[N_Amount]]*8*PAR_SGA_PERHOUR,0),0)</f>
        <v>0</v>
      </c>
      <c r="BH693" s="72">
        <f>SUM(TableCosts[[#This Row],[N_Direct]:[N_SGA]])</f>
        <v>0</v>
      </c>
      <c r="BI693" s="24">
        <f>IF(G693=1,IF(OR(AND(NOT(ISERROR(VLOOKUP(TableCosts[[#This Row],[Calc_N_Typ]],Cis_WorkPositions,1,0))),C693&lt;&gt;"",D693&lt;&gt;"",E693&lt;&gt;""),AND(ISERROR(VLOOKUP(TableCosts[[#This Row],[Calc_N_Typ]],Cis_WorkPositions,1,0)),C693="",D693="",E693&lt;&gt;""),LEFT(TableCosts[[#This Row],[Calc_N_Typ]],18)="Vynaložené náklady"),VLOOKUP(C693&amp;TableCosts[[#This Row],[Calc_N_Typ]],TRAN_STRITEMS_LABEL,VLOOKUP(D693,Tab_Hours,3,0),0),NA()),0)</f>
        <v>0</v>
      </c>
      <c r="BJ693" s="24">
        <f t="shared" si="150"/>
        <v>0</v>
      </c>
      <c r="BK693" s="24" t="str">
        <f t="shared" si="151"/>
        <v/>
      </c>
      <c r="BL693" s="24" t="str">
        <f t="shared" si="152"/>
        <v/>
      </c>
      <c r="BM693" s="24" t="str">
        <f>IF(G693=1,IF(TableCosts[[#This Row],[TransferFrom]]=TableCosts[[#This Row],[TranferTo]],0,1),"")</f>
        <v/>
      </c>
      <c r="BN693" s="24" t="str">
        <f t="shared" si="153"/>
        <v/>
      </c>
      <c r="BO693" s="24">
        <f t="shared" si="154"/>
        <v>0</v>
      </c>
      <c r="BP693" s="24">
        <f t="shared" si="155"/>
        <v>0</v>
      </c>
    </row>
    <row r="694" spans="2:68" s="24" customFormat="1" ht="12.75" x14ac:dyDescent="0.2">
      <c r="B694" s="97"/>
      <c r="C694" s="92"/>
      <c r="D694" s="92"/>
      <c r="E694" s="92"/>
      <c r="F694" s="31" t="str">
        <f>IF(G694=1,IF(ISERROR(TableCosts[[#This Row],[N_Tariff]]),Err_Message1,IF(TableCosts[[#This Row],[N_Tariff]]=0,Err_Message2,VLOOKUP(C694&amp;TableCosts[[#This Row],[Calc_N_Typ]],TRAN_STRITEMS_LABEL,5,FALSE))),"")</f>
        <v/>
      </c>
      <c r="G694" s="31">
        <f t="shared" si="144"/>
        <v>0</v>
      </c>
      <c r="H694" s="31" t="str">
        <f>IF(G694=1,IFERROR(VLOOKUP(F694,Tab_ErrMessage[],2,0),VLOOKUP(C694&amp;TableCosts[[#This Row],[Calc_N_Typ]],TRAN_STRITEMS_LABEL,4,FALSE)),"")</f>
        <v/>
      </c>
      <c r="I694" s="94"/>
      <c r="J694" s="94"/>
      <c r="K694" s="94"/>
      <c r="L694" s="84"/>
      <c r="M694" s="84"/>
      <c r="N694" s="84"/>
      <c r="O694" s="84"/>
      <c r="P694" s="84"/>
      <c r="Q694" s="84"/>
      <c r="R694" s="84"/>
      <c r="S694" s="84"/>
      <c r="T694" s="84"/>
      <c r="U694" s="84"/>
      <c r="V694" s="84"/>
      <c r="W694" s="84"/>
      <c r="X694" s="84"/>
      <c r="Y694" s="84"/>
      <c r="Z694" s="84"/>
      <c r="AA694" s="84"/>
      <c r="AB694" s="84"/>
      <c r="AC694" s="84"/>
      <c r="AD694" s="84"/>
      <c r="AE694" s="84"/>
      <c r="AF694" s="84"/>
      <c r="AG694" s="84"/>
      <c r="AH694" s="84"/>
      <c r="AI694" s="84"/>
      <c r="AJ694" s="84"/>
      <c r="AK694" s="84"/>
      <c r="AL694" s="84"/>
      <c r="AM694" s="84"/>
      <c r="AN694" s="84"/>
      <c r="AO694" s="84"/>
      <c r="AP694" s="84"/>
      <c r="AQ694" s="84"/>
      <c r="AR694" s="84"/>
      <c r="AS694" s="84"/>
      <c r="AT694" s="84"/>
      <c r="AU694" s="84"/>
      <c r="AV694" s="84"/>
      <c r="AW694" s="84"/>
      <c r="AX694" s="87">
        <f t="array" ref="AX694">IF(G694=1,SUM((ROW(M0)=ROW(AW694))*(M0+M1_+M2_+M3_+M4_+M5_+M6_+M7_+M8_+M9_+M10_+M11_+M12_+M13_+M14_+M15_+M16_+M17_+M18_+M19_+M20_+M21_+M22_+M23_+M24_+M25_+M26_+M27_+M28_+M29_+M30_+M31_+M32_+M33_+M34_+M35_+M36_+M37_)),0)</f>
        <v>0</v>
      </c>
      <c r="AZ694" s="24" t="str">
        <f t="shared" si="145"/>
        <v/>
      </c>
      <c r="BA694" s="24" t="str">
        <f t="shared" si="146"/>
        <v/>
      </c>
      <c r="BB694" s="24" t="str">
        <f t="shared" si="147"/>
        <v/>
      </c>
      <c r="BC694" s="24" t="str">
        <f>IF(OR(E694="",LEFT(TableCosts[[#This Row],[Calc_N_Typ]],18)="Vynaložené náklady"),"",VLOOKUP(E694,Tab_Parts,2,0))</f>
        <v/>
      </c>
      <c r="BD694" s="24" t="str">
        <f t="shared" si="148"/>
        <v/>
      </c>
      <c r="BE694" s="24">
        <f t="shared" si="149"/>
        <v>0</v>
      </c>
      <c r="BF694" s="72">
        <f>TableCosts[[#This Row],[N_Amount]]*TableCosts[[#This Row],[N_Tariff]]*TableCosts[[#This Row],[N_ItemsCount]]</f>
        <v>0</v>
      </c>
      <c r="BG694" s="72">
        <f>IF(G694=1,IF(TableCosts[[#This Row],[N_Kateg]]="interné práce",TableCosts[[#This Row],[N_Amount]]*8*PAR_SGA_PERHOUR,0),0)</f>
        <v>0</v>
      </c>
      <c r="BH694" s="72">
        <f>SUM(TableCosts[[#This Row],[N_Direct]:[N_SGA]])</f>
        <v>0</v>
      </c>
      <c r="BI694" s="24">
        <f>IF(G694=1,IF(OR(AND(NOT(ISERROR(VLOOKUP(TableCosts[[#This Row],[Calc_N_Typ]],Cis_WorkPositions,1,0))),C694&lt;&gt;"",D694&lt;&gt;"",E694&lt;&gt;""),AND(ISERROR(VLOOKUP(TableCosts[[#This Row],[Calc_N_Typ]],Cis_WorkPositions,1,0)),C694="",D694="",E694&lt;&gt;""),LEFT(TableCosts[[#This Row],[Calc_N_Typ]],18)="Vynaložené náklady"),VLOOKUP(C694&amp;TableCosts[[#This Row],[Calc_N_Typ]],TRAN_STRITEMS_LABEL,VLOOKUP(D694,Tab_Hours,3,0),0),NA()),0)</f>
        <v>0</v>
      </c>
      <c r="BJ694" s="24">
        <f t="shared" si="150"/>
        <v>0</v>
      </c>
      <c r="BK694" s="24" t="str">
        <f t="shared" si="151"/>
        <v/>
      </c>
      <c r="BL694" s="24" t="str">
        <f t="shared" si="152"/>
        <v/>
      </c>
      <c r="BM694" s="24" t="str">
        <f>IF(G694=1,IF(TableCosts[[#This Row],[TransferFrom]]=TableCosts[[#This Row],[TranferTo]],0,1),"")</f>
        <v/>
      </c>
      <c r="BN694" s="24" t="str">
        <f t="shared" si="153"/>
        <v/>
      </c>
      <c r="BO694" s="24">
        <f t="shared" si="154"/>
        <v>0</v>
      </c>
      <c r="BP694" s="24">
        <f t="shared" si="155"/>
        <v>0</v>
      </c>
    </row>
    <row r="695" spans="2:68" s="24" customFormat="1" ht="12.75" x14ac:dyDescent="0.2">
      <c r="B695" s="97"/>
      <c r="C695" s="92"/>
      <c r="D695" s="92"/>
      <c r="E695" s="92"/>
      <c r="F695" s="31" t="str">
        <f>IF(G695=1,IF(ISERROR(TableCosts[[#This Row],[N_Tariff]]),Err_Message1,IF(TableCosts[[#This Row],[N_Tariff]]=0,Err_Message2,VLOOKUP(C695&amp;TableCosts[[#This Row],[Calc_N_Typ]],TRAN_STRITEMS_LABEL,5,FALSE))),"")</f>
        <v/>
      </c>
      <c r="G695" s="31">
        <f t="shared" si="144"/>
        <v>0</v>
      </c>
      <c r="H695" s="31" t="str">
        <f>IF(G695=1,IFERROR(VLOOKUP(F695,Tab_ErrMessage[],2,0),VLOOKUP(C695&amp;TableCosts[[#This Row],[Calc_N_Typ]],TRAN_STRITEMS_LABEL,4,FALSE)),"")</f>
        <v/>
      </c>
      <c r="I695" s="94"/>
      <c r="J695" s="94"/>
      <c r="K695" s="94"/>
      <c r="L695" s="84"/>
      <c r="M695" s="84"/>
      <c r="N695" s="84"/>
      <c r="O695" s="84"/>
      <c r="P695" s="84"/>
      <c r="Q695" s="84"/>
      <c r="R695" s="84"/>
      <c r="S695" s="84"/>
      <c r="T695" s="84"/>
      <c r="U695" s="84"/>
      <c r="V695" s="84"/>
      <c r="W695" s="84"/>
      <c r="X695" s="84"/>
      <c r="Y695" s="84"/>
      <c r="Z695" s="84"/>
      <c r="AA695" s="84"/>
      <c r="AB695" s="84"/>
      <c r="AC695" s="84"/>
      <c r="AD695" s="84"/>
      <c r="AE695" s="84"/>
      <c r="AF695" s="84"/>
      <c r="AG695" s="84"/>
      <c r="AH695" s="84"/>
      <c r="AI695" s="84"/>
      <c r="AJ695" s="84"/>
      <c r="AK695" s="84"/>
      <c r="AL695" s="84"/>
      <c r="AM695" s="84"/>
      <c r="AN695" s="84"/>
      <c r="AO695" s="84"/>
      <c r="AP695" s="84"/>
      <c r="AQ695" s="84"/>
      <c r="AR695" s="84"/>
      <c r="AS695" s="84"/>
      <c r="AT695" s="84"/>
      <c r="AU695" s="84"/>
      <c r="AV695" s="84"/>
      <c r="AW695" s="84"/>
      <c r="AX695" s="87">
        <f t="array" ref="AX695">IF(G695=1,SUM((ROW(M0)=ROW(AW695))*(M0+M1_+M2_+M3_+M4_+M5_+M6_+M7_+M8_+M9_+M10_+M11_+M12_+M13_+M14_+M15_+M16_+M17_+M18_+M19_+M20_+M21_+M22_+M23_+M24_+M25_+M26_+M27_+M28_+M29_+M30_+M31_+M32_+M33_+M34_+M35_+M36_+M37_)),0)</f>
        <v>0</v>
      </c>
      <c r="AZ695" s="24" t="str">
        <f t="shared" si="145"/>
        <v/>
      </c>
      <c r="BA695" s="24" t="str">
        <f t="shared" si="146"/>
        <v/>
      </c>
      <c r="BB695" s="24" t="str">
        <f t="shared" si="147"/>
        <v/>
      </c>
      <c r="BC695" s="24" t="str">
        <f>IF(OR(E695="",LEFT(TableCosts[[#This Row],[Calc_N_Typ]],18)="Vynaložené náklady"),"",VLOOKUP(E695,Tab_Parts,2,0))</f>
        <v/>
      </c>
      <c r="BD695" s="24" t="str">
        <f t="shared" si="148"/>
        <v/>
      </c>
      <c r="BE695" s="24">
        <f t="shared" si="149"/>
        <v>0</v>
      </c>
      <c r="BF695" s="72">
        <f>TableCosts[[#This Row],[N_Amount]]*TableCosts[[#This Row],[N_Tariff]]*TableCosts[[#This Row],[N_ItemsCount]]</f>
        <v>0</v>
      </c>
      <c r="BG695" s="72">
        <f>IF(G695=1,IF(TableCosts[[#This Row],[N_Kateg]]="interné práce",TableCosts[[#This Row],[N_Amount]]*8*PAR_SGA_PERHOUR,0),0)</f>
        <v>0</v>
      </c>
      <c r="BH695" s="72">
        <f>SUM(TableCosts[[#This Row],[N_Direct]:[N_SGA]])</f>
        <v>0</v>
      </c>
      <c r="BI695" s="24">
        <f>IF(G695=1,IF(OR(AND(NOT(ISERROR(VLOOKUP(TableCosts[[#This Row],[Calc_N_Typ]],Cis_WorkPositions,1,0))),C695&lt;&gt;"",D695&lt;&gt;"",E695&lt;&gt;""),AND(ISERROR(VLOOKUP(TableCosts[[#This Row],[Calc_N_Typ]],Cis_WorkPositions,1,0)),C695="",D695="",E695&lt;&gt;""),LEFT(TableCosts[[#This Row],[Calc_N_Typ]],18)="Vynaložené náklady"),VLOOKUP(C695&amp;TableCosts[[#This Row],[Calc_N_Typ]],TRAN_STRITEMS_LABEL,VLOOKUP(D695,Tab_Hours,3,0),0),NA()),0)</f>
        <v>0</v>
      </c>
      <c r="BJ695" s="24">
        <f t="shared" si="150"/>
        <v>0</v>
      </c>
      <c r="BK695" s="24" t="str">
        <f t="shared" si="151"/>
        <v/>
      </c>
      <c r="BL695" s="24" t="str">
        <f t="shared" si="152"/>
        <v/>
      </c>
      <c r="BM695" s="24" t="str">
        <f>IF(G695=1,IF(TableCosts[[#This Row],[TransferFrom]]=TableCosts[[#This Row],[TranferTo]],0,1),"")</f>
        <v/>
      </c>
      <c r="BN695" s="24" t="str">
        <f t="shared" si="153"/>
        <v/>
      </c>
      <c r="BO695" s="24">
        <f t="shared" si="154"/>
        <v>0</v>
      </c>
      <c r="BP695" s="24">
        <f t="shared" si="155"/>
        <v>0</v>
      </c>
    </row>
    <row r="696" spans="2:68" s="24" customFormat="1" ht="12.75" x14ac:dyDescent="0.2">
      <c r="B696" s="97"/>
      <c r="C696" s="92"/>
      <c r="D696" s="92"/>
      <c r="E696" s="92"/>
      <c r="F696" s="31" t="str">
        <f>IF(G696=1,IF(ISERROR(TableCosts[[#This Row],[N_Tariff]]),Err_Message1,IF(TableCosts[[#This Row],[N_Tariff]]=0,Err_Message2,VLOOKUP(C696&amp;TableCosts[[#This Row],[Calc_N_Typ]],TRAN_STRITEMS_LABEL,5,FALSE))),"")</f>
        <v/>
      </c>
      <c r="G696" s="31">
        <f t="shared" si="144"/>
        <v>0</v>
      </c>
      <c r="H696" s="31" t="str">
        <f>IF(G696=1,IFERROR(VLOOKUP(F696,Tab_ErrMessage[],2,0),VLOOKUP(C696&amp;TableCosts[[#This Row],[Calc_N_Typ]],TRAN_STRITEMS_LABEL,4,FALSE)),"")</f>
        <v/>
      </c>
      <c r="I696" s="94"/>
      <c r="J696" s="94"/>
      <c r="K696" s="94"/>
      <c r="L696" s="84"/>
      <c r="M696" s="84"/>
      <c r="N696" s="84"/>
      <c r="O696" s="84"/>
      <c r="P696" s="84"/>
      <c r="Q696" s="84"/>
      <c r="R696" s="84"/>
      <c r="S696" s="84"/>
      <c r="T696" s="84"/>
      <c r="U696" s="84"/>
      <c r="V696" s="84"/>
      <c r="W696" s="84"/>
      <c r="X696" s="84"/>
      <c r="Y696" s="84"/>
      <c r="Z696" s="84"/>
      <c r="AA696" s="84"/>
      <c r="AB696" s="84"/>
      <c r="AC696" s="84"/>
      <c r="AD696" s="84"/>
      <c r="AE696" s="84"/>
      <c r="AF696" s="84"/>
      <c r="AG696" s="84"/>
      <c r="AH696" s="84"/>
      <c r="AI696" s="84"/>
      <c r="AJ696" s="84"/>
      <c r="AK696" s="84"/>
      <c r="AL696" s="84"/>
      <c r="AM696" s="84"/>
      <c r="AN696" s="84"/>
      <c r="AO696" s="84"/>
      <c r="AP696" s="84"/>
      <c r="AQ696" s="84"/>
      <c r="AR696" s="84"/>
      <c r="AS696" s="84"/>
      <c r="AT696" s="84"/>
      <c r="AU696" s="84"/>
      <c r="AV696" s="84"/>
      <c r="AW696" s="84"/>
      <c r="AX696" s="87">
        <f t="array" ref="AX696">IF(G696=1,SUM((ROW(M0)=ROW(AW696))*(M0+M1_+M2_+M3_+M4_+M5_+M6_+M7_+M8_+M9_+M10_+M11_+M12_+M13_+M14_+M15_+M16_+M17_+M18_+M19_+M20_+M21_+M22_+M23_+M24_+M25_+M26_+M27_+M28_+M29_+M30_+M31_+M32_+M33_+M34_+M35_+M36_+M37_)),0)</f>
        <v>0</v>
      </c>
      <c r="AZ696" s="24" t="str">
        <f t="shared" si="145"/>
        <v/>
      </c>
      <c r="BA696" s="24" t="str">
        <f t="shared" si="146"/>
        <v/>
      </c>
      <c r="BB696" s="24" t="str">
        <f t="shared" si="147"/>
        <v/>
      </c>
      <c r="BC696" s="24" t="str">
        <f>IF(OR(E696="",LEFT(TableCosts[[#This Row],[Calc_N_Typ]],18)="Vynaložené náklady"),"",VLOOKUP(E696,Tab_Parts,2,0))</f>
        <v/>
      </c>
      <c r="BD696" s="24" t="str">
        <f t="shared" si="148"/>
        <v/>
      </c>
      <c r="BE696" s="24">
        <f t="shared" si="149"/>
        <v>0</v>
      </c>
      <c r="BF696" s="72">
        <f>TableCosts[[#This Row],[N_Amount]]*TableCosts[[#This Row],[N_Tariff]]*TableCosts[[#This Row],[N_ItemsCount]]</f>
        <v>0</v>
      </c>
      <c r="BG696" s="72">
        <f>IF(G696=1,IF(TableCosts[[#This Row],[N_Kateg]]="interné práce",TableCosts[[#This Row],[N_Amount]]*8*PAR_SGA_PERHOUR,0),0)</f>
        <v>0</v>
      </c>
      <c r="BH696" s="72">
        <f>SUM(TableCosts[[#This Row],[N_Direct]:[N_SGA]])</f>
        <v>0</v>
      </c>
      <c r="BI696" s="24">
        <f>IF(G696=1,IF(OR(AND(NOT(ISERROR(VLOOKUP(TableCosts[[#This Row],[Calc_N_Typ]],Cis_WorkPositions,1,0))),C696&lt;&gt;"",D696&lt;&gt;"",E696&lt;&gt;""),AND(ISERROR(VLOOKUP(TableCosts[[#This Row],[Calc_N_Typ]],Cis_WorkPositions,1,0)),C696="",D696="",E696&lt;&gt;""),LEFT(TableCosts[[#This Row],[Calc_N_Typ]],18)="Vynaložené náklady"),VLOOKUP(C696&amp;TableCosts[[#This Row],[Calc_N_Typ]],TRAN_STRITEMS_LABEL,VLOOKUP(D696,Tab_Hours,3,0),0),NA()),0)</f>
        <v>0</v>
      </c>
      <c r="BJ696" s="24">
        <f t="shared" si="150"/>
        <v>0</v>
      </c>
      <c r="BK696" s="24" t="str">
        <f t="shared" si="151"/>
        <v/>
      </c>
      <c r="BL696" s="24" t="str">
        <f t="shared" si="152"/>
        <v/>
      </c>
      <c r="BM696" s="24" t="str">
        <f>IF(G696=1,IF(TableCosts[[#This Row],[TransferFrom]]=TableCosts[[#This Row],[TranferTo]],0,1),"")</f>
        <v/>
      </c>
      <c r="BN696" s="24" t="str">
        <f t="shared" si="153"/>
        <v/>
      </c>
      <c r="BO696" s="24">
        <f t="shared" si="154"/>
        <v>0</v>
      </c>
      <c r="BP696" s="24">
        <f t="shared" si="155"/>
        <v>0</v>
      </c>
    </row>
    <row r="697" spans="2:68" s="24" customFormat="1" ht="12.75" x14ac:dyDescent="0.2">
      <c r="B697" s="97"/>
      <c r="C697" s="92"/>
      <c r="D697" s="92"/>
      <c r="E697" s="92"/>
      <c r="F697" s="31" t="str">
        <f>IF(G697=1,IF(ISERROR(TableCosts[[#This Row],[N_Tariff]]),Err_Message1,IF(TableCosts[[#This Row],[N_Tariff]]=0,Err_Message2,VLOOKUP(C697&amp;TableCosts[[#This Row],[Calc_N_Typ]],TRAN_STRITEMS_LABEL,5,FALSE))),"")</f>
        <v/>
      </c>
      <c r="G697" s="31">
        <f t="shared" si="144"/>
        <v>0</v>
      </c>
      <c r="H697" s="31" t="str">
        <f>IF(G697=1,IFERROR(VLOOKUP(F697,Tab_ErrMessage[],2,0),VLOOKUP(C697&amp;TableCosts[[#This Row],[Calc_N_Typ]],TRAN_STRITEMS_LABEL,4,FALSE)),"")</f>
        <v/>
      </c>
      <c r="I697" s="94"/>
      <c r="J697" s="94"/>
      <c r="K697" s="94"/>
      <c r="L697" s="84"/>
      <c r="M697" s="84"/>
      <c r="N697" s="84"/>
      <c r="O697" s="84"/>
      <c r="P697" s="84"/>
      <c r="Q697" s="84"/>
      <c r="R697" s="84"/>
      <c r="S697" s="84"/>
      <c r="T697" s="84"/>
      <c r="U697" s="84"/>
      <c r="V697" s="84"/>
      <c r="W697" s="84"/>
      <c r="X697" s="84"/>
      <c r="Y697" s="84"/>
      <c r="Z697" s="84"/>
      <c r="AA697" s="84"/>
      <c r="AB697" s="84"/>
      <c r="AC697" s="84"/>
      <c r="AD697" s="84"/>
      <c r="AE697" s="84"/>
      <c r="AF697" s="84"/>
      <c r="AG697" s="84"/>
      <c r="AH697" s="84"/>
      <c r="AI697" s="84"/>
      <c r="AJ697" s="84"/>
      <c r="AK697" s="84"/>
      <c r="AL697" s="84"/>
      <c r="AM697" s="84"/>
      <c r="AN697" s="84"/>
      <c r="AO697" s="84"/>
      <c r="AP697" s="84"/>
      <c r="AQ697" s="84"/>
      <c r="AR697" s="84"/>
      <c r="AS697" s="84"/>
      <c r="AT697" s="84"/>
      <c r="AU697" s="84"/>
      <c r="AV697" s="84"/>
      <c r="AW697" s="84"/>
      <c r="AX697" s="87">
        <f t="array" ref="AX697">IF(G697=1,SUM((ROW(M0)=ROW(AW697))*(M0+M1_+M2_+M3_+M4_+M5_+M6_+M7_+M8_+M9_+M10_+M11_+M12_+M13_+M14_+M15_+M16_+M17_+M18_+M19_+M20_+M21_+M22_+M23_+M24_+M25_+M26_+M27_+M28_+M29_+M30_+M31_+M32_+M33_+M34_+M35_+M36_+M37_)),0)</f>
        <v>0</v>
      </c>
      <c r="AZ697" s="24" t="str">
        <f t="shared" si="145"/>
        <v/>
      </c>
      <c r="BA697" s="24" t="str">
        <f t="shared" si="146"/>
        <v/>
      </c>
      <c r="BB697" s="24" t="str">
        <f t="shared" si="147"/>
        <v/>
      </c>
      <c r="BC697" s="24" t="str">
        <f>IF(OR(E697="",LEFT(TableCosts[[#This Row],[Calc_N_Typ]],18)="Vynaložené náklady"),"",VLOOKUP(E697,Tab_Parts,2,0))</f>
        <v/>
      </c>
      <c r="BD697" s="24" t="str">
        <f t="shared" si="148"/>
        <v/>
      </c>
      <c r="BE697" s="24">
        <f t="shared" si="149"/>
        <v>0</v>
      </c>
      <c r="BF697" s="72">
        <f>TableCosts[[#This Row],[N_Amount]]*TableCosts[[#This Row],[N_Tariff]]*TableCosts[[#This Row],[N_ItemsCount]]</f>
        <v>0</v>
      </c>
      <c r="BG697" s="72">
        <f>IF(G697=1,IF(TableCosts[[#This Row],[N_Kateg]]="interné práce",TableCosts[[#This Row],[N_Amount]]*8*PAR_SGA_PERHOUR,0),0)</f>
        <v>0</v>
      </c>
      <c r="BH697" s="72">
        <f>SUM(TableCosts[[#This Row],[N_Direct]:[N_SGA]])</f>
        <v>0</v>
      </c>
      <c r="BI697" s="24">
        <f>IF(G697=1,IF(OR(AND(NOT(ISERROR(VLOOKUP(TableCosts[[#This Row],[Calc_N_Typ]],Cis_WorkPositions,1,0))),C697&lt;&gt;"",D697&lt;&gt;"",E697&lt;&gt;""),AND(ISERROR(VLOOKUP(TableCosts[[#This Row],[Calc_N_Typ]],Cis_WorkPositions,1,0)),C697="",D697="",E697&lt;&gt;""),LEFT(TableCosts[[#This Row],[Calc_N_Typ]],18)="Vynaložené náklady"),VLOOKUP(C697&amp;TableCosts[[#This Row],[Calc_N_Typ]],TRAN_STRITEMS_LABEL,VLOOKUP(D697,Tab_Hours,3,0),0),NA()),0)</f>
        <v>0</v>
      </c>
      <c r="BJ697" s="24">
        <f t="shared" si="150"/>
        <v>0</v>
      </c>
      <c r="BK697" s="24" t="str">
        <f t="shared" si="151"/>
        <v/>
      </c>
      <c r="BL697" s="24" t="str">
        <f t="shared" si="152"/>
        <v/>
      </c>
      <c r="BM697" s="24" t="str">
        <f>IF(G697=1,IF(TableCosts[[#This Row],[TransferFrom]]=TableCosts[[#This Row],[TranferTo]],0,1),"")</f>
        <v/>
      </c>
      <c r="BN697" s="24" t="str">
        <f t="shared" si="153"/>
        <v/>
      </c>
      <c r="BO697" s="24">
        <f t="shared" si="154"/>
        <v>0</v>
      </c>
      <c r="BP697" s="24">
        <f t="shared" si="155"/>
        <v>0</v>
      </c>
    </row>
    <row r="698" spans="2:68" s="24" customFormat="1" ht="12.75" x14ac:dyDescent="0.2">
      <c r="B698" s="97"/>
      <c r="C698" s="92"/>
      <c r="D698" s="92"/>
      <c r="E698" s="92"/>
      <c r="F698" s="31" t="str">
        <f>IF(G698=1,IF(ISERROR(TableCosts[[#This Row],[N_Tariff]]),Err_Message1,IF(TableCosts[[#This Row],[N_Tariff]]=0,Err_Message2,VLOOKUP(C698&amp;TableCosts[[#This Row],[Calc_N_Typ]],TRAN_STRITEMS_LABEL,5,FALSE))),"")</f>
        <v/>
      </c>
      <c r="G698" s="31">
        <f t="shared" si="144"/>
        <v>0</v>
      </c>
      <c r="H698" s="31" t="str">
        <f>IF(G698=1,IFERROR(VLOOKUP(F698,Tab_ErrMessage[],2,0),VLOOKUP(C698&amp;TableCosts[[#This Row],[Calc_N_Typ]],TRAN_STRITEMS_LABEL,4,FALSE)),"")</f>
        <v/>
      </c>
      <c r="I698" s="94"/>
      <c r="J698" s="94"/>
      <c r="K698" s="94"/>
      <c r="L698" s="84"/>
      <c r="M698" s="84"/>
      <c r="N698" s="84"/>
      <c r="O698" s="84"/>
      <c r="P698" s="84"/>
      <c r="Q698" s="84"/>
      <c r="R698" s="84"/>
      <c r="S698" s="84"/>
      <c r="T698" s="84"/>
      <c r="U698" s="84"/>
      <c r="V698" s="84"/>
      <c r="W698" s="84"/>
      <c r="X698" s="84"/>
      <c r="Y698" s="84"/>
      <c r="Z698" s="84"/>
      <c r="AA698" s="84"/>
      <c r="AB698" s="84"/>
      <c r="AC698" s="84"/>
      <c r="AD698" s="84"/>
      <c r="AE698" s="84"/>
      <c r="AF698" s="84"/>
      <c r="AG698" s="84"/>
      <c r="AH698" s="84"/>
      <c r="AI698" s="84"/>
      <c r="AJ698" s="84"/>
      <c r="AK698" s="84"/>
      <c r="AL698" s="84"/>
      <c r="AM698" s="84"/>
      <c r="AN698" s="84"/>
      <c r="AO698" s="84"/>
      <c r="AP698" s="84"/>
      <c r="AQ698" s="84"/>
      <c r="AR698" s="84"/>
      <c r="AS698" s="84"/>
      <c r="AT698" s="84"/>
      <c r="AU698" s="84"/>
      <c r="AV698" s="84"/>
      <c r="AW698" s="84"/>
      <c r="AX698" s="87">
        <f t="array" ref="AX698">IF(G698=1,SUM((ROW(M0)=ROW(AW698))*(M0+M1_+M2_+M3_+M4_+M5_+M6_+M7_+M8_+M9_+M10_+M11_+M12_+M13_+M14_+M15_+M16_+M17_+M18_+M19_+M20_+M21_+M22_+M23_+M24_+M25_+M26_+M27_+M28_+M29_+M30_+M31_+M32_+M33_+M34_+M35_+M36_+M37_)),0)</f>
        <v>0</v>
      </c>
      <c r="AZ698" s="24" t="str">
        <f t="shared" si="145"/>
        <v/>
      </c>
      <c r="BA698" s="24" t="str">
        <f t="shared" si="146"/>
        <v/>
      </c>
      <c r="BB698" s="24" t="str">
        <f t="shared" si="147"/>
        <v/>
      </c>
      <c r="BC698" s="24" t="str">
        <f>IF(OR(E698="",LEFT(TableCosts[[#This Row],[Calc_N_Typ]],18)="Vynaložené náklady"),"",VLOOKUP(E698,Tab_Parts,2,0))</f>
        <v/>
      </c>
      <c r="BD698" s="24" t="str">
        <f t="shared" si="148"/>
        <v/>
      </c>
      <c r="BE698" s="24">
        <f t="shared" si="149"/>
        <v>0</v>
      </c>
      <c r="BF698" s="72">
        <f>TableCosts[[#This Row],[N_Amount]]*TableCosts[[#This Row],[N_Tariff]]*TableCosts[[#This Row],[N_ItemsCount]]</f>
        <v>0</v>
      </c>
      <c r="BG698" s="72">
        <f>IF(G698=1,IF(TableCosts[[#This Row],[N_Kateg]]="interné práce",TableCosts[[#This Row],[N_Amount]]*8*PAR_SGA_PERHOUR,0),0)</f>
        <v>0</v>
      </c>
      <c r="BH698" s="72">
        <f>SUM(TableCosts[[#This Row],[N_Direct]:[N_SGA]])</f>
        <v>0</v>
      </c>
      <c r="BI698" s="24">
        <f>IF(G698=1,IF(OR(AND(NOT(ISERROR(VLOOKUP(TableCosts[[#This Row],[Calc_N_Typ]],Cis_WorkPositions,1,0))),C698&lt;&gt;"",D698&lt;&gt;"",E698&lt;&gt;""),AND(ISERROR(VLOOKUP(TableCosts[[#This Row],[Calc_N_Typ]],Cis_WorkPositions,1,0)),C698="",D698="",E698&lt;&gt;""),LEFT(TableCosts[[#This Row],[Calc_N_Typ]],18)="Vynaložené náklady"),VLOOKUP(C698&amp;TableCosts[[#This Row],[Calc_N_Typ]],TRAN_STRITEMS_LABEL,VLOOKUP(D698,Tab_Hours,3,0),0),NA()),0)</f>
        <v>0</v>
      </c>
      <c r="BJ698" s="24">
        <f t="shared" si="150"/>
        <v>0</v>
      </c>
      <c r="BK698" s="24" t="str">
        <f t="shared" si="151"/>
        <v/>
      </c>
      <c r="BL698" s="24" t="str">
        <f t="shared" si="152"/>
        <v/>
      </c>
      <c r="BM698" s="24" t="str">
        <f>IF(G698=1,IF(TableCosts[[#This Row],[TransferFrom]]=TableCosts[[#This Row],[TranferTo]],0,1),"")</f>
        <v/>
      </c>
      <c r="BN698" s="24" t="str">
        <f t="shared" si="153"/>
        <v/>
      </c>
      <c r="BO698" s="24">
        <f t="shared" si="154"/>
        <v>0</v>
      </c>
      <c r="BP698" s="24">
        <f t="shared" si="155"/>
        <v>0</v>
      </c>
    </row>
    <row r="699" spans="2:68" s="24" customFormat="1" ht="12.75" x14ac:dyDescent="0.2">
      <c r="B699" s="97"/>
      <c r="C699" s="92"/>
      <c r="D699" s="92"/>
      <c r="E699" s="92"/>
      <c r="F699" s="31" t="str">
        <f>IF(G699=1,IF(ISERROR(TableCosts[[#This Row],[N_Tariff]]),Err_Message1,IF(TableCosts[[#This Row],[N_Tariff]]=0,Err_Message2,VLOOKUP(C699&amp;TableCosts[[#This Row],[Calc_N_Typ]],TRAN_STRITEMS_LABEL,5,FALSE))),"")</f>
        <v/>
      </c>
      <c r="G699" s="31">
        <f t="shared" si="144"/>
        <v>0</v>
      </c>
      <c r="H699" s="31" t="str">
        <f>IF(G699=1,IFERROR(VLOOKUP(F699,Tab_ErrMessage[],2,0),VLOOKUP(C699&amp;TableCosts[[#This Row],[Calc_N_Typ]],TRAN_STRITEMS_LABEL,4,FALSE)),"")</f>
        <v/>
      </c>
      <c r="I699" s="94"/>
      <c r="J699" s="94"/>
      <c r="K699" s="94"/>
      <c r="L699" s="84"/>
      <c r="M699" s="84"/>
      <c r="N699" s="84"/>
      <c r="O699" s="84"/>
      <c r="P699" s="84"/>
      <c r="Q699" s="84"/>
      <c r="R699" s="84"/>
      <c r="S699" s="84"/>
      <c r="T699" s="84"/>
      <c r="U699" s="84"/>
      <c r="V699" s="84"/>
      <c r="W699" s="84"/>
      <c r="X699" s="84"/>
      <c r="Y699" s="84"/>
      <c r="Z699" s="84"/>
      <c r="AA699" s="84"/>
      <c r="AB699" s="84"/>
      <c r="AC699" s="84"/>
      <c r="AD699" s="84"/>
      <c r="AE699" s="84"/>
      <c r="AF699" s="84"/>
      <c r="AG699" s="84"/>
      <c r="AH699" s="84"/>
      <c r="AI699" s="84"/>
      <c r="AJ699" s="84"/>
      <c r="AK699" s="84"/>
      <c r="AL699" s="84"/>
      <c r="AM699" s="84"/>
      <c r="AN699" s="84"/>
      <c r="AO699" s="84"/>
      <c r="AP699" s="84"/>
      <c r="AQ699" s="84"/>
      <c r="AR699" s="84"/>
      <c r="AS699" s="84"/>
      <c r="AT699" s="84"/>
      <c r="AU699" s="84"/>
      <c r="AV699" s="84"/>
      <c r="AW699" s="84"/>
      <c r="AX699" s="87">
        <f t="array" ref="AX699">IF(G699=1,SUM((ROW(M0)=ROW(AW699))*(M0+M1_+M2_+M3_+M4_+M5_+M6_+M7_+M8_+M9_+M10_+M11_+M12_+M13_+M14_+M15_+M16_+M17_+M18_+M19_+M20_+M21_+M22_+M23_+M24_+M25_+M26_+M27_+M28_+M29_+M30_+M31_+M32_+M33_+M34_+M35_+M36_+M37_)),0)</f>
        <v>0</v>
      </c>
      <c r="AZ699" s="24" t="str">
        <f t="shared" si="145"/>
        <v/>
      </c>
      <c r="BA699" s="24" t="str">
        <f t="shared" si="146"/>
        <v/>
      </c>
      <c r="BB699" s="24" t="str">
        <f t="shared" si="147"/>
        <v/>
      </c>
      <c r="BC699" s="24" t="str">
        <f>IF(OR(E699="",LEFT(TableCosts[[#This Row],[Calc_N_Typ]],18)="Vynaložené náklady"),"",VLOOKUP(E699,Tab_Parts,2,0))</f>
        <v/>
      </c>
      <c r="BD699" s="24" t="str">
        <f t="shared" si="148"/>
        <v/>
      </c>
      <c r="BE699" s="24">
        <f t="shared" si="149"/>
        <v>0</v>
      </c>
      <c r="BF699" s="72">
        <f>TableCosts[[#This Row],[N_Amount]]*TableCosts[[#This Row],[N_Tariff]]*TableCosts[[#This Row],[N_ItemsCount]]</f>
        <v>0</v>
      </c>
      <c r="BG699" s="72">
        <f>IF(G699=1,IF(TableCosts[[#This Row],[N_Kateg]]="interné práce",TableCosts[[#This Row],[N_Amount]]*8*PAR_SGA_PERHOUR,0),0)</f>
        <v>0</v>
      </c>
      <c r="BH699" s="72">
        <f>SUM(TableCosts[[#This Row],[N_Direct]:[N_SGA]])</f>
        <v>0</v>
      </c>
      <c r="BI699" s="24">
        <f>IF(G699=1,IF(OR(AND(NOT(ISERROR(VLOOKUP(TableCosts[[#This Row],[Calc_N_Typ]],Cis_WorkPositions,1,0))),C699&lt;&gt;"",D699&lt;&gt;"",E699&lt;&gt;""),AND(ISERROR(VLOOKUP(TableCosts[[#This Row],[Calc_N_Typ]],Cis_WorkPositions,1,0)),C699="",D699="",E699&lt;&gt;""),LEFT(TableCosts[[#This Row],[Calc_N_Typ]],18)="Vynaložené náklady"),VLOOKUP(C699&amp;TableCosts[[#This Row],[Calc_N_Typ]],TRAN_STRITEMS_LABEL,VLOOKUP(D699,Tab_Hours,3,0),0),NA()),0)</f>
        <v>0</v>
      </c>
      <c r="BJ699" s="24">
        <f t="shared" si="150"/>
        <v>0</v>
      </c>
      <c r="BK699" s="24" t="str">
        <f t="shared" si="151"/>
        <v/>
      </c>
      <c r="BL699" s="24" t="str">
        <f t="shared" si="152"/>
        <v/>
      </c>
      <c r="BM699" s="24" t="str">
        <f>IF(G699=1,IF(TableCosts[[#This Row],[TransferFrom]]=TableCosts[[#This Row],[TranferTo]],0,1),"")</f>
        <v/>
      </c>
      <c r="BN699" s="24" t="str">
        <f t="shared" si="153"/>
        <v/>
      </c>
      <c r="BO699" s="24">
        <f t="shared" si="154"/>
        <v>0</v>
      </c>
      <c r="BP699" s="24">
        <f t="shared" si="155"/>
        <v>0</v>
      </c>
    </row>
    <row r="700" spans="2:68" s="24" customFormat="1" ht="12.75" x14ac:dyDescent="0.2">
      <c r="B700" s="97"/>
      <c r="C700" s="92"/>
      <c r="D700" s="92"/>
      <c r="E700" s="92"/>
      <c r="F700" s="31" t="str">
        <f>IF(G700=1,IF(ISERROR(TableCosts[[#This Row],[N_Tariff]]),Err_Message1,IF(TableCosts[[#This Row],[N_Tariff]]=0,Err_Message2,VLOOKUP(C700&amp;TableCosts[[#This Row],[Calc_N_Typ]],TRAN_STRITEMS_LABEL,5,FALSE))),"")</f>
        <v/>
      </c>
      <c r="G700" s="31">
        <f t="shared" si="144"/>
        <v>0</v>
      </c>
      <c r="H700" s="31" t="str">
        <f>IF(G700=1,IFERROR(VLOOKUP(F700,Tab_ErrMessage[],2,0),VLOOKUP(C700&amp;TableCosts[[#This Row],[Calc_N_Typ]],TRAN_STRITEMS_LABEL,4,FALSE)),"")</f>
        <v/>
      </c>
      <c r="I700" s="94"/>
      <c r="J700" s="94"/>
      <c r="K700" s="94"/>
      <c r="L700" s="84"/>
      <c r="M700" s="84"/>
      <c r="N700" s="84"/>
      <c r="O700" s="84"/>
      <c r="P700" s="84"/>
      <c r="Q700" s="84"/>
      <c r="R700" s="84"/>
      <c r="S700" s="84"/>
      <c r="T700" s="84"/>
      <c r="U700" s="84"/>
      <c r="V700" s="84"/>
      <c r="W700" s="84"/>
      <c r="X700" s="84"/>
      <c r="Y700" s="84"/>
      <c r="Z700" s="84"/>
      <c r="AA700" s="84"/>
      <c r="AB700" s="84"/>
      <c r="AC700" s="84"/>
      <c r="AD700" s="84"/>
      <c r="AE700" s="84"/>
      <c r="AF700" s="84"/>
      <c r="AG700" s="84"/>
      <c r="AH700" s="84"/>
      <c r="AI700" s="84"/>
      <c r="AJ700" s="84"/>
      <c r="AK700" s="84"/>
      <c r="AL700" s="84"/>
      <c r="AM700" s="84"/>
      <c r="AN700" s="84"/>
      <c r="AO700" s="84"/>
      <c r="AP700" s="84"/>
      <c r="AQ700" s="84"/>
      <c r="AR700" s="84"/>
      <c r="AS700" s="84"/>
      <c r="AT700" s="84"/>
      <c r="AU700" s="84"/>
      <c r="AV700" s="84"/>
      <c r="AW700" s="84"/>
      <c r="AX700" s="87">
        <f t="array" ref="AX700">IF(G700=1,SUM((ROW(M0)=ROW(AW700))*(M0+M1_+M2_+M3_+M4_+M5_+M6_+M7_+M8_+M9_+M10_+M11_+M12_+M13_+M14_+M15_+M16_+M17_+M18_+M19_+M20_+M21_+M22_+M23_+M24_+M25_+M26_+M27_+M28_+M29_+M30_+M31_+M32_+M33_+M34_+M35_+M36_+M37_)),0)</f>
        <v>0</v>
      </c>
      <c r="AZ700" s="24" t="str">
        <f t="shared" si="145"/>
        <v/>
      </c>
      <c r="BA700" s="24" t="str">
        <f t="shared" si="146"/>
        <v/>
      </c>
      <c r="BB700" s="24" t="str">
        <f t="shared" si="147"/>
        <v/>
      </c>
      <c r="BC700" s="24" t="str">
        <f>IF(OR(E700="",LEFT(TableCosts[[#This Row],[Calc_N_Typ]],18)="Vynaložené náklady"),"",VLOOKUP(E700,Tab_Parts,2,0))</f>
        <v/>
      </c>
      <c r="BD700" s="24" t="str">
        <f t="shared" si="148"/>
        <v/>
      </c>
      <c r="BE700" s="24">
        <f t="shared" si="149"/>
        <v>0</v>
      </c>
      <c r="BF700" s="72">
        <f>TableCosts[[#This Row],[N_Amount]]*TableCosts[[#This Row],[N_Tariff]]*TableCosts[[#This Row],[N_ItemsCount]]</f>
        <v>0</v>
      </c>
      <c r="BG700" s="72">
        <f>IF(G700=1,IF(TableCosts[[#This Row],[N_Kateg]]="interné práce",TableCosts[[#This Row],[N_Amount]]*8*PAR_SGA_PERHOUR,0),0)</f>
        <v>0</v>
      </c>
      <c r="BH700" s="72">
        <f>SUM(TableCosts[[#This Row],[N_Direct]:[N_SGA]])</f>
        <v>0</v>
      </c>
      <c r="BI700" s="24">
        <f>IF(G700=1,IF(OR(AND(NOT(ISERROR(VLOOKUP(TableCosts[[#This Row],[Calc_N_Typ]],Cis_WorkPositions,1,0))),C700&lt;&gt;"",D700&lt;&gt;"",E700&lt;&gt;""),AND(ISERROR(VLOOKUP(TableCosts[[#This Row],[Calc_N_Typ]],Cis_WorkPositions,1,0)),C700="",D700="",E700&lt;&gt;""),LEFT(TableCosts[[#This Row],[Calc_N_Typ]],18)="Vynaložené náklady"),VLOOKUP(C700&amp;TableCosts[[#This Row],[Calc_N_Typ]],TRAN_STRITEMS_LABEL,VLOOKUP(D700,Tab_Hours,3,0),0),NA()),0)</f>
        <v>0</v>
      </c>
      <c r="BJ700" s="24">
        <f t="shared" si="150"/>
        <v>0</v>
      </c>
      <c r="BK700" s="24" t="str">
        <f t="shared" si="151"/>
        <v/>
      </c>
      <c r="BL700" s="24" t="str">
        <f t="shared" si="152"/>
        <v/>
      </c>
      <c r="BM700" s="24" t="str">
        <f>IF(G700=1,IF(TableCosts[[#This Row],[TransferFrom]]=TableCosts[[#This Row],[TranferTo]],0,1),"")</f>
        <v/>
      </c>
      <c r="BN700" s="24" t="str">
        <f t="shared" si="153"/>
        <v/>
      </c>
      <c r="BO700" s="24">
        <f t="shared" si="154"/>
        <v>0</v>
      </c>
      <c r="BP700" s="24">
        <f t="shared" si="155"/>
        <v>0</v>
      </c>
    </row>
    <row r="701" spans="2:68" s="24" customFormat="1" ht="12.75" x14ac:dyDescent="0.2">
      <c r="B701" s="97"/>
      <c r="C701" s="92"/>
      <c r="D701" s="92"/>
      <c r="E701" s="92"/>
      <c r="F701" s="31" t="str">
        <f>IF(G701=1,IF(ISERROR(TableCosts[[#This Row],[N_Tariff]]),Err_Message1,IF(TableCosts[[#This Row],[N_Tariff]]=0,Err_Message2,VLOOKUP(C701&amp;TableCosts[[#This Row],[Calc_N_Typ]],TRAN_STRITEMS_LABEL,5,FALSE))),"")</f>
        <v/>
      </c>
      <c r="G701" s="31">
        <f t="shared" si="144"/>
        <v>0</v>
      </c>
      <c r="H701" s="31" t="str">
        <f>IF(G701=1,IFERROR(VLOOKUP(F701,Tab_ErrMessage[],2,0),VLOOKUP(C701&amp;TableCosts[[#This Row],[Calc_N_Typ]],TRAN_STRITEMS_LABEL,4,FALSE)),"")</f>
        <v/>
      </c>
      <c r="I701" s="94"/>
      <c r="J701" s="94"/>
      <c r="K701" s="94"/>
      <c r="L701" s="84"/>
      <c r="M701" s="84"/>
      <c r="N701" s="84"/>
      <c r="O701" s="84"/>
      <c r="P701" s="84"/>
      <c r="Q701" s="84"/>
      <c r="R701" s="84"/>
      <c r="S701" s="84"/>
      <c r="T701" s="84"/>
      <c r="U701" s="84"/>
      <c r="V701" s="84"/>
      <c r="W701" s="84"/>
      <c r="X701" s="84"/>
      <c r="Y701" s="84"/>
      <c r="Z701" s="84"/>
      <c r="AA701" s="84"/>
      <c r="AB701" s="84"/>
      <c r="AC701" s="84"/>
      <c r="AD701" s="84"/>
      <c r="AE701" s="84"/>
      <c r="AF701" s="84"/>
      <c r="AG701" s="84"/>
      <c r="AH701" s="84"/>
      <c r="AI701" s="84"/>
      <c r="AJ701" s="84"/>
      <c r="AK701" s="84"/>
      <c r="AL701" s="84"/>
      <c r="AM701" s="84"/>
      <c r="AN701" s="84"/>
      <c r="AO701" s="84"/>
      <c r="AP701" s="84"/>
      <c r="AQ701" s="84"/>
      <c r="AR701" s="84"/>
      <c r="AS701" s="84"/>
      <c r="AT701" s="84"/>
      <c r="AU701" s="84"/>
      <c r="AV701" s="84"/>
      <c r="AW701" s="84"/>
      <c r="AX701" s="87">
        <f t="array" ref="AX701">IF(G701=1,SUM((ROW(M0)=ROW(AW701))*(M0+M1_+M2_+M3_+M4_+M5_+M6_+M7_+M8_+M9_+M10_+M11_+M12_+M13_+M14_+M15_+M16_+M17_+M18_+M19_+M20_+M21_+M22_+M23_+M24_+M25_+M26_+M27_+M28_+M29_+M30_+M31_+M32_+M33_+M34_+M35_+M36_+M37_)),0)</f>
        <v>0</v>
      </c>
      <c r="AZ701" s="24" t="str">
        <f t="shared" si="145"/>
        <v/>
      </c>
      <c r="BA701" s="24" t="str">
        <f t="shared" si="146"/>
        <v/>
      </c>
      <c r="BB701" s="24" t="str">
        <f t="shared" si="147"/>
        <v/>
      </c>
      <c r="BC701" s="24" t="str">
        <f>IF(OR(E701="",LEFT(TableCosts[[#This Row],[Calc_N_Typ]],18)="Vynaložené náklady"),"",VLOOKUP(E701,Tab_Parts,2,0))</f>
        <v/>
      </c>
      <c r="BD701" s="24" t="str">
        <f t="shared" si="148"/>
        <v/>
      </c>
      <c r="BE701" s="24">
        <f t="shared" si="149"/>
        <v>0</v>
      </c>
      <c r="BF701" s="72">
        <f>TableCosts[[#This Row],[N_Amount]]*TableCosts[[#This Row],[N_Tariff]]*TableCosts[[#This Row],[N_ItemsCount]]</f>
        <v>0</v>
      </c>
      <c r="BG701" s="72">
        <f>IF(G701=1,IF(TableCosts[[#This Row],[N_Kateg]]="interné práce",TableCosts[[#This Row],[N_Amount]]*8*PAR_SGA_PERHOUR,0),0)</f>
        <v>0</v>
      </c>
      <c r="BH701" s="72">
        <f>SUM(TableCosts[[#This Row],[N_Direct]:[N_SGA]])</f>
        <v>0</v>
      </c>
      <c r="BI701" s="24">
        <f>IF(G701=1,IF(OR(AND(NOT(ISERROR(VLOOKUP(TableCosts[[#This Row],[Calc_N_Typ]],Cis_WorkPositions,1,0))),C701&lt;&gt;"",D701&lt;&gt;"",E701&lt;&gt;""),AND(ISERROR(VLOOKUP(TableCosts[[#This Row],[Calc_N_Typ]],Cis_WorkPositions,1,0)),C701="",D701="",E701&lt;&gt;""),LEFT(TableCosts[[#This Row],[Calc_N_Typ]],18)="Vynaložené náklady"),VLOOKUP(C701&amp;TableCosts[[#This Row],[Calc_N_Typ]],TRAN_STRITEMS_LABEL,VLOOKUP(D701,Tab_Hours,3,0),0),NA()),0)</f>
        <v>0</v>
      </c>
      <c r="BJ701" s="24">
        <f t="shared" si="150"/>
        <v>0</v>
      </c>
      <c r="BK701" s="24" t="str">
        <f t="shared" si="151"/>
        <v/>
      </c>
      <c r="BL701" s="24" t="str">
        <f t="shared" si="152"/>
        <v/>
      </c>
      <c r="BM701" s="24" t="str">
        <f>IF(G701=1,IF(TableCosts[[#This Row],[TransferFrom]]=TableCosts[[#This Row],[TranferTo]],0,1),"")</f>
        <v/>
      </c>
      <c r="BN701" s="24" t="str">
        <f t="shared" si="153"/>
        <v/>
      </c>
      <c r="BO701" s="24">
        <f t="shared" si="154"/>
        <v>0</v>
      </c>
      <c r="BP701" s="24">
        <f t="shared" si="155"/>
        <v>0</v>
      </c>
    </row>
    <row r="702" spans="2:68" s="24" customFormat="1" ht="12.75" x14ac:dyDescent="0.2">
      <c r="B702" s="97"/>
      <c r="C702" s="92"/>
      <c r="D702" s="92"/>
      <c r="E702" s="92"/>
      <c r="F702" s="31" t="str">
        <f>IF(G702=1,IF(ISERROR(TableCosts[[#This Row],[N_Tariff]]),Err_Message1,IF(TableCosts[[#This Row],[N_Tariff]]=0,Err_Message2,VLOOKUP(C702&amp;TableCosts[[#This Row],[Calc_N_Typ]],TRAN_STRITEMS_LABEL,5,FALSE))),"")</f>
        <v/>
      </c>
      <c r="G702" s="31">
        <f t="shared" si="144"/>
        <v>0</v>
      </c>
      <c r="H702" s="31" t="str">
        <f>IF(G702=1,IFERROR(VLOOKUP(F702,Tab_ErrMessage[],2,0),VLOOKUP(C702&amp;TableCosts[[#This Row],[Calc_N_Typ]],TRAN_STRITEMS_LABEL,4,FALSE)),"")</f>
        <v/>
      </c>
      <c r="I702" s="94"/>
      <c r="J702" s="94"/>
      <c r="K702" s="94"/>
      <c r="L702" s="84"/>
      <c r="M702" s="84"/>
      <c r="N702" s="84"/>
      <c r="O702" s="84"/>
      <c r="P702" s="84"/>
      <c r="Q702" s="84"/>
      <c r="R702" s="84"/>
      <c r="S702" s="84"/>
      <c r="T702" s="84"/>
      <c r="U702" s="84"/>
      <c r="V702" s="84"/>
      <c r="W702" s="84"/>
      <c r="X702" s="84"/>
      <c r="Y702" s="84"/>
      <c r="Z702" s="84"/>
      <c r="AA702" s="84"/>
      <c r="AB702" s="84"/>
      <c r="AC702" s="84"/>
      <c r="AD702" s="84"/>
      <c r="AE702" s="84"/>
      <c r="AF702" s="84"/>
      <c r="AG702" s="84"/>
      <c r="AH702" s="84"/>
      <c r="AI702" s="84"/>
      <c r="AJ702" s="84"/>
      <c r="AK702" s="84"/>
      <c r="AL702" s="84"/>
      <c r="AM702" s="84"/>
      <c r="AN702" s="84"/>
      <c r="AO702" s="84"/>
      <c r="AP702" s="84"/>
      <c r="AQ702" s="84"/>
      <c r="AR702" s="84"/>
      <c r="AS702" s="84"/>
      <c r="AT702" s="84"/>
      <c r="AU702" s="84"/>
      <c r="AV702" s="84"/>
      <c r="AW702" s="84"/>
      <c r="AX702" s="87">
        <f t="array" ref="AX702">IF(G702=1,SUM((ROW(M0)=ROW(AW702))*(M0+M1_+M2_+M3_+M4_+M5_+M6_+M7_+M8_+M9_+M10_+M11_+M12_+M13_+M14_+M15_+M16_+M17_+M18_+M19_+M20_+M21_+M22_+M23_+M24_+M25_+M26_+M27_+M28_+M29_+M30_+M31_+M32_+M33_+M34_+M35_+M36_+M37_)),0)</f>
        <v>0</v>
      </c>
      <c r="AZ702" s="24" t="str">
        <f t="shared" si="145"/>
        <v/>
      </c>
      <c r="BA702" s="24" t="str">
        <f t="shared" si="146"/>
        <v/>
      </c>
      <c r="BB702" s="24" t="str">
        <f t="shared" si="147"/>
        <v/>
      </c>
      <c r="BC702" s="24" t="str">
        <f>IF(OR(E702="",LEFT(TableCosts[[#This Row],[Calc_N_Typ]],18)="Vynaložené náklady"),"",VLOOKUP(E702,Tab_Parts,2,0))</f>
        <v/>
      </c>
      <c r="BD702" s="24" t="str">
        <f t="shared" si="148"/>
        <v/>
      </c>
      <c r="BE702" s="24">
        <f t="shared" si="149"/>
        <v>0</v>
      </c>
      <c r="BF702" s="72">
        <f>TableCosts[[#This Row],[N_Amount]]*TableCosts[[#This Row],[N_Tariff]]*TableCosts[[#This Row],[N_ItemsCount]]</f>
        <v>0</v>
      </c>
      <c r="BG702" s="72">
        <f>IF(G702=1,IF(TableCosts[[#This Row],[N_Kateg]]="interné práce",TableCosts[[#This Row],[N_Amount]]*8*PAR_SGA_PERHOUR,0),0)</f>
        <v>0</v>
      </c>
      <c r="BH702" s="72">
        <f>SUM(TableCosts[[#This Row],[N_Direct]:[N_SGA]])</f>
        <v>0</v>
      </c>
      <c r="BI702" s="24">
        <f>IF(G702=1,IF(OR(AND(NOT(ISERROR(VLOOKUP(TableCosts[[#This Row],[Calc_N_Typ]],Cis_WorkPositions,1,0))),C702&lt;&gt;"",D702&lt;&gt;"",E702&lt;&gt;""),AND(ISERROR(VLOOKUP(TableCosts[[#This Row],[Calc_N_Typ]],Cis_WorkPositions,1,0)),C702="",D702="",E702&lt;&gt;""),LEFT(TableCosts[[#This Row],[Calc_N_Typ]],18)="Vynaložené náklady"),VLOOKUP(C702&amp;TableCosts[[#This Row],[Calc_N_Typ]],TRAN_STRITEMS_LABEL,VLOOKUP(D702,Tab_Hours,3,0),0),NA()),0)</f>
        <v>0</v>
      </c>
      <c r="BJ702" s="24">
        <f t="shared" si="150"/>
        <v>0</v>
      </c>
      <c r="BK702" s="24" t="str">
        <f t="shared" si="151"/>
        <v/>
      </c>
      <c r="BL702" s="24" t="str">
        <f t="shared" si="152"/>
        <v/>
      </c>
      <c r="BM702" s="24" t="str">
        <f>IF(G702=1,IF(TableCosts[[#This Row],[TransferFrom]]=TableCosts[[#This Row],[TranferTo]],0,1),"")</f>
        <v/>
      </c>
      <c r="BN702" s="24" t="str">
        <f t="shared" si="153"/>
        <v/>
      </c>
      <c r="BO702" s="24">
        <f t="shared" si="154"/>
        <v>0</v>
      </c>
      <c r="BP702" s="24">
        <f t="shared" si="155"/>
        <v>0</v>
      </c>
    </row>
    <row r="703" spans="2:68" s="24" customFormat="1" ht="12.75" x14ac:dyDescent="0.2">
      <c r="B703" s="97"/>
      <c r="C703" s="92"/>
      <c r="D703" s="92"/>
      <c r="E703" s="92"/>
      <c r="F703" s="31" t="str">
        <f>IF(G703=1,IF(ISERROR(TableCosts[[#This Row],[N_Tariff]]),Err_Message1,IF(TableCosts[[#This Row],[N_Tariff]]=0,Err_Message2,VLOOKUP(C703&amp;TableCosts[[#This Row],[Calc_N_Typ]],TRAN_STRITEMS_LABEL,5,FALSE))),"")</f>
        <v/>
      </c>
      <c r="G703" s="31">
        <f t="shared" si="144"/>
        <v>0</v>
      </c>
      <c r="H703" s="31" t="str">
        <f>IF(G703=1,IFERROR(VLOOKUP(F703,Tab_ErrMessage[],2,0),VLOOKUP(C703&amp;TableCosts[[#This Row],[Calc_N_Typ]],TRAN_STRITEMS_LABEL,4,FALSE)),"")</f>
        <v/>
      </c>
      <c r="I703" s="94"/>
      <c r="J703" s="94"/>
      <c r="K703" s="94"/>
      <c r="L703" s="84"/>
      <c r="M703" s="84"/>
      <c r="N703" s="84"/>
      <c r="O703" s="84"/>
      <c r="P703" s="84"/>
      <c r="Q703" s="84"/>
      <c r="R703" s="84"/>
      <c r="S703" s="84"/>
      <c r="T703" s="84"/>
      <c r="U703" s="84"/>
      <c r="V703" s="84"/>
      <c r="W703" s="84"/>
      <c r="X703" s="84"/>
      <c r="Y703" s="84"/>
      <c r="Z703" s="84"/>
      <c r="AA703" s="84"/>
      <c r="AB703" s="84"/>
      <c r="AC703" s="84"/>
      <c r="AD703" s="84"/>
      <c r="AE703" s="84"/>
      <c r="AF703" s="84"/>
      <c r="AG703" s="84"/>
      <c r="AH703" s="84"/>
      <c r="AI703" s="84"/>
      <c r="AJ703" s="84"/>
      <c r="AK703" s="84"/>
      <c r="AL703" s="84"/>
      <c r="AM703" s="84"/>
      <c r="AN703" s="84"/>
      <c r="AO703" s="84"/>
      <c r="AP703" s="84"/>
      <c r="AQ703" s="84"/>
      <c r="AR703" s="84"/>
      <c r="AS703" s="84"/>
      <c r="AT703" s="84"/>
      <c r="AU703" s="84"/>
      <c r="AV703" s="84"/>
      <c r="AW703" s="84"/>
      <c r="AX703" s="87">
        <f t="array" ref="AX703">IF(G703=1,SUM((ROW(M0)=ROW(AW703))*(M0+M1_+M2_+M3_+M4_+M5_+M6_+M7_+M8_+M9_+M10_+M11_+M12_+M13_+M14_+M15_+M16_+M17_+M18_+M19_+M20_+M21_+M22_+M23_+M24_+M25_+M26_+M27_+M28_+M29_+M30_+M31_+M32_+M33_+M34_+M35_+M36_+M37_)),0)</f>
        <v>0</v>
      </c>
      <c r="AZ703" s="24" t="str">
        <f t="shared" si="145"/>
        <v/>
      </c>
      <c r="BA703" s="24" t="str">
        <f t="shared" si="146"/>
        <v/>
      </c>
      <c r="BB703" s="24" t="str">
        <f t="shared" si="147"/>
        <v/>
      </c>
      <c r="BC703" s="24" t="str">
        <f>IF(OR(E703="",LEFT(TableCosts[[#This Row],[Calc_N_Typ]],18)="Vynaložené náklady"),"",VLOOKUP(E703,Tab_Parts,2,0))</f>
        <v/>
      </c>
      <c r="BD703" s="24" t="str">
        <f t="shared" si="148"/>
        <v/>
      </c>
      <c r="BE703" s="24">
        <f t="shared" si="149"/>
        <v>0</v>
      </c>
      <c r="BF703" s="72">
        <f>TableCosts[[#This Row],[N_Amount]]*TableCosts[[#This Row],[N_Tariff]]*TableCosts[[#This Row],[N_ItemsCount]]</f>
        <v>0</v>
      </c>
      <c r="BG703" s="72">
        <f>IF(G703=1,IF(TableCosts[[#This Row],[N_Kateg]]="interné práce",TableCosts[[#This Row],[N_Amount]]*8*PAR_SGA_PERHOUR,0),0)</f>
        <v>0</v>
      </c>
      <c r="BH703" s="72">
        <f>SUM(TableCosts[[#This Row],[N_Direct]:[N_SGA]])</f>
        <v>0</v>
      </c>
      <c r="BI703" s="24">
        <f>IF(G703=1,IF(OR(AND(NOT(ISERROR(VLOOKUP(TableCosts[[#This Row],[Calc_N_Typ]],Cis_WorkPositions,1,0))),C703&lt;&gt;"",D703&lt;&gt;"",E703&lt;&gt;""),AND(ISERROR(VLOOKUP(TableCosts[[#This Row],[Calc_N_Typ]],Cis_WorkPositions,1,0)),C703="",D703="",E703&lt;&gt;""),LEFT(TableCosts[[#This Row],[Calc_N_Typ]],18)="Vynaložené náklady"),VLOOKUP(C703&amp;TableCosts[[#This Row],[Calc_N_Typ]],TRAN_STRITEMS_LABEL,VLOOKUP(D703,Tab_Hours,3,0),0),NA()),0)</f>
        <v>0</v>
      </c>
      <c r="BJ703" s="24">
        <f t="shared" si="150"/>
        <v>0</v>
      </c>
      <c r="BK703" s="24" t="str">
        <f t="shared" si="151"/>
        <v/>
      </c>
      <c r="BL703" s="24" t="str">
        <f t="shared" si="152"/>
        <v/>
      </c>
      <c r="BM703" s="24" t="str">
        <f>IF(G703=1,IF(TableCosts[[#This Row],[TransferFrom]]=TableCosts[[#This Row],[TranferTo]],0,1),"")</f>
        <v/>
      </c>
      <c r="BN703" s="24" t="str">
        <f t="shared" si="153"/>
        <v/>
      </c>
      <c r="BO703" s="24">
        <f t="shared" si="154"/>
        <v>0</v>
      </c>
      <c r="BP703" s="24">
        <f t="shared" si="155"/>
        <v>0</v>
      </c>
    </row>
    <row r="704" spans="2:68" s="24" customFormat="1" ht="12.75" x14ac:dyDescent="0.2">
      <c r="B704" s="97"/>
      <c r="C704" s="92"/>
      <c r="D704" s="92"/>
      <c r="E704" s="92"/>
      <c r="F704" s="31" t="str">
        <f>IF(G704=1,IF(ISERROR(TableCosts[[#This Row],[N_Tariff]]),Err_Message1,IF(TableCosts[[#This Row],[N_Tariff]]=0,Err_Message2,VLOOKUP(C704&amp;TableCosts[[#This Row],[Calc_N_Typ]],TRAN_STRITEMS_LABEL,5,FALSE))),"")</f>
        <v/>
      </c>
      <c r="G704" s="31">
        <f t="shared" si="144"/>
        <v>0</v>
      </c>
      <c r="H704" s="31" t="str">
        <f>IF(G704=1,IFERROR(VLOOKUP(F704,Tab_ErrMessage[],2,0),VLOOKUP(C704&amp;TableCosts[[#This Row],[Calc_N_Typ]],TRAN_STRITEMS_LABEL,4,FALSE)),"")</f>
        <v/>
      </c>
      <c r="I704" s="94"/>
      <c r="J704" s="94"/>
      <c r="K704" s="94"/>
      <c r="L704" s="84"/>
      <c r="M704" s="84"/>
      <c r="N704" s="84"/>
      <c r="O704" s="84"/>
      <c r="P704" s="84"/>
      <c r="Q704" s="84"/>
      <c r="R704" s="84"/>
      <c r="S704" s="84"/>
      <c r="T704" s="84"/>
      <c r="U704" s="84"/>
      <c r="V704" s="84"/>
      <c r="W704" s="84"/>
      <c r="X704" s="84"/>
      <c r="Y704" s="84"/>
      <c r="Z704" s="84"/>
      <c r="AA704" s="84"/>
      <c r="AB704" s="84"/>
      <c r="AC704" s="84"/>
      <c r="AD704" s="84"/>
      <c r="AE704" s="84"/>
      <c r="AF704" s="84"/>
      <c r="AG704" s="84"/>
      <c r="AH704" s="84"/>
      <c r="AI704" s="84"/>
      <c r="AJ704" s="84"/>
      <c r="AK704" s="84"/>
      <c r="AL704" s="84"/>
      <c r="AM704" s="84"/>
      <c r="AN704" s="84"/>
      <c r="AO704" s="84"/>
      <c r="AP704" s="84"/>
      <c r="AQ704" s="84"/>
      <c r="AR704" s="84"/>
      <c r="AS704" s="84"/>
      <c r="AT704" s="84"/>
      <c r="AU704" s="84"/>
      <c r="AV704" s="84"/>
      <c r="AW704" s="84"/>
      <c r="AX704" s="87">
        <f t="array" ref="AX704">IF(G704=1,SUM((ROW(M0)=ROW(AW704))*(M0+M1_+M2_+M3_+M4_+M5_+M6_+M7_+M8_+M9_+M10_+M11_+M12_+M13_+M14_+M15_+M16_+M17_+M18_+M19_+M20_+M21_+M22_+M23_+M24_+M25_+M26_+M27_+M28_+M29_+M30_+M31_+M32_+M33_+M34_+M35_+M36_+M37_)),0)</f>
        <v>0</v>
      </c>
      <c r="AZ704" s="24" t="str">
        <f t="shared" si="145"/>
        <v/>
      </c>
      <c r="BA704" s="24" t="str">
        <f t="shared" si="146"/>
        <v/>
      </c>
      <c r="BB704" s="24" t="str">
        <f t="shared" si="147"/>
        <v/>
      </c>
      <c r="BC704" s="24" t="str">
        <f>IF(OR(E704="",LEFT(TableCosts[[#This Row],[Calc_N_Typ]],18)="Vynaložené náklady"),"",VLOOKUP(E704,Tab_Parts,2,0))</f>
        <v/>
      </c>
      <c r="BD704" s="24" t="str">
        <f t="shared" si="148"/>
        <v/>
      </c>
      <c r="BE704" s="24">
        <f t="shared" si="149"/>
        <v>0</v>
      </c>
      <c r="BF704" s="72">
        <f>TableCosts[[#This Row],[N_Amount]]*TableCosts[[#This Row],[N_Tariff]]*TableCosts[[#This Row],[N_ItemsCount]]</f>
        <v>0</v>
      </c>
      <c r="BG704" s="72">
        <f>IF(G704=1,IF(TableCosts[[#This Row],[N_Kateg]]="interné práce",TableCosts[[#This Row],[N_Amount]]*8*PAR_SGA_PERHOUR,0),0)</f>
        <v>0</v>
      </c>
      <c r="BH704" s="72">
        <f>SUM(TableCosts[[#This Row],[N_Direct]:[N_SGA]])</f>
        <v>0</v>
      </c>
      <c r="BI704" s="24">
        <f>IF(G704=1,IF(OR(AND(NOT(ISERROR(VLOOKUP(TableCosts[[#This Row],[Calc_N_Typ]],Cis_WorkPositions,1,0))),C704&lt;&gt;"",D704&lt;&gt;"",E704&lt;&gt;""),AND(ISERROR(VLOOKUP(TableCosts[[#This Row],[Calc_N_Typ]],Cis_WorkPositions,1,0)),C704="",D704="",E704&lt;&gt;""),LEFT(TableCosts[[#This Row],[Calc_N_Typ]],18)="Vynaložené náklady"),VLOOKUP(C704&amp;TableCosts[[#This Row],[Calc_N_Typ]],TRAN_STRITEMS_LABEL,VLOOKUP(D704,Tab_Hours,3,0),0),NA()),0)</f>
        <v>0</v>
      </c>
      <c r="BJ704" s="24">
        <f t="shared" si="150"/>
        <v>0</v>
      </c>
      <c r="BK704" s="24" t="str">
        <f t="shared" si="151"/>
        <v/>
      </c>
      <c r="BL704" s="24" t="str">
        <f t="shared" si="152"/>
        <v/>
      </c>
      <c r="BM704" s="24" t="str">
        <f>IF(G704=1,IF(TableCosts[[#This Row],[TransferFrom]]=TableCosts[[#This Row],[TranferTo]],0,1),"")</f>
        <v/>
      </c>
      <c r="BN704" s="24" t="str">
        <f t="shared" si="153"/>
        <v/>
      </c>
      <c r="BO704" s="24">
        <f t="shared" si="154"/>
        <v>0</v>
      </c>
      <c r="BP704" s="24">
        <f t="shared" si="155"/>
        <v>0</v>
      </c>
    </row>
    <row r="705" spans="2:68" s="24" customFormat="1" ht="12.75" x14ac:dyDescent="0.2">
      <c r="B705" s="97"/>
      <c r="C705" s="92"/>
      <c r="D705" s="92"/>
      <c r="E705" s="92"/>
      <c r="F705" s="31" t="str">
        <f>IF(G705=1,IF(ISERROR(TableCosts[[#This Row],[N_Tariff]]),Err_Message1,IF(TableCosts[[#This Row],[N_Tariff]]=0,Err_Message2,VLOOKUP(C705&amp;TableCosts[[#This Row],[Calc_N_Typ]],TRAN_STRITEMS_LABEL,5,FALSE))),"")</f>
        <v/>
      </c>
      <c r="G705" s="31">
        <f t="shared" si="144"/>
        <v>0</v>
      </c>
      <c r="H705" s="31" t="str">
        <f>IF(G705=1,IFERROR(VLOOKUP(F705,Tab_ErrMessage[],2,0),VLOOKUP(C705&amp;TableCosts[[#This Row],[Calc_N_Typ]],TRAN_STRITEMS_LABEL,4,FALSE)),"")</f>
        <v/>
      </c>
      <c r="I705" s="94"/>
      <c r="J705" s="94"/>
      <c r="K705" s="94"/>
      <c r="L705" s="84"/>
      <c r="M705" s="84"/>
      <c r="N705" s="84"/>
      <c r="O705" s="84"/>
      <c r="P705" s="84"/>
      <c r="Q705" s="84"/>
      <c r="R705" s="84"/>
      <c r="S705" s="84"/>
      <c r="T705" s="84"/>
      <c r="U705" s="84"/>
      <c r="V705" s="84"/>
      <c r="W705" s="84"/>
      <c r="X705" s="84"/>
      <c r="Y705" s="84"/>
      <c r="Z705" s="84"/>
      <c r="AA705" s="84"/>
      <c r="AB705" s="84"/>
      <c r="AC705" s="84"/>
      <c r="AD705" s="84"/>
      <c r="AE705" s="84"/>
      <c r="AF705" s="84"/>
      <c r="AG705" s="84"/>
      <c r="AH705" s="84"/>
      <c r="AI705" s="84"/>
      <c r="AJ705" s="84"/>
      <c r="AK705" s="84"/>
      <c r="AL705" s="84"/>
      <c r="AM705" s="84"/>
      <c r="AN705" s="84"/>
      <c r="AO705" s="84"/>
      <c r="AP705" s="84"/>
      <c r="AQ705" s="84"/>
      <c r="AR705" s="84"/>
      <c r="AS705" s="84"/>
      <c r="AT705" s="84"/>
      <c r="AU705" s="84"/>
      <c r="AV705" s="84"/>
      <c r="AW705" s="84"/>
      <c r="AX705" s="87">
        <f t="array" ref="AX705">IF(G705=1,SUM((ROW(M0)=ROW(AW705))*(M0+M1_+M2_+M3_+M4_+M5_+M6_+M7_+M8_+M9_+M10_+M11_+M12_+M13_+M14_+M15_+M16_+M17_+M18_+M19_+M20_+M21_+M22_+M23_+M24_+M25_+M26_+M27_+M28_+M29_+M30_+M31_+M32_+M33_+M34_+M35_+M36_+M37_)),0)</f>
        <v>0</v>
      </c>
      <c r="AZ705" s="24" t="str">
        <f t="shared" si="145"/>
        <v/>
      </c>
      <c r="BA705" s="24" t="str">
        <f t="shared" si="146"/>
        <v/>
      </c>
      <c r="BB705" s="24" t="str">
        <f t="shared" si="147"/>
        <v/>
      </c>
      <c r="BC705" s="24" t="str">
        <f>IF(OR(E705="",LEFT(TableCosts[[#This Row],[Calc_N_Typ]],18)="Vynaložené náklady"),"",VLOOKUP(E705,Tab_Parts,2,0))</f>
        <v/>
      </c>
      <c r="BD705" s="24" t="str">
        <f t="shared" si="148"/>
        <v/>
      </c>
      <c r="BE705" s="24">
        <f t="shared" si="149"/>
        <v>0</v>
      </c>
      <c r="BF705" s="72">
        <f>TableCosts[[#This Row],[N_Amount]]*TableCosts[[#This Row],[N_Tariff]]*TableCosts[[#This Row],[N_ItemsCount]]</f>
        <v>0</v>
      </c>
      <c r="BG705" s="72">
        <f>IF(G705=1,IF(TableCosts[[#This Row],[N_Kateg]]="interné práce",TableCosts[[#This Row],[N_Amount]]*8*PAR_SGA_PERHOUR,0),0)</f>
        <v>0</v>
      </c>
      <c r="BH705" s="72">
        <f>SUM(TableCosts[[#This Row],[N_Direct]:[N_SGA]])</f>
        <v>0</v>
      </c>
      <c r="BI705" s="24">
        <f>IF(G705=1,IF(OR(AND(NOT(ISERROR(VLOOKUP(TableCosts[[#This Row],[Calc_N_Typ]],Cis_WorkPositions,1,0))),C705&lt;&gt;"",D705&lt;&gt;"",E705&lt;&gt;""),AND(ISERROR(VLOOKUP(TableCosts[[#This Row],[Calc_N_Typ]],Cis_WorkPositions,1,0)),C705="",D705="",E705&lt;&gt;""),LEFT(TableCosts[[#This Row],[Calc_N_Typ]],18)="Vynaložené náklady"),VLOOKUP(C705&amp;TableCosts[[#This Row],[Calc_N_Typ]],TRAN_STRITEMS_LABEL,VLOOKUP(D705,Tab_Hours,3,0),0),NA()),0)</f>
        <v>0</v>
      </c>
      <c r="BJ705" s="24">
        <f t="shared" si="150"/>
        <v>0</v>
      </c>
      <c r="BK705" s="24" t="str">
        <f t="shared" si="151"/>
        <v/>
      </c>
      <c r="BL705" s="24" t="str">
        <f t="shared" si="152"/>
        <v/>
      </c>
      <c r="BM705" s="24" t="str">
        <f>IF(G705=1,IF(TableCosts[[#This Row],[TransferFrom]]=TableCosts[[#This Row],[TranferTo]],0,1),"")</f>
        <v/>
      </c>
      <c r="BN705" s="24" t="str">
        <f t="shared" si="153"/>
        <v/>
      </c>
      <c r="BO705" s="24">
        <f t="shared" si="154"/>
        <v>0</v>
      </c>
      <c r="BP705" s="24">
        <f t="shared" si="155"/>
        <v>0</v>
      </c>
    </row>
    <row r="706" spans="2:68" s="24" customFormat="1" ht="12.75" x14ac:dyDescent="0.2">
      <c r="B706" s="97"/>
      <c r="C706" s="92"/>
      <c r="D706" s="92"/>
      <c r="E706" s="92"/>
      <c r="F706" s="31" t="str">
        <f>IF(G706=1,IF(ISERROR(TableCosts[[#This Row],[N_Tariff]]),Err_Message1,IF(TableCosts[[#This Row],[N_Tariff]]=0,Err_Message2,VLOOKUP(C706&amp;TableCosts[[#This Row],[Calc_N_Typ]],TRAN_STRITEMS_LABEL,5,FALSE))),"")</f>
        <v/>
      </c>
      <c r="G706" s="31">
        <f t="shared" si="144"/>
        <v>0</v>
      </c>
      <c r="H706" s="31" t="str">
        <f>IF(G706=1,IFERROR(VLOOKUP(F706,Tab_ErrMessage[],2,0),VLOOKUP(C706&amp;TableCosts[[#This Row],[Calc_N_Typ]],TRAN_STRITEMS_LABEL,4,FALSE)),"")</f>
        <v/>
      </c>
      <c r="I706" s="94"/>
      <c r="J706" s="94"/>
      <c r="K706" s="94"/>
      <c r="L706" s="84"/>
      <c r="M706" s="84"/>
      <c r="N706" s="84"/>
      <c r="O706" s="84"/>
      <c r="P706" s="84"/>
      <c r="Q706" s="84"/>
      <c r="R706" s="84"/>
      <c r="S706" s="84"/>
      <c r="T706" s="84"/>
      <c r="U706" s="84"/>
      <c r="V706" s="84"/>
      <c r="W706" s="84"/>
      <c r="X706" s="84"/>
      <c r="Y706" s="84"/>
      <c r="Z706" s="84"/>
      <c r="AA706" s="84"/>
      <c r="AB706" s="84"/>
      <c r="AC706" s="84"/>
      <c r="AD706" s="84"/>
      <c r="AE706" s="84"/>
      <c r="AF706" s="84"/>
      <c r="AG706" s="84"/>
      <c r="AH706" s="84"/>
      <c r="AI706" s="84"/>
      <c r="AJ706" s="84"/>
      <c r="AK706" s="84"/>
      <c r="AL706" s="84"/>
      <c r="AM706" s="84"/>
      <c r="AN706" s="84"/>
      <c r="AO706" s="84"/>
      <c r="AP706" s="84"/>
      <c r="AQ706" s="84"/>
      <c r="AR706" s="84"/>
      <c r="AS706" s="84"/>
      <c r="AT706" s="84"/>
      <c r="AU706" s="84"/>
      <c r="AV706" s="84"/>
      <c r="AW706" s="84"/>
      <c r="AX706" s="87">
        <f t="array" ref="AX706">IF(G706=1,SUM((ROW(M0)=ROW(AW706))*(M0+M1_+M2_+M3_+M4_+M5_+M6_+M7_+M8_+M9_+M10_+M11_+M12_+M13_+M14_+M15_+M16_+M17_+M18_+M19_+M20_+M21_+M22_+M23_+M24_+M25_+M26_+M27_+M28_+M29_+M30_+M31_+M32_+M33_+M34_+M35_+M36_+M37_)),0)</f>
        <v>0</v>
      </c>
      <c r="AZ706" s="24" t="str">
        <f t="shared" si="145"/>
        <v/>
      </c>
      <c r="BA706" s="24" t="str">
        <f t="shared" si="146"/>
        <v/>
      </c>
      <c r="BB706" s="24" t="str">
        <f t="shared" si="147"/>
        <v/>
      </c>
      <c r="BC706" s="24" t="str">
        <f>IF(OR(E706="",LEFT(TableCosts[[#This Row],[Calc_N_Typ]],18)="Vynaložené náklady"),"",VLOOKUP(E706,Tab_Parts,2,0))</f>
        <v/>
      </c>
      <c r="BD706" s="24" t="str">
        <f t="shared" si="148"/>
        <v/>
      </c>
      <c r="BE706" s="24">
        <f t="shared" si="149"/>
        <v>0</v>
      </c>
      <c r="BF706" s="72">
        <f>TableCosts[[#This Row],[N_Amount]]*TableCosts[[#This Row],[N_Tariff]]*TableCosts[[#This Row],[N_ItemsCount]]</f>
        <v>0</v>
      </c>
      <c r="BG706" s="72">
        <f>IF(G706=1,IF(TableCosts[[#This Row],[N_Kateg]]="interné práce",TableCosts[[#This Row],[N_Amount]]*8*PAR_SGA_PERHOUR,0),0)</f>
        <v>0</v>
      </c>
      <c r="BH706" s="72">
        <f>SUM(TableCosts[[#This Row],[N_Direct]:[N_SGA]])</f>
        <v>0</v>
      </c>
      <c r="BI706" s="24">
        <f>IF(G706=1,IF(OR(AND(NOT(ISERROR(VLOOKUP(TableCosts[[#This Row],[Calc_N_Typ]],Cis_WorkPositions,1,0))),C706&lt;&gt;"",D706&lt;&gt;"",E706&lt;&gt;""),AND(ISERROR(VLOOKUP(TableCosts[[#This Row],[Calc_N_Typ]],Cis_WorkPositions,1,0)),C706="",D706="",E706&lt;&gt;""),LEFT(TableCosts[[#This Row],[Calc_N_Typ]],18)="Vynaložené náklady"),VLOOKUP(C706&amp;TableCosts[[#This Row],[Calc_N_Typ]],TRAN_STRITEMS_LABEL,VLOOKUP(D706,Tab_Hours,3,0),0),NA()),0)</f>
        <v>0</v>
      </c>
      <c r="BJ706" s="24">
        <f t="shared" si="150"/>
        <v>0</v>
      </c>
      <c r="BK706" s="24" t="str">
        <f t="shared" si="151"/>
        <v/>
      </c>
      <c r="BL706" s="24" t="str">
        <f t="shared" si="152"/>
        <v/>
      </c>
      <c r="BM706" s="24" t="str">
        <f>IF(G706=1,IF(TableCosts[[#This Row],[TransferFrom]]=TableCosts[[#This Row],[TranferTo]],0,1),"")</f>
        <v/>
      </c>
      <c r="BN706" s="24" t="str">
        <f t="shared" si="153"/>
        <v/>
      </c>
      <c r="BO706" s="24">
        <f t="shared" si="154"/>
        <v>0</v>
      </c>
      <c r="BP706" s="24">
        <f t="shared" si="155"/>
        <v>0</v>
      </c>
    </row>
    <row r="707" spans="2:68" s="24" customFormat="1" ht="12.75" x14ac:dyDescent="0.2">
      <c r="B707" s="97"/>
      <c r="C707" s="92"/>
      <c r="D707" s="92"/>
      <c r="E707" s="92"/>
      <c r="F707" s="31" t="str">
        <f>IF(G707=1,IF(ISERROR(TableCosts[[#This Row],[N_Tariff]]),Err_Message1,IF(TableCosts[[#This Row],[N_Tariff]]=0,Err_Message2,VLOOKUP(C707&amp;TableCosts[[#This Row],[Calc_N_Typ]],TRAN_STRITEMS_LABEL,5,FALSE))),"")</f>
        <v/>
      </c>
      <c r="G707" s="31">
        <f t="shared" si="144"/>
        <v>0</v>
      </c>
      <c r="H707" s="31" t="str">
        <f>IF(G707=1,IFERROR(VLOOKUP(F707,Tab_ErrMessage[],2,0),VLOOKUP(C707&amp;TableCosts[[#This Row],[Calc_N_Typ]],TRAN_STRITEMS_LABEL,4,FALSE)),"")</f>
        <v/>
      </c>
      <c r="I707" s="94"/>
      <c r="J707" s="94"/>
      <c r="K707" s="94"/>
      <c r="L707" s="84"/>
      <c r="M707" s="84"/>
      <c r="N707" s="84"/>
      <c r="O707" s="84"/>
      <c r="P707" s="84"/>
      <c r="Q707" s="84"/>
      <c r="R707" s="84"/>
      <c r="S707" s="84"/>
      <c r="T707" s="84"/>
      <c r="U707" s="84"/>
      <c r="V707" s="84"/>
      <c r="W707" s="84"/>
      <c r="X707" s="84"/>
      <c r="Y707" s="84"/>
      <c r="Z707" s="84"/>
      <c r="AA707" s="84"/>
      <c r="AB707" s="84"/>
      <c r="AC707" s="84"/>
      <c r="AD707" s="84"/>
      <c r="AE707" s="84"/>
      <c r="AF707" s="84"/>
      <c r="AG707" s="84"/>
      <c r="AH707" s="84"/>
      <c r="AI707" s="84"/>
      <c r="AJ707" s="84"/>
      <c r="AK707" s="84"/>
      <c r="AL707" s="84"/>
      <c r="AM707" s="84"/>
      <c r="AN707" s="84"/>
      <c r="AO707" s="84"/>
      <c r="AP707" s="84"/>
      <c r="AQ707" s="84"/>
      <c r="AR707" s="84"/>
      <c r="AS707" s="84"/>
      <c r="AT707" s="84"/>
      <c r="AU707" s="84"/>
      <c r="AV707" s="84"/>
      <c r="AW707" s="84"/>
      <c r="AX707" s="87">
        <f t="array" ref="AX707">IF(G707=1,SUM((ROW(M0)=ROW(AW707))*(M0+M1_+M2_+M3_+M4_+M5_+M6_+M7_+M8_+M9_+M10_+M11_+M12_+M13_+M14_+M15_+M16_+M17_+M18_+M19_+M20_+M21_+M22_+M23_+M24_+M25_+M26_+M27_+M28_+M29_+M30_+M31_+M32_+M33_+M34_+M35_+M36_+M37_)),0)</f>
        <v>0</v>
      </c>
      <c r="AZ707" s="24" t="str">
        <f t="shared" si="145"/>
        <v/>
      </c>
      <c r="BA707" s="24" t="str">
        <f t="shared" si="146"/>
        <v/>
      </c>
      <c r="BB707" s="24" t="str">
        <f t="shared" si="147"/>
        <v/>
      </c>
      <c r="BC707" s="24" t="str">
        <f>IF(OR(E707="",LEFT(TableCosts[[#This Row],[Calc_N_Typ]],18)="Vynaložené náklady"),"",VLOOKUP(E707,Tab_Parts,2,0))</f>
        <v/>
      </c>
      <c r="BD707" s="24" t="str">
        <f t="shared" si="148"/>
        <v/>
      </c>
      <c r="BE707" s="24">
        <f t="shared" si="149"/>
        <v>0</v>
      </c>
      <c r="BF707" s="72">
        <f>TableCosts[[#This Row],[N_Amount]]*TableCosts[[#This Row],[N_Tariff]]*TableCosts[[#This Row],[N_ItemsCount]]</f>
        <v>0</v>
      </c>
      <c r="BG707" s="72">
        <f>IF(G707=1,IF(TableCosts[[#This Row],[N_Kateg]]="interné práce",TableCosts[[#This Row],[N_Amount]]*8*PAR_SGA_PERHOUR,0),0)</f>
        <v>0</v>
      </c>
      <c r="BH707" s="72">
        <f>SUM(TableCosts[[#This Row],[N_Direct]:[N_SGA]])</f>
        <v>0</v>
      </c>
      <c r="BI707" s="24">
        <f>IF(G707=1,IF(OR(AND(NOT(ISERROR(VLOOKUP(TableCosts[[#This Row],[Calc_N_Typ]],Cis_WorkPositions,1,0))),C707&lt;&gt;"",D707&lt;&gt;"",E707&lt;&gt;""),AND(ISERROR(VLOOKUP(TableCosts[[#This Row],[Calc_N_Typ]],Cis_WorkPositions,1,0)),C707="",D707="",E707&lt;&gt;""),LEFT(TableCosts[[#This Row],[Calc_N_Typ]],18)="Vynaložené náklady"),VLOOKUP(C707&amp;TableCosts[[#This Row],[Calc_N_Typ]],TRAN_STRITEMS_LABEL,VLOOKUP(D707,Tab_Hours,3,0),0),NA()),0)</f>
        <v>0</v>
      </c>
      <c r="BJ707" s="24">
        <f t="shared" si="150"/>
        <v>0</v>
      </c>
      <c r="BK707" s="24" t="str">
        <f t="shared" si="151"/>
        <v/>
      </c>
      <c r="BL707" s="24" t="str">
        <f t="shared" si="152"/>
        <v/>
      </c>
      <c r="BM707" s="24" t="str">
        <f>IF(G707=1,IF(TableCosts[[#This Row],[TransferFrom]]=TableCosts[[#This Row],[TranferTo]],0,1),"")</f>
        <v/>
      </c>
      <c r="BN707" s="24" t="str">
        <f t="shared" si="153"/>
        <v/>
      </c>
      <c r="BO707" s="24">
        <f t="shared" si="154"/>
        <v>0</v>
      </c>
      <c r="BP707" s="24">
        <f t="shared" si="155"/>
        <v>0</v>
      </c>
    </row>
    <row r="708" spans="2:68" s="24" customFormat="1" ht="12.75" x14ac:dyDescent="0.2">
      <c r="B708" s="97"/>
      <c r="C708" s="92"/>
      <c r="D708" s="92"/>
      <c r="E708" s="92"/>
      <c r="F708" s="31" t="str">
        <f>IF(G708=1,IF(ISERROR(TableCosts[[#This Row],[N_Tariff]]),Err_Message1,IF(TableCosts[[#This Row],[N_Tariff]]=0,Err_Message2,VLOOKUP(C708&amp;TableCosts[[#This Row],[Calc_N_Typ]],TRAN_STRITEMS_LABEL,5,FALSE))),"")</f>
        <v/>
      </c>
      <c r="G708" s="31">
        <f t="shared" si="144"/>
        <v>0</v>
      </c>
      <c r="H708" s="31" t="str">
        <f>IF(G708=1,IFERROR(VLOOKUP(F708,Tab_ErrMessage[],2,0),VLOOKUP(C708&amp;TableCosts[[#This Row],[Calc_N_Typ]],TRAN_STRITEMS_LABEL,4,FALSE)),"")</f>
        <v/>
      </c>
      <c r="I708" s="94"/>
      <c r="J708" s="94"/>
      <c r="K708" s="94"/>
      <c r="L708" s="84"/>
      <c r="M708" s="84"/>
      <c r="N708" s="84"/>
      <c r="O708" s="84"/>
      <c r="P708" s="84"/>
      <c r="Q708" s="84"/>
      <c r="R708" s="84"/>
      <c r="S708" s="84"/>
      <c r="T708" s="84"/>
      <c r="U708" s="84"/>
      <c r="V708" s="84"/>
      <c r="W708" s="84"/>
      <c r="X708" s="84"/>
      <c r="Y708" s="84"/>
      <c r="Z708" s="84"/>
      <c r="AA708" s="84"/>
      <c r="AB708" s="84"/>
      <c r="AC708" s="84"/>
      <c r="AD708" s="84"/>
      <c r="AE708" s="84"/>
      <c r="AF708" s="84"/>
      <c r="AG708" s="84"/>
      <c r="AH708" s="84"/>
      <c r="AI708" s="84"/>
      <c r="AJ708" s="84"/>
      <c r="AK708" s="84"/>
      <c r="AL708" s="84"/>
      <c r="AM708" s="84"/>
      <c r="AN708" s="84"/>
      <c r="AO708" s="84"/>
      <c r="AP708" s="84"/>
      <c r="AQ708" s="84"/>
      <c r="AR708" s="84"/>
      <c r="AS708" s="84"/>
      <c r="AT708" s="84"/>
      <c r="AU708" s="84"/>
      <c r="AV708" s="84"/>
      <c r="AW708" s="84"/>
      <c r="AX708" s="87">
        <f t="array" ref="AX708">IF(G708=1,SUM((ROW(M0)=ROW(AW708))*(M0+M1_+M2_+M3_+M4_+M5_+M6_+M7_+M8_+M9_+M10_+M11_+M12_+M13_+M14_+M15_+M16_+M17_+M18_+M19_+M20_+M21_+M22_+M23_+M24_+M25_+M26_+M27_+M28_+M29_+M30_+M31_+M32_+M33_+M34_+M35_+M36_+M37_)),0)</f>
        <v>0</v>
      </c>
      <c r="AZ708" s="24" t="str">
        <f t="shared" si="145"/>
        <v/>
      </c>
      <c r="BA708" s="24" t="str">
        <f t="shared" si="146"/>
        <v/>
      </c>
      <c r="BB708" s="24" t="str">
        <f t="shared" si="147"/>
        <v/>
      </c>
      <c r="BC708" s="24" t="str">
        <f>IF(OR(E708="",LEFT(TableCosts[[#This Row],[Calc_N_Typ]],18)="Vynaložené náklady"),"",VLOOKUP(E708,Tab_Parts,2,0))</f>
        <v/>
      </c>
      <c r="BD708" s="24" t="str">
        <f t="shared" si="148"/>
        <v/>
      </c>
      <c r="BE708" s="24">
        <f t="shared" si="149"/>
        <v>0</v>
      </c>
      <c r="BF708" s="72">
        <f>TableCosts[[#This Row],[N_Amount]]*TableCosts[[#This Row],[N_Tariff]]*TableCosts[[#This Row],[N_ItemsCount]]</f>
        <v>0</v>
      </c>
      <c r="BG708" s="72">
        <f>IF(G708=1,IF(TableCosts[[#This Row],[N_Kateg]]="interné práce",TableCosts[[#This Row],[N_Amount]]*8*PAR_SGA_PERHOUR,0),0)</f>
        <v>0</v>
      </c>
      <c r="BH708" s="72">
        <f>SUM(TableCosts[[#This Row],[N_Direct]:[N_SGA]])</f>
        <v>0</v>
      </c>
      <c r="BI708" s="24">
        <f>IF(G708=1,IF(OR(AND(NOT(ISERROR(VLOOKUP(TableCosts[[#This Row],[Calc_N_Typ]],Cis_WorkPositions,1,0))),C708&lt;&gt;"",D708&lt;&gt;"",E708&lt;&gt;""),AND(ISERROR(VLOOKUP(TableCosts[[#This Row],[Calc_N_Typ]],Cis_WorkPositions,1,0)),C708="",D708="",E708&lt;&gt;""),LEFT(TableCosts[[#This Row],[Calc_N_Typ]],18)="Vynaložené náklady"),VLOOKUP(C708&amp;TableCosts[[#This Row],[Calc_N_Typ]],TRAN_STRITEMS_LABEL,VLOOKUP(D708,Tab_Hours,3,0),0),NA()),0)</f>
        <v>0</v>
      </c>
      <c r="BJ708" s="24">
        <f t="shared" si="150"/>
        <v>0</v>
      </c>
      <c r="BK708" s="24" t="str">
        <f t="shared" si="151"/>
        <v/>
      </c>
      <c r="BL708" s="24" t="str">
        <f t="shared" si="152"/>
        <v/>
      </c>
      <c r="BM708" s="24" t="str">
        <f>IF(G708=1,IF(TableCosts[[#This Row],[TransferFrom]]=TableCosts[[#This Row],[TranferTo]],0,1),"")</f>
        <v/>
      </c>
      <c r="BN708" s="24" t="str">
        <f t="shared" si="153"/>
        <v/>
      </c>
      <c r="BO708" s="24">
        <f t="shared" si="154"/>
        <v>0</v>
      </c>
      <c r="BP708" s="24">
        <f t="shared" si="155"/>
        <v>0</v>
      </c>
    </row>
    <row r="709" spans="2:68" s="24" customFormat="1" ht="12.75" x14ac:dyDescent="0.2">
      <c r="B709" s="97"/>
      <c r="C709" s="92"/>
      <c r="D709" s="92"/>
      <c r="E709" s="92"/>
      <c r="F709" s="31" t="str">
        <f>IF(G709=1,IF(ISERROR(TableCosts[[#This Row],[N_Tariff]]),Err_Message1,IF(TableCosts[[#This Row],[N_Tariff]]=0,Err_Message2,VLOOKUP(C709&amp;TableCosts[[#This Row],[Calc_N_Typ]],TRAN_STRITEMS_LABEL,5,FALSE))),"")</f>
        <v/>
      </c>
      <c r="G709" s="31">
        <f t="shared" si="144"/>
        <v>0</v>
      </c>
      <c r="H709" s="31" t="str">
        <f>IF(G709=1,IFERROR(VLOOKUP(F709,Tab_ErrMessage[],2,0),VLOOKUP(C709&amp;TableCosts[[#This Row],[Calc_N_Typ]],TRAN_STRITEMS_LABEL,4,FALSE)),"")</f>
        <v/>
      </c>
      <c r="I709" s="94"/>
      <c r="J709" s="94"/>
      <c r="K709" s="94"/>
      <c r="L709" s="84"/>
      <c r="M709" s="84"/>
      <c r="N709" s="84"/>
      <c r="O709" s="84"/>
      <c r="P709" s="84"/>
      <c r="Q709" s="84"/>
      <c r="R709" s="84"/>
      <c r="S709" s="84"/>
      <c r="T709" s="84"/>
      <c r="U709" s="84"/>
      <c r="V709" s="84"/>
      <c r="W709" s="84"/>
      <c r="X709" s="84"/>
      <c r="Y709" s="84"/>
      <c r="Z709" s="84"/>
      <c r="AA709" s="84"/>
      <c r="AB709" s="84"/>
      <c r="AC709" s="84"/>
      <c r="AD709" s="84"/>
      <c r="AE709" s="84"/>
      <c r="AF709" s="84"/>
      <c r="AG709" s="84"/>
      <c r="AH709" s="84"/>
      <c r="AI709" s="84"/>
      <c r="AJ709" s="84"/>
      <c r="AK709" s="84"/>
      <c r="AL709" s="84"/>
      <c r="AM709" s="84"/>
      <c r="AN709" s="84"/>
      <c r="AO709" s="84"/>
      <c r="AP709" s="84"/>
      <c r="AQ709" s="84"/>
      <c r="AR709" s="84"/>
      <c r="AS709" s="84"/>
      <c r="AT709" s="84"/>
      <c r="AU709" s="84"/>
      <c r="AV709" s="84"/>
      <c r="AW709" s="84"/>
      <c r="AX709" s="87">
        <f t="array" ref="AX709">IF(G709=1,SUM((ROW(M0)=ROW(AW709))*(M0+M1_+M2_+M3_+M4_+M5_+M6_+M7_+M8_+M9_+M10_+M11_+M12_+M13_+M14_+M15_+M16_+M17_+M18_+M19_+M20_+M21_+M22_+M23_+M24_+M25_+M26_+M27_+M28_+M29_+M30_+M31_+M32_+M33_+M34_+M35_+M36_+M37_)),0)</f>
        <v>0</v>
      </c>
      <c r="AZ709" s="24" t="str">
        <f t="shared" si="145"/>
        <v/>
      </c>
      <c r="BA709" s="24" t="str">
        <f t="shared" si="146"/>
        <v/>
      </c>
      <c r="BB709" s="24" t="str">
        <f t="shared" si="147"/>
        <v/>
      </c>
      <c r="BC709" s="24" t="str">
        <f>IF(OR(E709="",LEFT(TableCosts[[#This Row],[Calc_N_Typ]],18)="Vynaložené náklady"),"",VLOOKUP(E709,Tab_Parts,2,0))</f>
        <v/>
      </c>
      <c r="BD709" s="24" t="str">
        <f t="shared" si="148"/>
        <v/>
      </c>
      <c r="BE709" s="24">
        <f t="shared" si="149"/>
        <v>0</v>
      </c>
      <c r="BF709" s="72">
        <f>TableCosts[[#This Row],[N_Amount]]*TableCosts[[#This Row],[N_Tariff]]*TableCosts[[#This Row],[N_ItemsCount]]</f>
        <v>0</v>
      </c>
      <c r="BG709" s="72">
        <f>IF(G709=1,IF(TableCosts[[#This Row],[N_Kateg]]="interné práce",TableCosts[[#This Row],[N_Amount]]*8*PAR_SGA_PERHOUR,0),0)</f>
        <v>0</v>
      </c>
      <c r="BH709" s="72">
        <f>SUM(TableCosts[[#This Row],[N_Direct]:[N_SGA]])</f>
        <v>0</v>
      </c>
      <c r="BI709" s="24">
        <f>IF(G709=1,IF(OR(AND(NOT(ISERROR(VLOOKUP(TableCosts[[#This Row],[Calc_N_Typ]],Cis_WorkPositions,1,0))),C709&lt;&gt;"",D709&lt;&gt;"",E709&lt;&gt;""),AND(ISERROR(VLOOKUP(TableCosts[[#This Row],[Calc_N_Typ]],Cis_WorkPositions,1,0)),C709="",D709="",E709&lt;&gt;""),LEFT(TableCosts[[#This Row],[Calc_N_Typ]],18)="Vynaložené náklady"),VLOOKUP(C709&amp;TableCosts[[#This Row],[Calc_N_Typ]],TRAN_STRITEMS_LABEL,VLOOKUP(D709,Tab_Hours,3,0),0),NA()),0)</f>
        <v>0</v>
      </c>
      <c r="BJ709" s="24">
        <f t="shared" si="150"/>
        <v>0</v>
      </c>
      <c r="BK709" s="24" t="str">
        <f t="shared" si="151"/>
        <v/>
      </c>
      <c r="BL709" s="24" t="str">
        <f t="shared" si="152"/>
        <v/>
      </c>
      <c r="BM709" s="24" t="str">
        <f>IF(G709=1,IF(TableCosts[[#This Row],[TransferFrom]]=TableCosts[[#This Row],[TranferTo]],0,1),"")</f>
        <v/>
      </c>
      <c r="BN709" s="24" t="str">
        <f t="shared" si="153"/>
        <v/>
      </c>
      <c r="BO709" s="24">
        <f t="shared" si="154"/>
        <v>0</v>
      </c>
      <c r="BP709" s="24">
        <f t="shared" si="155"/>
        <v>0</v>
      </c>
    </row>
    <row r="710" spans="2:68" s="24" customFormat="1" ht="12.75" x14ac:dyDescent="0.2">
      <c r="B710" s="97"/>
      <c r="C710" s="92"/>
      <c r="D710" s="92"/>
      <c r="E710" s="92"/>
      <c r="F710" s="31" t="str">
        <f>IF(G710=1,IF(ISERROR(TableCosts[[#This Row],[N_Tariff]]),Err_Message1,IF(TableCosts[[#This Row],[N_Tariff]]=0,Err_Message2,VLOOKUP(C710&amp;TableCosts[[#This Row],[Calc_N_Typ]],TRAN_STRITEMS_LABEL,5,FALSE))),"")</f>
        <v/>
      </c>
      <c r="G710" s="31">
        <f t="shared" si="144"/>
        <v>0</v>
      </c>
      <c r="H710" s="31" t="str">
        <f>IF(G710=1,IFERROR(VLOOKUP(F710,Tab_ErrMessage[],2,0),VLOOKUP(C710&amp;TableCosts[[#This Row],[Calc_N_Typ]],TRAN_STRITEMS_LABEL,4,FALSE)),"")</f>
        <v/>
      </c>
      <c r="I710" s="94"/>
      <c r="J710" s="94"/>
      <c r="K710" s="94"/>
      <c r="L710" s="84"/>
      <c r="M710" s="84"/>
      <c r="N710" s="84"/>
      <c r="O710" s="84"/>
      <c r="P710" s="84"/>
      <c r="Q710" s="84"/>
      <c r="R710" s="84"/>
      <c r="S710" s="84"/>
      <c r="T710" s="84"/>
      <c r="U710" s="84"/>
      <c r="V710" s="84"/>
      <c r="W710" s="84"/>
      <c r="X710" s="84"/>
      <c r="Y710" s="84"/>
      <c r="Z710" s="84"/>
      <c r="AA710" s="84"/>
      <c r="AB710" s="84"/>
      <c r="AC710" s="84"/>
      <c r="AD710" s="84"/>
      <c r="AE710" s="84"/>
      <c r="AF710" s="84"/>
      <c r="AG710" s="84"/>
      <c r="AH710" s="84"/>
      <c r="AI710" s="84"/>
      <c r="AJ710" s="84"/>
      <c r="AK710" s="84"/>
      <c r="AL710" s="84"/>
      <c r="AM710" s="84"/>
      <c r="AN710" s="84"/>
      <c r="AO710" s="84"/>
      <c r="AP710" s="84"/>
      <c r="AQ710" s="84"/>
      <c r="AR710" s="84"/>
      <c r="AS710" s="84"/>
      <c r="AT710" s="84"/>
      <c r="AU710" s="84"/>
      <c r="AV710" s="84"/>
      <c r="AW710" s="84"/>
      <c r="AX710" s="87">
        <f t="array" ref="AX710">IF(G710=1,SUM((ROW(M0)=ROW(AW710))*(M0+M1_+M2_+M3_+M4_+M5_+M6_+M7_+M8_+M9_+M10_+M11_+M12_+M13_+M14_+M15_+M16_+M17_+M18_+M19_+M20_+M21_+M22_+M23_+M24_+M25_+M26_+M27_+M28_+M29_+M30_+M31_+M32_+M33_+M34_+M35_+M36_+M37_)),0)</f>
        <v>0</v>
      </c>
      <c r="AZ710" s="24" t="str">
        <f t="shared" si="145"/>
        <v/>
      </c>
      <c r="BA710" s="24" t="str">
        <f t="shared" si="146"/>
        <v/>
      </c>
      <c r="BB710" s="24" t="str">
        <f t="shared" si="147"/>
        <v/>
      </c>
      <c r="BC710" s="24" t="str">
        <f>IF(OR(E710="",LEFT(TableCosts[[#This Row],[Calc_N_Typ]],18)="Vynaložené náklady"),"",VLOOKUP(E710,Tab_Parts,2,0))</f>
        <v/>
      </c>
      <c r="BD710" s="24" t="str">
        <f t="shared" si="148"/>
        <v/>
      </c>
      <c r="BE710" s="24">
        <f t="shared" si="149"/>
        <v>0</v>
      </c>
      <c r="BF710" s="72">
        <f>TableCosts[[#This Row],[N_Amount]]*TableCosts[[#This Row],[N_Tariff]]*TableCosts[[#This Row],[N_ItemsCount]]</f>
        <v>0</v>
      </c>
      <c r="BG710" s="72">
        <f>IF(G710=1,IF(TableCosts[[#This Row],[N_Kateg]]="interné práce",TableCosts[[#This Row],[N_Amount]]*8*PAR_SGA_PERHOUR,0),0)</f>
        <v>0</v>
      </c>
      <c r="BH710" s="72">
        <f>SUM(TableCosts[[#This Row],[N_Direct]:[N_SGA]])</f>
        <v>0</v>
      </c>
      <c r="BI710" s="24">
        <f>IF(G710=1,IF(OR(AND(NOT(ISERROR(VLOOKUP(TableCosts[[#This Row],[Calc_N_Typ]],Cis_WorkPositions,1,0))),C710&lt;&gt;"",D710&lt;&gt;"",E710&lt;&gt;""),AND(ISERROR(VLOOKUP(TableCosts[[#This Row],[Calc_N_Typ]],Cis_WorkPositions,1,0)),C710="",D710="",E710&lt;&gt;""),LEFT(TableCosts[[#This Row],[Calc_N_Typ]],18)="Vynaložené náklady"),VLOOKUP(C710&amp;TableCosts[[#This Row],[Calc_N_Typ]],TRAN_STRITEMS_LABEL,VLOOKUP(D710,Tab_Hours,3,0),0),NA()),0)</f>
        <v>0</v>
      </c>
      <c r="BJ710" s="24">
        <f t="shared" si="150"/>
        <v>0</v>
      </c>
      <c r="BK710" s="24" t="str">
        <f t="shared" si="151"/>
        <v/>
      </c>
      <c r="BL710" s="24" t="str">
        <f t="shared" si="152"/>
        <v/>
      </c>
      <c r="BM710" s="24" t="str">
        <f>IF(G710=1,IF(TableCosts[[#This Row],[TransferFrom]]=TableCosts[[#This Row],[TranferTo]],0,1),"")</f>
        <v/>
      </c>
      <c r="BN710" s="24" t="str">
        <f t="shared" si="153"/>
        <v/>
      </c>
      <c r="BO710" s="24">
        <f t="shared" si="154"/>
        <v>0</v>
      </c>
      <c r="BP710" s="24">
        <f t="shared" si="155"/>
        <v>0</v>
      </c>
    </row>
    <row r="711" spans="2:68" s="24" customFormat="1" ht="12.75" x14ac:dyDescent="0.2">
      <c r="B711" s="97"/>
      <c r="C711" s="92"/>
      <c r="D711" s="92"/>
      <c r="E711" s="92"/>
      <c r="F711" s="31" t="str">
        <f>IF(G711=1,IF(ISERROR(TableCosts[[#This Row],[N_Tariff]]),Err_Message1,IF(TableCosts[[#This Row],[N_Tariff]]=0,Err_Message2,VLOOKUP(C711&amp;TableCosts[[#This Row],[Calc_N_Typ]],TRAN_STRITEMS_LABEL,5,FALSE))),"")</f>
        <v/>
      </c>
      <c r="G711" s="31">
        <f t="shared" si="144"/>
        <v>0</v>
      </c>
      <c r="H711" s="31" t="str">
        <f>IF(G711=1,IFERROR(VLOOKUP(F711,Tab_ErrMessage[],2,0),VLOOKUP(C711&amp;TableCosts[[#This Row],[Calc_N_Typ]],TRAN_STRITEMS_LABEL,4,FALSE)),"")</f>
        <v/>
      </c>
      <c r="I711" s="94"/>
      <c r="J711" s="94"/>
      <c r="K711" s="94"/>
      <c r="L711" s="84"/>
      <c r="M711" s="84"/>
      <c r="N711" s="84"/>
      <c r="O711" s="84"/>
      <c r="P711" s="84"/>
      <c r="Q711" s="84"/>
      <c r="R711" s="84"/>
      <c r="S711" s="84"/>
      <c r="T711" s="84"/>
      <c r="U711" s="84"/>
      <c r="V711" s="84"/>
      <c r="W711" s="84"/>
      <c r="X711" s="84"/>
      <c r="Y711" s="84"/>
      <c r="Z711" s="84"/>
      <c r="AA711" s="84"/>
      <c r="AB711" s="84"/>
      <c r="AC711" s="84"/>
      <c r="AD711" s="84"/>
      <c r="AE711" s="84"/>
      <c r="AF711" s="84"/>
      <c r="AG711" s="84"/>
      <c r="AH711" s="84"/>
      <c r="AI711" s="84"/>
      <c r="AJ711" s="84"/>
      <c r="AK711" s="84"/>
      <c r="AL711" s="84"/>
      <c r="AM711" s="84"/>
      <c r="AN711" s="84"/>
      <c r="AO711" s="84"/>
      <c r="AP711" s="84"/>
      <c r="AQ711" s="84"/>
      <c r="AR711" s="84"/>
      <c r="AS711" s="84"/>
      <c r="AT711" s="84"/>
      <c r="AU711" s="84"/>
      <c r="AV711" s="84"/>
      <c r="AW711" s="84"/>
      <c r="AX711" s="87">
        <f t="array" ref="AX711">IF(G711=1,SUM((ROW(M0)=ROW(AW711))*(M0+M1_+M2_+M3_+M4_+M5_+M6_+M7_+M8_+M9_+M10_+M11_+M12_+M13_+M14_+M15_+M16_+M17_+M18_+M19_+M20_+M21_+M22_+M23_+M24_+M25_+M26_+M27_+M28_+M29_+M30_+M31_+M32_+M33_+M34_+M35_+M36_+M37_)),0)</f>
        <v>0</v>
      </c>
      <c r="AZ711" s="24" t="str">
        <f t="shared" si="145"/>
        <v/>
      </c>
      <c r="BA711" s="24" t="str">
        <f t="shared" si="146"/>
        <v/>
      </c>
      <c r="BB711" s="24" t="str">
        <f t="shared" si="147"/>
        <v/>
      </c>
      <c r="BC711" s="24" t="str">
        <f>IF(OR(E711="",LEFT(TableCosts[[#This Row],[Calc_N_Typ]],18)="Vynaložené náklady"),"",VLOOKUP(E711,Tab_Parts,2,0))</f>
        <v/>
      </c>
      <c r="BD711" s="24" t="str">
        <f t="shared" si="148"/>
        <v/>
      </c>
      <c r="BE711" s="24">
        <f t="shared" si="149"/>
        <v>0</v>
      </c>
      <c r="BF711" s="72">
        <f>TableCosts[[#This Row],[N_Amount]]*TableCosts[[#This Row],[N_Tariff]]*TableCosts[[#This Row],[N_ItemsCount]]</f>
        <v>0</v>
      </c>
      <c r="BG711" s="72">
        <f>IF(G711=1,IF(TableCosts[[#This Row],[N_Kateg]]="interné práce",TableCosts[[#This Row],[N_Amount]]*8*PAR_SGA_PERHOUR,0),0)</f>
        <v>0</v>
      </c>
      <c r="BH711" s="72">
        <f>SUM(TableCosts[[#This Row],[N_Direct]:[N_SGA]])</f>
        <v>0</v>
      </c>
      <c r="BI711" s="24">
        <f>IF(G711=1,IF(OR(AND(NOT(ISERROR(VLOOKUP(TableCosts[[#This Row],[Calc_N_Typ]],Cis_WorkPositions,1,0))),C711&lt;&gt;"",D711&lt;&gt;"",E711&lt;&gt;""),AND(ISERROR(VLOOKUP(TableCosts[[#This Row],[Calc_N_Typ]],Cis_WorkPositions,1,0)),C711="",D711="",E711&lt;&gt;""),LEFT(TableCosts[[#This Row],[Calc_N_Typ]],18)="Vynaložené náklady"),VLOOKUP(C711&amp;TableCosts[[#This Row],[Calc_N_Typ]],TRAN_STRITEMS_LABEL,VLOOKUP(D711,Tab_Hours,3,0),0),NA()),0)</f>
        <v>0</v>
      </c>
      <c r="BJ711" s="24">
        <f t="shared" si="150"/>
        <v>0</v>
      </c>
      <c r="BK711" s="24" t="str">
        <f t="shared" si="151"/>
        <v/>
      </c>
      <c r="BL711" s="24" t="str">
        <f t="shared" si="152"/>
        <v/>
      </c>
      <c r="BM711" s="24" t="str">
        <f>IF(G711=1,IF(TableCosts[[#This Row],[TransferFrom]]=TableCosts[[#This Row],[TranferTo]],0,1),"")</f>
        <v/>
      </c>
      <c r="BN711" s="24" t="str">
        <f t="shared" si="153"/>
        <v/>
      </c>
      <c r="BO711" s="24">
        <f t="shared" si="154"/>
        <v>0</v>
      </c>
      <c r="BP711" s="24">
        <f t="shared" si="155"/>
        <v>0</v>
      </c>
    </row>
    <row r="712" spans="2:68" s="24" customFormat="1" ht="12.75" x14ac:dyDescent="0.2">
      <c r="B712" s="97"/>
      <c r="C712" s="92"/>
      <c r="D712" s="92"/>
      <c r="E712" s="92"/>
      <c r="F712" s="31" t="str">
        <f>IF(G712=1,IF(ISERROR(TableCosts[[#This Row],[N_Tariff]]),Err_Message1,IF(TableCosts[[#This Row],[N_Tariff]]=0,Err_Message2,VLOOKUP(C712&amp;TableCosts[[#This Row],[Calc_N_Typ]],TRAN_STRITEMS_LABEL,5,FALSE))),"")</f>
        <v/>
      </c>
      <c r="G712" s="31">
        <f t="shared" si="144"/>
        <v>0</v>
      </c>
      <c r="H712" s="31" t="str">
        <f>IF(G712=1,IFERROR(VLOOKUP(F712,Tab_ErrMessage[],2,0),VLOOKUP(C712&amp;TableCosts[[#This Row],[Calc_N_Typ]],TRAN_STRITEMS_LABEL,4,FALSE)),"")</f>
        <v/>
      </c>
      <c r="I712" s="94"/>
      <c r="J712" s="94"/>
      <c r="K712" s="94"/>
      <c r="L712" s="84"/>
      <c r="M712" s="84"/>
      <c r="N712" s="84"/>
      <c r="O712" s="84"/>
      <c r="P712" s="84"/>
      <c r="Q712" s="84"/>
      <c r="R712" s="84"/>
      <c r="S712" s="84"/>
      <c r="T712" s="84"/>
      <c r="U712" s="84"/>
      <c r="V712" s="84"/>
      <c r="W712" s="84"/>
      <c r="X712" s="84"/>
      <c r="Y712" s="84"/>
      <c r="Z712" s="84"/>
      <c r="AA712" s="84"/>
      <c r="AB712" s="84"/>
      <c r="AC712" s="84"/>
      <c r="AD712" s="84"/>
      <c r="AE712" s="84"/>
      <c r="AF712" s="84"/>
      <c r="AG712" s="84"/>
      <c r="AH712" s="84"/>
      <c r="AI712" s="84"/>
      <c r="AJ712" s="84"/>
      <c r="AK712" s="84"/>
      <c r="AL712" s="84"/>
      <c r="AM712" s="84"/>
      <c r="AN712" s="84"/>
      <c r="AO712" s="84"/>
      <c r="AP712" s="84"/>
      <c r="AQ712" s="84"/>
      <c r="AR712" s="84"/>
      <c r="AS712" s="84"/>
      <c r="AT712" s="84"/>
      <c r="AU712" s="84"/>
      <c r="AV712" s="84"/>
      <c r="AW712" s="84"/>
      <c r="AX712" s="87">
        <f t="array" ref="AX712">IF(G712=1,SUM((ROW(M0)=ROW(AW712))*(M0+M1_+M2_+M3_+M4_+M5_+M6_+M7_+M8_+M9_+M10_+M11_+M12_+M13_+M14_+M15_+M16_+M17_+M18_+M19_+M20_+M21_+M22_+M23_+M24_+M25_+M26_+M27_+M28_+M29_+M30_+M31_+M32_+M33_+M34_+M35_+M36_+M37_)),0)</f>
        <v>0</v>
      </c>
      <c r="AZ712" s="24" t="str">
        <f t="shared" si="145"/>
        <v/>
      </c>
      <c r="BA712" s="24" t="str">
        <f t="shared" si="146"/>
        <v/>
      </c>
      <c r="BB712" s="24" t="str">
        <f t="shared" si="147"/>
        <v/>
      </c>
      <c r="BC712" s="24" t="str">
        <f>IF(OR(E712="",LEFT(TableCosts[[#This Row],[Calc_N_Typ]],18)="Vynaložené náklady"),"",VLOOKUP(E712,Tab_Parts,2,0))</f>
        <v/>
      </c>
      <c r="BD712" s="24" t="str">
        <f t="shared" si="148"/>
        <v/>
      </c>
      <c r="BE712" s="24">
        <f t="shared" si="149"/>
        <v>0</v>
      </c>
      <c r="BF712" s="72">
        <f>TableCosts[[#This Row],[N_Amount]]*TableCosts[[#This Row],[N_Tariff]]*TableCosts[[#This Row],[N_ItemsCount]]</f>
        <v>0</v>
      </c>
      <c r="BG712" s="72">
        <f>IF(G712=1,IF(TableCosts[[#This Row],[N_Kateg]]="interné práce",TableCosts[[#This Row],[N_Amount]]*8*PAR_SGA_PERHOUR,0),0)</f>
        <v>0</v>
      </c>
      <c r="BH712" s="72">
        <f>SUM(TableCosts[[#This Row],[N_Direct]:[N_SGA]])</f>
        <v>0</v>
      </c>
      <c r="BI712" s="24">
        <f>IF(G712=1,IF(OR(AND(NOT(ISERROR(VLOOKUP(TableCosts[[#This Row],[Calc_N_Typ]],Cis_WorkPositions,1,0))),C712&lt;&gt;"",D712&lt;&gt;"",E712&lt;&gt;""),AND(ISERROR(VLOOKUP(TableCosts[[#This Row],[Calc_N_Typ]],Cis_WorkPositions,1,0)),C712="",D712="",E712&lt;&gt;""),LEFT(TableCosts[[#This Row],[Calc_N_Typ]],18)="Vynaložené náklady"),VLOOKUP(C712&amp;TableCosts[[#This Row],[Calc_N_Typ]],TRAN_STRITEMS_LABEL,VLOOKUP(D712,Tab_Hours,3,0),0),NA()),0)</f>
        <v>0</v>
      </c>
      <c r="BJ712" s="24">
        <f t="shared" si="150"/>
        <v>0</v>
      </c>
      <c r="BK712" s="24" t="str">
        <f t="shared" si="151"/>
        <v/>
      </c>
      <c r="BL712" s="24" t="str">
        <f t="shared" si="152"/>
        <v/>
      </c>
      <c r="BM712" s="24" t="str">
        <f>IF(G712=1,IF(TableCosts[[#This Row],[TransferFrom]]=TableCosts[[#This Row],[TranferTo]],0,1),"")</f>
        <v/>
      </c>
      <c r="BN712" s="24" t="str">
        <f t="shared" si="153"/>
        <v/>
      </c>
      <c r="BO712" s="24">
        <f t="shared" si="154"/>
        <v>0</v>
      </c>
      <c r="BP712" s="24">
        <f t="shared" si="155"/>
        <v>0</v>
      </c>
    </row>
    <row r="713" spans="2:68" s="24" customFormat="1" ht="12.75" x14ac:dyDescent="0.2">
      <c r="B713" s="97"/>
      <c r="C713" s="92"/>
      <c r="D713" s="92"/>
      <c r="E713" s="92"/>
      <c r="F713" s="31" t="str">
        <f>IF(G713=1,IF(ISERROR(TableCosts[[#This Row],[N_Tariff]]),Err_Message1,IF(TableCosts[[#This Row],[N_Tariff]]=0,Err_Message2,VLOOKUP(C713&amp;TableCosts[[#This Row],[Calc_N_Typ]],TRAN_STRITEMS_LABEL,5,FALSE))),"")</f>
        <v/>
      </c>
      <c r="G713" s="31">
        <f t="shared" si="144"/>
        <v>0</v>
      </c>
      <c r="H713" s="31" t="str">
        <f>IF(G713=1,IFERROR(VLOOKUP(F713,Tab_ErrMessage[],2,0),VLOOKUP(C713&amp;TableCosts[[#This Row],[Calc_N_Typ]],TRAN_STRITEMS_LABEL,4,FALSE)),"")</f>
        <v/>
      </c>
      <c r="I713" s="94"/>
      <c r="J713" s="94"/>
      <c r="K713" s="94"/>
      <c r="L713" s="84"/>
      <c r="M713" s="84"/>
      <c r="N713" s="84"/>
      <c r="O713" s="84"/>
      <c r="P713" s="84"/>
      <c r="Q713" s="84"/>
      <c r="R713" s="84"/>
      <c r="S713" s="84"/>
      <c r="T713" s="84"/>
      <c r="U713" s="84"/>
      <c r="V713" s="84"/>
      <c r="W713" s="84"/>
      <c r="X713" s="84"/>
      <c r="Y713" s="84"/>
      <c r="Z713" s="84"/>
      <c r="AA713" s="84"/>
      <c r="AB713" s="84"/>
      <c r="AC713" s="84"/>
      <c r="AD713" s="84"/>
      <c r="AE713" s="84"/>
      <c r="AF713" s="84"/>
      <c r="AG713" s="84"/>
      <c r="AH713" s="84"/>
      <c r="AI713" s="84"/>
      <c r="AJ713" s="84"/>
      <c r="AK713" s="84"/>
      <c r="AL713" s="84"/>
      <c r="AM713" s="84"/>
      <c r="AN713" s="84"/>
      <c r="AO713" s="84"/>
      <c r="AP713" s="84"/>
      <c r="AQ713" s="84"/>
      <c r="AR713" s="84"/>
      <c r="AS713" s="84"/>
      <c r="AT713" s="84"/>
      <c r="AU713" s="84"/>
      <c r="AV713" s="84"/>
      <c r="AW713" s="84"/>
      <c r="AX713" s="87">
        <f t="array" ref="AX713">IF(G713=1,SUM((ROW(M0)=ROW(AW713))*(M0+M1_+M2_+M3_+M4_+M5_+M6_+M7_+M8_+M9_+M10_+M11_+M12_+M13_+M14_+M15_+M16_+M17_+M18_+M19_+M20_+M21_+M22_+M23_+M24_+M25_+M26_+M27_+M28_+M29_+M30_+M31_+M32_+M33_+M34_+M35_+M36_+M37_)),0)</f>
        <v>0</v>
      </c>
      <c r="AZ713" s="24" t="str">
        <f t="shared" si="145"/>
        <v/>
      </c>
      <c r="BA713" s="24" t="str">
        <f t="shared" si="146"/>
        <v/>
      </c>
      <c r="BB713" s="24" t="str">
        <f t="shared" si="147"/>
        <v/>
      </c>
      <c r="BC713" s="24" t="str">
        <f>IF(OR(E713="",LEFT(TableCosts[[#This Row],[Calc_N_Typ]],18)="Vynaložené náklady"),"",VLOOKUP(E713,Tab_Parts,2,0))</f>
        <v/>
      </c>
      <c r="BD713" s="24" t="str">
        <f t="shared" si="148"/>
        <v/>
      </c>
      <c r="BE713" s="24">
        <f t="shared" si="149"/>
        <v>0</v>
      </c>
      <c r="BF713" s="72">
        <f>TableCosts[[#This Row],[N_Amount]]*TableCosts[[#This Row],[N_Tariff]]*TableCosts[[#This Row],[N_ItemsCount]]</f>
        <v>0</v>
      </c>
      <c r="BG713" s="72">
        <f>IF(G713=1,IF(TableCosts[[#This Row],[N_Kateg]]="interné práce",TableCosts[[#This Row],[N_Amount]]*8*PAR_SGA_PERHOUR,0),0)</f>
        <v>0</v>
      </c>
      <c r="BH713" s="72">
        <f>SUM(TableCosts[[#This Row],[N_Direct]:[N_SGA]])</f>
        <v>0</v>
      </c>
      <c r="BI713" s="24">
        <f>IF(G713=1,IF(OR(AND(NOT(ISERROR(VLOOKUP(TableCosts[[#This Row],[Calc_N_Typ]],Cis_WorkPositions,1,0))),C713&lt;&gt;"",D713&lt;&gt;"",E713&lt;&gt;""),AND(ISERROR(VLOOKUP(TableCosts[[#This Row],[Calc_N_Typ]],Cis_WorkPositions,1,0)),C713="",D713="",E713&lt;&gt;""),LEFT(TableCosts[[#This Row],[Calc_N_Typ]],18)="Vynaložené náklady"),VLOOKUP(C713&amp;TableCosts[[#This Row],[Calc_N_Typ]],TRAN_STRITEMS_LABEL,VLOOKUP(D713,Tab_Hours,3,0),0),NA()),0)</f>
        <v>0</v>
      </c>
      <c r="BJ713" s="24">
        <f t="shared" si="150"/>
        <v>0</v>
      </c>
      <c r="BK713" s="24" t="str">
        <f t="shared" si="151"/>
        <v/>
      </c>
      <c r="BL713" s="24" t="str">
        <f t="shared" si="152"/>
        <v/>
      </c>
      <c r="BM713" s="24" t="str">
        <f>IF(G713=1,IF(TableCosts[[#This Row],[TransferFrom]]=TableCosts[[#This Row],[TranferTo]],0,1),"")</f>
        <v/>
      </c>
      <c r="BN713" s="24" t="str">
        <f t="shared" si="153"/>
        <v/>
      </c>
      <c r="BO713" s="24">
        <f t="shared" si="154"/>
        <v>0</v>
      </c>
      <c r="BP713" s="24">
        <f t="shared" si="155"/>
        <v>0</v>
      </c>
    </row>
    <row r="714" spans="2:68" s="24" customFormat="1" ht="12.75" x14ac:dyDescent="0.2">
      <c r="B714" s="97"/>
      <c r="C714" s="92"/>
      <c r="D714" s="92"/>
      <c r="E714" s="92"/>
      <c r="F714" s="31" t="str">
        <f>IF(G714=1,IF(ISERROR(TableCosts[[#This Row],[N_Tariff]]),Err_Message1,IF(TableCosts[[#This Row],[N_Tariff]]=0,Err_Message2,VLOOKUP(C714&amp;TableCosts[[#This Row],[Calc_N_Typ]],TRAN_STRITEMS_LABEL,5,FALSE))),"")</f>
        <v/>
      </c>
      <c r="G714" s="31">
        <f t="shared" si="144"/>
        <v>0</v>
      </c>
      <c r="H714" s="31" t="str">
        <f>IF(G714=1,IFERROR(VLOOKUP(F714,Tab_ErrMessage[],2,0),VLOOKUP(C714&amp;TableCosts[[#This Row],[Calc_N_Typ]],TRAN_STRITEMS_LABEL,4,FALSE)),"")</f>
        <v/>
      </c>
      <c r="I714" s="94"/>
      <c r="J714" s="94"/>
      <c r="K714" s="94"/>
      <c r="L714" s="84"/>
      <c r="M714" s="84"/>
      <c r="N714" s="84"/>
      <c r="O714" s="84"/>
      <c r="P714" s="84"/>
      <c r="Q714" s="84"/>
      <c r="R714" s="84"/>
      <c r="S714" s="84"/>
      <c r="T714" s="84"/>
      <c r="U714" s="84"/>
      <c r="V714" s="84"/>
      <c r="W714" s="84"/>
      <c r="X714" s="84"/>
      <c r="Y714" s="84"/>
      <c r="Z714" s="84"/>
      <c r="AA714" s="84"/>
      <c r="AB714" s="84"/>
      <c r="AC714" s="84"/>
      <c r="AD714" s="84"/>
      <c r="AE714" s="84"/>
      <c r="AF714" s="84"/>
      <c r="AG714" s="84"/>
      <c r="AH714" s="84"/>
      <c r="AI714" s="84"/>
      <c r="AJ714" s="84"/>
      <c r="AK714" s="84"/>
      <c r="AL714" s="84"/>
      <c r="AM714" s="84"/>
      <c r="AN714" s="84"/>
      <c r="AO714" s="84"/>
      <c r="AP714" s="84"/>
      <c r="AQ714" s="84"/>
      <c r="AR714" s="84"/>
      <c r="AS714" s="84"/>
      <c r="AT714" s="84"/>
      <c r="AU714" s="84"/>
      <c r="AV714" s="84"/>
      <c r="AW714" s="84"/>
      <c r="AX714" s="87">
        <f t="array" ref="AX714">IF(G714=1,SUM((ROW(M0)=ROW(AW714))*(M0+M1_+M2_+M3_+M4_+M5_+M6_+M7_+M8_+M9_+M10_+M11_+M12_+M13_+M14_+M15_+M16_+M17_+M18_+M19_+M20_+M21_+M22_+M23_+M24_+M25_+M26_+M27_+M28_+M29_+M30_+M31_+M32_+M33_+M34_+M35_+M36_+M37_)),0)</f>
        <v>0</v>
      </c>
      <c r="AZ714" s="24" t="str">
        <f t="shared" si="145"/>
        <v/>
      </c>
      <c r="BA714" s="24" t="str">
        <f t="shared" si="146"/>
        <v/>
      </c>
      <c r="BB714" s="24" t="str">
        <f t="shared" si="147"/>
        <v/>
      </c>
      <c r="BC714" s="24" t="str">
        <f>IF(OR(E714="",LEFT(TableCosts[[#This Row],[Calc_N_Typ]],18)="Vynaložené náklady"),"",VLOOKUP(E714,Tab_Parts,2,0))</f>
        <v/>
      </c>
      <c r="BD714" s="24" t="str">
        <f t="shared" si="148"/>
        <v/>
      </c>
      <c r="BE714" s="24">
        <f t="shared" si="149"/>
        <v>0</v>
      </c>
      <c r="BF714" s="72">
        <f>TableCosts[[#This Row],[N_Amount]]*TableCosts[[#This Row],[N_Tariff]]*TableCosts[[#This Row],[N_ItemsCount]]</f>
        <v>0</v>
      </c>
      <c r="BG714" s="72">
        <f>IF(G714=1,IF(TableCosts[[#This Row],[N_Kateg]]="interné práce",TableCosts[[#This Row],[N_Amount]]*8*PAR_SGA_PERHOUR,0),0)</f>
        <v>0</v>
      </c>
      <c r="BH714" s="72">
        <f>SUM(TableCosts[[#This Row],[N_Direct]:[N_SGA]])</f>
        <v>0</v>
      </c>
      <c r="BI714" s="24">
        <f>IF(G714=1,IF(OR(AND(NOT(ISERROR(VLOOKUP(TableCosts[[#This Row],[Calc_N_Typ]],Cis_WorkPositions,1,0))),C714&lt;&gt;"",D714&lt;&gt;"",E714&lt;&gt;""),AND(ISERROR(VLOOKUP(TableCosts[[#This Row],[Calc_N_Typ]],Cis_WorkPositions,1,0)),C714="",D714="",E714&lt;&gt;""),LEFT(TableCosts[[#This Row],[Calc_N_Typ]],18)="Vynaložené náklady"),VLOOKUP(C714&amp;TableCosts[[#This Row],[Calc_N_Typ]],TRAN_STRITEMS_LABEL,VLOOKUP(D714,Tab_Hours,3,0),0),NA()),0)</f>
        <v>0</v>
      </c>
      <c r="BJ714" s="24">
        <f t="shared" si="150"/>
        <v>0</v>
      </c>
      <c r="BK714" s="24" t="str">
        <f t="shared" si="151"/>
        <v/>
      </c>
      <c r="BL714" s="24" t="str">
        <f t="shared" si="152"/>
        <v/>
      </c>
      <c r="BM714" s="24" t="str">
        <f>IF(G714=1,IF(TableCosts[[#This Row],[TransferFrom]]=TableCosts[[#This Row],[TranferTo]],0,1),"")</f>
        <v/>
      </c>
      <c r="BN714" s="24" t="str">
        <f t="shared" si="153"/>
        <v/>
      </c>
      <c r="BO714" s="24">
        <f t="shared" si="154"/>
        <v>0</v>
      </c>
      <c r="BP714" s="24">
        <f t="shared" si="155"/>
        <v>0</v>
      </c>
    </row>
    <row r="715" spans="2:68" s="24" customFormat="1" ht="12.75" x14ac:dyDescent="0.2">
      <c r="B715" s="97"/>
      <c r="C715" s="92"/>
      <c r="D715" s="92"/>
      <c r="E715" s="92"/>
      <c r="F715" s="31" t="str">
        <f>IF(G715=1,IF(ISERROR(TableCosts[[#This Row],[N_Tariff]]),Err_Message1,IF(TableCosts[[#This Row],[N_Tariff]]=0,Err_Message2,VLOOKUP(C715&amp;TableCosts[[#This Row],[Calc_N_Typ]],TRAN_STRITEMS_LABEL,5,FALSE))),"")</f>
        <v/>
      </c>
      <c r="G715" s="31">
        <f t="shared" si="144"/>
        <v>0</v>
      </c>
      <c r="H715" s="31" t="str">
        <f>IF(G715=1,IFERROR(VLOOKUP(F715,Tab_ErrMessage[],2,0),VLOOKUP(C715&amp;TableCosts[[#This Row],[Calc_N_Typ]],TRAN_STRITEMS_LABEL,4,FALSE)),"")</f>
        <v/>
      </c>
      <c r="I715" s="94"/>
      <c r="J715" s="94"/>
      <c r="K715" s="94"/>
      <c r="L715" s="84"/>
      <c r="M715" s="84"/>
      <c r="N715" s="84"/>
      <c r="O715" s="84"/>
      <c r="P715" s="84"/>
      <c r="Q715" s="84"/>
      <c r="R715" s="84"/>
      <c r="S715" s="84"/>
      <c r="T715" s="84"/>
      <c r="U715" s="84"/>
      <c r="V715" s="84"/>
      <c r="W715" s="84"/>
      <c r="X715" s="84"/>
      <c r="Y715" s="84"/>
      <c r="Z715" s="84"/>
      <c r="AA715" s="84"/>
      <c r="AB715" s="84"/>
      <c r="AC715" s="84"/>
      <c r="AD715" s="84"/>
      <c r="AE715" s="84"/>
      <c r="AF715" s="84"/>
      <c r="AG715" s="84"/>
      <c r="AH715" s="84"/>
      <c r="AI715" s="84"/>
      <c r="AJ715" s="84"/>
      <c r="AK715" s="84"/>
      <c r="AL715" s="84"/>
      <c r="AM715" s="84"/>
      <c r="AN715" s="84"/>
      <c r="AO715" s="84"/>
      <c r="AP715" s="84"/>
      <c r="AQ715" s="84"/>
      <c r="AR715" s="84"/>
      <c r="AS715" s="84"/>
      <c r="AT715" s="84"/>
      <c r="AU715" s="84"/>
      <c r="AV715" s="84"/>
      <c r="AW715" s="84"/>
      <c r="AX715" s="87">
        <f t="array" ref="AX715">IF(G715=1,SUM((ROW(M0)=ROW(AW715))*(M0+M1_+M2_+M3_+M4_+M5_+M6_+M7_+M8_+M9_+M10_+M11_+M12_+M13_+M14_+M15_+M16_+M17_+M18_+M19_+M20_+M21_+M22_+M23_+M24_+M25_+M26_+M27_+M28_+M29_+M30_+M31_+M32_+M33_+M34_+M35_+M36_+M37_)),0)</f>
        <v>0</v>
      </c>
      <c r="AZ715" s="24" t="str">
        <f t="shared" si="145"/>
        <v/>
      </c>
      <c r="BA715" s="24" t="str">
        <f t="shared" si="146"/>
        <v/>
      </c>
      <c r="BB715" s="24" t="str">
        <f t="shared" si="147"/>
        <v/>
      </c>
      <c r="BC715" s="24" t="str">
        <f>IF(OR(E715="",LEFT(TableCosts[[#This Row],[Calc_N_Typ]],18)="Vynaložené náklady"),"",VLOOKUP(E715,Tab_Parts,2,0))</f>
        <v/>
      </c>
      <c r="BD715" s="24" t="str">
        <f t="shared" si="148"/>
        <v/>
      </c>
      <c r="BE715" s="24">
        <f t="shared" si="149"/>
        <v>0</v>
      </c>
      <c r="BF715" s="72">
        <f>TableCosts[[#This Row],[N_Amount]]*TableCosts[[#This Row],[N_Tariff]]*TableCosts[[#This Row],[N_ItemsCount]]</f>
        <v>0</v>
      </c>
      <c r="BG715" s="72">
        <f>IF(G715=1,IF(TableCosts[[#This Row],[N_Kateg]]="interné práce",TableCosts[[#This Row],[N_Amount]]*8*PAR_SGA_PERHOUR,0),0)</f>
        <v>0</v>
      </c>
      <c r="BH715" s="72">
        <f>SUM(TableCosts[[#This Row],[N_Direct]:[N_SGA]])</f>
        <v>0</v>
      </c>
      <c r="BI715" s="24">
        <f>IF(G715=1,IF(OR(AND(NOT(ISERROR(VLOOKUP(TableCosts[[#This Row],[Calc_N_Typ]],Cis_WorkPositions,1,0))),C715&lt;&gt;"",D715&lt;&gt;"",E715&lt;&gt;""),AND(ISERROR(VLOOKUP(TableCosts[[#This Row],[Calc_N_Typ]],Cis_WorkPositions,1,0)),C715="",D715="",E715&lt;&gt;""),LEFT(TableCosts[[#This Row],[Calc_N_Typ]],18)="Vynaložené náklady"),VLOOKUP(C715&amp;TableCosts[[#This Row],[Calc_N_Typ]],TRAN_STRITEMS_LABEL,VLOOKUP(D715,Tab_Hours,3,0),0),NA()),0)</f>
        <v>0</v>
      </c>
      <c r="BJ715" s="24">
        <f t="shared" si="150"/>
        <v>0</v>
      </c>
      <c r="BK715" s="24" t="str">
        <f t="shared" si="151"/>
        <v/>
      </c>
      <c r="BL715" s="24" t="str">
        <f t="shared" si="152"/>
        <v/>
      </c>
      <c r="BM715" s="24" t="str">
        <f>IF(G715=1,IF(TableCosts[[#This Row],[TransferFrom]]=TableCosts[[#This Row],[TranferTo]],0,1),"")</f>
        <v/>
      </c>
      <c r="BN715" s="24" t="str">
        <f t="shared" si="153"/>
        <v/>
      </c>
      <c r="BO715" s="24">
        <f t="shared" si="154"/>
        <v>0</v>
      </c>
      <c r="BP715" s="24">
        <f t="shared" si="155"/>
        <v>0</v>
      </c>
    </row>
    <row r="716" spans="2:68" s="24" customFormat="1" ht="12.75" x14ac:dyDescent="0.2">
      <c r="B716" s="97"/>
      <c r="C716" s="92"/>
      <c r="D716" s="92"/>
      <c r="E716" s="92"/>
      <c r="F716" s="31" t="str">
        <f>IF(G716=1,IF(ISERROR(TableCosts[[#This Row],[N_Tariff]]),Err_Message1,IF(TableCosts[[#This Row],[N_Tariff]]=0,Err_Message2,VLOOKUP(C716&amp;TableCosts[[#This Row],[Calc_N_Typ]],TRAN_STRITEMS_LABEL,5,FALSE))),"")</f>
        <v/>
      </c>
      <c r="G716" s="31">
        <f t="shared" ref="G716:G750" si="156">IF(B716="",0,IF(LEFT(B716,3)="***",-1,1))</f>
        <v>0</v>
      </c>
      <c r="H716" s="31" t="str">
        <f>IF(G716=1,IFERROR(VLOOKUP(F716,Tab_ErrMessage[],2,0),VLOOKUP(C716&amp;TableCosts[[#This Row],[Calc_N_Typ]],TRAN_STRITEMS_LABEL,4,FALSE)),"")</f>
        <v/>
      </c>
      <c r="I716" s="94"/>
      <c r="J716" s="94"/>
      <c r="K716" s="94"/>
      <c r="L716" s="84"/>
      <c r="M716" s="84"/>
      <c r="N716" s="84"/>
      <c r="O716" s="84"/>
      <c r="P716" s="84"/>
      <c r="Q716" s="84"/>
      <c r="R716" s="84"/>
      <c r="S716" s="84"/>
      <c r="T716" s="84"/>
      <c r="U716" s="84"/>
      <c r="V716" s="84"/>
      <c r="W716" s="84"/>
      <c r="X716" s="84"/>
      <c r="Y716" s="84"/>
      <c r="Z716" s="84"/>
      <c r="AA716" s="84"/>
      <c r="AB716" s="84"/>
      <c r="AC716" s="84"/>
      <c r="AD716" s="84"/>
      <c r="AE716" s="84"/>
      <c r="AF716" s="84"/>
      <c r="AG716" s="84"/>
      <c r="AH716" s="84"/>
      <c r="AI716" s="84"/>
      <c r="AJ716" s="84"/>
      <c r="AK716" s="84"/>
      <c r="AL716" s="84"/>
      <c r="AM716" s="84"/>
      <c r="AN716" s="84"/>
      <c r="AO716" s="84"/>
      <c r="AP716" s="84"/>
      <c r="AQ716" s="84"/>
      <c r="AR716" s="84"/>
      <c r="AS716" s="84"/>
      <c r="AT716" s="84"/>
      <c r="AU716" s="84"/>
      <c r="AV716" s="84"/>
      <c r="AW716" s="84"/>
      <c r="AX716" s="87">
        <f t="array" ref="AX716">IF(G716=1,SUM((ROW(M0)=ROW(AW716))*(M0+M1_+M2_+M3_+M4_+M5_+M6_+M7_+M8_+M9_+M10_+M11_+M12_+M13_+M14_+M15_+M16_+M17_+M18_+M19_+M20_+M21_+M22_+M23_+M24_+M25_+M26_+M27_+M28_+M29_+M30_+M31_+M32_+M33_+M34_+M35_+M36_+M37_)),0)</f>
        <v>0</v>
      </c>
      <c r="AZ716" s="24" t="str">
        <f t="shared" ref="AZ716:AZ750" si="157">IF(G716=1,B716,"")</f>
        <v/>
      </c>
      <c r="BA716" s="24" t="str">
        <f t="shared" ref="BA716:BA750" si="158">IF(G716=1,C716,"")</f>
        <v/>
      </c>
      <c r="BB716" s="24" t="str">
        <f t="shared" ref="BB716:BB750" si="159">IF(G716=1,F716,"")</f>
        <v/>
      </c>
      <c r="BC716" s="24" t="str">
        <f>IF(OR(E716="",LEFT(TableCosts[[#This Row],[Calc_N_Typ]],18)="Vynaložené náklady"),"",VLOOKUP(E716,Tab_Parts,2,0))</f>
        <v/>
      </c>
      <c r="BD716" s="24" t="str">
        <f t="shared" ref="BD716:BD750" si="160">IF(G716=1,H716,"")</f>
        <v/>
      </c>
      <c r="BE716" s="24">
        <f t="shared" ref="BE716:BE750" si="161">IF(G716=1,AX716,0)</f>
        <v>0</v>
      </c>
      <c r="BF716" s="72">
        <f>TableCosts[[#This Row],[N_Amount]]*TableCosts[[#This Row],[N_Tariff]]*TableCosts[[#This Row],[N_ItemsCount]]</f>
        <v>0</v>
      </c>
      <c r="BG716" s="72">
        <f>IF(G716=1,IF(TableCosts[[#This Row],[N_Kateg]]="interné práce",TableCosts[[#This Row],[N_Amount]]*8*PAR_SGA_PERHOUR,0),0)</f>
        <v>0</v>
      </c>
      <c r="BH716" s="72">
        <f>SUM(TableCosts[[#This Row],[N_Direct]:[N_SGA]])</f>
        <v>0</v>
      </c>
      <c r="BI716" s="24">
        <f>IF(G716=1,IF(OR(AND(NOT(ISERROR(VLOOKUP(TableCosts[[#This Row],[Calc_N_Typ]],Cis_WorkPositions,1,0))),C716&lt;&gt;"",D716&lt;&gt;"",E716&lt;&gt;""),AND(ISERROR(VLOOKUP(TableCosts[[#This Row],[Calc_N_Typ]],Cis_WorkPositions,1,0)),C716="",D716="",E716&lt;&gt;""),LEFT(TableCosts[[#This Row],[Calc_N_Typ]],18)="Vynaložené náklady"),VLOOKUP(C716&amp;TableCosts[[#This Row],[Calc_N_Typ]],TRAN_STRITEMS_LABEL,VLOOKUP(D716,Tab_Hours,3,0),0),NA()),0)</f>
        <v>0</v>
      </c>
      <c r="BJ716" s="24">
        <f t="shared" ref="BJ716:BJ750" si="162">IF(G716=1,IF(H716="čld.",VLOOKUP(D716,Tab_Hours,4,0),1),0)</f>
        <v>0</v>
      </c>
      <c r="BK716" s="24" t="str">
        <f t="shared" ref="BK716:BK750" si="163">IF(G716=1,IFERROR(VLOOKUP(B716,IpsLicences,2,0),IF(C716="",Par_Center,C716)),"")</f>
        <v/>
      </c>
      <c r="BL716" s="24" t="str">
        <f t="shared" ref="BL716:BL750" si="164">IF(G716=1,Par_Center,"")</f>
        <v/>
      </c>
      <c r="BM716" s="24" t="str">
        <f>IF(G716=1,IF(TableCosts[[#This Row],[TransferFrom]]=TableCosts[[#This Row],[TranferTo]],0,1),"")</f>
        <v/>
      </c>
      <c r="BN716" s="24" t="str">
        <f t="shared" ref="BN716:BN750" si="165">IF(G716=1,IF(E716="ACQ","akvizícia","realizácia"),"")</f>
        <v/>
      </c>
      <c r="BO716" s="24">
        <f t="shared" ref="BO716:BO750" si="166">IF(RIGHT(B716,LEN(Par_LabelTravelTime))=Par_LabelTravelTime,LEFT(B716,LEN(B716)-LEN(Par_LabelTravelTime)),B716)</f>
        <v>0</v>
      </c>
      <c r="BP716" s="24">
        <f t="shared" ref="BP716:BP750" si="167">IF(RIGHT(B716,LEN(Par_LabelTravelTime))=Par_LabelTravelTime,1,0)</f>
        <v>0</v>
      </c>
    </row>
    <row r="717" spans="2:68" s="24" customFormat="1" ht="12.75" x14ac:dyDescent="0.2">
      <c r="B717" s="97"/>
      <c r="C717" s="92"/>
      <c r="D717" s="92"/>
      <c r="E717" s="92"/>
      <c r="F717" s="31" t="str">
        <f>IF(G717=1,IF(ISERROR(TableCosts[[#This Row],[N_Tariff]]),Err_Message1,IF(TableCosts[[#This Row],[N_Tariff]]=0,Err_Message2,VLOOKUP(C717&amp;TableCosts[[#This Row],[Calc_N_Typ]],TRAN_STRITEMS_LABEL,5,FALSE))),"")</f>
        <v/>
      </c>
      <c r="G717" s="31">
        <f t="shared" si="156"/>
        <v>0</v>
      </c>
      <c r="H717" s="31" t="str">
        <f>IF(G717=1,IFERROR(VLOOKUP(F717,Tab_ErrMessage[],2,0),VLOOKUP(C717&amp;TableCosts[[#This Row],[Calc_N_Typ]],TRAN_STRITEMS_LABEL,4,FALSE)),"")</f>
        <v/>
      </c>
      <c r="I717" s="94"/>
      <c r="J717" s="94"/>
      <c r="K717" s="94"/>
      <c r="L717" s="84"/>
      <c r="M717" s="84"/>
      <c r="N717" s="84"/>
      <c r="O717" s="84"/>
      <c r="P717" s="84"/>
      <c r="Q717" s="84"/>
      <c r="R717" s="84"/>
      <c r="S717" s="84"/>
      <c r="T717" s="84"/>
      <c r="U717" s="84"/>
      <c r="V717" s="84"/>
      <c r="W717" s="84"/>
      <c r="X717" s="84"/>
      <c r="Y717" s="84"/>
      <c r="Z717" s="84"/>
      <c r="AA717" s="84"/>
      <c r="AB717" s="84"/>
      <c r="AC717" s="84"/>
      <c r="AD717" s="84"/>
      <c r="AE717" s="84"/>
      <c r="AF717" s="84"/>
      <c r="AG717" s="84"/>
      <c r="AH717" s="84"/>
      <c r="AI717" s="84"/>
      <c r="AJ717" s="84"/>
      <c r="AK717" s="84"/>
      <c r="AL717" s="84"/>
      <c r="AM717" s="84"/>
      <c r="AN717" s="84"/>
      <c r="AO717" s="84"/>
      <c r="AP717" s="84"/>
      <c r="AQ717" s="84"/>
      <c r="AR717" s="84"/>
      <c r="AS717" s="84"/>
      <c r="AT717" s="84"/>
      <c r="AU717" s="84"/>
      <c r="AV717" s="84"/>
      <c r="AW717" s="84"/>
      <c r="AX717" s="87">
        <f t="array" ref="AX717">IF(G717=1,SUM((ROW(M0)=ROW(AW717))*(M0+M1_+M2_+M3_+M4_+M5_+M6_+M7_+M8_+M9_+M10_+M11_+M12_+M13_+M14_+M15_+M16_+M17_+M18_+M19_+M20_+M21_+M22_+M23_+M24_+M25_+M26_+M27_+M28_+M29_+M30_+M31_+M32_+M33_+M34_+M35_+M36_+M37_)),0)</f>
        <v>0</v>
      </c>
      <c r="AZ717" s="24" t="str">
        <f t="shared" si="157"/>
        <v/>
      </c>
      <c r="BA717" s="24" t="str">
        <f t="shared" si="158"/>
        <v/>
      </c>
      <c r="BB717" s="24" t="str">
        <f t="shared" si="159"/>
        <v/>
      </c>
      <c r="BC717" s="24" t="str">
        <f>IF(OR(E717="",LEFT(TableCosts[[#This Row],[Calc_N_Typ]],18)="Vynaložené náklady"),"",VLOOKUP(E717,Tab_Parts,2,0))</f>
        <v/>
      </c>
      <c r="BD717" s="24" t="str">
        <f t="shared" si="160"/>
        <v/>
      </c>
      <c r="BE717" s="24">
        <f t="shared" si="161"/>
        <v>0</v>
      </c>
      <c r="BF717" s="72">
        <f>TableCosts[[#This Row],[N_Amount]]*TableCosts[[#This Row],[N_Tariff]]*TableCosts[[#This Row],[N_ItemsCount]]</f>
        <v>0</v>
      </c>
      <c r="BG717" s="72">
        <f>IF(G717=1,IF(TableCosts[[#This Row],[N_Kateg]]="interné práce",TableCosts[[#This Row],[N_Amount]]*8*PAR_SGA_PERHOUR,0),0)</f>
        <v>0</v>
      </c>
      <c r="BH717" s="72">
        <f>SUM(TableCosts[[#This Row],[N_Direct]:[N_SGA]])</f>
        <v>0</v>
      </c>
      <c r="BI717" s="24">
        <f>IF(G717=1,IF(OR(AND(NOT(ISERROR(VLOOKUP(TableCosts[[#This Row],[Calc_N_Typ]],Cis_WorkPositions,1,0))),C717&lt;&gt;"",D717&lt;&gt;"",E717&lt;&gt;""),AND(ISERROR(VLOOKUP(TableCosts[[#This Row],[Calc_N_Typ]],Cis_WorkPositions,1,0)),C717="",D717="",E717&lt;&gt;""),LEFT(TableCosts[[#This Row],[Calc_N_Typ]],18)="Vynaložené náklady"),VLOOKUP(C717&amp;TableCosts[[#This Row],[Calc_N_Typ]],TRAN_STRITEMS_LABEL,VLOOKUP(D717,Tab_Hours,3,0),0),NA()),0)</f>
        <v>0</v>
      </c>
      <c r="BJ717" s="24">
        <f t="shared" si="162"/>
        <v>0</v>
      </c>
      <c r="BK717" s="24" t="str">
        <f t="shared" si="163"/>
        <v/>
      </c>
      <c r="BL717" s="24" t="str">
        <f t="shared" si="164"/>
        <v/>
      </c>
      <c r="BM717" s="24" t="str">
        <f>IF(G717=1,IF(TableCosts[[#This Row],[TransferFrom]]=TableCosts[[#This Row],[TranferTo]],0,1),"")</f>
        <v/>
      </c>
      <c r="BN717" s="24" t="str">
        <f t="shared" si="165"/>
        <v/>
      </c>
      <c r="BO717" s="24">
        <f t="shared" si="166"/>
        <v>0</v>
      </c>
      <c r="BP717" s="24">
        <f t="shared" si="167"/>
        <v>0</v>
      </c>
    </row>
    <row r="718" spans="2:68" s="24" customFormat="1" ht="12.75" x14ac:dyDescent="0.2">
      <c r="B718" s="97"/>
      <c r="C718" s="92"/>
      <c r="D718" s="92"/>
      <c r="E718" s="92"/>
      <c r="F718" s="31" t="str">
        <f>IF(G718=1,IF(ISERROR(TableCosts[[#This Row],[N_Tariff]]),Err_Message1,IF(TableCosts[[#This Row],[N_Tariff]]=0,Err_Message2,VLOOKUP(C718&amp;TableCosts[[#This Row],[Calc_N_Typ]],TRAN_STRITEMS_LABEL,5,FALSE))),"")</f>
        <v/>
      </c>
      <c r="G718" s="31">
        <f t="shared" si="156"/>
        <v>0</v>
      </c>
      <c r="H718" s="31" t="str">
        <f>IF(G718=1,IFERROR(VLOOKUP(F718,Tab_ErrMessage[],2,0),VLOOKUP(C718&amp;TableCosts[[#This Row],[Calc_N_Typ]],TRAN_STRITEMS_LABEL,4,FALSE)),"")</f>
        <v/>
      </c>
      <c r="I718" s="94"/>
      <c r="J718" s="94"/>
      <c r="K718" s="94"/>
      <c r="L718" s="84"/>
      <c r="M718" s="84"/>
      <c r="N718" s="84"/>
      <c r="O718" s="84"/>
      <c r="P718" s="84"/>
      <c r="Q718" s="84"/>
      <c r="R718" s="84"/>
      <c r="S718" s="84"/>
      <c r="T718" s="84"/>
      <c r="U718" s="84"/>
      <c r="V718" s="84"/>
      <c r="W718" s="84"/>
      <c r="X718" s="84"/>
      <c r="Y718" s="84"/>
      <c r="Z718" s="84"/>
      <c r="AA718" s="84"/>
      <c r="AB718" s="84"/>
      <c r="AC718" s="84"/>
      <c r="AD718" s="84"/>
      <c r="AE718" s="84"/>
      <c r="AF718" s="84"/>
      <c r="AG718" s="84"/>
      <c r="AH718" s="84"/>
      <c r="AI718" s="84"/>
      <c r="AJ718" s="84"/>
      <c r="AK718" s="84"/>
      <c r="AL718" s="84"/>
      <c r="AM718" s="84"/>
      <c r="AN718" s="84"/>
      <c r="AO718" s="84"/>
      <c r="AP718" s="84"/>
      <c r="AQ718" s="84"/>
      <c r="AR718" s="84"/>
      <c r="AS718" s="84"/>
      <c r="AT718" s="84"/>
      <c r="AU718" s="84"/>
      <c r="AV718" s="84"/>
      <c r="AW718" s="84"/>
      <c r="AX718" s="87">
        <f t="array" ref="AX718">IF(G718=1,SUM((ROW(M0)=ROW(AW718))*(M0+M1_+M2_+M3_+M4_+M5_+M6_+M7_+M8_+M9_+M10_+M11_+M12_+M13_+M14_+M15_+M16_+M17_+M18_+M19_+M20_+M21_+M22_+M23_+M24_+M25_+M26_+M27_+M28_+M29_+M30_+M31_+M32_+M33_+M34_+M35_+M36_+M37_)),0)</f>
        <v>0</v>
      </c>
      <c r="AZ718" s="24" t="str">
        <f t="shared" si="157"/>
        <v/>
      </c>
      <c r="BA718" s="24" t="str">
        <f t="shared" si="158"/>
        <v/>
      </c>
      <c r="BB718" s="24" t="str">
        <f t="shared" si="159"/>
        <v/>
      </c>
      <c r="BC718" s="24" t="str">
        <f>IF(OR(E718="",LEFT(TableCosts[[#This Row],[Calc_N_Typ]],18)="Vynaložené náklady"),"",VLOOKUP(E718,Tab_Parts,2,0))</f>
        <v/>
      </c>
      <c r="BD718" s="24" t="str">
        <f t="shared" si="160"/>
        <v/>
      </c>
      <c r="BE718" s="24">
        <f t="shared" si="161"/>
        <v>0</v>
      </c>
      <c r="BF718" s="72">
        <f>TableCosts[[#This Row],[N_Amount]]*TableCosts[[#This Row],[N_Tariff]]*TableCosts[[#This Row],[N_ItemsCount]]</f>
        <v>0</v>
      </c>
      <c r="BG718" s="72">
        <f>IF(G718=1,IF(TableCosts[[#This Row],[N_Kateg]]="interné práce",TableCosts[[#This Row],[N_Amount]]*8*PAR_SGA_PERHOUR,0),0)</f>
        <v>0</v>
      </c>
      <c r="BH718" s="72">
        <f>SUM(TableCosts[[#This Row],[N_Direct]:[N_SGA]])</f>
        <v>0</v>
      </c>
      <c r="BI718" s="24">
        <f>IF(G718=1,IF(OR(AND(NOT(ISERROR(VLOOKUP(TableCosts[[#This Row],[Calc_N_Typ]],Cis_WorkPositions,1,0))),C718&lt;&gt;"",D718&lt;&gt;"",E718&lt;&gt;""),AND(ISERROR(VLOOKUP(TableCosts[[#This Row],[Calc_N_Typ]],Cis_WorkPositions,1,0)),C718="",D718="",E718&lt;&gt;""),LEFT(TableCosts[[#This Row],[Calc_N_Typ]],18)="Vynaložené náklady"),VLOOKUP(C718&amp;TableCosts[[#This Row],[Calc_N_Typ]],TRAN_STRITEMS_LABEL,VLOOKUP(D718,Tab_Hours,3,0),0),NA()),0)</f>
        <v>0</v>
      </c>
      <c r="BJ718" s="24">
        <f t="shared" si="162"/>
        <v>0</v>
      </c>
      <c r="BK718" s="24" t="str">
        <f t="shared" si="163"/>
        <v/>
      </c>
      <c r="BL718" s="24" t="str">
        <f t="shared" si="164"/>
        <v/>
      </c>
      <c r="BM718" s="24" t="str">
        <f>IF(G718=1,IF(TableCosts[[#This Row],[TransferFrom]]=TableCosts[[#This Row],[TranferTo]],0,1),"")</f>
        <v/>
      </c>
      <c r="BN718" s="24" t="str">
        <f t="shared" si="165"/>
        <v/>
      </c>
      <c r="BO718" s="24">
        <f t="shared" si="166"/>
        <v>0</v>
      </c>
      <c r="BP718" s="24">
        <f t="shared" si="167"/>
        <v>0</v>
      </c>
    </row>
    <row r="719" spans="2:68" s="24" customFormat="1" ht="12.75" x14ac:dyDescent="0.2">
      <c r="B719" s="97"/>
      <c r="C719" s="92"/>
      <c r="D719" s="92"/>
      <c r="E719" s="92"/>
      <c r="F719" s="31" t="str">
        <f>IF(G719=1,IF(ISERROR(TableCosts[[#This Row],[N_Tariff]]),Err_Message1,IF(TableCosts[[#This Row],[N_Tariff]]=0,Err_Message2,VLOOKUP(C719&amp;TableCosts[[#This Row],[Calc_N_Typ]],TRAN_STRITEMS_LABEL,5,FALSE))),"")</f>
        <v/>
      </c>
      <c r="G719" s="31">
        <f t="shared" si="156"/>
        <v>0</v>
      </c>
      <c r="H719" s="31" t="str">
        <f>IF(G719=1,IFERROR(VLOOKUP(F719,Tab_ErrMessage[],2,0),VLOOKUP(C719&amp;TableCosts[[#This Row],[Calc_N_Typ]],TRAN_STRITEMS_LABEL,4,FALSE)),"")</f>
        <v/>
      </c>
      <c r="I719" s="94"/>
      <c r="J719" s="94"/>
      <c r="K719" s="94"/>
      <c r="L719" s="84"/>
      <c r="M719" s="84"/>
      <c r="N719" s="84"/>
      <c r="O719" s="84"/>
      <c r="P719" s="84"/>
      <c r="Q719" s="84"/>
      <c r="R719" s="84"/>
      <c r="S719" s="84"/>
      <c r="T719" s="84"/>
      <c r="U719" s="84"/>
      <c r="V719" s="84"/>
      <c r="W719" s="84"/>
      <c r="X719" s="84"/>
      <c r="Y719" s="84"/>
      <c r="Z719" s="84"/>
      <c r="AA719" s="84"/>
      <c r="AB719" s="84"/>
      <c r="AC719" s="84"/>
      <c r="AD719" s="84"/>
      <c r="AE719" s="84"/>
      <c r="AF719" s="84"/>
      <c r="AG719" s="84"/>
      <c r="AH719" s="84"/>
      <c r="AI719" s="84"/>
      <c r="AJ719" s="84"/>
      <c r="AK719" s="84"/>
      <c r="AL719" s="84"/>
      <c r="AM719" s="84"/>
      <c r="AN719" s="84"/>
      <c r="AO719" s="84"/>
      <c r="AP719" s="84"/>
      <c r="AQ719" s="84"/>
      <c r="AR719" s="84"/>
      <c r="AS719" s="84"/>
      <c r="AT719" s="84"/>
      <c r="AU719" s="84"/>
      <c r="AV719" s="84"/>
      <c r="AW719" s="84"/>
      <c r="AX719" s="87">
        <f t="array" ref="AX719">IF(G719=1,SUM((ROW(M0)=ROW(AW719))*(M0+M1_+M2_+M3_+M4_+M5_+M6_+M7_+M8_+M9_+M10_+M11_+M12_+M13_+M14_+M15_+M16_+M17_+M18_+M19_+M20_+M21_+M22_+M23_+M24_+M25_+M26_+M27_+M28_+M29_+M30_+M31_+M32_+M33_+M34_+M35_+M36_+M37_)),0)</f>
        <v>0</v>
      </c>
      <c r="AZ719" s="24" t="str">
        <f t="shared" si="157"/>
        <v/>
      </c>
      <c r="BA719" s="24" t="str">
        <f t="shared" si="158"/>
        <v/>
      </c>
      <c r="BB719" s="24" t="str">
        <f t="shared" si="159"/>
        <v/>
      </c>
      <c r="BC719" s="24" t="str">
        <f>IF(OR(E719="",LEFT(TableCosts[[#This Row],[Calc_N_Typ]],18)="Vynaložené náklady"),"",VLOOKUP(E719,Tab_Parts,2,0))</f>
        <v/>
      </c>
      <c r="BD719" s="24" t="str">
        <f t="shared" si="160"/>
        <v/>
      </c>
      <c r="BE719" s="24">
        <f t="shared" si="161"/>
        <v>0</v>
      </c>
      <c r="BF719" s="72">
        <f>TableCosts[[#This Row],[N_Amount]]*TableCosts[[#This Row],[N_Tariff]]*TableCosts[[#This Row],[N_ItemsCount]]</f>
        <v>0</v>
      </c>
      <c r="BG719" s="72">
        <f>IF(G719=1,IF(TableCosts[[#This Row],[N_Kateg]]="interné práce",TableCosts[[#This Row],[N_Amount]]*8*PAR_SGA_PERHOUR,0),0)</f>
        <v>0</v>
      </c>
      <c r="BH719" s="72">
        <f>SUM(TableCosts[[#This Row],[N_Direct]:[N_SGA]])</f>
        <v>0</v>
      </c>
      <c r="BI719" s="24">
        <f>IF(G719=1,IF(OR(AND(NOT(ISERROR(VLOOKUP(TableCosts[[#This Row],[Calc_N_Typ]],Cis_WorkPositions,1,0))),C719&lt;&gt;"",D719&lt;&gt;"",E719&lt;&gt;""),AND(ISERROR(VLOOKUP(TableCosts[[#This Row],[Calc_N_Typ]],Cis_WorkPositions,1,0)),C719="",D719="",E719&lt;&gt;""),LEFT(TableCosts[[#This Row],[Calc_N_Typ]],18)="Vynaložené náklady"),VLOOKUP(C719&amp;TableCosts[[#This Row],[Calc_N_Typ]],TRAN_STRITEMS_LABEL,VLOOKUP(D719,Tab_Hours,3,0),0),NA()),0)</f>
        <v>0</v>
      </c>
      <c r="BJ719" s="24">
        <f t="shared" si="162"/>
        <v>0</v>
      </c>
      <c r="BK719" s="24" t="str">
        <f t="shared" si="163"/>
        <v/>
      </c>
      <c r="BL719" s="24" t="str">
        <f t="shared" si="164"/>
        <v/>
      </c>
      <c r="BM719" s="24" t="str">
        <f>IF(G719=1,IF(TableCosts[[#This Row],[TransferFrom]]=TableCosts[[#This Row],[TranferTo]],0,1),"")</f>
        <v/>
      </c>
      <c r="BN719" s="24" t="str">
        <f t="shared" si="165"/>
        <v/>
      </c>
      <c r="BO719" s="24">
        <f t="shared" si="166"/>
        <v>0</v>
      </c>
      <c r="BP719" s="24">
        <f t="shared" si="167"/>
        <v>0</v>
      </c>
    </row>
    <row r="720" spans="2:68" s="24" customFormat="1" ht="12.75" x14ac:dyDescent="0.2">
      <c r="B720" s="97"/>
      <c r="C720" s="92"/>
      <c r="D720" s="92"/>
      <c r="E720" s="92"/>
      <c r="F720" s="31" t="str">
        <f>IF(G720=1,IF(ISERROR(TableCosts[[#This Row],[N_Tariff]]),Err_Message1,IF(TableCosts[[#This Row],[N_Tariff]]=0,Err_Message2,VLOOKUP(C720&amp;TableCosts[[#This Row],[Calc_N_Typ]],TRAN_STRITEMS_LABEL,5,FALSE))),"")</f>
        <v/>
      </c>
      <c r="G720" s="31">
        <f t="shared" si="156"/>
        <v>0</v>
      </c>
      <c r="H720" s="31" t="str">
        <f>IF(G720=1,IFERROR(VLOOKUP(F720,Tab_ErrMessage[],2,0),VLOOKUP(C720&amp;TableCosts[[#This Row],[Calc_N_Typ]],TRAN_STRITEMS_LABEL,4,FALSE)),"")</f>
        <v/>
      </c>
      <c r="I720" s="94"/>
      <c r="J720" s="94"/>
      <c r="K720" s="94"/>
      <c r="L720" s="84"/>
      <c r="M720" s="84"/>
      <c r="N720" s="84"/>
      <c r="O720" s="84"/>
      <c r="P720" s="84"/>
      <c r="Q720" s="84"/>
      <c r="R720" s="84"/>
      <c r="S720" s="84"/>
      <c r="T720" s="84"/>
      <c r="U720" s="84"/>
      <c r="V720" s="84"/>
      <c r="W720" s="84"/>
      <c r="X720" s="84"/>
      <c r="Y720" s="84"/>
      <c r="Z720" s="84"/>
      <c r="AA720" s="84"/>
      <c r="AB720" s="84"/>
      <c r="AC720" s="84"/>
      <c r="AD720" s="84"/>
      <c r="AE720" s="84"/>
      <c r="AF720" s="84"/>
      <c r="AG720" s="84"/>
      <c r="AH720" s="84"/>
      <c r="AI720" s="84"/>
      <c r="AJ720" s="84"/>
      <c r="AK720" s="84"/>
      <c r="AL720" s="84"/>
      <c r="AM720" s="84"/>
      <c r="AN720" s="84"/>
      <c r="AO720" s="84"/>
      <c r="AP720" s="84"/>
      <c r="AQ720" s="84"/>
      <c r="AR720" s="84"/>
      <c r="AS720" s="84"/>
      <c r="AT720" s="84"/>
      <c r="AU720" s="84"/>
      <c r="AV720" s="84"/>
      <c r="AW720" s="84"/>
      <c r="AX720" s="87">
        <f t="array" ref="AX720">IF(G720=1,SUM((ROW(M0)=ROW(AW720))*(M0+M1_+M2_+M3_+M4_+M5_+M6_+M7_+M8_+M9_+M10_+M11_+M12_+M13_+M14_+M15_+M16_+M17_+M18_+M19_+M20_+M21_+M22_+M23_+M24_+M25_+M26_+M27_+M28_+M29_+M30_+M31_+M32_+M33_+M34_+M35_+M36_+M37_)),0)</f>
        <v>0</v>
      </c>
      <c r="AZ720" s="24" t="str">
        <f t="shared" si="157"/>
        <v/>
      </c>
      <c r="BA720" s="24" t="str">
        <f t="shared" si="158"/>
        <v/>
      </c>
      <c r="BB720" s="24" t="str">
        <f t="shared" si="159"/>
        <v/>
      </c>
      <c r="BC720" s="24" t="str">
        <f>IF(OR(E720="",LEFT(TableCosts[[#This Row],[Calc_N_Typ]],18)="Vynaložené náklady"),"",VLOOKUP(E720,Tab_Parts,2,0))</f>
        <v/>
      </c>
      <c r="BD720" s="24" t="str">
        <f t="shared" si="160"/>
        <v/>
      </c>
      <c r="BE720" s="24">
        <f t="shared" si="161"/>
        <v>0</v>
      </c>
      <c r="BF720" s="72">
        <f>TableCosts[[#This Row],[N_Amount]]*TableCosts[[#This Row],[N_Tariff]]*TableCosts[[#This Row],[N_ItemsCount]]</f>
        <v>0</v>
      </c>
      <c r="BG720" s="72">
        <f>IF(G720=1,IF(TableCosts[[#This Row],[N_Kateg]]="interné práce",TableCosts[[#This Row],[N_Amount]]*8*PAR_SGA_PERHOUR,0),0)</f>
        <v>0</v>
      </c>
      <c r="BH720" s="72">
        <f>SUM(TableCosts[[#This Row],[N_Direct]:[N_SGA]])</f>
        <v>0</v>
      </c>
      <c r="BI720" s="24">
        <f>IF(G720=1,IF(OR(AND(NOT(ISERROR(VLOOKUP(TableCosts[[#This Row],[Calc_N_Typ]],Cis_WorkPositions,1,0))),C720&lt;&gt;"",D720&lt;&gt;"",E720&lt;&gt;""),AND(ISERROR(VLOOKUP(TableCosts[[#This Row],[Calc_N_Typ]],Cis_WorkPositions,1,0)),C720="",D720="",E720&lt;&gt;""),LEFT(TableCosts[[#This Row],[Calc_N_Typ]],18)="Vynaložené náklady"),VLOOKUP(C720&amp;TableCosts[[#This Row],[Calc_N_Typ]],TRAN_STRITEMS_LABEL,VLOOKUP(D720,Tab_Hours,3,0),0),NA()),0)</f>
        <v>0</v>
      </c>
      <c r="BJ720" s="24">
        <f t="shared" si="162"/>
        <v>0</v>
      </c>
      <c r="BK720" s="24" t="str">
        <f t="shared" si="163"/>
        <v/>
      </c>
      <c r="BL720" s="24" t="str">
        <f t="shared" si="164"/>
        <v/>
      </c>
      <c r="BM720" s="24" t="str">
        <f>IF(G720=1,IF(TableCosts[[#This Row],[TransferFrom]]=TableCosts[[#This Row],[TranferTo]],0,1),"")</f>
        <v/>
      </c>
      <c r="BN720" s="24" t="str">
        <f t="shared" si="165"/>
        <v/>
      </c>
      <c r="BO720" s="24">
        <f t="shared" si="166"/>
        <v>0</v>
      </c>
      <c r="BP720" s="24">
        <f t="shared" si="167"/>
        <v>0</v>
      </c>
    </row>
    <row r="721" spans="2:68" s="24" customFormat="1" ht="12.75" x14ac:dyDescent="0.2">
      <c r="B721" s="97"/>
      <c r="C721" s="92"/>
      <c r="D721" s="92"/>
      <c r="E721" s="92"/>
      <c r="F721" s="31" t="str">
        <f>IF(G721=1,IF(ISERROR(TableCosts[[#This Row],[N_Tariff]]),Err_Message1,IF(TableCosts[[#This Row],[N_Tariff]]=0,Err_Message2,VLOOKUP(C721&amp;TableCosts[[#This Row],[Calc_N_Typ]],TRAN_STRITEMS_LABEL,5,FALSE))),"")</f>
        <v/>
      </c>
      <c r="G721" s="31">
        <f t="shared" si="156"/>
        <v>0</v>
      </c>
      <c r="H721" s="31" t="str">
        <f>IF(G721=1,IFERROR(VLOOKUP(F721,Tab_ErrMessage[],2,0),VLOOKUP(C721&amp;TableCosts[[#This Row],[Calc_N_Typ]],TRAN_STRITEMS_LABEL,4,FALSE)),"")</f>
        <v/>
      </c>
      <c r="I721" s="94"/>
      <c r="J721" s="94"/>
      <c r="K721" s="94"/>
      <c r="L721" s="84"/>
      <c r="M721" s="84"/>
      <c r="N721" s="84"/>
      <c r="O721" s="84"/>
      <c r="P721" s="84"/>
      <c r="Q721" s="84"/>
      <c r="R721" s="84"/>
      <c r="S721" s="84"/>
      <c r="T721" s="84"/>
      <c r="U721" s="84"/>
      <c r="V721" s="84"/>
      <c r="W721" s="84"/>
      <c r="X721" s="84"/>
      <c r="Y721" s="84"/>
      <c r="Z721" s="84"/>
      <c r="AA721" s="84"/>
      <c r="AB721" s="84"/>
      <c r="AC721" s="84"/>
      <c r="AD721" s="84"/>
      <c r="AE721" s="84"/>
      <c r="AF721" s="84"/>
      <c r="AG721" s="84"/>
      <c r="AH721" s="84"/>
      <c r="AI721" s="84"/>
      <c r="AJ721" s="84"/>
      <c r="AK721" s="84"/>
      <c r="AL721" s="84"/>
      <c r="AM721" s="84"/>
      <c r="AN721" s="84"/>
      <c r="AO721" s="84"/>
      <c r="AP721" s="84"/>
      <c r="AQ721" s="84"/>
      <c r="AR721" s="84"/>
      <c r="AS721" s="84"/>
      <c r="AT721" s="84"/>
      <c r="AU721" s="84"/>
      <c r="AV721" s="84"/>
      <c r="AW721" s="84"/>
      <c r="AX721" s="87">
        <f t="array" ref="AX721">IF(G721=1,SUM((ROW(M0)=ROW(AW721))*(M0+M1_+M2_+M3_+M4_+M5_+M6_+M7_+M8_+M9_+M10_+M11_+M12_+M13_+M14_+M15_+M16_+M17_+M18_+M19_+M20_+M21_+M22_+M23_+M24_+M25_+M26_+M27_+M28_+M29_+M30_+M31_+M32_+M33_+M34_+M35_+M36_+M37_)),0)</f>
        <v>0</v>
      </c>
      <c r="AZ721" s="24" t="str">
        <f t="shared" si="157"/>
        <v/>
      </c>
      <c r="BA721" s="24" t="str">
        <f t="shared" si="158"/>
        <v/>
      </c>
      <c r="BB721" s="24" t="str">
        <f t="shared" si="159"/>
        <v/>
      </c>
      <c r="BC721" s="24" t="str">
        <f>IF(OR(E721="",LEFT(TableCosts[[#This Row],[Calc_N_Typ]],18)="Vynaložené náklady"),"",VLOOKUP(E721,Tab_Parts,2,0))</f>
        <v/>
      </c>
      <c r="BD721" s="24" t="str">
        <f t="shared" si="160"/>
        <v/>
      </c>
      <c r="BE721" s="24">
        <f t="shared" si="161"/>
        <v>0</v>
      </c>
      <c r="BF721" s="72">
        <f>TableCosts[[#This Row],[N_Amount]]*TableCosts[[#This Row],[N_Tariff]]*TableCosts[[#This Row],[N_ItemsCount]]</f>
        <v>0</v>
      </c>
      <c r="BG721" s="72">
        <f>IF(G721=1,IF(TableCosts[[#This Row],[N_Kateg]]="interné práce",TableCosts[[#This Row],[N_Amount]]*8*PAR_SGA_PERHOUR,0),0)</f>
        <v>0</v>
      </c>
      <c r="BH721" s="72">
        <f>SUM(TableCosts[[#This Row],[N_Direct]:[N_SGA]])</f>
        <v>0</v>
      </c>
      <c r="BI721" s="24">
        <f>IF(G721=1,IF(OR(AND(NOT(ISERROR(VLOOKUP(TableCosts[[#This Row],[Calc_N_Typ]],Cis_WorkPositions,1,0))),C721&lt;&gt;"",D721&lt;&gt;"",E721&lt;&gt;""),AND(ISERROR(VLOOKUP(TableCosts[[#This Row],[Calc_N_Typ]],Cis_WorkPositions,1,0)),C721="",D721="",E721&lt;&gt;""),LEFT(TableCosts[[#This Row],[Calc_N_Typ]],18)="Vynaložené náklady"),VLOOKUP(C721&amp;TableCosts[[#This Row],[Calc_N_Typ]],TRAN_STRITEMS_LABEL,VLOOKUP(D721,Tab_Hours,3,0),0),NA()),0)</f>
        <v>0</v>
      </c>
      <c r="BJ721" s="24">
        <f t="shared" si="162"/>
        <v>0</v>
      </c>
      <c r="BK721" s="24" t="str">
        <f t="shared" si="163"/>
        <v/>
      </c>
      <c r="BL721" s="24" t="str">
        <f t="shared" si="164"/>
        <v/>
      </c>
      <c r="BM721" s="24" t="str">
        <f>IF(G721=1,IF(TableCosts[[#This Row],[TransferFrom]]=TableCosts[[#This Row],[TranferTo]],0,1),"")</f>
        <v/>
      </c>
      <c r="BN721" s="24" t="str">
        <f t="shared" si="165"/>
        <v/>
      </c>
      <c r="BO721" s="24">
        <f t="shared" si="166"/>
        <v>0</v>
      </c>
      <c r="BP721" s="24">
        <f t="shared" si="167"/>
        <v>0</v>
      </c>
    </row>
    <row r="722" spans="2:68" s="24" customFormat="1" ht="12.75" x14ac:dyDescent="0.2">
      <c r="B722" s="97"/>
      <c r="C722" s="92"/>
      <c r="D722" s="92"/>
      <c r="E722" s="92"/>
      <c r="F722" s="31" t="str">
        <f>IF(G722=1,IF(ISERROR(TableCosts[[#This Row],[N_Tariff]]),Err_Message1,IF(TableCosts[[#This Row],[N_Tariff]]=0,Err_Message2,VLOOKUP(C722&amp;TableCosts[[#This Row],[Calc_N_Typ]],TRAN_STRITEMS_LABEL,5,FALSE))),"")</f>
        <v/>
      </c>
      <c r="G722" s="31">
        <f t="shared" si="156"/>
        <v>0</v>
      </c>
      <c r="H722" s="31" t="str">
        <f>IF(G722=1,IFERROR(VLOOKUP(F722,Tab_ErrMessage[],2,0),VLOOKUP(C722&amp;TableCosts[[#This Row],[Calc_N_Typ]],TRAN_STRITEMS_LABEL,4,FALSE)),"")</f>
        <v/>
      </c>
      <c r="I722" s="94"/>
      <c r="J722" s="94"/>
      <c r="K722" s="94"/>
      <c r="L722" s="84"/>
      <c r="M722" s="84"/>
      <c r="N722" s="84"/>
      <c r="O722" s="84"/>
      <c r="P722" s="84"/>
      <c r="Q722" s="84"/>
      <c r="R722" s="84"/>
      <c r="S722" s="84"/>
      <c r="T722" s="84"/>
      <c r="U722" s="84"/>
      <c r="V722" s="84"/>
      <c r="W722" s="84"/>
      <c r="X722" s="84"/>
      <c r="Y722" s="84"/>
      <c r="Z722" s="84"/>
      <c r="AA722" s="84"/>
      <c r="AB722" s="84"/>
      <c r="AC722" s="84"/>
      <c r="AD722" s="84"/>
      <c r="AE722" s="84"/>
      <c r="AF722" s="84"/>
      <c r="AG722" s="84"/>
      <c r="AH722" s="84"/>
      <c r="AI722" s="84"/>
      <c r="AJ722" s="84"/>
      <c r="AK722" s="84"/>
      <c r="AL722" s="84"/>
      <c r="AM722" s="84"/>
      <c r="AN722" s="84"/>
      <c r="AO722" s="84"/>
      <c r="AP722" s="84"/>
      <c r="AQ722" s="84"/>
      <c r="AR722" s="84"/>
      <c r="AS722" s="84"/>
      <c r="AT722" s="84"/>
      <c r="AU722" s="84"/>
      <c r="AV722" s="84"/>
      <c r="AW722" s="84"/>
      <c r="AX722" s="87">
        <f t="array" ref="AX722">IF(G722=1,SUM((ROW(M0)=ROW(AW722))*(M0+M1_+M2_+M3_+M4_+M5_+M6_+M7_+M8_+M9_+M10_+M11_+M12_+M13_+M14_+M15_+M16_+M17_+M18_+M19_+M20_+M21_+M22_+M23_+M24_+M25_+M26_+M27_+M28_+M29_+M30_+M31_+M32_+M33_+M34_+M35_+M36_+M37_)),0)</f>
        <v>0</v>
      </c>
      <c r="AZ722" s="24" t="str">
        <f t="shared" si="157"/>
        <v/>
      </c>
      <c r="BA722" s="24" t="str">
        <f t="shared" si="158"/>
        <v/>
      </c>
      <c r="BB722" s="24" t="str">
        <f t="shared" si="159"/>
        <v/>
      </c>
      <c r="BC722" s="24" t="str">
        <f>IF(OR(E722="",LEFT(TableCosts[[#This Row],[Calc_N_Typ]],18)="Vynaložené náklady"),"",VLOOKUP(E722,Tab_Parts,2,0))</f>
        <v/>
      </c>
      <c r="BD722" s="24" t="str">
        <f t="shared" si="160"/>
        <v/>
      </c>
      <c r="BE722" s="24">
        <f t="shared" si="161"/>
        <v>0</v>
      </c>
      <c r="BF722" s="72">
        <f>TableCosts[[#This Row],[N_Amount]]*TableCosts[[#This Row],[N_Tariff]]*TableCosts[[#This Row],[N_ItemsCount]]</f>
        <v>0</v>
      </c>
      <c r="BG722" s="72">
        <f>IF(G722=1,IF(TableCosts[[#This Row],[N_Kateg]]="interné práce",TableCosts[[#This Row],[N_Amount]]*8*PAR_SGA_PERHOUR,0),0)</f>
        <v>0</v>
      </c>
      <c r="BH722" s="72">
        <f>SUM(TableCosts[[#This Row],[N_Direct]:[N_SGA]])</f>
        <v>0</v>
      </c>
      <c r="BI722" s="24">
        <f>IF(G722=1,IF(OR(AND(NOT(ISERROR(VLOOKUP(TableCosts[[#This Row],[Calc_N_Typ]],Cis_WorkPositions,1,0))),C722&lt;&gt;"",D722&lt;&gt;"",E722&lt;&gt;""),AND(ISERROR(VLOOKUP(TableCosts[[#This Row],[Calc_N_Typ]],Cis_WorkPositions,1,0)),C722="",D722="",E722&lt;&gt;""),LEFT(TableCosts[[#This Row],[Calc_N_Typ]],18)="Vynaložené náklady"),VLOOKUP(C722&amp;TableCosts[[#This Row],[Calc_N_Typ]],TRAN_STRITEMS_LABEL,VLOOKUP(D722,Tab_Hours,3,0),0),NA()),0)</f>
        <v>0</v>
      </c>
      <c r="BJ722" s="24">
        <f t="shared" si="162"/>
        <v>0</v>
      </c>
      <c r="BK722" s="24" t="str">
        <f t="shared" si="163"/>
        <v/>
      </c>
      <c r="BL722" s="24" t="str">
        <f t="shared" si="164"/>
        <v/>
      </c>
      <c r="BM722" s="24" t="str">
        <f>IF(G722=1,IF(TableCosts[[#This Row],[TransferFrom]]=TableCosts[[#This Row],[TranferTo]],0,1),"")</f>
        <v/>
      </c>
      <c r="BN722" s="24" t="str">
        <f t="shared" si="165"/>
        <v/>
      </c>
      <c r="BO722" s="24">
        <f t="shared" si="166"/>
        <v>0</v>
      </c>
      <c r="BP722" s="24">
        <f t="shared" si="167"/>
        <v>0</v>
      </c>
    </row>
    <row r="723" spans="2:68" s="24" customFormat="1" ht="12.75" x14ac:dyDescent="0.2">
      <c r="B723" s="97"/>
      <c r="C723" s="92"/>
      <c r="D723" s="92"/>
      <c r="E723" s="92"/>
      <c r="F723" s="31" t="str">
        <f>IF(G723=1,IF(ISERROR(TableCosts[[#This Row],[N_Tariff]]),Err_Message1,IF(TableCosts[[#This Row],[N_Tariff]]=0,Err_Message2,VLOOKUP(C723&amp;TableCosts[[#This Row],[Calc_N_Typ]],TRAN_STRITEMS_LABEL,5,FALSE))),"")</f>
        <v/>
      </c>
      <c r="G723" s="31">
        <f t="shared" si="156"/>
        <v>0</v>
      </c>
      <c r="H723" s="31" t="str">
        <f>IF(G723=1,IFERROR(VLOOKUP(F723,Tab_ErrMessage[],2,0),VLOOKUP(C723&amp;TableCosts[[#This Row],[Calc_N_Typ]],TRAN_STRITEMS_LABEL,4,FALSE)),"")</f>
        <v/>
      </c>
      <c r="I723" s="94"/>
      <c r="J723" s="94"/>
      <c r="K723" s="94"/>
      <c r="L723" s="84"/>
      <c r="M723" s="84"/>
      <c r="N723" s="84"/>
      <c r="O723" s="84"/>
      <c r="P723" s="84"/>
      <c r="Q723" s="84"/>
      <c r="R723" s="84"/>
      <c r="S723" s="84"/>
      <c r="T723" s="84"/>
      <c r="U723" s="84"/>
      <c r="V723" s="84"/>
      <c r="W723" s="84"/>
      <c r="X723" s="84"/>
      <c r="Y723" s="84"/>
      <c r="Z723" s="84"/>
      <c r="AA723" s="84"/>
      <c r="AB723" s="84"/>
      <c r="AC723" s="84"/>
      <c r="AD723" s="84"/>
      <c r="AE723" s="84"/>
      <c r="AF723" s="84"/>
      <c r="AG723" s="84"/>
      <c r="AH723" s="84"/>
      <c r="AI723" s="84"/>
      <c r="AJ723" s="84"/>
      <c r="AK723" s="84"/>
      <c r="AL723" s="84"/>
      <c r="AM723" s="84"/>
      <c r="AN723" s="84"/>
      <c r="AO723" s="84"/>
      <c r="AP723" s="84"/>
      <c r="AQ723" s="84"/>
      <c r="AR723" s="84"/>
      <c r="AS723" s="84"/>
      <c r="AT723" s="84"/>
      <c r="AU723" s="84"/>
      <c r="AV723" s="84"/>
      <c r="AW723" s="84"/>
      <c r="AX723" s="87">
        <f t="array" ref="AX723">IF(G723=1,SUM((ROW(M0)=ROW(AW723))*(M0+M1_+M2_+M3_+M4_+M5_+M6_+M7_+M8_+M9_+M10_+M11_+M12_+M13_+M14_+M15_+M16_+M17_+M18_+M19_+M20_+M21_+M22_+M23_+M24_+M25_+M26_+M27_+M28_+M29_+M30_+M31_+M32_+M33_+M34_+M35_+M36_+M37_)),0)</f>
        <v>0</v>
      </c>
      <c r="AZ723" s="24" t="str">
        <f t="shared" si="157"/>
        <v/>
      </c>
      <c r="BA723" s="24" t="str">
        <f t="shared" si="158"/>
        <v/>
      </c>
      <c r="BB723" s="24" t="str">
        <f t="shared" si="159"/>
        <v/>
      </c>
      <c r="BC723" s="24" t="str">
        <f>IF(OR(E723="",LEFT(TableCosts[[#This Row],[Calc_N_Typ]],18)="Vynaložené náklady"),"",VLOOKUP(E723,Tab_Parts,2,0))</f>
        <v/>
      </c>
      <c r="BD723" s="24" t="str">
        <f t="shared" si="160"/>
        <v/>
      </c>
      <c r="BE723" s="24">
        <f t="shared" si="161"/>
        <v>0</v>
      </c>
      <c r="BF723" s="72">
        <f>TableCosts[[#This Row],[N_Amount]]*TableCosts[[#This Row],[N_Tariff]]*TableCosts[[#This Row],[N_ItemsCount]]</f>
        <v>0</v>
      </c>
      <c r="BG723" s="72">
        <f>IF(G723=1,IF(TableCosts[[#This Row],[N_Kateg]]="interné práce",TableCosts[[#This Row],[N_Amount]]*8*PAR_SGA_PERHOUR,0),0)</f>
        <v>0</v>
      </c>
      <c r="BH723" s="72">
        <f>SUM(TableCosts[[#This Row],[N_Direct]:[N_SGA]])</f>
        <v>0</v>
      </c>
      <c r="BI723" s="24">
        <f>IF(G723=1,IF(OR(AND(NOT(ISERROR(VLOOKUP(TableCosts[[#This Row],[Calc_N_Typ]],Cis_WorkPositions,1,0))),C723&lt;&gt;"",D723&lt;&gt;"",E723&lt;&gt;""),AND(ISERROR(VLOOKUP(TableCosts[[#This Row],[Calc_N_Typ]],Cis_WorkPositions,1,0)),C723="",D723="",E723&lt;&gt;""),LEFT(TableCosts[[#This Row],[Calc_N_Typ]],18)="Vynaložené náklady"),VLOOKUP(C723&amp;TableCosts[[#This Row],[Calc_N_Typ]],TRAN_STRITEMS_LABEL,VLOOKUP(D723,Tab_Hours,3,0),0),NA()),0)</f>
        <v>0</v>
      </c>
      <c r="BJ723" s="24">
        <f t="shared" si="162"/>
        <v>0</v>
      </c>
      <c r="BK723" s="24" t="str">
        <f t="shared" si="163"/>
        <v/>
      </c>
      <c r="BL723" s="24" t="str">
        <f t="shared" si="164"/>
        <v/>
      </c>
      <c r="BM723" s="24" t="str">
        <f>IF(G723=1,IF(TableCosts[[#This Row],[TransferFrom]]=TableCosts[[#This Row],[TranferTo]],0,1),"")</f>
        <v/>
      </c>
      <c r="BN723" s="24" t="str">
        <f t="shared" si="165"/>
        <v/>
      </c>
      <c r="BO723" s="24">
        <f t="shared" si="166"/>
        <v>0</v>
      </c>
      <c r="BP723" s="24">
        <f t="shared" si="167"/>
        <v>0</v>
      </c>
    </row>
    <row r="724" spans="2:68" s="24" customFormat="1" ht="12.75" x14ac:dyDescent="0.2">
      <c r="B724" s="97"/>
      <c r="C724" s="92"/>
      <c r="D724" s="92"/>
      <c r="E724" s="92"/>
      <c r="F724" s="31" t="str">
        <f>IF(G724=1,IF(ISERROR(TableCosts[[#This Row],[N_Tariff]]),Err_Message1,IF(TableCosts[[#This Row],[N_Tariff]]=0,Err_Message2,VLOOKUP(C724&amp;TableCosts[[#This Row],[Calc_N_Typ]],TRAN_STRITEMS_LABEL,5,FALSE))),"")</f>
        <v/>
      </c>
      <c r="G724" s="31">
        <f t="shared" si="156"/>
        <v>0</v>
      </c>
      <c r="H724" s="31" t="str">
        <f>IF(G724=1,IFERROR(VLOOKUP(F724,Tab_ErrMessage[],2,0),VLOOKUP(C724&amp;TableCosts[[#This Row],[Calc_N_Typ]],TRAN_STRITEMS_LABEL,4,FALSE)),"")</f>
        <v/>
      </c>
      <c r="I724" s="94"/>
      <c r="J724" s="94"/>
      <c r="K724" s="94"/>
      <c r="L724" s="84"/>
      <c r="M724" s="84"/>
      <c r="N724" s="84"/>
      <c r="O724" s="84"/>
      <c r="P724" s="84"/>
      <c r="Q724" s="84"/>
      <c r="R724" s="84"/>
      <c r="S724" s="84"/>
      <c r="T724" s="84"/>
      <c r="U724" s="84"/>
      <c r="V724" s="84"/>
      <c r="W724" s="84"/>
      <c r="X724" s="84"/>
      <c r="Y724" s="84"/>
      <c r="Z724" s="84"/>
      <c r="AA724" s="84"/>
      <c r="AB724" s="84"/>
      <c r="AC724" s="84"/>
      <c r="AD724" s="84"/>
      <c r="AE724" s="84"/>
      <c r="AF724" s="84"/>
      <c r="AG724" s="84"/>
      <c r="AH724" s="84"/>
      <c r="AI724" s="84"/>
      <c r="AJ724" s="84"/>
      <c r="AK724" s="84"/>
      <c r="AL724" s="84"/>
      <c r="AM724" s="84"/>
      <c r="AN724" s="84"/>
      <c r="AO724" s="84"/>
      <c r="AP724" s="84"/>
      <c r="AQ724" s="84"/>
      <c r="AR724" s="84"/>
      <c r="AS724" s="84"/>
      <c r="AT724" s="84"/>
      <c r="AU724" s="84"/>
      <c r="AV724" s="84"/>
      <c r="AW724" s="84"/>
      <c r="AX724" s="87">
        <f t="array" ref="AX724">IF(G724=1,SUM((ROW(M0)=ROW(AW724))*(M0+M1_+M2_+M3_+M4_+M5_+M6_+M7_+M8_+M9_+M10_+M11_+M12_+M13_+M14_+M15_+M16_+M17_+M18_+M19_+M20_+M21_+M22_+M23_+M24_+M25_+M26_+M27_+M28_+M29_+M30_+M31_+M32_+M33_+M34_+M35_+M36_+M37_)),0)</f>
        <v>0</v>
      </c>
      <c r="AZ724" s="24" t="str">
        <f t="shared" si="157"/>
        <v/>
      </c>
      <c r="BA724" s="24" t="str">
        <f t="shared" si="158"/>
        <v/>
      </c>
      <c r="BB724" s="24" t="str">
        <f t="shared" si="159"/>
        <v/>
      </c>
      <c r="BC724" s="24" t="str">
        <f>IF(OR(E724="",LEFT(TableCosts[[#This Row],[Calc_N_Typ]],18)="Vynaložené náklady"),"",VLOOKUP(E724,Tab_Parts,2,0))</f>
        <v/>
      </c>
      <c r="BD724" s="24" t="str">
        <f t="shared" si="160"/>
        <v/>
      </c>
      <c r="BE724" s="24">
        <f t="shared" si="161"/>
        <v>0</v>
      </c>
      <c r="BF724" s="72">
        <f>TableCosts[[#This Row],[N_Amount]]*TableCosts[[#This Row],[N_Tariff]]*TableCosts[[#This Row],[N_ItemsCount]]</f>
        <v>0</v>
      </c>
      <c r="BG724" s="72">
        <f>IF(G724=1,IF(TableCosts[[#This Row],[N_Kateg]]="interné práce",TableCosts[[#This Row],[N_Amount]]*8*PAR_SGA_PERHOUR,0),0)</f>
        <v>0</v>
      </c>
      <c r="BH724" s="72">
        <f>SUM(TableCosts[[#This Row],[N_Direct]:[N_SGA]])</f>
        <v>0</v>
      </c>
      <c r="BI724" s="24">
        <f>IF(G724=1,IF(OR(AND(NOT(ISERROR(VLOOKUP(TableCosts[[#This Row],[Calc_N_Typ]],Cis_WorkPositions,1,0))),C724&lt;&gt;"",D724&lt;&gt;"",E724&lt;&gt;""),AND(ISERROR(VLOOKUP(TableCosts[[#This Row],[Calc_N_Typ]],Cis_WorkPositions,1,0)),C724="",D724="",E724&lt;&gt;""),LEFT(TableCosts[[#This Row],[Calc_N_Typ]],18)="Vynaložené náklady"),VLOOKUP(C724&amp;TableCosts[[#This Row],[Calc_N_Typ]],TRAN_STRITEMS_LABEL,VLOOKUP(D724,Tab_Hours,3,0),0),NA()),0)</f>
        <v>0</v>
      </c>
      <c r="BJ724" s="24">
        <f t="shared" si="162"/>
        <v>0</v>
      </c>
      <c r="BK724" s="24" t="str">
        <f t="shared" si="163"/>
        <v/>
      </c>
      <c r="BL724" s="24" t="str">
        <f t="shared" si="164"/>
        <v/>
      </c>
      <c r="BM724" s="24" t="str">
        <f>IF(G724=1,IF(TableCosts[[#This Row],[TransferFrom]]=TableCosts[[#This Row],[TranferTo]],0,1),"")</f>
        <v/>
      </c>
      <c r="BN724" s="24" t="str">
        <f t="shared" si="165"/>
        <v/>
      </c>
      <c r="BO724" s="24">
        <f t="shared" si="166"/>
        <v>0</v>
      </c>
      <c r="BP724" s="24">
        <f t="shared" si="167"/>
        <v>0</v>
      </c>
    </row>
    <row r="725" spans="2:68" s="24" customFormat="1" ht="12.75" x14ac:dyDescent="0.2">
      <c r="B725" s="97"/>
      <c r="C725" s="92"/>
      <c r="D725" s="92"/>
      <c r="E725" s="92"/>
      <c r="F725" s="31" t="str">
        <f>IF(G725=1,IF(ISERROR(TableCosts[[#This Row],[N_Tariff]]),Err_Message1,IF(TableCosts[[#This Row],[N_Tariff]]=0,Err_Message2,VLOOKUP(C725&amp;TableCosts[[#This Row],[Calc_N_Typ]],TRAN_STRITEMS_LABEL,5,FALSE))),"")</f>
        <v/>
      </c>
      <c r="G725" s="31">
        <f t="shared" si="156"/>
        <v>0</v>
      </c>
      <c r="H725" s="31" t="str">
        <f>IF(G725=1,IFERROR(VLOOKUP(F725,Tab_ErrMessage[],2,0),VLOOKUP(C725&amp;TableCosts[[#This Row],[Calc_N_Typ]],TRAN_STRITEMS_LABEL,4,FALSE)),"")</f>
        <v/>
      </c>
      <c r="I725" s="94"/>
      <c r="J725" s="94"/>
      <c r="K725" s="94"/>
      <c r="L725" s="84"/>
      <c r="M725" s="84"/>
      <c r="N725" s="84"/>
      <c r="O725" s="84"/>
      <c r="P725" s="84"/>
      <c r="Q725" s="84"/>
      <c r="R725" s="84"/>
      <c r="S725" s="84"/>
      <c r="T725" s="84"/>
      <c r="U725" s="84"/>
      <c r="V725" s="84"/>
      <c r="W725" s="84"/>
      <c r="X725" s="84"/>
      <c r="Y725" s="84"/>
      <c r="Z725" s="84"/>
      <c r="AA725" s="84"/>
      <c r="AB725" s="84"/>
      <c r="AC725" s="84"/>
      <c r="AD725" s="84"/>
      <c r="AE725" s="84"/>
      <c r="AF725" s="84"/>
      <c r="AG725" s="84"/>
      <c r="AH725" s="84"/>
      <c r="AI725" s="84"/>
      <c r="AJ725" s="84"/>
      <c r="AK725" s="84"/>
      <c r="AL725" s="84"/>
      <c r="AM725" s="84"/>
      <c r="AN725" s="84"/>
      <c r="AO725" s="84"/>
      <c r="AP725" s="84"/>
      <c r="AQ725" s="84"/>
      <c r="AR725" s="84"/>
      <c r="AS725" s="84"/>
      <c r="AT725" s="84"/>
      <c r="AU725" s="84"/>
      <c r="AV725" s="84"/>
      <c r="AW725" s="84"/>
      <c r="AX725" s="87">
        <f t="array" ref="AX725">IF(G725=1,SUM((ROW(M0)=ROW(AW725))*(M0+M1_+M2_+M3_+M4_+M5_+M6_+M7_+M8_+M9_+M10_+M11_+M12_+M13_+M14_+M15_+M16_+M17_+M18_+M19_+M20_+M21_+M22_+M23_+M24_+M25_+M26_+M27_+M28_+M29_+M30_+M31_+M32_+M33_+M34_+M35_+M36_+M37_)),0)</f>
        <v>0</v>
      </c>
      <c r="AZ725" s="24" t="str">
        <f t="shared" si="157"/>
        <v/>
      </c>
      <c r="BA725" s="24" t="str">
        <f t="shared" si="158"/>
        <v/>
      </c>
      <c r="BB725" s="24" t="str">
        <f t="shared" si="159"/>
        <v/>
      </c>
      <c r="BC725" s="24" t="str">
        <f>IF(OR(E725="",LEFT(TableCosts[[#This Row],[Calc_N_Typ]],18)="Vynaložené náklady"),"",VLOOKUP(E725,Tab_Parts,2,0))</f>
        <v/>
      </c>
      <c r="BD725" s="24" t="str">
        <f t="shared" si="160"/>
        <v/>
      </c>
      <c r="BE725" s="24">
        <f t="shared" si="161"/>
        <v>0</v>
      </c>
      <c r="BF725" s="72">
        <f>TableCosts[[#This Row],[N_Amount]]*TableCosts[[#This Row],[N_Tariff]]*TableCosts[[#This Row],[N_ItemsCount]]</f>
        <v>0</v>
      </c>
      <c r="BG725" s="72">
        <f>IF(G725=1,IF(TableCosts[[#This Row],[N_Kateg]]="interné práce",TableCosts[[#This Row],[N_Amount]]*8*PAR_SGA_PERHOUR,0),0)</f>
        <v>0</v>
      </c>
      <c r="BH725" s="72">
        <f>SUM(TableCosts[[#This Row],[N_Direct]:[N_SGA]])</f>
        <v>0</v>
      </c>
      <c r="BI725" s="24">
        <f>IF(G725=1,IF(OR(AND(NOT(ISERROR(VLOOKUP(TableCosts[[#This Row],[Calc_N_Typ]],Cis_WorkPositions,1,0))),C725&lt;&gt;"",D725&lt;&gt;"",E725&lt;&gt;""),AND(ISERROR(VLOOKUP(TableCosts[[#This Row],[Calc_N_Typ]],Cis_WorkPositions,1,0)),C725="",D725="",E725&lt;&gt;""),LEFT(TableCosts[[#This Row],[Calc_N_Typ]],18)="Vynaložené náklady"),VLOOKUP(C725&amp;TableCosts[[#This Row],[Calc_N_Typ]],TRAN_STRITEMS_LABEL,VLOOKUP(D725,Tab_Hours,3,0),0),NA()),0)</f>
        <v>0</v>
      </c>
      <c r="BJ725" s="24">
        <f t="shared" si="162"/>
        <v>0</v>
      </c>
      <c r="BK725" s="24" t="str">
        <f t="shared" si="163"/>
        <v/>
      </c>
      <c r="BL725" s="24" t="str">
        <f t="shared" si="164"/>
        <v/>
      </c>
      <c r="BM725" s="24" t="str">
        <f>IF(G725=1,IF(TableCosts[[#This Row],[TransferFrom]]=TableCosts[[#This Row],[TranferTo]],0,1),"")</f>
        <v/>
      </c>
      <c r="BN725" s="24" t="str">
        <f t="shared" si="165"/>
        <v/>
      </c>
      <c r="BO725" s="24">
        <f t="shared" si="166"/>
        <v>0</v>
      </c>
      <c r="BP725" s="24">
        <f t="shared" si="167"/>
        <v>0</v>
      </c>
    </row>
    <row r="726" spans="2:68" s="24" customFormat="1" ht="12.75" x14ac:dyDescent="0.2">
      <c r="B726" s="97"/>
      <c r="C726" s="92"/>
      <c r="D726" s="92"/>
      <c r="E726" s="92"/>
      <c r="F726" s="31" t="str">
        <f>IF(G726=1,IF(ISERROR(TableCosts[[#This Row],[N_Tariff]]),Err_Message1,IF(TableCosts[[#This Row],[N_Tariff]]=0,Err_Message2,VLOOKUP(C726&amp;TableCosts[[#This Row],[Calc_N_Typ]],TRAN_STRITEMS_LABEL,5,FALSE))),"")</f>
        <v/>
      </c>
      <c r="G726" s="31">
        <f t="shared" si="156"/>
        <v>0</v>
      </c>
      <c r="H726" s="31" t="str">
        <f>IF(G726=1,IFERROR(VLOOKUP(F726,Tab_ErrMessage[],2,0),VLOOKUP(C726&amp;TableCosts[[#This Row],[Calc_N_Typ]],TRAN_STRITEMS_LABEL,4,FALSE)),"")</f>
        <v/>
      </c>
      <c r="I726" s="94"/>
      <c r="J726" s="94"/>
      <c r="K726" s="94"/>
      <c r="L726" s="84"/>
      <c r="M726" s="84"/>
      <c r="N726" s="84"/>
      <c r="O726" s="84"/>
      <c r="P726" s="84"/>
      <c r="Q726" s="84"/>
      <c r="R726" s="84"/>
      <c r="S726" s="84"/>
      <c r="T726" s="84"/>
      <c r="U726" s="84"/>
      <c r="V726" s="84"/>
      <c r="W726" s="84"/>
      <c r="X726" s="84"/>
      <c r="Y726" s="84"/>
      <c r="Z726" s="84"/>
      <c r="AA726" s="84"/>
      <c r="AB726" s="84"/>
      <c r="AC726" s="84"/>
      <c r="AD726" s="84"/>
      <c r="AE726" s="84"/>
      <c r="AF726" s="84"/>
      <c r="AG726" s="84"/>
      <c r="AH726" s="84"/>
      <c r="AI726" s="84"/>
      <c r="AJ726" s="84"/>
      <c r="AK726" s="84"/>
      <c r="AL726" s="84"/>
      <c r="AM726" s="84"/>
      <c r="AN726" s="84"/>
      <c r="AO726" s="84"/>
      <c r="AP726" s="84"/>
      <c r="AQ726" s="84"/>
      <c r="AR726" s="84"/>
      <c r="AS726" s="84"/>
      <c r="AT726" s="84"/>
      <c r="AU726" s="84"/>
      <c r="AV726" s="84"/>
      <c r="AW726" s="84"/>
      <c r="AX726" s="87">
        <f t="array" ref="AX726">IF(G726=1,SUM((ROW(M0)=ROW(AW726))*(M0+M1_+M2_+M3_+M4_+M5_+M6_+M7_+M8_+M9_+M10_+M11_+M12_+M13_+M14_+M15_+M16_+M17_+M18_+M19_+M20_+M21_+M22_+M23_+M24_+M25_+M26_+M27_+M28_+M29_+M30_+M31_+M32_+M33_+M34_+M35_+M36_+M37_)),0)</f>
        <v>0</v>
      </c>
      <c r="AZ726" s="24" t="str">
        <f t="shared" si="157"/>
        <v/>
      </c>
      <c r="BA726" s="24" t="str">
        <f t="shared" si="158"/>
        <v/>
      </c>
      <c r="BB726" s="24" t="str">
        <f t="shared" si="159"/>
        <v/>
      </c>
      <c r="BC726" s="24" t="str">
        <f>IF(OR(E726="",LEFT(TableCosts[[#This Row],[Calc_N_Typ]],18)="Vynaložené náklady"),"",VLOOKUP(E726,Tab_Parts,2,0))</f>
        <v/>
      </c>
      <c r="BD726" s="24" t="str">
        <f t="shared" si="160"/>
        <v/>
      </c>
      <c r="BE726" s="24">
        <f t="shared" si="161"/>
        <v>0</v>
      </c>
      <c r="BF726" s="72">
        <f>TableCosts[[#This Row],[N_Amount]]*TableCosts[[#This Row],[N_Tariff]]*TableCosts[[#This Row],[N_ItemsCount]]</f>
        <v>0</v>
      </c>
      <c r="BG726" s="72">
        <f>IF(G726=1,IF(TableCosts[[#This Row],[N_Kateg]]="interné práce",TableCosts[[#This Row],[N_Amount]]*8*PAR_SGA_PERHOUR,0),0)</f>
        <v>0</v>
      </c>
      <c r="BH726" s="72">
        <f>SUM(TableCosts[[#This Row],[N_Direct]:[N_SGA]])</f>
        <v>0</v>
      </c>
      <c r="BI726" s="24">
        <f>IF(G726=1,IF(OR(AND(NOT(ISERROR(VLOOKUP(TableCosts[[#This Row],[Calc_N_Typ]],Cis_WorkPositions,1,0))),C726&lt;&gt;"",D726&lt;&gt;"",E726&lt;&gt;""),AND(ISERROR(VLOOKUP(TableCosts[[#This Row],[Calc_N_Typ]],Cis_WorkPositions,1,0)),C726="",D726="",E726&lt;&gt;""),LEFT(TableCosts[[#This Row],[Calc_N_Typ]],18)="Vynaložené náklady"),VLOOKUP(C726&amp;TableCosts[[#This Row],[Calc_N_Typ]],TRAN_STRITEMS_LABEL,VLOOKUP(D726,Tab_Hours,3,0),0),NA()),0)</f>
        <v>0</v>
      </c>
      <c r="BJ726" s="24">
        <f t="shared" si="162"/>
        <v>0</v>
      </c>
      <c r="BK726" s="24" t="str">
        <f t="shared" si="163"/>
        <v/>
      </c>
      <c r="BL726" s="24" t="str">
        <f t="shared" si="164"/>
        <v/>
      </c>
      <c r="BM726" s="24" t="str">
        <f>IF(G726=1,IF(TableCosts[[#This Row],[TransferFrom]]=TableCosts[[#This Row],[TranferTo]],0,1),"")</f>
        <v/>
      </c>
      <c r="BN726" s="24" t="str">
        <f t="shared" si="165"/>
        <v/>
      </c>
      <c r="BO726" s="24">
        <f t="shared" si="166"/>
        <v>0</v>
      </c>
      <c r="BP726" s="24">
        <f t="shared" si="167"/>
        <v>0</v>
      </c>
    </row>
    <row r="727" spans="2:68" s="24" customFormat="1" ht="12.75" x14ac:dyDescent="0.2">
      <c r="B727" s="97"/>
      <c r="C727" s="92"/>
      <c r="D727" s="92"/>
      <c r="E727" s="92"/>
      <c r="F727" s="31" t="str">
        <f>IF(G727=1,IF(ISERROR(TableCosts[[#This Row],[N_Tariff]]),Err_Message1,IF(TableCosts[[#This Row],[N_Tariff]]=0,Err_Message2,VLOOKUP(C727&amp;TableCosts[[#This Row],[Calc_N_Typ]],TRAN_STRITEMS_LABEL,5,FALSE))),"")</f>
        <v/>
      </c>
      <c r="G727" s="31">
        <f t="shared" si="156"/>
        <v>0</v>
      </c>
      <c r="H727" s="31" t="str">
        <f>IF(G727=1,IFERROR(VLOOKUP(F727,Tab_ErrMessage[],2,0),VLOOKUP(C727&amp;TableCosts[[#This Row],[Calc_N_Typ]],TRAN_STRITEMS_LABEL,4,FALSE)),"")</f>
        <v/>
      </c>
      <c r="I727" s="94"/>
      <c r="J727" s="94"/>
      <c r="K727" s="94"/>
      <c r="L727" s="84"/>
      <c r="M727" s="84"/>
      <c r="N727" s="84"/>
      <c r="O727" s="84"/>
      <c r="P727" s="84"/>
      <c r="Q727" s="84"/>
      <c r="R727" s="84"/>
      <c r="S727" s="84"/>
      <c r="T727" s="84"/>
      <c r="U727" s="84"/>
      <c r="V727" s="84"/>
      <c r="W727" s="84"/>
      <c r="X727" s="84"/>
      <c r="Y727" s="84"/>
      <c r="Z727" s="84"/>
      <c r="AA727" s="84"/>
      <c r="AB727" s="84"/>
      <c r="AC727" s="84"/>
      <c r="AD727" s="84"/>
      <c r="AE727" s="84"/>
      <c r="AF727" s="84"/>
      <c r="AG727" s="84"/>
      <c r="AH727" s="84"/>
      <c r="AI727" s="84"/>
      <c r="AJ727" s="84"/>
      <c r="AK727" s="84"/>
      <c r="AL727" s="84"/>
      <c r="AM727" s="84"/>
      <c r="AN727" s="84"/>
      <c r="AO727" s="84"/>
      <c r="AP727" s="84"/>
      <c r="AQ727" s="84"/>
      <c r="AR727" s="84"/>
      <c r="AS727" s="84"/>
      <c r="AT727" s="84"/>
      <c r="AU727" s="84"/>
      <c r="AV727" s="84"/>
      <c r="AW727" s="84"/>
      <c r="AX727" s="87">
        <f t="array" ref="AX727">IF(G727=1,SUM((ROW(M0)=ROW(AW727))*(M0+M1_+M2_+M3_+M4_+M5_+M6_+M7_+M8_+M9_+M10_+M11_+M12_+M13_+M14_+M15_+M16_+M17_+M18_+M19_+M20_+M21_+M22_+M23_+M24_+M25_+M26_+M27_+M28_+M29_+M30_+M31_+M32_+M33_+M34_+M35_+M36_+M37_)),0)</f>
        <v>0</v>
      </c>
      <c r="AZ727" s="24" t="str">
        <f t="shared" si="157"/>
        <v/>
      </c>
      <c r="BA727" s="24" t="str">
        <f t="shared" si="158"/>
        <v/>
      </c>
      <c r="BB727" s="24" t="str">
        <f t="shared" si="159"/>
        <v/>
      </c>
      <c r="BC727" s="24" t="str">
        <f>IF(OR(E727="",LEFT(TableCosts[[#This Row],[Calc_N_Typ]],18)="Vynaložené náklady"),"",VLOOKUP(E727,Tab_Parts,2,0))</f>
        <v/>
      </c>
      <c r="BD727" s="24" t="str">
        <f t="shared" si="160"/>
        <v/>
      </c>
      <c r="BE727" s="24">
        <f t="shared" si="161"/>
        <v>0</v>
      </c>
      <c r="BF727" s="72">
        <f>TableCosts[[#This Row],[N_Amount]]*TableCosts[[#This Row],[N_Tariff]]*TableCosts[[#This Row],[N_ItemsCount]]</f>
        <v>0</v>
      </c>
      <c r="BG727" s="72">
        <f>IF(G727=1,IF(TableCosts[[#This Row],[N_Kateg]]="interné práce",TableCosts[[#This Row],[N_Amount]]*8*PAR_SGA_PERHOUR,0),0)</f>
        <v>0</v>
      </c>
      <c r="BH727" s="72">
        <f>SUM(TableCosts[[#This Row],[N_Direct]:[N_SGA]])</f>
        <v>0</v>
      </c>
      <c r="BI727" s="24">
        <f>IF(G727=1,IF(OR(AND(NOT(ISERROR(VLOOKUP(TableCosts[[#This Row],[Calc_N_Typ]],Cis_WorkPositions,1,0))),C727&lt;&gt;"",D727&lt;&gt;"",E727&lt;&gt;""),AND(ISERROR(VLOOKUP(TableCosts[[#This Row],[Calc_N_Typ]],Cis_WorkPositions,1,0)),C727="",D727="",E727&lt;&gt;""),LEFT(TableCosts[[#This Row],[Calc_N_Typ]],18)="Vynaložené náklady"),VLOOKUP(C727&amp;TableCosts[[#This Row],[Calc_N_Typ]],TRAN_STRITEMS_LABEL,VLOOKUP(D727,Tab_Hours,3,0),0),NA()),0)</f>
        <v>0</v>
      </c>
      <c r="BJ727" s="24">
        <f t="shared" si="162"/>
        <v>0</v>
      </c>
      <c r="BK727" s="24" t="str">
        <f t="shared" si="163"/>
        <v/>
      </c>
      <c r="BL727" s="24" t="str">
        <f t="shared" si="164"/>
        <v/>
      </c>
      <c r="BM727" s="24" t="str">
        <f>IF(G727=1,IF(TableCosts[[#This Row],[TransferFrom]]=TableCosts[[#This Row],[TranferTo]],0,1),"")</f>
        <v/>
      </c>
      <c r="BN727" s="24" t="str">
        <f t="shared" si="165"/>
        <v/>
      </c>
      <c r="BO727" s="24">
        <f t="shared" si="166"/>
        <v>0</v>
      </c>
      <c r="BP727" s="24">
        <f t="shared" si="167"/>
        <v>0</v>
      </c>
    </row>
    <row r="728" spans="2:68" s="24" customFormat="1" ht="12.75" x14ac:dyDescent="0.2">
      <c r="B728" s="97"/>
      <c r="C728" s="92"/>
      <c r="D728" s="92"/>
      <c r="E728" s="92"/>
      <c r="F728" s="31" t="str">
        <f>IF(G728=1,IF(ISERROR(TableCosts[[#This Row],[N_Tariff]]),Err_Message1,IF(TableCosts[[#This Row],[N_Tariff]]=0,Err_Message2,VLOOKUP(C728&amp;TableCosts[[#This Row],[Calc_N_Typ]],TRAN_STRITEMS_LABEL,5,FALSE))),"")</f>
        <v/>
      </c>
      <c r="G728" s="31">
        <f t="shared" si="156"/>
        <v>0</v>
      </c>
      <c r="H728" s="31" t="str">
        <f>IF(G728=1,IFERROR(VLOOKUP(F728,Tab_ErrMessage[],2,0),VLOOKUP(C728&amp;TableCosts[[#This Row],[Calc_N_Typ]],TRAN_STRITEMS_LABEL,4,FALSE)),"")</f>
        <v/>
      </c>
      <c r="I728" s="94"/>
      <c r="J728" s="94"/>
      <c r="K728" s="94"/>
      <c r="L728" s="84"/>
      <c r="M728" s="84"/>
      <c r="N728" s="84"/>
      <c r="O728" s="84"/>
      <c r="P728" s="84"/>
      <c r="Q728" s="84"/>
      <c r="R728" s="84"/>
      <c r="S728" s="84"/>
      <c r="T728" s="84"/>
      <c r="U728" s="84"/>
      <c r="V728" s="84"/>
      <c r="W728" s="84"/>
      <c r="X728" s="84"/>
      <c r="Y728" s="84"/>
      <c r="Z728" s="84"/>
      <c r="AA728" s="84"/>
      <c r="AB728" s="84"/>
      <c r="AC728" s="84"/>
      <c r="AD728" s="84"/>
      <c r="AE728" s="84"/>
      <c r="AF728" s="84"/>
      <c r="AG728" s="84"/>
      <c r="AH728" s="84"/>
      <c r="AI728" s="84"/>
      <c r="AJ728" s="84"/>
      <c r="AK728" s="84"/>
      <c r="AL728" s="84"/>
      <c r="AM728" s="84"/>
      <c r="AN728" s="84"/>
      <c r="AO728" s="84"/>
      <c r="AP728" s="84"/>
      <c r="AQ728" s="84"/>
      <c r="AR728" s="84"/>
      <c r="AS728" s="84"/>
      <c r="AT728" s="84"/>
      <c r="AU728" s="84"/>
      <c r="AV728" s="84"/>
      <c r="AW728" s="84"/>
      <c r="AX728" s="87">
        <f t="array" ref="AX728">IF(G728=1,SUM((ROW(M0)=ROW(AW728))*(M0+M1_+M2_+M3_+M4_+M5_+M6_+M7_+M8_+M9_+M10_+M11_+M12_+M13_+M14_+M15_+M16_+M17_+M18_+M19_+M20_+M21_+M22_+M23_+M24_+M25_+M26_+M27_+M28_+M29_+M30_+M31_+M32_+M33_+M34_+M35_+M36_+M37_)),0)</f>
        <v>0</v>
      </c>
      <c r="AZ728" s="24" t="str">
        <f t="shared" si="157"/>
        <v/>
      </c>
      <c r="BA728" s="24" t="str">
        <f t="shared" si="158"/>
        <v/>
      </c>
      <c r="BB728" s="24" t="str">
        <f t="shared" si="159"/>
        <v/>
      </c>
      <c r="BC728" s="24" t="str">
        <f>IF(OR(E728="",LEFT(TableCosts[[#This Row],[Calc_N_Typ]],18)="Vynaložené náklady"),"",VLOOKUP(E728,Tab_Parts,2,0))</f>
        <v/>
      </c>
      <c r="BD728" s="24" t="str">
        <f t="shared" si="160"/>
        <v/>
      </c>
      <c r="BE728" s="24">
        <f t="shared" si="161"/>
        <v>0</v>
      </c>
      <c r="BF728" s="72">
        <f>TableCosts[[#This Row],[N_Amount]]*TableCosts[[#This Row],[N_Tariff]]*TableCosts[[#This Row],[N_ItemsCount]]</f>
        <v>0</v>
      </c>
      <c r="BG728" s="72">
        <f>IF(G728=1,IF(TableCosts[[#This Row],[N_Kateg]]="interné práce",TableCosts[[#This Row],[N_Amount]]*8*PAR_SGA_PERHOUR,0),0)</f>
        <v>0</v>
      </c>
      <c r="BH728" s="72">
        <f>SUM(TableCosts[[#This Row],[N_Direct]:[N_SGA]])</f>
        <v>0</v>
      </c>
      <c r="BI728" s="24">
        <f>IF(G728=1,IF(OR(AND(NOT(ISERROR(VLOOKUP(TableCosts[[#This Row],[Calc_N_Typ]],Cis_WorkPositions,1,0))),C728&lt;&gt;"",D728&lt;&gt;"",E728&lt;&gt;""),AND(ISERROR(VLOOKUP(TableCosts[[#This Row],[Calc_N_Typ]],Cis_WorkPositions,1,0)),C728="",D728="",E728&lt;&gt;""),LEFT(TableCosts[[#This Row],[Calc_N_Typ]],18)="Vynaložené náklady"),VLOOKUP(C728&amp;TableCosts[[#This Row],[Calc_N_Typ]],TRAN_STRITEMS_LABEL,VLOOKUP(D728,Tab_Hours,3,0),0),NA()),0)</f>
        <v>0</v>
      </c>
      <c r="BJ728" s="24">
        <f t="shared" si="162"/>
        <v>0</v>
      </c>
      <c r="BK728" s="24" t="str">
        <f t="shared" si="163"/>
        <v/>
      </c>
      <c r="BL728" s="24" t="str">
        <f t="shared" si="164"/>
        <v/>
      </c>
      <c r="BM728" s="24" t="str">
        <f>IF(G728=1,IF(TableCosts[[#This Row],[TransferFrom]]=TableCosts[[#This Row],[TranferTo]],0,1),"")</f>
        <v/>
      </c>
      <c r="BN728" s="24" t="str">
        <f t="shared" si="165"/>
        <v/>
      </c>
      <c r="BO728" s="24">
        <f t="shared" si="166"/>
        <v>0</v>
      </c>
      <c r="BP728" s="24">
        <f t="shared" si="167"/>
        <v>0</v>
      </c>
    </row>
    <row r="729" spans="2:68" s="24" customFormat="1" ht="12.75" x14ac:dyDescent="0.2">
      <c r="B729" s="97"/>
      <c r="C729" s="92"/>
      <c r="D729" s="92"/>
      <c r="E729" s="92"/>
      <c r="F729" s="31" t="str">
        <f>IF(G729=1,IF(ISERROR(TableCosts[[#This Row],[N_Tariff]]),Err_Message1,IF(TableCosts[[#This Row],[N_Tariff]]=0,Err_Message2,VLOOKUP(C729&amp;TableCosts[[#This Row],[Calc_N_Typ]],TRAN_STRITEMS_LABEL,5,FALSE))),"")</f>
        <v/>
      </c>
      <c r="G729" s="31">
        <f t="shared" si="156"/>
        <v>0</v>
      </c>
      <c r="H729" s="31" t="str">
        <f>IF(G729=1,IFERROR(VLOOKUP(F729,Tab_ErrMessage[],2,0),VLOOKUP(C729&amp;TableCosts[[#This Row],[Calc_N_Typ]],TRAN_STRITEMS_LABEL,4,FALSE)),"")</f>
        <v/>
      </c>
      <c r="I729" s="94"/>
      <c r="J729" s="94"/>
      <c r="K729" s="94"/>
      <c r="L729" s="84"/>
      <c r="M729" s="84"/>
      <c r="N729" s="84"/>
      <c r="O729" s="84"/>
      <c r="P729" s="84"/>
      <c r="Q729" s="84"/>
      <c r="R729" s="84"/>
      <c r="S729" s="84"/>
      <c r="T729" s="84"/>
      <c r="U729" s="84"/>
      <c r="V729" s="84"/>
      <c r="W729" s="84"/>
      <c r="X729" s="84"/>
      <c r="Y729" s="84"/>
      <c r="Z729" s="84"/>
      <c r="AA729" s="84"/>
      <c r="AB729" s="84"/>
      <c r="AC729" s="84"/>
      <c r="AD729" s="84"/>
      <c r="AE729" s="84"/>
      <c r="AF729" s="84"/>
      <c r="AG729" s="84"/>
      <c r="AH729" s="84"/>
      <c r="AI729" s="84"/>
      <c r="AJ729" s="84"/>
      <c r="AK729" s="84"/>
      <c r="AL729" s="84"/>
      <c r="AM729" s="84"/>
      <c r="AN729" s="84"/>
      <c r="AO729" s="84"/>
      <c r="AP729" s="84"/>
      <c r="AQ729" s="84"/>
      <c r="AR729" s="84"/>
      <c r="AS729" s="84"/>
      <c r="AT729" s="84"/>
      <c r="AU729" s="84"/>
      <c r="AV729" s="84"/>
      <c r="AW729" s="84"/>
      <c r="AX729" s="87">
        <f t="array" ref="AX729">IF(G729=1,SUM((ROW(M0)=ROW(AW729))*(M0+M1_+M2_+M3_+M4_+M5_+M6_+M7_+M8_+M9_+M10_+M11_+M12_+M13_+M14_+M15_+M16_+M17_+M18_+M19_+M20_+M21_+M22_+M23_+M24_+M25_+M26_+M27_+M28_+M29_+M30_+M31_+M32_+M33_+M34_+M35_+M36_+M37_)),0)</f>
        <v>0</v>
      </c>
      <c r="AZ729" s="24" t="str">
        <f t="shared" si="157"/>
        <v/>
      </c>
      <c r="BA729" s="24" t="str">
        <f t="shared" si="158"/>
        <v/>
      </c>
      <c r="BB729" s="24" t="str">
        <f t="shared" si="159"/>
        <v/>
      </c>
      <c r="BC729" s="24" t="str">
        <f>IF(OR(E729="",LEFT(TableCosts[[#This Row],[Calc_N_Typ]],18)="Vynaložené náklady"),"",VLOOKUP(E729,Tab_Parts,2,0))</f>
        <v/>
      </c>
      <c r="BD729" s="24" t="str">
        <f t="shared" si="160"/>
        <v/>
      </c>
      <c r="BE729" s="24">
        <f t="shared" si="161"/>
        <v>0</v>
      </c>
      <c r="BF729" s="72">
        <f>TableCosts[[#This Row],[N_Amount]]*TableCosts[[#This Row],[N_Tariff]]*TableCosts[[#This Row],[N_ItemsCount]]</f>
        <v>0</v>
      </c>
      <c r="BG729" s="72">
        <f>IF(G729=1,IF(TableCosts[[#This Row],[N_Kateg]]="interné práce",TableCosts[[#This Row],[N_Amount]]*8*PAR_SGA_PERHOUR,0),0)</f>
        <v>0</v>
      </c>
      <c r="BH729" s="72">
        <f>SUM(TableCosts[[#This Row],[N_Direct]:[N_SGA]])</f>
        <v>0</v>
      </c>
      <c r="BI729" s="24">
        <f>IF(G729=1,IF(OR(AND(NOT(ISERROR(VLOOKUP(TableCosts[[#This Row],[Calc_N_Typ]],Cis_WorkPositions,1,0))),C729&lt;&gt;"",D729&lt;&gt;"",E729&lt;&gt;""),AND(ISERROR(VLOOKUP(TableCosts[[#This Row],[Calc_N_Typ]],Cis_WorkPositions,1,0)),C729="",D729="",E729&lt;&gt;""),LEFT(TableCosts[[#This Row],[Calc_N_Typ]],18)="Vynaložené náklady"),VLOOKUP(C729&amp;TableCosts[[#This Row],[Calc_N_Typ]],TRAN_STRITEMS_LABEL,VLOOKUP(D729,Tab_Hours,3,0),0),NA()),0)</f>
        <v>0</v>
      </c>
      <c r="BJ729" s="24">
        <f t="shared" si="162"/>
        <v>0</v>
      </c>
      <c r="BK729" s="24" t="str">
        <f t="shared" si="163"/>
        <v/>
      </c>
      <c r="BL729" s="24" t="str">
        <f t="shared" si="164"/>
        <v/>
      </c>
      <c r="BM729" s="24" t="str">
        <f>IF(G729=1,IF(TableCosts[[#This Row],[TransferFrom]]=TableCosts[[#This Row],[TranferTo]],0,1),"")</f>
        <v/>
      </c>
      <c r="BN729" s="24" t="str">
        <f t="shared" si="165"/>
        <v/>
      </c>
      <c r="BO729" s="24">
        <f t="shared" si="166"/>
        <v>0</v>
      </c>
      <c r="BP729" s="24">
        <f t="shared" si="167"/>
        <v>0</v>
      </c>
    </row>
    <row r="730" spans="2:68" s="24" customFormat="1" ht="12.75" x14ac:dyDescent="0.2">
      <c r="B730" s="97"/>
      <c r="C730" s="92"/>
      <c r="D730" s="92"/>
      <c r="E730" s="92"/>
      <c r="F730" s="31" t="str">
        <f>IF(G730=1,IF(ISERROR(TableCosts[[#This Row],[N_Tariff]]),Err_Message1,IF(TableCosts[[#This Row],[N_Tariff]]=0,Err_Message2,VLOOKUP(C730&amp;TableCosts[[#This Row],[Calc_N_Typ]],TRAN_STRITEMS_LABEL,5,FALSE))),"")</f>
        <v/>
      </c>
      <c r="G730" s="31">
        <f t="shared" si="156"/>
        <v>0</v>
      </c>
      <c r="H730" s="31" t="str">
        <f>IF(G730=1,IFERROR(VLOOKUP(F730,Tab_ErrMessage[],2,0),VLOOKUP(C730&amp;TableCosts[[#This Row],[Calc_N_Typ]],TRAN_STRITEMS_LABEL,4,FALSE)),"")</f>
        <v/>
      </c>
      <c r="I730" s="94"/>
      <c r="J730" s="94"/>
      <c r="K730" s="94"/>
      <c r="L730" s="84"/>
      <c r="M730" s="84"/>
      <c r="N730" s="84"/>
      <c r="O730" s="84"/>
      <c r="P730" s="84"/>
      <c r="Q730" s="84"/>
      <c r="R730" s="84"/>
      <c r="S730" s="84"/>
      <c r="T730" s="84"/>
      <c r="U730" s="84"/>
      <c r="V730" s="84"/>
      <c r="W730" s="84"/>
      <c r="X730" s="84"/>
      <c r="Y730" s="84"/>
      <c r="Z730" s="84"/>
      <c r="AA730" s="84"/>
      <c r="AB730" s="84"/>
      <c r="AC730" s="84"/>
      <c r="AD730" s="84"/>
      <c r="AE730" s="84"/>
      <c r="AF730" s="84"/>
      <c r="AG730" s="84"/>
      <c r="AH730" s="84"/>
      <c r="AI730" s="84"/>
      <c r="AJ730" s="84"/>
      <c r="AK730" s="84"/>
      <c r="AL730" s="84"/>
      <c r="AM730" s="84"/>
      <c r="AN730" s="84"/>
      <c r="AO730" s="84"/>
      <c r="AP730" s="84"/>
      <c r="AQ730" s="84"/>
      <c r="AR730" s="84"/>
      <c r="AS730" s="84"/>
      <c r="AT730" s="84"/>
      <c r="AU730" s="84"/>
      <c r="AV730" s="84"/>
      <c r="AW730" s="84"/>
      <c r="AX730" s="87">
        <f t="array" ref="AX730">IF(G730=1,SUM((ROW(M0)=ROW(AW730))*(M0+M1_+M2_+M3_+M4_+M5_+M6_+M7_+M8_+M9_+M10_+M11_+M12_+M13_+M14_+M15_+M16_+M17_+M18_+M19_+M20_+M21_+M22_+M23_+M24_+M25_+M26_+M27_+M28_+M29_+M30_+M31_+M32_+M33_+M34_+M35_+M36_+M37_)),0)</f>
        <v>0</v>
      </c>
      <c r="AZ730" s="24" t="str">
        <f t="shared" si="157"/>
        <v/>
      </c>
      <c r="BA730" s="24" t="str">
        <f t="shared" si="158"/>
        <v/>
      </c>
      <c r="BB730" s="24" t="str">
        <f t="shared" si="159"/>
        <v/>
      </c>
      <c r="BC730" s="24" t="str">
        <f>IF(OR(E730="",LEFT(TableCosts[[#This Row],[Calc_N_Typ]],18)="Vynaložené náklady"),"",VLOOKUP(E730,Tab_Parts,2,0))</f>
        <v/>
      </c>
      <c r="BD730" s="24" t="str">
        <f t="shared" si="160"/>
        <v/>
      </c>
      <c r="BE730" s="24">
        <f t="shared" si="161"/>
        <v>0</v>
      </c>
      <c r="BF730" s="72">
        <f>TableCosts[[#This Row],[N_Amount]]*TableCosts[[#This Row],[N_Tariff]]*TableCosts[[#This Row],[N_ItemsCount]]</f>
        <v>0</v>
      </c>
      <c r="BG730" s="72">
        <f>IF(G730=1,IF(TableCosts[[#This Row],[N_Kateg]]="interné práce",TableCosts[[#This Row],[N_Amount]]*8*PAR_SGA_PERHOUR,0),0)</f>
        <v>0</v>
      </c>
      <c r="BH730" s="72">
        <f>SUM(TableCosts[[#This Row],[N_Direct]:[N_SGA]])</f>
        <v>0</v>
      </c>
      <c r="BI730" s="24">
        <f>IF(G730=1,IF(OR(AND(NOT(ISERROR(VLOOKUP(TableCosts[[#This Row],[Calc_N_Typ]],Cis_WorkPositions,1,0))),C730&lt;&gt;"",D730&lt;&gt;"",E730&lt;&gt;""),AND(ISERROR(VLOOKUP(TableCosts[[#This Row],[Calc_N_Typ]],Cis_WorkPositions,1,0)),C730="",D730="",E730&lt;&gt;""),LEFT(TableCosts[[#This Row],[Calc_N_Typ]],18)="Vynaložené náklady"),VLOOKUP(C730&amp;TableCosts[[#This Row],[Calc_N_Typ]],TRAN_STRITEMS_LABEL,VLOOKUP(D730,Tab_Hours,3,0),0),NA()),0)</f>
        <v>0</v>
      </c>
      <c r="BJ730" s="24">
        <f t="shared" si="162"/>
        <v>0</v>
      </c>
      <c r="BK730" s="24" t="str">
        <f t="shared" si="163"/>
        <v/>
      </c>
      <c r="BL730" s="24" t="str">
        <f t="shared" si="164"/>
        <v/>
      </c>
      <c r="BM730" s="24" t="str">
        <f>IF(G730=1,IF(TableCosts[[#This Row],[TransferFrom]]=TableCosts[[#This Row],[TranferTo]],0,1),"")</f>
        <v/>
      </c>
      <c r="BN730" s="24" t="str">
        <f t="shared" si="165"/>
        <v/>
      </c>
      <c r="BO730" s="24">
        <f t="shared" si="166"/>
        <v>0</v>
      </c>
      <c r="BP730" s="24">
        <f t="shared" si="167"/>
        <v>0</v>
      </c>
    </row>
    <row r="731" spans="2:68" s="24" customFormat="1" ht="12.75" x14ac:dyDescent="0.2">
      <c r="B731" s="97"/>
      <c r="C731" s="92"/>
      <c r="D731" s="92"/>
      <c r="E731" s="92"/>
      <c r="F731" s="31" t="str">
        <f>IF(G731=1,IF(ISERROR(TableCosts[[#This Row],[N_Tariff]]),Err_Message1,IF(TableCosts[[#This Row],[N_Tariff]]=0,Err_Message2,VLOOKUP(C731&amp;TableCosts[[#This Row],[Calc_N_Typ]],TRAN_STRITEMS_LABEL,5,FALSE))),"")</f>
        <v/>
      </c>
      <c r="G731" s="31">
        <f t="shared" si="156"/>
        <v>0</v>
      </c>
      <c r="H731" s="31" t="str">
        <f>IF(G731=1,IFERROR(VLOOKUP(F731,Tab_ErrMessage[],2,0),VLOOKUP(C731&amp;TableCosts[[#This Row],[Calc_N_Typ]],TRAN_STRITEMS_LABEL,4,FALSE)),"")</f>
        <v/>
      </c>
      <c r="I731" s="94"/>
      <c r="J731" s="94"/>
      <c r="K731" s="94"/>
      <c r="L731" s="84"/>
      <c r="M731" s="84"/>
      <c r="N731" s="84"/>
      <c r="O731" s="84"/>
      <c r="P731" s="84"/>
      <c r="Q731" s="84"/>
      <c r="R731" s="84"/>
      <c r="S731" s="84"/>
      <c r="T731" s="84"/>
      <c r="U731" s="84"/>
      <c r="V731" s="84"/>
      <c r="W731" s="84"/>
      <c r="X731" s="84"/>
      <c r="Y731" s="84"/>
      <c r="Z731" s="84"/>
      <c r="AA731" s="84"/>
      <c r="AB731" s="84"/>
      <c r="AC731" s="84"/>
      <c r="AD731" s="84"/>
      <c r="AE731" s="84"/>
      <c r="AF731" s="84"/>
      <c r="AG731" s="84"/>
      <c r="AH731" s="84"/>
      <c r="AI731" s="84"/>
      <c r="AJ731" s="84"/>
      <c r="AK731" s="84"/>
      <c r="AL731" s="84"/>
      <c r="AM731" s="84"/>
      <c r="AN731" s="84"/>
      <c r="AO731" s="84"/>
      <c r="AP731" s="84"/>
      <c r="AQ731" s="84"/>
      <c r="AR731" s="84"/>
      <c r="AS731" s="84"/>
      <c r="AT731" s="84"/>
      <c r="AU731" s="84"/>
      <c r="AV731" s="84"/>
      <c r="AW731" s="84"/>
      <c r="AX731" s="87">
        <f t="array" ref="AX731">IF(G731=1,SUM((ROW(M0)=ROW(AW731))*(M0+M1_+M2_+M3_+M4_+M5_+M6_+M7_+M8_+M9_+M10_+M11_+M12_+M13_+M14_+M15_+M16_+M17_+M18_+M19_+M20_+M21_+M22_+M23_+M24_+M25_+M26_+M27_+M28_+M29_+M30_+M31_+M32_+M33_+M34_+M35_+M36_+M37_)),0)</f>
        <v>0</v>
      </c>
      <c r="AZ731" s="24" t="str">
        <f t="shared" si="157"/>
        <v/>
      </c>
      <c r="BA731" s="24" t="str">
        <f t="shared" si="158"/>
        <v/>
      </c>
      <c r="BB731" s="24" t="str">
        <f t="shared" si="159"/>
        <v/>
      </c>
      <c r="BC731" s="24" t="str">
        <f>IF(OR(E731="",LEFT(TableCosts[[#This Row],[Calc_N_Typ]],18)="Vynaložené náklady"),"",VLOOKUP(E731,Tab_Parts,2,0))</f>
        <v/>
      </c>
      <c r="BD731" s="24" t="str">
        <f t="shared" si="160"/>
        <v/>
      </c>
      <c r="BE731" s="24">
        <f t="shared" si="161"/>
        <v>0</v>
      </c>
      <c r="BF731" s="72">
        <f>TableCosts[[#This Row],[N_Amount]]*TableCosts[[#This Row],[N_Tariff]]*TableCosts[[#This Row],[N_ItemsCount]]</f>
        <v>0</v>
      </c>
      <c r="BG731" s="72">
        <f>IF(G731=1,IF(TableCosts[[#This Row],[N_Kateg]]="interné práce",TableCosts[[#This Row],[N_Amount]]*8*PAR_SGA_PERHOUR,0),0)</f>
        <v>0</v>
      </c>
      <c r="BH731" s="72">
        <f>SUM(TableCosts[[#This Row],[N_Direct]:[N_SGA]])</f>
        <v>0</v>
      </c>
      <c r="BI731" s="24">
        <f>IF(G731=1,IF(OR(AND(NOT(ISERROR(VLOOKUP(TableCosts[[#This Row],[Calc_N_Typ]],Cis_WorkPositions,1,0))),C731&lt;&gt;"",D731&lt;&gt;"",E731&lt;&gt;""),AND(ISERROR(VLOOKUP(TableCosts[[#This Row],[Calc_N_Typ]],Cis_WorkPositions,1,0)),C731="",D731="",E731&lt;&gt;""),LEFT(TableCosts[[#This Row],[Calc_N_Typ]],18)="Vynaložené náklady"),VLOOKUP(C731&amp;TableCosts[[#This Row],[Calc_N_Typ]],TRAN_STRITEMS_LABEL,VLOOKUP(D731,Tab_Hours,3,0),0),NA()),0)</f>
        <v>0</v>
      </c>
      <c r="BJ731" s="24">
        <f t="shared" si="162"/>
        <v>0</v>
      </c>
      <c r="BK731" s="24" t="str">
        <f t="shared" si="163"/>
        <v/>
      </c>
      <c r="BL731" s="24" t="str">
        <f t="shared" si="164"/>
        <v/>
      </c>
      <c r="BM731" s="24" t="str">
        <f>IF(G731=1,IF(TableCosts[[#This Row],[TransferFrom]]=TableCosts[[#This Row],[TranferTo]],0,1),"")</f>
        <v/>
      </c>
      <c r="BN731" s="24" t="str">
        <f t="shared" si="165"/>
        <v/>
      </c>
      <c r="BO731" s="24">
        <f t="shared" si="166"/>
        <v>0</v>
      </c>
      <c r="BP731" s="24">
        <f t="shared" si="167"/>
        <v>0</v>
      </c>
    </row>
    <row r="732" spans="2:68" s="24" customFormat="1" ht="12.75" x14ac:dyDescent="0.2">
      <c r="B732" s="97"/>
      <c r="C732" s="92"/>
      <c r="D732" s="92"/>
      <c r="E732" s="92"/>
      <c r="F732" s="31" t="str">
        <f>IF(G732=1,IF(ISERROR(TableCosts[[#This Row],[N_Tariff]]),Err_Message1,IF(TableCosts[[#This Row],[N_Tariff]]=0,Err_Message2,VLOOKUP(C732&amp;TableCosts[[#This Row],[Calc_N_Typ]],TRAN_STRITEMS_LABEL,5,FALSE))),"")</f>
        <v/>
      </c>
      <c r="G732" s="31">
        <f t="shared" si="156"/>
        <v>0</v>
      </c>
      <c r="H732" s="31" t="str">
        <f>IF(G732=1,IFERROR(VLOOKUP(F732,Tab_ErrMessage[],2,0),VLOOKUP(C732&amp;TableCosts[[#This Row],[Calc_N_Typ]],TRAN_STRITEMS_LABEL,4,FALSE)),"")</f>
        <v/>
      </c>
      <c r="I732" s="94"/>
      <c r="J732" s="94"/>
      <c r="K732" s="94"/>
      <c r="L732" s="84"/>
      <c r="M732" s="84"/>
      <c r="N732" s="84"/>
      <c r="O732" s="84"/>
      <c r="P732" s="84"/>
      <c r="Q732" s="84"/>
      <c r="R732" s="84"/>
      <c r="S732" s="84"/>
      <c r="T732" s="84"/>
      <c r="U732" s="84"/>
      <c r="V732" s="84"/>
      <c r="W732" s="84"/>
      <c r="X732" s="84"/>
      <c r="Y732" s="84"/>
      <c r="Z732" s="84"/>
      <c r="AA732" s="84"/>
      <c r="AB732" s="84"/>
      <c r="AC732" s="84"/>
      <c r="AD732" s="84"/>
      <c r="AE732" s="84"/>
      <c r="AF732" s="84"/>
      <c r="AG732" s="84"/>
      <c r="AH732" s="84"/>
      <c r="AI732" s="84"/>
      <c r="AJ732" s="84"/>
      <c r="AK732" s="84"/>
      <c r="AL732" s="84"/>
      <c r="AM732" s="84"/>
      <c r="AN732" s="84"/>
      <c r="AO732" s="84"/>
      <c r="AP732" s="84"/>
      <c r="AQ732" s="84"/>
      <c r="AR732" s="84"/>
      <c r="AS732" s="84"/>
      <c r="AT732" s="84"/>
      <c r="AU732" s="84"/>
      <c r="AV732" s="84"/>
      <c r="AW732" s="84"/>
      <c r="AX732" s="87">
        <f t="array" ref="AX732">IF(G732=1,SUM((ROW(M0)=ROW(AW732))*(M0+M1_+M2_+M3_+M4_+M5_+M6_+M7_+M8_+M9_+M10_+M11_+M12_+M13_+M14_+M15_+M16_+M17_+M18_+M19_+M20_+M21_+M22_+M23_+M24_+M25_+M26_+M27_+M28_+M29_+M30_+M31_+M32_+M33_+M34_+M35_+M36_+M37_)),0)</f>
        <v>0</v>
      </c>
      <c r="AZ732" s="24" t="str">
        <f t="shared" si="157"/>
        <v/>
      </c>
      <c r="BA732" s="24" t="str">
        <f t="shared" si="158"/>
        <v/>
      </c>
      <c r="BB732" s="24" t="str">
        <f t="shared" si="159"/>
        <v/>
      </c>
      <c r="BC732" s="24" t="str">
        <f>IF(OR(E732="",LEFT(TableCosts[[#This Row],[Calc_N_Typ]],18)="Vynaložené náklady"),"",VLOOKUP(E732,Tab_Parts,2,0))</f>
        <v/>
      </c>
      <c r="BD732" s="24" t="str">
        <f t="shared" si="160"/>
        <v/>
      </c>
      <c r="BE732" s="24">
        <f t="shared" si="161"/>
        <v>0</v>
      </c>
      <c r="BF732" s="72">
        <f>TableCosts[[#This Row],[N_Amount]]*TableCosts[[#This Row],[N_Tariff]]*TableCosts[[#This Row],[N_ItemsCount]]</f>
        <v>0</v>
      </c>
      <c r="BG732" s="72">
        <f>IF(G732=1,IF(TableCosts[[#This Row],[N_Kateg]]="interné práce",TableCosts[[#This Row],[N_Amount]]*8*PAR_SGA_PERHOUR,0),0)</f>
        <v>0</v>
      </c>
      <c r="BH732" s="72">
        <f>SUM(TableCosts[[#This Row],[N_Direct]:[N_SGA]])</f>
        <v>0</v>
      </c>
      <c r="BI732" s="24">
        <f>IF(G732=1,IF(OR(AND(NOT(ISERROR(VLOOKUP(TableCosts[[#This Row],[Calc_N_Typ]],Cis_WorkPositions,1,0))),C732&lt;&gt;"",D732&lt;&gt;"",E732&lt;&gt;""),AND(ISERROR(VLOOKUP(TableCosts[[#This Row],[Calc_N_Typ]],Cis_WorkPositions,1,0)),C732="",D732="",E732&lt;&gt;""),LEFT(TableCosts[[#This Row],[Calc_N_Typ]],18)="Vynaložené náklady"),VLOOKUP(C732&amp;TableCosts[[#This Row],[Calc_N_Typ]],TRAN_STRITEMS_LABEL,VLOOKUP(D732,Tab_Hours,3,0),0),NA()),0)</f>
        <v>0</v>
      </c>
      <c r="BJ732" s="24">
        <f t="shared" si="162"/>
        <v>0</v>
      </c>
      <c r="BK732" s="24" t="str">
        <f t="shared" si="163"/>
        <v/>
      </c>
      <c r="BL732" s="24" t="str">
        <f t="shared" si="164"/>
        <v/>
      </c>
      <c r="BM732" s="24" t="str">
        <f>IF(G732=1,IF(TableCosts[[#This Row],[TransferFrom]]=TableCosts[[#This Row],[TranferTo]],0,1),"")</f>
        <v/>
      </c>
      <c r="BN732" s="24" t="str">
        <f t="shared" si="165"/>
        <v/>
      </c>
      <c r="BO732" s="24">
        <f t="shared" si="166"/>
        <v>0</v>
      </c>
      <c r="BP732" s="24">
        <f t="shared" si="167"/>
        <v>0</v>
      </c>
    </row>
    <row r="733" spans="2:68" s="24" customFormat="1" ht="12.75" x14ac:dyDescent="0.2">
      <c r="B733" s="97"/>
      <c r="C733" s="92"/>
      <c r="D733" s="92"/>
      <c r="E733" s="92"/>
      <c r="F733" s="31" t="str">
        <f>IF(G733=1,IF(ISERROR(TableCosts[[#This Row],[N_Tariff]]),Err_Message1,IF(TableCosts[[#This Row],[N_Tariff]]=0,Err_Message2,VLOOKUP(C733&amp;TableCosts[[#This Row],[Calc_N_Typ]],TRAN_STRITEMS_LABEL,5,FALSE))),"")</f>
        <v/>
      </c>
      <c r="G733" s="31">
        <f t="shared" si="156"/>
        <v>0</v>
      </c>
      <c r="H733" s="31" t="str">
        <f>IF(G733=1,IFERROR(VLOOKUP(F733,Tab_ErrMessage[],2,0),VLOOKUP(C733&amp;TableCosts[[#This Row],[Calc_N_Typ]],TRAN_STRITEMS_LABEL,4,FALSE)),"")</f>
        <v/>
      </c>
      <c r="I733" s="94"/>
      <c r="J733" s="94"/>
      <c r="K733" s="94"/>
      <c r="L733" s="84"/>
      <c r="M733" s="84"/>
      <c r="N733" s="84"/>
      <c r="O733" s="84"/>
      <c r="P733" s="84"/>
      <c r="Q733" s="84"/>
      <c r="R733" s="84"/>
      <c r="S733" s="84"/>
      <c r="T733" s="84"/>
      <c r="U733" s="84"/>
      <c r="V733" s="84"/>
      <c r="W733" s="84"/>
      <c r="X733" s="84"/>
      <c r="Y733" s="84"/>
      <c r="Z733" s="84"/>
      <c r="AA733" s="84"/>
      <c r="AB733" s="84"/>
      <c r="AC733" s="84"/>
      <c r="AD733" s="84"/>
      <c r="AE733" s="84"/>
      <c r="AF733" s="84"/>
      <c r="AG733" s="84"/>
      <c r="AH733" s="84"/>
      <c r="AI733" s="84"/>
      <c r="AJ733" s="84"/>
      <c r="AK733" s="84"/>
      <c r="AL733" s="84"/>
      <c r="AM733" s="84"/>
      <c r="AN733" s="84"/>
      <c r="AO733" s="84"/>
      <c r="AP733" s="84"/>
      <c r="AQ733" s="84"/>
      <c r="AR733" s="84"/>
      <c r="AS733" s="84"/>
      <c r="AT733" s="84"/>
      <c r="AU733" s="84"/>
      <c r="AV733" s="84"/>
      <c r="AW733" s="84"/>
      <c r="AX733" s="87">
        <f t="array" ref="AX733">IF(G733=1,SUM((ROW(M0)=ROW(AW733))*(M0+M1_+M2_+M3_+M4_+M5_+M6_+M7_+M8_+M9_+M10_+M11_+M12_+M13_+M14_+M15_+M16_+M17_+M18_+M19_+M20_+M21_+M22_+M23_+M24_+M25_+M26_+M27_+M28_+M29_+M30_+M31_+M32_+M33_+M34_+M35_+M36_+M37_)),0)</f>
        <v>0</v>
      </c>
      <c r="AZ733" s="24" t="str">
        <f t="shared" si="157"/>
        <v/>
      </c>
      <c r="BA733" s="24" t="str">
        <f t="shared" si="158"/>
        <v/>
      </c>
      <c r="BB733" s="24" t="str">
        <f t="shared" si="159"/>
        <v/>
      </c>
      <c r="BC733" s="24" t="str">
        <f>IF(OR(E733="",LEFT(TableCosts[[#This Row],[Calc_N_Typ]],18)="Vynaložené náklady"),"",VLOOKUP(E733,Tab_Parts,2,0))</f>
        <v/>
      </c>
      <c r="BD733" s="24" t="str">
        <f t="shared" si="160"/>
        <v/>
      </c>
      <c r="BE733" s="24">
        <f t="shared" si="161"/>
        <v>0</v>
      </c>
      <c r="BF733" s="72">
        <f>TableCosts[[#This Row],[N_Amount]]*TableCosts[[#This Row],[N_Tariff]]*TableCosts[[#This Row],[N_ItemsCount]]</f>
        <v>0</v>
      </c>
      <c r="BG733" s="72">
        <f>IF(G733=1,IF(TableCosts[[#This Row],[N_Kateg]]="interné práce",TableCosts[[#This Row],[N_Amount]]*8*PAR_SGA_PERHOUR,0),0)</f>
        <v>0</v>
      </c>
      <c r="BH733" s="72">
        <f>SUM(TableCosts[[#This Row],[N_Direct]:[N_SGA]])</f>
        <v>0</v>
      </c>
      <c r="BI733" s="24">
        <f>IF(G733=1,IF(OR(AND(NOT(ISERROR(VLOOKUP(TableCosts[[#This Row],[Calc_N_Typ]],Cis_WorkPositions,1,0))),C733&lt;&gt;"",D733&lt;&gt;"",E733&lt;&gt;""),AND(ISERROR(VLOOKUP(TableCosts[[#This Row],[Calc_N_Typ]],Cis_WorkPositions,1,0)),C733="",D733="",E733&lt;&gt;""),LEFT(TableCosts[[#This Row],[Calc_N_Typ]],18)="Vynaložené náklady"),VLOOKUP(C733&amp;TableCosts[[#This Row],[Calc_N_Typ]],TRAN_STRITEMS_LABEL,VLOOKUP(D733,Tab_Hours,3,0),0),NA()),0)</f>
        <v>0</v>
      </c>
      <c r="BJ733" s="24">
        <f t="shared" si="162"/>
        <v>0</v>
      </c>
      <c r="BK733" s="24" t="str">
        <f t="shared" si="163"/>
        <v/>
      </c>
      <c r="BL733" s="24" t="str">
        <f t="shared" si="164"/>
        <v/>
      </c>
      <c r="BM733" s="24" t="str">
        <f>IF(G733=1,IF(TableCosts[[#This Row],[TransferFrom]]=TableCosts[[#This Row],[TranferTo]],0,1),"")</f>
        <v/>
      </c>
      <c r="BN733" s="24" t="str">
        <f t="shared" si="165"/>
        <v/>
      </c>
      <c r="BO733" s="24">
        <f t="shared" si="166"/>
        <v>0</v>
      </c>
      <c r="BP733" s="24">
        <f t="shared" si="167"/>
        <v>0</v>
      </c>
    </row>
    <row r="734" spans="2:68" s="24" customFormat="1" ht="12.75" x14ac:dyDescent="0.2">
      <c r="B734" s="97"/>
      <c r="C734" s="92"/>
      <c r="D734" s="92"/>
      <c r="E734" s="92"/>
      <c r="F734" s="31" t="str">
        <f>IF(G734=1,IF(ISERROR(TableCosts[[#This Row],[N_Tariff]]),Err_Message1,IF(TableCosts[[#This Row],[N_Tariff]]=0,Err_Message2,VLOOKUP(C734&amp;TableCosts[[#This Row],[Calc_N_Typ]],TRAN_STRITEMS_LABEL,5,FALSE))),"")</f>
        <v/>
      </c>
      <c r="G734" s="31">
        <f t="shared" si="156"/>
        <v>0</v>
      </c>
      <c r="H734" s="31" t="str">
        <f>IF(G734=1,IFERROR(VLOOKUP(F734,Tab_ErrMessage[],2,0),VLOOKUP(C734&amp;TableCosts[[#This Row],[Calc_N_Typ]],TRAN_STRITEMS_LABEL,4,FALSE)),"")</f>
        <v/>
      </c>
      <c r="I734" s="94"/>
      <c r="J734" s="94"/>
      <c r="K734" s="94"/>
      <c r="L734" s="84"/>
      <c r="M734" s="84"/>
      <c r="N734" s="84"/>
      <c r="O734" s="84"/>
      <c r="P734" s="84"/>
      <c r="Q734" s="84"/>
      <c r="R734" s="84"/>
      <c r="S734" s="84"/>
      <c r="T734" s="84"/>
      <c r="U734" s="84"/>
      <c r="V734" s="84"/>
      <c r="W734" s="84"/>
      <c r="X734" s="84"/>
      <c r="Y734" s="84"/>
      <c r="Z734" s="84"/>
      <c r="AA734" s="84"/>
      <c r="AB734" s="84"/>
      <c r="AC734" s="84"/>
      <c r="AD734" s="84"/>
      <c r="AE734" s="84"/>
      <c r="AF734" s="84"/>
      <c r="AG734" s="84"/>
      <c r="AH734" s="84"/>
      <c r="AI734" s="84"/>
      <c r="AJ734" s="84"/>
      <c r="AK734" s="84"/>
      <c r="AL734" s="84"/>
      <c r="AM734" s="84"/>
      <c r="AN734" s="84"/>
      <c r="AO734" s="84"/>
      <c r="AP734" s="84"/>
      <c r="AQ734" s="84"/>
      <c r="AR734" s="84"/>
      <c r="AS734" s="84"/>
      <c r="AT734" s="84"/>
      <c r="AU734" s="84"/>
      <c r="AV734" s="84"/>
      <c r="AW734" s="84"/>
      <c r="AX734" s="87">
        <f t="array" ref="AX734">IF(G734=1,SUM((ROW(M0)=ROW(AW734))*(M0+M1_+M2_+M3_+M4_+M5_+M6_+M7_+M8_+M9_+M10_+M11_+M12_+M13_+M14_+M15_+M16_+M17_+M18_+M19_+M20_+M21_+M22_+M23_+M24_+M25_+M26_+M27_+M28_+M29_+M30_+M31_+M32_+M33_+M34_+M35_+M36_+M37_)),0)</f>
        <v>0</v>
      </c>
      <c r="AZ734" s="24" t="str">
        <f t="shared" si="157"/>
        <v/>
      </c>
      <c r="BA734" s="24" t="str">
        <f t="shared" si="158"/>
        <v/>
      </c>
      <c r="BB734" s="24" t="str">
        <f t="shared" si="159"/>
        <v/>
      </c>
      <c r="BC734" s="24" t="str">
        <f>IF(OR(E734="",LEFT(TableCosts[[#This Row],[Calc_N_Typ]],18)="Vynaložené náklady"),"",VLOOKUP(E734,Tab_Parts,2,0))</f>
        <v/>
      </c>
      <c r="BD734" s="24" t="str">
        <f t="shared" si="160"/>
        <v/>
      </c>
      <c r="BE734" s="24">
        <f t="shared" si="161"/>
        <v>0</v>
      </c>
      <c r="BF734" s="72">
        <f>TableCosts[[#This Row],[N_Amount]]*TableCosts[[#This Row],[N_Tariff]]*TableCosts[[#This Row],[N_ItemsCount]]</f>
        <v>0</v>
      </c>
      <c r="BG734" s="72">
        <f>IF(G734=1,IF(TableCosts[[#This Row],[N_Kateg]]="interné práce",TableCosts[[#This Row],[N_Amount]]*8*PAR_SGA_PERHOUR,0),0)</f>
        <v>0</v>
      </c>
      <c r="BH734" s="72">
        <f>SUM(TableCosts[[#This Row],[N_Direct]:[N_SGA]])</f>
        <v>0</v>
      </c>
      <c r="BI734" s="24">
        <f>IF(G734=1,IF(OR(AND(NOT(ISERROR(VLOOKUP(TableCosts[[#This Row],[Calc_N_Typ]],Cis_WorkPositions,1,0))),C734&lt;&gt;"",D734&lt;&gt;"",E734&lt;&gt;""),AND(ISERROR(VLOOKUP(TableCosts[[#This Row],[Calc_N_Typ]],Cis_WorkPositions,1,0)),C734="",D734="",E734&lt;&gt;""),LEFT(TableCosts[[#This Row],[Calc_N_Typ]],18)="Vynaložené náklady"),VLOOKUP(C734&amp;TableCosts[[#This Row],[Calc_N_Typ]],TRAN_STRITEMS_LABEL,VLOOKUP(D734,Tab_Hours,3,0),0),NA()),0)</f>
        <v>0</v>
      </c>
      <c r="BJ734" s="24">
        <f t="shared" si="162"/>
        <v>0</v>
      </c>
      <c r="BK734" s="24" t="str">
        <f t="shared" si="163"/>
        <v/>
      </c>
      <c r="BL734" s="24" t="str">
        <f t="shared" si="164"/>
        <v/>
      </c>
      <c r="BM734" s="24" t="str">
        <f>IF(G734=1,IF(TableCosts[[#This Row],[TransferFrom]]=TableCosts[[#This Row],[TranferTo]],0,1),"")</f>
        <v/>
      </c>
      <c r="BN734" s="24" t="str">
        <f t="shared" si="165"/>
        <v/>
      </c>
      <c r="BO734" s="24">
        <f t="shared" si="166"/>
        <v>0</v>
      </c>
      <c r="BP734" s="24">
        <f t="shared" si="167"/>
        <v>0</v>
      </c>
    </row>
    <row r="735" spans="2:68" s="24" customFormat="1" ht="12.75" x14ac:dyDescent="0.2">
      <c r="B735" s="97"/>
      <c r="C735" s="92"/>
      <c r="D735" s="92"/>
      <c r="E735" s="92"/>
      <c r="F735" s="31" t="str">
        <f>IF(G735=1,IF(ISERROR(TableCosts[[#This Row],[N_Tariff]]),Err_Message1,IF(TableCosts[[#This Row],[N_Tariff]]=0,Err_Message2,VLOOKUP(C735&amp;TableCosts[[#This Row],[Calc_N_Typ]],TRAN_STRITEMS_LABEL,5,FALSE))),"")</f>
        <v/>
      </c>
      <c r="G735" s="31">
        <f t="shared" si="156"/>
        <v>0</v>
      </c>
      <c r="H735" s="31" t="str">
        <f>IF(G735=1,IFERROR(VLOOKUP(F735,Tab_ErrMessage[],2,0),VLOOKUP(C735&amp;TableCosts[[#This Row],[Calc_N_Typ]],TRAN_STRITEMS_LABEL,4,FALSE)),"")</f>
        <v/>
      </c>
      <c r="I735" s="94"/>
      <c r="J735" s="94"/>
      <c r="K735" s="94"/>
      <c r="L735" s="84"/>
      <c r="M735" s="84"/>
      <c r="N735" s="84"/>
      <c r="O735" s="84"/>
      <c r="P735" s="84"/>
      <c r="Q735" s="84"/>
      <c r="R735" s="84"/>
      <c r="S735" s="84"/>
      <c r="T735" s="84"/>
      <c r="U735" s="84"/>
      <c r="V735" s="84"/>
      <c r="W735" s="84"/>
      <c r="X735" s="84"/>
      <c r="Y735" s="84"/>
      <c r="Z735" s="84"/>
      <c r="AA735" s="84"/>
      <c r="AB735" s="84"/>
      <c r="AC735" s="84"/>
      <c r="AD735" s="84"/>
      <c r="AE735" s="84"/>
      <c r="AF735" s="84"/>
      <c r="AG735" s="84"/>
      <c r="AH735" s="84"/>
      <c r="AI735" s="84"/>
      <c r="AJ735" s="84"/>
      <c r="AK735" s="84"/>
      <c r="AL735" s="84"/>
      <c r="AM735" s="84"/>
      <c r="AN735" s="84"/>
      <c r="AO735" s="84"/>
      <c r="AP735" s="84"/>
      <c r="AQ735" s="84"/>
      <c r="AR735" s="84"/>
      <c r="AS735" s="84"/>
      <c r="AT735" s="84"/>
      <c r="AU735" s="84"/>
      <c r="AV735" s="84"/>
      <c r="AW735" s="84"/>
      <c r="AX735" s="87">
        <f t="array" ref="AX735">IF(G735=1,SUM((ROW(M0)=ROW(AW735))*(M0+M1_+M2_+M3_+M4_+M5_+M6_+M7_+M8_+M9_+M10_+M11_+M12_+M13_+M14_+M15_+M16_+M17_+M18_+M19_+M20_+M21_+M22_+M23_+M24_+M25_+M26_+M27_+M28_+M29_+M30_+M31_+M32_+M33_+M34_+M35_+M36_+M37_)),0)</f>
        <v>0</v>
      </c>
      <c r="AZ735" s="24" t="str">
        <f t="shared" si="157"/>
        <v/>
      </c>
      <c r="BA735" s="24" t="str">
        <f t="shared" si="158"/>
        <v/>
      </c>
      <c r="BB735" s="24" t="str">
        <f t="shared" si="159"/>
        <v/>
      </c>
      <c r="BC735" s="24" t="str">
        <f>IF(OR(E735="",LEFT(TableCosts[[#This Row],[Calc_N_Typ]],18)="Vynaložené náklady"),"",VLOOKUP(E735,Tab_Parts,2,0))</f>
        <v/>
      </c>
      <c r="BD735" s="24" t="str">
        <f t="shared" si="160"/>
        <v/>
      </c>
      <c r="BE735" s="24">
        <f t="shared" si="161"/>
        <v>0</v>
      </c>
      <c r="BF735" s="72">
        <f>TableCosts[[#This Row],[N_Amount]]*TableCosts[[#This Row],[N_Tariff]]*TableCosts[[#This Row],[N_ItemsCount]]</f>
        <v>0</v>
      </c>
      <c r="BG735" s="72">
        <f>IF(G735=1,IF(TableCosts[[#This Row],[N_Kateg]]="interné práce",TableCosts[[#This Row],[N_Amount]]*8*PAR_SGA_PERHOUR,0),0)</f>
        <v>0</v>
      </c>
      <c r="BH735" s="72">
        <f>SUM(TableCosts[[#This Row],[N_Direct]:[N_SGA]])</f>
        <v>0</v>
      </c>
      <c r="BI735" s="24">
        <f>IF(G735=1,IF(OR(AND(NOT(ISERROR(VLOOKUP(TableCosts[[#This Row],[Calc_N_Typ]],Cis_WorkPositions,1,0))),C735&lt;&gt;"",D735&lt;&gt;"",E735&lt;&gt;""),AND(ISERROR(VLOOKUP(TableCosts[[#This Row],[Calc_N_Typ]],Cis_WorkPositions,1,0)),C735="",D735="",E735&lt;&gt;""),LEFT(TableCosts[[#This Row],[Calc_N_Typ]],18)="Vynaložené náklady"),VLOOKUP(C735&amp;TableCosts[[#This Row],[Calc_N_Typ]],TRAN_STRITEMS_LABEL,VLOOKUP(D735,Tab_Hours,3,0),0),NA()),0)</f>
        <v>0</v>
      </c>
      <c r="BJ735" s="24">
        <f t="shared" si="162"/>
        <v>0</v>
      </c>
      <c r="BK735" s="24" t="str">
        <f t="shared" si="163"/>
        <v/>
      </c>
      <c r="BL735" s="24" t="str">
        <f t="shared" si="164"/>
        <v/>
      </c>
      <c r="BM735" s="24" t="str">
        <f>IF(G735=1,IF(TableCosts[[#This Row],[TransferFrom]]=TableCosts[[#This Row],[TranferTo]],0,1),"")</f>
        <v/>
      </c>
      <c r="BN735" s="24" t="str">
        <f t="shared" si="165"/>
        <v/>
      </c>
      <c r="BO735" s="24">
        <f t="shared" si="166"/>
        <v>0</v>
      </c>
      <c r="BP735" s="24">
        <f t="shared" si="167"/>
        <v>0</v>
      </c>
    </row>
    <row r="736" spans="2:68" s="24" customFormat="1" ht="12.75" x14ac:dyDescent="0.2">
      <c r="B736" s="97"/>
      <c r="C736" s="92"/>
      <c r="D736" s="92"/>
      <c r="E736" s="92"/>
      <c r="F736" s="31" t="str">
        <f>IF(G736=1,IF(ISERROR(TableCosts[[#This Row],[N_Tariff]]),Err_Message1,IF(TableCosts[[#This Row],[N_Tariff]]=0,Err_Message2,VLOOKUP(C736&amp;TableCosts[[#This Row],[Calc_N_Typ]],TRAN_STRITEMS_LABEL,5,FALSE))),"")</f>
        <v/>
      </c>
      <c r="G736" s="31">
        <f t="shared" si="156"/>
        <v>0</v>
      </c>
      <c r="H736" s="31" t="str">
        <f>IF(G736=1,IFERROR(VLOOKUP(F736,Tab_ErrMessage[],2,0),VLOOKUP(C736&amp;TableCosts[[#This Row],[Calc_N_Typ]],TRAN_STRITEMS_LABEL,4,FALSE)),"")</f>
        <v/>
      </c>
      <c r="I736" s="94"/>
      <c r="J736" s="94"/>
      <c r="K736" s="94"/>
      <c r="L736" s="84"/>
      <c r="M736" s="84"/>
      <c r="N736" s="84"/>
      <c r="O736" s="84"/>
      <c r="P736" s="84"/>
      <c r="Q736" s="84"/>
      <c r="R736" s="84"/>
      <c r="S736" s="84"/>
      <c r="T736" s="84"/>
      <c r="U736" s="84"/>
      <c r="V736" s="84"/>
      <c r="W736" s="84"/>
      <c r="X736" s="84"/>
      <c r="Y736" s="84"/>
      <c r="Z736" s="84"/>
      <c r="AA736" s="84"/>
      <c r="AB736" s="84"/>
      <c r="AC736" s="84"/>
      <c r="AD736" s="84"/>
      <c r="AE736" s="84"/>
      <c r="AF736" s="84"/>
      <c r="AG736" s="84"/>
      <c r="AH736" s="84"/>
      <c r="AI736" s="84"/>
      <c r="AJ736" s="84"/>
      <c r="AK736" s="84"/>
      <c r="AL736" s="84"/>
      <c r="AM736" s="84"/>
      <c r="AN736" s="84"/>
      <c r="AO736" s="84"/>
      <c r="AP736" s="84"/>
      <c r="AQ736" s="84"/>
      <c r="AR736" s="84"/>
      <c r="AS736" s="84"/>
      <c r="AT736" s="84"/>
      <c r="AU736" s="84"/>
      <c r="AV736" s="84"/>
      <c r="AW736" s="84"/>
      <c r="AX736" s="87">
        <f t="array" ref="AX736">IF(G736=1,SUM((ROW(M0)=ROW(AW736))*(M0+M1_+M2_+M3_+M4_+M5_+M6_+M7_+M8_+M9_+M10_+M11_+M12_+M13_+M14_+M15_+M16_+M17_+M18_+M19_+M20_+M21_+M22_+M23_+M24_+M25_+M26_+M27_+M28_+M29_+M30_+M31_+M32_+M33_+M34_+M35_+M36_+M37_)),0)</f>
        <v>0</v>
      </c>
      <c r="AZ736" s="24" t="str">
        <f t="shared" si="157"/>
        <v/>
      </c>
      <c r="BA736" s="24" t="str">
        <f t="shared" si="158"/>
        <v/>
      </c>
      <c r="BB736" s="24" t="str">
        <f t="shared" si="159"/>
        <v/>
      </c>
      <c r="BC736" s="24" t="str">
        <f>IF(OR(E736="",LEFT(TableCosts[[#This Row],[Calc_N_Typ]],18)="Vynaložené náklady"),"",VLOOKUP(E736,Tab_Parts,2,0))</f>
        <v/>
      </c>
      <c r="BD736" s="24" t="str">
        <f t="shared" si="160"/>
        <v/>
      </c>
      <c r="BE736" s="24">
        <f t="shared" si="161"/>
        <v>0</v>
      </c>
      <c r="BF736" s="72">
        <f>TableCosts[[#This Row],[N_Amount]]*TableCosts[[#This Row],[N_Tariff]]*TableCosts[[#This Row],[N_ItemsCount]]</f>
        <v>0</v>
      </c>
      <c r="BG736" s="72">
        <f>IF(G736=1,IF(TableCosts[[#This Row],[N_Kateg]]="interné práce",TableCosts[[#This Row],[N_Amount]]*8*PAR_SGA_PERHOUR,0),0)</f>
        <v>0</v>
      </c>
      <c r="BH736" s="72">
        <f>SUM(TableCosts[[#This Row],[N_Direct]:[N_SGA]])</f>
        <v>0</v>
      </c>
      <c r="BI736" s="24">
        <f>IF(G736=1,IF(OR(AND(NOT(ISERROR(VLOOKUP(TableCosts[[#This Row],[Calc_N_Typ]],Cis_WorkPositions,1,0))),C736&lt;&gt;"",D736&lt;&gt;"",E736&lt;&gt;""),AND(ISERROR(VLOOKUP(TableCosts[[#This Row],[Calc_N_Typ]],Cis_WorkPositions,1,0)),C736="",D736="",E736&lt;&gt;""),LEFT(TableCosts[[#This Row],[Calc_N_Typ]],18)="Vynaložené náklady"),VLOOKUP(C736&amp;TableCosts[[#This Row],[Calc_N_Typ]],TRAN_STRITEMS_LABEL,VLOOKUP(D736,Tab_Hours,3,0),0),NA()),0)</f>
        <v>0</v>
      </c>
      <c r="BJ736" s="24">
        <f t="shared" si="162"/>
        <v>0</v>
      </c>
      <c r="BK736" s="24" t="str">
        <f t="shared" si="163"/>
        <v/>
      </c>
      <c r="BL736" s="24" t="str">
        <f t="shared" si="164"/>
        <v/>
      </c>
      <c r="BM736" s="24" t="str">
        <f>IF(G736=1,IF(TableCosts[[#This Row],[TransferFrom]]=TableCosts[[#This Row],[TranferTo]],0,1),"")</f>
        <v/>
      </c>
      <c r="BN736" s="24" t="str">
        <f t="shared" si="165"/>
        <v/>
      </c>
      <c r="BO736" s="24">
        <f t="shared" si="166"/>
        <v>0</v>
      </c>
      <c r="BP736" s="24">
        <f t="shared" si="167"/>
        <v>0</v>
      </c>
    </row>
    <row r="737" spans="2:68" s="24" customFormat="1" ht="12.75" x14ac:dyDescent="0.2">
      <c r="B737" s="97"/>
      <c r="C737" s="92"/>
      <c r="D737" s="92"/>
      <c r="E737" s="92"/>
      <c r="F737" s="31" t="str">
        <f>IF(G737=1,IF(ISERROR(TableCosts[[#This Row],[N_Tariff]]),Err_Message1,IF(TableCosts[[#This Row],[N_Tariff]]=0,Err_Message2,VLOOKUP(C737&amp;TableCosts[[#This Row],[Calc_N_Typ]],TRAN_STRITEMS_LABEL,5,FALSE))),"")</f>
        <v/>
      </c>
      <c r="G737" s="31">
        <f t="shared" si="156"/>
        <v>0</v>
      </c>
      <c r="H737" s="31" t="str">
        <f>IF(G737=1,IFERROR(VLOOKUP(F737,Tab_ErrMessage[],2,0),VLOOKUP(C737&amp;TableCosts[[#This Row],[Calc_N_Typ]],TRAN_STRITEMS_LABEL,4,FALSE)),"")</f>
        <v/>
      </c>
      <c r="I737" s="94"/>
      <c r="J737" s="94"/>
      <c r="K737" s="94"/>
      <c r="L737" s="84"/>
      <c r="M737" s="84"/>
      <c r="N737" s="84"/>
      <c r="O737" s="84"/>
      <c r="P737" s="84"/>
      <c r="Q737" s="84"/>
      <c r="R737" s="84"/>
      <c r="S737" s="84"/>
      <c r="T737" s="84"/>
      <c r="U737" s="84"/>
      <c r="V737" s="84"/>
      <c r="W737" s="84"/>
      <c r="X737" s="84"/>
      <c r="Y737" s="84"/>
      <c r="Z737" s="84"/>
      <c r="AA737" s="84"/>
      <c r="AB737" s="84"/>
      <c r="AC737" s="84"/>
      <c r="AD737" s="84"/>
      <c r="AE737" s="84"/>
      <c r="AF737" s="84"/>
      <c r="AG737" s="84"/>
      <c r="AH737" s="84"/>
      <c r="AI737" s="84"/>
      <c r="AJ737" s="84"/>
      <c r="AK737" s="84"/>
      <c r="AL737" s="84"/>
      <c r="AM737" s="84"/>
      <c r="AN737" s="84"/>
      <c r="AO737" s="84"/>
      <c r="AP737" s="84"/>
      <c r="AQ737" s="84"/>
      <c r="AR737" s="84"/>
      <c r="AS737" s="84"/>
      <c r="AT737" s="84"/>
      <c r="AU737" s="84"/>
      <c r="AV737" s="84"/>
      <c r="AW737" s="84"/>
      <c r="AX737" s="87">
        <f t="array" ref="AX737">IF(G737=1,SUM((ROW(M0)=ROW(AW737))*(M0+M1_+M2_+M3_+M4_+M5_+M6_+M7_+M8_+M9_+M10_+M11_+M12_+M13_+M14_+M15_+M16_+M17_+M18_+M19_+M20_+M21_+M22_+M23_+M24_+M25_+M26_+M27_+M28_+M29_+M30_+M31_+M32_+M33_+M34_+M35_+M36_+M37_)),0)</f>
        <v>0</v>
      </c>
      <c r="AZ737" s="24" t="str">
        <f t="shared" si="157"/>
        <v/>
      </c>
      <c r="BA737" s="24" t="str">
        <f t="shared" si="158"/>
        <v/>
      </c>
      <c r="BB737" s="24" t="str">
        <f t="shared" si="159"/>
        <v/>
      </c>
      <c r="BC737" s="24" t="str">
        <f>IF(OR(E737="",LEFT(TableCosts[[#This Row],[Calc_N_Typ]],18)="Vynaložené náklady"),"",VLOOKUP(E737,Tab_Parts,2,0))</f>
        <v/>
      </c>
      <c r="BD737" s="24" t="str">
        <f t="shared" si="160"/>
        <v/>
      </c>
      <c r="BE737" s="24">
        <f t="shared" si="161"/>
        <v>0</v>
      </c>
      <c r="BF737" s="72">
        <f>TableCosts[[#This Row],[N_Amount]]*TableCosts[[#This Row],[N_Tariff]]*TableCosts[[#This Row],[N_ItemsCount]]</f>
        <v>0</v>
      </c>
      <c r="BG737" s="72">
        <f>IF(G737=1,IF(TableCosts[[#This Row],[N_Kateg]]="interné práce",TableCosts[[#This Row],[N_Amount]]*8*PAR_SGA_PERHOUR,0),0)</f>
        <v>0</v>
      </c>
      <c r="BH737" s="72">
        <f>SUM(TableCosts[[#This Row],[N_Direct]:[N_SGA]])</f>
        <v>0</v>
      </c>
      <c r="BI737" s="24">
        <f>IF(G737=1,IF(OR(AND(NOT(ISERROR(VLOOKUP(TableCosts[[#This Row],[Calc_N_Typ]],Cis_WorkPositions,1,0))),C737&lt;&gt;"",D737&lt;&gt;"",E737&lt;&gt;""),AND(ISERROR(VLOOKUP(TableCosts[[#This Row],[Calc_N_Typ]],Cis_WorkPositions,1,0)),C737="",D737="",E737&lt;&gt;""),LEFT(TableCosts[[#This Row],[Calc_N_Typ]],18)="Vynaložené náklady"),VLOOKUP(C737&amp;TableCosts[[#This Row],[Calc_N_Typ]],TRAN_STRITEMS_LABEL,VLOOKUP(D737,Tab_Hours,3,0),0),NA()),0)</f>
        <v>0</v>
      </c>
      <c r="BJ737" s="24">
        <f t="shared" si="162"/>
        <v>0</v>
      </c>
      <c r="BK737" s="24" t="str">
        <f t="shared" si="163"/>
        <v/>
      </c>
      <c r="BL737" s="24" t="str">
        <f t="shared" si="164"/>
        <v/>
      </c>
      <c r="BM737" s="24" t="str">
        <f>IF(G737=1,IF(TableCosts[[#This Row],[TransferFrom]]=TableCosts[[#This Row],[TranferTo]],0,1),"")</f>
        <v/>
      </c>
      <c r="BN737" s="24" t="str">
        <f t="shared" si="165"/>
        <v/>
      </c>
      <c r="BO737" s="24">
        <f t="shared" si="166"/>
        <v>0</v>
      </c>
      <c r="BP737" s="24">
        <f t="shared" si="167"/>
        <v>0</v>
      </c>
    </row>
    <row r="738" spans="2:68" s="24" customFormat="1" ht="12.75" x14ac:dyDescent="0.2">
      <c r="B738" s="97"/>
      <c r="C738" s="92"/>
      <c r="D738" s="92"/>
      <c r="E738" s="92"/>
      <c r="F738" s="31" t="str">
        <f>IF(G738=1,IF(ISERROR(TableCosts[[#This Row],[N_Tariff]]),Err_Message1,IF(TableCosts[[#This Row],[N_Tariff]]=0,Err_Message2,VLOOKUP(C738&amp;TableCosts[[#This Row],[Calc_N_Typ]],TRAN_STRITEMS_LABEL,5,FALSE))),"")</f>
        <v/>
      </c>
      <c r="G738" s="31">
        <f t="shared" si="156"/>
        <v>0</v>
      </c>
      <c r="H738" s="31" t="str">
        <f>IF(G738=1,IFERROR(VLOOKUP(F738,Tab_ErrMessage[],2,0),VLOOKUP(C738&amp;TableCosts[[#This Row],[Calc_N_Typ]],TRAN_STRITEMS_LABEL,4,FALSE)),"")</f>
        <v/>
      </c>
      <c r="I738" s="94"/>
      <c r="J738" s="94"/>
      <c r="K738" s="94"/>
      <c r="L738" s="84"/>
      <c r="M738" s="84"/>
      <c r="N738" s="84"/>
      <c r="O738" s="84"/>
      <c r="P738" s="84"/>
      <c r="Q738" s="84"/>
      <c r="R738" s="84"/>
      <c r="S738" s="84"/>
      <c r="T738" s="84"/>
      <c r="U738" s="84"/>
      <c r="V738" s="84"/>
      <c r="W738" s="84"/>
      <c r="X738" s="84"/>
      <c r="Y738" s="84"/>
      <c r="Z738" s="84"/>
      <c r="AA738" s="84"/>
      <c r="AB738" s="84"/>
      <c r="AC738" s="84"/>
      <c r="AD738" s="84"/>
      <c r="AE738" s="84"/>
      <c r="AF738" s="84"/>
      <c r="AG738" s="84"/>
      <c r="AH738" s="84"/>
      <c r="AI738" s="84"/>
      <c r="AJ738" s="84"/>
      <c r="AK738" s="84"/>
      <c r="AL738" s="84"/>
      <c r="AM738" s="84"/>
      <c r="AN738" s="84"/>
      <c r="AO738" s="84"/>
      <c r="AP738" s="84"/>
      <c r="AQ738" s="84"/>
      <c r="AR738" s="84"/>
      <c r="AS738" s="84"/>
      <c r="AT738" s="84"/>
      <c r="AU738" s="84"/>
      <c r="AV738" s="84"/>
      <c r="AW738" s="84"/>
      <c r="AX738" s="87">
        <f t="array" ref="AX738">IF(G738=1,SUM((ROW(M0)=ROW(AW738))*(M0+M1_+M2_+M3_+M4_+M5_+M6_+M7_+M8_+M9_+M10_+M11_+M12_+M13_+M14_+M15_+M16_+M17_+M18_+M19_+M20_+M21_+M22_+M23_+M24_+M25_+M26_+M27_+M28_+M29_+M30_+M31_+M32_+M33_+M34_+M35_+M36_+M37_)),0)</f>
        <v>0</v>
      </c>
      <c r="AZ738" s="24" t="str">
        <f t="shared" si="157"/>
        <v/>
      </c>
      <c r="BA738" s="24" t="str">
        <f t="shared" si="158"/>
        <v/>
      </c>
      <c r="BB738" s="24" t="str">
        <f t="shared" si="159"/>
        <v/>
      </c>
      <c r="BC738" s="24" t="str">
        <f>IF(OR(E738="",LEFT(TableCosts[[#This Row],[Calc_N_Typ]],18)="Vynaložené náklady"),"",VLOOKUP(E738,Tab_Parts,2,0))</f>
        <v/>
      </c>
      <c r="BD738" s="24" t="str">
        <f t="shared" si="160"/>
        <v/>
      </c>
      <c r="BE738" s="24">
        <f t="shared" si="161"/>
        <v>0</v>
      </c>
      <c r="BF738" s="72">
        <f>TableCosts[[#This Row],[N_Amount]]*TableCosts[[#This Row],[N_Tariff]]*TableCosts[[#This Row],[N_ItemsCount]]</f>
        <v>0</v>
      </c>
      <c r="BG738" s="72">
        <f>IF(G738=1,IF(TableCosts[[#This Row],[N_Kateg]]="interné práce",TableCosts[[#This Row],[N_Amount]]*8*PAR_SGA_PERHOUR,0),0)</f>
        <v>0</v>
      </c>
      <c r="BH738" s="72">
        <f>SUM(TableCosts[[#This Row],[N_Direct]:[N_SGA]])</f>
        <v>0</v>
      </c>
      <c r="BI738" s="24">
        <f>IF(G738=1,IF(OR(AND(NOT(ISERROR(VLOOKUP(TableCosts[[#This Row],[Calc_N_Typ]],Cis_WorkPositions,1,0))),C738&lt;&gt;"",D738&lt;&gt;"",E738&lt;&gt;""),AND(ISERROR(VLOOKUP(TableCosts[[#This Row],[Calc_N_Typ]],Cis_WorkPositions,1,0)),C738="",D738="",E738&lt;&gt;""),LEFT(TableCosts[[#This Row],[Calc_N_Typ]],18)="Vynaložené náklady"),VLOOKUP(C738&amp;TableCosts[[#This Row],[Calc_N_Typ]],TRAN_STRITEMS_LABEL,VLOOKUP(D738,Tab_Hours,3,0),0),NA()),0)</f>
        <v>0</v>
      </c>
      <c r="BJ738" s="24">
        <f t="shared" si="162"/>
        <v>0</v>
      </c>
      <c r="BK738" s="24" t="str">
        <f t="shared" si="163"/>
        <v/>
      </c>
      <c r="BL738" s="24" t="str">
        <f t="shared" si="164"/>
        <v/>
      </c>
      <c r="BM738" s="24" t="str">
        <f>IF(G738=1,IF(TableCosts[[#This Row],[TransferFrom]]=TableCosts[[#This Row],[TranferTo]],0,1),"")</f>
        <v/>
      </c>
      <c r="BN738" s="24" t="str">
        <f t="shared" si="165"/>
        <v/>
      </c>
      <c r="BO738" s="24">
        <f t="shared" si="166"/>
        <v>0</v>
      </c>
      <c r="BP738" s="24">
        <f t="shared" si="167"/>
        <v>0</v>
      </c>
    </row>
    <row r="739" spans="2:68" s="24" customFormat="1" ht="12.75" x14ac:dyDescent="0.2">
      <c r="B739" s="97"/>
      <c r="C739" s="92"/>
      <c r="D739" s="92"/>
      <c r="E739" s="92"/>
      <c r="F739" s="31" t="str">
        <f>IF(G739=1,IF(ISERROR(TableCosts[[#This Row],[N_Tariff]]),Err_Message1,IF(TableCosts[[#This Row],[N_Tariff]]=0,Err_Message2,VLOOKUP(C739&amp;TableCosts[[#This Row],[Calc_N_Typ]],TRAN_STRITEMS_LABEL,5,FALSE))),"")</f>
        <v/>
      </c>
      <c r="G739" s="31">
        <f t="shared" si="156"/>
        <v>0</v>
      </c>
      <c r="H739" s="31" t="str">
        <f>IF(G739=1,IFERROR(VLOOKUP(F739,Tab_ErrMessage[],2,0),VLOOKUP(C739&amp;TableCosts[[#This Row],[Calc_N_Typ]],TRAN_STRITEMS_LABEL,4,FALSE)),"")</f>
        <v/>
      </c>
      <c r="I739" s="94"/>
      <c r="J739" s="94"/>
      <c r="K739" s="94"/>
      <c r="L739" s="84"/>
      <c r="M739" s="84"/>
      <c r="N739" s="84"/>
      <c r="O739" s="84"/>
      <c r="P739" s="84"/>
      <c r="Q739" s="84"/>
      <c r="R739" s="84"/>
      <c r="S739" s="84"/>
      <c r="T739" s="84"/>
      <c r="U739" s="84"/>
      <c r="V739" s="84"/>
      <c r="W739" s="84"/>
      <c r="X739" s="84"/>
      <c r="Y739" s="84"/>
      <c r="Z739" s="84"/>
      <c r="AA739" s="84"/>
      <c r="AB739" s="84"/>
      <c r="AC739" s="84"/>
      <c r="AD739" s="84"/>
      <c r="AE739" s="84"/>
      <c r="AF739" s="84"/>
      <c r="AG739" s="84"/>
      <c r="AH739" s="84"/>
      <c r="AI739" s="84"/>
      <c r="AJ739" s="84"/>
      <c r="AK739" s="84"/>
      <c r="AL739" s="84"/>
      <c r="AM739" s="84"/>
      <c r="AN739" s="84"/>
      <c r="AO739" s="84"/>
      <c r="AP739" s="84"/>
      <c r="AQ739" s="84"/>
      <c r="AR739" s="84"/>
      <c r="AS739" s="84"/>
      <c r="AT739" s="84"/>
      <c r="AU739" s="84"/>
      <c r="AV739" s="84"/>
      <c r="AW739" s="84"/>
      <c r="AX739" s="87">
        <f t="array" ref="AX739">IF(G739=1,SUM((ROW(M0)=ROW(AW739))*(M0+M1_+M2_+M3_+M4_+M5_+M6_+M7_+M8_+M9_+M10_+M11_+M12_+M13_+M14_+M15_+M16_+M17_+M18_+M19_+M20_+M21_+M22_+M23_+M24_+M25_+M26_+M27_+M28_+M29_+M30_+M31_+M32_+M33_+M34_+M35_+M36_+M37_)),0)</f>
        <v>0</v>
      </c>
      <c r="AZ739" s="24" t="str">
        <f t="shared" si="157"/>
        <v/>
      </c>
      <c r="BA739" s="24" t="str">
        <f t="shared" si="158"/>
        <v/>
      </c>
      <c r="BB739" s="24" t="str">
        <f t="shared" si="159"/>
        <v/>
      </c>
      <c r="BC739" s="24" t="str">
        <f>IF(OR(E739="",LEFT(TableCosts[[#This Row],[Calc_N_Typ]],18)="Vynaložené náklady"),"",VLOOKUP(E739,Tab_Parts,2,0))</f>
        <v/>
      </c>
      <c r="BD739" s="24" t="str">
        <f t="shared" si="160"/>
        <v/>
      </c>
      <c r="BE739" s="24">
        <f t="shared" si="161"/>
        <v>0</v>
      </c>
      <c r="BF739" s="72">
        <f>TableCosts[[#This Row],[N_Amount]]*TableCosts[[#This Row],[N_Tariff]]*TableCosts[[#This Row],[N_ItemsCount]]</f>
        <v>0</v>
      </c>
      <c r="BG739" s="72">
        <f>IF(G739=1,IF(TableCosts[[#This Row],[N_Kateg]]="interné práce",TableCosts[[#This Row],[N_Amount]]*8*PAR_SGA_PERHOUR,0),0)</f>
        <v>0</v>
      </c>
      <c r="BH739" s="72">
        <f>SUM(TableCosts[[#This Row],[N_Direct]:[N_SGA]])</f>
        <v>0</v>
      </c>
      <c r="BI739" s="24">
        <f>IF(G739=1,IF(OR(AND(NOT(ISERROR(VLOOKUP(TableCosts[[#This Row],[Calc_N_Typ]],Cis_WorkPositions,1,0))),C739&lt;&gt;"",D739&lt;&gt;"",E739&lt;&gt;""),AND(ISERROR(VLOOKUP(TableCosts[[#This Row],[Calc_N_Typ]],Cis_WorkPositions,1,0)),C739="",D739="",E739&lt;&gt;""),LEFT(TableCosts[[#This Row],[Calc_N_Typ]],18)="Vynaložené náklady"),VLOOKUP(C739&amp;TableCosts[[#This Row],[Calc_N_Typ]],TRAN_STRITEMS_LABEL,VLOOKUP(D739,Tab_Hours,3,0),0),NA()),0)</f>
        <v>0</v>
      </c>
      <c r="BJ739" s="24">
        <f t="shared" si="162"/>
        <v>0</v>
      </c>
      <c r="BK739" s="24" t="str">
        <f t="shared" si="163"/>
        <v/>
      </c>
      <c r="BL739" s="24" t="str">
        <f t="shared" si="164"/>
        <v/>
      </c>
      <c r="BM739" s="24" t="str">
        <f>IF(G739=1,IF(TableCosts[[#This Row],[TransferFrom]]=TableCosts[[#This Row],[TranferTo]],0,1),"")</f>
        <v/>
      </c>
      <c r="BN739" s="24" t="str">
        <f t="shared" si="165"/>
        <v/>
      </c>
      <c r="BO739" s="24">
        <f t="shared" si="166"/>
        <v>0</v>
      </c>
      <c r="BP739" s="24">
        <f t="shared" si="167"/>
        <v>0</v>
      </c>
    </row>
    <row r="740" spans="2:68" s="24" customFormat="1" ht="12.75" x14ac:dyDescent="0.2">
      <c r="B740" s="97"/>
      <c r="C740" s="92"/>
      <c r="D740" s="92"/>
      <c r="E740" s="92"/>
      <c r="F740" s="31" t="str">
        <f>IF(G740=1,IF(ISERROR(TableCosts[[#This Row],[N_Tariff]]),Err_Message1,IF(TableCosts[[#This Row],[N_Tariff]]=0,Err_Message2,VLOOKUP(C740&amp;TableCosts[[#This Row],[Calc_N_Typ]],TRAN_STRITEMS_LABEL,5,FALSE))),"")</f>
        <v/>
      </c>
      <c r="G740" s="31">
        <f t="shared" si="156"/>
        <v>0</v>
      </c>
      <c r="H740" s="31" t="str">
        <f>IF(G740=1,IFERROR(VLOOKUP(F740,Tab_ErrMessage[],2,0),VLOOKUP(C740&amp;TableCosts[[#This Row],[Calc_N_Typ]],TRAN_STRITEMS_LABEL,4,FALSE)),"")</f>
        <v/>
      </c>
      <c r="I740" s="94"/>
      <c r="J740" s="94"/>
      <c r="K740" s="94"/>
      <c r="L740" s="84"/>
      <c r="M740" s="84"/>
      <c r="N740" s="84"/>
      <c r="O740" s="84"/>
      <c r="P740" s="84"/>
      <c r="Q740" s="84"/>
      <c r="R740" s="84"/>
      <c r="S740" s="84"/>
      <c r="T740" s="84"/>
      <c r="U740" s="84"/>
      <c r="V740" s="84"/>
      <c r="W740" s="84"/>
      <c r="X740" s="84"/>
      <c r="Y740" s="84"/>
      <c r="Z740" s="84"/>
      <c r="AA740" s="84"/>
      <c r="AB740" s="84"/>
      <c r="AC740" s="84"/>
      <c r="AD740" s="84"/>
      <c r="AE740" s="84"/>
      <c r="AF740" s="84"/>
      <c r="AG740" s="84"/>
      <c r="AH740" s="84"/>
      <c r="AI740" s="84"/>
      <c r="AJ740" s="84"/>
      <c r="AK740" s="84"/>
      <c r="AL740" s="84"/>
      <c r="AM740" s="84"/>
      <c r="AN740" s="84"/>
      <c r="AO740" s="84"/>
      <c r="AP740" s="84"/>
      <c r="AQ740" s="84"/>
      <c r="AR740" s="84"/>
      <c r="AS740" s="84"/>
      <c r="AT740" s="84"/>
      <c r="AU740" s="84"/>
      <c r="AV740" s="84"/>
      <c r="AW740" s="84"/>
      <c r="AX740" s="87">
        <f t="array" ref="AX740">IF(G740=1,SUM((ROW(M0)=ROW(AW740))*(M0+M1_+M2_+M3_+M4_+M5_+M6_+M7_+M8_+M9_+M10_+M11_+M12_+M13_+M14_+M15_+M16_+M17_+M18_+M19_+M20_+M21_+M22_+M23_+M24_+M25_+M26_+M27_+M28_+M29_+M30_+M31_+M32_+M33_+M34_+M35_+M36_+M37_)),0)</f>
        <v>0</v>
      </c>
      <c r="AZ740" s="24" t="str">
        <f t="shared" si="157"/>
        <v/>
      </c>
      <c r="BA740" s="24" t="str">
        <f t="shared" si="158"/>
        <v/>
      </c>
      <c r="BB740" s="24" t="str">
        <f t="shared" si="159"/>
        <v/>
      </c>
      <c r="BC740" s="24" t="str">
        <f>IF(OR(E740="",LEFT(TableCosts[[#This Row],[Calc_N_Typ]],18)="Vynaložené náklady"),"",VLOOKUP(E740,Tab_Parts,2,0))</f>
        <v/>
      </c>
      <c r="BD740" s="24" t="str">
        <f t="shared" si="160"/>
        <v/>
      </c>
      <c r="BE740" s="24">
        <f t="shared" si="161"/>
        <v>0</v>
      </c>
      <c r="BF740" s="72">
        <f>TableCosts[[#This Row],[N_Amount]]*TableCosts[[#This Row],[N_Tariff]]*TableCosts[[#This Row],[N_ItemsCount]]</f>
        <v>0</v>
      </c>
      <c r="BG740" s="72">
        <f>IF(G740=1,IF(TableCosts[[#This Row],[N_Kateg]]="interné práce",TableCosts[[#This Row],[N_Amount]]*8*PAR_SGA_PERHOUR,0),0)</f>
        <v>0</v>
      </c>
      <c r="BH740" s="72">
        <f>SUM(TableCosts[[#This Row],[N_Direct]:[N_SGA]])</f>
        <v>0</v>
      </c>
      <c r="BI740" s="24">
        <f>IF(G740=1,IF(OR(AND(NOT(ISERROR(VLOOKUP(TableCosts[[#This Row],[Calc_N_Typ]],Cis_WorkPositions,1,0))),C740&lt;&gt;"",D740&lt;&gt;"",E740&lt;&gt;""),AND(ISERROR(VLOOKUP(TableCosts[[#This Row],[Calc_N_Typ]],Cis_WorkPositions,1,0)),C740="",D740="",E740&lt;&gt;""),LEFT(TableCosts[[#This Row],[Calc_N_Typ]],18)="Vynaložené náklady"),VLOOKUP(C740&amp;TableCosts[[#This Row],[Calc_N_Typ]],TRAN_STRITEMS_LABEL,VLOOKUP(D740,Tab_Hours,3,0),0),NA()),0)</f>
        <v>0</v>
      </c>
      <c r="BJ740" s="24">
        <f t="shared" si="162"/>
        <v>0</v>
      </c>
      <c r="BK740" s="24" t="str">
        <f t="shared" si="163"/>
        <v/>
      </c>
      <c r="BL740" s="24" t="str">
        <f t="shared" si="164"/>
        <v/>
      </c>
      <c r="BM740" s="24" t="str">
        <f>IF(G740=1,IF(TableCosts[[#This Row],[TransferFrom]]=TableCosts[[#This Row],[TranferTo]],0,1),"")</f>
        <v/>
      </c>
      <c r="BN740" s="24" t="str">
        <f t="shared" si="165"/>
        <v/>
      </c>
      <c r="BO740" s="24">
        <f t="shared" si="166"/>
        <v>0</v>
      </c>
      <c r="BP740" s="24">
        <f t="shared" si="167"/>
        <v>0</v>
      </c>
    </row>
    <row r="741" spans="2:68" s="24" customFormat="1" ht="12.75" x14ac:dyDescent="0.2">
      <c r="B741" s="97"/>
      <c r="C741" s="92"/>
      <c r="D741" s="92"/>
      <c r="E741" s="92"/>
      <c r="F741" s="31" t="str">
        <f>IF(G741=1,IF(ISERROR(TableCosts[[#This Row],[N_Tariff]]),Err_Message1,IF(TableCosts[[#This Row],[N_Tariff]]=0,Err_Message2,VLOOKUP(C741&amp;TableCosts[[#This Row],[Calc_N_Typ]],TRAN_STRITEMS_LABEL,5,FALSE))),"")</f>
        <v/>
      </c>
      <c r="G741" s="31">
        <f t="shared" si="156"/>
        <v>0</v>
      </c>
      <c r="H741" s="31" t="str">
        <f>IF(G741=1,IFERROR(VLOOKUP(F741,Tab_ErrMessage[],2,0),VLOOKUP(C741&amp;TableCosts[[#This Row],[Calc_N_Typ]],TRAN_STRITEMS_LABEL,4,FALSE)),"")</f>
        <v/>
      </c>
      <c r="I741" s="94"/>
      <c r="J741" s="94"/>
      <c r="K741" s="94"/>
      <c r="L741" s="84"/>
      <c r="M741" s="84"/>
      <c r="N741" s="84"/>
      <c r="O741" s="84"/>
      <c r="P741" s="84"/>
      <c r="Q741" s="84"/>
      <c r="R741" s="84"/>
      <c r="S741" s="84"/>
      <c r="T741" s="84"/>
      <c r="U741" s="84"/>
      <c r="V741" s="84"/>
      <c r="W741" s="84"/>
      <c r="X741" s="84"/>
      <c r="Y741" s="84"/>
      <c r="Z741" s="84"/>
      <c r="AA741" s="84"/>
      <c r="AB741" s="84"/>
      <c r="AC741" s="84"/>
      <c r="AD741" s="84"/>
      <c r="AE741" s="84"/>
      <c r="AF741" s="84"/>
      <c r="AG741" s="84"/>
      <c r="AH741" s="84"/>
      <c r="AI741" s="84"/>
      <c r="AJ741" s="84"/>
      <c r="AK741" s="84"/>
      <c r="AL741" s="84"/>
      <c r="AM741" s="84"/>
      <c r="AN741" s="84"/>
      <c r="AO741" s="84"/>
      <c r="AP741" s="84"/>
      <c r="AQ741" s="84"/>
      <c r="AR741" s="84"/>
      <c r="AS741" s="84"/>
      <c r="AT741" s="84"/>
      <c r="AU741" s="84"/>
      <c r="AV741" s="84"/>
      <c r="AW741" s="84"/>
      <c r="AX741" s="87">
        <f t="array" ref="AX741">IF(G741=1,SUM((ROW(M0)=ROW(AW741))*(M0+M1_+M2_+M3_+M4_+M5_+M6_+M7_+M8_+M9_+M10_+M11_+M12_+M13_+M14_+M15_+M16_+M17_+M18_+M19_+M20_+M21_+M22_+M23_+M24_+M25_+M26_+M27_+M28_+M29_+M30_+M31_+M32_+M33_+M34_+M35_+M36_+M37_)),0)</f>
        <v>0</v>
      </c>
      <c r="AZ741" s="24" t="str">
        <f t="shared" si="157"/>
        <v/>
      </c>
      <c r="BA741" s="24" t="str">
        <f t="shared" si="158"/>
        <v/>
      </c>
      <c r="BB741" s="24" t="str">
        <f t="shared" si="159"/>
        <v/>
      </c>
      <c r="BC741" s="24" t="str">
        <f>IF(OR(E741="",LEFT(TableCosts[[#This Row],[Calc_N_Typ]],18)="Vynaložené náklady"),"",VLOOKUP(E741,Tab_Parts,2,0))</f>
        <v/>
      </c>
      <c r="BD741" s="24" t="str">
        <f t="shared" si="160"/>
        <v/>
      </c>
      <c r="BE741" s="24">
        <f t="shared" si="161"/>
        <v>0</v>
      </c>
      <c r="BF741" s="72">
        <f>TableCosts[[#This Row],[N_Amount]]*TableCosts[[#This Row],[N_Tariff]]*TableCosts[[#This Row],[N_ItemsCount]]</f>
        <v>0</v>
      </c>
      <c r="BG741" s="72">
        <f>IF(G741=1,IF(TableCosts[[#This Row],[N_Kateg]]="interné práce",TableCosts[[#This Row],[N_Amount]]*8*PAR_SGA_PERHOUR,0),0)</f>
        <v>0</v>
      </c>
      <c r="BH741" s="72">
        <f>SUM(TableCosts[[#This Row],[N_Direct]:[N_SGA]])</f>
        <v>0</v>
      </c>
      <c r="BI741" s="24">
        <f>IF(G741=1,IF(OR(AND(NOT(ISERROR(VLOOKUP(TableCosts[[#This Row],[Calc_N_Typ]],Cis_WorkPositions,1,0))),C741&lt;&gt;"",D741&lt;&gt;"",E741&lt;&gt;""),AND(ISERROR(VLOOKUP(TableCosts[[#This Row],[Calc_N_Typ]],Cis_WorkPositions,1,0)),C741="",D741="",E741&lt;&gt;""),LEFT(TableCosts[[#This Row],[Calc_N_Typ]],18)="Vynaložené náklady"),VLOOKUP(C741&amp;TableCosts[[#This Row],[Calc_N_Typ]],TRAN_STRITEMS_LABEL,VLOOKUP(D741,Tab_Hours,3,0),0),NA()),0)</f>
        <v>0</v>
      </c>
      <c r="BJ741" s="24">
        <f t="shared" si="162"/>
        <v>0</v>
      </c>
      <c r="BK741" s="24" t="str">
        <f t="shared" si="163"/>
        <v/>
      </c>
      <c r="BL741" s="24" t="str">
        <f t="shared" si="164"/>
        <v/>
      </c>
      <c r="BM741" s="24" t="str">
        <f>IF(G741=1,IF(TableCosts[[#This Row],[TransferFrom]]=TableCosts[[#This Row],[TranferTo]],0,1),"")</f>
        <v/>
      </c>
      <c r="BN741" s="24" t="str">
        <f t="shared" si="165"/>
        <v/>
      </c>
      <c r="BO741" s="24">
        <f t="shared" si="166"/>
        <v>0</v>
      </c>
      <c r="BP741" s="24">
        <f t="shared" si="167"/>
        <v>0</v>
      </c>
    </row>
    <row r="742" spans="2:68" s="24" customFormat="1" ht="12.75" x14ac:dyDescent="0.2">
      <c r="B742" s="97"/>
      <c r="C742" s="92"/>
      <c r="D742" s="92"/>
      <c r="E742" s="92"/>
      <c r="F742" s="31" t="str">
        <f>IF(G742=1,IF(ISERROR(TableCosts[[#This Row],[N_Tariff]]),Err_Message1,IF(TableCosts[[#This Row],[N_Tariff]]=0,Err_Message2,VLOOKUP(C742&amp;TableCosts[[#This Row],[Calc_N_Typ]],TRAN_STRITEMS_LABEL,5,FALSE))),"")</f>
        <v/>
      </c>
      <c r="G742" s="31">
        <f t="shared" si="156"/>
        <v>0</v>
      </c>
      <c r="H742" s="31" t="str">
        <f>IF(G742=1,IFERROR(VLOOKUP(F742,Tab_ErrMessage[],2,0),VLOOKUP(C742&amp;TableCosts[[#This Row],[Calc_N_Typ]],TRAN_STRITEMS_LABEL,4,FALSE)),"")</f>
        <v/>
      </c>
      <c r="I742" s="94"/>
      <c r="J742" s="94"/>
      <c r="K742" s="94"/>
      <c r="L742" s="84"/>
      <c r="M742" s="84"/>
      <c r="N742" s="84"/>
      <c r="O742" s="84"/>
      <c r="P742" s="84"/>
      <c r="Q742" s="84"/>
      <c r="R742" s="84"/>
      <c r="S742" s="84"/>
      <c r="T742" s="84"/>
      <c r="U742" s="84"/>
      <c r="V742" s="84"/>
      <c r="W742" s="84"/>
      <c r="X742" s="84"/>
      <c r="Y742" s="84"/>
      <c r="Z742" s="84"/>
      <c r="AA742" s="84"/>
      <c r="AB742" s="84"/>
      <c r="AC742" s="84"/>
      <c r="AD742" s="84"/>
      <c r="AE742" s="84"/>
      <c r="AF742" s="84"/>
      <c r="AG742" s="84"/>
      <c r="AH742" s="84"/>
      <c r="AI742" s="84"/>
      <c r="AJ742" s="84"/>
      <c r="AK742" s="84"/>
      <c r="AL742" s="84"/>
      <c r="AM742" s="84"/>
      <c r="AN742" s="84"/>
      <c r="AO742" s="84"/>
      <c r="AP742" s="84"/>
      <c r="AQ742" s="84"/>
      <c r="AR742" s="84"/>
      <c r="AS742" s="84"/>
      <c r="AT742" s="84"/>
      <c r="AU742" s="84"/>
      <c r="AV742" s="84"/>
      <c r="AW742" s="84"/>
      <c r="AX742" s="87">
        <f t="array" ref="AX742">IF(G742=1,SUM((ROW(M0)=ROW(AW742))*(M0+M1_+M2_+M3_+M4_+M5_+M6_+M7_+M8_+M9_+M10_+M11_+M12_+M13_+M14_+M15_+M16_+M17_+M18_+M19_+M20_+M21_+M22_+M23_+M24_+M25_+M26_+M27_+M28_+M29_+M30_+M31_+M32_+M33_+M34_+M35_+M36_+M37_)),0)</f>
        <v>0</v>
      </c>
      <c r="AZ742" s="24" t="str">
        <f t="shared" si="157"/>
        <v/>
      </c>
      <c r="BA742" s="24" t="str">
        <f t="shared" si="158"/>
        <v/>
      </c>
      <c r="BB742" s="24" t="str">
        <f t="shared" si="159"/>
        <v/>
      </c>
      <c r="BC742" s="24" t="str">
        <f>IF(OR(E742="",LEFT(TableCosts[[#This Row],[Calc_N_Typ]],18)="Vynaložené náklady"),"",VLOOKUP(E742,Tab_Parts,2,0))</f>
        <v/>
      </c>
      <c r="BD742" s="24" t="str">
        <f t="shared" si="160"/>
        <v/>
      </c>
      <c r="BE742" s="24">
        <f t="shared" si="161"/>
        <v>0</v>
      </c>
      <c r="BF742" s="72">
        <f>TableCosts[[#This Row],[N_Amount]]*TableCosts[[#This Row],[N_Tariff]]*TableCosts[[#This Row],[N_ItemsCount]]</f>
        <v>0</v>
      </c>
      <c r="BG742" s="72">
        <f>IF(G742=1,IF(TableCosts[[#This Row],[N_Kateg]]="interné práce",TableCosts[[#This Row],[N_Amount]]*8*PAR_SGA_PERHOUR,0),0)</f>
        <v>0</v>
      </c>
      <c r="BH742" s="72">
        <f>SUM(TableCosts[[#This Row],[N_Direct]:[N_SGA]])</f>
        <v>0</v>
      </c>
      <c r="BI742" s="24">
        <f>IF(G742=1,IF(OR(AND(NOT(ISERROR(VLOOKUP(TableCosts[[#This Row],[Calc_N_Typ]],Cis_WorkPositions,1,0))),C742&lt;&gt;"",D742&lt;&gt;"",E742&lt;&gt;""),AND(ISERROR(VLOOKUP(TableCosts[[#This Row],[Calc_N_Typ]],Cis_WorkPositions,1,0)),C742="",D742="",E742&lt;&gt;""),LEFT(TableCosts[[#This Row],[Calc_N_Typ]],18)="Vynaložené náklady"),VLOOKUP(C742&amp;TableCosts[[#This Row],[Calc_N_Typ]],TRAN_STRITEMS_LABEL,VLOOKUP(D742,Tab_Hours,3,0),0),NA()),0)</f>
        <v>0</v>
      </c>
      <c r="BJ742" s="24">
        <f t="shared" si="162"/>
        <v>0</v>
      </c>
      <c r="BK742" s="24" t="str">
        <f t="shared" si="163"/>
        <v/>
      </c>
      <c r="BL742" s="24" t="str">
        <f t="shared" si="164"/>
        <v/>
      </c>
      <c r="BM742" s="24" t="str">
        <f>IF(G742=1,IF(TableCosts[[#This Row],[TransferFrom]]=TableCosts[[#This Row],[TranferTo]],0,1),"")</f>
        <v/>
      </c>
      <c r="BN742" s="24" t="str">
        <f t="shared" si="165"/>
        <v/>
      </c>
      <c r="BO742" s="24">
        <f t="shared" si="166"/>
        <v>0</v>
      </c>
      <c r="BP742" s="24">
        <f t="shared" si="167"/>
        <v>0</v>
      </c>
    </row>
    <row r="743" spans="2:68" s="24" customFormat="1" ht="12.75" x14ac:dyDescent="0.2">
      <c r="B743" s="97"/>
      <c r="C743" s="92"/>
      <c r="D743" s="92"/>
      <c r="E743" s="92"/>
      <c r="F743" s="31" t="str">
        <f>IF(G743=1,IF(ISERROR(TableCosts[[#This Row],[N_Tariff]]),Err_Message1,IF(TableCosts[[#This Row],[N_Tariff]]=0,Err_Message2,VLOOKUP(C743&amp;TableCosts[[#This Row],[Calc_N_Typ]],TRAN_STRITEMS_LABEL,5,FALSE))),"")</f>
        <v/>
      </c>
      <c r="G743" s="31">
        <f t="shared" si="156"/>
        <v>0</v>
      </c>
      <c r="H743" s="31" t="str">
        <f>IF(G743=1,IFERROR(VLOOKUP(F743,Tab_ErrMessage[],2,0),VLOOKUP(C743&amp;TableCosts[[#This Row],[Calc_N_Typ]],TRAN_STRITEMS_LABEL,4,FALSE)),"")</f>
        <v/>
      </c>
      <c r="I743" s="94"/>
      <c r="J743" s="94"/>
      <c r="K743" s="94"/>
      <c r="L743" s="84"/>
      <c r="M743" s="84"/>
      <c r="N743" s="84"/>
      <c r="O743" s="84"/>
      <c r="P743" s="84"/>
      <c r="Q743" s="84"/>
      <c r="R743" s="84"/>
      <c r="S743" s="84"/>
      <c r="T743" s="84"/>
      <c r="U743" s="84"/>
      <c r="V743" s="84"/>
      <c r="W743" s="84"/>
      <c r="X743" s="84"/>
      <c r="Y743" s="84"/>
      <c r="Z743" s="84"/>
      <c r="AA743" s="84"/>
      <c r="AB743" s="84"/>
      <c r="AC743" s="84"/>
      <c r="AD743" s="84"/>
      <c r="AE743" s="84"/>
      <c r="AF743" s="84"/>
      <c r="AG743" s="84"/>
      <c r="AH743" s="84"/>
      <c r="AI743" s="84"/>
      <c r="AJ743" s="84"/>
      <c r="AK743" s="84"/>
      <c r="AL743" s="84"/>
      <c r="AM743" s="84"/>
      <c r="AN743" s="84"/>
      <c r="AO743" s="84"/>
      <c r="AP743" s="84"/>
      <c r="AQ743" s="84"/>
      <c r="AR743" s="84"/>
      <c r="AS743" s="84"/>
      <c r="AT743" s="84"/>
      <c r="AU743" s="84"/>
      <c r="AV743" s="84"/>
      <c r="AW743" s="84"/>
      <c r="AX743" s="87">
        <f t="array" ref="AX743">IF(G743=1,SUM((ROW(M0)=ROW(AW743))*(M0+M1_+M2_+M3_+M4_+M5_+M6_+M7_+M8_+M9_+M10_+M11_+M12_+M13_+M14_+M15_+M16_+M17_+M18_+M19_+M20_+M21_+M22_+M23_+M24_+M25_+M26_+M27_+M28_+M29_+M30_+M31_+M32_+M33_+M34_+M35_+M36_+M37_)),0)</f>
        <v>0</v>
      </c>
      <c r="AZ743" s="24" t="str">
        <f t="shared" si="157"/>
        <v/>
      </c>
      <c r="BA743" s="24" t="str">
        <f t="shared" si="158"/>
        <v/>
      </c>
      <c r="BB743" s="24" t="str">
        <f t="shared" si="159"/>
        <v/>
      </c>
      <c r="BC743" s="24" t="str">
        <f>IF(OR(E743="",LEFT(TableCosts[[#This Row],[Calc_N_Typ]],18)="Vynaložené náklady"),"",VLOOKUP(E743,Tab_Parts,2,0))</f>
        <v/>
      </c>
      <c r="BD743" s="24" t="str">
        <f t="shared" si="160"/>
        <v/>
      </c>
      <c r="BE743" s="24">
        <f t="shared" si="161"/>
        <v>0</v>
      </c>
      <c r="BF743" s="72">
        <f>TableCosts[[#This Row],[N_Amount]]*TableCosts[[#This Row],[N_Tariff]]*TableCosts[[#This Row],[N_ItemsCount]]</f>
        <v>0</v>
      </c>
      <c r="BG743" s="72">
        <f>IF(G743=1,IF(TableCosts[[#This Row],[N_Kateg]]="interné práce",TableCosts[[#This Row],[N_Amount]]*8*PAR_SGA_PERHOUR,0),0)</f>
        <v>0</v>
      </c>
      <c r="BH743" s="72">
        <f>SUM(TableCosts[[#This Row],[N_Direct]:[N_SGA]])</f>
        <v>0</v>
      </c>
      <c r="BI743" s="24">
        <f>IF(G743=1,IF(OR(AND(NOT(ISERROR(VLOOKUP(TableCosts[[#This Row],[Calc_N_Typ]],Cis_WorkPositions,1,0))),C743&lt;&gt;"",D743&lt;&gt;"",E743&lt;&gt;""),AND(ISERROR(VLOOKUP(TableCosts[[#This Row],[Calc_N_Typ]],Cis_WorkPositions,1,0)),C743="",D743="",E743&lt;&gt;""),LEFT(TableCosts[[#This Row],[Calc_N_Typ]],18)="Vynaložené náklady"),VLOOKUP(C743&amp;TableCosts[[#This Row],[Calc_N_Typ]],TRAN_STRITEMS_LABEL,VLOOKUP(D743,Tab_Hours,3,0),0),NA()),0)</f>
        <v>0</v>
      </c>
      <c r="BJ743" s="24">
        <f t="shared" si="162"/>
        <v>0</v>
      </c>
      <c r="BK743" s="24" t="str">
        <f t="shared" si="163"/>
        <v/>
      </c>
      <c r="BL743" s="24" t="str">
        <f t="shared" si="164"/>
        <v/>
      </c>
      <c r="BM743" s="24" t="str">
        <f>IF(G743=1,IF(TableCosts[[#This Row],[TransferFrom]]=TableCosts[[#This Row],[TranferTo]],0,1),"")</f>
        <v/>
      </c>
      <c r="BN743" s="24" t="str">
        <f t="shared" si="165"/>
        <v/>
      </c>
      <c r="BO743" s="24">
        <f t="shared" si="166"/>
        <v>0</v>
      </c>
      <c r="BP743" s="24">
        <f t="shared" si="167"/>
        <v>0</v>
      </c>
    </row>
    <row r="744" spans="2:68" s="24" customFormat="1" ht="12.75" x14ac:dyDescent="0.2">
      <c r="B744" s="97"/>
      <c r="C744" s="92"/>
      <c r="D744" s="92"/>
      <c r="E744" s="92"/>
      <c r="F744" s="31" t="str">
        <f>IF(G744=1,IF(ISERROR(TableCosts[[#This Row],[N_Tariff]]),Err_Message1,IF(TableCosts[[#This Row],[N_Tariff]]=0,Err_Message2,VLOOKUP(C744&amp;TableCosts[[#This Row],[Calc_N_Typ]],TRAN_STRITEMS_LABEL,5,FALSE))),"")</f>
        <v/>
      </c>
      <c r="G744" s="31">
        <f t="shared" si="156"/>
        <v>0</v>
      </c>
      <c r="H744" s="31" t="str">
        <f>IF(G744=1,IFERROR(VLOOKUP(F744,Tab_ErrMessage[],2,0),VLOOKUP(C744&amp;TableCosts[[#This Row],[Calc_N_Typ]],TRAN_STRITEMS_LABEL,4,FALSE)),"")</f>
        <v/>
      </c>
      <c r="I744" s="94"/>
      <c r="J744" s="94"/>
      <c r="K744" s="94"/>
      <c r="L744" s="84"/>
      <c r="M744" s="84"/>
      <c r="N744" s="84"/>
      <c r="O744" s="84"/>
      <c r="P744" s="84"/>
      <c r="Q744" s="84"/>
      <c r="R744" s="84"/>
      <c r="S744" s="84"/>
      <c r="T744" s="84"/>
      <c r="U744" s="84"/>
      <c r="V744" s="84"/>
      <c r="W744" s="84"/>
      <c r="X744" s="84"/>
      <c r="Y744" s="84"/>
      <c r="Z744" s="84"/>
      <c r="AA744" s="84"/>
      <c r="AB744" s="84"/>
      <c r="AC744" s="84"/>
      <c r="AD744" s="84"/>
      <c r="AE744" s="84"/>
      <c r="AF744" s="84"/>
      <c r="AG744" s="84"/>
      <c r="AH744" s="84"/>
      <c r="AI744" s="84"/>
      <c r="AJ744" s="84"/>
      <c r="AK744" s="84"/>
      <c r="AL744" s="84"/>
      <c r="AM744" s="84"/>
      <c r="AN744" s="84"/>
      <c r="AO744" s="84"/>
      <c r="AP744" s="84"/>
      <c r="AQ744" s="84"/>
      <c r="AR744" s="84"/>
      <c r="AS744" s="84"/>
      <c r="AT744" s="84"/>
      <c r="AU744" s="84"/>
      <c r="AV744" s="84"/>
      <c r="AW744" s="84"/>
      <c r="AX744" s="87">
        <f t="array" ref="AX744">IF(G744=1,SUM((ROW(M0)=ROW(AW744))*(M0+M1_+M2_+M3_+M4_+M5_+M6_+M7_+M8_+M9_+M10_+M11_+M12_+M13_+M14_+M15_+M16_+M17_+M18_+M19_+M20_+M21_+M22_+M23_+M24_+M25_+M26_+M27_+M28_+M29_+M30_+M31_+M32_+M33_+M34_+M35_+M36_+M37_)),0)</f>
        <v>0</v>
      </c>
      <c r="AZ744" s="24" t="str">
        <f t="shared" si="157"/>
        <v/>
      </c>
      <c r="BA744" s="24" t="str">
        <f t="shared" si="158"/>
        <v/>
      </c>
      <c r="BB744" s="24" t="str">
        <f t="shared" si="159"/>
        <v/>
      </c>
      <c r="BC744" s="24" t="str">
        <f>IF(OR(E744="",LEFT(TableCosts[[#This Row],[Calc_N_Typ]],18)="Vynaložené náklady"),"",VLOOKUP(E744,Tab_Parts,2,0))</f>
        <v/>
      </c>
      <c r="BD744" s="24" t="str">
        <f t="shared" si="160"/>
        <v/>
      </c>
      <c r="BE744" s="24">
        <f t="shared" si="161"/>
        <v>0</v>
      </c>
      <c r="BF744" s="72">
        <f>TableCosts[[#This Row],[N_Amount]]*TableCosts[[#This Row],[N_Tariff]]*TableCosts[[#This Row],[N_ItemsCount]]</f>
        <v>0</v>
      </c>
      <c r="BG744" s="72">
        <f>IF(G744=1,IF(TableCosts[[#This Row],[N_Kateg]]="interné práce",TableCosts[[#This Row],[N_Amount]]*8*PAR_SGA_PERHOUR,0),0)</f>
        <v>0</v>
      </c>
      <c r="BH744" s="72">
        <f>SUM(TableCosts[[#This Row],[N_Direct]:[N_SGA]])</f>
        <v>0</v>
      </c>
      <c r="BI744" s="24">
        <f>IF(G744=1,IF(OR(AND(NOT(ISERROR(VLOOKUP(TableCosts[[#This Row],[Calc_N_Typ]],Cis_WorkPositions,1,0))),C744&lt;&gt;"",D744&lt;&gt;"",E744&lt;&gt;""),AND(ISERROR(VLOOKUP(TableCosts[[#This Row],[Calc_N_Typ]],Cis_WorkPositions,1,0)),C744="",D744="",E744&lt;&gt;""),LEFT(TableCosts[[#This Row],[Calc_N_Typ]],18)="Vynaložené náklady"),VLOOKUP(C744&amp;TableCosts[[#This Row],[Calc_N_Typ]],TRAN_STRITEMS_LABEL,VLOOKUP(D744,Tab_Hours,3,0),0),NA()),0)</f>
        <v>0</v>
      </c>
      <c r="BJ744" s="24">
        <f t="shared" si="162"/>
        <v>0</v>
      </c>
      <c r="BK744" s="24" t="str">
        <f t="shared" si="163"/>
        <v/>
      </c>
      <c r="BL744" s="24" t="str">
        <f t="shared" si="164"/>
        <v/>
      </c>
      <c r="BM744" s="24" t="str">
        <f>IF(G744=1,IF(TableCosts[[#This Row],[TransferFrom]]=TableCosts[[#This Row],[TranferTo]],0,1),"")</f>
        <v/>
      </c>
      <c r="BN744" s="24" t="str">
        <f t="shared" si="165"/>
        <v/>
      </c>
      <c r="BO744" s="24">
        <f t="shared" si="166"/>
        <v>0</v>
      </c>
      <c r="BP744" s="24">
        <f t="shared" si="167"/>
        <v>0</v>
      </c>
    </row>
    <row r="745" spans="2:68" s="24" customFormat="1" ht="12.75" x14ac:dyDescent="0.2">
      <c r="B745" s="97"/>
      <c r="C745" s="92"/>
      <c r="D745" s="92"/>
      <c r="E745" s="92"/>
      <c r="F745" s="31" t="str">
        <f>IF(G745=1,IF(ISERROR(TableCosts[[#This Row],[N_Tariff]]),Err_Message1,IF(TableCosts[[#This Row],[N_Tariff]]=0,Err_Message2,VLOOKUP(C745&amp;TableCosts[[#This Row],[Calc_N_Typ]],TRAN_STRITEMS_LABEL,5,FALSE))),"")</f>
        <v/>
      </c>
      <c r="G745" s="31">
        <f t="shared" si="156"/>
        <v>0</v>
      </c>
      <c r="H745" s="31" t="str">
        <f>IF(G745=1,IFERROR(VLOOKUP(F745,Tab_ErrMessage[],2,0),VLOOKUP(C745&amp;TableCosts[[#This Row],[Calc_N_Typ]],TRAN_STRITEMS_LABEL,4,FALSE)),"")</f>
        <v/>
      </c>
      <c r="I745" s="94"/>
      <c r="J745" s="94"/>
      <c r="K745" s="94"/>
      <c r="L745" s="84"/>
      <c r="M745" s="84"/>
      <c r="N745" s="84"/>
      <c r="O745" s="84"/>
      <c r="P745" s="84"/>
      <c r="Q745" s="84"/>
      <c r="R745" s="84"/>
      <c r="S745" s="84"/>
      <c r="T745" s="84"/>
      <c r="U745" s="84"/>
      <c r="V745" s="84"/>
      <c r="W745" s="84"/>
      <c r="X745" s="84"/>
      <c r="Y745" s="84"/>
      <c r="Z745" s="84"/>
      <c r="AA745" s="84"/>
      <c r="AB745" s="84"/>
      <c r="AC745" s="84"/>
      <c r="AD745" s="84"/>
      <c r="AE745" s="84"/>
      <c r="AF745" s="84"/>
      <c r="AG745" s="84"/>
      <c r="AH745" s="84"/>
      <c r="AI745" s="84"/>
      <c r="AJ745" s="84"/>
      <c r="AK745" s="84"/>
      <c r="AL745" s="84"/>
      <c r="AM745" s="84"/>
      <c r="AN745" s="84"/>
      <c r="AO745" s="84"/>
      <c r="AP745" s="84"/>
      <c r="AQ745" s="84"/>
      <c r="AR745" s="84"/>
      <c r="AS745" s="84"/>
      <c r="AT745" s="84"/>
      <c r="AU745" s="84"/>
      <c r="AV745" s="84"/>
      <c r="AW745" s="84"/>
      <c r="AX745" s="87">
        <f t="array" ref="AX745">IF(G745=1,SUM((ROW(M0)=ROW(AW745))*(M0+M1_+M2_+M3_+M4_+M5_+M6_+M7_+M8_+M9_+M10_+M11_+M12_+M13_+M14_+M15_+M16_+M17_+M18_+M19_+M20_+M21_+M22_+M23_+M24_+M25_+M26_+M27_+M28_+M29_+M30_+M31_+M32_+M33_+M34_+M35_+M36_+M37_)),0)</f>
        <v>0</v>
      </c>
      <c r="AZ745" s="24" t="str">
        <f t="shared" si="157"/>
        <v/>
      </c>
      <c r="BA745" s="24" t="str">
        <f t="shared" si="158"/>
        <v/>
      </c>
      <c r="BB745" s="24" t="str">
        <f t="shared" si="159"/>
        <v/>
      </c>
      <c r="BC745" s="24" t="str">
        <f>IF(OR(E745="",LEFT(TableCosts[[#This Row],[Calc_N_Typ]],18)="Vynaložené náklady"),"",VLOOKUP(E745,Tab_Parts,2,0))</f>
        <v/>
      </c>
      <c r="BD745" s="24" t="str">
        <f t="shared" si="160"/>
        <v/>
      </c>
      <c r="BE745" s="24">
        <f t="shared" si="161"/>
        <v>0</v>
      </c>
      <c r="BF745" s="72">
        <f>TableCosts[[#This Row],[N_Amount]]*TableCosts[[#This Row],[N_Tariff]]*TableCosts[[#This Row],[N_ItemsCount]]</f>
        <v>0</v>
      </c>
      <c r="BG745" s="72">
        <f>IF(G745=1,IF(TableCosts[[#This Row],[N_Kateg]]="interné práce",TableCosts[[#This Row],[N_Amount]]*8*PAR_SGA_PERHOUR,0),0)</f>
        <v>0</v>
      </c>
      <c r="BH745" s="72">
        <f>SUM(TableCosts[[#This Row],[N_Direct]:[N_SGA]])</f>
        <v>0</v>
      </c>
      <c r="BI745" s="24">
        <f>IF(G745=1,IF(OR(AND(NOT(ISERROR(VLOOKUP(TableCosts[[#This Row],[Calc_N_Typ]],Cis_WorkPositions,1,0))),C745&lt;&gt;"",D745&lt;&gt;"",E745&lt;&gt;""),AND(ISERROR(VLOOKUP(TableCosts[[#This Row],[Calc_N_Typ]],Cis_WorkPositions,1,0)),C745="",D745="",E745&lt;&gt;""),LEFT(TableCosts[[#This Row],[Calc_N_Typ]],18)="Vynaložené náklady"),VLOOKUP(C745&amp;TableCosts[[#This Row],[Calc_N_Typ]],TRAN_STRITEMS_LABEL,VLOOKUP(D745,Tab_Hours,3,0),0),NA()),0)</f>
        <v>0</v>
      </c>
      <c r="BJ745" s="24">
        <f t="shared" si="162"/>
        <v>0</v>
      </c>
      <c r="BK745" s="24" t="str">
        <f t="shared" si="163"/>
        <v/>
      </c>
      <c r="BL745" s="24" t="str">
        <f t="shared" si="164"/>
        <v/>
      </c>
      <c r="BM745" s="24" t="str">
        <f>IF(G745=1,IF(TableCosts[[#This Row],[TransferFrom]]=TableCosts[[#This Row],[TranferTo]],0,1),"")</f>
        <v/>
      </c>
      <c r="BN745" s="24" t="str">
        <f t="shared" si="165"/>
        <v/>
      </c>
      <c r="BO745" s="24">
        <f t="shared" si="166"/>
        <v>0</v>
      </c>
      <c r="BP745" s="24">
        <f t="shared" si="167"/>
        <v>0</v>
      </c>
    </row>
    <row r="746" spans="2:68" s="24" customFormat="1" ht="12.75" x14ac:dyDescent="0.2">
      <c r="B746" s="97"/>
      <c r="C746" s="92"/>
      <c r="D746" s="92"/>
      <c r="E746" s="92"/>
      <c r="F746" s="31" t="str">
        <f>IF(G746=1,IF(ISERROR(TableCosts[[#This Row],[N_Tariff]]),Err_Message1,IF(TableCosts[[#This Row],[N_Tariff]]=0,Err_Message2,VLOOKUP(C746&amp;TableCosts[[#This Row],[Calc_N_Typ]],TRAN_STRITEMS_LABEL,5,FALSE))),"")</f>
        <v/>
      </c>
      <c r="G746" s="31">
        <f t="shared" si="156"/>
        <v>0</v>
      </c>
      <c r="H746" s="31" t="str">
        <f>IF(G746=1,IFERROR(VLOOKUP(F746,Tab_ErrMessage[],2,0),VLOOKUP(C746&amp;TableCosts[[#This Row],[Calc_N_Typ]],TRAN_STRITEMS_LABEL,4,FALSE)),"")</f>
        <v/>
      </c>
      <c r="I746" s="94"/>
      <c r="J746" s="94"/>
      <c r="K746" s="94"/>
      <c r="L746" s="84"/>
      <c r="M746" s="84"/>
      <c r="N746" s="84"/>
      <c r="O746" s="84"/>
      <c r="P746" s="84"/>
      <c r="Q746" s="84"/>
      <c r="R746" s="84"/>
      <c r="S746" s="84"/>
      <c r="T746" s="84"/>
      <c r="U746" s="84"/>
      <c r="V746" s="84"/>
      <c r="W746" s="84"/>
      <c r="X746" s="84"/>
      <c r="Y746" s="84"/>
      <c r="Z746" s="84"/>
      <c r="AA746" s="84"/>
      <c r="AB746" s="84"/>
      <c r="AC746" s="84"/>
      <c r="AD746" s="84"/>
      <c r="AE746" s="84"/>
      <c r="AF746" s="84"/>
      <c r="AG746" s="84"/>
      <c r="AH746" s="84"/>
      <c r="AI746" s="84"/>
      <c r="AJ746" s="84"/>
      <c r="AK746" s="84"/>
      <c r="AL746" s="84"/>
      <c r="AM746" s="84"/>
      <c r="AN746" s="84"/>
      <c r="AO746" s="84"/>
      <c r="AP746" s="84"/>
      <c r="AQ746" s="84"/>
      <c r="AR746" s="84"/>
      <c r="AS746" s="84"/>
      <c r="AT746" s="84"/>
      <c r="AU746" s="84"/>
      <c r="AV746" s="84"/>
      <c r="AW746" s="84"/>
      <c r="AX746" s="87">
        <f t="array" ref="AX746">IF(G746=1,SUM((ROW(M0)=ROW(AW746))*(M0+M1_+M2_+M3_+M4_+M5_+M6_+M7_+M8_+M9_+M10_+M11_+M12_+M13_+M14_+M15_+M16_+M17_+M18_+M19_+M20_+M21_+M22_+M23_+M24_+M25_+M26_+M27_+M28_+M29_+M30_+M31_+M32_+M33_+M34_+M35_+M36_+M37_)),0)</f>
        <v>0</v>
      </c>
      <c r="AZ746" s="24" t="str">
        <f t="shared" si="157"/>
        <v/>
      </c>
      <c r="BA746" s="24" t="str">
        <f t="shared" si="158"/>
        <v/>
      </c>
      <c r="BB746" s="24" t="str">
        <f t="shared" si="159"/>
        <v/>
      </c>
      <c r="BC746" s="24" t="str">
        <f>IF(OR(E746="",LEFT(TableCosts[[#This Row],[Calc_N_Typ]],18)="Vynaložené náklady"),"",VLOOKUP(E746,Tab_Parts,2,0))</f>
        <v/>
      </c>
      <c r="BD746" s="24" t="str">
        <f t="shared" si="160"/>
        <v/>
      </c>
      <c r="BE746" s="24">
        <f t="shared" si="161"/>
        <v>0</v>
      </c>
      <c r="BF746" s="72">
        <f>TableCosts[[#This Row],[N_Amount]]*TableCosts[[#This Row],[N_Tariff]]*TableCosts[[#This Row],[N_ItemsCount]]</f>
        <v>0</v>
      </c>
      <c r="BG746" s="72">
        <f>IF(G746=1,IF(TableCosts[[#This Row],[N_Kateg]]="interné práce",TableCosts[[#This Row],[N_Amount]]*8*PAR_SGA_PERHOUR,0),0)</f>
        <v>0</v>
      </c>
      <c r="BH746" s="72">
        <f>SUM(TableCosts[[#This Row],[N_Direct]:[N_SGA]])</f>
        <v>0</v>
      </c>
      <c r="BI746" s="24">
        <f>IF(G746=1,IF(OR(AND(NOT(ISERROR(VLOOKUP(TableCosts[[#This Row],[Calc_N_Typ]],Cis_WorkPositions,1,0))),C746&lt;&gt;"",D746&lt;&gt;"",E746&lt;&gt;""),AND(ISERROR(VLOOKUP(TableCosts[[#This Row],[Calc_N_Typ]],Cis_WorkPositions,1,0)),C746="",D746="",E746&lt;&gt;""),LEFT(TableCosts[[#This Row],[Calc_N_Typ]],18)="Vynaložené náklady"),VLOOKUP(C746&amp;TableCosts[[#This Row],[Calc_N_Typ]],TRAN_STRITEMS_LABEL,VLOOKUP(D746,Tab_Hours,3,0),0),NA()),0)</f>
        <v>0</v>
      </c>
      <c r="BJ746" s="24">
        <f t="shared" si="162"/>
        <v>0</v>
      </c>
      <c r="BK746" s="24" t="str">
        <f t="shared" si="163"/>
        <v/>
      </c>
      <c r="BL746" s="24" t="str">
        <f t="shared" si="164"/>
        <v/>
      </c>
      <c r="BM746" s="24" t="str">
        <f>IF(G746=1,IF(TableCosts[[#This Row],[TransferFrom]]=TableCosts[[#This Row],[TranferTo]],0,1),"")</f>
        <v/>
      </c>
      <c r="BN746" s="24" t="str">
        <f t="shared" si="165"/>
        <v/>
      </c>
      <c r="BO746" s="24">
        <f t="shared" si="166"/>
        <v>0</v>
      </c>
      <c r="BP746" s="24">
        <f t="shared" si="167"/>
        <v>0</v>
      </c>
    </row>
    <row r="747" spans="2:68" s="24" customFormat="1" ht="12.75" x14ac:dyDescent="0.2">
      <c r="B747" s="97"/>
      <c r="C747" s="92"/>
      <c r="D747" s="92"/>
      <c r="E747" s="92"/>
      <c r="F747" s="31" t="str">
        <f>IF(G747=1,IF(ISERROR(TableCosts[[#This Row],[N_Tariff]]),Err_Message1,IF(TableCosts[[#This Row],[N_Tariff]]=0,Err_Message2,VLOOKUP(C747&amp;TableCosts[[#This Row],[Calc_N_Typ]],TRAN_STRITEMS_LABEL,5,FALSE))),"")</f>
        <v/>
      </c>
      <c r="G747" s="31">
        <f t="shared" si="156"/>
        <v>0</v>
      </c>
      <c r="H747" s="31" t="str">
        <f>IF(G747=1,IFERROR(VLOOKUP(F747,Tab_ErrMessage[],2,0),VLOOKUP(C747&amp;TableCosts[[#This Row],[Calc_N_Typ]],TRAN_STRITEMS_LABEL,4,FALSE)),"")</f>
        <v/>
      </c>
      <c r="I747" s="94"/>
      <c r="J747" s="94"/>
      <c r="K747" s="94"/>
      <c r="L747" s="84"/>
      <c r="M747" s="84"/>
      <c r="N747" s="84"/>
      <c r="O747" s="84"/>
      <c r="P747" s="84"/>
      <c r="Q747" s="84"/>
      <c r="R747" s="84"/>
      <c r="S747" s="84"/>
      <c r="T747" s="84"/>
      <c r="U747" s="84"/>
      <c r="V747" s="84"/>
      <c r="W747" s="84"/>
      <c r="X747" s="84"/>
      <c r="Y747" s="84"/>
      <c r="Z747" s="84"/>
      <c r="AA747" s="84"/>
      <c r="AB747" s="84"/>
      <c r="AC747" s="84"/>
      <c r="AD747" s="84"/>
      <c r="AE747" s="84"/>
      <c r="AF747" s="84"/>
      <c r="AG747" s="84"/>
      <c r="AH747" s="84"/>
      <c r="AI747" s="84"/>
      <c r="AJ747" s="84"/>
      <c r="AK747" s="84"/>
      <c r="AL747" s="84"/>
      <c r="AM747" s="84"/>
      <c r="AN747" s="84"/>
      <c r="AO747" s="84"/>
      <c r="AP747" s="84"/>
      <c r="AQ747" s="84"/>
      <c r="AR747" s="84"/>
      <c r="AS747" s="84"/>
      <c r="AT747" s="84"/>
      <c r="AU747" s="84"/>
      <c r="AV747" s="84"/>
      <c r="AW747" s="84"/>
      <c r="AX747" s="87">
        <f t="array" ref="AX747">IF(G747=1,SUM((ROW(M0)=ROW(AW747))*(M0+M1_+M2_+M3_+M4_+M5_+M6_+M7_+M8_+M9_+M10_+M11_+M12_+M13_+M14_+M15_+M16_+M17_+M18_+M19_+M20_+M21_+M22_+M23_+M24_+M25_+M26_+M27_+M28_+M29_+M30_+M31_+M32_+M33_+M34_+M35_+M36_+M37_)),0)</f>
        <v>0</v>
      </c>
      <c r="AZ747" s="24" t="str">
        <f t="shared" si="157"/>
        <v/>
      </c>
      <c r="BA747" s="24" t="str">
        <f t="shared" si="158"/>
        <v/>
      </c>
      <c r="BB747" s="24" t="str">
        <f t="shared" si="159"/>
        <v/>
      </c>
      <c r="BC747" s="24" t="str">
        <f>IF(OR(E747="",LEFT(TableCosts[[#This Row],[Calc_N_Typ]],18)="Vynaložené náklady"),"",VLOOKUP(E747,Tab_Parts,2,0))</f>
        <v/>
      </c>
      <c r="BD747" s="24" t="str">
        <f t="shared" si="160"/>
        <v/>
      </c>
      <c r="BE747" s="24">
        <f t="shared" si="161"/>
        <v>0</v>
      </c>
      <c r="BF747" s="72">
        <f>TableCosts[[#This Row],[N_Amount]]*TableCosts[[#This Row],[N_Tariff]]*TableCosts[[#This Row],[N_ItemsCount]]</f>
        <v>0</v>
      </c>
      <c r="BG747" s="72">
        <f>IF(G747=1,IF(TableCosts[[#This Row],[N_Kateg]]="interné práce",TableCosts[[#This Row],[N_Amount]]*8*PAR_SGA_PERHOUR,0),0)</f>
        <v>0</v>
      </c>
      <c r="BH747" s="72">
        <f>SUM(TableCosts[[#This Row],[N_Direct]:[N_SGA]])</f>
        <v>0</v>
      </c>
      <c r="BI747" s="24">
        <f>IF(G747=1,IF(OR(AND(NOT(ISERROR(VLOOKUP(TableCosts[[#This Row],[Calc_N_Typ]],Cis_WorkPositions,1,0))),C747&lt;&gt;"",D747&lt;&gt;"",E747&lt;&gt;""),AND(ISERROR(VLOOKUP(TableCosts[[#This Row],[Calc_N_Typ]],Cis_WorkPositions,1,0)),C747="",D747="",E747&lt;&gt;""),LEFT(TableCosts[[#This Row],[Calc_N_Typ]],18)="Vynaložené náklady"),VLOOKUP(C747&amp;TableCosts[[#This Row],[Calc_N_Typ]],TRAN_STRITEMS_LABEL,VLOOKUP(D747,Tab_Hours,3,0),0),NA()),0)</f>
        <v>0</v>
      </c>
      <c r="BJ747" s="24">
        <f t="shared" si="162"/>
        <v>0</v>
      </c>
      <c r="BK747" s="24" t="str">
        <f t="shared" si="163"/>
        <v/>
      </c>
      <c r="BL747" s="24" t="str">
        <f t="shared" si="164"/>
        <v/>
      </c>
      <c r="BM747" s="24" t="str">
        <f>IF(G747=1,IF(TableCosts[[#This Row],[TransferFrom]]=TableCosts[[#This Row],[TranferTo]],0,1),"")</f>
        <v/>
      </c>
      <c r="BN747" s="24" t="str">
        <f t="shared" si="165"/>
        <v/>
      </c>
      <c r="BO747" s="24">
        <f t="shared" si="166"/>
        <v>0</v>
      </c>
      <c r="BP747" s="24">
        <f t="shared" si="167"/>
        <v>0</v>
      </c>
    </row>
    <row r="748" spans="2:68" s="24" customFormat="1" ht="12.75" x14ac:dyDescent="0.2">
      <c r="B748" s="97"/>
      <c r="C748" s="92"/>
      <c r="D748" s="92"/>
      <c r="E748" s="92"/>
      <c r="F748" s="31" t="str">
        <f>IF(G748=1,IF(ISERROR(TableCosts[[#This Row],[N_Tariff]]),Err_Message1,IF(TableCosts[[#This Row],[N_Tariff]]=0,Err_Message2,VLOOKUP(C748&amp;TableCosts[[#This Row],[Calc_N_Typ]],TRAN_STRITEMS_LABEL,5,FALSE))),"")</f>
        <v/>
      </c>
      <c r="G748" s="31">
        <f t="shared" si="156"/>
        <v>0</v>
      </c>
      <c r="H748" s="31" t="str">
        <f>IF(G748=1,IFERROR(VLOOKUP(F748,Tab_ErrMessage[],2,0),VLOOKUP(C748&amp;TableCosts[[#This Row],[Calc_N_Typ]],TRAN_STRITEMS_LABEL,4,FALSE)),"")</f>
        <v/>
      </c>
      <c r="I748" s="94"/>
      <c r="J748" s="94"/>
      <c r="K748" s="94"/>
      <c r="L748" s="84"/>
      <c r="M748" s="84"/>
      <c r="N748" s="84"/>
      <c r="O748" s="84"/>
      <c r="P748" s="84"/>
      <c r="Q748" s="84"/>
      <c r="R748" s="84"/>
      <c r="S748" s="84"/>
      <c r="T748" s="84"/>
      <c r="U748" s="84"/>
      <c r="V748" s="84"/>
      <c r="W748" s="84"/>
      <c r="X748" s="84"/>
      <c r="Y748" s="84"/>
      <c r="Z748" s="84"/>
      <c r="AA748" s="84"/>
      <c r="AB748" s="84"/>
      <c r="AC748" s="84"/>
      <c r="AD748" s="84"/>
      <c r="AE748" s="84"/>
      <c r="AF748" s="84"/>
      <c r="AG748" s="84"/>
      <c r="AH748" s="84"/>
      <c r="AI748" s="84"/>
      <c r="AJ748" s="84"/>
      <c r="AK748" s="84"/>
      <c r="AL748" s="84"/>
      <c r="AM748" s="84"/>
      <c r="AN748" s="84"/>
      <c r="AO748" s="84"/>
      <c r="AP748" s="84"/>
      <c r="AQ748" s="84"/>
      <c r="AR748" s="84"/>
      <c r="AS748" s="84"/>
      <c r="AT748" s="84"/>
      <c r="AU748" s="84"/>
      <c r="AV748" s="84"/>
      <c r="AW748" s="84"/>
      <c r="AX748" s="87">
        <f t="array" ref="AX748">IF(G748=1,SUM((ROW(M0)=ROW(AW748))*(M0+M1_+M2_+M3_+M4_+M5_+M6_+M7_+M8_+M9_+M10_+M11_+M12_+M13_+M14_+M15_+M16_+M17_+M18_+M19_+M20_+M21_+M22_+M23_+M24_+M25_+M26_+M27_+M28_+M29_+M30_+M31_+M32_+M33_+M34_+M35_+M36_+M37_)),0)</f>
        <v>0</v>
      </c>
      <c r="AZ748" s="24" t="str">
        <f t="shared" si="157"/>
        <v/>
      </c>
      <c r="BA748" s="24" t="str">
        <f t="shared" si="158"/>
        <v/>
      </c>
      <c r="BB748" s="24" t="str">
        <f t="shared" si="159"/>
        <v/>
      </c>
      <c r="BC748" s="24" t="str">
        <f>IF(OR(E748="",LEFT(TableCosts[[#This Row],[Calc_N_Typ]],18)="Vynaložené náklady"),"",VLOOKUP(E748,Tab_Parts,2,0))</f>
        <v/>
      </c>
      <c r="BD748" s="24" t="str">
        <f t="shared" si="160"/>
        <v/>
      </c>
      <c r="BE748" s="24">
        <f t="shared" si="161"/>
        <v>0</v>
      </c>
      <c r="BF748" s="72">
        <f>TableCosts[[#This Row],[N_Amount]]*TableCosts[[#This Row],[N_Tariff]]*TableCosts[[#This Row],[N_ItemsCount]]</f>
        <v>0</v>
      </c>
      <c r="BG748" s="72">
        <f>IF(G748=1,IF(TableCosts[[#This Row],[N_Kateg]]="interné práce",TableCosts[[#This Row],[N_Amount]]*8*PAR_SGA_PERHOUR,0),0)</f>
        <v>0</v>
      </c>
      <c r="BH748" s="72">
        <f>SUM(TableCosts[[#This Row],[N_Direct]:[N_SGA]])</f>
        <v>0</v>
      </c>
      <c r="BI748" s="24">
        <f>IF(G748=1,IF(OR(AND(NOT(ISERROR(VLOOKUP(TableCosts[[#This Row],[Calc_N_Typ]],Cis_WorkPositions,1,0))),C748&lt;&gt;"",D748&lt;&gt;"",E748&lt;&gt;""),AND(ISERROR(VLOOKUP(TableCosts[[#This Row],[Calc_N_Typ]],Cis_WorkPositions,1,0)),C748="",D748="",E748&lt;&gt;""),LEFT(TableCosts[[#This Row],[Calc_N_Typ]],18)="Vynaložené náklady"),VLOOKUP(C748&amp;TableCosts[[#This Row],[Calc_N_Typ]],TRAN_STRITEMS_LABEL,VLOOKUP(D748,Tab_Hours,3,0),0),NA()),0)</f>
        <v>0</v>
      </c>
      <c r="BJ748" s="24">
        <f t="shared" si="162"/>
        <v>0</v>
      </c>
      <c r="BK748" s="24" t="str">
        <f t="shared" si="163"/>
        <v/>
      </c>
      <c r="BL748" s="24" t="str">
        <f t="shared" si="164"/>
        <v/>
      </c>
      <c r="BM748" s="24" t="str">
        <f>IF(G748=1,IF(TableCosts[[#This Row],[TransferFrom]]=TableCosts[[#This Row],[TranferTo]],0,1),"")</f>
        <v/>
      </c>
      <c r="BN748" s="24" t="str">
        <f t="shared" si="165"/>
        <v/>
      </c>
      <c r="BO748" s="24">
        <f t="shared" si="166"/>
        <v>0</v>
      </c>
      <c r="BP748" s="24">
        <f t="shared" si="167"/>
        <v>0</v>
      </c>
    </row>
    <row r="749" spans="2:68" s="24" customFormat="1" ht="12.75" x14ac:dyDescent="0.2">
      <c r="B749" s="97"/>
      <c r="C749" s="92"/>
      <c r="D749" s="92"/>
      <c r="E749" s="92"/>
      <c r="F749" s="31" t="str">
        <f>IF(G749=1,IF(ISERROR(TableCosts[[#This Row],[N_Tariff]]),Err_Message1,IF(TableCosts[[#This Row],[N_Tariff]]=0,Err_Message2,VLOOKUP(C749&amp;TableCosts[[#This Row],[Calc_N_Typ]],TRAN_STRITEMS_LABEL,5,FALSE))),"")</f>
        <v/>
      </c>
      <c r="G749" s="31">
        <f t="shared" si="156"/>
        <v>0</v>
      </c>
      <c r="H749" s="31" t="str">
        <f>IF(G749=1,IFERROR(VLOOKUP(F749,Tab_ErrMessage[],2,0),VLOOKUP(C749&amp;TableCosts[[#This Row],[Calc_N_Typ]],TRAN_STRITEMS_LABEL,4,FALSE)),"")</f>
        <v/>
      </c>
      <c r="I749" s="94"/>
      <c r="J749" s="94"/>
      <c r="K749" s="94"/>
      <c r="L749" s="84"/>
      <c r="M749" s="84"/>
      <c r="N749" s="84"/>
      <c r="O749" s="84"/>
      <c r="P749" s="84"/>
      <c r="Q749" s="84"/>
      <c r="R749" s="84"/>
      <c r="S749" s="84"/>
      <c r="T749" s="84"/>
      <c r="U749" s="84"/>
      <c r="V749" s="84"/>
      <c r="W749" s="84"/>
      <c r="X749" s="84"/>
      <c r="Y749" s="84"/>
      <c r="Z749" s="84"/>
      <c r="AA749" s="84"/>
      <c r="AB749" s="84"/>
      <c r="AC749" s="84"/>
      <c r="AD749" s="84"/>
      <c r="AE749" s="84"/>
      <c r="AF749" s="84"/>
      <c r="AG749" s="84"/>
      <c r="AH749" s="84"/>
      <c r="AI749" s="84"/>
      <c r="AJ749" s="84"/>
      <c r="AK749" s="84"/>
      <c r="AL749" s="84"/>
      <c r="AM749" s="84"/>
      <c r="AN749" s="84"/>
      <c r="AO749" s="84"/>
      <c r="AP749" s="84"/>
      <c r="AQ749" s="84"/>
      <c r="AR749" s="84"/>
      <c r="AS749" s="84"/>
      <c r="AT749" s="84"/>
      <c r="AU749" s="84"/>
      <c r="AV749" s="84"/>
      <c r="AW749" s="84"/>
      <c r="AX749" s="87">
        <f t="array" ref="AX749">IF(G749=1,SUM((ROW(M0)=ROW(AW749))*(M0+M1_+M2_+M3_+M4_+M5_+M6_+M7_+M8_+M9_+M10_+M11_+M12_+M13_+M14_+M15_+M16_+M17_+M18_+M19_+M20_+M21_+M22_+M23_+M24_+M25_+M26_+M27_+M28_+M29_+M30_+M31_+M32_+M33_+M34_+M35_+M36_+M37_)),0)</f>
        <v>0</v>
      </c>
      <c r="AZ749" s="24" t="str">
        <f t="shared" si="157"/>
        <v/>
      </c>
      <c r="BA749" s="24" t="str">
        <f t="shared" si="158"/>
        <v/>
      </c>
      <c r="BB749" s="24" t="str">
        <f t="shared" si="159"/>
        <v/>
      </c>
      <c r="BC749" s="24" t="str">
        <f>IF(OR(E749="",LEFT(TableCosts[[#This Row],[Calc_N_Typ]],18)="Vynaložené náklady"),"",VLOOKUP(E749,Tab_Parts,2,0))</f>
        <v/>
      </c>
      <c r="BD749" s="24" t="str">
        <f t="shared" si="160"/>
        <v/>
      </c>
      <c r="BE749" s="24">
        <f t="shared" si="161"/>
        <v>0</v>
      </c>
      <c r="BF749" s="72">
        <f>TableCosts[[#This Row],[N_Amount]]*TableCosts[[#This Row],[N_Tariff]]*TableCosts[[#This Row],[N_ItemsCount]]</f>
        <v>0</v>
      </c>
      <c r="BG749" s="72">
        <f>IF(G749=1,IF(TableCosts[[#This Row],[N_Kateg]]="interné práce",TableCosts[[#This Row],[N_Amount]]*8*PAR_SGA_PERHOUR,0),0)</f>
        <v>0</v>
      </c>
      <c r="BH749" s="72">
        <f>SUM(TableCosts[[#This Row],[N_Direct]:[N_SGA]])</f>
        <v>0</v>
      </c>
      <c r="BI749" s="24">
        <f>IF(G749=1,IF(OR(AND(NOT(ISERROR(VLOOKUP(TableCosts[[#This Row],[Calc_N_Typ]],Cis_WorkPositions,1,0))),C749&lt;&gt;"",D749&lt;&gt;"",E749&lt;&gt;""),AND(ISERROR(VLOOKUP(TableCosts[[#This Row],[Calc_N_Typ]],Cis_WorkPositions,1,0)),C749="",D749="",E749&lt;&gt;""),LEFT(TableCosts[[#This Row],[Calc_N_Typ]],18)="Vynaložené náklady"),VLOOKUP(C749&amp;TableCosts[[#This Row],[Calc_N_Typ]],TRAN_STRITEMS_LABEL,VLOOKUP(D749,Tab_Hours,3,0),0),NA()),0)</f>
        <v>0</v>
      </c>
      <c r="BJ749" s="24">
        <f t="shared" si="162"/>
        <v>0</v>
      </c>
      <c r="BK749" s="24" t="str">
        <f t="shared" si="163"/>
        <v/>
      </c>
      <c r="BL749" s="24" t="str">
        <f t="shared" si="164"/>
        <v/>
      </c>
      <c r="BM749" s="24" t="str">
        <f>IF(G749=1,IF(TableCosts[[#This Row],[TransferFrom]]=TableCosts[[#This Row],[TranferTo]],0,1),"")</f>
        <v/>
      </c>
      <c r="BN749" s="24" t="str">
        <f t="shared" si="165"/>
        <v/>
      </c>
      <c r="BO749" s="24">
        <f t="shared" si="166"/>
        <v>0</v>
      </c>
      <c r="BP749" s="24">
        <f t="shared" si="167"/>
        <v>0</v>
      </c>
    </row>
    <row r="750" spans="2:68" s="24" customFormat="1" ht="12.75" x14ac:dyDescent="0.2">
      <c r="B750" s="98"/>
      <c r="C750" s="93"/>
      <c r="D750" s="93"/>
      <c r="E750" s="93"/>
      <c r="F750" s="95" t="str">
        <f>IF(G750=1,IF(ISERROR(TableCosts[[#This Row],[N_Tariff]]),Err_Message1,IF(TableCosts[[#This Row],[N_Tariff]]=0,Err_Message2,VLOOKUP(C750&amp;TableCosts[[#This Row],[Calc_N_Typ]],TRAN_STRITEMS_LABEL,5,FALSE))),"")</f>
        <v/>
      </c>
      <c r="G750" s="95">
        <f t="shared" si="156"/>
        <v>0</v>
      </c>
      <c r="H750" s="95" t="str">
        <f>IF(G750=1,IFERROR(VLOOKUP(F750,Tab_ErrMessage[],2,0),VLOOKUP(C750&amp;TableCosts[[#This Row],[Calc_N_Typ]],TRAN_STRITEMS_LABEL,4,FALSE)),"")</f>
        <v/>
      </c>
      <c r="I750" s="96"/>
      <c r="J750" s="96"/>
      <c r="K750" s="96"/>
      <c r="L750" s="86"/>
      <c r="M750" s="86"/>
      <c r="N750" s="86"/>
      <c r="O750" s="86"/>
      <c r="P750" s="86"/>
      <c r="Q750" s="86"/>
      <c r="R750" s="86"/>
      <c r="S750" s="86"/>
      <c r="T750" s="86"/>
      <c r="U750" s="86"/>
      <c r="V750" s="86"/>
      <c r="W750" s="86"/>
      <c r="X750" s="86"/>
      <c r="Y750" s="86"/>
      <c r="Z750" s="86"/>
      <c r="AA750" s="86"/>
      <c r="AB750" s="86"/>
      <c r="AC750" s="86"/>
      <c r="AD750" s="86"/>
      <c r="AE750" s="86"/>
      <c r="AF750" s="86"/>
      <c r="AG750" s="86"/>
      <c r="AH750" s="86"/>
      <c r="AI750" s="86"/>
      <c r="AJ750" s="86"/>
      <c r="AK750" s="86"/>
      <c r="AL750" s="86"/>
      <c r="AM750" s="86"/>
      <c r="AN750" s="86"/>
      <c r="AO750" s="86"/>
      <c r="AP750" s="86"/>
      <c r="AQ750" s="86"/>
      <c r="AR750" s="86"/>
      <c r="AS750" s="86"/>
      <c r="AT750" s="86"/>
      <c r="AU750" s="86"/>
      <c r="AV750" s="86"/>
      <c r="AW750" s="86"/>
      <c r="AX750" s="88">
        <f t="array" ref="AX750">IF(G750=1,SUM((ROW(M0)=ROW(AW750))*(M0+M1_+M2_+M3_+M4_+M5_+M6_+M7_+M8_+M9_+M10_+M11_+M12_+M13_+M14_+M15_+M16_+M17_+M18_+M19_+M20_+M21_+M22_+M23_+M24_+M25_+M26_+M27_+M28_+M29_+M30_+M31_+M32_+M33_+M34_+M35_+M36_+M37_)),0)</f>
        <v>0</v>
      </c>
      <c r="AZ750" s="24" t="str">
        <f t="shared" si="157"/>
        <v/>
      </c>
      <c r="BA750" s="24" t="str">
        <f t="shared" si="158"/>
        <v/>
      </c>
      <c r="BB750" s="24" t="str">
        <f t="shared" si="159"/>
        <v/>
      </c>
      <c r="BC750" s="24" t="str">
        <f>IF(OR(E750="",LEFT(TableCosts[[#This Row],[Calc_N_Typ]],18)="Vynaložené náklady"),"",VLOOKUP(E750,Tab_Parts,2,0))</f>
        <v/>
      </c>
      <c r="BD750" s="24" t="str">
        <f t="shared" si="160"/>
        <v/>
      </c>
      <c r="BE750" s="24">
        <f t="shared" si="161"/>
        <v>0</v>
      </c>
      <c r="BF750" s="72">
        <f>TableCosts[[#This Row],[N_Amount]]*TableCosts[[#This Row],[N_Tariff]]*TableCosts[[#This Row],[N_ItemsCount]]</f>
        <v>0</v>
      </c>
      <c r="BG750" s="72">
        <f>IF(G750=1,IF(TableCosts[[#This Row],[N_Kateg]]="interné práce",TableCosts[[#This Row],[N_Amount]]*8*PAR_SGA_PERHOUR,0),0)</f>
        <v>0</v>
      </c>
      <c r="BH750" s="72">
        <f>SUM(TableCosts[[#This Row],[N_Direct]:[N_SGA]])</f>
        <v>0</v>
      </c>
      <c r="BI750" s="24">
        <f>IF(G750=1,IF(OR(AND(NOT(ISERROR(VLOOKUP(TableCosts[[#This Row],[Calc_N_Typ]],Cis_WorkPositions,1,0))),C750&lt;&gt;"",D750&lt;&gt;"",E750&lt;&gt;""),AND(ISERROR(VLOOKUP(TableCosts[[#This Row],[Calc_N_Typ]],Cis_WorkPositions,1,0)),C750="",D750="",E750&lt;&gt;""),LEFT(TableCosts[[#This Row],[Calc_N_Typ]],18)="Vynaložené náklady"),VLOOKUP(C750&amp;TableCosts[[#This Row],[Calc_N_Typ]],TRAN_STRITEMS_LABEL,VLOOKUP(D750,Tab_Hours,3,0),0),NA()),0)</f>
        <v>0</v>
      </c>
      <c r="BJ750" s="24">
        <f t="shared" si="162"/>
        <v>0</v>
      </c>
      <c r="BK750" s="24" t="str">
        <f t="shared" si="163"/>
        <v/>
      </c>
      <c r="BL750" s="24" t="str">
        <f t="shared" si="164"/>
        <v/>
      </c>
      <c r="BM750" s="24" t="str">
        <f>IF(G750=1,IF(TableCosts[[#This Row],[TransferFrom]]=TableCosts[[#This Row],[TranferTo]],0,1),"")</f>
        <v/>
      </c>
      <c r="BN750" s="24" t="str">
        <f t="shared" si="165"/>
        <v/>
      </c>
      <c r="BO750" s="24">
        <f t="shared" si="166"/>
        <v>0</v>
      </c>
      <c r="BP750" s="24">
        <f t="shared" si="167"/>
        <v>0</v>
      </c>
    </row>
    <row r="751" spans="2:68" x14ac:dyDescent="0.25">
      <c r="AZ751" s="24"/>
      <c r="BA751" s="24"/>
      <c r="BB751" s="24"/>
      <c r="BC751" s="24"/>
      <c r="BD751" s="24"/>
      <c r="BE751" s="69">
        <f>SUBTOTAL(109,BE7:BE750)</f>
        <v>0</v>
      </c>
      <c r="BF751" s="101">
        <f>SUBTOTAL(109,BF7:BF750)</f>
        <v>0</v>
      </c>
      <c r="BG751" s="101">
        <f>SUBTOTAL(109,BG7:BG750)</f>
        <v>0</v>
      </c>
      <c r="BH751" s="101">
        <f>SUBTOTAL(109,BH7:BH750)</f>
        <v>0</v>
      </c>
      <c r="BI751" s="69"/>
      <c r="BJ751" s="69"/>
      <c r="BK751" s="69"/>
      <c r="BL751" s="69"/>
      <c r="BM751" s="69"/>
      <c r="BN751" s="69"/>
      <c r="BO751" s="69"/>
      <c r="BP751" s="69"/>
    </row>
  </sheetData>
  <sheetProtection algorithmName="SHA-512" hashValue="sAymR5HEuzmMD00J34k9Sbz7ZokMUzWGpX2mHiQ0uiWKfpoiFGZiig5DJWdaHiRqapUtUiROlhV9yujoG+5TDA==" saltValue="UHEEX3GU/8KUWRQ711476A==" spinCount="100000" sheet="1" objects="1" scenarios="1"/>
  <mergeCells count="1">
    <mergeCell ref="B3:K3"/>
  </mergeCells>
  <conditionalFormatting sqref="B9:E9 I9:J9 B7:J8 B10:J750">
    <cfRule type="expression" dxfId="83" priority="33">
      <formula>$G7=-1</formula>
    </cfRule>
  </conditionalFormatting>
  <conditionalFormatting sqref="K7:K750">
    <cfRule type="expression" dxfId="82" priority="32">
      <formula>$G7=-1</formula>
    </cfRule>
  </conditionalFormatting>
  <conditionalFormatting sqref="B9:D9 I9:J9">
    <cfRule type="expression" dxfId="81" priority="20">
      <formula>$G9=-1</formula>
    </cfRule>
  </conditionalFormatting>
  <conditionalFormatting sqref="K9">
    <cfRule type="expression" dxfId="80" priority="19">
      <formula>$G9=-1</formula>
    </cfRule>
  </conditionalFormatting>
  <conditionalFormatting sqref="E9">
    <cfRule type="expression" dxfId="79" priority="18">
      <formula>$G9=-1</formula>
    </cfRule>
  </conditionalFormatting>
  <conditionalFormatting sqref="F7:F8 F10:F750">
    <cfRule type="cellIs" dxfId="78" priority="15" operator="equal">
      <formula>"SKONTROLUJ TYP AŽ"</formula>
    </cfRule>
  </conditionalFormatting>
  <conditionalFormatting sqref="H7:J8 I9:J9 H10:J750">
    <cfRule type="cellIs" dxfId="77" priority="14" operator="equal">
      <formula>"KOMPONENT SZ!"</formula>
    </cfRule>
  </conditionalFormatting>
  <conditionalFormatting sqref="G7:G750">
    <cfRule type="expression" dxfId="76" priority="8">
      <formula>$G7=-1</formula>
    </cfRule>
  </conditionalFormatting>
  <conditionalFormatting sqref="F7:F8 F10:F750">
    <cfRule type="cellIs" dxfId="75" priority="10" operator="equal">
      <formula>Err_Message2</formula>
    </cfRule>
    <cfRule type="cellIs" dxfId="74" priority="12" operator="equal">
      <formula>Err_Message1</formula>
    </cfRule>
  </conditionalFormatting>
  <conditionalFormatting sqref="H7:H750">
    <cfRule type="cellIs" dxfId="73" priority="9" operator="equal">
      <formula>"SADZBA!"</formula>
    </cfRule>
    <cfRule type="cellIs" dxfId="72" priority="11" operator="equal">
      <formula>"FÁZA!"</formula>
    </cfRule>
  </conditionalFormatting>
  <conditionalFormatting sqref="B7:I750">
    <cfRule type="expression" dxfId="71" priority="7">
      <formula>$F7=-1</formula>
    </cfRule>
  </conditionalFormatting>
  <conditionalFormatting sqref="F7:F750">
    <cfRule type="cellIs" dxfId="70" priority="5" operator="equal">
      <formula>Err_Message2</formula>
    </cfRule>
    <cfRule type="cellIs" dxfId="69" priority="6" operator="equal">
      <formula>Err_Message1</formula>
    </cfRule>
  </conditionalFormatting>
  <conditionalFormatting sqref="B12:D12 I12:J12">
    <cfRule type="expression" dxfId="68" priority="4">
      <formula>$G12=-1</formula>
    </cfRule>
  </conditionalFormatting>
  <conditionalFormatting sqref="K12">
    <cfRule type="expression" dxfId="67" priority="3">
      <formula>$G12=-1</formula>
    </cfRule>
  </conditionalFormatting>
  <conditionalFormatting sqref="E12">
    <cfRule type="expression" dxfId="66" priority="2">
      <formula>$G12=-1</formula>
    </cfRule>
  </conditionalFormatting>
  <conditionalFormatting sqref="E8">
    <cfRule type="expression" dxfId="65" priority="1">
      <formula>$G8=-1</formula>
    </cfRule>
  </conditionalFormatting>
  <dataValidations xWindow="403" yWindow="486" count="5">
    <dataValidation type="list" showInputMessage="1" showErrorMessage="1" sqref="B7:B750" xr:uid="{00000000-0002-0000-0100-000000000000}">
      <formula1>CIS_STRUCT_ITEMS</formula1>
    </dataValidation>
    <dataValidation type="list" showInputMessage="1" showErrorMessage="1" sqref="C7:C750" xr:uid="{00000000-0002-0000-0100-000001000000}">
      <formula1>CIS_CENTER</formula1>
    </dataValidation>
    <dataValidation type="list" showErrorMessage="1" prompt="ST-štandardná hodina: _x000a_PA-pracovná pohotovosť aktívna:_x000a_PP-pracovná pohotovosť pasívna:" sqref="D7 D9:D10 D12:D750" xr:uid="{00000000-0002-0000-0100-000002000000}">
      <formula1>Cis_Hours</formula1>
    </dataValidation>
    <dataValidation type="list" showInputMessage="1" showErrorMessage="1" promptTitle="Výber časti TP:" prompt="ACQ - Acquisition_x000a_MUL - Maintenance + Upgrade Licenses_x000a_SLA - Servis Level Agreement_x000a_AS - Application Support_x000a_PX - Prophylaxis" sqref="E7:E750" xr:uid="{00000000-0002-0000-0100-000003000000}">
      <formula1>CIS_Parts</formula1>
    </dataValidation>
    <dataValidation type="list" showInputMessage="1" showErrorMessage="1" sqref="D8 D11" xr:uid="{00000000-0002-0000-0100-000004000000}">
      <formula1>Cis_Hours</formula1>
    </dataValidation>
  </dataValidations>
  <pageMargins left="0.70866141732283472" right="0.70866141732283472" top="0.74803149606299213" bottom="0.74803149606299213" header="0.31496062992125984" footer="0.31496062992125984"/>
  <pageSetup paperSize="9" scale="31" fitToHeight="0" orientation="landscape" r:id="rId1"/>
  <headerFooter>
    <oddHeader>&amp;CNáklady zákazky</oddHeader>
    <oddFooter>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5" r:id="rId4" name="Button 25">
              <controlPr defaultSize="0" print="0" autoFill="0" autoPict="0" macro="[0]!InsertRow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723900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9" tint="0.59999389629810485"/>
    <pageSetUpPr fitToPage="1"/>
  </sheetPr>
  <dimension ref="B2:H65"/>
  <sheetViews>
    <sheetView showGridLines="0" zoomScale="90" zoomScaleNormal="90" workbookViewId="0">
      <pane ySplit="4" topLeftCell="A5" activePane="bottomLeft" state="frozen"/>
      <selection activeCell="G19" sqref="G19"/>
      <selection pane="bottomLeft" activeCell="E14" sqref="E14"/>
    </sheetView>
  </sheetViews>
  <sheetFormatPr defaultColWidth="9.140625" defaultRowHeight="15" x14ac:dyDescent="0.25"/>
  <cols>
    <col min="1" max="1" width="2.5703125" style="9" customWidth="1"/>
    <col min="2" max="2" width="9.140625" style="9"/>
    <col min="3" max="3" width="9.140625" style="9" hidden="1" customWidth="1"/>
    <col min="4" max="4" width="88.140625" style="9" bestFit="1" customWidth="1"/>
    <col min="5" max="8" width="16.42578125" style="9" customWidth="1"/>
    <col min="9" max="16384" width="9.140625" style="9"/>
  </cols>
  <sheetData>
    <row r="2" spans="2:8" ht="14.45" x14ac:dyDescent="0.3">
      <c r="B2" s="5"/>
      <c r="C2" s="6"/>
      <c r="D2" s="6"/>
      <c r="E2" s="6"/>
      <c r="F2" s="6"/>
      <c r="G2" s="6"/>
      <c r="H2" s="38"/>
    </row>
    <row r="3" spans="2:8" s="13" customFormat="1" ht="24" thickBot="1" x14ac:dyDescent="0.5">
      <c r="B3" s="10"/>
      <c r="C3" s="14"/>
      <c r="D3" s="209" t="str">
        <f>PAR_WO_Label&amp;" - Riziká"</f>
        <v>nedef. - Riziká</v>
      </c>
      <c r="E3" s="209"/>
      <c r="F3" s="209"/>
      <c r="G3" s="47"/>
      <c r="H3" s="48"/>
    </row>
    <row r="4" spans="2:8" s="13" customFormat="1" ht="15.75" customHeight="1" thickTop="1" x14ac:dyDescent="0.4">
      <c r="B4" s="10"/>
      <c r="C4" s="14"/>
      <c r="D4" s="14"/>
      <c r="E4" s="14"/>
      <c r="F4" s="14"/>
      <c r="G4" s="14"/>
      <c r="H4" s="48"/>
    </row>
    <row r="5" spans="2:8" s="22" customFormat="1" ht="15.75" x14ac:dyDescent="0.25">
      <c r="B5" s="49" t="s">
        <v>17</v>
      </c>
      <c r="C5" s="50" t="str">
        <f>IF(AND(D5&lt;&gt;"",G5&gt;0,G5&lt;&gt;"riziko"),"Riziká","")</f>
        <v/>
      </c>
      <c r="D5" s="50" t="s">
        <v>6</v>
      </c>
      <c r="E5" s="51" t="s">
        <v>57</v>
      </c>
      <c r="F5" s="51" t="s">
        <v>59</v>
      </c>
      <c r="G5" s="51" t="s">
        <v>58</v>
      </c>
      <c r="H5" s="52"/>
    </row>
    <row r="6" spans="2:8" s="22" customFormat="1" x14ac:dyDescent="0.25">
      <c r="B6" s="30"/>
      <c r="C6" s="24" t="str">
        <f t="shared" ref="C6:C65" si="0">IF(AND(D6&lt;&gt;"",G6&gt;0,G6&lt;&gt;"riziko"),"Riziká","")</f>
        <v/>
      </c>
      <c r="D6" s="24" t="s">
        <v>7</v>
      </c>
      <c r="E6" s="1">
        <v>0</v>
      </c>
      <c r="F6" s="2"/>
      <c r="G6" s="53">
        <f>E6*F6/100</f>
        <v>0</v>
      </c>
      <c r="H6" s="27"/>
    </row>
    <row r="7" spans="2:8" s="22" customFormat="1" x14ac:dyDescent="0.25">
      <c r="B7" s="30"/>
      <c r="C7" s="24" t="str">
        <f t="shared" si="0"/>
        <v/>
      </c>
      <c r="D7" s="24" t="s">
        <v>8</v>
      </c>
      <c r="E7" s="1"/>
      <c r="F7" s="2"/>
      <c r="G7" s="53">
        <f t="shared" ref="G7:G13" si="1">E7*F7/100</f>
        <v>0</v>
      </c>
      <c r="H7" s="27"/>
    </row>
    <row r="8" spans="2:8" s="22" customFormat="1" x14ac:dyDescent="0.25">
      <c r="B8" s="30"/>
      <c r="C8" s="24" t="str">
        <f t="shared" si="0"/>
        <v/>
      </c>
      <c r="D8" s="24" t="s">
        <v>9</v>
      </c>
      <c r="E8" s="1"/>
      <c r="F8" s="2"/>
      <c r="G8" s="53">
        <f t="shared" si="1"/>
        <v>0</v>
      </c>
      <c r="H8" s="27"/>
    </row>
    <row r="9" spans="2:8" s="22" customFormat="1" x14ac:dyDescent="0.25">
      <c r="B9" s="30"/>
      <c r="C9" s="24"/>
      <c r="D9" s="24" t="s">
        <v>423</v>
      </c>
      <c r="E9" s="1"/>
      <c r="F9" s="2"/>
      <c r="G9" s="53"/>
      <c r="H9" s="27"/>
    </row>
    <row r="10" spans="2:8" s="22" customFormat="1" x14ac:dyDescent="0.25">
      <c r="B10" s="30"/>
      <c r="C10" s="24"/>
      <c r="D10" s="24" t="s">
        <v>424</v>
      </c>
      <c r="E10" s="1"/>
      <c r="F10" s="2"/>
      <c r="G10" s="53"/>
      <c r="H10" s="27"/>
    </row>
    <row r="11" spans="2:8" s="22" customFormat="1" x14ac:dyDescent="0.25">
      <c r="B11" s="30"/>
      <c r="C11" s="24" t="str">
        <f t="shared" si="0"/>
        <v/>
      </c>
      <c r="D11" s="24" t="s">
        <v>10</v>
      </c>
      <c r="E11" s="1"/>
      <c r="F11" s="2"/>
      <c r="G11" s="53">
        <f t="shared" si="1"/>
        <v>0</v>
      </c>
      <c r="H11" s="27"/>
    </row>
    <row r="12" spans="2:8" s="22" customFormat="1" ht="14.45" x14ac:dyDescent="0.3">
      <c r="B12" s="30"/>
      <c r="C12" s="24" t="str">
        <f t="shared" si="0"/>
        <v/>
      </c>
      <c r="D12" s="24" t="s">
        <v>11</v>
      </c>
      <c r="E12" s="1">
        <v>0</v>
      </c>
      <c r="F12" s="2"/>
      <c r="G12" s="53">
        <f t="shared" si="1"/>
        <v>0</v>
      </c>
      <c r="H12" s="27"/>
    </row>
    <row r="13" spans="2:8" s="22" customFormat="1" ht="15.75" thickBot="1" x14ac:dyDescent="0.3">
      <c r="B13" s="30"/>
      <c r="C13" s="24" t="str">
        <f t="shared" si="0"/>
        <v/>
      </c>
      <c r="D13" s="54" t="s">
        <v>12</v>
      </c>
      <c r="E13" s="3">
        <v>0</v>
      </c>
      <c r="F13" s="4"/>
      <c r="G13" s="55">
        <f t="shared" si="1"/>
        <v>0</v>
      </c>
      <c r="H13" s="56"/>
    </row>
    <row r="14" spans="2:8" s="22" customFormat="1" thickTop="1" x14ac:dyDescent="0.3">
      <c r="B14" s="30"/>
      <c r="C14" s="24" t="str">
        <f t="shared" si="0"/>
        <v/>
      </c>
      <c r="D14" s="24"/>
      <c r="E14" s="57">
        <f>SUM(E6:E13)</f>
        <v>0</v>
      </c>
      <c r="F14" s="58">
        <f>IF(E14&gt;0,G14/E14*100,0)</f>
        <v>0</v>
      </c>
      <c r="G14" s="53">
        <f>SUM(G6:G13)</f>
        <v>0</v>
      </c>
      <c r="H14" s="27"/>
    </row>
    <row r="15" spans="2:8" s="22" customFormat="1" ht="15.75" x14ac:dyDescent="0.25">
      <c r="B15" s="17" t="s">
        <v>2</v>
      </c>
      <c r="C15" s="18" t="str">
        <f t="shared" si="0"/>
        <v/>
      </c>
      <c r="D15" s="18" t="s">
        <v>13</v>
      </c>
      <c r="E15" s="19" t="s">
        <v>57</v>
      </c>
      <c r="F15" s="19" t="s">
        <v>59</v>
      </c>
      <c r="G15" s="19" t="s">
        <v>58</v>
      </c>
      <c r="H15" s="59"/>
    </row>
    <row r="16" spans="2:8" s="22" customFormat="1" x14ac:dyDescent="0.25">
      <c r="B16" s="30"/>
      <c r="C16" s="24" t="str">
        <f t="shared" si="0"/>
        <v/>
      </c>
      <c r="D16" s="24" t="s">
        <v>14</v>
      </c>
      <c r="E16" s="1"/>
      <c r="F16" s="2"/>
      <c r="G16" s="53">
        <f t="shared" ref="G16:G18" si="2">E16*F16/100</f>
        <v>0</v>
      </c>
      <c r="H16" s="27"/>
    </row>
    <row r="17" spans="2:8" s="22" customFormat="1" x14ac:dyDescent="0.25">
      <c r="B17" s="30"/>
      <c r="C17" s="24" t="str">
        <f t="shared" si="0"/>
        <v/>
      </c>
      <c r="D17" s="24" t="s">
        <v>15</v>
      </c>
      <c r="E17" s="1"/>
      <c r="F17" s="2"/>
      <c r="G17" s="53">
        <f t="shared" si="2"/>
        <v>0</v>
      </c>
      <c r="H17" s="27"/>
    </row>
    <row r="18" spans="2:8" s="22" customFormat="1" ht="15.75" thickBot="1" x14ac:dyDescent="0.3">
      <c r="B18" s="30"/>
      <c r="C18" s="24" t="str">
        <f t="shared" si="0"/>
        <v/>
      </c>
      <c r="D18" s="54" t="s">
        <v>16</v>
      </c>
      <c r="E18" s="3"/>
      <c r="F18" s="4"/>
      <c r="G18" s="55">
        <f t="shared" si="2"/>
        <v>0</v>
      </c>
      <c r="H18" s="56"/>
    </row>
    <row r="19" spans="2:8" s="22" customFormat="1" thickTop="1" x14ac:dyDescent="0.3">
      <c r="B19" s="30"/>
      <c r="C19" s="24" t="str">
        <f t="shared" si="0"/>
        <v/>
      </c>
      <c r="D19" s="24"/>
      <c r="E19" s="57">
        <f>SUM(E16:E18)</f>
        <v>0</v>
      </c>
      <c r="F19" s="58">
        <f>IF(E19&gt;0,G19/E19*100,0)</f>
        <v>0</v>
      </c>
      <c r="G19" s="53">
        <f>SUM(G16:G18)</f>
        <v>0</v>
      </c>
      <c r="H19" s="27"/>
    </row>
    <row r="20" spans="2:8" s="22" customFormat="1" ht="15.75" x14ac:dyDescent="0.25">
      <c r="B20" s="17" t="s">
        <v>18</v>
      </c>
      <c r="C20" s="18" t="str">
        <f t="shared" si="0"/>
        <v/>
      </c>
      <c r="D20" s="18" t="s">
        <v>19</v>
      </c>
      <c r="E20" s="19" t="s">
        <v>57</v>
      </c>
      <c r="F20" s="19" t="s">
        <v>59</v>
      </c>
      <c r="G20" s="19" t="s">
        <v>58</v>
      </c>
      <c r="H20" s="60"/>
    </row>
    <row r="21" spans="2:8" s="22" customFormat="1" x14ac:dyDescent="0.25">
      <c r="B21" s="30"/>
      <c r="C21" s="24" t="str">
        <f t="shared" si="0"/>
        <v/>
      </c>
      <c r="D21" s="24" t="s">
        <v>20</v>
      </c>
      <c r="E21" s="1"/>
      <c r="F21" s="2"/>
      <c r="G21" s="53">
        <f>E21*F21/100</f>
        <v>0</v>
      </c>
      <c r="H21" s="61"/>
    </row>
    <row r="22" spans="2:8" s="22" customFormat="1" x14ac:dyDescent="0.25">
      <c r="B22" s="30"/>
      <c r="C22" s="24" t="str">
        <f t="shared" si="0"/>
        <v/>
      </c>
      <c r="D22" s="24" t="s">
        <v>21</v>
      </c>
      <c r="E22" s="1"/>
      <c r="F22" s="2"/>
      <c r="G22" s="53">
        <f t="shared" ref="G22:G25" si="3">E22*F22/100</f>
        <v>0</v>
      </c>
      <c r="H22" s="61"/>
    </row>
    <row r="23" spans="2:8" s="22" customFormat="1" ht="14.45" x14ac:dyDescent="0.3">
      <c r="B23" s="30"/>
      <c r="C23" s="24" t="str">
        <f t="shared" si="0"/>
        <v/>
      </c>
      <c r="D23" s="24" t="s">
        <v>22</v>
      </c>
      <c r="E23" s="1"/>
      <c r="F23" s="2"/>
      <c r="G23" s="53">
        <f t="shared" si="3"/>
        <v>0</v>
      </c>
      <c r="H23" s="61"/>
    </row>
    <row r="24" spans="2:8" s="22" customFormat="1" x14ac:dyDescent="0.25">
      <c r="B24" s="30"/>
      <c r="C24" s="24" t="str">
        <f t="shared" si="0"/>
        <v/>
      </c>
      <c r="D24" s="24" t="s">
        <v>23</v>
      </c>
      <c r="E24" s="1"/>
      <c r="F24" s="2"/>
      <c r="G24" s="53">
        <f t="shared" si="3"/>
        <v>0</v>
      </c>
      <c r="H24" s="61"/>
    </row>
    <row r="25" spans="2:8" s="22" customFormat="1" ht="15.75" thickBot="1" x14ac:dyDescent="0.3">
      <c r="B25" s="30"/>
      <c r="C25" s="24" t="str">
        <f t="shared" si="0"/>
        <v/>
      </c>
      <c r="D25" s="54" t="s">
        <v>24</v>
      </c>
      <c r="E25" s="3"/>
      <c r="F25" s="4"/>
      <c r="G25" s="55">
        <f t="shared" si="3"/>
        <v>0</v>
      </c>
      <c r="H25" s="62"/>
    </row>
    <row r="26" spans="2:8" s="22" customFormat="1" thickTop="1" x14ac:dyDescent="0.3">
      <c r="B26" s="30"/>
      <c r="C26" s="24" t="str">
        <f t="shared" si="0"/>
        <v/>
      </c>
      <c r="D26" s="24"/>
      <c r="E26" s="57">
        <f>SUM(E21:E25)</f>
        <v>0</v>
      </c>
      <c r="F26" s="58">
        <f>IF(E26&gt;0,G26/E26*100,0)</f>
        <v>0</v>
      </c>
      <c r="G26" s="53">
        <f>SUM(G21:G25)</f>
        <v>0</v>
      </c>
      <c r="H26" s="61"/>
    </row>
    <row r="27" spans="2:8" s="24" customFormat="1" ht="15.75" x14ac:dyDescent="0.25">
      <c r="B27" s="17" t="s">
        <v>35</v>
      </c>
      <c r="C27" s="18" t="str">
        <f t="shared" si="0"/>
        <v/>
      </c>
      <c r="D27" s="18" t="s">
        <v>25</v>
      </c>
      <c r="E27" s="19" t="s">
        <v>57</v>
      </c>
      <c r="F27" s="19" t="s">
        <v>59</v>
      </c>
      <c r="G27" s="19" t="s">
        <v>58</v>
      </c>
      <c r="H27" s="60"/>
    </row>
    <row r="28" spans="2:8" s="24" customFormat="1" ht="12.75" x14ac:dyDescent="0.2">
      <c r="B28" s="30"/>
      <c r="C28" s="24" t="str">
        <f t="shared" si="0"/>
        <v/>
      </c>
      <c r="D28" s="24" t="s">
        <v>26</v>
      </c>
      <c r="E28" s="1"/>
      <c r="F28" s="2"/>
      <c r="G28" s="53">
        <f t="shared" ref="G28:G31" si="4">E28*F28/100</f>
        <v>0</v>
      </c>
      <c r="H28" s="27"/>
    </row>
    <row r="29" spans="2:8" s="24" customFormat="1" ht="12.75" x14ac:dyDescent="0.2">
      <c r="B29" s="30"/>
      <c r="C29" s="24" t="str">
        <f t="shared" si="0"/>
        <v/>
      </c>
      <c r="D29" s="24" t="s">
        <v>42</v>
      </c>
      <c r="E29" s="1"/>
      <c r="F29" s="2"/>
      <c r="G29" s="53">
        <f t="shared" si="4"/>
        <v>0</v>
      </c>
      <c r="H29" s="27"/>
    </row>
    <row r="30" spans="2:8" s="24" customFormat="1" ht="12.75" x14ac:dyDescent="0.2">
      <c r="B30" s="30"/>
      <c r="C30" s="24" t="str">
        <f t="shared" si="0"/>
        <v/>
      </c>
      <c r="D30" s="24" t="s">
        <v>27</v>
      </c>
      <c r="E30" s="1"/>
      <c r="F30" s="2"/>
      <c r="G30" s="53">
        <f t="shared" si="4"/>
        <v>0</v>
      </c>
      <c r="H30" s="27"/>
    </row>
    <row r="31" spans="2:8" s="24" customFormat="1" ht="12.75" x14ac:dyDescent="0.2">
      <c r="B31" s="30"/>
      <c r="C31" s="24" t="str">
        <f t="shared" si="0"/>
        <v/>
      </c>
      <c r="D31" s="24" t="s">
        <v>28</v>
      </c>
      <c r="E31" s="1"/>
      <c r="F31" s="2"/>
      <c r="G31" s="53">
        <f t="shared" si="4"/>
        <v>0</v>
      </c>
      <c r="H31" s="27"/>
    </row>
    <row r="32" spans="2:8" s="24" customFormat="1" ht="12.75" x14ac:dyDescent="0.2">
      <c r="B32" s="30"/>
      <c r="C32" s="24" t="s">
        <v>425</v>
      </c>
      <c r="D32" s="24" t="s">
        <v>29</v>
      </c>
      <c r="E32" s="1"/>
      <c r="F32" s="2"/>
      <c r="G32" s="53">
        <v>0</v>
      </c>
      <c r="H32" s="27"/>
    </row>
    <row r="33" spans="2:8" s="24" customFormat="1" ht="12.75" x14ac:dyDescent="0.2">
      <c r="B33" s="30"/>
      <c r="C33" s="24" t="str">
        <f t="shared" si="0"/>
        <v/>
      </c>
      <c r="D33" s="24" t="s">
        <v>30</v>
      </c>
      <c r="E33" s="1"/>
      <c r="F33" s="2"/>
      <c r="G33" s="53">
        <f>E33*F33/100</f>
        <v>0</v>
      </c>
      <c r="H33" s="27"/>
    </row>
    <row r="34" spans="2:8" s="24" customFormat="1" ht="12.75" x14ac:dyDescent="0.2">
      <c r="B34" s="30"/>
      <c r="C34" s="24" t="str">
        <f t="shared" si="0"/>
        <v/>
      </c>
      <c r="D34" s="24" t="s">
        <v>31</v>
      </c>
      <c r="E34" s="1"/>
      <c r="F34" s="2"/>
      <c r="G34" s="53">
        <f t="shared" ref="G34:G37" si="5">E34*F34/100</f>
        <v>0</v>
      </c>
      <c r="H34" s="27"/>
    </row>
    <row r="35" spans="2:8" s="24" customFormat="1" ht="12.75" x14ac:dyDescent="0.2">
      <c r="B35" s="30"/>
      <c r="C35" s="24" t="str">
        <f t="shared" si="0"/>
        <v/>
      </c>
      <c r="D35" s="24" t="s">
        <v>32</v>
      </c>
      <c r="E35" s="1"/>
      <c r="F35" s="2"/>
      <c r="G35" s="53">
        <f t="shared" si="5"/>
        <v>0</v>
      </c>
      <c r="H35" s="27"/>
    </row>
    <row r="36" spans="2:8" s="24" customFormat="1" ht="12.75" x14ac:dyDescent="0.2">
      <c r="B36" s="30"/>
      <c r="C36" s="24" t="str">
        <f t="shared" si="0"/>
        <v/>
      </c>
      <c r="D36" s="24" t="s">
        <v>33</v>
      </c>
      <c r="E36" s="1"/>
      <c r="F36" s="2"/>
      <c r="G36" s="53">
        <f t="shared" si="5"/>
        <v>0</v>
      </c>
      <c r="H36" s="27"/>
    </row>
    <row r="37" spans="2:8" s="24" customFormat="1" ht="13.5" thickBot="1" x14ac:dyDescent="0.25">
      <c r="B37" s="30"/>
      <c r="C37" s="24" t="str">
        <f t="shared" si="0"/>
        <v/>
      </c>
      <c r="D37" s="54" t="s">
        <v>34</v>
      </c>
      <c r="E37" s="3"/>
      <c r="F37" s="4"/>
      <c r="G37" s="55">
        <f t="shared" si="5"/>
        <v>0</v>
      </c>
      <c r="H37" s="62"/>
    </row>
    <row r="38" spans="2:8" s="24" customFormat="1" ht="13.5" thickTop="1" x14ac:dyDescent="0.2">
      <c r="B38" s="30"/>
      <c r="C38" s="24" t="str">
        <f t="shared" si="0"/>
        <v/>
      </c>
      <c r="E38" s="57">
        <f>SUM(E28:E37)</f>
        <v>0</v>
      </c>
      <c r="F38" s="58">
        <f>IF(E38&gt;0,G38/E38*100,0)</f>
        <v>0</v>
      </c>
      <c r="G38" s="53">
        <f>SUM(G28:G37)</f>
        <v>0</v>
      </c>
      <c r="H38" s="27"/>
    </row>
    <row r="39" spans="2:8" s="22" customFormat="1" ht="15.75" x14ac:dyDescent="0.25">
      <c r="B39" s="17" t="s">
        <v>36</v>
      </c>
      <c r="C39" s="18" t="str">
        <f t="shared" si="0"/>
        <v/>
      </c>
      <c r="D39" s="18" t="s">
        <v>60</v>
      </c>
      <c r="E39" s="19" t="s">
        <v>57</v>
      </c>
      <c r="F39" s="19" t="s">
        <v>59</v>
      </c>
      <c r="G39" s="19" t="s">
        <v>58</v>
      </c>
      <c r="H39" s="60"/>
    </row>
    <row r="40" spans="2:8" x14ac:dyDescent="0.25">
      <c r="B40" s="30"/>
      <c r="C40" s="24" t="str">
        <f t="shared" si="0"/>
        <v/>
      </c>
      <c r="D40" s="24" t="s">
        <v>37</v>
      </c>
      <c r="E40" s="1"/>
      <c r="F40" s="2"/>
      <c r="G40" s="53">
        <f t="shared" ref="G40" si="6">E40*F40/100</f>
        <v>0</v>
      </c>
      <c r="H40" s="27"/>
    </row>
    <row r="41" spans="2:8" x14ac:dyDescent="0.25">
      <c r="B41" s="30"/>
      <c r="C41" s="24" t="str">
        <f t="shared" si="0"/>
        <v/>
      </c>
      <c r="D41" s="24" t="s">
        <v>38</v>
      </c>
      <c r="E41" s="1"/>
      <c r="F41" s="2"/>
      <c r="G41" s="53">
        <f>E41*F41/100</f>
        <v>0</v>
      </c>
      <c r="H41" s="27"/>
    </row>
    <row r="42" spans="2:8" x14ac:dyDescent="0.25">
      <c r="B42" s="30"/>
      <c r="C42" s="24" t="str">
        <f t="shared" si="0"/>
        <v/>
      </c>
      <c r="D42" s="24" t="s">
        <v>39</v>
      </c>
      <c r="E42" s="1"/>
      <c r="F42" s="2"/>
      <c r="G42" s="53">
        <f>E42*F42/100</f>
        <v>0</v>
      </c>
      <c r="H42" s="27"/>
    </row>
    <row r="43" spans="2:8" x14ac:dyDescent="0.25">
      <c r="B43" s="30"/>
      <c r="C43" s="24" t="str">
        <f t="shared" si="0"/>
        <v/>
      </c>
      <c r="D43" s="24" t="s">
        <v>40</v>
      </c>
      <c r="E43" s="1"/>
      <c r="F43" s="2"/>
      <c r="G43" s="53">
        <f t="shared" ref="G43:G46" si="7">E43*F43/100</f>
        <v>0</v>
      </c>
      <c r="H43" s="27"/>
    </row>
    <row r="44" spans="2:8" x14ac:dyDescent="0.25">
      <c r="B44" s="30"/>
      <c r="C44" s="24" t="str">
        <f t="shared" si="0"/>
        <v/>
      </c>
      <c r="D44" s="24" t="s">
        <v>41</v>
      </c>
      <c r="E44" s="1"/>
      <c r="F44" s="2"/>
      <c r="G44" s="53">
        <f t="shared" si="7"/>
        <v>0</v>
      </c>
      <c r="H44" s="27"/>
    </row>
    <row r="45" spans="2:8" x14ac:dyDescent="0.25">
      <c r="B45" s="30"/>
      <c r="C45" s="24" t="str">
        <f t="shared" si="0"/>
        <v/>
      </c>
      <c r="D45" s="24" t="s">
        <v>43</v>
      </c>
      <c r="E45" s="1"/>
      <c r="F45" s="2"/>
      <c r="G45" s="53">
        <f t="shared" si="7"/>
        <v>0</v>
      </c>
      <c r="H45" s="27"/>
    </row>
    <row r="46" spans="2:8" ht="15.75" thickBot="1" x14ac:dyDescent="0.3">
      <c r="B46" s="30"/>
      <c r="C46" s="24" t="str">
        <f t="shared" si="0"/>
        <v/>
      </c>
      <c r="D46" s="54" t="s">
        <v>44</v>
      </c>
      <c r="E46" s="3"/>
      <c r="F46" s="4"/>
      <c r="G46" s="55">
        <f t="shared" si="7"/>
        <v>0</v>
      </c>
      <c r="H46" s="56"/>
    </row>
    <row r="47" spans="2:8" ht="15.75" thickTop="1" x14ac:dyDescent="0.25">
      <c r="B47" s="30"/>
      <c r="C47" s="24" t="str">
        <f t="shared" si="0"/>
        <v/>
      </c>
      <c r="D47" s="24"/>
      <c r="E47" s="57">
        <f>SUM(E40:E46)</f>
        <v>0</v>
      </c>
      <c r="F47" s="58">
        <f>IF(E47&gt;0,G47/E47*100,0)</f>
        <v>0</v>
      </c>
      <c r="G47" s="53">
        <f>SUM(G40:G46)</f>
        <v>0</v>
      </c>
      <c r="H47" s="27"/>
    </row>
    <row r="48" spans="2:8" ht="15.75" x14ac:dyDescent="0.25">
      <c r="B48" s="17" t="s">
        <v>45</v>
      </c>
      <c r="C48" s="18" t="str">
        <f t="shared" si="0"/>
        <v/>
      </c>
      <c r="D48" s="18" t="s">
        <v>46</v>
      </c>
      <c r="E48" s="19" t="s">
        <v>57</v>
      </c>
      <c r="F48" s="19" t="s">
        <v>59</v>
      </c>
      <c r="G48" s="19" t="s">
        <v>58</v>
      </c>
      <c r="H48" s="60"/>
    </row>
    <row r="49" spans="2:8" x14ac:dyDescent="0.25">
      <c r="B49" s="30"/>
      <c r="C49" s="24" t="str">
        <f t="shared" si="0"/>
        <v/>
      </c>
      <c r="D49" s="24" t="s">
        <v>47</v>
      </c>
      <c r="E49" s="1"/>
      <c r="F49" s="2"/>
      <c r="G49" s="53">
        <f>E49*F49/100</f>
        <v>0</v>
      </c>
      <c r="H49" s="27"/>
    </row>
    <row r="50" spans="2:8" x14ac:dyDescent="0.25">
      <c r="B50" s="30"/>
      <c r="C50" s="24" t="str">
        <f t="shared" si="0"/>
        <v/>
      </c>
      <c r="D50" s="24" t="s">
        <v>48</v>
      </c>
      <c r="E50" s="1"/>
      <c r="F50" s="2"/>
      <c r="G50" s="53">
        <f t="shared" ref="G50:G53" si="8">E50*F50/100</f>
        <v>0</v>
      </c>
      <c r="H50" s="27"/>
    </row>
    <row r="51" spans="2:8" x14ac:dyDescent="0.25">
      <c r="B51" s="30"/>
      <c r="C51" s="24" t="str">
        <f t="shared" si="0"/>
        <v/>
      </c>
      <c r="D51" s="24" t="s">
        <v>49</v>
      </c>
      <c r="E51" s="1"/>
      <c r="F51" s="2"/>
      <c r="G51" s="53">
        <f t="shared" si="8"/>
        <v>0</v>
      </c>
      <c r="H51" s="27"/>
    </row>
    <row r="52" spans="2:8" x14ac:dyDescent="0.25">
      <c r="B52" s="30"/>
      <c r="C52" s="24" t="str">
        <f t="shared" si="0"/>
        <v/>
      </c>
      <c r="D52" s="24" t="s">
        <v>50</v>
      </c>
      <c r="E52" s="1"/>
      <c r="F52" s="2"/>
      <c r="G52" s="53">
        <f t="shared" si="8"/>
        <v>0</v>
      </c>
      <c r="H52" s="27"/>
    </row>
    <row r="53" spans="2:8" ht="15.75" thickBot="1" x14ac:dyDescent="0.3">
      <c r="B53" s="30"/>
      <c r="C53" s="24" t="str">
        <f t="shared" si="0"/>
        <v/>
      </c>
      <c r="D53" s="54" t="s">
        <v>51</v>
      </c>
      <c r="E53" s="3"/>
      <c r="F53" s="4"/>
      <c r="G53" s="55">
        <f t="shared" si="8"/>
        <v>0</v>
      </c>
      <c r="H53" s="56"/>
    </row>
    <row r="54" spans="2:8" ht="15.75" thickTop="1" x14ac:dyDescent="0.25">
      <c r="B54" s="30"/>
      <c r="C54" s="24" t="str">
        <f t="shared" si="0"/>
        <v/>
      </c>
      <c r="E54" s="57">
        <f>SUM(E49:E53)</f>
        <v>0</v>
      </c>
      <c r="F54" s="58">
        <f>IF(E54&gt;0,G54/E54*100,0)</f>
        <v>0</v>
      </c>
      <c r="G54" s="53">
        <f>SUM(G49:G53)</f>
        <v>0</v>
      </c>
      <c r="H54" s="27"/>
    </row>
    <row r="55" spans="2:8" ht="15.75" x14ac:dyDescent="0.25">
      <c r="B55" s="17" t="s">
        <v>426</v>
      </c>
      <c r="C55" s="18" t="s">
        <v>425</v>
      </c>
      <c r="D55" s="18" t="s">
        <v>427</v>
      </c>
      <c r="E55" s="19" t="s">
        <v>57</v>
      </c>
      <c r="F55" s="19" t="s">
        <v>59</v>
      </c>
      <c r="G55" s="19" t="s">
        <v>58</v>
      </c>
      <c r="H55" s="60"/>
    </row>
    <row r="56" spans="2:8" x14ac:dyDescent="0.25">
      <c r="B56" s="30"/>
      <c r="C56" s="24"/>
      <c r="D56" s="9" t="s">
        <v>428</v>
      </c>
      <c r="E56" s="1"/>
      <c r="F56" s="1"/>
      <c r="G56" s="53">
        <f>E56*F56/100</f>
        <v>0</v>
      </c>
      <c r="H56" s="27"/>
    </row>
    <row r="57" spans="2:8" x14ac:dyDescent="0.25">
      <c r="B57" s="30"/>
      <c r="C57" s="24"/>
      <c r="D57" s="9" t="s">
        <v>429</v>
      </c>
      <c r="E57" s="1"/>
      <c r="F57" s="1"/>
      <c r="G57" s="53"/>
      <c r="H57" s="27"/>
    </row>
    <row r="58" spans="2:8" ht="15.75" thickBot="1" x14ac:dyDescent="0.3">
      <c r="B58" s="30"/>
      <c r="C58" s="24"/>
      <c r="D58" s="54" t="s">
        <v>430</v>
      </c>
      <c r="E58" s="3"/>
      <c r="F58" s="4"/>
      <c r="G58" s="55">
        <f t="shared" ref="G58" si="9">E58*F58/100</f>
        <v>0</v>
      </c>
      <c r="H58" s="56"/>
    </row>
    <row r="59" spans="2:8" ht="15.75" thickTop="1" x14ac:dyDescent="0.25">
      <c r="B59" s="30"/>
      <c r="C59" s="24"/>
      <c r="E59" s="57">
        <f>SUM(E56:E58)</f>
        <v>0</v>
      </c>
      <c r="F59" s="58">
        <f>SUM(F56:F58)</f>
        <v>0</v>
      </c>
      <c r="G59" s="53">
        <f>SUM(G56:G58)</f>
        <v>0</v>
      </c>
      <c r="H59" s="27"/>
    </row>
    <row r="60" spans="2:8" ht="15.75" x14ac:dyDescent="0.25">
      <c r="B60" s="17" t="s">
        <v>53</v>
      </c>
      <c r="C60" s="18" t="str">
        <f t="shared" si="0"/>
        <v/>
      </c>
      <c r="D60" s="18" t="s">
        <v>52</v>
      </c>
      <c r="E60" s="19" t="s">
        <v>57</v>
      </c>
      <c r="F60" s="19" t="s">
        <v>59</v>
      </c>
      <c r="G60" s="19" t="s">
        <v>58</v>
      </c>
      <c r="H60" s="60"/>
    </row>
    <row r="61" spans="2:8" x14ac:dyDescent="0.25">
      <c r="B61" s="30"/>
      <c r="C61" s="24" t="str">
        <f t="shared" si="0"/>
        <v/>
      </c>
      <c r="D61" s="24" t="s">
        <v>54</v>
      </c>
      <c r="E61" s="1"/>
      <c r="F61" s="2"/>
      <c r="G61" s="53">
        <f t="shared" ref="G61:G64" si="10">E61*F61/100</f>
        <v>0</v>
      </c>
      <c r="H61" s="27"/>
    </row>
    <row r="62" spans="2:8" x14ac:dyDescent="0.25">
      <c r="B62" s="30"/>
      <c r="C62" s="24" t="str">
        <f t="shared" si="0"/>
        <v/>
      </c>
      <c r="D62" s="24" t="s">
        <v>55</v>
      </c>
      <c r="E62" s="1"/>
      <c r="F62" s="2"/>
      <c r="G62" s="53">
        <f t="shared" si="10"/>
        <v>0</v>
      </c>
      <c r="H62" s="27"/>
    </row>
    <row r="63" spans="2:8" x14ac:dyDescent="0.25">
      <c r="B63" s="30"/>
      <c r="C63" s="24" t="str">
        <f t="shared" si="0"/>
        <v/>
      </c>
      <c r="D63" s="24" t="s">
        <v>110</v>
      </c>
      <c r="E63" s="1"/>
      <c r="F63" s="2"/>
      <c r="G63" s="53">
        <f t="shared" si="10"/>
        <v>0</v>
      </c>
      <c r="H63" s="27"/>
    </row>
    <row r="64" spans="2:8" ht="15.75" thickBot="1" x14ac:dyDescent="0.3">
      <c r="B64" s="30"/>
      <c r="C64" s="24" t="str">
        <f t="shared" si="0"/>
        <v/>
      </c>
      <c r="D64" s="24" t="s">
        <v>56</v>
      </c>
      <c r="E64" s="3"/>
      <c r="F64" s="4"/>
      <c r="G64" s="55">
        <f t="shared" si="10"/>
        <v>0</v>
      </c>
      <c r="H64" s="27"/>
    </row>
    <row r="65" spans="2:8" ht="15.75" thickTop="1" x14ac:dyDescent="0.25">
      <c r="B65" s="63"/>
      <c r="C65" s="127" t="str">
        <f t="shared" si="0"/>
        <v/>
      </c>
      <c r="D65" s="64"/>
      <c r="E65" s="65">
        <f>SUM(E61:E64)</f>
        <v>0</v>
      </c>
      <c r="F65" s="66">
        <f>IF(E65&gt;0,G65/E65*100,0)</f>
        <v>0</v>
      </c>
      <c r="G65" s="67">
        <f>SUM(G61:G64)</f>
        <v>0</v>
      </c>
      <c r="H65" s="68"/>
    </row>
  </sheetData>
  <sheetProtection password="F836" sheet="1" objects="1" scenarios="1"/>
  <dataConsolidate/>
  <mergeCells count="1">
    <mergeCell ref="D3:F3"/>
  </mergeCells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&amp;CRiziká zákazky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9" tint="-0.249977111117893"/>
    <pageSetUpPr fitToPage="1"/>
  </sheetPr>
  <dimension ref="B2:AZ750"/>
  <sheetViews>
    <sheetView showGridLines="0" zoomScaleNormal="100" workbookViewId="0">
      <pane xSplit="6" ySplit="6" topLeftCell="G7" activePane="bottomRight" state="frozen"/>
      <selection activeCell="G19" sqref="G19"/>
      <selection pane="topRight" activeCell="G19" sqref="G19"/>
      <selection pane="bottomLeft" activeCell="G19" sqref="G19"/>
      <selection pane="bottomRight" activeCell="G8" sqref="G8"/>
    </sheetView>
  </sheetViews>
  <sheetFormatPr defaultColWidth="9.140625" defaultRowHeight="15" x14ac:dyDescent="0.25"/>
  <cols>
    <col min="1" max="1" width="1.42578125" style="9" customWidth="1"/>
    <col min="2" max="2" width="37.42578125" style="9" customWidth="1"/>
    <col min="3" max="3" width="15.140625" style="9" customWidth="1"/>
    <col min="4" max="4" width="18.28515625" style="9" customWidth="1"/>
    <col min="5" max="5" width="4" style="9" hidden="1" customWidth="1"/>
    <col min="6" max="6" width="26.85546875" style="9" customWidth="1"/>
    <col min="7" max="45" width="8.42578125" style="9" customWidth="1"/>
    <col min="46" max="46" width="9.140625" style="9"/>
    <col min="47" max="47" width="14" style="9" hidden="1" customWidth="1"/>
    <col min="48" max="48" width="10.5703125" style="9" hidden="1" customWidth="1"/>
    <col min="49" max="49" width="27.5703125" style="9" hidden="1" customWidth="1"/>
    <col min="50" max="50" width="10" style="9" hidden="1" customWidth="1"/>
    <col min="51" max="51" width="38.42578125" style="9" hidden="1" customWidth="1"/>
    <col min="52" max="52" width="14.5703125" style="9" hidden="1" customWidth="1"/>
    <col min="53" max="16384" width="9.140625" style="9"/>
  </cols>
  <sheetData>
    <row r="2" spans="2:52" ht="14.45" x14ac:dyDescent="0.3"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38"/>
    </row>
    <row r="3" spans="2:52" ht="23.45" x14ac:dyDescent="0.45">
      <c r="B3" s="207" t="str">
        <f>PAR_WO_Label&amp;" - Fakturácia"</f>
        <v>nedef. - Fakturácia</v>
      </c>
      <c r="C3" s="208"/>
      <c r="D3" s="208"/>
      <c r="E3" s="208"/>
      <c r="F3" s="208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S3" s="41"/>
    </row>
    <row r="4" spans="2:52" x14ac:dyDescent="0.25">
      <c r="B4" s="39"/>
      <c r="C4" s="124" t="s">
        <v>138</v>
      </c>
      <c r="D4" s="123">
        <f t="array" ref="D4">SUM(TableInvs[V_Total])</f>
        <v>0</v>
      </c>
      <c r="G4" s="131" t="s">
        <v>193</v>
      </c>
      <c r="H4" s="131" t="s">
        <v>194</v>
      </c>
      <c r="I4" s="131" t="s">
        <v>195</v>
      </c>
      <c r="J4" s="131" t="s">
        <v>196</v>
      </c>
      <c r="K4" s="131" t="s">
        <v>197</v>
      </c>
      <c r="L4" s="131" t="s">
        <v>198</v>
      </c>
      <c r="M4" s="131" t="s">
        <v>199</v>
      </c>
      <c r="N4" s="131" t="s">
        <v>200</v>
      </c>
      <c r="O4" s="131" t="s">
        <v>201</v>
      </c>
      <c r="P4" s="131" t="s">
        <v>202</v>
      </c>
      <c r="Q4" s="131" t="s">
        <v>203</v>
      </c>
      <c r="R4" s="131" t="s">
        <v>204</v>
      </c>
      <c r="S4" s="131" t="s">
        <v>205</v>
      </c>
      <c r="T4" s="131" t="s">
        <v>206</v>
      </c>
      <c r="U4" s="131" t="s">
        <v>207</v>
      </c>
      <c r="V4" s="131" t="s">
        <v>208</v>
      </c>
      <c r="W4" s="131" t="s">
        <v>209</v>
      </c>
      <c r="X4" s="131" t="s">
        <v>210</v>
      </c>
      <c r="Y4" s="131" t="s">
        <v>211</v>
      </c>
      <c r="Z4" s="131" t="s">
        <v>212</v>
      </c>
      <c r="AA4" s="131" t="s">
        <v>213</v>
      </c>
      <c r="AB4" s="131" t="s">
        <v>214</v>
      </c>
      <c r="AC4" s="131" t="s">
        <v>215</v>
      </c>
      <c r="AD4" s="131" t="s">
        <v>216</v>
      </c>
      <c r="AE4" s="131" t="s">
        <v>217</v>
      </c>
      <c r="AF4" s="131" t="s">
        <v>218</v>
      </c>
      <c r="AG4" s="131" t="s">
        <v>357</v>
      </c>
      <c r="AH4" s="131" t="s">
        <v>358</v>
      </c>
      <c r="AI4" s="131" t="s">
        <v>359</v>
      </c>
      <c r="AJ4" s="131" t="s">
        <v>360</v>
      </c>
      <c r="AK4" s="131" t="s">
        <v>361</v>
      </c>
      <c r="AL4" s="131" t="s">
        <v>362</v>
      </c>
      <c r="AM4" s="131" t="s">
        <v>363</v>
      </c>
      <c r="AN4" s="131" t="s">
        <v>364</v>
      </c>
      <c r="AO4" s="131" t="s">
        <v>365</v>
      </c>
      <c r="AP4" s="131" t="s">
        <v>366</v>
      </c>
      <c r="AQ4" s="131" t="s">
        <v>367</v>
      </c>
      <c r="AR4" s="131" t="s">
        <v>368</v>
      </c>
      <c r="AS4" s="41"/>
    </row>
    <row r="5" spans="2:52" s="43" customFormat="1" ht="10.15" x14ac:dyDescent="0.2">
      <c r="B5" s="171"/>
      <c r="C5" s="172" t="str">
        <f>"Potrebná fakturácia pri OM = "&amp;F5*100&amp;" %:"</f>
        <v>Potrebná fakturácia pri OM = 16 %:</v>
      </c>
      <c r="D5" s="173">
        <f>'(3) Sumarizácia'!E3/(1-Par_OMPlan-PAR_SGA_percento)</f>
        <v>0</v>
      </c>
      <c r="E5" s="174"/>
      <c r="F5" s="175">
        <v>0.16</v>
      </c>
      <c r="G5" s="44">
        <v>0</v>
      </c>
      <c r="H5" s="44">
        <v>1</v>
      </c>
      <c r="I5" s="44">
        <v>2</v>
      </c>
      <c r="J5" s="44">
        <v>3</v>
      </c>
      <c r="K5" s="44">
        <v>4</v>
      </c>
      <c r="L5" s="44">
        <v>5</v>
      </c>
      <c r="M5" s="44">
        <v>6</v>
      </c>
      <c r="N5" s="44">
        <v>7</v>
      </c>
      <c r="O5" s="44">
        <v>8</v>
      </c>
      <c r="P5" s="44">
        <v>9</v>
      </c>
      <c r="Q5" s="44">
        <v>10</v>
      </c>
      <c r="R5" s="44">
        <v>11</v>
      </c>
      <c r="S5" s="44">
        <v>12</v>
      </c>
      <c r="T5" s="44">
        <v>13</v>
      </c>
      <c r="U5" s="44">
        <v>14</v>
      </c>
      <c r="V5" s="44">
        <v>15</v>
      </c>
      <c r="W5" s="44">
        <v>16</v>
      </c>
      <c r="X5" s="44">
        <v>17</v>
      </c>
      <c r="Y5" s="44">
        <v>18</v>
      </c>
      <c r="Z5" s="44">
        <v>19</v>
      </c>
      <c r="AA5" s="44">
        <v>20</v>
      </c>
      <c r="AB5" s="44">
        <v>21</v>
      </c>
      <c r="AC5" s="44">
        <v>22</v>
      </c>
      <c r="AD5" s="44">
        <v>23</v>
      </c>
      <c r="AE5" s="44">
        <v>24</v>
      </c>
      <c r="AF5" s="44">
        <v>25</v>
      </c>
      <c r="AG5" s="44">
        <v>26</v>
      </c>
      <c r="AH5" s="44">
        <v>27</v>
      </c>
      <c r="AI5" s="44">
        <v>28</v>
      </c>
      <c r="AJ5" s="44">
        <v>29</v>
      </c>
      <c r="AK5" s="44">
        <v>30</v>
      </c>
      <c r="AL5" s="44">
        <v>31</v>
      </c>
      <c r="AM5" s="44">
        <v>32</v>
      </c>
      <c r="AN5" s="44">
        <v>33</v>
      </c>
      <c r="AO5" s="44">
        <v>34</v>
      </c>
      <c r="AP5" s="44">
        <v>35</v>
      </c>
      <c r="AQ5" s="44">
        <v>36</v>
      </c>
      <c r="AR5" s="132">
        <v>37</v>
      </c>
      <c r="AS5" s="45"/>
    </row>
    <row r="6" spans="2:52" s="22" customFormat="1" ht="15.75" x14ac:dyDescent="0.25">
      <c r="B6" s="17" t="s">
        <v>140</v>
      </c>
      <c r="C6" s="18" t="s">
        <v>142</v>
      </c>
      <c r="D6" s="18" t="s">
        <v>141</v>
      </c>
      <c r="E6" s="18"/>
      <c r="F6" s="18" t="s">
        <v>5</v>
      </c>
      <c r="G6" s="83">
        <f t="shared" ref="G6:AR6" si="0">IterateMonth(PAR_WO_Contracted,G$5)</f>
        <v>45658</v>
      </c>
      <c r="H6" s="83">
        <f t="shared" si="0"/>
        <v>45689</v>
      </c>
      <c r="I6" s="83">
        <f t="shared" si="0"/>
        <v>45717</v>
      </c>
      <c r="J6" s="83">
        <f t="shared" si="0"/>
        <v>45748</v>
      </c>
      <c r="K6" s="83">
        <f t="shared" si="0"/>
        <v>45778</v>
      </c>
      <c r="L6" s="83">
        <f t="shared" si="0"/>
        <v>45809</v>
      </c>
      <c r="M6" s="83">
        <f t="shared" si="0"/>
        <v>45839</v>
      </c>
      <c r="N6" s="83">
        <f t="shared" si="0"/>
        <v>45870</v>
      </c>
      <c r="O6" s="83">
        <f t="shared" si="0"/>
        <v>45901</v>
      </c>
      <c r="P6" s="83">
        <f t="shared" si="0"/>
        <v>45931</v>
      </c>
      <c r="Q6" s="83">
        <f t="shared" si="0"/>
        <v>45962</v>
      </c>
      <c r="R6" s="83">
        <f t="shared" si="0"/>
        <v>45992</v>
      </c>
      <c r="S6" s="83">
        <f t="shared" si="0"/>
        <v>46023</v>
      </c>
      <c r="T6" s="83">
        <f t="shared" si="0"/>
        <v>46054</v>
      </c>
      <c r="U6" s="83">
        <f t="shared" si="0"/>
        <v>46082</v>
      </c>
      <c r="V6" s="83">
        <f t="shared" si="0"/>
        <v>46113</v>
      </c>
      <c r="W6" s="83">
        <f t="shared" si="0"/>
        <v>46143</v>
      </c>
      <c r="X6" s="83">
        <f t="shared" si="0"/>
        <v>46174</v>
      </c>
      <c r="Y6" s="83">
        <f t="shared" si="0"/>
        <v>46204</v>
      </c>
      <c r="Z6" s="83">
        <f t="shared" si="0"/>
        <v>46235</v>
      </c>
      <c r="AA6" s="83">
        <f t="shared" si="0"/>
        <v>46266</v>
      </c>
      <c r="AB6" s="83">
        <f t="shared" si="0"/>
        <v>46296</v>
      </c>
      <c r="AC6" s="83">
        <f t="shared" si="0"/>
        <v>46327</v>
      </c>
      <c r="AD6" s="83">
        <f t="shared" si="0"/>
        <v>46357</v>
      </c>
      <c r="AE6" s="83">
        <f t="shared" si="0"/>
        <v>46388</v>
      </c>
      <c r="AF6" s="83">
        <f t="shared" si="0"/>
        <v>46419</v>
      </c>
      <c r="AG6" s="83">
        <f t="shared" si="0"/>
        <v>46447</v>
      </c>
      <c r="AH6" s="83">
        <f t="shared" si="0"/>
        <v>46478</v>
      </c>
      <c r="AI6" s="83">
        <f t="shared" si="0"/>
        <v>46508</v>
      </c>
      <c r="AJ6" s="83">
        <f t="shared" si="0"/>
        <v>46539</v>
      </c>
      <c r="AK6" s="83">
        <f t="shared" si="0"/>
        <v>46569</v>
      </c>
      <c r="AL6" s="83">
        <f t="shared" si="0"/>
        <v>46600</v>
      </c>
      <c r="AM6" s="83">
        <f t="shared" si="0"/>
        <v>46631</v>
      </c>
      <c r="AN6" s="83">
        <f t="shared" si="0"/>
        <v>46661</v>
      </c>
      <c r="AO6" s="83">
        <f t="shared" si="0"/>
        <v>46692</v>
      </c>
      <c r="AP6" s="83">
        <f t="shared" si="0"/>
        <v>46722</v>
      </c>
      <c r="AQ6" s="83">
        <f t="shared" si="0"/>
        <v>46753</v>
      </c>
      <c r="AR6" s="128">
        <f t="shared" si="0"/>
        <v>46784</v>
      </c>
      <c r="AS6" s="46" t="s">
        <v>65</v>
      </c>
      <c r="AU6" s="22" t="s">
        <v>106</v>
      </c>
      <c r="AV6" s="22" t="s">
        <v>107</v>
      </c>
      <c r="AW6" s="22" t="s">
        <v>118</v>
      </c>
      <c r="AX6" s="22" t="s">
        <v>108</v>
      </c>
      <c r="AY6" s="170" t="s">
        <v>324</v>
      </c>
      <c r="AZ6" s="170" t="s">
        <v>288</v>
      </c>
    </row>
    <row r="7" spans="2:52" s="24" customFormat="1" ht="12.75" x14ac:dyDescent="0.2">
      <c r="B7" s="97" t="s">
        <v>90</v>
      </c>
      <c r="C7" s="92"/>
      <c r="D7" s="31" t="str">
        <f>IF(E7=1,VLOOKUP(TableInvs[[#This Row],[Calc_V_Typ]],Tran_RevenuesList,3,FALSE),"")</f>
        <v/>
      </c>
      <c r="E7" s="31">
        <f t="shared" ref="E7:E70" si="1">IF(B7="",0,IF(LEFT(B7,3)="***",-1,1))</f>
        <v>-1</v>
      </c>
      <c r="F7" s="94" t="s">
        <v>129</v>
      </c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5"/>
      <c r="AD7" s="85"/>
      <c r="AE7" s="84"/>
      <c r="AF7" s="84"/>
      <c r="AG7" s="84"/>
      <c r="AH7" s="84"/>
      <c r="AI7" s="84"/>
      <c r="AJ7" s="84"/>
      <c r="AK7" s="84"/>
      <c r="AL7" s="84"/>
      <c r="AM7" s="84"/>
      <c r="AN7" s="84"/>
      <c r="AO7" s="84"/>
      <c r="AP7" s="84"/>
      <c r="AQ7" s="84"/>
      <c r="AR7" s="84"/>
      <c r="AS7" s="87">
        <f t="array" ref="AS7">IF(E7=1,SUM((ROW(Mf0)=ROW(AS7))*(Mf0+Mf1_+Mf2_+Mf3_+Mf4_+Mf5_+Mf6_+Mf7_+Mf8_+Mf9_+Mf10_+Mf11_+Mf12_+Mf13_+Mf14_+Mf15_+Mf16_+Mf17_+Mf18_+Mf19_+Mf20_+Mf21_+Mf22_+Mf23_+Mf24_+Mf25_+Mf26_+Mf27_+Mf28_+Mf29_+Mf30_+Mf31_+Mf32_+Mf33_+Mf34_+Mf35_+Mf36_+Mf37_)),0)</f>
        <v>0</v>
      </c>
      <c r="AU7" s="24" t="str">
        <f t="shared" ref="AU7:AU70" si="2">IF(E7=1,VLOOKUP(B7,Tran_RevenuesList,2,0),"")</f>
        <v/>
      </c>
      <c r="AV7" s="24" t="str">
        <f t="shared" ref="AV7" si="3">IF(E7=1,D7,"")</f>
        <v/>
      </c>
      <c r="AW7" s="24" t="str">
        <f t="shared" ref="AW7:AW70" si="4">IF(C7="","",VLOOKUP(C7,Tab_Parts,2,0))</f>
        <v/>
      </c>
      <c r="AX7" s="72">
        <f t="shared" ref="AX7" si="5">IF(E7=1,AS7,0)</f>
        <v>0</v>
      </c>
      <c r="AY7" s="24" t="str">
        <f t="shared" ref="AY7:AY70" si="6">IF(RIGHT(B7,LEN(Par_LabelTravelTime))=Par_LabelTravelTime,LEFT(B7,LEN(B7)-LEN(Par_LabelTravelTime)),B7)</f>
        <v>*** prázdna ***</v>
      </c>
      <c r="AZ7" s="24">
        <f t="array" ref="AZ7">IF(OR(RIGHT(B7,LEN(Par_LabelTravelTime))=Par_LabelTravelTime,B7="čas na ceste - fakturácia"),1,0)</f>
        <v>0</v>
      </c>
    </row>
    <row r="8" spans="2:52" s="24" customFormat="1" ht="12.75" x14ac:dyDescent="0.2">
      <c r="B8" s="97" t="s">
        <v>386</v>
      </c>
      <c r="C8" s="92" t="s">
        <v>131</v>
      </c>
      <c r="D8" s="31" t="str">
        <f>IF(E8=1,VLOOKUP(TableInvs[[#This Row],[Calc_V_Typ]],Tran_RevenuesList,3,FALSE),"")</f>
        <v>interné práce</v>
      </c>
      <c r="E8" s="31">
        <f t="shared" si="1"/>
        <v>1</v>
      </c>
      <c r="F8" s="9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  <c r="AH8" s="84"/>
      <c r="AI8" s="84"/>
      <c r="AJ8" s="84"/>
      <c r="AK8" s="84"/>
      <c r="AL8" s="84"/>
      <c r="AM8" s="84"/>
      <c r="AN8" s="84"/>
      <c r="AO8" s="84"/>
      <c r="AP8" s="84"/>
      <c r="AQ8" s="84"/>
      <c r="AR8" s="84"/>
      <c r="AS8" s="87">
        <f t="array" ref="AS8">IF(E8=1,SUM((ROW(Mf0)=ROW(AS8))*(Mf0+Mf1_+Mf2_+Mf3_+Mf4_+Mf5_+Mf6_+Mf7_+Mf8_+Mf9_+Mf10_+Mf11_+Mf12_+Mf13_+Mf14_+Mf15_+Mf16_+Mf17_+Mf18_+Mf19_+Mf20_+Mf21_+Mf22_+Mf23_+Mf24_+Mf25_+Mf26_+Mf27_+Mf28_+Mf29_+Mf30_+Mf31_+Mf32_+Mf33_+Mf34_+Mf35_+Mf36_+Mf37_)),0)</f>
        <v>0</v>
      </c>
      <c r="AU8" s="24" t="str">
        <f t="shared" si="2"/>
        <v>Práce: Kontrakt a projekt manažment</v>
      </c>
      <c r="AV8" s="24" t="str">
        <f t="shared" ref="AV8:AV71" si="7">IF(E8=1,D8,"")</f>
        <v>interné práce</v>
      </c>
      <c r="AW8" s="24" t="str">
        <f>IF(C8="","",VLOOKUP(C8,Tab_Parts,2,0))</f>
        <v>Maintenance &amp; Upgrade Licenses</v>
      </c>
      <c r="AX8" s="72">
        <f t="shared" ref="AX8:AX71" si="8">IF(E8=1,AS8,0)</f>
        <v>0</v>
      </c>
      <c r="AY8" s="24" t="str">
        <f t="shared" si="6"/>
        <v>Práce: Kontrakt a projekt manažment</v>
      </c>
      <c r="AZ8" s="24">
        <f t="array" ref="AZ8">IF(OR(RIGHT(B8,LEN(Par_LabelTravelTime))=Par_LabelTravelTime,B8="čas na ceste - fakturácia"),1,0)</f>
        <v>0</v>
      </c>
    </row>
    <row r="9" spans="2:52" s="24" customFormat="1" ht="13.9" x14ac:dyDescent="0.3">
      <c r="B9" s="97"/>
      <c r="C9" s="92"/>
      <c r="D9" s="31" t="str">
        <f>IF(E9=1,VLOOKUP(TableInvs[[#This Row],[Calc_V_Typ]],Tran_RevenuesList,3,FALSE),"")</f>
        <v/>
      </c>
      <c r="E9" s="31">
        <f t="shared" si="1"/>
        <v>0</v>
      </c>
      <c r="F9" s="9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  <c r="AA9" s="84"/>
      <c r="AB9" s="84"/>
      <c r="AC9" s="85"/>
      <c r="AD9" s="85"/>
      <c r="AE9" s="84"/>
      <c r="AF9" s="84"/>
      <c r="AG9" s="84"/>
      <c r="AH9" s="84"/>
      <c r="AI9" s="84"/>
      <c r="AJ9" s="84"/>
      <c r="AK9" s="84"/>
      <c r="AL9" s="84"/>
      <c r="AM9" s="84"/>
      <c r="AN9" s="84"/>
      <c r="AO9" s="84"/>
      <c r="AP9" s="84"/>
      <c r="AQ9" s="84"/>
      <c r="AR9" s="84"/>
      <c r="AS9" s="87">
        <f t="array" ref="AS9">IF(E9=1,SUM((ROW(Mf0)=ROW(AS9))*(Mf0+Mf1_+Mf2_+Mf3_+Mf4_+Mf5_+Mf6_+Mf7_+Mf8_+Mf9_+Mf10_+Mf11_+Mf12_+Mf13_+Mf14_+Mf15_+Mf16_+Mf17_+Mf18_+Mf19_+Mf20_+Mf21_+Mf22_+Mf23_+Mf24_+Mf25_+Mf26_+Mf27_+Mf28_+Mf29_+Mf30_+Mf31_+Mf32_+Mf33_+Mf34_+Mf35_+Mf36_+Mf37_)),0)</f>
        <v>0</v>
      </c>
      <c r="AU9" s="24" t="str">
        <f t="shared" si="2"/>
        <v/>
      </c>
      <c r="AV9" s="24" t="str">
        <f t="shared" si="7"/>
        <v/>
      </c>
      <c r="AW9" s="24" t="str">
        <f t="shared" si="4"/>
        <v/>
      </c>
      <c r="AX9" s="72">
        <f t="shared" si="8"/>
        <v>0</v>
      </c>
      <c r="AY9" s="24">
        <f t="shared" si="6"/>
        <v>0</v>
      </c>
      <c r="AZ9" s="24">
        <f t="array" ref="AZ9">IF(OR(RIGHT(B9,LEN(Par_LabelTravelTime))=Par_LabelTravelTime,B9="čas na ceste - fakturácia"),1,0)</f>
        <v>0</v>
      </c>
    </row>
    <row r="10" spans="2:52" s="24" customFormat="1" ht="13.9" x14ac:dyDescent="0.3">
      <c r="B10" s="97"/>
      <c r="C10" s="92"/>
      <c r="D10" s="31" t="str">
        <f>IF(E10=1,VLOOKUP(TableInvs[[#This Row],[Calc_V_Typ]],Tran_RevenuesList,3,FALSE),"")</f>
        <v/>
      </c>
      <c r="E10" s="31">
        <f t="shared" si="1"/>
        <v>0</v>
      </c>
      <c r="F10" s="9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7">
        <f t="array" ref="AS10">IF(E10=1,SUM((ROW(Mf0)=ROW(AS10))*(Mf0+Mf1_+Mf2_+Mf3_+Mf4_+Mf5_+Mf6_+Mf7_+Mf8_+Mf9_+Mf10_+Mf11_+Mf12_+Mf13_+Mf14_+Mf15_+Mf16_+Mf17_+Mf18_+Mf19_+Mf20_+Mf21_+Mf22_+Mf23_+Mf24_+Mf25_+Mf26_+Mf27_+Mf28_+Mf29_+Mf30_+Mf31_+Mf32_+Mf33_+Mf34_+Mf35_+Mf36_+Mf37_)),0)</f>
        <v>0</v>
      </c>
      <c r="AU10" s="24" t="str">
        <f t="shared" si="2"/>
        <v/>
      </c>
      <c r="AV10" s="24" t="str">
        <f t="shared" si="7"/>
        <v/>
      </c>
      <c r="AW10" s="24" t="str">
        <f t="shared" si="4"/>
        <v/>
      </c>
      <c r="AX10" s="72">
        <f t="shared" si="8"/>
        <v>0</v>
      </c>
      <c r="AY10" s="24">
        <f t="shared" si="6"/>
        <v>0</v>
      </c>
      <c r="AZ10" s="24">
        <f t="array" ref="AZ10">IF(OR(RIGHT(B10,LEN(Par_LabelTravelTime))=Par_LabelTravelTime,B10="čas na ceste - fakturácia"),1,0)</f>
        <v>0</v>
      </c>
    </row>
    <row r="11" spans="2:52" s="24" customFormat="1" ht="13.9" x14ac:dyDescent="0.3">
      <c r="B11" s="97"/>
      <c r="C11" s="92"/>
      <c r="D11" s="31" t="str">
        <f>IF(E11=1,VLOOKUP(TableInvs[[#This Row],[Calc_V_Typ]],Tran_RevenuesList,3,FALSE),"")</f>
        <v/>
      </c>
      <c r="E11" s="31">
        <f t="shared" si="1"/>
        <v>0</v>
      </c>
      <c r="F11" s="9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5"/>
      <c r="AD11" s="85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7">
        <f t="array" ref="AS11">IF(E11=1,SUM((ROW(Mf0)=ROW(AS11))*(Mf0+Mf1_+Mf2_+Mf3_+Mf4_+Mf5_+Mf6_+Mf7_+Mf8_+Mf9_+Mf10_+Mf11_+Mf12_+Mf13_+Mf14_+Mf15_+Mf16_+Mf17_+Mf18_+Mf19_+Mf20_+Mf21_+Mf22_+Mf23_+Mf24_+Mf25_+Mf26_+Mf27_+Mf28_+Mf29_+Mf30_+Mf31_+Mf32_+Mf33_+Mf34_+Mf35_+Mf36_+Mf37_)),0)</f>
        <v>0</v>
      </c>
      <c r="AU11" s="24" t="str">
        <f t="shared" si="2"/>
        <v/>
      </c>
      <c r="AV11" s="24" t="str">
        <f t="shared" si="7"/>
        <v/>
      </c>
      <c r="AW11" s="24" t="str">
        <f t="shared" si="4"/>
        <v/>
      </c>
      <c r="AX11" s="72">
        <f t="shared" si="8"/>
        <v>0</v>
      </c>
      <c r="AY11" s="24">
        <f t="shared" si="6"/>
        <v>0</v>
      </c>
      <c r="AZ11" s="24">
        <f t="array" ref="AZ11">IF(OR(RIGHT(B11,LEN(Par_LabelTravelTime))=Par_LabelTravelTime,B11="čas na ceste - fakturácia"),1,0)</f>
        <v>0</v>
      </c>
    </row>
    <row r="12" spans="2:52" s="24" customFormat="1" ht="13.9" x14ac:dyDescent="0.3">
      <c r="B12" s="97"/>
      <c r="C12" s="92"/>
      <c r="D12" s="31" t="str">
        <f>IF(E12=1,VLOOKUP(TableInvs[[#This Row],[Calc_V_Typ]],Tran_RevenuesList,3,FALSE),"")</f>
        <v/>
      </c>
      <c r="E12" s="31">
        <f t="shared" si="1"/>
        <v>0</v>
      </c>
      <c r="F12" s="9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5"/>
      <c r="AD12" s="85"/>
      <c r="AE12" s="84"/>
      <c r="AF12" s="84"/>
      <c r="AG12" s="84"/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  <c r="AS12" s="87">
        <f t="array" ref="AS12">IF(E12=1,SUM((ROW(Mf0)=ROW(AS12))*(Mf0+Mf1_+Mf2_+Mf3_+Mf4_+Mf5_+Mf6_+Mf7_+Mf8_+Mf9_+Mf10_+Mf11_+Mf12_+Mf13_+Mf14_+Mf15_+Mf16_+Mf17_+Mf18_+Mf19_+Mf20_+Mf21_+Mf22_+Mf23_+Mf24_+Mf25_+Mf26_+Mf27_+Mf28_+Mf29_+Mf30_+Mf31_+Mf32_+Mf33_+Mf34_+Mf35_+Mf36_+Mf37_)),0)</f>
        <v>0</v>
      </c>
      <c r="AU12" s="24" t="str">
        <f t="shared" si="2"/>
        <v/>
      </c>
      <c r="AV12" s="24" t="str">
        <f t="shared" si="7"/>
        <v/>
      </c>
      <c r="AW12" s="24" t="str">
        <f t="shared" si="4"/>
        <v/>
      </c>
      <c r="AX12" s="72">
        <f t="shared" si="8"/>
        <v>0</v>
      </c>
      <c r="AY12" s="24">
        <f t="shared" si="6"/>
        <v>0</v>
      </c>
      <c r="AZ12" s="24">
        <f t="array" ref="AZ12">IF(OR(RIGHT(B12,LEN(Par_LabelTravelTime))=Par_LabelTravelTime,B12="čas na ceste - fakturácia"),1,0)</f>
        <v>0</v>
      </c>
    </row>
    <row r="13" spans="2:52" s="24" customFormat="1" ht="13.9" x14ac:dyDescent="0.3">
      <c r="B13" s="97"/>
      <c r="C13" s="92"/>
      <c r="D13" s="31" t="str">
        <f>IF(E13=1,VLOOKUP(TableInvs[[#This Row],[Calc_V_Typ]],Tran_RevenuesList,3,FALSE),"")</f>
        <v/>
      </c>
      <c r="E13" s="31">
        <f t="shared" si="1"/>
        <v>0</v>
      </c>
      <c r="F13" s="9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5"/>
      <c r="AD13" s="85"/>
      <c r="AE13" s="84"/>
      <c r="AF13" s="84"/>
      <c r="AG13" s="84"/>
      <c r="AH13" s="84"/>
      <c r="AI13" s="84"/>
      <c r="AJ13" s="84"/>
      <c r="AK13" s="84"/>
      <c r="AL13" s="84"/>
      <c r="AM13" s="84"/>
      <c r="AN13" s="84"/>
      <c r="AO13" s="84"/>
      <c r="AP13" s="84"/>
      <c r="AQ13" s="84"/>
      <c r="AR13" s="84"/>
      <c r="AS13" s="87">
        <f t="array" ref="AS13">IF(E13=1,SUM((ROW(Mf0)=ROW(AS13))*(Mf0+Mf1_+Mf2_+Mf3_+Mf4_+Mf5_+Mf6_+Mf7_+Mf8_+Mf9_+Mf10_+Mf11_+Mf12_+Mf13_+Mf14_+Mf15_+Mf16_+Mf17_+Mf18_+Mf19_+Mf20_+Mf21_+Mf22_+Mf23_+Mf24_+Mf25_+Mf26_+Mf27_+Mf28_+Mf29_+Mf30_+Mf31_+Mf32_+Mf33_+Mf34_+Mf35_+Mf36_+Mf37_)),0)</f>
        <v>0</v>
      </c>
      <c r="AU13" s="24" t="str">
        <f t="shared" si="2"/>
        <v/>
      </c>
      <c r="AV13" s="24" t="str">
        <f t="shared" si="7"/>
        <v/>
      </c>
      <c r="AW13" s="24" t="str">
        <f t="shared" si="4"/>
        <v/>
      </c>
      <c r="AX13" s="72">
        <f t="shared" si="8"/>
        <v>0</v>
      </c>
      <c r="AY13" s="24">
        <f t="shared" si="6"/>
        <v>0</v>
      </c>
      <c r="AZ13" s="24">
        <f t="array" ref="AZ13">IF(OR(RIGHT(B13,LEN(Par_LabelTravelTime))=Par_LabelTravelTime,B13="čas na ceste - fakturácia"),1,0)</f>
        <v>0</v>
      </c>
    </row>
    <row r="14" spans="2:52" s="24" customFormat="1" ht="13.9" x14ac:dyDescent="0.3">
      <c r="B14" s="97"/>
      <c r="C14" s="92"/>
      <c r="D14" s="31" t="str">
        <f>IF(E14=1,VLOOKUP(TableInvs[[#This Row],[Calc_V_Typ]],Tran_RevenuesList,3,FALSE),"")</f>
        <v/>
      </c>
      <c r="E14" s="31">
        <f t="shared" si="1"/>
        <v>0</v>
      </c>
      <c r="F14" s="9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5"/>
      <c r="AD14" s="85"/>
      <c r="AE14" s="84"/>
      <c r="AF14" s="84"/>
      <c r="AG14" s="84"/>
      <c r="AH14" s="84"/>
      <c r="AI14" s="84"/>
      <c r="AJ14" s="84"/>
      <c r="AK14" s="84"/>
      <c r="AL14" s="84"/>
      <c r="AM14" s="84"/>
      <c r="AN14" s="84"/>
      <c r="AO14" s="84"/>
      <c r="AP14" s="84"/>
      <c r="AQ14" s="84"/>
      <c r="AR14" s="84"/>
      <c r="AS14" s="87">
        <f t="array" ref="AS14">IF(E14=1,SUM((ROW(Mf0)=ROW(AS14))*(Mf0+Mf1_+Mf2_+Mf3_+Mf4_+Mf5_+Mf6_+Mf7_+Mf8_+Mf9_+Mf10_+Mf11_+Mf12_+Mf13_+Mf14_+Mf15_+Mf16_+Mf17_+Mf18_+Mf19_+Mf20_+Mf21_+Mf22_+Mf23_+Mf24_+Mf25_+Mf26_+Mf27_+Mf28_+Mf29_+Mf30_+Mf31_+Mf32_+Mf33_+Mf34_+Mf35_+Mf36_+Mf37_)),0)</f>
        <v>0</v>
      </c>
      <c r="AU14" s="24" t="str">
        <f t="shared" si="2"/>
        <v/>
      </c>
      <c r="AV14" s="24" t="str">
        <f t="shared" si="7"/>
        <v/>
      </c>
      <c r="AW14" s="24" t="str">
        <f t="shared" si="4"/>
        <v/>
      </c>
      <c r="AX14" s="72">
        <f t="shared" si="8"/>
        <v>0</v>
      </c>
      <c r="AY14" s="24">
        <f t="shared" si="6"/>
        <v>0</v>
      </c>
      <c r="AZ14" s="24">
        <f t="array" ref="AZ14">IF(OR(RIGHT(B14,LEN(Par_LabelTravelTime))=Par_LabelTravelTime,B14="čas na ceste - fakturácia"),1,0)</f>
        <v>0</v>
      </c>
    </row>
    <row r="15" spans="2:52" s="24" customFormat="1" ht="13.9" x14ac:dyDescent="0.3">
      <c r="B15" s="97"/>
      <c r="C15" s="92"/>
      <c r="D15" s="31" t="str">
        <f>IF(E15=1,VLOOKUP(TableInvs[[#This Row],[Calc_V_Typ]],Tran_RevenuesList,3,FALSE),"")</f>
        <v/>
      </c>
      <c r="E15" s="31">
        <f t="shared" si="1"/>
        <v>0</v>
      </c>
      <c r="F15" s="9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5"/>
      <c r="AD15" s="85"/>
      <c r="AE15" s="84"/>
      <c r="AF15" s="84"/>
      <c r="AG15" s="84"/>
      <c r="AH15" s="84"/>
      <c r="AI15" s="84"/>
      <c r="AJ15" s="84"/>
      <c r="AK15" s="84"/>
      <c r="AL15" s="84"/>
      <c r="AM15" s="84"/>
      <c r="AN15" s="84"/>
      <c r="AO15" s="84"/>
      <c r="AP15" s="84"/>
      <c r="AQ15" s="84"/>
      <c r="AR15" s="84"/>
      <c r="AS15" s="87">
        <f t="array" ref="AS15">IF(E15=1,SUM((ROW(Mf0)=ROW(AS15))*(Mf0+Mf1_+Mf2_+Mf3_+Mf4_+Mf5_+Mf6_+Mf7_+Mf8_+Mf9_+Mf10_+Mf11_+Mf12_+Mf13_+Mf14_+Mf15_+Mf16_+Mf17_+Mf18_+Mf19_+Mf20_+Mf21_+Mf22_+Mf23_+Mf24_+Mf25_+Mf26_+Mf27_+Mf28_+Mf29_+Mf30_+Mf31_+Mf32_+Mf33_+Mf34_+Mf35_+Mf36_+Mf37_)),0)</f>
        <v>0</v>
      </c>
      <c r="AU15" s="24" t="str">
        <f t="shared" si="2"/>
        <v/>
      </c>
      <c r="AV15" s="24" t="str">
        <f t="shared" si="7"/>
        <v/>
      </c>
      <c r="AW15" s="24" t="str">
        <f t="shared" si="4"/>
        <v/>
      </c>
      <c r="AX15" s="72">
        <f t="shared" si="8"/>
        <v>0</v>
      </c>
      <c r="AY15" s="24">
        <f t="shared" si="6"/>
        <v>0</v>
      </c>
      <c r="AZ15" s="24">
        <f t="array" ref="AZ15">IF(OR(RIGHT(B15,LEN(Par_LabelTravelTime))=Par_LabelTravelTime,B15="čas na ceste - fakturácia"),1,0)</f>
        <v>0</v>
      </c>
    </row>
    <row r="16" spans="2:52" s="24" customFormat="1" ht="13.9" x14ac:dyDescent="0.3">
      <c r="B16" s="97"/>
      <c r="C16" s="92"/>
      <c r="D16" s="31" t="str">
        <f>IF(E16=1,VLOOKUP(TableInvs[[#This Row],[Calc_V_Typ]],Tran_RevenuesList,3,FALSE),"")</f>
        <v/>
      </c>
      <c r="E16" s="31">
        <f t="shared" si="1"/>
        <v>0</v>
      </c>
      <c r="F16" s="9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5"/>
      <c r="AD16" s="85"/>
      <c r="AE16" s="84"/>
      <c r="AF16" s="84"/>
      <c r="AG16" s="84"/>
      <c r="AH16" s="84"/>
      <c r="AI16" s="84"/>
      <c r="AJ16" s="84"/>
      <c r="AK16" s="84"/>
      <c r="AL16" s="84"/>
      <c r="AM16" s="84"/>
      <c r="AN16" s="84"/>
      <c r="AO16" s="84"/>
      <c r="AP16" s="84"/>
      <c r="AQ16" s="84"/>
      <c r="AR16" s="84"/>
      <c r="AS16" s="87">
        <f t="array" ref="AS16">IF(E16=1,SUM((ROW(Mf0)=ROW(AS16))*(Mf0+Mf1_+Mf2_+Mf3_+Mf4_+Mf5_+Mf6_+Mf7_+Mf8_+Mf9_+Mf10_+Mf11_+Mf12_+Mf13_+Mf14_+Mf15_+Mf16_+Mf17_+Mf18_+Mf19_+Mf20_+Mf21_+Mf22_+Mf23_+Mf24_+Mf25_+Mf26_+Mf27_+Mf28_+Mf29_+Mf30_+Mf31_+Mf32_+Mf33_+Mf34_+Mf35_+Mf36_+Mf37_)),0)</f>
        <v>0</v>
      </c>
      <c r="AU16" s="24" t="str">
        <f t="shared" si="2"/>
        <v/>
      </c>
      <c r="AV16" s="24" t="str">
        <f t="shared" si="7"/>
        <v/>
      </c>
      <c r="AW16" s="24" t="str">
        <f t="shared" si="4"/>
        <v/>
      </c>
      <c r="AX16" s="72">
        <f t="shared" si="8"/>
        <v>0</v>
      </c>
      <c r="AY16" s="24">
        <f t="shared" si="6"/>
        <v>0</v>
      </c>
      <c r="AZ16" s="24">
        <f t="array" ref="AZ16">IF(OR(RIGHT(B16,LEN(Par_LabelTravelTime))=Par_LabelTravelTime,B16="čas na ceste - fakturácia"),1,0)</f>
        <v>0</v>
      </c>
    </row>
    <row r="17" spans="2:52" s="24" customFormat="1" ht="13.9" x14ac:dyDescent="0.3">
      <c r="B17" s="97"/>
      <c r="C17" s="92"/>
      <c r="D17" s="31" t="str">
        <f>IF(E17=1,VLOOKUP(TableInvs[[#This Row],[Calc_V_Typ]],Tran_RevenuesList,3,FALSE),"")</f>
        <v/>
      </c>
      <c r="E17" s="31">
        <f t="shared" si="1"/>
        <v>0</v>
      </c>
      <c r="F17" s="9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5"/>
      <c r="AD17" s="85"/>
      <c r="AE17" s="84"/>
      <c r="AF17" s="84"/>
      <c r="AG17" s="84"/>
      <c r="AH17" s="84"/>
      <c r="AI17" s="84"/>
      <c r="AJ17" s="84"/>
      <c r="AK17" s="84"/>
      <c r="AL17" s="84"/>
      <c r="AM17" s="84"/>
      <c r="AN17" s="84"/>
      <c r="AO17" s="84"/>
      <c r="AP17" s="84"/>
      <c r="AQ17" s="84"/>
      <c r="AR17" s="84"/>
      <c r="AS17" s="87">
        <f t="array" ref="AS17">IF(E17=1,SUM((ROW(Mf0)=ROW(AS17))*(Mf0+Mf1_+Mf2_+Mf3_+Mf4_+Mf5_+Mf6_+Mf7_+Mf8_+Mf9_+Mf10_+Mf11_+Mf12_+Mf13_+Mf14_+Mf15_+Mf16_+Mf17_+Mf18_+Mf19_+Mf20_+Mf21_+Mf22_+Mf23_+Mf24_+Mf25_+Mf26_+Mf27_+Mf28_+Mf29_+Mf30_+Mf31_+Mf32_+Mf33_+Mf34_+Mf35_+Mf36_+Mf37_)),0)</f>
        <v>0</v>
      </c>
      <c r="AU17" s="24" t="str">
        <f t="shared" si="2"/>
        <v/>
      </c>
      <c r="AV17" s="24" t="str">
        <f t="shared" si="7"/>
        <v/>
      </c>
      <c r="AW17" s="24" t="str">
        <f t="shared" si="4"/>
        <v/>
      </c>
      <c r="AX17" s="72">
        <f t="shared" si="8"/>
        <v>0</v>
      </c>
      <c r="AY17" s="24">
        <f t="shared" si="6"/>
        <v>0</v>
      </c>
      <c r="AZ17" s="24">
        <f t="array" ref="AZ17">IF(OR(RIGHT(B17,LEN(Par_LabelTravelTime))=Par_LabelTravelTime,B17="čas na ceste - fakturácia"),1,0)</f>
        <v>0</v>
      </c>
    </row>
    <row r="18" spans="2:52" s="24" customFormat="1" ht="13.9" x14ac:dyDescent="0.3">
      <c r="B18" s="97"/>
      <c r="C18" s="92"/>
      <c r="D18" s="31" t="str">
        <f>IF(E18=1,VLOOKUP(TableInvs[[#This Row],[Calc_V_Typ]],Tran_RevenuesList,3,FALSE),"")</f>
        <v/>
      </c>
      <c r="E18" s="31">
        <f t="shared" si="1"/>
        <v>0</v>
      </c>
      <c r="F18" s="9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5"/>
      <c r="AD18" s="85"/>
      <c r="AE18" s="84"/>
      <c r="AF18" s="84"/>
      <c r="AG18" s="84"/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7">
        <f t="array" ref="AS18">IF(E18=1,SUM((ROW(Mf0)=ROW(AS18))*(Mf0+Mf1_+Mf2_+Mf3_+Mf4_+Mf5_+Mf6_+Mf7_+Mf8_+Mf9_+Mf10_+Mf11_+Mf12_+Mf13_+Mf14_+Mf15_+Mf16_+Mf17_+Mf18_+Mf19_+Mf20_+Mf21_+Mf22_+Mf23_+Mf24_+Mf25_+Mf26_+Mf27_+Mf28_+Mf29_+Mf30_+Mf31_+Mf32_+Mf33_+Mf34_+Mf35_+Mf36_+Mf37_)),0)</f>
        <v>0</v>
      </c>
      <c r="AU18" s="24" t="str">
        <f t="shared" si="2"/>
        <v/>
      </c>
      <c r="AV18" s="24" t="str">
        <f t="shared" si="7"/>
        <v/>
      </c>
      <c r="AW18" s="24" t="str">
        <f t="shared" si="4"/>
        <v/>
      </c>
      <c r="AX18" s="72">
        <f t="shared" si="8"/>
        <v>0</v>
      </c>
      <c r="AY18" s="24">
        <f t="shared" si="6"/>
        <v>0</v>
      </c>
      <c r="AZ18" s="24">
        <f t="array" ref="AZ18">IF(OR(RIGHT(B18,LEN(Par_LabelTravelTime))=Par_LabelTravelTime,B18="čas na ceste - fakturácia"),1,0)</f>
        <v>0</v>
      </c>
    </row>
    <row r="19" spans="2:52" s="24" customFormat="1" ht="13.9" x14ac:dyDescent="0.3">
      <c r="B19" s="97"/>
      <c r="C19" s="92"/>
      <c r="D19" s="31" t="str">
        <f>IF(E19=1,VLOOKUP(TableInvs[[#This Row],[Calc_V_Typ]],Tran_RevenuesList,3,FALSE),"")</f>
        <v/>
      </c>
      <c r="E19" s="31">
        <f t="shared" si="1"/>
        <v>0</v>
      </c>
      <c r="F19" s="9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5"/>
      <c r="AD19" s="85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4"/>
      <c r="AS19" s="87">
        <f t="array" ref="AS19">IF(E19=1,SUM((ROW(Mf0)=ROW(AS19))*(Mf0+Mf1_+Mf2_+Mf3_+Mf4_+Mf5_+Mf6_+Mf7_+Mf8_+Mf9_+Mf10_+Mf11_+Mf12_+Mf13_+Mf14_+Mf15_+Mf16_+Mf17_+Mf18_+Mf19_+Mf20_+Mf21_+Mf22_+Mf23_+Mf24_+Mf25_+Mf26_+Mf27_+Mf28_+Mf29_+Mf30_+Mf31_+Mf32_+Mf33_+Mf34_+Mf35_+Mf36_+Mf37_)),0)</f>
        <v>0</v>
      </c>
      <c r="AU19" s="24" t="str">
        <f t="shared" si="2"/>
        <v/>
      </c>
      <c r="AV19" s="24" t="str">
        <f t="shared" si="7"/>
        <v/>
      </c>
      <c r="AW19" s="24" t="str">
        <f t="shared" si="4"/>
        <v/>
      </c>
      <c r="AX19" s="72">
        <f t="shared" si="8"/>
        <v>0</v>
      </c>
      <c r="AY19" s="24">
        <f t="shared" si="6"/>
        <v>0</v>
      </c>
      <c r="AZ19" s="24">
        <f t="array" ref="AZ19">IF(OR(RIGHT(B19,LEN(Par_LabelTravelTime))=Par_LabelTravelTime,B19="čas na ceste - fakturácia"),1,0)</f>
        <v>0</v>
      </c>
    </row>
    <row r="20" spans="2:52" s="24" customFormat="1" ht="13.9" x14ac:dyDescent="0.3">
      <c r="B20" s="97"/>
      <c r="C20" s="92"/>
      <c r="D20" s="31" t="str">
        <f>IF(E20=1,VLOOKUP(TableInvs[[#This Row],[Calc_V_Typ]],Tran_RevenuesList,3,FALSE),"")</f>
        <v/>
      </c>
      <c r="E20" s="31">
        <f t="shared" si="1"/>
        <v>0</v>
      </c>
      <c r="F20" s="9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5"/>
      <c r="AD20" s="85"/>
      <c r="AE20" s="84"/>
      <c r="AF20" s="84"/>
      <c r="AG20" s="84"/>
      <c r="AH20" s="84"/>
      <c r="AI20" s="84"/>
      <c r="AJ20" s="84"/>
      <c r="AK20" s="84"/>
      <c r="AL20" s="84"/>
      <c r="AM20" s="84"/>
      <c r="AN20" s="84"/>
      <c r="AO20" s="84"/>
      <c r="AP20" s="84"/>
      <c r="AQ20" s="84"/>
      <c r="AR20" s="84"/>
      <c r="AS20" s="87">
        <f t="array" ref="AS20">IF(E20=1,SUM((ROW(Mf0)=ROW(AS20))*(Mf0+Mf1_+Mf2_+Mf3_+Mf4_+Mf5_+Mf6_+Mf7_+Mf8_+Mf9_+Mf10_+Mf11_+Mf12_+Mf13_+Mf14_+Mf15_+Mf16_+Mf17_+Mf18_+Mf19_+Mf20_+Mf21_+Mf22_+Mf23_+Mf24_+Mf25_+Mf26_+Mf27_+Mf28_+Mf29_+Mf30_+Mf31_+Mf32_+Mf33_+Mf34_+Mf35_+Mf36_+Mf37_)),0)</f>
        <v>0</v>
      </c>
      <c r="AU20" s="24" t="str">
        <f t="shared" si="2"/>
        <v/>
      </c>
      <c r="AV20" s="24" t="str">
        <f t="shared" si="7"/>
        <v/>
      </c>
      <c r="AW20" s="24" t="str">
        <f t="shared" si="4"/>
        <v/>
      </c>
      <c r="AX20" s="72">
        <f t="shared" si="8"/>
        <v>0</v>
      </c>
      <c r="AY20" s="24">
        <f t="shared" si="6"/>
        <v>0</v>
      </c>
      <c r="AZ20" s="24">
        <f t="array" ref="AZ20">IF(OR(RIGHT(B20,LEN(Par_LabelTravelTime))=Par_LabelTravelTime,B20="čas na ceste - fakturácia"),1,0)</f>
        <v>0</v>
      </c>
    </row>
    <row r="21" spans="2:52" s="24" customFormat="1" ht="13.9" x14ac:dyDescent="0.3">
      <c r="B21" s="97"/>
      <c r="C21" s="92"/>
      <c r="D21" s="31" t="str">
        <f>IF(E21=1,VLOOKUP(TableInvs[[#This Row],[Calc_V_Typ]],Tran_RevenuesList,3,FALSE),"")</f>
        <v/>
      </c>
      <c r="E21" s="31">
        <f t="shared" si="1"/>
        <v>0</v>
      </c>
      <c r="F21" s="9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5"/>
      <c r="AD21" s="85"/>
      <c r="AE21" s="84"/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4"/>
      <c r="AS21" s="87">
        <f t="array" ref="AS21">IF(E21=1,SUM((ROW(Mf0)=ROW(AS21))*(Mf0+Mf1_+Mf2_+Mf3_+Mf4_+Mf5_+Mf6_+Mf7_+Mf8_+Mf9_+Mf10_+Mf11_+Mf12_+Mf13_+Mf14_+Mf15_+Mf16_+Mf17_+Mf18_+Mf19_+Mf20_+Mf21_+Mf22_+Mf23_+Mf24_+Mf25_+Mf26_+Mf27_+Mf28_+Mf29_+Mf30_+Mf31_+Mf32_+Mf33_+Mf34_+Mf35_+Mf36_+Mf37_)),0)</f>
        <v>0</v>
      </c>
      <c r="AU21" s="24" t="str">
        <f t="shared" si="2"/>
        <v/>
      </c>
      <c r="AV21" s="24" t="str">
        <f t="shared" si="7"/>
        <v/>
      </c>
      <c r="AW21" s="24" t="str">
        <f t="shared" si="4"/>
        <v/>
      </c>
      <c r="AX21" s="72">
        <f t="shared" si="8"/>
        <v>0</v>
      </c>
      <c r="AY21" s="24">
        <f t="shared" si="6"/>
        <v>0</v>
      </c>
      <c r="AZ21" s="24">
        <f t="array" ref="AZ21">IF(OR(RIGHT(B21,LEN(Par_LabelTravelTime))=Par_LabelTravelTime,B21="čas na ceste - fakturácia"),1,0)</f>
        <v>0</v>
      </c>
    </row>
    <row r="22" spans="2:52" s="24" customFormat="1" ht="13.9" x14ac:dyDescent="0.3">
      <c r="B22" s="97"/>
      <c r="C22" s="92"/>
      <c r="D22" s="31" t="str">
        <f>IF(E22=1,VLOOKUP(TableInvs[[#This Row],[Calc_V_Typ]],Tran_RevenuesList,3,FALSE),"")</f>
        <v/>
      </c>
      <c r="E22" s="31">
        <f t="shared" si="1"/>
        <v>0</v>
      </c>
      <c r="F22" s="9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5"/>
      <c r="AD22" s="85"/>
      <c r="AE22" s="84"/>
      <c r="AF22" s="84"/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4"/>
      <c r="AS22" s="87">
        <f t="array" ref="AS22">IF(E22=1,SUM((ROW(Mf0)=ROW(AS22))*(Mf0+Mf1_+Mf2_+Mf3_+Mf4_+Mf5_+Mf6_+Mf7_+Mf8_+Mf9_+Mf10_+Mf11_+Mf12_+Mf13_+Mf14_+Mf15_+Mf16_+Mf17_+Mf18_+Mf19_+Mf20_+Mf21_+Mf22_+Mf23_+Mf24_+Mf25_+Mf26_+Mf27_+Mf28_+Mf29_+Mf30_+Mf31_+Mf32_+Mf33_+Mf34_+Mf35_+Mf36_+Mf37_)),0)</f>
        <v>0</v>
      </c>
      <c r="AU22" s="24" t="str">
        <f t="shared" si="2"/>
        <v/>
      </c>
      <c r="AV22" s="24" t="str">
        <f t="shared" si="7"/>
        <v/>
      </c>
      <c r="AW22" s="24" t="str">
        <f t="shared" si="4"/>
        <v/>
      </c>
      <c r="AX22" s="72">
        <f t="shared" si="8"/>
        <v>0</v>
      </c>
      <c r="AY22" s="24">
        <f t="shared" si="6"/>
        <v>0</v>
      </c>
      <c r="AZ22" s="24">
        <f t="array" ref="AZ22">IF(OR(RIGHT(B22,LEN(Par_LabelTravelTime))=Par_LabelTravelTime,B22="čas na ceste - fakturácia"),1,0)</f>
        <v>0</v>
      </c>
    </row>
    <row r="23" spans="2:52" s="24" customFormat="1" ht="13.9" x14ac:dyDescent="0.3">
      <c r="B23" s="97"/>
      <c r="C23" s="92"/>
      <c r="D23" s="31" t="str">
        <f>IF(E23=1,VLOOKUP(TableInvs[[#This Row],[Calc_V_Typ]],Tran_RevenuesList,3,FALSE),"")</f>
        <v/>
      </c>
      <c r="E23" s="31">
        <f t="shared" si="1"/>
        <v>0</v>
      </c>
      <c r="F23" s="9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5"/>
      <c r="AD23" s="85"/>
      <c r="AE23" s="84"/>
      <c r="AF23" s="84"/>
      <c r="AG23" s="84"/>
      <c r="AH23" s="84"/>
      <c r="AI23" s="84"/>
      <c r="AJ23" s="84"/>
      <c r="AK23" s="84"/>
      <c r="AL23" s="84"/>
      <c r="AM23" s="84"/>
      <c r="AN23" s="84"/>
      <c r="AO23" s="84"/>
      <c r="AP23" s="84"/>
      <c r="AQ23" s="84"/>
      <c r="AR23" s="84"/>
      <c r="AS23" s="87">
        <f t="array" ref="AS23">IF(E23=1,SUM((ROW(Mf0)=ROW(AS23))*(Mf0+Mf1_+Mf2_+Mf3_+Mf4_+Mf5_+Mf6_+Mf7_+Mf8_+Mf9_+Mf10_+Mf11_+Mf12_+Mf13_+Mf14_+Mf15_+Mf16_+Mf17_+Mf18_+Mf19_+Mf20_+Mf21_+Mf22_+Mf23_+Mf24_+Mf25_+Mf26_+Mf27_+Mf28_+Mf29_+Mf30_+Mf31_+Mf32_+Mf33_+Mf34_+Mf35_+Mf36_+Mf37_)),0)</f>
        <v>0</v>
      </c>
      <c r="AU23" s="24" t="str">
        <f t="shared" si="2"/>
        <v/>
      </c>
      <c r="AV23" s="24" t="str">
        <f t="shared" si="7"/>
        <v/>
      </c>
      <c r="AW23" s="24" t="str">
        <f t="shared" si="4"/>
        <v/>
      </c>
      <c r="AX23" s="72">
        <f t="shared" si="8"/>
        <v>0</v>
      </c>
      <c r="AY23" s="24">
        <f t="shared" si="6"/>
        <v>0</v>
      </c>
      <c r="AZ23" s="24">
        <f t="array" ref="AZ23">IF(OR(RIGHT(B23,LEN(Par_LabelTravelTime))=Par_LabelTravelTime,B23="čas na ceste - fakturácia"),1,0)</f>
        <v>0</v>
      </c>
    </row>
    <row r="24" spans="2:52" s="24" customFormat="1" ht="12.75" x14ac:dyDescent="0.2">
      <c r="B24" s="97" t="s">
        <v>90</v>
      </c>
      <c r="C24" s="92"/>
      <c r="D24" s="31" t="str">
        <f>IF(E24=1,VLOOKUP(TableInvs[[#This Row],[Calc_V_Typ]],Tran_RevenuesList,3,FALSE),"")</f>
        <v/>
      </c>
      <c r="E24" s="31">
        <f t="shared" si="1"/>
        <v>-1</v>
      </c>
      <c r="F24" s="94" t="s">
        <v>120</v>
      </c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5"/>
      <c r="AD24" s="85"/>
      <c r="AE24" s="84"/>
      <c r="AF24" s="84"/>
      <c r="AG24" s="84"/>
      <c r="AH24" s="84"/>
      <c r="AI24" s="84"/>
      <c r="AJ24" s="84"/>
      <c r="AK24" s="84"/>
      <c r="AL24" s="84"/>
      <c r="AM24" s="84"/>
      <c r="AN24" s="84"/>
      <c r="AO24" s="84"/>
      <c r="AP24" s="84"/>
      <c r="AQ24" s="84"/>
      <c r="AR24" s="84"/>
      <c r="AS24" s="87">
        <f t="array" ref="AS24">IF(E24=1,SUM((ROW(Mf0)=ROW(AS24))*(Mf0+Mf1_+Mf2_+Mf3_+Mf4_+Mf5_+Mf6_+Mf7_+Mf8_+Mf9_+Mf10_+Mf11_+Mf12_+Mf13_+Mf14_+Mf15_+Mf16_+Mf17_+Mf18_+Mf19_+Mf20_+Mf21_+Mf22_+Mf23_+Mf24_+Mf25_+Mf26_+Mf27_+Mf28_+Mf29_+Mf30_+Mf31_+Mf32_+Mf33_+Mf34_+Mf35_+Mf36_+Mf37_)),0)</f>
        <v>0</v>
      </c>
      <c r="AU24" s="24" t="str">
        <f t="shared" si="2"/>
        <v/>
      </c>
      <c r="AV24" s="24" t="str">
        <f t="shared" si="7"/>
        <v/>
      </c>
      <c r="AW24" s="24" t="str">
        <f t="shared" si="4"/>
        <v/>
      </c>
      <c r="AX24" s="72">
        <f t="shared" si="8"/>
        <v>0</v>
      </c>
      <c r="AY24" s="24" t="str">
        <f t="shared" si="6"/>
        <v>*** prázdna ***</v>
      </c>
      <c r="AZ24" s="24">
        <f t="array" ref="AZ24">IF(OR(RIGHT(B24,LEN(Par_LabelTravelTime))=Par_LabelTravelTime,B24="čas na ceste - fakturácia"),1,0)</f>
        <v>0</v>
      </c>
    </row>
    <row r="25" spans="2:52" s="24" customFormat="1" ht="13.9" x14ac:dyDescent="0.3">
      <c r="B25" s="97"/>
      <c r="C25" s="92" t="s">
        <v>132</v>
      </c>
      <c r="D25" s="31" t="str">
        <f>IF(E25=1,VLOOKUP(TableInvs[[#This Row],[Calc_V_Typ]],Tran_RevenuesList,3,FALSE),"")</f>
        <v/>
      </c>
      <c r="E25" s="31">
        <f t="shared" si="1"/>
        <v>0</v>
      </c>
      <c r="F25" s="9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5"/>
      <c r="AD25" s="85"/>
      <c r="AE25" s="84"/>
      <c r="AF25" s="84"/>
      <c r="AG25" s="84"/>
      <c r="AH25" s="84"/>
      <c r="AI25" s="84"/>
      <c r="AJ25" s="84"/>
      <c r="AK25" s="84"/>
      <c r="AL25" s="84"/>
      <c r="AM25" s="84"/>
      <c r="AN25" s="84"/>
      <c r="AO25" s="84"/>
      <c r="AP25" s="84"/>
      <c r="AQ25" s="84"/>
      <c r="AR25" s="84"/>
      <c r="AS25" s="87">
        <f t="array" ref="AS25">IF(E25=1,SUM((ROW(Mf0)=ROW(AS25))*(Mf0+Mf1_+Mf2_+Mf3_+Mf4_+Mf5_+Mf6_+Mf7_+Mf8_+Mf9_+Mf10_+Mf11_+Mf12_+Mf13_+Mf14_+Mf15_+Mf16_+Mf17_+Mf18_+Mf19_+Mf20_+Mf21_+Mf22_+Mf23_+Mf24_+Mf25_+Mf26_+Mf27_+Mf28_+Mf29_+Mf30_+Mf31_+Mf32_+Mf33_+Mf34_+Mf35_+Mf36_+Mf37_)),0)</f>
        <v>0</v>
      </c>
      <c r="AU25" s="24" t="str">
        <f t="shared" si="2"/>
        <v/>
      </c>
      <c r="AV25" s="24" t="str">
        <f t="shared" si="7"/>
        <v/>
      </c>
      <c r="AW25" s="24" t="str">
        <f t="shared" si="4"/>
        <v>Service Level Agreement</v>
      </c>
      <c r="AX25" s="72">
        <f t="shared" si="8"/>
        <v>0</v>
      </c>
      <c r="AY25" s="24">
        <f t="shared" si="6"/>
        <v>0</v>
      </c>
      <c r="AZ25" s="24">
        <f t="array" ref="AZ25">IF(OR(RIGHT(B25,LEN(Par_LabelTravelTime))=Par_LabelTravelTime,B25="čas na ceste - fakturácia"),1,0)</f>
        <v>0</v>
      </c>
    </row>
    <row r="26" spans="2:52" s="24" customFormat="1" ht="13.9" x14ac:dyDescent="0.3">
      <c r="B26" s="97"/>
      <c r="C26" s="92"/>
      <c r="D26" s="31" t="str">
        <f>IF(E26=1,VLOOKUP(TableInvs[[#This Row],[Calc_V_Typ]],Tran_RevenuesList,3,FALSE),"")</f>
        <v/>
      </c>
      <c r="E26" s="31">
        <f t="shared" si="1"/>
        <v>0</v>
      </c>
      <c r="F26" s="9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5"/>
      <c r="AD26" s="85"/>
      <c r="AE26" s="84"/>
      <c r="AF26" s="84"/>
      <c r="AG26" s="84"/>
      <c r="AH26" s="84"/>
      <c r="AI26" s="84"/>
      <c r="AJ26" s="84"/>
      <c r="AK26" s="84"/>
      <c r="AL26" s="84"/>
      <c r="AM26" s="84"/>
      <c r="AN26" s="84"/>
      <c r="AO26" s="84"/>
      <c r="AP26" s="84"/>
      <c r="AQ26" s="84"/>
      <c r="AR26" s="84"/>
      <c r="AS26" s="87">
        <f t="array" ref="AS26">IF(E26=1,SUM((ROW(Mf0)=ROW(AS26))*(Mf0+Mf1_+Mf2_+Mf3_+Mf4_+Mf5_+Mf6_+Mf7_+Mf8_+Mf9_+Mf10_+Mf11_+Mf12_+Mf13_+Mf14_+Mf15_+Mf16_+Mf17_+Mf18_+Mf19_+Mf20_+Mf21_+Mf22_+Mf23_+Mf24_+Mf25_+Mf26_+Mf27_+Mf28_+Mf29_+Mf30_+Mf31_+Mf32_+Mf33_+Mf34_+Mf35_+Mf36_+Mf37_)),0)</f>
        <v>0</v>
      </c>
      <c r="AU26" s="24" t="str">
        <f t="shared" si="2"/>
        <v/>
      </c>
      <c r="AV26" s="24" t="str">
        <f t="shared" si="7"/>
        <v/>
      </c>
      <c r="AW26" s="24" t="str">
        <f t="shared" si="4"/>
        <v/>
      </c>
      <c r="AX26" s="72">
        <f t="shared" si="8"/>
        <v>0</v>
      </c>
      <c r="AY26" s="24">
        <f t="shared" si="6"/>
        <v>0</v>
      </c>
      <c r="AZ26" s="24">
        <f t="array" ref="AZ26">IF(OR(RIGHT(B26,LEN(Par_LabelTravelTime))=Par_LabelTravelTime,B26="čas na ceste - fakturácia"),1,0)</f>
        <v>0</v>
      </c>
    </row>
    <row r="27" spans="2:52" s="24" customFormat="1" ht="13.9" x14ac:dyDescent="0.3">
      <c r="B27" s="97"/>
      <c r="C27" s="92"/>
      <c r="D27" s="31" t="str">
        <f>IF(E27=1,VLOOKUP(TableInvs[[#This Row],[Calc_V_Typ]],Tran_RevenuesList,3,FALSE),"")</f>
        <v/>
      </c>
      <c r="E27" s="31">
        <f t="shared" si="1"/>
        <v>0</v>
      </c>
      <c r="F27" s="9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5"/>
      <c r="AD27" s="85"/>
      <c r="AE27" s="84"/>
      <c r="AF27" s="84"/>
      <c r="AG27" s="84"/>
      <c r="AH27" s="84"/>
      <c r="AI27" s="84"/>
      <c r="AJ27" s="84"/>
      <c r="AK27" s="84"/>
      <c r="AL27" s="84"/>
      <c r="AM27" s="84"/>
      <c r="AN27" s="84"/>
      <c r="AO27" s="84"/>
      <c r="AP27" s="84"/>
      <c r="AQ27" s="84"/>
      <c r="AR27" s="84"/>
      <c r="AS27" s="87">
        <f t="array" ref="AS27">IF(E27=1,SUM((ROW(Mf0)=ROW(AS27))*(Mf0+Mf1_+Mf2_+Mf3_+Mf4_+Mf5_+Mf6_+Mf7_+Mf8_+Mf9_+Mf10_+Mf11_+Mf12_+Mf13_+Mf14_+Mf15_+Mf16_+Mf17_+Mf18_+Mf19_+Mf20_+Mf21_+Mf22_+Mf23_+Mf24_+Mf25_+Mf26_+Mf27_+Mf28_+Mf29_+Mf30_+Mf31_+Mf32_+Mf33_+Mf34_+Mf35_+Mf36_+Mf37_)),0)</f>
        <v>0</v>
      </c>
      <c r="AU27" s="24" t="str">
        <f t="shared" si="2"/>
        <v/>
      </c>
      <c r="AV27" s="24" t="str">
        <f t="shared" si="7"/>
        <v/>
      </c>
      <c r="AW27" s="24" t="str">
        <f t="shared" si="4"/>
        <v/>
      </c>
      <c r="AX27" s="72">
        <f t="shared" si="8"/>
        <v>0</v>
      </c>
      <c r="AY27" s="24">
        <f t="shared" si="6"/>
        <v>0</v>
      </c>
      <c r="AZ27" s="24">
        <f t="array" ref="AZ27">IF(OR(RIGHT(B27,LEN(Par_LabelTravelTime))=Par_LabelTravelTime,B27="čas na ceste - fakturácia"),1,0)</f>
        <v>0</v>
      </c>
    </row>
    <row r="28" spans="2:52" s="24" customFormat="1" ht="13.9" x14ac:dyDescent="0.3">
      <c r="B28" s="97"/>
      <c r="C28" s="92"/>
      <c r="D28" s="31" t="str">
        <f>IF(E28=1,VLOOKUP(TableInvs[[#This Row],[Calc_V_Typ]],Tran_RevenuesList,3,FALSE),"")</f>
        <v/>
      </c>
      <c r="E28" s="31">
        <f t="shared" si="1"/>
        <v>0</v>
      </c>
      <c r="F28" s="9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5"/>
      <c r="AD28" s="85"/>
      <c r="AE28" s="84"/>
      <c r="AF28" s="84"/>
      <c r="AG28" s="84"/>
      <c r="AH28" s="84"/>
      <c r="AI28" s="84"/>
      <c r="AJ28" s="84"/>
      <c r="AK28" s="84"/>
      <c r="AL28" s="84"/>
      <c r="AM28" s="84"/>
      <c r="AN28" s="84"/>
      <c r="AO28" s="84"/>
      <c r="AP28" s="84"/>
      <c r="AQ28" s="84"/>
      <c r="AR28" s="84"/>
      <c r="AS28" s="87">
        <f t="array" ref="AS28">IF(E28=1,SUM((ROW(Mf0)=ROW(AS28))*(Mf0+Mf1_+Mf2_+Mf3_+Mf4_+Mf5_+Mf6_+Mf7_+Mf8_+Mf9_+Mf10_+Mf11_+Mf12_+Mf13_+Mf14_+Mf15_+Mf16_+Mf17_+Mf18_+Mf19_+Mf20_+Mf21_+Mf22_+Mf23_+Mf24_+Mf25_+Mf26_+Mf27_+Mf28_+Mf29_+Mf30_+Mf31_+Mf32_+Mf33_+Mf34_+Mf35_+Mf36_+Mf37_)),0)</f>
        <v>0</v>
      </c>
      <c r="AU28" s="24" t="str">
        <f t="shared" si="2"/>
        <v/>
      </c>
      <c r="AV28" s="24" t="str">
        <f t="shared" si="7"/>
        <v/>
      </c>
      <c r="AW28" s="24" t="str">
        <f t="shared" si="4"/>
        <v/>
      </c>
      <c r="AX28" s="72">
        <f t="shared" si="8"/>
        <v>0</v>
      </c>
      <c r="AY28" s="24">
        <f t="shared" si="6"/>
        <v>0</v>
      </c>
      <c r="AZ28" s="24">
        <f t="array" ref="AZ28">IF(OR(RIGHT(B28,LEN(Par_LabelTravelTime))=Par_LabelTravelTime,B28="čas na ceste - fakturácia"),1,0)</f>
        <v>0</v>
      </c>
    </row>
    <row r="29" spans="2:52" s="24" customFormat="1" ht="13.9" x14ac:dyDescent="0.3">
      <c r="B29" s="97"/>
      <c r="C29" s="92"/>
      <c r="D29" s="31" t="str">
        <f>IF(E29=1,VLOOKUP(TableInvs[[#This Row],[Calc_V_Typ]],Tran_RevenuesList,3,FALSE),"")</f>
        <v/>
      </c>
      <c r="E29" s="31">
        <f t="shared" si="1"/>
        <v>0</v>
      </c>
      <c r="F29" s="9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5"/>
      <c r="AD29" s="85"/>
      <c r="AE29" s="84"/>
      <c r="AF29" s="84"/>
      <c r="AG29" s="84"/>
      <c r="AH29" s="84"/>
      <c r="AI29" s="84"/>
      <c r="AJ29" s="84"/>
      <c r="AK29" s="84"/>
      <c r="AL29" s="84"/>
      <c r="AM29" s="84"/>
      <c r="AN29" s="84"/>
      <c r="AO29" s="84"/>
      <c r="AP29" s="84"/>
      <c r="AQ29" s="84"/>
      <c r="AR29" s="84"/>
      <c r="AS29" s="87">
        <f t="array" ref="AS29">IF(E29=1,SUM((ROW(Mf0)=ROW(AS29))*(Mf0+Mf1_+Mf2_+Mf3_+Mf4_+Mf5_+Mf6_+Mf7_+Mf8_+Mf9_+Mf10_+Mf11_+Mf12_+Mf13_+Mf14_+Mf15_+Mf16_+Mf17_+Mf18_+Mf19_+Mf20_+Mf21_+Mf22_+Mf23_+Mf24_+Mf25_+Mf26_+Mf27_+Mf28_+Mf29_+Mf30_+Mf31_+Mf32_+Mf33_+Mf34_+Mf35_+Mf36_+Mf37_)),0)</f>
        <v>0</v>
      </c>
      <c r="AU29" s="24" t="str">
        <f t="shared" si="2"/>
        <v/>
      </c>
      <c r="AV29" s="24" t="str">
        <f t="shared" si="7"/>
        <v/>
      </c>
      <c r="AW29" s="24" t="str">
        <f t="shared" si="4"/>
        <v/>
      </c>
      <c r="AX29" s="72">
        <f t="shared" si="8"/>
        <v>0</v>
      </c>
      <c r="AY29" s="24">
        <f t="shared" si="6"/>
        <v>0</v>
      </c>
      <c r="AZ29" s="24">
        <f t="array" ref="AZ29">IF(OR(RIGHT(B29,LEN(Par_LabelTravelTime))=Par_LabelTravelTime,B29="čas na ceste - fakturácia"),1,0)</f>
        <v>0</v>
      </c>
    </row>
    <row r="30" spans="2:52" s="24" customFormat="1" ht="13.9" x14ac:dyDescent="0.3">
      <c r="B30" s="97"/>
      <c r="C30" s="92"/>
      <c r="D30" s="31" t="str">
        <f>IF(E30=1,VLOOKUP(TableInvs[[#This Row],[Calc_V_Typ]],Tran_RevenuesList,3,FALSE),"")</f>
        <v/>
      </c>
      <c r="E30" s="31">
        <f t="shared" si="1"/>
        <v>0</v>
      </c>
      <c r="F30" s="9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5"/>
      <c r="AD30" s="85"/>
      <c r="AE30" s="84"/>
      <c r="AF30" s="84"/>
      <c r="AG30" s="84"/>
      <c r="AH30" s="84"/>
      <c r="AI30" s="84"/>
      <c r="AJ30" s="84"/>
      <c r="AK30" s="84"/>
      <c r="AL30" s="84"/>
      <c r="AM30" s="84"/>
      <c r="AN30" s="84"/>
      <c r="AO30" s="84"/>
      <c r="AP30" s="84"/>
      <c r="AQ30" s="84"/>
      <c r="AR30" s="84"/>
      <c r="AS30" s="87">
        <f t="array" ref="AS30">IF(E30=1,SUM((ROW(Mf0)=ROW(AS30))*(Mf0+Mf1_+Mf2_+Mf3_+Mf4_+Mf5_+Mf6_+Mf7_+Mf8_+Mf9_+Mf10_+Mf11_+Mf12_+Mf13_+Mf14_+Mf15_+Mf16_+Mf17_+Mf18_+Mf19_+Mf20_+Mf21_+Mf22_+Mf23_+Mf24_+Mf25_+Mf26_+Mf27_+Mf28_+Mf29_+Mf30_+Mf31_+Mf32_+Mf33_+Mf34_+Mf35_+Mf36_+Mf37_)),0)</f>
        <v>0</v>
      </c>
      <c r="AU30" s="24" t="str">
        <f t="shared" si="2"/>
        <v/>
      </c>
      <c r="AV30" s="24" t="str">
        <f t="shared" si="7"/>
        <v/>
      </c>
      <c r="AW30" s="24" t="str">
        <f t="shared" si="4"/>
        <v/>
      </c>
      <c r="AX30" s="72">
        <f t="shared" si="8"/>
        <v>0</v>
      </c>
      <c r="AY30" s="24">
        <f t="shared" si="6"/>
        <v>0</v>
      </c>
      <c r="AZ30" s="24">
        <f t="array" ref="AZ30">IF(OR(RIGHT(B30,LEN(Par_LabelTravelTime))=Par_LabelTravelTime,B30="čas na ceste - fakturácia"),1,0)</f>
        <v>0</v>
      </c>
    </row>
    <row r="31" spans="2:52" s="24" customFormat="1" ht="13.9" x14ac:dyDescent="0.3">
      <c r="B31" s="97"/>
      <c r="C31" s="92"/>
      <c r="D31" s="31" t="str">
        <f>IF(E31=1,VLOOKUP(TableInvs[[#This Row],[Calc_V_Typ]],Tran_RevenuesList,3,FALSE),"")</f>
        <v/>
      </c>
      <c r="E31" s="31">
        <f t="shared" si="1"/>
        <v>0</v>
      </c>
      <c r="F31" s="9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5"/>
      <c r="AD31" s="85"/>
      <c r="AE31" s="84"/>
      <c r="AF31" s="84"/>
      <c r="AG31" s="84"/>
      <c r="AH31" s="84"/>
      <c r="AI31" s="84"/>
      <c r="AJ31" s="84"/>
      <c r="AK31" s="84"/>
      <c r="AL31" s="84"/>
      <c r="AM31" s="84"/>
      <c r="AN31" s="84"/>
      <c r="AO31" s="84"/>
      <c r="AP31" s="84"/>
      <c r="AQ31" s="84"/>
      <c r="AR31" s="84"/>
      <c r="AS31" s="87">
        <f t="array" ref="AS31">IF(E31=1,SUM((ROW(Mf0)=ROW(AS31))*(Mf0+Mf1_+Mf2_+Mf3_+Mf4_+Mf5_+Mf6_+Mf7_+Mf8_+Mf9_+Mf10_+Mf11_+Mf12_+Mf13_+Mf14_+Mf15_+Mf16_+Mf17_+Mf18_+Mf19_+Mf20_+Mf21_+Mf22_+Mf23_+Mf24_+Mf25_+Mf26_+Mf27_+Mf28_+Mf29_+Mf30_+Mf31_+Mf32_+Mf33_+Mf34_+Mf35_+Mf36_+Mf37_)),0)</f>
        <v>0</v>
      </c>
      <c r="AU31" s="24" t="str">
        <f t="shared" si="2"/>
        <v/>
      </c>
      <c r="AV31" s="24" t="str">
        <f t="shared" si="7"/>
        <v/>
      </c>
      <c r="AW31" s="24" t="str">
        <f t="shared" si="4"/>
        <v/>
      </c>
      <c r="AX31" s="72">
        <f t="shared" si="8"/>
        <v>0</v>
      </c>
      <c r="AY31" s="24">
        <f t="shared" si="6"/>
        <v>0</v>
      </c>
      <c r="AZ31" s="24">
        <f t="array" ref="AZ31">IF(OR(RIGHT(B31,LEN(Par_LabelTravelTime))=Par_LabelTravelTime,B31="čas na ceste - fakturácia"),1,0)</f>
        <v>0</v>
      </c>
    </row>
    <row r="32" spans="2:52" s="24" customFormat="1" ht="13.9" x14ac:dyDescent="0.3">
      <c r="B32" s="97"/>
      <c r="C32" s="92"/>
      <c r="D32" s="31" t="str">
        <f>IF(E32=1,VLOOKUP(TableInvs[[#This Row],[Calc_V_Typ]],Tran_RevenuesList,3,FALSE),"")</f>
        <v/>
      </c>
      <c r="E32" s="31">
        <f t="shared" si="1"/>
        <v>0</v>
      </c>
      <c r="F32" s="9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5"/>
      <c r="AD32" s="85"/>
      <c r="AE32" s="84"/>
      <c r="AF32" s="84"/>
      <c r="AG32" s="84"/>
      <c r="AH32" s="84"/>
      <c r="AI32" s="84"/>
      <c r="AJ32" s="84"/>
      <c r="AK32" s="84"/>
      <c r="AL32" s="84"/>
      <c r="AM32" s="84"/>
      <c r="AN32" s="84"/>
      <c r="AO32" s="84"/>
      <c r="AP32" s="84"/>
      <c r="AQ32" s="84"/>
      <c r="AR32" s="84"/>
      <c r="AS32" s="87">
        <f t="array" ref="AS32">IF(E32=1,SUM((ROW(Mf0)=ROW(AS32))*(Mf0+Mf1_+Mf2_+Mf3_+Mf4_+Mf5_+Mf6_+Mf7_+Mf8_+Mf9_+Mf10_+Mf11_+Mf12_+Mf13_+Mf14_+Mf15_+Mf16_+Mf17_+Mf18_+Mf19_+Mf20_+Mf21_+Mf22_+Mf23_+Mf24_+Mf25_+Mf26_+Mf27_+Mf28_+Mf29_+Mf30_+Mf31_+Mf32_+Mf33_+Mf34_+Mf35_+Mf36_+Mf37_)),0)</f>
        <v>0</v>
      </c>
      <c r="AU32" s="24" t="str">
        <f t="shared" si="2"/>
        <v/>
      </c>
      <c r="AV32" s="24" t="str">
        <f t="shared" si="7"/>
        <v/>
      </c>
      <c r="AW32" s="24" t="str">
        <f t="shared" si="4"/>
        <v/>
      </c>
      <c r="AX32" s="72">
        <f t="shared" si="8"/>
        <v>0</v>
      </c>
      <c r="AY32" s="24">
        <f t="shared" si="6"/>
        <v>0</v>
      </c>
      <c r="AZ32" s="24">
        <f t="array" ref="AZ32">IF(OR(RIGHT(B32,LEN(Par_LabelTravelTime))=Par_LabelTravelTime,B32="čas na ceste - fakturácia"),1,0)</f>
        <v>0</v>
      </c>
    </row>
    <row r="33" spans="2:52" s="24" customFormat="1" ht="12.75" x14ac:dyDescent="0.2">
      <c r="B33" s="97"/>
      <c r="C33" s="92"/>
      <c r="D33" s="31" t="str">
        <f>IF(E33=1,VLOOKUP(TableInvs[[#This Row],[Calc_V_Typ]],Tran_RevenuesList,3,FALSE),"")</f>
        <v/>
      </c>
      <c r="E33" s="31">
        <f t="shared" si="1"/>
        <v>0</v>
      </c>
      <c r="F33" s="9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5"/>
      <c r="AD33" s="85"/>
      <c r="AE33" s="84"/>
      <c r="AF33" s="84"/>
      <c r="AG33" s="84"/>
      <c r="AH33" s="84"/>
      <c r="AI33" s="84"/>
      <c r="AJ33" s="84"/>
      <c r="AK33" s="84"/>
      <c r="AL33" s="84"/>
      <c r="AM33" s="84"/>
      <c r="AN33" s="84"/>
      <c r="AO33" s="84"/>
      <c r="AP33" s="84"/>
      <c r="AQ33" s="84"/>
      <c r="AR33" s="84"/>
      <c r="AS33" s="87">
        <f t="array" ref="AS33">IF(E33=1,SUM((ROW(Mf0)=ROW(AS33))*(Mf0+Mf1_+Mf2_+Mf3_+Mf4_+Mf5_+Mf6_+Mf7_+Mf8_+Mf9_+Mf10_+Mf11_+Mf12_+Mf13_+Mf14_+Mf15_+Mf16_+Mf17_+Mf18_+Mf19_+Mf20_+Mf21_+Mf22_+Mf23_+Mf24_+Mf25_+Mf26_+Mf27_+Mf28_+Mf29_+Mf30_+Mf31_+Mf32_+Mf33_+Mf34_+Mf35_+Mf36_+Mf37_)),0)</f>
        <v>0</v>
      </c>
      <c r="AU33" s="24" t="str">
        <f t="shared" si="2"/>
        <v/>
      </c>
      <c r="AV33" s="24" t="str">
        <f t="shared" si="7"/>
        <v/>
      </c>
      <c r="AW33" s="24" t="str">
        <f t="shared" si="4"/>
        <v/>
      </c>
      <c r="AX33" s="72">
        <f t="shared" si="8"/>
        <v>0</v>
      </c>
      <c r="AY33" s="24">
        <f t="shared" si="6"/>
        <v>0</v>
      </c>
      <c r="AZ33" s="24">
        <f t="array" ref="AZ33">IF(OR(RIGHT(B33,LEN(Par_LabelTravelTime))=Par_LabelTravelTime,B33="čas na ceste - fakturácia"),1,0)</f>
        <v>0</v>
      </c>
    </row>
    <row r="34" spans="2:52" s="24" customFormat="1" ht="12.75" x14ac:dyDescent="0.2">
      <c r="B34" s="97"/>
      <c r="C34" s="92"/>
      <c r="D34" s="31" t="str">
        <f>IF(E34=1,VLOOKUP(TableInvs[[#This Row],[Calc_V_Typ]],Tran_RevenuesList,3,FALSE),"")</f>
        <v/>
      </c>
      <c r="E34" s="31">
        <f t="shared" si="1"/>
        <v>0</v>
      </c>
      <c r="F34" s="9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5"/>
      <c r="AD34" s="85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7">
        <f t="array" ref="AS34">IF(E34=1,SUM((ROW(Mf0)=ROW(AS34))*(Mf0+Mf1_+Mf2_+Mf3_+Mf4_+Mf5_+Mf6_+Mf7_+Mf8_+Mf9_+Mf10_+Mf11_+Mf12_+Mf13_+Mf14_+Mf15_+Mf16_+Mf17_+Mf18_+Mf19_+Mf20_+Mf21_+Mf22_+Mf23_+Mf24_+Mf25_+Mf26_+Mf27_+Mf28_+Mf29_+Mf30_+Mf31_+Mf32_+Mf33_+Mf34_+Mf35_+Mf36_+Mf37_)),0)</f>
        <v>0</v>
      </c>
      <c r="AU34" s="24" t="str">
        <f t="shared" si="2"/>
        <v/>
      </c>
      <c r="AV34" s="24" t="str">
        <f t="shared" si="7"/>
        <v/>
      </c>
      <c r="AW34" s="24" t="str">
        <f t="shared" si="4"/>
        <v/>
      </c>
      <c r="AX34" s="72">
        <f t="shared" si="8"/>
        <v>0</v>
      </c>
      <c r="AY34" s="24">
        <f t="shared" si="6"/>
        <v>0</v>
      </c>
      <c r="AZ34" s="24">
        <f t="array" ref="AZ34">IF(OR(RIGHT(B34,LEN(Par_LabelTravelTime))=Par_LabelTravelTime,B34="čas na ceste - fakturácia"),1,0)</f>
        <v>0</v>
      </c>
    </row>
    <row r="35" spans="2:52" s="24" customFormat="1" ht="12.75" x14ac:dyDescent="0.2">
      <c r="B35" s="97"/>
      <c r="C35" s="92"/>
      <c r="D35" s="31" t="str">
        <f>IF(E35=1,VLOOKUP(TableInvs[[#This Row],[Calc_V_Typ]],Tran_RevenuesList,3,FALSE),"")</f>
        <v/>
      </c>
      <c r="E35" s="31">
        <f t="shared" si="1"/>
        <v>0</v>
      </c>
      <c r="F35" s="9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5"/>
      <c r="AD35" s="85"/>
      <c r="AE35" s="84"/>
      <c r="AF35" s="84"/>
      <c r="AG35" s="84"/>
      <c r="AH35" s="84"/>
      <c r="AI35" s="84"/>
      <c r="AJ35" s="84"/>
      <c r="AK35" s="84"/>
      <c r="AL35" s="84"/>
      <c r="AM35" s="84"/>
      <c r="AN35" s="84"/>
      <c r="AO35" s="84"/>
      <c r="AP35" s="84"/>
      <c r="AQ35" s="84"/>
      <c r="AR35" s="84"/>
      <c r="AS35" s="87">
        <f t="array" ref="AS35">IF(E35=1,SUM((ROW(Mf0)=ROW(AS35))*(Mf0+Mf1_+Mf2_+Mf3_+Mf4_+Mf5_+Mf6_+Mf7_+Mf8_+Mf9_+Mf10_+Mf11_+Mf12_+Mf13_+Mf14_+Mf15_+Mf16_+Mf17_+Mf18_+Mf19_+Mf20_+Mf21_+Mf22_+Mf23_+Mf24_+Mf25_+Mf26_+Mf27_+Mf28_+Mf29_+Mf30_+Mf31_+Mf32_+Mf33_+Mf34_+Mf35_+Mf36_+Mf37_)),0)</f>
        <v>0</v>
      </c>
      <c r="AU35" s="24" t="str">
        <f t="shared" si="2"/>
        <v/>
      </c>
      <c r="AV35" s="24" t="str">
        <f t="shared" si="7"/>
        <v/>
      </c>
      <c r="AW35" s="24" t="str">
        <f t="shared" si="4"/>
        <v/>
      </c>
      <c r="AX35" s="72">
        <f t="shared" si="8"/>
        <v>0</v>
      </c>
      <c r="AY35" s="24">
        <f t="shared" si="6"/>
        <v>0</v>
      </c>
      <c r="AZ35" s="24">
        <f t="array" ref="AZ35">IF(OR(RIGHT(B35,LEN(Par_LabelTravelTime))=Par_LabelTravelTime,B35="čas na ceste - fakturácia"),1,0)</f>
        <v>0</v>
      </c>
    </row>
    <row r="36" spans="2:52" s="24" customFormat="1" ht="12.75" x14ac:dyDescent="0.2">
      <c r="B36" s="97"/>
      <c r="C36" s="92"/>
      <c r="D36" s="31" t="str">
        <f>IF(E36=1,VLOOKUP(TableInvs[[#This Row],[Calc_V_Typ]],Tran_RevenuesList,3,FALSE),"")</f>
        <v/>
      </c>
      <c r="E36" s="31">
        <f t="shared" si="1"/>
        <v>0</v>
      </c>
      <c r="F36" s="9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5"/>
      <c r="AD36" s="85"/>
      <c r="AE36" s="84"/>
      <c r="AF36" s="84"/>
      <c r="AG36" s="84"/>
      <c r="AH36" s="84"/>
      <c r="AI36" s="84"/>
      <c r="AJ36" s="84"/>
      <c r="AK36" s="84"/>
      <c r="AL36" s="84"/>
      <c r="AM36" s="84"/>
      <c r="AN36" s="84"/>
      <c r="AO36" s="84"/>
      <c r="AP36" s="84"/>
      <c r="AQ36" s="84"/>
      <c r="AR36" s="84"/>
      <c r="AS36" s="87">
        <f t="array" ref="AS36">IF(E36=1,SUM((ROW(Mf0)=ROW(AS36))*(Mf0+Mf1_+Mf2_+Mf3_+Mf4_+Mf5_+Mf6_+Mf7_+Mf8_+Mf9_+Mf10_+Mf11_+Mf12_+Mf13_+Mf14_+Mf15_+Mf16_+Mf17_+Mf18_+Mf19_+Mf20_+Mf21_+Mf22_+Mf23_+Mf24_+Mf25_+Mf26_+Mf27_+Mf28_+Mf29_+Mf30_+Mf31_+Mf32_+Mf33_+Mf34_+Mf35_+Mf36_+Mf37_)),0)</f>
        <v>0</v>
      </c>
      <c r="AU36" s="24" t="str">
        <f t="shared" si="2"/>
        <v/>
      </c>
      <c r="AV36" s="24" t="str">
        <f t="shared" si="7"/>
        <v/>
      </c>
      <c r="AW36" s="24" t="str">
        <f t="shared" si="4"/>
        <v/>
      </c>
      <c r="AX36" s="72">
        <f t="shared" si="8"/>
        <v>0</v>
      </c>
      <c r="AY36" s="24">
        <f t="shared" si="6"/>
        <v>0</v>
      </c>
      <c r="AZ36" s="24">
        <f t="array" ref="AZ36">IF(OR(RIGHT(B36,LEN(Par_LabelTravelTime))=Par_LabelTravelTime,B36="čas na ceste - fakturácia"),1,0)</f>
        <v>0</v>
      </c>
    </row>
    <row r="37" spans="2:52" s="24" customFormat="1" ht="12.75" x14ac:dyDescent="0.2">
      <c r="B37" s="97" t="s">
        <v>90</v>
      </c>
      <c r="C37" s="92"/>
      <c r="D37" s="31" t="str">
        <f>IF(E37=1,VLOOKUP(TableInvs[[#This Row],[Calc_V_Typ]],Tran_RevenuesList,3,FALSE),"")</f>
        <v/>
      </c>
      <c r="E37" s="31">
        <f t="shared" si="1"/>
        <v>-1</v>
      </c>
      <c r="F37" s="94" t="s">
        <v>128</v>
      </c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5"/>
      <c r="AD37" s="85"/>
      <c r="AE37" s="84"/>
      <c r="AF37" s="84"/>
      <c r="AG37" s="84"/>
      <c r="AH37" s="84"/>
      <c r="AI37" s="84"/>
      <c r="AJ37" s="84"/>
      <c r="AK37" s="84"/>
      <c r="AL37" s="84"/>
      <c r="AM37" s="84"/>
      <c r="AN37" s="84"/>
      <c r="AO37" s="84"/>
      <c r="AP37" s="84"/>
      <c r="AQ37" s="84"/>
      <c r="AR37" s="84"/>
      <c r="AS37" s="87">
        <f t="array" ref="AS37">IF(E37=1,SUM((ROW(Mf0)=ROW(AS37))*(Mf0+Mf1_+Mf2_+Mf3_+Mf4_+Mf5_+Mf6_+Mf7_+Mf8_+Mf9_+Mf10_+Mf11_+Mf12_+Mf13_+Mf14_+Mf15_+Mf16_+Mf17_+Mf18_+Mf19_+Mf20_+Mf21_+Mf22_+Mf23_+Mf24_+Mf25_+Mf26_+Mf27_+Mf28_+Mf29_+Mf30_+Mf31_+Mf32_+Mf33_+Mf34_+Mf35_+Mf36_+Mf37_)),0)</f>
        <v>0</v>
      </c>
      <c r="AU37" s="24" t="str">
        <f t="shared" si="2"/>
        <v/>
      </c>
      <c r="AV37" s="24" t="str">
        <f t="shared" si="7"/>
        <v/>
      </c>
      <c r="AW37" s="24" t="str">
        <f t="shared" si="4"/>
        <v/>
      </c>
      <c r="AX37" s="72">
        <f t="shared" si="8"/>
        <v>0</v>
      </c>
      <c r="AY37" s="24" t="str">
        <f t="shared" si="6"/>
        <v>*** prázdna ***</v>
      </c>
      <c r="AZ37" s="24">
        <f t="array" ref="AZ37">IF(OR(RIGHT(B37,LEN(Par_LabelTravelTime))=Par_LabelTravelTime,B37="čas na ceste - fakturácia"),1,0)</f>
        <v>0</v>
      </c>
    </row>
    <row r="38" spans="2:52" s="24" customFormat="1" ht="12.75" x14ac:dyDescent="0.2">
      <c r="B38" s="97"/>
      <c r="C38" s="92" t="s">
        <v>133</v>
      </c>
      <c r="D38" s="31" t="str">
        <f>IF(E38=1,VLOOKUP(TableInvs[[#This Row],[Calc_V_Typ]],Tran_RevenuesList,3,FALSE),"")</f>
        <v/>
      </c>
      <c r="E38" s="31">
        <f t="shared" si="1"/>
        <v>0</v>
      </c>
      <c r="F38" s="9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5"/>
      <c r="AD38" s="85"/>
      <c r="AE38" s="84"/>
      <c r="AF38" s="84"/>
      <c r="AG38" s="84"/>
      <c r="AH38" s="84"/>
      <c r="AI38" s="84"/>
      <c r="AJ38" s="84"/>
      <c r="AK38" s="84"/>
      <c r="AL38" s="84"/>
      <c r="AM38" s="84"/>
      <c r="AN38" s="84"/>
      <c r="AO38" s="84"/>
      <c r="AP38" s="84"/>
      <c r="AQ38" s="84"/>
      <c r="AR38" s="84"/>
      <c r="AS38" s="87">
        <f t="array" ref="AS38">IF(E38=1,SUM((ROW(Mf0)=ROW(AS38))*(Mf0+Mf1_+Mf2_+Mf3_+Mf4_+Mf5_+Mf6_+Mf7_+Mf8_+Mf9_+Mf10_+Mf11_+Mf12_+Mf13_+Mf14_+Mf15_+Mf16_+Mf17_+Mf18_+Mf19_+Mf20_+Mf21_+Mf22_+Mf23_+Mf24_+Mf25_+Mf26_+Mf27_+Mf28_+Mf29_+Mf30_+Mf31_+Mf32_+Mf33_+Mf34_+Mf35_+Mf36_+Mf37_)),0)</f>
        <v>0</v>
      </c>
      <c r="AU38" s="24" t="str">
        <f t="shared" si="2"/>
        <v/>
      </c>
      <c r="AV38" s="24" t="str">
        <f t="shared" si="7"/>
        <v/>
      </c>
      <c r="AW38" s="24" t="str">
        <f t="shared" si="4"/>
        <v>Application Support</v>
      </c>
      <c r="AX38" s="72">
        <f t="shared" si="8"/>
        <v>0</v>
      </c>
      <c r="AY38" s="24">
        <f t="shared" si="6"/>
        <v>0</v>
      </c>
      <c r="AZ38" s="24">
        <f t="array" ref="AZ38">IF(OR(RIGHT(B38,LEN(Par_LabelTravelTime))=Par_LabelTravelTime,B38="čas na ceste - fakturácia"),1,0)</f>
        <v>0</v>
      </c>
    </row>
    <row r="39" spans="2:52" s="24" customFormat="1" ht="12.75" x14ac:dyDescent="0.2">
      <c r="B39" s="97"/>
      <c r="C39" s="92"/>
      <c r="D39" s="31" t="str">
        <f>IF(E39=1,VLOOKUP(TableInvs[[#This Row],[Calc_V_Typ]],Tran_RevenuesList,3,FALSE),"")</f>
        <v/>
      </c>
      <c r="E39" s="31">
        <f t="shared" si="1"/>
        <v>0</v>
      </c>
      <c r="F39" s="9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5"/>
      <c r="AD39" s="85"/>
      <c r="AE39" s="84"/>
      <c r="AF39" s="84"/>
      <c r="AG39" s="84"/>
      <c r="AH39" s="84"/>
      <c r="AI39" s="84"/>
      <c r="AJ39" s="84"/>
      <c r="AK39" s="84"/>
      <c r="AL39" s="84"/>
      <c r="AM39" s="84"/>
      <c r="AN39" s="84"/>
      <c r="AO39" s="84"/>
      <c r="AP39" s="84"/>
      <c r="AQ39" s="84"/>
      <c r="AR39" s="84"/>
      <c r="AS39" s="87">
        <f t="array" ref="AS39">IF(E39=1,SUM((ROW(Mf0)=ROW(AS39))*(Mf0+Mf1_+Mf2_+Mf3_+Mf4_+Mf5_+Mf6_+Mf7_+Mf8_+Mf9_+Mf10_+Mf11_+Mf12_+Mf13_+Mf14_+Mf15_+Mf16_+Mf17_+Mf18_+Mf19_+Mf20_+Mf21_+Mf22_+Mf23_+Mf24_+Mf25_+Mf26_+Mf27_+Mf28_+Mf29_+Mf30_+Mf31_+Mf32_+Mf33_+Mf34_+Mf35_+Mf36_+Mf37_)),0)</f>
        <v>0</v>
      </c>
      <c r="AU39" s="24" t="str">
        <f t="shared" si="2"/>
        <v/>
      </c>
      <c r="AV39" s="24" t="str">
        <f t="shared" si="7"/>
        <v/>
      </c>
      <c r="AW39" s="24" t="str">
        <f t="shared" si="4"/>
        <v/>
      </c>
      <c r="AX39" s="72">
        <f t="shared" si="8"/>
        <v>0</v>
      </c>
      <c r="AY39" s="24">
        <f t="shared" si="6"/>
        <v>0</v>
      </c>
      <c r="AZ39" s="24">
        <f t="array" ref="AZ39">IF(OR(RIGHT(B39,LEN(Par_LabelTravelTime))=Par_LabelTravelTime,B39="čas na ceste - fakturácia"),1,0)</f>
        <v>0</v>
      </c>
    </row>
    <row r="40" spans="2:52" s="24" customFormat="1" ht="12.75" x14ac:dyDescent="0.2">
      <c r="B40" s="97"/>
      <c r="C40" s="92"/>
      <c r="D40" s="31" t="str">
        <f>IF(E40=1,VLOOKUP(TableInvs[[#This Row],[Calc_V_Typ]],Tran_RevenuesList,3,FALSE),"")</f>
        <v/>
      </c>
      <c r="E40" s="31">
        <f t="shared" si="1"/>
        <v>0</v>
      </c>
      <c r="F40" s="9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5"/>
      <c r="AD40" s="85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4"/>
      <c r="AS40" s="87">
        <f t="array" ref="AS40">IF(E40=1,SUM((ROW(Mf0)=ROW(AS40))*(Mf0+Mf1_+Mf2_+Mf3_+Mf4_+Mf5_+Mf6_+Mf7_+Mf8_+Mf9_+Mf10_+Mf11_+Mf12_+Mf13_+Mf14_+Mf15_+Mf16_+Mf17_+Mf18_+Mf19_+Mf20_+Mf21_+Mf22_+Mf23_+Mf24_+Mf25_+Mf26_+Mf27_+Mf28_+Mf29_+Mf30_+Mf31_+Mf32_+Mf33_+Mf34_+Mf35_+Mf36_+Mf37_)),0)</f>
        <v>0</v>
      </c>
      <c r="AU40" s="24" t="str">
        <f t="shared" si="2"/>
        <v/>
      </c>
      <c r="AV40" s="24" t="str">
        <f t="shared" si="7"/>
        <v/>
      </c>
      <c r="AW40" s="24" t="str">
        <f t="shared" si="4"/>
        <v/>
      </c>
      <c r="AX40" s="72">
        <f t="shared" si="8"/>
        <v>0</v>
      </c>
      <c r="AY40" s="24">
        <f t="shared" si="6"/>
        <v>0</v>
      </c>
      <c r="AZ40" s="24">
        <f t="array" ref="AZ40">IF(OR(RIGHT(B40,LEN(Par_LabelTravelTime))=Par_LabelTravelTime,B40="čas na ceste - fakturácia"),1,0)</f>
        <v>0</v>
      </c>
    </row>
    <row r="41" spans="2:52" s="24" customFormat="1" ht="12.75" x14ac:dyDescent="0.2">
      <c r="B41" s="97"/>
      <c r="C41" s="92"/>
      <c r="D41" s="31" t="str">
        <f>IF(E41=1,VLOOKUP(TableInvs[[#This Row],[Calc_V_Typ]],Tran_RevenuesList,3,FALSE),"")</f>
        <v/>
      </c>
      <c r="E41" s="31">
        <f t="shared" si="1"/>
        <v>0</v>
      </c>
      <c r="F41" s="9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5"/>
      <c r="AD41" s="85"/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4"/>
      <c r="AS41" s="87">
        <f t="array" ref="AS41">IF(E41=1,SUM((ROW(Mf0)=ROW(AS41))*(Mf0+Mf1_+Mf2_+Mf3_+Mf4_+Mf5_+Mf6_+Mf7_+Mf8_+Mf9_+Mf10_+Mf11_+Mf12_+Mf13_+Mf14_+Mf15_+Mf16_+Mf17_+Mf18_+Mf19_+Mf20_+Mf21_+Mf22_+Mf23_+Mf24_+Mf25_+Mf26_+Mf27_+Mf28_+Mf29_+Mf30_+Mf31_+Mf32_+Mf33_+Mf34_+Mf35_+Mf36_+Mf37_)),0)</f>
        <v>0</v>
      </c>
      <c r="AU41" s="24" t="str">
        <f t="shared" si="2"/>
        <v/>
      </c>
      <c r="AV41" s="24" t="str">
        <f t="shared" si="7"/>
        <v/>
      </c>
      <c r="AW41" s="24" t="str">
        <f t="shared" si="4"/>
        <v/>
      </c>
      <c r="AX41" s="72">
        <f t="shared" si="8"/>
        <v>0</v>
      </c>
      <c r="AY41" s="24">
        <f t="shared" si="6"/>
        <v>0</v>
      </c>
      <c r="AZ41" s="24">
        <f t="array" ref="AZ41">IF(OR(RIGHT(B41,LEN(Par_LabelTravelTime))=Par_LabelTravelTime,B41="čas na ceste - fakturácia"),1,0)</f>
        <v>0</v>
      </c>
    </row>
    <row r="42" spans="2:52" s="24" customFormat="1" ht="12.75" x14ac:dyDescent="0.2">
      <c r="B42" s="97"/>
      <c r="C42" s="92"/>
      <c r="D42" s="31" t="str">
        <f>IF(E42=1,VLOOKUP(TableInvs[[#This Row],[Calc_V_Typ]],Tran_RevenuesList,3,FALSE),"")</f>
        <v/>
      </c>
      <c r="E42" s="31">
        <f t="shared" si="1"/>
        <v>0</v>
      </c>
      <c r="F42" s="9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5"/>
      <c r="AD42" s="85"/>
      <c r="AE42" s="84"/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4"/>
      <c r="AS42" s="87">
        <f t="array" ref="AS42">IF(E42=1,SUM((ROW(Mf0)=ROW(AS42))*(Mf0+Mf1_+Mf2_+Mf3_+Mf4_+Mf5_+Mf6_+Mf7_+Mf8_+Mf9_+Mf10_+Mf11_+Mf12_+Mf13_+Mf14_+Mf15_+Mf16_+Mf17_+Mf18_+Mf19_+Mf20_+Mf21_+Mf22_+Mf23_+Mf24_+Mf25_+Mf26_+Mf27_+Mf28_+Mf29_+Mf30_+Mf31_+Mf32_+Mf33_+Mf34_+Mf35_+Mf36_+Mf37_)),0)</f>
        <v>0</v>
      </c>
      <c r="AU42" s="24" t="str">
        <f t="shared" si="2"/>
        <v/>
      </c>
      <c r="AV42" s="24" t="str">
        <f t="shared" si="7"/>
        <v/>
      </c>
      <c r="AW42" s="24" t="str">
        <f t="shared" si="4"/>
        <v/>
      </c>
      <c r="AX42" s="72">
        <f t="shared" si="8"/>
        <v>0</v>
      </c>
      <c r="AY42" s="24">
        <f t="shared" si="6"/>
        <v>0</v>
      </c>
      <c r="AZ42" s="24">
        <f t="array" ref="AZ42">IF(OR(RIGHT(B42,LEN(Par_LabelTravelTime))=Par_LabelTravelTime,B42="čas na ceste - fakturácia"),1,0)</f>
        <v>0</v>
      </c>
    </row>
    <row r="43" spans="2:52" s="24" customFormat="1" ht="12.75" x14ac:dyDescent="0.2">
      <c r="B43" s="97"/>
      <c r="C43" s="92"/>
      <c r="D43" s="31" t="str">
        <f>IF(E43=1,VLOOKUP(TableInvs[[#This Row],[Calc_V_Typ]],Tran_RevenuesList,3,FALSE),"")</f>
        <v/>
      </c>
      <c r="E43" s="31">
        <f t="shared" si="1"/>
        <v>0</v>
      </c>
      <c r="F43" s="9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5"/>
      <c r="AD43" s="85"/>
      <c r="AE43" s="84"/>
      <c r="AF43" s="84"/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4"/>
      <c r="AS43" s="87">
        <f t="array" ref="AS43">IF(E43=1,SUM((ROW(Mf0)=ROW(AS43))*(Mf0+Mf1_+Mf2_+Mf3_+Mf4_+Mf5_+Mf6_+Mf7_+Mf8_+Mf9_+Mf10_+Mf11_+Mf12_+Mf13_+Mf14_+Mf15_+Mf16_+Mf17_+Mf18_+Mf19_+Mf20_+Mf21_+Mf22_+Mf23_+Mf24_+Mf25_+Mf26_+Mf27_+Mf28_+Mf29_+Mf30_+Mf31_+Mf32_+Mf33_+Mf34_+Mf35_+Mf36_+Mf37_)),0)</f>
        <v>0</v>
      </c>
      <c r="AU43" s="24" t="str">
        <f t="shared" si="2"/>
        <v/>
      </c>
      <c r="AV43" s="24" t="str">
        <f t="shared" si="7"/>
        <v/>
      </c>
      <c r="AW43" s="24" t="str">
        <f t="shared" si="4"/>
        <v/>
      </c>
      <c r="AX43" s="72">
        <f t="shared" si="8"/>
        <v>0</v>
      </c>
      <c r="AY43" s="24">
        <f t="shared" si="6"/>
        <v>0</v>
      </c>
      <c r="AZ43" s="24">
        <f t="array" ref="AZ43">IF(OR(RIGHT(B43,LEN(Par_LabelTravelTime))=Par_LabelTravelTime,B43="čas na ceste - fakturácia"),1,0)</f>
        <v>0</v>
      </c>
    </row>
    <row r="44" spans="2:52" s="24" customFormat="1" ht="12.75" x14ac:dyDescent="0.2">
      <c r="B44" s="97"/>
      <c r="C44" s="92"/>
      <c r="D44" s="31" t="str">
        <f>IF(E44=1,VLOOKUP(TableInvs[[#This Row],[Calc_V_Typ]],Tran_RevenuesList,3,FALSE),"")</f>
        <v/>
      </c>
      <c r="E44" s="31">
        <f t="shared" si="1"/>
        <v>0</v>
      </c>
      <c r="F44" s="9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5"/>
      <c r="AD44" s="85"/>
      <c r="AE44" s="84"/>
      <c r="AF44" s="84"/>
      <c r="AG44" s="84"/>
      <c r="AH44" s="84"/>
      <c r="AI44" s="84"/>
      <c r="AJ44" s="84"/>
      <c r="AK44" s="84"/>
      <c r="AL44" s="84"/>
      <c r="AM44" s="84"/>
      <c r="AN44" s="84"/>
      <c r="AO44" s="84"/>
      <c r="AP44" s="84"/>
      <c r="AQ44" s="84"/>
      <c r="AR44" s="84"/>
      <c r="AS44" s="87">
        <f t="array" ref="AS44">IF(E44=1,SUM((ROW(Mf0)=ROW(AS44))*(Mf0+Mf1_+Mf2_+Mf3_+Mf4_+Mf5_+Mf6_+Mf7_+Mf8_+Mf9_+Mf10_+Mf11_+Mf12_+Mf13_+Mf14_+Mf15_+Mf16_+Mf17_+Mf18_+Mf19_+Mf20_+Mf21_+Mf22_+Mf23_+Mf24_+Mf25_+Mf26_+Mf27_+Mf28_+Mf29_+Mf30_+Mf31_+Mf32_+Mf33_+Mf34_+Mf35_+Mf36_+Mf37_)),0)</f>
        <v>0</v>
      </c>
      <c r="AU44" s="24" t="str">
        <f t="shared" si="2"/>
        <v/>
      </c>
      <c r="AV44" s="24" t="str">
        <f t="shared" si="7"/>
        <v/>
      </c>
      <c r="AW44" s="24" t="str">
        <f t="shared" si="4"/>
        <v/>
      </c>
      <c r="AX44" s="72">
        <f t="shared" si="8"/>
        <v>0</v>
      </c>
      <c r="AY44" s="24">
        <f t="shared" si="6"/>
        <v>0</v>
      </c>
      <c r="AZ44" s="24">
        <f t="array" ref="AZ44">IF(OR(RIGHT(B44,LEN(Par_LabelTravelTime))=Par_LabelTravelTime,B44="čas na ceste - fakturácia"),1,0)</f>
        <v>0</v>
      </c>
    </row>
    <row r="45" spans="2:52" s="24" customFormat="1" ht="12.75" x14ac:dyDescent="0.2">
      <c r="B45" s="97" t="s">
        <v>90</v>
      </c>
      <c r="C45" s="92"/>
      <c r="D45" s="31" t="str">
        <f>IF(E45=1,VLOOKUP(TableInvs[[#This Row],[Calc_V_Typ]],Tran_RevenuesList,3,FALSE),"")</f>
        <v/>
      </c>
      <c r="E45" s="31">
        <f t="shared" si="1"/>
        <v>-1</v>
      </c>
      <c r="F45" s="94" t="s">
        <v>285</v>
      </c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5"/>
      <c r="AD45" s="85"/>
      <c r="AE45" s="84"/>
      <c r="AF45" s="84"/>
      <c r="AG45" s="84"/>
      <c r="AH45" s="84"/>
      <c r="AI45" s="84"/>
      <c r="AJ45" s="84"/>
      <c r="AK45" s="84"/>
      <c r="AL45" s="84"/>
      <c r="AM45" s="84"/>
      <c r="AN45" s="84"/>
      <c r="AO45" s="84"/>
      <c r="AP45" s="84"/>
      <c r="AQ45" s="84"/>
      <c r="AR45" s="84"/>
      <c r="AS45" s="87">
        <f t="array" ref="AS45">IF(E45=1,SUM((ROW(Mf0)=ROW(AS45))*(Mf0+Mf1_+Mf2_+Mf3_+Mf4_+Mf5_+Mf6_+Mf7_+Mf8_+Mf9_+Mf10_+Mf11_+Mf12_+Mf13_+Mf14_+Mf15_+Mf16_+Mf17_+Mf18_+Mf19_+Mf20_+Mf21_+Mf22_+Mf23_+Mf24_+Mf25_+Mf26_+Mf27_+Mf28_+Mf29_+Mf30_+Mf31_+Mf32_+Mf33_+Mf34_+Mf35_+Mf36_+Mf37_)),0)</f>
        <v>0</v>
      </c>
      <c r="AU45" s="24" t="str">
        <f t="shared" si="2"/>
        <v/>
      </c>
      <c r="AV45" s="24" t="str">
        <f t="shared" si="7"/>
        <v/>
      </c>
      <c r="AW45" s="24" t="str">
        <f t="shared" si="4"/>
        <v/>
      </c>
      <c r="AX45" s="72">
        <f t="shared" si="8"/>
        <v>0</v>
      </c>
      <c r="AY45" s="24" t="str">
        <f t="shared" si="6"/>
        <v>*** prázdna ***</v>
      </c>
      <c r="AZ45" s="24">
        <f t="array" ref="AZ45">IF(OR(RIGHT(B45,LEN(Par_LabelTravelTime))=Par_LabelTravelTime,B45="čas na ceste - fakturácia"),1,0)</f>
        <v>0</v>
      </c>
    </row>
    <row r="46" spans="2:52" s="24" customFormat="1" ht="12.75" x14ac:dyDescent="0.2">
      <c r="B46" s="97"/>
      <c r="C46" s="92" t="s">
        <v>284</v>
      </c>
      <c r="D46" s="31" t="str">
        <f>IF(E46=1,VLOOKUP(TableInvs[[#This Row],[Calc_V_Typ]],Tran_RevenuesList,3,FALSE),"")</f>
        <v/>
      </c>
      <c r="E46" s="31">
        <f t="shared" si="1"/>
        <v>0</v>
      </c>
      <c r="F46" s="9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5"/>
      <c r="AD46" s="85"/>
      <c r="AE46" s="84"/>
      <c r="AF46" s="84"/>
      <c r="AG46" s="84"/>
      <c r="AH46" s="84"/>
      <c r="AI46" s="84"/>
      <c r="AJ46" s="84"/>
      <c r="AK46" s="84"/>
      <c r="AL46" s="84"/>
      <c r="AM46" s="84"/>
      <c r="AN46" s="84"/>
      <c r="AO46" s="84"/>
      <c r="AP46" s="84"/>
      <c r="AQ46" s="84"/>
      <c r="AR46" s="84"/>
      <c r="AS46" s="87">
        <f t="array" ref="AS46">IF(E46=1,SUM((ROW(Mf0)=ROW(AS46))*(Mf0+Mf1_+Mf2_+Mf3_+Mf4_+Mf5_+Mf6_+Mf7_+Mf8_+Mf9_+Mf10_+Mf11_+Mf12_+Mf13_+Mf14_+Mf15_+Mf16_+Mf17_+Mf18_+Mf19_+Mf20_+Mf21_+Mf22_+Mf23_+Mf24_+Mf25_+Mf26_+Mf27_+Mf28_+Mf29_+Mf30_+Mf31_+Mf32_+Mf33_+Mf34_+Mf35_+Mf36_+Mf37_)),0)</f>
        <v>0</v>
      </c>
      <c r="AU46" s="24" t="str">
        <f t="shared" si="2"/>
        <v/>
      </c>
      <c r="AV46" s="24" t="str">
        <f t="shared" si="7"/>
        <v/>
      </c>
      <c r="AW46" s="24" t="str">
        <f t="shared" si="4"/>
        <v>Prophylaxis</v>
      </c>
      <c r="AX46" s="72">
        <f t="shared" si="8"/>
        <v>0</v>
      </c>
      <c r="AY46" s="24">
        <f t="shared" si="6"/>
        <v>0</v>
      </c>
      <c r="AZ46" s="24">
        <f t="array" ref="AZ46">IF(OR(RIGHT(B46,LEN(Par_LabelTravelTime))=Par_LabelTravelTime,B46="čas na ceste - fakturácia"),1,0)</f>
        <v>0</v>
      </c>
    </row>
    <row r="47" spans="2:52" s="24" customFormat="1" ht="12.75" x14ac:dyDescent="0.2">
      <c r="B47" s="97"/>
      <c r="C47" s="92"/>
      <c r="D47" s="31" t="str">
        <f>IF(E47=1,VLOOKUP(TableInvs[[#This Row],[Calc_V_Typ]],Tran_RevenuesList,3,FALSE),"")</f>
        <v/>
      </c>
      <c r="E47" s="31">
        <f t="shared" si="1"/>
        <v>0</v>
      </c>
      <c r="F47" s="9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5"/>
      <c r="AD47" s="85"/>
      <c r="AE47" s="84"/>
      <c r="AF47" s="84"/>
      <c r="AG47" s="84"/>
      <c r="AH47" s="84"/>
      <c r="AI47" s="84"/>
      <c r="AJ47" s="84"/>
      <c r="AK47" s="84"/>
      <c r="AL47" s="84"/>
      <c r="AM47" s="84"/>
      <c r="AN47" s="84"/>
      <c r="AO47" s="84"/>
      <c r="AP47" s="84"/>
      <c r="AQ47" s="84"/>
      <c r="AR47" s="84"/>
      <c r="AS47" s="87">
        <f t="array" ref="AS47">IF(E47=1,SUM((ROW(Mf0)=ROW(AS47))*(Mf0+Mf1_+Mf2_+Mf3_+Mf4_+Mf5_+Mf6_+Mf7_+Mf8_+Mf9_+Mf10_+Mf11_+Mf12_+Mf13_+Mf14_+Mf15_+Mf16_+Mf17_+Mf18_+Mf19_+Mf20_+Mf21_+Mf22_+Mf23_+Mf24_+Mf25_+Mf26_+Mf27_+Mf28_+Mf29_+Mf30_+Mf31_+Mf32_+Mf33_+Mf34_+Mf35_+Mf36_+Mf37_)),0)</f>
        <v>0</v>
      </c>
      <c r="AU47" s="24" t="str">
        <f t="shared" si="2"/>
        <v/>
      </c>
      <c r="AV47" s="24" t="str">
        <f t="shared" si="7"/>
        <v/>
      </c>
      <c r="AW47" s="24" t="str">
        <f t="shared" si="4"/>
        <v/>
      </c>
      <c r="AX47" s="72">
        <f t="shared" si="8"/>
        <v>0</v>
      </c>
      <c r="AY47" s="24">
        <f t="shared" si="6"/>
        <v>0</v>
      </c>
      <c r="AZ47" s="24">
        <f t="array" ref="AZ47">IF(OR(RIGHT(B47,LEN(Par_LabelTravelTime))=Par_LabelTravelTime,B47="čas na ceste - fakturácia"),1,0)</f>
        <v>0</v>
      </c>
    </row>
    <row r="48" spans="2:52" s="24" customFormat="1" ht="12.75" x14ac:dyDescent="0.2">
      <c r="B48" s="97"/>
      <c r="C48" s="92"/>
      <c r="D48" s="31" t="str">
        <f>IF(E48=1,VLOOKUP(TableInvs[[#This Row],[Calc_V_Typ]],Tran_RevenuesList,3,FALSE),"")</f>
        <v/>
      </c>
      <c r="E48" s="31">
        <f t="shared" si="1"/>
        <v>0</v>
      </c>
      <c r="F48" s="9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5"/>
      <c r="AD48" s="85"/>
      <c r="AE48" s="84"/>
      <c r="AF48" s="84"/>
      <c r="AG48" s="84"/>
      <c r="AH48" s="84"/>
      <c r="AI48" s="84"/>
      <c r="AJ48" s="84"/>
      <c r="AK48" s="84"/>
      <c r="AL48" s="84"/>
      <c r="AM48" s="84"/>
      <c r="AN48" s="84"/>
      <c r="AO48" s="84"/>
      <c r="AP48" s="84"/>
      <c r="AQ48" s="84"/>
      <c r="AR48" s="84"/>
      <c r="AS48" s="87">
        <f t="array" ref="AS48">IF(E48=1,SUM((ROW(Mf0)=ROW(AS48))*(Mf0+Mf1_+Mf2_+Mf3_+Mf4_+Mf5_+Mf6_+Mf7_+Mf8_+Mf9_+Mf10_+Mf11_+Mf12_+Mf13_+Mf14_+Mf15_+Mf16_+Mf17_+Mf18_+Mf19_+Mf20_+Mf21_+Mf22_+Mf23_+Mf24_+Mf25_+Mf26_+Mf27_+Mf28_+Mf29_+Mf30_+Mf31_+Mf32_+Mf33_+Mf34_+Mf35_+Mf36_+Mf37_)),0)</f>
        <v>0</v>
      </c>
      <c r="AU48" s="24" t="str">
        <f t="shared" si="2"/>
        <v/>
      </c>
      <c r="AV48" s="24" t="str">
        <f t="shared" si="7"/>
        <v/>
      </c>
      <c r="AW48" s="24" t="str">
        <f t="shared" si="4"/>
        <v/>
      </c>
      <c r="AX48" s="72">
        <f t="shared" si="8"/>
        <v>0</v>
      </c>
      <c r="AY48" s="24">
        <f t="shared" si="6"/>
        <v>0</v>
      </c>
      <c r="AZ48" s="24">
        <f t="array" ref="AZ48">IF(OR(RIGHT(B48,LEN(Par_LabelTravelTime))=Par_LabelTravelTime,B48="čas na ceste - fakturácia"),1,0)</f>
        <v>0</v>
      </c>
    </row>
    <row r="49" spans="2:52" s="24" customFormat="1" ht="12.75" x14ac:dyDescent="0.2">
      <c r="B49" s="97"/>
      <c r="C49" s="92"/>
      <c r="D49" s="31" t="str">
        <f>IF(E49=1,VLOOKUP(TableInvs[[#This Row],[Calc_V_Typ]],Tran_RevenuesList,3,FALSE),"")</f>
        <v/>
      </c>
      <c r="E49" s="31">
        <f t="shared" si="1"/>
        <v>0</v>
      </c>
      <c r="F49" s="9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5"/>
      <c r="AD49" s="85"/>
      <c r="AE49" s="84"/>
      <c r="AF49" s="84"/>
      <c r="AG49" s="84"/>
      <c r="AH49" s="84"/>
      <c r="AI49" s="84"/>
      <c r="AJ49" s="84"/>
      <c r="AK49" s="84"/>
      <c r="AL49" s="84"/>
      <c r="AM49" s="84"/>
      <c r="AN49" s="84"/>
      <c r="AO49" s="84"/>
      <c r="AP49" s="84"/>
      <c r="AQ49" s="84"/>
      <c r="AR49" s="84"/>
      <c r="AS49" s="87">
        <f t="array" ref="AS49">IF(E49=1,SUM((ROW(Mf0)=ROW(AS49))*(Mf0+Mf1_+Mf2_+Mf3_+Mf4_+Mf5_+Mf6_+Mf7_+Mf8_+Mf9_+Mf10_+Mf11_+Mf12_+Mf13_+Mf14_+Mf15_+Mf16_+Mf17_+Mf18_+Mf19_+Mf20_+Mf21_+Mf22_+Mf23_+Mf24_+Mf25_+Mf26_+Mf27_+Mf28_+Mf29_+Mf30_+Mf31_+Mf32_+Mf33_+Mf34_+Mf35_+Mf36_+Mf37_)),0)</f>
        <v>0</v>
      </c>
      <c r="AU49" s="24" t="str">
        <f t="shared" si="2"/>
        <v/>
      </c>
      <c r="AV49" s="24" t="str">
        <f t="shared" si="7"/>
        <v/>
      </c>
      <c r="AW49" s="24" t="str">
        <f t="shared" si="4"/>
        <v/>
      </c>
      <c r="AX49" s="72">
        <f t="shared" si="8"/>
        <v>0</v>
      </c>
      <c r="AY49" s="24">
        <f t="shared" si="6"/>
        <v>0</v>
      </c>
      <c r="AZ49" s="24">
        <f t="array" ref="AZ49">IF(OR(RIGHT(B49,LEN(Par_LabelTravelTime))=Par_LabelTravelTime,B49="čas na ceste - fakturácia"),1,0)</f>
        <v>0</v>
      </c>
    </row>
    <row r="50" spans="2:52" s="24" customFormat="1" ht="12.75" x14ac:dyDescent="0.2">
      <c r="B50" s="97"/>
      <c r="C50" s="92"/>
      <c r="D50" s="31" t="str">
        <f>IF(E50=1,VLOOKUP(TableInvs[[#This Row],[Calc_V_Typ]],Tran_RevenuesList,3,FALSE),"")</f>
        <v/>
      </c>
      <c r="E50" s="31">
        <f t="shared" si="1"/>
        <v>0</v>
      </c>
      <c r="F50" s="9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5"/>
      <c r="AD50" s="85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7">
        <f t="array" ref="AS50">IF(E50=1,SUM((ROW(Mf0)=ROW(AS50))*(Mf0+Mf1_+Mf2_+Mf3_+Mf4_+Mf5_+Mf6_+Mf7_+Mf8_+Mf9_+Mf10_+Mf11_+Mf12_+Mf13_+Mf14_+Mf15_+Mf16_+Mf17_+Mf18_+Mf19_+Mf20_+Mf21_+Mf22_+Mf23_+Mf24_+Mf25_+Mf26_+Mf27_+Mf28_+Mf29_+Mf30_+Mf31_+Mf32_+Mf33_+Mf34_+Mf35_+Mf36_+Mf37_)),0)</f>
        <v>0</v>
      </c>
      <c r="AU50" s="24" t="str">
        <f t="shared" si="2"/>
        <v/>
      </c>
      <c r="AV50" s="24" t="str">
        <f t="shared" si="7"/>
        <v/>
      </c>
      <c r="AW50" s="24" t="str">
        <f t="shared" si="4"/>
        <v/>
      </c>
      <c r="AX50" s="72">
        <f t="shared" si="8"/>
        <v>0</v>
      </c>
      <c r="AY50" s="24">
        <f t="shared" si="6"/>
        <v>0</v>
      </c>
      <c r="AZ50" s="24">
        <f t="array" ref="AZ50">IF(OR(RIGHT(B50,LEN(Par_LabelTravelTime))=Par_LabelTravelTime,B50="čas na ceste - fakturácia"),1,0)</f>
        <v>0</v>
      </c>
    </row>
    <row r="51" spans="2:52" s="24" customFormat="1" ht="12.75" x14ac:dyDescent="0.2">
      <c r="B51" s="97"/>
      <c r="C51" s="92"/>
      <c r="D51" s="31" t="str">
        <f>IF(E51=1,VLOOKUP(TableInvs[[#This Row],[Calc_V_Typ]],Tran_RevenuesList,3,FALSE),"")</f>
        <v/>
      </c>
      <c r="E51" s="31">
        <f t="shared" si="1"/>
        <v>0</v>
      </c>
      <c r="F51" s="9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5"/>
      <c r="AD51" s="85"/>
      <c r="AE51" s="84"/>
      <c r="AF51" s="84"/>
      <c r="AG51" s="84"/>
      <c r="AH51" s="84"/>
      <c r="AI51" s="84"/>
      <c r="AJ51" s="84"/>
      <c r="AK51" s="84"/>
      <c r="AL51" s="84"/>
      <c r="AM51" s="84"/>
      <c r="AN51" s="84"/>
      <c r="AO51" s="84"/>
      <c r="AP51" s="84"/>
      <c r="AQ51" s="84"/>
      <c r="AR51" s="84"/>
      <c r="AS51" s="87">
        <f t="array" ref="AS51">IF(E51=1,SUM((ROW(Mf0)=ROW(AS51))*(Mf0+Mf1_+Mf2_+Mf3_+Mf4_+Mf5_+Mf6_+Mf7_+Mf8_+Mf9_+Mf10_+Mf11_+Mf12_+Mf13_+Mf14_+Mf15_+Mf16_+Mf17_+Mf18_+Mf19_+Mf20_+Mf21_+Mf22_+Mf23_+Mf24_+Mf25_+Mf26_+Mf27_+Mf28_+Mf29_+Mf30_+Mf31_+Mf32_+Mf33_+Mf34_+Mf35_+Mf36_+Mf37_)),0)</f>
        <v>0</v>
      </c>
      <c r="AU51" s="24" t="str">
        <f t="shared" si="2"/>
        <v/>
      </c>
      <c r="AV51" s="24" t="str">
        <f t="shared" si="7"/>
        <v/>
      </c>
      <c r="AW51" s="24" t="str">
        <f t="shared" si="4"/>
        <v/>
      </c>
      <c r="AX51" s="72">
        <f t="shared" si="8"/>
        <v>0</v>
      </c>
      <c r="AY51" s="24">
        <f t="shared" si="6"/>
        <v>0</v>
      </c>
      <c r="AZ51" s="24">
        <f t="array" ref="AZ51">IF(OR(RIGHT(B51,LEN(Par_LabelTravelTime))=Par_LabelTravelTime,B51="čas na ceste - fakturácia"),1,0)</f>
        <v>0</v>
      </c>
    </row>
    <row r="52" spans="2:52" s="24" customFormat="1" ht="12.75" x14ac:dyDescent="0.2">
      <c r="B52" s="97"/>
      <c r="C52" s="92"/>
      <c r="D52" s="31" t="str">
        <f>IF(E52=1,VLOOKUP(TableInvs[[#This Row],[Calc_V_Typ]],Tran_RevenuesList,3,FALSE),"")</f>
        <v/>
      </c>
      <c r="E52" s="31">
        <f t="shared" si="1"/>
        <v>0</v>
      </c>
      <c r="F52" s="9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5"/>
      <c r="AD52" s="85"/>
      <c r="AE52" s="84"/>
      <c r="AF52" s="84"/>
      <c r="AG52" s="84"/>
      <c r="AH52" s="84"/>
      <c r="AI52" s="84"/>
      <c r="AJ52" s="84"/>
      <c r="AK52" s="84"/>
      <c r="AL52" s="84"/>
      <c r="AM52" s="84"/>
      <c r="AN52" s="84"/>
      <c r="AO52" s="84"/>
      <c r="AP52" s="84"/>
      <c r="AQ52" s="84"/>
      <c r="AR52" s="84"/>
      <c r="AS52" s="87">
        <f t="array" ref="AS52">IF(E52=1,SUM((ROW(Mf0)=ROW(AS52))*(Mf0+Mf1_+Mf2_+Mf3_+Mf4_+Mf5_+Mf6_+Mf7_+Mf8_+Mf9_+Mf10_+Mf11_+Mf12_+Mf13_+Mf14_+Mf15_+Mf16_+Mf17_+Mf18_+Mf19_+Mf20_+Mf21_+Mf22_+Mf23_+Mf24_+Mf25_+Mf26_+Mf27_+Mf28_+Mf29_+Mf30_+Mf31_+Mf32_+Mf33_+Mf34_+Mf35_+Mf36_+Mf37_)),0)</f>
        <v>0</v>
      </c>
      <c r="AU52" s="24" t="str">
        <f t="shared" si="2"/>
        <v/>
      </c>
      <c r="AV52" s="24" t="str">
        <f t="shared" si="7"/>
        <v/>
      </c>
      <c r="AW52" s="24" t="str">
        <f t="shared" si="4"/>
        <v/>
      </c>
      <c r="AX52" s="72">
        <f t="shared" si="8"/>
        <v>0</v>
      </c>
      <c r="AY52" s="24">
        <f t="shared" si="6"/>
        <v>0</v>
      </c>
      <c r="AZ52" s="24">
        <f t="array" ref="AZ52">IF(OR(RIGHT(B52,LEN(Par_LabelTravelTime))=Par_LabelTravelTime,B52="čas na ceste - fakturácia"),1,0)</f>
        <v>0</v>
      </c>
    </row>
    <row r="53" spans="2:52" s="24" customFormat="1" ht="12.75" x14ac:dyDescent="0.2">
      <c r="B53" s="97"/>
      <c r="C53" s="92"/>
      <c r="D53" s="31" t="str">
        <f>IF(E53=1,VLOOKUP(TableInvs[[#This Row],[Calc_V_Typ]],Tran_RevenuesList,3,FALSE),"")</f>
        <v/>
      </c>
      <c r="E53" s="31">
        <f t="shared" si="1"/>
        <v>0</v>
      </c>
      <c r="F53" s="9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5"/>
      <c r="AD53" s="85"/>
      <c r="AE53" s="84"/>
      <c r="AF53" s="84"/>
      <c r="AG53" s="84"/>
      <c r="AH53" s="84"/>
      <c r="AI53" s="84"/>
      <c r="AJ53" s="84"/>
      <c r="AK53" s="84"/>
      <c r="AL53" s="84"/>
      <c r="AM53" s="84"/>
      <c r="AN53" s="84"/>
      <c r="AO53" s="84"/>
      <c r="AP53" s="84"/>
      <c r="AQ53" s="84"/>
      <c r="AR53" s="84"/>
      <c r="AS53" s="87">
        <f t="array" ref="AS53">IF(E53=1,SUM((ROW(Mf0)=ROW(AS53))*(Mf0+Mf1_+Mf2_+Mf3_+Mf4_+Mf5_+Mf6_+Mf7_+Mf8_+Mf9_+Mf10_+Mf11_+Mf12_+Mf13_+Mf14_+Mf15_+Mf16_+Mf17_+Mf18_+Mf19_+Mf20_+Mf21_+Mf22_+Mf23_+Mf24_+Mf25_+Mf26_+Mf27_+Mf28_+Mf29_+Mf30_+Mf31_+Mf32_+Mf33_+Mf34_+Mf35_+Mf36_+Mf37_)),0)</f>
        <v>0</v>
      </c>
      <c r="AU53" s="24" t="str">
        <f t="shared" si="2"/>
        <v/>
      </c>
      <c r="AV53" s="24" t="str">
        <f t="shared" si="7"/>
        <v/>
      </c>
      <c r="AW53" s="24" t="str">
        <f t="shared" si="4"/>
        <v/>
      </c>
      <c r="AX53" s="72">
        <f t="shared" si="8"/>
        <v>0</v>
      </c>
      <c r="AY53" s="24">
        <f t="shared" si="6"/>
        <v>0</v>
      </c>
      <c r="AZ53" s="24">
        <f t="array" ref="AZ53">IF(OR(RIGHT(B53,LEN(Par_LabelTravelTime))=Par_LabelTravelTime,B53="čas na ceste - fakturácia"),1,0)</f>
        <v>0</v>
      </c>
    </row>
    <row r="54" spans="2:52" s="24" customFormat="1" ht="12.75" x14ac:dyDescent="0.2">
      <c r="B54" s="97"/>
      <c r="C54" s="92"/>
      <c r="D54" s="31" t="str">
        <f>IF(E54=1,VLOOKUP(TableInvs[[#This Row],[Calc_V_Typ]],Tran_RevenuesList,3,FALSE),"")</f>
        <v/>
      </c>
      <c r="E54" s="31">
        <f t="shared" si="1"/>
        <v>0</v>
      </c>
      <c r="F54" s="9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  <c r="AC54" s="85"/>
      <c r="AD54" s="85"/>
      <c r="AE54" s="84"/>
      <c r="AF54" s="84"/>
      <c r="AG54" s="84"/>
      <c r="AH54" s="84"/>
      <c r="AI54" s="84"/>
      <c r="AJ54" s="84"/>
      <c r="AK54" s="84"/>
      <c r="AL54" s="84"/>
      <c r="AM54" s="84"/>
      <c r="AN54" s="84"/>
      <c r="AO54" s="84"/>
      <c r="AP54" s="84"/>
      <c r="AQ54" s="84"/>
      <c r="AR54" s="84"/>
      <c r="AS54" s="87">
        <f t="array" ref="AS54">IF(E54=1,SUM((ROW(Mf0)=ROW(AS54))*(Mf0+Mf1_+Mf2_+Mf3_+Mf4_+Mf5_+Mf6_+Mf7_+Mf8_+Mf9_+Mf10_+Mf11_+Mf12_+Mf13_+Mf14_+Mf15_+Mf16_+Mf17_+Mf18_+Mf19_+Mf20_+Mf21_+Mf22_+Mf23_+Mf24_+Mf25_+Mf26_+Mf27_+Mf28_+Mf29_+Mf30_+Mf31_+Mf32_+Mf33_+Mf34_+Mf35_+Mf36_+Mf37_)),0)</f>
        <v>0</v>
      </c>
      <c r="AU54" s="24" t="str">
        <f t="shared" si="2"/>
        <v/>
      </c>
      <c r="AV54" s="24" t="str">
        <f t="shared" si="7"/>
        <v/>
      </c>
      <c r="AW54" s="24" t="str">
        <f t="shared" si="4"/>
        <v/>
      </c>
      <c r="AX54" s="72">
        <f t="shared" si="8"/>
        <v>0</v>
      </c>
      <c r="AY54" s="24">
        <f t="shared" si="6"/>
        <v>0</v>
      </c>
      <c r="AZ54" s="24">
        <f t="array" ref="AZ54">IF(OR(RIGHT(B54,LEN(Par_LabelTravelTime))=Par_LabelTravelTime,B54="čas na ceste - fakturácia"),1,0)</f>
        <v>0</v>
      </c>
    </row>
    <row r="55" spans="2:52" s="24" customFormat="1" ht="12.75" x14ac:dyDescent="0.2">
      <c r="B55" s="97"/>
      <c r="C55" s="92"/>
      <c r="D55" s="31" t="str">
        <f>IF(E55=1,VLOOKUP(TableInvs[[#This Row],[Calc_V_Typ]],Tran_RevenuesList,3,FALSE),"")</f>
        <v/>
      </c>
      <c r="E55" s="31">
        <f t="shared" si="1"/>
        <v>0</v>
      </c>
      <c r="F55" s="9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5"/>
      <c r="AD55" s="85"/>
      <c r="AE55" s="84"/>
      <c r="AF55" s="84"/>
      <c r="AG55" s="84"/>
      <c r="AH55" s="84"/>
      <c r="AI55" s="84"/>
      <c r="AJ55" s="84"/>
      <c r="AK55" s="84"/>
      <c r="AL55" s="84"/>
      <c r="AM55" s="84"/>
      <c r="AN55" s="84"/>
      <c r="AO55" s="84"/>
      <c r="AP55" s="84"/>
      <c r="AQ55" s="84"/>
      <c r="AR55" s="84"/>
      <c r="AS55" s="87">
        <f t="array" ref="AS55">IF(E55=1,SUM((ROW(Mf0)=ROW(AS55))*(Mf0+Mf1_+Mf2_+Mf3_+Mf4_+Mf5_+Mf6_+Mf7_+Mf8_+Mf9_+Mf10_+Mf11_+Mf12_+Mf13_+Mf14_+Mf15_+Mf16_+Mf17_+Mf18_+Mf19_+Mf20_+Mf21_+Mf22_+Mf23_+Mf24_+Mf25_+Mf26_+Mf27_+Mf28_+Mf29_+Mf30_+Mf31_+Mf32_+Mf33_+Mf34_+Mf35_+Mf36_+Mf37_)),0)</f>
        <v>0</v>
      </c>
      <c r="AU55" s="24" t="str">
        <f t="shared" si="2"/>
        <v/>
      </c>
      <c r="AV55" s="24" t="str">
        <f t="shared" si="7"/>
        <v/>
      </c>
      <c r="AW55" s="24" t="str">
        <f t="shared" si="4"/>
        <v/>
      </c>
      <c r="AX55" s="72">
        <f t="shared" si="8"/>
        <v>0</v>
      </c>
      <c r="AY55" s="24">
        <f t="shared" si="6"/>
        <v>0</v>
      </c>
      <c r="AZ55" s="24">
        <f t="array" ref="AZ55">IF(OR(RIGHT(B55,LEN(Par_LabelTravelTime))=Par_LabelTravelTime,B55="čas na ceste - fakturácia"),1,0)</f>
        <v>0</v>
      </c>
    </row>
    <row r="56" spans="2:52" s="24" customFormat="1" ht="12.75" x14ac:dyDescent="0.2">
      <c r="B56" s="97"/>
      <c r="C56" s="92"/>
      <c r="D56" s="31" t="str">
        <f>IF(E56=1,VLOOKUP(TableInvs[[#This Row],[Calc_V_Typ]],Tran_RevenuesList,3,FALSE),"")</f>
        <v/>
      </c>
      <c r="E56" s="31">
        <f t="shared" si="1"/>
        <v>0</v>
      </c>
      <c r="F56" s="9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5"/>
      <c r="AD56" s="85"/>
      <c r="AE56" s="84"/>
      <c r="AF56" s="84"/>
      <c r="AG56" s="84"/>
      <c r="AH56" s="84"/>
      <c r="AI56" s="84"/>
      <c r="AJ56" s="84"/>
      <c r="AK56" s="84"/>
      <c r="AL56" s="84"/>
      <c r="AM56" s="84"/>
      <c r="AN56" s="84"/>
      <c r="AO56" s="84"/>
      <c r="AP56" s="84"/>
      <c r="AQ56" s="84"/>
      <c r="AR56" s="84"/>
      <c r="AS56" s="87">
        <f t="array" ref="AS56">IF(E56=1,SUM((ROW(Mf0)=ROW(AS56))*(Mf0+Mf1_+Mf2_+Mf3_+Mf4_+Mf5_+Mf6_+Mf7_+Mf8_+Mf9_+Mf10_+Mf11_+Mf12_+Mf13_+Mf14_+Mf15_+Mf16_+Mf17_+Mf18_+Mf19_+Mf20_+Mf21_+Mf22_+Mf23_+Mf24_+Mf25_+Mf26_+Mf27_+Mf28_+Mf29_+Mf30_+Mf31_+Mf32_+Mf33_+Mf34_+Mf35_+Mf36_+Mf37_)),0)</f>
        <v>0</v>
      </c>
      <c r="AU56" s="24" t="str">
        <f t="shared" si="2"/>
        <v/>
      </c>
      <c r="AV56" s="24" t="str">
        <f t="shared" si="7"/>
        <v/>
      </c>
      <c r="AW56" s="24" t="str">
        <f t="shared" si="4"/>
        <v/>
      </c>
      <c r="AX56" s="72">
        <f t="shared" si="8"/>
        <v>0</v>
      </c>
      <c r="AY56" s="24">
        <f t="shared" si="6"/>
        <v>0</v>
      </c>
      <c r="AZ56" s="24">
        <f t="array" ref="AZ56">IF(OR(RIGHT(B56,LEN(Par_LabelTravelTime))=Par_LabelTravelTime,B56="čas na ceste - fakturácia"),1,0)</f>
        <v>0</v>
      </c>
    </row>
    <row r="57" spans="2:52" s="24" customFormat="1" ht="12.75" x14ac:dyDescent="0.2">
      <c r="B57" s="97"/>
      <c r="C57" s="92"/>
      <c r="D57" s="31" t="str">
        <f>IF(E57=1,VLOOKUP(TableInvs[[#This Row],[Calc_V_Typ]],Tran_RevenuesList,3,FALSE),"")</f>
        <v/>
      </c>
      <c r="E57" s="31">
        <f t="shared" si="1"/>
        <v>0</v>
      </c>
      <c r="F57" s="9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5"/>
      <c r="AD57" s="85"/>
      <c r="AE57" s="84"/>
      <c r="AF57" s="84"/>
      <c r="AG57" s="84"/>
      <c r="AH57" s="84"/>
      <c r="AI57" s="84"/>
      <c r="AJ57" s="84"/>
      <c r="AK57" s="84"/>
      <c r="AL57" s="84"/>
      <c r="AM57" s="84"/>
      <c r="AN57" s="84"/>
      <c r="AO57" s="84"/>
      <c r="AP57" s="84"/>
      <c r="AQ57" s="84"/>
      <c r="AR57" s="84"/>
      <c r="AS57" s="87">
        <f t="array" ref="AS57">IF(E57=1,SUM((ROW(Mf0)=ROW(AS57))*(Mf0+Mf1_+Mf2_+Mf3_+Mf4_+Mf5_+Mf6_+Mf7_+Mf8_+Mf9_+Mf10_+Mf11_+Mf12_+Mf13_+Mf14_+Mf15_+Mf16_+Mf17_+Mf18_+Mf19_+Mf20_+Mf21_+Mf22_+Mf23_+Mf24_+Mf25_+Mf26_+Mf27_+Mf28_+Mf29_+Mf30_+Mf31_+Mf32_+Mf33_+Mf34_+Mf35_+Mf36_+Mf37_)),0)</f>
        <v>0</v>
      </c>
      <c r="AU57" s="24" t="str">
        <f t="shared" si="2"/>
        <v/>
      </c>
      <c r="AV57" s="24" t="str">
        <f t="shared" si="7"/>
        <v/>
      </c>
      <c r="AW57" s="24" t="str">
        <f t="shared" si="4"/>
        <v/>
      </c>
      <c r="AX57" s="72">
        <f t="shared" si="8"/>
        <v>0</v>
      </c>
      <c r="AY57" s="24">
        <f t="shared" si="6"/>
        <v>0</v>
      </c>
      <c r="AZ57" s="24">
        <f t="array" ref="AZ57">IF(OR(RIGHT(B57,LEN(Par_LabelTravelTime))=Par_LabelTravelTime,B57="čas na ceste - fakturácia"),1,0)</f>
        <v>0</v>
      </c>
    </row>
    <row r="58" spans="2:52" s="24" customFormat="1" ht="12.75" x14ac:dyDescent="0.2">
      <c r="B58" s="97"/>
      <c r="C58" s="92"/>
      <c r="D58" s="31" t="str">
        <f>IF(E58=1,VLOOKUP(TableInvs[[#This Row],[Calc_V_Typ]],Tran_RevenuesList,3,FALSE),"")</f>
        <v/>
      </c>
      <c r="E58" s="31">
        <f t="shared" si="1"/>
        <v>0</v>
      </c>
      <c r="F58" s="9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5"/>
      <c r="AD58" s="85"/>
      <c r="AE58" s="84"/>
      <c r="AF58" s="84"/>
      <c r="AG58" s="84"/>
      <c r="AH58" s="84"/>
      <c r="AI58" s="84"/>
      <c r="AJ58" s="84"/>
      <c r="AK58" s="84"/>
      <c r="AL58" s="84"/>
      <c r="AM58" s="84"/>
      <c r="AN58" s="84"/>
      <c r="AO58" s="84"/>
      <c r="AP58" s="84"/>
      <c r="AQ58" s="84"/>
      <c r="AR58" s="84"/>
      <c r="AS58" s="87">
        <f t="array" ref="AS58">IF(E58=1,SUM((ROW(Mf0)=ROW(AS58))*(Mf0+Mf1_+Mf2_+Mf3_+Mf4_+Mf5_+Mf6_+Mf7_+Mf8_+Mf9_+Mf10_+Mf11_+Mf12_+Mf13_+Mf14_+Mf15_+Mf16_+Mf17_+Mf18_+Mf19_+Mf20_+Mf21_+Mf22_+Mf23_+Mf24_+Mf25_+Mf26_+Mf27_+Mf28_+Mf29_+Mf30_+Mf31_+Mf32_+Mf33_+Mf34_+Mf35_+Mf36_+Mf37_)),0)</f>
        <v>0</v>
      </c>
      <c r="AU58" s="24" t="str">
        <f t="shared" si="2"/>
        <v/>
      </c>
      <c r="AV58" s="24" t="str">
        <f t="shared" si="7"/>
        <v/>
      </c>
      <c r="AW58" s="24" t="str">
        <f t="shared" si="4"/>
        <v/>
      </c>
      <c r="AX58" s="72">
        <f t="shared" si="8"/>
        <v>0</v>
      </c>
      <c r="AY58" s="24">
        <f t="shared" si="6"/>
        <v>0</v>
      </c>
      <c r="AZ58" s="24">
        <f t="array" ref="AZ58">IF(OR(RIGHT(B58,LEN(Par_LabelTravelTime))=Par_LabelTravelTime,B58="čas na ceste - fakturácia"),1,0)</f>
        <v>0</v>
      </c>
    </row>
    <row r="59" spans="2:52" s="24" customFormat="1" ht="12.75" x14ac:dyDescent="0.2">
      <c r="B59" s="97"/>
      <c r="C59" s="92"/>
      <c r="D59" s="31" t="str">
        <f>IF(E59=1,VLOOKUP(TableInvs[[#This Row],[Calc_V_Typ]],Tran_RevenuesList,3,FALSE),"")</f>
        <v/>
      </c>
      <c r="E59" s="31">
        <f t="shared" si="1"/>
        <v>0</v>
      </c>
      <c r="F59" s="9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5"/>
      <c r="AD59" s="85"/>
      <c r="AE59" s="84"/>
      <c r="AF59" s="84"/>
      <c r="AG59" s="84"/>
      <c r="AH59" s="84"/>
      <c r="AI59" s="84"/>
      <c r="AJ59" s="84"/>
      <c r="AK59" s="84"/>
      <c r="AL59" s="84"/>
      <c r="AM59" s="84"/>
      <c r="AN59" s="84"/>
      <c r="AO59" s="84"/>
      <c r="AP59" s="84"/>
      <c r="AQ59" s="84"/>
      <c r="AR59" s="84"/>
      <c r="AS59" s="87">
        <f t="array" ref="AS59">IF(E59=1,SUM((ROW(Mf0)=ROW(AS59))*(Mf0+Mf1_+Mf2_+Mf3_+Mf4_+Mf5_+Mf6_+Mf7_+Mf8_+Mf9_+Mf10_+Mf11_+Mf12_+Mf13_+Mf14_+Mf15_+Mf16_+Mf17_+Mf18_+Mf19_+Mf20_+Mf21_+Mf22_+Mf23_+Mf24_+Mf25_+Mf26_+Mf27_+Mf28_+Mf29_+Mf30_+Mf31_+Mf32_+Mf33_+Mf34_+Mf35_+Mf36_+Mf37_)),0)</f>
        <v>0</v>
      </c>
      <c r="AU59" s="24" t="str">
        <f t="shared" si="2"/>
        <v/>
      </c>
      <c r="AV59" s="24" t="str">
        <f t="shared" si="7"/>
        <v/>
      </c>
      <c r="AW59" s="24" t="str">
        <f t="shared" si="4"/>
        <v/>
      </c>
      <c r="AX59" s="72">
        <f t="shared" si="8"/>
        <v>0</v>
      </c>
      <c r="AY59" s="24">
        <f t="shared" si="6"/>
        <v>0</v>
      </c>
      <c r="AZ59" s="24">
        <f t="array" ref="AZ59">IF(OR(RIGHT(B59,LEN(Par_LabelTravelTime))=Par_LabelTravelTime,B59="čas na ceste - fakturácia"),1,0)</f>
        <v>0</v>
      </c>
    </row>
    <row r="60" spans="2:52" s="24" customFormat="1" ht="12.75" x14ac:dyDescent="0.2">
      <c r="B60" s="97"/>
      <c r="C60" s="92"/>
      <c r="D60" s="31" t="str">
        <f>IF(E60=1,VLOOKUP(TableInvs[[#This Row],[Calc_V_Typ]],Tran_RevenuesList,3,FALSE),"")</f>
        <v/>
      </c>
      <c r="E60" s="31">
        <f t="shared" si="1"/>
        <v>0</v>
      </c>
      <c r="F60" s="9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5"/>
      <c r="AD60" s="85"/>
      <c r="AE60" s="84"/>
      <c r="AF60" s="84"/>
      <c r="AG60" s="84"/>
      <c r="AH60" s="84"/>
      <c r="AI60" s="84"/>
      <c r="AJ60" s="84"/>
      <c r="AK60" s="84"/>
      <c r="AL60" s="84"/>
      <c r="AM60" s="84"/>
      <c r="AN60" s="84"/>
      <c r="AO60" s="84"/>
      <c r="AP60" s="84"/>
      <c r="AQ60" s="84"/>
      <c r="AR60" s="84"/>
      <c r="AS60" s="87">
        <f t="array" ref="AS60">IF(E60=1,SUM((ROW(Mf0)=ROW(AS60))*(Mf0+Mf1_+Mf2_+Mf3_+Mf4_+Mf5_+Mf6_+Mf7_+Mf8_+Mf9_+Mf10_+Mf11_+Mf12_+Mf13_+Mf14_+Mf15_+Mf16_+Mf17_+Mf18_+Mf19_+Mf20_+Mf21_+Mf22_+Mf23_+Mf24_+Mf25_+Mf26_+Mf27_+Mf28_+Mf29_+Mf30_+Mf31_+Mf32_+Mf33_+Mf34_+Mf35_+Mf36_+Mf37_)),0)</f>
        <v>0</v>
      </c>
      <c r="AU60" s="24" t="str">
        <f t="shared" si="2"/>
        <v/>
      </c>
      <c r="AV60" s="24" t="str">
        <f t="shared" si="7"/>
        <v/>
      </c>
      <c r="AW60" s="24" t="str">
        <f t="shared" si="4"/>
        <v/>
      </c>
      <c r="AX60" s="72">
        <f t="shared" si="8"/>
        <v>0</v>
      </c>
      <c r="AY60" s="24">
        <f t="shared" si="6"/>
        <v>0</v>
      </c>
      <c r="AZ60" s="24">
        <f t="array" ref="AZ60">IF(OR(RIGHT(B60,LEN(Par_LabelTravelTime))=Par_LabelTravelTime,B60="čas na ceste - fakturácia"),1,0)</f>
        <v>0</v>
      </c>
    </row>
    <row r="61" spans="2:52" s="24" customFormat="1" ht="12.75" x14ac:dyDescent="0.2">
      <c r="B61" s="97"/>
      <c r="C61" s="92"/>
      <c r="D61" s="31" t="str">
        <f>IF(E61=1,VLOOKUP(TableInvs[[#This Row],[Calc_V_Typ]],Tran_RevenuesList,3,FALSE),"")</f>
        <v/>
      </c>
      <c r="E61" s="31">
        <f t="shared" si="1"/>
        <v>0</v>
      </c>
      <c r="F61" s="9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5"/>
      <c r="AD61" s="85"/>
      <c r="AE61" s="84"/>
      <c r="AF61" s="84"/>
      <c r="AG61" s="84"/>
      <c r="AH61" s="84"/>
      <c r="AI61" s="84"/>
      <c r="AJ61" s="84"/>
      <c r="AK61" s="84"/>
      <c r="AL61" s="84"/>
      <c r="AM61" s="84"/>
      <c r="AN61" s="84"/>
      <c r="AO61" s="84"/>
      <c r="AP61" s="84"/>
      <c r="AQ61" s="84"/>
      <c r="AR61" s="84"/>
      <c r="AS61" s="87">
        <f t="array" ref="AS61">IF(E61=1,SUM((ROW(Mf0)=ROW(AS61))*(Mf0+Mf1_+Mf2_+Mf3_+Mf4_+Mf5_+Mf6_+Mf7_+Mf8_+Mf9_+Mf10_+Mf11_+Mf12_+Mf13_+Mf14_+Mf15_+Mf16_+Mf17_+Mf18_+Mf19_+Mf20_+Mf21_+Mf22_+Mf23_+Mf24_+Mf25_+Mf26_+Mf27_+Mf28_+Mf29_+Mf30_+Mf31_+Mf32_+Mf33_+Mf34_+Mf35_+Mf36_+Mf37_)),0)</f>
        <v>0</v>
      </c>
      <c r="AU61" s="24" t="str">
        <f t="shared" si="2"/>
        <v/>
      </c>
      <c r="AV61" s="24" t="str">
        <f t="shared" si="7"/>
        <v/>
      </c>
      <c r="AW61" s="24" t="str">
        <f t="shared" si="4"/>
        <v/>
      </c>
      <c r="AX61" s="72">
        <f t="shared" si="8"/>
        <v>0</v>
      </c>
      <c r="AY61" s="24">
        <f t="shared" si="6"/>
        <v>0</v>
      </c>
      <c r="AZ61" s="24">
        <f t="array" ref="AZ61">IF(OR(RIGHT(B61,LEN(Par_LabelTravelTime))=Par_LabelTravelTime,B61="čas na ceste - fakturácia"),1,0)</f>
        <v>0</v>
      </c>
    </row>
    <row r="62" spans="2:52" s="24" customFormat="1" ht="12.75" x14ac:dyDescent="0.2">
      <c r="B62" s="97"/>
      <c r="C62" s="92"/>
      <c r="D62" s="31" t="str">
        <f>IF(E62=1,VLOOKUP(TableInvs[[#This Row],[Calc_V_Typ]],Tran_RevenuesList,3,FALSE),"")</f>
        <v/>
      </c>
      <c r="E62" s="31">
        <f t="shared" si="1"/>
        <v>0</v>
      </c>
      <c r="F62" s="9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5"/>
      <c r="AD62" s="85"/>
      <c r="AE62" s="84"/>
      <c r="AF62" s="84"/>
      <c r="AG62" s="84"/>
      <c r="AH62" s="84"/>
      <c r="AI62" s="84"/>
      <c r="AJ62" s="84"/>
      <c r="AK62" s="84"/>
      <c r="AL62" s="84"/>
      <c r="AM62" s="84"/>
      <c r="AN62" s="84"/>
      <c r="AO62" s="84"/>
      <c r="AP62" s="84"/>
      <c r="AQ62" s="84"/>
      <c r="AR62" s="84"/>
      <c r="AS62" s="87">
        <f t="array" ref="AS62">IF(E62=1,SUM((ROW(Mf0)=ROW(AS62))*(Mf0+Mf1_+Mf2_+Mf3_+Mf4_+Mf5_+Mf6_+Mf7_+Mf8_+Mf9_+Mf10_+Mf11_+Mf12_+Mf13_+Mf14_+Mf15_+Mf16_+Mf17_+Mf18_+Mf19_+Mf20_+Mf21_+Mf22_+Mf23_+Mf24_+Mf25_+Mf26_+Mf27_+Mf28_+Mf29_+Mf30_+Mf31_+Mf32_+Mf33_+Mf34_+Mf35_+Mf36_+Mf37_)),0)</f>
        <v>0</v>
      </c>
      <c r="AU62" s="24" t="str">
        <f t="shared" si="2"/>
        <v/>
      </c>
      <c r="AV62" s="24" t="str">
        <f t="shared" si="7"/>
        <v/>
      </c>
      <c r="AW62" s="24" t="str">
        <f t="shared" si="4"/>
        <v/>
      </c>
      <c r="AX62" s="72">
        <f t="shared" si="8"/>
        <v>0</v>
      </c>
      <c r="AY62" s="24">
        <f t="shared" si="6"/>
        <v>0</v>
      </c>
      <c r="AZ62" s="24">
        <f t="array" ref="AZ62">IF(OR(RIGHT(B62,LEN(Par_LabelTravelTime))=Par_LabelTravelTime,B62="čas na ceste - fakturácia"),1,0)</f>
        <v>0</v>
      </c>
    </row>
    <row r="63" spans="2:52" s="24" customFormat="1" ht="12.75" x14ac:dyDescent="0.2">
      <c r="B63" s="97"/>
      <c r="C63" s="92"/>
      <c r="D63" s="31" t="str">
        <f>IF(E63=1,VLOOKUP(TableInvs[[#This Row],[Calc_V_Typ]],Tran_RevenuesList,3,FALSE),"")</f>
        <v/>
      </c>
      <c r="E63" s="31">
        <f t="shared" si="1"/>
        <v>0</v>
      </c>
      <c r="F63" s="9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5"/>
      <c r="AD63" s="85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7">
        <f t="array" ref="AS63">IF(E63=1,SUM((ROW(Mf0)=ROW(AS63))*(Mf0+Mf1_+Mf2_+Mf3_+Mf4_+Mf5_+Mf6_+Mf7_+Mf8_+Mf9_+Mf10_+Mf11_+Mf12_+Mf13_+Mf14_+Mf15_+Mf16_+Mf17_+Mf18_+Mf19_+Mf20_+Mf21_+Mf22_+Mf23_+Mf24_+Mf25_+Mf26_+Mf27_+Mf28_+Mf29_+Mf30_+Mf31_+Mf32_+Mf33_+Mf34_+Mf35_+Mf36_+Mf37_)),0)</f>
        <v>0</v>
      </c>
      <c r="AU63" s="24" t="str">
        <f t="shared" si="2"/>
        <v/>
      </c>
      <c r="AV63" s="24" t="str">
        <f t="shared" si="7"/>
        <v/>
      </c>
      <c r="AW63" s="24" t="str">
        <f t="shared" si="4"/>
        <v/>
      </c>
      <c r="AX63" s="72">
        <f t="shared" si="8"/>
        <v>0</v>
      </c>
      <c r="AY63" s="24">
        <f t="shared" si="6"/>
        <v>0</v>
      </c>
      <c r="AZ63" s="24">
        <f t="array" ref="AZ63">IF(OR(RIGHT(B63,LEN(Par_LabelTravelTime))=Par_LabelTravelTime,B63="čas na ceste - fakturácia"),1,0)</f>
        <v>0</v>
      </c>
    </row>
    <row r="64" spans="2:52" s="24" customFormat="1" ht="12.75" x14ac:dyDescent="0.2">
      <c r="B64" s="97"/>
      <c r="C64" s="92"/>
      <c r="D64" s="31" t="str">
        <f>IF(E64=1,VLOOKUP(TableInvs[[#This Row],[Calc_V_Typ]],Tran_RevenuesList,3,FALSE),"")</f>
        <v/>
      </c>
      <c r="E64" s="31">
        <f t="shared" si="1"/>
        <v>0</v>
      </c>
      <c r="F64" s="9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5"/>
      <c r="AD64" s="85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7">
        <f t="array" ref="AS64">IF(E64=1,SUM((ROW(Mf0)=ROW(AS64))*(Mf0+Mf1_+Mf2_+Mf3_+Mf4_+Mf5_+Mf6_+Mf7_+Mf8_+Mf9_+Mf10_+Mf11_+Mf12_+Mf13_+Mf14_+Mf15_+Mf16_+Mf17_+Mf18_+Mf19_+Mf20_+Mf21_+Mf22_+Mf23_+Mf24_+Mf25_+Mf26_+Mf27_+Mf28_+Mf29_+Mf30_+Mf31_+Mf32_+Mf33_+Mf34_+Mf35_+Mf36_+Mf37_)),0)</f>
        <v>0</v>
      </c>
      <c r="AU64" s="24" t="str">
        <f t="shared" si="2"/>
        <v/>
      </c>
      <c r="AV64" s="24" t="str">
        <f t="shared" si="7"/>
        <v/>
      </c>
      <c r="AW64" s="24" t="str">
        <f t="shared" si="4"/>
        <v/>
      </c>
      <c r="AX64" s="72">
        <f t="shared" si="8"/>
        <v>0</v>
      </c>
      <c r="AY64" s="24">
        <f t="shared" si="6"/>
        <v>0</v>
      </c>
      <c r="AZ64" s="24">
        <f t="array" ref="AZ64">IF(OR(RIGHT(B64,LEN(Par_LabelTravelTime))=Par_LabelTravelTime,B64="čas na ceste - fakturácia"),1,0)</f>
        <v>0</v>
      </c>
    </row>
    <row r="65" spans="2:52" s="24" customFormat="1" ht="12.75" x14ac:dyDescent="0.2">
      <c r="B65" s="97"/>
      <c r="C65" s="92"/>
      <c r="D65" s="31" t="str">
        <f>IF(E65=1,VLOOKUP(TableInvs[[#This Row],[Calc_V_Typ]],Tran_RevenuesList,3,FALSE),"")</f>
        <v/>
      </c>
      <c r="E65" s="31">
        <f t="shared" si="1"/>
        <v>0</v>
      </c>
      <c r="F65" s="9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5"/>
      <c r="AD65" s="85"/>
      <c r="AE65" s="84"/>
      <c r="AF65" s="84"/>
      <c r="AG65" s="84"/>
      <c r="AH65" s="84"/>
      <c r="AI65" s="84"/>
      <c r="AJ65" s="84"/>
      <c r="AK65" s="84"/>
      <c r="AL65" s="84"/>
      <c r="AM65" s="84"/>
      <c r="AN65" s="84"/>
      <c r="AO65" s="84"/>
      <c r="AP65" s="84"/>
      <c r="AQ65" s="84"/>
      <c r="AR65" s="84"/>
      <c r="AS65" s="87">
        <f t="array" ref="AS65">IF(E65=1,SUM((ROW(Mf0)=ROW(AS65))*(Mf0+Mf1_+Mf2_+Mf3_+Mf4_+Mf5_+Mf6_+Mf7_+Mf8_+Mf9_+Mf10_+Mf11_+Mf12_+Mf13_+Mf14_+Mf15_+Mf16_+Mf17_+Mf18_+Mf19_+Mf20_+Mf21_+Mf22_+Mf23_+Mf24_+Mf25_+Mf26_+Mf27_+Mf28_+Mf29_+Mf30_+Mf31_+Mf32_+Mf33_+Mf34_+Mf35_+Mf36_+Mf37_)),0)</f>
        <v>0</v>
      </c>
      <c r="AU65" s="24" t="str">
        <f t="shared" si="2"/>
        <v/>
      </c>
      <c r="AV65" s="24" t="str">
        <f t="shared" si="7"/>
        <v/>
      </c>
      <c r="AW65" s="24" t="str">
        <f t="shared" si="4"/>
        <v/>
      </c>
      <c r="AX65" s="72">
        <f t="shared" si="8"/>
        <v>0</v>
      </c>
      <c r="AY65" s="24">
        <f t="shared" si="6"/>
        <v>0</v>
      </c>
      <c r="AZ65" s="24">
        <f t="array" ref="AZ65">IF(OR(RIGHT(B65,LEN(Par_LabelTravelTime))=Par_LabelTravelTime,B65="čas na ceste - fakturácia"),1,0)</f>
        <v>0</v>
      </c>
    </row>
    <row r="66" spans="2:52" s="24" customFormat="1" ht="12.75" x14ac:dyDescent="0.2">
      <c r="B66" s="97"/>
      <c r="C66" s="92"/>
      <c r="D66" s="31" t="str">
        <f>IF(E66=1,VLOOKUP(TableInvs[[#This Row],[Calc_V_Typ]],Tran_RevenuesList,3,FALSE),"")</f>
        <v/>
      </c>
      <c r="E66" s="31">
        <f t="shared" si="1"/>
        <v>0</v>
      </c>
      <c r="F66" s="9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5"/>
      <c r="AD66" s="85"/>
      <c r="AE66" s="84"/>
      <c r="AF66" s="84"/>
      <c r="AG66" s="84"/>
      <c r="AH66" s="84"/>
      <c r="AI66" s="84"/>
      <c r="AJ66" s="84"/>
      <c r="AK66" s="84"/>
      <c r="AL66" s="84"/>
      <c r="AM66" s="84"/>
      <c r="AN66" s="84"/>
      <c r="AO66" s="84"/>
      <c r="AP66" s="84"/>
      <c r="AQ66" s="84"/>
      <c r="AR66" s="84"/>
      <c r="AS66" s="87">
        <f t="array" ref="AS66">IF(E66=1,SUM((ROW(Mf0)=ROW(AS66))*(Mf0+Mf1_+Mf2_+Mf3_+Mf4_+Mf5_+Mf6_+Mf7_+Mf8_+Mf9_+Mf10_+Mf11_+Mf12_+Mf13_+Mf14_+Mf15_+Mf16_+Mf17_+Mf18_+Mf19_+Mf20_+Mf21_+Mf22_+Mf23_+Mf24_+Mf25_+Mf26_+Mf27_+Mf28_+Mf29_+Mf30_+Mf31_+Mf32_+Mf33_+Mf34_+Mf35_+Mf36_+Mf37_)),0)</f>
        <v>0</v>
      </c>
      <c r="AU66" s="24" t="str">
        <f t="shared" si="2"/>
        <v/>
      </c>
      <c r="AV66" s="24" t="str">
        <f t="shared" si="7"/>
        <v/>
      </c>
      <c r="AW66" s="24" t="str">
        <f t="shared" si="4"/>
        <v/>
      </c>
      <c r="AX66" s="72">
        <f t="shared" si="8"/>
        <v>0</v>
      </c>
      <c r="AY66" s="24">
        <f t="shared" si="6"/>
        <v>0</v>
      </c>
      <c r="AZ66" s="24">
        <f t="array" ref="AZ66">IF(OR(RIGHT(B66,LEN(Par_LabelTravelTime))=Par_LabelTravelTime,B66="čas na ceste - fakturácia"),1,0)</f>
        <v>0</v>
      </c>
    </row>
    <row r="67" spans="2:52" s="24" customFormat="1" ht="12.75" x14ac:dyDescent="0.2">
      <c r="B67" s="97"/>
      <c r="C67" s="92"/>
      <c r="D67" s="31" t="str">
        <f>IF(E67=1,VLOOKUP(TableInvs[[#This Row],[Calc_V_Typ]],Tran_RevenuesList,3,FALSE),"")</f>
        <v/>
      </c>
      <c r="E67" s="31">
        <f t="shared" si="1"/>
        <v>0</v>
      </c>
      <c r="F67" s="9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5"/>
      <c r="AD67" s="85"/>
      <c r="AE67" s="84"/>
      <c r="AF67" s="84"/>
      <c r="AG67" s="84"/>
      <c r="AH67" s="84"/>
      <c r="AI67" s="84"/>
      <c r="AJ67" s="84"/>
      <c r="AK67" s="84"/>
      <c r="AL67" s="84"/>
      <c r="AM67" s="84"/>
      <c r="AN67" s="84"/>
      <c r="AO67" s="84"/>
      <c r="AP67" s="84"/>
      <c r="AQ67" s="84"/>
      <c r="AR67" s="84"/>
      <c r="AS67" s="87">
        <f t="array" ref="AS67">IF(E67=1,SUM((ROW(Mf0)=ROW(AS67))*(Mf0+Mf1_+Mf2_+Mf3_+Mf4_+Mf5_+Mf6_+Mf7_+Mf8_+Mf9_+Mf10_+Mf11_+Mf12_+Mf13_+Mf14_+Mf15_+Mf16_+Mf17_+Mf18_+Mf19_+Mf20_+Mf21_+Mf22_+Mf23_+Mf24_+Mf25_+Mf26_+Mf27_+Mf28_+Mf29_+Mf30_+Mf31_+Mf32_+Mf33_+Mf34_+Mf35_+Mf36_+Mf37_)),0)</f>
        <v>0</v>
      </c>
      <c r="AU67" s="24" t="str">
        <f t="shared" si="2"/>
        <v/>
      </c>
      <c r="AV67" s="24" t="str">
        <f t="shared" si="7"/>
        <v/>
      </c>
      <c r="AW67" s="24" t="str">
        <f t="shared" si="4"/>
        <v/>
      </c>
      <c r="AX67" s="72">
        <f t="shared" si="8"/>
        <v>0</v>
      </c>
      <c r="AY67" s="24">
        <f t="shared" si="6"/>
        <v>0</v>
      </c>
      <c r="AZ67" s="24">
        <f t="array" ref="AZ67">IF(OR(RIGHT(B67,LEN(Par_LabelTravelTime))=Par_LabelTravelTime,B67="čas na ceste - fakturácia"),1,0)</f>
        <v>0</v>
      </c>
    </row>
    <row r="68" spans="2:52" s="24" customFormat="1" ht="12.75" x14ac:dyDescent="0.2">
      <c r="B68" s="97"/>
      <c r="C68" s="92"/>
      <c r="D68" s="31" t="str">
        <f>IF(E68=1,VLOOKUP(TableInvs[[#This Row],[Calc_V_Typ]],Tran_RevenuesList,3,FALSE),"")</f>
        <v/>
      </c>
      <c r="E68" s="31">
        <f t="shared" si="1"/>
        <v>0</v>
      </c>
      <c r="F68" s="9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5"/>
      <c r="AD68" s="85"/>
      <c r="AE68" s="84"/>
      <c r="AF68" s="84"/>
      <c r="AG68" s="84"/>
      <c r="AH68" s="84"/>
      <c r="AI68" s="84"/>
      <c r="AJ68" s="84"/>
      <c r="AK68" s="84"/>
      <c r="AL68" s="84"/>
      <c r="AM68" s="84"/>
      <c r="AN68" s="84"/>
      <c r="AO68" s="84"/>
      <c r="AP68" s="84"/>
      <c r="AQ68" s="84"/>
      <c r="AR68" s="84"/>
      <c r="AS68" s="87">
        <f t="array" ref="AS68">IF(E68=1,SUM((ROW(Mf0)=ROW(AS68))*(Mf0+Mf1_+Mf2_+Mf3_+Mf4_+Mf5_+Mf6_+Mf7_+Mf8_+Mf9_+Mf10_+Mf11_+Mf12_+Mf13_+Mf14_+Mf15_+Mf16_+Mf17_+Mf18_+Mf19_+Mf20_+Mf21_+Mf22_+Mf23_+Mf24_+Mf25_+Mf26_+Mf27_+Mf28_+Mf29_+Mf30_+Mf31_+Mf32_+Mf33_+Mf34_+Mf35_+Mf36_+Mf37_)),0)</f>
        <v>0</v>
      </c>
      <c r="AU68" s="24" t="str">
        <f t="shared" si="2"/>
        <v/>
      </c>
      <c r="AV68" s="24" t="str">
        <f t="shared" si="7"/>
        <v/>
      </c>
      <c r="AW68" s="24" t="str">
        <f t="shared" si="4"/>
        <v/>
      </c>
      <c r="AX68" s="72">
        <f t="shared" si="8"/>
        <v>0</v>
      </c>
      <c r="AY68" s="24">
        <f t="shared" si="6"/>
        <v>0</v>
      </c>
      <c r="AZ68" s="24">
        <f t="array" ref="AZ68">IF(OR(RIGHT(B68,LEN(Par_LabelTravelTime))=Par_LabelTravelTime,B68="čas na ceste - fakturácia"),1,0)</f>
        <v>0</v>
      </c>
    </row>
    <row r="69" spans="2:52" s="24" customFormat="1" ht="12.75" x14ac:dyDescent="0.2">
      <c r="B69" s="97"/>
      <c r="C69" s="92"/>
      <c r="D69" s="31" t="str">
        <f>IF(E69=1,VLOOKUP(TableInvs[[#This Row],[Calc_V_Typ]],Tran_RevenuesList,3,FALSE),"")</f>
        <v/>
      </c>
      <c r="E69" s="31">
        <f t="shared" si="1"/>
        <v>0</v>
      </c>
      <c r="F69" s="9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5"/>
      <c r="AD69" s="85"/>
      <c r="AE69" s="84"/>
      <c r="AF69" s="84"/>
      <c r="AG69" s="84"/>
      <c r="AH69" s="84"/>
      <c r="AI69" s="84"/>
      <c r="AJ69" s="84"/>
      <c r="AK69" s="84"/>
      <c r="AL69" s="84"/>
      <c r="AM69" s="84"/>
      <c r="AN69" s="84"/>
      <c r="AO69" s="84"/>
      <c r="AP69" s="84"/>
      <c r="AQ69" s="84"/>
      <c r="AR69" s="84"/>
      <c r="AS69" s="87">
        <f t="array" ref="AS69">IF(E69=1,SUM((ROW(Mf0)=ROW(AS69))*(Mf0+Mf1_+Mf2_+Mf3_+Mf4_+Mf5_+Mf6_+Mf7_+Mf8_+Mf9_+Mf10_+Mf11_+Mf12_+Mf13_+Mf14_+Mf15_+Mf16_+Mf17_+Mf18_+Mf19_+Mf20_+Mf21_+Mf22_+Mf23_+Mf24_+Mf25_+Mf26_+Mf27_+Mf28_+Mf29_+Mf30_+Mf31_+Mf32_+Mf33_+Mf34_+Mf35_+Mf36_+Mf37_)),0)</f>
        <v>0</v>
      </c>
      <c r="AU69" s="24" t="str">
        <f t="shared" si="2"/>
        <v/>
      </c>
      <c r="AV69" s="24" t="str">
        <f t="shared" si="7"/>
        <v/>
      </c>
      <c r="AW69" s="24" t="str">
        <f t="shared" si="4"/>
        <v/>
      </c>
      <c r="AX69" s="72">
        <f t="shared" si="8"/>
        <v>0</v>
      </c>
      <c r="AY69" s="24">
        <f t="shared" si="6"/>
        <v>0</v>
      </c>
      <c r="AZ69" s="24">
        <f t="array" ref="AZ69">IF(OR(RIGHT(B69,LEN(Par_LabelTravelTime))=Par_LabelTravelTime,B69="čas na ceste - fakturácia"),1,0)</f>
        <v>0</v>
      </c>
    </row>
    <row r="70" spans="2:52" s="24" customFormat="1" ht="12.75" x14ac:dyDescent="0.2">
      <c r="B70" s="97"/>
      <c r="C70" s="92"/>
      <c r="D70" s="31" t="str">
        <f>IF(E70=1,VLOOKUP(TableInvs[[#This Row],[Calc_V_Typ]],Tran_RevenuesList,3,FALSE),"")</f>
        <v/>
      </c>
      <c r="E70" s="31">
        <f t="shared" si="1"/>
        <v>0</v>
      </c>
      <c r="F70" s="9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5"/>
      <c r="AD70" s="85"/>
      <c r="AE70" s="84"/>
      <c r="AF70" s="84"/>
      <c r="AG70" s="84"/>
      <c r="AH70" s="84"/>
      <c r="AI70" s="84"/>
      <c r="AJ70" s="84"/>
      <c r="AK70" s="84"/>
      <c r="AL70" s="84"/>
      <c r="AM70" s="84"/>
      <c r="AN70" s="84"/>
      <c r="AO70" s="84"/>
      <c r="AP70" s="84"/>
      <c r="AQ70" s="84"/>
      <c r="AR70" s="84"/>
      <c r="AS70" s="87">
        <f t="array" ref="AS70">IF(E70=1,SUM((ROW(Mf0)=ROW(AS70))*(Mf0+Mf1_+Mf2_+Mf3_+Mf4_+Mf5_+Mf6_+Mf7_+Mf8_+Mf9_+Mf10_+Mf11_+Mf12_+Mf13_+Mf14_+Mf15_+Mf16_+Mf17_+Mf18_+Mf19_+Mf20_+Mf21_+Mf22_+Mf23_+Mf24_+Mf25_+Mf26_+Mf27_+Mf28_+Mf29_+Mf30_+Mf31_+Mf32_+Mf33_+Mf34_+Mf35_+Mf36_+Mf37_)),0)</f>
        <v>0</v>
      </c>
      <c r="AU70" s="24" t="str">
        <f t="shared" si="2"/>
        <v/>
      </c>
      <c r="AV70" s="24" t="str">
        <f t="shared" si="7"/>
        <v/>
      </c>
      <c r="AW70" s="24" t="str">
        <f t="shared" si="4"/>
        <v/>
      </c>
      <c r="AX70" s="72">
        <f t="shared" si="8"/>
        <v>0</v>
      </c>
      <c r="AY70" s="24">
        <f t="shared" si="6"/>
        <v>0</v>
      </c>
      <c r="AZ70" s="24">
        <f t="array" ref="AZ70">IF(OR(RIGHT(B70,LEN(Par_LabelTravelTime))=Par_LabelTravelTime,B70="čas na ceste - fakturácia"),1,0)</f>
        <v>0</v>
      </c>
    </row>
    <row r="71" spans="2:52" s="24" customFormat="1" ht="12.75" x14ac:dyDescent="0.2">
      <c r="B71" s="97"/>
      <c r="C71" s="92"/>
      <c r="D71" s="31" t="str">
        <f>IF(E71=1,VLOOKUP(TableInvs[[#This Row],[Calc_V_Typ]],Tran_RevenuesList,3,FALSE),"")</f>
        <v/>
      </c>
      <c r="E71" s="31">
        <f t="shared" ref="E71:E134" si="9">IF(B71="",0,IF(LEFT(B71,3)="***",-1,1))</f>
        <v>0</v>
      </c>
      <c r="F71" s="9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  <c r="AC71" s="85"/>
      <c r="AD71" s="85"/>
      <c r="AE71" s="84"/>
      <c r="AF71" s="84"/>
      <c r="AG71" s="84"/>
      <c r="AH71" s="84"/>
      <c r="AI71" s="84"/>
      <c r="AJ71" s="84"/>
      <c r="AK71" s="84"/>
      <c r="AL71" s="84"/>
      <c r="AM71" s="84"/>
      <c r="AN71" s="84"/>
      <c r="AO71" s="84"/>
      <c r="AP71" s="84"/>
      <c r="AQ71" s="84"/>
      <c r="AR71" s="84"/>
      <c r="AS71" s="87">
        <f t="array" ref="AS71">IF(E71=1,SUM((ROW(Mf0)=ROW(AS71))*(Mf0+Mf1_+Mf2_+Mf3_+Mf4_+Mf5_+Mf6_+Mf7_+Mf8_+Mf9_+Mf10_+Mf11_+Mf12_+Mf13_+Mf14_+Mf15_+Mf16_+Mf17_+Mf18_+Mf19_+Mf20_+Mf21_+Mf22_+Mf23_+Mf24_+Mf25_+Mf26_+Mf27_+Mf28_+Mf29_+Mf30_+Mf31_+Mf32_+Mf33_+Mf34_+Mf35_+Mf36_+Mf37_)),0)</f>
        <v>0</v>
      </c>
      <c r="AU71" s="24" t="str">
        <f t="shared" ref="AU71:AU134" si="10">IF(E71=1,VLOOKUP(B71,Tran_RevenuesList,2,0),"")</f>
        <v/>
      </c>
      <c r="AV71" s="24" t="str">
        <f t="shared" si="7"/>
        <v/>
      </c>
      <c r="AW71" s="24" t="str">
        <f t="shared" ref="AW71:AW134" si="11">IF(C71="","",VLOOKUP(C71,Tab_Parts,2,0))</f>
        <v/>
      </c>
      <c r="AX71" s="72">
        <f t="shared" si="8"/>
        <v>0</v>
      </c>
      <c r="AY71" s="24">
        <f t="shared" ref="AY71:AY134" si="12">IF(RIGHT(B71,LEN(Par_LabelTravelTime))=Par_LabelTravelTime,LEFT(B71,LEN(B71)-LEN(Par_LabelTravelTime)),B71)</f>
        <v>0</v>
      </c>
      <c r="AZ71" s="24">
        <f t="array" ref="AZ71">IF(OR(RIGHT(B71,LEN(Par_LabelTravelTime))=Par_LabelTravelTime,B71="čas na ceste - fakturácia"),1,0)</f>
        <v>0</v>
      </c>
    </row>
    <row r="72" spans="2:52" s="24" customFormat="1" ht="12.75" x14ac:dyDescent="0.2">
      <c r="B72" s="97"/>
      <c r="C72" s="92"/>
      <c r="D72" s="31" t="str">
        <f>IF(E72=1,VLOOKUP(TableInvs[[#This Row],[Calc_V_Typ]],Tran_RevenuesList,3,FALSE),"")</f>
        <v/>
      </c>
      <c r="E72" s="31">
        <f t="shared" si="9"/>
        <v>0</v>
      </c>
      <c r="F72" s="94"/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5"/>
      <c r="AD72" s="85"/>
      <c r="AE72" s="84"/>
      <c r="AF72" s="84"/>
      <c r="AG72" s="84"/>
      <c r="AH72" s="84"/>
      <c r="AI72" s="84"/>
      <c r="AJ72" s="84"/>
      <c r="AK72" s="84"/>
      <c r="AL72" s="84"/>
      <c r="AM72" s="84"/>
      <c r="AN72" s="84"/>
      <c r="AO72" s="84"/>
      <c r="AP72" s="84"/>
      <c r="AQ72" s="84"/>
      <c r="AR72" s="84"/>
      <c r="AS72" s="87">
        <f t="array" ref="AS72">IF(E72=1,SUM((ROW(Mf0)=ROW(AS72))*(Mf0+Mf1_+Mf2_+Mf3_+Mf4_+Mf5_+Mf6_+Mf7_+Mf8_+Mf9_+Mf10_+Mf11_+Mf12_+Mf13_+Mf14_+Mf15_+Mf16_+Mf17_+Mf18_+Mf19_+Mf20_+Mf21_+Mf22_+Mf23_+Mf24_+Mf25_+Mf26_+Mf27_+Mf28_+Mf29_+Mf30_+Mf31_+Mf32_+Mf33_+Mf34_+Mf35_+Mf36_+Mf37_)),0)</f>
        <v>0</v>
      </c>
      <c r="AU72" s="24" t="str">
        <f t="shared" si="10"/>
        <v/>
      </c>
      <c r="AV72" s="24" t="str">
        <f t="shared" ref="AV72:AV112" si="13">IF(E72=1,D72,"")</f>
        <v/>
      </c>
      <c r="AW72" s="24" t="str">
        <f t="shared" si="11"/>
        <v/>
      </c>
      <c r="AX72" s="72">
        <f t="shared" ref="AX72:AX112" si="14">IF(E72=1,AS72,0)</f>
        <v>0</v>
      </c>
      <c r="AY72" s="24">
        <f t="shared" si="12"/>
        <v>0</v>
      </c>
      <c r="AZ72" s="24">
        <f t="array" ref="AZ72">IF(OR(RIGHT(B72,LEN(Par_LabelTravelTime))=Par_LabelTravelTime,B72="čas na ceste - fakturácia"),1,0)</f>
        <v>0</v>
      </c>
    </row>
    <row r="73" spans="2:52" s="24" customFormat="1" ht="12.75" x14ac:dyDescent="0.2">
      <c r="B73" s="97"/>
      <c r="C73" s="92"/>
      <c r="D73" s="31" t="str">
        <f>IF(E73=1,VLOOKUP(TableInvs[[#This Row],[Calc_V_Typ]],Tran_RevenuesList,3,FALSE),"")</f>
        <v/>
      </c>
      <c r="E73" s="31">
        <f t="shared" si="9"/>
        <v>0</v>
      </c>
      <c r="F73" s="9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5"/>
      <c r="AD73" s="85"/>
      <c r="AE73" s="84"/>
      <c r="AF73" s="84"/>
      <c r="AG73" s="84"/>
      <c r="AH73" s="84"/>
      <c r="AI73" s="84"/>
      <c r="AJ73" s="84"/>
      <c r="AK73" s="84"/>
      <c r="AL73" s="84"/>
      <c r="AM73" s="84"/>
      <c r="AN73" s="84"/>
      <c r="AO73" s="84"/>
      <c r="AP73" s="84"/>
      <c r="AQ73" s="84"/>
      <c r="AR73" s="84"/>
      <c r="AS73" s="87">
        <f t="array" ref="AS73">IF(E73=1,SUM((ROW(Mf0)=ROW(AS73))*(Mf0+Mf1_+Mf2_+Mf3_+Mf4_+Mf5_+Mf6_+Mf7_+Mf8_+Mf9_+Mf10_+Mf11_+Mf12_+Mf13_+Mf14_+Mf15_+Mf16_+Mf17_+Mf18_+Mf19_+Mf20_+Mf21_+Mf22_+Mf23_+Mf24_+Mf25_+Mf26_+Mf27_+Mf28_+Mf29_+Mf30_+Mf31_+Mf32_+Mf33_+Mf34_+Mf35_+Mf36_+Mf37_)),0)</f>
        <v>0</v>
      </c>
      <c r="AU73" s="24" t="str">
        <f t="shared" si="10"/>
        <v/>
      </c>
      <c r="AV73" s="24" t="str">
        <f t="shared" si="13"/>
        <v/>
      </c>
      <c r="AW73" s="24" t="str">
        <f t="shared" si="11"/>
        <v/>
      </c>
      <c r="AX73" s="72">
        <f t="shared" si="14"/>
        <v>0</v>
      </c>
      <c r="AY73" s="24">
        <f t="shared" si="12"/>
        <v>0</v>
      </c>
      <c r="AZ73" s="24">
        <f t="array" ref="AZ73">IF(OR(RIGHT(B73,LEN(Par_LabelTravelTime))=Par_LabelTravelTime,B73="čas na ceste - fakturácia"),1,0)</f>
        <v>0</v>
      </c>
    </row>
    <row r="74" spans="2:52" s="24" customFormat="1" ht="12.75" x14ac:dyDescent="0.2">
      <c r="B74" s="97"/>
      <c r="C74" s="92"/>
      <c r="D74" s="31" t="str">
        <f>IF(E74=1,VLOOKUP(TableInvs[[#This Row],[Calc_V_Typ]],Tran_RevenuesList,3,FALSE),"")</f>
        <v/>
      </c>
      <c r="E74" s="31">
        <f t="shared" si="9"/>
        <v>0</v>
      </c>
      <c r="F74" s="9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5"/>
      <c r="AD74" s="85"/>
      <c r="AE74" s="84"/>
      <c r="AF74" s="84"/>
      <c r="AG74" s="84"/>
      <c r="AH74" s="84"/>
      <c r="AI74" s="84"/>
      <c r="AJ74" s="84"/>
      <c r="AK74" s="84"/>
      <c r="AL74" s="84"/>
      <c r="AM74" s="84"/>
      <c r="AN74" s="84"/>
      <c r="AO74" s="84"/>
      <c r="AP74" s="84"/>
      <c r="AQ74" s="84"/>
      <c r="AR74" s="84"/>
      <c r="AS74" s="87">
        <f t="array" ref="AS74">IF(E74=1,SUM((ROW(Mf0)=ROW(AS74))*(Mf0+Mf1_+Mf2_+Mf3_+Mf4_+Mf5_+Mf6_+Mf7_+Mf8_+Mf9_+Mf10_+Mf11_+Mf12_+Mf13_+Mf14_+Mf15_+Mf16_+Mf17_+Mf18_+Mf19_+Mf20_+Mf21_+Mf22_+Mf23_+Mf24_+Mf25_+Mf26_+Mf27_+Mf28_+Mf29_+Mf30_+Mf31_+Mf32_+Mf33_+Mf34_+Mf35_+Mf36_+Mf37_)),0)</f>
        <v>0</v>
      </c>
      <c r="AU74" s="24" t="str">
        <f t="shared" si="10"/>
        <v/>
      </c>
      <c r="AV74" s="24" t="str">
        <f t="shared" si="13"/>
        <v/>
      </c>
      <c r="AW74" s="24" t="str">
        <f t="shared" si="11"/>
        <v/>
      </c>
      <c r="AX74" s="72">
        <f t="shared" si="14"/>
        <v>0</v>
      </c>
      <c r="AY74" s="24">
        <f t="shared" si="12"/>
        <v>0</v>
      </c>
      <c r="AZ74" s="24">
        <f t="array" ref="AZ74">IF(OR(RIGHT(B74,LEN(Par_LabelTravelTime))=Par_LabelTravelTime,B74="čas na ceste - fakturácia"),1,0)</f>
        <v>0</v>
      </c>
    </row>
    <row r="75" spans="2:52" s="24" customFormat="1" ht="12.75" x14ac:dyDescent="0.2">
      <c r="B75" s="97"/>
      <c r="C75" s="92"/>
      <c r="D75" s="31" t="str">
        <f>IF(E75=1,VLOOKUP(TableInvs[[#This Row],[Calc_V_Typ]],Tran_RevenuesList,3,FALSE),"")</f>
        <v/>
      </c>
      <c r="E75" s="31">
        <f t="shared" si="9"/>
        <v>0</v>
      </c>
      <c r="F75" s="9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5"/>
      <c r="AD75" s="85"/>
      <c r="AE75" s="84"/>
      <c r="AF75" s="84"/>
      <c r="AG75" s="84"/>
      <c r="AH75" s="84"/>
      <c r="AI75" s="84"/>
      <c r="AJ75" s="84"/>
      <c r="AK75" s="84"/>
      <c r="AL75" s="84"/>
      <c r="AM75" s="84"/>
      <c r="AN75" s="84"/>
      <c r="AO75" s="84"/>
      <c r="AP75" s="84"/>
      <c r="AQ75" s="84"/>
      <c r="AR75" s="84"/>
      <c r="AS75" s="87">
        <f t="array" ref="AS75">IF(E75=1,SUM((ROW(Mf0)=ROW(AS75))*(Mf0+Mf1_+Mf2_+Mf3_+Mf4_+Mf5_+Mf6_+Mf7_+Mf8_+Mf9_+Mf10_+Mf11_+Mf12_+Mf13_+Mf14_+Mf15_+Mf16_+Mf17_+Mf18_+Mf19_+Mf20_+Mf21_+Mf22_+Mf23_+Mf24_+Mf25_+Mf26_+Mf27_+Mf28_+Mf29_+Mf30_+Mf31_+Mf32_+Mf33_+Mf34_+Mf35_+Mf36_+Mf37_)),0)</f>
        <v>0</v>
      </c>
      <c r="AU75" s="24" t="str">
        <f t="shared" si="10"/>
        <v/>
      </c>
      <c r="AV75" s="24" t="str">
        <f t="shared" si="13"/>
        <v/>
      </c>
      <c r="AW75" s="24" t="str">
        <f t="shared" si="11"/>
        <v/>
      </c>
      <c r="AX75" s="72">
        <f t="shared" si="14"/>
        <v>0</v>
      </c>
      <c r="AY75" s="24">
        <f t="shared" si="12"/>
        <v>0</v>
      </c>
      <c r="AZ75" s="24">
        <f t="array" ref="AZ75">IF(OR(RIGHT(B75,LEN(Par_LabelTravelTime))=Par_LabelTravelTime,B75="čas na ceste - fakturácia"),1,0)</f>
        <v>0</v>
      </c>
    </row>
    <row r="76" spans="2:52" s="24" customFormat="1" ht="12.75" x14ac:dyDescent="0.2">
      <c r="B76" s="97"/>
      <c r="C76" s="92"/>
      <c r="D76" s="31" t="str">
        <f>IF(E76=1,VLOOKUP(TableInvs[[#This Row],[Calc_V_Typ]],Tran_RevenuesList,3,FALSE),"")</f>
        <v/>
      </c>
      <c r="E76" s="31">
        <f t="shared" si="9"/>
        <v>0</v>
      </c>
      <c r="F76" s="9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5"/>
      <c r="AD76" s="85"/>
      <c r="AE76" s="84"/>
      <c r="AF76" s="84"/>
      <c r="AG76" s="84"/>
      <c r="AH76" s="84"/>
      <c r="AI76" s="84"/>
      <c r="AJ76" s="84"/>
      <c r="AK76" s="84"/>
      <c r="AL76" s="84"/>
      <c r="AM76" s="84"/>
      <c r="AN76" s="84"/>
      <c r="AO76" s="84"/>
      <c r="AP76" s="84"/>
      <c r="AQ76" s="84"/>
      <c r="AR76" s="84"/>
      <c r="AS76" s="87">
        <f t="array" ref="AS76">IF(E76=1,SUM((ROW(Mf0)=ROW(AS76))*(Mf0+Mf1_+Mf2_+Mf3_+Mf4_+Mf5_+Mf6_+Mf7_+Mf8_+Mf9_+Mf10_+Mf11_+Mf12_+Mf13_+Mf14_+Mf15_+Mf16_+Mf17_+Mf18_+Mf19_+Mf20_+Mf21_+Mf22_+Mf23_+Mf24_+Mf25_+Mf26_+Mf27_+Mf28_+Mf29_+Mf30_+Mf31_+Mf32_+Mf33_+Mf34_+Mf35_+Mf36_+Mf37_)),0)</f>
        <v>0</v>
      </c>
      <c r="AU76" s="24" t="str">
        <f t="shared" si="10"/>
        <v/>
      </c>
      <c r="AV76" s="24" t="str">
        <f t="shared" si="13"/>
        <v/>
      </c>
      <c r="AW76" s="24" t="str">
        <f t="shared" si="11"/>
        <v/>
      </c>
      <c r="AX76" s="72">
        <f t="shared" si="14"/>
        <v>0</v>
      </c>
      <c r="AY76" s="24">
        <f t="shared" si="12"/>
        <v>0</v>
      </c>
      <c r="AZ76" s="24">
        <f t="array" ref="AZ76">IF(OR(RIGHT(B76,LEN(Par_LabelTravelTime))=Par_LabelTravelTime,B76="čas na ceste - fakturácia"),1,0)</f>
        <v>0</v>
      </c>
    </row>
    <row r="77" spans="2:52" s="24" customFormat="1" ht="12.75" x14ac:dyDescent="0.2">
      <c r="B77" s="97"/>
      <c r="C77" s="92"/>
      <c r="D77" s="31" t="str">
        <f>IF(E77=1,VLOOKUP(TableInvs[[#This Row],[Calc_V_Typ]],Tran_RevenuesList,3,FALSE),"")</f>
        <v/>
      </c>
      <c r="E77" s="31">
        <f t="shared" si="9"/>
        <v>0</v>
      </c>
      <c r="F77" s="9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5"/>
      <c r="AD77" s="85"/>
      <c r="AE77" s="84"/>
      <c r="AF77" s="84"/>
      <c r="AG77" s="84"/>
      <c r="AH77" s="84"/>
      <c r="AI77" s="84"/>
      <c r="AJ77" s="84"/>
      <c r="AK77" s="84"/>
      <c r="AL77" s="84"/>
      <c r="AM77" s="84"/>
      <c r="AN77" s="84"/>
      <c r="AO77" s="84"/>
      <c r="AP77" s="84"/>
      <c r="AQ77" s="84"/>
      <c r="AR77" s="84"/>
      <c r="AS77" s="87">
        <f t="array" ref="AS77">IF(E77=1,SUM((ROW(Mf0)=ROW(AS77))*(Mf0+Mf1_+Mf2_+Mf3_+Mf4_+Mf5_+Mf6_+Mf7_+Mf8_+Mf9_+Mf10_+Mf11_+Mf12_+Mf13_+Mf14_+Mf15_+Mf16_+Mf17_+Mf18_+Mf19_+Mf20_+Mf21_+Mf22_+Mf23_+Mf24_+Mf25_+Mf26_+Mf27_+Mf28_+Mf29_+Mf30_+Mf31_+Mf32_+Mf33_+Mf34_+Mf35_+Mf36_+Mf37_)),0)</f>
        <v>0</v>
      </c>
      <c r="AU77" s="24" t="str">
        <f t="shared" si="10"/>
        <v/>
      </c>
      <c r="AV77" s="24" t="str">
        <f t="shared" si="13"/>
        <v/>
      </c>
      <c r="AW77" s="24" t="str">
        <f t="shared" si="11"/>
        <v/>
      </c>
      <c r="AX77" s="72">
        <f t="shared" si="14"/>
        <v>0</v>
      </c>
      <c r="AY77" s="24">
        <f t="shared" si="12"/>
        <v>0</v>
      </c>
      <c r="AZ77" s="24">
        <f t="array" ref="AZ77">IF(OR(RIGHT(B77,LEN(Par_LabelTravelTime))=Par_LabelTravelTime,B77="čas na ceste - fakturácia"),1,0)</f>
        <v>0</v>
      </c>
    </row>
    <row r="78" spans="2:52" s="24" customFormat="1" ht="12.75" x14ac:dyDescent="0.2">
      <c r="B78" s="97"/>
      <c r="C78" s="92"/>
      <c r="D78" s="31" t="str">
        <f>IF(E78=1,VLOOKUP(TableInvs[[#This Row],[Calc_V_Typ]],Tran_RevenuesList,3,FALSE),"")</f>
        <v/>
      </c>
      <c r="E78" s="31">
        <f t="shared" si="9"/>
        <v>0</v>
      </c>
      <c r="F78" s="9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5"/>
      <c r="AD78" s="85"/>
      <c r="AE78" s="84"/>
      <c r="AF78" s="84"/>
      <c r="AG78" s="84"/>
      <c r="AH78" s="84"/>
      <c r="AI78" s="84"/>
      <c r="AJ78" s="84"/>
      <c r="AK78" s="84"/>
      <c r="AL78" s="84"/>
      <c r="AM78" s="84"/>
      <c r="AN78" s="84"/>
      <c r="AO78" s="84"/>
      <c r="AP78" s="84"/>
      <c r="AQ78" s="84"/>
      <c r="AR78" s="84"/>
      <c r="AS78" s="87">
        <f t="array" ref="AS78">IF(E78=1,SUM((ROW(Mf0)=ROW(AS78))*(Mf0+Mf1_+Mf2_+Mf3_+Mf4_+Mf5_+Mf6_+Mf7_+Mf8_+Mf9_+Mf10_+Mf11_+Mf12_+Mf13_+Mf14_+Mf15_+Mf16_+Mf17_+Mf18_+Mf19_+Mf20_+Mf21_+Mf22_+Mf23_+Mf24_+Mf25_+Mf26_+Mf27_+Mf28_+Mf29_+Mf30_+Mf31_+Mf32_+Mf33_+Mf34_+Mf35_+Mf36_+Mf37_)),0)</f>
        <v>0</v>
      </c>
      <c r="AU78" s="24" t="str">
        <f t="shared" si="10"/>
        <v/>
      </c>
      <c r="AV78" s="24" t="str">
        <f t="shared" si="13"/>
        <v/>
      </c>
      <c r="AW78" s="24" t="str">
        <f t="shared" si="11"/>
        <v/>
      </c>
      <c r="AX78" s="72">
        <f t="shared" si="14"/>
        <v>0</v>
      </c>
      <c r="AY78" s="24">
        <f t="shared" si="12"/>
        <v>0</v>
      </c>
      <c r="AZ78" s="24">
        <f t="array" ref="AZ78">IF(OR(RIGHT(B78,LEN(Par_LabelTravelTime))=Par_LabelTravelTime,B78="čas na ceste - fakturácia"),1,0)</f>
        <v>0</v>
      </c>
    </row>
    <row r="79" spans="2:52" s="24" customFormat="1" ht="12.75" x14ac:dyDescent="0.2">
      <c r="B79" s="97"/>
      <c r="C79" s="92"/>
      <c r="D79" s="31" t="str">
        <f>IF(E79=1,VLOOKUP(TableInvs[[#This Row],[Calc_V_Typ]],Tran_RevenuesList,3,FALSE),"")</f>
        <v/>
      </c>
      <c r="E79" s="31">
        <f t="shared" si="9"/>
        <v>0</v>
      </c>
      <c r="F79" s="9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5"/>
      <c r="AD79" s="85"/>
      <c r="AE79" s="84"/>
      <c r="AF79" s="84"/>
      <c r="AG79" s="84"/>
      <c r="AH79" s="84"/>
      <c r="AI79" s="84"/>
      <c r="AJ79" s="84"/>
      <c r="AK79" s="84"/>
      <c r="AL79" s="84"/>
      <c r="AM79" s="84"/>
      <c r="AN79" s="84"/>
      <c r="AO79" s="84"/>
      <c r="AP79" s="84"/>
      <c r="AQ79" s="84"/>
      <c r="AR79" s="84"/>
      <c r="AS79" s="87">
        <f t="array" ref="AS79">IF(E79=1,SUM((ROW(Mf0)=ROW(AS79))*(Mf0+Mf1_+Mf2_+Mf3_+Mf4_+Mf5_+Mf6_+Mf7_+Mf8_+Mf9_+Mf10_+Mf11_+Mf12_+Mf13_+Mf14_+Mf15_+Mf16_+Mf17_+Mf18_+Mf19_+Mf20_+Mf21_+Mf22_+Mf23_+Mf24_+Mf25_+Mf26_+Mf27_+Mf28_+Mf29_+Mf30_+Mf31_+Mf32_+Mf33_+Mf34_+Mf35_+Mf36_+Mf37_)),0)</f>
        <v>0</v>
      </c>
      <c r="AU79" s="24" t="str">
        <f t="shared" si="10"/>
        <v/>
      </c>
      <c r="AV79" s="24" t="str">
        <f t="shared" si="13"/>
        <v/>
      </c>
      <c r="AW79" s="24" t="str">
        <f t="shared" si="11"/>
        <v/>
      </c>
      <c r="AX79" s="72">
        <f t="shared" si="14"/>
        <v>0</v>
      </c>
      <c r="AY79" s="24">
        <f t="shared" si="12"/>
        <v>0</v>
      </c>
      <c r="AZ79" s="24">
        <f t="array" ref="AZ79">IF(OR(RIGHT(B79,LEN(Par_LabelTravelTime))=Par_LabelTravelTime,B79="čas na ceste - fakturácia"),1,0)</f>
        <v>0</v>
      </c>
    </row>
    <row r="80" spans="2:52" s="24" customFormat="1" ht="12.75" x14ac:dyDescent="0.2">
      <c r="B80" s="97"/>
      <c r="C80" s="92"/>
      <c r="D80" s="31" t="str">
        <f>IF(E80=1,VLOOKUP(TableInvs[[#This Row],[Calc_V_Typ]],Tran_RevenuesList,3,FALSE),"")</f>
        <v/>
      </c>
      <c r="E80" s="31">
        <f t="shared" si="9"/>
        <v>0</v>
      </c>
      <c r="F80" s="9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5"/>
      <c r="AD80" s="85"/>
      <c r="AE80" s="84"/>
      <c r="AF80" s="84"/>
      <c r="AG80" s="84"/>
      <c r="AH80" s="84"/>
      <c r="AI80" s="84"/>
      <c r="AJ80" s="84"/>
      <c r="AK80" s="84"/>
      <c r="AL80" s="84"/>
      <c r="AM80" s="84"/>
      <c r="AN80" s="84"/>
      <c r="AO80" s="84"/>
      <c r="AP80" s="84"/>
      <c r="AQ80" s="84"/>
      <c r="AR80" s="84"/>
      <c r="AS80" s="87">
        <f t="array" ref="AS80">IF(E80=1,SUM((ROW(Mf0)=ROW(AS80))*(Mf0+Mf1_+Mf2_+Mf3_+Mf4_+Mf5_+Mf6_+Mf7_+Mf8_+Mf9_+Mf10_+Mf11_+Mf12_+Mf13_+Mf14_+Mf15_+Mf16_+Mf17_+Mf18_+Mf19_+Mf20_+Mf21_+Mf22_+Mf23_+Mf24_+Mf25_+Mf26_+Mf27_+Mf28_+Mf29_+Mf30_+Mf31_+Mf32_+Mf33_+Mf34_+Mf35_+Mf36_+Mf37_)),0)</f>
        <v>0</v>
      </c>
      <c r="AU80" s="24" t="str">
        <f t="shared" si="10"/>
        <v/>
      </c>
      <c r="AV80" s="24" t="str">
        <f t="shared" si="13"/>
        <v/>
      </c>
      <c r="AW80" s="24" t="str">
        <f t="shared" si="11"/>
        <v/>
      </c>
      <c r="AX80" s="72">
        <f t="shared" si="14"/>
        <v>0</v>
      </c>
      <c r="AY80" s="24">
        <f t="shared" si="12"/>
        <v>0</v>
      </c>
      <c r="AZ80" s="24">
        <f t="array" ref="AZ80">IF(OR(RIGHT(B80,LEN(Par_LabelTravelTime))=Par_LabelTravelTime,B80="čas na ceste - fakturácia"),1,0)</f>
        <v>0</v>
      </c>
    </row>
    <row r="81" spans="2:52" s="24" customFormat="1" ht="12.75" x14ac:dyDescent="0.2">
      <c r="B81" s="97"/>
      <c r="C81" s="92"/>
      <c r="D81" s="31" t="str">
        <f>IF(E81=1,VLOOKUP(TableInvs[[#This Row],[Calc_V_Typ]],Tran_RevenuesList,3,FALSE),"")</f>
        <v/>
      </c>
      <c r="E81" s="31">
        <f t="shared" si="9"/>
        <v>0</v>
      </c>
      <c r="F81" s="9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  <c r="AC81" s="85"/>
      <c r="AD81" s="85"/>
      <c r="AE81" s="84"/>
      <c r="AF81" s="84"/>
      <c r="AG81" s="84"/>
      <c r="AH81" s="84"/>
      <c r="AI81" s="84"/>
      <c r="AJ81" s="84"/>
      <c r="AK81" s="84"/>
      <c r="AL81" s="84"/>
      <c r="AM81" s="84"/>
      <c r="AN81" s="84"/>
      <c r="AO81" s="84"/>
      <c r="AP81" s="84"/>
      <c r="AQ81" s="84"/>
      <c r="AR81" s="84"/>
      <c r="AS81" s="87">
        <f t="array" ref="AS81">IF(E81=1,SUM((ROW(Mf0)=ROW(AS81))*(Mf0+Mf1_+Mf2_+Mf3_+Mf4_+Mf5_+Mf6_+Mf7_+Mf8_+Mf9_+Mf10_+Mf11_+Mf12_+Mf13_+Mf14_+Mf15_+Mf16_+Mf17_+Mf18_+Mf19_+Mf20_+Mf21_+Mf22_+Mf23_+Mf24_+Mf25_+Mf26_+Mf27_+Mf28_+Mf29_+Mf30_+Mf31_+Mf32_+Mf33_+Mf34_+Mf35_+Mf36_+Mf37_)),0)</f>
        <v>0</v>
      </c>
      <c r="AU81" s="24" t="str">
        <f t="shared" si="10"/>
        <v/>
      </c>
      <c r="AV81" s="24" t="str">
        <f t="shared" si="13"/>
        <v/>
      </c>
      <c r="AW81" s="24" t="str">
        <f t="shared" si="11"/>
        <v/>
      </c>
      <c r="AX81" s="72">
        <f t="shared" si="14"/>
        <v>0</v>
      </c>
      <c r="AY81" s="24">
        <f t="shared" si="12"/>
        <v>0</v>
      </c>
      <c r="AZ81" s="24">
        <f t="array" ref="AZ81">IF(OR(RIGHT(B81,LEN(Par_LabelTravelTime))=Par_LabelTravelTime,B81="čas na ceste - fakturácia"),1,0)</f>
        <v>0</v>
      </c>
    </row>
    <row r="82" spans="2:52" s="24" customFormat="1" ht="12.75" x14ac:dyDescent="0.2">
      <c r="B82" s="97"/>
      <c r="C82" s="92"/>
      <c r="D82" s="31" t="str">
        <f>IF(E82=1,VLOOKUP(TableInvs[[#This Row],[Calc_V_Typ]],Tran_RevenuesList,3,FALSE),"")</f>
        <v/>
      </c>
      <c r="E82" s="31">
        <f t="shared" si="9"/>
        <v>0</v>
      </c>
      <c r="F82" s="9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  <c r="AC82" s="85"/>
      <c r="AD82" s="85"/>
      <c r="AE82" s="84"/>
      <c r="AF82" s="84"/>
      <c r="AG82" s="84"/>
      <c r="AH82" s="84"/>
      <c r="AI82" s="84"/>
      <c r="AJ82" s="84"/>
      <c r="AK82" s="84"/>
      <c r="AL82" s="84"/>
      <c r="AM82" s="84"/>
      <c r="AN82" s="84"/>
      <c r="AO82" s="84"/>
      <c r="AP82" s="84"/>
      <c r="AQ82" s="84"/>
      <c r="AR82" s="84"/>
      <c r="AS82" s="87">
        <f t="array" ref="AS82">IF(E82=1,SUM((ROW(Mf0)=ROW(AS82))*(Mf0+Mf1_+Mf2_+Mf3_+Mf4_+Mf5_+Mf6_+Mf7_+Mf8_+Mf9_+Mf10_+Mf11_+Mf12_+Mf13_+Mf14_+Mf15_+Mf16_+Mf17_+Mf18_+Mf19_+Mf20_+Mf21_+Mf22_+Mf23_+Mf24_+Mf25_+Mf26_+Mf27_+Mf28_+Mf29_+Mf30_+Mf31_+Mf32_+Mf33_+Mf34_+Mf35_+Mf36_+Mf37_)),0)</f>
        <v>0</v>
      </c>
      <c r="AU82" s="24" t="str">
        <f t="shared" si="10"/>
        <v/>
      </c>
      <c r="AV82" s="24" t="str">
        <f t="shared" si="13"/>
        <v/>
      </c>
      <c r="AW82" s="24" t="str">
        <f t="shared" si="11"/>
        <v/>
      </c>
      <c r="AX82" s="72">
        <f t="shared" si="14"/>
        <v>0</v>
      </c>
      <c r="AY82" s="24">
        <f t="shared" si="12"/>
        <v>0</v>
      </c>
      <c r="AZ82" s="24">
        <f t="array" ref="AZ82">IF(OR(RIGHT(B82,LEN(Par_LabelTravelTime))=Par_LabelTravelTime,B82="čas na ceste - fakturácia"),1,0)</f>
        <v>0</v>
      </c>
    </row>
    <row r="83" spans="2:52" s="24" customFormat="1" ht="12.75" x14ac:dyDescent="0.2">
      <c r="B83" s="97"/>
      <c r="C83" s="92"/>
      <c r="D83" s="31" t="str">
        <f>IF(E83=1,VLOOKUP(TableInvs[[#This Row],[Calc_V_Typ]],Tran_RevenuesList,3,FALSE),"")</f>
        <v/>
      </c>
      <c r="E83" s="31">
        <f t="shared" si="9"/>
        <v>0</v>
      </c>
      <c r="F83" s="9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  <c r="R83" s="84"/>
      <c r="S83" s="84"/>
      <c r="T83" s="84"/>
      <c r="U83" s="84"/>
      <c r="V83" s="84"/>
      <c r="W83" s="84"/>
      <c r="X83" s="84"/>
      <c r="Y83" s="84"/>
      <c r="Z83" s="84"/>
      <c r="AA83" s="84"/>
      <c r="AB83" s="84"/>
      <c r="AC83" s="85"/>
      <c r="AD83" s="85"/>
      <c r="AE83" s="84"/>
      <c r="AF83" s="84"/>
      <c r="AG83" s="84"/>
      <c r="AH83" s="84"/>
      <c r="AI83" s="84"/>
      <c r="AJ83" s="84"/>
      <c r="AK83" s="84"/>
      <c r="AL83" s="84"/>
      <c r="AM83" s="84"/>
      <c r="AN83" s="84"/>
      <c r="AO83" s="84"/>
      <c r="AP83" s="84"/>
      <c r="AQ83" s="84"/>
      <c r="AR83" s="84"/>
      <c r="AS83" s="87">
        <f t="array" ref="AS83">IF(E83=1,SUM((ROW(Mf0)=ROW(AS83))*(Mf0+Mf1_+Mf2_+Mf3_+Mf4_+Mf5_+Mf6_+Mf7_+Mf8_+Mf9_+Mf10_+Mf11_+Mf12_+Mf13_+Mf14_+Mf15_+Mf16_+Mf17_+Mf18_+Mf19_+Mf20_+Mf21_+Mf22_+Mf23_+Mf24_+Mf25_+Mf26_+Mf27_+Mf28_+Mf29_+Mf30_+Mf31_+Mf32_+Mf33_+Mf34_+Mf35_+Mf36_+Mf37_)),0)</f>
        <v>0</v>
      </c>
      <c r="AU83" s="24" t="str">
        <f t="shared" si="10"/>
        <v/>
      </c>
      <c r="AV83" s="24" t="str">
        <f t="shared" si="13"/>
        <v/>
      </c>
      <c r="AW83" s="24" t="str">
        <f t="shared" si="11"/>
        <v/>
      </c>
      <c r="AX83" s="72">
        <f t="shared" si="14"/>
        <v>0</v>
      </c>
      <c r="AY83" s="24">
        <f t="shared" si="12"/>
        <v>0</v>
      </c>
      <c r="AZ83" s="24">
        <f t="array" ref="AZ83">IF(OR(RIGHT(B83,LEN(Par_LabelTravelTime))=Par_LabelTravelTime,B83="čas na ceste - fakturácia"),1,0)</f>
        <v>0</v>
      </c>
    </row>
    <row r="84" spans="2:52" s="24" customFormat="1" ht="12.75" x14ac:dyDescent="0.2">
      <c r="B84" s="97"/>
      <c r="C84" s="92"/>
      <c r="D84" s="31" t="str">
        <f>IF(E84=1,VLOOKUP(TableInvs[[#This Row],[Calc_V_Typ]],Tran_RevenuesList,3,FALSE),"")</f>
        <v/>
      </c>
      <c r="E84" s="31">
        <f t="shared" si="9"/>
        <v>0</v>
      </c>
      <c r="F84" s="9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  <c r="V84" s="84"/>
      <c r="W84" s="84"/>
      <c r="X84" s="84"/>
      <c r="Y84" s="84"/>
      <c r="Z84" s="84"/>
      <c r="AA84" s="84"/>
      <c r="AB84" s="84"/>
      <c r="AC84" s="85"/>
      <c r="AD84" s="85"/>
      <c r="AE84" s="84"/>
      <c r="AF84" s="84"/>
      <c r="AG84" s="84"/>
      <c r="AH84" s="84"/>
      <c r="AI84" s="84"/>
      <c r="AJ84" s="84"/>
      <c r="AK84" s="84"/>
      <c r="AL84" s="84"/>
      <c r="AM84" s="84"/>
      <c r="AN84" s="84"/>
      <c r="AO84" s="84"/>
      <c r="AP84" s="84"/>
      <c r="AQ84" s="84"/>
      <c r="AR84" s="84"/>
      <c r="AS84" s="87">
        <f t="array" ref="AS84">IF(E84=1,SUM((ROW(Mf0)=ROW(AS84))*(Mf0+Mf1_+Mf2_+Mf3_+Mf4_+Mf5_+Mf6_+Mf7_+Mf8_+Mf9_+Mf10_+Mf11_+Mf12_+Mf13_+Mf14_+Mf15_+Mf16_+Mf17_+Mf18_+Mf19_+Mf20_+Mf21_+Mf22_+Mf23_+Mf24_+Mf25_+Mf26_+Mf27_+Mf28_+Mf29_+Mf30_+Mf31_+Mf32_+Mf33_+Mf34_+Mf35_+Mf36_+Mf37_)),0)</f>
        <v>0</v>
      </c>
      <c r="AU84" s="24" t="str">
        <f t="shared" si="10"/>
        <v/>
      </c>
      <c r="AV84" s="24" t="str">
        <f t="shared" si="13"/>
        <v/>
      </c>
      <c r="AW84" s="24" t="str">
        <f t="shared" si="11"/>
        <v/>
      </c>
      <c r="AX84" s="72">
        <f t="shared" si="14"/>
        <v>0</v>
      </c>
      <c r="AY84" s="24">
        <f t="shared" si="12"/>
        <v>0</v>
      </c>
      <c r="AZ84" s="24">
        <f t="array" ref="AZ84">IF(OR(RIGHT(B84,LEN(Par_LabelTravelTime))=Par_LabelTravelTime,B84="čas na ceste - fakturácia"),1,0)</f>
        <v>0</v>
      </c>
    </row>
    <row r="85" spans="2:52" s="24" customFormat="1" ht="12.75" x14ac:dyDescent="0.2">
      <c r="B85" s="97"/>
      <c r="C85" s="92"/>
      <c r="D85" s="31" t="str">
        <f>IF(E85=1,VLOOKUP(TableInvs[[#This Row],[Calc_V_Typ]],Tran_RevenuesList,3,FALSE),"")</f>
        <v/>
      </c>
      <c r="E85" s="31">
        <f t="shared" si="9"/>
        <v>0</v>
      </c>
      <c r="F85" s="9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  <c r="AC85" s="85"/>
      <c r="AD85" s="85"/>
      <c r="AE85" s="84"/>
      <c r="AF85" s="84"/>
      <c r="AG85" s="84"/>
      <c r="AH85" s="84"/>
      <c r="AI85" s="84"/>
      <c r="AJ85" s="84"/>
      <c r="AK85" s="84"/>
      <c r="AL85" s="84"/>
      <c r="AM85" s="84"/>
      <c r="AN85" s="84"/>
      <c r="AO85" s="84"/>
      <c r="AP85" s="84"/>
      <c r="AQ85" s="84"/>
      <c r="AR85" s="84"/>
      <c r="AS85" s="87">
        <f t="array" ref="AS85">IF(E85=1,SUM((ROW(Mf0)=ROW(AS85))*(Mf0+Mf1_+Mf2_+Mf3_+Mf4_+Mf5_+Mf6_+Mf7_+Mf8_+Mf9_+Mf10_+Mf11_+Mf12_+Mf13_+Mf14_+Mf15_+Mf16_+Mf17_+Mf18_+Mf19_+Mf20_+Mf21_+Mf22_+Mf23_+Mf24_+Mf25_+Mf26_+Mf27_+Mf28_+Mf29_+Mf30_+Mf31_+Mf32_+Mf33_+Mf34_+Mf35_+Mf36_+Mf37_)),0)</f>
        <v>0</v>
      </c>
      <c r="AU85" s="24" t="str">
        <f t="shared" si="10"/>
        <v/>
      </c>
      <c r="AV85" s="24" t="str">
        <f t="shared" si="13"/>
        <v/>
      </c>
      <c r="AW85" s="24" t="str">
        <f t="shared" si="11"/>
        <v/>
      </c>
      <c r="AX85" s="72">
        <f t="shared" si="14"/>
        <v>0</v>
      </c>
      <c r="AY85" s="24">
        <f t="shared" si="12"/>
        <v>0</v>
      </c>
      <c r="AZ85" s="24">
        <f t="array" ref="AZ85">IF(OR(RIGHT(B85,LEN(Par_LabelTravelTime))=Par_LabelTravelTime,B85="čas na ceste - fakturácia"),1,0)</f>
        <v>0</v>
      </c>
    </row>
    <row r="86" spans="2:52" s="24" customFormat="1" ht="12.75" x14ac:dyDescent="0.2">
      <c r="B86" s="97"/>
      <c r="C86" s="92"/>
      <c r="D86" s="31" t="str">
        <f>IF(E86=1,VLOOKUP(TableInvs[[#This Row],[Calc_V_Typ]],Tran_RevenuesList,3,FALSE),"")</f>
        <v/>
      </c>
      <c r="E86" s="31">
        <f t="shared" si="9"/>
        <v>0</v>
      </c>
      <c r="F86" s="9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  <c r="AC86" s="85"/>
      <c r="AD86" s="85"/>
      <c r="AE86" s="84"/>
      <c r="AF86" s="84"/>
      <c r="AG86" s="84"/>
      <c r="AH86" s="84"/>
      <c r="AI86" s="84"/>
      <c r="AJ86" s="84"/>
      <c r="AK86" s="84"/>
      <c r="AL86" s="84"/>
      <c r="AM86" s="84"/>
      <c r="AN86" s="84"/>
      <c r="AO86" s="84"/>
      <c r="AP86" s="84"/>
      <c r="AQ86" s="84"/>
      <c r="AR86" s="84"/>
      <c r="AS86" s="87">
        <f t="array" ref="AS86">IF(E86=1,SUM((ROW(Mf0)=ROW(AS86))*(Mf0+Mf1_+Mf2_+Mf3_+Mf4_+Mf5_+Mf6_+Mf7_+Mf8_+Mf9_+Mf10_+Mf11_+Mf12_+Mf13_+Mf14_+Mf15_+Mf16_+Mf17_+Mf18_+Mf19_+Mf20_+Mf21_+Mf22_+Mf23_+Mf24_+Mf25_+Mf26_+Mf27_+Mf28_+Mf29_+Mf30_+Mf31_+Mf32_+Mf33_+Mf34_+Mf35_+Mf36_+Mf37_)),0)</f>
        <v>0</v>
      </c>
      <c r="AU86" s="24" t="str">
        <f t="shared" si="10"/>
        <v/>
      </c>
      <c r="AV86" s="24" t="str">
        <f t="shared" si="13"/>
        <v/>
      </c>
      <c r="AW86" s="24" t="str">
        <f t="shared" si="11"/>
        <v/>
      </c>
      <c r="AX86" s="72">
        <f t="shared" si="14"/>
        <v>0</v>
      </c>
      <c r="AY86" s="24">
        <f t="shared" si="12"/>
        <v>0</v>
      </c>
      <c r="AZ86" s="24">
        <f t="array" ref="AZ86">IF(OR(RIGHT(B86,LEN(Par_LabelTravelTime))=Par_LabelTravelTime,B86="čas na ceste - fakturácia"),1,0)</f>
        <v>0</v>
      </c>
    </row>
    <row r="87" spans="2:52" s="24" customFormat="1" ht="12.75" x14ac:dyDescent="0.2">
      <c r="B87" s="97"/>
      <c r="C87" s="92"/>
      <c r="D87" s="31" t="str">
        <f>IF(E87=1,VLOOKUP(TableInvs[[#This Row],[Calc_V_Typ]],Tran_RevenuesList,3,FALSE),"")</f>
        <v/>
      </c>
      <c r="E87" s="31">
        <f t="shared" si="9"/>
        <v>0</v>
      </c>
      <c r="F87" s="9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  <c r="W87" s="84"/>
      <c r="X87" s="84"/>
      <c r="Y87" s="84"/>
      <c r="Z87" s="84"/>
      <c r="AA87" s="84"/>
      <c r="AB87" s="84"/>
      <c r="AC87" s="85"/>
      <c r="AD87" s="85"/>
      <c r="AE87" s="84"/>
      <c r="AF87" s="84"/>
      <c r="AG87" s="84"/>
      <c r="AH87" s="84"/>
      <c r="AI87" s="84"/>
      <c r="AJ87" s="84"/>
      <c r="AK87" s="84"/>
      <c r="AL87" s="84"/>
      <c r="AM87" s="84"/>
      <c r="AN87" s="84"/>
      <c r="AO87" s="84"/>
      <c r="AP87" s="84"/>
      <c r="AQ87" s="84"/>
      <c r="AR87" s="84"/>
      <c r="AS87" s="87">
        <f t="array" ref="AS87">IF(E87=1,SUM((ROW(Mf0)=ROW(AS87))*(Mf0+Mf1_+Mf2_+Mf3_+Mf4_+Mf5_+Mf6_+Mf7_+Mf8_+Mf9_+Mf10_+Mf11_+Mf12_+Mf13_+Mf14_+Mf15_+Mf16_+Mf17_+Mf18_+Mf19_+Mf20_+Mf21_+Mf22_+Mf23_+Mf24_+Mf25_+Mf26_+Mf27_+Mf28_+Mf29_+Mf30_+Mf31_+Mf32_+Mf33_+Mf34_+Mf35_+Mf36_+Mf37_)),0)</f>
        <v>0</v>
      </c>
      <c r="AU87" s="24" t="str">
        <f t="shared" si="10"/>
        <v/>
      </c>
      <c r="AV87" s="24" t="str">
        <f t="shared" si="13"/>
        <v/>
      </c>
      <c r="AW87" s="24" t="str">
        <f t="shared" si="11"/>
        <v/>
      </c>
      <c r="AX87" s="72">
        <f t="shared" si="14"/>
        <v>0</v>
      </c>
      <c r="AY87" s="24">
        <f t="shared" si="12"/>
        <v>0</v>
      </c>
      <c r="AZ87" s="24">
        <f t="array" ref="AZ87">IF(OR(RIGHT(B87,LEN(Par_LabelTravelTime))=Par_LabelTravelTime,B87="čas na ceste - fakturácia"),1,0)</f>
        <v>0</v>
      </c>
    </row>
    <row r="88" spans="2:52" s="24" customFormat="1" ht="12.75" x14ac:dyDescent="0.2">
      <c r="B88" s="97"/>
      <c r="C88" s="92"/>
      <c r="D88" s="31" t="str">
        <f>IF(E88=1,VLOOKUP(TableInvs[[#This Row],[Calc_V_Typ]],Tran_RevenuesList,3,FALSE),"")</f>
        <v/>
      </c>
      <c r="E88" s="31">
        <f t="shared" si="9"/>
        <v>0</v>
      </c>
      <c r="F88" s="94"/>
      <c r="G88" s="84"/>
      <c r="H88" s="84"/>
      <c r="I88" s="84"/>
      <c r="J88" s="84"/>
      <c r="K88" s="84"/>
      <c r="L88" s="84"/>
      <c r="M88" s="84"/>
      <c r="N88" s="84"/>
      <c r="O88" s="84"/>
      <c r="P88" s="84"/>
      <c r="Q88" s="84"/>
      <c r="R88" s="84"/>
      <c r="S88" s="84"/>
      <c r="T88" s="84"/>
      <c r="U88" s="84"/>
      <c r="V88" s="84"/>
      <c r="W88" s="84"/>
      <c r="X88" s="84"/>
      <c r="Y88" s="84"/>
      <c r="Z88" s="84"/>
      <c r="AA88" s="84"/>
      <c r="AB88" s="84"/>
      <c r="AC88" s="85"/>
      <c r="AD88" s="85"/>
      <c r="AE88" s="84"/>
      <c r="AF88" s="84"/>
      <c r="AG88" s="84"/>
      <c r="AH88" s="84"/>
      <c r="AI88" s="84"/>
      <c r="AJ88" s="84"/>
      <c r="AK88" s="84"/>
      <c r="AL88" s="84"/>
      <c r="AM88" s="84"/>
      <c r="AN88" s="84"/>
      <c r="AO88" s="84"/>
      <c r="AP88" s="84"/>
      <c r="AQ88" s="84"/>
      <c r="AR88" s="84"/>
      <c r="AS88" s="87">
        <f t="array" ref="AS88">IF(E88=1,SUM((ROW(Mf0)=ROW(AS88))*(Mf0+Mf1_+Mf2_+Mf3_+Mf4_+Mf5_+Mf6_+Mf7_+Mf8_+Mf9_+Mf10_+Mf11_+Mf12_+Mf13_+Mf14_+Mf15_+Mf16_+Mf17_+Mf18_+Mf19_+Mf20_+Mf21_+Mf22_+Mf23_+Mf24_+Mf25_+Mf26_+Mf27_+Mf28_+Mf29_+Mf30_+Mf31_+Mf32_+Mf33_+Mf34_+Mf35_+Mf36_+Mf37_)),0)</f>
        <v>0</v>
      </c>
      <c r="AU88" s="24" t="str">
        <f t="shared" si="10"/>
        <v/>
      </c>
      <c r="AV88" s="24" t="str">
        <f t="shared" si="13"/>
        <v/>
      </c>
      <c r="AW88" s="24" t="str">
        <f t="shared" si="11"/>
        <v/>
      </c>
      <c r="AX88" s="72">
        <f t="shared" si="14"/>
        <v>0</v>
      </c>
      <c r="AY88" s="24">
        <f t="shared" si="12"/>
        <v>0</v>
      </c>
      <c r="AZ88" s="24">
        <f t="array" ref="AZ88">IF(OR(RIGHT(B88,LEN(Par_LabelTravelTime))=Par_LabelTravelTime,B88="čas na ceste - fakturácia"),1,0)</f>
        <v>0</v>
      </c>
    </row>
    <row r="89" spans="2:52" s="24" customFormat="1" ht="12.75" x14ac:dyDescent="0.2">
      <c r="B89" s="97"/>
      <c r="C89" s="92"/>
      <c r="D89" s="31" t="str">
        <f>IF(E89=1,VLOOKUP(TableInvs[[#This Row],[Calc_V_Typ]],Tran_RevenuesList,3,FALSE),"")</f>
        <v/>
      </c>
      <c r="E89" s="31">
        <f t="shared" si="9"/>
        <v>0</v>
      </c>
      <c r="F89" s="94"/>
      <c r="G89" s="84"/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  <c r="AC89" s="85"/>
      <c r="AD89" s="85"/>
      <c r="AE89" s="84"/>
      <c r="AF89" s="84"/>
      <c r="AG89" s="84"/>
      <c r="AH89" s="84"/>
      <c r="AI89" s="84"/>
      <c r="AJ89" s="84"/>
      <c r="AK89" s="84"/>
      <c r="AL89" s="84"/>
      <c r="AM89" s="84"/>
      <c r="AN89" s="84"/>
      <c r="AO89" s="84"/>
      <c r="AP89" s="84"/>
      <c r="AQ89" s="84"/>
      <c r="AR89" s="84"/>
      <c r="AS89" s="87">
        <f t="array" ref="AS89">IF(E89=1,SUM((ROW(Mf0)=ROW(AS89))*(Mf0+Mf1_+Mf2_+Mf3_+Mf4_+Mf5_+Mf6_+Mf7_+Mf8_+Mf9_+Mf10_+Mf11_+Mf12_+Mf13_+Mf14_+Mf15_+Mf16_+Mf17_+Mf18_+Mf19_+Mf20_+Mf21_+Mf22_+Mf23_+Mf24_+Mf25_+Mf26_+Mf27_+Mf28_+Mf29_+Mf30_+Mf31_+Mf32_+Mf33_+Mf34_+Mf35_+Mf36_+Mf37_)),0)</f>
        <v>0</v>
      </c>
      <c r="AU89" s="24" t="str">
        <f t="shared" si="10"/>
        <v/>
      </c>
      <c r="AV89" s="24" t="str">
        <f t="shared" si="13"/>
        <v/>
      </c>
      <c r="AW89" s="24" t="str">
        <f t="shared" si="11"/>
        <v/>
      </c>
      <c r="AX89" s="72">
        <f t="shared" si="14"/>
        <v>0</v>
      </c>
      <c r="AY89" s="24">
        <f t="shared" si="12"/>
        <v>0</v>
      </c>
      <c r="AZ89" s="24">
        <f t="array" ref="AZ89">IF(OR(RIGHT(B89,LEN(Par_LabelTravelTime))=Par_LabelTravelTime,B89="čas na ceste - fakturácia"),1,0)</f>
        <v>0</v>
      </c>
    </row>
    <row r="90" spans="2:52" s="24" customFormat="1" ht="12.75" x14ac:dyDescent="0.2">
      <c r="B90" s="97"/>
      <c r="C90" s="92"/>
      <c r="D90" s="31" t="str">
        <f>IF(E90=1,VLOOKUP(TableInvs[[#This Row],[Calc_V_Typ]],Tran_RevenuesList,3,FALSE),"")</f>
        <v/>
      </c>
      <c r="E90" s="31">
        <f t="shared" si="9"/>
        <v>0</v>
      </c>
      <c r="F90" s="94"/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  <c r="AC90" s="85"/>
      <c r="AD90" s="85"/>
      <c r="AE90" s="84"/>
      <c r="AF90" s="84"/>
      <c r="AG90" s="84"/>
      <c r="AH90" s="84"/>
      <c r="AI90" s="84"/>
      <c r="AJ90" s="84"/>
      <c r="AK90" s="84"/>
      <c r="AL90" s="84"/>
      <c r="AM90" s="84"/>
      <c r="AN90" s="84"/>
      <c r="AO90" s="84"/>
      <c r="AP90" s="84"/>
      <c r="AQ90" s="84"/>
      <c r="AR90" s="84"/>
      <c r="AS90" s="87">
        <f t="array" ref="AS90">IF(E90=1,SUM((ROW(Mf0)=ROW(AS90))*(Mf0+Mf1_+Mf2_+Mf3_+Mf4_+Mf5_+Mf6_+Mf7_+Mf8_+Mf9_+Mf10_+Mf11_+Mf12_+Mf13_+Mf14_+Mf15_+Mf16_+Mf17_+Mf18_+Mf19_+Mf20_+Mf21_+Mf22_+Mf23_+Mf24_+Mf25_+Mf26_+Mf27_+Mf28_+Mf29_+Mf30_+Mf31_+Mf32_+Mf33_+Mf34_+Mf35_+Mf36_+Mf37_)),0)</f>
        <v>0</v>
      </c>
      <c r="AU90" s="24" t="str">
        <f t="shared" si="10"/>
        <v/>
      </c>
      <c r="AV90" s="24" t="str">
        <f t="shared" si="13"/>
        <v/>
      </c>
      <c r="AW90" s="24" t="str">
        <f t="shared" si="11"/>
        <v/>
      </c>
      <c r="AX90" s="72">
        <f t="shared" si="14"/>
        <v>0</v>
      </c>
      <c r="AY90" s="24">
        <f t="shared" si="12"/>
        <v>0</v>
      </c>
      <c r="AZ90" s="24">
        <f t="array" ref="AZ90">IF(OR(RIGHT(B90,LEN(Par_LabelTravelTime))=Par_LabelTravelTime,B90="čas na ceste - fakturácia"),1,0)</f>
        <v>0</v>
      </c>
    </row>
    <row r="91" spans="2:52" s="24" customFormat="1" ht="12.75" x14ac:dyDescent="0.2">
      <c r="B91" s="97"/>
      <c r="C91" s="92"/>
      <c r="D91" s="31" t="str">
        <f>IF(E91=1,VLOOKUP(TableInvs[[#This Row],[Calc_V_Typ]],Tran_RevenuesList,3,FALSE),"")</f>
        <v/>
      </c>
      <c r="E91" s="31">
        <f t="shared" si="9"/>
        <v>0</v>
      </c>
      <c r="F91" s="94"/>
      <c r="G91" s="84"/>
      <c r="H91" s="84"/>
      <c r="I91" s="84"/>
      <c r="J91" s="84"/>
      <c r="K91" s="84"/>
      <c r="L91" s="84"/>
      <c r="M91" s="84"/>
      <c r="N91" s="84"/>
      <c r="O91" s="84"/>
      <c r="P91" s="84"/>
      <c r="Q91" s="84"/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  <c r="AC91" s="85"/>
      <c r="AD91" s="85"/>
      <c r="AE91" s="84"/>
      <c r="AF91" s="84"/>
      <c r="AG91" s="84"/>
      <c r="AH91" s="84"/>
      <c r="AI91" s="84"/>
      <c r="AJ91" s="84"/>
      <c r="AK91" s="84"/>
      <c r="AL91" s="84"/>
      <c r="AM91" s="84"/>
      <c r="AN91" s="84"/>
      <c r="AO91" s="84"/>
      <c r="AP91" s="84"/>
      <c r="AQ91" s="84"/>
      <c r="AR91" s="84"/>
      <c r="AS91" s="87">
        <f t="array" ref="AS91">IF(E91=1,SUM((ROW(Mf0)=ROW(AS91))*(Mf0+Mf1_+Mf2_+Mf3_+Mf4_+Mf5_+Mf6_+Mf7_+Mf8_+Mf9_+Mf10_+Mf11_+Mf12_+Mf13_+Mf14_+Mf15_+Mf16_+Mf17_+Mf18_+Mf19_+Mf20_+Mf21_+Mf22_+Mf23_+Mf24_+Mf25_+Mf26_+Mf27_+Mf28_+Mf29_+Mf30_+Mf31_+Mf32_+Mf33_+Mf34_+Mf35_+Mf36_+Mf37_)),0)</f>
        <v>0</v>
      </c>
      <c r="AU91" s="24" t="str">
        <f t="shared" si="10"/>
        <v/>
      </c>
      <c r="AV91" s="24" t="str">
        <f t="shared" si="13"/>
        <v/>
      </c>
      <c r="AW91" s="24" t="str">
        <f t="shared" si="11"/>
        <v/>
      </c>
      <c r="AX91" s="72">
        <f t="shared" si="14"/>
        <v>0</v>
      </c>
      <c r="AY91" s="24">
        <f t="shared" si="12"/>
        <v>0</v>
      </c>
      <c r="AZ91" s="24">
        <f t="array" ref="AZ91">IF(OR(RIGHT(B91,LEN(Par_LabelTravelTime))=Par_LabelTravelTime,B91="čas na ceste - fakturácia"),1,0)</f>
        <v>0</v>
      </c>
    </row>
    <row r="92" spans="2:52" s="24" customFormat="1" ht="12.75" x14ac:dyDescent="0.2">
      <c r="B92" s="97"/>
      <c r="C92" s="92"/>
      <c r="D92" s="31" t="str">
        <f>IF(E92=1,VLOOKUP(TableInvs[[#This Row],[Calc_V_Typ]],Tran_RevenuesList,3,FALSE),"")</f>
        <v/>
      </c>
      <c r="E92" s="31">
        <f t="shared" si="9"/>
        <v>0</v>
      </c>
      <c r="F92" s="9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5"/>
      <c r="AD92" s="85"/>
      <c r="AE92" s="84"/>
      <c r="AF92" s="84"/>
      <c r="AG92" s="84"/>
      <c r="AH92" s="84"/>
      <c r="AI92" s="84"/>
      <c r="AJ92" s="84"/>
      <c r="AK92" s="84"/>
      <c r="AL92" s="84"/>
      <c r="AM92" s="84"/>
      <c r="AN92" s="84"/>
      <c r="AO92" s="84"/>
      <c r="AP92" s="84"/>
      <c r="AQ92" s="84"/>
      <c r="AR92" s="84"/>
      <c r="AS92" s="87">
        <f t="array" ref="AS92">IF(E92=1,SUM((ROW(Mf0)=ROW(AS92))*(Mf0+Mf1_+Mf2_+Mf3_+Mf4_+Mf5_+Mf6_+Mf7_+Mf8_+Mf9_+Mf10_+Mf11_+Mf12_+Mf13_+Mf14_+Mf15_+Mf16_+Mf17_+Mf18_+Mf19_+Mf20_+Mf21_+Mf22_+Mf23_+Mf24_+Mf25_+Mf26_+Mf27_+Mf28_+Mf29_+Mf30_+Mf31_+Mf32_+Mf33_+Mf34_+Mf35_+Mf36_+Mf37_)),0)</f>
        <v>0</v>
      </c>
      <c r="AU92" s="24" t="str">
        <f t="shared" si="10"/>
        <v/>
      </c>
      <c r="AV92" s="24" t="str">
        <f t="shared" si="13"/>
        <v/>
      </c>
      <c r="AW92" s="24" t="str">
        <f t="shared" si="11"/>
        <v/>
      </c>
      <c r="AX92" s="72">
        <f t="shared" si="14"/>
        <v>0</v>
      </c>
      <c r="AY92" s="24">
        <f t="shared" si="12"/>
        <v>0</v>
      </c>
      <c r="AZ92" s="24">
        <f t="array" ref="AZ92">IF(OR(RIGHT(B92,LEN(Par_LabelTravelTime))=Par_LabelTravelTime,B92="čas na ceste - fakturácia"),1,0)</f>
        <v>0</v>
      </c>
    </row>
    <row r="93" spans="2:52" s="24" customFormat="1" ht="12.75" x14ac:dyDescent="0.2">
      <c r="B93" s="97"/>
      <c r="C93" s="92"/>
      <c r="D93" s="31" t="str">
        <f>IF(E93=1,VLOOKUP(TableInvs[[#This Row],[Calc_V_Typ]],Tran_RevenuesList,3,FALSE),"")</f>
        <v/>
      </c>
      <c r="E93" s="31">
        <f t="shared" si="9"/>
        <v>0</v>
      </c>
      <c r="F93" s="9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5"/>
      <c r="AD93" s="85"/>
      <c r="AE93" s="84"/>
      <c r="AF93" s="84"/>
      <c r="AG93" s="84"/>
      <c r="AH93" s="84"/>
      <c r="AI93" s="84"/>
      <c r="AJ93" s="84"/>
      <c r="AK93" s="84"/>
      <c r="AL93" s="84"/>
      <c r="AM93" s="84"/>
      <c r="AN93" s="84"/>
      <c r="AO93" s="84"/>
      <c r="AP93" s="84"/>
      <c r="AQ93" s="84"/>
      <c r="AR93" s="84"/>
      <c r="AS93" s="87">
        <f t="array" ref="AS93">IF(E93=1,SUM((ROW(Mf0)=ROW(AS93))*(Mf0+Mf1_+Mf2_+Mf3_+Mf4_+Mf5_+Mf6_+Mf7_+Mf8_+Mf9_+Mf10_+Mf11_+Mf12_+Mf13_+Mf14_+Mf15_+Mf16_+Mf17_+Mf18_+Mf19_+Mf20_+Mf21_+Mf22_+Mf23_+Mf24_+Mf25_+Mf26_+Mf27_+Mf28_+Mf29_+Mf30_+Mf31_+Mf32_+Mf33_+Mf34_+Mf35_+Mf36_+Mf37_)),0)</f>
        <v>0</v>
      </c>
      <c r="AU93" s="24" t="str">
        <f t="shared" si="10"/>
        <v/>
      </c>
      <c r="AV93" s="24" t="str">
        <f t="shared" si="13"/>
        <v/>
      </c>
      <c r="AW93" s="24" t="str">
        <f t="shared" si="11"/>
        <v/>
      </c>
      <c r="AX93" s="72">
        <f t="shared" si="14"/>
        <v>0</v>
      </c>
      <c r="AY93" s="24">
        <f t="shared" si="12"/>
        <v>0</v>
      </c>
      <c r="AZ93" s="24">
        <f t="array" ref="AZ93">IF(OR(RIGHT(B93,LEN(Par_LabelTravelTime))=Par_LabelTravelTime,B93="čas na ceste - fakturácia"),1,0)</f>
        <v>0</v>
      </c>
    </row>
    <row r="94" spans="2:52" s="24" customFormat="1" ht="12.75" x14ac:dyDescent="0.2">
      <c r="B94" s="97"/>
      <c r="C94" s="92"/>
      <c r="D94" s="31" t="str">
        <f>IF(E94=1,VLOOKUP(TableInvs[[#This Row],[Calc_V_Typ]],Tran_RevenuesList,3,FALSE),"")</f>
        <v/>
      </c>
      <c r="E94" s="31">
        <f t="shared" si="9"/>
        <v>0</v>
      </c>
      <c r="F94" s="9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  <c r="W94" s="84"/>
      <c r="X94" s="84"/>
      <c r="Y94" s="84"/>
      <c r="Z94" s="84"/>
      <c r="AA94" s="84"/>
      <c r="AB94" s="84"/>
      <c r="AC94" s="85"/>
      <c r="AD94" s="85"/>
      <c r="AE94" s="84"/>
      <c r="AF94" s="84"/>
      <c r="AG94" s="84"/>
      <c r="AH94" s="84"/>
      <c r="AI94" s="84"/>
      <c r="AJ94" s="84"/>
      <c r="AK94" s="84"/>
      <c r="AL94" s="84"/>
      <c r="AM94" s="84"/>
      <c r="AN94" s="84"/>
      <c r="AO94" s="84"/>
      <c r="AP94" s="84"/>
      <c r="AQ94" s="84"/>
      <c r="AR94" s="84"/>
      <c r="AS94" s="87">
        <f t="array" ref="AS94">IF(E94=1,SUM((ROW(Mf0)=ROW(AS94))*(Mf0+Mf1_+Mf2_+Mf3_+Mf4_+Mf5_+Mf6_+Mf7_+Mf8_+Mf9_+Mf10_+Mf11_+Mf12_+Mf13_+Mf14_+Mf15_+Mf16_+Mf17_+Mf18_+Mf19_+Mf20_+Mf21_+Mf22_+Mf23_+Mf24_+Mf25_+Mf26_+Mf27_+Mf28_+Mf29_+Mf30_+Mf31_+Mf32_+Mf33_+Mf34_+Mf35_+Mf36_+Mf37_)),0)</f>
        <v>0</v>
      </c>
      <c r="AU94" s="24" t="str">
        <f t="shared" si="10"/>
        <v/>
      </c>
      <c r="AV94" s="24" t="str">
        <f t="shared" si="13"/>
        <v/>
      </c>
      <c r="AW94" s="24" t="str">
        <f t="shared" si="11"/>
        <v/>
      </c>
      <c r="AX94" s="72">
        <f t="shared" si="14"/>
        <v>0</v>
      </c>
      <c r="AY94" s="24">
        <f t="shared" si="12"/>
        <v>0</v>
      </c>
      <c r="AZ94" s="24">
        <f t="array" ref="AZ94">IF(OR(RIGHT(B94,LEN(Par_LabelTravelTime))=Par_LabelTravelTime,B94="čas na ceste - fakturácia"),1,0)</f>
        <v>0</v>
      </c>
    </row>
    <row r="95" spans="2:52" s="24" customFormat="1" ht="12.75" x14ac:dyDescent="0.2">
      <c r="B95" s="97"/>
      <c r="C95" s="92"/>
      <c r="D95" s="31" t="str">
        <f>IF(E95=1,VLOOKUP(TableInvs[[#This Row],[Calc_V_Typ]],Tran_RevenuesList,3,FALSE),"")</f>
        <v/>
      </c>
      <c r="E95" s="31">
        <f t="shared" si="9"/>
        <v>0</v>
      </c>
      <c r="F95" s="9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5"/>
      <c r="AD95" s="85"/>
      <c r="AE95" s="84"/>
      <c r="AF95" s="84"/>
      <c r="AG95" s="84"/>
      <c r="AH95" s="84"/>
      <c r="AI95" s="84"/>
      <c r="AJ95" s="84"/>
      <c r="AK95" s="84"/>
      <c r="AL95" s="84"/>
      <c r="AM95" s="84"/>
      <c r="AN95" s="84"/>
      <c r="AO95" s="84"/>
      <c r="AP95" s="84"/>
      <c r="AQ95" s="84"/>
      <c r="AR95" s="84"/>
      <c r="AS95" s="87">
        <f t="array" ref="AS95">IF(E95=1,SUM((ROW(Mf0)=ROW(AS95))*(Mf0+Mf1_+Mf2_+Mf3_+Mf4_+Mf5_+Mf6_+Mf7_+Mf8_+Mf9_+Mf10_+Mf11_+Mf12_+Mf13_+Mf14_+Mf15_+Mf16_+Mf17_+Mf18_+Mf19_+Mf20_+Mf21_+Mf22_+Mf23_+Mf24_+Mf25_+Mf26_+Mf27_+Mf28_+Mf29_+Mf30_+Mf31_+Mf32_+Mf33_+Mf34_+Mf35_+Mf36_+Mf37_)),0)</f>
        <v>0</v>
      </c>
      <c r="AU95" s="24" t="str">
        <f t="shared" si="10"/>
        <v/>
      </c>
      <c r="AV95" s="24" t="str">
        <f t="shared" si="13"/>
        <v/>
      </c>
      <c r="AW95" s="24" t="str">
        <f t="shared" si="11"/>
        <v/>
      </c>
      <c r="AX95" s="72">
        <f t="shared" si="14"/>
        <v>0</v>
      </c>
      <c r="AY95" s="24">
        <f t="shared" si="12"/>
        <v>0</v>
      </c>
      <c r="AZ95" s="24">
        <f t="array" ref="AZ95">IF(OR(RIGHT(B95,LEN(Par_LabelTravelTime))=Par_LabelTravelTime,B95="čas na ceste - fakturácia"),1,0)</f>
        <v>0</v>
      </c>
    </row>
    <row r="96" spans="2:52" s="24" customFormat="1" ht="12.75" x14ac:dyDescent="0.2">
      <c r="B96" s="97"/>
      <c r="C96" s="92"/>
      <c r="D96" s="31" t="str">
        <f>IF(E96=1,VLOOKUP(TableInvs[[#This Row],[Calc_V_Typ]],Tran_RevenuesList,3,FALSE),"")</f>
        <v/>
      </c>
      <c r="E96" s="31">
        <f t="shared" si="9"/>
        <v>0</v>
      </c>
      <c r="F96" s="9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5"/>
      <c r="AD96" s="85"/>
      <c r="AE96" s="84"/>
      <c r="AF96" s="84"/>
      <c r="AG96" s="84"/>
      <c r="AH96" s="84"/>
      <c r="AI96" s="84"/>
      <c r="AJ96" s="84"/>
      <c r="AK96" s="84"/>
      <c r="AL96" s="84"/>
      <c r="AM96" s="84"/>
      <c r="AN96" s="84"/>
      <c r="AO96" s="84"/>
      <c r="AP96" s="84"/>
      <c r="AQ96" s="84"/>
      <c r="AR96" s="84"/>
      <c r="AS96" s="87">
        <f t="array" ref="AS96">IF(E96=1,SUM((ROW(Mf0)=ROW(AS96))*(Mf0+Mf1_+Mf2_+Mf3_+Mf4_+Mf5_+Mf6_+Mf7_+Mf8_+Mf9_+Mf10_+Mf11_+Mf12_+Mf13_+Mf14_+Mf15_+Mf16_+Mf17_+Mf18_+Mf19_+Mf20_+Mf21_+Mf22_+Mf23_+Mf24_+Mf25_+Mf26_+Mf27_+Mf28_+Mf29_+Mf30_+Mf31_+Mf32_+Mf33_+Mf34_+Mf35_+Mf36_+Mf37_)),0)</f>
        <v>0</v>
      </c>
      <c r="AU96" s="24" t="str">
        <f t="shared" si="10"/>
        <v/>
      </c>
      <c r="AV96" s="24" t="str">
        <f t="shared" si="13"/>
        <v/>
      </c>
      <c r="AW96" s="24" t="str">
        <f t="shared" si="11"/>
        <v/>
      </c>
      <c r="AX96" s="72">
        <f t="shared" si="14"/>
        <v>0</v>
      </c>
      <c r="AY96" s="24">
        <f t="shared" si="12"/>
        <v>0</v>
      </c>
      <c r="AZ96" s="24">
        <f t="array" ref="AZ96">IF(OR(RIGHT(B96,LEN(Par_LabelTravelTime))=Par_LabelTravelTime,B96="čas na ceste - fakturácia"),1,0)</f>
        <v>0</v>
      </c>
    </row>
    <row r="97" spans="2:52" s="24" customFormat="1" ht="12.75" x14ac:dyDescent="0.2">
      <c r="B97" s="97"/>
      <c r="C97" s="92"/>
      <c r="D97" s="31" t="str">
        <f>IF(E97=1,VLOOKUP(TableInvs[[#This Row],[Calc_V_Typ]],Tran_RevenuesList,3,FALSE),"")</f>
        <v/>
      </c>
      <c r="E97" s="31">
        <f t="shared" si="9"/>
        <v>0</v>
      </c>
      <c r="F97" s="9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5"/>
      <c r="AD97" s="85"/>
      <c r="AE97" s="84"/>
      <c r="AF97" s="84"/>
      <c r="AG97" s="84"/>
      <c r="AH97" s="84"/>
      <c r="AI97" s="84"/>
      <c r="AJ97" s="84"/>
      <c r="AK97" s="84"/>
      <c r="AL97" s="84"/>
      <c r="AM97" s="84"/>
      <c r="AN97" s="84"/>
      <c r="AO97" s="84"/>
      <c r="AP97" s="84"/>
      <c r="AQ97" s="84"/>
      <c r="AR97" s="84"/>
      <c r="AS97" s="87">
        <f t="array" ref="AS97">IF(E97=1,SUM((ROW(Mf0)=ROW(AS97))*(Mf0+Mf1_+Mf2_+Mf3_+Mf4_+Mf5_+Mf6_+Mf7_+Mf8_+Mf9_+Mf10_+Mf11_+Mf12_+Mf13_+Mf14_+Mf15_+Mf16_+Mf17_+Mf18_+Mf19_+Mf20_+Mf21_+Mf22_+Mf23_+Mf24_+Mf25_+Mf26_+Mf27_+Mf28_+Mf29_+Mf30_+Mf31_+Mf32_+Mf33_+Mf34_+Mf35_+Mf36_+Mf37_)),0)</f>
        <v>0</v>
      </c>
      <c r="AU97" s="24" t="str">
        <f t="shared" si="10"/>
        <v/>
      </c>
      <c r="AV97" s="24" t="str">
        <f t="shared" si="13"/>
        <v/>
      </c>
      <c r="AW97" s="24" t="str">
        <f t="shared" si="11"/>
        <v/>
      </c>
      <c r="AX97" s="72">
        <f t="shared" si="14"/>
        <v>0</v>
      </c>
      <c r="AY97" s="24">
        <f t="shared" si="12"/>
        <v>0</v>
      </c>
      <c r="AZ97" s="24">
        <f t="array" ref="AZ97">IF(OR(RIGHT(B97,LEN(Par_LabelTravelTime))=Par_LabelTravelTime,B97="čas na ceste - fakturácia"),1,0)</f>
        <v>0</v>
      </c>
    </row>
    <row r="98" spans="2:52" s="24" customFormat="1" ht="12.75" x14ac:dyDescent="0.2">
      <c r="B98" s="97"/>
      <c r="C98" s="92"/>
      <c r="D98" s="31" t="str">
        <f>IF(E98=1,VLOOKUP(TableInvs[[#This Row],[Calc_V_Typ]],Tran_RevenuesList,3,FALSE),"")</f>
        <v/>
      </c>
      <c r="E98" s="31">
        <f t="shared" si="9"/>
        <v>0</v>
      </c>
      <c r="F98" s="9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5"/>
      <c r="AD98" s="85"/>
      <c r="AE98" s="84"/>
      <c r="AF98" s="84"/>
      <c r="AG98" s="84"/>
      <c r="AH98" s="84"/>
      <c r="AI98" s="84"/>
      <c r="AJ98" s="84"/>
      <c r="AK98" s="84"/>
      <c r="AL98" s="84"/>
      <c r="AM98" s="84"/>
      <c r="AN98" s="84"/>
      <c r="AO98" s="84"/>
      <c r="AP98" s="84"/>
      <c r="AQ98" s="84"/>
      <c r="AR98" s="84"/>
      <c r="AS98" s="87">
        <f t="array" ref="AS98">IF(E98=1,SUM((ROW(Mf0)=ROW(AS98))*(Mf0+Mf1_+Mf2_+Mf3_+Mf4_+Mf5_+Mf6_+Mf7_+Mf8_+Mf9_+Mf10_+Mf11_+Mf12_+Mf13_+Mf14_+Mf15_+Mf16_+Mf17_+Mf18_+Mf19_+Mf20_+Mf21_+Mf22_+Mf23_+Mf24_+Mf25_+Mf26_+Mf27_+Mf28_+Mf29_+Mf30_+Mf31_+Mf32_+Mf33_+Mf34_+Mf35_+Mf36_+Mf37_)),0)</f>
        <v>0</v>
      </c>
      <c r="AU98" s="24" t="str">
        <f t="shared" si="10"/>
        <v/>
      </c>
      <c r="AV98" s="24" t="str">
        <f t="shared" si="13"/>
        <v/>
      </c>
      <c r="AW98" s="24" t="str">
        <f t="shared" si="11"/>
        <v/>
      </c>
      <c r="AX98" s="72">
        <f t="shared" si="14"/>
        <v>0</v>
      </c>
      <c r="AY98" s="24">
        <f t="shared" si="12"/>
        <v>0</v>
      </c>
      <c r="AZ98" s="24">
        <f t="array" ref="AZ98">IF(OR(RIGHT(B98,LEN(Par_LabelTravelTime))=Par_LabelTravelTime,B98="čas na ceste - fakturácia"),1,0)</f>
        <v>0</v>
      </c>
    </row>
    <row r="99" spans="2:52" s="24" customFormat="1" ht="12.75" x14ac:dyDescent="0.2">
      <c r="B99" s="97"/>
      <c r="C99" s="92"/>
      <c r="D99" s="31" t="str">
        <f>IF(E99=1,VLOOKUP(TableInvs[[#This Row],[Calc_V_Typ]],Tran_RevenuesList,3,FALSE),"")</f>
        <v/>
      </c>
      <c r="E99" s="31">
        <f t="shared" si="9"/>
        <v>0</v>
      </c>
      <c r="F99" s="9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5"/>
      <c r="AD99" s="85"/>
      <c r="AE99" s="84"/>
      <c r="AF99" s="84"/>
      <c r="AG99" s="84"/>
      <c r="AH99" s="84"/>
      <c r="AI99" s="84"/>
      <c r="AJ99" s="84"/>
      <c r="AK99" s="84"/>
      <c r="AL99" s="84"/>
      <c r="AM99" s="84"/>
      <c r="AN99" s="84"/>
      <c r="AO99" s="84"/>
      <c r="AP99" s="84"/>
      <c r="AQ99" s="84"/>
      <c r="AR99" s="84"/>
      <c r="AS99" s="87">
        <f t="array" ref="AS99">IF(E99=1,SUM((ROW(Mf0)=ROW(AS99))*(Mf0+Mf1_+Mf2_+Mf3_+Mf4_+Mf5_+Mf6_+Mf7_+Mf8_+Mf9_+Mf10_+Mf11_+Mf12_+Mf13_+Mf14_+Mf15_+Mf16_+Mf17_+Mf18_+Mf19_+Mf20_+Mf21_+Mf22_+Mf23_+Mf24_+Mf25_+Mf26_+Mf27_+Mf28_+Mf29_+Mf30_+Mf31_+Mf32_+Mf33_+Mf34_+Mf35_+Mf36_+Mf37_)),0)</f>
        <v>0</v>
      </c>
      <c r="AU99" s="24" t="str">
        <f t="shared" si="10"/>
        <v/>
      </c>
      <c r="AV99" s="24" t="str">
        <f t="shared" si="13"/>
        <v/>
      </c>
      <c r="AW99" s="24" t="str">
        <f t="shared" si="11"/>
        <v/>
      </c>
      <c r="AX99" s="72">
        <f t="shared" si="14"/>
        <v>0</v>
      </c>
      <c r="AY99" s="24">
        <f t="shared" si="12"/>
        <v>0</v>
      </c>
      <c r="AZ99" s="24">
        <f t="array" ref="AZ99">IF(OR(RIGHT(B99,LEN(Par_LabelTravelTime))=Par_LabelTravelTime,B99="čas na ceste - fakturácia"),1,0)</f>
        <v>0</v>
      </c>
    </row>
    <row r="100" spans="2:52" s="24" customFormat="1" ht="12.75" x14ac:dyDescent="0.2">
      <c r="B100" s="97"/>
      <c r="C100" s="92"/>
      <c r="D100" s="31" t="str">
        <f>IF(E100=1,VLOOKUP(TableInvs[[#This Row],[Calc_V_Typ]],Tran_RevenuesList,3,FALSE),"")</f>
        <v/>
      </c>
      <c r="E100" s="31">
        <f t="shared" si="9"/>
        <v>0</v>
      </c>
      <c r="F100" s="9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  <c r="AC100" s="85"/>
      <c r="AD100" s="85"/>
      <c r="AE100" s="84"/>
      <c r="AF100" s="84"/>
      <c r="AG100" s="84"/>
      <c r="AH100" s="84"/>
      <c r="AI100" s="84"/>
      <c r="AJ100" s="84"/>
      <c r="AK100" s="84"/>
      <c r="AL100" s="84"/>
      <c r="AM100" s="84"/>
      <c r="AN100" s="84"/>
      <c r="AO100" s="84"/>
      <c r="AP100" s="84"/>
      <c r="AQ100" s="84"/>
      <c r="AR100" s="84"/>
      <c r="AS100" s="87">
        <f t="array" ref="AS100">IF(E100=1,SUM((ROW(Mf0)=ROW(AS100))*(Mf0+Mf1_+Mf2_+Mf3_+Mf4_+Mf5_+Mf6_+Mf7_+Mf8_+Mf9_+Mf10_+Mf11_+Mf12_+Mf13_+Mf14_+Mf15_+Mf16_+Mf17_+Mf18_+Mf19_+Mf20_+Mf21_+Mf22_+Mf23_+Mf24_+Mf25_+Mf26_+Mf27_+Mf28_+Mf29_+Mf30_+Mf31_+Mf32_+Mf33_+Mf34_+Mf35_+Mf36_+Mf37_)),0)</f>
        <v>0</v>
      </c>
      <c r="AU100" s="24" t="str">
        <f t="shared" si="10"/>
        <v/>
      </c>
      <c r="AV100" s="24" t="str">
        <f t="shared" si="13"/>
        <v/>
      </c>
      <c r="AW100" s="24" t="str">
        <f t="shared" si="11"/>
        <v/>
      </c>
      <c r="AX100" s="72">
        <f t="shared" si="14"/>
        <v>0</v>
      </c>
      <c r="AY100" s="24">
        <f t="shared" si="12"/>
        <v>0</v>
      </c>
      <c r="AZ100" s="24">
        <f t="array" ref="AZ100">IF(OR(RIGHT(B100,LEN(Par_LabelTravelTime))=Par_LabelTravelTime,B100="čas na ceste - fakturácia"),1,0)</f>
        <v>0</v>
      </c>
    </row>
    <row r="101" spans="2:52" s="24" customFormat="1" ht="12.75" x14ac:dyDescent="0.2">
      <c r="B101" s="97"/>
      <c r="C101" s="92"/>
      <c r="D101" s="31" t="str">
        <f>IF(E101=1,VLOOKUP(TableInvs[[#This Row],[Calc_V_Typ]],Tran_RevenuesList,3,FALSE),"")</f>
        <v/>
      </c>
      <c r="E101" s="31">
        <f t="shared" si="9"/>
        <v>0</v>
      </c>
      <c r="F101" s="9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5"/>
      <c r="AD101" s="85"/>
      <c r="AE101" s="84"/>
      <c r="AF101" s="84"/>
      <c r="AG101" s="84"/>
      <c r="AH101" s="84"/>
      <c r="AI101" s="84"/>
      <c r="AJ101" s="84"/>
      <c r="AK101" s="84"/>
      <c r="AL101" s="84"/>
      <c r="AM101" s="84"/>
      <c r="AN101" s="84"/>
      <c r="AO101" s="84"/>
      <c r="AP101" s="84"/>
      <c r="AQ101" s="84"/>
      <c r="AR101" s="84"/>
      <c r="AS101" s="87">
        <f t="array" ref="AS101">IF(E101=1,SUM((ROW(Mf0)=ROW(AS101))*(Mf0+Mf1_+Mf2_+Mf3_+Mf4_+Mf5_+Mf6_+Mf7_+Mf8_+Mf9_+Mf10_+Mf11_+Mf12_+Mf13_+Mf14_+Mf15_+Mf16_+Mf17_+Mf18_+Mf19_+Mf20_+Mf21_+Mf22_+Mf23_+Mf24_+Mf25_+Mf26_+Mf27_+Mf28_+Mf29_+Mf30_+Mf31_+Mf32_+Mf33_+Mf34_+Mf35_+Mf36_+Mf37_)),0)</f>
        <v>0</v>
      </c>
      <c r="AU101" s="24" t="str">
        <f t="shared" si="10"/>
        <v/>
      </c>
      <c r="AV101" s="24" t="str">
        <f t="shared" si="13"/>
        <v/>
      </c>
      <c r="AW101" s="24" t="str">
        <f t="shared" si="11"/>
        <v/>
      </c>
      <c r="AX101" s="72">
        <f t="shared" si="14"/>
        <v>0</v>
      </c>
      <c r="AY101" s="24">
        <f t="shared" si="12"/>
        <v>0</v>
      </c>
      <c r="AZ101" s="24">
        <f t="array" ref="AZ101">IF(OR(RIGHT(B101,LEN(Par_LabelTravelTime))=Par_LabelTravelTime,B101="čas na ceste - fakturácia"),1,0)</f>
        <v>0</v>
      </c>
    </row>
    <row r="102" spans="2:52" s="24" customFormat="1" ht="12.75" x14ac:dyDescent="0.2">
      <c r="B102" s="97"/>
      <c r="C102" s="92"/>
      <c r="D102" s="31" t="str">
        <f>IF(E102=1,VLOOKUP(TableInvs[[#This Row],[Calc_V_Typ]],Tran_RevenuesList,3,FALSE),"")</f>
        <v/>
      </c>
      <c r="E102" s="31">
        <f t="shared" si="9"/>
        <v>0</v>
      </c>
      <c r="F102" s="9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  <c r="W102" s="84"/>
      <c r="X102" s="84"/>
      <c r="Y102" s="84"/>
      <c r="Z102" s="84"/>
      <c r="AA102" s="84"/>
      <c r="AB102" s="84"/>
      <c r="AC102" s="85"/>
      <c r="AD102" s="85"/>
      <c r="AE102" s="84"/>
      <c r="AF102" s="84"/>
      <c r="AG102" s="84"/>
      <c r="AH102" s="84"/>
      <c r="AI102" s="84"/>
      <c r="AJ102" s="84"/>
      <c r="AK102" s="84"/>
      <c r="AL102" s="84"/>
      <c r="AM102" s="84"/>
      <c r="AN102" s="84"/>
      <c r="AO102" s="84"/>
      <c r="AP102" s="84"/>
      <c r="AQ102" s="84"/>
      <c r="AR102" s="84"/>
      <c r="AS102" s="87">
        <f t="array" ref="AS102">IF(E102=1,SUM((ROW(Mf0)=ROW(AS102))*(Mf0+Mf1_+Mf2_+Mf3_+Mf4_+Mf5_+Mf6_+Mf7_+Mf8_+Mf9_+Mf10_+Mf11_+Mf12_+Mf13_+Mf14_+Mf15_+Mf16_+Mf17_+Mf18_+Mf19_+Mf20_+Mf21_+Mf22_+Mf23_+Mf24_+Mf25_+Mf26_+Mf27_+Mf28_+Mf29_+Mf30_+Mf31_+Mf32_+Mf33_+Mf34_+Mf35_+Mf36_+Mf37_)),0)</f>
        <v>0</v>
      </c>
      <c r="AU102" s="24" t="str">
        <f t="shared" si="10"/>
        <v/>
      </c>
      <c r="AV102" s="24" t="str">
        <f t="shared" si="13"/>
        <v/>
      </c>
      <c r="AW102" s="24" t="str">
        <f t="shared" si="11"/>
        <v/>
      </c>
      <c r="AX102" s="72">
        <f t="shared" si="14"/>
        <v>0</v>
      </c>
      <c r="AY102" s="24">
        <f t="shared" si="12"/>
        <v>0</v>
      </c>
      <c r="AZ102" s="24">
        <f t="array" ref="AZ102">IF(OR(RIGHT(B102,LEN(Par_LabelTravelTime))=Par_LabelTravelTime,B102="čas na ceste - fakturácia"),1,0)</f>
        <v>0</v>
      </c>
    </row>
    <row r="103" spans="2:52" s="24" customFormat="1" ht="12.75" x14ac:dyDescent="0.2">
      <c r="B103" s="97"/>
      <c r="C103" s="92"/>
      <c r="D103" s="31" t="str">
        <f>IF(E103=1,VLOOKUP(TableInvs[[#This Row],[Calc_V_Typ]],Tran_RevenuesList,3,FALSE),"")</f>
        <v/>
      </c>
      <c r="E103" s="31">
        <f t="shared" si="9"/>
        <v>0</v>
      </c>
      <c r="F103" s="9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  <c r="AC103" s="85"/>
      <c r="AD103" s="85"/>
      <c r="AE103" s="84"/>
      <c r="AF103" s="84"/>
      <c r="AG103" s="84"/>
      <c r="AH103" s="84"/>
      <c r="AI103" s="84"/>
      <c r="AJ103" s="84"/>
      <c r="AK103" s="84"/>
      <c r="AL103" s="84"/>
      <c r="AM103" s="84"/>
      <c r="AN103" s="84"/>
      <c r="AO103" s="84"/>
      <c r="AP103" s="84"/>
      <c r="AQ103" s="84"/>
      <c r="AR103" s="84"/>
      <c r="AS103" s="87">
        <f t="array" ref="AS103">IF(E103=1,SUM((ROW(Mf0)=ROW(AS103))*(Mf0+Mf1_+Mf2_+Mf3_+Mf4_+Mf5_+Mf6_+Mf7_+Mf8_+Mf9_+Mf10_+Mf11_+Mf12_+Mf13_+Mf14_+Mf15_+Mf16_+Mf17_+Mf18_+Mf19_+Mf20_+Mf21_+Mf22_+Mf23_+Mf24_+Mf25_+Mf26_+Mf27_+Mf28_+Mf29_+Mf30_+Mf31_+Mf32_+Mf33_+Mf34_+Mf35_+Mf36_+Mf37_)),0)</f>
        <v>0</v>
      </c>
      <c r="AU103" s="24" t="str">
        <f t="shared" si="10"/>
        <v/>
      </c>
      <c r="AV103" s="24" t="str">
        <f t="shared" si="13"/>
        <v/>
      </c>
      <c r="AW103" s="24" t="str">
        <f t="shared" si="11"/>
        <v/>
      </c>
      <c r="AX103" s="72">
        <f t="shared" si="14"/>
        <v>0</v>
      </c>
      <c r="AY103" s="24">
        <f t="shared" si="12"/>
        <v>0</v>
      </c>
      <c r="AZ103" s="24">
        <f t="array" ref="AZ103">IF(OR(RIGHT(B103,LEN(Par_LabelTravelTime))=Par_LabelTravelTime,B103="čas na ceste - fakturácia"),1,0)</f>
        <v>0</v>
      </c>
    </row>
    <row r="104" spans="2:52" s="24" customFormat="1" ht="12.75" x14ac:dyDescent="0.2">
      <c r="B104" s="97"/>
      <c r="C104" s="92"/>
      <c r="D104" s="31" t="str">
        <f>IF(E104=1,VLOOKUP(TableInvs[[#This Row],[Calc_V_Typ]],Tran_RevenuesList,3,FALSE),"")</f>
        <v/>
      </c>
      <c r="E104" s="31">
        <f t="shared" si="9"/>
        <v>0</v>
      </c>
      <c r="F104" s="9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  <c r="AC104" s="85"/>
      <c r="AD104" s="85"/>
      <c r="AE104" s="84"/>
      <c r="AF104" s="84"/>
      <c r="AG104" s="84"/>
      <c r="AH104" s="84"/>
      <c r="AI104" s="84"/>
      <c r="AJ104" s="84"/>
      <c r="AK104" s="84"/>
      <c r="AL104" s="84"/>
      <c r="AM104" s="84"/>
      <c r="AN104" s="84"/>
      <c r="AO104" s="84"/>
      <c r="AP104" s="84"/>
      <c r="AQ104" s="84"/>
      <c r="AR104" s="84"/>
      <c r="AS104" s="87">
        <f t="array" ref="AS104">IF(E104=1,SUM((ROW(Mf0)=ROW(AS104))*(Mf0+Mf1_+Mf2_+Mf3_+Mf4_+Mf5_+Mf6_+Mf7_+Mf8_+Mf9_+Mf10_+Mf11_+Mf12_+Mf13_+Mf14_+Mf15_+Mf16_+Mf17_+Mf18_+Mf19_+Mf20_+Mf21_+Mf22_+Mf23_+Mf24_+Mf25_+Mf26_+Mf27_+Mf28_+Mf29_+Mf30_+Mf31_+Mf32_+Mf33_+Mf34_+Mf35_+Mf36_+Mf37_)),0)</f>
        <v>0</v>
      </c>
      <c r="AU104" s="24" t="str">
        <f t="shared" si="10"/>
        <v/>
      </c>
      <c r="AV104" s="24" t="str">
        <f t="shared" si="13"/>
        <v/>
      </c>
      <c r="AW104" s="24" t="str">
        <f t="shared" si="11"/>
        <v/>
      </c>
      <c r="AX104" s="72">
        <f t="shared" si="14"/>
        <v>0</v>
      </c>
      <c r="AY104" s="24">
        <f t="shared" si="12"/>
        <v>0</v>
      </c>
      <c r="AZ104" s="24">
        <f t="array" ref="AZ104">IF(OR(RIGHT(B104,LEN(Par_LabelTravelTime))=Par_LabelTravelTime,B104="čas na ceste - fakturácia"),1,0)</f>
        <v>0</v>
      </c>
    </row>
    <row r="105" spans="2:52" s="24" customFormat="1" ht="12.75" x14ac:dyDescent="0.2">
      <c r="B105" s="97"/>
      <c r="C105" s="92"/>
      <c r="D105" s="31" t="str">
        <f>IF(E105=1,VLOOKUP(TableInvs[[#This Row],[Calc_V_Typ]],Tran_RevenuesList,3,FALSE),"")</f>
        <v/>
      </c>
      <c r="E105" s="31">
        <f t="shared" si="9"/>
        <v>0</v>
      </c>
      <c r="F105" s="9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  <c r="AC105" s="85"/>
      <c r="AD105" s="85"/>
      <c r="AE105" s="84"/>
      <c r="AF105" s="84"/>
      <c r="AG105" s="84"/>
      <c r="AH105" s="84"/>
      <c r="AI105" s="84"/>
      <c r="AJ105" s="84"/>
      <c r="AK105" s="84"/>
      <c r="AL105" s="84"/>
      <c r="AM105" s="84"/>
      <c r="AN105" s="84"/>
      <c r="AO105" s="84"/>
      <c r="AP105" s="84"/>
      <c r="AQ105" s="84"/>
      <c r="AR105" s="84"/>
      <c r="AS105" s="87">
        <f t="array" ref="AS105">IF(E105=1,SUM((ROW(Mf0)=ROW(AS105))*(Mf0+Mf1_+Mf2_+Mf3_+Mf4_+Mf5_+Mf6_+Mf7_+Mf8_+Mf9_+Mf10_+Mf11_+Mf12_+Mf13_+Mf14_+Mf15_+Mf16_+Mf17_+Mf18_+Mf19_+Mf20_+Mf21_+Mf22_+Mf23_+Mf24_+Mf25_+Mf26_+Mf27_+Mf28_+Mf29_+Mf30_+Mf31_+Mf32_+Mf33_+Mf34_+Mf35_+Mf36_+Mf37_)),0)</f>
        <v>0</v>
      </c>
      <c r="AU105" s="24" t="str">
        <f t="shared" si="10"/>
        <v/>
      </c>
      <c r="AV105" s="24" t="str">
        <f t="shared" si="13"/>
        <v/>
      </c>
      <c r="AW105" s="24" t="str">
        <f t="shared" si="11"/>
        <v/>
      </c>
      <c r="AX105" s="72">
        <f t="shared" si="14"/>
        <v>0</v>
      </c>
      <c r="AY105" s="24">
        <f t="shared" si="12"/>
        <v>0</v>
      </c>
      <c r="AZ105" s="24">
        <f t="array" ref="AZ105">IF(OR(RIGHT(B105,LEN(Par_LabelTravelTime))=Par_LabelTravelTime,B105="čas na ceste - fakturácia"),1,0)</f>
        <v>0</v>
      </c>
    </row>
    <row r="106" spans="2:52" s="24" customFormat="1" ht="12.75" x14ac:dyDescent="0.2">
      <c r="B106" s="97"/>
      <c r="C106" s="92"/>
      <c r="D106" s="31" t="str">
        <f>IF(E106=1,VLOOKUP(TableInvs[[#This Row],[Calc_V_Typ]],Tran_RevenuesList,3,FALSE),"")</f>
        <v/>
      </c>
      <c r="E106" s="31">
        <f t="shared" si="9"/>
        <v>0</v>
      </c>
      <c r="F106" s="9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  <c r="W106" s="84"/>
      <c r="X106" s="84"/>
      <c r="Y106" s="84"/>
      <c r="Z106" s="84"/>
      <c r="AA106" s="84"/>
      <c r="AB106" s="84"/>
      <c r="AC106" s="85"/>
      <c r="AD106" s="85"/>
      <c r="AE106" s="84"/>
      <c r="AF106" s="84"/>
      <c r="AG106" s="84"/>
      <c r="AH106" s="84"/>
      <c r="AI106" s="84"/>
      <c r="AJ106" s="84"/>
      <c r="AK106" s="84"/>
      <c r="AL106" s="84"/>
      <c r="AM106" s="84"/>
      <c r="AN106" s="84"/>
      <c r="AO106" s="84"/>
      <c r="AP106" s="84"/>
      <c r="AQ106" s="84"/>
      <c r="AR106" s="84"/>
      <c r="AS106" s="87">
        <f t="array" ref="AS106">IF(E106=1,SUM((ROW(Mf0)=ROW(AS106))*(Mf0+Mf1_+Mf2_+Mf3_+Mf4_+Mf5_+Mf6_+Mf7_+Mf8_+Mf9_+Mf10_+Mf11_+Mf12_+Mf13_+Mf14_+Mf15_+Mf16_+Mf17_+Mf18_+Mf19_+Mf20_+Mf21_+Mf22_+Mf23_+Mf24_+Mf25_+Mf26_+Mf27_+Mf28_+Mf29_+Mf30_+Mf31_+Mf32_+Mf33_+Mf34_+Mf35_+Mf36_+Mf37_)),0)</f>
        <v>0</v>
      </c>
      <c r="AU106" s="24" t="str">
        <f t="shared" si="10"/>
        <v/>
      </c>
      <c r="AV106" s="24" t="str">
        <f t="shared" si="13"/>
        <v/>
      </c>
      <c r="AW106" s="24" t="str">
        <f t="shared" si="11"/>
        <v/>
      </c>
      <c r="AX106" s="72">
        <f t="shared" si="14"/>
        <v>0</v>
      </c>
      <c r="AY106" s="24">
        <f t="shared" si="12"/>
        <v>0</v>
      </c>
      <c r="AZ106" s="24">
        <f t="array" ref="AZ106">IF(OR(RIGHT(B106,LEN(Par_LabelTravelTime))=Par_LabelTravelTime,B106="čas na ceste - fakturácia"),1,0)</f>
        <v>0</v>
      </c>
    </row>
    <row r="107" spans="2:52" s="24" customFormat="1" ht="12.75" x14ac:dyDescent="0.2">
      <c r="B107" s="97"/>
      <c r="C107" s="92"/>
      <c r="D107" s="31" t="str">
        <f>IF(E107=1,VLOOKUP(TableInvs[[#This Row],[Calc_V_Typ]],Tran_RevenuesList,3,FALSE),"")</f>
        <v/>
      </c>
      <c r="E107" s="31">
        <f t="shared" si="9"/>
        <v>0</v>
      </c>
      <c r="F107" s="9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  <c r="W107" s="84"/>
      <c r="X107" s="84"/>
      <c r="Y107" s="84"/>
      <c r="Z107" s="84"/>
      <c r="AA107" s="84"/>
      <c r="AB107" s="84"/>
      <c r="AC107" s="85"/>
      <c r="AD107" s="85"/>
      <c r="AE107" s="84"/>
      <c r="AF107" s="84"/>
      <c r="AG107" s="84"/>
      <c r="AH107" s="84"/>
      <c r="AI107" s="84"/>
      <c r="AJ107" s="84"/>
      <c r="AK107" s="84"/>
      <c r="AL107" s="84"/>
      <c r="AM107" s="84"/>
      <c r="AN107" s="84"/>
      <c r="AO107" s="84"/>
      <c r="AP107" s="84"/>
      <c r="AQ107" s="84"/>
      <c r="AR107" s="84"/>
      <c r="AS107" s="87">
        <f t="array" ref="AS107">IF(E107=1,SUM((ROW(Mf0)=ROW(AS107))*(Mf0+Mf1_+Mf2_+Mf3_+Mf4_+Mf5_+Mf6_+Mf7_+Mf8_+Mf9_+Mf10_+Mf11_+Mf12_+Mf13_+Mf14_+Mf15_+Mf16_+Mf17_+Mf18_+Mf19_+Mf20_+Mf21_+Mf22_+Mf23_+Mf24_+Mf25_+Mf26_+Mf27_+Mf28_+Mf29_+Mf30_+Mf31_+Mf32_+Mf33_+Mf34_+Mf35_+Mf36_+Mf37_)),0)</f>
        <v>0</v>
      </c>
      <c r="AU107" s="24" t="str">
        <f t="shared" si="10"/>
        <v/>
      </c>
      <c r="AV107" s="24" t="str">
        <f t="shared" si="13"/>
        <v/>
      </c>
      <c r="AW107" s="24" t="str">
        <f t="shared" si="11"/>
        <v/>
      </c>
      <c r="AX107" s="72">
        <f t="shared" si="14"/>
        <v>0</v>
      </c>
      <c r="AY107" s="24">
        <f t="shared" si="12"/>
        <v>0</v>
      </c>
      <c r="AZ107" s="24">
        <f t="array" ref="AZ107">IF(OR(RIGHT(B107,LEN(Par_LabelTravelTime))=Par_LabelTravelTime,B107="čas na ceste - fakturácia"),1,0)</f>
        <v>0</v>
      </c>
    </row>
    <row r="108" spans="2:52" s="24" customFormat="1" ht="12.75" x14ac:dyDescent="0.2">
      <c r="B108" s="97"/>
      <c r="C108" s="92"/>
      <c r="D108" s="31" t="str">
        <f>IF(E108=1,VLOOKUP(TableInvs[[#This Row],[Calc_V_Typ]],Tran_RevenuesList,3,FALSE),"")</f>
        <v/>
      </c>
      <c r="E108" s="31">
        <f t="shared" si="9"/>
        <v>0</v>
      </c>
      <c r="F108" s="9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  <c r="W108" s="84"/>
      <c r="X108" s="84"/>
      <c r="Y108" s="84"/>
      <c r="Z108" s="84"/>
      <c r="AA108" s="84"/>
      <c r="AB108" s="84"/>
      <c r="AC108" s="85"/>
      <c r="AD108" s="85"/>
      <c r="AE108" s="84"/>
      <c r="AF108" s="84"/>
      <c r="AG108" s="84"/>
      <c r="AH108" s="84"/>
      <c r="AI108" s="84"/>
      <c r="AJ108" s="84"/>
      <c r="AK108" s="84"/>
      <c r="AL108" s="84"/>
      <c r="AM108" s="84"/>
      <c r="AN108" s="84"/>
      <c r="AO108" s="84"/>
      <c r="AP108" s="84"/>
      <c r="AQ108" s="84"/>
      <c r="AR108" s="84"/>
      <c r="AS108" s="87">
        <f t="array" ref="AS108">IF(E108=1,SUM((ROW(Mf0)=ROW(AS108))*(Mf0+Mf1_+Mf2_+Mf3_+Mf4_+Mf5_+Mf6_+Mf7_+Mf8_+Mf9_+Mf10_+Mf11_+Mf12_+Mf13_+Mf14_+Mf15_+Mf16_+Mf17_+Mf18_+Mf19_+Mf20_+Mf21_+Mf22_+Mf23_+Mf24_+Mf25_+Mf26_+Mf27_+Mf28_+Mf29_+Mf30_+Mf31_+Mf32_+Mf33_+Mf34_+Mf35_+Mf36_+Mf37_)),0)</f>
        <v>0</v>
      </c>
      <c r="AU108" s="24" t="str">
        <f t="shared" si="10"/>
        <v/>
      </c>
      <c r="AV108" s="24" t="str">
        <f t="shared" si="13"/>
        <v/>
      </c>
      <c r="AW108" s="24" t="str">
        <f t="shared" si="11"/>
        <v/>
      </c>
      <c r="AX108" s="72">
        <f t="shared" si="14"/>
        <v>0</v>
      </c>
      <c r="AY108" s="24">
        <f t="shared" si="12"/>
        <v>0</v>
      </c>
      <c r="AZ108" s="24">
        <f t="array" ref="AZ108">IF(OR(RIGHT(B108,LEN(Par_LabelTravelTime))=Par_LabelTravelTime,B108="čas na ceste - fakturácia"),1,0)</f>
        <v>0</v>
      </c>
    </row>
    <row r="109" spans="2:52" s="24" customFormat="1" ht="12.75" x14ac:dyDescent="0.2">
      <c r="B109" s="97"/>
      <c r="C109" s="92"/>
      <c r="D109" s="31" t="str">
        <f>IF(E109=1,VLOOKUP(TableInvs[[#This Row],[Calc_V_Typ]],Tran_RevenuesList,3,FALSE),"")</f>
        <v/>
      </c>
      <c r="E109" s="31">
        <f t="shared" si="9"/>
        <v>0</v>
      </c>
      <c r="F109" s="9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  <c r="S109" s="84"/>
      <c r="T109" s="84"/>
      <c r="U109" s="84"/>
      <c r="V109" s="84"/>
      <c r="W109" s="84"/>
      <c r="X109" s="84"/>
      <c r="Y109" s="84"/>
      <c r="Z109" s="84"/>
      <c r="AA109" s="84"/>
      <c r="AB109" s="84"/>
      <c r="AC109" s="85"/>
      <c r="AD109" s="85"/>
      <c r="AE109" s="84"/>
      <c r="AF109" s="84"/>
      <c r="AG109" s="84"/>
      <c r="AH109" s="84"/>
      <c r="AI109" s="84"/>
      <c r="AJ109" s="84"/>
      <c r="AK109" s="84"/>
      <c r="AL109" s="84"/>
      <c r="AM109" s="84"/>
      <c r="AN109" s="84"/>
      <c r="AO109" s="84"/>
      <c r="AP109" s="84"/>
      <c r="AQ109" s="84"/>
      <c r="AR109" s="84"/>
      <c r="AS109" s="87">
        <f t="array" ref="AS109">IF(E109=1,SUM((ROW(Mf0)=ROW(AS109))*(Mf0+Mf1_+Mf2_+Mf3_+Mf4_+Mf5_+Mf6_+Mf7_+Mf8_+Mf9_+Mf10_+Mf11_+Mf12_+Mf13_+Mf14_+Mf15_+Mf16_+Mf17_+Mf18_+Mf19_+Mf20_+Mf21_+Mf22_+Mf23_+Mf24_+Mf25_+Mf26_+Mf27_+Mf28_+Mf29_+Mf30_+Mf31_+Mf32_+Mf33_+Mf34_+Mf35_+Mf36_+Mf37_)),0)</f>
        <v>0</v>
      </c>
      <c r="AU109" s="24" t="str">
        <f t="shared" si="10"/>
        <v/>
      </c>
      <c r="AV109" s="24" t="str">
        <f t="shared" si="13"/>
        <v/>
      </c>
      <c r="AW109" s="24" t="str">
        <f t="shared" si="11"/>
        <v/>
      </c>
      <c r="AX109" s="72">
        <f t="shared" si="14"/>
        <v>0</v>
      </c>
      <c r="AY109" s="24">
        <f t="shared" si="12"/>
        <v>0</v>
      </c>
      <c r="AZ109" s="24">
        <f t="array" ref="AZ109">IF(OR(RIGHT(B109,LEN(Par_LabelTravelTime))=Par_LabelTravelTime,B109="čas na ceste - fakturácia"),1,0)</f>
        <v>0</v>
      </c>
    </row>
    <row r="110" spans="2:52" s="24" customFormat="1" ht="12.75" x14ac:dyDescent="0.2">
      <c r="B110" s="97"/>
      <c r="C110" s="92"/>
      <c r="D110" s="31" t="str">
        <f>IF(E110=1,VLOOKUP(TableInvs[[#This Row],[Calc_V_Typ]],Tran_RevenuesList,3,FALSE),"")</f>
        <v/>
      </c>
      <c r="E110" s="31">
        <f t="shared" si="9"/>
        <v>0</v>
      </c>
      <c r="F110" s="9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4"/>
      <c r="Z110" s="84"/>
      <c r="AA110" s="84"/>
      <c r="AB110" s="84"/>
      <c r="AC110" s="85"/>
      <c r="AD110" s="85"/>
      <c r="AE110" s="84"/>
      <c r="AF110" s="84"/>
      <c r="AG110" s="84"/>
      <c r="AH110" s="84"/>
      <c r="AI110" s="84"/>
      <c r="AJ110" s="84"/>
      <c r="AK110" s="84"/>
      <c r="AL110" s="84"/>
      <c r="AM110" s="84"/>
      <c r="AN110" s="84"/>
      <c r="AO110" s="84"/>
      <c r="AP110" s="84"/>
      <c r="AQ110" s="84"/>
      <c r="AR110" s="84"/>
      <c r="AS110" s="87">
        <f t="array" ref="AS110">IF(E110=1,SUM((ROW(Mf0)=ROW(AS110))*(Mf0+Mf1_+Mf2_+Mf3_+Mf4_+Mf5_+Mf6_+Mf7_+Mf8_+Mf9_+Mf10_+Mf11_+Mf12_+Mf13_+Mf14_+Mf15_+Mf16_+Mf17_+Mf18_+Mf19_+Mf20_+Mf21_+Mf22_+Mf23_+Mf24_+Mf25_+Mf26_+Mf27_+Mf28_+Mf29_+Mf30_+Mf31_+Mf32_+Mf33_+Mf34_+Mf35_+Mf36_+Mf37_)),0)</f>
        <v>0</v>
      </c>
      <c r="AU110" s="24" t="str">
        <f t="shared" si="10"/>
        <v/>
      </c>
      <c r="AV110" s="24" t="str">
        <f t="shared" si="13"/>
        <v/>
      </c>
      <c r="AW110" s="24" t="str">
        <f t="shared" si="11"/>
        <v/>
      </c>
      <c r="AX110" s="72">
        <f t="shared" si="14"/>
        <v>0</v>
      </c>
      <c r="AY110" s="24">
        <f t="shared" si="12"/>
        <v>0</v>
      </c>
      <c r="AZ110" s="24">
        <f t="array" ref="AZ110">IF(OR(RIGHT(B110,LEN(Par_LabelTravelTime))=Par_LabelTravelTime,B110="čas na ceste - fakturácia"),1,0)</f>
        <v>0</v>
      </c>
    </row>
    <row r="111" spans="2:52" s="24" customFormat="1" ht="12.75" x14ac:dyDescent="0.2">
      <c r="B111" s="97"/>
      <c r="C111" s="92"/>
      <c r="D111" s="31" t="str">
        <f>IF(E111=1,VLOOKUP(TableInvs[[#This Row],[Calc_V_Typ]],Tran_RevenuesList,3,FALSE),"")</f>
        <v/>
      </c>
      <c r="E111" s="31">
        <f t="shared" si="9"/>
        <v>0</v>
      </c>
      <c r="F111" s="9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  <c r="S111" s="84"/>
      <c r="T111" s="84"/>
      <c r="U111" s="84"/>
      <c r="V111" s="84"/>
      <c r="W111" s="84"/>
      <c r="X111" s="84"/>
      <c r="Y111" s="84"/>
      <c r="Z111" s="84"/>
      <c r="AA111" s="84"/>
      <c r="AB111" s="84"/>
      <c r="AC111" s="85"/>
      <c r="AD111" s="85"/>
      <c r="AE111" s="84"/>
      <c r="AF111" s="84"/>
      <c r="AG111" s="84"/>
      <c r="AH111" s="84"/>
      <c r="AI111" s="84"/>
      <c r="AJ111" s="84"/>
      <c r="AK111" s="84"/>
      <c r="AL111" s="84"/>
      <c r="AM111" s="84"/>
      <c r="AN111" s="84"/>
      <c r="AO111" s="84"/>
      <c r="AP111" s="84"/>
      <c r="AQ111" s="84"/>
      <c r="AR111" s="84"/>
      <c r="AS111" s="87">
        <f t="array" ref="AS111">IF(E111=1,SUM((ROW(Mf0)=ROW(AS111))*(Mf0+Mf1_+Mf2_+Mf3_+Mf4_+Mf5_+Mf6_+Mf7_+Mf8_+Mf9_+Mf10_+Mf11_+Mf12_+Mf13_+Mf14_+Mf15_+Mf16_+Mf17_+Mf18_+Mf19_+Mf20_+Mf21_+Mf22_+Mf23_+Mf24_+Mf25_+Mf26_+Mf27_+Mf28_+Mf29_+Mf30_+Mf31_+Mf32_+Mf33_+Mf34_+Mf35_+Mf36_+Mf37_)),0)</f>
        <v>0</v>
      </c>
      <c r="AU111" s="24" t="str">
        <f t="shared" si="10"/>
        <v/>
      </c>
      <c r="AV111" s="24" t="str">
        <f t="shared" si="13"/>
        <v/>
      </c>
      <c r="AW111" s="24" t="str">
        <f t="shared" si="11"/>
        <v/>
      </c>
      <c r="AX111" s="72">
        <f t="shared" si="14"/>
        <v>0</v>
      </c>
      <c r="AY111" s="24">
        <f t="shared" si="12"/>
        <v>0</v>
      </c>
      <c r="AZ111" s="24">
        <f t="array" ref="AZ111">IF(OR(RIGHT(B111,LEN(Par_LabelTravelTime))=Par_LabelTravelTime,B111="čas na ceste - fakturácia"),1,0)</f>
        <v>0</v>
      </c>
    </row>
    <row r="112" spans="2:52" s="24" customFormat="1" ht="12.75" x14ac:dyDescent="0.2">
      <c r="B112" s="97"/>
      <c r="C112" s="92"/>
      <c r="D112" s="31" t="str">
        <f>IF(E112=1,VLOOKUP(TableInvs[[#This Row],[Calc_V_Typ]],Tran_RevenuesList,3,FALSE),"")</f>
        <v/>
      </c>
      <c r="E112" s="31">
        <f t="shared" si="9"/>
        <v>0</v>
      </c>
      <c r="F112" s="94"/>
      <c r="G112" s="84"/>
      <c r="H112" s="84"/>
      <c r="I112" s="84"/>
      <c r="J112" s="84"/>
      <c r="K112" s="84"/>
      <c r="L112" s="84"/>
      <c r="M112" s="84"/>
      <c r="N112" s="84"/>
      <c r="O112" s="84"/>
      <c r="P112" s="84"/>
      <c r="Q112" s="84"/>
      <c r="R112" s="84"/>
      <c r="S112" s="84"/>
      <c r="T112" s="84"/>
      <c r="U112" s="84"/>
      <c r="V112" s="84"/>
      <c r="W112" s="84"/>
      <c r="X112" s="84"/>
      <c r="Y112" s="84"/>
      <c r="Z112" s="84"/>
      <c r="AA112" s="84"/>
      <c r="AB112" s="84"/>
      <c r="AC112" s="85"/>
      <c r="AD112" s="85"/>
      <c r="AE112" s="84"/>
      <c r="AF112" s="84"/>
      <c r="AG112" s="84"/>
      <c r="AH112" s="84"/>
      <c r="AI112" s="84"/>
      <c r="AJ112" s="84"/>
      <c r="AK112" s="84"/>
      <c r="AL112" s="84"/>
      <c r="AM112" s="84"/>
      <c r="AN112" s="84"/>
      <c r="AO112" s="84"/>
      <c r="AP112" s="84"/>
      <c r="AQ112" s="84"/>
      <c r="AR112" s="84"/>
      <c r="AS112" s="87">
        <f t="array" ref="AS112">IF(E112=1,SUM((ROW(Mf0)=ROW(AS112))*(Mf0+Mf1_+Mf2_+Mf3_+Mf4_+Mf5_+Mf6_+Mf7_+Mf8_+Mf9_+Mf10_+Mf11_+Mf12_+Mf13_+Mf14_+Mf15_+Mf16_+Mf17_+Mf18_+Mf19_+Mf20_+Mf21_+Mf22_+Mf23_+Mf24_+Mf25_+Mf26_+Mf27_+Mf28_+Mf29_+Mf30_+Mf31_+Mf32_+Mf33_+Mf34_+Mf35_+Mf36_+Mf37_)),0)</f>
        <v>0</v>
      </c>
      <c r="AU112" s="24" t="str">
        <f t="shared" si="10"/>
        <v/>
      </c>
      <c r="AV112" s="24" t="str">
        <f t="shared" si="13"/>
        <v/>
      </c>
      <c r="AW112" s="24" t="str">
        <f t="shared" si="11"/>
        <v/>
      </c>
      <c r="AX112" s="72">
        <f t="shared" si="14"/>
        <v>0</v>
      </c>
      <c r="AY112" s="24">
        <f t="shared" si="12"/>
        <v>0</v>
      </c>
      <c r="AZ112" s="24">
        <f t="array" ref="AZ112">IF(OR(RIGHT(B112,LEN(Par_LabelTravelTime))=Par_LabelTravelTime,B112="čas na ceste - fakturácia"),1,0)</f>
        <v>0</v>
      </c>
    </row>
    <row r="113" spans="2:52" s="24" customFormat="1" ht="12.75" x14ac:dyDescent="0.2">
      <c r="B113" s="97"/>
      <c r="C113" s="92"/>
      <c r="D113" s="31" t="str">
        <f>IF(E113=1,VLOOKUP(TableInvs[[#This Row],[Calc_V_Typ]],Tran_RevenuesList,3,FALSE),"")</f>
        <v/>
      </c>
      <c r="E113" s="31">
        <f t="shared" si="9"/>
        <v>0</v>
      </c>
      <c r="F113" s="94"/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  <c r="W113" s="84"/>
      <c r="X113" s="84"/>
      <c r="Y113" s="84"/>
      <c r="Z113" s="84"/>
      <c r="AA113" s="84"/>
      <c r="AB113" s="84"/>
      <c r="AC113" s="85"/>
      <c r="AD113" s="85"/>
      <c r="AE113" s="84"/>
      <c r="AF113" s="84"/>
      <c r="AG113" s="84"/>
      <c r="AH113" s="84"/>
      <c r="AI113" s="84"/>
      <c r="AJ113" s="84"/>
      <c r="AK113" s="84"/>
      <c r="AL113" s="84"/>
      <c r="AM113" s="84"/>
      <c r="AN113" s="84"/>
      <c r="AO113" s="84"/>
      <c r="AP113" s="84"/>
      <c r="AQ113" s="84"/>
      <c r="AR113" s="84"/>
      <c r="AS113" s="87">
        <f t="array" ref="AS113">IF(E113=1,SUM((ROW(Mf0)=ROW(AS113))*(Mf0+Mf1_+Mf2_+Mf3_+Mf4_+Mf5_+Mf6_+Mf7_+Mf8_+Mf9_+Mf10_+Mf11_+Mf12_+Mf13_+Mf14_+Mf15_+Mf16_+Mf17_+Mf18_+Mf19_+Mf20_+Mf21_+Mf22_+Mf23_+Mf24_+Mf25_+Mf26_+Mf27_+Mf28_+Mf29_+Mf30_+Mf31_+Mf32_+Mf33_+Mf34_+Mf35_+Mf36_+Mf37_)),0)</f>
        <v>0</v>
      </c>
      <c r="AU113" s="24" t="str">
        <f t="shared" si="10"/>
        <v/>
      </c>
      <c r="AV113" s="24" t="str">
        <f t="shared" ref="AV113:AV134" si="15">IF(E113=1,D113,"")</f>
        <v/>
      </c>
      <c r="AW113" s="24" t="str">
        <f t="shared" si="11"/>
        <v/>
      </c>
      <c r="AX113" s="72">
        <f t="shared" ref="AX113:AX134" si="16">IF(E113=1,AS113,0)</f>
        <v>0</v>
      </c>
      <c r="AY113" s="24">
        <f t="shared" si="12"/>
        <v>0</v>
      </c>
      <c r="AZ113" s="24">
        <f t="array" ref="AZ113">IF(OR(RIGHT(B113,LEN(Par_LabelTravelTime))=Par_LabelTravelTime,B113="čas na ceste - fakturácia"),1,0)</f>
        <v>0</v>
      </c>
    </row>
    <row r="114" spans="2:52" s="24" customFormat="1" ht="12.75" x14ac:dyDescent="0.2">
      <c r="B114" s="97"/>
      <c r="C114" s="92"/>
      <c r="D114" s="31" t="str">
        <f>IF(E114=1,VLOOKUP(TableInvs[[#This Row],[Calc_V_Typ]],Tran_RevenuesList,3,FALSE),"")</f>
        <v/>
      </c>
      <c r="E114" s="31">
        <f t="shared" si="9"/>
        <v>0</v>
      </c>
      <c r="F114" s="9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Z114" s="84"/>
      <c r="AA114" s="84"/>
      <c r="AB114" s="84"/>
      <c r="AC114" s="85"/>
      <c r="AD114" s="85"/>
      <c r="AE114" s="84"/>
      <c r="AF114" s="84"/>
      <c r="AG114" s="84"/>
      <c r="AH114" s="84"/>
      <c r="AI114" s="84"/>
      <c r="AJ114" s="84"/>
      <c r="AK114" s="84"/>
      <c r="AL114" s="84"/>
      <c r="AM114" s="84"/>
      <c r="AN114" s="84"/>
      <c r="AO114" s="84"/>
      <c r="AP114" s="84"/>
      <c r="AQ114" s="84"/>
      <c r="AR114" s="84"/>
      <c r="AS114" s="87">
        <f t="array" ref="AS114">IF(E114=1,SUM((ROW(Mf0)=ROW(AS114))*(Mf0+Mf1_+Mf2_+Mf3_+Mf4_+Mf5_+Mf6_+Mf7_+Mf8_+Mf9_+Mf10_+Mf11_+Mf12_+Mf13_+Mf14_+Mf15_+Mf16_+Mf17_+Mf18_+Mf19_+Mf20_+Mf21_+Mf22_+Mf23_+Mf24_+Mf25_+Mf26_+Mf27_+Mf28_+Mf29_+Mf30_+Mf31_+Mf32_+Mf33_+Mf34_+Mf35_+Mf36_+Mf37_)),0)</f>
        <v>0</v>
      </c>
      <c r="AU114" s="24" t="str">
        <f t="shared" si="10"/>
        <v/>
      </c>
      <c r="AV114" s="24" t="str">
        <f t="shared" si="15"/>
        <v/>
      </c>
      <c r="AW114" s="24" t="str">
        <f t="shared" si="11"/>
        <v/>
      </c>
      <c r="AX114" s="72">
        <f t="shared" si="16"/>
        <v>0</v>
      </c>
      <c r="AY114" s="24">
        <f t="shared" si="12"/>
        <v>0</v>
      </c>
      <c r="AZ114" s="24">
        <f t="array" ref="AZ114">IF(OR(RIGHT(B114,LEN(Par_LabelTravelTime))=Par_LabelTravelTime,B114="čas na ceste - fakturácia"),1,0)</f>
        <v>0</v>
      </c>
    </row>
    <row r="115" spans="2:52" s="24" customFormat="1" ht="12.75" x14ac:dyDescent="0.2">
      <c r="B115" s="97"/>
      <c r="C115" s="92"/>
      <c r="D115" s="31" t="str">
        <f>IF(E115=1,VLOOKUP(TableInvs[[#This Row],[Calc_V_Typ]],Tran_RevenuesList,3,FALSE),"")</f>
        <v/>
      </c>
      <c r="E115" s="31">
        <f t="shared" si="9"/>
        <v>0</v>
      </c>
      <c r="F115" s="94"/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4"/>
      <c r="Z115" s="84"/>
      <c r="AA115" s="84"/>
      <c r="AB115" s="84"/>
      <c r="AC115" s="85"/>
      <c r="AD115" s="85"/>
      <c r="AE115" s="84"/>
      <c r="AF115" s="84"/>
      <c r="AG115" s="84"/>
      <c r="AH115" s="84"/>
      <c r="AI115" s="84"/>
      <c r="AJ115" s="84"/>
      <c r="AK115" s="84"/>
      <c r="AL115" s="84"/>
      <c r="AM115" s="84"/>
      <c r="AN115" s="84"/>
      <c r="AO115" s="84"/>
      <c r="AP115" s="84"/>
      <c r="AQ115" s="84"/>
      <c r="AR115" s="84"/>
      <c r="AS115" s="87">
        <f t="array" ref="AS115">IF(E115=1,SUM((ROW(Mf0)=ROW(AS115))*(Mf0+Mf1_+Mf2_+Mf3_+Mf4_+Mf5_+Mf6_+Mf7_+Mf8_+Mf9_+Mf10_+Mf11_+Mf12_+Mf13_+Mf14_+Mf15_+Mf16_+Mf17_+Mf18_+Mf19_+Mf20_+Mf21_+Mf22_+Mf23_+Mf24_+Mf25_+Mf26_+Mf27_+Mf28_+Mf29_+Mf30_+Mf31_+Mf32_+Mf33_+Mf34_+Mf35_+Mf36_+Mf37_)),0)</f>
        <v>0</v>
      </c>
      <c r="AU115" s="24" t="str">
        <f t="shared" si="10"/>
        <v/>
      </c>
      <c r="AV115" s="24" t="str">
        <f t="shared" si="15"/>
        <v/>
      </c>
      <c r="AW115" s="24" t="str">
        <f t="shared" si="11"/>
        <v/>
      </c>
      <c r="AX115" s="72">
        <f t="shared" si="16"/>
        <v>0</v>
      </c>
      <c r="AY115" s="24">
        <f t="shared" si="12"/>
        <v>0</v>
      </c>
      <c r="AZ115" s="24">
        <f t="array" ref="AZ115">IF(OR(RIGHT(B115,LEN(Par_LabelTravelTime))=Par_LabelTravelTime,B115="čas na ceste - fakturácia"),1,0)</f>
        <v>0</v>
      </c>
    </row>
    <row r="116" spans="2:52" s="24" customFormat="1" ht="12.75" x14ac:dyDescent="0.2">
      <c r="B116" s="97"/>
      <c r="C116" s="92"/>
      <c r="D116" s="31" t="str">
        <f>IF(E116=1,VLOOKUP(TableInvs[[#This Row],[Calc_V_Typ]],Tran_RevenuesList,3,FALSE),"")</f>
        <v/>
      </c>
      <c r="E116" s="31">
        <f t="shared" si="9"/>
        <v>0</v>
      </c>
      <c r="F116" s="9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  <c r="Y116" s="84"/>
      <c r="Z116" s="84"/>
      <c r="AA116" s="84"/>
      <c r="AB116" s="84"/>
      <c r="AC116" s="85"/>
      <c r="AD116" s="85"/>
      <c r="AE116" s="84"/>
      <c r="AF116" s="84"/>
      <c r="AG116" s="84"/>
      <c r="AH116" s="84"/>
      <c r="AI116" s="84"/>
      <c r="AJ116" s="84"/>
      <c r="AK116" s="84"/>
      <c r="AL116" s="84"/>
      <c r="AM116" s="84"/>
      <c r="AN116" s="84"/>
      <c r="AO116" s="84"/>
      <c r="AP116" s="84"/>
      <c r="AQ116" s="84"/>
      <c r="AR116" s="84"/>
      <c r="AS116" s="87">
        <f t="array" ref="AS116">IF(E116=1,SUM((ROW(Mf0)=ROW(AS116))*(Mf0+Mf1_+Mf2_+Mf3_+Mf4_+Mf5_+Mf6_+Mf7_+Mf8_+Mf9_+Mf10_+Mf11_+Mf12_+Mf13_+Mf14_+Mf15_+Mf16_+Mf17_+Mf18_+Mf19_+Mf20_+Mf21_+Mf22_+Mf23_+Mf24_+Mf25_+Mf26_+Mf27_+Mf28_+Mf29_+Mf30_+Mf31_+Mf32_+Mf33_+Mf34_+Mf35_+Mf36_+Mf37_)),0)</f>
        <v>0</v>
      </c>
      <c r="AU116" s="24" t="str">
        <f t="shared" si="10"/>
        <v/>
      </c>
      <c r="AV116" s="24" t="str">
        <f t="shared" si="15"/>
        <v/>
      </c>
      <c r="AW116" s="24" t="str">
        <f t="shared" si="11"/>
        <v/>
      </c>
      <c r="AX116" s="72">
        <f t="shared" si="16"/>
        <v>0</v>
      </c>
      <c r="AY116" s="24">
        <f t="shared" si="12"/>
        <v>0</v>
      </c>
      <c r="AZ116" s="24">
        <f t="array" ref="AZ116">IF(OR(RIGHT(B116,LEN(Par_LabelTravelTime))=Par_LabelTravelTime,B116="čas na ceste - fakturácia"),1,0)</f>
        <v>0</v>
      </c>
    </row>
    <row r="117" spans="2:52" s="24" customFormat="1" ht="12.75" x14ac:dyDescent="0.2">
      <c r="B117" s="97"/>
      <c r="C117" s="92"/>
      <c r="D117" s="31" t="str">
        <f>IF(E117=1,VLOOKUP(TableInvs[[#This Row],[Calc_V_Typ]],Tran_RevenuesList,3,FALSE),"")</f>
        <v/>
      </c>
      <c r="E117" s="31">
        <f t="shared" si="9"/>
        <v>0</v>
      </c>
      <c r="F117" s="9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  <c r="AB117" s="84"/>
      <c r="AC117" s="85"/>
      <c r="AD117" s="85"/>
      <c r="AE117" s="84"/>
      <c r="AF117" s="84"/>
      <c r="AG117" s="84"/>
      <c r="AH117" s="84"/>
      <c r="AI117" s="84"/>
      <c r="AJ117" s="84"/>
      <c r="AK117" s="84"/>
      <c r="AL117" s="84"/>
      <c r="AM117" s="84"/>
      <c r="AN117" s="84"/>
      <c r="AO117" s="84"/>
      <c r="AP117" s="84"/>
      <c r="AQ117" s="84"/>
      <c r="AR117" s="84"/>
      <c r="AS117" s="87">
        <f t="array" ref="AS117">IF(E117=1,SUM((ROW(Mf0)=ROW(AS117))*(Mf0+Mf1_+Mf2_+Mf3_+Mf4_+Mf5_+Mf6_+Mf7_+Mf8_+Mf9_+Mf10_+Mf11_+Mf12_+Mf13_+Mf14_+Mf15_+Mf16_+Mf17_+Mf18_+Mf19_+Mf20_+Mf21_+Mf22_+Mf23_+Mf24_+Mf25_+Mf26_+Mf27_+Mf28_+Mf29_+Mf30_+Mf31_+Mf32_+Mf33_+Mf34_+Mf35_+Mf36_+Mf37_)),0)</f>
        <v>0</v>
      </c>
      <c r="AU117" s="24" t="str">
        <f t="shared" si="10"/>
        <v/>
      </c>
      <c r="AV117" s="24" t="str">
        <f t="shared" si="15"/>
        <v/>
      </c>
      <c r="AW117" s="24" t="str">
        <f t="shared" si="11"/>
        <v/>
      </c>
      <c r="AX117" s="72">
        <f t="shared" si="16"/>
        <v>0</v>
      </c>
      <c r="AY117" s="24">
        <f t="shared" si="12"/>
        <v>0</v>
      </c>
      <c r="AZ117" s="24">
        <f t="array" ref="AZ117">IF(OR(RIGHT(B117,LEN(Par_LabelTravelTime))=Par_LabelTravelTime,B117="čas na ceste - fakturácia"),1,0)</f>
        <v>0</v>
      </c>
    </row>
    <row r="118" spans="2:52" s="24" customFormat="1" ht="12.75" x14ac:dyDescent="0.2">
      <c r="B118" s="97"/>
      <c r="C118" s="92"/>
      <c r="D118" s="31" t="str">
        <f>IF(E118=1,VLOOKUP(TableInvs[[#This Row],[Calc_V_Typ]],Tran_RevenuesList,3,FALSE),"")</f>
        <v/>
      </c>
      <c r="E118" s="31">
        <f t="shared" si="9"/>
        <v>0</v>
      </c>
      <c r="F118" s="9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  <c r="AA118" s="84"/>
      <c r="AB118" s="84"/>
      <c r="AC118" s="85"/>
      <c r="AD118" s="85"/>
      <c r="AE118" s="84"/>
      <c r="AF118" s="84"/>
      <c r="AG118" s="84"/>
      <c r="AH118" s="84"/>
      <c r="AI118" s="84"/>
      <c r="AJ118" s="84"/>
      <c r="AK118" s="84"/>
      <c r="AL118" s="84"/>
      <c r="AM118" s="84"/>
      <c r="AN118" s="84"/>
      <c r="AO118" s="84"/>
      <c r="AP118" s="84"/>
      <c r="AQ118" s="84"/>
      <c r="AR118" s="84"/>
      <c r="AS118" s="87">
        <f t="array" ref="AS118">IF(E118=1,SUM((ROW(Mf0)=ROW(AS118))*(Mf0+Mf1_+Mf2_+Mf3_+Mf4_+Mf5_+Mf6_+Mf7_+Mf8_+Mf9_+Mf10_+Mf11_+Mf12_+Mf13_+Mf14_+Mf15_+Mf16_+Mf17_+Mf18_+Mf19_+Mf20_+Mf21_+Mf22_+Mf23_+Mf24_+Mf25_+Mf26_+Mf27_+Mf28_+Mf29_+Mf30_+Mf31_+Mf32_+Mf33_+Mf34_+Mf35_+Mf36_+Mf37_)),0)</f>
        <v>0</v>
      </c>
      <c r="AU118" s="24" t="str">
        <f t="shared" si="10"/>
        <v/>
      </c>
      <c r="AV118" s="24" t="str">
        <f t="shared" si="15"/>
        <v/>
      </c>
      <c r="AW118" s="24" t="str">
        <f t="shared" si="11"/>
        <v/>
      </c>
      <c r="AX118" s="72">
        <f t="shared" si="16"/>
        <v>0</v>
      </c>
      <c r="AY118" s="24">
        <f t="shared" si="12"/>
        <v>0</v>
      </c>
      <c r="AZ118" s="24">
        <f t="array" ref="AZ118">IF(OR(RIGHT(B118,LEN(Par_LabelTravelTime))=Par_LabelTravelTime,B118="čas na ceste - fakturácia"),1,0)</f>
        <v>0</v>
      </c>
    </row>
    <row r="119" spans="2:52" s="24" customFormat="1" ht="12.75" x14ac:dyDescent="0.2">
      <c r="B119" s="97"/>
      <c r="C119" s="92"/>
      <c r="D119" s="31" t="str">
        <f>IF(E119=1,VLOOKUP(TableInvs[[#This Row],[Calc_V_Typ]],Tran_RevenuesList,3,FALSE),"")</f>
        <v/>
      </c>
      <c r="E119" s="31">
        <f t="shared" si="9"/>
        <v>0</v>
      </c>
      <c r="F119" s="9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 s="84"/>
      <c r="AB119" s="84"/>
      <c r="AC119" s="85"/>
      <c r="AD119" s="85"/>
      <c r="AE119" s="84"/>
      <c r="AF119" s="84"/>
      <c r="AG119" s="84"/>
      <c r="AH119" s="84"/>
      <c r="AI119" s="84"/>
      <c r="AJ119" s="84"/>
      <c r="AK119" s="84"/>
      <c r="AL119" s="84"/>
      <c r="AM119" s="84"/>
      <c r="AN119" s="84"/>
      <c r="AO119" s="84"/>
      <c r="AP119" s="84"/>
      <c r="AQ119" s="84"/>
      <c r="AR119" s="84"/>
      <c r="AS119" s="87">
        <f t="array" ref="AS119">IF(E119=1,SUM((ROW(Mf0)=ROW(AS119))*(Mf0+Mf1_+Mf2_+Mf3_+Mf4_+Mf5_+Mf6_+Mf7_+Mf8_+Mf9_+Mf10_+Mf11_+Mf12_+Mf13_+Mf14_+Mf15_+Mf16_+Mf17_+Mf18_+Mf19_+Mf20_+Mf21_+Mf22_+Mf23_+Mf24_+Mf25_+Mf26_+Mf27_+Mf28_+Mf29_+Mf30_+Mf31_+Mf32_+Mf33_+Mf34_+Mf35_+Mf36_+Mf37_)),0)</f>
        <v>0</v>
      </c>
      <c r="AU119" s="24" t="str">
        <f t="shared" si="10"/>
        <v/>
      </c>
      <c r="AV119" s="24" t="str">
        <f t="shared" si="15"/>
        <v/>
      </c>
      <c r="AW119" s="24" t="str">
        <f t="shared" si="11"/>
        <v/>
      </c>
      <c r="AX119" s="72">
        <f t="shared" si="16"/>
        <v>0</v>
      </c>
      <c r="AY119" s="24">
        <f t="shared" si="12"/>
        <v>0</v>
      </c>
      <c r="AZ119" s="24">
        <f t="array" ref="AZ119">IF(OR(RIGHT(B119,LEN(Par_LabelTravelTime))=Par_LabelTravelTime,B119="čas na ceste - fakturácia"),1,0)</f>
        <v>0</v>
      </c>
    </row>
    <row r="120" spans="2:52" s="24" customFormat="1" ht="12.75" x14ac:dyDescent="0.2">
      <c r="B120" s="97"/>
      <c r="C120" s="92"/>
      <c r="D120" s="31" t="str">
        <f>IF(E120=1,VLOOKUP(TableInvs[[#This Row],[Calc_V_Typ]],Tran_RevenuesList,3,FALSE),"")</f>
        <v/>
      </c>
      <c r="E120" s="31">
        <f t="shared" si="9"/>
        <v>0</v>
      </c>
      <c r="F120" s="9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  <c r="AA120" s="84"/>
      <c r="AB120" s="84"/>
      <c r="AC120" s="85"/>
      <c r="AD120" s="85"/>
      <c r="AE120" s="84"/>
      <c r="AF120" s="84"/>
      <c r="AG120" s="84"/>
      <c r="AH120" s="84"/>
      <c r="AI120" s="84"/>
      <c r="AJ120" s="84"/>
      <c r="AK120" s="84"/>
      <c r="AL120" s="84"/>
      <c r="AM120" s="84"/>
      <c r="AN120" s="84"/>
      <c r="AO120" s="84"/>
      <c r="AP120" s="84"/>
      <c r="AQ120" s="84"/>
      <c r="AR120" s="84"/>
      <c r="AS120" s="87">
        <f t="array" ref="AS120">IF(E120=1,SUM((ROW(Mf0)=ROW(AS120))*(Mf0+Mf1_+Mf2_+Mf3_+Mf4_+Mf5_+Mf6_+Mf7_+Mf8_+Mf9_+Mf10_+Mf11_+Mf12_+Mf13_+Mf14_+Mf15_+Mf16_+Mf17_+Mf18_+Mf19_+Mf20_+Mf21_+Mf22_+Mf23_+Mf24_+Mf25_+Mf26_+Mf27_+Mf28_+Mf29_+Mf30_+Mf31_+Mf32_+Mf33_+Mf34_+Mf35_+Mf36_+Mf37_)),0)</f>
        <v>0</v>
      </c>
      <c r="AU120" s="24" t="str">
        <f t="shared" si="10"/>
        <v/>
      </c>
      <c r="AV120" s="24" t="str">
        <f t="shared" si="15"/>
        <v/>
      </c>
      <c r="AW120" s="24" t="str">
        <f t="shared" si="11"/>
        <v/>
      </c>
      <c r="AX120" s="72">
        <f t="shared" si="16"/>
        <v>0</v>
      </c>
      <c r="AY120" s="24">
        <f t="shared" si="12"/>
        <v>0</v>
      </c>
      <c r="AZ120" s="24">
        <f t="array" ref="AZ120">IF(OR(RIGHT(B120,LEN(Par_LabelTravelTime))=Par_LabelTravelTime,B120="čas na ceste - fakturácia"),1,0)</f>
        <v>0</v>
      </c>
    </row>
    <row r="121" spans="2:52" s="24" customFormat="1" ht="12.75" x14ac:dyDescent="0.2">
      <c r="B121" s="97"/>
      <c r="C121" s="92"/>
      <c r="D121" s="31" t="str">
        <f>IF(E121=1,VLOOKUP(TableInvs[[#This Row],[Calc_V_Typ]],Tran_RevenuesList,3,FALSE),"")</f>
        <v/>
      </c>
      <c r="E121" s="31">
        <f t="shared" si="9"/>
        <v>0</v>
      </c>
      <c r="F121" s="9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 s="84"/>
      <c r="AB121" s="84"/>
      <c r="AC121" s="85"/>
      <c r="AD121" s="85"/>
      <c r="AE121" s="84"/>
      <c r="AF121" s="84"/>
      <c r="AG121" s="84"/>
      <c r="AH121" s="84"/>
      <c r="AI121" s="84"/>
      <c r="AJ121" s="84"/>
      <c r="AK121" s="84"/>
      <c r="AL121" s="84"/>
      <c r="AM121" s="84"/>
      <c r="AN121" s="84"/>
      <c r="AO121" s="84"/>
      <c r="AP121" s="84"/>
      <c r="AQ121" s="84"/>
      <c r="AR121" s="84"/>
      <c r="AS121" s="87">
        <f t="array" ref="AS121">IF(E121=1,SUM((ROW(Mf0)=ROW(AS121))*(Mf0+Mf1_+Mf2_+Mf3_+Mf4_+Mf5_+Mf6_+Mf7_+Mf8_+Mf9_+Mf10_+Mf11_+Mf12_+Mf13_+Mf14_+Mf15_+Mf16_+Mf17_+Mf18_+Mf19_+Mf20_+Mf21_+Mf22_+Mf23_+Mf24_+Mf25_+Mf26_+Mf27_+Mf28_+Mf29_+Mf30_+Mf31_+Mf32_+Mf33_+Mf34_+Mf35_+Mf36_+Mf37_)),0)</f>
        <v>0</v>
      </c>
      <c r="AU121" s="24" t="str">
        <f t="shared" si="10"/>
        <v/>
      </c>
      <c r="AV121" s="24" t="str">
        <f t="shared" si="15"/>
        <v/>
      </c>
      <c r="AW121" s="24" t="str">
        <f t="shared" si="11"/>
        <v/>
      </c>
      <c r="AX121" s="72">
        <f t="shared" si="16"/>
        <v>0</v>
      </c>
      <c r="AY121" s="24">
        <f t="shared" si="12"/>
        <v>0</v>
      </c>
      <c r="AZ121" s="24">
        <f t="array" ref="AZ121">IF(OR(RIGHT(B121,LEN(Par_LabelTravelTime))=Par_LabelTravelTime,B121="čas na ceste - fakturácia"),1,0)</f>
        <v>0</v>
      </c>
    </row>
    <row r="122" spans="2:52" s="24" customFormat="1" ht="12.75" x14ac:dyDescent="0.2">
      <c r="B122" s="97"/>
      <c r="C122" s="92"/>
      <c r="D122" s="31" t="str">
        <f>IF(E122=1,VLOOKUP(TableInvs[[#This Row],[Calc_V_Typ]],Tran_RevenuesList,3,FALSE),"")</f>
        <v/>
      </c>
      <c r="E122" s="31">
        <f t="shared" si="9"/>
        <v>0</v>
      </c>
      <c r="F122" s="9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84"/>
      <c r="U122" s="84"/>
      <c r="V122" s="84"/>
      <c r="W122" s="84"/>
      <c r="X122" s="84"/>
      <c r="Y122" s="84"/>
      <c r="Z122" s="84"/>
      <c r="AA122" s="84"/>
      <c r="AB122" s="84"/>
      <c r="AC122" s="85"/>
      <c r="AD122" s="85"/>
      <c r="AE122" s="84"/>
      <c r="AF122" s="84"/>
      <c r="AG122" s="84"/>
      <c r="AH122" s="84"/>
      <c r="AI122" s="84"/>
      <c r="AJ122" s="84"/>
      <c r="AK122" s="84"/>
      <c r="AL122" s="84"/>
      <c r="AM122" s="84"/>
      <c r="AN122" s="84"/>
      <c r="AO122" s="84"/>
      <c r="AP122" s="84"/>
      <c r="AQ122" s="84"/>
      <c r="AR122" s="84"/>
      <c r="AS122" s="87">
        <f t="array" ref="AS122">IF(E122=1,SUM((ROW(Mf0)=ROW(AS122))*(Mf0+Mf1_+Mf2_+Mf3_+Mf4_+Mf5_+Mf6_+Mf7_+Mf8_+Mf9_+Mf10_+Mf11_+Mf12_+Mf13_+Mf14_+Mf15_+Mf16_+Mf17_+Mf18_+Mf19_+Mf20_+Mf21_+Mf22_+Mf23_+Mf24_+Mf25_+Mf26_+Mf27_+Mf28_+Mf29_+Mf30_+Mf31_+Mf32_+Mf33_+Mf34_+Mf35_+Mf36_+Mf37_)),0)</f>
        <v>0</v>
      </c>
      <c r="AU122" s="24" t="str">
        <f t="shared" si="10"/>
        <v/>
      </c>
      <c r="AV122" s="24" t="str">
        <f t="shared" si="15"/>
        <v/>
      </c>
      <c r="AW122" s="24" t="str">
        <f t="shared" si="11"/>
        <v/>
      </c>
      <c r="AX122" s="72">
        <f t="shared" si="16"/>
        <v>0</v>
      </c>
      <c r="AY122" s="24">
        <f t="shared" si="12"/>
        <v>0</v>
      </c>
      <c r="AZ122" s="24">
        <f t="array" ref="AZ122">IF(OR(RIGHT(B122,LEN(Par_LabelTravelTime))=Par_LabelTravelTime,B122="čas na ceste - fakturácia"),1,0)</f>
        <v>0</v>
      </c>
    </row>
    <row r="123" spans="2:52" s="24" customFormat="1" ht="12.75" x14ac:dyDescent="0.2">
      <c r="B123" s="97"/>
      <c r="C123" s="92"/>
      <c r="D123" s="31" t="str">
        <f>IF(E123=1,VLOOKUP(TableInvs[[#This Row],[Calc_V_Typ]],Tran_RevenuesList,3,FALSE),"")</f>
        <v/>
      </c>
      <c r="E123" s="31">
        <f t="shared" si="9"/>
        <v>0</v>
      </c>
      <c r="F123" s="9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5"/>
      <c r="AD123" s="85"/>
      <c r="AE123" s="84"/>
      <c r="AF123" s="84"/>
      <c r="AG123" s="84"/>
      <c r="AH123" s="84"/>
      <c r="AI123" s="84"/>
      <c r="AJ123" s="84"/>
      <c r="AK123" s="84"/>
      <c r="AL123" s="84"/>
      <c r="AM123" s="84"/>
      <c r="AN123" s="84"/>
      <c r="AO123" s="84"/>
      <c r="AP123" s="84"/>
      <c r="AQ123" s="84"/>
      <c r="AR123" s="84"/>
      <c r="AS123" s="87">
        <f t="array" ref="AS123">IF(E123=1,SUM((ROW(Mf0)=ROW(AS123))*(Mf0+Mf1_+Mf2_+Mf3_+Mf4_+Mf5_+Mf6_+Mf7_+Mf8_+Mf9_+Mf10_+Mf11_+Mf12_+Mf13_+Mf14_+Mf15_+Mf16_+Mf17_+Mf18_+Mf19_+Mf20_+Mf21_+Mf22_+Mf23_+Mf24_+Mf25_+Mf26_+Mf27_+Mf28_+Mf29_+Mf30_+Mf31_+Mf32_+Mf33_+Mf34_+Mf35_+Mf36_+Mf37_)),0)</f>
        <v>0</v>
      </c>
      <c r="AU123" s="24" t="str">
        <f t="shared" si="10"/>
        <v/>
      </c>
      <c r="AV123" s="24" t="str">
        <f t="shared" si="15"/>
        <v/>
      </c>
      <c r="AW123" s="24" t="str">
        <f t="shared" si="11"/>
        <v/>
      </c>
      <c r="AX123" s="72">
        <f t="shared" si="16"/>
        <v>0</v>
      </c>
      <c r="AY123" s="24">
        <f t="shared" si="12"/>
        <v>0</v>
      </c>
      <c r="AZ123" s="24">
        <f t="array" ref="AZ123">IF(OR(RIGHT(B123,LEN(Par_LabelTravelTime))=Par_LabelTravelTime,B123="čas na ceste - fakturácia"),1,0)</f>
        <v>0</v>
      </c>
    </row>
    <row r="124" spans="2:52" s="24" customFormat="1" ht="12.75" x14ac:dyDescent="0.2">
      <c r="B124" s="97"/>
      <c r="C124" s="92"/>
      <c r="D124" s="31" t="str">
        <f>IF(E124=1,VLOOKUP(TableInvs[[#This Row],[Calc_V_Typ]],Tran_RevenuesList,3,FALSE),"")</f>
        <v/>
      </c>
      <c r="E124" s="31">
        <f t="shared" si="9"/>
        <v>0</v>
      </c>
      <c r="F124" s="9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 s="84"/>
      <c r="AB124" s="84"/>
      <c r="AC124" s="85"/>
      <c r="AD124" s="85"/>
      <c r="AE124" s="84"/>
      <c r="AF124" s="84"/>
      <c r="AG124" s="84"/>
      <c r="AH124" s="84"/>
      <c r="AI124" s="84"/>
      <c r="AJ124" s="84"/>
      <c r="AK124" s="84"/>
      <c r="AL124" s="84"/>
      <c r="AM124" s="84"/>
      <c r="AN124" s="84"/>
      <c r="AO124" s="84"/>
      <c r="AP124" s="84"/>
      <c r="AQ124" s="84"/>
      <c r="AR124" s="84"/>
      <c r="AS124" s="87">
        <f t="array" ref="AS124">IF(E124=1,SUM((ROW(Mf0)=ROW(AS124))*(Mf0+Mf1_+Mf2_+Mf3_+Mf4_+Mf5_+Mf6_+Mf7_+Mf8_+Mf9_+Mf10_+Mf11_+Mf12_+Mf13_+Mf14_+Mf15_+Mf16_+Mf17_+Mf18_+Mf19_+Mf20_+Mf21_+Mf22_+Mf23_+Mf24_+Mf25_+Mf26_+Mf27_+Mf28_+Mf29_+Mf30_+Mf31_+Mf32_+Mf33_+Mf34_+Mf35_+Mf36_+Mf37_)),0)</f>
        <v>0</v>
      </c>
      <c r="AU124" s="24" t="str">
        <f t="shared" si="10"/>
        <v/>
      </c>
      <c r="AV124" s="24" t="str">
        <f t="shared" si="15"/>
        <v/>
      </c>
      <c r="AW124" s="24" t="str">
        <f t="shared" si="11"/>
        <v/>
      </c>
      <c r="AX124" s="72">
        <f t="shared" si="16"/>
        <v>0</v>
      </c>
      <c r="AY124" s="24">
        <f t="shared" si="12"/>
        <v>0</v>
      </c>
      <c r="AZ124" s="24">
        <f t="array" ref="AZ124">IF(OR(RIGHT(B124,LEN(Par_LabelTravelTime))=Par_LabelTravelTime,B124="čas na ceste - fakturácia"),1,0)</f>
        <v>0</v>
      </c>
    </row>
    <row r="125" spans="2:52" s="24" customFormat="1" ht="12.75" x14ac:dyDescent="0.2">
      <c r="B125" s="97"/>
      <c r="C125" s="92"/>
      <c r="D125" s="31" t="str">
        <f>IF(E125=1,VLOOKUP(TableInvs[[#This Row],[Calc_V_Typ]],Tran_RevenuesList,3,FALSE),"")</f>
        <v/>
      </c>
      <c r="E125" s="31">
        <f t="shared" si="9"/>
        <v>0</v>
      </c>
      <c r="F125" s="9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  <c r="AA125" s="84"/>
      <c r="AB125" s="84"/>
      <c r="AC125" s="85"/>
      <c r="AD125" s="85"/>
      <c r="AE125" s="84"/>
      <c r="AF125" s="84"/>
      <c r="AG125" s="84"/>
      <c r="AH125" s="84"/>
      <c r="AI125" s="84"/>
      <c r="AJ125" s="84"/>
      <c r="AK125" s="84"/>
      <c r="AL125" s="84"/>
      <c r="AM125" s="84"/>
      <c r="AN125" s="84"/>
      <c r="AO125" s="84"/>
      <c r="AP125" s="84"/>
      <c r="AQ125" s="84"/>
      <c r="AR125" s="84"/>
      <c r="AS125" s="87">
        <f t="array" ref="AS125">IF(E125=1,SUM((ROW(Mf0)=ROW(AS125))*(Mf0+Mf1_+Mf2_+Mf3_+Mf4_+Mf5_+Mf6_+Mf7_+Mf8_+Mf9_+Mf10_+Mf11_+Mf12_+Mf13_+Mf14_+Mf15_+Mf16_+Mf17_+Mf18_+Mf19_+Mf20_+Mf21_+Mf22_+Mf23_+Mf24_+Mf25_+Mf26_+Mf27_+Mf28_+Mf29_+Mf30_+Mf31_+Mf32_+Mf33_+Mf34_+Mf35_+Mf36_+Mf37_)),0)</f>
        <v>0</v>
      </c>
      <c r="AU125" s="24" t="str">
        <f t="shared" si="10"/>
        <v/>
      </c>
      <c r="AV125" s="24" t="str">
        <f t="shared" si="15"/>
        <v/>
      </c>
      <c r="AW125" s="24" t="str">
        <f t="shared" si="11"/>
        <v/>
      </c>
      <c r="AX125" s="72">
        <f t="shared" si="16"/>
        <v>0</v>
      </c>
      <c r="AY125" s="24">
        <f t="shared" si="12"/>
        <v>0</v>
      </c>
      <c r="AZ125" s="24">
        <f t="array" ref="AZ125">IF(OR(RIGHT(B125,LEN(Par_LabelTravelTime))=Par_LabelTravelTime,B125="čas na ceste - fakturácia"),1,0)</f>
        <v>0</v>
      </c>
    </row>
    <row r="126" spans="2:52" s="24" customFormat="1" ht="12.75" x14ac:dyDescent="0.2">
      <c r="B126" s="97"/>
      <c r="C126" s="92"/>
      <c r="D126" s="31" t="str">
        <f>IF(E126=1,VLOOKUP(TableInvs[[#This Row],[Calc_V_Typ]],Tran_RevenuesList,3,FALSE),"")</f>
        <v/>
      </c>
      <c r="E126" s="31">
        <f t="shared" si="9"/>
        <v>0</v>
      </c>
      <c r="F126" s="9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  <c r="AA126" s="84"/>
      <c r="AB126" s="84"/>
      <c r="AC126" s="85"/>
      <c r="AD126" s="85"/>
      <c r="AE126" s="84"/>
      <c r="AF126" s="84"/>
      <c r="AG126" s="84"/>
      <c r="AH126" s="84"/>
      <c r="AI126" s="84"/>
      <c r="AJ126" s="84"/>
      <c r="AK126" s="84"/>
      <c r="AL126" s="84"/>
      <c r="AM126" s="84"/>
      <c r="AN126" s="84"/>
      <c r="AO126" s="84"/>
      <c r="AP126" s="84"/>
      <c r="AQ126" s="84"/>
      <c r="AR126" s="84"/>
      <c r="AS126" s="87">
        <f t="array" ref="AS126">IF(E126=1,SUM((ROW(Mf0)=ROW(AS126))*(Mf0+Mf1_+Mf2_+Mf3_+Mf4_+Mf5_+Mf6_+Mf7_+Mf8_+Mf9_+Mf10_+Mf11_+Mf12_+Mf13_+Mf14_+Mf15_+Mf16_+Mf17_+Mf18_+Mf19_+Mf20_+Mf21_+Mf22_+Mf23_+Mf24_+Mf25_+Mf26_+Mf27_+Mf28_+Mf29_+Mf30_+Mf31_+Mf32_+Mf33_+Mf34_+Mf35_+Mf36_+Mf37_)),0)</f>
        <v>0</v>
      </c>
      <c r="AU126" s="24" t="str">
        <f t="shared" si="10"/>
        <v/>
      </c>
      <c r="AV126" s="24" t="str">
        <f t="shared" si="15"/>
        <v/>
      </c>
      <c r="AW126" s="24" t="str">
        <f t="shared" si="11"/>
        <v/>
      </c>
      <c r="AX126" s="72">
        <f t="shared" si="16"/>
        <v>0</v>
      </c>
      <c r="AY126" s="24">
        <f t="shared" si="12"/>
        <v>0</v>
      </c>
      <c r="AZ126" s="24">
        <f t="array" ref="AZ126">IF(OR(RIGHT(B126,LEN(Par_LabelTravelTime))=Par_LabelTravelTime,B126="čas na ceste - fakturácia"),1,0)</f>
        <v>0</v>
      </c>
    </row>
    <row r="127" spans="2:52" s="24" customFormat="1" ht="12.75" x14ac:dyDescent="0.2">
      <c r="B127" s="97"/>
      <c r="C127" s="92"/>
      <c r="D127" s="31" t="str">
        <f>IF(E127=1,VLOOKUP(TableInvs[[#This Row],[Calc_V_Typ]],Tran_RevenuesList,3,FALSE),"")</f>
        <v/>
      </c>
      <c r="E127" s="31">
        <f t="shared" si="9"/>
        <v>0</v>
      </c>
      <c r="F127" s="9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  <c r="AA127" s="84"/>
      <c r="AB127" s="84"/>
      <c r="AC127" s="85"/>
      <c r="AD127" s="85"/>
      <c r="AE127" s="84"/>
      <c r="AF127" s="84"/>
      <c r="AG127" s="84"/>
      <c r="AH127" s="84"/>
      <c r="AI127" s="84"/>
      <c r="AJ127" s="84"/>
      <c r="AK127" s="84"/>
      <c r="AL127" s="84"/>
      <c r="AM127" s="84"/>
      <c r="AN127" s="84"/>
      <c r="AO127" s="84"/>
      <c r="AP127" s="84"/>
      <c r="AQ127" s="84"/>
      <c r="AR127" s="84"/>
      <c r="AS127" s="87">
        <f t="array" ref="AS127">IF(E127=1,SUM((ROW(Mf0)=ROW(AS127))*(Mf0+Mf1_+Mf2_+Mf3_+Mf4_+Mf5_+Mf6_+Mf7_+Mf8_+Mf9_+Mf10_+Mf11_+Mf12_+Mf13_+Mf14_+Mf15_+Mf16_+Mf17_+Mf18_+Mf19_+Mf20_+Mf21_+Mf22_+Mf23_+Mf24_+Mf25_+Mf26_+Mf27_+Mf28_+Mf29_+Mf30_+Mf31_+Mf32_+Mf33_+Mf34_+Mf35_+Mf36_+Mf37_)),0)</f>
        <v>0</v>
      </c>
      <c r="AU127" s="24" t="str">
        <f t="shared" si="10"/>
        <v/>
      </c>
      <c r="AV127" s="24" t="str">
        <f t="shared" si="15"/>
        <v/>
      </c>
      <c r="AW127" s="24" t="str">
        <f t="shared" si="11"/>
        <v/>
      </c>
      <c r="AX127" s="72">
        <f t="shared" si="16"/>
        <v>0</v>
      </c>
      <c r="AY127" s="24">
        <f t="shared" si="12"/>
        <v>0</v>
      </c>
      <c r="AZ127" s="24">
        <f t="array" ref="AZ127">IF(OR(RIGHT(B127,LEN(Par_LabelTravelTime))=Par_LabelTravelTime,B127="čas na ceste - fakturácia"),1,0)</f>
        <v>0</v>
      </c>
    </row>
    <row r="128" spans="2:52" s="24" customFormat="1" ht="12.75" x14ac:dyDescent="0.2">
      <c r="B128" s="97"/>
      <c r="C128" s="92"/>
      <c r="D128" s="31" t="str">
        <f>IF(E128=1,VLOOKUP(TableInvs[[#This Row],[Calc_V_Typ]],Tran_RevenuesList,3,FALSE),"")</f>
        <v/>
      </c>
      <c r="E128" s="31">
        <f t="shared" si="9"/>
        <v>0</v>
      </c>
      <c r="F128" s="9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  <c r="S128" s="84"/>
      <c r="T128" s="84"/>
      <c r="U128" s="84"/>
      <c r="V128" s="84"/>
      <c r="W128" s="84"/>
      <c r="X128" s="84"/>
      <c r="Y128" s="84"/>
      <c r="Z128" s="84"/>
      <c r="AA128" s="84"/>
      <c r="AB128" s="84"/>
      <c r="AC128" s="85"/>
      <c r="AD128" s="85"/>
      <c r="AE128" s="84"/>
      <c r="AF128" s="84"/>
      <c r="AG128" s="84"/>
      <c r="AH128" s="84"/>
      <c r="AI128" s="84"/>
      <c r="AJ128" s="84"/>
      <c r="AK128" s="84"/>
      <c r="AL128" s="84"/>
      <c r="AM128" s="84"/>
      <c r="AN128" s="84"/>
      <c r="AO128" s="84"/>
      <c r="AP128" s="84"/>
      <c r="AQ128" s="84"/>
      <c r="AR128" s="84"/>
      <c r="AS128" s="87">
        <f t="array" ref="AS128">IF(E128=1,SUM((ROW(Mf0)=ROW(AS128))*(Mf0+Mf1_+Mf2_+Mf3_+Mf4_+Mf5_+Mf6_+Mf7_+Mf8_+Mf9_+Mf10_+Mf11_+Mf12_+Mf13_+Mf14_+Mf15_+Mf16_+Mf17_+Mf18_+Mf19_+Mf20_+Mf21_+Mf22_+Mf23_+Mf24_+Mf25_+Mf26_+Mf27_+Mf28_+Mf29_+Mf30_+Mf31_+Mf32_+Mf33_+Mf34_+Mf35_+Mf36_+Mf37_)),0)</f>
        <v>0</v>
      </c>
      <c r="AU128" s="24" t="str">
        <f t="shared" si="10"/>
        <v/>
      </c>
      <c r="AV128" s="24" t="str">
        <f t="shared" si="15"/>
        <v/>
      </c>
      <c r="AW128" s="24" t="str">
        <f t="shared" si="11"/>
        <v/>
      </c>
      <c r="AX128" s="72">
        <f t="shared" si="16"/>
        <v>0</v>
      </c>
      <c r="AY128" s="24">
        <f t="shared" si="12"/>
        <v>0</v>
      </c>
      <c r="AZ128" s="24">
        <f t="array" ref="AZ128">IF(OR(RIGHT(B128,LEN(Par_LabelTravelTime))=Par_LabelTravelTime,B128="čas na ceste - fakturácia"),1,0)</f>
        <v>0</v>
      </c>
    </row>
    <row r="129" spans="2:52" s="24" customFormat="1" ht="12.75" x14ac:dyDescent="0.2">
      <c r="B129" s="97"/>
      <c r="C129" s="92"/>
      <c r="D129" s="31" t="str">
        <f>IF(E129=1,VLOOKUP(TableInvs[[#This Row],[Calc_V_Typ]],Tran_RevenuesList,3,FALSE),"")</f>
        <v/>
      </c>
      <c r="E129" s="31">
        <f t="shared" si="9"/>
        <v>0</v>
      </c>
      <c r="F129" s="9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  <c r="Y129" s="84"/>
      <c r="Z129" s="84"/>
      <c r="AA129" s="84"/>
      <c r="AB129" s="84"/>
      <c r="AC129" s="85"/>
      <c r="AD129" s="85"/>
      <c r="AE129" s="84"/>
      <c r="AF129" s="84"/>
      <c r="AG129" s="84"/>
      <c r="AH129" s="84"/>
      <c r="AI129" s="84"/>
      <c r="AJ129" s="84"/>
      <c r="AK129" s="84"/>
      <c r="AL129" s="84"/>
      <c r="AM129" s="84"/>
      <c r="AN129" s="84"/>
      <c r="AO129" s="84"/>
      <c r="AP129" s="84"/>
      <c r="AQ129" s="84"/>
      <c r="AR129" s="84"/>
      <c r="AS129" s="87">
        <f t="array" ref="AS129">IF(E129=1,SUM((ROW(Mf0)=ROW(AS129))*(Mf0+Mf1_+Mf2_+Mf3_+Mf4_+Mf5_+Mf6_+Mf7_+Mf8_+Mf9_+Mf10_+Mf11_+Mf12_+Mf13_+Mf14_+Mf15_+Mf16_+Mf17_+Mf18_+Mf19_+Mf20_+Mf21_+Mf22_+Mf23_+Mf24_+Mf25_+Mf26_+Mf27_+Mf28_+Mf29_+Mf30_+Mf31_+Mf32_+Mf33_+Mf34_+Mf35_+Mf36_+Mf37_)),0)</f>
        <v>0</v>
      </c>
      <c r="AU129" s="24" t="str">
        <f t="shared" si="10"/>
        <v/>
      </c>
      <c r="AV129" s="24" t="str">
        <f t="shared" si="15"/>
        <v/>
      </c>
      <c r="AW129" s="24" t="str">
        <f t="shared" si="11"/>
        <v/>
      </c>
      <c r="AX129" s="72">
        <f t="shared" si="16"/>
        <v>0</v>
      </c>
      <c r="AY129" s="24">
        <f t="shared" si="12"/>
        <v>0</v>
      </c>
      <c r="AZ129" s="24">
        <f t="array" ref="AZ129">IF(OR(RIGHT(B129,LEN(Par_LabelTravelTime))=Par_LabelTravelTime,B129="čas na ceste - fakturácia"),1,0)</f>
        <v>0</v>
      </c>
    </row>
    <row r="130" spans="2:52" s="24" customFormat="1" ht="12.75" x14ac:dyDescent="0.2">
      <c r="B130" s="97"/>
      <c r="C130" s="92"/>
      <c r="D130" s="31" t="str">
        <f>IF(E130=1,VLOOKUP(TableInvs[[#This Row],[Calc_V_Typ]],Tran_RevenuesList,3,FALSE),"")</f>
        <v/>
      </c>
      <c r="E130" s="31">
        <f t="shared" si="9"/>
        <v>0</v>
      </c>
      <c r="F130" s="9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  <c r="AA130" s="84"/>
      <c r="AB130" s="84"/>
      <c r="AC130" s="85"/>
      <c r="AD130" s="85"/>
      <c r="AE130" s="84"/>
      <c r="AF130" s="84"/>
      <c r="AG130" s="84"/>
      <c r="AH130" s="84"/>
      <c r="AI130" s="84"/>
      <c r="AJ130" s="84"/>
      <c r="AK130" s="84"/>
      <c r="AL130" s="84"/>
      <c r="AM130" s="84"/>
      <c r="AN130" s="84"/>
      <c r="AO130" s="84"/>
      <c r="AP130" s="84"/>
      <c r="AQ130" s="84"/>
      <c r="AR130" s="84"/>
      <c r="AS130" s="87">
        <f t="array" ref="AS130">IF(E130=1,SUM((ROW(Mf0)=ROW(AS130))*(Mf0+Mf1_+Mf2_+Mf3_+Mf4_+Mf5_+Mf6_+Mf7_+Mf8_+Mf9_+Mf10_+Mf11_+Mf12_+Mf13_+Mf14_+Mf15_+Mf16_+Mf17_+Mf18_+Mf19_+Mf20_+Mf21_+Mf22_+Mf23_+Mf24_+Mf25_+Mf26_+Mf27_+Mf28_+Mf29_+Mf30_+Mf31_+Mf32_+Mf33_+Mf34_+Mf35_+Mf36_+Mf37_)),0)</f>
        <v>0</v>
      </c>
      <c r="AU130" s="24" t="str">
        <f t="shared" si="10"/>
        <v/>
      </c>
      <c r="AV130" s="24" t="str">
        <f t="shared" si="15"/>
        <v/>
      </c>
      <c r="AW130" s="24" t="str">
        <f t="shared" si="11"/>
        <v/>
      </c>
      <c r="AX130" s="72">
        <f t="shared" si="16"/>
        <v>0</v>
      </c>
      <c r="AY130" s="24">
        <f t="shared" si="12"/>
        <v>0</v>
      </c>
      <c r="AZ130" s="24">
        <f t="array" ref="AZ130">IF(OR(RIGHT(B130,LEN(Par_LabelTravelTime))=Par_LabelTravelTime,B130="čas na ceste - fakturácia"),1,0)</f>
        <v>0</v>
      </c>
    </row>
    <row r="131" spans="2:52" s="24" customFormat="1" ht="12.75" x14ac:dyDescent="0.2">
      <c r="B131" s="97"/>
      <c r="C131" s="92"/>
      <c r="D131" s="31" t="str">
        <f>IF(E131=1,VLOOKUP(TableInvs[[#This Row],[Calc_V_Typ]],Tran_RevenuesList,3,FALSE),"")</f>
        <v/>
      </c>
      <c r="E131" s="31">
        <f t="shared" si="9"/>
        <v>0</v>
      </c>
      <c r="F131" s="9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5"/>
      <c r="AD131" s="85"/>
      <c r="AE131" s="84"/>
      <c r="AF131" s="84"/>
      <c r="AG131" s="84"/>
      <c r="AH131" s="84"/>
      <c r="AI131" s="84"/>
      <c r="AJ131" s="84"/>
      <c r="AK131" s="84"/>
      <c r="AL131" s="84"/>
      <c r="AM131" s="84"/>
      <c r="AN131" s="84"/>
      <c r="AO131" s="84"/>
      <c r="AP131" s="84"/>
      <c r="AQ131" s="84"/>
      <c r="AR131" s="84"/>
      <c r="AS131" s="87">
        <f t="array" ref="AS131">IF(E131=1,SUM((ROW(Mf0)=ROW(AS131))*(Mf0+Mf1_+Mf2_+Mf3_+Mf4_+Mf5_+Mf6_+Mf7_+Mf8_+Mf9_+Mf10_+Mf11_+Mf12_+Mf13_+Mf14_+Mf15_+Mf16_+Mf17_+Mf18_+Mf19_+Mf20_+Mf21_+Mf22_+Mf23_+Mf24_+Mf25_+Mf26_+Mf27_+Mf28_+Mf29_+Mf30_+Mf31_+Mf32_+Mf33_+Mf34_+Mf35_+Mf36_+Mf37_)),0)</f>
        <v>0</v>
      </c>
      <c r="AU131" s="24" t="str">
        <f t="shared" si="10"/>
        <v/>
      </c>
      <c r="AV131" s="24" t="str">
        <f t="shared" si="15"/>
        <v/>
      </c>
      <c r="AW131" s="24" t="str">
        <f t="shared" si="11"/>
        <v/>
      </c>
      <c r="AX131" s="72">
        <f t="shared" si="16"/>
        <v>0</v>
      </c>
      <c r="AY131" s="24">
        <f t="shared" si="12"/>
        <v>0</v>
      </c>
      <c r="AZ131" s="24">
        <f t="array" ref="AZ131">IF(OR(RIGHT(B131,LEN(Par_LabelTravelTime))=Par_LabelTravelTime,B131="čas na ceste - fakturácia"),1,0)</f>
        <v>0</v>
      </c>
    </row>
    <row r="132" spans="2:52" s="24" customFormat="1" ht="12.75" x14ac:dyDescent="0.2">
      <c r="B132" s="97"/>
      <c r="C132" s="92"/>
      <c r="D132" s="31" t="str">
        <f>IF(E132=1,VLOOKUP(TableInvs[[#This Row],[Calc_V_Typ]],Tran_RevenuesList,3,FALSE),"")</f>
        <v/>
      </c>
      <c r="E132" s="31">
        <f t="shared" si="9"/>
        <v>0</v>
      </c>
      <c r="F132" s="9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  <c r="AA132" s="84"/>
      <c r="AB132" s="84"/>
      <c r="AC132" s="85"/>
      <c r="AD132" s="85"/>
      <c r="AE132" s="84"/>
      <c r="AF132" s="84"/>
      <c r="AG132" s="84"/>
      <c r="AH132" s="84"/>
      <c r="AI132" s="84"/>
      <c r="AJ132" s="84"/>
      <c r="AK132" s="84"/>
      <c r="AL132" s="84"/>
      <c r="AM132" s="84"/>
      <c r="AN132" s="84"/>
      <c r="AO132" s="84"/>
      <c r="AP132" s="84"/>
      <c r="AQ132" s="84"/>
      <c r="AR132" s="84"/>
      <c r="AS132" s="87">
        <f t="array" ref="AS132">IF(E132=1,SUM((ROW(Mf0)=ROW(AS132))*(Mf0+Mf1_+Mf2_+Mf3_+Mf4_+Mf5_+Mf6_+Mf7_+Mf8_+Mf9_+Mf10_+Mf11_+Mf12_+Mf13_+Mf14_+Mf15_+Mf16_+Mf17_+Mf18_+Mf19_+Mf20_+Mf21_+Mf22_+Mf23_+Mf24_+Mf25_+Mf26_+Mf27_+Mf28_+Mf29_+Mf30_+Mf31_+Mf32_+Mf33_+Mf34_+Mf35_+Mf36_+Mf37_)),0)</f>
        <v>0</v>
      </c>
      <c r="AU132" s="24" t="str">
        <f t="shared" si="10"/>
        <v/>
      </c>
      <c r="AV132" s="24" t="str">
        <f t="shared" si="15"/>
        <v/>
      </c>
      <c r="AW132" s="24" t="str">
        <f t="shared" si="11"/>
        <v/>
      </c>
      <c r="AX132" s="72">
        <f t="shared" si="16"/>
        <v>0</v>
      </c>
      <c r="AY132" s="24">
        <f t="shared" si="12"/>
        <v>0</v>
      </c>
      <c r="AZ132" s="24">
        <f t="array" ref="AZ132">IF(OR(RIGHT(B132,LEN(Par_LabelTravelTime))=Par_LabelTravelTime,B132="čas na ceste - fakturácia"),1,0)</f>
        <v>0</v>
      </c>
    </row>
    <row r="133" spans="2:52" s="24" customFormat="1" ht="12.75" x14ac:dyDescent="0.2">
      <c r="B133" s="97"/>
      <c r="C133" s="92"/>
      <c r="D133" s="31" t="str">
        <f>IF(E133=1,VLOOKUP(TableInvs[[#This Row],[Calc_V_Typ]],Tran_RevenuesList,3,FALSE),"")</f>
        <v/>
      </c>
      <c r="E133" s="31">
        <f t="shared" si="9"/>
        <v>0</v>
      </c>
      <c r="F133" s="9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  <c r="AA133" s="84"/>
      <c r="AB133" s="84"/>
      <c r="AC133" s="85"/>
      <c r="AD133" s="85"/>
      <c r="AE133" s="84"/>
      <c r="AF133" s="84"/>
      <c r="AG133" s="84"/>
      <c r="AH133" s="84"/>
      <c r="AI133" s="84"/>
      <c r="AJ133" s="84"/>
      <c r="AK133" s="84"/>
      <c r="AL133" s="84"/>
      <c r="AM133" s="84"/>
      <c r="AN133" s="84"/>
      <c r="AO133" s="84"/>
      <c r="AP133" s="84"/>
      <c r="AQ133" s="84"/>
      <c r="AR133" s="84"/>
      <c r="AS133" s="87">
        <f t="array" ref="AS133">IF(E133=1,SUM((ROW(Mf0)=ROW(AS133))*(Mf0+Mf1_+Mf2_+Mf3_+Mf4_+Mf5_+Mf6_+Mf7_+Mf8_+Mf9_+Mf10_+Mf11_+Mf12_+Mf13_+Mf14_+Mf15_+Mf16_+Mf17_+Mf18_+Mf19_+Mf20_+Mf21_+Mf22_+Mf23_+Mf24_+Mf25_+Mf26_+Mf27_+Mf28_+Mf29_+Mf30_+Mf31_+Mf32_+Mf33_+Mf34_+Mf35_+Mf36_+Mf37_)),0)</f>
        <v>0</v>
      </c>
      <c r="AU133" s="24" t="str">
        <f t="shared" si="10"/>
        <v/>
      </c>
      <c r="AV133" s="24" t="str">
        <f t="shared" si="15"/>
        <v/>
      </c>
      <c r="AW133" s="24" t="str">
        <f t="shared" si="11"/>
        <v/>
      </c>
      <c r="AX133" s="72">
        <f t="shared" si="16"/>
        <v>0</v>
      </c>
      <c r="AY133" s="24">
        <f t="shared" si="12"/>
        <v>0</v>
      </c>
      <c r="AZ133" s="24">
        <f t="array" ref="AZ133">IF(OR(RIGHT(B133,LEN(Par_LabelTravelTime))=Par_LabelTravelTime,B133="čas na ceste - fakturácia"),1,0)</f>
        <v>0</v>
      </c>
    </row>
    <row r="134" spans="2:52" s="24" customFormat="1" ht="12.75" x14ac:dyDescent="0.2">
      <c r="B134" s="97"/>
      <c r="C134" s="92"/>
      <c r="D134" s="31" t="str">
        <f>IF(E134=1,VLOOKUP(TableInvs[[#This Row],[Calc_V_Typ]],Tran_RevenuesList,3,FALSE),"")</f>
        <v/>
      </c>
      <c r="E134" s="31">
        <f t="shared" si="9"/>
        <v>0</v>
      </c>
      <c r="F134" s="9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  <c r="Y134" s="84"/>
      <c r="Z134" s="84"/>
      <c r="AA134" s="84"/>
      <c r="AB134" s="84"/>
      <c r="AC134" s="85"/>
      <c r="AD134" s="85"/>
      <c r="AE134" s="84"/>
      <c r="AF134" s="84"/>
      <c r="AG134" s="84"/>
      <c r="AH134" s="84"/>
      <c r="AI134" s="84"/>
      <c r="AJ134" s="84"/>
      <c r="AK134" s="84"/>
      <c r="AL134" s="84"/>
      <c r="AM134" s="84"/>
      <c r="AN134" s="84"/>
      <c r="AO134" s="84"/>
      <c r="AP134" s="84"/>
      <c r="AQ134" s="84"/>
      <c r="AR134" s="84"/>
      <c r="AS134" s="87">
        <f t="array" ref="AS134">IF(E134=1,SUM((ROW(Mf0)=ROW(AS134))*(Mf0+Mf1_+Mf2_+Mf3_+Mf4_+Mf5_+Mf6_+Mf7_+Mf8_+Mf9_+Mf10_+Mf11_+Mf12_+Mf13_+Mf14_+Mf15_+Mf16_+Mf17_+Mf18_+Mf19_+Mf20_+Mf21_+Mf22_+Mf23_+Mf24_+Mf25_+Mf26_+Mf27_+Mf28_+Mf29_+Mf30_+Mf31_+Mf32_+Mf33_+Mf34_+Mf35_+Mf36_+Mf37_)),0)</f>
        <v>0</v>
      </c>
      <c r="AU134" s="24" t="str">
        <f t="shared" si="10"/>
        <v/>
      </c>
      <c r="AV134" s="24" t="str">
        <f t="shared" si="15"/>
        <v/>
      </c>
      <c r="AW134" s="24" t="str">
        <f t="shared" si="11"/>
        <v/>
      </c>
      <c r="AX134" s="72">
        <f t="shared" si="16"/>
        <v>0</v>
      </c>
      <c r="AY134" s="24">
        <f t="shared" si="12"/>
        <v>0</v>
      </c>
      <c r="AZ134" s="24">
        <f t="array" ref="AZ134">IF(OR(RIGHT(B134,LEN(Par_LabelTravelTime))=Par_LabelTravelTime,B134="čas na ceste - fakturácia"),1,0)</f>
        <v>0</v>
      </c>
    </row>
    <row r="135" spans="2:52" s="24" customFormat="1" ht="12.75" x14ac:dyDescent="0.2">
      <c r="B135" s="97"/>
      <c r="C135" s="92"/>
      <c r="D135" s="31" t="str">
        <f>IF(E135=1,VLOOKUP(TableInvs[[#This Row],[Calc_V_Typ]],Tran_RevenuesList,3,FALSE),"")</f>
        <v/>
      </c>
      <c r="E135" s="31">
        <f t="shared" ref="E135:E198" si="17">IF(B135="",0,IF(LEFT(B135,3)="***",-1,1))</f>
        <v>0</v>
      </c>
      <c r="F135" s="9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  <c r="AA135" s="84"/>
      <c r="AB135" s="84"/>
      <c r="AC135" s="85"/>
      <c r="AD135" s="85"/>
      <c r="AE135" s="84"/>
      <c r="AF135" s="84"/>
      <c r="AG135" s="84"/>
      <c r="AH135" s="84"/>
      <c r="AI135" s="84"/>
      <c r="AJ135" s="84"/>
      <c r="AK135" s="84"/>
      <c r="AL135" s="84"/>
      <c r="AM135" s="84"/>
      <c r="AN135" s="84"/>
      <c r="AO135" s="84"/>
      <c r="AP135" s="84"/>
      <c r="AQ135" s="84"/>
      <c r="AR135" s="84"/>
      <c r="AS135" s="87">
        <f t="array" ref="AS135">IF(E135=1,SUM((ROW(Mf0)=ROW(AS135))*(Mf0+Mf1_+Mf2_+Mf3_+Mf4_+Mf5_+Mf6_+Mf7_+Mf8_+Mf9_+Mf10_+Mf11_+Mf12_+Mf13_+Mf14_+Mf15_+Mf16_+Mf17_+Mf18_+Mf19_+Mf20_+Mf21_+Mf22_+Mf23_+Mf24_+Mf25_+Mf26_+Mf27_+Mf28_+Mf29_+Mf30_+Mf31_+Mf32_+Mf33_+Mf34_+Mf35_+Mf36_+Mf37_)),0)</f>
        <v>0</v>
      </c>
      <c r="AU135" s="24" t="str">
        <f t="shared" ref="AU135:AU198" si="18">IF(E135=1,VLOOKUP(B135,Tran_RevenuesList,2,0),"")</f>
        <v/>
      </c>
      <c r="AV135" s="24" t="str">
        <f t="shared" ref="AV135:AV198" si="19">IF(E135=1,D135,"")</f>
        <v/>
      </c>
      <c r="AW135" s="24" t="str">
        <f t="shared" ref="AW135:AW198" si="20">IF(C135="","",VLOOKUP(C135,Tab_Parts,2,0))</f>
        <v/>
      </c>
      <c r="AX135" s="72">
        <f t="shared" ref="AX135:AX198" si="21">IF(E135=1,AS135,0)</f>
        <v>0</v>
      </c>
      <c r="AY135" s="24">
        <f t="shared" ref="AY135:AY198" si="22">IF(RIGHT(B135,LEN(Par_LabelTravelTime))=Par_LabelTravelTime,LEFT(B135,LEN(B135)-LEN(Par_LabelTravelTime)),B135)</f>
        <v>0</v>
      </c>
      <c r="AZ135" s="24">
        <f t="array" ref="AZ135">IF(OR(RIGHT(B135,LEN(Par_LabelTravelTime))=Par_LabelTravelTime,B135="čas na ceste - fakturácia"),1,0)</f>
        <v>0</v>
      </c>
    </row>
    <row r="136" spans="2:52" s="24" customFormat="1" ht="12.75" x14ac:dyDescent="0.2">
      <c r="B136" s="97"/>
      <c r="C136" s="92"/>
      <c r="D136" s="31" t="str">
        <f>IF(E136=1,VLOOKUP(TableInvs[[#This Row],[Calc_V_Typ]],Tran_RevenuesList,3,FALSE),"")</f>
        <v/>
      </c>
      <c r="E136" s="31">
        <f t="shared" si="17"/>
        <v>0</v>
      </c>
      <c r="F136" s="9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  <c r="AA136" s="84"/>
      <c r="AB136" s="84"/>
      <c r="AC136" s="85"/>
      <c r="AD136" s="85"/>
      <c r="AE136" s="84"/>
      <c r="AF136" s="84"/>
      <c r="AG136" s="84"/>
      <c r="AH136" s="84"/>
      <c r="AI136" s="84"/>
      <c r="AJ136" s="84"/>
      <c r="AK136" s="84"/>
      <c r="AL136" s="84"/>
      <c r="AM136" s="84"/>
      <c r="AN136" s="84"/>
      <c r="AO136" s="84"/>
      <c r="AP136" s="84"/>
      <c r="AQ136" s="84"/>
      <c r="AR136" s="84"/>
      <c r="AS136" s="87">
        <f t="array" ref="AS136">IF(E136=1,SUM((ROW(Mf0)=ROW(AS136))*(Mf0+Mf1_+Mf2_+Mf3_+Mf4_+Mf5_+Mf6_+Mf7_+Mf8_+Mf9_+Mf10_+Mf11_+Mf12_+Mf13_+Mf14_+Mf15_+Mf16_+Mf17_+Mf18_+Mf19_+Mf20_+Mf21_+Mf22_+Mf23_+Mf24_+Mf25_+Mf26_+Mf27_+Mf28_+Mf29_+Mf30_+Mf31_+Mf32_+Mf33_+Mf34_+Mf35_+Mf36_+Mf37_)),0)</f>
        <v>0</v>
      </c>
      <c r="AU136" s="24" t="str">
        <f t="shared" si="18"/>
        <v/>
      </c>
      <c r="AV136" s="24" t="str">
        <f t="shared" si="19"/>
        <v/>
      </c>
      <c r="AW136" s="24" t="str">
        <f t="shared" si="20"/>
        <v/>
      </c>
      <c r="AX136" s="72">
        <f t="shared" si="21"/>
        <v>0</v>
      </c>
      <c r="AY136" s="24">
        <f t="shared" si="22"/>
        <v>0</v>
      </c>
      <c r="AZ136" s="24">
        <f t="array" ref="AZ136">IF(OR(RIGHT(B136,LEN(Par_LabelTravelTime))=Par_LabelTravelTime,B136="čas na ceste - fakturácia"),1,0)</f>
        <v>0</v>
      </c>
    </row>
    <row r="137" spans="2:52" s="24" customFormat="1" ht="12.75" x14ac:dyDescent="0.2">
      <c r="B137" s="97"/>
      <c r="C137" s="92"/>
      <c r="D137" s="31" t="str">
        <f>IF(E137=1,VLOOKUP(TableInvs[[#This Row],[Calc_V_Typ]],Tran_RevenuesList,3,FALSE),"")</f>
        <v/>
      </c>
      <c r="E137" s="31">
        <f t="shared" si="17"/>
        <v>0</v>
      </c>
      <c r="F137" s="9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  <c r="AA137" s="84"/>
      <c r="AB137" s="84"/>
      <c r="AC137" s="85"/>
      <c r="AD137" s="85"/>
      <c r="AE137" s="84"/>
      <c r="AF137" s="84"/>
      <c r="AG137" s="84"/>
      <c r="AH137" s="84"/>
      <c r="AI137" s="84"/>
      <c r="AJ137" s="84"/>
      <c r="AK137" s="84"/>
      <c r="AL137" s="84"/>
      <c r="AM137" s="84"/>
      <c r="AN137" s="84"/>
      <c r="AO137" s="84"/>
      <c r="AP137" s="84"/>
      <c r="AQ137" s="84"/>
      <c r="AR137" s="84"/>
      <c r="AS137" s="87">
        <f t="array" ref="AS137">IF(E137=1,SUM((ROW(Mf0)=ROW(AS137))*(Mf0+Mf1_+Mf2_+Mf3_+Mf4_+Mf5_+Mf6_+Mf7_+Mf8_+Mf9_+Mf10_+Mf11_+Mf12_+Mf13_+Mf14_+Mf15_+Mf16_+Mf17_+Mf18_+Mf19_+Mf20_+Mf21_+Mf22_+Mf23_+Mf24_+Mf25_+Mf26_+Mf27_+Mf28_+Mf29_+Mf30_+Mf31_+Mf32_+Mf33_+Mf34_+Mf35_+Mf36_+Mf37_)),0)</f>
        <v>0</v>
      </c>
      <c r="AU137" s="24" t="str">
        <f t="shared" si="18"/>
        <v/>
      </c>
      <c r="AV137" s="24" t="str">
        <f t="shared" si="19"/>
        <v/>
      </c>
      <c r="AW137" s="24" t="str">
        <f t="shared" si="20"/>
        <v/>
      </c>
      <c r="AX137" s="72">
        <f t="shared" si="21"/>
        <v>0</v>
      </c>
      <c r="AY137" s="24">
        <f t="shared" si="22"/>
        <v>0</v>
      </c>
      <c r="AZ137" s="24">
        <f t="array" ref="AZ137">IF(OR(RIGHT(B137,LEN(Par_LabelTravelTime))=Par_LabelTravelTime,B137="čas na ceste - fakturácia"),1,0)</f>
        <v>0</v>
      </c>
    </row>
    <row r="138" spans="2:52" s="24" customFormat="1" ht="12.75" x14ac:dyDescent="0.2">
      <c r="B138" s="97"/>
      <c r="C138" s="92"/>
      <c r="D138" s="31" t="str">
        <f>IF(E138=1,VLOOKUP(TableInvs[[#This Row],[Calc_V_Typ]],Tran_RevenuesList,3,FALSE),"")</f>
        <v/>
      </c>
      <c r="E138" s="31">
        <f t="shared" si="17"/>
        <v>0</v>
      </c>
      <c r="F138" s="9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  <c r="AA138" s="84"/>
      <c r="AB138" s="84"/>
      <c r="AC138" s="85"/>
      <c r="AD138" s="85"/>
      <c r="AE138" s="84"/>
      <c r="AF138" s="84"/>
      <c r="AG138" s="84"/>
      <c r="AH138" s="84"/>
      <c r="AI138" s="84"/>
      <c r="AJ138" s="84"/>
      <c r="AK138" s="84"/>
      <c r="AL138" s="84"/>
      <c r="AM138" s="84"/>
      <c r="AN138" s="84"/>
      <c r="AO138" s="84"/>
      <c r="AP138" s="84"/>
      <c r="AQ138" s="84"/>
      <c r="AR138" s="84"/>
      <c r="AS138" s="87">
        <f t="array" ref="AS138">IF(E138=1,SUM((ROW(Mf0)=ROW(AS138))*(Mf0+Mf1_+Mf2_+Mf3_+Mf4_+Mf5_+Mf6_+Mf7_+Mf8_+Mf9_+Mf10_+Mf11_+Mf12_+Mf13_+Mf14_+Mf15_+Mf16_+Mf17_+Mf18_+Mf19_+Mf20_+Mf21_+Mf22_+Mf23_+Mf24_+Mf25_+Mf26_+Mf27_+Mf28_+Mf29_+Mf30_+Mf31_+Mf32_+Mf33_+Mf34_+Mf35_+Mf36_+Mf37_)),0)</f>
        <v>0</v>
      </c>
      <c r="AU138" s="24" t="str">
        <f t="shared" si="18"/>
        <v/>
      </c>
      <c r="AV138" s="24" t="str">
        <f t="shared" si="19"/>
        <v/>
      </c>
      <c r="AW138" s="24" t="str">
        <f t="shared" si="20"/>
        <v/>
      </c>
      <c r="AX138" s="72">
        <f t="shared" si="21"/>
        <v>0</v>
      </c>
      <c r="AY138" s="24">
        <f t="shared" si="22"/>
        <v>0</v>
      </c>
      <c r="AZ138" s="24">
        <f t="array" ref="AZ138">IF(OR(RIGHT(B138,LEN(Par_LabelTravelTime))=Par_LabelTravelTime,B138="čas na ceste - fakturácia"),1,0)</f>
        <v>0</v>
      </c>
    </row>
    <row r="139" spans="2:52" s="24" customFormat="1" ht="12.75" x14ac:dyDescent="0.2">
      <c r="B139" s="97"/>
      <c r="C139" s="92"/>
      <c r="D139" s="31" t="str">
        <f>IF(E139=1,VLOOKUP(TableInvs[[#This Row],[Calc_V_Typ]],Tran_RevenuesList,3,FALSE),"")</f>
        <v/>
      </c>
      <c r="E139" s="31">
        <f t="shared" si="17"/>
        <v>0</v>
      </c>
      <c r="F139" s="94"/>
      <c r="G139" s="84"/>
      <c r="H139" s="84"/>
      <c r="I139" s="84"/>
      <c r="J139" s="84"/>
      <c r="K139" s="84"/>
      <c r="L139" s="84"/>
      <c r="M139" s="84"/>
      <c r="N139" s="84"/>
      <c r="O139" s="84"/>
      <c r="P139" s="84"/>
      <c r="Q139" s="84"/>
      <c r="R139" s="84"/>
      <c r="S139" s="84"/>
      <c r="T139" s="84"/>
      <c r="U139" s="84"/>
      <c r="V139" s="84"/>
      <c r="W139" s="84"/>
      <c r="X139" s="84"/>
      <c r="Y139" s="84"/>
      <c r="Z139" s="84"/>
      <c r="AA139" s="84"/>
      <c r="AB139" s="84"/>
      <c r="AC139" s="85"/>
      <c r="AD139" s="85"/>
      <c r="AE139" s="84"/>
      <c r="AF139" s="84"/>
      <c r="AG139" s="84"/>
      <c r="AH139" s="84"/>
      <c r="AI139" s="84"/>
      <c r="AJ139" s="84"/>
      <c r="AK139" s="84"/>
      <c r="AL139" s="84"/>
      <c r="AM139" s="84"/>
      <c r="AN139" s="84"/>
      <c r="AO139" s="84"/>
      <c r="AP139" s="84"/>
      <c r="AQ139" s="84"/>
      <c r="AR139" s="84"/>
      <c r="AS139" s="87">
        <f t="array" ref="AS139">IF(E139=1,SUM((ROW(Mf0)=ROW(AS139))*(Mf0+Mf1_+Mf2_+Mf3_+Mf4_+Mf5_+Mf6_+Mf7_+Mf8_+Mf9_+Mf10_+Mf11_+Mf12_+Mf13_+Mf14_+Mf15_+Mf16_+Mf17_+Mf18_+Mf19_+Mf20_+Mf21_+Mf22_+Mf23_+Mf24_+Mf25_+Mf26_+Mf27_+Mf28_+Mf29_+Mf30_+Mf31_+Mf32_+Mf33_+Mf34_+Mf35_+Mf36_+Mf37_)),0)</f>
        <v>0</v>
      </c>
      <c r="AU139" s="24" t="str">
        <f t="shared" si="18"/>
        <v/>
      </c>
      <c r="AV139" s="24" t="str">
        <f t="shared" si="19"/>
        <v/>
      </c>
      <c r="AW139" s="24" t="str">
        <f t="shared" si="20"/>
        <v/>
      </c>
      <c r="AX139" s="72">
        <f t="shared" si="21"/>
        <v>0</v>
      </c>
      <c r="AY139" s="24">
        <f t="shared" si="22"/>
        <v>0</v>
      </c>
      <c r="AZ139" s="24">
        <f t="array" ref="AZ139">IF(OR(RIGHT(B139,LEN(Par_LabelTravelTime))=Par_LabelTravelTime,B139="čas na ceste - fakturácia"),1,0)</f>
        <v>0</v>
      </c>
    </row>
    <row r="140" spans="2:52" s="24" customFormat="1" ht="12.75" x14ac:dyDescent="0.2">
      <c r="B140" s="97"/>
      <c r="C140" s="92"/>
      <c r="D140" s="31" t="str">
        <f>IF(E140=1,VLOOKUP(TableInvs[[#This Row],[Calc_V_Typ]],Tran_RevenuesList,3,FALSE),"")</f>
        <v/>
      </c>
      <c r="E140" s="31">
        <f t="shared" si="17"/>
        <v>0</v>
      </c>
      <c r="F140" s="94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84"/>
      <c r="U140" s="84"/>
      <c r="V140" s="84"/>
      <c r="W140" s="84"/>
      <c r="X140" s="84"/>
      <c r="Y140" s="84"/>
      <c r="Z140" s="84"/>
      <c r="AA140" s="84"/>
      <c r="AB140" s="84"/>
      <c r="AC140" s="85"/>
      <c r="AD140" s="85"/>
      <c r="AE140" s="84"/>
      <c r="AF140" s="84"/>
      <c r="AG140" s="84"/>
      <c r="AH140" s="84"/>
      <c r="AI140" s="84"/>
      <c r="AJ140" s="84"/>
      <c r="AK140" s="84"/>
      <c r="AL140" s="84"/>
      <c r="AM140" s="84"/>
      <c r="AN140" s="84"/>
      <c r="AO140" s="84"/>
      <c r="AP140" s="84"/>
      <c r="AQ140" s="84"/>
      <c r="AR140" s="84"/>
      <c r="AS140" s="87">
        <f t="array" ref="AS140">IF(E140=1,SUM((ROW(Mf0)=ROW(AS140))*(Mf0+Mf1_+Mf2_+Mf3_+Mf4_+Mf5_+Mf6_+Mf7_+Mf8_+Mf9_+Mf10_+Mf11_+Mf12_+Mf13_+Mf14_+Mf15_+Mf16_+Mf17_+Mf18_+Mf19_+Mf20_+Mf21_+Mf22_+Mf23_+Mf24_+Mf25_+Mf26_+Mf27_+Mf28_+Mf29_+Mf30_+Mf31_+Mf32_+Mf33_+Mf34_+Mf35_+Mf36_+Mf37_)),0)</f>
        <v>0</v>
      </c>
      <c r="AU140" s="24" t="str">
        <f t="shared" si="18"/>
        <v/>
      </c>
      <c r="AV140" s="24" t="str">
        <f t="shared" si="19"/>
        <v/>
      </c>
      <c r="AW140" s="24" t="str">
        <f t="shared" si="20"/>
        <v/>
      </c>
      <c r="AX140" s="72">
        <f t="shared" si="21"/>
        <v>0</v>
      </c>
      <c r="AY140" s="24">
        <f t="shared" si="22"/>
        <v>0</v>
      </c>
      <c r="AZ140" s="24">
        <f t="array" ref="AZ140">IF(OR(RIGHT(B140,LEN(Par_LabelTravelTime))=Par_LabelTravelTime,B140="čas na ceste - fakturácia"),1,0)</f>
        <v>0</v>
      </c>
    </row>
    <row r="141" spans="2:52" s="24" customFormat="1" ht="12.75" x14ac:dyDescent="0.2">
      <c r="B141" s="97"/>
      <c r="C141" s="92"/>
      <c r="D141" s="31" t="str">
        <f>IF(E141=1,VLOOKUP(TableInvs[[#This Row],[Calc_V_Typ]],Tran_RevenuesList,3,FALSE),"")</f>
        <v/>
      </c>
      <c r="E141" s="31">
        <f t="shared" si="17"/>
        <v>0</v>
      </c>
      <c r="F141" s="9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  <c r="W141" s="84"/>
      <c r="X141" s="84"/>
      <c r="Y141" s="84"/>
      <c r="Z141" s="84"/>
      <c r="AA141" s="84"/>
      <c r="AB141" s="84"/>
      <c r="AC141" s="85"/>
      <c r="AD141" s="85"/>
      <c r="AE141" s="84"/>
      <c r="AF141" s="84"/>
      <c r="AG141" s="84"/>
      <c r="AH141" s="84"/>
      <c r="AI141" s="84"/>
      <c r="AJ141" s="84"/>
      <c r="AK141" s="84"/>
      <c r="AL141" s="84"/>
      <c r="AM141" s="84"/>
      <c r="AN141" s="84"/>
      <c r="AO141" s="84"/>
      <c r="AP141" s="84"/>
      <c r="AQ141" s="84"/>
      <c r="AR141" s="84"/>
      <c r="AS141" s="87">
        <f t="array" ref="AS141">IF(E141=1,SUM((ROW(Mf0)=ROW(AS141))*(Mf0+Mf1_+Mf2_+Mf3_+Mf4_+Mf5_+Mf6_+Mf7_+Mf8_+Mf9_+Mf10_+Mf11_+Mf12_+Mf13_+Mf14_+Mf15_+Mf16_+Mf17_+Mf18_+Mf19_+Mf20_+Mf21_+Mf22_+Mf23_+Mf24_+Mf25_+Mf26_+Mf27_+Mf28_+Mf29_+Mf30_+Mf31_+Mf32_+Mf33_+Mf34_+Mf35_+Mf36_+Mf37_)),0)</f>
        <v>0</v>
      </c>
      <c r="AU141" s="24" t="str">
        <f t="shared" si="18"/>
        <v/>
      </c>
      <c r="AV141" s="24" t="str">
        <f t="shared" si="19"/>
        <v/>
      </c>
      <c r="AW141" s="24" t="str">
        <f t="shared" si="20"/>
        <v/>
      </c>
      <c r="AX141" s="72">
        <f t="shared" si="21"/>
        <v>0</v>
      </c>
      <c r="AY141" s="24">
        <f t="shared" si="22"/>
        <v>0</v>
      </c>
      <c r="AZ141" s="24">
        <f t="array" ref="AZ141">IF(OR(RIGHT(B141,LEN(Par_LabelTravelTime))=Par_LabelTravelTime,B141="čas na ceste - fakturácia"),1,0)</f>
        <v>0</v>
      </c>
    </row>
    <row r="142" spans="2:52" s="24" customFormat="1" ht="12.75" x14ac:dyDescent="0.2">
      <c r="B142" s="97"/>
      <c r="C142" s="92"/>
      <c r="D142" s="31" t="str">
        <f>IF(E142=1,VLOOKUP(TableInvs[[#This Row],[Calc_V_Typ]],Tran_RevenuesList,3,FALSE),"")</f>
        <v/>
      </c>
      <c r="E142" s="31">
        <f t="shared" si="17"/>
        <v>0</v>
      </c>
      <c r="F142" s="9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  <c r="S142" s="84"/>
      <c r="T142" s="84"/>
      <c r="U142" s="84"/>
      <c r="V142" s="84"/>
      <c r="W142" s="84"/>
      <c r="X142" s="84"/>
      <c r="Y142" s="84"/>
      <c r="Z142" s="84"/>
      <c r="AA142" s="84"/>
      <c r="AB142" s="84"/>
      <c r="AC142" s="85"/>
      <c r="AD142" s="85"/>
      <c r="AE142" s="84"/>
      <c r="AF142" s="84"/>
      <c r="AG142" s="84"/>
      <c r="AH142" s="84"/>
      <c r="AI142" s="84"/>
      <c r="AJ142" s="84"/>
      <c r="AK142" s="84"/>
      <c r="AL142" s="84"/>
      <c r="AM142" s="84"/>
      <c r="AN142" s="84"/>
      <c r="AO142" s="84"/>
      <c r="AP142" s="84"/>
      <c r="AQ142" s="84"/>
      <c r="AR142" s="84"/>
      <c r="AS142" s="87">
        <f t="array" ref="AS142">IF(E142=1,SUM((ROW(Mf0)=ROW(AS142))*(Mf0+Mf1_+Mf2_+Mf3_+Mf4_+Mf5_+Mf6_+Mf7_+Mf8_+Mf9_+Mf10_+Mf11_+Mf12_+Mf13_+Mf14_+Mf15_+Mf16_+Mf17_+Mf18_+Mf19_+Mf20_+Mf21_+Mf22_+Mf23_+Mf24_+Mf25_+Mf26_+Mf27_+Mf28_+Mf29_+Mf30_+Mf31_+Mf32_+Mf33_+Mf34_+Mf35_+Mf36_+Mf37_)),0)</f>
        <v>0</v>
      </c>
      <c r="AU142" s="24" t="str">
        <f t="shared" si="18"/>
        <v/>
      </c>
      <c r="AV142" s="24" t="str">
        <f t="shared" si="19"/>
        <v/>
      </c>
      <c r="AW142" s="24" t="str">
        <f t="shared" si="20"/>
        <v/>
      </c>
      <c r="AX142" s="72">
        <f t="shared" si="21"/>
        <v>0</v>
      </c>
      <c r="AY142" s="24">
        <f t="shared" si="22"/>
        <v>0</v>
      </c>
      <c r="AZ142" s="24">
        <f t="array" ref="AZ142">IF(OR(RIGHT(B142,LEN(Par_LabelTravelTime))=Par_LabelTravelTime,B142="čas na ceste - fakturácia"),1,0)</f>
        <v>0</v>
      </c>
    </row>
    <row r="143" spans="2:52" s="24" customFormat="1" ht="12.75" x14ac:dyDescent="0.2">
      <c r="B143" s="97"/>
      <c r="C143" s="92"/>
      <c r="D143" s="31" t="str">
        <f>IF(E143=1,VLOOKUP(TableInvs[[#This Row],[Calc_V_Typ]],Tran_RevenuesList,3,FALSE),"")</f>
        <v/>
      </c>
      <c r="E143" s="31">
        <f t="shared" si="17"/>
        <v>0</v>
      </c>
      <c r="F143" s="9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  <c r="W143" s="84"/>
      <c r="X143" s="84"/>
      <c r="Y143" s="84"/>
      <c r="Z143" s="84"/>
      <c r="AA143" s="84"/>
      <c r="AB143" s="84"/>
      <c r="AC143" s="85"/>
      <c r="AD143" s="85"/>
      <c r="AE143" s="84"/>
      <c r="AF143" s="84"/>
      <c r="AG143" s="84"/>
      <c r="AH143" s="84"/>
      <c r="AI143" s="84"/>
      <c r="AJ143" s="84"/>
      <c r="AK143" s="84"/>
      <c r="AL143" s="84"/>
      <c r="AM143" s="84"/>
      <c r="AN143" s="84"/>
      <c r="AO143" s="84"/>
      <c r="AP143" s="84"/>
      <c r="AQ143" s="84"/>
      <c r="AR143" s="84"/>
      <c r="AS143" s="87">
        <f t="array" ref="AS143">IF(E143=1,SUM((ROW(Mf0)=ROW(AS143))*(Mf0+Mf1_+Mf2_+Mf3_+Mf4_+Mf5_+Mf6_+Mf7_+Mf8_+Mf9_+Mf10_+Mf11_+Mf12_+Mf13_+Mf14_+Mf15_+Mf16_+Mf17_+Mf18_+Mf19_+Mf20_+Mf21_+Mf22_+Mf23_+Mf24_+Mf25_+Mf26_+Mf27_+Mf28_+Mf29_+Mf30_+Mf31_+Mf32_+Mf33_+Mf34_+Mf35_+Mf36_+Mf37_)),0)</f>
        <v>0</v>
      </c>
      <c r="AU143" s="24" t="str">
        <f t="shared" si="18"/>
        <v/>
      </c>
      <c r="AV143" s="24" t="str">
        <f t="shared" si="19"/>
        <v/>
      </c>
      <c r="AW143" s="24" t="str">
        <f t="shared" si="20"/>
        <v/>
      </c>
      <c r="AX143" s="72">
        <f t="shared" si="21"/>
        <v>0</v>
      </c>
      <c r="AY143" s="24">
        <f t="shared" si="22"/>
        <v>0</v>
      </c>
      <c r="AZ143" s="24">
        <f t="array" ref="AZ143">IF(OR(RIGHT(B143,LEN(Par_LabelTravelTime))=Par_LabelTravelTime,B143="čas na ceste - fakturácia"),1,0)</f>
        <v>0</v>
      </c>
    </row>
    <row r="144" spans="2:52" s="24" customFormat="1" ht="12.75" x14ac:dyDescent="0.2">
      <c r="B144" s="97"/>
      <c r="C144" s="92"/>
      <c r="D144" s="31" t="str">
        <f>IF(E144=1,VLOOKUP(TableInvs[[#This Row],[Calc_V_Typ]],Tran_RevenuesList,3,FALSE),"")</f>
        <v/>
      </c>
      <c r="E144" s="31">
        <f t="shared" si="17"/>
        <v>0</v>
      </c>
      <c r="F144" s="9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  <c r="W144" s="84"/>
      <c r="X144" s="84"/>
      <c r="Y144" s="84"/>
      <c r="Z144" s="84"/>
      <c r="AA144" s="84"/>
      <c r="AB144" s="84"/>
      <c r="AC144" s="85"/>
      <c r="AD144" s="85"/>
      <c r="AE144" s="84"/>
      <c r="AF144" s="84"/>
      <c r="AG144" s="84"/>
      <c r="AH144" s="84"/>
      <c r="AI144" s="84"/>
      <c r="AJ144" s="84"/>
      <c r="AK144" s="84"/>
      <c r="AL144" s="84"/>
      <c r="AM144" s="84"/>
      <c r="AN144" s="84"/>
      <c r="AO144" s="84"/>
      <c r="AP144" s="84"/>
      <c r="AQ144" s="84"/>
      <c r="AR144" s="84"/>
      <c r="AS144" s="87">
        <f t="array" ref="AS144">IF(E144=1,SUM((ROW(Mf0)=ROW(AS144))*(Mf0+Mf1_+Mf2_+Mf3_+Mf4_+Mf5_+Mf6_+Mf7_+Mf8_+Mf9_+Mf10_+Mf11_+Mf12_+Mf13_+Mf14_+Mf15_+Mf16_+Mf17_+Mf18_+Mf19_+Mf20_+Mf21_+Mf22_+Mf23_+Mf24_+Mf25_+Mf26_+Mf27_+Mf28_+Mf29_+Mf30_+Mf31_+Mf32_+Mf33_+Mf34_+Mf35_+Mf36_+Mf37_)),0)</f>
        <v>0</v>
      </c>
      <c r="AU144" s="24" t="str">
        <f t="shared" si="18"/>
        <v/>
      </c>
      <c r="AV144" s="24" t="str">
        <f t="shared" si="19"/>
        <v/>
      </c>
      <c r="AW144" s="24" t="str">
        <f t="shared" si="20"/>
        <v/>
      </c>
      <c r="AX144" s="72">
        <f t="shared" si="21"/>
        <v>0</v>
      </c>
      <c r="AY144" s="24">
        <f t="shared" si="22"/>
        <v>0</v>
      </c>
      <c r="AZ144" s="24">
        <f t="array" ref="AZ144">IF(OR(RIGHT(B144,LEN(Par_LabelTravelTime))=Par_LabelTravelTime,B144="čas na ceste - fakturácia"),1,0)</f>
        <v>0</v>
      </c>
    </row>
    <row r="145" spans="2:52" s="24" customFormat="1" ht="12.75" x14ac:dyDescent="0.2">
      <c r="B145" s="97"/>
      <c r="C145" s="92"/>
      <c r="D145" s="31" t="str">
        <f>IF(E145=1,VLOOKUP(TableInvs[[#This Row],[Calc_V_Typ]],Tran_RevenuesList,3,FALSE),"")</f>
        <v/>
      </c>
      <c r="E145" s="31">
        <f t="shared" si="17"/>
        <v>0</v>
      </c>
      <c r="F145" s="9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  <c r="W145" s="84"/>
      <c r="X145" s="84"/>
      <c r="Y145" s="84"/>
      <c r="Z145" s="84"/>
      <c r="AA145" s="84"/>
      <c r="AB145" s="84"/>
      <c r="AC145" s="85"/>
      <c r="AD145" s="85"/>
      <c r="AE145" s="84"/>
      <c r="AF145" s="84"/>
      <c r="AG145" s="84"/>
      <c r="AH145" s="84"/>
      <c r="AI145" s="84"/>
      <c r="AJ145" s="84"/>
      <c r="AK145" s="84"/>
      <c r="AL145" s="84"/>
      <c r="AM145" s="84"/>
      <c r="AN145" s="84"/>
      <c r="AO145" s="84"/>
      <c r="AP145" s="84"/>
      <c r="AQ145" s="84"/>
      <c r="AR145" s="84"/>
      <c r="AS145" s="87">
        <f t="array" ref="AS145">IF(E145=1,SUM((ROW(Mf0)=ROW(AS145))*(Mf0+Mf1_+Mf2_+Mf3_+Mf4_+Mf5_+Mf6_+Mf7_+Mf8_+Mf9_+Mf10_+Mf11_+Mf12_+Mf13_+Mf14_+Mf15_+Mf16_+Mf17_+Mf18_+Mf19_+Mf20_+Mf21_+Mf22_+Mf23_+Mf24_+Mf25_+Mf26_+Mf27_+Mf28_+Mf29_+Mf30_+Mf31_+Mf32_+Mf33_+Mf34_+Mf35_+Mf36_+Mf37_)),0)</f>
        <v>0</v>
      </c>
      <c r="AU145" s="24" t="str">
        <f t="shared" si="18"/>
        <v/>
      </c>
      <c r="AV145" s="24" t="str">
        <f t="shared" si="19"/>
        <v/>
      </c>
      <c r="AW145" s="24" t="str">
        <f t="shared" si="20"/>
        <v/>
      </c>
      <c r="AX145" s="72">
        <f t="shared" si="21"/>
        <v>0</v>
      </c>
      <c r="AY145" s="24">
        <f t="shared" si="22"/>
        <v>0</v>
      </c>
      <c r="AZ145" s="24">
        <f t="array" ref="AZ145">IF(OR(RIGHT(B145,LEN(Par_LabelTravelTime))=Par_LabelTravelTime,B145="čas na ceste - fakturácia"),1,0)</f>
        <v>0</v>
      </c>
    </row>
    <row r="146" spans="2:52" s="24" customFormat="1" ht="12.75" x14ac:dyDescent="0.2">
      <c r="B146" s="97"/>
      <c r="C146" s="92"/>
      <c r="D146" s="31" t="str">
        <f>IF(E146=1,VLOOKUP(TableInvs[[#This Row],[Calc_V_Typ]],Tran_RevenuesList,3,FALSE),"")</f>
        <v/>
      </c>
      <c r="E146" s="31">
        <f t="shared" si="17"/>
        <v>0</v>
      </c>
      <c r="F146" s="9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  <c r="W146" s="84"/>
      <c r="X146" s="84"/>
      <c r="Y146" s="84"/>
      <c r="Z146" s="84"/>
      <c r="AA146" s="84"/>
      <c r="AB146" s="84"/>
      <c r="AC146" s="85"/>
      <c r="AD146" s="85"/>
      <c r="AE146" s="84"/>
      <c r="AF146" s="84"/>
      <c r="AG146" s="84"/>
      <c r="AH146" s="84"/>
      <c r="AI146" s="84"/>
      <c r="AJ146" s="84"/>
      <c r="AK146" s="84"/>
      <c r="AL146" s="84"/>
      <c r="AM146" s="84"/>
      <c r="AN146" s="84"/>
      <c r="AO146" s="84"/>
      <c r="AP146" s="84"/>
      <c r="AQ146" s="84"/>
      <c r="AR146" s="84"/>
      <c r="AS146" s="87">
        <f t="array" ref="AS146">IF(E146=1,SUM((ROW(Mf0)=ROW(AS146))*(Mf0+Mf1_+Mf2_+Mf3_+Mf4_+Mf5_+Mf6_+Mf7_+Mf8_+Mf9_+Mf10_+Mf11_+Mf12_+Mf13_+Mf14_+Mf15_+Mf16_+Mf17_+Mf18_+Mf19_+Mf20_+Mf21_+Mf22_+Mf23_+Mf24_+Mf25_+Mf26_+Mf27_+Mf28_+Mf29_+Mf30_+Mf31_+Mf32_+Mf33_+Mf34_+Mf35_+Mf36_+Mf37_)),0)</f>
        <v>0</v>
      </c>
      <c r="AU146" s="24" t="str">
        <f t="shared" si="18"/>
        <v/>
      </c>
      <c r="AV146" s="24" t="str">
        <f t="shared" si="19"/>
        <v/>
      </c>
      <c r="AW146" s="24" t="str">
        <f t="shared" si="20"/>
        <v/>
      </c>
      <c r="AX146" s="72">
        <f t="shared" si="21"/>
        <v>0</v>
      </c>
      <c r="AY146" s="24">
        <f t="shared" si="22"/>
        <v>0</v>
      </c>
      <c r="AZ146" s="24">
        <f t="array" ref="AZ146">IF(OR(RIGHT(B146,LEN(Par_LabelTravelTime))=Par_LabelTravelTime,B146="čas na ceste - fakturácia"),1,0)</f>
        <v>0</v>
      </c>
    </row>
    <row r="147" spans="2:52" s="24" customFormat="1" ht="12.75" x14ac:dyDescent="0.2">
      <c r="B147" s="97"/>
      <c r="C147" s="92"/>
      <c r="D147" s="31" t="str">
        <f>IF(E147=1,VLOOKUP(TableInvs[[#This Row],[Calc_V_Typ]],Tran_RevenuesList,3,FALSE),"")</f>
        <v/>
      </c>
      <c r="E147" s="31">
        <f t="shared" si="17"/>
        <v>0</v>
      </c>
      <c r="F147" s="9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  <c r="W147" s="84"/>
      <c r="X147" s="84"/>
      <c r="Y147" s="84"/>
      <c r="Z147" s="84"/>
      <c r="AA147" s="84"/>
      <c r="AB147" s="84"/>
      <c r="AC147" s="85"/>
      <c r="AD147" s="85"/>
      <c r="AE147" s="84"/>
      <c r="AF147" s="84"/>
      <c r="AG147" s="84"/>
      <c r="AH147" s="84"/>
      <c r="AI147" s="84"/>
      <c r="AJ147" s="84"/>
      <c r="AK147" s="84"/>
      <c r="AL147" s="84"/>
      <c r="AM147" s="84"/>
      <c r="AN147" s="84"/>
      <c r="AO147" s="84"/>
      <c r="AP147" s="84"/>
      <c r="AQ147" s="84"/>
      <c r="AR147" s="84"/>
      <c r="AS147" s="87">
        <f t="array" ref="AS147">IF(E147=1,SUM((ROW(Mf0)=ROW(AS147))*(Mf0+Mf1_+Mf2_+Mf3_+Mf4_+Mf5_+Mf6_+Mf7_+Mf8_+Mf9_+Mf10_+Mf11_+Mf12_+Mf13_+Mf14_+Mf15_+Mf16_+Mf17_+Mf18_+Mf19_+Mf20_+Mf21_+Mf22_+Mf23_+Mf24_+Mf25_+Mf26_+Mf27_+Mf28_+Mf29_+Mf30_+Mf31_+Mf32_+Mf33_+Mf34_+Mf35_+Mf36_+Mf37_)),0)</f>
        <v>0</v>
      </c>
      <c r="AU147" s="24" t="str">
        <f t="shared" si="18"/>
        <v/>
      </c>
      <c r="AV147" s="24" t="str">
        <f t="shared" si="19"/>
        <v/>
      </c>
      <c r="AW147" s="24" t="str">
        <f t="shared" si="20"/>
        <v/>
      </c>
      <c r="AX147" s="72">
        <f t="shared" si="21"/>
        <v>0</v>
      </c>
      <c r="AY147" s="24">
        <f t="shared" si="22"/>
        <v>0</v>
      </c>
      <c r="AZ147" s="24">
        <f t="array" ref="AZ147">IF(OR(RIGHT(B147,LEN(Par_LabelTravelTime))=Par_LabelTravelTime,B147="čas na ceste - fakturácia"),1,0)</f>
        <v>0</v>
      </c>
    </row>
    <row r="148" spans="2:52" s="24" customFormat="1" ht="12.75" x14ac:dyDescent="0.2">
      <c r="B148" s="97"/>
      <c r="C148" s="92"/>
      <c r="D148" s="31" t="str">
        <f>IF(E148=1,VLOOKUP(TableInvs[[#This Row],[Calc_V_Typ]],Tran_RevenuesList,3,FALSE),"")</f>
        <v/>
      </c>
      <c r="E148" s="31">
        <f t="shared" si="17"/>
        <v>0</v>
      </c>
      <c r="F148" s="9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  <c r="S148" s="84"/>
      <c r="T148" s="84"/>
      <c r="U148" s="84"/>
      <c r="V148" s="84"/>
      <c r="W148" s="84"/>
      <c r="X148" s="84"/>
      <c r="Y148" s="84"/>
      <c r="Z148" s="84"/>
      <c r="AA148" s="84"/>
      <c r="AB148" s="84"/>
      <c r="AC148" s="85"/>
      <c r="AD148" s="85"/>
      <c r="AE148" s="84"/>
      <c r="AF148" s="84"/>
      <c r="AG148" s="84"/>
      <c r="AH148" s="84"/>
      <c r="AI148" s="84"/>
      <c r="AJ148" s="84"/>
      <c r="AK148" s="84"/>
      <c r="AL148" s="84"/>
      <c r="AM148" s="84"/>
      <c r="AN148" s="84"/>
      <c r="AO148" s="84"/>
      <c r="AP148" s="84"/>
      <c r="AQ148" s="84"/>
      <c r="AR148" s="84"/>
      <c r="AS148" s="87">
        <f t="array" ref="AS148">IF(E148=1,SUM((ROW(Mf0)=ROW(AS148))*(Mf0+Mf1_+Mf2_+Mf3_+Mf4_+Mf5_+Mf6_+Mf7_+Mf8_+Mf9_+Mf10_+Mf11_+Mf12_+Mf13_+Mf14_+Mf15_+Mf16_+Mf17_+Mf18_+Mf19_+Mf20_+Mf21_+Mf22_+Mf23_+Mf24_+Mf25_+Mf26_+Mf27_+Mf28_+Mf29_+Mf30_+Mf31_+Mf32_+Mf33_+Mf34_+Mf35_+Mf36_+Mf37_)),0)</f>
        <v>0</v>
      </c>
      <c r="AU148" s="24" t="str">
        <f t="shared" si="18"/>
        <v/>
      </c>
      <c r="AV148" s="24" t="str">
        <f t="shared" si="19"/>
        <v/>
      </c>
      <c r="AW148" s="24" t="str">
        <f t="shared" si="20"/>
        <v/>
      </c>
      <c r="AX148" s="72">
        <f t="shared" si="21"/>
        <v>0</v>
      </c>
      <c r="AY148" s="24">
        <f t="shared" si="22"/>
        <v>0</v>
      </c>
      <c r="AZ148" s="24">
        <f t="array" ref="AZ148">IF(OR(RIGHT(B148,LEN(Par_LabelTravelTime))=Par_LabelTravelTime,B148="čas na ceste - fakturácia"),1,0)</f>
        <v>0</v>
      </c>
    </row>
    <row r="149" spans="2:52" s="24" customFormat="1" ht="12.75" x14ac:dyDescent="0.2">
      <c r="B149" s="97"/>
      <c r="C149" s="92"/>
      <c r="D149" s="31" t="str">
        <f>IF(E149=1,VLOOKUP(TableInvs[[#This Row],[Calc_V_Typ]],Tran_RevenuesList,3,FALSE),"")</f>
        <v/>
      </c>
      <c r="E149" s="31">
        <f t="shared" si="17"/>
        <v>0</v>
      </c>
      <c r="F149" s="9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  <c r="S149" s="84"/>
      <c r="T149" s="84"/>
      <c r="U149" s="84"/>
      <c r="V149" s="84"/>
      <c r="W149" s="84"/>
      <c r="X149" s="84"/>
      <c r="Y149" s="84"/>
      <c r="Z149" s="84"/>
      <c r="AA149" s="84"/>
      <c r="AB149" s="84"/>
      <c r="AC149" s="85"/>
      <c r="AD149" s="85"/>
      <c r="AE149" s="84"/>
      <c r="AF149" s="84"/>
      <c r="AG149" s="84"/>
      <c r="AH149" s="84"/>
      <c r="AI149" s="84"/>
      <c r="AJ149" s="84"/>
      <c r="AK149" s="84"/>
      <c r="AL149" s="84"/>
      <c r="AM149" s="84"/>
      <c r="AN149" s="84"/>
      <c r="AO149" s="84"/>
      <c r="AP149" s="84"/>
      <c r="AQ149" s="84"/>
      <c r="AR149" s="84"/>
      <c r="AS149" s="87">
        <f t="array" ref="AS149">IF(E149=1,SUM((ROW(Mf0)=ROW(AS149))*(Mf0+Mf1_+Mf2_+Mf3_+Mf4_+Mf5_+Mf6_+Mf7_+Mf8_+Mf9_+Mf10_+Mf11_+Mf12_+Mf13_+Mf14_+Mf15_+Mf16_+Mf17_+Mf18_+Mf19_+Mf20_+Mf21_+Mf22_+Mf23_+Mf24_+Mf25_+Mf26_+Mf27_+Mf28_+Mf29_+Mf30_+Mf31_+Mf32_+Mf33_+Mf34_+Mf35_+Mf36_+Mf37_)),0)</f>
        <v>0</v>
      </c>
      <c r="AU149" s="24" t="str">
        <f t="shared" si="18"/>
        <v/>
      </c>
      <c r="AV149" s="24" t="str">
        <f t="shared" si="19"/>
        <v/>
      </c>
      <c r="AW149" s="24" t="str">
        <f t="shared" si="20"/>
        <v/>
      </c>
      <c r="AX149" s="72">
        <f t="shared" si="21"/>
        <v>0</v>
      </c>
      <c r="AY149" s="24">
        <f t="shared" si="22"/>
        <v>0</v>
      </c>
      <c r="AZ149" s="24">
        <f t="array" ref="AZ149">IF(OR(RIGHT(B149,LEN(Par_LabelTravelTime))=Par_LabelTravelTime,B149="čas na ceste - fakturácia"),1,0)</f>
        <v>0</v>
      </c>
    </row>
    <row r="150" spans="2:52" s="24" customFormat="1" ht="12.75" x14ac:dyDescent="0.2">
      <c r="B150" s="97"/>
      <c r="C150" s="92"/>
      <c r="D150" s="31" t="str">
        <f>IF(E150=1,VLOOKUP(TableInvs[[#This Row],[Calc_V_Typ]],Tran_RevenuesList,3,FALSE),"")</f>
        <v/>
      </c>
      <c r="E150" s="31">
        <f t="shared" si="17"/>
        <v>0</v>
      </c>
      <c r="F150" s="9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  <c r="W150" s="84"/>
      <c r="X150" s="84"/>
      <c r="Y150" s="84"/>
      <c r="Z150" s="84"/>
      <c r="AA150" s="84"/>
      <c r="AB150" s="84"/>
      <c r="AC150" s="85"/>
      <c r="AD150" s="85"/>
      <c r="AE150" s="84"/>
      <c r="AF150" s="84"/>
      <c r="AG150" s="84"/>
      <c r="AH150" s="84"/>
      <c r="AI150" s="84"/>
      <c r="AJ150" s="84"/>
      <c r="AK150" s="84"/>
      <c r="AL150" s="84"/>
      <c r="AM150" s="84"/>
      <c r="AN150" s="84"/>
      <c r="AO150" s="84"/>
      <c r="AP150" s="84"/>
      <c r="AQ150" s="84"/>
      <c r="AR150" s="84"/>
      <c r="AS150" s="87">
        <f t="array" ref="AS150">IF(E150=1,SUM((ROW(Mf0)=ROW(AS150))*(Mf0+Mf1_+Mf2_+Mf3_+Mf4_+Mf5_+Mf6_+Mf7_+Mf8_+Mf9_+Mf10_+Mf11_+Mf12_+Mf13_+Mf14_+Mf15_+Mf16_+Mf17_+Mf18_+Mf19_+Mf20_+Mf21_+Mf22_+Mf23_+Mf24_+Mf25_+Mf26_+Mf27_+Mf28_+Mf29_+Mf30_+Mf31_+Mf32_+Mf33_+Mf34_+Mf35_+Mf36_+Mf37_)),0)</f>
        <v>0</v>
      </c>
      <c r="AU150" s="24" t="str">
        <f t="shared" si="18"/>
        <v/>
      </c>
      <c r="AV150" s="24" t="str">
        <f t="shared" si="19"/>
        <v/>
      </c>
      <c r="AW150" s="24" t="str">
        <f t="shared" si="20"/>
        <v/>
      </c>
      <c r="AX150" s="72">
        <f t="shared" si="21"/>
        <v>0</v>
      </c>
      <c r="AY150" s="24">
        <f t="shared" si="22"/>
        <v>0</v>
      </c>
      <c r="AZ150" s="24">
        <f t="array" ref="AZ150">IF(OR(RIGHT(B150,LEN(Par_LabelTravelTime))=Par_LabelTravelTime,B150="čas na ceste - fakturácia"),1,0)</f>
        <v>0</v>
      </c>
    </row>
    <row r="151" spans="2:52" s="24" customFormat="1" ht="12.75" x14ac:dyDescent="0.2">
      <c r="B151" s="97"/>
      <c r="C151" s="92"/>
      <c r="D151" s="31" t="str">
        <f>IF(E151=1,VLOOKUP(TableInvs[[#This Row],[Calc_V_Typ]],Tran_RevenuesList,3,FALSE),"")</f>
        <v/>
      </c>
      <c r="E151" s="31">
        <f t="shared" si="17"/>
        <v>0</v>
      </c>
      <c r="F151" s="9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  <c r="S151" s="84"/>
      <c r="T151" s="84"/>
      <c r="U151" s="84"/>
      <c r="V151" s="84"/>
      <c r="W151" s="84"/>
      <c r="X151" s="84"/>
      <c r="Y151" s="84"/>
      <c r="Z151" s="84"/>
      <c r="AA151" s="84"/>
      <c r="AB151" s="84"/>
      <c r="AC151" s="85"/>
      <c r="AD151" s="85"/>
      <c r="AE151" s="84"/>
      <c r="AF151" s="84"/>
      <c r="AG151" s="84"/>
      <c r="AH151" s="84"/>
      <c r="AI151" s="84"/>
      <c r="AJ151" s="84"/>
      <c r="AK151" s="84"/>
      <c r="AL151" s="84"/>
      <c r="AM151" s="84"/>
      <c r="AN151" s="84"/>
      <c r="AO151" s="84"/>
      <c r="AP151" s="84"/>
      <c r="AQ151" s="84"/>
      <c r="AR151" s="84"/>
      <c r="AS151" s="87">
        <f t="array" ref="AS151">IF(E151=1,SUM((ROW(Mf0)=ROW(AS151))*(Mf0+Mf1_+Mf2_+Mf3_+Mf4_+Mf5_+Mf6_+Mf7_+Mf8_+Mf9_+Mf10_+Mf11_+Mf12_+Mf13_+Mf14_+Mf15_+Mf16_+Mf17_+Mf18_+Mf19_+Mf20_+Mf21_+Mf22_+Mf23_+Mf24_+Mf25_+Mf26_+Mf27_+Mf28_+Mf29_+Mf30_+Mf31_+Mf32_+Mf33_+Mf34_+Mf35_+Mf36_+Mf37_)),0)</f>
        <v>0</v>
      </c>
      <c r="AU151" s="24" t="str">
        <f t="shared" si="18"/>
        <v/>
      </c>
      <c r="AV151" s="24" t="str">
        <f t="shared" si="19"/>
        <v/>
      </c>
      <c r="AW151" s="24" t="str">
        <f t="shared" si="20"/>
        <v/>
      </c>
      <c r="AX151" s="72">
        <f t="shared" si="21"/>
        <v>0</v>
      </c>
      <c r="AY151" s="24">
        <f t="shared" si="22"/>
        <v>0</v>
      </c>
      <c r="AZ151" s="24">
        <f t="array" ref="AZ151">IF(OR(RIGHT(B151,LEN(Par_LabelTravelTime))=Par_LabelTravelTime,B151="čas na ceste - fakturácia"),1,0)</f>
        <v>0</v>
      </c>
    </row>
    <row r="152" spans="2:52" s="24" customFormat="1" ht="12.75" x14ac:dyDescent="0.2">
      <c r="B152" s="97"/>
      <c r="C152" s="92"/>
      <c r="D152" s="31" t="str">
        <f>IF(E152=1,VLOOKUP(TableInvs[[#This Row],[Calc_V_Typ]],Tran_RevenuesList,3,FALSE),"")</f>
        <v/>
      </c>
      <c r="E152" s="31">
        <f t="shared" si="17"/>
        <v>0</v>
      </c>
      <c r="F152" s="9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  <c r="S152" s="84"/>
      <c r="T152" s="84"/>
      <c r="U152" s="84"/>
      <c r="V152" s="84"/>
      <c r="W152" s="84"/>
      <c r="X152" s="84"/>
      <c r="Y152" s="84"/>
      <c r="Z152" s="84"/>
      <c r="AA152" s="84"/>
      <c r="AB152" s="84"/>
      <c r="AC152" s="85"/>
      <c r="AD152" s="85"/>
      <c r="AE152" s="84"/>
      <c r="AF152" s="84"/>
      <c r="AG152" s="84"/>
      <c r="AH152" s="84"/>
      <c r="AI152" s="84"/>
      <c r="AJ152" s="84"/>
      <c r="AK152" s="84"/>
      <c r="AL152" s="84"/>
      <c r="AM152" s="84"/>
      <c r="AN152" s="84"/>
      <c r="AO152" s="84"/>
      <c r="AP152" s="84"/>
      <c r="AQ152" s="84"/>
      <c r="AR152" s="84"/>
      <c r="AS152" s="87">
        <f t="array" ref="AS152">IF(E152=1,SUM((ROW(Mf0)=ROW(AS152))*(Mf0+Mf1_+Mf2_+Mf3_+Mf4_+Mf5_+Mf6_+Mf7_+Mf8_+Mf9_+Mf10_+Mf11_+Mf12_+Mf13_+Mf14_+Mf15_+Mf16_+Mf17_+Mf18_+Mf19_+Mf20_+Mf21_+Mf22_+Mf23_+Mf24_+Mf25_+Mf26_+Mf27_+Mf28_+Mf29_+Mf30_+Mf31_+Mf32_+Mf33_+Mf34_+Mf35_+Mf36_+Mf37_)),0)</f>
        <v>0</v>
      </c>
      <c r="AU152" s="24" t="str">
        <f t="shared" si="18"/>
        <v/>
      </c>
      <c r="AV152" s="24" t="str">
        <f t="shared" si="19"/>
        <v/>
      </c>
      <c r="AW152" s="24" t="str">
        <f t="shared" si="20"/>
        <v/>
      </c>
      <c r="AX152" s="72">
        <f t="shared" si="21"/>
        <v>0</v>
      </c>
      <c r="AY152" s="24">
        <f t="shared" si="22"/>
        <v>0</v>
      </c>
      <c r="AZ152" s="24">
        <f t="array" ref="AZ152">IF(OR(RIGHT(B152,LEN(Par_LabelTravelTime))=Par_LabelTravelTime,B152="čas na ceste - fakturácia"),1,0)</f>
        <v>0</v>
      </c>
    </row>
    <row r="153" spans="2:52" s="24" customFormat="1" ht="12.75" x14ac:dyDescent="0.2">
      <c r="B153" s="97"/>
      <c r="C153" s="92"/>
      <c r="D153" s="31" t="str">
        <f>IF(E153=1,VLOOKUP(TableInvs[[#This Row],[Calc_V_Typ]],Tran_RevenuesList,3,FALSE),"")</f>
        <v/>
      </c>
      <c r="E153" s="31">
        <f t="shared" si="17"/>
        <v>0</v>
      </c>
      <c r="F153" s="9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  <c r="S153" s="84"/>
      <c r="T153" s="84"/>
      <c r="U153" s="84"/>
      <c r="V153" s="84"/>
      <c r="W153" s="84"/>
      <c r="X153" s="84"/>
      <c r="Y153" s="84"/>
      <c r="Z153" s="84"/>
      <c r="AA153" s="84"/>
      <c r="AB153" s="84"/>
      <c r="AC153" s="85"/>
      <c r="AD153" s="85"/>
      <c r="AE153" s="84"/>
      <c r="AF153" s="84"/>
      <c r="AG153" s="84"/>
      <c r="AH153" s="84"/>
      <c r="AI153" s="84"/>
      <c r="AJ153" s="84"/>
      <c r="AK153" s="84"/>
      <c r="AL153" s="84"/>
      <c r="AM153" s="84"/>
      <c r="AN153" s="84"/>
      <c r="AO153" s="84"/>
      <c r="AP153" s="84"/>
      <c r="AQ153" s="84"/>
      <c r="AR153" s="84"/>
      <c r="AS153" s="87">
        <f t="array" ref="AS153">IF(E153=1,SUM((ROW(Mf0)=ROW(AS153))*(Mf0+Mf1_+Mf2_+Mf3_+Mf4_+Mf5_+Mf6_+Mf7_+Mf8_+Mf9_+Mf10_+Mf11_+Mf12_+Mf13_+Mf14_+Mf15_+Mf16_+Mf17_+Mf18_+Mf19_+Mf20_+Mf21_+Mf22_+Mf23_+Mf24_+Mf25_+Mf26_+Mf27_+Mf28_+Mf29_+Mf30_+Mf31_+Mf32_+Mf33_+Mf34_+Mf35_+Mf36_+Mf37_)),0)</f>
        <v>0</v>
      </c>
      <c r="AU153" s="24" t="str">
        <f t="shared" si="18"/>
        <v/>
      </c>
      <c r="AV153" s="24" t="str">
        <f t="shared" si="19"/>
        <v/>
      </c>
      <c r="AW153" s="24" t="str">
        <f t="shared" si="20"/>
        <v/>
      </c>
      <c r="AX153" s="72">
        <f t="shared" si="21"/>
        <v>0</v>
      </c>
      <c r="AY153" s="24">
        <f t="shared" si="22"/>
        <v>0</v>
      </c>
      <c r="AZ153" s="24">
        <f t="array" ref="AZ153">IF(OR(RIGHT(B153,LEN(Par_LabelTravelTime))=Par_LabelTravelTime,B153="čas na ceste - fakturácia"),1,0)</f>
        <v>0</v>
      </c>
    </row>
    <row r="154" spans="2:52" s="24" customFormat="1" ht="12.75" x14ac:dyDescent="0.2">
      <c r="B154" s="97"/>
      <c r="C154" s="92"/>
      <c r="D154" s="31" t="str">
        <f>IF(E154=1,VLOOKUP(TableInvs[[#This Row],[Calc_V_Typ]],Tran_RevenuesList,3,FALSE),"")</f>
        <v/>
      </c>
      <c r="E154" s="31">
        <f t="shared" si="17"/>
        <v>0</v>
      </c>
      <c r="F154" s="9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  <c r="W154" s="84"/>
      <c r="X154" s="84"/>
      <c r="Y154" s="84"/>
      <c r="Z154" s="84"/>
      <c r="AA154" s="84"/>
      <c r="AB154" s="84"/>
      <c r="AC154" s="85"/>
      <c r="AD154" s="85"/>
      <c r="AE154" s="84"/>
      <c r="AF154" s="84"/>
      <c r="AG154" s="84"/>
      <c r="AH154" s="84"/>
      <c r="AI154" s="84"/>
      <c r="AJ154" s="84"/>
      <c r="AK154" s="84"/>
      <c r="AL154" s="84"/>
      <c r="AM154" s="84"/>
      <c r="AN154" s="84"/>
      <c r="AO154" s="84"/>
      <c r="AP154" s="84"/>
      <c r="AQ154" s="84"/>
      <c r="AR154" s="84"/>
      <c r="AS154" s="87">
        <f t="array" ref="AS154">IF(E154=1,SUM((ROW(Mf0)=ROW(AS154))*(Mf0+Mf1_+Mf2_+Mf3_+Mf4_+Mf5_+Mf6_+Mf7_+Mf8_+Mf9_+Mf10_+Mf11_+Mf12_+Mf13_+Mf14_+Mf15_+Mf16_+Mf17_+Mf18_+Mf19_+Mf20_+Mf21_+Mf22_+Mf23_+Mf24_+Mf25_+Mf26_+Mf27_+Mf28_+Mf29_+Mf30_+Mf31_+Mf32_+Mf33_+Mf34_+Mf35_+Mf36_+Mf37_)),0)</f>
        <v>0</v>
      </c>
      <c r="AU154" s="24" t="str">
        <f t="shared" si="18"/>
        <v/>
      </c>
      <c r="AV154" s="24" t="str">
        <f t="shared" si="19"/>
        <v/>
      </c>
      <c r="AW154" s="24" t="str">
        <f t="shared" si="20"/>
        <v/>
      </c>
      <c r="AX154" s="72">
        <f t="shared" si="21"/>
        <v>0</v>
      </c>
      <c r="AY154" s="24">
        <f t="shared" si="22"/>
        <v>0</v>
      </c>
      <c r="AZ154" s="24">
        <f t="array" ref="AZ154">IF(OR(RIGHT(B154,LEN(Par_LabelTravelTime))=Par_LabelTravelTime,B154="čas na ceste - fakturácia"),1,0)</f>
        <v>0</v>
      </c>
    </row>
    <row r="155" spans="2:52" s="24" customFormat="1" ht="12.75" x14ac:dyDescent="0.2">
      <c r="B155" s="97"/>
      <c r="C155" s="92"/>
      <c r="D155" s="31" t="str">
        <f>IF(E155=1,VLOOKUP(TableInvs[[#This Row],[Calc_V_Typ]],Tran_RevenuesList,3,FALSE),"")</f>
        <v/>
      </c>
      <c r="E155" s="31">
        <f t="shared" si="17"/>
        <v>0</v>
      </c>
      <c r="F155" s="9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  <c r="W155" s="84"/>
      <c r="X155" s="84"/>
      <c r="Y155" s="84"/>
      <c r="Z155" s="84"/>
      <c r="AA155" s="84"/>
      <c r="AB155" s="84"/>
      <c r="AC155" s="85"/>
      <c r="AD155" s="85"/>
      <c r="AE155" s="84"/>
      <c r="AF155" s="84"/>
      <c r="AG155" s="84"/>
      <c r="AH155" s="84"/>
      <c r="AI155" s="84"/>
      <c r="AJ155" s="84"/>
      <c r="AK155" s="84"/>
      <c r="AL155" s="84"/>
      <c r="AM155" s="84"/>
      <c r="AN155" s="84"/>
      <c r="AO155" s="84"/>
      <c r="AP155" s="84"/>
      <c r="AQ155" s="84"/>
      <c r="AR155" s="84"/>
      <c r="AS155" s="87">
        <f t="array" ref="AS155">IF(E155=1,SUM((ROW(Mf0)=ROW(AS155))*(Mf0+Mf1_+Mf2_+Mf3_+Mf4_+Mf5_+Mf6_+Mf7_+Mf8_+Mf9_+Mf10_+Mf11_+Mf12_+Mf13_+Mf14_+Mf15_+Mf16_+Mf17_+Mf18_+Mf19_+Mf20_+Mf21_+Mf22_+Mf23_+Mf24_+Mf25_+Mf26_+Mf27_+Mf28_+Mf29_+Mf30_+Mf31_+Mf32_+Mf33_+Mf34_+Mf35_+Mf36_+Mf37_)),0)</f>
        <v>0</v>
      </c>
      <c r="AU155" s="24" t="str">
        <f t="shared" si="18"/>
        <v/>
      </c>
      <c r="AV155" s="24" t="str">
        <f t="shared" si="19"/>
        <v/>
      </c>
      <c r="AW155" s="24" t="str">
        <f t="shared" si="20"/>
        <v/>
      </c>
      <c r="AX155" s="72">
        <f t="shared" si="21"/>
        <v>0</v>
      </c>
      <c r="AY155" s="24">
        <f t="shared" si="22"/>
        <v>0</v>
      </c>
      <c r="AZ155" s="24">
        <f t="array" ref="AZ155">IF(OR(RIGHT(B155,LEN(Par_LabelTravelTime))=Par_LabelTravelTime,B155="čas na ceste - fakturácia"),1,0)</f>
        <v>0</v>
      </c>
    </row>
    <row r="156" spans="2:52" s="24" customFormat="1" ht="12.75" x14ac:dyDescent="0.2">
      <c r="B156" s="97"/>
      <c r="C156" s="92"/>
      <c r="D156" s="31" t="str">
        <f>IF(E156=1,VLOOKUP(TableInvs[[#This Row],[Calc_V_Typ]],Tran_RevenuesList,3,FALSE),"")</f>
        <v/>
      </c>
      <c r="E156" s="31">
        <f t="shared" si="17"/>
        <v>0</v>
      </c>
      <c r="F156" s="9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  <c r="S156" s="84"/>
      <c r="T156" s="84"/>
      <c r="U156" s="84"/>
      <c r="V156" s="84"/>
      <c r="W156" s="84"/>
      <c r="X156" s="84"/>
      <c r="Y156" s="84"/>
      <c r="Z156" s="84"/>
      <c r="AA156" s="84"/>
      <c r="AB156" s="84"/>
      <c r="AC156" s="85"/>
      <c r="AD156" s="85"/>
      <c r="AE156" s="84"/>
      <c r="AF156" s="84"/>
      <c r="AG156" s="84"/>
      <c r="AH156" s="84"/>
      <c r="AI156" s="84"/>
      <c r="AJ156" s="84"/>
      <c r="AK156" s="84"/>
      <c r="AL156" s="84"/>
      <c r="AM156" s="84"/>
      <c r="AN156" s="84"/>
      <c r="AO156" s="84"/>
      <c r="AP156" s="84"/>
      <c r="AQ156" s="84"/>
      <c r="AR156" s="84"/>
      <c r="AS156" s="87">
        <f t="array" ref="AS156">IF(E156=1,SUM((ROW(Mf0)=ROW(AS156))*(Mf0+Mf1_+Mf2_+Mf3_+Mf4_+Mf5_+Mf6_+Mf7_+Mf8_+Mf9_+Mf10_+Mf11_+Mf12_+Mf13_+Mf14_+Mf15_+Mf16_+Mf17_+Mf18_+Mf19_+Mf20_+Mf21_+Mf22_+Mf23_+Mf24_+Mf25_+Mf26_+Mf27_+Mf28_+Mf29_+Mf30_+Mf31_+Mf32_+Mf33_+Mf34_+Mf35_+Mf36_+Mf37_)),0)</f>
        <v>0</v>
      </c>
      <c r="AU156" s="24" t="str">
        <f t="shared" si="18"/>
        <v/>
      </c>
      <c r="AV156" s="24" t="str">
        <f t="shared" si="19"/>
        <v/>
      </c>
      <c r="AW156" s="24" t="str">
        <f t="shared" si="20"/>
        <v/>
      </c>
      <c r="AX156" s="72">
        <f t="shared" si="21"/>
        <v>0</v>
      </c>
      <c r="AY156" s="24">
        <f t="shared" si="22"/>
        <v>0</v>
      </c>
      <c r="AZ156" s="24">
        <f t="array" ref="AZ156">IF(OR(RIGHT(B156,LEN(Par_LabelTravelTime))=Par_LabelTravelTime,B156="čas na ceste - fakturácia"),1,0)</f>
        <v>0</v>
      </c>
    </row>
    <row r="157" spans="2:52" s="24" customFormat="1" ht="12.75" x14ac:dyDescent="0.2">
      <c r="B157" s="97"/>
      <c r="C157" s="92"/>
      <c r="D157" s="31" t="str">
        <f>IF(E157=1,VLOOKUP(TableInvs[[#This Row],[Calc_V_Typ]],Tran_RevenuesList,3,FALSE),"")</f>
        <v/>
      </c>
      <c r="E157" s="31">
        <f t="shared" si="17"/>
        <v>0</v>
      </c>
      <c r="F157" s="9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  <c r="S157" s="84"/>
      <c r="T157" s="84"/>
      <c r="U157" s="84"/>
      <c r="V157" s="84"/>
      <c r="W157" s="84"/>
      <c r="X157" s="84"/>
      <c r="Y157" s="84"/>
      <c r="Z157" s="84"/>
      <c r="AA157" s="84"/>
      <c r="AB157" s="84"/>
      <c r="AC157" s="85"/>
      <c r="AD157" s="85"/>
      <c r="AE157" s="84"/>
      <c r="AF157" s="84"/>
      <c r="AG157" s="84"/>
      <c r="AH157" s="84"/>
      <c r="AI157" s="84"/>
      <c r="AJ157" s="84"/>
      <c r="AK157" s="84"/>
      <c r="AL157" s="84"/>
      <c r="AM157" s="84"/>
      <c r="AN157" s="84"/>
      <c r="AO157" s="84"/>
      <c r="AP157" s="84"/>
      <c r="AQ157" s="84"/>
      <c r="AR157" s="84"/>
      <c r="AS157" s="87">
        <f t="array" ref="AS157">IF(E157=1,SUM((ROW(Mf0)=ROW(AS157))*(Mf0+Mf1_+Mf2_+Mf3_+Mf4_+Mf5_+Mf6_+Mf7_+Mf8_+Mf9_+Mf10_+Mf11_+Mf12_+Mf13_+Mf14_+Mf15_+Mf16_+Mf17_+Mf18_+Mf19_+Mf20_+Mf21_+Mf22_+Mf23_+Mf24_+Mf25_+Mf26_+Mf27_+Mf28_+Mf29_+Mf30_+Mf31_+Mf32_+Mf33_+Mf34_+Mf35_+Mf36_+Mf37_)),0)</f>
        <v>0</v>
      </c>
      <c r="AU157" s="24" t="str">
        <f t="shared" si="18"/>
        <v/>
      </c>
      <c r="AV157" s="24" t="str">
        <f t="shared" si="19"/>
        <v/>
      </c>
      <c r="AW157" s="24" t="str">
        <f t="shared" si="20"/>
        <v/>
      </c>
      <c r="AX157" s="72">
        <f t="shared" si="21"/>
        <v>0</v>
      </c>
      <c r="AY157" s="24">
        <f t="shared" si="22"/>
        <v>0</v>
      </c>
      <c r="AZ157" s="24">
        <f t="array" ref="AZ157">IF(OR(RIGHT(B157,LEN(Par_LabelTravelTime))=Par_LabelTravelTime,B157="čas na ceste - fakturácia"),1,0)</f>
        <v>0</v>
      </c>
    </row>
    <row r="158" spans="2:52" s="24" customFormat="1" ht="12.75" x14ac:dyDescent="0.2">
      <c r="B158" s="97"/>
      <c r="C158" s="92"/>
      <c r="D158" s="31" t="str">
        <f>IF(E158=1,VLOOKUP(TableInvs[[#This Row],[Calc_V_Typ]],Tran_RevenuesList,3,FALSE),"")</f>
        <v/>
      </c>
      <c r="E158" s="31">
        <f t="shared" si="17"/>
        <v>0</v>
      </c>
      <c r="F158" s="9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5"/>
      <c r="AD158" s="85"/>
      <c r="AE158" s="84"/>
      <c r="AF158" s="84"/>
      <c r="AG158" s="84"/>
      <c r="AH158" s="84"/>
      <c r="AI158" s="84"/>
      <c r="AJ158" s="84"/>
      <c r="AK158" s="84"/>
      <c r="AL158" s="84"/>
      <c r="AM158" s="84"/>
      <c r="AN158" s="84"/>
      <c r="AO158" s="84"/>
      <c r="AP158" s="84"/>
      <c r="AQ158" s="84"/>
      <c r="AR158" s="84"/>
      <c r="AS158" s="87">
        <f t="array" ref="AS158">IF(E158=1,SUM((ROW(Mf0)=ROW(AS158))*(Mf0+Mf1_+Mf2_+Mf3_+Mf4_+Mf5_+Mf6_+Mf7_+Mf8_+Mf9_+Mf10_+Mf11_+Mf12_+Mf13_+Mf14_+Mf15_+Mf16_+Mf17_+Mf18_+Mf19_+Mf20_+Mf21_+Mf22_+Mf23_+Mf24_+Mf25_+Mf26_+Mf27_+Mf28_+Mf29_+Mf30_+Mf31_+Mf32_+Mf33_+Mf34_+Mf35_+Mf36_+Mf37_)),0)</f>
        <v>0</v>
      </c>
      <c r="AU158" s="24" t="str">
        <f t="shared" si="18"/>
        <v/>
      </c>
      <c r="AV158" s="24" t="str">
        <f t="shared" si="19"/>
        <v/>
      </c>
      <c r="AW158" s="24" t="str">
        <f t="shared" si="20"/>
        <v/>
      </c>
      <c r="AX158" s="72">
        <f t="shared" si="21"/>
        <v>0</v>
      </c>
      <c r="AY158" s="24">
        <f t="shared" si="22"/>
        <v>0</v>
      </c>
      <c r="AZ158" s="24">
        <f t="array" ref="AZ158">IF(OR(RIGHT(B158,LEN(Par_LabelTravelTime))=Par_LabelTravelTime,B158="čas na ceste - fakturácia"),1,0)</f>
        <v>0</v>
      </c>
    </row>
    <row r="159" spans="2:52" s="24" customFormat="1" ht="12.75" x14ac:dyDescent="0.2">
      <c r="B159" s="97"/>
      <c r="C159" s="92"/>
      <c r="D159" s="31" t="str">
        <f>IF(E159=1,VLOOKUP(TableInvs[[#This Row],[Calc_V_Typ]],Tran_RevenuesList,3,FALSE),"")</f>
        <v/>
      </c>
      <c r="E159" s="31">
        <f t="shared" si="17"/>
        <v>0</v>
      </c>
      <c r="F159" s="9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  <c r="S159" s="84"/>
      <c r="T159" s="84"/>
      <c r="U159" s="84"/>
      <c r="V159" s="84"/>
      <c r="W159" s="84"/>
      <c r="X159" s="84"/>
      <c r="Y159" s="84"/>
      <c r="Z159" s="84"/>
      <c r="AA159" s="84"/>
      <c r="AB159" s="84"/>
      <c r="AC159" s="85"/>
      <c r="AD159" s="85"/>
      <c r="AE159" s="84"/>
      <c r="AF159" s="84"/>
      <c r="AG159" s="84"/>
      <c r="AH159" s="84"/>
      <c r="AI159" s="84"/>
      <c r="AJ159" s="84"/>
      <c r="AK159" s="84"/>
      <c r="AL159" s="84"/>
      <c r="AM159" s="84"/>
      <c r="AN159" s="84"/>
      <c r="AO159" s="84"/>
      <c r="AP159" s="84"/>
      <c r="AQ159" s="84"/>
      <c r="AR159" s="84"/>
      <c r="AS159" s="87">
        <f t="array" ref="AS159">IF(E159=1,SUM((ROW(Mf0)=ROW(AS159))*(Mf0+Mf1_+Mf2_+Mf3_+Mf4_+Mf5_+Mf6_+Mf7_+Mf8_+Mf9_+Mf10_+Mf11_+Mf12_+Mf13_+Mf14_+Mf15_+Mf16_+Mf17_+Mf18_+Mf19_+Mf20_+Mf21_+Mf22_+Mf23_+Mf24_+Mf25_+Mf26_+Mf27_+Mf28_+Mf29_+Mf30_+Mf31_+Mf32_+Mf33_+Mf34_+Mf35_+Mf36_+Mf37_)),0)</f>
        <v>0</v>
      </c>
      <c r="AU159" s="24" t="str">
        <f t="shared" si="18"/>
        <v/>
      </c>
      <c r="AV159" s="24" t="str">
        <f t="shared" si="19"/>
        <v/>
      </c>
      <c r="AW159" s="24" t="str">
        <f t="shared" si="20"/>
        <v/>
      </c>
      <c r="AX159" s="72">
        <f t="shared" si="21"/>
        <v>0</v>
      </c>
      <c r="AY159" s="24">
        <f t="shared" si="22"/>
        <v>0</v>
      </c>
      <c r="AZ159" s="24">
        <f t="array" ref="AZ159">IF(OR(RIGHT(B159,LEN(Par_LabelTravelTime))=Par_LabelTravelTime,B159="čas na ceste - fakturácia"),1,0)</f>
        <v>0</v>
      </c>
    </row>
    <row r="160" spans="2:52" s="24" customFormat="1" ht="12.75" x14ac:dyDescent="0.2">
      <c r="B160" s="97"/>
      <c r="C160" s="92"/>
      <c r="D160" s="31" t="str">
        <f>IF(E160=1,VLOOKUP(TableInvs[[#This Row],[Calc_V_Typ]],Tran_RevenuesList,3,FALSE),"")</f>
        <v/>
      </c>
      <c r="E160" s="31">
        <f t="shared" si="17"/>
        <v>0</v>
      </c>
      <c r="F160" s="9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  <c r="S160" s="84"/>
      <c r="T160" s="84"/>
      <c r="U160" s="84"/>
      <c r="V160" s="84"/>
      <c r="W160" s="84"/>
      <c r="X160" s="84"/>
      <c r="Y160" s="84"/>
      <c r="Z160" s="84"/>
      <c r="AA160" s="84"/>
      <c r="AB160" s="84"/>
      <c r="AC160" s="85"/>
      <c r="AD160" s="85"/>
      <c r="AE160" s="84"/>
      <c r="AF160" s="84"/>
      <c r="AG160" s="84"/>
      <c r="AH160" s="84"/>
      <c r="AI160" s="84"/>
      <c r="AJ160" s="84"/>
      <c r="AK160" s="84"/>
      <c r="AL160" s="84"/>
      <c r="AM160" s="84"/>
      <c r="AN160" s="84"/>
      <c r="AO160" s="84"/>
      <c r="AP160" s="84"/>
      <c r="AQ160" s="84"/>
      <c r="AR160" s="84"/>
      <c r="AS160" s="87">
        <f t="array" ref="AS160">IF(E160=1,SUM((ROW(Mf0)=ROW(AS160))*(Mf0+Mf1_+Mf2_+Mf3_+Mf4_+Mf5_+Mf6_+Mf7_+Mf8_+Mf9_+Mf10_+Mf11_+Mf12_+Mf13_+Mf14_+Mf15_+Mf16_+Mf17_+Mf18_+Mf19_+Mf20_+Mf21_+Mf22_+Mf23_+Mf24_+Mf25_+Mf26_+Mf27_+Mf28_+Mf29_+Mf30_+Mf31_+Mf32_+Mf33_+Mf34_+Mf35_+Mf36_+Mf37_)),0)</f>
        <v>0</v>
      </c>
      <c r="AU160" s="24" t="str">
        <f t="shared" si="18"/>
        <v/>
      </c>
      <c r="AV160" s="24" t="str">
        <f t="shared" si="19"/>
        <v/>
      </c>
      <c r="AW160" s="24" t="str">
        <f t="shared" si="20"/>
        <v/>
      </c>
      <c r="AX160" s="72">
        <f t="shared" si="21"/>
        <v>0</v>
      </c>
      <c r="AY160" s="24">
        <f t="shared" si="22"/>
        <v>0</v>
      </c>
      <c r="AZ160" s="24">
        <f t="array" ref="AZ160">IF(OR(RIGHT(B160,LEN(Par_LabelTravelTime))=Par_LabelTravelTime,B160="čas na ceste - fakturácia"),1,0)</f>
        <v>0</v>
      </c>
    </row>
    <row r="161" spans="2:52" s="24" customFormat="1" ht="12.75" x14ac:dyDescent="0.2">
      <c r="B161" s="97"/>
      <c r="C161" s="92"/>
      <c r="D161" s="31" t="str">
        <f>IF(E161=1,VLOOKUP(TableInvs[[#This Row],[Calc_V_Typ]],Tran_RevenuesList,3,FALSE),"")</f>
        <v/>
      </c>
      <c r="E161" s="31">
        <f t="shared" si="17"/>
        <v>0</v>
      </c>
      <c r="F161" s="9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  <c r="S161" s="84"/>
      <c r="T161" s="84"/>
      <c r="U161" s="84"/>
      <c r="V161" s="84"/>
      <c r="W161" s="84"/>
      <c r="X161" s="84"/>
      <c r="Y161" s="84"/>
      <c r="Z161" s="84"/>
      <c r="AA161" s="84"/>
      <c r="AB161" s="84"/>
      <c r="AC161" s="85"/>
      <c r="AD161" s="85"/>
      <c r="AE161" s="84"/>
      <c r="AF161" s="84"/>
      <c r="AG161" s="84"/>
      <c r="AH161" s="84"/>
      <c r="AI161" s="84"/>
      <c r="AJ161" s="84"/>
      <c r="AK161" s="84"/>
      <c r="AL161" s="84"/>
      <c r="AM161" s="84"/>
      <c r="AN161" s="84"/>
      <c r="AO161" s="84"/>
      <c r="AP161" s="84"/>
      <c r="AQ161" s="84"/>
      <c r="AR161" s="84"/>
      <c r="AS161" s="87">
        <f t="array" ref="AS161">IF(E161=1,SUM((ROW(Mf0)=ROW(AS161))*(Mf0+Mf1_+Mf2_+Mf3_+Mf4_+Mf5_+Mf6_+Mf7_+Mf8_+Mf9_+Mf10_+Mf11_+Mf12_+Mf13_+Mf14_+Mf15_+Mf16_+Mf17_+Mf18_+Mf19_+Mf20_+Mf21_+Mf22_+Mf23_+Mf24_+Mf25_+Mf26_+Mf27_+Mf28_+Mf29_+Mf30_+Mf31_+Mf32_+Mf33_+Mf34_+Mf35_+Mf36_+Mf37_)),0)</f>
        <v>0</v>
      </c>
      <c r="AU161" s="24" t="str">
        <f t="shared" si="18"/>
        <v/>
      </c>
      <c r="AV161" s="24" t="str">
        <f t="shared" si="19"/>
        <v/>
      </c>
      <c r="AW161" s="24" t="str">
        <f t="shared" si="20"/>
        <v/>
      </c>
      <c r="AX161" s="72">
        <f t="shared" si="21"/>
        <v>0</v>
      </c>
      <c r="AY161" s="24">
        <f t="shared" si="22"/>
        <v>0</v>
      </c>
      <c r="AZ161" s="24">
        <f t="array" ref="AZ161">IF(OR(RIGHT(B161,LEN(Par_LabelTravelTime))=Par_LabelTravelTime,B161="čas na ceste - fakturácia"),1,0)</f>
        <v>0</v>
      </c>
    </row>
    <row r="162" spans="2:52" s="24" customFormat="1" ht="12.75" x14ac:dyDescent="0.2">
      <c r="B162" s="97"/>
      <c r="C162" s="92"/>
      <c r="D162" s="31" t="str">
        <f>IF(E162=1,VLOOKUP(TableInvs[[#This Row],[Calc_V_Typ]],Tran_RevenuesList,3,FALSE),"")</f>
        <v/>
      </c>
      <c r="E162" s="31">
        <f t="shared" si="17"/>
        <v>0</v>
      </c>
      <c r="F162" s="9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  <c r="Y162" s="84"/>
      <c r="Z162" s="84"/>
      <c r="AA162" s="84"/>
      <c r="AB162" s="84"/>
      <c r="AC162" s="85"/>
      <c r="AD162" s="85"/>
      <c r="AE162" s="84"/>
      <c r="AF162" s="84"/>
      <c r="AG162" s="84"/>
      <c r="AH162" s="84"/>
      <c r="AI162" s="84"/>
      <c r="AJ162" s="84"/>
      <c r="AK162" s="84"/>
      <c r="AL162" s="84"/>
      <c r="AM162" s="84"/>
      <c r="AN162" s="84"/>
      <c r="AO162" s="84"/>
      <c r="AP162" s="84"/>
      <c r="AQ162" s="84"/>
      <c r="AR162" s="84"/>
      <c r="AS162" s="87">
        <f t="array" ref="AS162">IF(E162=1,SUM((ROW(Mf0)=ROW(AS162))*(Mf0+Mf1_+Mf2_+Mf3_+Mf4_+Mf5_+Mf6_+Mf7_+Mf8_+Mf9_+Mf10_+Mf11_+Mf12_+Mf13_+Mf14_+Mf15_+Mf16_+Mf17_+Mf18_+Mf19_+Mf20_+Mf21_+Mf22_+Mf23_+Mf24_+Mf25_+Mf26_+Mf27_+Mf28_+Mf29_+Mf30_+Mf31_+Mf32_+Mf33_+Mf34_+Mf35_+Mf36_+Mf37_)),0)</f>
        <v>0</v>
      </c>
      <c r="AU162" s="24" t="str">
        <f t="shared" si="18"/>
        <v/>
      </c>
      <c r="AV162" s="24" t="str">
        <f t="shared" si="19"/>
        <v/>
      </c>
      <c r="AW162" s="24" t="str">
        <f t="shared" si="20"/>
        <v/>
      </c>
      <c r="AX162" s="72">
        <f t="shared" si="21"/>
        <v>0</v>
      </c>
      <c r="AY162" s="24">
        <f t="shared" si="22"/>
        <v>0</v>
      </c>
      <c r="AZ162" s="24">
        <f t="array" ref="AZ162">IF(OR(RIGHT(B162,LEN(Par_LabelTravelTime))=Par_LabelTravelTime,B162="čas na ceste - fakturácia"),1,0)</f>
        <v>0</v>
      </c>
    </row>
    <row r="163" spans="2:52" s="24" customFormat="1" ht="12.75" x14ac:dyDescent="0.2">
      <c r="B163" s="97"/>
      <c r="C163" s="92"/>
      <c r="D163" s="31" t="str">
        <f>IF(E163=1,VLOOKUP(TableInvs[[#This Row],[Calc_V_Typ]],Tran_RevenuesList,3,FALSE),"")</f>
        <v/>
      </c>
      <c r="E163" s="31">
        <f t="shared" si="17"/>
        <v>0</v>
      </c>
      <c r="F163" s="9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  <c r="S163" s="84"/>
      <c r="T163" s="84"/>
      <c r="U163" s="84"/>
      <c r="V163" s="84"/>
      <c r="W163" s="84"/>
      <c r="X163" s="84"/>
      <c r="Y163" s="84"/>
      <c r="Z163" s="84"/>
      <c r="AA163" s="84"/>
      <c r="AB163" s="84"/>
      <c r="AC163" s="85"/>
      <c r="AD163" s="85"/>
      <c r="AE163" s="84"/>
      <c r="AF163" s="84"/>
      <c r="AG163" s="84"/>
      <c r="AH163" s="84"/>
      <c r="AI163" s="84"/>
      <c r="AJ163" s="84"/>
      <c r="AK163" s="84"/>
      <c r="AL163" s="84"/>
      <c r="AM163" s="84"/>
      <c r="AN163" s="84"/>
      <c r="AO163" s="84"/>
      <c r="AP163" s="84"/>
      <c r="AQ163" s="84"/>
      <c r="AR163" s="84"/>
      <c r="AS163" s="87">
        <f t="array" ref="AS163">IF(E163=1,SUM((ROW(Mf0)=ROW(AS163))*(Mf0+Mf1_+Mf2_+Mf3_+Mf4_+Mf5_+Mf6_+Mf7_+Mf8_+Mf9_+Mf10_+Mf11_+Mf12_+Mf13_+Mf14_+Mf15_+Mf16_+Mf17_+Mf18_+Mf19_+Mf20_+Mf21_+Mf22_+Mf23_+Mf24_+Mf25_+Mf26_+Mf27_+Mf28_+Mf29_+Mf30_+Mf31_+Mf32_+Mf33_+Mf34_+Mf35_+Mf36_+Mf37_)),0)</f>
        <v>0</v>
      </c>
      <c r="AU163" s="24" t="str">
        <f t="shared" si="18"/>
        <v/>
      </c>
      <c r="AV163" s="24" t="str">
        <f t="shared" si="19"/>
        <v/>
      </c>
      <c r="AW163" s="24" t="str">
        <f t="shared" si="20"/>
        <v/>
      </c>
      <c r="AX163" s="72">
        <f t="shared" si="21"/>
        <v>0</v>
      </c>
      <c r="AY163" s="24">
        <f t="shared" si="22"/>
        <v>0</v>
      </c>
      <c r="AZ163" s="24">
        <f t="array" ref="AZ163">IF(OR(RIGHT(B163,LEN(Par_LabelTravelTime))=Par_LabelTravelTime,B163="čas na ceste - fakturácia"),1,0)</f>
        <v>0</v>
      </c>
    </row>
    <row r="164" spans="2:52" s="24" customFormat="1" ht="12.75" x14ac:dyDescent="0.2">
      <c r="B164" s="97"/>
      <c r="C164" s="92"/>
      <c r="D164" s="31" t="str">
        <f>IF(E164=1,VLOOKUP(TableInvs[[#This Row],[Calc_V_Typ]],Tran_RevenuesList,3,FALSE),"")</f>
        <v/>
      </c>
      <c r="E164" s="31">
        <f t="shared" si="17"/>
        <v>0</v>
      </c>
      <c r="F164" s="94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4"/>
      <c r="R164" s="84"/>
      <c r="S164" s="84"/>
      <c r="T164" s="84"/>
      <c r="U164" s="84"/>
      <c r="V164" s="84"/>
      <c r="W164" s="84"/>
      <c r="X164" s="84"/>
      <c r="Y164" s="84"/>
      <c r="Z164" s="84"/>
      <c r="AA164" s="84"/>
      <c r="AB164" s="84"/>
      <c r="AC164" s="85"/>
      <c r="AD164" s="85"/>
      <c r="AE164" s="84"/>
      <c r="AF164" s="84"/>
      <c r="AG164" s="84"/>
      <c r="AH164" s="84"/>
      <c r="AI164" s="84"/>
      <c r="AJ164" s="84"/>
      <c r="AK164" s="84"/>
      <c r="AL164" s="84"/>
      <c r="AM164" s="84"/>
      <c r="AN164" s="84"/>
      <c r="AO164" s="84"/>
      <c r="AP164" s="84"/>
      <c r="AQ164" s="84"/>
      <c r="AR164" s="84"/>
      <c r="AS164" s="87">
        <f t="array" ref="AS164">IF(E164=1,SUM((ROW(Mf0)=ROW(AS164))*(Mf0+Mf1_+Mf2_+Mf3_+Mf4_+Mf5_+Mf6_+Mf7_+Mf8_+Mf9_+Mf10_+Mf11_+Mf12_+Mf13_+Mf14_+Mf15_+Mf16_+Mf17_+Mf18_+Mf19_+Mf20_+Mf21_+Mf22_+Mf23_+Mf24_+Mf25_+Mf26_+Mf27_+Mf28_+Mf29_+Mf30_+Mf31_+Mf32_+Mf33_+Mf34_+Mf35_+Mf36_+Mf37_)),0)</f>
        <v>0</v>
      </c>
      <c r="AU164" s="24" t="str">
        <f t="shared" si="18"/>
        <v/>
      </c>
      <c r="AV164" s="24" t="str">
        <f t="shared" si="19"/>
        <v/>
      </c>
      <c r="AW164" s="24" t="str">
        <f t="shared" si="20"/>
        <v/>
      </c>
      <c r="AX164" s="72">
        <f t="shared" si="21"/>
        <v>0</v>
      </c>
      <c r="AY164" s="24">
        <f t="shared" si="22"/>
        <v>0</v>
      </c>
      <c r="AZ164" s="24">
        <f t="array" ref="AZ164">IF(OR(RIGHT(B164,LEN(Par_LabelTravelTime))=Par_LabelTravelTime,B164="čas na ceste - fakturácia"),1,0)</f>
        <v>0</v>
      </c>
    </row>
    <row r="165" spans="2:52" s="24" customFormat="1" ht="12.75" x14ac:dyDescent="0.2">
      <c r="B165" s="97"/>
      <c r="C165" s="92"/>
      <c r="D165" s="31" t="str">
        <f>IF(E165=1,VLOOKUP(TableInvs[[#This Row],[Calc_V_Typ]],Tran_RevenuesList,3,FALSE),"")</f>
        <v/>
      </c>
      <c r="E165" s="31">
        <f t="shared" si="17"/>
        <v>0</v>
      </c>
      <c r="F165" s="94"/>
      <c r="G165" s="84"/>
      <c r="H165" s="84"/>
      <c r="I165" s="84"/>
      <c r="J165" s="84"/>
      <c r="K165" s="84"/>
      <c r="L165" s="84"/>
      <c r="M165" s="84"/>
      <c r="N165" s="84"/>
      <c r="O165" s="84"/>
      <c r="P165" s="84"/>
      <c r="Q165" s="84"/>
      <c r="R165" s="84"/>
      <c r="S165" s="84"/>
      <c r="T165" s="84"/>
      <c r="U165" s="84"/>
      <c r="V165" s="84"/>
      <c r="W165" s="84"/>
      <c r="X165" s="84"/>
      <c r="Y165" s="84"/>
      <c r="Z165" s="84"/>
      <c r="AA165" s="84"/>
      <c r="AB165" s="84"/>
      <c r="AC165" s="85"/>
      <c r="AD165" s="85"/>
      <c r="AE165" s="84"/>
      <c r="AF165" s="84"/>
      <c r="AG165" s="84"/>
      <c r="AH165" s="84"/>
      <c r="AI165" s="84"/>
      <c r="AJ165" s="84"/>
      <c r="AK165" s="84"/>
      <c r="AL165" s="84"/>
      <c r="AM165" s="84"/>
      <c r="AN165" s="84"/>
      <c r="AO165" s="84"/>
      <c r="AP165" s="84"/>
      <c r="AQ165" s="84"/>
      <c r="AR165" s="84"/>
      <c r="AS165" s="87">
        <f t="array" ref="AS165">IF(E165=1,SUM((ROW(Mf0)=ROW(AS165))*(Mf0+Mf1_+Mf2_+Mf3_+Mf4_+Mf5_+Mf6_+Mf7_+Mf8_+Mf9_+Mf10_+Mf11_+Mf12_+Mf13_+Mf14_+Mf15_+Mf16_+Mf17_+Mf18_+Mf19_+Mf20_+Mf21_+Mf22_+Mf23_+Mf24_+Mf25_+Mf26_+Mf27_+Mf28_+Mf29_+Mf30_+Mf31_+Mf32_+Mf33_+Mf34_+Mf35_+Mf36_+Mf37_)),0)</f>
        <v>0</v>
      </c>
      <c r="AU165" s="24" t="str">
        <f t="shared" si="18"/>
        <v/>
      </c>
      <c r="AV165" s="24" t="str">
        <f t="shared" si="19"/>
        <v/>
      </c>
      <c r="AW165" s="24" t="str">
        <f t="shared" si="20"/>
        <v/>
      </c>
      <c r="AX165" s="72">
        <f t="shared" si="21"/>
        <v>0</v>
      </c>
      <c r="AY165" s="24">
        <f t="shared" si="22"/>
        <v>0</v>
      </c>
      <c r="AZ165" s="24">
        <f t="array" ref="AZ165">IF(OR(RIGHT(B165,LEN(Par_LabelTravelTime))=Par_LabelTravelTime,B165="čas na ceste - fakturácia"),1,0)</f>
        <v>0</v>
      </c>
    </row>
    <row r="166" spans="2:52" s="24" customFormat="1" ht="12.75" x14ac:dyDescent="0.2">
      <c r="B166" s="97"/>
      <c r="C166" s="92"/>
      <c r="D166" s="31" t="str">
        <f>IF(E166=1,VLOOKUP(TableInvs[[#This Row],[Calc_V_Typ]],Tran_RevenuesList,3,FALSE),"")</f>
        <v/>
      </c>
      <c r="E166" s="31">
        <f t="shared" si="17"/>
        <v>0</v>
      </c>
      <c r="F166" s="9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4"/>
      <c r="S166" s="84"/>
      <c r="T166" s="84"/>
      <c r="U166" s="84"/>
      <c r="V166" s="84"/>
      <c r="W166" s="84"/>
      <c r="X166" s="84"/>
      <c r="Y166" s="84"/>
      <c r="Z166" s="84"/>
      <c r="AA166" s="84"/>
      <c r="AB166" s="84"/>
      <c r="AC166" s="85"/>
      <c r="AD166" s="85"/>
      <c r="AE166" s="84"/>
      <c r="AF166" s="84"/>
      <c r="AG166" s="84"/>
      <c r="AH166" s="84"/>
      <c r="AI166" s="84"/>
      <c r="AJ166" s="84"/>
      <c r="AK166" s="84"/>
      <c r="AL166" s="84"/>
      <c r="AM166" s="84"/>
      <c r="AN166" s="84"/>
      <c r="AO166" s="84"/>
      <c r="AP166" s="84"/>
      <c r="AQ166" s="84"/>
      <c r="AR166" s="84"/>
      <c r="AS166" s="87">
        <f t="array" ref="AS166">IF(E166=1,SUM((ROW(Mf0)=ROW(AS166))*(Mf0+Mf1_+Mf2_+Mf3_+Mf4_+Mf5_+Mf6_+Mf7_+Mf8_+Mf9_+Mf10_+Mf11_+Mf12_+Mf13_+Mf14_+Mf15_+Mf16_+Mf17_+Mf18_+Mf19_+Mf20_+Mf21_+Mf22_+Mf23_+Mf24_+Mf25_+Mf26_+Mf27_+Mf28_+Mf29_+Mf30_+Mf31_+Mf32_+Mf33_+Mf34_+Mf35_+Mf36_+Mf37_)),0)</f>
        <v>0</v>
      </c>
      <c r="AU166" s="24" t="str">
        <f t="shared" si="18"/>
        <v/>
      </c>
      <c r="AV166" s="24" t="str">
        <f t="shared" si="19"/>
        <v/>
      </c>
      <c r="AW166" s="24" t="str">
        <f t="shared" si="20"/>
        <v/>
      </c>
      <c r="AX166" s="72">
        <f t="shared" si="21"/>
        <v>0</v>
      </c>
      <c r="AY166" s="24">
        <f t="shared" si="22"/>
        <v>0</v>
      </c>
      <c r="AZ166" s="24">
        <f t="array" ref="AZ166">IF(OR(RIGHT(B166,LEN(Par_LabelTravelTime))=Par_LabelTravelTime,B166="čas na ceste - fakturácia"),1,0)</f>
        <v>0</v>
      </c>
    </row>
    <row r="167" spans="2:52" s="24" customFormat="1" ht="12.75" x14ac:dyDescent="0.2">
      <c r="B167" s="97"/>
      <c r="C167" s="92"/>
      <c r="D167" s="31" t="str">
        <f>IF(E167=1,VLOOKUP(TableInvs[[#This Row],[Calc_V_Typ]],Tran_RevenuesList,3,FALSE),"")</f>
        <v/>
      </c>
      <c r="E167" s="31">
        <f t="shared" si="17"/>
        <v>0</v>
      </c>
      <c r="F167" s="9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  <c r="S167" s="84"/>
      <c r="T167" s="84"/>
      <c r="U167" s="84"/>
      <c r="V167" s="84"/>
      <c r="W167" s="84"/>
      <c r="X167" s="84"/>
      <c r="Y167" s="84"/>
      <c r="Z167" s="84"/>
      <c r="AA167" s="84"/>
      <c r="AB167" s="84"/>
      <c r="AC167" s="85"/>
      <c r="AD167" s="85"/>
      <c r="AE167" s="84"/>
      <c r="AF167" s="84"/>
      <c r="AG167" s="84"/>
      <c r="AH167" s="84"/>
      <c r="AI167" s="84"/>
      <c r="AJ167" s="84"/>
      <c r="AK167" s="84"/>
      <c r="AL167" s="84"/>
      <c r="AM167" s="84"/>
      <c r="AN167" s="84"/>
      <c r="AO167" s="84"/>
      <c r="AP167" s="84"/>
      <c r="AQ167" s="84"/>
      <c r="AR167" s="84"/>
      <c r="AS167" s="87">
        <f t="array" ref="AS167">IF(E167=1,SUM((ROW(Mf0)=ROW(AS167))*(Mf0+Mf1_+Mf2_+Mf3_+Mf4_+Mf5_+Mf6_+Mf7_+Mf8_+Mf9_+Mf10_+Mf11_+Mf12_+Mf13_+Mf14_+Mf15_+Mf16_+Mf17_+Mf18_+Mf19_+Mf20_+Mf21_+Mf22_+Mf23_+Mf24_+Mf25_+Mf26_+Mf27_+Mf28_+Mf29_+Mf30_+Mf31_+Mf32_+Mf33_+Mf34_+Mf35_+Mf36_+Mf37_)),0)</f>
        <v>0</v>
      </c>
      <c r="AU167" s="24" t="str">
        <f t="shared" si="18"/>
        <v/>
      </c>
      <c r="AV167" s="24" t="str">
        <f t="shared" si="19"/>
        <v/>
      </c>
      <c r="AW167" s="24" t="str">
        <f t="shared" si="20"/>
        <v/>
      </c>
      <c r="AX167" s="72">
        <f t="shared" si="21"/>
        <v>0</v>
      </c>
      <c r="AY167" s="24">
        <f t="shared" si="22"/>
        <v>0</v>
      </c>
      <c r="AZ167" s="24">
        <f t="array" ref="AZ167">IF(OR(RIGHT(B167,LEN(Par_LabelTravelTime))=Par_LabelTravelTime,B167="čas na ceste - fakturácia"),1,0)</f>
        <v>0</v>
      </c>
    </row>
    <row r="168" spans="2:52" s="24" customFormat="1" ht="12.75" x14ac:dyDescent="0.2">
      <c r="B168" s="97"/>
      <c r="C168" s="92"/>
      <c r="D168" s="31" t="str">
        <f>IF(E168=1,VLOOKUP(TableInvs[[#This Row],[Calc_V_Typ]],Tran_RevenuesList,3,FALSE),"")</f>
        <v/>
      </c>
      <c r="E168" s="31">
        <f t="shared" si="17"/>
        <v>0</v>
      </c>
      <c r="F168" s="94"/>
      <c r="G168" s="84"/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  <c r="S168" s="84"/>
      <c r="T168" s="84"/>
      <c r="U168" s="84"/>
      <c r="V168" s="84"/>
      <c r="W168" s="84"/>
      <c r="X168" s="84"/>
      <c r="Y168" s="84"/>
      <c r="Z168" s="84"/>
      <c r="AA168" s="84"/>
      <c r="AB168" s="84"/>
      <c r="AC168" s="85"/>
      <c r="AD168" s="85"/>
      <c r="AE168" s="84"/>
      <c r="AF168" s="84"/>
      <c r="AG168" s="84"/>
      <c r="AH168" s="84"/>
      <c r="AI168" s="84"/>
      <c r="AJ168" s="84"/>
      <c r="AK168" s="84"/>
      <c r="AL168" s="84"/>
      <c r="AM168" s="84"/>
      <c r="AN168" s="84"/>
      <c r="AO168" s="84"/>
      <c r="AP168" s="84"/>
      <c r="AQ168" s="84"/>
      <c r="AR168" s="84"/>
      <c r="AS168" s="87">
        <f t="array" ref="AS168">IF(E168=1,SUM((ROW(Mf0)=ROW(AS168))*(Mf0+Mf1_+Mf2_+Mf3_+Mf4_+Mf5_+Mf6_+Mf7_+Mf8_+Mf9_+Mf10_+Mf11_+Mf12_+Mf13_+Mf14_+Mf15_+Mf16_+Mf17_+Mf18_+Mf19_+Mf20_+Mf21_+Mf22_+Mf23_+Mf24_+Mf25_+Mf26_+Mf27_+Mf28_+Mf29_+Mf30_+Mf31_+Mf32_+Mf33_+Mf34_+Mf35_+Mf36_+Mf37_)),0)</f>
        <v>0</v>
      </c>
      <c r="AU168" s="24" t="str">
        <f t="shared" si="18"/>
        <v/>
      </c>
      <c r="AV168" s="24" t="str">
        <f t="shared" si="19"/>
        <v/>
      </c>
      <c r="AW168" s="24" t="str">
        <f t="shared" si="20"/>
        <v/>
      </c>
      <c r="AX168" s="72">
        <f t="shared" si="21"/>
        <v>0</v>
      </c>
      <c r="AY168" s="24">
        <f t="shared" si="22"/>
        <v>0</v>
      </c>
      <c r="AZ168" s="24">
        <f t="array" ref="AZ168">IF(OR(RIGHT(B168,LEN(Par_LabelTravelTime))=Par_LabelTravelTime,B168="čas na ceste - fakturácia"),1,0)</f>
        <v>0</v>
      </c>
    </row>
    <row r="169" spans="2:52" s="24" customFormat="1" ht="12.75" x14ac:dyDescent="0.2">
      <c r="B169" s="97"/>
      <c r="C169" s="92"/>
      <c r="D169" s="31" t="str">
        <f>IF(E169=1,VLOOKUP(TableInvs[[#This Row],[Calc_V_Typ]],Tran_RevenuesList,3,FALSE),"")</f>
        <v/>
      </c>
      <c r="E169" s="31">
        <f t="shared" si="17"/>
        <v>0</v>
      </c>
      <c r="F169" s="9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84"/>
      <c r="W169" s="84"/>
      <c r="X169" s="84"/>
      <c r="Y169" s="84"/>
      <c r="Z169" s="84"/>
      <c r="AA169" s="84"/>
      <c r="AB169" s="84"/>
      <c r="AC169" s="85"/>
      <c r="AD169" s="85"/>
      <c r="AE169" s="84"/>
      <c r="AF169" s="84"/>
      <c r="AG169" s="84"/>
      <c r="AH169" s="84"/>
      <c r="AI169" s="84"/>
      <c r="AJ169" s="84"/>
      <c r="AK169" s="84"/>
      <c r="AL169" s="84"/>
      <c r="AM169" s="84"/>
      <c r="AN169" s="84"/>
      <c r="AO169" s="84"/>
      <c r="AP169" s="84"/>
      <c r="AQ169" s="84"/>
      <c r="AR169" s="84"/>
      <c r="AS169" s="87">
        <f t="array" ref="AS169">IF(E169=1,SUM((ROW(Mf0)=ROW(AS169))*(Mf0+Mf1_+Mf2_+Mf3_+Mf4_+Mf5_+Mf6_+Mf7_+Mf8_+Mf9_+Mf10_+Mf11_+Mf12_+Mf13_+Mf14_+Mf15_+Mf16_+Mf17_+Mf18_+Mf19_+Mf20_+Mf21_+Mf22_+Mf23_+Mf24_+Mf25_+Mf26_+Mf27_+Mf28_+Mf29_+Mf30_+Mf31_+Mf32_+Mf33_+Mf34_+Mf35_+Mf36_+Mf37_)),0)</f>
        <v>0</v>
      </c>
      <c r="AU169" s="24" t="str">
        <f t="shared" si="18"/>
        <v/>
      </c>
      <c r="AV169" s="24" t="str">
        <f t="shared" si="19"/>
        <v/>
      </c>
      <c r="AW169" s="24" t="str">
        <f t="shared" si="20"/>
        <v/>
      </c>
      <c r="AX169" s="72">
        <f t="shared" si="21"/>
        <v>0</v>
      </c>
      <c r="AY169" s="24">
        <f t="shared" si="22"/>
        <v>0</v>
      </c>
      <c r="AZ169" s="24">
        <f t="array" ref="AZ169">IF(OR(RIGHT(B169,LEN(Par_LabelTravelTime))=Par_LabelTravelTime,B169="čas na ceste - fakturácia"),1,0)</f>
        <v>0</v>
      </c>
    </row>
    <row r="170" spans="2:52" s="24" customFormat="1" ht="12.75" x14ac:dyDescent="0.2">
      <c r="B170" s="97"/>
      <c r="C170" s="92"/>
      <c r="D170" s="31" t="str">
        <f>IF(E170=1,VLOOKUP(TableInvs[[#This Row],[Calc_V_Typ]],Tran_RevenuesList,3,FALSE),"")</f>
        <v/>
      </c>
      <c r="E170" s="31">
        <f t="shared" si="17"/>
        <v>0</v>
      </c>
      <c r="F170" s="9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84"/>
      <c r="U170" s="84"/>
      <c r="V170" s="84"/>
      <c r="W170" s="84"/>
      <c r="X170" s="84"/>
      <c r="Y170" s="84"/>
      <c r="Z170" s="84"/>
      <c r="AA170" s="84"/>
      <c r="AB170" s="84"/>
      <c r="AC170" s="85"/>
      <c r="AD170" s="85"/>
      <c r="AE170" s="84"/>
      <c r="AF170" s="84"/>
      <c r="AG170" s="84"/>
      <c r="AH170" s="84"/>
      <c r="AI170" s="84"/>
      <c r="AJ170" s="84"/>
      <c r="AK170" s="84"/>
      <c r="AL170" s="84"/>
      <c r="AM170" s="84"/>
      <c r="AN170" s="84"/>
      <c r="AO170" s="84"/>
      <c r="AP170" s="84"/>
      <c r="AQ170" s="84"/>
      <c r="AR170" s="84"/>
      <c r="AS170" s="87">
        <f t="array" ref="AS170">IF(E170=1,SUM((ROW(Mf0)=ROW(AS170))*(Mf0+Mf1_+Mf2_+Mf3_+Mf4_+Mf5_+Mf6_+Mf7_+Mf8_+Mf9_+Mf10_+Mf11_+Mf12_+Mf13_+Mf14_+Mf15_+Mf16_+Mf17_+Mf18_+Mf19_+Mf20_+Mf21_+Mf22_+Mf23_+Mf24_+Mf25_+Mf26_+Mf27_+Mf28_+Mf29_+Mf30_+Mf31_+Mf32_+Mf33_+Mf34_+Mf35_+Mf36_+Mf37_)),0)</f>
        <v>0</v>
      </c>
      <c r="AU170" s="24" t="str">
        <f t="shared" si="18"/>
        <v/>
      </c>
      <c r="AV170" s="24" t="str">
        <f t="shared" si="19"/>
        <v/>
      </c>
      <c r="AW170" s="24" t="str">
        <f t="shared" si="20"/>
        <v/>
      </c>
      <c r="AX170" s="72">
        <f t="shared" si="21"/>
        <v>0</v>
      </c>
      <c r="AY170" s="24">
        <f t="shared" si="22"/>
        <v>0</v>
      </c>
      <c r="AZ170" s="24">
        <f t="array" ref="AZ170">IF(OR(RIGHT(B170,LEN(Par_LabelTravelTime))=Par_LabelTravelTime,B170="čas na ceste - fakturácia"),1,0)</f>
        <v>0</v>
      </c>
    </row>
    <row r="171" spans="2:52" s="24" customFormat="1" ht="12.75" x14ac:dyDescent="0.2">
      <c r="B171" s="97"/>
      <c r="C171" s="92"/>
      <c r="D171" s="31" t="str">
        <f>IF(E171=1,VLOOKUP(TableInvs[[#This Row],[Calc_V_Typ]],Tran_RevenuesList,3,FALSE),"")</f>
        <v/>
      </c>
      <c r="E171" s="31">
        <f t="shared" si="17"/>
        <v>0</v>
      </c>
      <c r="F171" s="9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  <c r="S171" s="84"/>
      <c r="T171" s="84"/>
      <c r="U171" s="84"/>
      <c r="V171" s="84"/>
      <c r="W171" s="84"/>
      <c r="X171" s="84"/>
      <c r="Y171" s="84"/>
      <c r="Z171" s="84"/>
      <c r="AA171" s="84"/>
      <c r="AB171" s="84"/>
      <c r="AC171" s="85"/>
      <c r="AD171" s="85"/>
      <c r="AE171" s="84"/>
      <c r="AF171" s="84"/>
      <c r="AG171" s="84"/>
      <c r="AH171" s="84"/>
      <c r="AI171" s="84"/>
      <c r="AJ171" s="84"/>
      <c r="AK171" s="84"/>
      <c r="AL171" s="84"/>
      <c r="AM171" s="84"/>
      <c r="AN171" s="84"/>
      <c r="AO171" s="84"/>
      <c r="AP171" s="84"/>
      <c r="AQ171" s="84"/>
      <c r="AR171" s="84"/>
      <c r="AS171" s="87">
        <f t="array" ref="AS171">IF(E171=1,SUM((ROW(Mf0)=ROW(AS171))*(Mf0+Mf1_+Mf2_+Mf3_+Mf4_+Mf5_+Mf6_+Mf7_+Mf8_+Mf9_+Mf10_+Mf11_+Mf12_+Mf13_+Mf14_+Mf15_+Mf16_+Mf17_+Mf18_+Mf19_+Mf20_+Mf21_+Mf22_+Mf23_+Mf24_+Mf25_+Mf26_+Mf27_+Mf28_+Mf29_+Mf30_+Mf31_+Mf32_+Mf33_+Mf34_+Mf35_+Mf36_+Mf37_)),0)</f>
        <v>0</v>
      </c>
      <c r="AU171" s="24" t="str">
        <f t="shared" si="18"/>
        <v/>
      </c>
      <c r="AV171" s="24" t="str">
        <f t="shared" si="19"/>
        <v/>
      </c>
      <c r="AW171" s="24" t="str">
        <f t="shared" si="20"/>
        <v/>
      </c>
      <c r="AX171" s="72">
        <f t="shared" si="21"/>
        <v>0</v>
      </c>
      <c r="AY171" s="24">
        <f t="shared" si="22"/>
        <v>0</v>
      </c>
      <c r="AZ171" s="24">
        <f t="array" ref="AZ171">IF(OR(RIGHT(B171,LEN(Par_LabelTravelTime))=Par_LabelTravelTime,B171="čas na ceste - fakturácia"),1,0)</f>
        <v>0</v>
      </c>
    </row>
    <row r="172" spans="2:52" s="24" customFormat="1" ht="12.75" x14ac:dyDescent="0.2">
      <c r="B172" s="97"/>
      <c r="C172" s="92"/>
      <c r="D172" s="31" t="str">
        <f>IF(E172=1,VLOOKUP(TableInvs[[#This Row],[Calc_V_Typ]],Tran_RevenuesList,3,FALSE),"")</f>
        <v/>
      </c>
      <c r="E172" s="31">
        <f t="shared" si="17"/>
        <v>0</v>
      </c>
      <c r="F172" s="9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  <c r="S172" s="84"/>
      <c r="T172" s="84"/>
      <c r="U172" s="84"/>
      <c r="V172" s="84"/>
      <c r="W172" s="84"/>
      <c r="X172" s="84"/>
      <c r="Y172" s="84"/>
      <c r="Z172" s="84"/>
      <c r="AA172" s="84"/>
      <c r="AB172" s="84"/>
      <c r="AC172" s="85"/>
      <c r="AD172" s="85"/>
      <c r="AE172" s="84"/>
      <c r="AF172" s="84"/>
      <c r="AG172" s="84"/>
      <c r="AH172" s="84"/>
      <c r="AI172" s="84"/>
      <c r="AJ172" s="84"/>
      <c r="AK172" s="84"/>
      <c r="AL172" s="84"/>
      <c r="AM172" s="84"/>
      <c r="AN172" s="84"/>
      <c r="AO172" s="84"/>
      <c r="AP172" s="84"/>
      <c r="AQ172" s="84"/>
      <c r="AR172" s="84"/>
      <c r="AS172" s="87">
        <f t="array" ref="AS172">IF(E172=1,SUM((ROW(Mf0)=ROW(AS172))*(Mf0+Mf1_+Mf2_+Mf3_+Mf4_+Mf5_+Mf6_+Mf7_+Mf8_+Mf9_+Mf10_+Mf11_+Mf12_+Mf13_+Mf14_+Mf15_+Mf16_+Mf17_+Mf18_+Mf19_+Mf20_+Mf21_+Mf22_+Mf23_+Mf24_+Mf25_+Mf26_+Mf27_+Mf28_+Mf29_+Mf30_+Mf31_+Mf32_+Mf33_+Mf34_+Mf35_+Mf36_+Mf37_)),0)</f>
        <v>0</v>
      </c>
      <c r="AU172" s="24" t="str">
        <f t="shared" si="18"/>
        <v/>
      </c>
      <c r="AV172" s="24" t="str">
        <f t="shared" si="19"/>
        <v/>
      </c>
      <c r="AW172" s="24" t="str">
        <f t="shared" si="20"/>
        <v/>
      </c>
      <c r="AX172" s="72">
        <f t="shared" si="21"/>
        <v>0</v>
      </c>
      <c r="AY172" s="24">
        <f t="shared" si="22"/>
        <v>0</v>
      </c>
      <c r="AZ172" s="24">
        <f t="array" ref="AZ172">IF(OR(RIGHT(B172,LEN(Par_LabelTravelTime))=Par_LabelTravelTime,B172="čas na ceste - fakturácia"),1,0)</f>
        <v>0</v>
      </c>
    </row>
    <row r="173" spans="2:52" s="24" customFormat="1" ht="12.75" x14ac:dyDescent="0.2">
      <c r="B173" s="97"/>
      <c r="C173" s="92"/>
      <c r="D173" s="31" t="str">
        <f>IF(E173=1,VLOOKUP(TableInvs[[#This Row],[Calc_V_Typ]],Tran_RevenuesList,3,FALSE),"")</f>
        <v/>
      </c>
      <c r="E173" s="31">
        <f t="shared" si="17"/>
        <v>0</v>
      </c>
      <c r="F173" s="9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  <c r="R173" s="84"/>
      <c r="S173" s="84"/>
      <c r="T173" s="84"/>
      <c r="U173" s="84"/>
      <c r="V173" s="84"/>
      <c r="W173" s="84"/>
      <c r="X173" s="84"/>
      <c r="Y173" s="84"/>
      <c r="Z173" s="84"/>
      <c r="AA173" s="84"/>
      <c r="AB173" s="84"/>
      <c r="AC173" s="85"/>
      <c r="AD173" s="85"/>
      <c r="AE173" s="84"/>
      <c r="AF173" s="84"/>
      <c r="AG173" s="84"/>
      <c r="AH173" s="84"/>
      <c r="AI173" s="84"/>
      <c r="AJ173" s="84"/>
      <c r="AK173" s="84"/>
      <c r="AL173" s="84"/>
      <c r="AM173" s="84"/>
      <c r="AN173" s="84"/>
      <c r="AO173" s="84"/>
      <c r="AP173" s="84"/>
      <c r="AQ173" s="84"/>
      <c r="AR173" s="84"/>
      <c r="AS173" s="87">
        <f t="array" ref="AS173">IF(E173=1,SUM((ROW(Mf0)=ROW(AS173))*(Mf0+Mf1_+Mf2_+Mf3_+Mf4_+Mf5_+Mf6_+Mf7_+Mf8_+Mf9_+Mf10_+Mf11_+Mf12_+Mf13_+Mf14_+Mf15_+Mf16_+Mf17_+Mf18_+Mf19_+Mf20_+Mf21_+Mf22_+Mf23_+Mf24_+Mf25_+Mf26_+Mf27_+Mf28_+Mf29_+Mf30_+Mf31_+Mf32_+Mf33_+Mf34_+Mf35_+Mf36_+Mf37_)),0)</f>
        <v>0</v>
      </c>
      <c r="AU173" s="24" t="str">
        <f t="shared" si="18"/>
        <v/>
      </c>
      <c r="AV173" s="24" t="str">
        <f t="shared" si="19"/>
        <v/>
      </c>
      <c r="AW173" s="24" t="str">
        <f t="shared" si="20"/>
        <v/>
      </c>
      <c r="AX173" s="72">
        <f t="shared" si="21"/>
        <v>0</v>
      </c>
      <c r="AY173" s="24">
        <f t="shared" si="22"/>
        <v>0</v>
      </c>
      <c r="AZ173" s="24">
        <f t="array" ref="AZ173">IF(OR(RIGHT(B173,LEN(Par_LabelTravelTime))=Par_LabelTravelTime,B173="čas na ceste - fakturácia"),1,0)</f>
        <v>0</v>
      </c>
    </row>
    <row r="174" spans="2:52" s="24" customFormat="1" ht="12.75" x14ac:dyDescent="0.2">
      <c r="B174" s="97"/>
      <c r="C174" s="92"/>
      <c r="D174" s="31" t="str">
        <f>IF(E174=1,VLOOKUP(TableInvs[[#This Row],[Calc_V_Typ]],Tran_RevenuesList,3,FALSE),"")</f>
        <v/>
      </c>
      <c r="E174" s="31">
        <f t="shared" si="17"/>
        <v>0</v>
      </c>
      <c r="F174" s="9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4"/>
      <c r="S174" s="84"/>
      <c r="T174" s="84"/>
      <c r="U174" s="84"/>
      <c r="V174" s="84"/>
      <c r="W174" s="84"/>
      <c r="X174" s="84"/>
      <c r="Y174" s="84"/>
      <c r="Z174" s="84"/>
      <c r="AA174" s="84"/>
      <c r="AB174" s="84"/>
      <c r="AC174" s="85"/>
      <c r="AD174" s="85"/>
      <c r="AE174" s="84"/>
      <c r="AF174" s="84"/>
      <c r="AG174" s="84"/>
      <c r="AH174" s="84"/>
      <c r="AI174" s="84"/>
      <c r="AJ174" s="84"/>
      <c r="AK174" s="84"/>
      <c r="AL174" s="84"/>
      <c r="AM174" s="84"/>
      <c r="AN174" s="84"/>
      <c r="AO174" s="84"/>
      <c r="AP174" s="84"/>
      <c r="AQ174" s="84"/>
      <c r="AR174" s="84"/>
      <c r="AS174" s="87">
        <f t="array" ref="AS174">IF(E174=1,SUM((ROW(Mf0)=ROW(AS174))*(Mf0+Mf1_+Mf2_+Mf3_+Mf4_+Mf5_+Mf6_+Mf7_+Mf8_+Mf9_+Mf10_+Mf11_+Mf12_+Mf13_+Mf14_+Mf15_+Mf16_+Mf17_+Mf18_+Mf19_+Mf20_+Mf21_+Mf22_+Mf23_+Mf24_+Mf25_+Mf26_+Mf27_+Mf28_+Mf29_+Mf30_+Mf31_+Mf32_+Mf33_+Mf34_+Mf35_+Mf36_+Mf37_)),0)</f>
        <v>0</v>
      </c>
      <c r="AU174" s="24" t="str">
        <f t="shared" si="18"/>
        <v/>
      </c>
      <c r="AV174" s="24" t="str">
        <f t="shared" si="19"/>
        <v/>
      </c>
      <c r="AW174" s="24" t="str">
        <f t="shared" si="20"/>
        <v/>
      </c>
      <c r="AX174" s="72">
        <f t="shared" si="21"/>
        <v>0</v>
      </c>
      <c r="AY174" s="24">
        <f t="shared" si="22"/>
        <v>0</v>
      </c>
      <c r="AZ174" s="24">
        <f t="array" ref="AZ174">IF(OR(RIGHT(B174,LEN(Par_LabelTravelTime))=Par_LabelTravelTime,B174="čas na ceste - fakturácia"),1,0)</f>
        <v>0</v>
      </c>
    </row>
    <row r="175" spans="2:52" s="24" customFormat="1" ht="12.75" x14ac:dyDescent="0.2">
      <c r="B175" s="97"/>
      <c r="C175" s="92"/>
      <c r="D175" s="31" t="str">
        <f>IF(E175=1,VLOOKUP(TableInvs[[#This Row],[Calc_V_Typ]],Tran_RevenuesList,3,FALSE),"")</f>
        <v/>
      </c>
      <c r="E175" s="31">
        <f t="shared" si="17"/>
        <v>0</v>
      </c>
      <c r="F175" s="9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4"/>
      <c r="S175" s="84"/>
      <c r="T175" s="84"/>
      <c r="U175" s="84"/>
      <c r="V175" s="84"/>
      <c r="W175" s="84"/>
      <c r="X175" s="84"/>
      <c r="Y175" s="84"/>
      <c r="Z175" s="84"/>
      <c r="AA175" s="84"/>
      <c r="AB175" s="84"/>
      <c r="AC175" s="85"/>
      <c r="AD175" s="85"/>
      <c r="AE175" s="84"/>
      <c r="AF175" s="84"/>
      <c r="AG175" s="84"/>
      <c r="AH175" s="84"/>
      <c r="AI175" s="84"/>
      <c r="AJ175" s="84"/>
      <c r="AK175" s="84"/>
      <c r="AL175" s="84"/>
      <c r="AM175" s="84"/>
      <c r="AN175" s="84"/>
      <c r="AO175" s="84"/>
      <c r="AP175" s="84"/>
      <c r="AQ175" s="84"/>
      <c r="AR175" s="84"/>
      <c r="AS175" s="87">
        <f t="array" ref="AS175">IF(E175=1,SUM((ROW(Mf0)=ROW(AS175))*(Mf0+Mf1_+Mf2_+Mf3_+Mf4_+Mf5_+Mf6_+Mf7_+Mf8_+Mf9_+Mf10_+Mf11_+Mf12_+Mf13_+Mf14_+Mf15_+Mf16_+Mf17_+Mf18_+Mf19_+Mf20_+Mf21_+Mf22_+Mf23_+Mf24_+Mf25_+Mf26_+Mf27_+Mf28_+Mf29_+Mf30_+Mf31_+Mf32_+Mf33_+Mf34_+Mf35_+Mf36_+Mf37_)),0)</f>
        <v>0</v>
      </c>
      <c r="AU175" s="24" t="str">
        <f t="shared" si="18"/>
        <v/>
      </c>
      <c r="AV175" s="24" t="str">
        <f t="shared" si="19"/>
        <v/>
      </c>
      <c r="AW175" s="24" t="str">
        <f t="shared" si="20"/>
        <v/>
      </c>
      <c r="AX175" s="72">
        <f t="shared" si="21"/>
        <v>0</v>
      </c>
      <c r="AY175" s="24">
        <f t="shared" si="22"/>
        <v>0</v>
      </c>
      <c r="AZ175" s="24">
        <f t="array" ref="AZ175">IF(OR(RIGHT(B175,LEN(Par_LabelTravelTime))=Par_LabelTravelTime,B175="čas na ceste - fakturácia"),1,0)</f>
        <v>0</v>
      </c>
    </row>
    <row r="176" spans="2:52" s="24" customFormat="1" ht="12.75" x14ac:dyDescent="0.2">
      <c r="B176" s="97"/>
      <c r="C176" s="92"/>
      <c r="D176" s="31" t="str">
        <f>IF(E176=1,VLOOKUP(TableInvs[[#This Row],[Calc_V_Typ]],Tran_RevenuesList,3,FALSE),"")</f>
        <v/>
      </c>
      <c r="E176" s="31">
        <f t="shared" si="17"/>
        <v>0</v>
      </c>
      <c r="F176" s="9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  <c r="R176" s="84"/>
      <c r="S176" s="84"/>
      <c r="T176" s="84"/>
      <c r="U176" s="84"/>
      <c r="V176" s="84"/>
      <c r="W176" s="84"/>
      <c r="X176" s="84"/>
      <c r="Y176" s="84"/>
      <c r="Z176" s="84"/>
      <c r="AA176" s="84"/>
      <c r="AB176" s="84"/>
      <c r="AC176" s="85"/>
      <c r="AD176" s="85"/>
      <c r="AE176" s="84"/>
      <c r="AF176" s="84"/>
      <c r="AG176" s="84"/>
      <c r="AH176" s="84"/>
      <c r="AI176" s="84"/>
      <c r="AJ176" s="84"/>
      <c r="AK176" s="84"/>
      <c r="AL176" s="84"/>
      <c r="AM176" s="84"/>
      <c r="AN176" s="84"/>
      <c r="AO176" s="84"/>
      <c r="AP176" s="84"/>
      <c r="AQ176" s="84"/>
      <c r="AR176" s="84"/>
      <c r="AS176" s="87">
        <f t="array" ref="AS176">IF(E176=1,SUM((ROW(Mf0)=ROW(AS176))*(Mf0+Mf1_+Mf2_+Mf3_+Mf4_+Mf5_+Mf6_+Mf7_+Mf8_+Mf9_+Mf10_+Mf11_+Mf12_+Mf13_+Mf14_+Mf15_+Mf16_+Mf17_+Mf18_+Mf19_+Mf20_+Mf21_+Mf22_+Mf23_+Mf24_+Mf25_+Mf26_+Mf27_+Mf28_+Mf29_+Mf30_+Mf31_+Mf32_+Mf33_+Mf34_+Mf35_+Mf36_+Mf37_)),0)</f>
        <v>0</v>
      </c>
      <c r="AU176" s="24" t="str">
        <f t="shared" si="18"/>
        <v/>
      </c>
      <c r="AV176" s="24" t="str">
        <f t="shared" si="19"/>
        <v/>
      </c>
      <c r="AW176" s="24" t="str">
        <f t="shared" si="20"/>
        <v/>
      </c>
      <c r="AX176" s="72">
        <f t="shared" si="21"/>
        <v>0</v>
      </c>
      <c r="AY176" s="24">
        <f t="shared" si="22"/>
        <v>0</v>
      </c>
      <c r="AZ176" s="24">
        <f t="array" ref="AZ176">IF(OR(RIGHT(B176,LEN(Par_LabelTravelTime))=Par_LabelTravelTime,B176="čas na ceste - fakturácia"),1,0)</f>
        <v>0</v>
      </c>
    </row>
    <row r="177" spans="2:52" s="24" customFormat="1" ht="12.75" x14ac:dyDescent="0.2">
      <c r="B177" s="97"/>
      <c r="C177" s="92"/>
      <c r="D177" s="31" t="str">
        <f>IF(E177=1,VLOOKUP(TableInvs[[#This Row],[Calc_V_Typ]],Tran_RevenuesList,3,FALSE),"")</f>
        <v/>
      </c>
      <c r="E177" s="31">
        <f t="shared" si="17"/>
        <v>0</v>
      </c>
      <c r="F177" s="9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  <c r="R177" s="84"/>
      <c r="S177" s="84"/>
      <c r="T177" s="84"/>
      <c r="U177" s="84"/>
      <c r="V177" s="84"/>
      <c r="W177" s="84"/>
      <c r="X177" s="84"/>
      <c r="Y177" s="84"/>
      <c r="Z177" s="84"/>
      <c r="AA177" s="84"/>
      <c r="AB177" s="84"/>
      <c r="AC177" s="85"/>
      <c r="AD177" s="85"/>
      <c r="AE177" s="84"/>
      <c r="AF177" s="84"/>
      <c r="AG177" s="84"/>
      <c r="AH177" s="84"/>
      <c r="AI177" s="84"/>
      <c r="AJ177" s="84"/>
      <c r="AK177" s="84"/>
      <c r="AL177" s="84"/>
      <c r="AM177" s="84"/>
      <c r="AN177" s="84"/>
      <c r="AO177" s="84"/>
      <c r="AP177" s="84"/>
      <c r="AQ177" s="84"/>
      <c r="AR177" s="84"/>
      <c r="AS177" s="87">
        <f t="array" ref="AS177">IF(E177=1,SUM((ROW(Mf0)=ROW(AS177))*(Mf0+Mf1_+Mf2_+Mf3_+Mf4_+Mf5_+Mf6_+Mf7_+Mf8_+Mf9_+Mf10_+Mf11_+Mf12_+Mf13_+Mf14_+Mf15_+Mf16_+Mf17_+Mf18_+Mf19_+Mf20_+Mf21_+Mf22_+Mf23_+Mf24_+Mf25_+Mf26_+Mf27_+Mf28_+Mf29_+Mf30_+Mf31_+Mf32_+Mf33_+Mf34_+Mf35_+Mf36_+Mf37_)),0)</f>
        <v>0</v>
      </c>
      <c r="AU177" s="24" t="str">
        <f t="shared" si="18"/>
        <v/>
      </c>
      <c r="AV177" s="24" t="str">
        <f t="shared" si="19"/>
        <v/>
      </c>
      <c r="AW177" s="24" t="str">
        <f t="shared" si="20"/>
        <v/>
      </c>
      <c r="AX177" s="72">
        <f t="shared" si="21"/>
        <v>0</v>
      </c>
      <c r="AY177" s="24">
        <f t="shared" si="22"/>
        <v>0</v>
      </c>
      <c r="AZ177" s="24">
        <f t="array" ref="AZ177">IF(OR(RIGHT(B177,LEN(Par_LabelTravelTime))=Par_LabelTravelTime,B177="čas na ceste - fakturácia"),1,0)</f>
        <v>0</v>
      </c>
    </row>
    <row r="178" spans="2:52" s="24" customFormat="1" ht="12.75" x14ac:dyDescent="0.2">
      <c r="B178" s="97"/>
      <c r="C178" s="92"/>
      <c r="D178" s="31" t="str">
        <f>IF(E178=1,VLOOKUP(TableInvs[[#This Row],[Calc_V_Typ]],Tran_RevenuesList,3,FALSE),"")</f>
        <v/>
      </c>
      <c r="E178" s="31">
        <f t="shared" si="17"/>
        <v>0</v>
      </c>
      <c r="F178" s="9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  <c r="R178" s="84"/>
      <c r="S178" s="84"/>
      <c r="T178" s="84"/>
      <c r="U178" s="84"/>
      <c r="V178" s="84"/>
      <c r="W178" s="84"/>
      <c r="X178" s="84"/>
      <c r="Y178" s="84"/>
      <c r="Z178" s="84"/>
      <c r="AA178" s="84"/>
      <c r="AB178" s="84"/>
      <c r="AC178" s="85"/>
      <c r="AD178" s="85"/>
      <c r="AE178" s="84"/>
      <c r="AF178" s="84"/>
      <c r="AG178" s="84"/>
      <c r="AH178" s="84"/>
      <c r="AI178" s="84"/>
      <c r="AJ178" s="84"/>
      <c r="AK178" s="84"/>
      <c r="AL178" s="84"/>
      <c r="AM178" s="84"/>
      <c r="AN178" s="84"/>
      <c r="AO178" s="84"/>
      <c r="AP178" s="84"/>
      <c r="AQ178" s="84"/>
      <c r="AR178" s="84"/>
      <c r="AS178" s="87">
        <f t="array" ref="AS178">IF(E178=1,SUM((ROW(Mf0)=ROW(AS178))*(Mf0+Mf1_+Mf2_+Mf3_+Mf4_+Mf5_+Mf6_+Mf7_+Mf8_+Mf9_+Mf10_+Mf11_+Mf12_+Mf13_+Mf14_+Mf15_+Mf16_+Mf17_+Mf18_+Mf19_+Mf20_+Mf21_+Mf22_+Mf23_+Mf24_+Mf25_+Mf26_+Mf27_+Mf28_+Mf29_+Mf30_+Mf31_+Mf32_+Mf33_+Mf34_+Mf35_+Mf36_+Mf37_)),0)</f>
        <v>0</v>
      </c>
      <c r="AU178" s="24" t="str">
        <f t="shared" si="18"/>
        <v/>
      </c>
      <c r="AV178" s="24" t="str">
        <f t="shared" si="19"/>
        <v/>
      </c>
      <c r="AW178" s="24" t="str">
        <f t="shared" si="20"/>
        <v/>
      </c>
      <c r="AX178" s="72">
        <f t="shared" si="21"/>
        <v>0</v>
      </c>
      <c r="AY178" s="24">
        <f t="shared" si="22"/>
        <v>0</v>
      </c>
      <c r="AZ178" s="24">
        <f t="array" ref="AZ178">IF(OR(RIGHT(B178,LEN(Par_LabelTravelTime))=Par_LabelTravelTime,B178="čas na ceste - fakturácia"),1,0)</f>
        <v>0</v>
      </c>
    </row>
    <row r="179" spans="2:52" s="24" customFormat="1" ht="12.75" x14ac:dyDescent="0.2">
      <c r="B179" s="97"/>
      <c r="C179" s="92"/>
      <c r="D179" s="31" t="str">
        <f>IF(E179=1,VLOOKUP(TableInvs[[#This Row],[Calc_V_Typ]],Tran_RevenuesList,3,FALSE),"")</f>
        <v/>
      </c>
      <c r="E179" s="31">
        <f t="shared" si="17"/>
        <v>0</v>
      </c>
      <c r="F179" s="9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  <c r="R179" s="84"/>
      <c r="S179" s="84"/>
      <c r="T179" s="84"/>
      <c r="U179" s="84"/>
      <c r="V179" s="84"/>
      <c r="W179" s="84"/>
      <c r="X179" s="84"/>
      <c r="Y179" s="84"/>
      <c r="Z179" s="84"/>
      <c r="AA179" s="84"/>
      <c r="AB179" s="84"/>
      <c r="AC179" s="85"/>
      <c r="AD179" s="85"/>
      <c r="AE179" s="84"/>
      <c r="AF179" s="84"/>
      <c r="AG179" s="84"/>
      <c r="AH179" s="84"/>
      <c r="AI179" s="84"/>
      <c r="AJ179" s="84"/>
      <c r="AK179" s="84"/>
      <c r="AL179" s="84"/>
      <c r="AM179" s="84"/>
      <c r="AN179" s="84"/>
      <c r="AO179" s="84"/>
      <c r="AP179" s="84"/>
      <c r="AQ179" s="84"/>
      <c r="AR179" s="84"/>
      <c r="AS179" s="87">
        <f t="array" ref="AS179">IF(E179=1,SUM((ROW(Mf0)=ROW(AS179))*(Mf0+Mf1_+Mf2_+Mf3_+Mf4_+Mf5_+Mf6_+Mf7_+Mf8_+Mf9_+Mf10_+Mf11_+Mf12_+Mf13_+Mf14_+Mf15_+Mf16_+Mf17_+Mf18_+Mf19_+Mf20_+Mf21_+Mf22_+Mf23_+Mf24_+Mf25_+Mf26_+Mf27_+Mf28_+Mf29_+Mf30_+Mf31_+Mf32_+Mf33_+Mf34_+Mf35_+Mf36_+Mf37_)),0)</f>
        <v>0</v>
      </c>
      <c r="AU179" s="24" t="str">
        <f t="shared" si="18"/>
        <v/>
      </c>
      <c r="AV179" s="24" t="str">
        <f t="shared" si="19"/>
        <v/>
      </c>
      <c r="AW179" s="24" t="str">
        <f t="shared" si="20"/>
        <v/>
      </c>
      <c r="AX179" s="72">
        <f t="shared" si="21"/>
        <v>0</v>
      </c>
      <c r="AY179" s="24">
        <f t="shared" si="22"/>
        <v>0</v>
      </c>
      <c r="AZ179" s="24">
        <f t="array" ref="AZ179">IF(OR(RIGHT(B179,LEN(Par_LabelTravelTime))=Par_LabelTravelTime,B179="čas na ceste - fakturácia"),1,0)</f>
        <v>0</v>
      </c>
    </row>
    <row r="180" spans="2:52" s="24" customFormat="1" ht="12.75" x14ac:dyDescent="0.2">
      <c r="B180" s="97"/>
      <c r="C180" s="92"/>
      <c r="D180" s="31" t="str">
        <f>IF(E180=1,VLOOKUP(TableInvs[[#This Row],[Calc_V_Typ]],Tran_RevenuesList,3,FALSE),"")</f>
        <v/>
      </c>
      <c r="E180" s="31">
        <f t="shared" si="17"/>
        <v>0</v>
      </c>
      <c r="F180" s="9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  <c r="R180" s="84"/>
      <c r="S180" s="84"/>
      <c r="T180" s="84"/>
      <c r="U180" s="84"/>
      <c r="V180" s="84"/>
      <c r="W180" s="84"/>
      <c r="X180" s="84"/>
      <c r="Y180" s="84"/>
      <c r="Z180" s="84"/>
      <c r="AA180" s="84"/>
      <c r="AB180" s="84"/>
      <c r="AC180" s="85"/>
      <c r="AD180" s="85"/>
      <c r="AE180" s="84"/>
      <c r="AF180" s="84"/>
      <c r="AG180" s="84"/>
      <c r="AH180" s="84"/>
      <c r="AI180" s="84"/>
      <c r="AJ180" s="84"/>
      <c r="AK180" s="84"/>
      <c r="AL180" s="84"/>
      <c r="AM180" s="84"/>
      <c r="AN180" s="84"/>
      <c r="AO180" s="84"/>
      <c r="AP180" s="84"/>
      <c r="AQ180" s="84"/>
      <c r="AR180" s="84"/>
      <c r="AS180" s="87">
        <f t="array" ref="AS180">IF(E180=1,SUM((ROW(Mf0)=ROW(AS180))*(Mf0+Mf1_+Mf2_+Mf3_+Mf4_+Mf5_+Mf6_+Mf7_+Mf8_+Mf9_+Mf10_+Mf11_+Mf12_+Mf13_+Mf14_+Mf15_+Mf16_+Mf17_+Mf18_+Mf19_+Mf20_+Mf21_+Mf22_+Mf23_+Mf24_+Mf25_+Mf26_+Mf27_+Mf28_+Mf29_+Mf30_+Mf31_+Mf32_+Mf33_+Mf34_+Mf35_+Mf36_+Mf37_)),0)</f>
        <v>0</v>
      </c>
      <c r="AU180" s="24" t="str">
        <f t="shared" si="18"/>
        <v/>
      </c>
      <c r="AV180" s="24" t="str">
        <f t="shared" si="19"/>
        <v/>
      </c>
      <c r="AW180" s="24" t="str">
        <f t="shared" si="20"/>
        <v/>
      </c>
      <c r="AX180" s="72">
        <f t="shared" si="21"/>
        <v>0</v>
      </c>
      <c r="AY180" s="24">
        <f t="shared" si="22"/>
        <v>0</v>
      </c>
      <c r="AZ180" s="24">
        <f t="array" ref="AZ180">IF(OR(RIGHT(B180,LEN(Par_LabelTravelTime))=Par_LabelTravelTime,B180="čas na ceste - fakturácia"),1,0)</f>
        <v>0</v>
      </c>
    </row>
    <row r="181" spans="2:52" s="24" customFormat="1" ht="12.75" x14ac:dyDescent="0.2">
      <c r="B181" s="97"/>
      <c r="C181" s="92"/>
      <c r="D181" s="31" t="str">
        <f>IF(E181=1,VLOOKUP(TableInvs[[#This Row],[Calc_V_Typ]],Tran_RevenuesList,3,FALSE),"")</f>
        <v/>
      </c>
      <c r="E181" s="31">
        <f t="shared" si="17"/>
        <v>0</v>
      </c>
      <c r="F181" s="9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  <c r="R181" s="84"/>
      <c r="S181" s="84"/>
      <c r="T181" s="84"/>
      <c r="U181" s="84"/>
      <c r="V181" s="84"/>
      <c r="W181" s="84"/>
      <c r="X181" s="84"/>
      <c r="Y181" s="84"/>
      <c r="Z181" s="84"/>
      <c r="AA181" s="84"/>
      <c r="AB181" s="84"/>
      <c r="AC181" s="85"/>
      <c r="AD181" s="85"/>
      <c r="AE181" s="84"/>
      <c r="AF181" s="84"/>
      <c r="AG181" s="84"/>
      <c r="AH181" s="84"/>
      <c r="AI181" s="84"/>
      <c r="AJ181" s="84"/>
      <c r="AK181" s="84"/>
      <c r="AL181" s="84"/>
      <c r="AM181" s="84"/>
      <c r="AN181" s="84"/>
      <c r="AO181" s="84"/>
      <c r="AP181" s="84"/>
      <c r="AQ181" s="84"/>
      <c r="AR181" s="84"/>
      <c r="AS181" s="87">
        <f t="array" ref="AS181">IF(E181=1,SUM((ROW(Mf0)=ROW(AS181))*(Mf0+Mf1_+Mf2_+Mf3_+Mf4_+Mf5_+Mf6_+Mf7_+Mf8_+Mf9_+Mf10_+Mf11_+Mf12_+Mf13_+Mf14_+Mf15_+Mf16_+Mf17_+Mf18_+Mf19_+Mf20_+Mf21_+Mf22_+Mf23_+Mf24_+Mf25_+Mf26_+Mf27_+Mf28_+Mf29_+Mf30_+Mf31_+Mf32_+Mf33_+Mf34_+Mf35_+Mf36_+Mf37_)),0)</f>
        <v>0</v>
      </c>
      <c r="AU181" s="24" t="str">
        <f t="shared" si="18"/>
        <v/>
      </c>
      <c r="AV181" s="24" t="str">
        <f t="shared" si="19"/>
        <v/>
      </c>
      <c r="AW181" s="24" t="str">
        <f t="shared" si="20"/>
        <v/>
      </c>
      <c r="AX181" s="72">
        <f t="shared" si="21"/>
        <v>0</v>
      </c>
      <c r="AY181" s="24">
        <f t="shared" si="22"/>
        <v>0</v>
      </c>
      <c r="AZ181" s="24">
        <f t="array" ref="AZ181">IF(OR(RIGHT(B181,LEN(Par_LabelTravelTime))=Par_LabelTravelTime,B181="čas na ceste - fakturácia"),1,0)</f>
        <v>0</v>
      </c>
    </row>
    <row r="182" spans="2:52" s="24" customFormat="1" ht="12.75" x14ac:dyDescent="0.2">
      <c r="B182" s="97"/>
      <c r="C182" s="92"/>
      <c r="D182" s="31" t="str">
        <f>IF(E182=1,VLOOKUP(TableInvs[[#This Row],[Calc_V_Typ]],Tran_RevenuesList,3,FALSE),"")</f>
        <v/>
      </c>
      <c r="E182" s="31">
        <f t="shared" si="17"/>
        <v>0</v>
      </c>
      <c r="F182" s="9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  <c r="R182" s="84"/>
      <c r="S182" s="84"/>
      <c r="T182" s="84"/>
      <c r="U182" s="84"/>
      <c r="V182" s="84"/>
      <c r="W182" s="84"/>
      <c r="X182" s="84"/>
      <c r="Y182" s="84"/>
      <c r="Z182" s="84"/>
      <c r="AA182" s="84"/>
      <c r="AB182" s="84"/>
      <c r="AC182" s="85"/>
      <c r="AD182" s="85"/>
      <c r="AE182" s="84"/>
      <c r="AF182" s="84"/>
      <c r="AG182" s="84"/>
      <c r="AH182" s="84"/>
      <c r="AI182" s="84"/>
      <c r="AJ182" s="84"/>
      <c r="AK182" s="84"/>
      <c r="AL182" s="84"/>
      <c r="AM182" s="84"/>
      <c r="AN182" s="84"/>
      <c r="AO182" s="84"/>
      <c r="AP182" s="84"/>
      <c r="AQ182" s="84"/>
      <c r="AR182" s="84"/>
      <c r="AS182" s="87">
        <f t="array" ref="AS182">IF(E182=1,SUM((ROW(Mf0)=ROW(AS182))*(Mf0+Mf1_+Mf2_+Mf3_+Mf4_+Mf5_+Mf6_+Mf7_+Mf8_+Mf9_+Mf10_+Mf11_+Mf12_+Mf13_+Mf14_+Mf15_+Mf16_+Mf17_+Mf18_+Mf19_+Mf20_+Mf21_+Mf22_+Mf23_+Mf24_+Mf25_+Mf26_+Mf27_+Mf28_+Mf29_+Mf30_+Mf31_+Mf32_+Mf33_+Mf34_+Mf35_+Mf36_+Mf37_)),0)</f>
        <v>0</v>
      </c>
      <c r="AU182" s="24" t="str">
        <f t="shared" si="18"/>
        <v/>
      </c>
      <c r="AV182" s="24" t="str">
        <f t="shared" si="19"/>
        <v/>
      </c>
      <c r="AW182" s="24" t="str">
        <f t="shared" si="20"/>
        <v/>
      </c>
      <c r="AX182" s="72">
        <f t="shared" si="21"/>
        <v>0</v>
      </c>
      <c r="AY182" s="24">
        <f t="shared" si="22"/>
        <v>0</v>
      </c>
      <c r="AZ182" s="24">
        <f t="array" ref="AZ182">IF(OR(RIGHT(B182,LEN(Par_LabelTravelTime))=Par_LabelTravelTime,B182="čas na ceste - fakturácia"),1,0)</f>
        <v>0</v>
      </c>
    </row>
    <row r="183" spans="2:52" s="24" customFormat="1" ht="12.75" x14ac:dyDescent="0.2">
      <c r="B183" s="97"/>
      <c r="C183" s="92"/>
      <c r="D183" s="31" t="str">
        <f>IF(E183=1,VLOOKUP(TableInvs[[#This Row],[Calc_V_Typ]],Tran_RevenuesList,3,FALSE),"")</f>
        <v/>
      </c>
      <c r="E183" s="31">
        <f t="shared" si="17"/>
        <v>0</v>
      </c>
      <c r="F183" s="94"/>
      <c r="G183" s="84"/>
      <c r="H183" s="84"/>
      <c r="I183" s="84"/>
      <c r="J183" s="84"/>
      <c r="K183" s="84"/>
      <c r="L183" s="84"/>
      <c r="M183" s="84"/>
      <c r="N183" s="84"/>
      <c r="O183" s="84"/>
      <c r="P183" s="84"/>
      <c r="Q183" s="84"/>
      <c r="R183" s="84"/>
      <c r="S183" s="84"/>
      <c r="T183" s="84"/>
      <c r="U183" s="84"/>
      <c r="V183" s="84"/>
      <c r="W183" s="84"/>
      <c r="X183" s="84"/>
      <c r="Y183" s="84"/>
      <c r="Z183" s="84"/>
      <c r="AA183" s="84"/>
      <c r="AB183" s="84"/>
      <c r="AC183" s="85"/>
      <c r="AD183" s="85"/>
      <c r="AE183" s="84"/>
      <c r="AF183" s="84"/>
      <c r="AG183" s="84"/>
      <c r="AH183" s="84"/>
      <c r="AI183" s="84"/>
      <c r="AJ183" s="84"/>
      <c r="AK183" s="84"/>
      <c r="AL183" s="84"/>
      <c r="AM183" s="84"/>
      <c r="AN183" s="84"/>
      <c r="AO183" s="84"/>
      <c r="AP183" s="84"/>
      <c r="AQ183" s="84"/>
      <c r="AR183" s="84"/>
      <c r="AS183" s="87">
        <f t="array" ref="AS183">IF(E183=1,SUM((ROW(Mf0)=ROW(AS183))*(Mf0+Mf1_+Mf2_+Mf3_+Mf4_+Mf5_+Mf6_+Mf7_+Mf8_+Mf9_+Mf10_+Mf11_+Mf12_+Mf13_+Mf14_+Mf15_+Mf16_+Mf17_+Mf18_+Mf19_+Mf20_+Mf21_+Mf22_+Mf23_+Mf24_+Mf25_+Mf26_+Mf27_+Mf28_+Mf29_+Mf30_+Mf31_+Mf32_+Mf33_+Mf34_+Mf35_+Mf36_+Mf37_)),0)</f>
        <v>0</v>
      </c>
      <c r="AU183" s="24" t="str">
        <f t="shared" si="18"/>
        <v/>
      </c>
      <c r="AV183" s="24" t="str">
        <f t="shared" si="19"/>
        <v/>
      </c>
      <c r="AW183" s="24" t="str">
        <f t="shared" si="20"/>
        <v/>
      </c>
      <c r="AX183" s="72">
        <f t="shared" si="21"/>
        <v>0</v>
      </c>
      <c r="AY183" s="24">
        <f t="shared" si="22"/>
        <v>0</v>
      </c>
      <c r="AZ183" s="24">
        <f t="array" ref="AZ183">IF(OR(RIGHT(B183,LEN(Par_LabelTravelTime))=Par_LabelTravelTime,B183="čas na ceste - fakturácia"),1,0)</f>
        <v>0</v>
      </c>
    </row>
    <row r="184" spans="2:52" s="24" customFormat="1" ht="12.75" x14ac:dyDescent="0.2">
      <c r="B184" s="97"/>
      <c r="C184" s="92"/>
      <c r="D184" s="31" t="str">
        <f>IF(E184=1,VLOOKUP(TableInvs[[#This Row],[Calc_V_Typ]],Tran_RevenuesList,3,FALSE),"")</f>
        <v/>
      </c>
      <c r="E184" s="31">
        <f t="shared" si="17"/>
        <v>0</v>
      </c>
      <c r="F184" s="94"/>
      <c r="G184" s="84"/>
      <c r="H184" s="84"/>
      <c r="I184" s="84"/>
      <c r="J184" s="84"/>
      <c r="K184" s="84"/>
      <c r="L184" s="84"/>
      <c r="M184" s="84"/>
      <c r="N184" s="84"/>
      <c r="O184" s="84"/>
      <c r="P184" s="84"/>
      <c r="Q184" s="84"/>
      <c r="R184" s="84"/>
      <c r="S184" s="84"/>
      <c r="T184" s="84"/>
      <c r="U184" s="84"/>
      <c r="V184" s="84"/>
      <c r="W184" s="84"/>
      <c r="X184" s="84"/>
      <c r="Y184" s="84"/>
      <c r="Z184" s="84"/>
      <c r="AA184" s="84"/>
      <c r="AB184" s="84"/>
      <c r="AC184" s="85"/>
      <c r="AD184" s="85"/>
      <c r="AE184" s="84"/>
      <c r="AF184" s="84"/>
      <c r="AG184" s="84"/>
      <c r="AH184" s="84"/>
      <c r="AI184" s="84"/>
      <c r="AJ184" s="84"/>
      <c r="AK184" s="84"/>
      <c r="AL184" s="84"/>
      <c r="AM184" s="84"/>
      <c r="AN184" s="84"/>
      <c r="AO184" s="84"/>
      <c r="AP184" s="84"/>
      <c r="AQ184" s="84"/>
      <c r="AR184" s="84"/>
      <c r="AS184" s="87">
        <f t="array" ref="AS184">IF(E184=1,SUM((ROW(Mf0)=ROW(AS184))*(Mf0+Mf1_+Mf2_+Mf3_+Mf4_+Mf5_+Mf6_+Mf7_+Mf8_+Mf9_+Mf10_+Mf11_+Mf12_+Mf13_+Mf14_+Mf15_+Mf16_+Mf17_+Mf18_+Mf19_+Mf20_+Mf21_+Mf22_+Mf23_+Mf24_+Mf25_+Mf26_+Mf27_+Mf28_+Mf29_+Mf30_+Mf31_+Mf32_+Mf33_+Mf34_+Mf35_+Mf36_+Mf37_)),0)</f>
        <v>0</v>
      </c>
      <c r="AU184" s="24" t="str">
        <f t="shared" si="18"/>
        <v/>
      </c>
      <c r="AV184" s="24" t="str">
        <f t="shared" si="19"/>
        <v/>
      </c>
      <c r="AW184" s="24" t="str">
        <f t="shared" si="20"/>
        <v/>
      </c>
      <c r="AX184" s="72">
        <f t="shared" si="21"/>
        <v>0</v>
      </c>
      <c r="AY184" s="24">
        <f t="shared" si="22"/>
        <v>0</v>
      </c>
      <c r="AZ184" s="24">
        <f t="array" ref="AZ184">IF(OR(RIGHT(B184,LEN(Par_LabelTravelTime))=Par_LabelTravelTime,B184="čas na ceste - fakturácia"),1,0)</f>
        <v>0</v>
      </c>
    </row>
    <row r="185" spans="2:52" s="24" customFormat="1" ht="12.75" x14ac:dyDescent="0.2">
      <c r="B185" s="97"/>
      <c r="C185" s="92"/>
      <c r="D185" s="31" t="str">
        <f>IF(E185=1,VLOOKUP(TableInvs[[#This Row],[Calc_V_Typ]],Tran_RevenuesList,3,FALSE),"")</f>
        <v/>
      </c>
      <c r="E185" s="31">
        <f t="shared" si="17"/>
        <v>0</v>
      </c>
      <c r="F185" s="94"/>
      <c r="G185" s="84"/>
      <c r="H185" s="84"/>
      <c r="I185" s="84"/>
      <c r="J185" s="84"/>
      <c r="K185" s="84"/>
      <c r="L185" s="84"/>
      <c r="M185" s="84"/>
      <c r="N185" s="84"/>
      <c r="O185" s="84"/>
      <c r="P185" s="84"/>
      <c r="Q185" s="84"/>
      <c r="R185" s="84"/>
      <c r="S185" s="84"/>
      <c r="T185" s="84"/>
      <c r="U185" s="84"/>
      <c r="V185" s="84"/>
      <c r="W185" s="84"/>
      <c r="X185" s="84"/>
      <c r="Y185" s="84"/>
      <c r="Z185" s="84"/>
      <c r="AA185" s="84"/>
      <c r="AB185" s="84"/>
      <c r="AC185" s="85"/>
      <c r="AD185" s="85"/>
      <c r="AE185" s="84"/>
      <c r="AF185" s="84"/>
      <c r="AG185" s="84"/>
      <c r="AH185" s="84"/>
      <c r="AI185" s="84"/>
      <c r="AJ185" s="84"/>
      <c r="AK185" s="84"/>
      <c r="AL185" s="84"/>
      <c r="AM185" s="84"/>
      <c r="AN185" s="84"/>
      <c r="AO185" s="84"/>
      <c r="AP185" s="84"/>
      <c r="AQ185" s="84"/>
      <c r="AR185" s="84"/>
      <c r="AS185" s="87">
        <f t="array" ref="AS185">IF(E185=1,SUM((ROW(Mf0)=ROW(AS185))*(Mf0+Mf1_+Mf2_+Mf3_+Mf4_+Mf5_+Mf6_+Mf7_+Mf8_+Mf9_+Mf10_+Mf11_+Mf12_+Mf13_+Mf14_+Mf15_+Mf16_+Mf17_+Mf18_+Mf19_+Mf20_+Mf21_+Mf22_+Mf23_+Mf24_+Mf25_+Mf26_+Mf27_+Mf28_+Mf29_+Mf30_+Mf31_+Mf32_+Mf33_+Mf34_+Mf35_+Mf36_+Mf37_)),0)</f>
        <v>0</v>
      </c>
      <c r="AU185" s="24" t="str">
        <f t="shared" si="18"/>
        <v/>
      </c>
      <c r="AV185" s="24" t="str">
        <f t="shared" si="19"/>
        <v/>
      </c>
      <c r="AW185" s="24" t="str">
        <f t="shared" si="20"/>
        <v/>
      </c>
      <c r="AX185" s="72">
        <f t="shared" si="21"/>
        <v>0</v>
      </c>
      <c r="AY185" s="24">
        <f t="shared" si="22"/>
        <v>0</v>
      </c>
      <c r="AZ185" s="24">
        <f t="array" ref="AZ185">IF(OR(RIGHT(B185,LEN(Par_LabelTravelTime))=Par_LabelTravelTime,B185="čas na ceste - fakturácia"),1,0)</f>
        <v>0</v>
      </c>
    </row>
    <row r="186" spans="2:52" s="24" customFormat="1" ht="12.75" x14ac:dyDescent="0.2">
      <c r="B186" s="97"/>
      <c r="C186" s="92"/>
      <c r="D186" s="31" t="str">
        <f>IF(E186=1,VLOOKUP(TableInvs[[#This Row],[Calc_V_Typ]],Tran_RevenuesList,3,FALSE),"")</f>
        <v/>
      </c>
      <c r="E186" s="31">
        <f t="shared" si="17"/>
        <v>0</v>
      </c>
      <c r="F186" s="94"/>
      <c r="G186" s="84"/>
      <c r="H186" s="84"/>
      <c r="I186" s="84"/>
      <c r="J186" s="84"/>
      <c r="K186" s="84"/>
      <c r="L186" s="84"/>
      <c r="M186" s="84"/>
      <c r="N186" s="84"/>
      <c r="O186" s="84"/>
      <c r="P186" s="84"/>
      <c r="Q186" s="84"/>
      <c r="R186" s="84"/>
      <c r="S186" s="84"/>
      <c r="T186" s="84"/>
      <c r="U186" s="84"/>
      <c r="V186" s="84"/>
      <c r="W186" s="84"/>
      <c r="X186" s="84"/>
      <c r="Y186" s="84"/>
      <c r="Z186" s="84"/>
      <c r="AA186" s="84"/>
      <c r="AB186" s="84"/>
      <c r="AC186" s="85"/>
      <c r="AD186" s="85"/>
      <c r="AE186" s="84"/>
      <c r="AF186" s="84"/>
      <c r="AG186" s="84"/>
      <c r="AH186" s="84"/>
      <c r="AI186" s="84"/>
      <c r="AJ186" s="84"/>
      <c r="AK186" s="84"/>
      <c r="AL186" s="84"/>
      <c r="AM186" s="84"/>
      <c r="AN186" s="84"/>
      <c r="AO186" s="84"/>
      <c r="AP186" s="84"/>
      <c r="AQ186" s="84"/>
      <c r="AR186" s="84"/>
      <c r="AS186" s="87">
        <f t="array" ref="AS186">IF(E186=1,SUM((ROW(Mf0)=ROW(AS186))*(Mf0+Mf1_+Mf2_+Mf3_+Mf4_+Mf5_+Mf6_+Mf7_+Mf8_+Mf9_+Mf10_+Mf11_+Mf12_+Mf13_+Mf14_+Mf15_+Mf16_+Mf17_+Mf18_+Mf19_+Mf20_+Mf21_+Mf22_+Mf23_+Mf24_+Mf25_+Mf26_+Mf27_+Mf28_+Mf29_+Mf30_+Mf31_+Mf32_+Mf33_+Mf34_+Mf35_+Mf36_+Mf37_)),0)</f>
        <v>0</v>
      </c>
      <c r="AU186" s="24" t="str">
        <f t="shared" si="18"/>
        <v/>
      </c>
      <c r="AV186" s="24" t="str">
        <f t="shared" si="19"/>
        <v/>
      </c>
      <c r="AW186" s="24" t="str">
        <f t="shared" si="20"/>
        <v/>
      </c>
      <c r="AX186" s="72">
        <f t="shared" si="21"/>
        <v>0</v>
      </c>
      <c r="AY186" s="24">
        <f t="shared" si="22"/>
        <v>0</v>
      </c>
      <c r="AZ186" s="24">
        <f t="array" ref="AZ186">IF(OR(RIGHT(B186,LEN(Par_LabelTravelTime))=Par_LabelTravelTime,B186="čas na ceste - fakturácia"),1,0)</f>
        <v>0</v>
      </c>
    </row>
    <row r="187" spans="2:52" s="24" customFormat="1" ht="12.75" x14ac:dyDescent="0.2">
      <c r="B187" s="97"/>
      <c r="C187" s="92"/>
      <c r="D187" s="31" t="str">
        <f>IF(E187=1,VLOOKUP(TableInvs[[#This Row],[Calc_V_Typ]],Tran_RevenuesList,3,FALSE),"")</f>
        <v/>
      </c>
      <c r="E187" s="31">
        <f t="shared" si="17"/>
        <v>0</v>
      </c>
      <c r="F187" s="9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  <c r="S187" s="84"/>
      <c r="T187" s="84"/>
      <c r="U187" s="84"/>
      <c r="V187" s="84"/>
      <c r="W187" s="84"/>
      <c r="X187" s="84"/>
      <c r="Y187" s="84"/>
      <c r="Z187" s="84"/>
      <c r="AA187" s="84"/>
      <c r="AB187" s="84"/>
      <c r="AC187" s="85"/>
      <c r="AD187" s="85"/>
      <c r="AE187" s="84"/>
      <c r="AF187" s="84"/>
      <c r="AG187" s="84"/>
      <c r="AH187" s="84"/>
      <c r="AI187" s="84"/>
      <c r="AJ187" s="84"/>
      <c r="AK187" s="84"/>
      <c r="AL187" s="84"/>
      <c r="AM187" s="84"/>
      <c r="AN187" s="84"/>
      <c r="AO187" s="84"/>
      <c r="AP187" s="84"/>
      <c r="AQ187" s="84"/>
      <c r="AR187" s="84"/>
      <c r="AS187" s="87">
        <f t="array" ref="AS187">IF(E187=1,SUM((ROW(Mf0)=ROW(AS187))*(Mf0+Mf1_+Mf2_+Mf3_+Mf4_+Mf5_+Mf6_+Mf7_+Mf8_+Mf9_+Mf10_+Mf11_+Mf12_+Mf13_+Mf14_+Mf15_+Mf16_+Mf17_+Mf18_+Mf19_+Mf20_+Mf21_+Mf22_+Mf23_+Mf24_+Mf25_+Mf26_+Mf27_+Mf28_+Mf29_+Mf30_+Mf31_+Mf32_+Mf33_+Mf34_+Mf35_+Mf36_+Mf37_)),0)</f>
        <v>0</v>
      </c>
      <c r="AU187" s="24" t="str">
        <f t="shared" si="18"/>
        <v/>
      </c>
      <c r="AV187" s="24" t="str">
        <f t="shared" si="19"/>
        <v/>
      </c>
      <c r="AW187" s="24" t="str">
        <f t="shared" si="20"/>
        <v/>
      </c>
      <c r="AX187" s="72">
        <f t="shared" si="21"/>
        <v>0</v>
      </c>
      <c r="AY187" s="24">
        <f t="shared" si="22"/>
        <v>0</v>
      </c>
      <c r="AZ187" s="24">
        <f t="array" ref="AZ187">IF(OR(RIGHT(B187,LEN(Par_LabelTravelTime))=Par_LabelTravelTime,B187="čas na ceste - fakturácia"),1,0)</f>
        <v>0</v>
      </c>
    </row>
    <row r="188" spans="2:52" s="24" customFormat="1" ht="12.75" x14ac:dyDescent="0.2">
      <c r="B188" s="97"/>
      <c r="C188" s="92"/>
      <c r="D188" s="31" t="str">
        <f>IF(E188=1,VLOOKUP(TableInvs[[#This Row],[Calc_V_Typ]],Tran_RevenuesList,3,FALSE),"")</f>
        <v/>
      </c>
      <c r="E188" s="31">
        <f t="shared" si="17"/>
        <v>0</v>
      </c>
      <c r="F188" s="9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  <c r="S188" s="84"/>
      <c r="T188" s="84"/>
      <c r="U188" s="84"/>
      <c r="V188" s="84"/>
      <c r="W188" s="84"/>
      <c r="X188" s="84"/>
      <c r="Y188" s="84"/>
      <c r="Z188" s="84"/>
      <c r="AA188" s="84"/>
      <c r="AB188" s="84"/>
      <c r="AC188" s="85"/>
      <c r="AD188" s="85"/>
      <c r="AE188" s="84"/>
      <c r="AF188" s="84"/>
      <c r="AG188" s="84"/>
      <c r="AH188" s="84"/>
      <c r="AI188" s="84"/>
      <c r="AJ188" s="84"/>
      <c r="AK188" s="84"/>
      <c r="AL188" s="84"/>
      <c r="AM188" s="84"/>
      <c r="AN188" s="84"/>
      <c r="AO188" s="84"/>
      <c r="AP188" s="84"/>
      <c r="AQ188" s="84"/>
      <c r="AR188" s="84"/>
      <c r="AS188" s="87">
        <f t="array" ref="AS188">IF(E188=1,SUM((ROW(Mf0)=ROW(AS188))*(Mf0+Mf1_+Mf2_+Mf3_+Mf4_+Mf5_+Mf6_+Mf7_+Mf8_+Mf9_+Mf10_+Mf11_+Mf12_+Mf13_+Mf14_+Mf15_+Mf16_+Mf17_+Mf18_+Mf19_+Mf20_+Mf21_+Mf22_+Mf23_+Mf24_+Mf25_+Mf26_+Mf27_+Mf28_+Mf29_+Mf30_+Mf31_+Mf32_+Mf33_+Mf34_+Mf35_+Mf36_+Mf37_)),0)</f>
        <v>0</v>
      </c>
      <c r="AU188" s="24" t="str">
        <f t="shared" si="18"/>
        <v/>
      </c>
      <c r="AV188" s="24" t="str">
        <f t="shared" si="19"/>
        <v/>
      </c>
      <c r="AW188" s="24" t="str">
        <f t="shared" si="20"/>
        <v/>
      </c>
      <c r="AX188" s="72">
        <f t="shared" si="21"/>
        <v>0</v>
      </c>
      <c r="AY188" s="24">
        <f t="shared" si="22"/>
        <v>0</v>
      </c>
      <c r="AZ188" s="24">
        <f t="array" ref="AZ188">IF(OR(RIGHT(B188,LEN(Par_LabelTravelTime))=Par_LabelTravelTime,B188="čas na ceste - fakturácia"),1,0)</f>
        <v>0</v>
      </c>
    </row>
    <row r="189" spans="2:52" s="24" customFormat="1" ht="12.75" x14ac:dyDescent="0.2">
      <c r="B189" s="97"/>
      <c r="C189" s="92"/>
      <c r="D189" s="31" t="str">
        <f>IF(E189=1,VLOOKUP(TableInvs[[#This Row],[Calc_V_Typ]],Tran_RevenuesList,3,FALSE),"")</f>
        <v/>
      </c>
      <c r="E189" s="31">
        <f t="shared" si="17"/>
        <v>0</v>
      </c>
      <c r="F189" s="9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  <c r="S189" s="84"/>
      <c r="T189" s="84"/>
      <c r="U189" s="84"/>
      <c r="V189" s="84"/>
      <c r="W189" s="84"/>
      <c r="X189" s="84"/>
      <c r="Y189" s="84"/>
      <c r="Z189" s="84"/>
      <c r="AA189" s="84"/>
      <c r="AB189" s="84"/>
      <c r="AC189" s="85"/>
      <c r="AD189" s="85"/>
      <c r="AE189" s="84"/>
      <c r="AF189" s="84"/>
      <c r="AG189" s="84"/>
      <c r="AH189" s="84"/>
      <c r="AI189" s="84"/>
      <c r="AJ189" s="84"/>
      <c r="AK189" s="84"/>
      <c r="AL189" s="84"/>
      <c r="AM189" s="84"/>
      <c r="AN189" s="84"/>
      <c r="AO189" s="84"/>
      <c r="AP189" s="84"/>
      <c r="AQ189" s="84"/>
      <c r="AR189" s="84"/>
      <c r="AS189" s="87">
        <f t="array" ref="AS189">IF(E189=1,SUM((ROW(Mf0)=ROW(AS189))*(Mf0+Mf1_+Mf2_+Mf3_+Mf4_+Mf5_+Mf6_+Mf7_+Mf8_+Mf9_+Mf10_+Mf11_+Mf12_+Mf13_+Mf14_+Mf15_+Mf16_+Mf17_+Mf18_+Mf19_+Mf20_+Mf21_+Mf22_+Mf23_+Mf24_+Mf25_+Mf26_+Mf27_+Mf28_+Mf29_+Mf30_+Mf31_+Mf32_+Mf33_+Mf34_+Mf35_+Mf36_+Mf37_)),0)</f>
        <v>0</v>
      </c>
      <c r="AU189" s="24" t="str">
        <f t="shared" si="18"/>
        <v/>
      </c>
      <c r="AV189" s="24" t="str">
        <f t="shared" si="19"/>
        <v/>
      </c>
      <c r="AW189" s="24" t="str">
        <f t="shared" si="20"/>
        <v/>
      </c>
      <c r="AX189" s="72">
        <f t="shared" si="21"/>
        <v>0</v>
      </c>
      <c r="AY189" s="24">
        <f t="shared" si="22"/>
        <v>0</v>
      </c>
      <c r="AZ189" s="24">
        <f t="array" ref="AZ189">IF(OR(RIGHT(B189,LEN(Par_LabelTravelTime))=Par_LabelTravelTime,B189="čas na ceste - fakturácia"),1,0)</f>
        <v>0</v>
      </c>
    </row>
    <row r="190" spans="2:52" s="24" customFormat="1" ht="12.75" x14ac:dyDescent="0.2">
      <c r="B190" s="97"/>
      <c r="C190" s="92"/>
      <c r="D190" s="31" t="str">
        <f>IF(E190=1,VLOOKUP(TableInvs[[#This Row],[Calc_V_Typ]],Tran_RevenuesList,3,FALSE),"")</f>
        <v/>
      </c>
      <c r="E190" s="31">
        <f t="shared" si="17"/>
        <v>0</v>
      </c>
      <c r="F190" s="9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  <c r="S190" s="84"/>
      <c r="T190" s="84"/>
      <c r="U190" s="84"/>
      <c r="V190" s="84"/>
      <c r="W190" s="84"/>
      <c r="X190" s="84"/>
      <c r="Y190" s="84"/>
      <c r="Z190" s="84"/>
      <c r="AA190" s="84"/>
      <c r="AB190" s="84"/>
      <c r="AC190" s="85"/>
      <c r="AD190" s="85"/>
      <c r="AE190" s="84"/>
      <c r="AF190" s="84"/>
      <c r="AG190" s="84"/>
      <c r="AH190" s="84"/>
      <c r="AI190" s="84"/>
      <c r="AJ190" s="84"/>
      <c r="AK190" s="84"/>
      <c r="AL190" s="84"/>
      <c r="AM190" s="84"/>
      <c r="AN190" s="84"/>
      <c r="AO190" s="84"/>
      <c r="AP190" s="84"/>
      <c r="AQ190" s="84"/>
      <c r="AR190" s="84"/>
      <c r="AS190" s="87">
        <f t="array" ref="AS190">IF(E190=1,SUM((ROW(Mf0)=ROW(AS190))*(Mf0+Mf1_+Mf2_+Mf3_+Mf4_+Mf5_+Mf6_+Mf7_+Mf8_+Mf9_+Mf10_+Mf11_+Mf12_+Mf13_+Mf14_+Mf15_+Mf16_+Mf17_+Mf18_+Mf19_+Mf20_+Mf21_+Mf22_+Mf23_+Mf24_+Mf25_+Mf26_+Mf27_+Mf28_+Mf29_+Mf30_+Mf31_+Mf32_+Mf33_+Mf34_+Mf35_+Mf36_+Mf37_)),0)</f>
        <v>0</v>
      </c>
      <c r="AU190" s="24" t="str">
        <f t="shared" si="18"/>
        <v/>
      </c>
      <c r="AV190" s="24" t="str">
        <f t="shared" si="19"/>
        <v/>
      </c>
      <c r="AW190" s="24" t="str">
        <f t="shared" si="20"/>
        <v/>
      </c>
      <c r="AX190" s="72">
        <f t="shared" si="21"/>
        <v>0</v>
      </c>
      <c r="AY190" s="24">
        <f t="shared" si="22"/>
        <v>0</v>
      </c>
      <c r="AZ190" s="24">
        <f t="array" ref="AZ190">IF(OR(RIGHT(B190,LEN(Par_LabelTravelTime))=Par_LabelTravelTime,B190="čas na ceste - fakturácia"),1,0)</f>
        <v>0</v>
      </c>
    </row>
    <row r="191" spans="2:52" s="24" customFormat="1" ht="12.75" x14ac:dyDescent="0.2">
      <c r="B191" s="97"/>
      <c r="C191" s="92"/>
      <c r="D191" s="31" t="str">
        <f>IF(E191=1,VLOOKUP(TableInvs[[#This Row],[Calc_V_Typ]],Tran_RevenuesList,3,FALSE),"")</f>
        <v/>
      </c>
      <c r="E191" s="31">
        <f t="shared" si="17"/>
        <v>0</v>
      </c>
      <c r="F191" s="9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  <c r="S191" s="84"/>
      <c r="T191" s="84"/>
      <c r="U191" s="84"/>
      <c r="V191" s="84"/>
      <c r="W191" s="84"/>
      <c r="X191" s="84"/>
      <c r="Y191" s="84"/>
      <c r="Z191" s="84"/>
      <c r="AA191" s="84"/>
      <c r="AB191" s="84"/>
      <c r="AC191" s="85"/>
      <c r="AD191" s="85"/>
      <c r="AE191" s="84"/>
      <c r="AF191" s="84"/>
      <c r="AG191" s="84"/>
      <c r="AH191" s="84"/>
      <c r="AI191" s="84"/>
      <c r="AJ191" s="84"/>
      <c r="AK191" s="84"/>
      <c r="AL191" s="84"/>
      <c r="AM191" s="84"/>
      <c r="AN191" s="84"/>
      <c r="AO191" s="84"/>
      <c r="AP191" s="84"/>
      <c r="AQ191" s="84"/>
      <c r="AR191" s="84"/>
      <c r="AS191" s="87">
        <f t="array" ref="AS191">IF(E191=1,SUM((ROW(Mf0)=ROW(AS191))*(Mf0+Mf1_+Mf2_+Mf3_+Mf4_+Mf5_+Mf6_+Mf7_+Mf8_+Mf9_+Mf10_+Mf11_+Mf12_+Mf13_+Mf14_+Mf15_+Mf16_+Mf17_+Mf18_+Mf19_+Mf20_+Mf21_+Mf22_+Mf23_+Mf24_+Mf25_+Mf26_+Mf27_+Mf28_+Mf29_+Mf30_+Mf31_+Mf32_+Mf33_+Mf34_+Mf35_+Mf36_+Mf37_)),0)</f>
        <v>0</v>
      </c>
      <c r="AU191" s="24" t="str">
        <f t="shared" si="18"/>
        <v/>
      </c>
      <c r="AV191" s="24" t="str">
        <f t="shared" si="19"/>
        <v/>
      </c>
      <c r="AW191" s="24" t="str">
        <f t="shared" si="20"/>
        <v/>
      </c>
      <c r="AX191" s="72">
        <f t="shared" si="21"/>
        <v>0</v>
      </c>
      <c r="AY191" s="24">
        <f t="shared" si="22"/>
        <v>0</v>
      </c>
      <c r="AZ191" s="24">
        <f t="array" ref="AZ191">IF(OR(RIGHT(B191,LEN(Par_LabelTravelTime))=Par_LabelTravelTime,B191="čas na ceste - fakturácia"),1,0)</f>
        <v>0</v>
      </c>
    </row>
    <row r="192" spans="2:52" s="24" customFormat="1" ht="12.75" x14ac:dyDescent="0.2">
      <c r="B192" s="97"/>
      <c r="C192" s="92"/>
      <c r="D192" s="31" t="str">
        <f>IF(E192=1,VLOOKUP(TableInvs[[#This Row],[Calc_V_Typ]],Tran_RevenuesList,3,FALSE),"")</f>
        <v/>
      </c>
      <c r="E192" s="31">
        <f t="shared" si="17"/>
        <v>0</v>
      </c>
      <c r="F192" s="9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  <c r="S192" s="84"/>
      <c r="T192" s="84"/>
      <c r="U192" s="84"/>
      <c r="V192" s="84"/>
      <c r="W192" s="84"/>
      <c r="X192" s="84"/>
      <c r="Y192" s="84"/>
      <c r="Z192" s="84"/>
      <c r="AA192" s="84"/>
      <c r="AB192" s="84"/>
      <c r="AC192" s="85"/>
      <c r="AD192" s="85"/>
      <c r="AE192" s="84"/>
      <c r="AF192" s="84"/>
      <c r="AG192" s="84"/>
      <c r="AH192" s="84"/>
      <c r="AI192" s="84"/>
      <c r="AJ192" s="84"/>
      <c r="AK192" s="84"/>
      <c r="AL192" s="84"/>
      <c r="AM192" s="84"/>
      <c r="AN192" s="84"/>
      <c r="AO192" s="84"/>
      <c r="AP192" s="84"/>
      <c r="AQ192" s="84"/>
      <c r="AR192" s="84"/>
      <c r="AS192" s="87">
        <f t="array" ref="AS192">IF(E192=1,SUM((ROW(Mf0)=ROW(AS192))*(Mf0+Mf1_+Mf2_+Mf3_+Mf4_+Mf5_+Mf6_+Mf7_+Mf8_+Mf9_+Mf10_+Mf11_+Mf12_+Mf13_+Mf14_+Mf15_+Mf16_+Mf17_+Mf18_+Mf19_+Mf20_+Mf21_+Mf22_+Mf23_+Mf24_+Mf25_+Mf26_+Mf27_+Mf28_+Mf29_+Mf30_+Mf31_+Mf32_+Mf33_+Mf34_+Mf35_+Mf36_+Mf37_)),0)</f>
        <v>0</v>
      </c>
      <c r="AU192" s="24" t="str">
        <f t="shared" si="18"/>
        <v/>
      </c>
      <c r="AV192" s="24" t="str">
        <f t="shared" si="19"/>
        <v/>
      </c>
      <c r="AW192" s="24" t="str">
        <f t="shared" si="20"/>
        <v/>
      </c>
      <c r="AX192" s="72">
        <f t="shared" si="21"/>
        <v>0</v>
      </c>
      <c r="AY192" s="24">
        <f t="shared" si="22"/>
        <v>0</v>
      </c>
      <c r="AZ192" s="24">
        <f t="array" ref="AZ192">IF(OR(RIGHT(B192,LEN(Par_LabelTravelTime))=Par_LabelTravelTime,B192="čas na ceste - fakturácia"),1,0)</f>
        <v>0</v>
      </c>
    </row>
    <row r="193" spans="2:52" s="24" customFormat="1" ht="12.75" x14ac:dyDescent="0.2">
      <c r="B193" s="97"/>
      <c r="C193" s="92"/>
      <c r="D193" s="31" t="str">
        <f>IF(E193=1,VLOOKUP(TableInvs[[#This Row],[Calc_V_Typ]],Tran_RevenuesList,3,FALSE),"")</f>
        <v/>
      </c>
      <c r="E193" s="31">
        <f t="shared" si="17"/>
        <v>0</v>
      </c>
      <c r="F193" s="9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  <c r="S193" s="84"/>
      <c r="T193" s="84"/>
      <c r="U193" s="84"/>
      <c r="V193" s="84"/>
      <c r="W193" s="84"/>
      <c r="X193" s="84"/>
      <c r="Y193" s="84"/>
      <c r="Z193" s="84"/>
      <c r="AA193" s="84"/>
      <c r="AB193" s="84"/>
      <c r="AC193" s="85"/>
      <c r="AD193" s="85"/>
      <c r="AE193" s="84"/>
      <c r="AF193" s="84"/>
      <c r="AG193" s="84"/>
      <c r="AH193" s="84"/>
      <c r="AI193" s="84"/>
      <c r="AJ193" s="84"/>
      <c r="AK193" s="84"/>
      <c r="AL193" s="84"/>
      <c r="AM193" s="84"/>
      <c r="AN193" s="84"/>
      <c r="AO193" s="84"/>
      <c r="AP193" s="84"/>
      <c r="AQ193" s="84"/>
      <c r="AR193" s="84"/>
      <c r="AS193" s="87">
        <f t="array" ref="AS193">IF(E193=1,SUM((ROW(Mf0)=ROW(AS193))*(Mf0+Mf1_+Mf2_+Mf3_+Mf4_+Mf5_+Mf6_+Mf7_+Mf8_+Mf9_+Mf10_+Mf11_+Mf12_+Mf13_+Mf14_+Mf15_+Mf16_+Mf17_+Mf18_+Mf19_+Mf20_+Mf21_+Mf22_+Mf23_+Mf24_+Mf25_+Mf26_+Mf27_+Mf28_+Mf29_+Mf30_+Mf31_+Mf32_+Mf33_+Mf34_+Mf35_+Mf36_+Mf37_)),0)</f>
        <v>0</v>
      </c>
      <c r="AU193" s="24" t="str">
        <f t="shared" si="18"/>
        <v/>
      </c>
      <c r="AV193" s="24" t="str">
        <f t="shared" si="19"/>
        <v/>
      </c>
      <c r="AW193" s="24" t="str">
        <f t="shared" si="20"/>
        <v/>
      </c>
      <c r="AX193" s="72">
        <f t="shared" si="21"/>
        <v>0</v>
      </c>
      <c r="AY193" s="24">
        <f t="shared" si="22"/>
        <v>0</v>
      </c>
      <c r="AZ193" s="24">
        <f t="array" ref="AZ193">IF(OR(RIGHT(B193,LEN(Par_LabelTravelTime))=Par_LabelTravelTime,B193="čas na ceste - fakturácia"),1,0)</f>
        <v>0</v>
      </c>
    </row>
    <row r="194" spans="2:52" s="24" customFormat="1" ht="12.75" x14ac:dyDescent="0.2">
      <c r="B194" s="97"/>
      <c r="C194" s="92"/>
      <c r="D194" s="31" t="str">
        <f>IF(E194=1,VLOOKUP(TableInvs[[#This Row],[Calc_V_Typ]],Tran_RevenuesList,3,FALSE),"")</f>
        <v/>
      </c>
      <c r="E194" s="31">
        <f t="shared" si="17"/>
        <v>0</v>
      </c>
      <c r="F194" s="9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  <c r="S194" s="84"/>
      <c r="T194" s="84"/>
      <c r="U194" s="84"/>
      <c r="V194" s="84"/>
      <c r="W194" s="84"/>
      <c r="X194" s="84"/>
      <c r="Y194" s="84"/>
      <c r="Z194" s="84"/>
      <c r="AA194" s="84"/>
      <c r="AB194" s="84"/>
      <c r="AC194" s="85"/>
      <c r="AD194" s="85"/>
      <c r="AE194" s="84"/>
      <c r="AF194" s="84"/>
      <c r="AG194" s="84"/>
      <c r="AH194" s="84"/>
      <c r="AI194" s="84"/>
      <c r="AJ194" s="84"/>
      <c r="AK194" s="84"/>
      <c r="AL194" s="84"/>
      <c r="AM194" s="84"/>
      <c r="AN194" s="84"/>
      <c r="AO194" s="84"/>
      <c r="AP194" s="84"/>
      <c r="AQ194" s="84"/>
      <c r="AR194" s="84"/>
      <c r="AS194" s="87">
        <f t="array" ref="AS194">IF(E194=1,SUM((ROW(Mf0)=ROW(AS194))*(Mf0+Mf1_+Mf2_+Mf3_+Mf4_+Mf5_+Mf6_+Mf7_+Mf8_+Mf9_+Mf10_+Mf11_+Mf12_+Mf13_+Mf14_+Mf15_+Mf16_+Mf17_+Mf18_+Mf19_+Mf20_+Mf21_+Mf22_+Mf23_+Mf24_+Mf25_+Mf26_+Mf27_+Mf28_+Mf29_+Mf30_+Mf31_+Mf32_+Mf33_+Mf34_+Mf35_+Mf36_+Mf37_)),0)</f>
        <v>0</v>
      </c>
      <c r="AU194" s="24" t="str">
        <f t="shared" si="18"/>
        <v/>
      </c>
      <c r="AV194" s="24" t="str">
        <f t="shared" si="19"/>
        <v/>
      </c>
      <c r="AW194" s="24" t="str">
        <f t="shared" si="20"/>
        <v/>
      </c>
      <c r="AX194" s="72">
        <f t="shared" si="21"/>
        <v>0</v>
      </c>
      <c r="AY194" s="24">
        <f t="shared" si="22"/>
        <v>0</v>
      </c>
      <c r="AZ194" s="24">
        <f t="array" ref="AZ194">IF(OR(RIGHT(B194,LEN(Par_LabelTravelTime))=Par_LabelTravelTime,B194="čas na ceste - fakturácia"),1,0)</f>
        <v>0</v>
      </c>
    </row>
    <row r="195" spans="2:52" s="24" customFormat="1" ht="12.75" x14ac:dyDescent="0.2">
      <c r="B195" s="97"/>
      <c r="C195" s="92"/>
      <c r="D195" s="31" t="str">
        <f>IF(E195=1,VLOOKUP(TableInvs[[#This Row],[Calc_V_Typ]],Tran_RevenuesList,3,FALSE),"")</f>
        <v/>
      </c>
      <c r="E195" s="31">
        <f t="shared" si="17"/>
        <v>0</v>
      </c>
      <c r="F195" s="9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  <c r="S195" s="84"/>
      <c r="T195" s="84"/>
      <c r="U195" s="84"/>
      <c r="V195" s="84"/>
      <c r="W195" s="84"/>
      <c r="X195" s="84"/>
      <c r="Y195" s="84"/>
      <c r="Z195" s="84"/>
      <c r="AA195" s="84"/>
      <c r="AB195" s="84"/>
      <c r="AC195" s="85"/>
      <c r="AD195" s="85"/>
      <c r="AE195" s="84"/>
      <c r="AF195" s="84"/>
      <c r="AG195" s="84"/>
      <c r="AH195" s="84"/>
      <c r="AI195" s="84"/>
      <c r="AJ195" s="84"/>
      <c r="AK195" s="84"/>
      <c r="AL195" s="84"/>
      <c r="AM195" s="84"/>
      <c r="AN195" s="84"/>
      <c r="AO195" s="84"/>
      <c r="AP195" s="84"/>
      <c r="AQ195" s="84"/>
      <c r="AR195" s="84"/>
      <c r="AS195" s="87">
        <f t="array" ref="AS195">IF(E195=1,SUM((ROW(Mf0)=ROW(AS195))*(Mf0+Mf1_+Mf2_+Mf3_+Mf4_+Mf5_+Mf6_+Mf7_+Mf8_+Mf9_+Mf10_+Mf11_+Mf12_+Mf13_+Mf14_+Mf15_+Mf16_+Mf17_+Mf18_+Mf19_+Mf20_+Mf21_+Mf22_+Mf23_+Mf24_+Mf25_+Mf26_+Mf27_+Mf28_+Mf29_+Mf30_+Mf31_+Mf32_+Mf33_+Mf34_+Mf35_+Mf36_+Mf37_)),0)</f>
        <v>0</v>
      </c>
      <c r="AU195" s="24" t="str">
        <f t="shared" si="18"/>
        <v/>
      </c>
      <c r="AV195" s="24" t="str">
        <f t="shared" si="19"/>
        <v/>
      </c>
      <c r="AW195" s="24" t="str">
        <f t="shared" si="20"/>
        <v/>
      </c>
      <c r="AX195" s="72">
        <f t="shared" si="21"/>
        <v>0</v>
      </c>
      <c r="AY195" s="24">
        <f t="shared" si="22"/>
        <v>0</v>
      </c>
      <c r="AZ195" s="24">
        <f t="array" ref="AZ195">IF(OR(RIGHT(B195,LEN(Par_LabelTravelTime))=Par_LabelTravelTime,B195="čas na ceste - fakturácia"),1,0)</f>
        <v>0</v>
      </c>
    </row>
    <row r="196" spans="2:52" s="24" customFormat="1" ht="12.75" x14ac:dyDescent="0.2">
      <c r="B196" s="97"/>
      <c r="C196" s="92"/>
      <c r="D196" s="31" t="str">
        <f>IF(E196=1,VLOOKUP(TableInvs[[#This Row],[Calc_V_Typ]],Tran_RevenuesList,3,FALSE),"")</f>
        <v/>
      </c>
      <c r="E196" s="31">
        <f t="shared" si="17"/>
        <v>0</v>
      </c>
      <c r="F196" s="9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  <c r="S196" s="84"/>
      <c r="T196" s="84"/>
      <c r="U196" s="84"/>
      <c r="V196" s="84"/>
      <c r="W196" s="84"/>
      <c r="X196" s="84"/>
      <c r="Y196" s="84"/>
      <c r="Z196" s="84"/>
      <c r="AA196" s="84"/>
      <c r="AB196" s="84"/>
      <c r="AC196" s="85"/>
      <c r="AD196" s="85"/>
      <c r="AE196" s="84"/>
      <c r="AF196" s="84"/>
      <c r="AG196" s="84"/>
      <c r="AH196" s="84"/>
      <c r="AI196" s="84"/>
      <c r="AJ196" s="84"/>
      <c r="AK196" s="84"/>
      <c r="AL196" s="84"/>
      <c r="AM196" s="84"/>
      <c r="AN196" s="84"/>
      <c r="AO196" s="84"/>
      <c r="AP196" s="84"/>
      <c r="AQ196" s="84"/>
      <c r="AR196" s="84"/>
      <c r="AS196" s="87">
        <f t="array" ref="AS196">IF(E196=1,SUM((ROW(Mf0)=ROW(AS196))*(Mf0+Mf1_+Mf2_+Mf3_+Mf4_+Mf5_+Mf6_+Mf7_+Mf8_+Mf9_+Mf10_+Mf11_+Mf12_+Mf13_+Mf14_+Mf15_+Mf16_+Mf17_+Mf18_+Mf19_+Mf20_+Mf21_+Mf22_+Mf23_+Mf24_+Mf25_+Mf26_+Mf27_+Mf28_+Mf29_+Mf30_+Mf31_+Mf32_+Mf33_+Mf34_+Mf35_+Mf36_+Mf37_)),0)</f>
        <v>0</v>
      </c>
      <c r="AU196" s="24" t="str">
        <f t="shared" si="18"/>
        <v/>
      </c>
      <c r="AV196" s="24" t="str">
        <f t="shared" si="19"/>
        <v/>
      </c>
      <c r="AW196" s="24" t="str">
        <f t="shared" si="20"/>
        <v/>
      </c>
      <c r="AX196" s="72">
        <f t="shared" si="21"/>
        <v>0</v>
      </c>
      <c r="AY196" s="24">
        <f t="shared" si="22"/>
        <v>0</v>
      </c>
      <c r="AZ196" s="24">
        <f t="array" ref="AZ196">IF(OR(RIGHT(B196,LEN(Par_LabelTravelTime))=Par_LabelTravelTime,B196="čas na ceste - fakturácia"),1,0)</f>
        <v>0</v>
      </c>
    </row>
    <row r="197" spans="2:52" s="24" customFormat="1" ht="12.75" x14ac:dyDescent="0.2">
      <c r="B197" s="97"/>
      <c r="C197" s="92"/>
      <c r="D197" s="31" t="str">
        <f>IF(E197=1,VLOOKUP(TableInvs[[#This Row],[Calc_V_Typ]],Tran_RevenuesList,3,FALSE),"")</f>
        <v/>
      </c>
      <c r="E197" s="31">
        <f t="shared" si="17"/>
        <v>0</v>
      </c>
      <c r="F197" s="9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  <c r="S197" s="84"/>
      <c r="T197" s="84"/>
      <c r="U197" s="84"/>
      <c r="V197" s="84"/>
      <c r="W197" s="84"/>
      <c r="X197" s="84"/>
      <c r="Y197" s="84"/>
      <c r="Z197" s="84"/>
      <c r="AA197" s="84"/>
      <c r="AB197" s="84"/>
      <c r="AC197" s="85"/>
      <c r="AD197" s="85"/>
      <c r="AE197" s="84"/>
      <c r="AF197" s="84"/>
      <c r="AG197" s="84"/>
      <c r="AH197" s="84"/>
      <c r="AI197" s="84"/>
      <c r="AJ197" s="84"/>
      <c r="AK197" s="84"/>
      <c r="AL197" s="84"/>
      <c r="AM197" s="84"/>
      <c r="AN197" s="84"/>
      <c r="AO197" s="84"/>
      <c r="AP197" s="84"/>
      <c r="AQ197" s="84"/>
      <c r="AR197" s="84"/>
      <c r="AS197" s="87">
        <f t="array" ref="AS197">IF(E197=1,SUM((ROW(Mf0)=ROW(AS197))*(Mf0+Mf1_+Mf2_+Mf3_+Mf4_+Mf5_+Mf6_+Mf7_+Mf8_+Mf9_+Mf10_+Mf11_+Mf12_+Mf13_+Mf14_+Mf15_+Mf16_+Mf17_+Mf18_+Mf19_+Mf20_+Mf21_+Mf22_+Mf23_+Mf24_+Mf25_+Mf26_+Mf27_+Mf28_+Mf29_+Mf30_+Mf31_+Mf32_+Mf33_+Mf34_+Mf35_+Mf36_+Mf37_)),0)</f>
        <v>0</v>
      </c>
      <c r="AU197" s="24" t="str">
        <f t="shared" si="18"/>
        <v/>
      </c>
      <c r="AV197" s="24" t="str">
        <f t="shared" si="19"/>
        <v/>
      </c>
      <c r="AW197" s="24" t="str">
        <f t="shared" si="20"/>
        <v/>
      </c>
      <c r="AX197" s="72">
        <f t="shared" si="21"/>
        <v>0</v>
      </c>
      <c r="AY197" s="24">
        <f t="shared" si="22"/>
        <v>0</v>
      </c>
      <c r="AZ197" s="24">
        <f t="array" ref="AZ197">IF(OR(RIGHT(B197,LEN(Par_LabelTravelTime))=Par_LabelTravelTime,B197="čas na ceste - fakturácia"),1,0)</f>
        <v>0</v>
      </c>
    </row>
    <row r="198" spans="2:52" s="24" customFormat="1" ht="12.75" x14ac:dyDescent="0.2">
      <c r="B198" s="97"/>
      <c r="C198" s="92"/>
      <c r="D198" s="31" t="str">
        <f>IF(E198=1,VLOOKUP(TableInvs[[#This Row],[Calc_V_Typ]],Tran_RevenuesList,3,FALSE),"")</f>
        <v/>
      </c>
      <c r="E198" s="31">
        <f t="shared" si="17"/>
        <v>0</v>
      </c>
      <c r="F198" s="9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  <c r="S198" s="84"/>
      <c r="T198" s="84"/>
      <c r="U198" s="84"/>
      <c r="V198" s="84"/>
      <c r="W198" s="84"/>
      <c r="X198" s="84"/>
      <c r="Y198" s="84"/>
      <c r="Z198" s="84"/>
      <c r="AA198" s="84"/>
      <c r="AB198" s="84"/>
      <c r="AC198" s="85"/>
      <c r="AD198" s="85"/>
      <c r="AE198" s="84"/>
      <c r="AF198" s="84"/>
      <c r="AG198" s="84"/>
      <c r="AH198" s="84"/>
      <c r="AI198" s="84"/>
      <c r="AJ198" s="84"/>
      <c r="AK198" s="84"/>
      <c r="AL198" s="84"/>
      <c r="AM198" s="84"/>
      <c r="AN198" s="84"/>
      <c r="AO198" s="84"/>
      <c r="AP198" s="84"/>
      <c r="AQ198" s="84"/>
      <c r="AR198" s="84"/>
      <c r="AS198" s="87">
        <f t="array" ref="AS198">IF(E198=1,SUM((ROW(Mf0)=ROW(AS198))*(Mf0+Mf1_+Mf2_+Mf3_+Mf4_+Mf5_+Mf6_+Mf7_+Mf8_+Mf9_+Mf10_+Mf11_+Mf12_+Mf13_+Mf14_+Mf15_+Mf16_+Mf17_+Mf18_+Mf19_+Mf20_+Mf21_+Mf22_+Mf23_+Mf24_+Mf25_+Mf26_+Mf27_+Mf28_+Mf29_+Mf30_+Mf31_+Mf32_+Mf33_+Mf34_+Mf35_+Mf36_+Mf37_)),0)</f>
        <v>0</v>
      </c>
      <c r="AU198" s="24" t="str">
        <f t="shared" si="18"/>
        <v/>
      </c>
      <c r="AV198" s="24" t="str">
        <f t="shared" si="19"/>
        <v/>
      </c>
      <c r="AW198" s="24" t="str">
        <f t="shared" si="20"/>
        <v/>
      </c>
      <c r="AX198" s="72">
        <f t="shared" si="21"/>
        <v>0</v>
      </c>
      <c r="AY198" s="24">
        <f t="shared" si="22"/>
        <v>0</v>
      </c>
      <c r="AZ198" s="24">
        <f t="array" ref="AZ198">IF(OR(RIGHT(B198,LEN(Par_LabelTravelTime))=Par_LabelTravelTime,B198="čas na ceste - fakturácia"),1,0)</f>
        <v>0</v>
      </c>
    </row>
    <row r="199" spans="2:52" s="24" customFormat="1" ht="12.75" x14ac:dyDescent="0.2">
      <c r="B199" s="97"/>
      <c r="C199" s="92"/>
      <c r="D199" s="31" t="str">
        <f>IF(E199=1,VLOOKUP(TableInvs[[#This Row],[Calc_V_Typ]],Tran_RevenuesList,3,FALSE),"")</f>
        <v/>
      </c>
      <c r="E199" s="31">
        <f t="shared" ref="E199:E262" si="23">IF(B199="",0,IF(LEFT(B199,3)="***",-1,1))</f>
        <v>0</v>
      </c>
      <c r="F199" s="9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  <c r="S199" s="84"/>
      <c r="T199" s="84"/>
      <c r="U199" s="84"/>
      <c r="V199" s="84"/>
      <c r="W199" s="84"/>
      <c r="X199" s="84"/>
      <c r="Y199" s="84"/>
      <c r="Z199" s="84"/>
      <c r="AA199" s="84"/>
      <c r="AB199" s="84"/>
      <c r="AC199" s="85"/>
      <c r="AD199" s="85"/>
      <c r="AE199" s="84"/>
      <c r="AF199" s="84"/>
      <c r="AG199" s="84"/>
      <c r="AH199" s="84"/>
      <c r="AI199" s="84"/>
      <c r="AJ199" s="84"/>
      <c r="AK199" s="84"/>
      <c r="AL199" s="84"/>
      <c r="AM199" s="84"/>
      <c r="AN199" s="84"/>
      <c r="AO199" s="84"/>
      <c r="AP199" s="84"/>
      <c r="AQ199" s="84"/>
      <c r="AR199" s="84"/>
      <c r="AS199" s="87">
        <f t="array" ref="AS199">IF(E199=1,SUM((ROW(Mf0)=ROW(AS199))*(Mf0+Mf1_+Mf2_+Mf3_+Mf4_+Mf5_+Mf6_+Mf7_+Mf8_+Mf9_+Mf10_+Mf11_+Mf12_+Mf13_+Mf14_+Mf15_+Mf16_+Mf17_+Mf18_+Mf19_+Mf20_+Mf21_+Mf22_+Mf23_+Mf24_+Mf25_+Mf26_+Mf27_+Mf28_+Mf29_+Mf30_+Mf31_+Mf32_+Mf33_+Mf34_+Mf35_+Mf36_+Mf37_)),0)</f>
        <v>0</v>
      </c>
      <c r="AU199" s="24" t="str">
        <f t="shared" ref="AU199:AU262" si="24">IF(E199=1,VLOOKUP(B199,Tran_RevenuesList,2,0),"")</f>
        <v/>
      </c>
      <c r="AV199" s="24" t="str">
        <f t="shared" ref="AV199:AV262" si="25">IF(E199=1,D199,"")</f>
        <v/>
      </c>
      <c r="AW199" s="24" t="str">
        <f t="shared" ref="AW199:AW262" si="26">IF(C199="","",VLOOKUP(C199,Tab_Parts,2,0))</f>
        <v/>
      </c>
      <c r="AX199" s="72">
        <f t="shared" ref="AX199:AX262" si="27">IF(E199=1,AS199,0)</f>
        <v>0</v>
      </c>
      <c r="AY199" s="24">
        <f t="shared" ref="AY199:AY262" si="28">IF(RIGHT(B199,LEN(Par_LabelTravelTime))=Par_LabelTravelTime,LEFT(B199,LEN(B199)-LEN(Par_LabelTravelTime)),B199)</f>
        <v>0</v>
      </c>
      <c r="AZ199" s="24">
        <f t="array" ref="AZ199">IF(OR(RIGHT(B199,LEN(Par_LabelTravelTime))=Par_LabelTravelTime,B199="čas na ceste - fakturácia"),1,0)</f>
        <v>0</v>
      </c>
    </row>
    <row r="200" spans="2:52" s="24" customFormat="1" ht="12.75" x14ac:dyDescent="0.2">
      <c r="B200" s="97"/>
      <c r="C200" s="92"/>
      <c r="D200" s="31" t="str">
        <f>IF(E200=1,VLOOKUP(TableInvs[[#This Row],[Calc_V_Typ]],Tran_RevenuesList,3,FALSE),"")</f>
        <v/>
      </c>
      <c r="E200" s="31">
        <f t="shared" si="23"/>
        <v>0</v>
      </c>
      <c r="F200" s="9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  <c r="S200" s="84"/>
      <c r="T200" s="84"/>
      <c r="U200" s="84"/>
      <c r="V200" s="84"/>
      <c r="W200" s="84"/>
      <c r="X200" s="84"/>
      <c r="Y200" s="84"/>
      <c r="Z200" s="84"/>
      <c r="AA200" s="84"/>
      <c r="AB200" s="84"/>
      <c r="AC200" s="85"/>
      <c r="AD200" s="85"/>
      <c r="AE200" s="84"/>
      <c r="AF200" s="84"/>
      <c r="AG200" s="84"/>
      <c r="AH200" s="84"/>
      <c r="AI200" s="84"/>
      <c r="AJ200" s="84"/>
      <c r="AK200" s="84"/>
      <c r="AL200" s="84"/>
      <c r="AM200" s="84"/>
      <c r="AN200" s="84"/>
      <c r="AO200" s="84"/>
      <c r="AP200" s="84"/>
      <c r="AQ200" s="84"/>
      <c r="AR200" s="84"/>
      <c r="AS200" s="87">
        <f t="array" ref="AS200">IF(E200=1,SUM((ROW(Mf0)=ROW(AS200))*(Mf0+Mf1_+Mf2_+Mf3_+Mf4_+Mf5_+Mf6_+Mf7_+Mf8_+Mf9_+Mf10_+Mf11_+Mf12_+Mf13_+Mf14_+Mf15_+Mf16_+Mf17_+Mf18_+Mf19_+Mf20_+Mf21_+Mf22_+Mf23_+Mf24_+Mf25_+Mf26_+Mf27_+Mf28_+Mf29_+Mf30_+Mf31_+Mf32_+Mf33_+Mf34_+Mf35_+Mf36_+Mf37_)),0)</f>
        <v>0</v>
      </c>
      <c r="AU200" s="24" t="str">
        <f t="shared" si="24"/>
        <v/>
      </c>
      <c r="AV200" s="24" t="str">
        <f t="shared" si="25"/>
        <v/>
      </c>
      <c r="AW200" s="24" t="str">
        <f t="shared" si="26"/>
        <v/>
      </c>
      <c r="AX200" s="72">
        <f t="shared" si="27"/>
        <v>0</v>
      </c>
      <c r="AY200" s="24">
        <f t="shared" si="28"/>
        <v>0</v>
      </c>
      <c r="AZ200" s="24">
        <f t="array" ref="AZ200">IF(OR(RIGHT(B200,LEN(Par_LabelTravelTime))=Par_LabelTravelTime,B200="čas na ceste - fakturácia"),1,0)</f>
        <v>0</v>
      </c>
    </row>
    <row r="201" spans="2:52" s="24" customFormat="1" ht="12.75" x14ac:dyDescent="0.2">
      <c r="B201" s="97"/>
      <c r="C201" s="92"/>
      <c r="D201" s="31" t="str">
        <f>IF(E201=1,VLOOKUP(TableInvs[[#This Row],[Calc_V_Typ]],Tran_RevenuesList,3,FALSE),"")</f>
        <v/>
      </c>
      <c r="E201" s="31">
        <f t="shared" si="23"/>
        <v>0</v>
      </c>
      <c r="F201" s="9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  <c r="S201" s="84"/>
      <c r="T201" s="84"/>
      <c r="U201" s="84"/>
      <c r="V201" s="84"/>
      <c r="W201" s="84"/>
      <c r="X201" s="84"/>
      <c r="Y201" s="84"/>
      <c r="Z201" s="84"/>
      <c r="AA201" s="84"/>
      <c r="AB201" s="84"/>
      <c r="AC201" s="85"/>
      <c r="AD201" s="85"/>
      <c r="AE201" s="84"/>
      <c r="AF201" s="84"/>
      <c r="AG201" s="84"/>
      <c r="AH201" s="84"/>
      <c r="AI201" s="84"/>
      <c r="AJ201" s="84"/>
      <c r="AK201" s="84"/>
      <c r="AL201" s="84"/>
      <c r="AM201" s="84"/>
      <c r="AN201" s="84"/>
      <c r="AO201" s="84"/>
      <c r="AP201" s="84"/>
      <c r="AQ201" s="84"/>
      <c r="AR201" s="84"/>
      <c r="AS201" s="87">
        <f t="array" ref="AS201">IF(E201=1,SUM((ROW(Mf0)=ROW(AS201))*(Mf0+Mf1_+Mf2_+Mf3_+Mf4_+Mf5_+Mf6_+Mf7_+Mf8_+Mf9_+Mf10_+Mf11_+Mf12_+Mf13_+Mf14_+Mf15_+Mf16_+Mf17_+Mf18_+Mf19_+Mf20_+Mf21_+Mf22_+Mf23_+Mf24_+Mf25_+Mf26_+Mf27_+Mf28_+Mf29_+Mf30_+Mf31_+Mf32_+Mf33_+Mf34_+Mf35_+Mf36_+Mf37_)),0)</f>
        <v>0</v>
      </c>
      <c r="AU201" s="24" t="str">
        <f t="shared" si="24"/>
        <v/>
      </c>
      <c r="AV201" s="24" t="str">
        <f t="shared" si="25"/>
        <v/>
      </c>
      <c r="AW201" s="24" t="str">
        <f t="shared" si="26"/>
        <v/>
      </c>
      <c r="AX201" s="72">
        <f t="shared" si="27"/>
        <v>0</v>
      </c>
      <c r="AY201" s="24">
        <f t="shared" si="28"/>
        <v>0</v>
      </c>
      <c r="AZ201" s="24">
        <f t="array" ref="AZ201">IF(OR(RIGHT(B201,LEN(Par_LabelTravelTime))=Par_LabelTravelTime,B201="čas na ceste - fakturácia"),1,0)</f>
        <v>0</v>
      </c>
    </row>
    <row r="202" spans="2:52" s="24" customFormat="1" ht="12.75" x14ac:dyDescent="0.2">
      <c r="B202" s="97"/>
      <c r="C202" s="92"/>
      <c r="D202" s="31" t="str">
        <f>IF(E202=1,VLOOKUP(TableInvs[[#This Row],[Calc_V_Typ]],Tran_RevenuesList,3,FALSE),"")</f>
        <v/>
      </c>
      <c r="E202" s="31">
        <f t="shared" si="23"/>
        <v>0</v>
      </c>
      <c r="F202" s="9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  <c r="S202" s="84"/>
      <c r="T202" s="84"/>
      <c r="U202" s="84"/>
      <c r="V202" s="84"/>
      <c r="W202" s="84"/>
      <c r="X202" s="84"/>
      <c r="Y202" s="84"/>
      <c r="Z202" s="84"/>
      <c r="AA202" s="84"/>
      <c r="AB202" s="84"/>
      <c r="AC202" s="85"/>
      <c r="AD202" s="85"/>
      <c r="AE202" s="84"/>
      <c r="AF202" s="84"/>
      <c r="AG202" s="84"/>
      <c r="AH202" s="84"/>
      <c r="AI202" s="84"/>
      <c r="AJ202" s="84"/>
      <c r="AK202" s="84"/>
      <c r="AL202" s="84"/>
      <c r="AM202" s="84"/>
      <c r="AN202" s="84"/>
      <c r="AO202" s="84"/>
      <c r="AP202" s="84"/>
      <c r="AQ202" s="84"/>
      <c r="AR202" s="84"/>
      <c r="AS202" s="87">
        <f t="array" ref="AS202">IF(E202=1,SUM((ROW(Mf0)=ROW(AS202))*(Mf0+Mf1_+Mf2_+Mf3_+Mf4_+Mf5_+Mf6_+Mf7_+Mf8_+Mf9_+Mf10_+Mf11_+Mf12_+Mf13_+Mf14_+Mf15_+Mf16_+Mf17_+Mf18_+Mf19_+Mf20_+Mf21_+Mf22_+Mf23_+Mf24_+Mf25_+Mf26_+Mf27_+Mf28_+Mf29_+Mf30_+Mf31_+Mf32_+Mf33_+Mf34_+Mf35_+Mf36_+Mf37_)),0)</f>
        <v>0</v>
      </c>
      <c r="AU202" s="24" t="str">
        <f t="shared" si="24"/>
        <v/>
      </c>
      <c r="AV202" s="24" t="str">
        <f t="shared" si="25"/>
        <v/>
      </c>
      <c r="AW202" s="24" t="str">
        <f t="shared" si="26"/>
        <v/>
      </c>
      <c r="AX202" s="72">
        <f t="shared" si="27"/>
        <v>0</v>
      </c>
      <c r="AY202" s="24">
        <f t="shared" si="28"/>
        <v>0</v>
      </c>
      <c r="AZ202" s="24">
        <f t="array" ref="AZ202">IF(OR(RIGHT(B202,LEN(Par_LabelTravelTime))=Par_LabelTravelTime,B202="čas na ceste - fakturácia"),1,0)</f>
        <v>0</v>
      </c>
    </row>
    <row r="203" spans="2:52" s="24" customFormat="1" ht="12.75" x14ac:dyDescent="0.2">
      <c r="B203" s="97"/>
      <c r="C203" s="92"/>
      <c r="D203" s="31" t="str">
        <f>IF(E203=1,VLOOKUP(TableInvs[[#This Row],[Calc_V_Typ]],Tran_RevenuesList,3,FALSE),"")</f>
        <v/>
      </c>
      <c r="E203" s="31">
        <f t="shared" si="23"/>
        <v>0</v>
      </c>
      <c r="F203" s="9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  <c r="S203" s="84"/>
      <c r="T203" s="84"/>
      <c r="U203" s="84"/>
      <c r="V203" s="84"/>
      <c r="W203" s="84"/>
      <c r="X203" s="84"/>
      <c r="Y203" s="84"/>
      <c r="Z203" s="84"/>
      <c r="AA203" s="84"/>
      <c r="AB203" s="84"/>
      <c r="AC203" s="85"/>
      <c r="AD203" s="85"/>
      <c r="AE203" s="84"/>
      <c r="AF203" s="84"/>
      <c r="AG203" s="84"/>
      <c r="AH203" s="84"/>
      <c r="AI203" s="84"/>
      <c r="AJ203" s="84"/>
      <c r="AK203" s="84"/>
      <c r="AL203" s="84"/>
      <c r="AM203" s="84"/>
      <c r="AN203" s="84"/>
      <c r="AO203" s="84"/>
      <c r="AP203" s="84"/>
      <c r="AQ203" s="84"/>
      <c r="AR203" s="84"/>
      <c r="AS203" s="87">
        <f t="array" ref="AS203">IF(E203=1,SUM((ROW(Mf0)=ROW(AS203))*(Mf0+Mf1_+Mf2_+Mf3_+Mf4_+Mf5_+Mf6_+Mf7_+Mf8_+Mf9_+Mf10_+Mf11_+Mf12_+Mf13_+Mf14_+Mf15_+Mf16_+Mf17_+Mf18_+Mf19_+Mf20_+Mf21_+Mf22_+Mf23_+Mf24_+Mf25_+Mf26_+Mf27_+Mf28_+Mf29_+Mf30_+Mf31_+Mf32_+Mf33_+Mf34_+Mf35_+Mf36_+Mf37_)),0)</f>
        <v>0</v>
      </c>
      <c r="AU203" s="24" t="str">
        <f t="shared" si="24"/>
        <v/>
      </c>
      <c r="AV203" s="24" t="str">
        <f t="shared" si="25"/>
        <v/>
      </c>
      <c r="AW203" s="24" t="str">
        <f t="shared" si="26"/>
        <v/>
      </c>
      <c r="AX203" s="72">
        <f t="shared" si="27"/>
        <v>0</v>
      </c>
      <c r="AY203" s="24">
        <f t="shared" si="28"/>
        <v>0</v>
      </c>
      <c r="AZ203" s="24">
        <f t="array" ref="AZ203">IF(OR(RIGHT(B203,LEN(Par_LabelTravelTime))=Par_LabelTravelTime,B203="čas na ceste - fakturácia"),1,0)</f>
        <v>0</v>
      </c>
    </row>
    <row r="204" spans="2:52" s="24" customFormat="1" ht="12.75" x14ac:dyDescent="0.2">
      <c r="B204" s="97"/>
      <c r="C204" s="92"/>
      <c r="D204" s="31" t="str">
        <f>IF(E204=1,VLOOKUP(TableInvs[[#This Row],[Calc_V_Typ]],Tran_RevenuesList,3,FALSE),"")</f>
        <v/>
      </c>
      <c r="E204" s="31">
        <f t="shared" si="23"/>
        <v>0</v>
      </c>
      <c r="F204" s="9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  <c r="S204" s="84"/>
      <c r="T204" s="84"/>
      <c r="U204" s="84"/>
      <c r="V204" s="84"/>
      <c r="W204" s="84"/>
      <c r="X204" s="84"/>
      <c r="Y204" s="84"/>
      <c r="Z204" s="84"/>
      <c r="AA204" s="84"/>
      <c r="AB204" s="84"/>
      <c r="AC204" s="85"/>
      <c r="AD204" s="85"/>
      <c r="AE204" s="84"/>
      <c r="AF204" s="84"/>
      <c r="AG204" s="84"/>
      <c r="AH204" s="84"/>
      <c r="AI204" s="84"/>
      <c r="AJ204" s="84"/>
      <c r="AK204" s="84"/>
      <c r="AL204" s="84"/>
      <c r="AM204" s="84"/>
      <c r="AN204" s="84"/>
      <c r="AO204" s="84"/>
      <c r="AP204" s="84"/>
      <c r="AQ204" s="84"/>
      <c r="AR204" s="84"/>
      <c r="AS204" s="87">
        <f t="array" ref="AS204">IF(E204=1,SUM((ROW(Mf0)=ROW(AS204))*(Mf0+Mf1_+Mf2_+Mf3_+Mf4_+Mf5_+Mf6_+Mf7_+Mf8_+Mf9_+Mf10_+Mf11_+Mf12_+Mf13_+Mf14_+Mf15_+Mf16_+Mf17_+Mf18_+Mf19_+Mf20_+Mf21_+Mf22_+Mf23_+Mf24_+Mf25_+Mf26_+Mf27_+Mf28_+Mf29_+Mf30_+Mf31_+Mf32_+Mf33_+Mf34_+Mf35_+Mf36_+Mf37_)),0)</f>
        <v>0</v>
      </c>
      <c r="AU204" s="24" t="str">
        <f t="shared" si="24"/>
        <v/>
      </c>
      <c r="AV204" s="24" t="str">
        <f t="shared" si="25"/>
        <v/>
      </c>
      <c r="AW204" s="24" t="str">
        <f t="shared" si="26"/>
        <v/>
      </c>
      <c r="AX204" s="72">
        <f t="shared" si="27"/>
        <v>0</v>
      </c>
      <c r="AY204" s="24">
        <f t="shared" si="28"/>
        <v>0</v>
      </c>
      <c r="AZ204" s="24">
        <f t="array" ref="AZ204">IF(OR(RIGHT(B204,LEN(Par_LabelTravelTime))=Par_LabelTravelTime,B204="čas na ceste - fakturácia"),1,0)</f>
        <v>0</v>
      </c>
    </row>
    <row r="205" spans="2:52" s="24" customFormat="1" ht="12.75" x14ac:dyDescent="0.2">
      <c r="B205" s="97"/>
      <c r="C205" s="92"/>
      <c r="D205" s="31" t="str">
        <f>IF(E205=1,VLOOKUP(TableInvs[[#This Row],[Calc_V_Typ]],Tran_RevenuesList,3,FALSE),"")</f>
        <v/>
      </c>
      <c r="E205" s="31">
        <f t="shared" si="23"/>
        <v>0</v>
      </c>
      <c r="F205" s="9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  <c r="W205" s="84"/>
      <c r="X205" s="84"/>
      <c r="Y205" s="84"/>
      <c r="Z205" s="84"/>
      <c r="AA205" s="84"/>
      <c r="AB205" s="84"/>
      <c r="AC205" s="85"/>
      <c r="AD205" s="85"/>
      <c r="AE205" s="84"/>
      <c r="AF205" s="84"/>
      <c r="AG205" s="84"/>
      <c r="AH205" s="84"/>
      <c r="AI205" s="84"/>
      <c r="AJ205" s="84"/>
      <c r="AK205" s="84"/>
      <c r="AL205" s="84"/>
      <c r="AM205" s="84"/>
      <c r="AN205" s="84"/>
      <c r="AO205" s="84"/>
      <c r="AP205" s="84"/>
      <c r="AQ205" s="84"/>
      <c r="AR205" s="84"/>
      <c r="AS205" s="87">
        <f t="array" ref="AS205">IF(E205=1,SUM((ROW(Mf0)=ROW(AS205))*(Mf0+Mf1_+Mf2_+Mf3_+Mf4_+Mf5_+Mf6_+Mf7_+Mf8_+Mf9_+Mf10_+Mf11_+Mf12_+Mf13_+Mf14_+Mf15_+Mf16_+Mf17_+Mf18_+Mf19_+Mf20_+Mf21_+Mf22_+Mf23_+Mf24_+Mf25_+Mf26_+Mf27_+Mf28_+Mf29_+Mf30_+Mf31_+Mf32_+Mf33_+Mf34_+Mf35_+Mf36_+Mf37_)),0)</f>
        <v>0</v>
      </c>
      <c r="AU205" s="24" t="str">
        <f t="shared" si="24"/>
        <v/>
      </c>
      <c r="AV205" s="24" t="str">
        <f t="shared" si="25"/>
        <v/>
      </c>
      <c r="AW205" s="24" t="str">
        <f t="shared" si="26"/>
        <v/>
      </c>
      <c r="AX205" s="72">
        <f t="shared" si="27"/>
        <v>0</v>
      </c>
      <c r="AY205" s="24">
        <f t="shared" si="28"/>
        <v>0</v>
      </c>
      <c r="AZ205" s="24">
        <f t="array" ref="AZ205">IF(OR(RIGHT(B205,LEN(Par_LabelTravelTime))=Par_LabelTravelTime,B205="čas na ceste - fakturácia"),1,0)</f>
        <v>0</v>
      </c>
    </row>
    <row r="206" spans="2:52" s="24" customFormat="1" ht="12.75" x14ac:dyDescent="0.2">
      <c r="B206" s="97"/>
      <c r="C206" s="92"/>
      <c r="D206" s="31" t="str">
        <f>IF(E206=1,VLOOKUP(TableInvs[[#This Row],[Calc_V_Typ]],Tran_RevenuesList,3,FALSE),"")</f>
        <v/>
      </c>
      <c r="E206" s="31">
        <f t="shared" si="23"/>
        <v>0</v>
      </c>
      <c r="F206" s="9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  <c r="S206" s="84"/>
      <c r="T206" s="84"/>
      <c r="U206" s="84"/>
      <c r="V206" s="84"/>
      <c r="W206" s="84"/>
      <c r="X206" s="84"/>
      <c r="Y206" s="84"/>
      <c r="Z206" s="84"/>
      <c r="AA206" s="84"/>
      <c r="AB206" s="84"/>
      <c r="AC206" s="85"/>
      <c r="AD206" s="85"/>
      <c r="AE206" s="84"/>
      <c r="AF206" s="84"/>
      <c r="AG206" s="84"/>
      <c r="AH206" s="84"/>
      <c r="AI206" s="84"/>
      <c r="AJ206" s="84"/>
      <c r="AK206" s="84"/>
      <c r="AL206" s="84"/>
      <c r="AM206" s="84"/>
      <c r="AN206" s="84"/>
      <c r="AO206" s="84"/>
      <c r="AP206" s="84"/>
      <c r="AQ206" s="84"/>
      <c r="AR206" s="84"/>
      <c r="AS206" s="87">
        <f t="array" ref="AS206">IF(E206=1,SUM((ROW(Mf0)=ROW(AS206))*(Mf0+Mf1_+Mf2_+Mf3_+Mf4_+Mf5_+Mf6_+Mf7_+Mf8_+Mf9_+Mf10_+Mf11_+Mf12_+Mf13_+Mf14_+Mf15_+Mf16_+Mf17_+Mf18_+Mf19_+Mf20_+Mf21_+Mf22_+Mf23_+Mf24_+Mf25_+Mf26_+Mf27_+Mf28_+Mf29_+Mf30_+Mf31_+Mf32_+Mf33_+Mf34_+Mf35_+Mf36_+Mf37_)),0)</f>
        <v>0</v>
      </c>
      <c r="AU206" s="24" t="str">
        <f t="shared" si="24"/>
        <v/>
      </c>
      <c r="AV206" s="24" t="str">
        <f t="shared" si="25"/>
        <v/>
      </c>
      <c r="AW206" s="24" t="str">
        <f t="shared" si="26"/>
        <v/>
      </c>
      <c r="AX206" s="72">
        <f t="shared" si="27"/>
        <v>0</v>
      </c>
      <c r="AY206" s="24">
        <f t="shared" si="28"/>
        <v>0</v>
      </c>
      <c r="AZ206" s="24">
        <f t="array" ref="AZ206">IF(OR(RIGHT(B206,LEN(Par_LabelTravelTime))=Par_LabelTravelTime,B206="čas na ceste - fakturácia"),1,0)</f>
        <v>0</v>
      </c>
    </row>
    <row r="207" spans="2:52" s="24" customFormat="1" ht="12.75" x14ac:dyDescent="0.2">
      <c r="B207" s="97"/>
      <c r="C207" s="92"/>
      <c r="D207" s="31" t="str">
        <f>IF(E207=1,VLOOKUP(TableInvs[[#This Row],[Calc_V_Typ]],Tran_RevenuesList,3,FALSE),"")</f>
        <v/>
      </c>
      <c r="E207" s="31">
        <f t="shared" si="23"/>
        <v>0</v>
      </c>
      <c r="F207" s="94"/>
      <c r="G207" s="84"/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  <c r="S207" s="84"/>
      <c r="T207" s="84"/>
      <c r="U207" s="84"/>
      <c r="V207" s="84"/>
      <c r="W207" s="84"/>
      <c r="X207" s="84"/>
      <c r="Y207" s="84"/>
      <c r="Z207" s="84"/>
      <c r="AA207" s="84"/>
      <c r="AB207" s="84"/>
      <c r="AC207" s="85"/>
      <c r="AD207" s="85"/>
      <c r="AE207" s="84"/>
      <c r="AF207" s="84"/>
      <c r="AG207" s="84"/>
      <c r="AH207" s="84"/>
      <c r="AI207" s="84"/>
      <c r="AJ207" s="84"/>
      <c r="AK207" s="84"/>
      <c r="AL207" s="84"/>
      <c r="AM207" s="84"/>
      <c r="AN207" s="84"/>
      <c r="AO207" s="84"/>
      <c r="AP207" s="84"/>
      <c r="AQ207" s="84"/>
      <c r="AR207" s="84"/>
      <c r="AS207" s="87">
        <f t="array" ref="AS207">IF(E207=1,SUM((ROW(Mf0)=ROW(AS207))*(Mf0+Mf1_+Mf2_+Mf3_+Mf4_+Mf5_+Mf6_+Mf7_+Mf8_+Mf9_+Mf10_+Mf11_+Mf12_+Mf13_+Mf14_+Mf15_+Mf16_+Mf17_+Mf18_+Mf19_+Mf20_+Mf21_+Mf22_+Mf23_+Mf24_+Mf25_+Mf26_+Mf27_+Mf28_+Mf29_+Mf30_+Mf31_+Mf32_+Mf33_+Mf34_+Mf35_+Mf36_+Mf37_)),0)</f>
        <v>0</v>
      </c>
      <c r="AU207" s="24" t="str">
        <f t="shared" si="24"/>
        <v/>
      </c>
      <c r="AV207" s="24" t="str">
        <f t="shared" si="25"/>
        <v/>
      </c>
      <c r="AW207" s="24" t="str">
        <f t="shared" si="26"/>
        <v/>
      </c>
      <c r="AX207" s="72">
        <f t="shared" si="27"/>
        <v>0</v>
      </c>
      <c r="AY207" s="24">
        <f t="shared" si="28"/>
        <v>0</v>
      </c>
      <c r="AZ207" s="24">
        <f t="array" ref="AZ207">IF(OR(RIGHT(B207,LEN(Par_LabelTravelTime))=Par_LabelTravelTime,B207="čas na ceste - fakturácia"),1,0)</f>
        <v>0</v>
      </c>
    </row>
    <row r="208" spans="2:52" s="24" customFormat="1" ht="12.75" x14ac:dyDescent="0.2">
      <c r="B208" s="97"/>
      <c r="C208" s="92"/>
      <c r="D208" s="31" t="str">
        <f>IF(E208=1,VLOOKUP(TableInvs[[#This Row],[Calc_V_Typ]],Tran_RevenuesList,3,FALSE),"")</f>
        <v/>
      </c>
      <c r="E208" s="31">
        <f t="shared" si="23"/>
        <v>0</v>
      </c>
      <c r="F208" s="9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  <c r="S208" s="84"/>
      <c r="T208" s="84"/>
      <c r="U208" s="84"/>
      <c r="V208" s="84"/>
      <c r="W208" s="84"/>
      <c r="X208" s="84"/>
      <c r="Y208" s="84"/>
      <c r="Z208" s="84"/>
      <c r="AA208" s="84"/>
      <c r="AB208" s="84"/>
      <c r="AC208" s="85"/>
      <c r="AD208" s="85"/>
      <c r="AE208" s="84"/>
      <c r="AF208" s="84"/>
      <c r="AG208" s="84"/>
      <c r="AH208" s="84"/>
      <c r="AI208" s="84"/>
      <c r="AJ208" s="84"/>
      <c r="AK208" s="84"/>
      <c r="AL208" s="84"/>
      <c r="AM208" s="84"/>
      <c r="AN208" s="84"/>
      <c r="AO208" s="84"/>
      <c r="AP208" s="84"/>
      <c r="AQ208" s="84"/>
      <c r="AR208" s="84"/>
      <c r="AS208" s="87">
        <f t="array" ref="AS208">IF(E208=1,SUM((ROW(Mf0)=ROW(AS208))*(Mf0+Mf1_+Mf2_+Mf3_+Mf4_+Mf5_+Mf6_+Mf7_+Mf8_+Mf9_+Mf10_+Mf11_+Mf12_+Mf13_+Mf14_+Mf15_+Mf16_+Mf17_+Mf18_+Mf19_+Mf20_+Mf21_+Mf22_+Mf23_+Mf24_+Mf25_+Mf26_+Mf27_+Mf28_+Mf29_+Mf30_+Mf31_+Mf32_+Mf33_+Mf34_+Mf35_+Mf36_+Mf37_)),0)</f>
        <v>0</v>
      </c>
      <c r="AU208" s="24" t="str">
        <f t="shared" si="24"/>
        <v/>
      </c>
      <c r="AV208" s="24" t="str">
        <f t="shared" si="25"/>
        <v/>
      </c>
      <c r="AW208" s="24" t="str">
        <f t="shared" si="26"/>
        <v/>
      </c>
      <c r="AX208" s="72">
        <f t="shared" si="27"/>
        <v>0</v>
      </c>
      <c r="AY208" s="24">
        <f t="shared" si="28"/>
        <v>0</v>
      </c>
      <c r="AZ208" s="24">
        <f t="array" ref="AZ208">IF(OR(RIGHT(B208,LEN(Par_LabelTravelTime))=Par_LabelTravelTime,B208="čas na ceste - fakturácia"),1,0)</f>
        <v>0</v>
      </c>
    </row>
    <row r="209" spans="2:52" s="24" customFormat="1" ht="12.75" x14ac:dyDescent="0.2">
      <c r="B209" s="97"/>
      <c r="C209" s="92"/>
      <c r="D209" s="31" t="str">
        <f>IF(E209=1,VLOOKUP(TableInvs[[#This Row],[Calc_V_Typ]],Tran_RevenuesList,3,FALSE),"")</f>
        <v/>
      </c>
      <c r="E209" s="31">
        <f t="shared" si="23"/>
        <v>0</v>
      </c>
      <c r="F209" s="9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  <c r="S209" s="84"/>
      <c r="T209" s="84"/>
      <c r="U209" s="84"/>
      <c r="V209" s="84"/>
      <c r="W209" s="84"/>
      <c r="X209" s="84"/>
      <c r="Y209" s="84"/>
      <c r="Z209" s="84"/>
      <c r="AA209" s="84"/>
      <c r="AB209" s="84"/>
      <c r="AC209" s="85"/>
      <c r="AD209" s="85"/>
      <c r="AE209" s="84"/>
      <c r="AF209" s="84"/>
      <c r="AG209" s="84"/>
      <c r="AH209" s="84"/>
      <c r="AI209" s="84"/>
      <c r="AJ209" s="84"/>
      <c r="AK209" s="84"/>
      <c r="AL209" s="84"/>
      <c r="AM209" s="84"/>
      <c r="AN209" s="84"/>
      <c r="AO209" s="84"/>
      <c r="AP209" s="84"/>
      <c r="AQ209" s="84"/>
      <c r="AR209" s="84"/>
      <c r="AS209" s="87">
        <f t="array" ref="AS209">IF(E209=1,SUM((ROW(Mf0)=ROW(AS209))*(Mf0+Mf1_+Mf2_+Mf3_+Mf4_+Mf5_+Mf6_+Mf7_+Mf8_+Mf9_+Mf10_+Mf11_+Mf12_+Mf13_+Mf14_+Mf15_+Mf16_+Mf17_+Mf18_+Mf19_+Mf20_+Mf21_+Mf22_+Mf23_+Mf24_+Mf25_+Mf26_+Mf27_+Mf28_+Mf29_+Mf30_+Mf31_+Mf32_+Mf33_+Mf34_+Mf35_+Mf36_+Mf37_)),0)</f>
        <v>0</v>
      </c>
      <c r="AU209" s="24" t="str">
        <f t="shared" si="24"/>
        <v/>
      </c>
      <c r="AV209" s="24" t="str">
        <f t="shared" si="25"/>
        <v/>
      </c>
      <c r="AW209" s="24" t="str">
        <f t="shared" si="26"/>
        <v/>
      </c>
      <c r="AX209" s="72">
        <f t="shared" si="27"/>
        <v>0</v>
      </c>
      <c r="AY209" s="24">
        <f t="shared" si="28"/>
        <v>0</v>
      </c>
      <c r="AZ209" s="24">
        <f t="array" ref="AZ209">IF(OR(RIGHT(B209,LEN(Par_LabelTravelTime))=Par_LabelTravelTime,B209="čas na ceste - fakturácia"),1,0)</f>
        <v>0</v>
      </c>
    </row>
    <row r="210" spans="2:52" s="24" customFormat="1" ht="12.75" x14ac:dyDescent="0.2">
      <c r="B210" s="97"/>
      <c r="C210" s="92"/>
      <c r="D210" s="31" t="str">
        <f>IF(E210=1,VLOOKUP(TableInvs[[#This Row],[Calc_V_Typ]],Tran_RevenuesList,3,FALSE),"")</f>
        <v/>
      </c>
      <c r="E210" s="31">
        <f t="shared" si="23"/>
        <v>0</v>
      </c>
      <c r="F210" s="9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  <c r="W210" s="84"/>
      <c r="X210" s="84"/>
      <c r="Y210" s="84"/>
      <c r="Z210" s="84"/>
      <c r="AA210" s="84"/>
      <c r="AB210" s="84"/>
      <c r="AC210" s="85"/>
      <c r="AD210" s="85"/>
      <c r="AE210" s="84"/>
      <c r="AF210" s="84"/>
      <c r="AG210" s="84"/>
      <c r="AH210" s="84"/>
      <c r="AI210" s="84"/>
      <c r="AJ210" s="84"/>
      <c r="AK210" s="84"/>
      <c r="AL210" s="84"/>
      <c r="AM210" s="84"/>
      <c r="AN210" s="84"/>
      <c r="AO210" s="84"/>
      <c r="AP210" s="84"/>
      <c r="AQ210" s="84"/>
      <c r="AR210" s="84"/>
      <c r="AS210" s="87">
        <f t="array" ref="AS210">IF(E210=1,SUM((ROW(Mf0)=ROW(AS210))*(Mf0+Mf1_+Mf2_+Mf3_+Mf4_+Mf5_+Mf6_+Mf7_+Mf8_+Mf9_+Mf10_+Mf11_+Mf12_+Mf13_+Mf14_+Mf15_+Mf16_+Mf17_+Mf18_+Mf19_+Mf20_+Mf21_+Mf22_+Mf23_+Mf24_+Mf25_+Mf26_+Mf27_+Mf28_+Mf29_+Mf30_+Mf31_+Mf32_+Mf33_+Mf34_+Mf35_+Mf36_+Mf37_)),0)</f>
        <v>0</v>
      </c>
      <c r="AU210" s="24" t="str">
        <f t="shared" si="24"/>
        <v/>
      </c>
      <c r="AV210" s="24" t="str">
        <f t="shared" si="25"/>
        <v/>
      </c>
      <c r="AW210" s="24" t="str">
        <f t="shared" si="26"/>
        <v/>
      </c>
      <c r="AX210" s="72">
        <f t="shared" si="27"/>
        <v>0</v>
      </c>
      <c r="AY210" s="24">
        <f t="shared" si="28"/>
        <v>0</v>
      </c>
      <c r="AZ210" s="24">
        <f t="array" ref="AZ210">IF(OR(RIGHT(B210,LEN(Par_LabelTravelTime))=Par_LabelTravelTime,B210="čas na ceste - fakturácia"),1,0)</f>
        <v>0</v>
      </c>
    </row>
    <row r="211" spans="2:52" s="24" customFormat="1" ht="12.75" x14ac:dyDescent="0.2">
      <c r="B211" s="97"/>
      <c r="C211" s="92"/>
      <c r="D211" s="31" t="str">
        <f>IF(E211=1,VLOOKUP(TableInvs[[#This Row],[Calc_V_Typ]],Tran_RevenuesList,3,FALSE),"")</f>
        <v/>
      </c>
      <c r="E211" s="31">
        <f t="shared" si="23"/>
        <v>0</v>
      </c>
      <c r="F211" s="9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  <c r="W211" s="84"/>
      <c r="X211" s="84"/>
      <c r="Y211" s="84"/>
      <c r="Z211" s="84"/>
      <c r="AA211" s="84"/>
      <c r="AB211" s="84"/>
      <c r="AC211" s="85"/>
      <c r="AD211" s="85"/>
      <c r="AE211" s="84"/>
      <c r="AF211" s="84"/>
      <c r="AG211" s="84"/>
      <c r="AH211" s="84"/>
      <c r="AI211" s="84"/>
      <c r="AJ211" s="84"/>
      <c r="AK211" s="84"/>
      <c r="AL211" s="84"/>
      <c r="AM211" s="84"/>
      <c r="AN211" s="84"/>
      <c r="AO211" s="84"/>
      <c r="AP211" s="84"/>
      <c r="AQ211" s="84"/>
      <c r="AR211" s="84"/>
      <c r="AS211" s="87">
        <f t="array" ref="AS211">IF(E211=1,SUM((ROW(Mf0)=ROW(AS211))*(Mf0+Mf1_+Mf2_+Mf3_+Mf4_+Mf5_+Mf6_+Mf7_+Mf8_+Mf9_+Mf10_+Mf11_+Mf12_+Mf13_+Mf14_+Mf15_+Mf16_+Mf17_+Mf18_+Mf19_+Mf20_+Mf21_+Mf22_+Mf23_+Mf24_+Mf25_+Mf26_+Mf27_+Mf28_+Mf29_+Mf30_+Mf31_+Mf32_+Mf33_+Mf34_+Mf35_+Mf36_+Mf37_)),0)</f>
        <v>0</v>
      </c>
      <c r="AU211" s="24" t="str">
        <f t="shared" si="24"/>
        <v/>
      </c>
      <c r="AV211" s="24" t="str">
        <f t="shared" si="25"/>
        <v/>
      </c>
      <c r="AW211" s="24" t="str">
        <f t="shared" si="26"/>
        <v/>
      </c>
      <c r="AX211" s="72">
        <f t="shared" si="27"/>
        <v>0</v>
      </c>
      <c r="AY211" s="24">
        <f t="shared" si="28"/>
        <v>0</v>
      </c>
      <c r="AZ211" s="24">
        <f t="array" ref="AZ211">IF(OR(RIGHT(B211,LEN(Par_LabelTravelTime))=Par_LabelTravelTime,B211="čas na ceste - fakturácia"),1,0)</f>
        <v>0</v>
      </c>
    </row>
    <row r="212" spans="2:52" s="24" customFormat="1" ht="12.75" x14ac:dyDescent="0.2">
      <c r="B212" s="97"/>
      <c r="C212" s="92"/>
      <c r="D212" s="31" t="str">
        <f>IF(E212=1,VLOOKUP(TableInvs[[#This Row],[Calc_V_Typ]],Tran_RevenuesList,3,FALSE),"")</f>
        <v/>
      </c>
      <c r="E212" s="31">
        <f t="shared" si="23"/>
        <v>0</v>
      </c>
      <c r="F212" s="94"/>
      <c r="G212" s="84"/>
      <c r="H212" s="84"/>
      <c r="I212" s="84"/>
      <c r="J212" s="84"/>
      <c r="K212" s="84"/>
      <c r="L212" s="84"/>
      <c r="M212" s="84"/>
      <c r="N212" s="84"/>
      <c r="O212" s="84"/>
      <c r="P212" s="84"/>
      <c r="Q212" s="84"/>
      <c r="R212" s="84"/>
      <c r="S212" s="84"/>
      <c r="T212" s="84"/>
      <c r="U212" s="84"/>
      <c r="V212" s="84"/>
      <c r="W212" s="84"/>
      <c r="X212" s="84"/>
      <c r="Y212" s="84"/>
      <c r="Z212" s="84"/>
      <c r="AA212" s="84"/>
      <c r="AB212" s="84"/>
      <c r="AC212" s="85"/>
      <c r="AD212" s="85"/>
      <c r="AE212" s="84"/>
      <c r="AF212" s="84"/>
      <c r="AG212" s="84"/>
      <c r="AH212" s="84"/>
      <c r="AI212" s="84"/>
      <c r="AJ212" s="84"/>
      <c r="AK212" s="84"/>
      <c r="AL212" s="84"/>
      <c r="AM212" s="84"/>
      <c r="AN212" s="84"/>
      <c r="AO212" s="84"/>
      <c r="AP212" s="84"/>
      <c r="AQ212" s="84"/>
      <c r="AR212" s="84"/>
      <c r="AS212" s="87">
        <f t="array" ref="AS212">IF(E212=1,SUM((ROW(Mf0)=ROW(AS212))*(Mf0+Mf1_+Mf2_+Mf3_+Mf4_+Mf5_+Mf6_+Mf7_+Mf8_+Mf9_+Mf10_+Mf11_+Mf12_+Mf13_+Mf14_+Mf15_+Mf16_+Mf17_+Mf18_+Mf19_+Mf20_+Mf21_+Mf22_+Mf23_+Mf24_+Mf25_+Mf26_+Mf27_+Mf28_+Mf29_+Mf30_+Mf31_+Mf32_+Mf33_+Mf34_+Mf35_+Mf36_+Mf37_)),0)</f>
        <v>0</v>
      </c>
      <c r="AU212" s="24" t="str">
        <f t="shared" si="24"/>
        <v/>
      </c>
      <c r="AV212" s="24" t="str">
        <f t="shared" si="25"/>
        <v/>
      </c>
      <c r="AW212" s="24" t="str">
        <f t="shared" si="26"/>
        <v/>
      </c>
      <c r="AX212" s="72">
        <f t="shared" si="27"/>
        <v>0</v>
      </c>
      <c r="AY212" s="24">
        <f t="shared" si="28"/>
        <v>0</v>
      </c>
      <c r="AZ212" s="24">
        <f t="array" ref="AZ212">IF(OR(RIGHT(B212,LEN(Par_LabelTravelTime))=Par_LabelTravelTime,B212="čas na ceste - fakturácia"),1,0)</f>
        <v>0</v>
      </c>
    </row>
    <row r="213" spans="2:52" s="24" customFormat="1" ht="12.75" x14ac:dyDescent="0.2">
      <c r="B213" s="97"/>
      <c r="C213" s="92"/>
      <c r="D213" s="31" t="str">
        <f>IF(E213=1,VLOOKUP(TableInvs[[#This Row],[Calc_V_Typ]],Tran_RevenuesList,3,FALSE),"")</f>
        <v/>
      </c>
      <c r="E213" s="31">
        <f t="shared" si="23"/>
        <v>0</v>
      </c>
      <c r="F213" s="94"/>
      <c r="G213" s="84"/>
      <c r="H213" s="84"/>
      <c r="I213" s="84"/>
      <c r="J213" s="84"/>
      <c r="K213" s="84"/>
      <c r="L213" s="84"/>
      <c r="M213" s="84"/>
      <c r="N213" s="84"/>
      <c r="O213" s="84"/>
      <c r="P213" s="84"/>
      <c r="Q213" s="84"/>
      <c r="R213" s="84"/>
      <c r="S213" s="84"/>
      <c r="T213" s="84"/>
      <c r="U213" s="84"/>
      <c r="V213" s="84"/>
      <c r="W213" s="84"/>
      <c r="X213" s="84"/>
      <c r="Y213" s="84"/>
      <c r="Z213" s="84"/>
      <c r="AA213" s="84"/>
      <c r="AB213" s="84"/>
      <c r="AC213" s="85"/>
      <c r="AD213" s="85"/>
      <c r="AE213" s="84"/>
      <c r="AF213" s="84"/>
      <c r="AG213" s="84"/>
      <c r="AH213" s="84"/>
      <c r="AI213" s="84"/>
      <c r="AJ213" s="84"/>
      <c r="AK213" s="84"/>
      <c r="AL213" s="84"/>
      <c r="AM213" s="84"/>
      <c r="AN213" s="84"/>
      <c r="AO213" s="84"/>
      <c r="AP213" s="84"/>
      <c r="AQ213" s="84"/>
      <c r="AR213" s="84"/>
      <c r="AS213" s="87">
        <f t="array" ref="AS213">IF(E213=1,SUM((ROW(Mf0)=ROW(AS213))*(Mf0+Mf1_+Mf2_+Mf3_+Mf4_+Mf5_+Mf6_+Mf7_+Mf8_+Mf9_+Mf10_+Mf11_+Mf12_+Mf13_+Mf14_+Mf15_+Mf16_+Mf17_+Mf18_+Mf19_+Mf20_+Mf21_+Mf22_+Mf23_+Mf24_+Mf25_+Mf26_+Mf27_+Mf28_+Mf29_+Mf30_+Mf31_+Mf32_+Mf33_+Mf34_+Mf35_+Mf36_+Mf37_)),0)</f>
        <v>0</v>
      </c>
      <c r="AU213" s="24" t="str">
        <f t="shared" si="24"/>
        <v/>
      </c>
      <c r="AV213" s="24" t="str">
        <f t="shared" si="25"/>
        <v/>
      </c>
      <c r="AW213" s="24" t="str">
        <f t="shared" si="26"/>
        <v/>
      </c>
      <c r="AX213" s="72">
        <f t="shared" si="27"/>
        <v>0</v>
      </c>
      <c r="AY213" s="24">
        <f t="shared" si="28"/>
        <v>0</v>
      </c>
      <c r="AZ213" s="24">
        <f t="array" ref="AZ213">IF(OR(RIGHT(B213,LEN(Par_LabelTravelTime))=Par_LabelTravelTime,B213="čas na ceste - fakturácia"),1,0)</f>
        <v>0</v>
      </c>
    </row>
    <row r="214" spans="2:52" s="24" customFormat="1" ht="12.75" x14ac:dyDescent="0.2">
      <c r="B214" s="97"/>
      <c r="C214" s="92"/>
      <c r="D214" s="31" t="str">
        <f>IF(E214=1,VLOOKUP(TableInvs[[#This Row],[Calc_V_Typ]],Tran_RevenuesList,3,FALSE),"")</f>
        <v/>
      </c>
      <c r="E214" s="31">
        <f t="shared" si="23"/>
        <v>0</v>
      </c>
      <c r="F214" s="9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  <c r="R214" s="84"/>
      <c r="S214" s="84"/>
      <c r="T214" s="84"/>
      <c r="U214" s="84"/>
      <c r="V214" s="84"/>
      <c r="W214" s="84"/>
      <c r="X214" s="84"/>
      <c r="Y214" s="84"/>
      <c r="Z214" s="84"/>
      <c r="AA214" s="84"/>
      <c r="AB214" s="84"/>
      <c r="AC214" s="85"/>
      <c r="AD214" s="85"/>
      <c r="AE214" s="84"/>
      <c r="AF214" s="84"/>
      <c r="AG214" s="84"/>
      <c r="AH214" s="84"/>
      <c r="AI214" s="84"/>
      <c r="AJ214" s="84"/>
      <c r="AK214" s="84"/>
      <c r="AL214" s="84"/>
      <c r="AM214" s="84"/>
      <c r="AN214" s="84"/>
      <c r="AO214" s="84"/>
      <c r="AP214" s="84"/>
      <c r="AQ214" s="84"/>
      <c r="AR214" s="84"/>
      <c r="AS214" s="87">
        <f t="array" ref="AS214">IF(E214=1,SUM((ROW(Mf0)=ROW(AS214))*(Mf0+Mf1_+Mf2_+Mf3_+Mf4_+Mf5_+Mf6_+Mf7_+Mf8_+Mf9_+Mf10_+Mf11_+Mf12_+Mf13_+Mf14_+Mf15_+Mf16_+Mf17_+Mf18_+Mf19_+Mf20_+Mf21_+Mf22_+Mf23_+Mf24_+Mf25_+Mf26_+Mf27_+Mf28_+Mf29_+Mf30_+Mf31_+Mf32_+Mf33_+Mf34_+Mf35_+Mf36_+Mf37_)),0)</f>
        <v>0</v>
      </c>
      <c r="AU214" s="24" t="str">
        <f t="shared" si="24"/>
        <v/>
      </c>
      <c r="AV214" s="24" t="str">
        <f t="shared" si="25"/>
        <v/>
      </c>
      <c r="AW214" s="24" t="str">
        <f t="shared" si="26"/>
        <v/>
      </c>
      <c r="AX214" s="72">
        <f t="shared" si="27"/>
        <v>0</v>
      </c>
      <c r="AY214" s="24">
        <f t="shared" si="28"/>
        <v>0</v>
      </c>
      <c r="AZ214" s="24">
        <f t="array" ref="AZ214">IF(OR(RIGHT(B214,LEN(Par_LabelTravelTime))=Par_LabelTravelTime,B214="čas na ceste - fakturácia"),1,0)</f>
        <v>0</v>
      </c>
    </row>
    <row r="215" spans="2:52" s="24" customFormat="1" ht="12.75" x14ac:dyDescent="0.2">
      <c r="B215" s="97"/>
      <c r="C215" s="92"/>
      <c r="D215" s="31" t="str">
        <f>IF(E215=1,VLOOKUP(TableInvs[[#This Row],[Calc_V_Typ]],Tran_RevenuesList,3,FALSE),"")</f>
        <v/>
      </c>
      <c r="E215" s="31">
        <f t="shared" si="23"/>
        <v>0</v>
      </c>
      <c r="F215" s="9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  <c r="R215" s="84"/>
      <c r="S215" s="84"/>
      <c r="T215" s="84"/>
      <c r="U215" s="84"/>
      <c r="V215" s="84"/>
      <c r="W215" s="84"/>
      <c r="X215" s="84"/>
      <c r="Y215" s="84"/>
      <c r="Z215" s="84"/>
      <c r="AA215" s="84"/>
      <c r="AB215" s="84"/>
      <c r="AC215" s="85"/>
      <c r="AD215" s="85"/>
      <c r="AE215" s="84"/>
      <c r="AF215" s="84"/>
      <c r="AG215" s="84"/>
      <c r="AH215" s="84"/>
      <c r="AI215" s="84"/>
      <c r="AJ215" s="84"/>
      <c r="AK215" s="84"/>
      <c r="AL215" s="84"/>
      <c r="AM215" s="84"/>
      <c r="AN215" s="84"/>
      <c r="AO215" s="84"/>
      <c r="AP215" s="84"/>
      <c r="AQ215" s="84"/>
      <c r="AR215" s="84"/>
      <c r="AS215" s="87">
        <f t="array" ref="AS215">IF(E215=1,SUM((ROW(Mf0)=ROW(AS215))*(Mf0+Mf1_+Mf2_+Mf3_+Mf4_+Mf5_+Mf6_+Mf7_+Mf8_+Mf9_+Mf10_+Mf11_+Mf12_+Mf13_+Mf14_+Mf15_+Mf16_+Mf17_+Mf18_+Mf19_+Mf20_+Mf21_+Mf22_+Mf23_+Mf24_+Mf25_+Mf26_+Mf27_+Mf28_+Mf29_+Mf30_+Mf31_+Mf32_+Mf33_+Mf34_+Mf35_+Mf36_+Mf37_)),0)</f>
        <v>0</v>
      </c>
      <c r="AU215" s="24" t="str">
        <f t="shared" si="24"/>
        <v/>
      </c>
      <c r="AV215" s="24" t="str">
        <f t="shared" si="25"/>
        <v/>
      </c>
      <c r="AW215" s="24" t="str">
        <f t="shared" si="26"/>
        <v/>
      </c>
      <c r="AX215" s="72">
        <f t="shared" si="27"/>
        <v>0</v>
      </c>
      <c r="AY215" s="24">
        <f t="shared" si="28"/>
        <v>0</v>
      </c>
      <c r="AZ215" s="24">
        <f t="array" ref="AZ215">IF(OR(RIGHT(B215,LEN(Par_LabelTravelTime))=Par_LabelTravelTime,B215="čas na ceste - fakturácia"),1,0)</f>
        <v>0</v>
      </c>
    </row>
    <row r="216" spans="2:52" s="24" customFormat="1" ht="12.75" x14ac:dyDescent="0.2">
      <c r="B216" s="97"/>
      <c r="C216" s="92"/>
      <c r="D216" s="31" t="str">
        <f>IF(E216=1,VLOOKUP(TableInvs[[#This Row],[Calc_V_Typ]],Tran_RevenuesList,3,FALSE),"")</f>
        <v/>
      </c>
      <c r="E216" s="31">
        <f t="shared" si="23"/>
        <v>0</v>
      </c>
      <c r="F216" s="94"/>
      <c r="G216" s="84"/>
      <c r="H216" s="84"/>
      <c r="I216" s="84"/>
      <c r="J216" s="84"/>
      <c r="K216" s="84"/>
      <c r="L216" s="84"/>
      <c r="M216" s="84"/>
      <c r="N216" s="84"/>
      <c r="O216" s="84"/>
      <c r="P216" s="84"/>
      <c r="Q216" s="84"/>
      <c r="R216" s="84"/>
      <c r="S216" s="84"/>
      <c r="T216" s="84"/>
      <c r="U216" s="84"/>
      <c r="V216" s="84"/>
      <c r="W216" s="84"/>
      <c r="X216" s="84"/>
      <c r="Y216" s="84"/>
      <c r="Z216" s="84"/>
      <c r="AA216" s="84"/>
      <c r="AB216" s="84"/>
      <c r="AC216" s="85"/>
      <c r="AD216" s="85"/>
      <c r="AE216" s="84"/>
      <c r="AF216" s="84"/>
      <c r="AG216" s="84"/>
      <c r="AH216" s="84"/>
      <c r="AI216" s="84"/>
      <c r="AJ216" s="84"/>
      <c r="AK216" s="84"/>
      <c r="AL216" s="84"/>
      <c r="AM216" s="84"/>
      <c r="AN216" s="84"/>
      <c r="AO216" s="84"/>
      <c r="AP216" s="84"/>
      <c r="AQ216" s="84"/>
      <c r="AR216" s="84"/>
      <c r="AS216" s="87">
        <f t="array" ref="AS216">IF(E216=1,SUM((ROW(Mf0)=ROW(AS216))*(Mf0+Mf1_+Mf2_+Mf3_+Mf4_+Mf5_+Mf6_+Mf7_+Mf8_+Mf9_+Mf10_+Mf11_+Mf12_+Mf13_+Mf14_+Mf15_+Mf16_+Mf17_+Mf18_+Mf19_+Mf20_+Mf21_+Mf22_+Mf23_+Mf24_+Mf25_+Mf26_+Mf27_+Mf28_+Mf29_+Mf30_+Mf31_+Mf32_+Mf33_+Mf34_+Mf35_+Mf36_+Mf37_)),0)</f>
        <v>0</v>
      </c>
      <c r="AU216" s="24" t="str">
        <f t="shared" si="24"/>
        <v/>
      </c>
      <c r="AV216" s="24" t="str">
        <f t="shared" si="25"/>
        <v/>
      </c>
      <c r="AW216" s="24" t="str">
        <f t="shared" si="26"/>
        <v/>
      </c>
      <c r="AX216" s="72">
        <f t="shared" si="27"/>
        <v>0</v>
      </c>
      <c r="AY216" s="24">
        <f t="shared" si="28"/>
        <v>0</v>
      </c>
      <c r="AZ216" s="24">
        <f t="array" ref="AZ216">IF(OR(RIGHT(B216,LEN(Par_LabelTravelTime))=Par_LabelTravelTime,B216="čas na ceste - fakturácia"),1,0)</f>
        <v>0</v>
      </c>
    </row>
    <row r="217" spans="2:52" s="24" customFormat="1" ht="12.75" x14ac:dyDescent="0.2">
      <c r="B217" s="97"/>
      <c r="C217" s="92"/>
      <c r="D217" s="31" t="str">
        <f>IF(E217=1,VLOOKUP(TableInvs[[#This Row],[Calc_V_Typ]],Tran_RevenuesList,3,FALSE),"")</f>
        <v/>
      </c>
      <c r="E217" s="31">
        <f t="shared" si="23"/>
        <v>0</v>
      </c>
      <c r="F217" s="94"/>
      <c r="G217" s="84"/>
      <c r="H217" s="84"/>
      <c r="I217" s="84"/>
      <c r="J217" s="84"/>
      <c r="K217" s="84"/>
      <c r="L217" s="84"/>
      <c r="M217" s="84"/>
      <c r="N217" s="84"/>
      <c r="O217" s="84"/>
      <c r="P217" s="84"/>
      <c r="Q217" s="84"/>
      <c r="R217" s="84"/>
      <c r="S217" s="84"/>
      <c r="T217" s="84"/>
      <c r="U217" s="84"/>
      <c r="V217" s="84"/>
      <c r="W217" s="84"/>
      <c r="X217" s="84"/>
      <c r="Y217" s="84"/>
      <c r="Z217" s="84"/>
      <c r="AA217" s="84"/>
      <c r="AB217" s="84"/>
      <c r="AC217" s="85"/>
      <c r="AD217" s="85"/>
      <c r="AE217" s="84"/>
      <c r="AF217" s="84"/>
      <c r="AG217" s="84"/>
      <c r="AH217" s="84"/>
      <c r="AI217" s="84"/>
      <c r="AJ217" s="84"/>
      <c r="AK217" s="84"/>
      <c r="AL217" s="84"/>
      <c r="AM217" s="84"/>
      <c r="AN217" s="84"/>
      <c r="AO217" s="84"/>
      <c r="AP217" s="84"/>
      <c r="AQ217" s="84"/>
      <c r="AR217" s="84"/>
      <c r="AS217" s="87">
        <f t="array" ref="AS217">IF(E217=1,SUM((ROW(Mf0)=ROW(AS217))*(Mf0+Mf1_+Mf2_+Mf3_+Mf4_+Mf5_+Mf6_+Mf7_+Mf8_+Mf9_+Mf10_+Mf11_+Mf12_+Mf13_+Mf14_+Mf15_+Mf16_+Mf17_+Mf18_+Mf19_+Mf20_+Mf21_+Mf22_+Mf23_+Mf24_+Mf25_+Mf26_+Mf27_+Mf28_+Mf29_+Mf30_+Mf31_+Mf32_+Mf33_+Mf34_+Mf35_+Mf36_+Mf37_)),0)</f>
        <v>0</v>
      </c>
      <c r="AU217" s="24" t="str">
        <f t="shared" si="24"/>
        <v/>
      </c>
      <c r="AV217" s="24" t="str">
        <f t="shared" si="25"/>
        <v/>
      </c>
      <c r="AW217" s="24" t="str">
        <f t="shared" si="26"/>
        <v/>
      </c>
      <c r="AX217" s="72">
        <f t="shared" si="27"/>
        <v>0</v>
      </c>
      <c r="AY217" s="24">
        <f t="shared" si="28"/>
        <v>0</v>
      </c>
      <c r="AZ217" s="24">
        <f t="array" ref="AZ217">IF(OR(RIGHT(B217,LEN(Par_LabelTravelTime))=Par_LabelTravelTime,B217="čas na ceste - fakturácia"),1,0)</f>
        <v>0</v>
      </c>
    </row>
    <row r="218" spans="2:52" s="24" customFormat="1" ht="12.75" x14ac:dyDescent="0.2">
      <c r="B218" s="97"/>
      <c r="C218" s="92"/>
      <c r="D218" s="31" t="str">
        <f>IF(E218=1,VLOOKUP(TableInvs[[#This Row],[Calc_V_Typ]],Tran_RevenuesList,3,FALSE),"")</f>
        <v/>
      </c>
      <c r="E218" s="31">
        <f t="shared" si="23"/>
        <v>0</v>
      </c>
      <c r="F218" s="94"/>
      <c r="G218" s="84"/>
      <c r="H218" s="84"/>
      <c r="I218" s="84"/>
      <c r="J218" s="84"/>
      <c r="K218" s="84"/>
      <c r="L218" s="84"/>
      <c r="M218" s="84"/>
      <c r="N218" s="84"/>
      <c r="O218" s="84"/>
      <c r="P218" s="84"/>
      <c r="Q218" s="84"/>
      <c r="R218" s="84"/>
      <c r="S218" s="84"/>
      <c r="T218" s="84"/>
      <c r="U218" s="84"/>
      <c r="V218" s="84"/>
      <c r="W218" s="84"/>
      <c r="X218" s="84"/>
      <c r="Y218" s="84"/>
      <c r="Z218" s="84"/>
      <c r="AA218" s="84"/>
      <c r="AB218" s="84"/>
      <c r="AC218" s="85"/>
      <c r="AD218" s="85"/>
      <c r="AE218" s="84"/>
      <c r="AF218" s="84"/>
      <c r="AG218" s="84"/>
      <c r="AH218" s="84"/>
      <c r="AI218" s="84"/>
      <c r="AJ218" s="84"/>
      <c r="AK218" s="84"/>
      <c r="AL218" s="84"/>
      <c r="AM218" s="84"/>
      <c r="AN218" s="84"/>
      <c r="AO218" s="84"/>
      <c r="AP218" s="84"/>
      <c r="AQ218" s="84"/>
      <c r="AR218" s="84"/>
      <c r="AS218" s="87">
        <f t="array" ref="AS218">IF(E218=1,SUM((ROW(Mf0)=ROW(AS218))*(Mf0+Mf1_+Mf2_+Mf3_+Mf4_+Mf5_+Mf6_+Mf7_+Mf8_+Mf9_+Mf10_+Mf11_+Mf12_+Mf13_+Mf14_+Mf15_+Mf16_+Mf17_+Mf18_+Mf19_+Mf20_+Mf21_+Mf22_+Mf23_+Mf24_+Mf25_+Mf26_+Mf27_+Mf28_+Mf29_+Mf30_+Mf31_+Mf32_+Mf33_+Mf34_+Mf35_+Mf36_+Mf37_)),0)</f>
        <v>0</v>
      </c>
      <c r="AU218" s="24" t="str">
        <f t="shared" si="24"/>
        <v/>
      </c>
      <c r="AV218" s="24" t="str">
        <f t="shared" si="25"/>
        <v/>
      </c>
      <c r="AW218" s="24" t="str">
        <f t="shared" si="26"/>
        <v/>
      </c>
      <c r="AX218" s="72">
        <f t="shared" si="27"/>
        <v>0</v>
      </c>
      <c r="AY218" s="24">
        <f t="shared" si="28"/>
        <v>0</v>
      </c>
      <c r="AZ218" s="24">
        <f t="array" ref="AZ218">IF(OR(RIGHT(B218,LEN(Par_LabelTravelTime))=Par_LabelTravelTime,B218="čas na ceste - fakturácia"),1,0)</f>
        <v>0</v>
      </c>
    </row>
    <row r="219" spans="2:52" s="24" customFormat="1" ht="12.75" x14ac:dyDescent="0.2">
      <c r="B219" s="97"/>
      <c r="C219" s="92"/>
      <c r="D219" s="31" t="str">
        <f>IF(E219=1,VLOOKUP(TableInvs[[#This Row],[Calc_V_Typ]],Tran_RevenuesList,3,FALSE),"")</f>
        <v/>
      </c>
      <c r="E219" s="31">
        <f t="shared" si="23"/>
        <v>0</v>
      </c>
      <c r="F219" s="9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  <c r="R219" s="84"/>
      <c r="S219" s="84"/>
      <c r="T219" s="84"/>
      <c r="U219" s="84"/>
      <c r="V219" s="84"/>
      <c r="W219" s="84"/>
      <c r="X219" s="84"/>
      <c r="Y219" s="84"/>
      <c r="Z219" s="84"/>
      <c r="AA219" s="84"/>
      <c r="AB219" s="84"/>
      <c r="AC219" s="85"/>
      <c r="AD219" s="85"/>
      <c r="AE219" s="84"/>
      <c r="AF219" s="84"/>
      <c r="AG219" s="84"/>
      <c r="AH219" s="84"/>
      <c r="AI219" s="84"/>
      <c r="AJ219" s="84"/>
      <c r="AK219" s="84"/>
      <c r="AL219" s="84"/>
      <c r="AM219" s="84"/>
      <c r="AN219" s="84"/>
      <c r="AO219" s="84"/>
      <c r="AP219" s="84"/>
      <c r="AQ219" s="84"/>
      <c r="AR219" s="84"/>
      <c r="AS219" s="87">
        <f t="array" ref="AS219">IF(E219=1,SUM((ROW(Mf0)=ROW(AS219))*(Mf0+Mf1_+Mf2_+Mf3_+Mf4_+Mf5_+Mf6_+Mf7_+Mf8_+Mf9_+Mf10_+Mf11_+Mf12_+Mf13_+Mf14_+Mf15_+Mf16_+Mf17_+Mf18_+Mf19_+Mf20_+Mf21_+Mf22_+Mf23_+Mf24_+Mf25_+Mf26_+Mf27_+Mf28_+Mf29_+Mf30_+Mf31_+Mf32_+Mf33_+Mf34_+Mf35_+Mf36_+Mf37_)),0)</f>
        <v>0</v>
      </c>
      <c r="AU219" s="24" t="str">
        <f t="shared" si="24"/>
        <v/>
      </c>
      <c r="AV219" s="24" t="str">
        <f t="shared" si="25"/>
        <v/>
      </c>
      <c r="AW219" s="24" t="str">
        <f t="shared" si="26"/>
        <v/>
      </c>
      <c r="AX219" s="72">
        <f t="shared" si="27"/>
        <v>0</v>
      </c>
      <c r="AY219" s="24">
        <f t="shared" si="28"/>
        <v>0</v>
      </c>
      <c r="AZ219" s="24">
        <f t="array" ref="AZ219">IF(OR(RIGHT(B219,LEN(Par_LabelTravelTime))=Par_LabelTravelTime,B219="čas na ceste - fakturácia"),1,0)</f>
        <v>0</v>
      </c>
    </row>
    <row r="220" spans="2:52" s="24" customFormat="1" ht="12.75" x14ac:dyDescent="0.2">
      <c r="B220" s="97"/>
      <c r="C220" s="92"/>
      <c r="D220" s="31" t="str">
        <f>IF(E220=1,VLOOKUP(TableInvs[[#This Row],[Calc_V_Typ]],Tran_RevenuesList,3,FALSE),"")</f>
        <v/>
      </c>
      <c r="E220" s="31">
        <f t="shared" si="23"/>
        <v>0</v>
      </c>
      <c r="F220" s="9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  <c r="R220" s="84"/>
      <c r="S220" s="84"/>
      <c r="T220" s="84"/>
      <c r="U220" s="84"/>
      <c r="V220" s="84"/>
      <c r="W220" s="84"/>
      <c r="X220" s="84"/>
      <c r="Y220" s="84"/>
      <c r="Z220" s="84"/>
      <c r="AA220" s="84"/>
      <c r="AB220" s="84"/>
      <c r="AC220" s="85"/>
      <c r="AD220" s="85"/>
      <c r="AE220" s="84"/>
      <c r="AF220" s="84"/>
      <c r="AG220" s="84"/>
      <c r="AH220" s="84"/>
      <c r="AI220" s="84"/>
      <c r="AJ220" s="84"/>
      <c r="AK220" s="84"/>
      <c r="AL220" s="84"/>
      <c r="AM220" s="84"/>
      <c r="AN220" s="84"/>
      <c r="AO220" s="84"/>
      <c r="AP220" s="84"/>
      <c r="AQ220" s="84"/>
      <c r="AR220" s="84"/>
      <c r="AS220" s="87">
        <f t="array" ref="AS220">IF(E220=1,SUM((ROW(Mf0)=ROW(AS220))*(Mf0+Mf1_+Mf2_+Mf3_+Mf4_+Mf5_+Mf6_+Mf7_+Mf8_+Mf9_+Mf10_+Mf11_+Mf12_+Mf13_+Mf14_+Mf15_+Mf16_+Mf17_+Mf18_+Mf19_+Mf20_+Mf21_+Mf22_+Mf23_+Mf24_+Mf25_+Mf26_+Mf27_+Mf28_+Mf29_+Mf30_+Mf31_+Mf32_+Mf33_+Mf34_+Mf35_+Mf36_+Mf37_)),0)</f>
        <v>0</v>
      </c>
      <c r="AU220" s="24" t="str">
        <f t="shared" si="24"/>
        <v/>
      </c>
      <c r="AV220" s="24" t="str">
        <f t="shared" si="25"/>
        <v/>
      </c>
      <c r="AW220" s="24" t="str">
        <f t="shared" si="26"/>
        <v/>
      </c>
      <c r="AX220" s="72">
        <f t="shared" si="27"/>
        <v>0</v>
      </c>
      <c r="AY220" s="24">
        <f t="shared" si="28"/>
        <v>0</v>
      </c>
      <c r="AZ220" s="24">
        <f t="array" ref="AZ220">IF(OR(RIGHT(B220,LEN(Par_LabelTravelTime))=Par_LabelTravelTime,B220="čas na ceste - fakturácia"),1,0)</f>
        <v>0</v>
      </c>
    </row>
    <row r="221" spans="2:52" s="24" customFormat="1" ht="12.75" x14ac:dyDescent="0.2">
      <c r="B221" s="97"/>
      <c r="C221" s="92"/>
      <c r="D221" s="31" t="str">
        <f>IF(E221=1,VLOOKUP(TableInvs[[#This Row],[Calc_V_Typ]],Tran_RevenuesList,3,FALSE),"")</f>
        <v/>
      </c>
      <c r="E221" s="31">
        <f t="shared" si="23"/>
        <v>0</v>
      </c>
      <c r="F221" s="9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  <c r="R221" s="84"/>
      <c r="S221" s="84"/>
      <c r="T221" s="84"/>
      <c r="U221" s="84"/>
      <c r="V221" s="84"/>
      <c r="W221" s="84"/>
      <c r="X221" s="84"/>
      <c r="Y221" s="84"/>
      <c r="Z221" s="84"/>
      <c r="AA221" s="84"/>
      <c r="AB221" s="84"/>
      <c r="AC221" s="85"/>
      <c r="AD221" s="85"/>
      <c r="AE221" s="84"/>
      <c r="AF221" s="84"/>
      <c r="AG221" s="84"/>
      <c r="AH221" s="84"/>
      <c r="AI221" s="84"/>
      <c r="AJ221" s="84"/>
      <c r="AK221" s="84"/>
      <c r="AL221" s="84"/>
      <c r="AM221" s="84"/>
      <c r="AN221" s="84"/>
      <c r="AO221" s="84"/>
      <c r="AP221" s="84"/>
      <c r="AQ221" s="84"/>
      <c r="AR221" s="84"/>
      <c r="AS221" s="87">
        <f t="array" ref="AS221">IF(E221=1,SUM((ROW(Mf0)=ROW(AS221))*(Mf0+Mf1_+Mf2_+Mf3_+Mf4_+Mf5_+Mf6_+Mf7_+Mf8_+Mf9_+Mf10_+Mf11_+Mf12_+Mf13_+Mf14_+Mf15_+Mf16_+Mf17_+Mf18_+Mf19_+Mf20_+Mf21_+Mf22_+Mf23_+Mf24_+Mf25_+Mf26_+Mf27_+Mf28_+Mf29_+Mf30_+Mf31_+Mf32_+Mf33_+Mf34_+Mf35_+Mf36_+Mf37_)),0)</f>
        <v>0</v>
      </c>
      <c r="AU221" s="24" t="str">
        <f t="shared" si="24"/>
        <v/>
      </c>
      <c r="AV221" s="24" t="str">
        <f t="shared" si="25"/>
        <v/>
      </c>
      <c r="AW221" s="24" t="str">
        <f t="shared" si="26"/>
        <v/>
      </c>
      <c r="AX221" s="72">
        <f t="shared" si="27"/>
        <v>0</v>
      </c>
      <c r="AY221" s="24">
        <f t="shared" si="28"/>
        <v>0</v>
      </c>
      <c r="AZ221" s="24">
        <f t="array" ref="AZ221">IF(OR(RIGHT(B221,LEN(Par_LabelTravelTime))=Par_LabelTravelTime,B221="čas na ceste - fakturácia"),1,0)</f>
        <v>0</v>
      </c>
    </row>
    <row r="222" spans="2:52" s="24" customFormat="1" ht="12.75" x14ac:dyDescent="0.2">
      <c r="B222" s="97"/>
      <c r="C222" s="92"/>
      <c r="D222" s="31" t="str">
        <f>IF(E222=1,VLOOKUP(TableInvs[[#This Row],[Calc_V_Typ]],Tran_RevenuesList,3,FALSE),"")</f>
        <v/>
      </c>
      <c r="E222" s="31">
        <f t="shared" si="23"/>
        <v>0</v>
      </c>
      <c r="F222" s="9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  <c r="R222" s="84"/>
      <c r="S222" s="84"/>
      <c r="T222" s="84"/>
      <c r="U222" s="84"/>
      <c r="V222" s="84"/>
      <c r="W222" s="84"/>
      <c r="X222" s="84"/>
      <c r="Y222" s="84"/>
      <c r="Z222" s="84"/>
      <c r="AA222" s="84"/>
      <c r="AB222" s="84"/>
      <c r="AC222" s="85"/>
      <c r="AD222" s="85"/>
      <c r="AE222" s="84"/>
      <c r="AF222" s="84"/>
      <c r="AG222" s="84"/>
      <c r="AH222" s="84"/>
      <c r="AI222" s="84"/>
      <c r="AJ222" s="84"/>
      <c r="AK222" s="84"/>
      <c r="AL222" s="84"/>
      <c r="AM222" s="84"/>
      <c r="AN222" s="84"/>
      <c r="AO222" s="84"/>
      <c r="AP222" s="84"/>
      <c r="AQ222" s="84"/>
      <c r="AR222" s="84"/>
      <c r="AS222" s="87">
        <f t="array" ref="AS222">IF(E222=1,SUM((ROW(Mf0)=ROW(AS222))*(Mf0+Mf1_+Mf2_+Mf3_+Mf4_+Mf5_+Mf6_+Mf7_+Mf8_+Mf9_+Mf10_+Mf11_+Mf12_+Mf13_+Mf14_+Mf15_+Mf16_+Mf17_+Mf18_+Mf19_+Mf20_+Mf21_+Mf22_+Mf23_+Mf24_+Mf25_+Mf26_+Mf27_+Mf28_+Mf29_+Mf30_+Mf31_+Mf32_+Mf33_+Mf34_+Mf35_+Mf36_+Mf37_)),0)</f>
        <v>0</v>
      </c>
      <c r="AU222" s="24" t="str">
        <f t="shared" si="24"/>
        <v/>
      </c>
      <c r="AV222" s="24" t="str">
        <f t="shared" si="25"/>
        <v/>
      </c>
      <c r="AW222" s="24" t="str">
        <f t="shared" si="26"/>
        <v/>
      </c>
      <c r="AX222" s="72">
        <f t="shared" si="27"/>
        <v>0</v>
      </c>
      <c r="AY222" s="24">
        <f t="shared" si="28"/>
        <v>0</v>
      </c>
      <c r="AZ222" s="24">
        <f t="array" ref="AZ222">IF(OR(RIGHT(B222,LEN(Par_LabelTravelTime))=Par_LabelTravelTime,B222="čas na ceste - fakturácia"),1,0)</f>
        <v>0</v>
      </c>
    </row>
    <row r="223" spans="2:52" s="24" customFormat="1" ht="12.75" x14ac:dyDescent="0.2">
      <c r="B223" s="97"/>
      <c r="C223" s="92"/>
      <c r="D223" s="31" t="str">
        <f>IF(E223=1,VLOOKUP(TableInvs[[#This Row],[Calc_V_Typ]],Tran_RevenuesList,3,FALSE),"")</f>
        <v/>
      </c>
      <c r="E223" s="31">
        <f t="shared" si="23"/>
        <v>0</v>
      </c>
      <c r="F223" s="9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5"/>
      <c r="AD223" s="85"/>
      <c r="AE223" s="84"/>
      <c r="AF223" s="84"/>
      <c r="AG223" s="84"/>
      <c r="AH223" s="84"/>
      <c r="AI223" s="84"/>
      <c r="AJ223" s="84"/>
      <c r="AK223" s="84"/>
      <c r="AL223" s="84"/>
      <c r="AM223" s="84"/>
      <c r="AN223" s="84"/>
      <c r="AO223" s="84"/>
      <c r="AP223" s="84"/>
      <c r="AQ223" s="84"/>
      <c r="AR223" s="84"/>
      <c r="AS223" s="87">
        <f t="array" ref="AS223">IF(E223=1,SUM((ROW(Mf0)=ROW(AS223))*(Mf0+Mf1_+Mf2_+Mf3_+Mf4_+Mf5_+Mf6_+Mf7_+Mf8_+Mf9_+Mf10_+Mf11_+Mf12_+Mf13_+Mf14_+Mf15_+Mf16_+Mf17_+Mf18_+Mf19_+Mf20_+Mf21_+Mf22_+Mf23_+Mf24_+Mf25_+Mf26_+Mf27_+Mf28_+Mf29_+Mf30_+Mf31_+Mf32_+Mf33_+Mf34_+Mf35_+Mf36_+Mf37_)),0)</f>
        <v>0</v>
      </c>
      <c r="AU223" s="24" t="str">
        <f t="shared" si="24"/>
        <v/>
      </c>
      <c r="AV223" s="24" t="str">
        <f t="shared" si="25"/>
        <v/>
      </c>
      <c r="AW223" s="24" t="str">
        <f t="shared" si="26"/>
        <v/>
      </c>
      <c r="AX223" s="72">
        <f t="shared" si="27"/>
        <v>0</v>
      </c>
      <c r="AY223" s="24">
        <f t="shared" si="28"/>
        <v>0</v>
      </c>
      <c r="AZ223" s="24">
        <f t="array" ref="AZ223">IF(OR(RIGHT(B223,LEN(Par_LabelTravelTime))=Par_LabelTravelTime,B223="čas na ceste - fakturácia"),1,0)</f>
        <v>0</v>
      </c>
    </row>
    <row r="224" spans="2:52" s="24" customFormat="1" ht="12.75" x14ac:dyDescent="0.2">
      <c r="B224" s="97"/>
      <c r="C224" s="92"/>
      <c r="D224" s="31" t="str">
        <f>IF(E224=1,VLOOKUP(TableInvs[[#This Row],[Calc_V_Typ]],Tran_RevenuesList,3,FALSE),"")</f>
        <v/>
      </c>
      <c r="E224" s="31">
        <f t="shared" si="23"/>
        <v>0</v>
      </c>
      <c r="F224" s="9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  <c r="R224" s="84"/>
      <c r="S224" s="84"/>
      <c r="T224" s="84"/>
      <c r="U224" s="84"/>
      <c r="V224" s="84"/>
      <c r="W224" s="84"/>
      <c r="X224" s="84"/>
      <c r="Y224" s="84"/>
      <c r="Z224" s="84"/>
      <c r="AA224" s="84"/>
      <c r="AB224" s="84"/>
      <c r="AC224" s="85"/>
      <c r="AD224" s="85"/>
      <c r="AE224" s="84"/>
      <c r="AF224" s="84"/>
      <c r="AG224" s="84"/>
      <c r="AH224" s="84"/>
      <c r="AI224" s="84"/>
      <c r="AJ224" s="84"/>
      <c r="AK224" s="84"/>
      <c r="AL224" s="84"/>
      <c r="AM224" s="84"/>
      <c r="AN224" s="84"/>
      <c r="AO224" s="84"/>
      <c r="AP224" s="84"/>
      <c r="AQ224" s="84"/>
      <c r="AR224" s="84"/>
      <c r="AS224" s="87">
        <f t="array" ref="AS224">IF(E224=1,SUM((ROW(Mf0)=ROW(AS224))*(Mf0+Mf1_+Mf2_+Mf3_+Mf4_+Mf5_+Mf6_+Mf7_+Mf8_+Mf9_+Mf10_+Mf11_+Mf12_+Mf13_+Mf14_+Mf15_+Mf16_+Mf17_+Mf18_+Mf19_+Mf20_+Mf21_+Mf22_+Mf23_+Mf24_+Mf25_+Mf26_+Mf27_+Mf28_+Mf29_+Mf30_+Mf31_+Mf32_+Mf33_+Mf34_+Mf35_+Mf36_+Mf37_)),0)</f>
        <v>0</v>
      </c>
      <c r="AU224" s="24" t="str">
        <f t="shared" si="24"/>
        <v/>
      </c>
      <c r="AV224" s="24" t="str">
        <f t="shared" si="25"/>
        <v/>
      </c>
      <c r="AW224" s="24" t="str">
        <f t="shared" si="26"/>
        <v/>
      </c>
      <c r="AX224" s="72">
        <f t="shared" si="27"/>
        <v>0</v>
      </c>
      <c r="AY224" s="24">
        <f t="shared" si="28"/>
        <v>0</v>
      </c>
      <c r="AZ224" s="24">
        <f t="array" ref="AZ224">IF(OR(RIGHT(B224,LEN(Par_LabelTravelTime))=Par_LabelTravelTime,B224="čas na ceste - fakturácia"),1,0)</f>
        <v>0</v>
      </c>
    </row>
    <row r="225" spans="2:52" s="24" customFormat="1" ht="12.75" x14ac:dyDescent="0.2">
      <c r="B225" s="97"/>
      <c r="C225" s="92"/>
      <c r="D225" s="31" t="str">
        <f>IF(E225=1,VLOOKUP(TableInvs[[#This Row],[Calc_V_Typ]],Tran_RevenuesList,3,FALSE),"")</f>
        <v/>
      </c>
      <c r="E225" s="31">
        <f t="shared" si="23"/>
        <v>0</v>
      </c>
      <c r="F225" s="9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  <c r="R225" s="84"/>
      <c r="S225" s="84"/>
      <c r="T225" s="84"/>
      <c r="U225" s="84"/>
      <c r="V225" s="84"/>
      <c r="W225" s="84"/>
      <c r="X225" s="84"/>
      <c r="Y225" s="84"/>
      <c r="Z225" s="84"/>
      <c r="AA225" s="84"/>
      <c r="AB225" s="84"/>
      <c r="AC225" s="85"/>
      <c r="AD225" s="85"/>
      <c r="AE225" s="84"/>
      <c r="AF225" s="84"/>
      <c r="AG225" s="84"/>
      <c r="AH225" s="84"/>
      <c r="AI225" s="84"/>
      <c r="AJ225" s="84"/>
      <c r="AK225" s="84"/>
      <c r="AL225" s="84"/>
      <c r="AM225" s="84"/>
      <c r="AN225" s="84"/>
      <c r="AO225" s="84"/>
      <c r="AP225" s="84"/>
      <c r="AQ225" s="84"/>
      <c r="AR225" s="84"/>
      <c r="AS225" s="87">
        <f t="array" ref="AS225">IF(E225=1,SUM((ROW(Mf0)=ROW(AS225))*(Mf0+Mf1_+Mf2_+Mf3_+Mf4_+Mf5_+Mf6_+Mf7_+Mf8_+Mf9_+Mf10_+Mf11_+Mf12_+Mf13_+Mf14_+Mf15_+Mf16_+Mf17_+Mf18_+Mf19_+Mf20_+Mf21_+Mf22_+Mf23_+Mf24_+Mf25_+Mf26_+Mf27_+Mf28_+Mf29_+Mf30_+Mf31_+Mf32_+Mf33_+Mf34_+Mf35_+Mf36_+Mf37_)),0)</f>
        <v>0</v>
      </c>
      <c r="AU225" s="24" t="str">
        <f t="shared" si="24"/>
        <v/>
      </c>
      <c r="AV225" s="24" t="str">
        <f t="shared" si="25"/>
        <v/>
      </c>
      <c r="AW225" s="24" t="str">
        <f t="shared" si="26"/>
        <v/>
      </c>
      <c r="AX225" s="72">
        <f t="shared" si="27"/>
        <v>0</v>
      </c>
      <c r="AY225" s="24">
        <f t="shared" si="28"/>
        <v>0</v>
      </c>
      <c r="AZ225" s="24">
        <f t="array" ref="AZ225">IF(OR(RIGHT(B225,LEN(Par_LabelTravelTime))=Par_LabelTravelTime,B225="čas na ceste - fakturácia"),1,0)</f>
        <v>0</v>
      </c>
    </row>
    <row r="226" spans="2:52" s="24" customFormat="1" ht="12.75" x14ac:dyDescent="0.2">
      <c r="B226" s="97"/>
      <c r="C226" s="92"/>
      <c r="D226" s="31" t="str">
        <f>IF(E226=1,VLOOKUP(TableInvs[[#This Row],[Calc_V_Typ]],Tran_RevenuesList,3,FALSE),"")</f>
        <v/>
      </c>
      <c r="E226" s="31">
        <f t="shared" si="23"/>
        <v>0</v>
      </c>
      <c r="F226" s="9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  <c r="R226" s="84"/>
      <c r="S226" s="84"/>
      <c r="T226" s="84"/>
      <c r="U226" s="84"/>
      <c r="V226" s="84"/>
      <c r="W226" s="84"/>
      <c r="X226" s="84"/>
      <c r="Y226" s="84"/>
      <c r="Z226" s="84"/>
      <c r="AA226" s="84"/>
      <c r="AB226" s="84"/>
      <c r="AC226" s="85"/>
      <c r="AD226" s="85"/>
      <c r="AE226" s="84"/>
      <c r="AF226" s="84"/>
      <c r="AG226" s="84"/>
      <c r="AH226" s="84"/>
      <c r="AI226" s="84"/>
      <c r="AJ226" s="84"/>
      <c r="AK226" s="84"/>
      <c r="AL226" s="84"/>
      <c r="AM226" s="84"/>
      <c r="AN226" s="84"/>
      <c r="AO226" s="84"/>
      <c r="AP226" s="84"/>
      <c r="AQ226" s="84"/>
      <c r="AR226" s="84"/>
      <c r="AS226" s="87">
        <f t="array" ref="AS226">IF(E226=1,SUM((ROW(Mf0)=ROW(AS226))*(Mf0+Mf1_+Mf2_+Mf3_+Mf4_+Mf5_+Mf6_+Mf7_+Mf8_+Mf9_+Mf10_+Mf11_+Mf12_+Mf13_+Mf14_+Mf15_+Mf16_+Mf17_+Mf18_+Mf19_+Mf20_+Mf21_+Mf22_+Mf23_+Mf24_+Mf25_+Mf26_+Mf27_+Mf28_+Mf29_+Mf30_+Mf31_+Mf32_+Mf33_+Mf34_+Mf35_+Mf36_+Mf37_)),0)</f>
        <v>0</v>
      </c>
      <c r="AU226" s="24" t="str">
        <f t="shared" si="24"/>
        <v/>
      </c>
      <c r="AV226" s="24" t="str">
        <f t="shared" si="25"/>
        <v/>
      </c>
      <c r="AW226" s="24" t="str">
        <f t="shared" si="26"/>
        <v/>
      </c>
      <c r="AX226" s="72">
        <f t="shared" si="27"/>
        <v>0</v>
      </c>
      <c r="AY226" s="24">
        <f t="shared" si="28"/>
        <v>0</v>
      </c>
      <c r="AZ226" s="24">
        <f t="array" ref="AZ226">IF(OR(RIGHT(B226,LEN(Par_LabelTravelTime))=Par_LabelTravelTime,B226="čas na ceste - fakturácia"),1,0)</f>
        <v>0</v>
      </c>
    </row>
    <row r="227" spans="2:52" s="24" customFormat="1" ht="12.75" x14ac:dyDescent="0.2">
      <c r="B227" s="97"/>
      <c r="C227" s="92"/>
      <c r="D227" s="31" t="str">
        <f>IF(E227=1,VLOOKUP(TableInvs[[#This Row],[Calc_V_Typ]],Tran_RevenuesList,3,FALSE),"")</f>
        <v/>
      </c>
      <c r="E227" s="31">
        <f t="shared" si="23"/>
        <v>0</v>
      </c>
      <c r="F227" s="9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  <c r="R227" s="84"/>
      <c r="S227" s="84"/>
      <c r="T227" s="84"/>
      <c r="U227" s="84"/>
      <c r="V227" s="84"/>
      <c r="W227" s="84"/>
      <c r="X227" s="84"/>
      <c r="Y227" s="84"/>
      <c r="Z227" s="84"/>
      <c r="AA227" s="84"/>
      <c r="AB227" s="84"/>
      <c r="AC227" s="85"/>
      <c r="AD227" s="85"/>
      <c r="AE227" s="84"/>
      <c r="AF227" s="84"/>
      <c r="AG227" s="84"/>
      <c r="AH227" s="84"/>
      <c r="AI227" s="84"/>
      <c r="AJ227" s="84"/>
      <c r="AK227" s="84"/>
      <c r="AL227" s="84"/>
      <c r="AM227" s="84"/>
      <c r="AN227" s="84"/>
      <c r="AO227" s="84"/>
      <c r="AP227" s="84"/>
      <c r="AQ227" s="84"/>
      <c r="AR227" s="84"/>
      <c r="AS227" s="87">
        <f t="array" ref="AS227">IF(E227=1,SUM((ROW(Mf0)=ROW(AS227))*(Mf0+Mf1_+Mf2_+Mf3_+Mf4_+Mf5_+Mf6_+Mf7_+Mf8_+Mf9_+Mf10_+Mf11_+Mf12_+Mf13_+Mf14_+Mf15_+Mf16_+Mf17_+Mf18_+Mf19_+Mf20_+Mf21_+Mf22_+Mf23_+Mf24_+Mf25_+Mf26_+Mf27_+Mf28_+Mf29_+Mf30_+Mf31_+Mf32_+Mf33_+Mf34_+Mf35_+Mf36_+Mf37_)),0)</f>
        <v>0</v>
      </c>
      <c r="AU227" s="24" t="str">
        <f t="shared" si="24"/>
        <v/>
      </c>
      <c r="AV227" s="24" t="str">
        <f t="shared" si="25"/>
        <v/>
      </c>
      <c r="AW227" s="24" t="str">
        <f t="shared" si="26"/>
        <v/>
      </c>
      <c r="AX227" s="72">
        <f t="shared" si="27"/>
        <v>0</v>
      </c>
      <c r="AY227" s="24">
        <f t="shared" si="28"/>
        <v>0</v>
      </c>
      <c r="AZ227" s="24">
        <f t="array" ref="AZ227">IF(OR(RIGHT(B227,LEN(Par_LabelTravelTime))=Par_LabelTravelTime,B227="čas na ceste - fakturácia"),1,0)</f>
        <v>0</v>
      </c>
    </row>
    <row r="228" spans="2:52" s="24" customFormat="1" ht="12.75" x14ac:dyDescent="0.2">
      <c r="B228" s="97"/>
      <c r="C228" s="92"/>
      <c r="D228" s="31" t="str">
        <f>IF(E228=1,VLOOKUP(TableInvs[[#This Row],[Calc_V_Typ]],Tran_RevenuesList,3,FALSE),"")</f>
        <v/>
      </c>
      <c r="E228" s="31">
        <f t="shared" si="23"/>
        <v>0</v>
      </c>
      <c r="F228" s="9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  <c r="R228" s="84"/>
      <c r="S228" s="84"/>
      <c r="T228" s="84"/>
      <c r="U228" s="84"/>
      <c r="V228" s="84"/>
      <c r="W228" s="84"/>
      <c r="X228" s="84"/>
      <c r="Y228" s="84"/>
      <c r="Z228" s="84"/>
      <c r="AA228" s="84"/>
      <c r="AB228" s="84"/>
      <c r="AC228" s="85"/>
      <c r="AD228" s="85"/>
      <c r="AE228" s="84"/>
      <c r="AF228" s="84"/>
      <c r="AG228" s="84"/>
      <c r="AH228" s="84"/>
      <c r="AI228" s="84"/>
      <c r="AJ228" s="84"/>
      <c r="AK228" s="84"/>
      <c r="AL228" s="84"/>
      <c r="AM228" s="84"/>
      <c r="AN228" s="84"/>
      <c r="AO228" s="84"/>
      <c r="AP228" s="84"/>
      <c r="AQ228" s="84"/>
      <c r="AR228" s="84"/>
      <c r="AS228" s="87">
        <f t="array" ref="AS228">IF(E228=1,SUM((ROW(Mf0)=ROW(AS228))*(Mf0+Mf1_+Mf2_+Mf3_+Mf4_+Mf5_+Mf6_+Mf7_+Mf8_+Mf9_+Mf10_+Mf11_+Mf12_+Mf13_+Mf14_+Mf15_+Mf16_+Mf17_+Mf18_+Mf19_+Mf20_+Mf21_+Mf22_+Mf23_+Mf24_+Mf25_+Mf26_+Mf27_+Mf28_+Mf29_+Mf30_+Mf31_+Mf32_+Mf33_+Mf34_+Mf35_+Mf36_+Mf37_)),0)</f>
        <v>0</v>
      </c>
      <c r="AU228" s="24" t="str">
        <f t="shared" si="24"/>
        <v/>
      </c>
      <c r="AV228" s="24" t="str">
        <f t="shared" si="25"/>
        <v/>
      </c>
      <c r="AW228" s="24" t="str">
        <f t="shared" si="26"/>
        <v/>
      </c>
      <c r="AX228" s="72">
        <f t="shared" si="27"/>
        <v>0</v>
      </c>
      <c r="AY228" s="24">
        <f t="shared" si="28"/>
        <v>0</v>
      </c>
      <c r="AZ228" s="24">
        <f t="array" ref="AZ228">IF(OR(RIGHT(B228,LEN(Par_LabelTravelTime))=Par_LabelTravelTime,B228="čas na ceste - fakturácia"),1,0)</f>
        <v>0</v>
      </c>
    </row>
    <row r="229" spans="2:52" s="24" customFormat="1" ht="12.75" x14ac:dyDescent="0.2">
      <c r="B229" s="97"/>
      <c r="C229" s="92"/>
      <c r="D229" s="31" t="str">
        <f>IF(E229=1,VLOOKUP(TableInvs[[#This Row],[Calc_V_Typ]],Tran_RevenuesList,3,FALSE),"")</f>
        <v/>
      </c>
      <c r="E229" s="31">
        <f t="shared" si="23"/>
        <v>0</v>
      </c>
      <c r="F229" s="9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  <c r="R229" s="84"/>
      <c r="S229" s="84"/>
      <c r="T229" s="84"/>
      <c r="U229" s="84"/>
      <c r="V229" s="84"/>
      <c r="W229" s="84"/>
      <c r="X229" s="84"/>
      <c r="Y229" s="84"/>
      <c r="Z229" s="84"/>
      <c r="AA229" s="84"/>
      <c r="AB229" s="84"/>
      <c r="AC229" s="85"/>
      <c r="AD229" s="85"/>
      <c r="AE229" s="84"/>
      <c r="AF229" s="84"/>
      <c r="AG229" s="84"/>
      <c r="AH229" s="84"/>
      <c r="AI229" s="84"/>
      <c r="AJ229" s="84"/>
      <c r="AK229" s="84"/>
      <c r="AL229" s="84"/>
      <c r="AM229" s="84"/>
      <c r="AN229" s="84"/>
      <c r="AO229" s="84"/>
      <c r="AP229" s="84"/>
      <c r="AQ229" s="84"/>
      <c r="AR229" s="84"/>
      <c r="AS229" s="87">
        <f t="array" ref="AS229">IF(E229=1,SUM((ROW(Mf0)=ROW(AS229))*(Mf0+Mf1_+Mf2_+Mf3_+Mf4_+Mf5_+Mf6_+Mf7_+Mf8_+Mf9_+Mf10_+Mf11_+Mf12_+Mf13_+Mf14_+Mf15_+Mf16_+Mf17_+Mf18_+Mf19_+Mf20_+Mf21_+Mf22_+Mf23_+Mf24_+Mf25_+Mf26_+Mf27_+Mf28_+Mf29_+Mf30_+Mf31_+Mf32_+Mf33_+Mf34_+Mf35_+Mf36_+Mf37_)),0)</f>
        <v>0</v>
      </c>
      <c r="AU229" s="24" t="str">
        <f t="shared" si="24"/>
        <v/>
      </c>
      <c r="AV229" s="24" t="str">
        <f t="shared" si="25"/>
        <v/>
      </c>
      <c r="AW229" s="24" t="str">
        <f t="shared" si="26"/>
        <v/>
      </c>
      <c r="AX229" s="72">
        <f t="shared" si="27"/>
        <v>0</v>
      </c>
      <c r="AY229" s="24">
        <f t="shared" si="28"/>
        <v>0</v>
      </c>
      <c r="AZ229" s="24">
        <f t="array" ref="AZ229">IF(OR(RIGHT(B229,LEN(Par_LabelTravelTime))=Par_LabelTravelTime,B229="čas na ceste - fakturácia"),1,0)</f>
        <v>0</v>
      </c>
    </row>
    <row r="230" spans="2:52" s="24" customFormat="1" ht="12.75" x14ac:dyDescent="0.2">
      <c r="B230" s="97"/>
      <c r="C230" s="92"/>
      <c r="D230" s="31" t="str">
        <f>IF(E230=1,VLOOKUP(TableInvs[[#This Row],[Calc_V_Typ]],Tran_RevenuesList,3,FALSE),"")</f>
        <v/>
      </c>
      <c r="E230" s="31">
        <f t="shared" si="23"/>
        <v>0</v>
      </c>
      <c r="F230" s="9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  <c r="R230" s="84"/>
      <c r="S230" s="84"/>
      <c r="T230" s="84"/>
      <c r="U230" s="84"/>
      <c r="V230" s="84"/>
      <c r="W230" s="84"/>
      <c r="X230" s="84"/>
      <c r="Y230" s="84"/>
      <c r="Z230" s="84"/>
      <c r="AA230" s="84"/>
      <c r="AB230" s="84"/>
      <c r="AC230" s="85"/>
      <c r="AD230" s="85"/>
      <c r="AE230" s="84"/>
      <c r="AF230" s="84"/>
      <c r="AG230" s="84"/>
      <c r="AH230" s="84"/>
      <c r="AI230" s="84"/>
      <c r="AJ230" s="84"/>
      <c r="AK230" s="84"/>
      <c r="AL230" s="84"/>
      <c r="AM230" s="84"/>
      <c r="AN230" s="84"/>
      <c r="AO230" s="84"/>
      <c r="AP230" s="84"/>
      <c r="AQ230" s="84"/>
      <c r="AR230" s="84"/>
      <c r="AS230" s="87">
        <f t="array" ref="AS230">IF(E230=1,SUM((ROW(Mf0)=ROW(AS230))*(Mf0+Mf1_+Mf2_+Mf3_+Mf4_+Mf5_+Mf6_+Mf7_+Mf8_+Mf9_+Mf10_+Mf11_+Mf12_+Mf13_+Mf14_+Mf15_+Mf16_+Mf17_+Mf18_+Mf19_+Mf20_+Mf21_+Mf22_+Mf23_+Mf24_+Mf25_+Mf26_+Mf27_+Mf28_+Mf29_+Mf30_+Mf31_+Mf32_+Mf33_+Mf34_+Mf35_+Mf36_+Mf37_)),0)</f>
        <v>0</v>
      </c>
      <c r="AU230" s="24" t="str">
        <f t="shared" si="24"/>
        <v/>
      </c>
      <c r="AV230" s="24" t="str">
        <f t="shared" si="25"/>
        <v/>
      </c>
      <c r="AW230" s="24" t="str">
        <f t="shared" si="26"/>
        <v/>
      </c>
      <c r="AX230" s="72">
        <f t="shared" si="27"/>
        <v>0</v>
      </c>
      <c r="AY230" s="24">
        <f t="shared" si="28"/>
        <v>0</v>
      </c>
      <c r="AZ230" s="24">
        <f t="array" ref="AZ230">IF(OR(RIGHT(B230,LEN(Par_LabelTravelTime))=Par_LabelTravelTime,B230="čas na ceste - fakturácia"),1,0)</f>
        <v>0</v>
      </c>
    </row>
    <row r="231" spans="2:52" s="24" customFormat="1" ht="12.75" x14ac:dyDescent="0.2">
      <c r="B231" s="97"/>
      <c r="C231" s="92"/>
      <c r="D231" s="31" t="str">
        <f>IF(E231=1,VLOOKUP(TableInvs[[#This Row],[Calc_V_Typ]],Tran_RevenuesList,3,FALSE),"")</f>
        <v/>
      </c>
      <c r="E231" s="31">
        <f t="shared" si="23"/>
        <v>0</v>
      </c>
      <c r="F231" s="94"/>
      <c r="G231" s="84"/>
      <c r="H231" s="84"/>
      <c r="I231" s="84"/>
      <c r="J231" s="84"/>
      <c r="K231" s="84"/>
      <c r="L231" s="84"/>
      <c r="M231" s="84"/>
      <c r="N231" s="84"/>
      <c r="O231" s="84"/>
      <c r="P231" s="84"/>
      <c r="Q231" s="84"/>
      <c r="R231" s="84"/>
      <c r="S231" s="84"/>
      <c r="T231" s="84"/>
      <c r="U231" s="84"/>
      <c r="V231" s="84"/>
      <c r="W231" s="84"/>
      <c r="X231" s="84"/>
      <c r="Y231" s="84"/>
      <c r="Z231" s="84"/>
      <c r="AA231" s="84"/>
      <c r="AB231" s="84"/>
      <c r="AC231" s="85"/>
      <c r="AD231" s="85"/>
      <c r="AE231" s="84"/>
      <c r="AF231" s="84"/>
      <c r="AG231" s="84"/>
      <c r="AH231" s="84"/>
      <c r="AI231" s="84"/>
      <c r="AJ231" s="84"/>
      <c r="AK231" s="84"/>
      <c r="AL231" s="84"/>
      <c r="AM231" s="84"/>
      <c r="AN231" s="84"/>
      <c r="AO231" s="84"/>
      <c r="AP231" s="84"/>
      <c r="AQ231" s="84"/>
      <c r="AR231" s="84"/>
      <c r="AS231" s="87">
        <f t="array" ref="AS231">IF(E231=1,SUM((ROW(Mf0)=ROW(AS231))*(Mf0+Mf1_+Mf2_+Mf3_+Mf4_+Mf5_+Mf6_+Mf7_+Mf8_+Mf9_+Mf10_+Mf11_+Mf12_+Mf13_+Mf14_+Mf15_+Mf16_+Mf17_+Mf18_+Mf19_+Mf20_+Mf21_+Mf22_+Mf23_+Mf24_+Mf25_+Mf26_+Mf27_+Mf28_+Mf29_+Mf30_+Mf31_+Mf32_+Mf33_+Mf34_+Mf35_+Mf36_+Mf37_)),0)</f>
        <v>0</v>
      </c>
      <c r="AU231" s="24" t="str">
        <f t="shared" si="24"/>
        <v/>
      </c>
      <c r="AV231" s="24" t="str">
        <f t="shared" si="25"/>
        <v/>
      </c>
      <c r="AW231" s="24" t="str">
        <f t="shared" si="26"/>
        <v/>
      </c>
      <c r="AX231" s="72">
        <f t="shared" si="27"/>
        <v>0</v>
      </c>
      <c r="AY231" s="24">
        <f t="shared" si="28"/>
        <v>0</v>
      </c>
      <c r="AZ231" s="24">
        <f t="array" ref="AZ231">IF(OR(RIGHT(B231,LEN(Par_LabelTravelTime))=Par_LabelTravelTime,B231="čas na ceste - fakturácia"),1,0)</f>
        <v>0</v>
      </c>
    </row>
    <row r="232" spans="2:52" s="24" customFormat="1" ht="12.75" x14ac:dyDescent="0.2">
      <c r="B232" s="97"/>
      <c r="C232" s="92"/>
      <c r="D232" s="31" t="str">
        <f>IF(E232=1,VLOOKUP(TableInvs[[#This Row],[Calc_V_Typ]],Tran_RevenuesList,3,FALSE),"")</f>
        <v/>
      </c>
      <c r="E232" s="31">
        <f t="shared" si="23"/>
        <v>0</v>
      </c>
      <c r="F232" s="94"/>
      <c r="G232" s="84"/>
      <c r="H232" s="84"/>
      <c r="I232" s="84"/>
      <c r="J232" s="84"/>
      <c r="K232" s="84"/>
      <c r="L232" s="84"/>
      <c r="M232" s="84"/>
      <c r="N232" s="84"/>
      <c r="O232" s="84"/>
      <c r="P232" s="84"/>
      <c r="Q232" s="84"/>
      <c r="R232" s="84"/>
      <c r="S232" s="84"/>
      <c r="T232" s="84"/>
      <c r="U232" s="84"/>
      <c r="V232" s="84"/>
      <c r="W232" s="84"/>
      <c r="X232" s="84"/>
      <c r="Y232" s="84"/>
      <c r="Z232" s="84"/>
      <c r="AA232" s="84"/>
      <c r="AB232" s="84"/>
      <c r="AC232" s="85"/>
      <c r="AD232" s="85"/>
      <c r="AE232" s="84"/>
      <c r="AF232" s="84"/>
      <c r="AG232" s="84"/>
      <c r="AH232" s="84"/>
      <c r="AI232" s="84"/>
      <c r="AJ232" s="84"/>
      <c r="AK232" s="84"/>
      <c r="AL232" s="84"/>
      <c r="AM232" s="84"/>
      <c r="AN232" s="84"/>
      <c r="AO232" s="84"/>
      <c r="AP232" s="84"/>
      <c r="AQ232" s="84"/>
      <c r="AR232" s="84"/>
      <c r="AS232" s="87">
        <f t="array" ref="AS232">IF(E232=1,SUM((ROW(Mf0)=ROW(AS232))*(Mf0+Mf1_+Mf2_+Mf3_+Mf4_+Mf5_+Mf6_+Mf7_+Mf8_+Mf9_+Mf10_+Mf11_+Mf12_+Mf13_+Mf14_+Mf15_+Mf16_+Mf17_+Mf18_+Mf19_+Mf20_+Mf21_+Mf22_+Mf23_+Mf24_+Mf25_+Mf26_+Mf27_+Mf28_+Mf29_+Mf30_+Mf31_+Mf32_+Mf33_+Mf34_+Mf35_+Mf36_+Mf37_)),0)</f>
        <v>0</v>
      </c>
      <c r="AU232" s="24" t="str">
        <f t="shared" si="24"/>
        <v/>
      </c>
      <c r="AV232" s="24" t="str">
        <f t="shared" si="25"/>
        <v/>
      </c>
      <c r="AW232" s="24" t="str">
        <f t="shared" si="26"/>
        <v/>
      </c>
      <c r="AX232" s="72">
        <f t="shared" si="27"/>
        <v>0</v>
      </c>
      <c r="AY232" s="24">
        <f t="shared" si="28"/>
        <v>0</v>
      </c>
      <c r="AZ232" s="24">
        <f t="array" ref="AZ232">IF(OR(RIGHT(B232,LEN(Par_LabelTravelTime))=Par_LabelTravelTime,B232="čas na ceste - fakturácia"),1,0)</f>
        <v>0</v>
      </c>
    </row>
    <row r="233" spans="2:52" s="24" customFormat="1" ht="12.75" x14ac:dyDescent="0.2">
      <c r="B233" s="97"/>
      <c r="C233" s="92"/>
      <c r="D233" s="31" t="str">
        <f>IF(E233=1,VLOOKUP(TableInvs[[#This Row],[Calc_V_Typ]],Tran_RevenuesList,3,FALSE),"")</f>
        <v/>
      </c>
      <c r="E233" s="31">
        <f t="shared" si="23"/>
        <v>0</v>
      </c>
      <c r="F233" s="9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  <c r="S233" s="84"/>
      <c r="T233" s="84"/>
      <c r="U233" s="84"/>
      <c r="V233" s="84"/>
      <c r="W233" s="84"/>
      <c r="X233" s="84"/>
      <c r="Y233" s="84"/>
      <c r="Z233" s="84"/>
      <c r="AA233" s="84"/>
      <c r="AB233" s="84"/>
      <c r="AC233" s="85"/>
      <c r="AD233" s="85"/>
      <c r="AE233" s="84"/>
      <c r="AF233" s="84"/>
      <c r="AG233" s="84"/>
      <c r="AH233" s="84"/>
      <c r="AI233" s="84"/>
      <c r="AJ233" s="84"/>
      <c r="AK233" s="84"/>
      <c r="AL233" s="84"/>
      <c r="AM233" s="84"/>
      <c r="AN233" s="84"/>
      <c r="AO233" s="84"/>
      <c r="AP233" s="84"/>
      <c r="AQ233" s="84"/>
      <c r="AR233" s="84"/>
      <c r="AS233" s="87">
        <f t="array" ref="AS233">IF(E233=1,SUM((ROW(Mf0)=ROW(AS233))*(Mf0+Mf1_+Mf2_+Mf3_+Mf4_+Mf5_+Mf6_+Mf7_+Mf8_+Mf9_+Mf10_+Mf11_+Mf12_+Mf13_+Mf14_+Mf15_+Mf16_+Mf17_+Mf18_+Mf19_+Mf20_+Mf21_+Mf22_+Mf23_+Mf24_+Mf25_+Mf26_+Mf27_+Mf28_+Mf29_+Mf30_+Mf31_+Mf32_+Mf33_+Mf34_+Mf35_+Mf36_+Mf37_)),0)</f>
        <v>0</v>
      </c>
      <c r="AU233" s="24" t="str">
        <f t="shared" si="24"/>
        <v/>
      </c>
      <c r="AV233" s="24" t="str">
        <f t="shared" si="25"/>
        <v/>
      </c>
      <c r="AW233" s="24" t="str">
        <f t="shared" si="26"/>
        <v/>
      </c>
      <c r="AX233" s="72">
        <f t="shared" si="27"/>
        <v>0</v>
      </c>
      <c r="AY233" s="24">
        <f t="shared" si="28"/>
        <v>0</v>
      </c>
      <c r="AZ233" s="24">
        <f t="array" ref="AZ233">IF(OR(RIGHT(B233,LEN(Par_LabelTravelTime))=Par_LabelTravelTime,B233="čas na ceste - fakturácia"),1,0)</f>
        <v>0</v>
      </c>
    </row>
    <row r="234" spans="2:52" s="24" customFormat="1" ht="12.75" x14ac:dyDescent="0.2">
      <c r="B234" s="97"/>
      <c r="C234" s="92"/>
      <c r="D234" s="31" t="str">
        <f>IF(E234=1,VLOOKUP(TableInvs[[#This Row],[Calc_V_Typ]],Tran_RevenuesList,3,FALSE),"")</f>
        <v/>
      </c>
      <c r="E234" s="31">
        <f t="shared" si="23"/>
        <v>0</v>
      </c>
      <c r="F234" s="9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  <c r="S234" s="84"/>
      <c r="T234" s="84"/>
      <c r="U234" s="84"/>
      <c r="V234" s="84"/>
      <c r="W234" s="84"/>
      <c r="X234" s="84"/>
      <c r="Y234" s="84"/>
      <c r="Z234" s="84"/>
      <c r="AA234" s="84"/>
      <c r="AB234" s="84"/>
      <c r="AC234" s="85"/>
      <c r="AD234" s="85"/>
      <c r="AE234" s="84"/>
      <c r="AF234" s="84"/>
      <c r="AG234" s="84"/>
      <c r="AH234" s="84"/>
      <c r="AI234" s="84"/>
      <c r="AJ234" s="84"/>
      <c r="AK234" s="84"/>
      <c r="AL234" s="84"/>
      <c r="AM234" s="84"/>
      <c r="AN234" s="84"/>
      <c r="AO234" s="84"/>
      <c r="AP234" s="84"/>
      <c r="AQ234" s="84"/>
      <c r="AR234" s="84"/>
      <c r="AS234" s="87">
        <f t="array" ref="AS234">IF(E234=1,SUM((ROW(Mf0)=ROW(AS234))*(Mf0+Mf1_+Mf2_+Mf3_+Mf4_+Mf5_+Mf6_+Mf7_+Mf8_+Mf9_+Mf10_+Mf11_+Mf12_+Mf13_+Mf14_+Mf15_+Mf16_+Mf17_+Mf18_+Mf19_+Mf20_+Mf21_+Mf22_+Mf23_+Mf24_+Mf25_+Mf26_+Mf27_+Mf28_+Mf29_+Mf30_+Mf31_+Mf32_+Mf33_+Mf34_+Mf35_+Mf36_+Mf37_)),0)</f>
        <v>0</v>
      </c>
      <c r="AU234" s="24" t="str">
        <f t="shared" si="24"/>
        <v/>
      </c>
      <c r="AV234" s="24" t="str">
        <f t="shared" si="25"/>
        <v/>
      </c>
      <c r="AW234" s="24" t="str">
        <f t="shared" si="26"/>
        <v/>
      </c>
      <c r="AX234" s="72">
        <f t="shared" si="27"/>
        <v>0</v>
      </c>
      <c r="AY234" s="24">
        <f t="shared" si="28"/>
        <v>0</v>
      </c>
      <c r="AZ234" s="24">
        <f t="array" ref="AZ234">IF(OR(RIGHT(B234,LEN(Par_LabelTravelTime))=Par_LabelTravelTime,B234="čas na ceste - fakturácia"),1,0)</f>
        <v>0</v>
      </c>
    </row>
    <row r="235" spans="2:52" s="24" customFormat="1" ht="12.75" x14ac:dyDescent="0.2">
      <c r="B235" s="97"/>
      <c r="C235" s="92"/>
      <c r="D235" s="31" t="str">
        <f>IF(E235=1,VLOOKUP(TableInvs[[#This Row],[Calc_V_Typ]],Tran_RevenuesList,3,FALSE),"")</f>
        <v/>
      </c>
      <c r="E235" s="31">
        <f t="shared" si="23"/>
        <v>0</v>
      </c>
      <c r="F235" s="9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  <c r="S235" s="84"/>
      <c r="T235" s="84"/>
      <c r="U235" s="84"/>
      <c r="V235" s="84"/>
      <c r="W235" s="84"/>
      <c r="X235" s="84"/>
      <c r="Y235" s="84"/>
      <c r="Z235" s="84"/>
      <c r="AA235" s="84"/>
      <c r="AB235" s="84"/>
      <c r="AC235" s="85"/>
      <c r="AD235" s="85"/>
      <c r="AE235" s="84"/>
      <c r="AF235" s="84"/>
      <c r="AG235" s="84"/>
      <c r="AH235" s="84"/>
      <c r="AI235" s="84"/>
      <c r="AJ235" s="84"/>
      <c r="AK235" s="84"/>
      <c r="AL235" s="84"/>
      <c r="AM235" s="84"/>
      <c r="AN235" s="84"/>
      <c r="AO235" s="84"/>
      <c r="AP235" s="84"/>
      <c r="AQ235" s="84"/>
      <c r="AR235" s="84"/>
      <c r="AS235" s="87">
        <f t="array" ref="AS235">IF(E235=1,SUM((ROW(Mf0)=ROW(AS235))*(Mf0+Mf1_+Mf2_+Mf3_+Mf4_+Mf5_+Mf6_+Mf7_+Mf8_+Mf9_+Mf10_+Mf11_+Mf12_+Mf13_+Mf14_+Mf15_+Mf16_+Mf17_+Mf18_+Mf19_+Mf20_+Mf21_+Mf22_+Mf23_+Mf24_+Mf25_+Mf26_+Mf27_+Mf28_+Mf29_+Mf30_+Mf31_+Mf32_+Mf33_+Mf34_+Mf35_+Mf36_+Mf37_)),0)</f>
        <v>0</v>
      </c>
      <c r="AU235" s="24" t="str">
        <f t="shared" si="24"/>
        <v/>
      </c>
      <c r="AV235" s="24" t="str">
        <f t="shared" si="25"/>
        <v/>
      </c>
      <c r="AW235" s="24" t="str">
        <f t="shared" si="26"/>
        <v/>
      </c>
      <c r="AX235" s="72">
        <f t="shared" si="27"/>
        <v>0</v>
      </c>
      <c r="AY235" s="24">
        <f t="shared" si="28"/>
        <v>0</v>
      </c>
      <c r="AZ235" s="24">
        <f t="array" ref="AZ235">IF(OR(RIGHT(B235,LEN(Par_LabelTravelTime))=Par_LabelTravelTime,B235="čas na ceste - fakturácia"),1,0)</f>
        <v>0</v>
      </c>
    </row>
    <row r="236" spans="2:52" s="24" customFormat="1" ht="12.75" x14ac:dyDescent="0.2">
      <c r="B236" s="97"/>
      <c r="C236" s="92"/>
      <c r="D236" s="31" t="str">
        <f>IF(E236=1,VLOOKUP(TableInvs[[#This Row],[Calc_V_Typ]],Tran_RevenuesList,3,FALSE),"")</f>
        <v/>
      </c>
      <c r="E236" s="31">
        <f t="shared" si="23"/>
        <v>0</v>
      </c>
      <c r="F236" s="9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  <c r="S236" s="84"/>
      <c r="T236" s="84"/>
      <c r="U236" s="84"/>
      <c r="V236" s="84"/>
      <c r="W236" s="84"/>
      <c r="X236" s="84"/>
      <c r="Y236" s="84"/>
      <c r="Z236" s="84"/>
      <c r="AA236" s="84"/>
      <c r="AB236" s="84"/>
      <c r="AC236" s="85"/>
      <c r="AD236" s="85"/>
      <c r="AE236" s="84"/>
      <c r="AF236" s="84"/>
      <c r="AG236" s="84"/>
      <c r="AH236" s="84"/>
      <c r="AI236" s="84"/>
      <c r="AJ236" s="84"/>
      <c r="AK236" s="84"/>
      <c r="AL236" s="84"/>
      <c r="AM236" s="84"/>
      <c r="AN236" s="84"/>
      <c r="AO236" s="84"/>
      <c r="AP236" s="84"/>
      <c r="AQ236" s="84"/>
      <c r="AR236" s="84"/>
      <c r="AS236" s="87">
        <f t="array" ref="AS236">IF(E236=1,SUM((ROW(Mf0)=ROW(AS236))*(Mf0+Mf1_+Mf2_+Mf3_+Mf4_+Mf5_+Mf6_+Mf7_+Mf8_+Mf9_+Mf10_+Mf11_+Mf12_+Mf13_+Mf14_+Mf15_+Mf16_+Mf17_+Mf18_+Mf19_+Mf20_+Mf21_+Mf22_+Mf23_+Mf24_+Mf25_+Mf26_+Mf27_+Mf28_+Mf29_+Mf30_+Mf31_+Mf32_+Mf33_+Mf34_+Mf35_+Mf36_+Mf37_)),0)</f>
        <v>0</v>
      </c>
      <c r="AU236" s="24" t="str">
        <f t="shared" si="24"/>
        <v/>
      </c>
      <c r="AV236" s="24" t="str">
        <f t="shared" si="25"/>
        <v/>
      </c>
      <c r="AW236" s="24" t="str">
        <f t="shared" si="26"/>
        <v/>
      </c>
      <c r="AX236" s="72">
        <f t="shared" si="27"/>
        <v>0</v>
      </c>
      <c r="AY236" s="24">
        <f t="shared" si="28"/>
        <v>0</v>
      </c>
      <c r="AZ236" s="24">
        <f t="array" ref="AZ236">IF(OR(RIGHT(B236,LEN(Par_LabelTravelTime))=Par_LabelTravelTime,B236="čas na ceste - fakturácia"),1,0)</f>
        <v>0</v>
      </c>
    </row>
    <row r="237" spans="2:52" s="24" customFormat="1" ht="12.75" x14ac:dyDescent="0.2">
      <c r="B237" s="97"/>
      <c r="C237" s="92"/>
      <c r="D237" s="31" t="str">
        <f>IF(E237=1,VLOOKUP(TableInvs[[#This Row],[Calc_V_Typ]],Tran_RevenuesList,3,FALSE),"")</f>
        <v/>
      </c>
      <c r="E237" s="31">
        <f t="shared" si="23"/>
        <v>0</v>
      </c>
      <c r="F237" s="9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  <c r="S237" s="84"/>
      <c r="T237" s="84"/>
      <c r="U237" s="84"/>
      <c r="V237" s="84"/>
      <c r="W237" s="84"/>
      <c r="X237" s="84"/>
      <c r="Y237" s="84"/>
      <c r="Z237" s="84"/>
      <c r="AA237" s="84"/>
      <c r="AB237" s="84"/>
      <c r="AC237" s="85"/>
      <c r="AD237" s="85"/>
      <c r="AE237" s="84"/>
      <c r="AF237" s="84"/>
      <c r="AG237" s="84"/>
      <c r="AH237" s="84"/>
      <c r="AI237" s="84"/>
      <c r="AJ237" s="84"/>
      <c r="AK237" s="84"/>
      <c r="AL237" s="84"/>
      <c r="AM237" s="84"/>
      <c r="AN237" s="84"/>
      <c r="AO237" s="84"/>
      <c r="AP237" s="84"/>
      <c r="AQ237" s="84"/>
      <c r="AR237" s="84"/>
      <c r="AS237" s="87">
        <f t="array" ref="AS237">IF(E237=1,SUM((ROW(Mf0)=ROW(AS237))*(Mf0+Mf1_+Mf2_+Mf3_+Mf4_+Mf5_+Mf6_+Mf7_+Mf8_+Mf9_+Mf10_+Mf11_+Mf12_+Mf13_+Mf14_+Mf15_+Mf16_+Mf17_+Mf18_+Mf19_+Mf20_+Mf21_+Mf22_+Mf23_+Mf24_+Mf25_+Mf26_+Mf27_+Mf28_+Mf29_+Mf30_+Mf31_+Mf32_+Mf33_+Mf34_+Mf35_+Mf36_+Mf37_)),0)</f>
        <v>0</v>
      </c>
      <c r="AU237" s="24" t="str">
        <f t="shared" si="24"/>
        <v/>
      </c>
      <c r="AV237" s="24" t="str">
        <f t="shared" si="25"/>
        <v/>
      </c>
      <c r="AW237" s="24" t="str">
        <f t="shared" si="26"/>
        <v/>
      </c>
      <c r="AX237" s="72">
        <f t="shared" si="27"/>
        <v>0</v>
      </c>
      <c r="AY237" s="24">
        <f t="shared" si="28"/>
        <v>0</v>
      </c>
      <c r="AZ237" s="24">
        <f t="array" ref="AZ237">IF(OR(RIGHT(B237,LEN(Par_LabelTravelTime))=Par_LabelTravelTime,B237="čas na ceste - fakturácia"),1,0)</f>
        <v>0</v>
      </c>
    </row>
    <row r="238" spans="2:52" s="24" customFormat="1" ht="12.75" x14ac:dyDescent="0.2">
      <c r="B238" s="97"/>
      <c r="C238" s="92"/>
      <c r="D238" s="31" t="str">
        <f>IF(E238=1,VLOOKUP(TableInvs[[#This Row],[Calc_V_Typ]],Tran_RevenuesList,3,FALSE),"")</f>
        <v/>
      </c>
      <c r="E238" s="31">
        <f t="shared" si="23"/>
        <v>0</v>
      </c>
      <c r="F238" s="9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  <c r="S238" s="84"/>
      <c r="T238" s="84"/>
      <c r="U238" s="84"/>
      <c r="V238" s="84"/>
      <c r="W238" s="84"/>
      <c r="X238" s="84"/>
      <c r="Y238" s="84"/>
      <c r="Z238" s="84"/>
      <c r="AA238" s="84"/>
      <c r="AB238" s="84"/>
      <c r="AC238" s="85"/>
      <c r="AD238" s="85"/>
      <c r="AE238" s="84"/>
      <c r="AF238" s="84"/>
      <c r="AG238" s="84"/>
      <c r="AH238" s="84"/>
      <c r="AI238" s="84"/>
      <c r="AJ238" s="84"/>
      <c r="AK238" s="84"/>
      <c r="AL238" s="84"/>
      <c r="AM238" s="84"/>
      <c r="AN238" s="84"/>
      <c r="AO238" s="84"/>
      <c r="AP238" s="84"/>
      <c r="AQ238" s="84"/>
      <c r="AR238" s="84"/>
      <c r="AS238" s="87">
        <f t="array" ref="AS238">IF(E238=1,SUM((ROW(Mf0)=ROW(AS238))*(Mf0+Mf1_+Mf2_+Mf3_+Mf4_+Mf5_+Mf6_+Mf7_+Mf8_+Mf9_+Mf10_+Mf11_+Mf12_+Mf13_+Mf14_+Mf15_+Mf16_+Mf17_+Mf18_+Mf19_+Mf20_+Mf21_+Mf22_+Mf23_+Mf24_+Mf25_+Mf26_+Mf27_+Mf28_+Mf29_+Mf30_+Mf31_+Mf32_+Mf33_+Mf34_+Mf35_+Mf36_+Mf37_)),0)</f>
        <v>0</v>
      </c>
      <c r="AU238" s="24" t="str">
        <f t="shared" si="24"/>
        <v/>
      </c>
      <c r="AV238" s="24" t="str">
        <f t="shared" si="25"/>
        <v/>
      </c>
      <c r="AW238" s="24" t="str">
        <f t="shared" si="26"/>
        <v/>
      </c>
      <c r="AX238" s="72">
        <f t="shared" si="27"/>
        <v>0</v>
      </c>
      <c r="AY238" s="24">
        <f t="shared" si="28"/>
        <v>0</v>
      </c>
      <c r="AZ238" s="24">
        <f t="array" ref="AZ238">IF(OR(RIGHT(B238,LEN(Par_LabelTravelTime))=Par_LabelTravelTime,B238="čas na ceste - fakturácia"),1,0)</f>
        <v>0</v>
      </c>
    </row>
    <row r="239" spans="2:52" s="24" customFormat="1" ht="12.75" x14ac:dyDescent="0.2">
      <c r="B239" s="97"/>
      <c r="C239" s="92"/>
      <c r="D239" s="31" t="str">
        <f>IF(E239=1,VLOOKUP(TableInvs[[#This Row],[Calc_V_Typ]],Tran_RevenuesList,3,FALSE),"")</f>
        <v/>
      </c>
      <c r="E239" s="31">
        <f t="shared" si="23"/>
        <v>0</v>
      </c>
      <c r="F239" s="9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  <c r="S239" s="84"/>
      <c r="T239" s="84"/>
      <c r="U239" s="84"/>
      <c r="V239" s="84"/>
      <c r="W239" s="84"/>
      <c r="X239" s="84"/>
      <c r="Y239" s="84"/>
      <c r="Z239" s="84"/>
      <c r="AA239" s="84"/>
      <c r="AB239" s="84"/>
      <c r="AC239" s="85"/>
      <c r="AD239" s="85"/>
      <c r="AE239" s="84"/>
      <c r="AF239" s="84"/>
      <c r="AG239" s="84"/>
      <c r="AH239" s="84"/>
      <c r="AI239" s="84"/>
      <c r="AJ239" s="84"/>
      <c r="AK239" s="84"/>
      <c r="AL239" s="84"/>
      <c r="AM239" s="84"/>
      <c r="AN239" s="84"/>
      <c r="AO239" s="84"/>
      <c r="AP239" s="84"/>
      <c r="AQ239" s="84"/>
      <c r="AR239" s="84"/>
      <c r="AS239" s="87">
        <f t="array" ref="AS239">IF(E239=1,SUM((ROW(Mf0)=ROW(AS239))*(Mf0+Mf1_+Mf2_+Mf3_+Mf4_+Mf5_+Mf6_+Mf7_+Mf8_+Mf9_+Mf10_+Mf11_+Mf12_+Mf13_+Mf14_+Mf15_+Mf16_+Mf17_+Mf18_+Mf19_+Mf20_+Mf21_+Mf22_+Mf23_+Mf24_+Mf25_+Mf26_+Mf27_+Mf28_+Mf29_+Mf30_+Mf31_+Mf32_+Mf33_+Mf34_+Mf35_+Mf36_+Mf37_)),0)</f>
        <v>0</v>
      </c>
      <c r="AU239" s="24" t="str">
        <f t="shared" si="24"/>
        <v/>
      </c>
      <c r="AV239" s="24" t="str">
        <f t="shared" si="25"/>
        <v/>
      </c>
      <c r="AW239" s="24" t="str">
        <f t="shared" si="26"/>
        <v/>
      </c>
      <c r="AX239" s="72">
        <f t="shared" si="27"/>
        <v>0</v>
      </c>
      <c r="AY239" s="24">
        <f t="shared" si="28"/>
        <v>0</v>
      </c>
      <c r="AZ239" s="24">
        <f t="array" ref="AZ239">IF(OR(RIGHT(B239,LEN(Par_LabelTravelTime))=Par_LabelTravelTime,B239="čas na ceste - fakturácia"),1,0)</f>
        <v>0</v>
      </c>
    </row>
    <row r="240" spans="2:52" s="24" customFormat="1" ht="12.75" x14ac:dyDescent="0.2">
      <c r="B240" s="97"/>
      <c r="C240" s="92"/>
      <c r="D240" s="31" t="str">
        <f>IF(E240=1,VLOOKUP(TableInvs[[#This Row],[Calc_V_Typ]],Tran_RevenuesList,3,FALSE),"")</f>
        <v/>
      </c>
      <c r="E240" s="31">
        <f t="shared" si="23"/>
        <v>0</v>
      </c>
      <c r="F240" s="9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  <c r="S240" s="84"/>
      <c r="T240" s="84"/>
      <c r="U240" s="84"/>
      <c r="V240" s="84"/>
      <c r="W240" s="84"/>
      <c r="X240" s="84"/>
      <c r="Y240" s="84"/>
      <c r="Z240" s="84"/>
      <c r="AA240" s="84"/>
      <c r="AB240" s="84"/>
      <c r="AC240" s="85"/>
      <c r="AD240" s="85"/>
      <c r="AE240" s="84"/>
      <c r="AF240" s="84"/>
      <c r="AG240" s="84"/>
      <c r="AH240" s="84"/>
      <c r="AI240" s="84"/>
      <c r="AJ240" s="84"/>
      <c r="AK240" s="84"/>
      <c r="AL240" s="84"/>
      <c r="AM240" s="84"/>
      <c r="AN240" s="84"/>
      <c r="AO240" s="84"/>
      <c r="AP240" s="84"/>
      <c r="AQ240" s="84"/>
      <c r="AR240" s="84"/>
      <c r="AS240" s="87">
        <f t="array" ref="AS240">IF(E240=1,SUM((ROW(Mf0)=ROW(AS240))*(Mf0+Mf1_+Mf2_+Mf3_+Mf4_+Mf5_+Mf6_+Mf7_+Mf8_+Mf9_+Mf10_+Mf11_+Mf12_+Mf13_+Mf14_+Mf15_+Mf16_+Mf17_+Mf18_+Mf19_+Mf20_+Mf21_+Mf22_+Mf23_+Mf24_+Mf25_+Mf26_+Mf27_+Mf28_+Mf29_+Mf30_+Mf31_+Mf32_+Mf33_+Mf34_+Mf35_+Mf36_+Mf37_)),0)</f>
        <v>0</v>
      </c>
      <c r="AU240" s="24" t="str">
        <f t="shared" si="24"/>
        <v/>
      </c>
      <c r="AV240" s="24" t="str">
        <f t="shared" si="25"/>
        <v/>
      </c>
      <c r="AW240" s="24" t="str">
        <f t="shared" si="26"/>
        <v/>
      </c>
      <c r="AX240" s="72">
        <f t="shared" si="27"/>
        <v>0</v>
      </c>
      <c r="AY240" s="24">
        <f t="shared" si="28"/>
        <v>0</v>
      </c>
      <c r="AZ240" s="24">
        <f t="array" ref="AZ240">IF(OR(RIGHT(B240,LEN(Par_LabelTravelTime))=Par_LabelTravelTime,B240="čas na ceste - fakturácia"),1,0)</f>
        <v>0</v>
      </c>
    </row>
    <row r="241" spans="2:52" s="24" customFormat="1" ht="12.75" x14ac:dyDescent="0.2">
      <c r="B241" s="97"/>
      <c r="C241" s="92"/>
      <c r="D241" s="31" t="str">
        <f>IF(E241=1,VLOOKUP(TableInvs[[#This Row],[Calc_V_Typ]],Tran_RevenuesList,3,FALSE),"")</f>
        <v/>
      </c>
      <c r="E241" s="31">
        <f t="shared" si="23"/>
        <v>0</v>
      </c>
      <c r="F241" s="9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  <c r="S241" s="84"/>
      <c r="T241" s="84"/>
      <c r="U241" s="84"/>
      <c r="V241" s="84"/>
      <c r="W241" s="84"/>
      <c r="X241" s="84"/>
      <c r="Y241" s="84"/>
      <c r="Z241" s="84"/>
      <c r="AA241" s="84"/>
      <c r="AB241" s="84"/>
      <c r="AC241" s="85"/>
      <c r="AD241" s="85"/>
      <c r="AE241" s="84"/>
      <c r="AF241" s="84"/>
      <c r="AG241" s="84"/>
      <c r="AH241" s="84"/>
      <c r="AI241" s="84"/>
      <c r="AJ241" s="84"/>
      <c r="AK241" s="84"/>
      <c r="AL241" s="84"/>
      <c r="AM241" s="84"/>
      <c r="AN241" s="84"/>
      <c r="AO241" s="84"/>
      <c r="AP241" s="84"/>
      <c r="AQ241" s="84"/>
      <c r="AR241" s="84"/>
      <c r="AS241" s="87">
        <f t="array" ref="AS241">IF(E241=1,SUM((ROW(Mf0)=ROW(AS241))*(Mf0+Mf1_+Mf2_+Mf3_+Mf4_+Mf5_+Mf6_+Mf7_+Mf8_+Mf9_+Mf10_+Mf11_+Mf12_+Mf13_+Mf14_+Mf15_+Mf16_+Mf17_+Mf18_+Mf19_+Mf20_+Mf21_+Mf22_+Mf23_+Mf24_+Mf25_+Mf26_+Mf27_+Mf28_+Mf29_+Mf30_+Mf31_+Mf32_+Mf33_+Mf34_+Mf35_+Mf36_+Mf37_)),0)</f>
        <v>0</v>
      </c>
      <c r="AU241" s="24" t="str">
        <f t="shared" si="24"/>
        <v/>
      </c>
      <c r="AV241" s="24" t="str">
        <f t="shared" si="25"/>
        <v/>
      </c>
      <c r="AW241" s="24" t="str">
        <f t="shared" si="26"/>
        <v/>
      </c>
      <c r="AX241" s="72">
        <f t="shared" si="27"/>
        <v>0</v>
      </c>
      <c r="AY241" s="24">
        <f t="shared" si="28"/>
        <v>0</v>
      </c>
      <c r="AZ241" s="24">
        <f t="array" ref="AZ241">IF(OR(RIGHT(B241,LEN(Par_LabelTravelTime))=Par_LabelTravelTime,B241="čas na ceste - fakturácia"),1,0)</f>
        <v>0</v>
      </c>
    </row>
    <row r="242" spans="2:52" s="24" customFormat="1" ht="12.75" x14ac:dyDescent="0.2">
      <c r="B242" s="97"/>
      <c r="C242" s="92"/>
      <c r="D242" s="31" t="str">
        <f>IF(E242=1,VLOOKUP(TableInvs[[#This Row],[Calc_V_Typ]],Tran_RevenuesList,3,FALSE),"")</f>
        <v/>
      </c>
      <c r="E242" s="31">
        <f t="shared" si="23"/>
        <v>0</v>
      </c>
      <c r="F242" s="9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  <c r="S242" s="84"/>
      <c r="T242" s="84"/>
      <c r="U242" s="84"/>
      <c r="V242" s="84"/>
      <c r="W242" s="84"/>
      <c r="X242" s="84"/>
      <c r="Y242" s="84"/>
      <c r="Z242" s="84"/>
      <c r="AA242" s="84"/>
      <c r="AB242" s="84"/>
      <c r="AC242" s="85"/>
      <c r="AD242" s="85"/>
      <c r="AE242" s="84"/>
      <c r="AF242" s="84"/>
      <c r="AG242" s="84"/>
      <c r="AH242" s="84"/>
      <c r="AI242" s="84"/>
      <c r="AJ242" s="84"/>
      <c r="AK242" s="84"/>
      <c r="AL242" s="84"/>
      <c r="AM242" s="84"/>
      <c r="AN242" s="84"/>
      <c r="AO242" s="84"/>
      <c r="AP242" s="84"/>
      <c r="AQ242" s="84"/>
      <c r="AR242" s="84"/>
      <c r="AS242" s="87">
        <f t="array" ref="AS242">IF(E242=1,SUM((ROW(Mf0)=ROW(AS242))*(Mf0+Mf1_+Mf2_+Mf3_+Mf4_+Mf5_+Mf6_+Mf7_+Mf8_+Mf9_+Mf10_+Mf11_+Mf12_+Mf13_+Mf14_+Mf15_+Mf16_+Mf17_+Mf18_+Mf19_+Mf20_+Mf21_+Mf22_+Mf23_+Mf24_+Mf25_+Mf26_+Mf27_+Mf28_+Mf29_+Mf30_+Mf31_+Mf32_+Mf33_+Mf34_+Mf35_+Mf36_+Mf37_)),0)</f>
        <v>0</v>
      </c>
      <c r="AU242" s="24" t="str">
        <f t="shared" si="24"/>
        <v/>
      </c>
      <c r="AV242" s="24" t="str">
        <f t="shared" si="25"/>
        <v/>
      </c>
      <c r="AW242" s="24" t="str">
        <f t="shared" si="26"/>
        <v/>
      </c>
      <c r="AX242" s="72">
        <f t="shared" si="27"/>
        <v>0</v>
      </c>
      <c r="AY242" s="24">
        <f t="shared" si="28"/>
        <v>0</v>
      </c>
      <c r="AZ242" s="24">
        <f t="array" ref="AZ242">IF(OR(RIGHT(B242,LEN(Par_LabelTravelTime))=Par_LabelTravelTime,B242="čas na ceste - fakturácia"),1,0)</f>
        <v>0</v>
      </c>
    </row>
    <row r="243" spans="2:52" s="24" customFormat="1" ht="12.75" x14ac:dyDescent="0.2">
      <c r="B243" s="97"/>
      <c r="C243" s="92"/>
      <c r="D243" s="31" t="str">
        <f>IF(E243=1,VLOOKUP(TableInvs[[#This Row],[Calc_V_Typ]],Tran_RevenuesList,3,FALSE),"")</f>
        <v/>
      </c>
      <c r="E243" s="31">
        <f t="shared" si="23"/>
        <v>0</v>
      </c>
      <c r="F243" s="9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  <c r="S243" s="84"/>
      <c r="T243" s="84"/>
      <c r="U243" s="84"/>
      <c r="V243" s="84"/>
      <c r="W243" s="84"/>
      <c r="X243" s="84"/>
      <c r="Y243" s="84"/>
      <c r="Z243" s="84"/>
      <c r="AA243" s="84"/>
      <c r="AB243" s="84"/>
      <c r="AC243" s="85"/>
      <c r="AD243" s="85"/>
      <c r="AE243" s="84"/>
      <c r="AF243" s="84"/>
      <c r="AG243" s="84"/>
      <c r="AH243" s="84"/>
      <c r="AI243" s="84"/>
      <c r="AJ243" s="84"/>
      <c r="AK243" s="84"/>
      <c r="AL243" s="84"/>
      <c r="AM243" s="84"/>
      <c r="AN243" s="84"/>
      <c r="AO243" s="84"/>
      <c r="AP243" s="84"/>
      <c r="AQ243" s="84"/>
      <c r="AR243" s="84"/>
      <c r="AS243" s="87">
        <f t="array" ref="AS243">IF(E243=1,SUM((ROW(Mf0)=ROW(AS243))*(Mf0+Mf1_+Mf2_+Mf3_+Mf4_+Mf5_+Mf6_+Mf7_+Mf8_+Mf9_+Mf10_+Mf11_+Mf12_+Mf13_+Mf14_+Mf15_+Mf16_+Mf17_+Mf18_+Mf19_+Mf20_+Mf21_+Mf22_+Mf23_+Mf24_+Mf25_+Mf26_+Mf27_+Mf28_+Mf29_+Mf30_+Mf31_+Mf32_+Mf33_+Mf34_+Mf35_+Mf36_+Mf37_)),0)</f>
        <v>0</v>
      </c>
      <c r="AU243" s="24" t="str">
        <f t="shared" si="24"/>
        <v/>
      </c>
      <c r="AV243" s="24" t="str">
        <f t="shared" si="25"/>
        <v/>
      </c>
      <c r="AW243" s="24" t="str">
        <f t="shared" si="26"/>
        <v/>
      </c>
      <c r="AX243" s="72">
        <f t="shared" si="27"/>
        <v>0</v>
      </c>
      <c r="AY243" s="24">
        <f t="shared" si="28"/>
        <v>0</v>
      </c>
      <c r="AZ243" s="24">
        <f t="array" ref="AZ243">IF(OR(RIGHT(B243,LEN(Par_LabelTravelTime))=Par_LabelTravelTime,B243="čas na ceste - fakturácia"),1,0)</f>
        <v>0</v>
      </c>
    </row>
    <row r="244" spans="2:52" s="24" customFormat="1" ht="12.75" x14ac:dyDescent="0.2">
      <c r="B244" s="97"/>
      <c r="C244" s="92"/>
      <c r="D244" s="31" t="str">
        <f>IF(E244=1,VLOOKUP(TableInvs[[#This Row],[Calc_V_Typ]],Tran_RevenuesList,3,FALSE),"")</f>
        <v/>
      </c>
      <c r="E244" s="31">
        <f t="shared" si="23"/>
        <v>0</v>
      </c>
      <c r="F244" s="9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  <c r="S244" s="84"/>
      <c r="T244" s="84"/>
      <c r="U244" s="84"/>
      <c r="V244" s="84"/>
      <c r="W244" s="84"/>
      <c r="X244" s="84"/>
      <c r="Y244" s="84"/>
      <c r="Z244" s="84"/>
      <c r="AA244" s="84"/>
      <c r="AB244" s="84"/>
      <c r="AC244" s="85"/>
      <c r="AD244" s="85"/>
      <c r="AE244" s="84"/>
      <c r="AF244" s="84"/>
      <c r="AG244" s="84"/>
      <c r="AH244" s="84"/>
      <c r="AI244" s="84"/>
      <c r="AJ244" s="84"/>
      <c r="AK244" s="84"/>
      <c r="AL244" s="84"/>
      <c r="AM244" s="84"/>
      <c r="AN244" s="84"/>
      <c r="AO244" s="84"/>
      <c r="AP244" s="84"/>
      <c r="AQ244" s="84"/>
      <c r="AR244" s="84"/>
      <c r="AS244" s="87">
        <f t="array" ref="AS244">IF(E244=1,SUM((ROW(Mf0)=ROW(AS244))*(Mf0+Mf1_+Mf2_+Mf3_+Mf4_+Mf5_+Mf6_+Mf7_+Mf8_+Mf9_+Mf10_+Mf11_+Mf12_+Mf13_+Mf14_+Mf15_+Mf16_+Mf17_+Mf18_+Mf19_+Mf20_+Mf21_+Mf22_+Mf23_+Mf24_+Mf25_+Mf26_+Mf27_+Mf28_+Mf29_+Mf30_+Mf31_+Mf32_+Mf33_+Mf34_+Mf35_+Mf36_+Mf37_)),0)</f>
        <v>0</v>
      </c>
      <c r="AU244" s="24" t="str">
        <f t="shared" si="24"/>
        <v/>
      </c>
      <c r="AV244" s="24" t="str">
        <f t="shared" si="25"/>
        <v/>
      </c>
      <c r="AW244" s="24" t="str">
        <f t="shared" si="26"/>
        <v/>
      </c>
      <c r="AX244" s="72">
        <f t="shared" si="27"/>
        <v>0</v>
      </c>
      <c r="AY244" s="24">
        <f t="shared" si="28"/>
        <v>0</v>
      </c>
      <c r="AZ244" s="24">
        <f t="array" ref="AZ244">IF(OR(RIGHT(B244,LEN(Par_LabelTravelTime))=Par_LabelTravelTime,B244="čas na ceste - fakturácia"),1,0)</f>
        <v>0</v>
      </c>
    </row>
    <row r="245" spans="2:52" s="24" customFormat="1" ht="12.75" x14ac:dyDescent="0.2">
      <c r="B245" s="97"/>
      <c r="C245" s="92"/>
      <c r="D245" s="31" t="str">
        <f>IF(E245=1,VLOOKUP(TableInvs[[#This Row],[Calc_V_Typ]],Tran_RevenuesList,3,FALSE),"")</f>
        <v/>
      </c>
      <c r="E245" s="31">
        <f t="shared" si="23"/>
        <v>0</v>
      </c>
      <c r="F245" s="9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  <c r="S245" s="84"/>
      <c r="T245" s="84"/>
      <c r="U245" s="84"/>
      <c r="V245" s="84"/>
      <c r="W245" s="84"/>
      <c r="X245" s="84"/>
      <c r="Y245" s="84"/>
      <c r="Z245" s="84"/>
      <c r="AA245" s="84"/>
      <c r="AB245" s="84"/>
      <c r="AC245" s="85"/>
      <c r="AD245" s="85"/>
      <c r="AE245" s="84"/>
      <c r="AF245" s="84"/>
      <c r="AG245" s="84"/>
      <c r="AH245" s="84"/>
      <c r="AI245" s="84"/>
      <c r="AJ245" s="84"/>
      <c r="AK245" s="84"/>
      <c r="AL245" s="84"/>
      <c r="AM245" s="84"/>
      <c r="AN245" s="84"/>
      <c r="AO245" s="84"/>
      <c r="AP245" s="84"/>
      <c r="AQ245" s="84"/>
      <c r="AR245" s="84"/>
      <c r="AS245" s="87">
        <f t="array" ref="AS245">IF(E245=1,SUM((ROW(Mf0)=ROW(AS245))*(Mf0+Mf1_+Mf2_+Mf3_+Mf4_+Mf5_+Mf6_+Mf7_+Mf8_+Mf9_+Mf10_+Mf11_+Mf12_+Mf13_+Mf14_+Mf15_+Mf16_+Mf17_+Mf18_+Mf19_+Mf20_+Mf21_+Mf22_+Mf23_+Mf24_+Mf25_+Mf26_+Mf27_+Mf28_+Mf29_+Mf30_+Mf31_+Mf32_+Mf33_+Mf34_+Mf35_+Mf36_+Mf37_)),0)</f>
        <v>0</v>
      </c>
      <c r="AU245" s="24" t="str">
        <f t="shared" si="24"/>
        <v/>
      </c>
      <c r="AV245" s="24" t="str">
        <f t="shared" si="25"/>
        <v/>
      </c>
      <c r="AW245" s="24" t="str">
        <f t="shared" si="26"/>
        <v/>
      </c>
      <c r="AX245" s="72">
        <f t="shared" si="27"/>
        <v>0</v>
      </c>
      <c r="AY245" s="24">
        <f t="shared" si="28"/>
        <v>0</v>
      </c>
      <c r="AZ245" s="24">
        <f t="array" ref="AZ245">IF(OR(RIGHT(B245,LEN(Par_LabelTravelTime))=Par_LabelTravelTime,B245="čas na ceste - fakturácia"),1,0)</f>
        <v>0</v>
      </c>
    </row>
    <row r="246" spans="2:52" s="24" customFormat="1" ht="12.75" x14ac:dyDescent="0.2">
      <c r="B246" s="97"/>
      <c r="C246" s="92"/>
      <c r="D246" s="31" t="str">
        <f>IF(E246=1,VLOOKUP(TableInvs[[#This Row],[Calc_V_Typ]],Tran_RevenuesList,3,FALSE),"")</f>
        <v/>
      </c>
      <c r="E246" s="31">
        <f t="shared" si="23"/>
        <v>0</v>
      </c>
      <c r="F246" s="9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  <c r="S246" s="84"/>
      <c r="T246" s="84"/>
      <c r="U246" s="84"/>
      <c r="V246" s="84"/>
      <c r="W246" s="84"/>
      <c r="X246" s="84"/>
      <c r="Y246" s="84"/>
      <c r="Z246" s="84"/>
      <c r="AA246" s="84"/>
      <c r="AB246" s="84"/>
      <c r="AC246" s="85"/>
      <c r="AD246" s="85"/>
      <c r="AE246" s="84"/>
      <c r="AF246" s="84"/>
      <c r="AG246" s="84"/>
      <c r="AH246" s="84"/>
      <c r="AI246" s="84"/>
      <c r="AJ246" s="84"/>
      <c r="AK246" s="84"/>
      <c r="AL246" s="84"/>
      <c r="AM246" s="84"/>
      <c r="AN246" s="84"/>
      <c r="AO246" s="84"/>
      <c r="AP246" s="84"/>
      <c r="AQ246" s="84"/>
      <c r="AR246" s="84"/>
      <c r="AS246" s="87">
        <f t="array" ref="AS246">IF(E246=1,SUM((ROW(Mf0)=ROW(AS246))*(Mf0+Mf1_+Mf2_+Mf3_+Mf4_+Mf5_+Mf6_+Mf7_+Mf8_+Mf9_+Mf10_+Mf11_+Mf12_+Mf13_+Mf14_+Mf15_+Mf16_+Mf17_+Mf18_+Mf19_+Mf20_+Mf21_+Mf22_+Mf23_+Mf24_+Mf25_+Mf26_+Mf27_+Mf28_+Mf29_+Mf30_+Mf31_+Mf32_+Mf33_+Mf34_+Mf35_+Mf36_+Mf37_)),0)</f>
        <v>0</v>
      </c>
      <c r="AU246" s="24" t="str">
        <f t="shared" si="24"/>
        <v/>
      </c>
      <c r="AV246" s="24" t="str">
        <f t="shared" si="25"/>
        <v/>
      </c>
      <c r="AW246" s="24" t="str">
        <f t="shared" si="26"/>
        <v/>
      </c>
      <c r="AX246" s="72">
        <f t="shared" si="27"/>
        <v>0</v>
      </c>
      <c r="AY246" s="24">
        <f t="shared" si="28"/>
        <v>0</v>
      </c>
      <c r="AZ246" s="24">
        <f t="array" ref="AZ246">IF(OR(RIGHT(B246,LEN(Par_LabelTravelTime))=Par_LabelTravelTime,B246="čas na ceste - fakturácia"),1,0)</f>
        <v>0</v>
      </c>
    </row>
    <row r="247" spans="2:52" s="24" customFormat="1" ht="12.75" x14ac:dyDescent="0.2">
      <c r="B247" s="97"/>
      <c r="C247" s="92"/>
      <c r="D247" s="31" t="str">
        <f>IF(E247=1,VLOOKUP(TableInvs[[#This Row],[Calc_V_Typ]],Tran_RevenuesList,3,FALSE),"")</f>
        <v/>
      </c>
      <c r="E247" s="31">
        <f t="shared" si="23"/>
        <v>0</v>
      </c>
      <c r="F247" s="9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  <c r="S247" s="84"/>
      <c r="T247" s="84"/>
      <c r="U247" s="84"/>
      <c r="V247" s="84"/>
      <c r="W247" s="84"/>
      <c r="X247" s="84"/>
      <c r="Y247" s="84"/>
      <c r="Z247" s="84"/>
      <c r="AA247" s="84"/>
      <c r="AB247" s="84"/>
      <c r="AC247" s="85"/>
      <c r="AD247" s="85"/>
      <c r="AE247" s="84"/>
      <c r="AF247" s="84"/>
      <c r="AG247" s="84"/>
      <c r="AH247" s="84"/>
      <c r="AI247" s="84"/>
      <c r="AJ247" s="84"/>
      <c r="AK247" s="84"/>
      <c r="AL247" s="84"/>
      <c r="AM247" s="84"/>
      <c r="AN247" s="84"/>
      <c r="AO247" s="84"/>
      <c r="AP247" s="84"/>
      <c r="AQ247" s="84"/>
      <c r="AR247" s="84"/>
      <c r="AS247" s="87">
        <f t="array" ref="AS247">IF(E247=1,SUM((ROW(Mf0)=ROW(AS247))*(Mf0+Mf1_+Mf2_+Mf3_+Mf4_+Mf5_+Mf6_+Mf7_+Mf8_+Mf9_+Mf10_+Mf11_+Mf12_+Mf13_+Mf14_+Mf15_+Mf16_+Mf17_+Mf18_+Mf19_+Mf20_+Mf21_+Mf22_+Mf23_+Mf24_+Mf25_+Mf26_+Mf27_+Mf28_+Mf29_+Mf30_+Mf31_+Mf32_+Mf33_+Mf34_+Mf35_+Mf36_+Mf37_)),0)</f>
        <v>0</v>
      </c>
      <c r="AU247" s="24" t="str">
        <f t="shared" si="24"/>
        <v/>
      </c>
      <c r="AV247" s="24" t="str">
        <f t="shared" si="25"/>
        <v/>
      </c>
      <c r="AW247" s="24" t="str">
        <f t="shared" si="26"/>
        <v/>
      </c>
      <c r="AX247" s="72">
        <f t="shared" si="27"/>
        <v>0</v>
      </c>
      <c r="AY247" s="24">
        <f t="shared" si="28"/>
        <v>0</v>
      </c>
      <c r="AZ247" s="24">
        <f t="array" ref="AZ247">IF(OR(RIGHT(B247,LEN(Par_LabelTravelTime))=Par_LabelTravelTime,B247="čas na ceste - fakturácia"),1,0)</f>
        <v>0</v>
      </c>
    </row>
    <row r="248" spans="2:52" s="24" customFormat="1" ht="12.75" x14ac:dyDescent="0.2">
      <c r="B248" s="97"/>
      <c r="C248" s="92"/>
      <c r="D248" s="31" t="str">
        <f>IF(E248=1,VLOOKUP(TableInvs[[#This Row],[Calc_V_Typ]],Tran_RevenuesList,3,FALSE),"")</f>
        <v/>
      </c>
      <c r="E248" s="31">
        <f t="shared" si="23"/>
        <v>0</v>
      </c>
      <c r="F248" s="9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  <c r="S248" s="84"/>
      <c r="T248" s="84"/>
      <c r="U248" s="84"/>
      <c r="V248" s="84"/>
      <c r="W248" s="84"/>
      <c r="X248" s="84"/>
      <c r="Y248" s="84"/>
      <c r="Z248" s="84"/>
      <c r="AA248" s="84"/>
      <c r="AB248" s="84"/>
      <c r="AC248" s="85"/>
      <c r="AD248" s="85"/>
      <c r="AE248" s="84"/>
      <c r="AF248" s="84"/>
      <c r="AG248" s="84"/>
      <c r="AH248" s="84"/>
      <c r="AI248" s="84"/>
      <c r="AJ248" s="84"/>
      <c r="AK248" s="84"/>
      <c r="AL248" s="84"/>
      <c r="AM248" s="84"/>
      <c r="AN248" s="84"/>
      <c r="AO248" s="84"/>
      <c r="AP248" s="84"/>
      <c r="AQ248" s="84"/>
      <c r="AR248" s="84"/>
      <c r="AS248" s="87">
        <f t="array" ref="AS248">IF(E248=1,SUM((ROW(Mf0)=ROW(AS248))*(Mf0+Mf1_+Mf2_+Mf3_+Mf4_+Mf5_+Mf6_+Mf7_+Mf8_+Mf9_+Mf10_+Mf11_+Mf12_+Mf13_+Mf14_+Mf15_+Mf16_+Mf17_+Mf18_+Mf19_+Mf20_+Mf21_+Mf22_+Mf23_+Mf24_+Mf25_+Mf26_+Mf27_+Mf28_+Mf29_+Mf30_+Mf31_+Mf32_+Mf33_+Mf34_+Mf35_+Mf36_+Mf37_)),0)</f>
        <v>0</v>
      </c>
      <c r="AU248" s="24" t="str">
        <f t="shared" si="24"/>
        <v/>
      </c>
      <c r="AV248" s="24" t="str">
        <f t="shared" si="25"/>
        <v/>
      </c>
      <c r="AW248" s="24" t="str">
        <f t="shared" si="26"/>
        <v/>
      </c>
      <c r="AX248" s="72">
        <f t="shared" si="27"/>
        <v>0</v>
      </c>
      <c r="AY248" s="24">
        <f t="shared" si="28"/>
        <v>0</v>
      </c>
      <c r="AZ248" s="24">
        <f t="array" ref="AZ248">IF(OR(RIGHT(B248,LEN(Par_LabelTravelTime))=Par_LabelTravelTime,B248="čas na ceste - fakturácia"),1,0)</f>
        <v>0</v>
      </c>
    </row>
    <row r="249" spans="2:52" s="24" customFormat="1" ht="12.75" x14ac:dyDescent="0.2">
      <c r="B249" s="97"/>
      <c r="C249" s="92"/>
      <c r="D249" s="31" t="str">
        <f>IF(E249=1,VLOOKUP(TableInvs[[#This Row],[Calc_V_Typ]],Tran_RevenuesList,3,FALSE),"")</f>
        <v/>
      </c>
      <c r="E249" s="31">
        <f t="shared" si="23"/>
        <v>0</v>
      </c>
      <c r="F249" s="9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  <c r="S249" s="84"/>
      <c r="T249" s="84"/>
      <c r="U249" s="84"/>
      <c r="V249" s="84"/>
      <c r="W249" s="84"/>
      <c r="X249" s="84"/>
      <c r="Y249" s="84"/>
      <c r="Z249" s="84"/>
      <c r="AA249" s="84"/>
      <c r="AB249" s="84"/>
      <c r="AC249" s="85"/>
      <c r="AD249" s="85"/>
      <c r="AE249" s="84"/>
      <c r="AF249" s="84"/>
      <c r="AG249" s="84"/>
      <c r="AH249" s="84"/>
      <c r="AI249" s="84"/>
      <c r="AJ249" s="84"/>
      <c r="AK249" s="84"/>
      <c r="AL249" s="84"/>
      <c r="AM249" s="84"/>
      <c r="AN249" s="84"/>
      <c r="AO249" s="84"/>
      <c r="AP249" s="84"/>
      <c r="AQ249" s="84"/>
      <c r="AR249" s="84"/>
      <c r="AS249" s="87">
        <f t="array" ref="AS249">IF(E249=1,SUM((ROW(Mf0)=ROW(AS249))*(Mf0+Mf1_+Mf2_+Mf3_+Mf4_+Mf5_+Mf6_+Mf7_+Mf8_+Mf9_+Mf10_+Mf11_+Mf12_+Mf13_+Mf14_+Mf15_+Mf16_+Mf17_+Mf18_+Mf19_+Mf20_+Mf21_+Mf22_+Mf23_+Mf24_+Mf25_+Mf26_+Mf27_+Mf28_+Mf29_+Mf30_+Mf31_+Mf32_+Mf33_+Mf34_+Mf35_+Mf36_+Mf37_)),0)</f>
        <v>0</v>
      </c>
      <c r="AU249" s="24" t="str">
        <f t="shared" si="24"/>
        <v/>
      </c>
      <c r="AV249" s="24" t="str">
        <f t="shared" si="25"/>
        <v/>
      </c>
      <c r="AW249" s="24" t="str">
        <f t="shared" si="26"/>
        <v/>
      </c>
      <c r="AX249" s="72">
        <f t="shared" si="27"/>
        <v>0</v>
      </c>
      <c r="AY249" s="24">
        <f t="shared" si="28"/>
        <v>0</v>
      </c>
      <c r="AZ249" s="24">
        <f t="array" ref="AZ249">IF(OR(RIGHT(B249,LEN(Par_LabelTravelTime))=Par_LabelTravelTime,B249="čas na ceste - fakturácia"),1,0)</f>
        <v>0</v>
      </c>
    </row>
    <row r="250" spans="2:52" s="24" customFormat="1" ht="12.75" x14ac:dyDescent="0.2">
      <c r="B250" s="97"/>
      <c r="C250" s="92"/>
      <c r="D250" s="31" t="str">
        <f>IF(E250=1,VLOOKUP(TableInvs[[#This Row],[Calc_V_Typ]],Tran_RevenuesList,3,FALSE),"")</f>
        <v/>
      </c>
      <c r="E250" s="31">
        <f t="shared" si="23"/>
        <v>0</v>
      </c>
      <c r="F250" s="9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  <c r="S250" s="84"/>
      <c r="T250" s="84"/>
      <c r="U250" s="84"/>
      <c r="V250" s="84"/>
      <c r="W250" s="84"/>
      <c r="X250" s="84"/>
      <c r="Y250" s="84"/>
      <c r="Z250" s="84"/>
      <c r="AA250" s="84"/>
      <c r="AB250" s="84"/>
      <c r="AC250" s="85"/>
      <c r="AD250" s="85"/>
      <c r="AE250" s="84"/>
      <c r="AF250" s="84"/>
      <c r="AG250" s="84"/>
      <c r="AH250" s="84"/>
      <c r="AI250" s="84"/>
      <c r="AJ250" s="84"/>
      <c r="AK250" s="84"/>
      <c r="AL250" s="84"/>
      <c r="AM250" s="84"/>
      <c r="AN250" s="84"/>
      <c r="AO250" s="84"/>
      <c r="AP250" s="84"/>
      <c r="AQ250" s="84"/>
      <c r="AR250" s="84"/>
      <c r="AS250" s="87">
        <f t="array" ref="AS250">IF(E250=1,SUM((ROW(Mf0)=ROW(AS250))*(Mf0+Mf1_+Mf2_+Mf3_+Mf4_+Mf5_+Mf6_+Mf7_+Mf8_+Mf9_+Mf10_+Mf11_+Mf12_+Mf13_+Mf14_+Mf15_+Mf16_+Mf17_+Mf18_+Mf19_+Mf20_+Mf21_+Mf22_+Mf23_+Mf24_+Mf25_+Mf26_+Mf27_+Mf28_+Mf29_+Mf30_+Mf31_+Mf32_+Mf33_+Mf34_+Mf35_+Mf36_+Mf37_)),0)</f>
        <v>0</v>
      </c>
      <c r="AU250" s="24" t="str">
        <f t="shared" si="24"/>
        <v/>
      </c>
      <c r="AV250" s="24" t="str">
        <f t="shared" si="25"/>
        <v/>
      </c>
      <c r="AW250" s="24" t="str">
        <f t="shared" si="26"/>
        <v/>
      </c>
      <c r="AX250" s="72">
        <f t="shared" si="27"/>
        <v>0</v>
      </c>
      <c r="AY250" s="24">
        <f t="shared" si="28"/>
        <v>0</v>
      </c>
      <c r="AZ250" s="24">
        <f t="array" ref="AZ250">IF(OR(RIGHT(B250,LEN(Par_LabelTravelTime))=Par_LabelTravelTime,B250="čas na ceste - fakturácia"),1,0)</f>
        <v>0</v>
      </c>
    </row>
    <row r="251" spans="2:52" s="24" customFormat="1" ht="12.75" x14ac:dyDescent="0.2">
      <c r="B251" s="97"/>
      <c r="C251" s="92"/>
      <c r="D251" s="31" t="str">
        <f>IF(E251=1,VLOOKUP(TableInvs[[#This Row],[Calc_V_Typ]],Tran_RevenuesList,3,FALSE),"")</f>
        <v/>
      </c>
      <c r="E251" s="31">
        <f t="shared" si="23"/>
        <v>0</v>
      </c>
      <c r="F251" s="9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  <c r="S251" s="84"/>
      <c r="T251" s="84"/>
      <c r="U251" s="84"/>
      <c r="V251" s="84"/>
      <c r="W251" s="84"/>
      <c r="X251" s="84"/>
      <c r="Y251" s="84"/>
      <c r="Z251" s="84"/>
      <c r="AA251" s="84"/>
      <c r="AB251" s="84"/>
      <c r="AC251" s="85"/>
      <c r="AD251" s="85"/>
      <c r="AE251" s="84"/>
      <c r="AF251" s="84"/>
      <c r="AG251" s="84"/>
      <c r="AH251" s="84"/>
      <c r="AI251" s="84"/>
      <c r="AJ251" s="84"/>
      <c r="AK251" s="84"/>
      <c r="AL251" s="84"/>
      <c r="AM251" s="84"/>
      <c r="AN251" s="84"/>
      <c r="AO251" s="84"/>
      <c r="AP251" s="84"/>
      <c r="AQ251" s="84"/>
      <c r="AR251" s="84"/>
      <c r="AS251" s="87">
        <f t="array" ref="AS251">IF(E251=1,SUM((ROW(Mf0)=ROW(AS251))*(Mf0+Mf1_+Mf2_+Mf3_+Mf4_+Mf5_+Mf6_+Mf7_+Mf8_+Mf9_+Mf10_+Mf11_+Mf12_+Mf13_+Mf14_+Mf15_+Mf16_+Mf17_+Mf18_+Mf19_+Mf20_+Mf21_+Mf22_+Mf23_+Mf24_+Mf25_+Mf26_+Mf27_+Mf28_+Mf29_+Mf30_+Mf31_+Mf32_+Mf33_+Mf34_+Mf35_+Mf36_+Mf37_)),0)</f>
        <v>0</v>
      </c>
      <c r="AU251" s="24" t="str">
        <f t="shared" si="24"/>
        <v/>
      </c>
      <c r="AV251" s="24" t="str">
        <f t="shared" si="25"/>
        <v/>
      </c>
      <c r="AW251" s="24" t="str">
        <f t="shared" si="26"/>
        <v/>
      </c>
      <c r="AX251" s="72">
        <f t="shared" si="27"/>
        <v>0</v>
      </c>
      <c r="AY251" s="24">
        <f t="shared" si="28"/>
        <v>0</v>
      </c>
      <c r="AZ251" s="24">
        <f t="array" ref="AZ251">IF(OR(RIGHT(B251,LEN(Par_LabelTravelTime))=Par_LabelTravelTime,B251="čas na ceste - fakturácia"),1,0)</f>
        <v>0</v>
      </c>
    </row>
    <row r="252" spans="2:52" s="24" customFormat="1" ht="12.75" x14ac:dyDescent="0.2">
      <c r="B252" s="97"/>
      <c r="C252" s="92"/>
      <c r="D252" s="31" t="str">
        <f>IF(E252=1,VLOOKUP(TableInvs[[#This Row],[Calc_V_Typ]],Tran_RevenuesList,3,FALSE),"")</f>
        <v/>
      </c>
      <c r="E252" s="31">
        <f t="shared" si="23"/>
        <v>0</v>
      </c>
      <c r="F252" s="9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  <c r="S252" s="84"/>
      <c r="T252" s="84"/>
      <c r="U252" s="84"/>
      <c r="V252" s="84"/>
      <c r="W252" s="84"/>
      <c r="X252" s="84"/>
      <c r="Y252" s="84"/>
      <c r="Z252" s="84"/>
      <c r="AA252" s="84"/>
      <c r="AB252" s="84"/>
      <c r="AC252" s="85"/>
      <c r="AD252" s="85"/>
      <c r="AE252" s="84"/>
      <c r="AF252" s="84"/>
      <c r="AG252" s="84"/>
      <c r="AH252" s="84"/>
      <c r="AI252" s="84"/>
      <c r="AJ252" s="84"/>
      <c r="AK252" s="84"/>
      <c r="AL252" s="84"/>
      <c r="AM252" s="84"/>
      <c r="AN252" s="84"/>
      <c r="AO252" s="84"/>
      <c r="AP252" s="84"/>
      <c r="AQ252" s="84"/>
      <c r="AR252" s="84"/>
      <c r="AS252" s="87">
        <f t="array" ref="AS252">IF(E252=1,SUM((ROW(Mf0)=ROW(AS252))*(Mf0+Mf1_+Mf2_+Mf3_+Mf4_+Mf5_+Mf6_+Mf7_+Mf8_+Mf9_+Mf10_+Mf11_+Mf12_+Mf13_+Mf14_+Mf15_+Mf16_+Mf17_+Mf18_+Mf19_+Mf20_+Mf21_+Mf22_+Mf23_+Mf24_+Mf25_+Mf26_+Mf27_+Mf28_+Mf29_+Mf30_+Mf31_+Mf32_+Mf33_+Mf34_+Mf35_+Mf36_+Mf37_)),0)</f>
        <v>0</v>
      </c>
      <c r="AU252" s="24" t="str">
        <f t="shared" si="24"/>
        <v/>
      </c>
      <c r="AV252" s="24" t="str">
        <f t="shared" si="25"/>
        <v/>
      </c>
      <c r="AW252" s="24" t="str">
        <f t="shared" si="26"/>
        <v/>
      </c>
      <c r="AX252" s="72">
        <f t="shared" si="27"/>
        <v>0</v>
      </c>
      <c r="AY252" s="24">
        <f t="shared" si="28"/>
        <v>0</v>
      </c>
      <c r="AZ252" s="24">
        <f t="array" ref="AZ252">IF(OR(RIGHT(B252,LEN(Par_LabelTravelTime))=Par_LabelTravelTime,B252="čas na ceste - fakturácia"),1,0)</f>
        <v>0</v>
      </c>
    </row>
    <row r="253" spans="2:52" s="24" customFormat="1" ht="12.75" x14ac:dyDescent="0.2">
      <c r="B253" s="97"/>
      <c r="C253" s="92"/>
      <c r="D253" s="31" t="str">
        <f>IF(E253=1,VLOOKUP(TableInvs[[#This Row],[Calc_V_Typ]],Tran_RevenuesList,3,FALSE),"")</f>
        <v/>
      </c>
      <c r="E253" s="31">
        <f t="shared" si="23"/>
        <v>0</v>
      </c>
      <c r="F253" s="9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  <c r="S253" s="84"/>
      <c r="T253" s="84"/>
      <c r="U253" s="84"/>
      <c r="V253" s="84"/>
      <c r="W253" s="84"/>
      <c r="X253" s="84"/>
      <c r="Y253" s="84"/>
      <c r="Z253" s="84"/>
      <c r="AA253" s="84"/>
      <c r="AB253" s="84"/>
      <c r="AC253" s="85"/>
      <c r="AD253" s="85"/>
      <c r="AE253" s="84"/>
      <c r="AF253" s="84"/>
      <c r="AG253" s="84"/>
      <c r="AH253" s="84"/>
      <c r="AI253" s="84"/>
      <c r="AJ253" s="84"/>
      <c r="AK253" s="84"/>
      <c r="AL253" s="84"/>
      <c r="AM253" s="84"/>
      <c r="AN253" s="84"/>
      <c r="AO253" s="84"/>
      <c r="AP253" s="84"/>
      <c r="AQ253" s="84"/>
      <c r="AR253" s="84"/>
      <c r="AS253" s="87">
        <f t="array" ref="AS253">IF(E253=1,SUM((ROW(Mf0)=ROW(AS253))*(Mf0+Mf1_+Mf2_+Mf3_+Mf4_+Mf5_+Mf6_+Mf7_+Mf8_+Mf9_+Mf10_+Mf11_+Mf12_+Mf13_+Mf14_+Mf15_+Mf16_+Mf17_+Mf18_+Mf19_+Mf20_+Mf21_+Mf22_+Mf23_+Mf24_+Mf25_+Mf26_+Mf27_+Mf28_+Mf29_+Mf30_+Mf31_+Mf32_+Mf33_+Mf34_+Mf35_+Mf36_+Mf37_)),0)</f>
        <v>0</v>
      </c>
      <c r="AU253" s="24" t="str">
        <f t="shared" si="24"/>
        <v/>
      </c>
      <c r="AV253" s="24" t="str">
        <f t="shared" si="25"/>
        <v/>
      </c>
      <c r="AW253" s="24" t="str">
        <f t="shared" si="26"/>
        <v/>
      </c>
      <c r="AX253" s="72">
        <f t="shared" si="27"/>
        <v>0</v>
      </c>
      <c r="AY253" s="24">
        <f t="shared" si="28"/>
        <v>0</v>
      </c>
      <c r="AZ253" s="24">
        <f t="array" ref="AZ253">IF(OR(RIGHT(B253,LEN(Par_LabelTravelTime))=Par_LabelTravelTime,B253="čas na ceste - fakturácia"),1,0)</f>
        <v>0</v>
      </c>
    </row>
    <row r="254" spans="2:52" s="24" customFormat="1" ht="12.75" x14ac:dyDescent="0.2">
      <c r="B254" s="97"/>
      <c r="C254" s="92"/>
      <c r="D254" s="31" t="str">
        <f>IF(E254=1,VLOOKUP(TableInvs[[#This Row],[Calc_V_Typ]],Tran_RevenuesList,3,FALSE),"")</f>
        <v/>
      </c>
      <c r="E254" s="31">
        <f t="shared" si="23"/>
        <v>0</v>
      </c>
      <c r="F254" s="9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  <c r="S254" s="84"/>
      <c r="T254" s="84"/>
      <c r="U254" s="84"/>
      <c r="V254" s="84"/>
      <c r="W254" s="84"/>
      <c r="X254" s="84"/>
      <c r="Y254" s="84"/>
      <c r="Z254" s="84"/>
      <c r="AA254" s="84"/>
      <c r="AB254" s="84"/>
      <c r="AC254" s="85"/>
      <c r="AD254" s="85"/>
      <c r="AE254" s="84"/>
      <c r="AF254" s="84"/>
      <c r="AG254" s="84"/>
      <c r="AH254" s="84"/>
      <c r="AI254" s="84"/>
      <c r="AJ254" s="84"/>
      <c r="AK254" s="84"/>
      <c r="AL254" s="84"/>
      <c r="AM254" s="84"/>
      <c r="AN254" s="84"/>
      <c r="AO254" s="84"/>
      <c r="AP254" s="84"/>
      <c r="AQ254" s="84"/>
      <c r="AR254" s="84"/>
      <c r="AS254" s="87">
        <f t="array" ref="AS254">IF(E254=1,SUM((ROW(Mf0)=ROW(AS254))*(Mf0+Mf1_+Mf2_+Mf3_+Mf4_+Mf5_+Mf6_+Mf7_+Mf8_+Mf9_+Mf10_+Mf11_+Mf12_+Mf13_+Mf14_+Mf15_+Mf16_+Mf17_+Mf18_+Mf19_+Mf20_+Mf21_+Mf22_+Mf23_+Mf24_+Mf25_+Mf26_+Mf27_+Mf28_+Mf29_+Mf30_+Mf31_+Mf32_+Mf33_+Mf34_+Mf35_+Mf36_+Mf37_)),0)</f>
        <v>0</v>
      </c>
      <c r="AU254" s="24" t="str">
        <f t="shared" si="24"/>
        <v/>
      </c>
      <c r="AV254" s="24" t="str">
        <f t="shared" si="25"/>
        <v/>
      </c>
      <c r="AW254" s="24" t="str">
        <f t="shared" si="26"/>
        <v/>
      </c>
      <c r="AX254" s="72">
        <f t="shared" si="27"/>
        <v>0</v>
      </c>
      <c r="AY254" s="24">
        <f t="shared" si="28"/>
        <v>0</v>
      </c>
      <c r="AZ254" s="24">
        <f t="array" ref="AZ254">IF(OR(RIGHT(B254,LEN(Par_LabelTravelTime))=Par_LabelTravelTime,B254="čas na ceste - fakturácia"),1,0)</f>
        <v>0</v>
      </c>
    </row>
    <row r="255" spans="2:52" s="24" customFormat="1" ht="12.75" x14ac:dyDescent="0.2">
      <c r="B255" s="97"/>
      <c r="C255" s="92"/>
      <c r="D255" s="31" t="str">
        <f>IF(E255=1,VLOOKUP(TableInvs[[#This Row],[Calc_V_Typ]],Tran_RevenuesList,3,FALSE),"")</f>
        <v/>
      </c>
      <c r="E255" s="31">
        <f t="shared" si="23"/>
        <v>0</v>
      </c>
      <c r="F255" s="9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  <c r="S255" s="84"/>
      <c r="T255" s="84"/>
      <c r="U255" s="84"/>
      <c r="V255" s="84"/>
      <c r="W255" s="84"/>
      <c r="X255" s="84"/>
      <c r="Y255" s="84"/>
      <c r="Z255" s="84"/>
      <c r="AA255" s="84"/>
      <c r="AB255" s="84"/>
      <c r="AC255" s="85"/>
      <c r="AD255" s="85"/>
      <c r="AE255" s="84"/>
      <c r="AF255" s="84"/>
      <c r="AG255" s="84"/>
      <c r="AH255" s="84"/>
      <c r="AI255" s="84"/>
      <c r="AJ255" s="84"/>
      <c r="AK255" s="84"/>
      <c r="AL255" s="84"/>
      <c r="AM255" s="84"/>
      <c r="AN255" s="84"/>
      <c r="AO255" s="84"/>
      <c r="AP255" s="84"/>
      <c r="AQ255" s="84"/>
      <c r="AR255" s="84"/>
      <c r="AS255" s="87">
        <f t="array" ref="AS255">IF(E255=1,SUM((ROW(Mf0)=ROW(AS255))*(Mf0+Mf1_+Mf2_+Mf3_+Mf4_+Mf5_+Mf6_+Mf7_+Mf8_+Mf9_+Mf10_+Mf11_+Mf12_+Mf13_+Mf14_+Mf15_+Mf16_+Mf17_+Mf18_+Mf19_+Mf20_+Mf21_+Mf22_+Mf23_+Mf24_+Mf25_+Mf26_+Mf27_+Mf28_+Mf29_+Mf30_+Mf31_+Mf32_+Mf33_+Mf34_+Mf35_+Mf36_+Mf37_)),0)</f>
        <v>0</v>
      </c>
      <c r="AU255" s="24" t="str">
        <f t="shared" si="24"/>
        <v/>
      </c>
      <c r="AV255" s="24" t="str">
        <f t="shared" si="25"/>
        <v/>
      </c>
      <c r="AW255" s="24" t="str">
        <f t="shared" si="26"/>
        <v/>
      </c>
      <c r="AX255" s="72">
        <f t="shared" si="27"/>
        <v>0</v>
      </c>
      <c r="AY255" s="24">
        <f t="shared" si="28"/>
        <v>0</v>
      </c>
      <c r="AZ255" s="24">
        <f t="array" ref="AZ255">IF(OR(RIGHT(B255,LEN(Par_LabelTravelTime))=Par_LabelTravelTime,B255="čas na ceste - fakturácia"),1,0)</f>
        <v>0</v>
      </c>
    </row>
    <row r="256" spans="2:52" s="24" customFormat="1" ht="12.75" x14ac:dyDescent="0.2">
      <c r="B256" s="97"/>
      <c r="C256" s="92"/>
      <c r="D256" s="31" t="str">
        <f>IF(E256=1,VLOOKUP(TableInvs[[#This Row],[Calc_V_Typ]],Tran_RevenuesList,3,FALSE),"")</f>
        <v/>
      </c>
      <c r="E256" s="31">
        <f t="shared" si="23"/>
        <v>0</v>
      </c>
      <c r="F256" s="94"/>
      <c r="G256" s="84"/>
      <c r="H256" s="84"/>
      <c r="I256" s="84"/>
      <c r="J256" s="84"/>
      <c r="K256" s="84"/>
      <c r="L256" s="84"/>
      <c r="M256" s="84"/>
      <c r="N256" s="84"/>
      <c r="O256" s="84"/>
      <c r="P256" s="84"/>
      <c r="Q256" s="84"/>
      <c r="R256" s="84"/>
      <c r="S256" s="84"/>
      <c r="T256" s="84"/>
      <c r="U256" s="84"/>
      <c r="V256" s="84"/>
      <c r="W256" s="84"/>
      <c r="X256" s="84"/>
      <c r="Y256" s="84"/>
      <c r="Z256" s="84"/>
      <c r="AA256" s="84"/>
      <c r="AB256" s="84"/>
      <c r="AC256" s="85"/>
      <c r="AD256" s="85"/>
      <c r="AE256" s="84"/>
      <c r="AF256" s="84"/>
      <c r="AG256" s="84"/>
      <c r="AH256" s="84"/>
      <c r="AI256" s="84"/>
      <c r="AJ256" s="84"/>
      <c r="AK256" s="84"/>
      <c r="AL256" s="84"/>
      <c r="AM256" s="84"/>
      <c r="AN256" s="84"/>
      <c r="AO256" s="84"/>
      <c r="AP256" s="84"/>
      <c r="AQ256" s="84"/>
      <c r="AR256" s="84"/>
      <c r="AS256" s="87">
        <f t="array" ref="AS256">IF(E256=1,SUM((ROW(Mf0)=ROW(AS256))*(Mf0+Mf1_+Mf2_+Mf3_+Mf4_+Mf5_+Mf6_+Mf7_+Mf8_+Mf9_+Mf10_+Mf11_+Mf12_+Mf13_+Mf14_+Mf15_+Mf16_+Mf17_+Mf18_+Mf19_+Mf20_+Mf21_+Mf22_+Mf23_+Mf24_+Mf25_+Mf26_+Mf27_+Mf28_+Mf29_+Mf30_+Mf31_+Mf32_+Mf33_+Mf34_+Mf35_+Mf36_+Mf37_)),0)</f>
        <v>0</v>
      </c>
      <c r="AU256" s="24" t="str">
        <f t="shared" si="24"/>
        <v/>
      </c>
      <c r="AV256" s="24" t="str">
        <f t="shared" si="25"/>
        <v/>
      </c>
      <c r="AW256" s="24" t="str">
        <f t="shared" si="26"/>
        <v/>
      </c>
      <c r="AX256" s="72">
        <f t="shared" si="27"/>
        <v>0</v>
      </c>
      <c r="AY256" s="24">
        <f t="shared" si="28"/>
        <v>0</v>
      </c>
      <c r="AZ256" s="24">
        <f t="array" ref="AZ256">IF(OR(RIGHT(B256,LEN(Par_LabelTravelTime))=Par_LabelTravelTime,B256="čas na ceste - fakturácia"),1,0)</f>
        <v>0</v>
      </c>
    </row>
    <row r="257" spans="2:52" s="24" customFormat="1" ht="12.75" x14ac:dyDescent="0.2">
      <c r="B257" s="97"/>
      <c r="C257" s="92"/>
      <c r="D257" s="31" t="str">
        <f>IF(E257=1,VLOOKUP(TableInvs[[#This Row],[Calc_V_Typ]],Tran_RevenuesList,3,FALSE),"")</f>
        <v/>
      </c>
      <c r="E257" s="31">
        <f t="shared" si="23"/>
        <v>0</v>
      </c>
      <c r="F257" s="94"/>
      <c r="G257" s="84"/>
      <c r="H257" s="84"/>
      <c r="I257" s="84"/>
      <c r="J257" s="84"/>
      <c r="K257" s="84"/>
      <c r="L257" s="84"/>
      <c r="M257" s="84"/>
      <c r="N257" s="84"/>
      <c r="O257" s="84"/>
      <c r="P257" s="84"/>
      <c r="Q257" s="84"/>
      <c r="R257" s="84"/>
      <c r="S257" s="84"/>
      <c r="T257" s="84"/>
      <c r="U257" s="84"/>
      <c r="V257" s="84"/>
      <c r="W257" s="84"/>
      <c r="X257" s="84"/>
      <c r="Y257" s="84"/>
      <c r="Z257" s="84"/>
      <c r="AA257" s="84"/>
      <c r="AB257" s="84"/>
      <c r="AC257" s="85"/>
      <c r="AD257" s="85"/>
      <c r="AE257" s="84"/>
      <c r="AF257" s="84"/>
      <c r="AG257" s="84"/>
      <c r="AH257" s="84"/>
      <c r="AI257" s="84"/>
      <c r="AJ257" s="84"/>
      <c r="AK257" s="84"/>
      <c r="AL257" s="84"/>
      <c r="AM257" s="84"/>
      <c r="AN257" s="84"/>
      <c r="AO257" s="84"/>
      <c r="AP257" s="84"/>
      <c r="AQ257" s="84"/>
      <c r="AR257" s="84"/>
      <c r="AS257" s="87">
        <f t="array" ref="AS257">IF(E257=1,SUM((ROW(Mf0)=ROW(AS257))*(Mf0+Mf1_+Mf2_+Mf3_+Mf4_+Mf5_+Mf6_+Mf7_+Mf8_+Mf9_+Mf10_+Mf11_+Mf12_+Mf13_+Mf14_+Mf15_+Mf16_+Mf17_+Mf18_+Mf19_+Mf20_+Mf21_+Mf22_+Mf23_+Mf24_+Mf25_+Mf26_+Mf27_+Mf28_+Mf29_+Mf30_+Mf31_+Mf32_+Mf33_+Mf34_+Mf35_+Mf36_+Mf37_)),0)</f>
        <v>0</v>
      </c>
      <c r="AU257" s="24" t="str">
        <f t="shared" si="24"/>
        <v/>
      </c>
      <c r="AV257" s="24" t="str">
        <f t="shared" si="25"/>
        <v/>
      </c>
      <c r="AW257" s="24" t="str">
        <f t="shared" si="26"/>
        <v/>
      </c>
      <c r="AX257" s="72">
        <f t="shared" si="27"/>
        <v>0</v>
      </c>
      <c r="AY257" s="24">
        <f t="shared" si="28"/>
        <v>0</v>
      </c>
      <c r="AZ257" s="24">
        <f t="array" ref="AZ257">IF(OR(RIGHT(B257,LEN(Par_LabelTravelTime))=Par_LabelTravelTime,B257="čas na ceste - fakturácia"),1,0)</f>
        <v>0</v>
      </c>
    </row>
    <row r="258" spans="2:52" s="24" customFormat="1" ht="12.75" x14ac:dyDescent="0.2">
      <c r="B258" s="97"/>
      <c r="C258" s="92"/>
      <c r="D258" s="31" t="str">
        <f>IF(E258=1,VLOOKUP(TableInvs[[#This Row],[Calc_V_Typ]],Tran_RevenuesList,3,FALSE),"")</f>
        <v/>
      </c>
      <c r="E258" s="31">
        <f t="shared" si="23"/>
        <v>0</v>
      </c>
      <c r="F258" s="94"/>
      <c r="G258" s="84"/>
      <c r="H258" s="84"/>
      <c r="I258" s="84"/>
      <c r="J258" s="84"/>
      <c r="K258" s="84"/>
      <c r="L258" s="84"/>
      <c r="M258" s="84"/>
      <c r="N258" s="84"/>
      <c r="O258" s="84"/>
      <c r="P258" s="84"/>
      <c r="Q258" s="84"/>
      <c r="R258" s="84"/>
      <c r="S258" s="84"/>
      <c r="T258" s="84"/>
      <c r="U258" s="84"/>
      <c r="V258" s="84"/>
      <c r="W258" s="84"/>
      <c r="X258" s="84"/>
      <c r="Y258" s="84"/>
      <c r="Z258" s="84"/>
      <c r="AA258" s="84"/>
      <c r="AB258" s="84"/>
      <c r="AC258" s="85"/>
      <c r="AD258" s="85"/>
      <c r="AE258" s="84"/>
      <c r="AF258" s="84"/>
      <c r="AG258" s="84"/>
      <c r="AH258" s="84"/>
      <c r="AI258" s="84"/>
      <c r="AJ258" s="84"/>
      <c r="AK258" s="84"/>
      <c r="AL258" s="84"/>
      <c r="AM258" s="84"/>
      <c r="AN258" s="84"/>
      <c r="AO258" s="84"/>
      <c r="AP258" s="84"/>
      <c r="AQ258" s="84"/>
      <c r="AR258" s="84"/>
      <c r="AS258" s="87">
        <f t="array" ref="AS258">IF(E258=1,SUM((ROW(Mf0)=ROW(AS258))*(Mf0+Mf1_+Mf2_+Mf3_+Mf4_+Mf5_+Mf6_+Mf7_+Mf8_+Mf9_+Mf10_+Mf11_+Mf12_+Mf13_+Mf14_+Mf15_+Mf16_+Mf17_+Mf18_+Mf19_+Mf20_+Mf21_+Mf22_+Mf23_+Mf24_+Mf25_+Mf26_+Mf27_+Mf28_+Mf29_+Mf30_+Mf31_+Mf32_+Mf33_+Mf34_+Mf35_+Mf36_+Mf37_)),0)</f>
        <v>0</v>
      </c>
      <c r="AU258" s="24" t="str">
        <f t="shared" si="24"/>
        <v/>
      </c>
      <c r="AV258" s="24" t="str">
        <f t="shared" si="25"/>
        <v/>
      </c>
      <c r="AW258" s="24" t="str">
        <f t="shared" si="26"/>
        <v/>
      </c>
      <c r="AX258" s="72">
        <f t="shared" si="27"/>
        <v>0</v>
      </c>
      <c r="AY258" s="24">
        <f t="shared" si="28"/>
        <v>0</v>
      </c>
      <c r="AZ258" s="24">
        <f t="array" ref="AZ258">IF(OR(RIGHT(B258,LEN(Par_LabelTravelTime))=Par_LabelTravelTime,B258="čas na ceste - fakturácia"),1,0)</f>
        <v>0</v>
      </c>
    </row>
    <row r="259" spans="2:52" s="24" customFormat="1" ht="12.75" x14ac:dyDescent="0.2">
      <c r="B259" s="97"/>
      <c r="C259" s="92"/>
      <c r="D259" s="31" t="str">
        <f>IF(E259=1,VLOOKUP(TableInvs[[#This Row],[Calc_V_Typ]],Tran_RevenuesList,3,FALSE),"")</f>
        <v/>
      </c>
      <c r="E259" s="31">
        <f t="shared" si="23"/>
        <v>0</v>
      </c>
      <c r="F259" s="94"/>
      <c r="G259" s="84"/>
      <c r="H259" s="84"/>
      <c r="I259" s="84"/>
      <c r="J259" s="84"/>
      <c r="K259" s="84"/>
      <c r="L259" s="84"/>
      <c r="M259" s="84"/>
      <c r="N259" s="84"/>
      <c r="O259" s="84"/>
      <c r="P259" s="84"/>
      <c r="Q259" s="84"/>
      <c r="R259" s="84"/>
      <c r="S259" s="84"/>
      <c r="T259" s="84"/>
      <c r="U259" s="84"/>
      <c r="V259" s="84"/>
      <c r="W259" s="84"/>
      <c r="X259" s="84"/>
      <c r="Y259" s="84"/>
      <c r="Z259" s="84"/>
      <c r="AA259" s="84"/>
      <c r="AB259" s="84"/>
      <c r="AC259" s="85"/>
      <c r="AD259" s="85"/>
      <c r="AE259" s="84"/>
      <c r="AF259" s="84"/>
      <c r="AG259" s="84"/>
      <c r="AH259" s="84"/>
      <c r="AI259" s="84"/>
      <c r="AJ259" s="84"/>
      <c r="AK259" s="84"/>
      <c r="AL259" s="84"/>
      <c r="AM259" s="84"/>
      <c r="AN259" s="84"/>
      <c r="AO259" s="84"/>
      <c r="AP259" s="84"/>
      <c r="AQ259" s="84"/>
      <c r="AR259" s="84"/>
      <c r="AS259" s="87">
        <f t="array" ref="AS259">IF(E259=1,SUM((ROW(Mf0)=ROW(AS259))*(Mf0+Mf1_+Mf2_+Mf3_+Mf4_+Mf5_+Mf6_+Mf7_+Mf8_+Mf9_+Mf10_+Mf11_+Mf12_+Mf13_+Mf14_+Mf15_+Mf16_+Mf17_+Mf18_+Mf19_+Mf20_+Mf21_+Mf22_+Mf23_+Mf24_+Mf25_+Mf26_+Mf27_+Mf28_+Mf29_+Mf30_+Mf31_+Mf32_+Mf33_+Mf34_+Mf35_+Mf36_+Mf37_)),0)</f>
        <v>0</v>
      </c>
      <c r="AU259" s="24" t="str">
        <f t="shared" si="24"/>
        <v/>
      </c>
      <c r="AV259" s="24" t="str">
        <f t="shared" si="25"/>
        <v/>
      </c>
      <c r="AW259" s="24" t="str">
        <f t="shared" si="26"/>
        <v/>
      </c>
      <c r="AX259" s="72">
        <f t="shared" si="27"/>
        <v>0</v>
      </c>
      <c r="AY259" s="24">
        <f t="shared" si="28"/>
        <v>0</v>
      </c>
      <c r="AZ259" s="24">
        <f t="array" ref="AZ259">IF(OR(RIGHT(B259,LEN(Par_LabelTravelTime))=Par_LabelTravelTime,B259="čas na ceste - fakturácia"),1,0)</f>
        <v>0</v>
      </c>
    </row>
    <row r="260" spans="2:52" s="24" customFormat="1" ht="12.75" x14ac:dyDescent="0.2">
      <c r="B260" s="97"/>
      <c r="C260" s="92"/>
      <c r="D260" s="31" t="str">
        <f>IF(E260=1,VLOOKUP(TableInvs[[#This Row],[Calc_V_Typ]],Tran_RevenuesList,3,FALSE),"")</f>
        <v/>
      </c>
      <c r="E260" s="31">
        <f t="shared" si="23"/>
        <v>0</v>
      </c>
      <c r="F260" s="94"/>
      <c r="G260" s="84"/>
      <c r="H260" s="84"/>
      <c r="I260" s="84"/>
      <c r="J260" s="84"/>
      <c r="K260" s="84"/>
      <c r="L260" s="84"/>
      <c r="M260" s="84"/>
      <c r="N260" s="84"/>
      <c r="O260" s="84"/>
      <c r="P260" s="84"/>
      <c r="Q260" s="84"/>
      <c r="R260" s="84"/>
      <c r="S260" s="84"/>
      <c r="T260" s="84"/>
      <c r="U260" s="84"/>
      <c r="V260" s="84"/>
      <c r="W260" s="84"/>
      <c r="X260" s="84"/>
      <c r="Y260" s="84"/>
      <c r="Z260" s="84"/>
      <c r="AA260" s="84"/>
      <c r="AB260" s="84"/>
      <c r="AC260" s="85"/>
      <c r="AD260" s="85"/>
      <c r="AE260" s="84"/>
      <c r="AF260" s="84"/>
      <c r="AG260" s="84"/>
      <c r="AH260" s="84"/>
      <c r="AI260" s="84"/>
      <c r="AJ260" s="84"/>
      <c r="AK260" s="84"/>
      <c r="AL260" s="84"/>
      <c r="AM260" s="84"/>
      <c r="AN260" s="84"/>
      <c r="AO260" s="84"/>
      <c r="AP260" s="84"/>
      <c r="AQ260" s="84"/>
      <c r="AR260" s="84"/>
      <c r="AS260" s="87">
        <f t="array" ref="AS260">IF(E260=1,SUM((ROW(Mf0)=ROW(AS260))*(Mf0+Mf1_+Mf2_+Mf3_+Mf4_+Mf5_+Mf6_+Mf7_+Mf8_+Mf9_+Mf10_+Mf11_+Mf12_+Mf13_+Mf14_+Mf15_+Mf16_+Mf17_+Mf18_+Mf19_+Mf20_+Mf21_+Mf22_+Mf23_+Mf24_+Mf25_+Mf26_+Mf27_+Mf28_+Mf29_+Mf30_+Mf31_+Mf32_+Mf33_+Mf34_+Mf35_+Mf36_+Mf37_)),0)</f>
        <v>0</v>
      </c>
      <c r="AU260" s="24" t="str">
        <f t="shared" si="24"/>
        <v/>
      </c>
      <c r="AV260" s="24" t="str">
        <f t="shared" si="25"/>
        <v/>
      </c>
      <c r="AW260" s="24" t="str">
        <f t="shared" si="26"/>
        <v/>
      </c>
      <c r="AX260" s="72">
        <f t="shared" si="27"/>
        <v>0</v>
      </c>
      <c r="AY260" s="24">
        <f t="shared" si="28"/>
        <v>0</v>
      </c>
      <c r="AZ260" s="24">
        <f t="array" ref="AZ260">IF(OR(RIGHT(B260,LEN(Par_LabelTravelTime))=Par_LabelTravelTime,B260="čas na ceste - fakturácia"),1,0)</f>
        <v>0</v>
      </c>
    </row>
    <row r="261" spans="2:52" s="24" customFormat="1" ht="12.75" x14ac:dyDescent="0.2">
      <c r="B261" s="97"/>
      <c r="C261" s="92"/>
      <c r="D261" s="31" t="str">
        <f>IF(E261=1,VLOOKUP(TableInvs[[#This Row],[Calc_V_Typ]],Tran_RevenuesList,3,FALSE),"")</f>
        <v/>
      </c>
      <c r="E261" s="31">
        <f t="shared" si="23"/>
        <v>0</v>
      </c>
      <c r="F261" s="94"/>
      <c r="G261" s="84"/>
      <c r="H261" s="84"/>
      <c r="I261" s="84"/>
      <c r="J261" s="84"/>
      <c r="K261" s="84"/>
      <c r="L261" s="84"/>
      <c r="M261" s="84"/>
      <c r="N261" s="84"/>
      <c r="O261" s="84"/>
      <c r="P261" s="84"/>
      <c r="Q261" s="84"/>
      <c r="R261" s="84"/>
      <c r="S261" s="84"/>
      <c r="T261" s="84"/>
      <c r="U261" s="84"/>
      <c r="V261" s="84"/>
      <c r="W261" s="84"/>
      <c r="X261" s="84"/>
      <c r="Y261" s="84"/>
      <c r="Z261" s="84"/>
      <c r="AA261" s="84"/>
      <c r="AB261" s="84"/>
      <c r="AC261" s="85"/>
      <c r="AD261" s="85"/>
      <c r="AE261" s="84"/>
      <c r="AF261" s="84"/>
      <c r="AG261" s="84"/>
      <c r="AH261" s="84"/>
      <c r="AI261" s="84"/>
      <c r="AJ261" s="84"/>
      <c r="AK261" s="84"/>
      <c r="AL261" s="84"/>
      <c r="AM261" s="84"/>
      <c r="AN261" s="84"/>
      <c r="AO261" s="84"/>
      <c r="AP261" s="84"/>
      <c r="AQ261" s="84"/>
      <c r="AR261" s="84"/>
      <c r="AS261" s="87">
        <f t="array" ref="AS261">IF(E261=1,SUM((ROW(Mf0)=ROW(AS261))*(Mf0+Mf1_+Mf2_+Mf3_+Mf4_+Mf5_+Mf6_+Mf7_+Mf8_+Mf9_+Mf10_+Mf11_+Mf12_+Mf13_+Mf14_+Mf15_+Mf16_+Mf17_+Mf18_+Mf19_+Mf20_+Mf21_+Mf22_+Mf23_+Mf24_+Mf25_+Mf26_+Mf27_+Mf28_+Mf29_+Mf30_+Mf31_+Mf32_+Mf33_+Mf34_+Mf35_+Mf36_+Mf37_)),0)</f>
        <v>0</v>
      </c>
      <c r="AU261" s="24" t="str">
        <f t="shared" si="24"/>
        <v/>
      </c>
      <c r="AV261" s="24" t="str">
        <f t="shared" si="25"/>
        <v/>
      </c>
      <c r="AW261" s="24" t="str">
        <f t="shared" si="26"/>
        <v/>
      </c>
      <c r="AX261" s="72">
        <f t="shared" si="27"/>
        <v>0</v>
      </c>
      <c r="AY261" s="24">
        <f t="shared" si="28"/>
        <v>0</v>
      </c>
      <c r="AZ261" s="24">
        <f t="array" ref="AZ261">IF(OR(RIGHT(B261,LEN(Par_LabelTravelTime))=Par_LabelTravelTime,B261="čas na ceste - fakturácia"),1,0)</f>
        <v>0</v>
      </c>
    </row>
    <row r="262" spans="2:52" s="24" customFormat="1" ht="12.75" x14ac:dyDescent="0.2">
      <c r="B262" s="97"/>
      <c r="C262" s="92"/>
      <c r="D262" s="31" t="str">
        <f>IF(E262=1,VLOOKUP(TableInvs[[#This Row],[Calc_V_Typ]],Tran_RevenuesList,3,FALSE),"")</f>
        <v/>
      </c>
      <c r="E262" s="31">
        <f t="shared" si="23"/>
        <v>0</v>
      </c>
      <c r="F262" s="94"/>
      <c r="G262" s="84"/>
      <c r="H262" s="84"/>
      <c r="I262" s="84"/>
      <c r="J262" s="84"/>
      <c r="K262" s="84"/>
      <c r="L262" s="84"/>
      <c r="M262" s="84"/>
      <c r="N262" s="84"/>
      <c r="O262" s="84"/>
      <c r="P262" s="84"/>
      <c r="Q262" s="84"/>
      <c r="R262" s="84"/>
      <c r="S262" s="84"/>
      <c r="T262" s="84"/>
      <c r="U262" s="84"/>
      <c r="V262" s="84"/>
      <c r="W262" s="84"/>
      <c r="X262" s="84"/>
      <c r="Y262" s="84"/>
      <c r="Z262" s="84"/>
      <c r="AA262" s="84"/>
      <c r="AB262" s="84"/>
      <c r="AC262" s="85"/>
      <c r="AD262" s="85"/>
      <c r="AE262" s="84"/>
      <c r="AF262" s="84"/>
      <c r="AG262" s="84"/>
      <c r="AH262" s="84"/>
      <c r="AI262" s="84"/>
      <c r="AJ262" s="84"/>
      <c r="AK262" s="84"/>
      <c r="AL262" s="84"/>
      <c r="AM262" s="84"/>
      <c r="AN262" s="84"/>
      <c r="AO262" s="84"/>
      <c r="AP262" s="84"/>
      <c r="AQ262" s="84"/>
      <c r="AR262" s="84"/>
      <c r="AS262" s="87">
        <f t="array" ref="AS262">IF(E262=1,SUM((ROW(Mf0)=ROW(AS262))*(Mf0+Mf1_+Mf2_+Mf3_+Mf4_+Mf5_+Mf6_+Mf7_+Mf8_+Mf9_+Mf10_+Mf11_+Mf12_+Mf13_+Mf14_+Mf15_+Mf16_+Mf17_+Mf18_+Mf19_+Mf20_+Mf21_+Mf22_+Mf23_+Mf24_+Mf25_+Mf26_+Mf27_+Mf28_+Mf29_+Mf30_+Mf31_+Mf32_+Mf33_+Mf34_+Mf35_+Mf36_+Mf37_)),0)</f>
        <v>0</v>
      </c>
      <c r="AU262" s="24" t="str">
        <f t="shared" si="24"/>
        <v/>
      </c>
      <c r="AV262" s="24" t="str">
        <f t="shared" si="25"/>
        <v/>
      </c>
      <c r="AW262" s="24" t="str">
        <f t="shared" si="26"/>
        <v/>
      </c>
      <c r="AX262" s="72">
        <f t="shared" si="27"/>
        <v>0</v>
      </c>
      <c r="AY262" s="24">
        <f t="shared" si="28"/>
        <v>0</v>
      </c>
      <c r="AZ262" s="24">
        <f t="array" ref="AZ262">IF(OR(RIGHT(B262,LEN(Par_LabelTravelTime))=Par_LabelTravelTime,B262="čas na ceste - fakturácia"),1,0)</f>
        <v>0</v>
      </c>
    </row>
    <row r="263" spans="2:52" s="24" customFormat="1" ht="12.75" x14ac:dyDescent="0.2">
      <c r="B263" s="97"/>
      <c r="C263" s="92"/>
      <c r="D263" s="31" t="str">
        <f>IF(E263=1,VLOOKUP(TableInvs[[#This Row],[Calc_V_Typ]],Tran_RevenuesList,3,FALSE),"")</f>
        <v/>
      </c>
      <c r="E263" s="31">
        <f t="shared" ref="E263:E326" si="29">IF(B263="",0,IF(LEFT(B263,3)="***",-1,1))</f>
        <v>0</v>
      </c>
      <c r="F263" s="94"/>
      <c r="G263" s="84"/>
      <c r="H263" s="84"/>
      <c r="I263" s="84"/>
      <c r="J263" s="84"/>
      <c r="K263" s="84"/>
      <c r="L263" s="84"/>
      <c r="M263" s="84"/>
      <c r="N263" s="84"/>
      <c r="O263" s="84"/>
      <c r="P263" s="84"/>
      <c r="Q263" s="84"/>
      <c r="R263" s="84"/>
      <c r="S263" s="84"/>
      <c r="T263" s="84"/>
      <c r="U263" s="84"/>
      <c r="V263" s="84"/>
      <c r="W263" s="84"/>
      <c r="X263" s="84"/>
      <c r="Y263" s="84"/>
      <c r="Z263" s="84"/>
      <c r="AA263" s="84"/>
      <c r="AB263" s="84"/>
      <c r="AC263" s="85"/>
      <c r="AD263" s="85"/>
      <c r="AE263" s="84"/>
      <c r="AF263" s="84"/>
      <c r="AG263" s="84"/>
      <c r="AH263" s="84"/>
      <c r="AI263" s="84"/>
      <c r="AJ263" s="84"/>
      <c r="AK263" s="84"/>
      <c r="AL263" s="84"/>
      <c r="AM263" s="84"/>
      <c r="AN263" s="84"/>
      <c r="AO263" s="84"/>
      <c r="AP263" s="84"/>
      <c r="AQ263" s="84"/>
      <c r="AR263" s="84"/>
      <c r="AS263" s="87">
        <f t="array" ref="AS263">IF(E263=1,SUM((ROW(Mf0)=ROW(AS263))*(Mf0+Mf1_+Mf2_+Mf3_+Mf4_+Mf5_+Mf6_+Mf7_+Mf8_+Mf9_+Mf10_+Mf11_+Mf12_+Mf13_+Mf14_+Mf15_+Mf16_+Mf17_+Mf18_+Mf19_+Mf20_+Mf21_+Mf22_+Mf23_+Mf24_+Mf25_+Mf26_+Mf27_+Mf28_+Mf29_+Mf30_+Mf31_+Mf32_+Mf33_+Mf34_+Mf35_+Mf36_+Mf37_)),0)</f>
        <v>0</v>
      </c>
      <c r="AU263" s="24" t="str">
        <f t="shared" ref="AU263:AU326" si="30">IF(E263=1,VLOOKUP(B263,Tran_RevenuesList,2,0),"")</f>
        <v/>
      </c>
      <c r="AV263" s="24" t="str">
        <f t="shared" ref="AV263:AV326" si="31">IF(E263=1,D263,"")</f>
        <v/>
      </c>
      <c r="AW263" s="24" t="str">
        <f t="shared" ref="AW263:AW326" si="32">IF(C263="","",VLOOKUP(C263,Tab_Parts,2,0))</f>
        <v/>
      </c>
      <c r="AX263" s="72">
        <f t="shared" ref="AX263:AX326" si="33">IF(E263=1,AS263,0)</f>
        <v>0</v>
      </c>
      <c r="AY263" s="24">
        <f t="shared" ref="AY263:AY326" si="34">IF(RIGHT(B263,LEN(Par_LabelTravelTime))=Par_LabelTravelTime,LEFT(B263,LEN(B263)-LEN(Par_LabelTravelTime)),B263)</f>
        <v>0</v>
      </c>
      <c r="AZ263" s="24">
        <f t="array" ref="AZ263">IF(OR(RIGHT(B263,LEN(Par_LabelTravelTime))=Par_LabelTravelTime,B263="čas na ceste - fakturácia"),1,0)</f>
        <v>0</v>
      </c>
    </row>
    <row r="264" spans="2:52" s="24" customFormat="1" ht="12.75" x14ac:dyDescent="0.2">
      <c r="B264" s="97"/>
      <c r="C264" s="92"/>
      <c r="D264" s="31" t="str">
        <f>IF(E264=1,VLOOKUP(TableInvs[[#This Row],[Calc_V_Typ]],Tran_RevenuesList,3,FALSE),"")</f>
        <v/>
      </c>
      <c r="E264" s="31">
        <f t="shared" si="29"/>
        <v>0</v>
      </c>
      <c r="F264" s="94"/>
      <c r="G264" s="84"/>
      <c r="H264" s="84"/>
      <c r="I264" s="84"/>
      <c r="J264" s="84"/>
      <c r="K264" s="84"/>
      <c r="L264" s="84"/>
      <c r="M264" s="84"/>
      <c r="N264" s="84"/>
      <c r="O264" s="84"/>
      <c r="P264" s="84"/>
      <c r="Q264" s="84"/>
      <c r="R264" s="84"/>
      <c r="S264" s="84"/>
      <c r="T264" s="84"/>
      <c r="U264" s="84"/>
      <c r="V264" s="84"/>
      <c r="W264" s="84"/>
      <c r="X264" s="84"/>
      <c r="Y264" s="84"/>
      <c r="Z264" s="84"/>
      <c r="AA264" s="84"/>
      <c r="AB264" s="84"/>
      <c r="AC264" s="85"/>
      <c r="AD264" s="85"/>
      <c r="AE264" s="84"/>
      <c r="AF264" s="84"/>
      <c r="AG264" s="84"/>
      <c r="AH264" s="84"/>
      <c r="AI264" s="84"/>
      <c r="AJ264" s="84"/>
      <c r="AK264" s="84"/>
      <c r="AL264" s="84"/>
      <c r="AM264" s="84"/>
      <c r="AN264" s="84"/>
      <c r="AO264" s="84"/>
      <c r="AP264" s="84"/>
      <c r="AQ264" s="84"/>
      <c r="AR264" s="84"/>
      <c r="AS264" s="87">
        <f t="array" ref="AS264">IF(E264=1,SUM((ROW(Mf0)=ROW(AS264))*(Mf0+Mf1_+Mf2_+Mf3_+Mf4_+Mf5_+Mf6_+Mf7_+Mf8_+Mf9_+Mf10_+Mf11_+Mf12_+Mf13_+Mf14_+Mf15_+Mf16_+Mf17_+Mf18_+Mf19_+Mf20_+Mf21_+Mf22_+Mf23_+Mf24_+Mf25_+Mf26_+Mf27_+Mf28_+Mf29_+Mf30_+Mf31_+Mf32_+Mf33_+Mf34_+Mf35_+Mf36_+Mf37_)),0)</f>
        <v>0</v>
      </c>
      <c r="AU264" s="24" t="str">
        <f t="shared" si="30"/>
        <v/>
      </c>
      <c r="AV264" s="24" t="str">
        <f t="shared" si="31"/>
        <v/>
      </c>
      <c r="AW264" s="24" t="str">
        <f t="shared" si="32"/>
        <v/>
      </c>
      <c r="AX264" s="72">
        <f t="shared" si="33"/>
        <v>0</v>
      </c>
      <c r="AY264" s="24">
        <f t="shared" si="34"/>
        <v>0</v>
      </c>
      <c r="AZ264" s="24">
        <f t="array" ref="AZ264">IF(OR(RIGHT(B264,LEN(Par_LabelTravelTime))=Par_LabelTravelTime,B264="čas na ceste - fakturácia"),1,0)</f>
        <v>0</v>
      </c>
    </row>
    <row r="265" spans="2:52" s="24" customFormat="1" ht="12.75" x14ac:dyDescent="0.2">
      <c r="B265" s="97"/>
      <c r="C265" s="92"/>
      <c r="D265" s="31" t="str">
        <f>IF(E265=1,VLOOKUP(TableInvs[[#This Row],[Calc_V_Typ]],Tran_RevenuesList,3,FALSE),"")</f>
        <v/>
      </c>
      <c r="E265" s="31">
        <f t="shared" si="29"/>
        <v>0</v>
      </c>
      <c r="F265" s="94"/>
      <c r="G265" s="84"/>
      <c r="H265" s="84"/>
      <c r="I265" s="84"/>
      <c r="J265" s="84"/>
      <c r="K265" s="84"/>
      <c r="L265" s="84"/>
      <c r="M265" s="84"/>
      <c r="N265" s="84"/>
      <c r="O265" s="84"/>
      <c r="P265" s="84"/>
      <c r="Q265" s="84"/>
      <c r="R265" s="84"/>
      <c r="S265" s="84"/>
      <c r="T265" s="84"/>
      <c r="U265" s="84"/>
      <c r="V265" s="84"/>
      <c r="W265" s="84"/>
      <c r="X265" s="84"/>
      <c r="Y265" s="84"/>
      <c r="Z265" s="84"/>
      <c r="AA265" s="84"/>
      <c r="AB265" s="84"/>
      <c r="AC265" s="85"/>
      <c r="AD265" s="85"/>
      <c r="AE265" s="84"/>
      <c r="AF265" s="84"/>
      <c r="AG265" s="84"/>
      <c r="AH265" s="84"/>
      <c r="AI265" s="84"/>
      <c r="AJ265" s="84"/>
      <c r="AK265" s="84"/>
      <c r="AL265" s="84"/>
      <c r="AM265" s="84"/>
      <c r="AN265" s="84"/>
      <c r="AO265" s="84"/>
      <c r="AP265" s="84"/>
      <c r="AQ265" s="84"/>
      <c r="AR265" s="84"/>
      <c r="AS265" s="87">
        <f t="array" ref="AS265">IF(E265=1,SUM((ROW(Mf0)=ROW(AS265))*(Mf0+Mf1_+Mf2_+Mf3_+Mf4_+Mf5_+Mf6_+Mf7_+Mf8_+Mf9_+Mf10_+Mf11_+Mf12_+Mf13_+Mf14_+Mf15_+Mf16_+Mf17_+Mf18_+Mf19_+Mf20_+Mf21_+Mf22_+Mf23_+Mf24_+Mf25_+Mf26_+Mf27_+Mf28_+Mf29_+Mf30_+Mf31_+Mf32_+Mf33_+Mf34_+Mf35_+Mf36_+Mf37_)),0)</f>
        <v>0</v>
      </c>
      <c r="AU265" s="24" t="str">
        <f t="shared" si="30"/>
        <v/>
      </c>
      <c r="AV265" s="24" t="str">
        <f t="shared" si="31"/>
        <v/>
      </c>
      <c r="AW265" s="24" t="str">
        <f t="shared" si="32"/>
        <v/>
      </c>
      <c r="AX265" s="72">
        <f t="shared" si="33"/>
        <v>0</v>
      </c>
      <c r="AY265" s="24">
        <f t="shared" si="34"/>
        <v>0</v>
      </c>
      <c r="AZ265" s="24">
        <f t="array" ref="AZ265">IF(OR(RIGHT(B265,LEN(Par_LabelTravelTime))=Par_LabelTravelTime,B265="čas na ceste - fakturácia"),1,0)</f>
        <v>0</v>
      </c>
    </row>
    <row r="266" spans="2:52" s="24" customFormat="1" ht="12.75" x14ac:dyDescent="0.2">
      <c r="B266" s="97"/>
      <c r="C266" s="92"/>
      <c r="D266" s="31" t="str">
        <f>IF(E266=1,VLOOKUP(TableInvs[[#This Row],[Calc_V_Typ]],Tran_RevenuesList,3,FALSE),"")</f>
        <v/>
      </c>
      <c r="E266" s="31">
        <f t="shared" si="29"/>
        <v>0</v>
      </c>
      <c r="F266" s="94"/>
      <c r="G266" s="84"/>
      <c r="H266" s="84"/>
      <c r="I266" s="84"/>
      <c r="J266" s="84"/>
      <c r="K266" s="84"/>
      <c r="L266" s="84"/>
      <c r="M266" s="84"/>
      <c r="N266" s="84"/>
      <c r="O266" s="84"/>
      <c r="P266" s="84"/>
      <c r="Q266" s="84"/>
      <c r="R266" s="84"/>
      <c r="S266" s="84"/>
      <c r="T266" s="84"/>
      <c r="U266" s="84"/>
      <c r="V266" s="84"/>
      <c r="W266" s="84"/>
      <c r="X266" s="84"/>
      <c r="Y266" s="84"/>
      <c r="Z266" s="84"/>
      <c r="AA266" s="84"/>
      <c r="AB266" s="84"/>
      <c r="AC266" s="85"/>
      <c r="AD266" s="85"/>
      <c r="AE266" s="84"/>
      <c r="AF266" s="84"/>
      <c r="AG266" s="84"/>
      <c r="AH266" s="84"/>
      <c r="AI266" s="84"/>
      <c r="AJ266" s="84"/>
      <c r="AK266" s="84"/>
      <c r="AL266" s="84"/>
      <c r="AM266" s="84"/>
      <c r="AN266" s="84"/>
      <c r="AO266" s="84"/>
      <c r="AP266" s="84"/>
      <c r="AQ266" s="84"/>
      <c r="AR266" s="84"/>
      <c r="AS266" s="87">
        <f t="array" ref="AS266">IF(E266=1,SUM((ROW(Mf0)=ROW(AS266))*(Mf0+Mf1_+Mf2_+Mf3_+Mf4_+Mf5_+Mf6_+Mf7_+Mf8_+Mf9_+Mf10_+Mf11_+Mf12_+Mf13_+Mf14_+Mf15_+Mf16_+Mf17_+Mf18_+Mf19_+Mf20_+Mf21_+Mf22_+Mf23_+Mf24_+Mf25_+Mf26_+Mf27_+Mf28_+Mf29_+Mf30_+Mf31_+Mf32_+Mf33_+Mf34_+Mf35_+Mf36_+Mf37_)),0)</f>
        <v>0</v>
      </c>
      <c r="AU266" s="24" t="str">
        <f t="shared" si="30"/>
        <v/>
      </c>
      <c r="AV266" s="24" t="str">
        <f t="shared" si="31"/>
        <v/>
      </c>
      <c r="AW266" s="24" t="str">
        <f t="shared" si="32"/>
        <v/>
      </c>
      <c r="AX266" s="72">
        <f t="shared" si="33"/>
        <v>0</v>
      </c>
      <c r="AY266" s="24">
        <f t="shared" si="34"/>
        <v>0</v>
      </c>
      <c r="AZ266" s="24">
        <f t="array" ref="AZ266">IF(OR(RIGHT(B266,LEN(Par_LabelTravelTime))=Par_LabelTravelTime,B266="čas na ceste - fakturácia"),1,0)</f>
        <v>0</v>
      </c>
    </row>
    <row r="267" spans="2:52" s="24" customFormat="1" ht="12.75" x14ac:dyDescent="0.2">
      <c r="B267" s="97"/>
      <c r="C267" s="92"/>
      <c r="D267" s="31" t="str">
        <f>IF(E267=1,VLOOKUP(TableInvs[[#This Row],[Calc_V_Typ]],Tran_RevenuesList,3,FALSE),"")</f>
        <v/>
      </c>
      <c r="E267" s="31">
        <f t="shared" si="29"/>
        <v>0</v>
      </c>
      <c r="F267" s="9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  <c r="R267" s="84"/>
      <c r="S267" s="84"/>
      <c r="T267" s="84"/>
      <c r="U267" s="84"/>
      <c r="V267" s="84"/>
      <c r="W267" s="84"/>
      <c r="X267" s="84"/>
      <c r="Y267" s="84"/>
      <c r="Z267" s="84"/>
      <c r="AA267" s="84"/>
      <c r="AB267" s="84"/>
      <c r="AC267" s="85"/>
      <c r="AD267" s="85"/>
      <c r="AE267" s="84"/>
      <c r="AF267" s="84"/>
      <c r="AG267" s="84"/>
      <c r="AH267" s="84"/>
      <c r="AI267" s="84"/>
      <c r="AJ267" s="84"/>
      <c r="AK267" s="84"/>
      <c r="AL267" s="84"/>
      <c r="AM267" s="84"/>
      <c r="AN267" s="84"/>
      <c r="AO267" s="84"/>
      <c r="AP267" s="84"/>
      <c r="AQ267" s="84"/>
      <c r="AR267" s="84"/>
      <c r="AS267" s="87">
        <f t="array" ref="AS267">IF(E267=1,SUM((ROW(Mf0)=ROW(AS267))*(Mf0+Mf1_+Mf2_+Mf3_+Mf4_+Mf5_+Mf6_+Mf7_+Mf8_+Mf9_+Mf10_+Mf11_+Mf12_+Mf13_+Mf14_+Mf15_+Mf16_+Mf17_+Mf18_+Mf19_+Mf20_+Mf21_+Mf22_+Mf23_+Mf24_+Mf25_+Mf26_+Mf27_+Mf28_+Mf29_+Mf30_+Mf31_+Mf32_+Mf33_+Mf34_+Mf35_+Mf36_+Mf37_)),0)</f>
        <v>0</v>
      </c>
      <c r="AU267" s="24" t="str">
        <f t="shared" si="30"/>
        <v/>
      </c>
      <c r="AV267" s="24" t="str">
        <f t="shared" si="31"/>
        <v/>
      </c>
      <c r="AW267" s="24" t="str">
        <f t="shared" si="32"/>
        <v/>
      </c>
      <c r="AX267" s="72">
        <f t="shared" si="33"/>
        <v>0</v>
      </c>
      <c r="AY267" s="24">
        <f t="shared" si="34"/>
        <v>0</v>
      </c>
      <c r="AZ267" s="24">
        <f t="array" ref="AZ267">IF(OR(RIGHT(B267,LEN(Par_LabelTravelTime))=Par_LabelTravelTime,B267="čas na ceste - fakturácia"),1,0)</f>
        <v>0</v>
      </c>
    </row>
    <row r="268" spans="2:52" s="24" customFormat="1" ht="12.75" x14ac:dyDescent="0.2">
      <c r="B268" s="97"/>
      <c r="C268" s="92"/>
      <c r="D268" s="31" t="str">
        <f>IF(E268=1,VLOOKUP(TableInvs[[#This Row],[Calc_V_Typ]],Tran_RevenuesList,3,FALSE),"")</f>
        <v/>
      </c>
      <c r="E268" s="31">
        <f t="shared" si="29"/>
        <v>0</v>
      </c>
      <c r="F268" s="9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  <c r="R268" s="84"/>
      <c r="S268" s="84"/>
      <c r="T268" s="84"/>
      <c r="U268" s="84"/>
      <c r="V268" s="84"/>
      <c r="W268" s="84"/>
      <c r="X268" s="84"/>
      <c r="Y268" s="84"/>
      <c r="Z268" s="84"/>
      <c r="AA268" s="84"/>
      <c r="AB268" s="84"/>
      <c r="AC268" s="85"/>
      <c r="AD268" s="85"/>
      <c r="AE268" s="84"/>
      <c r="AF268" s="84"/>
      <c r="AG268" s="84"/>
      <c r="AH268" s="84"/>
      <c r="AI268" s="84"/>
      <c r="AJ268" s="84"/>
      <c r="AK268" s="84"/>
      <c r="AL268" s="84"/>
      <c r="AM268" s="84"/>
      <c r="AN268" s="84"/>
      <c r="AO268" s="84"/>
      <c r="AP268" s="84"/>
      <c r="AQ268" s="84"/>
      <c r="AR268" s="84"/>
      <c r="AS268" s="87">
        <f t="array" ref="AS268">IF(E268=1,SUM((ROW(Mf0)=ROW(AS268))*(Mf0+Mf1_+Mf2_+Mf3_+Mf4_+Mf5_+Mf6_+Mf7_+Mf8_+Mf9_+Mf10_+Mf11_+Mf12_+Mf13_+Mf14_+Mf15_+Mf16_+Mf17_+Mf18_+Mf19_+Mf20_+Mf21_+Mf22_+Mf23_+Mf24_+Mf25_+Mf26_+Mf27_+Mf28_+Mf29_+Mf30_+Mf31_+Mf32_+Mf33_+Mf34_+Mf35_+Mf36_+Mf37_)),0)</f>
        <v>0</v>
      </c>
      <c r="AU268" s="24" t="str">
        <f t="shared" si="30"/>
        <v/>
      </c>
      <c r="AV268" s="24" t="str">
        <f t="shared" si="31"/>
        <v/>
      </c>
      <c r="AW268" s="24" t="str">
        <f t="shared" si="32"/>
        <v/>
      </c>
      <c r="AX268" s="72">
        <f t="shared" si="33"/>
        <v>0</v>
      </c>
      <c r="AY268" s="24">
        <f t="shared" si="34"/>
        <v>0</v>
      </c>
      <c r="AZ268" s="24">
        <f t="array" ref="AZ268">IF(OR(RIGHT(B268,LEN(Par_LabelTravelTime))=Par_LabelTravelTime,B268="čas na ceste - fakturácia"),1,0)</f>
        <v>0</v>
      </c>
    </row>
    <row r="269" spans="2:52" s="24" customFormat="1" ht="12.75" x14ac:dyDescent="0.2">
      <c r="B269" s="97"/>
      <c r="C269" s="92"/>
      <c r="D269" s="31" t="str">
        <f>IF(E269=1,VLOOKUP(TableInvs[[#This Row],[Calc_V_Typ]],Tran_RevenuesList,3,FALSE),"")</f>
        <v/>
      </c>
      <c r="E269" s="31">
        <f t="shared" si="29"/>
        <v>0</v>
      </c>
      <c r="F269" s="9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  <c r="R269" s="84"/>
      <c r="S269" s="84"/>
      <c r="T269" s="84"/>
      <c r="U269" s="84"/>
      <c r="V269" s="84"/>
      <c r="W269" s="84"/>
      <c r="X269" s="84"/>
      <c r="Y269" s="84"/>
      <c r="Z269" s="84"/>
      <c r="AA269" s="84"/>
      <c r="AB269" s="84"/>
      <c r="AC269" s="85"/>
      <c r="AD269" s="85"/>
      <c r="AE269" s="84"/>
      <c r="AF269" s="84"/>
      <c r="AG269" s="84"/>
      <c r="AH269" s="84"/>
      <c r="AI269" s="84"/>
      <c r="AJ269" s="84"/>
      <c r="AK269" s="84"/>
      <c r="AL269" s="84"/>
      <c r="AM269" s="84"/>
      <c r="AN269" s="84"/>
      <c r="AO269" s="84"/>
      <c r="AP269" s="84"/>
      <c r="AQ269" s="84"/>
      <c r="AR269" s="84"/>
      <c r="AS269" s="87">
        <f t="array" ref="AS269">IF(E269=1,SUM((ROW(Mf0)=ROW(AS269))*(Mf0+Mf1_+Mf2_+Mf3_+Mf4_+Mf5_+Mf6_+Mf7_+Mf8_+Mf9_+Mf10_+Mf11_+Mf12_+Mf13_+Mf14_+Mf15_+Mf16_+Mf17_+Mf18_+Mf19_+Mf20_+Mf21_+Mf22_+Mf23_+Mf24_+Mf25_+Mf26_+Mf27_+Mf28_+Mf29_+Mf30_+Mf31_+Mf32_+Mf33_+Mf34_+Mf35_+Mf36_+Mf37_)),0)</f>
        <v>0</v>
      </c>
      <c r="AU269" s="24" t="str">
        <f t="shared" si="30"/>
        <v/>
      </c>
      <c r="AV269" s="24" t="str">
        <f t="shared" si="31"/>
        <v/>
      </c>
      <c r="AW269" s="24" t="str">
        <f t="shared" si="32"/>
        <v/>
      </c>
      <c r="AX269" s="72">
        <f t="shared" si="33"/>
        <v>0</v>
      </c>
      <c r="AY269" s="24">
        <f t="shared" si="34"/>
        <v>0</v>
      </c>
      <c r="AZ269" s="24">
        <f t="array" ref="AZ269">IF(OR(RIGHT(B269,LEN(Par_LabelTravelTime))=Par_LabelTravelTime,B269="čas na ceste - fakturácia"),1,0)</f>
        <v>0</v>
      </c>
    </row>
    <row r="270" spans="2:52" s="24" customFormat="1" ht="12.75" x14ac:dyDescent="0.2">
      <c r="B270" s="97"/>
      <c r="C270" s="92"/>
      <c r="D270" s="31" t="str">
        <f>IF(E270=1,VLOOKUP(TableInvs[[#This Row],[Calc_V_Typ]],Tran_RevenuesList,3,FALSE),"")</f>
        <v/>
      </c>
      <c r="E270" s="31">
        <f t="shared" si="29"/>
        <v>0</v>
      </c>
      <c r="F270" s="94"/>
      <c r="G270" s="84"/>
      <c r="H270" s="84"/>
      <c r="I270" s="84"/>
      <c r="J270" s="84"/>
      <c r="K270" s="84"/>
      <c r="L270" s="84"/>
      <c r="M270" s="84"/>
      <c r="N270" s="84"/>
      <c r="O270" s="84"/>
      <c r="P270" s="84"/>
      <c r="Q270" s="84"/>
      <c r="R270" s="84"/>
      <c r="S270" s="84"/>
      <c r="T270" s="84"/>
      <c r="U270" s="84"/>
      <c r="V270" s="84"/>
      <c r="W270" s="84"/>
      <c r="X270" s="84"/>
      <c r="Y270" s="84"/>
      <c r="Z270" s="84"/>
      <c r="AA270" s="84"/>
      <c r="AB270" s="84"/>
      <c r="AC270" s="85"/>
      <c r="AD270" s="85"/>
      <c r="AE270" s="84"/>
      <c r="AF270" s="84"/>
      <c r="AG270" s="84"/>
      <c r="AH270" s="84"/>
      <c r="AI270" s="84"/>
      <c r="AJ270" s="84"/>
      <c r="AK270" s="84"/>
      <c r="AL270" s="84"/>
      <c r="AM270" s="84"/>
      <c r="AN270" s="84"/>
      <c r="AO270" s="84"/>
      <c r="AP270" s="84"/>
      <c r="AQ270" s="84"/>
      <c r="AR270" s="84"/>
      <c r="AS270" s="87">
        <f t="array" ref="AS270">IF(E270=1,SUM((ROW(Mf0)=ROW(AS270))*(Mf0+Mf1_+Mf2_+Mf3_+Mf4_+Mf5_+Mf6_+Mf7_+Mf8_+Mf9_+Mf10_+Mf11_+Mf12_+Mf13_+Mf14_+Mf15_+Mf16_+Mf17_+Mf18_+Mf19_+Mf20_+Mf21_+Mf22_+Mf23_+Mf24_+Mf25_+Mf26_+Mf27_+Mf28_+Mf29_+Mf30_+Mf31_+Mf32_+Mf33_+Mf34_+Mf35_+Mf36_+Mf37_)),0)</f>
        <v>0</v>
      </c>
      <c r="AU270" s="24" t="str">
        <f t="shared" si="30"/>
        <v/>
      </c>
      <c r="AV270" s="24" t="str">
        <f t="shared" si="31"/>
        <v/>
      </c>
      <c r="AW270" s="24" t="str">
        <f t="shared" si="32"/>
        <v/>
      </c>
      <c r="AX270" s="72">
        <f t="shared" si="33"/>
        <v>0</v>
      </c>
      <c r="AY270" s="24">
        <f t="shared" si="34"/>
        <v>0</v>
      </c>
      <c r="AZ270" s="24">
        <f t="array" ref="AZ270">IF(OR(RIGHT(B270,LEN(Par_LabelTravelTime))=Par_LabelTravelTime,B270="čas na ceste - fakturácia"),1,0)</f>
        <v>0</v>
      </c>
    </row>
    <row r="271" spans="2:52" s="24" customFormat="1" ht="12.75" x14ac:dyDescent="0.2">
      <c r="B271" s="97"/>
      <c r="C271" s="92"/>
      <c r="D271" s="31" t="str">
        <f>IF(E271=1,VLOOKUP(TableInvs[[#This Row],[Calc_V_Typ]],Tran_RevenuesList,3,FALSE),"")</f>
        <v/>
      </c>
      <c r="E271" s="31">
        <f t="shared" si="29"/>
        <v>0</v>
      </c>
      <c r="F271" s="9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  <c r="R271" s="84"/>
      <c r="S271" s="84"/>
      <c r="T271" s="84"/>
      <c r="U271" s="84"/>
      <c r="V271" s="84"/>
      <c r="W271" s="84"/>
      <c r="X271" s="84"/>
      <c r="Y271" s="84"/>
      <c r="Z271" s="84"/>
      <c r="AA271" s="84"/>
      <c r="AB271" s="84"/>
      <c r="AC271" s="85"/>
      <c r="AD271" s="85"/>
      <c r="AE271" s="84"/>
      <c r="AF271" s="84"/>
      <c r="AG271" s="84"/>
      <c r="AH271" s="84"/>
      <c r="AI271" s="84"/>
      <c r="AJ271" s="84"/>
      <c r="AK271" s="84"/>
      <c r="AL271" s="84"/>
      <c r="AM271" s="84"/>
      <c r="AN271" s="84"/>
      <c r="AO271" s="84"/>
      <c r="AP271" s="84"/>
      <c r="AQ271" s="84"/>
      <c r="AR271" s="84"/>
      <c r="AS271" s="87">
        <f t="array" ref="AS271">IF(E271=1,SUM((ROW(Mf0)=ROW(AS271))*(Mf0+Mf1_+Mf2_+Mf3_+Mf4_+Mf5_+Mf6_+Mf7_+Mf8_+Mf9_+Mf10_+Mf11_+Mf12_+Mf13_+Mf14_+Mf15_+Mf16_+Mf17_+Mf18_+Mf19_+Mf20_+Mf21_+Mf22_+Mf23_+Mf24_+Mf25_+Mf26_+Mf27_+Mf28_+Mf29_+Mf30_+Mf31_+Mf32_+Mf33_+Mf34_+Mf35_+Mf36_+Mf37_)),0)</f>
        <v>0</v>
      </c>
      <c r="AU271" s="24" t="str">
        <f t="shared" si="30"/>
        <v/>
      </c>
      <c r="AV271" s="24" t="str">
        <f t="shared" si="31"/>
        <v/>
      </c>
      <c r="AW271" s="24" t="str">
        <f t="shared" si="32"/>
        <v/>
      </c>
      <c r="AX271" s="72">
        <f t="shared" si="33"/>
        <v>0</v>
      </c>
      <c r="AY271" s="24">
        <f t="shared" si="34"/>
        <v>0</v>
      </c>
      <c r="AZ271" s="24">
        <f t="array" ref="AZ271">IF(OR(RIGHT(B271,LEN(Par_LabelTravelTime))=Par_LabelTravelTime,B271="čas na ceste - fakturácia"),1,0)</f>
        <v>0</v>
      </c>
    </row>
    <row r="272" spans="2:52" s="24" customFormat="1" ht="12.75" x14ac:dyDescent="0.2">
      <c r="B272" s="97"/>
      <c r="C272" s="92"/>
      <c r="D272" s="31" t="str">
        <f>IF(E272=1,VLOOKUP(TableInvs[[#This Row],[Calc_V_Typ]],Tran_RevenuesList,3,FALSE),"")</f>
        <v/>
      </c>
      <c r="E272" s="31">
        <f t="shared" si="29"/>
        <v>0</v>
      </c>
      <c r="F272" s="9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  <c r="R272" s="84"/>
      <c r="S272" s="84"/>
      <c r="T272" s="84"/>
      <c r="U272" s="84"/>
      <c r="V272" s="84"/>
      <c r="W272" s="84"/>
      <c r="X272" s="84"/>
      <c r="Y272" s="84"/>
      <c r="Z272" s="84"/>
      <c r="AA272" s="84"/>
      <c r="AB272" s="84"/>
      <c r="AC272" s="85"/>
      <c r="AD272" s="85"/>
      <c r="AE272" s="84"/>
      <c r="AF272" s="84"/>
      <c r="AG272" s="84"/>
      <c r="AH272" s="84"/>
      <c r="AI272" s="84"/>
      <c r="AJ272" s="84"/>
      <c r="AK272" s="84"/>
      <c r="AL272" s="84"/>
      <c r="AM272" s="84"/>
      <c r="AN272" s="84"/>
      <c r="AO272" s="84"/>
      <c r="AP272" s="84"/>
      <c r="AQ272" s="84"/>
      <c r="AR272" s="84"/>
      <c r="AS272" s="87">
        <f t="array" ref="AS272">IF(E272=1,SUM((ROW(Mf0)=ROW(AS272))*(Mf0+Mf1_+Mf2_+Mf3_+Mf4_+Mf5_+Mf6_+Mf7_+Mf8_+Mf9_+Mf10_+Mf11_+Mf12_+Mf13_+Mf14_+Mf15_+Mf16_+Mf17_+Mf18_+Mf19_+Mf20_+Mf21_+Mf22_+Mf23_+Mf24_+Mf25_+Mf26_+Mf27_+Mf28_+Mf29_+Mf30_+Mf31_+Mf32_+Mf33_+Mf34_+Mf35_+Mf36_+Mf37_)),0)</f>
        <v>0</v>
      </c>
      <c r="AU272" s="24" t="str">
        <f t="shared" si="30"/>
        <v/>
      </c>
      <c r="AV272" s="24" t="str">
        <f t="shared" si="31"/>
        <v/>
      </c>
      <c r="AW272" s="24" t="str">
        <f t="shared" si="32"/>
        <v/>
      </c>
      <c r="AX272" s="72">
        <f t="shared" si="33"/>
        <v>0</v>
      </c>
      <c r="AY272" s="24">
        <f t="shared" si="34"/>
        <v>0</v>
      </c>
      <c r="AZ272" s="24">
        <f t="array" ref="AZ272">IF(OR(RIGHT(B272,LEN(Par_LabelTravelTime))=Par_LabelTravelTime,B272="čas na ceste - fakturácia"),1,0)</f>
        <v>0</v>
      </c>
    </row>
    <row r="273" spans="2:52" s="24" customFormat="1" ht="12.75" x14ac:dyDescent="0.2">
      <c r="B273" s="97"/>
      <c r="C273" s="92"/>
      <c r="D273" s="31" t="str">
        <f>IF(E273=1,VLOOKUP(TableInvs[[#This Row],[Calc_V_Typ]],Tran_RevenuesList,3,FALSE),"")</f>
        <v/>
      </c>
      <c r="E273" s="31">
        <f t="shared" si="29"/>
        <v>0</v>
      </c>
      <c r="F273" s="9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  <c r="R273" s="84"/>
      <c r="S273" s="84"/>
      <c r="T273" s="84"/>
      <c r="U273" s="84"/>
      <c r="V273" s="84"/>
      <c r="W273" s="84"/>
      <c r="X273" s="84"/>
      <c r="Y273" s="84"/>
      <c r="Z273" s="84"/>
      <c r="AA273" s="84"/>
      <c r="AB273" s="84"/>
      <c r="AC273" s="85"/>
      <c r="AD273" s="85"/>
      <c r="AE273" s="84"/>
      <c r="AF273" s="84"/>
      <c r="AG273" s="84"/>
      <c r="AH273" s="84"/>
      <c r="AI273" s="84"/>
      <c r="AJ273" s="84"/>
      <c r="AK273" s="84"/>
      <c r="AL273" s="84"/>
      <c r="AM273" s="84"/>
      <c r="AN273" s="84"/>
      <c r="AO273" s="84"/>
      <c r="AP273" s="84"/>
      <c r="AQ273" s="84"/>
      <c r="AR273" s="84"/>
      <c r="AS273" s="87">
        <f t="array" ref="AS273">IF(E273=1,SUM((ROW(Mf0)=ROW(AS273))*(Mf0+Mf1_+Mf2_+Mf3_+Mf4_+Mf5_+Mf6_+Mf7_+Mf8_+Mf9_+Mf10_+Mf11_+Mf12_+Mf13_+Mf14_+Mf15_+Mf16_+Mf17_+Mf18_+Mf19_+Mf20_+Mf21_+Mf22_+Mf23_+Mf24_+Mf25_+Mf26_+Mf27_+Mf28_+Mf29_+Mf30_+Mf31_+Mf32_+Mf33_+Mf34_+Mf35_+Mf36_+Mf37_)),0)</f>
        <v>0</v>
      </c>
      <c r="AU273" s="24" t="str">
        <f t="shared" si="30"/>
        <v/>
      </c>
      <c r="AV273" s="24" t="str">
        <f t="shared" si="31"/>
        <v/>
      </c>
      <c r="AW273" s="24" t="str">
        <f t="shared" si="32"/>
        <v/>
      </c>
      <c r="AX273" s="72">
        <f t="shared" si="33"/>
        <v>0</v>
      </c>
      <c r="AY273" s="24">
        <f t="shared" si="34"/>
        <v>0</v>
      </c>
      <c r="AZ273" s="24">
        <f t="array" ref="AZ273">IF(OR(RIGHT(B273,LEN(Par_LabelTravelTime))=Par_LabelTravelTime,B273="čas na ceste - fakturácia"),1,0)</f>
        <v>0</v>
      </c>
    </row>
    <row r="274" spans="2:52" s="24" customFormat="1" ht="12.75" x14ac:dyDescent="0.2">
      <c r="B274" s="97"/>
      <c r="C274" s="92"/>
      <c r="D274" s="31" t="str">
        <f>IF(E274=1,VLOOKUP(TableInvs[[#This Row],[Calc_V_Typ]],Tran_RevenuesList,3,FALSE),"")</f>
        <v/>
      </c>
      <c r="E274" s="31">
        <f t="shared" si="29"/>
        <v>0</v>
      </c>
      <c r="F274" s="9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  <c r="R274" s="84"/>
      <c r="S274" s="84"/>
      <c r="T274" s="84"/>
      <c r="U274" s="84"/>
      <c r="V274" s="84"/>
      <c r="W274" s="84"/>
      <c r="X274" s="84"/>
      <c r="Y274" s="84"/>
      <c r="Z274" s="84"/>
      <c r="AA274" s="84"/>
      <c r="AB274" s="84"/>
      <c r="AC274" s="85"/>
      <c r="AD274" s="85"/>
      <c r="AE274" s="84"/>
      <c r="AF274" s="84"/>
      <c r="AG274" s="84"/>
      <c r="AH274" s="84"/>
      <c r="AI274" s="84"/>
      <c r="AJ274" s="84"/>
      <c r="AK274" s="84"/>
      <c r="AL274" s="84"/>
      <c r="AM274" s="84"/>
      <c r="AN274" s="84"/>
      <c r="AO274" s="84"/>
      <c r="AP274" s="84"/>
      <c r="AQ274" s="84"/>
      <c r="AR274" s="84"/>
      <c r="AS274" s="87">
        <f t="array" ref="AS274">IF(E274=1,SUM((ROW(Mf0)=ROW(AS274))*(Mf0+Mf1_+Mf2_+Mf3_+Mf4_+Mf5_+Mf6_+Mf7_+Mf8_+Mf9_+Mf10_+Mf11_+Mf12_+Mf13_+Mf14_+Mf15_+Mf16_+Mf17_+Mf18_+Mf19_+Mf20_+Mf21_+Mf22_+Mf23_+Mf24_+Mf25_+Mf26_+Mf27_+Mf28_+Mf29_+Mf30_+Mf31_+Mf32_+Mf33_+Mf34_+Mf35_+Mf36_+Mf37_)),0)</f>
        <v>0</v>
      </c>
      <c r="AU274" s="24" t="str">
        <f t="shared" si="30"/>
        <v/>
      </c>
      <c r="AV274" s="24" t="str">
        <f t="shared" si="31"/>
        <v/>
      </c>
      <c r="AW274" s="24" t="str">
        <f t="shared" si="32"/>
        <v/>
      </c>
      <c r="AX274" s="72">
        <f t="shared" si="33"/>
        <v>0</v>
      </c>
      <c r="AY274" s="24">
        <f t="shared" si="34"/>
        <v>0</v>
      </c>
      <c r="AZ274" s="24">
        <f t="array" ref="AZ274">IF(OR(RIGHT(B274,LEN(Par_LabelTravelTime))=Par_LabelTravelTime,B274="čas na ceste - fakturácia"),1,0)</f>
        <v>0</v>
      </c>
    </row>
    <row r="275" spans="2:52" s="24" customFormat="1" ht="12.75" x14ac:dyDescent="0.2">
      <c r="B275" s="97"/>
      <c r="C275" s="92"/>
      <c r="D275" s="31" t="str">
        <f>IF(E275=1,VLOOKUP(TableInvs[[#This Row],[Calc_V_Typ]],Tran_RevenuesList,3,FALSE),"")</f>
        <v/>
      </c>
      <c r="E275" s="31">
        <f t="shared" si="29"/>
        <v>0</v>
      </c>
      <c r="F275" s="94"/>
      <c r="G275" s="84"/>
      <c r="H275" s="84"/>
      <c r="I275" s="84"/>
      <c r="J275" s="84"/>
      <c r="K275" s="84"/>
      <c r="L275" s="84"/>
      <c r="M275" s="84"/>
      <c r="N275" s="84"/>
      <c r="O275" s="84"/>
      <c r="P275" s="84"/>
      <c r="Q275" s="84"/>
      <c r="R275" s="84"/>
      <c r="S275" s="84"/>
      <c r="T275" s="84"/>
      <c r="U275" s="84"/>
      <c r="V275" s="84"/>
      <c r="W275" s="84"/>
      <c r="X275" s="84"/>
      <c r="Y275" s="84"/>
      <c r="Z275" s="84"/>
      <c r="AA275" s="84"/>
      <c r="AB275" s="84"/>
      <c r="AC275" s="85"/>
      <c r="AD275" s="85"/>
      <c r="AE275" s="84"/>
      <c r="AF275" s="84"/>
      <c r="AG275" s="84"/>
      <c r="AH275" s="84"/>
      <c r="AI275" s="84"/>
      <c r="AJ275" s="84"/>
      <c r="AK275" s="84"/>
      <c r="AL275" s="84"/>
      <c r="AM275" s="84"/>
      <c r="AN275" s="84"/>
      <c r="AO275" s="84"/>
      <c r="AP275" s="84"/>
      <c r="AQ275" s="84"/>
      <c r="AR275" s="84"/>
      <c r="AS275" s="87">
        <f t="array" ref="AS275">IF(E275=1,SUM((ROW(Mf0)=ROW(AS275))*(Mf0+Mf1_+Mf2_+Mf3_+Mf4_+Mf5_+Mf6_+Mf7_+Mf8_+Mf9_+Mf10_+Mf11_+Mf12_+Mf13_+Mf14_+Mf15_+Mf16_+Mf17_+Mf18_+Mf19_+Mf20_+Mf21_+Mf22_+Mf23_+Mf24_+Mf25_+Mf26_+Mf27_+Mf28_+Mf29_+Mf30_+Mf31_+Mf32_+Mf33_+Mf34_+Mf35_+Mf36_+Mf37_)),0)</f>
        <v>0</v>
      </c>
      <c r="AU275" s="24" t="str">
        <f t="shared" si="30"/>
        <v/>
      </c>
      <c r="AV275" s="24" t="str">
        <f t="shared" si="31"/>
        <v/>
      </c>
      <c r="AW275" s="24" t="str">
        <f t="shared" si="32"/>
        <v/>
      </c>
      <c r="AX275" s="72">
        <f t="shared" si="33"/>
        <v>0</v>
      </c>
      <c r="AY275" s="24">
        <f t="shared" si="34"/>
        <v>0</v>
      </c>
      <c r="AZ275" s="24">
        <f t="array" ref="AZ275">IF(OR(RIGHT(B275,LEN(Par_LabelTravelTime))=Par_LabelTravelTime,B275="čas na ceste - fakturácia"),1,0)</f>
        <v>0</v>
      </c>
    </row>
    <row r="276" spans="2:52" s="24" customFormat="1" ht="12.75" x14ac:dyDescent="0.2">
      <c r="B276" s="97"/>
      <c r="C276" s="92"/>
      <c r="D276" s="31" t="str">
        <f>IF(E276=1,VLOOKUP(TableInvs[[#This Row],[Calc_V_Typ]],Tran_RevenuesList,3,FALSE),"")</f>
        <v/>
      </c>
      <c r="E276" s="31">
        <f t="shared" si="29"/>
        <v>0</v>
      </c>
      <c r="F276" s="9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  <c r="R276" s="84"/>
      <c r="S276" s="84"/>
      <c r="T276" s="84"/>
      <c r="U276" s="84"/>
      <c r="V276" s="84"/>
      <c r="W276" s="84"/>
      <c r="X276" s="84"/>
      <c r="Y276" s="84"/>
      <c r="Z276" s="84"/>
      <c r="AA276" s="84"/>
      <c r="AB276" s="84"/>
      <c r="AC276" s="85"/>
      <c r="AD276" s="85"/>
      <c r="AE276" s="84"/>
      <c r="AF276" s="84"/>
      <c r="AG276" s="84"/>
      <c r="AH276" s="84"/>
      <c r="AI276" s="84"/>
      <c r="AJ276" s="84"/>
      <c r="AK276" s="84"/>
      <c r="AL276" s="84"/>
      <c r="AM276" s="84"/>
      <c r="AN276" s="84"/>
      <c r="AO276" s="84"/>
      <c r="AP276" s="84"/>
      <c r="AQ276" s="84"/>
      <c r="AR276" s="84"/>
      <c r="AS276" s="87">
        <f t="array" ref="AS276">IF(E276=1,SUM((ROW(Mf0)=ROW(AS276))*(Mf0+Mf1_+Mf2_+Mf3_+Mf4_+Mf5_+Mf6_+Mf7_+Mf8_+Mf9_+Mf10_+Mf11_+Mf12_+Mf13_+Mf14_+Mf15_+Mf16_+Mf17_+Mf18_+Mf19_+Mf20_+Mf21_+Mf22_+Mf23_+Mf24_+Mf25_+Mf26_+Mf27_+Mf28_+Mf29_+Mf30_+Mf31_+Mf32_+Mf33_+Mf34_+Mf35_+Mf36_+Mf37_)),0)</f>
        <v>0</v>
      </c>
      <c r="AU276" s="24" t="str">
        <f t="shared" si="30"/>
        <v/>
      </c>
      <c r="AV276" s="24" t="str">
        <f t="shared" si="31"/>
        <v/>
      </c>
      <c r="AW276" s="24" t="str">
        <f t="shared" si="32"/>
        <v/>
      </c>
      <c r="AX276" s="72">
        <f t="shared" si="33"/>
        <v>0</v>
      </c>
      <c r="AY276" s="24">
        <f t="shared" si="34"/>
        <v>0</v>
      </c>
      <c r="AZ276" s="24">
        <f t="array" ref="AZ276">IF(OR(RIGHT(B276,LEN(Par_LabelTravelTime))=Par_LabelTravelTime,B276="čas na ceste - fakturácia"),1,0)</f>
        <v>0</v>
      </c>
    </row>
    <row r="277" spans="2:52" s="24" customFormat="1" ht="12.75" x14ac:dyDescent="0.2">
      <c r="B277" s="97"/>
      <c r="C277" s="92"/>
      <c r="D277" s="31" t="str">
        <f>IF(E277=1,VLOOKUP(TableInvs[[#This Row],[Calc_V_Typ]],Tran_RevenuesList,3,FALSE),"")</f>
        <v/>
      </c>
      <c r="E277" s="31">
        <f t="shared" si="29"/>
        <v>0</v>
      </c>
      <c r="F277" s="9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  <c r="R277" s="84"/>
      <c r="S277" s="84"/>
      <c r="T277" s="84"/>
      <c r="U277" s="84"/>
      <c r="V277" s="84"/>
      <c r="W277" s="84"/>
      <c r="X277" s="84"/>
      <c r="Y277" s="84"/>
      <c r="Z277" s="84"/>
      <c r="AA277" s="84"/>
      <c r="AB277" s="84"/>
      <c r="AC277" s="85"/>
      <c r="AD277" s="85"/>
      <c r="AE277" s="84"/>
      <c r="AF277" s="84"/>
      <c r="AG277" s="84"/>
      <c r="AH277" s="84"/>
      <c r="AI277" s="84"/>
      <c r="AJ277" s="84"/>
      <c r="AK277" s="84"/>
      <c r="AL277" s="84"/>
      <c r="AM277" s="84"/>
      <c r="AN277" s="84"/>
      <c r="AO277" s="84"/>
      <c r="AP277" s="84"/>
      <c r="AQ277" s="84"/>
      <c r="AR277" s="84"/>
      <c r="AS277" s="87">
        <f t="array" ref="AS277">IF(E277=1,SUM((ROW(Mf0)=ROW(AS277))*(Mf0+Mf1_+Mf2_+Mf3_+Mf4_+Mf5_+Mf6_+Mf7_+Mf8_+Mf9_+Mf10_+Mf11_+Mf12_+Mf13_+Mf14_+Mf15_+Mf16_+Mf17_+Mf18_+Mf19_+Mf20_+Mf21_+Mf22_+Mf23_+Mf24_+Mf25_+Mf26_+Mf27_+Mf28_+Mf29_+Mf30_+Mf31_+Mf32_+Mf33_+Mf34_+Mf35_+Mf36_+Mf37_)),0)</f>
        <v>0</v>
      </c>
      <c r="AU277" s="24" t="str">
        <f t="shared" si="30"/>
        <v/>
      </c>
      <c r="AV277" s="24" t="str">
        <f t="shared" si="31"/>
        <v/>
      </c>
      <c r="AW277" s="24" t="str">
        <f t="shared" si="32"/>
        <v/>
      </c>
      <c r="AX277" s="72">
        <f t="shared" si="33"/>
        <v>0</v>
      </c>
      <c r="AY277" s="24">
        <f t="shared" si="34"/>
        <v>0</v>
      </c>
      <c r="AZ277" s="24">
        <f t="array" ref="AZ277">IF(OR(RIGHT(B277,LEN(Par_LabelTravelTime))=Par_LabelTravelTime,B277="čas na ceste - fakturácia"),1,0)</f>
        <v>0</v>
      </c>
    </row>
    <row r="278" spans="2:52" s="24" customFormat="1" ht="12.75" x14ac:dyDescent="0.2">
      <c r="B278" s="97"/>
      <c r="C278" s="92"/>
      <c r="D278" s="31" t="str">
        <f>IF(E278=1,VLOOKUP(TableInvs[[#This Row],[Calc_V_Typ]],Tran_RevenuesList,3,FALSE),"")</f>
        <v/>
      </c>
      <c r="E278" s="31">
        <f t="shared" si="29"/>
        <v>0</v>
      </c>
      <c r="F278" s="9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  <c r="R278" s="84"/>
      <c r="S278" s="84"/>
      <c r="T278" s="84"/>
      <c r="U278" s="84"/>
      <c r="V278" s="84"/>
      <c r="W278" s="84"/>
      <c r="X278" s="84"/>
      <c r="Y278" s="84"/>
      <c r="Z278" s="84"/>
      <c r="AA278" s="84"/>
      <c r="AB278" s="84"/>
      <c r="AC278" s="85"/>
      <c r="AD278" s="85"/>
      <c r="AE278" s="84"/>
      <c r="AF278" s="84"/>
      <c r="AG278" s="84"/>
      <c r="AH278" s="84"/>
      <c r="AI278" s="84"/>
      <c r="AJ278" s="84"/>
      <c r="AK278" s="84"/>
      <c r="AL278" s="84"/>
      <c r="AM278" s="84"/>
      <c r="AN278" s="84"/>
      <c r="AO278" s="84"/>
      <c r="AP278" s="84"/>
      <c r="AQ278" s="84"/>
      <c r="AR278" s="84"/>
      <c r="AS278" s="87">
        <f t="array" ref="AS278">IF(E278=1,SUM((ROW(Mf0)=ROW(AS278))*(Mf0+Mf1_+Mf2_+Mf3_+Mf4_+Mf5_+Mf6_+Mf7_+Mf8_+Mf9_+Mf10_+Mf11_+Mf12_+Mf13_+Mf14_+Mf15_+Mf16_+Mf17_+Mf18_+Mf19_+Mf20_+Mf21_+Mf22_+Mf23_+Mf24_+Mf25_+Mf26_+Mf27_+Mf28_+Mf29_+Mf30_+Mf31_+Mf32_+Mf33_+Mf34_+Mf35_+Mf36_+Mf37_)),0)</f>
        <v>0</v>
      </c>
      <c r="AU278" s="24" t="str">
        <f t="shared" si="30"/>
        <v/>
      </c>
      <c r="AV278" s="24" t="str">
        <f t="shared" si="31"/>
        <v/>
      </c>
      <c r="AW278" s="24" t="str">
        <f t="shared" si="32"/>
        <v/>
      </c>
      <c r="AX278" s="72">
        <f t="shared" si="33"/>
        <v>0</v>
      </c>
      <c r="AY278" s="24">
        <f t="shared" si="34"/>
        <v>0</v>
      </c>
      <c r="AZ278" s="24">
        <f t="array" ref="AZ278">IF(OR(RIGHT(B278,LEN(Par_LabelTravelTime))=Par_LabelTravelTime,B278="čas na ceste - fakturácia"),1,0)</f>
        <v>0</v>
      </c>
    </row>
    <row r="279" spans="2:52" s="24" customFormat="1" ht="12.75" x14ac:dyDescent="0.2">
      <c r="B279" s="97"/>
      <c r="C279" s="92"/>
      <c r="D279" s="31" t="str">
        <f>IF(E279=1,VLOOKUP(TableInvs[[#This Row],[Calc_V_Typ]],Tran_RevenuesList,3,FALSE),"")</f>
        <v/>
      </c>
      <c r="E279" s="31">
        <f t="shared" si="29"/>
        <v>0</v>
      </c>
      <c r="F279" s="9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  <c r="S279" s="84"/>
      <c r="T279" s="84"/>
      <c r="U279" s="84"/>
      <c r="V279" s="84"/>
      <c r="W279" s="84"/>
      <c r="X279" s="84"/>
      <c r="Y279" s="84"/>
      <c r="Z279" s="84"/>
      <c r="AA279" s="84"/>
      <c r="AB279" s="84"/>
      <c r="AC279" s="85"/>
      <c r="AD279" s="85"/>
      <c r="AE279" s="84"/>
      <c r="AF279" s="84"/>
      <c r="AG279" s="84"/>
      <c r="AH279" s="84"/>
      <c r="AI279" s="84"/>
      <c r="AJ279" s="84"/>
      <c r="AK279" s="84"/>
      <c r="AL279" s="84"/>
      <c r="AM279" s="84"/>
      <c r="AN279" s="84"/>
      <c r="AO279" s="84"/>
      <c r="AP279" s="84"/>
      <c r="AQ279" s="84"/>
      <c r="AR279" s="84"/>
      <c r="AS279" s="87">
        <f t="array" ref="AS279">IF(E279=1,SUM((ROW(Mf0)=ROW(AS279))*(Mf0+Mf1_+Mf2_+Mf3_+Mf4_+Mf5_+Mf6_+Mf7_+Mf8_+Mf9_+Mf10_+Mf11_+Mf12_+Mf13_+Mf14_+Mf15_+Mf16_+Mf17_+Mf18_+Mf19_+Mf20_+Mf21_+Mf22_+Mf23_+Mf24_+Mf25_+Mf26_+Mf27_+Mf28_+Mf29_+Mf30_+Mf31_+Mf32_+Mf33_+Mf34_+Mf35_+Mf36_+Mf37_)),0)</f>
        <v>0</v>
      </c>
      <c r="AU279" s="24" t="str">
        <f t="shared" si="30"/>
        <v/>
      </c>
      <c r="AV279" s="24" t="str">
        <f t="shared" si="31"/>
        <v/>
      </c>
      <c r="AW279" s="24" t="str">
        <f t="shared" si="32"/>
        <v/>
      </c>
      <c r="AX279" s="72">
        <f t="shared" si="33"/>
        <v>0</v>
      </c>
      <c r="AY279" s="24">
        <f t="shared" si="34"/>
        <v>0</v>
      </c>
      <c r="AZ279" s="24">
        <f t="array" ref="AZ279">IF(OR(RIGHT(B279,LEN(Par_LabelTravelTime))=Par_LabelTravelTime,B279="čas na ceste - fakturácia"),1,0)</f>
        <v>0</v>
      </c>
    </row>
    <row r="280" spans="2:52" s="24" customFormat="1" ht="12.75" x14ac:dyDescent="0.2">
      <c r="B280" s="97"/>
      <c r="C280" s="92"/>
      <c r="D280" s="31" t="str">
        <f>IF(E280=1,VLOOKUP(TableInvs[[#This Row],[Calc_V_Typ]],Tran_RevenuesList,3,FALSE),"")</f>
        <v/>
      </c>
      <c r="E280" s="31">
        <f t="shared" si="29"/>
        <v>0</v>
      </c>
      <c r="F280" s="9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  <c r="S280" s="84"/>
      <c r="T280" s="84"/>
      <c r="U280" s="84"/>
      <c r="V280" s="84"/>
      <c r="W280" s="84"/>
      <c r="X280" s="84"/>
      <c r="Y280" s="84"/>
      <c r="Z280" s="84"/>
      <c r="AA280" s="84"/>
      <c r="AB280" s="84"/>
      <c r="AC280" s="85"/>
      <c r="AD280" s="85"/>
      <c r="AE280" s="84"/>
      <c r="AF280" s="84"/>
      <c r="AG280" s="84"/>
      <c r="AH280" s="84"/>
      <c r="AI280" s="84"/>
      <c r="AJ280" s="84"/>
      <c r="AK280" s="84"/>
      <c r="AL280" s="84"/>
      <c r="AM280" s="84"/>
      <c r="AN280" s="84"/>
      <c r="AO280" s="84"/>
      <c r="AP280" s="84"/>
      <c r="AQ280" s="84"/>
      <c r="AR280" s="84"/>
      <c r="AS280" s="87">
        <f t="array" ref="AS280">IF(E280=1,SUM((ROW(Mf0)=ROW(AS280))*(Mf0+Mf1_+Mf2_+Mf3_+Mf4_+Mf5_+Mf6_+Mf7_+Mf8_+Mf9_+Mf10_+Mf11_+Mf12_+Mf13_+Mf14_+Mf15_+Mf16_+Mf17_+Mf18_+Mf19_+Mf20_+Mf21_+Mf22_+Mf23_+Mf24_+Mf25_+Mf26_+Mf27_+Mf28_+Mf29_+Mf30_+Mf31_+Mf32_+Mf33_+Mf34_+Mf35_+Mf36_+Mf37_)),0)</f>
        <v>0</v>
      </c>
      <c r="AU280" s="24" t="str">
        <f t="shared" si="30"/>
        <v/>
      </c>
      <c r="AV280" s="24" t="str">
        <f t="shared" si="31"/>
        <v/>
      </c>
      <c r="AW280" s="24" t="str">
        <f t="shared" si="32"/>
        <v/>
      </c>
      <c r="AX280" s="72">
        <f t="shared" si="33"/>
        <v>0</v>
      </c>
      <c r="AY280" s="24">
        <f t="shared" si="34"/>
        <v>0</v>
      </c>
      <c r="AZ280" s="24">
        <f t="array" ref="AZ280">IF(OR(RIGHT(B280,LEN(Par_LabelTravelTime))=Par_LabelTravelTime,B280="čas na ceste - fakturácia"),1,0)</f>
        <v>0</v>
      </c>
    </row>
    <row r="281" spans="2:52" s="24" customFormat="1" ht="12.75" x14ac:dyDescent="0.2">
      <c r="B281" s="97"/>
      <c r="C281" s="92"/>
      <c r="D281" s="31" t="str">
        <f>IF(E281=1,VLOOKUP(TableInvs[[#This Row],[Calc_V_Typ]],Tran_RevenuesList,3,FALSE),"")</f>
        <v/>
      </c>
      <c r="E281" s="31">
        <f t="shared" si="29"/>
        <v>0</v>
      </c>
      <c r="F281" s="9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  <c r="S281" s="84"/>
      <c r="T281" s="84"/>
      <c r="U281" s="84"/>
      <c r="V281" s="84"/>
      <c r="W281" s="84"/>
      <c r="X281" s="84"/>
      <c r="Y281" s="84"/>
      <c r="Z281" s="84"/>
      <c r="AA281" s="84"/>
      <c r="AB281" s="84"/>
      <c r="AC281" s="85"/>
      <c r="AD281" s="85"/>
      <c r="AE281" s="84"/>
      <c r="AF281" s="84"/>
      <c r="AG281" s="84"/>
      <c r="AH281" s="84"/>
      <c r="AI281" s="84"/>
      <c r="AJ281" s="84"/>
      <c r="AK281" s="84"/>
      <c r="AL281" s="84"/>
      <c r="AM281" s="84"/>
      <c r="AN281" s="84"/>
      <c r="AO281" s="84"/>
      <c r="AP281" s="84"/>
      <c r="AQ281" s="84"/>
      <c r="AR281" s="84"/>
      <c r="AS281" s="87">
        <f t="array" ref="AS281">IF(E281=1,SUM((ROW(Mf0)=ROW(AS281))*(Mf0+Mf1_+Mf2_+Mf3_+Mf4_+Mf5_+Mf6_+Mf7_+Mf8_+Mf9_+Mf10_+Mf11_+Mf12_+Mf13_+Mf14_+Mf15_+Mf16_+Mf17_+Mf18_+Mf19_+Mf20_+Mf21_+Mf22_+Mf23_+Mf24_+Mf25_+Mf26_+Mf27_+Mf28_+Mf29_+Mf30_+Mf31_+Mf32_+Mf33_+Mf34_+Mf35_+Mf36_+Mf37_)),0)</f>
        <v>0</v>
      </c>
      <c r="AU281" s="24" t="str">
        <f t="shared" si="30"/>
        <v/>
      </c>
      <c r="AV281" s="24" t="str">
        <f t="shared" si="31"/>
        <v/>
      </c>
      <c r="AW281" s="24" t="str">
        <f t="shared" si="32"/>
        <v/>
      </c>
      <c r="AX281" s="72">
        <f t="shared" si="33"/>
        <v>0</v>
      </c>
      <c r="AY281" s="24">
        <f t="shared" si="34"/>
        <v>0</v>
      </c>
      <c r="AZ281" s="24">
        <f t="array" ref="AZ281">IF(OR(RIGHT(B281,LEN(Par_LabelTravelTime))=Par_LabelTravelTime,B281="čas na ceste - fakturácia"),1,0)</f>
        <v>0</v>
      </c>
    </row>
    <row r="282" spans="2:52" s="24" customFormat="1" ht="12.75" x14ac:dyDescent="0.2">
      <c r="B282" s="97"/>
      <c r="C282" s="92"/>
      <c r="D282" s="31" t="str">
        <f>IF(E282=1,VLOOKUP(TableInvs[[#This Row],[Calc_V_Typ]],Tran_RevenuesList,3,FALSE),"")</f>
        <v/>
      </c>
      <c r="E282" s="31">
        <f t="shared" si="29"/>
        <v>0</v>
      </c>
      <c r="F282" s="9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  <c r="S282" s="84"/>
      <c r="T282" s="84"/>
      <c r="U282" s="84"/>
      <c r="V282" s="84"/>
      <c r="W282" s="84"/>
      <c r="X282" s="84"/>
      <c r="Y282" s="84"/>
      <c r="Z282" s="84"/>
      <c r="AA282" s="84"/>
      <c r="AB282" s="84"/>
      <c r="AC282" s="85"/>
      <c r="AD282" s="85"/>
      <c r="AE282" s="84"/>
      <c r="AF282" s="84"/>
      <c r="AG282" s="84"/>
      <c r="AH282" s="84"/>
      <c r="AI282" s="84"/>
      <c r="AJ282" s="84"/>
      <c r="AK282" s="84"/>
      <c r="AL282" s="84"/>
      <c r="AM282" s="84"/>
      <c r="AN282" s="84"/>
      <c r="AO282" s="84"/>
      <c r="AP282" s="84"/>
      <c r="AQ282" s="84"/>
      <c r="AR282" s="84"/>
      <c r="AS282" s="87">
        <f t="array" ref="AS282">IF(E282=1,SUM((ROW(Mf0)=ROW(AS282))*(Mf0+Mf1_+Mf2_+Mf3_+Mf4_+Mf5_+Mf6_+Mf7_+Mf8_+Mf9_+Mf10_+Mf11_+Mf12_+Mf13_+Mf14_+Mf15_+Mf16_+Mf17_+Mf18_+Mf19_+Mf20_+Mf21_+Mf22_+Mf23_+Mf24_+Mf25_+Mf26_+Mf27_+Mf28_+Mf29_+Mf30_+Mf31_+Mf32_+Mf33_+Mf34_+Mf35_+Mf36_+Mf37_)),0)</f>
        <v>0</v>
      </c>
      <c r="AU282" s="24" t="str">
        <f t="shared" si="30"/>
        <v/>
      </c>
      <c r="AV282" s="24" t="str">
        <f t="shared" si="31"/>
        <v/>
      </c>
      <c r="AW282" s="24" t="str">
        <f t="shared" si="32"/>
        <v/>
      </c>
      <c r="AX282" s="72">
        <f t="shared" si="33"/>
        <v>0</v>
      </c>
      <c r="AY282" s="24">
        <f t="shared" si="34"/>
        <v>0</v>
      </c>
      <c r="AZ282" s="24">
        <f t="array" ref="AZ282">IF(OR(RIGHT(B282,LEN(Par_LabelTravelTime))=Par_LabelTravelTime,B282="čas na ceste - fakturácia"),1,0)</f>
        <v>0</v>
      </c>
    </row>
    <row r="283" spans="2:52" s="24" customFormat="1" ht="12.75" x14ac:dyDescent="0.2">
      <c r="B283" s="97"/>
      <c r="C283" s="92"/>
      <c r="D283" s="31" t="str">
        <f>IF(E283=1,VLOOKUP(TableInvs[[#This Row],[Calc_V_Typ]],Tran_RevenuesList,3,FALSE),"")</f>
        <v/>
      </c>
      <c r="E283" s="31">
        <f t="shared" si="29"/>
        <v>0</v>
      </c>
      <c r="F283" s="9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  <c r="S283" s="84"/>
      <c r="T283" s="84"/>
      <c r="U283" s="84"/>
      <c r="V283" s="84"/>
      <c r="W283" s="84"/>
      <c r="X283" s="84"/>
      <c r="Y283" s="84"/>
      <c r="Z283" s="84"/>
      <c r="AA283" s="84"/>
      <c r="AB283" s="84"/>
      <c r="AC283" s="85"/>
      <c r="AD283" s="85"/>
      <c r="AE283" s="84"/>
      <c r="AF283" s="84"/>
      <c r="AG283" s="84"/>
      <c r="AH283" s="84"/>
      <c r="AI283" s="84"/>
      <c r="AJ283" s="84"/>
      <c r="AK283" s="84"/>
      <c r="AL283" s="84"/>
      <c r="AM283" s="84"/>
      <c r="AN283" s="84"/>
      <c r="AO283" s="84"/>
      <c r="AP283" s="84"/>
      <c r="AQ283" s="84"/>
      <c r="AR283" s="84"/>
      <c r="AS283" s="87">
        <f t="array" ref="AS283">IF(E283=1,SUM((ROW(Mf0)=ROW(AS283))*(Mf0+Mf1_+Mf2_+Mf3_+Mf4_+Mf5_+Mf6_+Mf7_+Mf8_+Mf9_+Mf10_+Mf11_+Mf12_+Mf13_+Mf14_+Mf15_+Mf16_+Mf17_+Mf18_+Mf19_+Mf20_+Mf21_+Mf22_+Mf23_+Mf24_+Mf25_+Mf26_+Mf27_+Mf28_+Mf29_+Mf30_+Mf31_+Mf32_+Mf33_+Mf34_+Mf35_+Mf36_+Mf37_)),0)</f>
        <v>0</v>
      </c>
      <c r="AU283" s="24" t="str">
        <f t="shared" si="30"/>
        <v/>
      </c>
      <c r="AV283" s="24" t="str">
        <f t="shared" si="31"/>
        <v/>
      </c>
      <c r="AW283" s="24" t="str">
        <f t="shared" si="32"/>
        <v/>
      </c>
      <c r="AX283" s="72">
        <f t="shared" si="33"/>
        <v>0</v>
      </c>
      <c r="AY283" s="24">
        <f t="shared" si="34"/>
        <v>0</v>
      </c>
      <c r="AZ283" s="24">
        <f t="array" ref="AZ283">IF(OR(RIGHT(B283,LEN(Par_LabelTravelTime))=Par_LabelTravelTime,B283="čas na ceste - fakturácia"),1,0)</f>
        <v>0</v>
      </c>
    </row>
    <row r="284" spans="2:52" s="24" customFormat="1" ht="12.75" x14ac:dyDescent="0.2">
      <c r="B284" s="97"/>
      <c r="C284" s="92"/>
      <c r="D284" s="31" t="str">
        <f>IF(E284=1,VLOOKUP(TableInvs[[#This Row],[Calc_V_Typ]],Tran_RevenuesList,3,FALSE),"")</f>
        <v/>
      </c>
      <c r="E284" s="31">
        <f t="shared" si="29"/>
        <v>0</v>
      </c>
      <c r="F284" s="9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  <c r="S284" s="84"/>
      <c r="T284" s="84"/>
      <c r="U284" s="84"/>
      <c r="V284" s="84"/>
      <c r="W284" s="84"/>
      <c r="X284" s="84"/>
      <c r="Y284" s="84"/>
      <c r="Z284" s="84"/>
      <c r="AA284" s="84"/>
      <c r="AB284" s="84"/>
      <c r="AC284" s="85"/>
      <c r="AD284" s="85"/>
      <c r="AE284" s="84"/>
      <c r="AF284" s="84"/>
      <c r="AG284" s="84"/>
      <c r="AH284" s="84"/>
      <c r="AI284" s="84"/>
      <c r="AJ284" s="84"/>
      <c r="AK284" s="84"/>
      <c r="AL284" s="84"/>
      <c r="AM284" s="84"/>
      <c r="AN284" s="84"/>
      <c r="AO284" s="84"/>
      <c r="AP284" s="84"/>
      <c r="AQ284" s="84"/>
      <c r="AR284" s="84"/>
      <c r="AS284" s="87">
        <f t="array" ref="AS284">IF(E284=1,SUM((ROW(Mf0)=ROW(AS284))*(Mf0+Mf1_+Mf2_+Mf3_+Mf4_+Mf5_+Mf6_+Mf7_+Mf8_+Mf9_+Mf10_+Mf11_+Mf12_+Mf13_+Mf14_+Mf15_+Mf16_+Mf17_+Mf18_+Mf19_+Mf20_+Mf21_+Mf22_+Mf23_+Mf24_+Mf25_+Mf26_+Mf27_+Mf28_+Mf29_+Mf30_+Mf31_+Mf32_+Mf33_+Mf34_+Mf35_+Mf36_+Mf37_)),0)</f>
        <v>0</v>
      </c>
      <c r="AU284" s="24" t="str">
        <f t="shared" si="30"/>
        <v/>
      </c>
      <c r="AV284" s="24" t="str">
        <f t="shared" si="31"/>
        <v/>
      </c>
      <c r="AW284" s="24" t="str">
        <f t="shared" si="32"/>
        <v/>
      </c>
      <c r="AX284" s="72">
        <f t="shared" si="33"/>
        <v>0</v>
      </c>
      <c r="AY284" s="24">
        <f t="shared" si="34"/>
        <v>0</v>
      </c>
      <c r="AZ284" s="24">
        <f t="array" ref="AZ284">IF(OR(RIGHT(B284,LEN(Par_LabelTravelTime))=Par_LabelTravelTime,B284="čas na ceste - fakturácia"),1,0)</f>
        <v>0</v>
      </c>
    </row>
    <row r="285" spans="2:52" s="24" customFormat="1" ht="12.75" x14ac:dyDescent="0.2">
      <c r="B285" s="97"/>
      <c r="C285" s="92"/>
      <c r="D285" s="31" t="str">
        <f>IF(E285=1,VLOOKUP(TableInvs[[#This Row],[Calc_V_Typ]],Tran_RevenuesList,3,FALSE),"")</f>
        <v/>
      </c>
      <c r="E285" s="31">
        <f t="shared" si="29"/>
        <v>0</v>
      </c>
      <c r="F285" s="9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  <c r="S285" s="84"/>
      <c r="T285" s="84"/>
      <c r="U285" s="84"/>
      <c r="V285" s="84"/>
      <c r="W285" s="84"/>
      <c r="X285" s="84"/>
      <c r="Y285" s="84"/>
      <c r="Z285" s="84"/>
      <c r="AA285" s="84"/>
      <c r="AB285" s="84"/>
      <c r="AC285" s="85"/>
      <c r="AD285" s="85"/>
      <c r="AE285" s="84"/>
      <c r="AF285" s="84"/>
      <c r="AG285" s="84"/>
      <c r="AH285" s="84"/>
      <c r="AI285" s="84"/>
      <c r="AJ285" s="84"/>
      <c r="AK285" s="84"/>
      <c r="AL285" s="84"/>
      <c r="AM285" s="84"/>
      <c r="AN285" s="84"/>
      <c r="AO285" s="84"/>
      <c r="AP285" s="84"/>
      <c r="AQ285" s="84"/>
      <c r="AR285" s="84"/>
      <c r="AS285" s="87">
        <f t="array" ref="AS285">IF(E285=1,SUM((ROW(Mf0)=ROW(AS285))*(Mf0+Mf1_+Mf2_+Mf3_+Mf4_+Mf5_+Mf6_+Mf7_+Mf8_+Mf9_+Mf10_+Mf11_+Mf12_+Mf13_+Mf14_+Mf15_+Mf16_+Mf17_+Mf18_+Mf19_+Mf20_+Mf21_+Mf22_+Mf23_+Mf24_+Mf25_+Mf26_+Mf27_+Mf28_+Mf29_+Mf30_+Mf31_+Mf32_+Mf33_+Mf34_+Mf35_+Mf36_+Mf37_)),0)</f>
        <v>0</v>
      </c>
      <c r="AU285" s="24" t="str">
        <f t="shared" si="30"/>
        <v/>
      </c>
      <c r="AV285" s="24" t="str">
        <f t="shared" si="31"/>
        <v/>
      </c>
      <c r="AW285" s="24" t="str">
        <f t="shared" si="32"/>
        <v/>
      </c>
      <c r="AX285" s="72">
        <f t="shared" si="33"/>
        <v>0</v>
      </c>
      <c r="AY285" s="24">
        <f t="shared" si="34"/>
        <v>0</v>
      </c>
      <c r="AZ285" s="24">
        <f t="array" ref="AZ285">IF(OR(RIGHT(B285,LEN(Par_LabelTravelTime))=Par_LabelTravelTime,B285="čas na ceste - fakturácia"),1,0)</f>
        <v>0</v>
      </c>
    </row>
    <row r="286" spans="2:52" s="24" customFormat="1" ht="12.75" x14ac:dyDescent="0.2">
      <c r="B286" s="97"/>
      <c r="C286" s="92"/>
      <c r="D286" s="31" t="str">
        <f>IF(E286=1,VLOOKUP(TableInvs[[#This Row],[Calc_V_Typ]],Tran_RevenuesList,3,FALSE),"")</f>
        <v/>
      </c>
      <c r="E286" s="31">
        <f t="shared" si="29"/>
        <v>0</v>
      </c>
      <c r="F286" s="9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  <c r="S286" s="84"/>
      <c r="T286" s="84"/>
      <c r="U286" s="84"/>
      <c r="V286" s="84"/>
      <c r="W286" s="84"/>
      <c r="X286" s="84"/>
      <c r="Y286" s="84"/>
      <c r="Z286" s="84"/>
      <c r="AA286" s="84"/>
      <c r="AB286" s="84"/>
      <c r="AC286" s="85"/>
      <c r="AD286" s="85"/>
      <c r="AE286" s="84"/>
      <c r="AF286" s="84"/>
      <c r="AG286" s="84"/>
      <c r="AH286" s="84"/>
      <c r="AI286" s="84"/>
      <c r="AJ286" s="84"/>
      <c r="AK286" s="84"/>
      <c r="AL286" s="84"/>
      <c r="AM286" s="84"/>
      <c r="AN286" s="84"/>
      <c r="AO286" s="84"/>
      <c r="AP286" s="84"/>
      <c r="AQ286" s="84"/>
      <c r="AR286" s="84"/>
      <c r="AS286" s="87">
        <f t="array" ref="AS286">IF(E286=1,SUM((ROW(Mf0)=ROW(AS286))*(Mf0+Mf1_+Mf2_+Mf3_+Mf4_+Mf5_+Mf6_+Mf7_+Mf8_+Mf9_+Mf10_+Mf11_+Mf12_+Mf13_+Mf14_+Mf15_+Mf16_+Mf17_+Mf18_+Mf19_+Mf20_+Mf21_+Mf22_+Mf23_+Mf24_+Mf25_+Mf26_+Mf27_+Mf28_+Mf29_+Mf30_+Mf31_+Mf32_+Mf33_+Mf34_+Mf35_+Mf36_+Mf37_)),0)</f>
        <v>0</v>
      </c>
      <c r="AU286" s="24" t="str">
        <f t="shared" si="30"/>
        <v/>
      </c>
      <c r="AV286" s="24" t="str">
        <f t="shared" si="31"/>
        <v/>
      </c>
      <c r="AW286" s="24" t="str">
        <f t="shared" si="32"/>
        <v/>
      </c>
      <c r="AX286" s="72">
        <f t="shared" si="33"/>
        <v>0</v>
      </c>
      <c r="AY286" s="24">
        <f t="shared" si="34"/>
        <v>0</v>
      </c>
      <c r="AZ286" s="24">
        <f t="array" ref="AZ286">IF(OR(RIGHT(B286,LEN(Par_LabelTravelTime))=Par_LabelTravelTime,B286="čas na ceste - fakturácia"),1,0)</f>
        <v>0</v>
      </c>
    </row>
    <row r="287" spans="2:52" s="24" customFormat="1" ht="12.75" x14ac:dyDescent="0.2">
      <c r="B287" s="97"/>
      <c r="C287" s="92"/>
      <c r="D287" s="31" t="str">
        <f>IF(E287=1,VLOOKUP(TableInvs[[#This Row],[Calc_V_Typ]],Tran_RevenuesList,3,FALSE),"")</f>
        <v/>
      </c>
      <c r="E287" s="31">
        <f t="shared" si="29"/>
        <v>0</v>
      </c>
      <c r="F287" s="9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  <c r="S287" s="84"/>
      <c r="T287" s="84"/>
      <c r="U287" s="84"/>
      <c r="V287" s="84"/>
      <c r="W287" s="84"/>
      <c r="X287" s="84"/>
      <c r="Y287" s="84"/>
      <c r="Z287" s="84"/>
      <c r="AA287" s="84"/>
      <c r="AB287" s="84"/>
      <c r="AC287" s="85"/>
      <c r="AD287" s="85"/>
      <c r="AE287" s="84"/>
      <c r="AF287" s="84"/>
      <c r="AG287" s="84"/>
      <c r="AH287" s="84"/>
      <c r="AI287" s="84"/>
      <c r="AJ287" s="84"/>
      <c r="AK287" s="84"/>
      <c r="AL287" s="84"/>
      <c r="AM287" s="84"/>
      <c r="AN287" s="84"/>
      <c r="AO287" s="84"/>
      <c r="AP287" s="84"/>
      <c r="AQ287" s="84"/>
      <c r="AR287" s="84"/>
      <c r="AS287" s="87">
        <f t="array" ref="AS287">IF(E287=1,SUM((ROW(Mf0)=ROW(AS287))*(Mf0+Mf1_+Mf2_+Mf3_+Mf4_+Mf5_+Mf6_+Mf7_+Mf8_+Mf9_+Mf10_+Mf11_+Mf12_+Mf13_+Mf14_+Mf15_+Mf16_+Mf17_+Mf18_+Mf19_+Mf20_+Mf21_+Mf22_+Mf23_+Mf24_+Mf25_+Mf26_+Mf27_+Mf28_+Mf29_+Mf30_+Mf31_+Mf32_+Mf33_+Mf34_+Mf35_+Mf36_+Mf37_)),0)</f>
        <v>0</v>
      </c>
      <c r="AU287" s="24" t="str">
        <f t="shared" si="30"/>
        <v/>
      </c>
      <c r="AV287" s="24" t="str">
        <f t="shared" si="31"/>
        <v/>
      </c>
      <c r="AW287" s="24" t="str">
        <f t="shared" si="32"/>
        <v/>
      </c>
      <c r="AX287" s="72">
        <f t="shared" si="33"/>
        <v>0</v>
      </c>
      <c r="AY287" s="24">
        <f t="shared" si="34"/>
        <v>0</v>
      </c>
      <c r="AZ287" s="24">
        <f t="array" ref="AZ287">IF(OR(RIGHT(B287,LEN(Par_LabelTravelTime))=Par_LabelTravelTime,B287="čas na ceste - fakturácia"),1,0)</f>
        <v>0</v>
      </c>
    </row>
    <row r="288" spans="2:52" s="24" customFormat="1" ht="12.75" x14ac:dyDescent="0.2">
      <c r="B288" s="97"/>
      <c r="C288" s="92"/>
      <c r="D288" s="31" t="str">
        <f>IF(E288=1,VLOOKUP(TableInvs[[#This Row],[Calc_V_Typ]],Tran_RevenuesList,3,FALSE),"")</f>
        <v/>
      </c>
      <c r="E288" s="31">
        <f t="shared" si="29"/>
        <v>0</v>
      </c>
      <c r="F288" s="9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  <c r="S288" s="84"/>
      <c r="T288" s="84"/>
      <c r="U288" s="84"/>
      <c r="V288" s="84"/>
      <c r="W288" s="84"/>
      <c r="X288" s="84"/>
      <c r="Y288" s="84"/>
      <c r="Z288" s="84"/>
      <c r="AA288" s="84"/>
      <c r="AB288" s="84"/>
      <c r="AC288" s="85"/>
      <c r="AD288" s="85"/>
      <c r="AE288" s="84"/>
      <c r="AF288" s="84"/>
      <c r="AG288" s="84"/>
      <c r="AH288" s="84"/>
      <c r="AI288" s="84"/>
      <c r="AJ288" s="84"/>
      <c r="AK288" s="84"/>
      <c r="AL288" s="84"/>
      <c r="AM288" s="84"/>
      <c r="AN288" s="84"/>
      <c r="AO288" s="84"/>
      <c r="AP288" s="84"/>
      <c r="AQ288" s="84"/>
      <c r="AR288" s="84"/>
      <c r="AS288" s="87">
        <f t="array" ref="AS288">IF(E288=1,SUM((ROW(Mf0)=ROW(AS288))*(Mf0+Mf1_+Mf2_+Mf3_+Mf4_+Mf5_+Mf6_+Mf7_+Mf8_+Mf9_+Mf10_+Mf11_+Mf12_+Mf13_+Mf14_+Mf15_+Mf16_+Mf17_+Mf18_+Mf19_+Mf20_+Mf21_+Mf22_+Mf23_+Mf24_+Mf25_+Mf26_+Mf27_+Mf28_+Mf29_+Mf30_+Mf31_+Mf32_+Mf33_+Mf34_+Mf35_+Mf36_+Mf37_)),0)</f>
        <v>0</v>
      </c>
      <c r="AU288" s="24" t="str">
        <f t="shared" si="30"/>
        <v/>
      </c>
      <c r="AV288" s="24" t="str">
        <f t="shared" si="31"/>
        <v/>
      </c>
      <c r="AW288" s="24" t="str">
        <f t="shared" si="32"/>
        <v/>
      </c>
      <c r="AX288" s="72">
        <f t="shared" si="33"/>
        <v>0</v>
      </c>
      <c r="AY288" s="24">
        <f t="shared" si="34"/>
        <v>0</v>
      </c>
      <c r="AZ288" s="24">
        <f t="array" ref="AZ288">IF(OR(RIGHT(B288,LEN(Par_LabelTravelTime))=Par_LabelTravelTime,B288="čas na ceste - fakturácia"),1,0)</f>
        <v>0</v>
      </c>
    </row>
    <row r="289" spans="2:52" s="24" customFormat="1" ht="12.75" x14ac:dyDescent="0.2">
      <c r="B289" s="97"/>
      <c r="C289" s="92"/>
      <c r="D289" s="31" t="str">
        <f>IF(E289=1,VLOOKUP(TableInvs[[#This Row],[Calc_V_Typ]],Tran_RevenuesList,3,FALSE),"")</f>
        <v/>
      </c>
      <c r="E289" s="31">
        <f t="shared" si="29"/>
        <v>0</v>
      </c>
      <c r="F289" s="9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  <c r="S289" s="84"/>
      <c r="T289" s="84"/>
      <c r="U289" s="84"/>
      <c r="V289" s="84"/>
      <c r="W289" s="84"/>
      <c r="X289" s="84"/>
      <c r="Y289" s="84"/>
      <c r="Z289" s="84"/>
      <c r="AA289" s="84"/>
      <c r="AB289" s="84"/>
      <c r="AC289" s="85"/>
      <c r="AD289" s="85"/>
      <c r="AE289" s="84"/>
      <c r="AF289" s="84"/>
      <c r="AG289" s="84"/>
      <c r="AH289" s="84"/>
      <c r="AI289" s="84"/>
      <c r="AJ289" s="84"/>
      <c r="AK289" s="84"/>
      <c r="AL289" s="84"/>
      <c r="AM289" s="84"/>
      <c r="AN289" s="84"/>
      <c r="AO289" s="84"/>
      <c r="AP289" s="84"/>
      <c r="AQ289" s="84"/>
      <c r="AR289" s="84"/>
      <c r="AS289" s="87">
        <f t="array" ref="AS289">IF(E289=1,SUM((ROW(Mf0)=ROW(AS289))*(Mf0+Mf1_+Mf2_+Mf3_+Mf4_+Mf5_+Mf6_+Mf7_+Mf8_+Mf9_+Mf10_+Mf11_+Mf12_+Mf13_+Mf14_+Mf15_+Mf16_+Mf17_+Mf18_+Mf19_+Mf20_+Mf21_+Mf22_+Mf23_+Mf24_+Mf25_+Mf26_+Mf27_+Mf28_+Mf29_+Mf30_+Mf31_+Mf32_+Mf33_+Mf34_+Mf35_+Mf36_+Mf37_)),0)</f>
        <v>0</v>
      </c>
      <c r="AU289" s="24" t="str">
        <f t="shared" si="30"/>
        <v/>
      </c>
      <c r="AV289" s="24" t="str">
        <f t="shared" si="31"/>
        <v/>
      </c>
      <c r="AW289" s="24" t="str">
        <f t="shared" si="32"/>
        <v/>
      </c>
      <c r="AX289" s="72">
        <f t="shared" si="33"/>
        <v>0</v>
      </c>
      <c r="AY289" s="24">
        <f t="shared" si="34"/>
        <v>0</v>
      </c>
      <c r="AZ289" s="24">
        <f t="array" ref="AZ289">IF(OR(RIGHT(B289,LEN(Par_LabelTravelTime))=Par_LabelTravelTime,B289="čas na ceste - fakturácia"),1,0)</f>
        <v>0</v>
      </c>
    </row>
    <row r="290" spans="2:52" s="24" customFormat="1" ht="12.75" x14ac:dyDescent="0.2">
      <c r="B290" s="97"/>
      <c r="C290" s="92"/>
      <c r="D290" s="31" t="str">
        <f>IF(E290=1,VLOOKUP(TableInvs[[#This Row],[Calc_V_Typ]],Tran_RevenuesList,3,FALSE),"")</f>
        <v/>
      </c>
      <c r="E290" s="31">
        <f t="shared" si="29"/>
        <v>0</v>
      </c>
      <c r="F290" s="9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  <c r="S290" s="84"/>
      <c r="T290" s="84"/>
      <c r="U290" s="84"/>
      <c r="V290" s="84"/>
      <c r="W290" s="84"/>
      <c r="X290" s="84"/>
      <c r="Y290" s="84"/>
      <c r="Z290" s="84"/>
      <c r="AA290" s="84"/>
      <c r="AB290" s="84"/>
      <c r="AC290" s="85"/>
      <c r="AD290" s="85"/>
      <c r="AE290" s="84"/>
      <c r="AF290" s="84"/>
      <c r="AG290" s="84"/>
      <c r="AH290" s="84"/>
      <c r="AI290" s="84"/>
      <c r="AJ290" s="84"/>
      <c r="AK290" s="84"/>
      <c r="AL290" s="84"/>
      <c r="AM290" s="84"/>
      <c r="AN290" s="84"/>
      <c r="AO290" s="84"/>
      <c r="AP290" s="84"/>
      <c r="AQ290" s="84"/>
      <c r="AR290" s="84"/>
      <c r="AS290" s="87">
        <f t="array" ref="AS290">IF(E290=1,SUM((ROW(Mf0)=ROW(AS290))*(Mf0+Mf1_+Mf2_+Mf3_+Mf4_+Mf5_+Mf6_+Mf7_+Mf8_+Mf9_+Mf10_+Mf11_+Mf12_+Mf13_+Mf14_+Mf15_+Mf16_+Mf17_+Mf18_+Mf19_+Mf20_+Mf21_+Mf22_+Mf23_+Mf24_+Mf25_+Mf26_+Mf27_+Mf28_+Mf29_+Mf30_+Mf31_+Mf32_+Mf33_+Mf34_+Mf35_+Mf36_+Mf37_)),0)</f>
        <v>0</v>
      </c>
      <c r="AU290" s="24" t="str">
        <f t="shared" si="30"/>
        <v/>
      </c>
      <c r="AV290" s="24" t="str">
        <f t="shared" si="31"/>
        <v/>
      </c>
      <c r="AW290" s="24" t="str">
        <f t="shared" si="32"/>
        <v/>
      </c>
      <c r="AX290" s="72">
        <f t="shared" si="33"/>
        <v>0</v>
      </c>
      <c r="AY290" s="24">
        <f t="shared" si="34"/>
        <v>0</v>
      </c>
      <c r="AZ290" s="24">
        <f t="array" ref="AZ290">IF(OR(RIGHT(B290,LEN(Par_LabelTravelTime))=Par_LabelTravelTime,B290="čas na ceste - fakturácia"),1,0)</f>
        <v>0</v>
      </c>
    </row>
    <row r="291" spans="2:52" s="24" customFormat="1" ht="12.75" x14ac:dyDescent="0.2">
      <c r="B291" s="97"/>
      <c r="C291" s="92"/>
      <c r="D291" s="31" t="str">
        <f>IF(E291=1,VLOOKUP(TableInvs[[#This Row],[Calc_V_Typ]],Tran_RevenuesList,3,FALSE),"")</f>
        <v/>
      </c>
      <c r="E291" s="31">
        <f t="shared" si="29"/>
        <v>0</v>
      </c>
      <c r="F291" s="9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  <c r="S291" s="84"/>
      <c r="T291" s="84"/>
      <c r="U291" s="84"/>
      <c r="V291" s="84"/>
      <c r="W291" s="84"/>
      <c r="X291" s="84"/>
      <c r="Y291" s="84"/>
      <c r="Z291" s="84"/>
      <c r="AA291" s="84"/>
      <c r="AB291" s="84"/>
      <c r="AC291" s="85"/>
      <c r="AD291" s="85"/>
      <c r="AE291" s="84"/>
      <c r="AF291" s="84"/>
      <c r="AG291" s="84"/>
      <c r="AH291" s="84"/>
      <c r="AI291" s="84"/>
      <c r="AJ291" s="84"/>
      <c r="AK291" s="84"/>
      <c r="AL291" s="84"/>
      <c r="AM291" s="84"/>
      <c r="AN291" s="84"/>
      <c r="AO291" s="84"/>
      <c r="AP291" s="84"/>
      <c r="AQ291" s="84"/>
      <c r="AR291" s="84"/>
      <c r="AS291" s="87">
        <f t="array" ref="AS291">IF(E291=1,SUM((ROW(Mf0)=ROW(AS291))*(Mf0+Mf1_+Mf2_+Mf3_+Mf4_+Mf5_+Mf6_+Mf7_+Mf8_+Mf9_+Mf10_+Mf11_+Mf12_+Mf13_+Mf14_+Mf15_+Mf16_+Mf17_+Mf18_+Mf19_+Mf20_+Mf21_+Mf22_+Mf23_+Mf24_+Mf25_+Mf26_+Mf27_+Mf28_+Mf29_+Mf30_+Mf31_+Mf32_+Mf33_+Mf34_+Mf35_+Mf36_+Mf37_)),0)</f>
        <v>0</v>
      </c>
      <c r="AU291" s="24" t="str">
        <f t="shared" si="30"/>
        <v/>
      </c>
      <c r="AV291" s="24" t="str">
        <f t="shared" si="31"/>
        <v/>
      </c>
      <c r="AW291" s="24" t="str">
        <f t="shared" si="32"/>
        <v/>
      </c>
      <c r="AX291" s="72">
        <f t="shared" si="33"/>
        <v>0</v>
      </c>
      <c r="AY291" s="24">
        <f t="shared" si="34"/>
        <v>0</v>
      </c>
      <c r="AZ291" s="24">
        <f t="array" ref="AZ291">IF(OR(RIGHT(B291,LEN(Par_LabelTravelTime))=Par_LabelTravelTime,B291="čas na ceste - fakturácia"),1,0)</f>
        <v>0</v>
      </c>
    </row>
    <row r="292" spans="2:52" s="24" customFormat="1" ht="12.75" x14ac:dyDescent="0.2">
      <c r="B292" s="97"/>
      <c r="C292" s="92"/>
      <c r="D292" s="31" t="str">
        <f>IF(E292=1,VLOOKUP(TableInvs[[#This Row],[Calc_V_Typ]],Tran_RevenuesList,3,FALSE),"")</f>
        <v/>
      </c>
      <c r="E292" s="31">
        <f t="shared" si="29"/>
        <v>0</v>
      </c>
      <c r="F292" s="9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  <c r="S292" s="84"/>
      <c r="T292" s="84"/>
      <c r="U292" s="84"/>
      <c r="V292" s="84"/>
      <c r="W292" s="84"/>
      <c r="X292" s="84"/>
      <c r="Y292" s="84"/>
      <c r="Z292" s="84"/>
      <c r="AA292" s="84"/>
      <c r="AB292" s="84"/>
      <c r="AC292" s="85"/>
      <c r="AD292" s="85"/>
      <c r="AE292" s="84"/>
      <c r="AF292" s="84"/>
      <c r="AG292" s="84"/>
      <c r="AH292" s="84"/>
      <c r="AI292" s="84"/>
      <c r="AJ292" s="84"/>
      <c r="AK292" s="84"/>
      <c r="AL292" s="84"/>
      <c r="AM292" s="84"/>
      <c r="AN292" s="84"/>
      <c r="AO292" s="84"/>
      <c r="AP292" s="84"/>
      <c r="AQ292" s="84"/>
      <c r="AR292" s="84"/>
      <c r="AS292" s="87">
        <f t="array" ref="AS292">IF(E292=1,SUM((ROW(Mf0)=ROW(AS292))*(Mf0+Mf1_+Mf2_+Mf3_+Mf4_+Mf5_+Mf6_+Mf7_+Mf8_+Mf9_+Mf10_+Mf11_+Mf12_+Mf13_+Mf14_+Mf15_+Mf16_+Mf17_+Mf18_+Mf19_+Mf20_+Mf21_+Mf22_+Mf23_+Mf24_+Mf25_+Mf26_+Mf27_+Mf28_+Mf29_+Mf30_+Mf31_+Mf32_+Mf33_+Mf34_+Mf35_+Mf36_+Mf37_)),0)</f>
        <v>0</v>
      </c>
      <c r="AU292" s="24" t="str">
        <f t="shared" si="30"/>
        <v/>
      </c>
      <c r="AV292" s="24" t="str">
        <f t="shared" si="31"/>
        <v/>
      </c>
      <c r="AW292" s="24" t="str">
        <f t="shared" si="32"/>
        <v/>
      </c>
      <c r="AX292" s="72">
        <f t="shared" si="33"/>
        <v>0</v>
      </c>
      <c r="AY292" s="24">
        <f t="shared" si="34"/>
        <v>0</v>
      </c>
      <c r="AZ292" s="24">
        <f t="array" ref="AZ292">IF(OR(RIGHT(B292,LEN(Par_LabelTravelTime))=Par_LabelTravelTime,B292="čas na ceste - fakturácia"),1,0)</f>
        <v>0</v>
      </c>
    </row>
    <row r="293" spans="2:52" s="24" customFormat="1" ht="12.75" x14ac:dyDescent="0.2">
      <c r="B293" s="97"/>
      <c r="C293" s="92"/>
      <c r="D293" s="31" t="str">
        <f>IF(E293=1,VLOOKUP(TableInvs[[#This Row],[Calc_V_Typ]],Tran_RevenuesList,3,FALSE),"")</f>
        <v/>
      </c>
      <c r="E293" s="31">
        <f t="shared" si="29"/>
        <v>0</v>
      </c>
      <c r="F293" s="9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  <c r="S293" s="84"/>
      <c r="T293" s="84"/>
      <c r="U293" s="84"/>
      <c r="V293" s="84"/>
      <c r="W293" s="84"/>
      <c r="X293" s="84"/>
      <c r="Y293" s="84"/>
      <c r="Z293" s="84"/>
      <c r="AA293" s="84"/>
      <c r="AB293" s="84"/>
      <c r="AC293" s="85"/>
      <c r="AD293" s="85"/>
      <c r="AE293" s="84"/>
      <c r="AF293" s="84"/>
      <c r="AG293" s="84"/>
      <c r="AH293" s="84"/>
      <c r="AI293" s="84"/>
      <c r="AJ293" s="84"/>
      <c r="AK293" s="84"/>
      <c r="AL293" s="84"/>
      <c r="AM293" s="84"/>
      <c r="AN293" s="84"/>
      <c r="AO293" s="84"/>
      <c r="AP293" s="84"/>
      <c r="AQ293" s="84"/>
      <c r="AR293" s="84"/>
      <c r="AS293" s="87">
        <f t="array" ref="AS293">IF(E293=1,SUM((ROW(Mf0)=ROW(AS293))*(Mf0+Mf1_+Mf2_+Mf3_+Mf4_+Mf5_+Mf6_+Mf7_+Mf8_+Mf9_+Mf10_+Mf11_+Mf12_+Mf13_+Mf14_+Mf15_+Mf16_+Mf17_+Mf18_+Mf19_+Mf20_+Mf21_+Mf22_+Mf23_+Mf24_+Mf25_+Mf26_+Mf27_+Mf28_+Mf29_+Mf30_+Mf31_+Mf32_+Mf33_+Mf34_+Mf35_+Mf36_+Mf37_)),0)</f>
        <v>0</v>
      </c>
      <c r="AU293" s="24" t="str">
        <f t="shared" si="30"/>
        <v/>
      </c>
      <c r="AV293" s="24" t="str">
        <f t="shared" si="31"/>
        <v/>
      </c>
      <c r="AW293" s="24" t="str">
        <f t="shared" si="32"/>
        <v/>
      </c>
      <c r="AX293" s="72">
        <f t="shared" si="33"/>
        <v>0</v>
      </c>
      <c r="AY293" s="24">
        <f t="shared" si="34"/>
        <v>0</v>
      </c>
      <c r="AZ293" s="24">
        <f t="array" ref="AZ293">IF(OR(RIGHT(B293,LEN(Par_LabelTravelTime))=Par_LabelTravelTime,B293="čas na ceste - fakturácia"),1,0)</f>
        <v>0</v>
      </c>
    </row>
    <row r="294" spans="2:52" s="24" customFormat="1" ht="12.75" x14ac:dyDescent="0.2">
      <c r="B294" s="97"/>
      <c r="C294" s="92"/>
      <c r="D294" s="31" t="str">
        <f>IF(E294=1,VLOOKUP(TableInvs[[#This Row],[Calc_V_Typ]],Tran_RevenuesList,3,FALSE),"")</f>
        <v/>
      </c>
      <c r="E294" s="31">
        <f t="shared" si="29"/>
        <v>0</v>
      </c>
      <c r="F294" s="9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  <c r="S294" s="84"/>
      <c r="T294" s="84"/>
      <c r="U294" s="84"/>
      <c r="V294" s="84"/>
      <c r="W294" s="84"/>
      <c r="X294" s="84"/>
      <c r="Y294" s="84"/>
      <c r="Z294" s="84"/>
      <c r="AA294" s="84"/>
      <c r="AB294" s="84"/>
      <c r="AC294" s="85"/>
      <c r="AD294" s="85"/>
      <c r="AE294" s="84"/>
      <c r="AF294" s="84"/>
      <c r="AG294" s="84"/>
      <c r="AH294" s="84"/>
      <c r="AI294" s="84"/>
      <c r="AJ294" s="84"/>
      <c r="AK294" s="84"/>
      <c r="AL294" s="84"/>
      <c r="AM294" s="84"/>
      <c r="AN294" s="84"/>
      <c r="AO294" s="84"/>
      <c r="AP294" s="84"/>
      <c r="AQ294" s="84"/>
      <c r="AR294" s="84"/>
      <c r="AS294" s="87">
        <f t="array" ref="AS294">IF(E294=1,SUM((ROW(Mf0)=ROW(AS294))*(Mf0+Mf1_+Mf2_+Mf3_+Mf4_+Mf5_+Mf6_+Mf7_+Mf8_+Mf9_+Mf10_+Mf11_+Mf12_+Mf13_+Mf14_+Mf15_+Mf16_+Mf17_+Mf18_+Mf19_+Mf20_+Mf21_+Mf22_+Mf23_+Mf24_+Mf25_+Mf26_+Mf27_+Mf28_+Mf29_+Mf30_+Mf31_+Mf32_+Mf33_+Mf34_+Mf35_+Mf36_+Mf37_)),0)</f>
        <v>0</v>
      </c>
      <c r="AU294" s="24" t="str">
        <f t="shared" si="30"/>
        <v/>
      </c>
      <c r="AV294" s="24" t="str">
        <f t="shared" si="31"/>
        <v/>
      </c>
      <c r="AW294" s="24" t="str">
        <f t="shared" si="32"/>
        <v/>
      </c>
      <c r="AX294" s="72">
        <f t="shared" si="33"/>
        <v>0</v>
      </c>
      <c r="AY294" s="24">
        <f t="shared" si="34"/>
        <v>0</v>
      </c>
      <c r="AZ294" s="24">
        <f t="array" ref="AZ294">IF(OR(RIGHT(B294,LEN(Par_LabelTravelTime))=Par_LabelTravelTime,B294="čas na ceste - fakturácia"),1,0)</f>
        <v>0</v>
      </c>
    </row>
    <row r="295" spans="2:52" s="24" customFormat="1" ht="12.75" x14ac:dyDescent="0.2">
      <c r="B295" s="97"/>
      <c r="C295" s="92"/>
      <c r="D295" s="31" t="str">
        <f>IF(E295=1,VLOOKUP(TableInvs[[#This Row],[Calc_V_Typ]],Tran_RevenuesList,3,FALSE),"")</f>
        <v/>
      </c>
      <c r="E295" s="31">
        <f t="shared" si="29"/>
        <v>0</v>
      </c>
      <c r="F295" s="9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  <c r="S295" s="84"/>
      <c r="T295" s="84"/>
      <c r="U295" s="84"/>
      <c r="V295" s="84"/>
      <c r="W295" s="84"/>
      <c r="X295" s="84"/>
      <c r="Y295" s="84"/>
      <c r="Z295" s="84"/>
      <c r="AA295" s="84"/>
      <c r="AB295" s="84"/>
      <c r="AC295" s="85"/>
      <c r="AD295" s="85"/>
      <c r="AE295" s="84"/>
      <c r="AF295" s="84"/>
      <c r="AG295" s="84"/>
      <c r="AH295" s="84"/>
      <c r="AI295" s="84"/>
      <c r="AJ295" s="84"/>
      <c r="AK295" s="84"/>
      <c r="AL295" s="84"/>
      <c r="AM295" s="84"/>
      <c r="AN295" s="84"/>
      <c r="AO295" s="84"/>
      <c r="AP295" s="84"/>
      <c r="AQ295" s="84"/>
      <c r="AR295" s="84"/>
      <c r="AS295" s="87">
        <f t="array" ref="AS295">IF(E295=1,SUM((ROW(Mf0)=ROW(AS295))*(Mf0+Mf1_+Mf2_+Mf3_+Mf4_+Mf5_+Mf6_+Mf7_+Mf8_+Mf9_+Mf10_+Mf11_+Mf12_+Mf13_+Mf14_+Mf15_+Mf16_+Mf17_+Mf18_+Mf19_+Mf20_+Mf21_+Mf22_+Mf23_+Mf24_+Mf25_+Mf26_+Mf27_+Mf28_+Mf29_+Mf30_+Mf31_+Mf32_+Mf33_+Mf34_+Mf35_+Mf36_+Mf37_)),0)</f>
        <v>0</v>
      </c>
      <c r="AU295" s="24" t="str">
        <f t="shared" si="30"/>
        <v/>
      </c>
      <c r="AV295" s="24" t="str">
        <f t="shared" si="31"/>
        <v/>
      </c>
      <c r="AW295" s="24" t="str">
        <f t="shared" si="32"/>
        <v/>
      </c>
      <c r="AX295" s="72">
        <f t="shared" si="33"/>
        <v>0</v>
      </c>
      <c r="AY295" s="24">
        <f t="shared" si="34"/>
        <v>0</v>
      </c>
      <c r="AZ295" s="24">
        <f t="array" ref="AZ295">IF(OR(RIGHT(B295,LEN(Par_LabelTravelTime))=Par_LabelTravelTime,B295="čas na ceste - fakturácia"),1,0)</f>
        <v>0</v>
      </c>
    </row>
    <row r="296" spans="2:52" s="24" customFormat="1" ht="12.75" x14ac:dyDescent="0.2">
      <c r="B296" s="97"/>
      <c r="C296" s="92"/>
      <c r="D296" s="31" t="str">
        <f>IF(E296=1,VLOOKUP(TableInvs[[#This Row],[Calc_V_Typ]],Tran_RevenuesList,3,FALSE),"")</f>
        <v/>
      </c>
      <c r="E296" s="31">
        <f t="shared" si="29"/>
        <v>0</v>
      </c>
      <c r="F296" s="9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  <c r="S296" s="84"/>
      <c r="T296" s="84"/>
      <c r="U296" s="84"/>
      <c r="V296" s="84"/>
      <c r="W296" s="84"/>
      <c r="X296" s="84"/>
      <c r="Y296" s="84"/>
      <c r="Z296" s="84"/>
      <c r="AA296" s="84"/>
      <c r="AB296" s="84"/>
      <c r="AC296" s="85"/>
      <c r="AD296" s="85"/>
      <c r="AE296" s="84"/>
      <c r="AF296" s="84"/>
      <c r="AG296" s="84"/>
      <c r="AH296" s="84"/>
      <c r="AI296" s="84"/>
      <c r="AJ296" s="84"/>
      <c r="AK296" s="84"/>
      <c r="AL296" s="84"/>
      <c r="AM296" s="84"/>
      <c r="AN296" s="84"/>
      <c r="AO296" s="84"/>
      <c r="AP296" s="84"/>
      <c r="AQ296" s="84"/>
      <c r="AR296" s="84"/>
      <c r="AS296" s="87">
        <f t="array" ref="AS296">IF(E296=1,SUM((ROW(Mf0)=ROW(AS296))*(Mf0+Mf1_+Mf2_+Mf3_+Mf4_+Mf5_+Mf6_+Mf7_+Mf8_+Mf9_+Mf10_+Mf11_+Mf12_+Mf13_+Mf14_+Mf15_+Mf16_+Mf17_+Mf18_+Mf19_+Mf20_+Mf21_+Mf22_+Mf23_+Mf24_+Mf25_+Mf26_+Mf27_+Mf28_+Mf29_+Mf30_+Mf31_+Mf32_+Mf33_+Mf34_+Mf35_+Mf36_+Mf37_)),0)</f>
        <v>0</v>
      </c>
      <c r="AU296" s="24" t="str">
        <f t="shared" si="30"/>
        <v/>
      </c>
      <c r="AV296" s="24" t="str">
        <f t="shared" si="31"/>
        <v/>
      </c>
      <c r="AW296" s="24" t="str">
        <f t="shared" si="32"/>
        <v/>
      </c>
      <c r="AX296" s="72">
        <f t="shared" si="33"/>
        <v>0</v>
      </c>
      <c r="AY296" s="24">
        <f t="shared" si="34"/>
        <v>0</v>
      </c>
      <c r="AZ296" s="24">
        <f t="array" ref="AZ296">IF(OR(RIGHT(B296,LEN(Par_LabelTravelTime))=Par_LabelTravelTime,B296="čas na ceste - fakturácia"),1,0)</f>
        <v>0</v>
      </c>
    </row>
    <row r="297" spans="2:52" s="24" customFormat="1" ht="12.75" x14ac:dyDescent="0.2">
      <c r="B297" s="97"/>
      <c r="C297" s="92"/>
      <c r="D297" s="31" t="str">
        <f>IF(E297=1,VLOOKUP(TableInvs[[#This Row],[Calc_V_Typ]],Tran_RevenuesList,3,FALSE),"")</f>
        <v/>
      </c>
      <c r="E297" s="31">
        <f t="shared" si="29"/>
        <v>0</v>
      </c>
      <c r="F297" s="9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  <c r="S297" s="84"/>
      <c r="T297" s="84"/>
      <c r="U297" s="84"/>
      <c r="V297" s="84"/>
      <c r="W297" s="84"/>
      <c r="X297" s="84"/>
      <c r="Y297" s="84"/>
      <c r="Z297" s="84"/>
      <c r="AA297" s="84"/>
      <c r="AB297" s="84"/>
      <c r="AC297" s="85"/>
      <c r="AD297" s="85"/>
      <c r="AE297" s="84"/>
      <c r="AF297" s="84"/>
      <c r="AG297" s="84"/>
      <c r="AH297" s="84"/>
      <c r="AI297" s="84"/>
      <c r="AJ297" s="84"/>
      <c r="AK297" s="84"/>
      <c r="AL297" s="84"/>
      <c r="AM297" s="84"/>
      <c r="AN297" s="84"/>
      <c r="AO297" s="84"/>
      <c r="AP297" s="84"/>
      <c r="AQ297" s="84"/>
      <c r="AR297" s="84"/>
      <c r="AS297" s="87">
        <f t="array" ref="AS297">IF(E297=1,SUM((ROW(Mf0)=ROW(AS297))*(Mf0+Mf1_+Mf2_+Mf3_+Mf4_+Mf5_+Mf6_+Mf7_+Mf8_+Mf9_+Mf10_+Mf11_+Mf12_+Mf13_+Mf14_+Mf15_+Mf16_+Mf17_+Mf18_+Mf19_+Mf20_+Mf21_+Mf22_+Mf23_+Mf24_+Mf25_+Mf26_+Mf27_+Mf28_+Mf29_+Mf30_+Mf31_+Mf32_+Mf33_+Mf34_+Mf35_+Mf36_+Mf37_)),0)</f>
        <v>0</v>
      </c>
      <c r="AU297" s="24" t="str">
        <f t="shared" si="30"/>
        <v/>
      </c>
      <c r="AV297" s="24" t="str">
        <f t="shared" si="31"/>
        <v/>
      </c>
      <c r="AW297" s="24" t="str">
        <f t="shared" si="32"/>
        <v/>
      </c>
      <c r="AX297" s="72">
        <f t="shared" si="33"/>
        <v>0</v>
      </c>
      <c r="AY297" s="24">
        <f t="shared" si="34"/>
        <v>0</v>
      </c>
      <c r="AZ297" s="24">
        <f t="array" ref="AZ297">IF(OR(RIGHT(B297,LEN(Par_LabelTravelTime))=Par_LabelTravelTime,B297="čas na ceste - fakturácia"),1,0)</f>
        <v>0</v>
      </c>
    </row>
    <row r="298" spans="2:52" s="24" customFormat="1" ht="12.75" x14ac:dyDescent="0.2">
      <c r="B298" s="97"/>
      <c r="C298" s="92"/>
      <c r="D298" s="31" t="str">
        <f>IF(E298=1,VLOOKUP(TableInvs[[#This Row],[Calc_V_Typ]],Tran_RevenuesList,3,FALSE),"")</f>
        <v/>
      </c>
      <c r="E298" s="31">
        <f t="shared" si="29"/>
        <v>0</v>
      </c>
      <c r="F298" s="9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  <c r="S298" s="84"/>
      <c r="T298" s="84"/>
      <c r="U298" s="84"/>
      <c r="V298" s="84"/>
      <c r="W298" s="84"/>
      <c r="X298" s="84"/>
      <c r="Y298" s="84"/>
      <c r="Z298" s="84"/>
      <c r="AA298" s="84"/>
      <c r="AB298" s="84"/>
      <c r="AC298" s="85"/>
      <c r="AD298" s="85"/>
      <c r="AE298" s="84"/>
      <c r="AF298" s="84"/>
      <c r="AG298" s="84"/>
      <c r="AH298" s="84"/>
      <c r="AI298" s="84"/>
      <c r="AJ298" s="84"/>
      <c r="AK298" s="84"/>
      <c r="AL298" s="84"/>
      <c r="AM298" s="84"/>
      <c r="AN298" s="84"/>
      <c r="AO298" s="84"/>
      <c r="AP298" s="84"/>
      <c r="AQ298" s="84"/>
      <c r="AR298" s="84"/>
      <c r="AS298" s="87">
        <f t="array" ref="AS298">IF(E298=1,SUM((ROW(Mf0)=ROW(AS298))*(Mf0+Mf1_+Mf2_+Mf3_+Mf4_+Mf5_+Mf6_+Mf7_+Mf8_+Mf9_+Mf10_+Mf11_+Mf12_+Mf13_+Mf14_+Mf15_+Mf16_+Mf17_+Mf18_+Mf19_+Mf20_+Mf21_+Mf22_+Mf23_+Mf24_+Mf25_+Mf26_+Mf27_+Mf28_+Mf29_+Mf30_+Mf31_+Mf32_+Mf33_+Mf34_+Mf35_+Mf36_+Mf37_)),0)</f>
        <v>0</v>
      </c>
      <c r="AU298" s="24" t="str">
        <f t="shared" si="30"/>
        <v/>
      </c>
      <c r="AV298" s="24" t="str">
        <f t="shared" si="31"/>
        <v/>
      </c>
      <c r="AW298" s="24" t="str">
        <f t="shared" si="32"/>
        <v/>
      </c>
      <c r="AX298" s="72">
        <f t="shared" si="33"/>
        <v>0</v>
      </c>
      <c r="AY298" s="24">
        <f t="shared" si="34"/>
        <v>0</v>
      </c>
      <c r="AZ298" s="24">
        <f t="array" ref="AZ298">IF(OR(RIGHT(B298,LEN(Par_LabelTravelTime))=Par_LabelTravelTime,B298="čas na ceste - fakturácia"),1,0)</f>
        <v>0</v>
      </c>
    </row>
    <row r="299" spans="2:52" s="24" customFormat="1" ht="12.75" x14ac:dyDescent="0.2">
      <c r="B299" s="97"/>
      <c r="C299" s="92"/>
      <c r="D299" s="31" t="str">
        <f>IF(E299=1,VLOOKUP(TableInvs[[#This Row],[Calc_V_Typ]],Tran_RevenuesList,3,FALSE),"")</f>
        <v/>
      </c>
      <c r="E299" s="31">
        <f t="shared" si="29"/>
        <v>0</v>
      </c>
      <c r="F299" s="9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  <c r="S299" s="84"/>
      <c r="T299" s="84"/>
      <c r="U299" s="84"/>
      <c r="V299" s="84"/>
      <c r="W299" s="84"/>
      <c r="X299" s="84"/>
      <c r="Y299" s="84"/>
      <c r="Z299" s="84"/>
      <c r="AA299" s="84"/>
      <c r="AB299" s="84"/>
      <c r="AC299" s="85"/>
      <c r="AD299" s="85"/>
      <c r="AE299" s="84"/>
      <c r="AF299" s="84"/>
      <c r="AG299" s="84"/>
      <c r="AH299" s="84"/>
      <c r="AI299" s="84"/>
      <c r="AJ299" s="84"/>
      <c r="AK299" s="84"/>
      <c r="AL299" s="84"/>
      <c r="AM299" s="84"/>
      <c r="AN299" s="84"/>
      <c r="AO299" s="84"/>
      <c r="AP299" s="84"/>
      <c r="AQ299" s="84"/>
      <c r="AR299" s="84"/>
      <c r="AS299" s="87">
        <f t="array" ref="AS299">IF(E299=1,SUM((ROW(Mf0)=ROW(AS299))*(Mf0+Mf1_+Mf2_+Mf3_+Mf4_+Mf5_+Mf6_+Mf7_+Mf8_+Mf9_+Mf10_+Mf11_+Mf12_+Mf13_+Mf14_+Mf15_+Mf16_+Mf17_+Mf18_+Mf19_+Mf20_+Mf21_+Mf22_+Mf23_+Mf24_+Mf25_+Mf26_+Mf27_+Mf28_+Mf29_+Mf30_+Mf31_+Mf32_+Mf33_+Mf34_+Mf35_+Mf36_+Mf37_)),0)</f>
        <v>0</v>
      </c>
      <c r="AU299" s="24" t="str">
        <f t="shared" si="30"/>
        <v/>
      </c>
      <c r="AV299" s="24" t="str">
        <f t="shared" si="31"/>
        <v/>
      </c>
      <c r="AW299" s="24" t="str">
        <f t="shared" si="32"/>
        <v/>
      </c>
      <c r="AX299" s="72">
        <f t="shared" si="33"/>
        <v>0</v>
      </c>
      <c r="AY299" s="24">
        <f t="shared" si="34"/>
        <v>0</v>
      </c>
      <c r="AZ299" s="24">
        <f t="array" ref="AZ299">IF(OR(RIGHT(B299,LEN(Par_LabelTravelTime))=Par_LabelTravelTime,B299="čas na ceste - fakturácia"),1,0)</f>
        <v>0</v>
      </c>
    </row>
    <row r="300" spans="2:52" s="24" customFormat="1" ht="12.75" x14ac:dyDescent="0.2">
      <c r="B300" s="97"/>
      <c r="C300" s="92"/>
      <c r="D300" s="31" t="str">
        <f>IF(E300=1,VLOOKUP(TableInvs[[#This Row],[Calc_V_Typ]],Tran_RevenuesList,3,FALSE),"")</f>
        <v/>
      </c>
      <c r="E300" s="31">
        <f t="shared" si="29"/>
        <v>0</v>
      </c>
      <c r="F300" s="9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  <c r="S300" s="84"/>
      <c r="T300" s="84"/>
      <c r="U300" s="84"/>
      <c r="V300" s="84"/>
      <c r="W300" s="84"/>
      <c r="X300" s="84"/>
      <c r="Y300" s="84"/>
      <c r="Z300" s="84"/>
      <c r="AA300" s="84"/>
      <c r="AB300" s="84"/>
      <c r="AC300" s="85"/>
      <c r="AD300" s="85"/>
      <c r="AE300" s="84"/>
      <c r="AF300" s="84"/>
      <c r="AG300" s="84"/>
      <c r="AH300" s="84"/>
      <c r="AI300" s="84"/>
      <c r="AJ300" s="84"/>
      <c r="AK300" s="84"/>
      <c r="AL300" s="84"/>
      <c r="AM300" s="84"/>
      <c r="AN300" s="84"/>
      <c r="AO300" s="84"/>
      <c r="AP300" s="84"/>
      <c r="AQ300" s="84"/>
      <c r="AR300" s="84"/>
      <c r="AS300" s="87">
        <f t="array" ref="AS300">IF(E300=1,SUM((ROW(Mf0)=ROW(AS300))*(Mf0+Mf1_+Mf2_+Mf3_+Mf4_+Mf5_+Mf6_+Mf7_+Mf8_+Mf9_+Mf10_+Mf11_+Mf12_+Mf13_+Mf14_+Mf15_+Mf16_+Mf17_+Mf18_+Mf19_+Mf20_+Mf21_+Mf22_+Mf23_+Mf24_+Mf25_+Mf26_+Mf27_+Mf28_+Mf29_+Mf30_+Mf31_+Mf32_+Mf33_+Mf34_+Mf35_+Mf36_+Mf37_)),0)</f>
        <v>0</v>
      </c>
      <c r="AU300" s="24" t="str">
        <f t="shared" si="30"/>
        <v/>
      </c>
      <c r="AV300" s="24" t="str">
        <f t="shared" si="31"/>
        <v/>
      </c>
      <c r="AW300" s="24" t="str">
        <f t="shared" si="32"/>
        <v/>
      </c>
      <c r="AX300" s="72">
        <f t="shared" si="33"/>
        <v>0</v>
      </c>
      <c r="AY300" s="24">
        <f t="shared" si="34"/>
        <v>0</v>
      </c>
      <c r="AZ300" s="24">
        <f t="array" ref="AZ300">IF(OR(RIGHT(B300,LEN(Par_LabelTravelTime))=Par_LabelTravelTime,B300="čas na ceste - fakturácia"),1,0)</f>
        <v>0</v>
      </c>
    </row>
    <row r="301" spans="2:52" s="24" customFormat="1" ht="12.75" x14ac:dyDescent="0.2">
      <c r="B301" s="97"/>
      <c r="C301" s="92"/>
      <c r="D301" s="31" t="str">
        <f>IF(E301=1,VLOOKUP(TableInvs[[#This Row],[Calc_V_Typ]],Tran_RevenuesList,3,FALSE),"")</f>
        <v/>
      </c>
      <c r="E301" s="31">
        <f t="shared" si="29"/>
        <v>0</v>
      </c>
      <c r="F301" s="9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  <c r="S301" s="84"/>
      <c r="T301" s="84"/>
      <c r="U301" s="84"/>
      <c r="V301" s="84"/>
      <c r="W301" s="84"/>
      <c r="X301" s="84"/>
      <c r="Y301" s="84"/>
      <c r="Z301" s="84"/>
      <c r="AA301" s="84"/>
      <c r="AB301" s="84"/>
      <c r="AC301" s="85"/>
      <c r="AD301" s="85"/>
      <c r="AE301" s="84"/>
      <c r="AF301" s="84"/>
      <c r="AG301" s="84"/>
      <c r="AH301" s="84"/>
      <c r="AI301" s="84"/>
      <c r="AJ301" s="84"/>
      <c r="AK301" s="84"/>
      <c r="AL301" s="84"/>
      <c r="AM301" s="84"/>
      <c r="AN301" s="84"/>
      <c r="AO301" s="84"/>
      <c r="AP301" s="84"/>
      <c r="AQ301" s="84"/>
      <c r="AR301" s="84"/>
      <c r="AS301" s="87">
        <f t="array" ref="AS301">IF(E301=1,SUM((ROW(Mf0)=ROW(AS301))*(Mf0+Mf1_+Mf2_+Mf3_+Mf4_+Mf5_+Mf6_+Mf7_+Mf8_+Mf9_+Mf10_+Mf11_+Mf12_+Mf13_+Mf14_+Mf15_+Mf16_+Mf17_+Mf18_+Mf19_+Mf20_+Mf21_+Mf22_+Mf23_+Mf24_+Mf25_+Mf26_+Mf27_+Mf28_+Mf29_+Mf30_+Mf31_+Mf32_+Mf33_+Mf34_+Mf35_+Mf36_+Mf37_)),0)</f>
        <v>0</v>
      </c>
      <c r="AU301" s="24" t="str">
        <f t="shared" si="30"/>
        <v/>
      </c>
      <c r="AV301" s="24" t="str">
        <f t="shared" si="31"/>
        <v/>
      </c>
      <c r="AW301" s="24" t="str">
        <f t="shared" si="32"/>
        <v/>
      </c>
      <c r="AX301" s="72">
        <f t="shared" si="33"/>
        <v>0</v>
      </c>
      <c r="AY301" s="24">
        <f t="shared" si="34"/>
        <v>0</v>
      </c>
      <c r="AZ301" s="24">
        <f t="array" ref="AZ301">IF(OR(RIGHT(B301,LEN(Par_LabelTravelTime))=Par_LabelTravelTime,B301="čas na ceste - fakturácia"),1,0)</f>
        <v>0</v>
      </c>
    </row>
    <row r="302" spans="2:52" s="24" customFormat="1" ht="12.75" x14ac:dyDescent="0.2">
      <c r="B302" s="97"/>
      <c r="C302" s="92"/>
      <c r="D302" s="31" t="str">
        <f>IF(E302=1,VLOOKUP(TableInvs[[#This Row],[Calc_V_Typ]],Tran_RevenuesList,3,FALSE),"")</f>
        <v/>
      </c>
      <c r="E302" s="31">
        <f t="shared" si="29"/>
        <v>0</v>
      </c>
      <c r="F302" s="9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  <c r="R302" s="84"/>
      <c r="S302" s="84"/>
      <c r="T302" s="84"/>
      <c r="U302" s="84"/>
      <c r="V302" s="84"/>
      <c r="W302" s="84"/>
      <c r="X302" s="84"/>
      <c r="Y302" s="84"/>
      <c r="Z302" s="84"/>
      <c r="AA302" s="84"/>
      <c r="AB302" s="84"/>
      <c r="AC302" s="85"/>
      <c r="AD302" s="85"/>
      <c r="AE302" s="84"/>
      <c r="AF302" s="84"/>
      <c r="AG302" s="84"/>
      <c r="AH302" s="84"/>
      <c r="AI302" s="84"/>
      <c r="AJ302" s="84"/>
      <c r="AK302" s="84"/>
      <c r="AL302" s="84"/>
      <c r="AM302" s="84"/>
      <c r="AN302" s="84"/>
      <c r="AO302" s="84"/>
      <c r="AP302" s="84"/>
      <c r="AQ302" s="84"/>
      <c r="AR302" s="84"/>
      <c r="AS302" s="87">
        <f t="array" ref="AS302">IF(E302=1,SUM((ROW(Mf0)=ROW(AS302))*(Mf0+Mf1_+Mf2_+Mf3_+Mf4_+Mf5_+Mf6_+Mf7_+Mf8_+Mf9_+Mf10_+Mf11_+Mf12_+Mf13_+Mf14_+Mf15_+Mf16_+Mf17_+Mf18_+Mf19_+Mf20_+Mf21_+Mf22_+Mf23_+Mf24_+Mf25_+Mf26_+Mf27_+Mf28_+Mf29_+Mf30_+Mf31_+Mf32_+Mf33_+Mf34_+Mf35_+Mf36_+Mf37_)),0)</f>
        <v>0</v>
      </c>
      <c r="AU302" s="24" t="str">
        <f t="shared" si="30"/>
        <v/>
      </c>
      <c r="AV302" s="24" t="str">
        <f t="shared" si="31"/>
        <v/>
      </c>
      <c r="AW302" s="24" t="str">
        <f t="shared" si="32"/>
        <v/>
      </c>
      <c r="AX302" s="72">
        <f t="shared" si="33"/>
        <v>0</v>
      </c>
      <c r="AY302" s="24">
        <f t="shared" si="34"/>
        <v>0</v>
      </c>
      <c r="AZ302" s="24">
        <f t="array" ref="AZ302">IF(OR(RIGHT(B302,LEN(Par_LabelTravelTime))=Par_LabelTravelTime,B302="čas na ceste - fakturácia"),1,0)</f>
        <v>0</v>
      </c>
    </row>
    <row r="303" spans="2:52" s="24" customFormat="1" ht="12.75" x14ac:dyDescent="0.2">
      <c r="B303" s="97"/>
      <c r="C303" s="92"/>
      <c r="D303" s="31" t="str">
        <f>IF(E303=1,VLOOKUP(TableInvs[[#This Row],[Calc_V_Typ]],Tran_RevenuesList,3,FALSE),"")</f>
        <v/>
      </c>
      <c r="E303" s="31">
        <f t="shared" si="29"/>
        <v>0</v>
      </c>
      <c r="F303" s="94"/>
      <c r="G303" s="84"/>
      <c r="H303" s="84"/>
      <c r="I303" s="84"/>
      <c r="J303" s="84"/>
      <c r="K303" s="84"/>
      <c r="L303" s="84"/>
      <c r="M303" s="84"/>
      <c r="N303" s="84"/>
      <c r="O303" s="84"/>
      <c r="P303" s="84"/>
      <c r="Q303" s="84"/>
      <c r="R303" s="84"/>
      <c r="S303" s="84"/>
      <c r="T303" s="84"/>
      <c r="U303" s="84"/>
      <c r="V303" s="84"/>
      <c r="W303" s="84"/>
      <c r="X303" s="84"/>
      <c r="Y303" s="84"/>
      <c r="Z303" s="84"/>
      <c r="AA303" s="84"/>
      <c r="AB303" s="84"/>
      <c r="AC303" s="85"/>
      <c r="AD303" s="85"/>
      <c r="AE303" s="84"/>
      <c r="AF303" s="84"/>
      <c r="AG303" s="84"/>
      <c r="AH303" s="84"/>
      <c r="AI303" s="84"/>
      <c r="AJ303" s="84"/>
      <c r="AK303" s="84"/>
      <c r="AL303" s="84"/>
      <c r="AM303" s="84"/>
      <c r="AN303" s="84"/>
      <c r="AO303" s="84"/>
      <c r="AP303" s="84"/>
      <c r="AQ303" s="84"/>
      <c r="AR303" s="84"/>
      <c r="AS303" s="87">
        <f t="array" ref="AS303">IF(E303=1,SUM((ROW(Mf0)=ROW(AS303))*(Mf0+Mf1_+Mf2_+Mf3_+Mf4_+Mf5_+Mf6_+Mf7_+Mf8_+Mf9_+Mf10_+Mf11_+Mf12_+Mf13_+Mf14_+Mf15_+Mf16_+Mf17_+Mf18_+Mf19_+Mf20_+Mf21_+Mf22_+Mf23_+Mf24_+Mf25_+Mf26_+Mf27_+Mf28_+Mf29_+Mf30_+Mf31_+Mf32_+Mf33_+Mf34_+Mf35_+Mf36_+Mf37_)),0)</f>
        <v>0</v>
      </c>
      <c r="AU303" s="24" t="str">
        <f t="shared" si="30"/>
        <v/>
      </c>
      <c r="AV303" s="24" t="str">
        <f t="shared" si="31"/>
        <v/>
      </c>
      <c r="AW303" s="24" t="str">
        <f t="shared" si="32"/>
        <v/>
      </c>
      <c r="AX303" s="72">
        <f t="shared" si="33"/>
        <v>0</v>
      </c>
      <c r="AY303" s="24">
        <f t="shared" si="34"/>
        <v>0</v>
      </c>
      <c r="AZ303" s="24">
        <f t="array" ref="AZ303">IF(OR(RIGHT(B303,LEN(Par_LabelTravelTime))=Par_LabelTravelTime,B303="čas na ceste - fakturácia"),1,0)</f>
        <v>0</v>
      </c>
    </row>
    <row r="304" spans="2:52" s="24" customFormat="1" ht="12.75" x14ac:dyDescent="0.2">
      <c r="B304" s="97"/>
      <c r="C304" s="92"/>
      <c r="D304" s="31" t="str">
        <f>IF(E304=1,VLOOKUP(TableInvs[[#This Row],[Calc_V_Typ]],Tran_RevenuesList,3,FALSE),"")</f>
        <v/>
      </c>
      <c r="E304" s="31">
        <f t="shared" si="29"/>
        <v>0</v>
      </c>
      <c r="F304" s="94"/>
      <c r="G304" s="84"/>
      <c r="H304" s="84"/>
      <c r="I304" s="84"/>
      <c r="J304" s="84"/>
      <c r="K304" s="84"/>
      <c r="L304" s="84"/>
      <c r="M304" s="84"/>
      <c r="N304" s="84"/>
      <c r="O304" s="84"/>
      <c r="P304" s="84"/>
      <c r="Q304" s="84"/>
      <c r="R304" s="84"/>
      <c r="S304" s="84"/>
      <c r="T304" s="84"/>
      <c r="U304" s="84"/>
      <c r="V304" s="84"/>
      <c r="W304" s="84"/>
      <c r="X304" s="84"/>
      <c r="Y304" s="84"/>
      <c r="Z304" s="84"/>
      <c r="AA304" s="84"/>
      <c r="AB304" s="84"/>
      <c r="AC304" s="85"/>
      <c r="AD304" s="85"/>
      <c r="AE304" s="84"/>
      <c r="AF304" s="84"/>
      <c r="AG304" s="84"/>
      <c r="AH304" s="84"/>
      <c r="AI304" s="84"/>
      <c r="AJ304" s="84"/>
      <c r="AK304" s="84"/>
      <c r="AL304" s="84"/>
      <c r="AM304" s="84"/>
      <c r="AN304" s="84"/>
      <c r="AO304" s="84"/>
      <c r="AP304" s="84"/>
      <c r="AQ304" s="84"/>
      <c r="AR304" s="84"/>
      <c r="AS304" s="87">
        <f t="array" ref="AS304">IF(E304=1,SUM((ROW(Mf0)=ROW(AS304))*(Mf0+Mf1_+Mf2_+Mf3_+Mf4_+Mf5_+Mf6_+Mf7_+Mf8_+Mf9_+Mf10_+Mf11_+Mf12_+Mf13_+Mf14_+Mf15_+Mf16_+Mf17_+Mf18_+Mf19_+Mf20_+Mf21_+Mf22_+Mf23_+Mf24_+Mf25_+Mf26_+Mf27_+Mf28_+Mf29_+Mf30_+Mf31_+Mf32_+Mf33_+Mf34_+Mf35_+Mf36_+Mf37_)),0)</f>
        <v>0</v>
      </c>
      <c r="AU304" s="24" t="str">
        <f t="shared" si="30"/>
        <v/>
      </c>
      <c r="AV304" s="24" t="str">
        <f t="shared" si="31"/>
        <v/>
      </c>
      <c r="AW304" s="24" t="str">
        <f t="shared" si="32"/>
        <v/>
      </c>
      <c r="AX304" s="72">
        <f t="shared" si="33"/>
        <v>0</v>
      </c>
      <c r="AY304" s="24">
        <f t="shared" si="34"/>
        <v>0</v>
      </c>
      <c r="AZ304" s="24">
        <f t="array" ref="AZ304">IF(OR(RIGHT(B304,LEN(Par_LabelTravelTime))=Par_LabelTravelTime,B304="čas na ceste - fakturácia"),1,0)</f>
        <v>0</v>
      </c>
    </row>
    <row r="305" spans="2:52" s="24" customFormat="1" ht="12.75" x14ac:dyDescent="0.2">
      <c r="B305" s="97"/>
      <c r="C305" s="92"/>
      <c r="D305" s="31" t="str">
        <f>IF(E305=1,VLOOKUP(TableInvs[[#This Row],[Calc_V_Typ]],Tran_RevenuesList,3,FALSE),"")</f>
        <v/>
      </c>
      <c r="E305" s="31">
        <f t="shared" si="29"/>
        <v>0</v>
      </c>
      <c r="F305" s="94"/>
      <c r="G305" s="84"/>
      <c r="H305" s="84"/>
      <c r="I305" s="84"/>
      <c r="J305" s="84"/>
      <c r="K305" s="84"/>
      <c r="L305" s="84"/>
      <c r="M305" s="84"/>
      <c r="N305" s="84"/>
      <c r="O305" s="84"/>
      <c r="P305" s="84"/>
      <c r="Q305" s="84"/>
      <c r="R305" s="84"/>
      <c r="S305" s="84"/>
      <c r="T305" s="84"/>
      <c r="U305" s="84"/>
      <c r="V305" s="84"/>
      <c r="W305" s="84"/>
      <c r="X305" s="84"/>
      <c r="Y305" s="84"/>
      <c r="Z305" s="84"/>
      <c r="AA305" s="84"/>
      <c r="AB305" s="84"/>
      <c r="AC305" s="85"/>
      <c r="AD305" s="85"/>
      <c r="AE305" s="84"/>
      <c r="AF305" s="84"/>
      <c r="AG305" s="84"/>
      <c r="AH305" s="84"/>
      <c r="AI305" s="84"/>
      <c r="AJ305" s="84"/>
      <c r="AK305" s="84"/>
      <c r="AL305" s="84"/>
      <c r="AM305" s="84"/>
      <c r="AN305" s="84"/>
      <c r="AO305" s="84"/>
      <c r="AP305" s="84"/>
      <c r="AQ305" s="84"/>
      <c r="AR305" s="84"/>
      <c r="AS305" s="87">
        <f t="array" ref="AS305">IF(E305=1,SUM((ROW(Mf0)=ROW(AS305))*(Mf0+Mf1_+Mf2_+Mf3_+Mf4_+Mf5_+Mf6_+Mf7_+Mf8_+Mf9_+Mf10_+Mf11_+Mf12_+Mf13_+Mf14_+Mf15_+Mf16_+Mf17_+Mf18_+Mf19_+Mf20_+Mf21_+Mf22_+Mf23_+Mf24_+Mf25_+Mf26_+Mf27_+Mf28_+Mf29_+Mf30_+Mf31_+Mf32_+Mf33_+Mf34_+Mf35_+Mf36_+Mf37_)),0)</f>
        <v>0</v>
      </c>
      <c r="AU305" s="24" t="str">
        <f t="shared" si="30"/>
        <v/>
      </c>
      <c r="AV305" s="24" t="str">
        <f t="shared" si="31"/>
        <v/>
      </c>
      <c r="AW305" s="24" t="str">
        <f t="shared" si="32"/>
        <v/>
      </c>
      <c r="AX305" s="72">
        <f t="shared" si="33"/>
        <v>0</v>
      </c>
      <c r="AY305" s="24">
        <f t="shared" si="34"/>
        <v>0</v>
      </c>
      <c r="AZ305" s="24">
        <f t="array" ref="AZ305">IF(OR(RIGHT(B305,LEN(Par_LabelTravelTime))=Par_LabelTravelTime,B305="čas na ceste - fakturácia"),1,0)</f>
        <v>0</v>
      </c>
    </row>
    <row r="306" spans="2:52" s="24" customFormat="1" ht="12.75" x14ac:dyDescent="0.2">
      <c r="B306" s="97"/>
      <c r="C306" s="92"/>
      <c r="D306" s="31" t="str">
        <f>IF(E306=1,VLOOKUP(TableInvs[[#This Row],[Calc_V_Typ]],Tran_RevenuesList,3,FALSE),"")</f>
        <v/>
      </c>
      <c r="E306" s="31">
        <f t="shared" si="29"/>
        <v>0</v>
      </c>
      <c r="F306" s="94"/>
      <c r="G306" s="84"/>
      <c r="H306" s="84"/>
      <c r="I306" s="84"/>
      <c r="J306" s="84"/>
      <c r="K306" s="84"/>
      <c r="L306" s="84"/>
      <c r="M306" s="84"/>
      <c r="N306" s="84"/>
      <c r="O306" s="84"/>
      <c r="P306" s="84"/>
      <c r="Q306" s="84"/>
      <c r="R306" s="84"/>
      <c r="S306" s="84"/>
      <c r="T306" s="84"/>
      <c r="U306" s="84"/>
      <c r="V306" s="84"/>
      <c r="W306" s="84"/>
      <c r="X306" s="84"/>
      <c r="Y306" s="84"/>
      <c r="Z306" s="84"/>
      <c r="AA306" s="84"/>
      <c r="AB306" s="84"/>
      <c r="AC306" s="85"/>
      <c r="AD306" s="85"/>
      <c r="AE306" s="84"/>
      <c r="AF306" s="84"/>
      <c r="AG306" s="84"/>
      <c r="AH306" s="84"/>
      <c r="AI306" s="84"/>
      <c r="AJ306" s="84"/>
      <c r="AK306" s="84"/>
      <c r="AL306" s="84"/>
      <c r="AM306" s="84"/>
      <c r="AN306" s="84"/>
      <c r="AO306" s="84"/>
      <c r="AP306" s="84"/>
      <c r="AQ306" s="84"/>
      <c r="AR306" s="84"/>
      <c r="AS306" s="87">
        <f t="array" ref="AS306">IF(E306=1,SUM((ROW(Mf0)=ROW(AS306))*(Mf0+Mf1_+Mf2_+Mf3_+Mf4_+Mf5_+Mf6_+Mf7_+Mf8_+Mf9_+Mf10_+Mf11_+Mf12_+Mf13_+Mf14_+Mf15_+Mf16_+Mf17_+Mf18_+Mf19_+Mf20_+Mf21_+Mf22_+Mf23_+Mf24_+Mf25_+Mf26_+Mf27_+Mf28_+Mf29_+Mf30_+Mf31_+Mf32_+Mf33_+Mf34_+Mf35_+Mf36_+Mf37_)),0)</f>
        <v>0</v>
      </c>
      <c r="AU306" s="24" t="str">
        <f t="shared" si="30"/>
        <v/>
      </c>
      <c r="AV306" s="24" t="str">
        <f t="shared" si="31"/>
        <v/>
      </c>
      <c r="AW306" s="24" t="str">
        <f t="shared" si="32"/>
        <v/>
      </c>
      <c r="AX306" s="72">
        <f t="shared" si="33"/>
        <v>0</v>
      </c>
      <c r="AY306" s="24">
        <f t="shared" si="34"/>
        <v>0</v>
      </c>
      <c r="AZ306" s="24">
        <f t="array" ref="AZ306">IF(OR(RIGHT(B306,LEN(Par_LabelTravelTime))=Par_LabelTravelTime,B306="čas na ceste - fakturácia"),1,0)</f>
        <v>0</v>
      </c>
    </row>
    <row r="307" spans="2:52" s="24" customFormat="1" ht="12.75" x14ac:dyDescent="0.2">
      <c r="B307" s="97"/>
      <c r="C307" s="92"/>
      <c r="D307" s="31" t="str">
        <f>IF(E307=1,VLOOKUP(TableInvs[[#This Row],[Calc_V_Typ]],Tran_RevenuesList,3,FALSE),"")</f>
        <v/>
      </c>
      <c r="E307" s="31">
        <f t="shared" si="29"/>
        <v>0</v>
      </c>
      <c r="F307" s="94"/>
      <c r="G307" s="84"/>
      <c r="H307" s="84"/>
      <c r="I307" s="84"/>
      <c r="J307" s="84"/>
      <c r="K307" s="84"/>
      <c r="L307" s="84"/>
      <c r="M307" s="84"/>
      <c r="N307" s="84"/>
      <c r="O307" s="84"/>
      <c r="P307" s="84"/>
      <c r="Q307" s="84"/>
      <c r="R307" s="84"/>
      <c r="S307" s="84"/>
      <c r="T307" s="84"/>
      <c r="U307" s="84"/>
      <c r="V307" s="84"/>
      <c r="W307" s="84"/>
      <c r="X307" s="84"/>
      <c r="Y307" s="84"/>
      <c r="Z307" s="84"/>
      <c r="AA307" s="84"/>
      <c r="AB307" s="84"/>
      <c r="AC307" s="85"/>
      <c r="AD307" s="85"/>
      <c r="AE307" s="84"/>
      <c r="AF307" s="84"/>
      <c r="AG307" s="84"/>
      <c r="AH307" s="84"/>
      <c r="AI307" s="84"/>
      <c r="AJ307" s="84"/>
      <c r="AK307" s="84"/>
      <c r="AL307" s="84"/>
      <c r="AM307" s="84"/>
      <c r="AN307" s="84"/>
      <c r="AO307" s="84"/>
      <c r="AP307" s="84"/>
      <c r="AQ307" s="84"/>
      <c r="AR307" s="84"/>
      <c r="AS307" s="87">
        <f t="array" ref="AS307">IF(E307=1,SUM((ROW(Mf0)=ROW(AS307))*(Mf0+Mf1_+Mf2_+Mf3_+Mf4_+Mf5_+Mf6_+Mf7_+Mf8_+Mf9_+Mf10_+Mf11_+Mf12_+Mf13_+Mf14_+Mf15_+Mf16_+Mf17_+Mf18_+Mf19_+Mf20_+Mf21_+Mf22_+Mf23_+Mf24_+Mf25_+Mf26_+Mf27_+Mf28_+Mf29_+Mf30_+Mf31_+Mf32_+Mf33_+Mf34_+Mf35_+Mf36_+Mf37_)),0)</f>
        <v>0</v>
      </c>
      <c r="AU307" s="24" t="str">
        <f t="shared" si="30"/>
        <v/>
      </c>
      <c r="AV307" s="24" t="str">
        <f t="shared" si="31"/>
        <v/>
      </c>
      <c r="AW307" s="24" t="str">
        <f t="shared" si="32"/>
        <v/>
      </c>
      <c r="AX307" s="72">
        <f t="shared" si="33"/>
        <v>0</v>
      </c>
      <c r="AY307" s="24">
        <f t="shared" si="34"/>
        <v>0</v>
      </c>
      <c r="AZ307" s="24">
        <f t="array" ref="AZ307">IF(OR(RIGHT(B307,LEN(Par_LabelTravelTime))=Par_LabelTravelTime,B307="čas na ceste - fakturácia"),1,0)</f>
        <v>0</v>
      </c>
    </row>
    <row r="308" spans="2:52" s="24" customFormat="1" ht="12.75" x14ac:dyDescent="0.2">
      <c r="B308" s="97"/>
      <c r="C308" s="92"/>
      <c r="D308" s="31" t="str">
        <f>IF(E308=1,VLOOKUP(TableInvs[[#This Row],[Calc_V_Typ]],Tran_RevenuesList,3,FALSE),"")</f>
        <v/>
      </c>
      <c r="E308" s="31">
        <f t="shared" si="29"/>
        <v>0</v>
      </c>
      <c r="F308" s="94"/>
      <c r="G308" s="84"/>
      <c r="H308" s="84"/>
      <c r="I308" s="84"/>
      <c r="J308" s="84"/>
      <c r="K308" s="84"/>
      <c r="L308" s="84"/>
      <c r="M308" s="84"/>
      <c r="N308" s="84"/>
      <c r="O308" s="84"/>
      <c r="P308" s="84"/>
      <c r="Q308" s="84"/>
      <c r="R308" s="84"/>
      <c r="S308" s="84"/>
      <c r="T308" s="84"/>
      <c r="U308" s="84"/>
      <c r="V308" s="84"/>
      <c r="W308" s="84"/>
      <c r="X308" s="84"/>
      <c r="Y308" s="84"/>
      <c r="Z308" s="84"/>
      <c r="AA308" s="84"/>
      <c r="AB308" s="84"/>
      <c r="AC308" s="85"/>
      <c r="AD308" s="85"/>
      <c r="AE308" s="84"/>
      <c r="AF308" s="84"/>
      <c r="AG308" s="84"/>
      <c r="AH308" s="84"/>
      <c r="AI308" s="84"/>
      <c r="AJ308" s="84"/>
      <c r="AK308" s="84"/>
      <c r="AL308" s="84"/>
      <c r="AM308" s="84"/>
      <c r="AN308" s="84"/>
      <c r="AO308" s="84"/>
      <c r="AP308" s="84"/>
      <c r="AQ308" s="84"/>
      <c r="AR308" s="84"/>
      <c r="AS308" s="87">
        <f t="array" ref="AS308">IF(E308=1,SUM((ROW(Mf0)=ROW(AS308))*(Mf0+Mf1_+Mf2_+Mf3_+Mf4_+Mf5_+Mf6_+Mf7_+Mf8_+Mf9_+Mf10_+Mf11_+Mf12_+Mf13_+Mf14_+Mf15_+Mf16_+Mf17_+Mf18_+Mf19_+Mf20_+Mf21_+Mf22_+Mf23_+Mf24_+Mf25_+Mf26_+Mf27_+Mf28_+Mf29_+Mf30_+Mf31_+Mf32_+Mf33_+Mf34_+Mf35_+Mf36_+Mf37_)),0)</f>
        <v>0</v>
      </c>
      <c r="AU308" s="24" t="str">
        <f t="shared" si="30"/>
        <v/>
      </c>
      <c r="AV308" s="24" t="str">
        <f t="shared" si="31"/>
        <v/>
      </c>
      <c r="AW308" s="24" t="str">
        <f t="shared" si="32"/>
        <v/>
      </c>
      <c r="AX308" s="72">
        <f t="shared" si="33"/>
        <v>0</v>
      </c>
      <c r="AY308" s="24">
        <f t="shared" si="34"/>
        <v>0</v>
      </c>
      <c r="AZ308" s="24">
        <f t="array" ref="AZ308">IF(OR(RIGHT(B308,LEN(Par_LabelTravelTime))=Par_LabelTravelTime,B308="čas na ceste - fakturácia"),1,0)</f>
        <v>0</v>
      </c>
    </row>
    <row r="309" spans="2:52" s="24" customFormat="1" ht="12.75" x14ac:dyDescent="0.2">
      <c r="B309" s="97"/>
      <c r="C309" s="92"/>
      <c r="D309" s="31" t="str">
        <f>IF(E309=1,VLOOKUP(TableInvs[[#This Row],[Calc_V_Typ]],Tran_RevenuesList,3,FALSE),"")</f>
        <v/>
      </c>
      <c r="E309" s="31">
        <f t="shared" si="29"/>
        <v>0</v>
      </c>
      <c r="F309" s="94"/>
      <c r="G309" s="84"/>
      <c r="H309" s="84"/>
      <c r="I309" s="84"/>
      <c r="J309" s="84"/>
      <c r="K309" s="84"/>
      <c r="L309" s="84"/>
      <c r="M309" s="84"/>
      <c r="N309" s="84"/>
      <c r="O309" s="84"/>
      <c r="P309" s="84"/>
      <c r="Q309" s="84"/>
      <c r="R309" s="84"/>
      <c r="S309" s="84"/>
      <c r="T309" s="84"/>
      <c r="U309" s="84"/>
      <c r="V309" s="84"/>
      <c r="W309" s="84"/>
      <c r="X309" s="84"/>
      <c r="Y309" s="84"/>
      <c r="Z309" s="84"/>
      <c r="AA309" s="84"/>
      <c r="AB309" s="84"/>
      <c r="AC309" s="85"/>
      <c r="AD309" s="85"/>
      <c r="AE309" s="84"/>
      <c r="AF309" s="84"/>
      <c r="AG309" s="84"/>
      <c r="AH309" s="84"/>
      <c r="AI309" s="84"/>
      <c r="AJ309" s="84"/>
      <c r="AK309" s="84"/>
      <c r="AL309" s="84"/>
      <c r="AM309" s="84"/>
      <c r="AN309" s="84"/>
      <c r="AO309" s="84"/>
      <c r="AP309" s="84"/>
      <c r="AQ309" s="84"/>
      <c r="AR309" s="84"/>
      <c r="AS309" s="87">
        <f t="array" ref="AS309">IF(E309=1,SUM((ROW(Mf0)=ROW(AS309))*(Mf0+Mf1_+Mf2_+Mf3_+Mf4_+Mf5_+Mf6_+Mf7_+Mf8_+Mf9_+Mf10_+Mf11_+Mf12_+Mf13_+Mf14_+Mf15_+Mf16_+Mf17_+Mf18_+Mf19_+Mf20_+Mf21_+Mf22_+Mf23_+Mf24_+Mf25_+Mf26_+Mf27_+Mf28_+Mf29_+Mf30_+Mf31_+Mf32_+Mf33_+Mf34_+Mf35_+Mf36_+Mf37_)),0)</f>
        <v>0</v>
      </c>
      <c r="AU309" s="24" t="str">
        <f t="shared" si="30"/>
        <v/>
      </c>
      <c r="AV309" s="24" t="str">
        <f t="shared" si="31"/>
        <v/>
      </c>
      <c r="AW309" s="24" t="str">
        <f t="shared" si="32"/>
        <v/>
      </c>
      <c r="AX309" s="72">
        <f t="shared" si="33"/>
        <v>0</v>
      </c>
      <c r="AY309" s="24">
        <f t="shared" si="34"/>
        <v>0</v>
      </c>
      <c r="AZ309" s="24">
        <f t="array" ref="AZ309">IF(OR(RIGHT(B309,LEN(Par_LabelTravelTime))=Par_LabelTravelTime,B309="čas na ceste - fakturácia"),1,0)</f>
        <v>0</v>
      </c>
    </row>
    <row r="310" spans="2:52" s="24" customFormat="1" ht="12.75" x14ac:dyDescent="0.2">
      <c r="B310" s="97"/>
      <c r="C310" s="92"/>
      <c r="D310" s="31" t="str">
        <f>IF(E310=1,VLOOKUP(TableInvs[[#This Row],[Calc_V_Typ]],Tran_RevenuesList,3,FALSE),"")</f>
        <v/>
      </c>
      <c r="E310" s="31">
        <f t="shared" si="29"/>
        <v>0</v>
      </c>
      <c r="F310" s="94"/>
      <c r="G310" s="84"/>
      <c r="H310" s="84"/>
      <c r="I310" s="84"/>
      <c r="J310" s="84"/>
      <c r="K310" s="84"/>
      <c r="L310" s="84"/>
      <c r="M310" s="84"/>
      <c r="N310" s="84"/>
      <c r="O310" s="84"/>
      <c r="P310" s="84"/>
      <c r="Q310" s="84"/>
      <c r="R310" s="84"/>
      <c r="S310" s="84"/>
      <c r="T310" s="84"/>
      <c r="U310" s="84"/>
      <c r="V310" s="84"/>
      <c r="W310" s="84"/>
      <c r="X310" s="84"/>
      <c r="Y310" s="84"/>
      <c r="Z310" s="84"/>
      <c r="AA310" s="84"/>
      <c r="AB310" s="84"/>
      <c r="AC310" s="85"/>
      <c r="AD310" s="85"/>
      <c r="AE310" s="84"/>
      <c r="AF310" s="84"/>
      <c r="AG310" s="84"/>
      <c r="AH310" s="84"/>
      <c r="AI310" s="84"/>
      <c r="AJ310" s="84"/>
      <c r="AK310" s="84"/>
      <c r="AL310" s="84"/>
      <c r="AM310" s="84"/>
      <c r="AN310" s="84"/>
      <c r="AO310" s="84"/>
      <c r="AP310" s="84"/>
      <c r="AQ310" s="84"/>
      <c r="AR310" s="84"/>
      <c r="AS310" s="87">
        <f t="array" ref="AS310">IF(E310=1,SUM((ROW(Mf0)=ROW(AS310))*(Mf0+Mf1_+Mf2_+Mf3_+Mf4_+Mf5_+Mf6_+Mf7_+Mf8_+Mf9_+Mf10_+Mf11_+Mf12_+Mf13_+Mf14_+Mf15_+Mf16_+Mf17_+Mf18_+Mf19_+Mf20_+Mf21_+Mf22_+Mf23_+Mf24_+Mf25_+Mf26_+Mf27_+Mf28_+Mf29_+Mf30_+Mf31_+Mf32_+Mf33_+Mf34_+Mf35_+Mf36_+Mf37_)),0)</f>
        <v>0</v>
      </c>
      <c r="AU310" s="24" t="str">
        <f t="shared" si="30"/>
        <v/>
      </c>
      <c r="AV310" s="24" t="str">
        <f t="shared" si="31"/>
        <v/>
      </c>
      <c r="AW310" s="24" t="str">
        <f t="shared" si="32"/>
        <v/>
      </c>
      <c r="AX310" s="72">
        <f t="shared" si="33"/>
        <v>0</v>
      </c>
      <c r="AY310" s="24">
        <f t="shared" si="34"/>
        <v>0</v>
      </c>
      <c r="AZ310" s="24">
        <f t="array" ref="AZ310">IF(OR(RIGHT(B310,LEN(Par_LabelTravelTime))=Par_LabelTravelTime,B310="čas na ceste - fakturácia"),1,0)</f>
        <v>0</v>
      </c>
    </row>
    <row r="311" spans="2:52" s="24" customFormat="1" ht="12.75" x14ac:dyDescent="0.2">
      <c r="B311" s="97"/>
      <c r="C311" s="92"/>
      <c r="D311" s="31" t="str">
        <f>IF(E311=1,VLOOKUP(TableInvs[[#This Row],[Calc_V_Typ]],Tran_RevenuesList,3,FALSE),"")</f>
        <v/>
      </c>
      <c r="E311" s="31">
        <f t="shared" si="29"/>
        <v>0</v>
      </c>
      <c r="F311" s="94"/>
      <c r="G311" s="84"/>
      <c r="H311" s="84"/>
      <c r="I311" s="84"/>
      <c r="J311" s="84"/>
      <c r="K311" s="84"/>
      <c r="L311" s="84"/>
      <c r="M311" s="84"/>
      <c r="N311" s="84"/>
      <c r="O311" s="84"/>
      <c r="P311" s="84"/>
      <c r="Q311" s="84"/>
      <c r="R311" s="84"/>
      <c r="S311" s="84"/>
      <c r="T311" s="84"/>
      <c r="U311" s="84"/>
      <c r="V311" s="84"/>
      <c r="W311" s="84"/>
      <c r="X311" s="84"/>
      <c r="Y311" s="84"/>
      <c r="Z311" s="84"/>
      <c r="AA311" s="84"/>
      <c r="AB311" s="84"/>
      <c r="AC311" s="85"/>
      <c r="AD311" s="85"/>
      <c r="AE311" s="84"/>
      <c r="AF311" s="84"/>
      <c r="AG311" s="84"/>
      <c r="AH311" s="84"/>
      <c r="AI311" s="84"/>
      <c r="AJ311" s="84"/>
      <c r="AK311" s="84"/>
      <c r="AL311" s="84"/>
      <c r="AM311" s="84"/>
      <c r="AN311" s="84"/>
      <c r="AO311" s="84"/>
      <c r="AP311" s="84"/>
      <c r="AQ311" s="84"/>
      <c r="AR311" s="84"/>
      <c r="AS311" s="87">
        <f t="array" ref="AS311">IF(E311=1,SUM((ROW(Mf0)=ROW(AS311))*(Mf0+Mf1_+Mf2_+Mf3_+Mf4_+Mf5_+Mf6_+Mf7_+Mf8_+Mf9_+Mf10_+Mf11_+Mf12_+Mf13_+Mf14_+Mf15_+Mf16_+Mf17_+Mf18_+Mf19_+Mf20_+Mf21_+Mf22_+Mf23_+Mf24_+Mf25_+Mf26_+Mf27_+Mf28_+Mf29_+Mf30_+Mf31_+Mf32_+Mf33_+Mf34_+Mf35_+Mf36_+Mf37_)),0)</f>
        <v>0</v>
      </c>
      <c r="AU311" s="24" t="str">
        <f t="shared" si="30"/>
        <v/>
      </c>
      <c r="AV311" s="24" t="str">
        <f t="shared" si="31"/>
        <v/>
      </c>
      <c r="AW311" s="24" t="str">
        <f t="shared" si="32"/>
        <v/>
      </c>
      <c r="AX311" s="72">
        <f t="shared" si="33"/>
        <v>0</v>
      </c>
      <c r="AY311" s="24">
        <f t="shared" si="34"/>
        <v>0</v>
      </c>
      <c r="AZ311" s="24">
        <f t="array" ref="AZ311">IF(OR(RIGHT(B311,LEN(Par_LabelTravelTime))=Par_LabelTravelTime,B311="čas na ceste - fakturácia"),1,0)</f>
        <v>0</v>
      </c>
    </row>
    <row r="312" spans="2:52" s="24" customFormat="1" ht="12.75" x14ac:dyDescent="0.2">
      <c r="B312" s="97"/>
      <c r="C312" s="92"/>
      <c r="D312" s="31" t="str">
        <f>IF(E312=1,VLOOKUP(TableInvs[[#This Row],[Calc_V_Typ]],Tran_RevenuesList,3,FALSE),"")</f>
        <v/>
      </c>
      <c r="E312" s="31">
        <f t="shared" si="29"/>
        <v>0</v>
      </c>
      <c r="F312" s="94"/>
      <c r="G312" s="84"/>
      <c r="H312" s="84"/>
      <c r="I312" s="84"/>
      <c r="J312" s="84"/>
      <c r="K312" s="84"/>
      <c r="L312" s="84"/>
      <c r="M312" s="84"/>
      <c r="N312" s="84"/>
      <c r="O312" s="84"/>
      <c r="P312" s="84"/>
      <c r="Q312" s="84"/>
      <c r="R312" s="84"/>
      <c r="S312" s="84"/>
      <c r="T312" s="84"/>
      <c r="U312" s="84"/>
      <c r="V312" s="84"/>
      <c r="W312" s="84"/>
      <c r="X312" s="84"/>
      <c r="Y312" s="84"/>
      <c r="Z312" s="84"/>
      <c r="AA312" s="84"/>
      <c r="AB312" s="84"/>
      <c r="AC312" s="85"/>
      <c r="AD312" s="85"/>
      <c r="AE312" s="84"/>
      <c r="AF312" s="84"/>
      <c r="AG312" s="84"/>
      <c r="AH312" s="84"/>
      <c r="AI312" s="84"/>
      <c r="AJ312" s="84"/>
      <c r="AK312" s="84"/>
      <c r="AL312" s="84"/>
      <c r="AM312" s="84"/>
      <c r="AN312" s="84"/>
      <c r="AO312" s="84"/>
      <c r="AP312" s="84"/>
      <c r="AQ312" s="84"/>
      <c r="AR312" s="84"/>
      <c r="AS312" s="87">
        <f t="array" ref="AS312">IF(E312=1,SUM((ROW(Mf0)=ROW(AS312))*(Mf0+Mf1_+Mf2_+Mf3_+Mf4_+Mf5_+Mf6_+Mf7_+Mf8_+Mf9_+Mf10_+Mf11_+Mf12_+Mf13_+Mf14_+Mf15_+Mf16_+Mf17_+Mf18_+Mf19_+Mf20_+Mf21_+Mf22_+Mf23_+Mf24_+Mf25_+Mf26_+Mf27_+Mf28_+Mf29_+Mf30_+Mf31_+Mf32_+Mf33_+Mf34_+Mf35_+Mf36_+Mf37_)),0)</f>
        <v>0</v>
      </c>
      <c r="AU312" s="24" t="str">
        <f t="shared" si="30"/>
        <v/>
      </c>
      <c r="AV312" s="24" t="str">
        <f t="shared" si="31"/>
        <v/>
      </c>
      <c r="AW312" s="24" t="str">
        <f t="shared" si="32"/>
        <v/>
      </c>
      <c r="AX312" s="72">
        <f t="shared" si="33"/>
        <v>0</v>
      </c>
      <c r="AY312" s="24">
        <f t="shared" si="34"/>
        <v>0</v>
      </c>
      <c r="AZ312" s="24">
        <f t="array" ref="AZ312">IF(OR(RIGHT(B312,LEN(Par_LabelTravelTime))=Par_LabelTravelTime,B312="čas na ceste - fakturácia"),1,0)</f>
        <v>0</v>
      </c>
    </row>
    <row r="313" spans="2:52" s="24" customFormat="1" ht="12.75" x14ac:dyDescent="0.2">
      <c r="B313" s="97"/>
      <c r="C313" s="92"/>
      <c r="D313" s="31" t="str">
        <f>IF(E313=1,VLOOKUP(TableInvs[[#This Row],[Calc_V_Typ]],Tran_RevenuesList,3,FALSE),"")</f>
        <v/>
      </c>
      <c r="E313" s="31">
        <f t="shared" si="29"/>
        <v>0</v>
      </c>
      <c r="F313" s="94"/>
      <c r="G313" s="84"/>
      <c r="H313" s="84"/>
      <c r="I313" s="84"/>
      <c r="J313" s="84"/>
      <c r="K313" s="84"/>
      <c r="L313" s="84"/>
      <c r="M313" s="84"/>
      <c r="N313" s="84"/>
      <c r="O313" s="84"/>
      <c r="P313" s="84"/>
      <c r="Q313" s="84"/>
      <c r="R313" s="84"/>
      <c r="S313" s="84"/>
      <c r="T313" s="84"/>
      <c r="U313" s="84"/>
      <c r="V313" s="84"/>
      <c r="W313" s="84"/>
      <c r="X313" s="84"/>
      <c r="Y313" s="84"/>
      <c r="Z313" s="84"/>
      <c r="AA313" s="84"/>
      <c r="AB313" s="84"/>
      <c r="AC313" s="85"/>
      <c r="AD313" s="85"/>
      <c r="AE313" s="84"/>
      <c r="AF313" s="84"/>
      <c r="AG313" s="84"/>
      <c r="AH313" s="84"/>
      <c r="AI313" s="84"/>
      <c r="AJ313" s="84"/>
      <c r="AK313" s="84"/>
      <c r="AL313" s="84"/>
      <c r="AM313" s="84"/>
      <c r="AN313" s="84"/>
      <c r="AO313" s="84"/>
      <c r="AP313" s="84"/>
      <c r="AQ313" s="84"/>
      <c r="AR313" s="84"/>
      <c r="AS313" s="87">
        <f t="array" ref="AS313">IF(E313=1,SUM((ROW(Mf0)=ROW(AS313))*(Mf0+Mf1_+Mf2_+Mf3_+Mf4_+Mf5_+Mf6_+Mf7_+Mf8_+Mf9_+Mf10_+Mf11_+Mf12_+Mf13_+Mf14_+Mf15_+Mf16_+Mf17_+Mf18_+Mf19_+Mf20_+Mf21_+Mf22_+Mf23_+Mf24_+Mf25_+Mf26_+Mf27_+Mf28_+Mf29_+Mf30_+Mf31_+Mf32_+Mf33_+Mf34_+Mf35_+Mf36_+Mf37_)),0)</f>
        <v>0</v>
      </c>
      <c r="AU313" s="24" t="str">
        <f t="shared" si="30"/>
        <v/>
      </c>
      <c r="AV313" s="24" t="str">
        <f t="shared" si="31"/>
        <v/>
      </c>
      <c r="AW313" s="24" t="str">
        <f t="shared" si="32"/>
        <v/>
      </c>
      <c r="AX313" s="72">
        <f t="shared" si="33"/>
        <v>0</v>
      </c>
      <c r="AY313" s="24">
        <f t="shared" si="34"/>
        <v>0</v>
      </c>
      <c r="AZ313" s="24">
        <f t="array" ref="AZ313">IF(OR(RIGHT(B313,LEN(Par_LabelTravelTime))=Par_LabelTravelTime,B313="čas na ceste - fakturácia"),1,0)</f>
        <v>0</v>
      </c>
    </row>
    <row r="314" spans="2:52" s="24" customFormat="1" ht="12.75" x14ac:dyDescent="0.2">
      <c r="B314" s="97"/>
      <c r="C314" s="92"/>
      <c r="D314" s="31" t="str">
        <f>IF(E314=1,VLOOKUP(TableInvs[[#This Row],[Calc_V_Typ]],Tran_RevenuesList,3,FALSE),"")</f>
        <v/>
      </c>
      <c r="E314" s="31">
        <f t="shared" si="29"/>
        <v>0</v>
      </c>
      <c r="F314" s="94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  <c r="W314" s="84"/>
      <c r="X314" s="84"/>
      <c r="Y314" s="84"/>
      <c r="Z314" s="84"/>
      <c r="AA314" s="84"/>
      <c r="AB314" s="84"/>
      <c r="AC314" s="85"/>
      <c r="AD314" s="85"/>
      <c r="AE314" s="84"/>
      <c r="AF314" s="84"/>
      <c r="AG314" s="84"/>
      <c r="AH314" s="84"/>
      <c r="AI314" s="84"/>
      <c r="AJ314" s="84"/>
      <c r="AK314" s="84"/>
      <c r="AL314" s="84"/>
      <c r="AM314" s="84"/>
      <c r="AN314" s="84"/>
      <c r="AO314" s="84"/>
      <c r="AP314" s="84"/>
      <c r="AQ314" s="84"/>
      <c r="AR314" s="84"/>
      <c r="AS314" s="87">
        <f t="array" ref="AS314">IF(E314=1,SUM((ROW(Mf0)=ROW(AS314))*(Mf0+Mf1_+Mf2_+Mf3_+Mf4_+Mf5_+Mf6_+Mf7_+Mf8_+Mf9_+Mf10_+Mf11_+Mf12_+Mf13_+Mf14_+Mf15_+Mf16_+Mf17_+Mf18_+Mf19_+Mf20_+Mf21_+Mf22_+Mf23_+Mf24_+Mf25_+Mf26_+Mf27_+Mf28_+Mf29_+Mf30_+Mf31_+Mf32_+Mf33_+Mf34_+Mf35_+Mf36_+Mf37_)),0)</f>
        <v>0</v>
      </c>
      <c r="AU314" s="24" t="str">
        <f t="shared" si="30"/>
        <v/>
      </c>
      <c r="AV314" s="24" t="str">
        <f t="shared" si="31"/>
        <v/>
      </c>
      <c r="AW314" s="24" t="str">
        <f t="shared" si="32"/>
        <v/>
      </c>
      <c r="AX314" s="72">
        <f t="shared" si="33"/>
        <v>0</v>
      </c>
      <c r="AY314" s="24">
        <f t="shared" si="34"/>
        <v>0</v>
      </c>
      <c r="AZ314" s="24">
        <f t="array" ref="AZ314">IF(OR(RIGHT(B314,LEN(Par_LabelTravelTime))=Par_LabelTravelTime,B314="čas na ceste - fakturácia"),1,0)</f>
        <v>0</v>
      </c>
    </row>
    <row r="315" spans="2:52" s="24" customFormat="1" ht="12.75" x14ac:dyDescent="0.2">
      <c r="B315" s="97"/>
      <c r="C315" s="92"/>
      <c r="D315" s="31" t="str">
        <f>IF(E315=1,VLOOKUP(TableInvs[[#This Row],[Calc_V_Typ]],Tran_RevenuesList,3,FALSE),"")</f>
        <v/>
      </c>
      <c r="E315" s="31">
        <f t="shared" si="29"/>
        <v>0</v>
      </c>
      <c r="F315" s="9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  <c r="W315" s="84"/>
      <c r="X315" s="84"/>
      <c r="Y315" s="84"/>
      <c r="Z315" s="84"/>
      <c r="AA315" s="84"/>
      <c r="AB315" s="84"/>
      <c r="AC315" s="85"/>
      <c r="AD315" s="85"/>
      <c r="AE315" s="84"/>
      <c r="AF315" s="84"/>
      <c r="AG315" s="84"/>
      <c r="AH315" s="84"/>
      <c r="AI315" s="84"/>
      <c r="AJ315" s="84"/>
      <c r="AK315" s="84"/>
      <c r="AL315" s="84"/>
      <c r="AM315" s="84"/>
      <c r="AN315" s="84"/>
      <c r="AO315" s="84"/>
      <c r="AP315" s="84"/>
      <c r="AQ315" s="84"/>
      <c r="AR315" s="84"/>
      <c r="AS315" s="87">
        <f t="array" ref="AS315">IF(E315=1,SUM((ROW(Mf0)=ROW(AS315))*(Mf0+Mf1_+Mf2_+Mf3_+Mf4_+Mf5_+Mf6_+Mf7_+Mf8_+Mf9_+Mf10_+Mf11_+Mf12_+Mf13_+Mf14_+Mf15_+Mf16_+Mf17_+Mf18_+Mf19_+Mf20_+Mf21_+Mf22_+Mf23_+Mf24_+Mf25_+Mf26_+Mf27_+Mf28_+Mf29_+Mf30_+Mf31_+Mf32_+Mf33_+Mf34_+Mf35_+Mf36_+Mf37_)),0)</f>
        <v>0</v>
      </c>
      <c r="AU315" s="24" t="str">
        <f t="shared" si="30"/>
        <v/>
      </c>
      <c r="AV315" s="24" t="str">
        <f t="shared" si="31"/>
        <v/>
      </c>
      <c r="AW315" s="24" t="str">
        <f t="shared" si="32"/>
        <v/>
      </c>
      <c r="AX315" s="72">
        <f t="shared" si="33"/>
        <v>0</v>
      </c>
      <c r="AY315" s="24">
        <f t="shared" si="34"/>
        <v>0</v>
      </c>
      <c r="AZ315" s="24">
        <f t="array" ref="AZ315">IF(OR(RIGHT(B315,LEN(Par_LabelTravelTime))=Par_LabelTravelTime,B315="čas na ceste - fakturácia"),1,0)</f>
        <v>0</v>
      </c>
    </row>
    <row r="316" spans="2:52" s="24" customFormat="1" ht="12.75" x14ac:dyDescent="0.2">
      <c r="B316" s="97"/>
      <c r="C316" s="92"/>
      <c r="D316" s="31" t="str">
        <f>IF(E316=1,VLOOKUP(TableInvs[[#This Row],[Calc_V_Typ]],Tran_RevenuesList,3,FALSE),"")</f>
        <v/>
      </c>
      <c r="E316" s="31">
        <f t="shared" si="29"/>
        <v>0</v>
      </c>
      <c r="F316" s="9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  <c r="R316" s="84"/>
      <c r="S316" s="84"/>
      <c r="T316" s="84"/>
      <c r="U316" s="84"/>
      <c r="V316" s="84"/>
      <c r="W316" s="84"/>
      <c r="X316" s="84"/>
      <c r="Y316" s="84"/>
      <c r="Z316" s="84"/>
      <c r="AA316" s="84"/>
      <c r="AB316" s="84"/>
      <c r="AC316" s="85"/>
      <c r="AD316" s="85"/>
      <c r="AE316" s="84"/>
      <c r="AF316" s="84"/>
      <c r="AG316" s="84"/>
      <c r="AH316" s="84"/>
      <c r="AI316" s="84"/>
      <c r="AJ316" s="84"/>
      <c r="AK316" s="84"/>
      <c r="AL316" s="84"/>
      <c r="AM316" s="84"/>
      <c r="AN316" s="84"/>
      <c r="AO316" s="84"/>
      <c r="AP316" s="84"/>
      <c r="AQ316" s="84"/>
      <c r="AR316" s="84"/>
      <c r="AS316" s="87">
        <f t="array" ref="AS316">IF(E316=1,SUM((ROW(Mf0)=ROW(AS316))*(Mf0+Mf1_+Mf2_+Mf3_+Mf4_+Mf5_+Mf6_+Mf7_+Mf8_+Mf9_+Mf10_+Mf11_+Mf12_+Mf13_+Mf14_+Mf15_+Mf16_+Mf17_+Mf18_+Mf19_+Mf20_+Mf21_+Mf22_+Mf23_+Mf24_+Mf25_+Mf26_+Mf27_+Mf28_+Mf29_+Mf30_+Mf31_+Mf32_+Mf33_+Mf34_+Mf35_+Mf36_+Mf37_)),0)</f>
        <v>0</v>
      </c>
      <c r="AU316" s="24" t="str">
        <f t="shared" si="30"/>
        <v/>
      </c>
      <c r="AV316" s="24" t="str">
        <f t="shared" si="31"/>
        <v/>
      </c>
      <c r="AW316" s="24" t="str">
        <f t="shared" si="32"/>
        <v/>
      </c>
      <c r="AX316" s="72">
        <f t="shared" si="33"/>
        <v>0</v>
      </c>
      <c r="AY316" s="24">
        <f t="shared" si="34"/>
        <v>0</v>
      </c>
      <c r="AZ316" s="24">
        <f t="array" ref="AZ316">IF(OR(RIGHT(B316,LEN(Par_LabelTravelTime))=Par_LabelTravelTime,B316="čas na ceste - fakturácia"),1,0)</f>
        <v>0</v>
      </c>
    </row>
    <row r="317" spans="2:52" s="24" customFormat="1" ht="12.75" x14ac:dyDescent="0.2">
      <c r="B317" s="97"/>
      <c r="C317" s="92"/>
      <c r="D317" s="31" t="str">
        <f>IF(E317=1,VLOOKUP(TableInvs[[#This Row],[Calc_V_Typ]],Tran_RevenuesList,3,FALSE),"")</f>
        <v/>
      </c>
      <c r="E317" s="31">
        <f t="shared" si="29"/>
        <v>0</v>
      </c>
      <c r="F317" s="9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  <c r="R317" s="84"/>
      <c r="S317" s="84"/>
      <c r="T317" s="84"/>
      <c r="U317" s="84"/>
      <c r="V317" s="84"/>
      <c r="W317" s="84"/>
      <c r="X317" s="84"/>
      <c r="Y317" s="84"/>
      <c r="Z317" s="84"/>
      <c r="AA317" s="84"/>
      <c r="AB317" s="84"/>
      <c r="AC317" s="85"/>
      <c r="AD317" s="85"/>
      <c r="AE317" s="84"/>
      <c r="AF317" s="84"/>
      <c r="AG317" s="84"/>
      <c r="AH317" s="84"/>
      <c r="AI317" s="84"/>
      <c r="AJ317" s="84"/>
      <c r="AK317" s="84"/>
      <c r="AL317" s="84"/>
      <c r="AM317" s="84"/>
      <c r="AN317" s="84"/>
      <c r="AO317" s="84"/>
      <c r="AP317" s="84"/>
      <c r="AQ317" s="84"/>
      <c r="AR317" s="84"/>
      <c r="AS317" s="87">
        <f t="array" ref="AS317">IF(E317=1,SUM((ROW(Mf0)=ROW(AS317))*(Mf0+Mf1_+Mf2_+Mf3_+Mf4_+Mf5_+Mf6_+Mf7_+Mf8_+Mf9_+Mf10_+Mf11_+Mf12_+Mf13_+Mf14_+Mf15_+Mf16_+Mf17_+Mf18_+Mf19_+Mf20_+Mf21_+Mf22_+Mf23_+Mf24_+Mf25_+Mf26_+Mf27_+Mf28_+Mf29_+Mf30_+Mf31_+Mf32_+Mf33_+Mf34_+Mf35_+Mf36_+Mf37_)),0)</f>
        <v>0</v>
      </c>
      <c r="AU317" s="24" t="str">
        <f t="shared" si="30"/>
        <v/>
      </c>
      <c r="AV317" s="24" t="str">
        <f t="shared" si="31"/>
        <v/>
      </c>
      <c r="AW317" s="24" t="str">
        <f t="shared" si="32"/>
        <v/>
      </c>
      <c r="AX317" s="72">
        <f t="shared" si="33"/>
        <v>0</v>
      </c>
      <c r="AY317" s="24">
        <f t="shared" si="34"/>
        <v>0</v>
      </c>
      <c r="AZ317" s="24">
        <f t="array" ref="AZ317">IF(OR(RIGHT(B317,LEN(Par_LabelTravelTime))=Par_LabelTravelTime,B317="čas na ceste - fakturácia"),1,0)</f>
        <v>0</v>
      </c>
    </row>
    <row r="318" spans="2:52" s="24" customFormat="1" ht="12.75" x14ac:dyDescent="0.2">
      <c r="B318" s="97"/>
      <c r="C318" s="92"/>
      <c r="D318" s="31" t="str">
        <f>IF(E318=1,VLOOKUP(TableInvs[[#This Row],[Calc_V_Typ]],Tran_RevenuesList,3,FALSE),"")</f>
        <v/>
      </c>
      <c r="E318" s="31">
        <f t="shared" si="29"/>
        <v>0</v>
      </c>
      <c r="F318" s="9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  <c r="R318" s="84"/>
      <c r="S318" s="84"/>
      <c r="T318" s="84"/>
      <c r="U318" s="84"/>
      <c r="V318" s="84"/>
      <c r="W318" s="84"/>
      <c r="X318" s="84"/>
      <c r="Y318" s="84"/>
      <c r="Z318" s="84"/>
      <c r="AA318" s="84"/>
      <c r="AB318" s="84"/>
      <c r="AC318" s="85"/>
      <c r="AD318" s="85"/>
      <c r="AE318" s="84"/>
      <c r="AF318" s="84"/>
      <c r="AG318" s="84"/>
      <c r="AH318" s="84"/>
      <c r="AI318" s="84"/>
      <c r="AJ318" s="84"/>
      <c r="AK318" s="84"/>
      <c r="AL318" s="84"/>
      <c r="AM318" s="84"/>
      <c r="AN318" s="84"/>
      <c r="AO318" s="84"/>
      <c r="AP318" s="84"/>
      <c r="AQ318" s="84"/>
      <c r="AR318" s="84"/>
      <c r="AS318" s="87">
        <f t="array" ref="AS318">IF(E318=1,SUM((ROW(Mf0)=ROW(AS318))*(Mf0+Mf1_+Mf2_+Mf3_+Mf4_+Mf5_+Mf6_+Mf7_+Mf8_+Mf9_+Mf10_+Mf11_+Mf12_+Mf13_+Mf14_+Mf15_+Mf16_+Mf17_+Mf18_+Mf19_+Mf20_+Mf21_+Mf22_+Mf23_+Mf24_+Mf25_+Mf26_+Mf27_+Mf28_+Mf29_+Mf30_+Mf31_+Mf32_+Mf33_+Mf34_+Mf35_+Mf36_+Mf37_)),0)</f>
        <v>0</v>
      </c>
      <c r="AU318" s="24" t="str">
        <f t="shared" si="30"/>
        <v/>
      </c>
      <c r="AV318" s="24" t="str">
        <f t="shared" si="31"/>
        <v/>
      </c>
      <c r="AW318" s="24" t="str">
        <f t="shared" si="32"/>
        <v/>
      </c>
      <c r="AX318" s="72">
        <f t="shared" si="33"/>
        <v>0</v>
      </c>
      <c r="AY318" s="24">
        <f t="shared" si="34"/>
        <v>0</v>
      </c>
      <c r="AZ318" s="24">
        <f t="array" ref="AZ318">IF(OR(RIGHT(B318,LEN(Par_LabelTravelTime))=Par_LabelTravelTime,B318="čas na ceste - fakturácia"),1,0)</f>
        <v>0</v>
      </c>
    </row>
    <row r="319" spans="2:52" s="24" customFormat="1" ht="12.75" x14ac:dyDescent="0.2">
      <c r="B319" s="97"/>
      <c r="C319" s="92"/>
      <c r="D319" s="31" t="str">
        <f>IF(E319=1,VLOOKUP(TableInvs[[#This Row],[Calc_V_Typ]],Tran_RevenuesList,3,FALSE),"")</f>
        <v/>
      </c>
      <c r="E319" s="31">
        <f t="shared" si="29"/>
        <v>0</v>
      </c>
      <c r="F319" s="9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  <c r="R319" s="84"/>
      <c r="S319" s="84"/>
      <c r="T319" s="84"/>
      <c r="U319" s="84"/>
      <c r="V319" s="84"/>
      <c r="W319" s="84"/>
      <c r="X319" s="84"/>
      <c r="Y319" s="84"/>
      <c r="Z319" s="84"/>
      <c r="AA319" s="84"/>
      <c r="AB319" s="84"/>
      <c r="AC319" s="85"/>
      <c r="AD319" s="85"/>
      <c r="AE319" s="84"/>
      <c r="AF319" s="84"/>
      <c r="AG319" s="84"/>
      <c r="AH319" s="84"/>
      <c r="AI319" s="84"/>
      <c r="AJ319" s="84"/>
      <c r="AK319" s="84"/>
      <c r="AL319" s="84"/>
      <c r="AM319" s="84"/>
      <c r="AN319" s="84"/>
      <c r="AO319" s="84"/>
      <c r="AP319" s="84"/>
      <c r="AQ319" s="84"/>
      <c r="AR319" s="84"/>
      <c r="AS319" s="87">
        <f t="array" ref="AS319">IF(E319=1,SUM((ROW(Mf0)=ROW(AS319))*(Mf0+Mf1_+Mf2_+Mf3_+Mf4_+Mf5_+Mf6_+Mf7_+Mf8_+Mf9_+Mf10_+Mf11_+Mf12_+Mf13_+Mf14_+Mf15_+Mf16_+Mf17_+Mf18_+Mf19_+Mf20_+Mf21_+Mf22_+Mf23_+Mf24_+Mf25_+Mf26_+Mf27_+Mf28_+Mf29_+Mf30_+Mf31_+Mf32_+Mf33_+Mf34_+Mf35_+Mf36_+Mf37_)),0)</f>
        <v>0</v>
      </c>
      <c r="AU319" s="24" t="str">
        <f t="shared" si="30"/>
        <v/>
      </c>
      <c r="AV319" s="24" t="str">
        <f t="shared" si="31"/>
        <v/>
      </c>
      <c r="AW319" s="24" t="str">
        <f t="shared" si="32"/>
        <v/>
      </c>
      <c r="AX319" s="72">
        <f t="shared" si="33"/>
        <v>0</v>
      </c>
      <c r="AY319" s="24">
        <f t="shared" si="34"/>
        <v>0</v>
      </c>
      <c r="AZ319" s="24">
        <f t="array" ref="AZ319">IF(OR(RIGHT(B319,LEN(Par_LabelTravelTime))=Par_LabelTravelTime,B319="čas na ceste - fakturácia"),1,0)</f>
        <v>0</v>
      </c>
    </row>
    <row r="320" spans="2:52" s="24" customFormat="1" ht="12.75" x14ac:dyDescent="0.2">
      <c r="B320" s="97"/>
      <c r="C320" s="92"/>
      <c r="D320" s="31" t="str">
        <f>IF(E320=1,VLOOKUP(TableInvs[[#This Row],[Calc_V_Typ]],Tran_RevenuesList,3,FALSE),"")</f>
        <v/>
      </c>
      <c r="E320" s="31">
        <f t="shared" si="29"/>
        <v>0</v>
      </c>
      <c r="F320" s="9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  <c r="R320" s="84"/>
      <c r="S320" s="84"/>
      <c r="T320" s="84"/>
      <c r="U320" s="84"/>
      <c r="V320" s="84"/>
      <c r="W320" s="84"/>
      <c r="X320" s="84"/>
      <c r="Y320" s="84"/>
      <c r="Z320" s="84"/>
      <c r="AA320" s="84"/>
      <c r="AB320" s="84"/>
      <c r="AC320" s="85"/>
      <c r="AD320" s="85"/>
      <c r="AE320" s="84"/>
      <c r="AF320" s="84"/>
      <c r="AG320" s="84"/>
      <c r="AH320" s="84"/>
      <c r="AI320" s="84"/>
      <c r="AJ320" s="84"/>
      <c r="AK320" s="84"/>
      <c r="AL320" s="84"/>
      <c r="AM320" s="84"/>
      <c r="AN320" s="84"/>
      <c r="AO320" s="84"/>
      <c r="AP320" s="84"/>
      <c r="AQ320" s="84"/>
      <c r="AR320" s="84"/>
      <c r="AS320" s="87">
        <f t="array" ref="AS320">IF(E320=1,SUM((ROW(Mf0)=ROW(AS320))*(Mf0+Mf1_+Mf2_+Mf3_+Mf4_+Mf5_+Mf6_+Mf7_+Mf8_+Mf9_+Mf10_+Mf11_+Mf12_+Mf13_+Mf14_+Mf15_+Mf16_+Mf17_+Mf18_+Mf19_+Mf20_+Mf21_+Mf22_+Mf23_+Mf24_+Mf25_+Mf26_+Mf27_+Mf28_+Mf29_+Mf30_+Mf31_+Mf32_+Mf33_+Mf34_+Mf35_+Mf36_+Mf37_)),0)</f>
        <v>0</v>
      </c>
      <c r="AU320" s="24" t="str">
        <f t="shared" si="30"/>
        <v/>
      </c>
      <c r="AV320" s="24" t="str">
        <f t="shared" si="31"/>
        <v/>
      </c>
      <c r="AW320" s="24" t="str">
        <f t="shared" si="32"/>
        <v/>
      </c>
      <c r="AX320" s="72">
        <f t="shared" si="33"/>
        <v>0</v>
      </c>
      <c r="AY320" s="24">
        <f t="shared" si="34"/>
        <v>0</v>
      </c>
      <c r="AZ320" s="24">
        <f t="array" ref="AZ320">IF(OR(RIGHT(B320,LEN(Par_LabelTravelTime))=Par_LabelTravelTime,B320="čas na ceste - fakturácia"),1,0)</f>
        <v>0</v>
      </c>
    </row>
    <row r="321" spans="2:52" s="24" customFormat="1" ht="12.75" x14ac:dyDescent="0.2">
      <c r="B321" s="97"/>
      <c r="C321" s="92"/>
      <c r="D321" s="31" t="str">
        <f>IF(E321=1,VLOOKUP(TableInvs[[#This Row],[Calc_V_Typ]],Tran_RevenuesList,3,FALSE),"")</f>
        <v/>
      </c>
      <c r="E321" s="31">
        <f t="shared" si="29"/>
        <v>0</v>
      </c>
      <c r="F321" s="9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  <c r="R321" s="84"/>
      <c r="S321" s="84"/>
      <c r="T321" s="84"/>
      <c r="U321" s="84"/>
      <c r="V321" s="84"/>
      <c r="W321" s="84"/>
      <c r="X321" s="84"/>
      <c r="Y321" s="84"/>
      <c r="Z321" s="84"/>
      <c r="AA321" s="84"/>
      <c r="AB321" s="84"/>
      <c r="AC321" s="85"/>
      <c r="AD321" s="85"/>
      <c r="AE321" s="84"/>
      <c r="AF321" s="84"/>
      <c r="AG321" s="84"/>
      <c r="AH321" s="84"/>
      <c r="AI321" s="84"/>
      <c r="AJ321" s="84"/>
      <c r="AK321" s="84"/>
      <c r="AL321" s="84"/>
      <c r="AM321" s="84"/>
      <c r="AN321" s="84"/>
      <c r="AO321" s="84"/>
      <c r="AP321" s="84"/>
      <c r="AQ321" s="84"/>
      <c r="AR321" s="84"/>
      <c r="AS321" s="87">
        <f t="array" ref="AS321">IF(E321=1,SUM((ROW(Mf0)=ROW(AS321))*(Mf0+Mf1_+Mf2_+Mf3_+Mf4_+Mf5_+Mf6_+Mf7_+Mf8_+Mf9_+Mf10_+Mf11_+Mf12_+Mf13_+Mf14_+Mf15_+Mf16_+Mf17_+Mf18_+Mf19_+Mf20_+Mf21_+Mf22_+Mf23_+Mf24_+Mf25_+Mf26_+Mf27_+Mf28_+Mf29_+Mf30_+Mf31_+Mf32_+Mf33_+Mf34_+Mf35_+Mf36_+Mf37_)),0)</f>
        <v>0</v>
      </c>
      <c r="AU321" s="24" t="str">
        <f t="shared" si="30"/>
        <v/>
      </c>
      <c r="AV321" s="24" t="str">
        <f t="shared" si="31"/>
        <v/>
      </c>
      <c r="AW321" s="24" t="str">
        <f t="shared" si="32"/>
        <v/>
      </c>
      <c r="AX321" s="72">
        <f t="shared" si="33"/>
        <v>0</v>
      </c>
      <c r="AY321" s="24">
        <f t="shared" si="34"/>
        <v>0</v>
      </c>
      <c r="AZ321" s="24">
        <f t="array" ref="AZ321">IF(OR(RIGHT(B321,LEN(Par_LabelTravelTime))=Par_LabelTravelTime,B321="čas na ceste - fakturácia"),1,0)</f>
        <v>0</v>
      </c>
    </row>
    <row r="322" spans="2:52" s="24" customFormat="1" ht="12.75" x14ac:dyDescent="0.2">
      <c r="B322" s="97"/>
      <c r="C322" s="92"/>
      <c r="D322" s="31" t="str">
        <f>IF(E322=1,VLOOKUP(TableInvs[[#This Row],[Calc_V_Typ]],Tran_RevenuesList,3,FALSE),"")</f>
        <v/>
      </c>
      <c r="E322" s="31">
        <f t="shared" si="29"/>
        <v>0</v>
      </c>
      <c r="F322" s="9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  <c r="R322" s="84"/>
      <c r="S322" s="84"/>
      <c r="T322" s="84"/>
      <c r="U322" s="84"/>
      <c r="V322" s="84"/>
      <c r="W322" s="84"/>
      <c r="X322" s="84"/>
      <c r="Y322" s="84"/>
      <c r="Z322" s="84"/>
      <c r="AA322" s="84"/>
      <c r="AB322" s="84"/>
      <c r="AC322" s="85"/>
      <c r="AD322" s="85"/>
      <c r="AE322" s="84"/>
      <c r="AF322" s="84"/>
      <c r="AG322" s="84"/>
      <c r="AH322" s="84"/>
      <c r="AI322" s="84"/>
      <c r="AJ322" s="84"/>
      <c r="AK322" s="84"/>
      <c r="AL322" s="84"/>
      <c r="AM322" s="84"/>
      <c r="AN322" s="84"/>
      <c r="AO322" s="84"/>
      <c r="AP322" s="84"/>
      <c r="AQ322" s="84"/>
      <c r="AR322" s="84"/>
      <c r="AS322" s="87">
        <f t="array" ref="AS322">IF(E322=1,SUM((ROW(Mf0)=ROW(AS322))*(Mf0+Mf1_+Mf2_+Mf3_+Mf4_+Mf5_+Mf6_+Mf7_+Mf8_+Mf9_+Mf10_+Mf11_+Mf12_+Mf13_+Mf14_+Mf15_+Mf16_+Mf17_+Mf18_+Mf19_+Mf20_+Mf21_+Mf22_+Mf23_+Mf24_+Mf25_+Mf26_+Mf27_+Mf28_+Mf29_+Mf30_+Mf31_+Mf32_+Mf33_+Mf34_+Mf35_+Mf36_+Mf37_)),0)</f>
        <v>0</v>
      </c>
      <c r="AU322" s="24" t="str">
        <f t="shared" si="30"/>
        <v/>
      </c>
      <c r="AV322" s="24" t="str">
        <f t="shared" si="31"/>
        <v/>
      </c>
      <c r="AW322" s="24" t="str">
        <f t="shared" si="32"/>
        <v/>
      </c>
      <c r="AX322" s="72">
        <f t="shared" si="33"/>
        <v>0</v>
      </c>
      <c r="AY322" s="24">
        <f t="shared" si="34"/>
        <v>0</v>
      </c>
      <c r="AZ322" s="24">
        <f t="array" ref="AZ322">IF(OR(RIGHT(B322,LEN(Par_LabelTravelTime))=Par_LabelTravelTime,B322="čas na ceste - fakturácia"),1,0)</f>
        <v>0</v>
      </c>
    </row>
    <row r="323" spans="2:52" s="24" customFormat="1" ht="12.75" x14ac:dyDescent="0.2">
      <c r="B323" s="97"/>
      <c r="C323" s="92"/>
      <c r="D323" s="31" t="str">
        <f>IF(E323=1,VLOOKUP(TableInvs[[#This Row],[Calc_V_Typ]],Tran_RevenuesList,3,FALSE),"")</f>
        <v/>
      </c>
      <c r="E323" s="31">
        <f t="shared" si="29"/>
        <v>0</v>
      </c>
      <c r="F323" s="9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  <c r="R323" s="84"/>
      <c r="S323" s="84"/>
      <c r="T323" s="84"/>
      <c r="U323" s="84"/>
      <c r="V323" s="84"/>
      <c r="W323" s="84"/>
      <c r="X323" s="84"/>
      <c r="Y323" s="84"/>
      <c r="Z323" s="84"/>
      <c r="AA323" s="84"/>
      <c r="AB323" s="84"/>
      <c r="AC323" s="85"/>
      <c r="AD323" s="85"/>
      <c r="AE323" s="84"/>
      <c r="AF323" s="84"/>
      <c r="AG323" s="84"/>
      <c r="AH323" s="84"/>
      <c r="AI323" s="84"/>
      <c r="AJ323" s="84"/>
      <c r="AK323" s="84"/>
      <c r="AL323" s="84"/>
      <c r="AM323" s="84"/>
      <c r="AN323" s="84"/>
      <c r="AO323" s="84"/>
      <c r="AP323" s="84"/>
      <c r="AQ323" s="84"/>
      <c r="AR323" s="84"/>
      <c r="AS323" s="87">
        <f t="array" ref="AS323">IF(E323=1,SUM((ROW(Mf0)=ROW(AS323))*(Mf0+Mf1_+Mf2_+Mf3_+Mf4_+Mf5_+Mf6_+Mf7_+Mf8_+Mf9_+Mf10_+Mf11_+Mf12_+Mf13_+Mf14_+Mf15_+Mf16_+Mf17_+Mf18_+Mf19_+Mf20_+Mf21_+Mf22_+Mf23_+Mf24_+Mf25_+Mf26_+Mf27_+Mf28_+Mf29_+Mf30_+Mf31_+Mf32_+Mf33_+Mf34_+Mf35_+Mf36_+Mf37_)),0)</f>
        <v>0</v>
      </c>
      <c r="AU323" s="24" t="str">
        <f t="shared" si="30"/>
        <v/>
      </c>
      <c r="AV323" s="24" t="str">
        <f t="shared" si="31"/>
        <v/>
      </c>
      <c r="AW323" s="24" t="str">
        <f t="shared" si="32"/>
        <v/>
      </c>
      <c r="AX323" s="72">
        <f t="shared" si="33"/>
        <v>0</v>
      </c>
      <c r="AY323" s="24">
        <f t="shared" si="34"/>
        <v>0</v>
      </c>
      <c r="AZ323" s="24">
        <f t="array" ref="AZ323">IF(OR(RIGHT(B323,LEN(Par_LabelTravelTime))=Par_LabelTravelTime,B323="čas na ceste - fakturácia"),1,0)</f>
        <v>0</v>
      </c>
    </row>
    <row r="324" spans="2:52" s="24" customFormat="1" ht="12.75" x14ac:dyDescent="0.2">
      <c r="B324" s="97"/>
      <c r="C324" s="92"/>
      <c r="D324" s="31" t="str">
        <f>IF(E324=1,VLOOKUP(TableInvs[[#This Row],[Calc_V_Typ]],Tran_RevenuesList,3,FALSE),"")</f>
        <v/>
      </c>
      <c r="E324" s="31">
        <f t="shared" si="29"/>
        <v>0</v>
      </c>
      <c r="F324" s="9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  <c r="R324" s="84"/>
      <c r="S324" s="84"/>
      <c r="T324" s="84"/>
      <c r="U324" s="84"/>
      <c r="V324" s="84"/>
      <c r="W324" s="84"/>
      <c r="X324" s="84"/>
      <c r="Y324" s="84"/>
      <c r="Z324" s="84"/>
      <c r="AA324" s="84"/>
      <c r="AB324" s="84"/>
      <c r="AC324" s="85"/>
      <c r="AD324" s="85"/>
      <c r="AE324" s="84"/>
      <c r="AF324" s="84"/>
      <c r="AG324" s="84"/>
      <c r="AH324" s="84"/>
      <c r="AI324" s="84"/>
      <c r="AJ324" s="84"/>
      <c r="AK324" s="84"/>
      <c r="AL324" s="84"/>
      <c r="AM324" s="84"/>
      <c r="AN324" s="84"/>
      <c r="AO324" s="84"/>
      <c r="AP324" s="84"/>
      <c r="AQ324" s="84"/>
      <c r="AR324" s="84"/>
      <c r="AS324" s="87">
        <f t="array" ref="AS324">IF(E324=1,SUM((ROW(Mf0)=ROW(AS324))*(Mf0+Mf1_+Mf2_+Mf3_+Mf4_+Mf5_+Mf6_+Mf7_+Mf8_+Mf9_+Mf10_+Mf11_+Mf12_+Mf13_+Mf14_+Mf15_+Mf16_+Mf17_+Mf18_+Mf19_+Mf20_+Mf21_+Mf22_+Mf23_+Mf24_+Mf25_+Mf26_+Mf27_+Mf28_+Mf29_+Mf30_+Mf31_+Mf32_+Mf33_+Mf34_+Mf35_+Mf36_+Mf37_)),0)</f>
        <v>0</v>
      </c>
      <c r="AU324" s="24" t="str">
        <f t="shared" si="30"/>
        <v/>
      </c>
      <c r="AV324" s="24" t="str">
        <f t="shared" si="31"/>
        <v/>
      </c>
      <c r="AW324" s="24" t="str">
        <f t="shared" si="32"/>
        <v/>
      </c>
      <c r="AX324" s="72">
        <f t="shared" si="33"/>
        <v>0</v>
      </c>
      <c r="AY324" s="24">
        <f t="shared" si="34"/>
        <v>0</v>
      </c>
      <c r="AZ324" s="24">
        <f t="array" ref="AZ324">IF(OR(RIGHT(B324,LEN(Par_LabelTravelTime))=Par_LabelTravelTime,B324="čas na ceste - fakturácia"),1,0)</f>
        <v>0</v>
      </c>
    </row>
    <row r="325" spans="2:52" s="24" customFormat="1" ht="12.75" x14ac:dyDescent="0.2">
      <c r="B325" s="97"/>
      <c r="C325" s="92"/>
      <c r="D325" s="31" t="str">
        <f>IF(E325=1,VLOOKUP(TableInvs[[#This Row],[Calc_V_Typ]],Tran_RevenuesList,3,FALSE),"")</f>
        <v/>
      </c>
      <c r="E325" s="31">
        <f t="shared" si="29"/>
        <v>0</v>
      </c>
      <c r="F325" s="9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  <c r="S325" s="84"/>
      <c r="T325" s="84"/>
      <c r="U325" s="84"/>
      <c r="V325" s="84"/>
      <c r="W325" s="84"/>
      <c r="X325" s="84"/>
      <c r="Y325" s="84"/>
      <c r="Z325" s="84"/>
      <c r="AA325" s="84"/>
      <c r="AB325" s="84"/>
      <c r="AC325" s="85"/>
      <c r="AD325" s="85"/>
      <c r="AE325" s="84"/>
      <c r="AF325" s="84"/>
      <c r="AG325" s="84"/>
      <c r="AH325" s="84"/>
      <c r="AI325" s="84"/>
      <c r="AJ325" s="84"/>
      <c r="AK325" s="84"/>
      <c r="AL325" s="84"/>
      <c r="AM325" s="84"/>
      <c r="AN325" s="84"/>
      <c r="AO325" s="84"/>
      <c r="AP325" s="84"/>
      <c r="AQ325" s="84"/>
      <c r="AR325" s="84"/>
      <c r="AS325" s="87">
        <f t="array" ref="AS325">IF(E325=1,SUM((ROW(Mf0)=ROW(AS325))*(Mf0+Mf1_+Mf2_+Mf3_+Mf4_+Mf5_+Mf6_+Mf7_+Mf8_+Mf9_+Mf10_+Mf11_+Mf12_+Mf13_+Mf14_+Mf15_+Mf16_+Mf17_+Mf18_+Mf19_+Mf20_+Mf21_+Mf22_+Mf23_+Mf24_+Mf25_+Mf26_+Mf27_+Mf28_+Mf29_+Mf30_+Mf31_+Mf32_+Mf33_+Mf34_+Mf35_+Mf36_+Mf37_)),0)</f>
        <v>0</v>
      </c>
      <c r="AU325" s="24" t="str">
        <f t="shared" si="30"/>
        <v/>
      </c>
      <c r="AV325" s="24" t="str">
        <f t="shared" si="31"/>
        <v/>
      </c>
      <c r="AW325" s="24" t="str">
        <f t="shared" si="32"/>
        <v/>
      </c>
      <c r="AX325" s="72">
        <f t="shared" si="33"/>
        <v>0</v>
      </c>
      <c r="AY325" s="24">
        <f t="shared" si="34"/>
        <v>0</v>
      </c>
      <c r="AZ325" s="24">
        <f t="array" ref="AZ325">IF(OR(RIGHT(B325,LEN(Par_LabelTravelTime))=Par_LabelTravelTime,B325="čas na ceste - fakturácia"),1,0)</f>
        <v>0</v>
      </c>
    </row>
    <row r="326" spans="2:52" s="24" customFormat="1" ht="12.75" x14ac:dyDescent="0.2">
      <c r="B326" s="97"/>
      <c r="C326" s="92"/>
      <c r="D326" s="31" t="str">
        <f>IF(E326=1,VLOOKUP(TableInvs[[#This Row],[Calc_V_Typ]],Tran_RevenuesList,3,FALSE),"")</f>
        <v/>
      </c>
      <c r="E326" s="31">
        <f t="shared" si="29"/>
        <v>0</v>
      </c>
      <c r="F326" s="9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  <c r="R326" s="84"/>
      <c r="S326" s="84"/>
      <c r="T326" s="84"/>
      <c r="U326" s="84"/>
      <c r="V326" s="84"/>
      <c r="W326" s="84"/>
      <c r="X326" s="84"/>
      <c r="Y326" s="84"/>
      <c r="Z326" s="84"/>
      <c r="AA326" s="84"/>
      <c r="AB326" s="84"/>
      <c r="AC326" s="85"/>
      <c r="AD326" s="85"/>
      <c r="AE326" s="84"/>
      <c r="AF326" s="84"/>
      <c r="AG326" s="84"/>
      <c r="AH326" s="84"/>
      <c r="AI326" s="84"/>
      <c r="AJ326" s="84"/>
      <c r="AK326" s="84"/>
      <c r="AL326" s="84"/>
      <c r="AM326" s="84"/>
      <c r="AN326" s="84"/>
      <c r="AO326" s="84"/>
      <c r="AP326" s="84"/>
      <c r="AQ326" s="84"/>
      <c r="AR326" s="84"/>
      <c r="AS326" s="87">
        <f t="array" ref="AS326">IF(E326=1,SUM((ROW(Mf0)=ROW(AS326))*(Mf0+Mf1_+Mf2_+Mf3_+Mf4_+Mf5_+Mf6_+Mf7_+Mf8_+Mf9_+Mf10_+Mf11_+Mf12_+Mf13_+Mf14_+Mf15_+Mf16_+Mf17_+Mf18_+Mf19_+Mf20_+Mf21_+Mf22_+Mf23_+Mf24_+Mf25_+Mf26_+Mf27_+Mf28_+Mf29_+Mf30_+Mf31_+Mf32_+Mf33_+Mf34_+Mf35_+Mf36_+Mf37_)),0)</f>
        <v>0</v>
      </c>
      <c r="AU326" s="24" t="str">
        <f t="shared" si="30"/>
        <v/>
      </c>
      <c r="AV326" s="24" t="str">
        <f t="shared" si="31"/>
        <v/>
      </c>
      <c r="AW326" s="24" t="str">
        <f t="shared" si="32"/>
        <v/>
      </c>
      <c r="AX326" s="72">
        <f t="shared" si="33"/>
        <v>0</v>
      </c>
      <c r="AY326" s="24">
        <f t="shared" si="34"/>
        <v>0</v>
      </c>
      <c r="AZ326" s="24">
        <f t="array" ref="AZ326">IF(OR(RIGHT(B326,LEN(Par_LabelTravelTime))=Par_LabelTravelTime,B326="čas na ceste - fakturácia"),1,0)</f>
        <v>0</v>
      </c>
    </row>
    <row r="327" spans="2:52" s="24" customFormat="1" ht="12.75" x14ac:dyDescent="0.2">
      <c r="B327" s="97"/>
      <c r="C327" s="92"/>
      <c r="D327" s="31" t="str">
        <f>IF(E327=1,VLOOKUP(TableInvs[[#This Row],[Calc_V_Typ]],Tran_RevenuesList,3,FALSE),"")</f>
        <v/>
      </c>
      <c r="E327" s="31">
        <f t="shared" ref="E327:E390" si="35">IF(B327="",0,IF(LEFT(B327,3)="***",-1,1))</f>
        <v>0</v>
      </c>
      <c r="F327" s="9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  <c r="S327" s="84"/>
      <c r="T327" s="84"/>
      <c r="U327" s="84"/>
      <c r="V327" s="84"/>
      <c r="W327" s="84"/>
      <c r="X327" s="84"/>
      <c r="Y327" s="84"/>
      <c r="Z327" s="84"/>
      <c r="AA327" s="84"/>
      <c r="AB327" s="84"/>
      <c r="AC327" s="85"/>
      <c r="AD327" s="85"/>
      <c r="AE327" s="84"/>
      <c r="AF327" s="84"/>
      <c r="AG327" s="84"/>
      <c r="AH327" s="84"/>
      <c r="AI327" s="84"/>
      <c r="AJ327" s="84"/>
      <c r="AK327" s="84"/>
      <c r="AL327" s="84"/>
      <c r="AM327" s="84"/>
      <c r="AN327" s="84"/>
      <c r="AO327" s="84"/>
      <c r="AP327" s="84"/>
      <c r="AQ327" s="84"/>
      <c r="AR327" s="84"/>
      <c r="AS327" s="87">
        <f t="array" ref="AS327">IF(E327=1,SUM((ROW(Mf0)=ROW(AS327))*(Mf0+Mf1_+Mf2_+Mf3_+Mf4_+Mf5_+Mf6_+Mf7_+Mf8_+Mf9_+Mf10_+Mf11_+Mf12_+Mf13_+Mf14_+Mf15_+Mf16_+Mf17_+Mf18_+Mf19_+Mf20_+Mf21_+Mf22_+Mf23_+Mf24_+Mf25_+Mf26_+Mf27_+Mf28_+Mf29_+Mf30_+Mf31_+Mf32_+Mf33_+Mf34_+Mf35_+Mf36_+Mf37_)),0)</f>
        <v>0</v>
      </c>
      <c r="AU327" s="24" t="str">
        <f t="shared" ref="AU327:AU390" si="36">IF(E327=1,VLOOKUP(B327,Tran_RevenuesList,2,0),"")</f>
        <v/>
      </c>
      <c r="AV327" s="24" t="str">
        <f t="shared" ref="AV327:AV390" si="37">IF(E327=1,D327,"")</f>
        <v/>
      </c>
      <c r="AW327" s="24" t="str">
        <f t="shared" ref="AW327:AW390" si="38">IF(C327="","",VLOOKUP(C327,Tab_Parts,2,0))</f>
        <v/>
      </c>
      <c r="AX327" s="72">
        <f t="shared" ref="AX327:AX390" si="39">IF(E327=1,AS327,0)</f>
        <v>0</v>
      </c>
      <c r="AY327" s="24">
        <f t="shared" ref="AY327:AY390" si="40">IF(RIGHT(B327,LEN(Par_LabelTravelTime))=Par_LabelTravelTime,LEFT(B327,LEN(B327)-LEN(Par_LabelTravelTime)),B327)</f>
        <v>0</v>
      </c>
      <c r="AZ327" s="24">
        <f t="array" ref="AZ327">IF(OR(RIGHT(B327,LEN(Par_LabelTravelTime))=Par_LabelTravelTime,B327="čas na ceste - fakturácia"),1,0)</f>
        <v>0</v>
      </c>
    </row>
    <row r="328" spans="2:52" s="24" customFormat="1" ht="12.75" x14ac:dyDescent="0.2">
      <c r="B328" s="97"/>
      <c r="C328" s="92"/>
      <c r="D328" s="31" t="str">
        <f>IF(E328=1,VLOOKUP(TableInvs[[#This Row],[Calc_V_Typ]],Tran_RevenuesList,3,FALSE),"")</f>
        <v/>
      </c>
      <c r="E328" s="31">
        <f t="shared" si="35"/>
        <v>0</v>
      </c>
      <c r="F328" s="9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  <c r="S328" s="84"/>
      <c r="T328" s="84"/>
      <c r="U328" s="84"/>
      <c r="V328" s="84"/>
      <c r="W328" s="84"/>
      <c r="X328" s="84"/>
      <c r="Y328" s="84"/>
      <c r="Z328" s="84"/>
      <c r="AA328" s="84"/>
      <c r="AB328" s="84"/>
      <c r="AC328" s="85"/>
      <c r="AD328" s="85"/>
      <c r="AE328" s="84"/>
      <c r="AF328" s="84"/>
      <c r="AG328" s="84"/>
      <c r="AH328" s="84"/>
      <c r="AI328" s="84"/>
      <c r="AJ328" s="84"/>
      <c r="AK328" s="84"/>
      <c r="AL328" s="84"/>
      <c r="AM328" s="84"/>
      <c r="AN328" s="84"/>
      <c r="AO328" s="84"/>
      <c r="AP328" s="84"/>
      <c r="AQ328" s="84"/>
      <c r="AR328" s="84"/>
      <c r="AS328" s="87">
        <f t="array" ref="AS328">IF(E328=1,SUM((ROW(Mf0)=ROW(AS328))*(Mf0+Mf1_+Mf2_+Mf3_+Mf4_+Mf5_+Mf6_+Mf7_+Mf8_+Mf9_+Mf10_+Mf11_+Mf12_+Mf13_+Mf14_+Mf15_+Mf16_+Mf17_+Mf18_+Mf19_+Mf20_+Mf21_+Mf22_+Mf23_+Mf24_+Mf25_+Mf26_+Mf27_+Mf28_+Mf29_+Mf30_+Mf31_+Mf32_+Mf33_+Mf34_+Mf35_+Mf36_+Mf37_)),0)</f>
        <v>0</v>
      </c>
      <c r="AU328" s="24" t="str">
        <f t="shared" si="36"/>
        <v/>
      </c>
      <c r="AV328" s="24" t="str">
        <f t="shared" si="37"/>
        <v/>
      </c>
      <c r="AW328" s="24" t="str">
        <f t="shared" si="38"/>
        <v/>
      </c>
      <c r="AX328" s="72">
        <f t="shared" si="39"/>
        <v>0</v>
      </c>
      <c r="AY328" s="24">
        <f t="shared" si="40"/>
        <v>0</v>
      </c>
      <c r="AZ328" s="24">
        <f t="array" ref="AZ328">IF(OR(RIGHT(B328,LEN(Par_LabelTravelTime))=Par_LabelTravelTime,B328="čas na ceste - fakturácia"),1,0)</f>
        <v>0</v>
      </c>
    </row>
    <row r="329" spans="2:52" s="24" customFormat="1" ht="12.75" x14ac:dyDescent="0.2">
      <c r="B329" s="97"/>
      <c r="C329" s="92"/>
      <c r="D329" s="31" t="str">
        <f>IF(E329=1,VLOOKUP(TableInvs[[#This Row],[Calc_V_Typ]],Tran_RevenuesList,3,FALSE),"")</f>
        <v/>
      </c>
      <c r="E329" s="31">
        <f t="shared" si="35"/>
        <v>0</v>
      </c>
      <c r="F329" s="94"/>
      <c r="G329" s="84"/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  <c r="S329" s="84"/>
      <c r="T329" s="84"/>
      <c r="U329" s="84"/>
      <c r="V329" s="84"/>
      <c r="W329" s="84"/>
      <c r="X329" s="84"/>
      <c r="Y329" s="84"/>
      <c r="Z329" s="84"/>
      <c r="AA329" s="84"/>
      <c r="AB329" s="84"/>
      <c r="AC329" s="85"/>
      <c r="AD329" s="85"/>
      <c r="AE329" s="84"/>
      <c r="AF329" s="84"/>
      <c r="AG329" s="84"/>
      <c r="AH329" s="84"/>
      <c r="AI329" s="84"/>
      <c r="AJ329" s="84"/>
      <c r="AK329" s="84"/>
      <c r="AL329" s="84"/>
      <c r="AM329" s="84"/>
      <c r="AN329" s="84"/>
      <c r="AO329" s="84"/>
      <c r="AP329" s="84"/>
      <c r="AQ329" s="84"/>
      <c r="AR329" s="84"/>
      <c r="AS329" s="87">
        <f t="array" ref="AS329">IF(E329=1,SUM((ROW(Mf0)=ROW(AS329))*(Mf0+Mf1_+Mf2_+Mf3_+Mf4_+Mf5_+Mf6_+Mf7_+Mf8_+Mf9_+Mf10_+Mf11_+Mf12_+Mf13_+Mf14_+Mf15_+Mf16_+Mf17_+Mf18_+Mf19_+Mf20_+Mf21_+Mf22_+Mf23_+Mf24_+Mf25_+Mf26_+Mf27_+Mf28_+Mf29_+Mf30_+Mf31_+Mf32_+Mf33_+Mf34_+Mf35_+Mf36_+Mf37_)),0)</f>
        <v>0</v>
      </c>
      <c r="AU329" s="24" t="str">
        <f t="shared" si="36"/>
        <v/>
      </c>
      <c r="AV329" s="24" t="str">
        <f t="shared" si="37"/>
        <v/>
      </c>
      <c r="AW329" s="24" t="str">
        <f t="shared" si="38"/>
        <v/>
      </c>
      <c r="AX329" s="72">
        <f t="shared" si="39"/>
        <v>0</v>
      </c>
      <c r="AY329" s="24">
        <f t="shared" si="40"/>
        <v>0</v>
      </c>
      <c r="AZ329" s="24">
        <f t="array" ref="AZ329">IF(OR(RIGHT(B329,LEN(Par_LabelTravelTime))=Par_LabelTravelTime,B329="čas na ceste - fakturácia"),1,0)</f>
        <v>0</v>
      </c>
    </row>
    <row r="330" spans="2:52" s="24" customFormat="1" ht="12.75" x14ac:dyDescent="0.2">
      <c r="B330" s="97"/>
      <c r="C330" s="92"/>
      <c r="D330" s="31" t="str">
        <f>IF(E330=1,VLOOKUP(TableInvs[[#This Row],[Calc_V_Typ]],Tran_RevenuesList,3,FALSE),"")</f>
        <v/>
      </c>
      <c r="E330" s="31">
        <f t="shared" si="35"/>
        <v>0</v>
      </c>
      <c r="F330" s="9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  <c r="S330" s="84"/>
      <c r="T330" s="84"/>
      <c r="U330" s="84"/>
      <c r="V330" s="84"/>
      <c r="W330" s="84"/>
      <c r="X330" s="84"/>
      <c r="Y330" s="84"/>
      <c r="Z330" s="84"/>
      <c r="AA330" s="84"/>
      <c r="AB330" s="84"/>
      <c r="AC330" s="85"/>
      <c r="AD330" s="85"/>
      <c r="AE330" s="84"/>
      <c r="AF330" s="84"/>
      <c r="AG330" s="84"/>
      <c r="AH330" s="84"/>
      <c r="AI330" s="84"/>
      <c r="AJ330" s="84"/>
      <c r="AK330" s="84"/>
      <c r="AL330" s="84"/>
      <c r="AM330" s="84"/>
      <c r="AN330" s="84"/>
      <c r="AO330" s="84"/>
      <c r="AP330" s="84"/>
      <c r="AQ330" s="84"/>
      <c r="AR330" s="84"/>
      <c r="AS330" s="87">
        <f t="array" ref="AS330">IF(E330=1,SUM((ROW(Mf0)=ROW(AS330))*(Mf0+Mf1_+Mf2_+Mf3_+Mf4_+Mf5_+Mf6_+Mf7_+Mf8_+Mf9_+Mf10_+Mf11_+Mf12_+Mf13_+Mf14_+Mf15_+Mf16_+Mf17_+Mf18_+Mf19_+Mf20_+Mf21_+Mf22_+Mf23_+Mf24_+Mf25_+Mf26_+Mf27_+Mf28_+Mf29_+Mf30_+Mf31_+Mf32_+Mf33_+Mf34_+Mf35_+Mf36_+Mf37_)),0)</f>
        <v>0</v>
      </c>
      <c r="AU330" s="24" t="str">
        <f t="shared" si="36"/>
        <v/>
      </c>
      <c r="AV330" s="24" t="str">
        <f t="shared" si="37"/>
        <v/>
      </c>
      <c r="AW330" s="24" t="str">
        <f t="shared" si="38"/>
        <v/>
      </c>
      <c r="AX330" s="72">
        <f t="shared" si="39"/>
        <v>0</v>
      </c>
      <c r="AY330" s="24">
        <f t="shared" si="40"/>
        <v>0</v>
      </c>
      <c r="AZ330" s="24">
        <f t="array" ref="AZ330">IF(OR(RIGHT(B330,LEN(Par_LabelTravelTime))=Par_LabelTravelTime,B330="čas na ceste - fakturácia"),1,0)</f>
        <v>0</v>
      </c>
    </row>
    <row r="331" spans="2:52" s="24" customFormat="1" ht="12.75" x14ac:dyDescent="0.2">
      <c r="B331" s="97"/>
      <c r="C331" s="92"/>
      <c r="D331" s="31" t="str">
        <f>IF(E331=1,VLOOKUP(TableInvs[[#This Row],[Calc_V_Typ]],Tran_RevenuesList,3,FALSE),"")</f>
        <v/>
      </c>
      <c r="E331" s="31">
        <f t="shared" si="35"/>
        <v>0</v>
      </c>
      <c r="F331" s="9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  <c r="S331" s="84"/>
      <c r="T331" s="84"/>
      <c r="U331" s="84"/>
      <c r="V331" s="84"/>
      <c r="W331" s="84"/>
      <c r="X331" s="84"/>
      <c r="Y331" s="84"/>
      <c r="Z331" s="84"/>
      <c r="AA331" s="84"/>
      <c r="AB331" s="84"/>
      <c r="AC331" s="85"/>
      <c r="AD331" s="85"/>
      <c r="AE331" s="84"/>
      <c r="AF331" s="84"/>
      <c r="AG331" s="84"/>
      <c r="AH331" s="84"/>
      <c r="AI331" s="84"/>
      <c r="AJ331" s="84"/>
      <c r="AK331" s="84"/>
      <c r="AL331" s="84"/>
      <c r="AM331" s="84"/>
      <c r="AN331" s="84"/>
      <c r="AO331" s="84"/>
      <c r="AP331" s="84"/>
      <c r="AQ331" s="84"/>
      <c r="AR331" s="84"/>
      <c r="AS331" s="87">
        <f t="array" ref="AS331">IF(E331=1,SUM((ROW(Mf0)=ROW(AS331))*(Mf0+Mf1_+Mf2_+Mf3_+Mf4_+Mf5_+Mf6_+Mf7_+Mf8_+Mf9_+Mf10_+Mf11_+Mf12_+Mf13_+Mf14_+Mf15_+Mf16_+Mf17_+Mf18_+Mf19_+Mf20_+Mf21_+Mf22_+Mf23_+Mf24_+Mf25_+Mf26_+Mf27_+Mf28_+Mf29_+Mf30_+Mf31_+Mf32_+Mf33_+Mf34_+Mf35_+Mf36_+Mf37_)),0)</f>
        <v>0</v>
      </c>
      <c r="AU331" s="24" t="str">
        <f t="shared" si="36"/>
        <v/>
      </c>
      <c r="AV331" s="24" t="str">
        <f t="shared" si="37"/>
        <v/>
      </c>
      <c r="AW331" s="24" t="str">
        <f t="shared" si="38"/>
        <v/>
      </c>
      <c r="AX331" s="72">
        <f t="shared" si="39"/>
        <v>0</v>
      </c>
      <c r="AY331" s="24">
        <f t="shared" si="40"/>
        <v>0</v>
      </c>
      <c r="AZ331" s="24">
        <f t="array" ref="AZ331">IF(OR(RIGHT(B331,LEN(Par_LabelTravelTime))=Par_LabelTravelTime,B331="čas na ceste - fakturácia"),1,0)</f>
        <v>0</v>
      </c>
    </row>
    <row r="332" spans="2:52" s="24" customFormat="1" ht="12.75" x14ac:dyDescent="0.2">
      <c r="B332" s="97"/>
      <c r="C332" s="92"/>
      <c r="D332" s="31" t="str">
        <f>IF(E332=1,VLOOKUP(TableInvs[[#This Row],[Calc_V_Typ]],Tran_RevenuesList,3,FALSE),"")</f>
        <v/>
      </c>
      <c r="E332" s="31">
        <f t="shared" si="35"/>
        <v>0</v>
      </c>
      <c r="F332" s="9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  <c r="S332" s="84"/>
      <c r="T332" s="84"/>
      <c r="U332" s="84"/>
      <c r="V332" s="84"/>
      <c r="W332" s="84"/>
      <c r="X332" s="84"/>
      <c r="Y332" s="84"/>
      <c r="Z332" s="84"/>
      <c r="AA332" s="84"/>
      <c r="AB332" s="84"/>
      <c r="AC332" s="85"/>
      <c r="AD332" s="85"/>
      <c r="AE332" s="84"/>
      <c r="AF332" s="84"/>
      <c r="AG332" s="84"/>
      <c r="AH332" s="84"/>
      <c r="AI332" s="84"/>
      <c r="AJ332" s="84"/>
      <c r="AK332" s="84"/>
      <c r="AL332" s="84"/>
      <c r="AM332" s="84"/>
      <c r="AN332" s="84"/>
      <c r="AO332" s="84"/>
      <c r="AP332" s="84"/>
      <c r="AQ332" s="84"/>
      <c r="AR332" s="84"/>
      <c r="AS332" s="87">
        <f t="array" ref="AS332">IF(E332=1,SUM((ROW(Mf0)=ROW(AS332))*(Mf0+Mf1_+Mf2_+Mf3_+Mf4_+Mf5_+Mf6_+Mf7_+Mf8_+Mf9_+Mf10_+Mf11_+Mf12_+Mf13_+Mf14_+Mf15_+Mf16_+Mf17_+Mf18_+Mf19_+Mf20_+Mf21_+Mf22_+Mf23_+Mf24_+Mf25_+Mf26_+Mf27_+Mf28_+Mf29_+Mf30_+Mf31_+Mf32_+Mf33_+Mf34_+Mf35_+Mf36_+Mf37_)),0)</f>
        <v>0</v>
      </c>
      <c r="AU332" s="24" t="str">
        <f t="shared" si="36"/>
        <v/>
      </c>
      <c r="AV332" s="24" t="str">
        <f t="shared" si="37"/>
        <v/>
      </c>
      <c r="AW332" s="24" t="str">
        <f t="shared" si="38"/>
        <v/>
      </c>
      <c r="AX332" s="72">
        <f t="shared" si="39"/>
        <v>0</v>
      </c>
      <c r="AY332" s="24">
        <f t="shared" si="40"/>
        <v>0</v>
      </c>
      <c r="AZ332" s="24">
        <f t="array" ref="AZ332">IF(OR(RIGHT(B332,LEN(Par_LabelTravelTime))=Par_LabelTravelTime,B332="čas na ceste - fakturácia"),1,0)</f>
        <v>0</v>
      </c>
    </row>
    <row r="333" spans="2:52" s="24" customFormat="1" ht="12.75" x14ac:dyDescent="0.2">
      <c r="B333" s="97"/>
      <c r="C333" s="92"/>
      <c r="D333" s="31" t="str">
        <f>IF(E333=1,VLOOKUP(TableInvs[[#This Row],[Calc_V_Typ]],Tran_RevenuesList,3,FALSE),"")</f>
        <v/>
      </c>
      <c r="E333" s="31">
        <f t="shared" si="35"/>
        <v>0</v>
      </c>
      <c r="F333" s="9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  <c r="S333" s="84"/>
      <c r="T333" s="84"/>
      <c r="U333" s="84"/>
      <c r="V333" s="84"/>
      <c r="W333" s="84"/>
      <c r="X333" s="84"/>
      <c r="Y333" s="84"/>
      <c r="Z333" s="84"/>
      <c r="AA333" s="84"/>
      <c r="AB333" s="84"/>
      <c r="AC333" s="85"/>
      <c r="AD333" s="85"/>
      <c r="AE333" s="84"/>
      <c r="AF333" s="84"/>
      <c r="AG333" s="84"/>
      <c r="AH333" s="84"/>
      <c r="AI333" s="84"/>
      <c r="AJ333" s="84"/>
      <c r="AK333" s="84"/>
      <c r="AL333" s="84"/>
      <c r="AM333" s="84"/>
      <c r="AN333" s="84"/>
      <c r="AO333" s="84"/>
      <c r="AP333" s="84"/>
      <c r="AQ333" s="84"/>
      <c r="AR333" s="84"/>
      <c r="AS333" s="87">
        <f t="array" ref="AS333">IF(E333=1,SUM((ROW(Mf0)=ROW(AS333))*(Mf0+Mf1_+Mf2_+Mf3_+Mf4_+Mf5_+Mf6_+Mf7_+Mf8_+Mf9_+Mf10_+Mf11_+Mf12_+Mf13_+Mf14_+Mf15_+Mf16_+Mf17_+Mf18_+Mf19_+Mf20_+Mf21_+Mf22_+Mf23_+Mf24_+Mf25_+Mf26_+Mf27_+Mf28_+Mf29_+Mf30_+Mf31_+Mf32_+Mf33_+Mf34_+Mf35_+Mf36_+Mf37_)),0)</f>
        <v>0</v>
      </c>
      <c r="AU333" s="24" t="str">
        <f t="shared" si="36"/>
        <v/>
      </c>
      <c r="AV333" s="24" t="str">
        <f t="shared" si="37"/>
        <v/>
      </c>
      <c r="AW333" s="24" t="str">
        <f t="shared" si="38"/>
        <v/>
      </c>
      <c r="AX333" s="72">
        <f t="shared" si="39"/>
        <v>0</v>
      </c>
      <c r="AY333" s="24">
        <f t="shared" si="40"/>
        <v>0</v>
      </c>
      <c r="AZ333" s="24">
        <f t="array" ref="AZ333">IF(OR(RIGHT(B333,LEN(Par_LabelTravelTime))=Par_LabelTravelTime,B333="čas na ceste - fakturácia"),1,0)</f>
        <v>0</v>
      </c>
    </row>
    <row r="334" spans="2:52" s="24" customFormat="1" ht="12.75" x14ac:dyDescent="0.2">
      <c r="B334" s="97"/>
      <c r="C334" s="92"/>
      <c r="D334" s="31" t="str">
        <f>IF(E334=1,VLOOKUP(TableInvs[[#This Row],[Calc_V_Typ]],Tran_RevenuesList,3,FALSE),"")</f>
        <v/>
      </c>
      <c r="E334" s="31">
        <f t="shared" si="35"/>
        <v>0</v>
      </c>
      <c r="F334" s="9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  <c r="S334" s="84"/>
      <c r="T334" s="84"/>
      <c r="U334" s="84"/>
      <c r="V334" s="84"/>
      <c r="W334" s="84"/>
      <c r="X334" s="84"/>
      <c r="Y334" s="84"/>
      <c r="Z334" s="84"/>
      <c r="AA334" s="84"/>
      <c r="AB334" s="84"/>
      <c r="AC334" s="85"/>
      <c r="AD334" s="85"/>
      <c r="AE334" s="84"/>
      <c r="AF334" s="84"/>
      <c r="AG334" s="84"/>
      <c r="AH334" s="84"/>
      <c r="AI334" s="84"/>
      <c r="AJ334" s="84"/>
      <c r="AK334" s="84"/>
      <c r="AL334" s="84"/>
      <c r="AM334" s="84"/>
      <c r="AN334" s="84"/>
      <c r="AO334" s="84"/>
      <c r="AP334" s="84"/>
      <c r="AQ334" s="84"/>
      <c r="AR334" s="84"/>
      <c r="AS334" s="87">
        <f t="array" ref="AS334">IF(E334=1,SUM((ROW(Mf0)=ROW(AS334))*(Mf0+Mf1_+Mf2_+Mf3_+Mf4_+Mf5_+Mf6_+Mf7_+Mf8_+Mf9_+Mf10_+Mf11_+Mf12_+Mf13_+Mf14_+Mf15_+Mf16_+Mf17_+Mf18_+Mf19_+Mf20_+Mf21_+Mf22_+Mf23_+Mf24_+Mf25_+Mf26_+Mf27_+Mf28_+Mf29_+Mf30_+Mf31_+Mf32_+Mf33_+Mf34_+Mf35_+Mf36_+Mf37_)),0)</f>
        <v>0</v>
      </c>
      <c r="AU334" s="24" t="str">
        <f t="shared" si="36"/>
        <v/>
      </c>
      <c r="AV334" s="24" t="str">
        <f t="shared" si="37"/>
        <v/>
      </c>
      <c r="AW334" s="24" t="str">
        <f t="shared" si="38"/>
        <v/>
      </c>
      <c r="AX334" s="72">
        <f t="shared" si="39"/>
        <v>0</v>
      </c>
      <c r="AY334" s="24">
        <f t="shared" si="40"/>
        <v>0</v>
      </c>
      <c r="AZ334" s="24">
        <f t="array" ref="AZ334">IF(OR(RIGHT(B334,LEN(Par_LabelTravelTime))=Par_LabelTravelTime,B334="čas na ceste - fakturácia"),1,0)</f>
        <v>0</v>
      </c>
    </row>
    <row r="335" spans="2:52" s="24" customFormat="1" ht="12.75" x14ac:dyDescent="0.2">
      <c r="B335" s="97"/>
      <c r="C335" s="92"/>
      <c r="D335" s="31" t="str">
        <f>IF(E335=1,VLOOKUP(TableInvs[[#This Row],[Calc_V_Typ]],Tran_RevenuesList,3,FALSE),"")</f>
        <v/>
      </c>
      <c r="E335" s="31">
        <f t="shared" si="35"/>
        <v>0</v>
      </c>
      <c r="F335" s="9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  <c r="S335" s="84"/>
      <c r="T335" s="84"/>
      <c r="U335" s="84"/>
      <c r="V335" s="84"/>
      <c r="W335" s="84"/>
      <c r="X335" s="84"/>
      <c r="Y335" s="84"/>
      <c r="Z335" s="84"/>
      <c r="AA335" s="84"/>
      <c r="AB335" s="84"/>
      <c r="AC335" s="85"/>
      <c r="AD335" s="85"/>
      <c r="AE335" s="84"/>
      <c r="AF335" s="84"/>
      <c r="AG335" s="84"/>
      <c r="AH335" s="84"/>
      <c r="AI335" s="84"/>
      <c r="AJ335" s="84"/>
      <c r="AK335" s="84"/>
      <c r="AL335" s="84"/>
      <c r="AM335" s="84"/>
      <c r="AN335" s="84"/>
      <c r="AO335" s="84"/>
      <c r="AP335" s="84"/>
      <c r="AQ335" s="84"/>
      <c r="AR335" s="84"/>
      <c r="AS335" s="87">
        <f t="array" ref="AS335">IF(E335=1,SUM((ROW(Mf0)=ROW(AS335))*(Mf0+Mf1_+Mf2_+Mf3_+Mf4_+Mf5_+Mf6_+Mf7_+Mf8_+Mf9_+Mf10_+Mf11_+Mf12_+Mf13_+Mf14_+Mf15_+Mf16_+Mf17_+Mf18_+Mf19_+Mf20_+Mf21_+Mf22_+Mf23_+Mf24_+Mf25_+Mf26_+Mf27_+Mf28_+Mf29_+Mf30_+Mf31_+Mf32_+Mf33_+Mf34_+Mf35_+Mf36_+Mf37_)),0)</f>
        <v>0</v>
      </c>
      <c r="AU335" s="24" t="str">
        <f t="shared" si="36"/>
        <v/>
      </c>
      <c r="AV335" s="24" t="str">
        <f t="shared" si="37"/>
        <v/>
      </c>
      <c r="AW335" s="24" t="str">
        <f t="shared" si="38"/>
        <v/>
      </c>
      <c r="AX335" s="72">
        <f t="shared" si="39"/>
        <v>0</v>
      </c>
      <c r="AY335" s="24">
        <f t="shared" si="40"/>
        <v>0</v>
      </c>
      <c r="AZ335" s="24">
        <f t="array" ref="AZ335">IF(OR(RIGHT(B335,LEN(Par_LabelTravelTime))=Par_LabelTravelTime,B335="čas na ceste - fakturácia"),1,0)</f>
        <v>0</v>
      </c>
    </row>
    <row r="336" spans="2:52" s="24" customFormat="1" ht="12.75" x14ac:dyDescent="0.2">
      <c r="B336" s="97"/>
      <c r="C336" s="92"/>
      <c r="D336" s="31" t="str">
        <f>IF(E336=1,VLOOKUP(TableInvs[[#This Row],[Calc_V_Typ]],Tran_RevenuesList,3,FALSE),"")</f>
        <v/>
      </c>
      <c r="E336" s="31">
        <f t="shared" si="35"/>
        <v>0</v>
      </c>
      <c r="F336" s="9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  <c r="S336" s="84"/>
      <c r="T336" s="84"/>
      <c r="U336" s="84"/>
      <c r="V336" s="84"/>
      <c r="W336" s="84"/>
      <c r="X336" s="84"/>
      <c r="Y336" s="84"/>
      <c r="Z336" s="84"/>
      <c r="AA336" s="84"/>
      <c r="AB336" s="84"/>
      <c r="AC336" s="85"/>
      <c r="AD336" s="85"/>
      <c r="AE336" s="84"/>
      <c r="AF336" s="84"/>
      <c r="AG336" s="84"/>
      <c r="AH336" s="84"/>
      <c r="AI336" s="84"/>
      <c r="AJ336" s="84"/>
      <c r="AK336" s="84"/>
      <c r="AL336" s="84"/>
      <c r="AM336" s="84"/>
      <c r="AN336" s="84"/>
      <c r="AO336" s="84"/>
      <c r="AP336" s="84"/>
      <c r="AQ336" s="84"/>
      <c r="AR336" s="84"/>
      <c r="AS336" s="87">
        <f t="array" ref="AS336">IF(E336=1,SUM((ROW(Mf0)=ROW(AS336))*(Mf0+Mf1_+Mf2_+Mf3_+Mf4_+Mf5_+Mf6_+Mf7_+Mf8_+Mf9_+Mf10_+Mf11_+Mf12_+Mf13_+Mf14_+Mf15_+Mf16_+Mf17_+Mf18_+Mf19_+Mf20_+Mf21_+Mf22_+Mf23_+Mf24_+Mf25_+Mf26_+Mf27_+Mf28_+Mf29_+Mf30_+Mf31_+Mf32_+Mf33_+Mf34_+Mf35_+Mf36_+Mf37_)),0)</f>
        <v>0</v>
      </c>
      <c r="AU336" s="24" t="str">
        <f t="shared" si="36"/>
        <v/>
      </c>
      <c r="AV336" s="24" t="str">
        <f t="shared" si="37"/>
        <v/>
      </c>
      <c r="AW336" s="24" t="str">
        <f t="shared" si="38"/>
        <v/>
      </c>
      <c r="AX336" s="72">
        <f t="shared" si="39"/>
        <v>0</v>
      </c>
      <c r="AY336" s="24">
        <f t="shared" si="40"/>
        <v>0</v>
      </c>
      <c r="AZ336" s="24">
        <f t="array" ref="AZ336">IF(OR(RIGHT(B336,LEN(Par_LabelTravelTime))=Par_LabelTravelTime,B336="čas na ceste - fakturácia"),1,0)</f>
        <v>0</v>
      </c>
    </row>
    <row r="337" spans="2:52" s="24" customFormat="1" ht="12.75" x14ac:dyDescent="0.2">
      <c r="B337" s="97"/>
      <c r="C337" s="92"/>
      <c r="D337" s="31" t="str">
        <f>IF(E337=1,VLOOKUP(TableInvs[[#This Row],[Calc_V_Typ]],Tran_RevenuesList,3,FALSE),"")</f>
        <v/>
      </c>
      <c r="E337" s="31">
        <f t="shared" si="35"/>
        <v>0</v>
      </c>
      <c r="F337" s="9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  <c r="S337" s="84"/>
      <c r="T337" s="84"/>
      <c r="U337" s="84"/>
      <c r="V337" s="84"/>
      <c r="W337" s="84"/>
      <c r="X337" s="84"/>
      <c r="Y337" s="84"/>
      <c r="Z337" s="84"/>
      <c r="AA337" s="84"/>
      <c r="AB337" s="84"/>
      <c r="AC337" s="85"/>
      <c r="AD337" s="85"/>
      <c r="AE337" s="84"/>
      <c r="AF337" s="84"/>
      <c r="AG337" s="84"/>
      <c r="AH337" s="84"/>
      <c r="AI337" s="84"/>
      <c r="AJ337" s="84"/>
      <c r="AK337" s="84"/>
      <c r="AL337" s="84"/>
      <c r="AM337" s="84"/>
      <c r="AN337" s="84"/>
      <c r="AO337" s="84"/>
      <c r="AP337" s="84"/>
      <c r="AQ337" s="84"/>
      <c r="AR337" s="84"/>
      <c r="AS337" s="87">
        <f t="array" ref="AS337">IF(E337=1,SUM((ROW(Mf0)=ROW(AS337))*(Mf0+Mf1_+Mf2_+Mf3_+Mf4_+Mf5_+Mf6_+Mf7_+Mf8_+Mf9_+Mf10_+Mf11_+Mf12_+Mf13_+Mf14_+Mf15_+Mf16_+Mf17_+Mf18_+Mf19_+Mf20_+Mf21_+Mf22_+Mf23_+Mf24_+Mf25_+Mf26_+Mf27_+Mf28_+Mf29_+Mf30_+Mf31_+Mf32_+Mf33_+Mf34_+Mf35_+Mf36_+Mf37_)),0)</f>
        <v>0</v>
      </c>
      <c r="AU337" s="24" t="str">
        <f t="shared" si="36"/>
        <v/>
      </c>
      <c r="AV337" s="24" t="str">
        <f t="shared" si="37"/>
        <v/>
      </c>
      <c r="AW337" s="24" t="str">
        <f t="shared" si="38"/>
        <v/>
      </c>
      <c r="AX337" s="72">
        <f t="shared" si="39"/>
        <v>0</v>
      </c>
      <c r="AY337" s="24">
        <f t="shared" si="40"/>
        <v>0</v>
      </c>
      <c r="AZ337" s="24">
        <f t="array" ref="AZ337">IF(OR(RIGHT(B337,LEN(Par_LabelTravelTime))=Par_LabelTravelTime,B337="čas na ceste - fakturácia"),1,0)</f>
        <v>0</v>
      </c>
    </row>
    <row r="338" spans="2:52" s="24" customFormat="1" ht="12.75" x14ac:dyDescent="0.2">
      <c r="B338" s="97"/>
      <c r="C338" s="92"/>
      <c r="D338" s="31" t="str">
        <f>IF(E338=1,VLOOKUP(TableInvs[[#This Row],[Calc_V_Typ]],Tran_RevenuesList,3,FALSE),"")</f>
        <v/>
      </c>
      <c r="E338" s="31">
        <f t="shared" si="35"/>
        <v>0</v>
      </c>
      <c r="F338" s="9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  <c r="S338" s="84"/>
      <c r="T338" s="84"/>
      <c r="U338" s="84"/>
      <c r="V338" s="84"/>
      <c r="W338" s="84"/>
      <c r="X338" s="84"/>
      <c r="Y338" s="84"/>
      <c r="Z338" s="84"/>
      <c r="AA338" s="84"/>
      <c r="AB338" s="84"/>
      <c r="AC338" s="85"/>
      <c r="AD338" s="85"/>
      <c r="AE338" s="84"/>
      <c r="AF338" s="84"/>
      <c r="AG338" s="84"/>
      <c r="AH338" s="84"/>
      <c r="AI338" s="84"/>
      <c r="AJ338" s="84"/>
      <c r="AK338" s="84"/>
      <c r="AL338" s="84"/>
      <c r="AM338" s="84"/>
      <c r="AN338" s="84"/>
      <c r="AO338" s="84"/>
      <c r="AP338" s="84"/>
      <c r="AQ338" s="84"/>
      <c r="AR338" s="84"/>
      <c r="AS338" s="87">
        <f t="array" ref="AS338">IF(E338=1,SUM((ROW(Mf0)=ROW(AS338))*(Mf0+Mf1_+Mf2_+Mf3_+Mf4_+Mf5_+Mf6_+Mf7_+Mf8_+Mf9_+Mf10_+Mf11_+Mf12_+Mf13_+Mf14_+Mf15_+Mf16_+Mf17_+Mf18_+Mf19_+Mf20_+Mf21_+Mf22_+Mf23_+Mf24_+Mf25_+Mf26_+Mf27_+Mf28_+Mf29_+Mf30_+Mf31_+Mf32_+Mf33_+Mf34_+Mf35_+Mf36_+Mf37_)),0)</f>
        <v>0</v>
      </c>
      <c r="AU338" s="24" t="str">
        <f t="shared" si="36"/>
        <v/>
      </c>
      <c r="AV338" s="24" t="str">
        <f t="shared" si="37"/>
        <v/>
      </c>
      <c r="AW338" s="24" t="str">
        <f t="shared" si="38"/>
        <v/>
      </c>
      <c r="AX338" s="72">
        <f t="shared" si="39"/>
        <v>0</v>
      </c>
      <c r="AY338" s="24">
        <f t="shared" si="40"/>
        <v>0</v>
      </c>
      <c r="AZ338" s="24">
        <f t="array" ref="AZ338">IF(OR(RIGHT(B338,LEN(Par_LabelTravelTime))=Par_LabelTravelTime,B338="čas na ceste - fakturácia"),1,0)</f>
        <v>0</v>
      </c>
    </row>
    <row r="339" spans="2:52" s="24" customFormat="1" ht="12.75" x14ac:dyDescent="0.2">
      <c r="B339" s="97"/>
      <c r="C339" s="92"/>
      <c r="D339" s="31" t="str">
        <f>IF(E339=1,VLOOKUP(TableInvs[[#This Row],[Calc_V_Typ]],Tran_RevenuesList,3,FALSE),"")</f>
        <v/>
      </c>
      <c r="E339" s="31">
        <f t="shared" si="35"/>
        <v>0</v>
      </c>
      <c r="F339" s="9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  <c r="S339" s="84"/>
      <c r="T339" s="84"/>
      <c r="U339" s="84"/>
      <c r="V339" s="84"/>
      <c r="W339" s="84"/>
      <c r="X339" s="84"/>
      <c r="Y339" s="84"/>
      <c r="Z339" s="84"/>
      <c r="AA339" s="84"/>
      <c r="AB339" s="84"/>
      <c r="AC339" s="85"/>
      <c r="AD339" s="85"/>
      <c r="AE339" s="84"/>
      <c r="AF339" s="84"/>
      <c r="AG339" s="84"/>
      <c r="AH339" s="84"/>
      <c r="AI339" s="84"/>
      <c r="AJ339" s="84"/>
      <c r="AK339" s="84"/>
      <c r="AL339" s="84"/>
      <c r="AM339" s="84"/>
      <c r="AN339" s="84"/>
      <c r="AO339" s="84"/>
      <c r="AP339" s="84"/>
      <c r="AQ339" s="84"/>
      <c r="AR339" s="84"/>
      <c r="AS339" s="87">
        <f t="array" ref="AS339">IF(E339=1,SUM((ROW(Mf0)=ROW(AS339))*(Mf0+Mf1_+Mf2_+Mf3_+Mf4_+Mf5_+Mf6_+Mf7_+Mf8_+Mf9_+Mf10_+Mf11_+Mf12_+Mf13_+Mf14_+Mf15_+Mf16_+Mf17_+Mf18_+Mf19_+Mf20_+Mf21_+Mf22_+Mf23_+Mf24_+Mf25_+Mf26_+Mf27_+Mf28_+Mf29_+Mf30_+Mf31_+Mf32_+Mf33_+Mf34_+Mf35_+Mf36_+Mf37_)),0)</f>
        <v>0</v>
      </c>
      <c r="AU339" s="24" t="str">
        <f t="shared" si="36"/>
        <v/>
      </c>
      <c r="AV339" s="24" t="str">
        <f t="shared" si="37"/>
        <v/>
      </c>
      <c r="AW339" s="24" t="str">
        <f t="shared" si="38"/>
        <v/>
      </c>
      <c r="AX339" s="72">
        <f t="shared" si="39"/>
        <v>0</v>
      </c>
      <c r="AY339" s="24">
        <f t="shared" si="40"/>
        <v>0</v>
      </c>
      <c r="AZ339" s="24">
        <f t="array" ref="AZ339">IF(OR(RIGHT(B339,LEN(Par_LabelTravelTime))=Par_LabelTravelTime,B339="čas na ceste - fakturácia"),1,0)</f>
        <v>0</v>
      </c>
    </row>
    <row r="340" spans="2:52" s="24" customFormat="1" ht="12.75" x14ac:dyDescent="0.2">
      <c r="B340" s="97"/>
      <c r="C340" s="92"/>
      <c r="D340" s="31" t="str">
        <f>IF(E340=1,VLOOKUP(TableInvs[[#This Row],[Calc_V_Typ]],Tran_RevenuesList,3,FALSE),"")</f>
        <v/>
      </c>
      <c r="E340" s="31">
        <f t="shared" si="35"/>
        <v>0</v>
      </c>
      <c r="F340" s="9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  <c r="S340" s="84"/>
      <c r="T340" s="84"/>
      <c r="U340" s="84"/>
      <c r="V340" s="84"/>
      <c r="W340" s="84"/>
      <c r="X340" s="84"/>
      <c r="Y340" s="84"/>
      <c r="Z340" s="84"/>
      <c r="AA340" s="84"/>
      <c r="AB340" s="84"/>
      <c r="AC340" s="85"/>
      <c r="AD340" s="85"/>
      <c r="AE340" s="84"/>
      <c r="AF340" s="84"/>
      <c r="AG340" s="84"/>
      <c r="AH340" s="84"/>
      <c r="AI340" s="84"/>
      <c r="AJ340" s="84"/>
      <c r="AK340" s="84"/>
      <c r="AL340" s="84"/>
      <c r="AM340" s="84"/>
      <c r="AN340" s="84"/>
      <c r="AO340" s="84"/>
      <c r="AP340" s="84"/>
      <c r="AQ340" s="84"/>
      <c r="AR340" s="84"/>
      <c r="AS340" s="87">
        <f t="array" ref="AS340">IF(E340=1,SUM((ROW(Mf0)=ROW(AS340))*(Mf0+Mf1_+Mf2_+Mf3_+Mf4_+Mf5_+Mf6_+Mf7_+Mf8_+Mf9_+Mf10_+Mf11_+Mf12_+Mf13_+Mf14_+Mf15_+Mf16_+Mf17_+Mf18_+Mf19_+Mf20_+Mf21_+Mf22_+Mf23_+Mf24_+Mf25_+Mf26_+Mf27_+Mf28_+Mf29_+Mf30_+Mf31_+Mf32_+Mf33_+Mf34_+Mf35_+Mf36_+Mf37_)),0)</f>
        <v>0</v>
      </c>
      <c r="AU340" s="24" t="str">
        <f t="shared" si="36"/>
        <v/>
      </c>
      <c r="AV340" s="24" t="str">
        <f t="shared" si="37"/>
        <v/>
      </c>
      <c r="AW340" s="24" t="str">
        <f t="shared" si="38"/>
        <v/>
      </c>
      <c r="AX340" s="72">
        <f t="shared" si="39"/>
        <v>0</v>
      </c>
      <c r="AY340" s="24">
        <f t="shared" si="40"/>
        <v>0</v>
      </c>
      <c r="AZ340" s="24">
        <f t="array" ref="AZ340">IF(OR(RIGHT(B340,LEN(Par_LabelTravelTime))=Par_LabelTravelTime,B340="čas na ceste - fakturácia"),1,0)</f>
        <v>0</v>
      </c>
    </row>
    <row r="341" spans="2:52" s="24" customFormat="1" ht="12.75" x14ac:dyDescent="0.2">
      <c r="B341" s="97"/>
      <c r="C341" s="92"/>
      <c r="D341" s="31" t="str">
        <f>IF(E341=1,VLOOKUP(TableInvs[[#This Row],[Calc_V_Typ]],Tran_RevenuesList,3,FALSE),"")</f>
        <v/>
      </c>
      <c r="E341" s="31">
        <f t="shared" si="35"/>
        <v>0</v>
      </c>
      <c r="F341" s="9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  <c r="S341" s="84"/>
      <c r="T341" s="84"/>
      <c r="U341" s="84"/>
      <c r="V341" s="84"/>
      <c r="W341" s="84"/>
      <c r="X341" s="84"/>
      <c r="Y341" s="84"/>
      <c r="Z341" s="84"/>
      <c r="AA341" s="84"/>
      <c r="AB341" s="84"/>
      <c r="AC341" s="85"/>
      <c r="AD341" s="85"/>
      <c r="AE341" s="84"/>
      <c r="AF341" s="84"/>
      <c r="AG341" s="84"/>
      <c r="AH341" s="84"/>
      <c r="AI341" s="84"/>
      <c r="AJ341" s="84"/>
      <c r="AK341" s="84"/>
      <c r="AL341" s="84"/>
      <c r="AM341" s="84"/>
      <c r="AN341" s="84"/>
      <c r="AO341" s="84"/>
      <c r="AP341" s="84"/>
      <c r="AQ341" s="84"/>
      <c r="AR341" s="84"/>
      <c r="AS341" s="87">
        <f t="array" ref="AS341">IF(E341=1,SUM((ROW(Mf0)=ROW(AS341))*(Mf0+Mf1_+Mf2_+Mf3_+Mf4_+Mf5_+Mf6_+Mf7_+Mf8_+Mf9_+Mf10_+Mf11_+Mf12_+Mf13_+Mf14_+Mf15_+Mf16_+Mf17_+Mf18_+Mf19_+Mf20_+Mf21_+Mf22_+Mf23_+Mf24_+Mf25_+Mf26_+Mf27_+Mf28_+Mf29_+Mf30_+Mf31_+Mf32_+Mf33_+Mf34_+Mf35_+Mf36_+Mf37_)),0)</f>
        <v>0</v>
      </c>
      <c r="AU341" s="24" t="str">
        <f t="shared" si="36"/>
        <v/>
      </c>
      <c r="AV341" s="24" t="str">
        <f t="shared" si="37"/>
        <v/>
      </c>
      <c r="AW341" s="24" t="str">
        <f t="shared" si="38"/>
        <v/>
      </c>
      <c r="AX341" s="72">
        <f t="shared" si="39"/>
        <v>0</v>
      </c>
      <c r="AY341" s="24">
        <f t="shared" si="40"/>
        <v>0</v>
      </c>
      <c r="AZ341" s="24">
        <f t="array" ref="AZ341">IF(OR(RIGHT(B341,LEN(Par_LabelTravelTime))=Par_LabelTravelTime,B341="čas na ceste - fakturácia"),1,0)</f>
        <v>0</v>
      </c>
    </row>
    <row r="342" spans="2:52" s="24" customFormat="1" ht="12.75" x14ac:dyDescent="0.2">
      <c r="B342" s="97"/>
      <c r="C342" s="92"/>
      <c r="D342" s="31" t="str">
        <f>IF(E342=1,VLOOKUP(TableInvs[[#This Row],[Calc_V_Typ]],Tran_RevenuesList,3,FALSE),"")</f>
        <v/>
      </c>
      <c r="E342" s="31">
        <f t="shared" si="35"/>
        <v>0</v>
      </c>
      <c r="F342" s="9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  <c r="S342" s="84"/>
      <c r="T342" s="84"/>
      <c r="U342" s="84"/>
      <c r="V342" s="84"/>
      <c r="W342" s="84"/>
      <c r="X342" s="84"/>
      <c r="Y342" s="84"/>
      <c r="Z342" s="84"/>
      <c r="AA342" s="84"/>
      <c r="AB342" s="84"/>
      <c r="AC342" s="85"/>
      <c r="AD342" s="85"/>
      <c r="AE342" s="84"/>
      <c r="AF342" s="84"/>
      <c r="AG342" s="84"/>
      <c r="AH342" s="84"/>
      <c r="AI342" s="84"/>
      <c r="AJ342" s="84"/>
      <c r="AK342" s="84"/>
      <c r="AL342" s="84"/>
      <c r="AM342" s="84"/>
      <c r="AN342" s="84"/>
      <c r="AO342" s="84"/>
      <c r="AP342" s="84"/>
      <c r="AQ342" s="84"/>
      <c r="AR342" s="84"/>
      <c r="AS342" s="87">
        <f t="array" ref="AS342">IF(E342=1,SUM((ROW(Mf0)=ROW(AS342))*(Mf0+Mf1_+Mf2_+Mf3_+Mf4_+Mf5_+Mf6_+Mf7_+Mf8_+Mf9_+Mf10_+Mf11_+Mf12_+Mf13_+Mf14_+Mf15_+Mf16_+Mf17_+Mf18_+Mf19_+Mf20_+Mf21_+Mf22_+Mf23_+Mf24_+Mf25_+Mf26_+Mf27_+Mf28_+Mf29_+Mf30_+Mf31_+Mf32_+Mf33_+Mf34_+Mf35_+Mf36_+Mf37_)),0)</f>
        <v>0</v>
      </c>
      <c r="AU342" s="24" t="str">
        <f t="shared" si="36"/>
        <v/>
      </c>
      <c r="AV342" s="24" t="str">
        <f t="shared" si="37"/>
        <v/>
      </c>
      <c r="AW342" s="24" t="str">
        <f t="shared" si="38"/>
        <v/>
      </c>
      <c r="AX342" s="72">
        <f t="shared" si="39"/>
        <v>0</v>
      </c>
      <c r="AY342" s="24">
        <f t="shared" si="40"/>
        <v>0</v>
      </c>
      <c r="AZ342" s="24">
        <f t="array" ref="AZ342">IF(OR(RIGHT(B342,LEN(Par_LabelTravelTime))=Par_LabelTravelTime,B342="čas na ceste - fakturácia"),1,0)</f>
        <v>0</v>
      </c>
    </row>
    <row r="343" spans="2:52" s="24" customFormat="1" ht="12.75" x14ac:dyDescent="0.2">
      <c r="B343" s="97"/>
      <c r="C343" s="92"/>
      <c r="D343" s="31" t="str">
        <f>IF(E343=1,VLOOKUP(TableInvs[[#This Row],[Calc_V_Typ]],Tran_RevenuesList,3,FALSE),"")</f>
        <v/>
      </c>
      <c r="E343" s="31">
        <f t="shared" si="35"/>
        <v>0</v>
      </c>
      <c r="F343" s="9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  <c r="R343" s="84"/>
      <c r="S343" s="84"/>
      <c r="T343" s="84"/>
      <c r="U343" s="84"/>
      <c r="V343" s="84"/>
      <c r="W343" s="84"/>
      <c r="X343" s="84"/>
      <c r="Y343" s="84"/>
      <c r="Z343" s="84"/>
      <c r="AA343" s="84"/>
      <c r="AB343" s="84"/>
      <c r="AC343" s="85"/>
      <c r="AD343" s="85"/>
      <c r="AE343" s="84"/>
      <c r="AF343" s="84"/>
      <c r="AG343" s="84"/>
      <c r="AH343" s="84"/>
      <c r="AI343" s="84"/>
      <c r="AJ343" s="84"/>
      <c r="AK343" s="84"/>
      <c r="AL343" s="84"/>
      <c r="AM343" s="84"/>
      <c r="AN343" s="84"/>
      <c r="AO343" s="84"/>
      <c r="AP343" s="84"/>
      <c r="AQ343" s="84"/>
      <c r="AR343" s="84"/>
      <c r="AS343" s="87">
        <f t="array" ref="AS343">IF(E343=1,SUM((ROW(Mf0)=ROW(AS343))*(Mf0+Mf1_+Mf2_+Mf3_+Mf4_+Mf5_+Mf6_+Mf7_+Mf8_+Mf9_+Mf10_+Mf11_+Mf12_+Mf13_+Mf14_+Mf15_+Mf16_+Mf17_+Mf18_+Mf19_+Mf20_+Mf21_+Mf22_+Mf23_+Mf24_+Mf25_+Mf26_+Mf27_+Mf28_+Mf29_+Mf30_+Mf31_+Mf32_+Mf33_+Mf34_+Mf35_+Mf36_+Mf37_)),0)</f>
        <v>0</v>
      </c>
      <c r="AU343" s="24" t="str">
        <f t="shared" si="36"/>
        <v/>
      </c>
      <c r="AV343" s="24" t="str">
        <f t="shared" si="37"/>
        <v/>
      </c>
      <c r="AW343" s="24" t="str">
        <f t="shared" si="38"/>
        <v/>
      </c>
      <c r="AX343" s="72">
        <f t="shared" si="39"/>
        <v>0</v>
      </c>
      <c r="AY343" s="24">
        <f t="shared" si="40"/>
        <v>0</v>
      </c>
      <c r="AZ343" s="24">
        <f t="array" ref="AZ343">IF(OR(RIGHT(B343,LEN(Par_LabelTravelTime))=Par_LabelTravelTime,B343="čas na ceste - fakturácia"),1,0)</f>
        <v>0</v>
      </c>
    </row>
    <row r="344" spans="2:52" s="24" customFormat="1" ht="12.75" x14ac:dyDescent="0.2">
      <c r="B344" s="97"/>
      <c r="C344" s="92"/>
      <c r="D344" s="31" t="str">
        <f>IF(E344=1,VLOOKUP(TableInvs[[#This Row],[Calc_V_Typ]],Tran_RevenuesList,3,FALSE),"")</f>
        <v/>
      </c>
      <c r="E344" s="31">
        <f t="shared" si="35"/>
        <v>0</v>
      </c>
      <c r="F344" s="9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  <c r="S344" s="84"/>
      <c r="T344" s="84"/>
      <c r="U344" s="84"/>
      <c r="V344" s="84"/>
      <c r="W344" s="84"/>
      <c r="X344" s="84"/>
      <c r="Y344" s="84"/>
      <c r="Z344" s="84"/>
      <c r="AA344" s="84"/>
      <c r="AB344" s="84"/>
      <c r="AC344" s="85"/>
      <c r="AD344" s="85"/>
      <c r="AE344" s="84"/>
      <c r="AF344" s="84"/>
      <c r="AG344" s="84"/>
      <c r="AH344" s="84"/>
      <c r="AI344" s="84"/>
      <c r="AJ344" s="84"/>
      <c r="AK344" s="84"/>
      <c r="AL344" s="84"/>
      <c r="AM344" s="84"/>
      <c r="AN344" s="84"/>
      <c r="AO344" s="84"/>
      <c r="AP344" s="84"/>
      <c r="AQ344" s="84"/>
      <c r="AR344" s="84"/>
      <c r="AS344" s="87">
        <f t="array" ref="AS344">IF(E344=1,SUM((ROW(Mf0)=ROW(AS344))*(Mf0+Mf1_+Mf2_+Mf3_+Mf4_+Mf5_+Mf6_+Mf7_+Mf8_+Mf9_+Mf10_+Mf11_+Mf12_+Mf13_+Mf14_+Mf15_+Mf16_+Mf17_+Mf18_+Mf19_+Mf20_+Mf21_+Mf22_+Mf23_+Mf24_+Mf25_+Mf26_+Mf27_+Mf28_+Mf29_+Mf30_+Mf31_+Mf32_+Mf33_+Mf34_+Mf35_+Mf36_+Mf37_)),0)</f>
        <v>0</v>
      </c>
      <c r="AU344" s="24" t="str">
        <f t="shared" si="36"/>
        <v/>
      </c>
      <c r="AV344" s="24" t="str">
        <f t="shared" si="37"/>
        <v/>
      </c>
      <c r="AW344" s="24" t="str">
        <f t="shared" si="38"/>
        <v/>
      </c>
      <c r="AX344" s="72">
        <f t="shared" si="39"/>
        <v>0</v>
      </c>
      <c r="AY344" s="24">
        <f t="shared" si="40"/>
        <v>0</v>
      </c>
      <c r="AZ344" s="24">
        <f t="array" ref="AZ344">IF(OR(RIGHT(B344,LEN(Par_LabelTravelTime))=Par_LabelTravelTime,B344="čas na ceste - fakturácia"),1,0)</f>
        <v>0</v>
      </c>
    </row>
    <row r="345" spans="2:52" s="24" customFormat="1" ht="12.75" x14ac:dyDescent="0.2">
      <c r="B345" s="97"/>
      <c r="C345" s="92"/>
      <c r="D345" s="31" t="str">
        <f>IF(E345=1,VLOOKUP(TableInvs[[#This Row],[Calc_V_Typ]],Tran_RevenuesList,3,FALSE),"")</f>
        <v/>
      </c>
      <c r="E345" s="31">
        <f t="shared" si="35"/>
        <v>0</v>
      </c>
      <c r="F345" s="9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  <c r="S345" s="84"/>
      <c r="T345" s="84"/>
      <c r="U345" s="84"/>
      <c r="V345" s="84"/>
      <c r="W345" s="84"/>
      <c r="X345" s="84"/>
      <c r="Y345" s="84"/>
      <c r="Z345" s="84"/>
      <c r="AA345" s="84"/>
      <c r="AB345" s="84"/>
      <c r="AC345" s="85"/>
      <c r="AD345" s="85"/>
      <c r="AE345" s="84"/>
      <c r="AF345" s="84"/>
      <c r="AG345" s="84"/>
      <c r="AH345" s="84"/>
      <c r="AI345" s="84"/>
      <c r="AJ345" s="84"/>
      <c r="AK345" s="84"/>
      <c r="AL345" s="84"/>
      <c r="AM345" s="84"/>
      <c r="AN345" s="84"/>
      <c r="AO345" s="84"/>
      <c r="AP345" s="84"/>
      <c r="AQ345" s="84"/>
      <c r="AR345" s="84"/>
      <c r="AS345" s="87">
        <f t="array" ref="AS345">IF(E345=1,SUM((ROW(Mf0)=ROW(AS345))*(Mf0+Mf1_+Mf2_+Mf3_+Mf4_+Mf5_+Mf6_+Mf7_+Mf8_+Mf9_+Mf10_+Mf11_+Mf12_+Mf13_+Mf14_+Mf15_+Mf16_+Mf17_+Mf18_+Mf19_+Mf20_+Mf21_+Mf22_+Mf23_+Mf24_+Mf25_+Mf26_+Mf27_+Mf28_+Mf29_+Mf30_+Mf31_+Mf32_+Mf33_+Mf34_+Mf35_+Mf36_+Mf37_)),0)</f>
        <v>0</v>
      </c>
      <c r="AU345" s="24" t="str">
        <f t="shared" si="36"/>
        <v/>
      </c>
      <c r="AV345" s="24" t="str">
        <f t="shared" si="37"/>
        <v/>
      </c>
      <c r="AW345" s="24" t="str">
        <f t="shared" si="38"/>
        <v/>
      </c>
      <c r="AX345" s="72">
        <f t="shared" si="39"/>
        <v>0</v>
      </c>
      <c r="AY345" s="24">
        <f t="shared" si="40"/>
        <v>0</v>
      </c>
      <c r="AZ345" s="24">
        <f t="array" ref="AZ345">IF(OR(RIGHT(B345,LEN(Par_LabelTravelTime))=Par_LabelTravelTime,B345="čas na ceste - fakturácia"),1,0)</f>
        <v>0</v>
      </c>
    </row>
    <row r="346" spans="2:52" s="24" customFormat="1" ht="12.75" x14ac:dyDescent="0.2">
      <c r="B346" s="97"/>
      <c r="C346" s="92"/>
      <c r="D346" s="31" t="str">
        <f>IF(E346=1,VLOOKUP(TableInvs[[#This Row],[Calc_V_Typ]],Tran_RevenuesList,3,FALSE),"")</f>
        <v/>
      </c>
      <c r="E346" s="31">
        <f t="shared" si="35"/>
        <v>0</v>
      </c>
      <c r="F346" s="9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  <c r="S346" s="84"/>
      <c r="T346" s="84"/>
      <c r="U346" s="84"/>
      <c r="V346" s="84"/>
      <c r="W346" s="84"/>
      <c r="X346" s="84"/>
      <c r="Y346" s="84"/>
      <c r="Z346" s="84"/>
      <c r="AA346" s="84"/>
      <c r="AB346" s="84"/>
      <c r="AC346" s="85"/>
      <c r="AD346" s="85"/>
      <c r="AE346" s="84"/>
      <c r="AF346" s="84"/>
      <c r="AG346" s="84"/>
      <c r="AH346" s="84"/>
      <c r="AI346" s="84"/>
      <c r="AJ346" s="84"/>
      <c r="AK346" s="84"/>
      <c r="AL346" s="84"/>
      <c r="AM346" s="84"/>
      <c r="AN346" s="84"/>
      <c r="AO346" s="84"/>
      <c r="AP346" s="84"/>
      <c r="AQ346" s="84"/>
      <c r="AR346" s="84"/>
      <c r="AS346" s="87">
        <f t="array" ref="AS346">IF(E346=1,SUM((ROW(Mf0)=ROW(AS346))*(Mf0+Mf1_+Mf2_+Mf3_+Mf4_+Mf5_+Mf6_+Mf7_+Mf8_+Mf9_+Mf10_+Mf11_+Mf12_+Mf13_+Mf14_+Mf15_+Mf16_+Mf17_+Mf18_+Mf19_+Mf20_+Mf21_+Mf22_+Mf23_+Mf24_+Mf25_+Mf26_+Mf27_+Mf28_+Mf29_+Mf30_+Mf31_+Mf32_+Mf33_+Mf34_+Mf35_+Mf36_+Mf37_)),0)</f>
        <v>0</v>
      </c>
      <c r="AU346" s="24" t="str">
        <f t="shared" si="36"/>
        <v/>
      </c>
      <c r="AV346" s="24" t="str">
        <f t="shared" si="37"/>
        <v/>
      </c>
      <c r="AW346" s="24" t="str">
        <f t="shared" si="38"/>
        <v/>
      </c>
      <c r="AX346" s="72">
        <f t="shared" si="39"/>
        <v>0</v>
      </c>
      <c r="AY346" s="24">
        <f t="shared" si="40"/>
        <v>0</v>
      </c>
      <c r="AZ346" s="24">
        <f t="array" ref="AZ346">IF(OR(RIGHT(B346,LEN(Par_LabelTravelTime))=Par_LabelTravelTime,B346="čas na ceste - fakturácia"),1,0)</f>
        <v>0</v>
      </c>
    </row>
    <row r="347" spans="2:52" s="24" customFormat="1" ht="12.75" x14ac:dyDescent="0.2">
      <c r="B347" s="97"/>
      <c r="C347" s="92"/>
      <c r="D347" s="31" t="str">
        <f>IF(E347=1,VLOOKUP(TableInvs[[#This Row],[Calc_V_Typ]],Tran_RevenuesList,3,FALSE),"")</f>
        <v/>
      </c>
      <c r="E347" s="31">
        <f t="shared" si="35"/>
        <v>0</v>
      </c>
      <c r="F347" s="9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  <c r="S347" s="84"/>
      <c r="T347" s="84"/>
      <c r="U347" s="84"/>
      <c r="V347" s="84"/>
      <c r="W347" s="84"/>
      <c r="X347" s="84"/>
      <c r="Y347" s="84"/>
      <c r="Z347" s="84"/>
      <c r="AA347" s="84"/>
      <c r="AB347" s="84"/>
      <c r="AC347" s="85"/>
      <c r="AD347" s="85"/>
      <c r="AE347" s="84"/>
      <c r="AF347" s="84"/>
      <c r="AG347" s="84"/>
      <c r="AH347" s="84"/>
      <c r="AI347" s="84"/>
      <c r="AJ347" s="84"/>
      <c r="AK347" s="84"/>
      <c r="AL347" s="84"/>
      <c r="AM347" s="84"/>
      <c r="AN347" s="84"/>
      <c r="AO347" s="84"/>
      <c r="AP347" s="84"/>
      <c r="AQ347" s="84"/>
      <c r="AR347" s="84"/>
      <c r="AS347" s="87">
        <f t="array" ref="AS347">IF(E347=1,SUM((ROW(Mf0)=ROW(AS347))*(Mf0+Mf1_+Mf2_+Mf3_+Mf4_+Mf5_+Mf6_+Mf7_+Mf8_+Mf9_+Mf10_+Mf11_+Mf12_+Mf13_+Mf14_+Mf15_+Mf16_+Mf17_+Mf18_+Mf19_+Mf20_+Mf21_+Mf22_+Mf23_+Mf24_+Mf25_+Mf26_+Mf27_+Mf28_+Mf29_+Mf30_+Mf31_+Mf32_+Mf33_+Mf34_+Mf35_+Mf36_+Mf37_)),0)</f>
        <v>0</v>
      </c>
      <c r="AU347" s="24" t="str">
        <f t="shared" si="36"/>
        <v/>
      </c>
      <c r="AV347" s="24" t="str">
        <f t="shared" si="37"/>
        <v/>
      </c>
      <c r="AW347" s="24" t="str">
        <f t="shared" si="38"/>
        <v/>
      </c>
      <c r="AX347" s="72">
        <f t="shared" si="39"/>
        <v>0</v>
      </c>
      <c r="AY347" s="24">
        <f t="shared" si="40"/>
        <v>0</v>
      </c>
      <c r="AZ347" s="24">
        <f t="array" ref="AZ347">IF(OR(RIGHT(B347,LEN(Par_LabelTravelTime))=Par_LabelTravelTime,B347="čas na ceste - fakturácia"),1,0)</f>
        <v>0</v>
      </c>
    </row>
    <row r="348" spans="2:52" s="24" customFormat="1" ht="12.75" x14ac:dyDescent="0.2">
      <c r="B348" s="97"/>
      <c r="C348" s="92"/>
      <c r="D348" s="31" t="str">
        <f>IF(E348=1,VLOOKUP(TableInvs[[#This Row],[Calc_V_Typ]],Tran_RevenuesList,3,FALSE),"")</f>
        <v/>
      </c>
      <c r="E348" s="31">
        <f t="shared" si="35"/>
        <v>0</v>
      </c>
      <c r="F348" s="9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  <c r="R348" s="84"/>
      <c r="S348" s="84"/>
      <c r="T348" s="84"/>
      <c r="U348" s="84"/>
      <c r="V348" s="84"/>
      <c r="W348" s="84"/>
      <c r="X348" s="84"/>
      <c r="Y348" s="84"/>
      <c r="Z348" s="84"/>
      <c r="AA348" s="84"/>
      <c r="AB348" s="84"/>
      <c r="AC348" s="85"/>
      <c r="AD348" s="85"/>
      <c r="AE348" s="84"/>
      <c r="AF348" s="84"/>
      <c r="AG348" s="84"/>
      <c r="AH348" s="84"/>
      <c r="AI348" s="84"/>
      <c r="AJ348" s="84"/>
      <c r="AK348" s="84"/>
      <c r="AL348" s="84"/>
      <c r="AM348" s="84"/>
      <c r="AN348" s="84"/>
      <c r="AO348" s="84"/>
      <c r="AP348" s="84"/>
      <c r="AQ348" s="84"/>
      <c r="AR348" s="84"/>
      <c r="AS348" s="87">
        <f t="array" ref="AS348">IF(E348=1,SUM((ROW(Mf0)=ROW(AS348))*(Mf0+Mf1_+Mf2_+Mf3_+Mf4_+Mf5_+Mf6_+Mf7_+Mf8_+Mf9_+Mf10_+Mf11_+Mf12_+Mf13_+Mf14_+Mf15_+Mf16_+Mf17_+Mf18_+Mf19_+Mf20_+Mf21_+Mf22_+Mf23_+Mf24_+Mf25_+Mf26_+Mf27_+Mf28_+Mf29_+Mf30_+Mf31_+Mf32_+Mf33_+Mf34_+Mf35_+Mf36_+Mf37_)),0)</f>
        <v>0</v>
      </c>
      <c r="AU348" s="24" t="str">
        <f t="shared" si="36"/>
        <v/>
      </c>
      <c r="AV348" s="24" t="str">
        <f t="shared" si="37"/>
        <v/>
      </c>
      <c r="AW348" s="24" t="str">
        <f t="shared" si="38"/>
        <v/>
      </c>
      <c r="AX348" s="72">
        <f t="shared" si="39"/>
        <v>0</v>
      </c>
      <c r="AY348" s="24">
        <f t="shared" si="40"/>
        <v>0</v>
      </c>
      <c r="AZ348" s="24">
        <f t="array" ref="AZ348">IF(OR(RIGHT(B348,LEN(Par_LabelTravelTime))=Par_LabelTravelTime,B348="čas na ceste - fakturácia"),1,0)</f>
        <v>0</v>
      </c>
    </row>
    <row r="349" spans="2:52" s="24" customFormat="1" ht="12.75" x14ac:dyDescent="0.2">
      <c r="B349" s="97"/>
      <c r="C349" s="92"/>
      <c r="D349" s="31" t="str">
        <f>IF(E349=1,VLOOKUP(TableInvs[[#This Row],[Calc_V_Typ]],Tran_RevenuesList,3,FALSE),"")</f>
        <v/>
      </c>
      <c r="E349" s="31">
        <f t="shared" si="35"/>
        <v>0</v>
      </c>
      <c r="F349" s="9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  <c r="R349" s="84"/>
      <c r="S349" s="84"/>
      <c r="T349" s="84"/>
      <c r="U349" s="84"/>
      <c r="V349" s="84"/>
      <c r="W349" s="84"/>
      <c r="X349" s="84"/>
      <c r="Y349" s="84"/>
      <c r="Z349" s="84"/>
      <c r="AA349" s="84"/>
      <c r="AB349" s="84"/>
      <c r="AC349" s="85"/>
      <c r="AD349" s="85"/>
      <c r="AE349" s="84"/>
      <c r="AF349" s="84"/>
      <c r="AG349" s="84"/>
      <c r="AH349" s="84"/>
      <c r="AI349" s="84"/>
      <c r="AJ349" s="84"/>
      <c r="AK349" s="84"/>
      <c r="AL349" s="84"/>
      <c r="AM349" s="84"/>
      <c r="AN349" s="84"/>
      <c r="AO349" s="84"/>
      <c r="AP349" s="84"/>
      <c r="AQ349" s="84"/>
      <c r="AR349" s="84"/>
      <c r="AS349" s="87">
        <f t="array" ref="AS349">IF(E349=1,SUM((ROW(Mf0)=ROW(AS349))*(Mf0+Mf1_+Mf2_+Mf3_+Mf4_+Mf5_+Mf6_+Mf7_+Mf8_+Mf9_+Mf10_+Mf11_+Mf12_+Mf13_+Mf14_+Mf15_+Mf16_+Mf17_+Mf18_+Mf19_+Mf20_+Mf21_+Mf22_+Mf23_+Mf24_+Mf25_+Mf26_+Mf27_+Mf28_+Mf29_+Mf30_+Mf31_+Mf32_+Mf33_+Mf34_+Mf35_+Mf36_+Mf37_)),0)</f>
        <v>0</v>
      </c>
      <c r="AU349" s="24" t="str">
        <f t="shared" si="36"/>
        <v/>
      </c>
      <c r="AV349" s="24" t="str">
        <f t="shared" si="37"/>
        <v/>
      </c>
      <c r="AW349" s="24" t="str">
        <f t="shared" si="38"/>
        <v/>
      </c>
      <c r="AX349" s="72">
        <f t="shared" si="39"/>
        <v>0</v>
      </c>
      <c r="AY349" s="24">
        <f t="shared" si="40"/>
        <v>0</v>
      </c>
      <c r="AZ349" s="24">
        <f t="array" ref="AZ349">IF(OR(RIGHT(B349,LEN(Par_LabelTravelTime))=Par_LabelTravelTime,B349="čas na ceste - fakturácia"),1,0)</f>
        <v>0</v>
      </c>
    </row>
    <row r="350" spans="2:52" s="24" customFormat="1" ht="12.75" x14ac:dyDescent="0.2">
      <c r="B350" s="97"/>
      <c r="C350" s="92"/>
      <c r="D350" s="31" t="str">
        <f>IF(E350=1,VLOOKUP(TableInvs[[#This Row],[Calc_V_Typ]],Tran_RevenuesList,3,FALSE),"")</f>
        <v/>
      </c>
      <c r="E350" s="31">
        <f t="shared" si="35"/>
        <v>0</v>
      </c>
      <c r="F350" s="9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  <c r="R350" s="84"/>
      <c r="S350" s="84"/>
      <c r="T350" s="84"/>
      <c r="U350" s="84"/>
      <c r="V350" s="84"/>
      <c r="W350" s="84"/>
      <c r="X350" s="84"/>
      <c r="Y350" s="84"/>
      <c r="Z350" s="84"/>
      <c r="AA350" s="84"/>
      <c r="AB350" s="84"/>
      <c r="AC350" s="85"/>
      <c r="AD350" s="85"/>
      <c r="AE350" s="84"/>
      <c r="AF350" s="84"/>
      <c r="AG350" s="84"/>
      <c r="AH350" s="84"/>
      <c r="AI350" s="84"/>
      <c r="AJ350" s="84"/>
      <c r="AK350" s="84"/>
      <c r="AL350" s="84"/>
      <c r="AM350" s="84"/>
      <c r="AN350" s="84"/>
      <c r="AO350" s="84"/>
      <c r="AP350" s="84"/>
      <c r="AQ350" s="84"/>
      <c r="AR350" s="84"/>
      <c r="AS350" s="87">
        <f t="array" ref="AS350">IF(E350=1,SUM((ROW(Mf0)=ROW(AS350))*(Mf0+Mf1_+Mf2_+Mf3_+Mf4_+Mf5_+Mf6_+Mf7_+Mf8_+Mf9_+Mf10_+Mf11_+Mf12_+Mf13_+Mf14_+Mf15_+Mf16_+Mf17_+Mf18_+Mf19_+Mf20_+Mf21_+Mf22_+Mf23_+Mf24_+Mf25_+Mf26_+Mf27_+Mf28_+Mf29_+Mf30_+Mf31_+Mf32_+Mf33_+Mf34_+Mf35_+Mf36_+Mf37_)),0)</f>
        <v>0</v>
      </c>
      <c r="AU350" s="24" t="str">
        <f t="shared" si="36"/>
        <v/>
      </c>
      <c r="AV350" s="24" t="str">
        <f t="shared" si="37"/>
        <v/>
      </c>
      <c r="AW350" s="24" t="str">
        <f t="shared" si="38"/>
        <v/>
      </c>
      <c r="AX350" s="72">
        <f t="shared" si="39"/>
        <v>0</v>
      </c>
      <c r="AY350" s="24">
        <f t="shared" si="40"/>
        <v>0</v>
      </c>
      <c r="AZ350" s="24">
        <f t="array" ref="AZ350">IF(OR(RIGHT(B350,LEN(Par_LabelTravelTime))=Par_LabelTravelTime,B350="čas na ceste - fakturácia"),1,0)</f>
        <v>0</v>
      </c>
    </row>
    <row r="351" spans="2:52" s="24" customFormat="1" ht="12.75" x14ac:dyDescent="0.2">
      <c r="B351" s="97"/>
      <c r="C351" s="92"/>
      <c r="D351" s="31" t="str">
        <f>IF(E351=1,VLOOKUP(TableInvs[[#This Row],[Calc_V_Typ]],Tran_RevenuesList,3,FALSE),"")</f>
        <v/>
      </c>
      <c r="E351" s="31">
        <f t="shared" si="35"/>
        <v>0</v>
      </c>
      <c r="F351" s="94"/>
      <c r="G351" s="84"/>
      <c r="H351" s="84"/>
      <c r="I351" s="84"/>
      <c r="J351" s="84"/>
      <c r="K351" s="84"/>
      <c r="L351" s="84"/>
      <c r="M351" s="84"/>
      <c r="N351" s="84"/>
      <c r="O351" s="84"/>
      <c r="P351" s="84"/>
      <c r="Q351" s="84"/>
      <c r="R351" s="84"/>
      <c r="S351" s="84"/>
      <c r="T351" s="84"/>
      <c r="U351" s="84"/>
      <c r="V351" s="84"/>
      <c r="W351" s="84"/>
      <c r="X351" s="84"/>
      <c r="Y351" s="84"/>
      <c r="Z351" s="84"/>
      <c r="AA351" s="84"/>
      <c r="AB351" s="84"/>
      <c r="AC351" s="85"/>
      <c r="AD351" s="85"/>
      <c r="AE351" s="84"/>
      <c r="AF351" s="84"/>
      <c r="AG351" s="84"/>
      <c r="AH351" s="84"/>
      <c r="AI351" s="84"/>
      <c r="AJ351" s="84"/>
      <c r="AK351" s="84"/>
      <c r="AL351" s="84"/>
      <c r="AM351" s="84"/>
      <c r="AN351" s="84"/>
      <c r="AO351" s="84"/>
      <c r="AP351" s="84"/>
      <c r="AQ351" s="84"/>
      <c r="AR351" s="84"/>
      <c r="AS351" s="87">
        <f t="array" ref="AS351">IF(E351=1,SUM((ROW(Mf0)=ROW(AS351))*(Mf0+Mf1_+Mf2_+Mf3_+Mf4_+Mf5_+Mf6_+Mf7_+Mf8_+Mf9_+Mf10_+Mf11_+Mf12_+Mf13_+Mf14_+Mf15_+Mf16_+Mf17_+Mf18_+Mf19_+Mf20_+Mf21_+Mf22_+Mf23_+Mf24_+Mf25_+Mf26_+Mf27_+Mf28_+Mf29_+Mf30_+Mf31_+Mf32_+Mf33_+Mf34_+Mf35_+Mf36_+Mf37_)),0)</f>
        <v>0</v>
      </c>
      <c r="AU351" s="24" t="str">
        <f t="shared" si="36"/>
        <v/>
      </c>
      <c r="AV351" s="24" t="str">
        <f t="shared" si="37"/>
        <v/>
      </c>
      <c r="AW351" s="24" t="str">
        <f t="shared" si="38"/>
        <v/>
      </c>
      <c r="AX351" s="72">
        <f t="shared" si="39"/>
        <v>0</v>
      </c>
      <c r="AY351" s="24">
        <f t="shared" si="40"/>
        <v>0</v>
      </c>
      <c r="AZ351" s="24">
        <f t="array" ref="AZ351">IF(OR(RIGHT(B351,LEN(Par_LabelTravelTime))=Par_LabelTravelTime,B351="čas na ceste - fakturácia"),1,0)</f>
        <v>0</v>
      </c>
    </row>
    <row r="352" spans="2:52" s="24" customFormat="1" ht="12.75" x14ac:dyDescent="0.2">
      <c r="B352" s="97"/>
      <c r="C352" s="92"/>
      <c r="D352" s="31" t="str">
        <f>IF(E352=1,VLOOKUP(TableInvs[[#This Row],[Calc_V_Typ]],Tran_RevenuesList,3,FALSE),"")</f>
        <v/>
      </c>
      <c r="E352" s="31">
        <f t="shared" si="35"/>
        <v>0</v>
      </c>
      <c r="F352" s="94"/>
      <c r="G352" s="84"/>
      <c r="H352" s="84"/>
      <c r="I352" s="84"/>
      <c r="J352" s="84"/>
      <c r="K352" s="84"/>
      <c r="L352" s="84"/>
      <c r="M352" s="84"/>
      <c r="N352" s="84"/>
      <c r="O352" s="84"/>
      <c r="P352" s="84"/>
      <c r="Q352" s="84"/>
      <c r="R352" s="84"/>
      <c r="S352" s="84"/>
      <c r="T352" s="84"/>
      <c r="U352" s="84"/>
      <c r="V352" s="84"/>
      <c r="W352" s="84"/>
      <c r="X352" s="84"/>
      <c r="Y352" s="84"/>
      <c r="Z352" s="84"/>
      <c r="AA352" s="84"/>
      <c r="AB352" s="84"/>
      <c r="AC352" s="85"/>
      <c r="AD352" s="85"/>
      <c r="AE352" s="84"/>
      <c r="AF352" s="84"/>
      <c r="AG352" s="84"/>
      <c r="AH352" s="84"/>
      <c r="AI352" s="84"/>
      <c r="AJ352" s="84"/>
      <c r="AK352" s="84"/>
      <c r="AL352" s="84"/>
      <c r="AM352" s="84"/>
      <c r="AN352" s="84"/>
      <c r="AO352" s="84"/>
      <c r="AP352" s="84"/>
      <c r="AQ352" s="84"/>
      <c r="AR352" s="84"/>
      <c r="AS352" s="87">
        <f t="array" ref="AS352">IF(E352=1,SUM((ROW(Mf0)=ROW(AS352))*(Mf0+Mf1_+Mf2_+Mf3_+Mf4_+Mf5_+Mf6_+Mf7_+Mf8_+Mf9_+Mf10_+Mf11_+Mf12_+Mf13_+Mf14_+Mf15_+Mf16_+Mf17_+Mf18_+Mf19_+Mf20_+Mf21_+Mf22_+Mf23_+Mf24_+Mf25_+Mf26_+Mf27_+Mf28_+Mf29_+Mf30_+Mf31_+Mf32_+Mf33_+Mf34_+Mf35_+Mf36_+Mf37_)),0)</f>
        <v>0</v>
      </c>
      <c r="AU352" s="24" t="str">
        <f t="shared" si="36"/>
        <v/>
      </c>
      <c r="AV352" s="24" t="str">
        <f t="shared" si="37"/>
        <v/>
      </c>
      <c r="AW352" s="24" t="str">
        <f t="shared" si="38"/>
        <v/>
      </c>
      <c r="AX352" s="72">
        <f t="shared" si="39"/>
        <v>0</v>
      </c>
      <c r="AY352" s="24">
        <f t="shared" si="40"/>
        <v>0</v>
      </c>
      <c r="AZ352" s="24">
        <f t="array" ref="AZ352">IF(OR(RIGHT(B352,LEN(Par_LabelTravelTime))=Par_LabelTravelTime,B352="čas na ceste - fakturácia"),1,0)</f>
        <v>0</v>
      </c>
    </row>
    <row r="353" spans="2:52" s="24" customFormat="1" ht="12.75" x14ac:dyDescent="0.2">
      <c r="B353" s="97"/>
      <c r="C353" s="92"/>
      <c r="D353" s="31" t="str">
        <f>IF(E353=1,VLOOKUP(TableInvs[[#This Row],[Calc_V_Typ]],Tran_RevenuesList,3,FALSE),"")</f>
        <v/>
      </c>
      <c r="E353" s="31">
        <f t="shared" si="35"/>
        <v>0</v>
      </c>
      <c r="F353" s="94"/>
      <c r="G353" s="84"/>
      <c r="H353" s="84"/>
      <c r="I353" s="84"/>
      <c r="J353" s="84"/>
      <c r="K353" s="84"/>
      <c r="L353" s="84"/>
      <c r="M353" s="84"/>
      <c r="N353" s="84"/>
      <c r="O353" s="84"/>
      <c r="P353" s="84"/>
      <c r="Q353" s="84"/>
      <c r="R353" s="84"/>
      <c r="S353" s="84"/>
      <c r="T353" s="84"/>
      <c r="U353" s="84"/>
      <c r="V353" s="84"/>
      <c r="W353" s="84"/>
      <c r="X353" s="84"/>
      <c r="Y353" s="84"/>
      <c r="Z353" s="84"/>
      <c r="AA353" s="84"/>
      <c r="AB353" s="84"/>
      <c r="AC353" s="85"/>
      <c r="AD353" s="85"/>
      <c r="AE353" s="84"/>
      <c r="AF353" s="84"/>
      <c r="AG353" s="84"/>
      <c r="AH353" s="84"/>
      <c r="AI353" s="84"/>
      <c r="AJ353" s="84"/>
      <c r="AK353" s="84"/>
      <c r="AL353" s="84"/>
      <c r="AM353" s="84"/>
      <c r="AN353" s="84"/>
      <c r="AO353" s="84"/>
      <c r="AP353" s="84"/>
      <c r="AQ353" s="84"/>
      <c r="AR353" s="84"/>
      <c r="AS353" s="87">
        <f t="array" ref="AS353">IF(E353=1,SUM((ROW(Mf0)=ROW(AS353))*(Mf0+Mf1_+Mf2_+Mf3_+Mf4_+Mf5_+Mf6_+Mf7_+Mf8_+Mf9_+Mf10_+Mf11_+Mf12_+Mf13_+Mf14_+Mf15_+Mf16_+Mf17_+Mf18_+Mf19_+Mf20_+Mf21_+Mf22_+Mf23_+Mf24_+Mf25_+Mf26_+Mf27_+Mf28_+Mf29_+Mf30_+Mf31_+Mf32_+Mf33_+Mf34_+Mf35_+Mf36_+Mf37_)),0)</f>
        <v>0</v>
      </c>
      <c r="AU353" s="24" t="str">
        <f t="shared" si="36"/>
        <v/>
      </c>
      <c r="AV353" s="24" t="str">
        <f t="shared" si="37"/>
        <v/>
      </c>
      <c r="AW353" s="24" t="str">
        <f t="shared" si="38"/>
        <v/>
      </c>
      <c r="AX353" s="72">
        <f t="shared" si="39"/>
        <v>0</v>
      </c>
      <c r="AY353" s="24">
        <f t="shared" si="40"/>
        <v>0</v>
      </c>
      <c r="AZ353" s="24">
        <f t="array" ref="AZ353">IF(OR(RIGHT(B353,LEN(Par_LabelTravelTime))=Par_LabelTravelTime,B353="čas na ceste - fakturácia"),1,0)</f>
        <v>0</v>
      </c>
    </row>
    <row r="354" spans="2:52" s="24" customFormat="1" ht="12.75" x14ac:dyDescent="0.2">
      <c r="B354" s="97"/>
      <c r="C354" s="92"/>
      <c r="D354" s="31" t="str">
        <f>IF(E354=1,VLOOKUP(TableInvs[[#This Row],[Calc_V_Typ]],Tran_RevenuesList,3,FALSE),"")</f>
        <v/>
      </c>
      <c r="E354" s="31">
        <f t="shared" si="35"/>
        <v>0</v>
      </c>
      <c r="F354" s="94"/>
      <c r="G354" s="84"/>
      <c r="H354" s="84"/>
      <c r="I354" s="84"/>
      <c r="J354" s="84"/>
      <c r="K354" s="84"/>
      <c r="L354" s="84"/>
      <c r="M354" s="84"/>
      <c r="N354" s="84"/>
      <c r="O354" s="84"/>
      <c r="P354" s="84"/>
      <c r="Q354" s="84"/>
      <c r="R354" s="84"/>
      <c r="S354" s="84"/>
      <c r="T354" s="84"/>
      <c r="U354" s="84"/>
      <c r="V354" s="84"/>
      <c r="W354" s="84"/>
      <c r="X354" s="84"/>
      <c r="Y354" s="84"/>
      <c r="Z354" s="84"/>
      <c r="AA354" s="84"/>
      <c r="AB354" s="84"/>
      <c r="AC354" s="85"/>
      <c r="AD354" s="85"/>
      <c r="AE354" s="84"/>
      <c r="AF354" s="84"/>
      <c r="AG354" s="84"/>
      <c r="AH354" s="84"/>
      <c r="AI354" s="84"/>
      <c r="AJ354" s="84"/>
      <c r="AK354" s="84"/>
      <c r="AL354" s="84"/>
      <c r="AM354" s="84"/>
      <c r="AN354" s="84"/>
      <c r="AO354" s="84"/>
      <c r="AP354" s="84"/>
      <c r="AQ354" s="84"/>
      <c r="AR354" s="84"/>
      <c r="AS354" s="87">
        <f t="array" ref="AS354">IF(E354=1,SUM((ROW(Mf0)=ROW(AS354))*(Mf0+Mf1_+Mf2_+Mf3_+Mf4_+Mf5_+Mf6_+Mf7_+Mf8_+Mf9_+Mf10_+Mf11_+Mf12_+Mf13_+Mf14_+Mf15_+Mf16_+Mf17_+Mf18_+Mf19_+Mf20_+Mf21_+Mf22_+Mf23_+Mf24_+Mf25_+Mf26_+Mf27_+Mf28_+Mf29_+Mf30_+Mf31_+Mf32_+Mf33_+Mf34_+Mf35_+Mf36_+Mf37_)),0)</f>
        <v>0</v>
      </c>
      <c r="AU354" s="24" t="str">
        <f t="shared" si="36"/>
        <v/>
      </c>
      <c r="AV354" s="24" t="str">
        <f t="shared" si="37"/>
        <v/>
      </c>
      <c r="AW354" s="24" t="str">
        <f t="shared" si="38"/>
        <v/>
      </c>
      <c r="AX354" s="72">
        <f t="shared" si="39"/>
        <v>0</v>
      </c>
      <c r="AY354" s="24">
        <f t="shared" si="40"/>
        <v>0</v>
      </c>
      <c r="AZ354" s="24">
        <f t="array" ref="AZ354">IF(OR(RIGHT(B354,LEN(Par_LabelTravelTime))=Par_LabelTravelTime,B354="čas na ceste - fakturácia"),1,0)</f>
        <v>0</v>
      </c>
    </row>
    <row r="355" spans="2:52" s="24" customFormat="1" ht="12.75" x14ac:dyDescent="0.2">
      <c r="B355" s="97"/>
      <c r="C355" s="92"/>
      <c r="D355" s="31" t="str">
        <f>IF(E355=1,VLOOKUP(TableInvs[[#This Row],[Calc_V_Typ]],Tran_RevenuesList,3,FALSE),"")</f>
        <v/>
      </c>
      <c r="E355" s="31">
        <f t="shared" si="35"/>
        <v>0</v>
      </c>
      <c r="F355" s="94"/>
      <c r="G355" s="84"/>
      <c r="H355" s="84"/>
      <c r="I355" s="84"/>
      <c r="J355" s="84"/>
      <c r="K355" s="84"/>
      <c r="L355" s="84"/>
      <c r="M355" s="84"/>
      <c r="N355" s="84"/>
      <c r="O355" s="84"/>
      <c r="P355" s="84"/>
      <c r="Q355" s="84"/>
      <c r="R355" s="84"/>
      <c r="S355" s="84"/>
      <c r="T355" s="84"/>
      <c r="U355" s="84"/>
      <c r="V355" s="84"/>
      <c r="W355" s="84"/>
      <c r="X355" s="84"/>
      <c r="Y355" s="84"/>
      <c r="Z355" s="84"/>
      <c r="AA355" s="84"/>
      <c r="AB355" s="84"/>
      <c r="AC355" s="85"/>
      <c r="AD355" s="85"/>
      <c r="AE355" s="84"/>
      <c r="AF355" s="84"/>
      <c r="AG355" s="84"/>
      <c r="AH355" s="84"/>
      <c r="AI355" s="84"/>
      <c r="AJ355" s="84"/>
      <c r="AK355" s="84"/>
      <c r="AL355" s="84"/>
      <c r="AM355" s="84"/>
      <c r="AN355" s="84"/>
      <c r="AO355" s="84"/>
      <c r="AP355" s="84"/>
      <c r="AQ355" s="84"/>
      <c r="AR355" s="84"/>
      <c r="AS355" s="87">
        <f t="array" ref="AS355">IF(E355=1,SUM((ROW(Mf0)=ROW(AS355))*(Mf0+Mf1_+Mf2_+Mf3_+Mf4_+Mf5_+Mf6_+Mf7_+Mf8_+Mf9_+Mf10_+Mf11_+Mf12_+Mf13_+Mf14_+Mf15_+Mf16_+Mf17_+Mf18_+Mf19_+Mf20_+Mf21_+Mf22_+Mf23_+Mf24_+Mf25_+Mf26_+Mf27_+Mf28_+Mf29_+Mf30_+Mf31_+Mf32_+Mf33_+Mf34_+Mf35_+Mf36_+Mf37_)),0)</f>
        <v>0</v>
      </c>
      <c r="AU355" s="24" t="str">
        <f t="shared" si="36"/>
        <v/>
      </c>
      <c r="AV355" s="24" t="str">
        <f t="shared" si="37"/>
        <v/>
      </c>
      <c r="AW355" s="24" t="str">
        <f t="shared" si="38"/>
        <v/>
      </c>
      <c r="AX355" s="72">
        <f t="shared" si="39"/>
        <v>0</v>
      </c>
      <c r="AY355" s="24">
        <f t="shared" si="40"/>
        <v>0</v>
      </c>
      <c r="AZ355" s="24">
        <f t="array" ref="AZ355">IF(OR(RIGHT(B355,LEN(Par_LabelTravelTime))=Par_LabelTravelTime,B355="čas na ceste - fakturácia"),1,0)</f>
        <v>0</v>
      </c>
    </row>
    <row r="356" spans="2:52" s="24" customFormat="1" ht="12.75" x14ac:dyDescent="0.2">
      <c r="B356" s="97"/>
      <c r="C356" s="92"/>
      <c r="D356" s="31" t="str">
        <f>IF(E356=1,VLOOKUP(TableInvs[[#This Row],[Calc_V_Typ]],Tran_RevenuesList,3,FALSE),"")</f>
        <v/>
      </c>
      <c r="E356" s="31">
        <f t="shared" si="35"/>
        <v>0</v>
      </c>
      <c r="F356" s="94"/>
      <c r="G356" s="84"/>
      <c r="H356" s="84"/>
      <c r="I356" s="84"/>
      <c r="J356" s="84"/>
      <c r="K356" s="84"/>
      <c r="L356" s="84"/>
      <c r="M356" s="84"/>
      <c r="N356" s="84"/>
      <c r="O356" s="84"/>
      <c r="P356" s="84"/>
      <c r="Q356" s="84"/>
      <c r="R356" s="84"/>
      <c r="S356" s="84"/>
      <c r="T356" s="84"/>
      <c r="U356" s="84"/>
      <c r="V356" s="84"/>
      <c r="W356" s="84"/>
      <c r="X356" s="84"/>
      <c r="Y356" s="84"/>
      <c r="Z356" s="84"/>
      <c r="AA356" s="84"/>
      <c r="AB356" s="84"/>
      <c r="AC356" s="85"/>
      <c r="AD356" s="85"/>
      <c r="AE356" s="84"/>
      <c r="AF356" s="84"/>
      <c r="AG356" s="84"/>
      <c r="AH356" s="84"/>
      <c r="AI356" s="84"/>
      <c r="AJ356" s="84"/>
      <c r="AK356" s="84"/>
      <c r="AL356" s="84"/>
      <c r="AM356" s="84"/>
      <c r="AN356" s="84"/>
      <c r="AO356" s="84"/>
      <c r="AP356" s="84"/>
      <c r="AQ356" s="84"/>
      <c r="AR356" s="84"/>
      <c r="AS356" s="87">
        <f t="array" ref="AS356">IF(E356=1,SUM((ROW(Mf0)=ROW(AS356))*(Mf0+Mf1_+Mf2_+Mf3_+Mf4_+Mf5_+Mf6_+Mf7_+Mf8_+Mf9_+Mf10_+Mf11_+Mf12_+Mf13_+Mf14_+Mf15_+Mf16_+Mf17_+Mf18_+Mf19_+Mf20_+Mf21_+Mf22_+Mf23_+Mf24_+Mf25_+Mf26_+Mf27_+Mf28_+Mf29_+Mf30_+Mf31_+Mf32_+Mf33_+Mf34_+Mf35_+Mf36_+Mf37_)),0)</f>
        <v>0</v>
      </c>
      <c r="AU356" s="24" t="str">
        <f t="shared" si="36"/>
        <v/>
      </c>
      <c r="AV356" s="24" t="str">
        <f t="shared" si="37"/>
        <v/>
      </c>
      <c r="AW356" s="24" t="str">
        <f t="shared" si="38"/>
        <v/>
      </c>
      <c r="AX356" s="72">
        <f t="shared" si="39"/>
        <v>0</v>
      </c>
      <c r="AY356" s="24">
        <f t="shared" si="40"/>
        <v>0</v>
      </c>
      <c r="AZ356" s="24">
        <f t="array" ref="AZ356">IF(OR(RIGHT(B356,LEN(Par_LabelTravelTime))=Par_LabelTravelTime,B356="čas na ceste - fakturácia"),1,0)</f>
        <v>0</v>
      </c>
    </row>
    <row r="357" spans="2:52" s="24" customFormat="1" ht="12.75" x14ac:dyDescent="0.2">
      <c r="B357" s="97"/>
      <c r="C357" s="92"/>
      <c r="D357" s="31" t="str">
        <f>IF(E357=1,VLOOKUP(TableInvs[[#This Row],[Calc_V_Typ]],Tran_RevenuesList,3,FALSE),"")</f>
        <v/>
      </c>
      <c r="E357" s="31">
        <f t="shared" si="35"/>
        <v>0</v>
      </c>
      <c r="F357" s="94"/>
      <c r="G357" s="84"/>
      <c r="H357" s="84"/>
      <c r="I357" s="84"/>
      <c r="J357" s="84"/>
      <c r="K357" s="84"/>
      <c r="L357" s="84"/>
      <c r="M357" s="84"/>
      <c r="N357" s="84"/>
      <c r="O357" s="84"/>
      <c r="P357" s="84"/>
      <c r="Q357" s="84"/>
      <c r="R357" s="84"/>
      <c r="S357" s="84"/>
      <c r="T357" s="84"/>
      <c r="U357" s="84"/>
      <c r="V357" s="84"/>
      <c r="W357" s="84"/>
      <c r="X357" s="84"/>
      <c r="Y357" s="84"/>
      <c r="Z357" s="84"/>
      <c r="AA357" s="84"/>
      <c r="AB357" s="84"/>
      <c r="AC357" s="85"/>
      <c r="AD357" s="85"/>
      <c r="AE357" s="84"/>
      <c r="AF357" s="84"/>
      <c r="AG357" s="84"/>
      <c r="AH357" s="84"/>
      <c r="AI357" s="84"/>
      <c r="AJ357" s="84"/>
      <c r="AK357" s="84"/>
      <c r="AL357" s="84"/>
      <c r="AM357" s="84"/>
      <c r="AN357" s="84"/>
      <c r="AO357" s="84"/>
      <c r="AP357" s="84"/>
      <c r="AQ357" s="84"/>
      <c r="AR357" s="84"/>
      <c r="AS357" s="87">
        <f t="array" ref="AS357">IF(E357=1,SUM((ROW(Mf0)=ROW(AS357))*(Mf0+Mf1_+Mf2_+Mf3_+Mf4_+Mf5_+Mf6_+Mf7_+Mf8_+Mf9_+Mf10_+Mf11_+Mf12_+Mf13_+Mf14_+Mf15_+Mf16_+Mf17_+Mf18_+Mf19_+Mf20_+Mf21_+Mf22_+Mf23_+Mf24_+Mf25_+Mf26_+Mf27_+Mf28_+Mf29_+Mf30_+Mf31_+Mf32_+Mf33_+Mf34_+Mf35_+Mf36_+Mf37_)),0)</f>
        <v>0</v>
      </c>
      <c r="AU357" s="24" t="str">
        <f t="shared" si="36"/>
        <v/>
      </c>
      <c r="AV357" s="24" t="str">
        <f t="shared" si="37"/>
        <v/>
      </c>
      <c r="AW357" s="24" t="str">
        <f t="shared" si="38"/>
        <v/>
      </c>
      <c r="AX357" s="72">
        <f t="shared" si="39"/>
        <v>0</v>
      </c>
      <c r="AY357" s="24">
        <f t="shared" si="40"/>
        <v>0</v>
      </c>
      <c r="AZ357" s="24">
        <f t="array" ref="AZ357">IF(OR(RIGHT(B357,LEN(Par_LabelTravelTime))=Par_LabelTravelTime,B357="čas na ceste - fakturácia"),1,0)</f>
        <v>0</v>
      </c>
    </row>
    <row r="358" spans="2:52" s="24" customFormat="1" ht="12.75" x14ac:dyDescent="0.2">
      <c r="B358" s="97"/>
      <c r="C358" s="92"/>
      <c r="D358" s="31" t="str">
        <f>IF(E358=1,VLOOKUP(TableInvs[[#This Row],[Calc_V_Typ]],Tran_RevenuesList,3,FALSE),"")</f>
        <v/>
      </c>
      <c r="E358" s="31">
        <f t="shared" si="35"/>
        <v>0</v>
      </c>
      <c r="F358" s="94"/>
      <c r="G358" s="84"/>
      <c r="H358" s="84"/>
      <c r="I358" s="84"/>
      <c r="J358" s="84"/>
      <c r="K358" s="84"/>
      <c r="L358" s="84"/>
      <c r="M358" s="84"/>
      <c r="N358" s="84"/>
      <c r="O358" s="84"/>
      <c r="P358" s="84"/>
      <c r="Q358" s="84"/>
      <c r="R358" s="84"/>
      <c r="S358" s="84"/>
      <c r="T358" s="84"/>
      <c r="U358" s="84"/>
      <c r="V358" s="84"/>
      <c r="W358" s="84"/>
      <c r="X358" s="84"/>
      <c r="Y358" s="84"/>
      <c r="Z358" s="84"/>
      <c r="AA358" s="84"/>
      <c r="AB358" s="84"/>
      <c r="AC358" s="85"/>
      <c r="AD358" s="85"/>
      <c r="AE358" s="84"/>
      <c r="AF358" s="84"/>
      <c r="AG358" s="84"/>
      <c r="AH358" s="84"/>
      <c r="AI358" s="84"/>
      <c r="AJ358" s="84"/>
      <c r="AK358" s="84"/>
      <c r="AL358" s="84"/>
      <c r="AM358" s="84"/>
      <c r="AN358" s="84"/>
      <c r="AO358" s="84"/>
      <c r="AP358" s="84"/>
      <c r="AQ358" s="84"/>
      <c r="AR358" s="84"/>
      <c r="AS358" s="87">
        <f t="array" ref="AS358">IF(E358=1,SUM((ROW(Mf0)=ROW(AS358))*(Mf0+Mf1_+Mf2_+Mf3_+Mf4_+Mf5_+Mf6_+Mf7_+Mf8_+Mf9_+Mf10_+Mf11_+Mf12_+Mf13_+Mf14_+Mf15_+Mf16_+Mf17_+Mf18_+Mf19_+Mf20_+Mf21_+Mf22_+Mf23_+Mf24_+Mf25_+Mf26_+Mf27_+Mf28_+Mf29_+Mf30_+Mf31_+Mf32_+Mf33_+Mf34_+Mf35_+Mf36_+Mf37_)),0)</f>
        <v>0</v>
      </c>
      <c r="AU358" s="24" t="str">
        <f t="shared" si="36"/>
        <v/>
      </c>
      <c r="AV358" s="24" t="str">
        <f t="shared" si="37"/>
        <v/>
      </c>
      <c r="AW358" s="24" t="str">
        <f t="shared" si="38"/>
        <v/>
      </c>
      <c r="AX358" s="72">
        <f t="shared" si="39"/>
        <v>0</v>
      </c>
      <c r="AY358" s="24">
        <f t="shared" si="40"/>
        <v>0</v>
      </c>
      <c r="AZ358" s="24">
        <f t="array" ref="AZ358">IF(OR(RIGHT(B358,LEN(Par_LabelTravelTime))=Par_LabelTravelTime,B358="čas na ceste - fakturácia"),1,0)</f>
        <v>0</v>
      </c>
    </row>
    <row r="359" spans="2:52" s="24" customFormat="1" ht="12.75" x14ac:dyDescent="0.2">
      <c r="B359" s="97"/>
      <c r="C359" s="92"/>
      <c r="D359" s="31" t="str">
        <f>IF(E359=1,VLOOKUP(TableInvs[[#This Row],[Calc_V_Typ]],Tran_RevenuesList,3,FALSE),"")</f>
        <v/>
      </c>
      <c r="E359" s="31">
        <f t="shared" si="35"/>
        <v>0</v>
      </c>
      <c r="F359" s="94"/>
      <c r="G359" s="84"/>
      <c r="H359" s="84"/>
      <c r="I359" s="84"/>
      <c r="J359" s="84"/>
      <c r="K359" s="84"/>
      <c r="L359" s="84"/>
      <c r="M359" s="84"/>
      <c r="N359" s="84"/>
      <c r="O359" s="84"/>
      <c r="P359" s="84"/>
      <c r="Q359" s="84"/>
      <c r="R359" s="84"/>
      <c r="S359" s="84"/>
      <c r="T359" s="84"/>
      <c r="U359" s="84"/>
      <c r="V359" s="84"/>
      <c r="W359" s="84"/>
      <c r="X359" s="84"/>
      <c r="Y359" s="84"/>
      <c r="Z359" s="84"/>
      <c r="AA359" s="84"/>
      <c r="AB359" s="84"/>
      <c r="AC359" s="85"/>
      <c r="AD359" s="85"/>
      <c r="AE359" s="84"/>
      <c r="AF359" s="84"/>
      <c r="AG359" s="84"/>
      <c r="AH359" s="84"/>
      <c r="AI359" s="84"/>
      <c r="AJ359" s="84"/>
      <c r="AK359" s="84"/>
      <c r="AL359" s="84"/>
      <c r="AM359" s="84"/>
      <c r="AN359" s="84"/>
      <c r="AO359" s="84"/>
      <c r="AP359" s="84"/>
      <c r="AQ359" s="84"/>
      <c r="AR359" s="84"/>
      <c r="AS359" s="87">
        <f t="array" ref="AS359">IF(E359=1,SUM((ROW(Mf0)=ROW(AS359))*(Mf0+Mf1_+Mf2_+Mf3_+Mf4_+Mf5_+Mf6_+Mf7_+Mf8_+Mf9_+Mf10_+Mf11_+Mf12_+Mf13_+Mf14_+Mf15_+Mf16_+Mf17_+Mf18_+Mf19_+Mf20_+Mf21_+Mf22_+Mf23_+Mf24_+Mf25_+Mf26_+Mf27_+Mf28_+Mf29_+Mf30_+Mf31_+Mf32_+Mf33_+Mf34_+Mf35_+Mf36_+Mf37_)),0)</f>
        <v>0</v>
      </c>
      <c r="AU359" s="24" t="str">
        <f t="shared" si="36"/>
        <v/>
      </c>
      <c r="AV359" s="24" t="str">
        <f t="shared" si="37"/>
        <v/>
      </c>
      <c r="AW359" s="24" t="str">
        <f t="shared" si="38"/>
        <v/>
      </c>
      <c r="AX359" s="72">
        <f t="shared" si="39"/>
        <v>0</v>
      </c>
      <c r="AY359" s="24">
        <f t="shared" si="40"/>
        <v>0</v>
      </c>
      <c r="AZ359" s="24">
        <f t="array" ref="AZ359">IF(OR(RIGHT(B359,LEN(Par_LabelTravelTime))=Par_LabelTravelTime,B359="čas na ceste - fakturácia"),1,0)</f>
        <v>0</v>
      </c>
    </row>
    <row r="360" spans="2:52" s="24" customFormat="1" ht="12.75" x14ac:dyDescent="0.2">
      <c r="B360" s="97"/>
      <c r="C360" s="92"/>
      <c r="D360" s="31" t="str">
        <f>IF(E360=1,VLOOKUP(TableInvs[[#This Row],[Calc_V_Typ]],Tran_RevenuesList,3,FALSE),"")</f>
        <v/>
      </c>
      <c r="E360" s="31">
        <f t="shared" si="35"/>
        <v>0</v>
      </c>
      <c r="F360" s="94"/>
      <c r="G360" s="84"/>
      <c r="H360" s="84"/>
      <c r="I360" s="84"/>
      <c r="J360" s="84"/>
      <c r="K360" s="84"/>
      <c r="L360" s="84"/>
      <c r="M360" s="84"/>
      <c r="N360" s="84"/>
      <c r="O360" s="84"/>
      <c r="P360" s="84"/>
      <c r="Q360" s="84"/>
      <c r="R360" s="84"/>
      <c r="S360" s="84"/>
      <c r="T360" s="84"/>
      <c r="U360" s="84"/>
      <c r="V360" s="84"/>
      <c r="W360" s="84"/>
      <c r="X360" s="84"/>
      <c r="Y360" s="84"/>
      <c r="Z360" s="84"/>
      <c r="AA360" s="84"/>
      <c r="AB360" s="84"/>
      <c r="AC360" s="85"/>
      <c r="AD360" s="85"/>
      <c r="AE360" s="84"/>
      <c r="AF360" s="84"/>
      <c r="AG360" s="84"/>
      <c r="AH360" s="84"/>
      <c r="AI360" s="84"/>
      <c r="AJ360" s="84"/>
      <c r="AK360" s="84"/>
      <c r="AL360" s="84"/>
      <c r="AM360" s="84"/>
      <c r="AN360" s="84"/>
      <c r="AO360" s="84"/>
      <c r="AP360" s="84"/>
      <c r="AQ360" s="84"/>
      <c r="AR360" s="84"/>
      <c r="AS360" s="87">
        <f t="array" ref="AS360">IF(E360=1,SUM((ROW(Mf0)=ROW(AS360))*(Mf0+Mf1_+Mf2_+Mf3_+Mf4_+Mf5_+Mf6_+Mf7_+Mf8_+Mf9_+Mf10_+Mf11_+Mf12_+Mf13_+Mf14_+Mf15_+Mf16_+Mf17_+Mf18_+Mf19_+Mf20_+Mf21_+Mf22_+Mf23_+Mf24_+Mf25_+Mf26_+Mf27_+Mf28_+Mf29_+Mf30_+Mf31_+Mf32_+Mf33_+Mf34_+Mf35_+Mf36_+Mf37_)),0)</f>
        <v>0</v>
      </c>
      <c r="AU360" s="24" t="str">
        <f t="shared" si="36"/>
        <v/>
      </c>
      <c r="AV360" s="24" t="str">
        <f t="shared" si="37"/>
        <v/>
      </c>
      <c r="AW360" s="24" t="str">
        <f t="shared" si="38"/>
        <v/>
      </c>
      <c r="AX360" s="72">
        <f t="shared" si="39"/>
        <v>0</v>
      </c>
      <c r="AY360" s="24">
        <f t="shared" si="40"/>
        <v>0</v>
      </c>
      <c r="AZ360" s="24">
        <f t="array" ref="AZ360">IF(OR(RIGHT(B360,LEN(Par_LabelTravelTime))=Par_LabelTravelTime,B360="čas na ceste - fakturácia"),1,0)</f>
        <v>0</v>
      </c>
    </row>
    <row r="361" spans="2:52" s="24" customFormat="1" ht="12.75" x14ac:dyDescent="0.2">
      <c r="B361" s="97"/>
      <c r="C361" s="92"/>
      <c r="D361" s="31" t="str">
        <f>IF(E361=1,VLOOKUP(TableInvs[[#This Row],[Calc_V_Typ]],Tran_RevenuesList,3,FALSE),"")</f>
        <v/>
      </c>
      <c r="E361" s="31">
        <f t="shared" si="35"/>
        <v>0</v>
      </c>
      <c r="F361" s="94"/>
      <c r="G361" s="84"/>
      <c r="H361" s="84"/>
      <c r="I361" s="84"/>
      <c r="J361" s="84"/>
      <c r="K361" s="84"/>
      <c r="L361" s="84"/>
      <c r="M361" s="84"/>
      <c r="N361" s="84"/>
      <c r="O361" s="84"/>
      <c r="P361" s="84"/>
      <c r="Q361" s="84"/>
      <c r="R361" s="84"/>
      <c r="S361" s="84"/>
      <c r="T361" s="84"/>
      <c r="U361" s="84"/>
      <c r="V361" s="84"/>
      <c r="W361" s="84"/>
      <c r="X361" s="84"/>
      <c r="Y361" s="84"/>
      <c r="Z361" s="84"/>
      <c r="AA361" s="84"/>
      <c r="AB361" s="84"/>
      <c r="AC361" s="85"/>
      <c r="AD361" s="85"/>
      <c r="AE361" s="84"/>
      <c r="AF361" s="84"/>
      <c r="AG361" s="84"/>
      <c r="AH361" s="84"/>
      <c r="AI361" s="84"/>
      <c r="AJ361" s="84"/>
      <c r="AK361" s="84"/>
      <c r="AL361" s="84"/>
      <c r="AM361" s="84"/>
      <c r="AN361" s="84"/>
      <c r="AO361" s="84"/>
      <c r="AP361" s="84"/>
      <c r="AQ361" s="84"/>
      <c r="AR361" s="84"/>
      <c r="AS361" s="87">
        <f t="array" ref="AS361">IF(E361=1,SUM((ROW(Mf0)=ROW(AS361))*(Mf0+Mf1_+Mf2_+Mf3_+Mf4_+Mf5_+Mf6_+Mf7_+Mf8_+Mf9_+Mf10_+Mf11_+Mf12_+Mf13_+Mf14_+Mf15_+Mf16_+Mf17_+Mf18_+Mf19_+Mf20_+Mf21_+Mf22_+Mf23_+Mf24_+Mf25_+Mf26_+Mf27_+Mf28_+Mf29_+Mf30_+Mf31_+Mf32_+Mf33_+Mf34_+Mf35_+Mf36_+Mf37_)),0)</f>
        <v>0</v>
      </c>
      <c r="AU361" s="24" t="str">
        <f t="shared" si="36"/>
        <v/>
      </c>
      <c r="AV361" s="24" t="str">
        <f t="shared" si="37"/>
        <v/>
      </c>
      <c r="AW361" s="24" t="str">
        <f t="shared" si="38"/>
        <v/>
      </c>
      <c r="AX361" s="72">
        <f t="shared" si="39"/>
        <v>0</v>
      </c>
      <c r="AY361" s="24">
        <f t="shared" si="40"/>
        <v>0</v>
      </c>
      <c r="AZ361" s="24">
        <f t="array" ref="AZ361">IF(OR(RIGHT(B361,LEN(Par_LabelTravelTime))=Par_LabelTravelTime,B361="čas na ceste - fakturácia"),1,0)</f>
        <v>0</v>
      </c>
    </row>
    <row r="362" spans="2:52" s="24" customFormat="1" ht="12.75" x14ac:dyDescent="0.2">
      <c r="B362" s="97"/>
      <c r="C362" s="92"/>
      <c r="D362" s="31" t="str">
        <f>IF(E362=1,VLOOKUP(TableInvs[[#This Row],[Calc_V_Typ]],Tran_RevenuesList,3,FALSE),"")</f>
        <v/>
      </c>
      <c r="E362" s="31">
        <f t="shared" si="35"/>
        <v>0</v>
      </c>
      <c r="F362" s="94"/>
      <c r="G362" s="84"/>
      <c r="H362" s="84"/>
      <c r="I362" s="84"/>
      <c r="J362" s="84"/>
      <c r="K362" s="84"/>
      <c r="L362" s="84"/>
      <c r="M362" s="84"/>
      <c r="N362" s="84"/>
      <c r="O362" s="84"/>
      <c r="P362" s="84"/>
      <c r="Q362" s="84"/>
      <c r="R362" s="84"/>
      <c r="S362" s="84"/>
      <c r="T362" s="84"/>
      <c r="U362" s="84"/>
      <c r="V362" s="84"/>
      <c r="W362" s="84"/>
      <c r="X362" s="84"/>
      <c r="Y362" s="84"/>
      <c r="Z362" s="84"/>
      <c r="AA362" s="84"/>
      <c r="AB362" s="84"/>
      <c r="AC362" s="85"/>
      <c r="AD362" s="85"/>
      <c r="AE362" s="84"/>
      <c r="AF362" s="84"/>
      <c r="AG362" s="84"/>
      <c r="AH362" s="84"/>
      <c r="AI362" s="84"/>
      <c r="AJ362" s="84"/>
      <c r="AK362" s="84"/>
      <c r="AL362" s="84"/>
      <c r="AM362" s="84"/>
      <c r="AN362" s="84"/>
      <c r="AO362" s="84"/>
      <c r="AP362" s="84"/>
      <c r="AQ362" s="84"/>
      <c r="AR362" s="84"/>
      <c r="AS362" s="87">
        <f t="array" ref="AS362">IF(E362=1,SUM((ROW(Mf0)=ROW(AS362))*(Mf0+Mf1_+Mf2_+Mf3_+Mf4_+Mf5_+Mf6_+Mf7_+Mf8_+Mf9_+Mf10_+Mf11_+Mf12_+Mf13_+Mf14_+Mf15_+Mf16_+Mf17_+Mf18_+Mf19_+Mf20_+Mf21_+Mf22_+Mf23_+Mf24_+Mf25_+Mf26_+Mf27_+Mf28_+Mf29_+Mf30_+Mf31_+Mf32_+Mf33_+Mf34_+Mf35_+Mf36_+Mf37_)),0)</f>
        <v>0</v>
      </c>
      <c r="AU362" s="24" t="str">
        <f t="shared" si="36"/>
        <v/>
      </c>
      <c r="AV362" s="24" t="str">
        <f t="shared" si="37"/>
        <v/>
      </c>
      <c r="AW362" s="24" t="str">
        <f t="shared" si="38"/>
        <v/>
      </c>
      <c r="AX362" s="72">
        <f t="shared" si="39"/>
        <v>0</v>
      </c>
      <c r="AY362" s="24">
        <f t="shared" si="40"/>
        <v>0</v>
      </c>
      <c r="AZ362" s="24">
        <f t="array" ref="AZ362">IF(OR(RIGHT(B362,LEN(Par_LabelTravelTime))=Par_LabelTravelTime,B362="čas na ceste - fakturácia"),1,0)</f>
        <v>0</v>
      </c>
    </row>
    <row r="363" spans="2:52" s="24" customFormat="1" ht="12.75" x14ac:dyDescent="0.2">
      <c r="B363" s="97"/>
      <c r="C363" s="92"/>
      <c r="D363" s="31" t="str">
        <f>IF(E363=1,VLOOKUP(TableInvs[[#This Row],[Calc_V_Typ]],Tran_RevenuesList,3,FALSE),"")</f>
        <v/>
      </c>
      <c r="E363" s="31">
        <f t="shared" si="35"/>
        <v>0</v>
      </c>
      <c r="F363" s="9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  <c r="R363" s="84"/>
      <c r="S363" s="84"/>
      <c r="T363" s="84"/>
      <c r="U363" s="84"/>
      <c r="V363" s="84"/>
      <c r="W363" s="84"/>
      <c r="X363" s="84"/>
      <c r="Y363" s="84"/>
      <c r="Z363" s="84"/>
      <c r="AA363" s="84"/>
      <c r="AB363" s="84"/>
      <c r="AC363" s="85"/>
      <c r="AD363" s="85"/>
      <c r="AE363" s="84"/>
      <c r="AF363" s="84"/>
      <c r="AG363" s="84"/>
      <c r="AH363" s="84"/>
      <c r="AI363" s="84"/>
      <c r="AJ363" s="84"/>
      <c r="AK363" s="84"/>
      <c r="AL363" s="84"/>
      <c r="AM363" s="84"/>
      <c r="AN363" s="84"/>
      <c r="AO363" s="84"/>
      <c r="AP363" s="84"/>
      <c r="AQ363" s="84"/>
      <c r="AR363" s="84"/>
      <c r="AS363" s="87">
        <f t="array" ref="AS363">IF(E363=1,SUM((ROW(Mf0)=ROW(AS363))*(Mf0+Mf1_+Mf2_+Mf3_+Mf4_+Mf5_+Mf6_+Mf7_+Mf8_+Mf9_+Mf10_+Mf11_+Mf12_+Mf13_+Mf14_+Mf15_+Mf16_+Mf17_+Mf18_+Mf19_+Mf20_+Mf21_+Mf22_+Mf23_+Mf24_+Mf25_+Mf26_+Mf27_+Mf28_+Mf29_+Mf30_+Mf31_+Mf32_+Mf33_+Mf34_+Mf35_+Mf36_+Mf37_)),0)</f>
        <v>0</v>
      </c>
      <c r="AU363" s="24" t="str">
        <f t="shared" si="36"/>
        <v/>
      </c>
      <c r="AV363" s="24" t="str">
        <f t="shared" si="37"/>
        <v/>
      </c>
      <c r="AW363" s="24" t="str">
        <f t="shared" si="38"/>
        <v/>
      </c>
      <c r="AX363" s="72">
        <f t="shared" si="39"/>
        <v>0</v>
      </c>
      <c r="AY363" s="24">
        <f t="shared" si="40"/>
        <v>0</v>
      </c>
      <c r="AZ363" s="24">
        <f t="array" ref="AZ363">IF(OR(RIGHT(B363,LEN(Par_LabelTravelTime))=Par_LabelTravelTime,B363="čas na ceste - fakturácia"),1,0)</f>
        <v>0</v>
      </c>
    </row>
    <row r="364" spans="2:52" s="24" customFormat="1" ht="12.75" x14ac:dyDescent="0.2">
      <c r="B364" s="97"/>
      <c r="C364" s="92"/>
      <c r="D364" s="31" t="str">
        <f>IF(E364=1,VLOOKUP(TableInvs[[#This Row],[Calc_V_Typ]],Tran_RevenuesList,3,FALSE),"")</f>
        <v/>
      </c>
      <c r="E364" s="31">
        <f t="shared" si="35"/>
        <v>0</v>
      </c>
      <c r="F364" s="9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  <c r="R364" s="84"/>
      <c r="S364" s="84"/>
      <c r="T364" s="84"/>
      <c r="U364" s="84"/>
      <c r="V364" s="84"/>
      <c r="W364" s="84"/>
      <c r="X364" s="84"/>
      <c r="Y364" s="84"/>
      <c r="Z364" s="84"/>
      <c r="AA364" s="84"/>
      <c r="AB364" s="84"/>
      <c r="AC364" s="85"/>
      <c r="AD364" s="85"/>
      <c r="AE364" s="84"/>
      <c r="AF364" s="84"/>
      <c r="AG364" s="84"/>
      <c r="AH364" s="84"/>
      <c r="AI364" s="84"/>
      <c r="AJ364" s="84"/>
      <c r="AK364" s="84"/>
      <c r="AL364" s="84"/>
      <c r="AM364" s="84"/>
      <c r="AN364" s="84"/>
      <c r="AO364" s="84"/>
      <c r="AP364" s="84"/>
      <c r="AQ364" s="84"/>
      <c r="AR364" s="84"/>
      <c r="AS364" s="87">
        <f t="array" ref="AS364">IF(E364=1,SUM((ROW(Mf0)=ROW(AS364))*(Mf0+Mf1_+Mf2_+Mf3_+Mf4_+Mf5_+Mf6_+Mf7_+Mf8_+Mf9_+Mf10_+Mf11_+Mf12_+Mf13_+Mf14_+Mf15_+Mf16_+Mf17_+Mf18_+Mf19_+Mf20_+Mf21_+Mf22_+Mf23_+Mf24_+Mf25_+Mf26_+Mf27_+Mf28_+Mf29_+Mf30_+Mf31_+Mf32_+Mf33_+Mf34_+Mf35_+Mf36_+Mf37_)),0)</f>
        <v>0</v>
      </c>
      <c r="AU364" s="24" t="str">
        <f t="shared" si="36"/>
        <v/>
      </c>
      <c r="AV364" s="24" t="str">
        <f t="shared" si="37"/>
        <v/>
      </c>
      <c r="AW364" s="24" t="str">
        <f t="shared" si="38"/>
        <v/>
      </c>
      <c r="AX364" s="72">
        <f t="shared" si="39"/>
        <v>0</v>
      </c>
      <c r="AY364" s="24">
        <f t="shared" si="40"/>
        <v>0</v>
      </c>
      <c r="AZ364" s="24">
        <f t="array" ref="AZ364">IF(OR(RIGHT(B364,LEN(Par_LabelTravelTime))=Par_LabelTravelTime,B364="čas na ceste - fakturácia"),1,0)</f>
        <v>0</v>
      </c>
    </row>
    <row r="365" spans="2:52" s="24" customFormat="1" ht="12.75" x14ac:dyDescent="0.2">
      <c r="B365" s="97"/>
      <c r="C365" s="92"/>
      <c r="D365" s="31" t="str">
        <f>IF(E365=1,VLOOKUP(TableInvs[[#This Row],[Calc_V_Typ]],Tran_RevenuesList,3,FALSE),"")</f>
        <v/>
      </c>
      <c r="E365" s="31">
        <f t="shared" si="35"/>
        <v>0</v>
      </c>
      <c r="F365" s="9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  <c r="R365" s="84"/>
      <c r="S365" s="84"/>
      <c r="T365" s="84"/>
      <c r="U365" s="84"/>
      <c r="V365" s="84"/>
      <c r="W365" s="84"/>
      <c r="X365" s="84"/>
      <c r="Y365" s="84"/>
      <c r="Z365" s="84"/>
      <c r="AA365" s="84"/>
      <c r="AB365" s="84"/>
      <c r="AC365" s="85"/>
      <c r="AD365" s="85"/>
      <c r="AE365" s="84"/>
      <c r="AF365" s="84"/>
      <c r="AG365" s="84"/>
      <c r="AH365" s="84"/>
      <c r="AI365" s="84"/>
      <c r="AJ365" s="84"/>
      <c r="AK365" s="84"/>
      <c r="AL365" s="84"/>
      <c r="AM365" s="84"/>
      <c r="AN365" s="84"/>
      <c r="AO365" s="84"/>
      <c r="AP365" s="84"/>
      <c r="AQ365" s="84"/>
      <c r="AR365" s="84"/>
      <c r="AS365" s="87">
        <f t="array" ref="AS365">IF(E365=1,SUM((ROW(Mf0)=ROW(AS365))*(Mf0+Mf1_+Mf2_+Mf3_+Mf4_+Mf5_+Mf6_+Mf7_+Mf8_+Mf9_+Mf10_+Mf11_+Mf12_+Mf13_+Mf14_+Mf15_+Mf16_+Mf17_+Mf18_+Mf19_+Mf20_+Mf21_+Mf22_+Mf23_+Mf24_+Mf25_+Mf26_+Mf27_+Mf28_+Mf29_+Mf30_+Mf31_+Mf32_+Mf33_+Mf34_+Mf35_+Mf36_+Mf37_)),0)</f>
        <v>0</v>
      </c>
      <c r="AU365" s="24" t="str">
        <f t="shared" si="36"/>
        <v/>
      </c>
      <c r="AV365" s="24" t="str">
        <f t="shared" si="37"/>
        <v/>
      </c>
      <c r="AW365" s="24" t="str">
        <f t="shared" si="38"/>
        <v/>
      </c>
      <c r="AX365" s="72">
        <f t="shared" si="39"/>
        <v>0</v>
      </c>
      <c r="AY365" s="24">
        <f t="shared" si="40"/>
        <v>0</v>
      </c>
      <c r="AZ365" s="24">
        <f t="array" ref="AZ365">IF(OR(RIGHT(B365,LEN(Par_LabelTravelTime))=Par_LabelTravelTime,B365="čas na ceste - fakturácia"),1,0)</f>
        <v>0</v>
      </c>
    </row>
    <row r="366" spans="2:52" s="24" customFormat="1" ht="12.75" x14ac:dyDescent="0.2">
      <c r="B366" s="97"/>
      <c r="C366" s="92"/>
      <c r="D366" s="31" t="str">
        <f>IF(E366=1,VLOOKUP(TableInvs[[#This Row],[Calc_V_Typ]],Tran_RevenuesList,3,FALSE),"")</f>
        <v/>
      </c>
      <c r="E366" s="31">
        <f t="shared" si="35"/>
        <v>0</v>
      </c>
      <c r="F366" s="9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  <c r="R366" s="84"/>
      <c r="S366" s="84"/>
      <c r="T366" s="84"/>
      <c r="U366" s="84"/>
      <c r="V366" s="84"/>
      <c r="W366" s="84"/>
      <c r="X366" s="84"/>
      <c r="Y366" s="84"/>
      <c r="Z366" s="84"/>
      <c r="AA366" s="84"/>
      <c r="AB366" s="84"/>
      <c r="AC366" s="85"/>
      <c r="AD366" s="85"/>
      <c r="AE366" s="84"/>
      <c r="AF366" s="84"/>
      <c r="AG366" s="84"/>
      <c r="AH366" s="84"/>
      <c r="AI366" s="84"/>
      <c r="AJ366" s="84"/>
      <c r="AK366" s="84"/>
      <c r="AL366" s="84"/>
      <c r="AM366" s="84"/>
      <c r="AN366" s="84"/>
      <c r="AO366" s="84"/>
      <c r="AP366" s="84"/>
      <c r="AQ366" s="84"/>
      <c r="AR366" s="84"/>
      <c r="AS366" s="87">
        <f t="array" ref="AS366">IF(E366=1,SUM((ROW(Mf0)=ROW(AS366))*(Mf0+Mf1_+Mf2_+Mf3_+Mf4_+Mf5_+Mf6_+Mf7_+Mf8_+Mf9_+Mf10_+Mf11_+Mf12_+Mf13_+Mf14_+Mf15_+Mf16_+Mf17_+Mf18_+Mf19_+Mf20_+Mf21_+Mf22_+Mf23_+Mf24_+Mf25_+Mf26_+Mf27_+Mf28_+Mf29_+Mf30_+Mf31_+Mf32_+Mf33_+Mf34_+Mf35_+Mf36_+Mf37_)),0)</f>
        <v>0</v>
      </c>
      <c r="AU366" s="24" t="str">
        <f t="shared" si="36"/>
        <v/>
      </c>
      <c r="AV366" s="24" t="str">
        <f t="shared" si="37"/>
        <v/>
      </c>
      <c r="AW366" s="24" t="str">
        <f t="shared" si="38"/>
        <v/>
      </c>
      <c r="AX366" s="72">
        <f t="shared" si="39"/>
        <v>0</v>
      </c>
      <c r="AY366" s="24">
        <f t="shared" si="40"/>
        <v>0</v>
      </c>
      <c r="AZ366" s="24">
        <f t="array" ref="AZ366">IF(OR(RIGHT(B366,LEN(Par_LabelTravelTime))=Par_LabelTravelTime,B366="čas na ceste - fakturácia"),1,0)</f>
        <v>0</v>
      </c>
    </row>
    <row r="367" spans="2:52" s="24" customFormat="1" ht="12.75" x14ac:dyDescent="0.2">
      <c r="B367" s="97"/>
      <c r="C367" s="92"/>
      <c r="D367" s="31" t="str">
        <f>IF(E367=1,VLOOKUP(TableInvs[[#This Row],[Calc_V_Typ]],Tran_RevenuesList,3,FALSE),"")</f>
        <v/>
      </c>
      <c r="E367" s="31">
        <f t="shared" si="35"/>
        <v>0</v>
      </c>
      <c r="F367" s="9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  <c r="R367" s="84"/>
      <c r="S367" s="84"/>
      <c r="T367" s="84"/>
      <c r="U367" s="84"/>
      <c r="V367" s="84"/>
      <c r="W367" s="84"/>
      <c r="X367" s="84"/>
      <c r="Y367" s="84"/>
      <c r="Z367" s="84"/>
      <c r="AA367" s="84"/>
      <c r="AB367" s="84"/>
      <c r="AC367" s="85"/>
      <c r="AD367" s="85"/>
      <c r="AE367" s="84"/>
      <c r="AF367" s="84"/>
      <c r="AG367" s="84"/>
      <c r="AH367" s="84"/>
      <c r="AI367" s="84"/>
      <c r="AJ367" s="84"/>
      <c r="AK367" s="84"/>
      <c r="AL367" s="84"/>
      <c r="AM367" s="84"/>
      <c r="AN367" s="84"/>
      <c r="AO367" s="84"/>
      <c r="AP367" s="84"/>
      <c r="AQ367" s="84"/>
      <c r="AR367" s="84"/>
      <c r="AS367" s="87">
        <f t="array" ref="AS367">IF(E367=1,SUM((ROW(Mf0)=ROW(AS367))*(Mf0+Mf1_+Mf2_+Mf3_+Mf4_+Mf5_+Mf6_+Mf7_+Mf8_+Mf9_+Mf10_+Mf11_+Mf12_+Mf13_+Mf14_+Mf15_+Mf16_+Mf17_+Mf18_+Mf19_+Mf20_+Mf21_+Mf22_+Mf23_+Mf24_+Mf25_+Mf26_+Mf27_+Mf28_+Mf29_+Mf30_+Mf31_+Mf32_+Mf33_+Mf34_+Mf35_+Mf36_+Mf37_)),0)</f>
        <v>0</v>
      </c>
      <c r="AU367" s="24" t="str">
        <f t="shared" si="36"/>
        <v/>
      </c>
      <c r="AV367" s="24" t="str">
        <f t="shared" si="37"/>
        <v/>
      </c>
      <c r="AW367" s="24" t="str">
        <f t="shared" si="38"/>
        <v/>
      </c>
      <c r="AX367" s="72">
        <f t="shared" si="39"/>
        <v>0</v>
      </c>
      <c r="AY367" s="24">
        <f t="shared" si="40"/>
        <v>0</v>
      </c>
      <c r="AZ367" s="24">
        <f t="array" ref="AZ367">IF(OR(RIGHT(B367,LEN(Par_LabelTravelTime))=Par_LabelTravelTime,B367="čas na ceste - fakturácia"),1,0)</f>
        <v>0</v>
      </c>
    </row>
    <row r="368" spans="2:52" s="24" customFormat="1" ht="12.75" x14ac:dyDescent="0.2">
      <c r="B368" s="97"/>
      <c r="C368" s="92"/>
      <c r="D368" s="31" t="str">
        <f>IF(E368=1,VLOOKUP(TableInvs[[#This Row],[Calc_V_Typ]],Tran_RevenuesList,3,FALSE),"")</f>
        <v/>
      </c>
      <c r="E368" s="31">
        <f t="shared" si="35"/>
        <v>0</v>
      </c>
      <c r="F368" s="9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  <c r="R368" s="84"/>
      <c r="S368" s="84"/>
      <c r="T368" s="84"/>
      <c r="U368" s="84"/>
      <c r="V368" s="84"/>
      <c r="W368" s="84"/>
      <c r="X368" s="84"/>
      <c r="Y368" s="84"/>
      <c r="Z368" s="84"/>
      <c r="AA368" s="84"/>
      <c r="AB368" s="84"/>
      <c r="AC368" s="85"/>
      <c r="AD368" s="85"/>
      <c r="AE368" s="84"/>
      <c r="AF368" s="84"/>
      <c r="AG368" s="84"/>
      <c r="AH368" s="84"/>
      <c r="AI368" s="84"/>
      <c r="AJ368" s="84"/>
      <c r="AK368" s="84"/>
      <c r="AL368" s="84"/>
      <c r="AM368" s="84"/>
      <c r="AN368" s="84"/>
      <c r="AO368" s="84"/>
      <c r="AP368" s="84"/>
      <c r="AQ368" s="84"/>
      <c r="AR368" s="84"/>
      <c r="AS368" s="87">
        <f t="array" ref="AS368">IF(E368=1,SUM((ROW(Mf0)=ROW(AS368))*(Mf0+Mf1_+Mf2_+Mf3_+Mf4_+Mf5_+Mf6_+Mf7_+Mf8_+Mf9_+Mf10_+Mf11_+Mf12_+Mf13_+Mf14_+Mf15_+Mf16_+Mf17_+Mf18_+Mf19_+Mf20_+Mf21_+Mf22_+Mf23_+Mf24_+Mf25_+Mf26_+Mf27_+Mf28_+Mf29_+Mf30_+Mf31_+Mf32_+Mf33_+Mf34_+Mf35_+Mf36_+Mf37_)),0)</f>
        <v>0</v>
      </c>
      <c r="AU368" s="24" t="str">
        <f t="shared" si="36"/>
        <v/>
      </c>
      <c r="AV368" s="24" t="str">
        <f t="shared" si="37"/>
        <v/>
      </c>
      <c r="AW368" s="24" t="str">
        <f t="shared" si="38"/>
        <v/>
      </c>
      <c r="AX368" s="72">
        <f t="shared" si="39"/>
        <v>0</v>
      </c>
      <c r="AY368" s="24">
        <f t="shared" si="40"/>
        <v>0</v>
      </c>
      <c r="AZ368" s="24">
        <f t="array" ref="AZ368">IF(OR(RIGHT(B368,LEN(Par_LabelTravelTime))=Par_LabelTravelTime,B368="čas na ceste - fakturácia"),1,0)</f>
        <v>0</v>
      </c>
    </row>
    <row r="369" spans="2:52" s="24" customFormat="1" ht="12.75" x14ac:dyDescent="0.2">
      <c r="B369" s="97"/>
      <c r="C369" s="92"/>
      <c r="D369" s="31" t="str">
        <f>IF(E369=1,VLOOKUP(TableInvs[[#This Row],[Calc_V_Typ]],Tran_RevenuesList,3,FALSE),"")</f>
        <v/>
      </c>
      <c r="E369" s="31">
        <f t="shared" si="35"/>
        <v>0</v>
      </c>
      <c r="F369" s="9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  <c r="R369" s="84"/>
      <c r="S369" s="84"/>
      <c r="T369" s="84"/>
      <c r="U369" s="84"/>
      <c r="V369" s="84"/>
      <c r="W369" s="84"/>
      <c r="X369" s="84"/>
      <c r="Y369" s="84"/>
      <c r="Z369" s="84"/>
      <c r="AA369" s="84"/>
      <c r="AB369" s="84"/>
      <c r="AC369" s="85"/>
      <c r="AD369" s="85"/>
      <c r="AE369" s="84"/>
      <c r="AF369" s="84"/>
      <c r="AG369" s="84"/>
      <c r="AH369" s="84"/>
      <c r="AI369" s="84"/>
      <c r="AJ369" s="84"/>
      <c r="AK369" s="84"/>
      <c r="AL369" s="84"/>
      <c r="AM369" s="84"/>
      <c r="AN369" s="84"/>
      <c r="AO369" s="84"/>
      <c r="AP369" s="84"/>
      <c r="AQ369" s="84"/>
      <c r="AR369" s="84"/>
      <c r="AS369" s="87">
        <f t="array" ref="AS369">IF(E369=1,SUM((ROW(Mf0)=ROW(AS369))*(Mf0+Mf1_+Mf2_+Mf3_+Mf4_+Mf5_+Mf6_+Mf7_+Mf8_+Mf9_+Mf10_+Mf11_+Mf12_+Mf13_+Mf14_+Mf15_+Mf16_+Mf17_+Mf18_+Mf19_+Mf20_+Mf21_+Mf22_+Mf23_+Mf24_+Mf25_+Mf26_+Mf27_+Mf28_+Mf29_+Mf30_+Mf31_+Mf32_+Mf33_+Mf34_+Mf35_+Mf36_+Mf37_)),0)</f>
        <v>0</v>
      </c>
      <c r="AU369" s="24" t="str">
        <f t="shared" si="36"/>
        <v/>
      </c>
      <c r="AV369" s="24" t="str">
        <f t="shared" si="37"/>
        <v/>
      </c>
      <c r="AW369" s="24" t="str">
        <f t="shared" si="38"/>
        <v/>
      </c>
      <c r="AX369" s="72">
        <f t="shared" si="39"/>
        <v>0</v>
      </c>
      <c r="AY369" s="24">
        <f t="shared" si="40"/>
        <v>0</v>
      </c>
      <c r="AZ369" s="24">
        <f t="array" ref="AZ369">IF(OR(RIGHT(B369,LEN(Par_LabelTravelTime))=Par_LabelTravelTime,B369="čas na ceste - fakturácia"),1,0)</f>
        <v>0</v>
      </c>
    </row>
    <row r="370" spans="2:52" s="24" customFormat="1" ht="12.75" x14ac:dyDescent="0.2">
      <c r="B370" s="97"/>
      <c r="C370" s="92"/>
      <c r="D370" s="31" t="str">
        <f>IF(E370=1,VLOOKUP(TableInvs[[#This Row],[Calc_V_Typ]],Tran_RevenuesList,3,FALSE),"")</f>
        <v/>
      </c>
      <c r="E370" s="31">
        <f t="shared" si="35"/>
        <v>0</v>
      </c>
      <c r="F370" s="9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  <c r="R370" s="84"/>
      <c r="S370" s="84"/>
      <c r="T370" s="84"/>
      <c r="U370" s="84"/>
      <c r="V370" s="84"/>
      <c r="W370" s="84"/>
      <c r="X370" s="84"/>
      <c r="Y370" s="84"/>
      <c r="Z370" s="84"/>
      <c r="AA370" s="84"/>
      <c r="AB370" s="84"/>
      <c r="AC370" s="85"/>
      <c r="AD370" s="85"/>
      <c r="AE370" s="84"/>
      <c r="AF370" s="84"/>
      <c r="AG370" s="84"/>
      <c r="AH370" s="84"/>
      <c r="AI370" s="84"/>
      <c r="AJ370" s="84"/>
      <c r="AK370" s="84"/>
      <c r="AL370" s="84"/>
      <c r="AM370" s="84"/>
      <c r="AN370" s="84"/>
      <c r="AO370" s="84"/>
      <c r="AP370" s="84"/>
      <c r="AQ370" s="84"/>
      <c r="AR370" s="84"/>
      <c r="AS370" s="87">
        <f t="array" ref="AS370">IF(E370=1,SUM((ROW(Mf0)=ROW(AS370))*(Mf0+Mf1_+Mf2_+Mf3_+Mf4_+Mf5_+Mf6_+Mf7_+Mf8_+Mf9_+Mf10_+Mf11_+Mf12_+Mf13_+Mf14_+Mf15_+Mf16_+Mf17_+Mf18_+Mf19_+Mf20_+Mf21_+Mf22_+Mf23_+Mf24_+Mf25_+Mf26_+Mf27_+Mf28_+Mf29_+Mf30_+Mf31_+Mf32_+Mf33_+Mf34_+Mf35_+Mf36_+Mf37_)),0)</f>
        <v>0</v>
      </c>
      <c r="AU370" s="24" t="str">
        <f t="shared" si="36"/>
        <v/>
      </c>
      <c r="AV370" s="24" t="str">
        <f t="shared" si="37"/>
        <v/>
      </c>
      <c r="AW370" s="24" t="str">
        <f t="shared" si="38"/>
        <v/>
      </c>
      <c r="AX370" s="72">
        <f t="shared" si="39"/>
        <v>0</v>
      </c>
      <c r="AY370" s="24">
        <f t="shared" si="40"/>
        <v>0</v>
      </c>
      <c r="AZ370" s="24">
        <f t="array" ref="AZ370">IF(OR(RIGHT(B370,LEN(Par_LabelTravelTime))=Par_LabelTravelTime,B370="čas na ceste - fakturácia"),1,0)</f>
        <v>0</v>
      </c>
    </row>
    <row r="371" spans="2:52" s="24" customFormat="1" ht="12.75" x14ac:dyDescent="0.2">
      <c r="B371" s="97"/>
      <c r="C371" s="92"/>
      <c r="D371" s="31" t="str">
        <f>IF(E371=1,VLOOKUP(TableInvs[[#This Row],[Calc_V_Typ]],Tran_RevenuesList,3,FALSE),"")</f>
        <v/>
      </c>
      <c r="E371" s="31">
        <f t="shared" si="35"/>
        <v>0</v>
      </c>
      <c r="F371" s="9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  <c r="S371" s="84"/>
      <c r="T371" s="84"/>
      <c r="U371" s="84"/>
      <c r="V371" s="84"/>
      <c r="W371" s="84"/>
      <c r="X371" s="84"/>
      <c r="Y371" s="84"/>
      <c r="Z371" s="84"/>
      <c r="AA371" s="84"/>
      <c r="AB371" s="84"/>
      <c r="AC371" s="85"/>
      <c r="AD371" s="85"/>
      <c r="AE371" s="84"/>
      <c r="AF371" s="84"/>
      <c r="AG371" s="84"/>
      <c r="AH371" s="84"/>
      <c r="AI371" s="84"/>
      <c r="AJ371" s="84"/>
      <c r="AK371" s="84"/>
      <c r="AL371" s="84"/>
      <c r="AM371" s="84"/>
      <c r="AN371" s="84"/>
      <c r="AO371" s="84"/>
      <c r="AP371" s="84"/>
      <c r="AQ371" s="84"/>
      <c r="AR371" s="84"/>
      <c r="AS371" s="87">
        <f t="array" ref="AS371">IF(E371=1,SUM((ROW(Mf0)=ROW(AS371))*(Mf0+Mf1_+Mf2_+Mf3_+Mf4_+Mf5_+Mf6_+Mf7_+Mf8_+Mf9_+Mf10_+Mf11_+Mf12_+Mf13_+Mf14_+Mf15_+Mf16_+Mf17_+Mf18_+Mf19_+Mf20_+Mf21_+Mf22_+Mf23_+Mf24_+Mf25_+Mf26_+Mf27_+Mf28_+Mf29_+Mf30_+Mf31_+Mf32_+Mf33_+Mf34_+Mf35_+Mf36_+Mf37_)),0)</f>
        <v>0</v>
      </c>
      <c r="AU371" s="24" t="str">
        <f t="shared" si="36"/>
        <v/>
      </c>
      <c r="AV371" s="24" t="str">
        <f t="shared" si="37"/>
        <v/>
      </c>
      <c r="AW371" s="24" t="str">
        <f t="shared" si="38"/>
        <v/>
      </c>
      <c r="AX371" s="72">
        <f t="shared" si="39"/>
        <v>0</v>
      </c>
      <c r="AY371" s="24">
        <f t="shared" si="40"/>
        <v>0</v>
      </c>
      <c r="AZ371" s="24">
        <f t="array" ref="AZ371">IF(OR(RIGHT(B371,LEN(Par_LabelTravelTime))=Par_LabelTravelTime,B371="čas na ceste - fakturácia"),1,0)</f>
        <v>0</v>
      </c>
    </row>
    <row r="372" spans="2:52" s="24" customFormat="1" ht="12.75" x14ac:dyDescent="0.2">
      <c r="B372" s="97"/>
      <c r="C372" s="92"/>
      <c r="D372" s="31" t="str">
        <f>IF(E372=1,VLOOKUP(TableInvs[[#This Row],[Calc_V_Typ]],Tran_RevenuesList,3,FALSE),"")</f>
        <v/>
      </c>
      <c r="E372" s="31">
        <f t="shared" si="35"/>
        <v>0</v>
      </c>
      <c r="F372" s="9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  <c r="S372" s="84"/>
      <c r="T372" s="84"/>
      <c r="U372" s="84"/>
      <c r="V372" s="84"/>
      <c r="W372" s="84"/>
      <c r="X372" s="84"/>
      <c r="Y372" s="84"/>
      <c r="Z372" s="84"/>
      <c r="AA372" s="84"/>
      <c r="AB372" s="84"/>
      <c r="AC372" s="85"/>
      <c r="AD372" s="85"/>
      <c r="AE372" s="84"/>
      <c r="AF372" s="84"/>
      <c r="AG372" s="84"/>
      <c r="AH372" s="84"/>
      <c r="AI372" s="84"/>
      <c r="AJ372" s="84"/>
      <c r="AK372" s="84"/>
      <c r="AL372" s="84"/>
      <c r="AM372" s="84"/>
      <c r="AN372" s="84"/>
      <c r="AO372" s="84"/>
      <c r="AP372" s="84"/>
      <c r="AQ372" s="84"/>
      <c r="AR372" s="84"/>
      <c r="AS372" s="87">
        <f t="array" ref="AS372">IF(E372=1,SUM((ROW(Mf0)=ROW(AS372))*(Mf0+Mf1_+Mf2_+Mf3_+Mf4_+Mf5_+Mf6_+Mf7_+Mf8_+Mf9_+Mf10_+Mf11_+Mf12_+Mf13_+Mf14_+Mf15_+Mf16_+Mf17_+Mf18_+Mf19_+Mf20_+Mf21_+Mf22_+Mf23_+Mf24_+Mf25_+Mf26_+Mf27_+Mf28_+Mf29_+Mf30_+Mf31_+Mf32_+Mf33_+Mf34_+Mf35_+Mf36_+Mf37_)),0)</f>
        <v>0</v>
      </c>
      <c r="AU372" s="24" t="str">
        <f t="shared" si="36"/>
        <v/>
      </c>
      <c r="AV372" s="24" t="str">
        <f t="shared" si="37"/>
        <v/>
      </c>
      <c r="AW372" s="24" t="str">
        <f t="shared" si="38"/>
        <v/>
      </c>
      <c r="AX372" s="72">
        <f t="shared" si="39"/>
        <v>0</v>
      </c>
      <c r="AY372" s="24">
        <f t="shared" si="40"/>
        <v>0</v>
      </c>
      <c r="AZ372" s="24">
        <f t="array" ref="AZ372">IF(OR(RIGHT(B372,LEN(Par_LabelTravelTime))=Par_LabelTravelTime,B372="čas na ceste - fakturácia"),1,0)</f>
        <v>0</v>
      </c>
    </row>
    <row r="373" spans="2:52" s="24" customFormat="1" ht="12.75" x14ac:dyDescent="0.2">
      <c r="B373" s="97"/>
      <c r="C373" s="92"/>
      <c r="D373" s="31" t="str">
        <f>IF(E373=1,VLOOKUP(TableInvs[[#This Row],[Calc_V_Typ]],Tran_RevenuesList,3,FALSE),"")</f>
        <v/>
      </c>
      <c r="E373" s="31">
        <f t="shared" si="35"/>
        <v>0</v>
      </c>
      <c r="F373" s="9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  <c r="S373" s="84"/>
      <c r="T373" s="84"/>
      <c r="U373" s="84"/>
      <c r="V373" s="84"/>
      <c r="W373" s="84"/>
      <c r="X373" s="84"/>
      <c r="Y373" s="84"/>
      <c r="Z373" s="84"/>
      <c r="AA373" s="84"/>
      <c r="AB373" s="84"/>
      <c r="AC373" s="85"/>
      <c r="AD373" s="85"/>
      <c r="AE373" s="84"/>
      <c r="AF373" s="84"/>
      <c r="AG373" s="84"/>
      <c r="AH373" s="84"/>
      <c r="AI373" s="84"/>
      <c r="AJ373" s="84"/>
      <c r="AK373" s="84"/>
      <c r="AL373" s="84"/>
      <c r="AM373" s="84"/>
      <c r="AN373" s="84"/>
      <c r="AO373" s="84"/>
      <c r="AP373" s="84"/>
      <c r="AQ373" s="84"/>
      <c r="AR373" s="84"/>
      <c r="AS373" s="87">
        <f t="array" ref="AS373">IF(E373=1,SUM((ROW(Mf0)=ROW(AS373))*(Mf0+Mf1_+Mf2_+Mf3_+Mf4_+Mf5_+Mf6_+Mf7_+Mf8_+Mf9_+Mf10_+Mf11_+Mf12_+Mf13_+Mf14_+Mf15_+Mf16_+Mf17_+Mf18_+Mf19_+Mf20_+Mf21_+Mf22_+Mf23_+Mf24_+Mf25_+Mf26_+Mf27_+Mf28_+Mf29_+Mf30_+Mf31_+Mf32_+Mf33_+Mf34_+Mf35_+Mf36_+Mf37_)),0)</f>
        <v>0</v>
      </c>
      <c r="AU373" s="24" t="str">
        <f t="shared" si="36"/>
        <v/>
      </c>
      <c r="AV373" s="24" t="str">
        <f t="shared" si="37"/>
        <v/>
      </c>
      <c r="AW373" s="24" t="str">
        <f t="shared" si="38"/>
        <v/>
      </c>
      <c r="AX373" s="72">
        <f t="shared" si="39"/>
        <v>0</v>
      </c>
      <c r="AY373" s="24">
        <f t="shared" si="40"/>
        <v>0</v>
      </c>
      <c r="AZ373" s="24">
        <f t="array" ref="AZ373">IF(OR(RIGHT(B373,LEN(Par_LabelTravelTime))=Par_LabelTravelTime,B373="čas na ceste - fakturácia"),1,0)</f>
        <v>0</v>
      </c>
    </row>
    <row r="374" spans="2:52" s="24" customFormat="1" ht="12.75" x14ac:dyDescent="0.2">
      <c r="B374" s="97"/>
      <c r="C374" s="92"/>
      <c r="D374" s="31" t="str">
        <f>IF(E374=1,VLOOKUP(TableInvs[[#This Row],[Calc_V_Typ]],Tran_RevenuesList,3,FALSE),"")</f>
        <v/>
      </c>
      <c r="E374" s="31">
        <f t="shared" si="35"/>
        <v>0</v>
      </c>
      <c r="F374" s="9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  <c r="S374" s="84"/>
      <c r="T374" s="84"/>
      <c r="U374" s="84"/>
      <c r="V374" s="84"/>
      <c r="W374" s="84"/>
      <c r="X374" s="84"/>
      <c r="Y374" s="84"/>
      <c r="Z374" s="84"/>
      <c r="AA374" s="84"/>
      <c r="AB374" s="84"/>
      <c r="AC374" s="85"/>
      <c r="AD374" s="85"/>
      <c r="AE374" s="84"/>
      <c r="AF374" s="84"/>
      <c r="AG374" s="84"/>
      <c r="AH374" s="84"/>
      <c r="AI374" s="84"/>
      <c r="AJ374" s="84"/>
      <c r="AK374" s="84"/>
      <c r="AL374" s="84"/>
      <c r="AM374" s="84"/>
      <c r="AN374" s="84"/>
      <c r="AO374" s="84"/>
      <c r="AP374" s="84"/>
      <c r="AQ374" s="84"/>
      <c r="AR374" s="84"/>
      <c r="AS374" s="87">
        <f t="array" ref="AS374">IF(E374=1,SUM((ROW(Mf0)=ROW(AS374))*(Mf0+Mf1_+Mf2_+Mf3_+Mf4_+Mf5_+Mf6_+Mf7_+Mf8_+Mf9_+Mf10_+Mf11_+Mf12_+Mf13_+Mf14_+Mf15_+Mf16_+Mf17_+Mf18_+Mf19_+Mf20_+Mf21_+Mf22_+Mf23_+Mf24_+Mf25_+Mf26_+Mf27_+Mf28_+Mf29_+Mf30_+Mf31_+Mf32_+Mf33_+Mf34_+Mf35_+Mf36_+Mf37_)),0)</f>
        <v>0</v>
      </c>
      <c r="AU374" s="24" t="str">
        <f t="shared" si="36"/>
        <v/>
      </c>
      <c r="AV374" s="24" t="str">
        <f t="shared" si="37"/>
        <v/>
      </c>
      <c r="AW374" s="24" t="str">
        <f t="shared" si="38"/>
        <v/>
      </c>
      <c r="AX374" s="72">
        <f t="shared" si="39"/>
        <v>0</v>
      </c>
      <c r="AY374" s="24">
        <f t="shared" si="40"/>
        <v>0</v>
      </c>
      <c r="AZ374" s="24">
        <f t="array" ref="AZ374">IF(OR(RIGHT(B374,LEN(Par_LabelTravelTime))=Par_LabelTravelTime,B374="čas na ceste - fakturácia"),1,0)</f>
        <v>0</v>
      </c>
    </row>
    <row r="375" spans="2:52" s="24" customFormat="1" ht="12.75" x14ac:dyDescent="0.2">
      <c r="B375" s="97"/>
      <c r="C375" s="92"/>
      <c r="D375" s="31" t="str">
        <f>IF(E375=1,VLOOKUP(TableInvs[[#This Row],[Calc_V_Typ]],Tran_RevenuesList,3,FALSE),"")</f>
        <v/>
      </c>
      <c r="E375" s="31">
        <f t="shared" si="35"/>
        <v>0</v>
      </c>
      <c r="F375" s="9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  <c r="S375" s="84"/>
      <c r="T375" s="84"/>
      <c r="U375" s="84"/>
      <c r="V375" s="84"/>
      <c r="W375" s="84"/>
      <c r="X375" s="84"/>
      <c r="Y375" s="84"/>
      <c r="Z375" s="84"/>
      <c r="AA375" s="84"/>
      <c r="AB375" s="84"/>
      <c r="AC375" s="85"/>
      <c r="AD375" s="85"/>
      <c r="AE375" s="84"/>
      <c r="AF375" s="84"/>
      <c r="AG375" s="84"/>
      <c r="AH375" s="84"/>
      <c r="AI375" s="84"/>
      <c r="AJ375" s="84"/>
      <c r="AK375" s="84"/>
      <c r="AL375" s="84"/>
      <c r="AM375" s="84"/>
      <c r="AN375" s="84"/>
      <c r="AO375" s="84"/>
      <c r="AP375" s="84"/>
      <c r="AQ375" s="84"/>
      <c r="AR375" s="84"/>
      <c r="AS375" s="87">
        <f t="array" ref="AS375">IF(E375=1,SUM((ROW(Mf0)=ROW(AS375))*(Mf0+Mf1_+Mf2_+Mf3_+Mf4_+Mf5_+Mf6_+Mf7_+Mf8_+Mf9_+Mf10_+Mf11_+Mf12_+Mf13_+Mf14_+Mf15_+Mf16_+Mf17_+Mf18_+Mf19_+Mf20_+Mf21_+Mf22_+Mf23_+Mf24_+Mf25_+Mf26_+Mf27_+Mf28_+Mf29_+Mf30_+Mf31_+Mf32_+Mf33_+Mf34_+Mf35_+Mf36_+Mf37_)),0)</f>
        <v>0</v>
      </c>
      <c r="AU375" s="24" t="str">
        <f t="shared" si="36"/>
        <v/>
      </c>
      <c r="AV375" s="24" t="str">
        <f t="shared" si="37"/>
        <v/>
      </c>
      <c r="AW375" s="24" t="str">
        <f t="shared" si="38"/>
        <v/>
      </c>
      <c r="AX375" s="72">
        <f t="shared" si="39"/>
        <v>0</v>
      </c>
      <c r="AY375" s="24">
        <f t="shared" si="40"/>
        <v>0</v>
      </c>
      <c r="AZ375" s="24">
        <f t="array" ref="AZ375">IF(OR(RIGHT(B375,LEN(Par_LabelTravelTime))=Par_LabelTravelTime,B375="čas na ceste - fakturácia"),1,0)</f>
        <v>0</v>
      </c>
    </row>
    <row r="376" spans="2:52" s="24" customFormat="1" ht="12.75" x14ac:dyDescent="0.2">
      <c r="B376" s="97"/>
      <c r="C376" s="92"/>
      <c r="D376" s="31" t="str">
        <f>IF(E376=1,VLOOKUP(TableInvs[[#This Row],[Calc_V_Typ]],Tran_RevenuesList,3,FALSE),"")</f>
        <v/>
      </c>
      <c r="E376" s="31">
        <f t="shared" si="35"/>
        <v>0</v>
      </c>
      <c r="F376" s="9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  <c r="S376" s="84"/>
      <c r="T376" s="84"/>
      <c r="U376" s="84"/>
      <c r="V376" s="84"/>
      <c r="W376" s="84"/>
      <c r="X376" s="84"/>
      <c r="Y376" s="84"/>
      <c r="Z376" s="84"/>
      <c r="AA376" s="84"/>
      <c r="AB376" s="84"/>
      <c r="AC376" s="85"/>
      <c r="AD376" s="85"/>
      <c r="AE376" s="84"/>
      <c r="AF376" s="84"/>
      <c r="AG376" s="84"/>
      <c r="AH376" s="84"/>
      <c r="AI376" s="84"/>
      <c r="AJ376" s="84"/>
      <c r="AK376" s="84"/>
      <c r="AL376" s="84"/>
      <c r="AM376" s="84"/>
      <c r="AN376" s="84"/>
      <c r="AO376" s="84"/>
      <c r="AP376" s="84"/>
      <c r="AQ376" s="84"/>
      <c r="AR376" s="84"/>
      <c r="AS376" s="87">
        <f t="array" ref="AS376">IF(E376=1,SUM((ROW(Mf0)=ROW(AS376))*(Mf0+Mf1_+Mf2_+Mf3_+Mf4_+Mf5_+Mf6_+Mf7_+Mf8_+Mf9_+Mf10_+Mf11_+Mf12_+Mf13_+Mf14_+Mf15_+Mf16_+Mf17_+Mf18_+Mf19_+Mf20_+Mf21_+Mf22_+Mf23_+Mf24_+Mf25_+Mf26_+Mf27_+Mf28_+Mf29_+Mf30_+Mf31_+Mf32_+Mf33_+Mf34_+Mf35_+Mf36_+Mf37_)),0)</f>
        <v>0</v>
      </c>
      <c r="AU376" s="24" t="str">
        <f t="shared" si="36"/>
        <v/>
      </c>
      <c r="AV376" s="24" t="str">
        <f t="shared" si="37"/>
        <v/>
      </c>
      <c r="AW376" s="24" t="str">
        <f t="shared" si="38"/>
        <v/>
      </c>
      <c r="AX376" s="72">
        <f t="shared" si="39"/>
        <v>0</v>
      </c>
      <c r="AY376" s="24">
        <f t="shared" si="40"/>
        <v>0</v>
      </c>
      <c r="AZ376" s="24">
        <f t="array" ref="AZ376">IF(OR(RIGHT(B376,LEN(Par_LabelTravelTime))=Par_LabelTravelTime,B376="čas na ceste - fakturácia"),1,0)</f>
        <v>0</v>
      </c>
    </row>
    <row r="377" spans="2:52" s="24" customFormat="1" ht="12.75" x14ac:dyDescent="0.2">
      <c r="B377" s="97"/>
      <c r="C377" s="92"/>
      <c r="D377" s="31" t="str">
        <f>IF(E377=1,VLOOKUP(TableInvs[[#This Row],[Calc_V_Typ]],Tran_RevenuesList,3,FALSE),"")</f>
        <v/>
      </c>
      <c r="E377" s="31">
        <f t="shared" si="35"/>
        <v>0</v>
      </c>
      <c r="F377" s="9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  <c r="R377" s="84"/>
      <c r="S377" s="84"/>
      <c r="T377" s="84"/>
      <c r="U377" s="84"/>
      <c r="V377" s="84"/>
      <c r="W377" s="84"/>
      <c r="X377" s="84"/>
      <c r="Y377" s="84"/>
      <c r="Z377" s="84"/>
      <c r="AA377" s="84"/>
      <c r="AB377" s="84"/>
      <c r="AC377" s="85"/>
      <c r="AD377" s="85"/>
      <c r="AE377" s="84"/>
      <c r="AF377" s="84"/>
      <c r="AG377" s="84"/>
      <c r="AH377" s="84"/>
      <c r="AI377" s="84"/>
      <c r="AJ377" s="84"/>
      <c r="AK377" s="84"/>
      <c r="AL377" s="84"/>
      <c r="AM377" s="84"/>
      <c r="AN377" s="84"/>
      <c r="AO377" s="84"/>
      <c r="AP377" s="84"/>
      <c r="AQ377" s="84"/>
      <c r="AR377" s="84"/>
      <c r="AS377" s="87">
        <f t="array" ref="AS377">IF(E377=1,SUM((ROW(Mf0)=ROW(AS377))*(Mf0+Mf1_+Mf2_+Mf3_+Mf4_+Mf5_+Mf6_+Mf7_+Mf8_+Mf9_+Mf10_+Mf11_+Mf12_+Mf13_+Mf14_+Mf15_+Mf16_+Mf17_+Mf18_+Mf19_+Mf20_+Mf21_+Mf22_+Mf23_+Mf24_+Mf25_+Mf26_+Mf27_+Mf28_+Mf29_+Mf30_+Mf31_+Mf32_+Mf33_+Mf34_+Mf35_+Mf36_+Mf37_)),0)</f>
        <v>0</v>
      </c>
      <c r="AU377" s="24" t="str">
        <f t="shared" si="36"/>
        <v/>
      </c>
      <c r="AV377" s="24" t="str">
        <f t="shared" si="37"/>
        <v/>
      </c>
      <c r="AW377" s="24" t="str">
        <f t="shared" si="38"/>
        <v/>
      </c>
      <c r="AX377" s="72">
        <f t="shared" si="39"/>
        <v>0</v>
      </c>
      <c r="AY377" s="24">
        <f t="shared" si="40"/>
        <v>0</v>
      </c>
      <c r="AZ377" s="24">
        <f t="array" ref="AZ377">IF(OR(RIGHT(B377,LEN(Par_LabelTravelTime))=Par_LabelTravelTime,B377="čas na ceste - fakturácia"),1,0)</f>
        <v>0</v>
      </c>
    </row>
    <row r="378" spans="2:52" s="24" customFormat="1" ht="12.75" x14ac:dyDescent="0.2">
      <c r="B378" s="97"/>
      <c r="C378" s="92"/>
      <c r="D378" s="31" t="str">
        <f>IF(E378=1,VLOOKUP(TableInvs[[#This Row],[Calc_V_Typ]],Tran_RevenuesList,3,FALSE),"")</f>
        <v/>
      </c>
      <c r="E378" s="31">
        <f t="shared" si="35"/>
        <v>0</v>
      </c>
      <c r="F378" s="9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  <c r="S378" s="84"/>
      <c r="T378" s="84"/>
      <c r="U378" s="84"/>
      <c r="V378" s="84"/>
      <c r="W378" s="84"/>
      <c r="X378" s="84"/>
      <c r="Y378" s="84"/>
      <c r="Z378" s="84"/>
      <c r="AA378" s="84"/>
      <c r="AB378" s="84"/>
      <c r="AC378" s="85"/>
      <c r="AD378" s="85"/>
      <c r="AE378" s="84"/>
      <c r="AF378" s="84"/>
      <c r="AG378" s="84"/>
      <c r="AH378" s="84"/>
      <c r="AI378" s="84"/>
      <c r="AJ378" s="84"/>
      <c r="AK378" s="84"/>
      <c r="AL378" s="84"/>
      <c r="AM378" s="84"/>
      <c r="AN378" s="84"/>
      <c r="AO378" s="84"/>
      <c r="AP378" s="84"/>
      <c r="AQ378" s="84"/>
      <c r="AR378" s="84"/>
      <c r="AS378" s="87">
        <f t="array" ref="AS378">IF(E378=1,SUM((ROW(Mf0)=ROW(AS378))*(Mf0+Mf1_+Mf2_+Mf3_+Mf4_+Mf5_+Mf6_+Mf7_+Mf8_+Mf9_+Mf10_+Mf11_+Mf12_+Mf13_+Mf14_+Mf15_+Mf16_+Mf17_+Mf18_+Mf19_+Mf20_+Mf21_+Mf22_+Mf23_+Mf24_+Mf25_+Mf26_+Mf27_+Mf28_+Mf29_+Mf30_+Mf31_+Mf32_+Mf33_+Mf34_+Mf35_+Mf36_+Mf37_)),0)</f>
        <v>0</v>
      </c>
      <c r="AU378" s="24" t="str">
        <f t="shared" si="36"/>
        <v/>
      </c>
      <c r="AV378" s="24" t="str">
        <f t="shared" si="37"/>
        <v/>
      </c>
      <c r="AW378" s="24" t="str">
        <f t="shared" si="38"/>
        <v/>
      </c>
      <c r="AX378" s="72">
        <f t="shared" si="39"/>
        <v>0</v>
      </c>
      <c r="AY378" s="24">
        <f t="shared" si="40"/>
        <v>0</v>
      </c>
      <c r="AZ378" s="24">
        <f t="array" ref="AZ378">IF(OR(RIGHT(B378,LEN(Par_LabelTravelTime))=Par_LabelTravelTime,B378="čas na ceste - fakturácia"),1,0)</f>
        <v>0</v>
      </c>
    </row>
    <row r="379" spans="2:52" s="24" customFormat="1" ht="12.75" x14ac:dyDescent="0.2">
      <c r="B379" s="97"/>
      <c r="C379" s="92"/>
      <c r="D379" s="31" t="str">
        <f>IF(E379=1,VLOOKUP(TableInvs[[#This Row],[Calc_V_Typ]],Tran_RevenuesList,3,FALSE),"")</f>
        <v/>
      </c>
      <c r="E379" s="31">
        <f t="shared" si="35"/>
        <v>0</v>
      </c>
      <c r="F379" s="9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  <c r="S379" s="84"/>
      <c r="T379" s="84"/>
      <c r="U379" s="84"/>
      <c r="V379" s="84"/>
      <c r="W379" s="84"/>
      <c r="X379" s="84"/>
      <c r="Y379" s="84"/>
      <c r="Z379" s="84"/>
      <c r="AA379" s="84"/>
      <c r="AB379" s="84"/>
      <c r="AC379" s="85"/>
      <c r="AD379" s="85"/>
      <c r="AE379" s="84"/>
      <c r="AF379" s="84"/>
      <c r="AG379" s="84"/>
      <c r="AH379" s="84"/>
      <c r="AI379" s="84"/>
      <c r="AJ379" s="84"/>
      <c r="AK379" s="84"/>
      <c r="AL379" s="84"/>
      <c r="AM379" s="84"/>
      <c r="AN379" s="84"/>
      <c r="AO379" s="84"/>
      <c r="AP379" s="84"/>
      <c r="AQ379" s="84"/>
      <c r="AR379" s="84"/>
      <c r="AS379" s="87">
        <f t="array" ref="AS379">IF(E379=1,SUM((ROW(Mf0)=ROW(AS379))*(Mf0+Mf1_+Mf2_+Mf3_+Mf4_+Mf5_+Mf6_+Mf7_+Mf8_+Mf9_+Mf10_+Mf11_+Mf12_+Mf13_+Mf14_+Mf15_+Mf16_+Mf17_+Mf18_+Mf19_+Mf20_+Mf21_+Mf22_+Mf23_+Mf24_+Mf25_+Mf26_+Mf27_+Mf28_+Mf29_+Mf30_+Mf31_+Mf32_+Mf33_+Mf34_+Mf35_+Mf36_+Mf37_)),0)</f>
        <v>0</v>
      </c>
      <c r="AU379" s="24" t="str">
        <f t="shared" si="36"/>
        <v/>
      </c>
      <c r="AV379" s="24" t="str">
        <f t="shared" si="37"/>
        <v/>
      </c>
      <c r="AW379" s="24" t="str">
        <f t="shared" si="38"/>
        <v/>
      </c>
      <c r="AX379" s="72">
        <f t="shared" si="39"/>
        <v>0</v>
      </c>
      <c r="AY379" s="24">
        <f t="shared" si="40"/>
        <v>0</v>
      </c>
      <c r="AZ379" s="24">
        <f t="array" ref="AZ379">IF(OR(RIGHT(B379,LEN(Par_LabelTravelTime))=Par_LabelTravelTime,B379="čas na ceste - fakturácia"),1,0)</f>
        <v>0</v>
      </c>
    </row>
    <row r="380" spans="2:52" s="24" customFormat="1" ht="12.75" x14ac:dyDescent="0.2">
      <c r="B380" s="97"/>
      <c r="C380" s="92"/>
      <c r="D380" s="31" t="str">
        <f>IF(E380=1,VLOOKUP(TableInvs[[#This Row],[Calc_V_Typ]],Tran_RevenuesList,3,FALSE),"")</f>
        <v/>
      </c>
      <c r="E380" s="31">
        <f t="shared" si="35"/>
        <v>0</v>
      </c>
      <c r="F380" s="9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  <c r="S380" s="84"/>
      <c r="T380" s="84"/>
      <c r="U380" s="84"/>
      <c r="V380" s="84"/>
      <c r="W380" s="84"/>
      <c r="X380" s="84"/>
      <c r="Y380" s="84"/>
      <c r="Z380" s="84"/>
      <c r="AA380" s="84"/>
      <c r="AB380" s="84"/>
      <c r="AC380" s="85"/>
      <c r="AD380" s="85"/>
      <c r="AE380" s="84"/>
      <c r="AF380" s="84"/>
      <c r="AG380" s="84"/>
      <c r="AH380" s="84"/>
      <c r="AI380" s="84"/>
      <c r="AJ380" s="84"/>
      <c r="AK380" s="84"/>
      <c r="AL380" s="84"/>
      <c r="AM380" s="84"/>
      <c r="AN380" s="84"/>
      <c r="AO380" s="84"/>
      <c r="AP380" s="84"/>
      <c r="AQ380" s="84"/>
      <c r="AR380" s="84"/>
      <c r="AS380" s="87">
        <f t="array" ref="AS380">IF(E380=1,SUM((ROW(Mf0)=ROW(AS380))*(Mf0+Mf1_+Mf2_+Mf3_+Mf4_+Mf5_+Mf6_+Mf7_+Mf8_+Mf9_+Mf10_+Mf11_+Mf12_+Mf13_+Mf14_+Mf15_+Mf16_+Mf17_+Mf18_+Mf19_+Mf20_+Mf21_+Mf22_+Mf23_+Mf24_+Mf25_+Mf26_+Mf27_+Mf28_+Mf29_+Mf30_+Mf31_+Mf32_+Mf33_+Mf34_+Mf35_+Mf36_+Mf37_)),0)</f>
        <v>0</v>
      </c>
      <c r="AU380" s="24" t="str">
        <f t="shared" si="36"/>
        <v/>
      </c>
      <c r="AV380" s="24" t="str">
        <f t="shared" si="37"/>
        <v/>
      </c>
      <c r="AW380" s="24" t="str">
        <f t="shared" si="38"/>
        <v/>
      </c>
      <c r="AX380" s="72">
        <f t="shared" si="39"/>
        <v>0</v>
      </c>
      <c r="AY380" s="24">
        <f t="shared" si="40"/>
        <v>0</v>
      </c>
      <c r="AZ380" s="24">
        <f t="array" ref="AZ380">IF(OR(RIGHT(B380,LEN(Par_LabelTravelTime))=Par_LabelTravelTime,B380="čas na ceste - fakturácia"),1,0)</f>
        <v>0</v>
      </c>
    </row>
    <row r="381" spans="2:52" s="24" customFormat="1" ht="12.75" x14ac:dyDescent="0.2">
      <c r="B381" s="97"/>
      <c r="C381" s="92"/>
      <c r="D381" s="31" t="str">
        <f>IF(E381=1,VLOOKUP(TableInvs[[#This Row],[Calc_V_Typ]],Tran_RevenuesList,3,FALSE),"")</f>
        <v/>
      </c>
      <c r="E381" s="31">
        <f t="shared" si="35"/>
        <v>0</v>
      </c>
      <c r="F381" s="9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  <c r="S381" s="84"/>
      <c r="T381" s="84"/>
      <c r="U381" s="84"/>
      <c r="V381" s="84"/>
      <c r="W381" s="84"/>
      <c r="X381" s="84"/>
      <c r="Y381" s="84"/>
      <c r="Z381" s="84"/>
      <c r="AA381" s="84"/>
      <c r="AB381" s="84"/>
      <c r="AC381" s="85"/>
      <c r="AD381" s="85"/>
      <c r="AE381" s="84"/>
      <c r="AF381" s="84"/>
      <c r="AG381" s="84"/>
      <c r="AH381" s="84"/>
      <c r="AI381" s="84"/>
      <c r="AJ381" s="84"/>
      <c r="AK381" s="84"/>
      <c r="AL381" s="84"/>
      <c r="AM381" s="84"/>
      <c r="AN381" s="84"/>
      <c r="AO381" s="84"/>
      <c r="AP381" s="84"/>
      <c r="AQ381" s="84"/>
      <c r="AR381" s="84"/>
      <c r="AS381" s="87">
        <f t="array" ref="AS381">IF(E381=1,SUM((ROW(Mf0)=ROW(AS381))*(Mf0+Mf1_+Mf2_+Mf3_+Mf4_+Mf5_+Mf6_+Mf7_+Mf8_+Mf9_+Mf10_+Mf11_+Mf12_+Mf13_+Mf14_+Mf15_+Mf16_+Mf17_+Mf18_+Mf19_+Mf20_+Mf21_+Mf22_+Mf23_+Mf24_+Mf25_+Mf26_+Mf27_+Mf28_+Mf29_+Mf30_+Mf31_+Mf32_+Mf33_+Mf34_+Mf35_+Mf36_+Mf37_)),0)</f>
        <v>0</v>
      </c>
      <c r="AU381" s="24" t="str">
        <f t="shared" si="36"/>
        <v/>
      </c>
      <c r="AV381" s="24" t="str">
        <f t="shared" si="37"/>
        <v/>
      </c>
      <c r="AW381" s="24" t="str">
        <f t="shared" si="38"/>
        <v/>
      </c>
      <c r="AX381" s="72">
        <f t="shared" si="39"/>
        <v>0</v>
      </c>
      <c r="AY381" s="24">
        <f t="shared" si="40"/>
        <v>0</v>
      </c>
      <c r="AZ381" s="24">
        <f t="array" ref="AZ381">IF(OR(RIGHT(B381,LEN(Par_LabelTravelTime))=Par_LabelTravelTime,B381="čas na ceste - fakturácia"),1,0)</f>
        <v>0</v>
      </c>
    </row>
    <row r="382" spans="2:52" s="24" customFormat="1" ht="12.75" x14ac:dyDescent="0.2">
      <c r="B382" s="97"/>
      <c r="C382" s="92"/>
      <c r="D382" s="31" t="str">
        <f>IF(E382=1,VLOOKUP(TableInvs[[#This Row],[Calc_V_Typ]],Tran_RevenuesList,3,FALSE),"")</f>
        <v/>
      </c>
      <c r="E382" s="31">
        <f t="shared" si="35"/>
        <v>0</v>
      </c>
      <c r="F382" s="9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  <c r="S382" s="84"/>
      <c r="T382" s="84"/>
      <c r="U382" s="84"/>
      <c r="V382" s="84"/>
      <c r="W382" s="84"/>
      <c r="X382" s="84"/>
      <c r="Y382" s="84"/>
      <c r="Z382" s="84"/>
      <c r="AA382" s="84"/>
      <c r="AB382" s="84"/>
      <c r="AC382" s="85"/>
      <c r="AD382" s="85"/>
      <c r="AE382" s="84"/>
      <c r="AF382" s="84"/>
      <c r="AG382" s="84"/>
      <c r="AH382" s="84"/>
      <c r="AI382" s="84"/>
      <c r="AJ382" s="84"/>
      <c r="AK382" s="84"/>
      <c r="AL382" s="84"/>
      <c r="AM382" s="84"/>
      <c r="AN382" s="84"/>
      <c r="AO382" s="84"/>
      <c r="AP382" s="84"/>
      <c r="AQ382" s="84"/>
      <c r="AR382" s="84"/>
      <c r="AS382" s="87">
        <f t="array" ref="AS382">IF(E382=1,SUM((ROW(Mf0)=ROW(AS382))*(Mf0+Mf1_+Mf2_+Mf3_+Mf4_+Mf5_+Mf6_+Mf7_+Mf8_+Mf9_+Mf10_+Mf11_+Mf12_+Mf13_+Mf14_+Mf15_+Mf16_+Mf17_+Mf18_+Mf19_+Mf20_+Mf21_+Mf22_+Mf23_+Mf24_+Mf25_+Mf26_+Mf27_+Mf28_+Mf29_+Mf30_+Mf31_+Mf32_+Mf33_+Mf34_+Mf35_+Mf36_+Mf37_)),0)</f>
        <v>0</v>
      </c>
      <c r="AU382" s="24" t="str">
        <f t="shared" si="36"/>
        <v/>
      </c>
      <c r="AV382" s="24" t="str">
        <f t="shared" si="37"/>
        <v/>
      </c>
      <c r="AW382" s="24" t="str">
        <f t="shared" si="38"/>
        <v/>
      </c>
      <c r="AX382" s="72">
        <f t="shared" si="39"/>
        <v>0</v>
      </c>
      <c r="AY382" s="24">
        <f t="shared" si="40"/>
        <v>0</v>
      </c>
      <c r="AZ382" s="24">
        <f t="array" ref="AZ382">IF(OR(RIGHT(B382,LEN(Par_LabelTravelTime))=Par_LabelTravelTime,B382="čas na ceste - fakturácia"),1,0)</f>
        <v>0</v>
      </c>
    </row>
    <row r="383" spans="2:52" s="24" customFormat="1" ht="12.75" x14ac:dyDescent="0.2">
      <c r="B383" s="97"/>
      <c r="C383" s="92"/>
      <c r="D383" s="31" t="str">
        <f>IF(E383=1,VLOOKUP(TableInvs[[#This Row],[Calc_V_Typ]],Tran_RevenuesList,3,FALSE),"")</f>
        <v/>
      </c>
      <c r="E383" s="31">
        <f t="shared" si="35"/>
        <v>0</v>
      </c>
      <c r="F383" s="9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  <c r="S383" s="84"/>
      <c r="T383" s="84"/>
      <c r="U383" s="84"/>
      <c r="V383" s="84"/>
      <c r="W383" s="84"/>
      <c r="X383" s="84"/>
      <c r="Y383" s="84"/>
      <c r="Z383" s="84"/>
      <c r="AA383" s="84"/>
      <c r="AB383" s="84"/>
      <c r="AC383" s="85"/>
      <c r="AD383" s="85"/>
      <c r="AE383" s="84"/>
      <c r="AF383" s="84"/>
      <c r="AG383" s="84"/>
      <c r="AH383" s="84"/>
      <c r="AI383" s="84"/>
      <c r="AJ383" s="84"/>
      <c r="AK383" s="84"/>
      <c r="AL383" s="84"/>
      <c r="AM383" s="84"/>
      <c r="AN383" s="84"/>
      <c r="AO383" s="84"/>
      <c r="AP383" s="84"/>
      <c r="AQ383" s="84"/>
      <c r="AR383" s="84"/>
      <c r="AS383" s="87">
        <f t="array" ref="AS383">IF(E383=1,SUM((ROW(Mf0)=ROW(AS383))*(Mf0+Mf1_+Mf2_+Mf3_+Mf4_+Mf5_+Mf6_+Mf7_+Mf8_+Mf9_+Mf10_+Mf11_+Mf12_+Mf13_+Mf14_+Mf15_+Mf16_+Mf17_+Mf18_+Mf19_+Mf20_+Mf21_+Mf22_+Mf23_+Mf24_+Mf25_+Mf26_+Mf27_+Mf28_+Mf29_+Mf30_+Mf31_+Mf32_+Mf33_+Mf34_+Mf35_+Mf36_+Mf37_)),0)</f>
        <v>0</v>
      </c>
      <c r="AU383" s="24" t="str">
        <f t="shared" si="36"/>
        <v/>
      </c>
      <c r="AV383" s="24" t="str">
        <f t="shared" si="37"/>
        <v/>
      </c>
      <c r="AW383" s="24" t="str">
        <f t="shared" si="38"/>
        <v/>
      </c>
      <c r="AX383" s="72">
        <f t="shared" si="39"/>
        <v>0</v>
      </c>
      <c r="AY383" s="24">
        <f t="shared" si="40"/>
        <v>0</v>
      </c>
      <c r="AZ383" s="24">
        <f t="array" ref="AZ383">IF(OR(RIGHT(B383,LEN(Par_LabelTravelTime))=Par_LabelTravelTime,B383="čas na ceste - fakturácia"),1,0)</f>
        <v>0</v>
      </c>
    </row>
    <row r="384" spans="2:52" s="24" customFormat="1" ht="12.75" x14ac:dyDescent="0.2">
      <c r="B384" s="97"/>
      <c r="C384" s="92"/>
      <c r="D384" s="31" t="str">
        <f>IF(E384=1,VLOOKUP(TableInvs[[#This Row],[Calc_V_Typ]],Tran_RevenuesList,3,FALSE),"")</f>
        <v/>
      </c>
      <c r="E384" s="31">
        <f t="shared" si="35"/>
        <v>0</v>
      </c>
      <c r="F384" s="9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  <c r="S384" s="84"/>
      <c r="T384" s="84"/>
      <c r="U384" s="84"/>
      <c r="V384" s="84"/>
      <c r="W384" s="84"/>
      <c r="X384" s="84"/>
      <c r="Y384" s="84"/>
      <c r="Z384" s="84"/>
      <c r="AA384" s="84"/>
      <c r="AB384" s="84"/>
      <c r="AC384" s="85"/>
      <c r="AD384" s="85"/>
      <c r="AE384" s="84"/>
      <c r="AF384" s="84"/>
      <c r="AG384" s="84"/>
      <c r="AH384" s="84"/>
      <c r="AI384" s="84"/>
      <c r="AJ384" s="84"/>
      <c r="AK384" s="84"/>
      <c r="AL384" s="84"/>
      <c r="AM384" s="84"/>
      <c r="AN384" s="84"/>
      <c r="AO384" s="84"/>
      <c r="AP384" s="84"/>
      <c r="AQ384" s="84"/>
      <c r="AR384" s="84"/>
      <c r="AS384" s="87">
        <f t="array" ref="AS384">IF(E384=1,SUM((ROW(Mf0)=ROW(AS384))*(Mf0+Mf1_+Mf2_+Mf3_+Mf4_+Mf5_+Mf6_+Mf7_+Mf8_+Mf9_+Mf10_+Mf11_+Mf12_+Mf13_+Mf14_+Mf15_+Mf16_+Mf17_+Mf18_+Mf19_+Mf20_+Mf21_+Mf22_+Mf23_+Mf24_+Mf25_+Mf26_+Mf27_+Mf28_+Mf29_+Mf30_+Mf31_+Mf32_+Mf33_+Mf34_+Mf35_+Mf36_+Mf37_)),0)</f>
        <v>0</v>
      </c>
      <c r="AU384" s="24" t="str">
        <f t="shared" si="36"/>
        <v/>
      </c>
      <c r="AV384" s="24" t="str">
        <f t="shared" si="37"/>
        <v/>
      </c>
      <c r="AW384" s="24" t="str">
        <f t="shared" si="38"/>
        <v/>
      </c>
      <c r="AX384" s="72">
        <f t="shared" si="39"/>
        <v>0</v>
      </c>
      <c r="AY384" s="24">
        <f t="shared" si="40"/>
        <v>0</v>
      </c>
      <c r="AZ384" s="24">
        <f t="array" ref="AZ384">IF(OR(RIGHT(B384,LEN(Par_LabelTravelTime))=Par_LabelTravelTime,B384="čas na ceste - fakturácia"),1,0)</f>
        <v>0</v>
      </c>
    </row>
    <row r="385" spans="2:52" s="24" customFormat="1" ht="12.75" x14ac:dyDescent="0.2">
      <c r="B385" s="97"/>
      <c r="C385" s="92"/>
      <c r="D385" s="31" t="str">
        <f>IF(E385=1,VLOOKUP(TableInvs[[#This Row],[Calc_V_Typ]],Tran_RevenuesList,3,FALSE),"")</f>
        <v/>
      </c>
      <c r="E385" s="31">
        <f t="shared" si="35"/>
        <v>0</v>
      </c>
      <c r="F385" s="9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  <c r="S385" s="84"/>
      <c r="T385" s="84"/>
      <c r="U385" s="84"/>
      <c r="V385" s="84"/>
      <c r="W385" s="84"/>
      <c r="X385" s="84"/>
      <c r="Y385" s="84"/>
      <c r="Z385" s="84"/>
      <c r="AA385" s="84"/>
      <c r="AB385" s="84"/>
      <c r="AC385" s="85"/>
      <c r="AD385" s="85"/>
      <c r="AE385" s="84"/>
      <c r="AF385" s="84"/>
      <c r="AG385" s="84"/>
      <c r="AH385" s="84"/>
      <c r="AI385" s="84"/>
      <c r="AJ385" s="84"/>
      <c r="AK385" s="84"/>
      <c r="AL385" s="84"/>
      <c r="AM385" s="84"/>
      <c r="AN385" s="84"/>
      <c r="AO385" s="84"/>
      <c r="AP385" s="84"/>
      <c r="AQ385" s="84"/>
      <c r="AR385" s="84"/>
      <c r="AS385" s="87">
        <f t="array" ref="AS385">IF(E385=1,SUM((ROW(Mf0)=ROW(AS385))*(Mf0+Mf1_+Mf2_+Mf3_+Mf4_+Mf5_+Mf6_+Mf7_+Mf8_+Mf9_+Mf10_+Mf11_+Mf12_+Mf13_+Mf14_+Mf15_+Mf16_+Mf17_+Mf18_+Mf19_+Mf20_+Mf21_+Mf22_+Mf23_+Mf24_+Mf25_+Mf26_+Mf27_+Mf28_+Mf29_+Mf30_+Mf31_+Mf32_+Mf33_+Mf34_+Mf35_+Mf36_+Mf37_)),0)</f>
        <v>0</v>
      </c>
      <c r="AU385" s="24" t="str">
        <f t="shared" si="36"/>
        <v/>
      </c>
      <c r="AV385" s="24" t="str">
        <f t="shared" si="37"/>
        <v/>
      </c>
      <c r="AW385" s="24" t="str">
        <f t="shared" si="38"/>
        <v/>
      </c>
      <c r="AX385" s="72">
        <f t="shared" si="39"/>
        <v>0</v>
      </c>
      <c r="AY385" s="24">
        <f t="shared" si="40"/>
        <v>0</v>
      </c>
      <c r="AZ385" s="24">
        <f t="array" ref="AZ385">IF(OR(RIGHT(B385,LEN(Par_LabelTravelTime))=Par_LabelTravelTime,B385="čas na ceste - fakturácia"),1,0)</f>
        <v>0</v>
      </c>
    </row>
    <row r="386" spans="2:52" s="24" customFormat="1" ht="12.75" x14ac:dyDescent="0.2">
      <c r="B386" s="97"/>
      <c r="C386" s="92"/>
      <c r="D386" s="31" t="str">
        <f>IF(E386=1,VLOOKUP(TableInvs[[#This Row],[Calc_V_Typ]],Tran_RevenuesList,3,FALSE),"")</f>
        <v/>
      </c>
      <c r="E386" s="31">
        <f t="shared" si="35"/>
        <v>0</v>
      </c>
      <c r="F386" s="9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  <c r="S386" s="84"/>
      <c r="T386" s="84"/>
      <c r="U386" s="84"/>
      <c r="V386" s="84"/>
      <c r="W386" s="84"/>
      <c r="X386" s="84"/>
      <c r="Y386" s="84"/>
      <c r="Z386" s="84"/>
      <c r="AA386" s="84"/>
      <c r="AB386" s="84"/>
      <c r="AC386" s="85"/>
      <c r="AD386" s="85"/>
      <c r="AE386" s="84"/>
      <c r="AF386" s="84"/>
      <c r="AG386" s="84"/>
      <c r="AH386" s="84"/>
      <c r="AI386" s="84"/>
      <c r="AJ386" s="84"/>
      <c r="AK386" s="84"/>
      <c r="AL386" s="84"/>
      <c r="AM386" s="84"/>
      <c r="AN386" s="84"/>
      <c r="AO386" s="84"/>
      <c r="AP386" s="84"/>
      <c r="AQ386" s="84"/>
      <c r="AR386" s="84"/>
      <c r="AS386" s="87">
        <f t="array" ref="AS386">IF(E386=1,SUM((ROW(Mf0)=ROW(AS386))*(Mf0+Mf1_+Mf2_+Mf3_+Mf4_+Mf5_+Mf6_+Mf7_+Mf8_+Mf9_+Mf10_+Mf11_+Mf12_+Mf13_+Mf14_+Mf15_+Mf16_+Mf17_+Mf18_+Mf19_+Mf20_+Mf21_+Mf22_+Mf23_+Mf24_+Mf25_+Mf26_+Mf27_+Mf28_+Mf29_+Mf30_+Mf31_+Mf32_+Mf33_+Mf34_+Mf35_+Mf36_+Mf37_)),0)</f>
        <v>0</v>
      </c>
      <c r="AU386" s="24" t="str">
        <f t="shared" si="36"/>
        <v/>
      </c>
      <c r="AV386" s="24" t="str">
        <f t="shared" si="37"/>
        <v/>
      </c>
      <c r="AW386" s="24" t="str">
        <f t="shared" si="38"/>
        <v/>
      </c>
      <c r="AX386" s="72">
        <f t="shared" si="39"/>
        <v>0</v>
      </c>
      <c r="AY386" s="24">
        <f t="shared" si="40"/>
        <v>0</v>
      </c>
      <c r="AZ386" s="24">
        <f t="array" ref="AZ386">IF(OR(RIGHT(B386,LEN(Par_LabelTravelTime))=Par_LabelTravelTime,B386="čas na ceste - fakturácia"),1,0)</f>
        <v>0</v>
      </c>
    </row>
    <row r="387" spans="2:52" s="24" customFormat="1" ht="12.75" x14ac:dyDescent="0.2">
      <c r="B387" s="97"/>
      <c r="C387" s="92"/>
      <c r="D387" s="31" t="str">
        <f>IF(E387=1,VLOOKUP(TableInvs[[#This Row],[Calc_V_Typ]],Tran_RevenuesList,3,FALSE),"")</f>
        <v/>
      </c>
      <c r="E387" s="31">
        <f t="shared" si="35"/>
        <v>0</v>
      </c>
      <c r="F387" s="9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  <c r="S387" s="84"/>
      <c r="T387" s="84"/>
      <c r="U387" s="84"/>
      <c r="V387" s="84"/>
      <c r="W387" s="84"/>
      <c r="X387" s="84"/>
      <c r="Y387" s="84"/>
      <c r="Z387" s="84"/>
      <c r="AA387" s="84"/>
      <c r="AB387" s="84"/>
      <c r="AC387" s="85"/>
      <c r="AD387" s="85"/>
      <c r="AE387" s="84"/>
      <c r="AF387" s="84"/>
      <c r="AG387" s="84"/>
      <c r="AH387" s="84"/>
      <c r="AI387" s="84"/>
      <c r="AJ387" s="84"/>
      <c r="AK387" s="84"/>
      <c r="AL387" s="84"/>
      <c r="AM387" s="84"/>
      <c r="AN387" s="84"/>
      <c r="AO387" s="84"/>
      <c r="AP387" s="84"/>
      <c r="AQ387" s="84"/>
      <c r="AR387" s="84"/>
      <c r="AS387" s="87">
        <f t="array" ref="AS387">IF(E387=1,SUM((ROW(Mf0)=ROW(AS387))*(Mf0+Mf1_+Mf2_+Mf3_+Mf4_+Mf5_+Mf6_+Mf7_+Mf8_+Mf9_+Mf10_+Mf11_+Mf12_+Mf13_+Mf14_+Mf15_+Mf16_+Mf17_+Mf18_+Mf19_+Mf20_+Mf21_+Mf22_+Mf23_+Mf24_+Mf25_+Mf26_+Mf27_+Mf28_+Mf29_+Mf30_+Mf31_+Mf32_+Mf33_+Mf34_+Mf35_+Mf36_+Mf37_)),0)</f>
        <v>0</v>
      </c>
      <c r="AU387" s="24" t="str">
        <f t="shared" si="36"/>
        <v/>
      </c>
      <c r="AV387" s="24" t="str">
        <f t="shared" si="37"/>
        <v/>
      </c>
      <c r="AW387" s="24" t="str">
        <f t="shared" si="38"/>
        <v/>
      </c>
      <c r="AX387" s="72">
        <f t="shared" si="39"/>
        <v>0</v>
      </c>
      <c r="AY387" s="24">
        <f t="shared" si="40"/>
        <v>0</v>
      </c>
      <c r="AZ387" s="24">
        <f t="array" ref="AZ387">IF(OR(RIGHT(B387,LEN(Par_LabelTravelTime))=Par_LabelTravelTime,B387="čas na ceste - fakturácia"),1,0)</f>
        <v>0</v>
      </c>
    </row>
    <row r="388" spans="2:52" s="24" customFormat="1" ht="12.75" x14ac:dyDescent="0.2">
      <c r="B388" s="97"/>
      <c r="C388" s="92"/>
      <c r="D388" s="31" t="str">
        <f>IF(E388=1,VLOOKUP(TableInvs[[#This Row],[Calc_V_Typ]],Tran_RevenuesList,3,FALSE),"")</f>
        <v/>
      </c>
      <c r="E388" s="31">
        <f t="shared" si="35"/>
        <v>0</v>
      </c>
      <c r="F388" s="9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  <c r="S388" s="84"/>
      <c r="T388" s="84"/>
      <c r="U388" s="84"/>
      <c r="V388" s="84"/>
      <c r="W388" s="84"/>
      <c r="X388" s="84"/>
      <c r="Y388" s="84"/>
      <c r="Z388" s="84"/>
      <c r="AA388" s="84"/>
      <c r="AB388" s="84"/>
      <c r="AC388" s="85"/>
      <c r="AD388" s="85"/>
      <c r="AE388" s="84"/>
      <c r="AF388" s="84"/>
      <c r="AG388" s="84"/>
      <c r="AH388" s="84"/>
      <c r="AI388" s="84"/>
      <c r="AJ388" s="84"/>
      <c r="AK388" s="84"/>
      <c r="AL388" s="84"/>
      <c r="AM388" s="84"/>
      <c r="AN388" s="84"/>
      <c r="AO388" s="84"/>
      <c r="AP388" s="84"/>
      <c r="AQ388" s="84"/>
      <c r="AR388" s="84"/>
      <c r="AS388" s="87">
        <f t="array" ref="AS388">IF(E388=1,SUM((ROW(Mf0)=ROW(AS388))*(Mf0+Mf1_+Mf2_+Mf3_+Mf4_+Mf5_+Mf6_+Mf7_+Mf8_+Mf9_+Mf10_+Mf11_+Mf12_+Mf13_+Mf14_+Mf15_+Mf16_+Mf17_+Mf18_+Mf19_+Mf20_+Mf21_+Mf22_+Mf23_+Mf24_+Mf25_+Mf26_+Mf27_+Mf28_+Mf29_+Mf30_+Mf31_+Mf32_+Mf33_+Mf34_+Mf35_+Mf36_+Mf37_)),0)</f>
        <v>0</v>
      </c>
      <c r="AU388" s="24" t="str">
        <f t="shared" si="36"/>
        <v/>
      </c>
      <c r="AV388" s="24" t="str">
        <f t="shared" si="37"/>
        <v/>
      </c>
      <c r="AW388" s="24" t="str">
        <f t="shared" si="38"/>
        <v/>
      </c>
      <c r="AX388" s="72">
        <f t="shared" si="39"/>
        <v>0</v>
      </c>
      <c r="AY388" s="24">
        <f t="shared" si="40"/>
        <v>0</v>
      </c>
      <c r="AZ388" s="24">
        <f t="array" ref="AZ388">IF(OR(RIGHT(B388,LEN(Par_LabelTravelTime))=Par_LabelTravelTime,B388="čas na ceste - fakturácia"),1,0)</f>
        <v>0</v>
      </c>
    </row>
    <row r="389" spans="2:52" s="24" customFormat="1" ht="12.75" x14ac:dyDescent="0.2">
      <c r="B389" s="97"/>
      <c r="C389" s="92"/>
      <c r="D389" s="31" t="str">
        <f>IF(E389=1,VLOOKUP(TableInvs[[#This Row],[Calc_V_Typ]],Tran_RevenuesList,3,FALSE),"")</f>
        <v/>
      </c>
      <c r="E389" s="31">
        <f t="shared" si="35"/>
        <v>0</v>
      </c>
      <c r="F389" s="9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  <c r="S389" s="84"/>
      <c r="T389" s="84"/>
      <c r="U389" s="84"/>
      <c r="V389" s="84"/>
      <c r="W389" s="84"/>
      <c r="X389" s="84"/>
      <c r="Y389" s="84"/>
      <c r="Z389" s="84"/>
      <c r="AA389" s="84"/>
      <c r="AB389" s="84"/>
      <c r="AC389" s="85"/>
      <c r="AD389" s="85"/>
      <c r="AE389" s="84"/>
      <c r="AF389" s="84"/>
      <c r="AG389" s="84"/>
      <c r="AH389" s="84"/>
      <c r="AI389" s="84"/>
      <c r="AJ389" s="84"/>
      <c r="AK389" s="84"/>
      <c r="AL389" s="84"/>
      <c r="AM389" s="84"/>
      <c r="AN389" s="84"/>
      <c r="AO389" s="84"/>
      <c r="AP389" s="84"/>
      <c r="AQ389" s="84"/>
      <c r="AR389" s="84"/>
      <c r="AS389" s="87">
        <f t="array" ref="AS389">IF(E389=1,SUM((ROW(Mf0)=ROW(AS389))*(Mf0+Mf1_+Mf2_+Mf3_+Mf4_+Mf5_+Mf6_+Mf7_+Mf8_+Mf9_+Mf10_+Mf11_+Mf12_+Mf13_+Mf14_+Mf15_+Mf16_+Mf17_+Mf18_+Mf19_+Mf20_+Mf21_+Mf22_+Mf23_+Mf24_+Mf25_+Mf26_+Mf27_+Mf28_+Mf29_+Mf30_+Mf31_+Mf32_+Mf33_+Mf34_+Mf35_+Mf36_+Mf37_)),0)</f>
        <v>0</v>
      </c>
      <c r="AU389" s="24" t="str">
        <f t="shared" si="36"/>
        <v/>
      </c>
      <c r="AV389" s="24" t="str">
        <f t="shared" si="37"/>
        <v/>
      </c>
      <c r="AW389" s="24" t="str">
        <f t="shared" si="38"/>
        <v/>
      </c>
      <c r="AX389" s="72">
        <f t="shared" si="39"/>
        <v>0</v>
      </c>
      <c r="AY389" s="24">
        <f t="shared" si="40"/>
        <v>0</v>
      </c>
      <c r="AZ389" s="24">
        <f t="array" ref="AZ389">IF(OR(RIGHT(B389,LEN(Par_LabelTravelTime))=Par_LabelTravelTime,B389="čas na ceste - fakturácia"),1,0)</f>
        <v>0</v>
      </c>
    </row>
    <row r="390" spans="2:52" s="24" customFormat="1" ht="12.75" x14ac:dyDescent="0.2">
      <c r="B390" s="97"/>
      <c r="C390" s="92"/>
      <c r="D390" s="31" t="str">
        <f>IF(E390=1,VLOOKUP(TableInvs[[#This Row],[Calc_V_Typ]],Tran_RevenuesList,3,FALSE),"")</f>
        <v/>
      </c>
      <c r="E390" s="31">
        <f t="shared" si="35"/>
        <v>0</v>
      </c>
      <c r="F390" s="9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  <c r="S390" s="84"/>
      <c r="T390" s="84"/>
      <c r="U390" s="84"/>
      <c r="V390" s="84"/>
      <c r="W390" s="84"/>
      <c r="X390" s="84"/>
      <c r="Y390" s="84"/>
      <c r="Z390" s="84"/>
      <c r="AA390" s="84"/>
      <c r="AB390" s="84"/>
      <c r="AC390" s="85"/>
      <c r="AD390" s="85"/>
      <c r="AE390" s="84"/>
      <c r="AF390" s="84"/>
      <c r="AG390" s="84"/>
      <c r="AH390" s="84"/>
      <c r="AI390" s="84"/>
      <c r="AJ390" s="84"/>
      <c r="AK390" s="84"/>
      <c r="AL390" s="84"/>
      <c r="AM390" s="84"/>
      <c r="AN390" s="84"/>
      <c r="AO390" s="84"/>
      <c r="AP390" s="84"/>
      <c r="AQ390" s="84"/>
      <c r="AR390" s="84"/>
      <c r="AS390" s="87">
        <f t="array" ref="AS390">IF(E390=1,SUM((ROW(Mf0)=ROW(AS390))*(Mf0+Mf1_+Mf2_+Mf3_+Mf4_+Mf5_+Mf6_+Mf7_+Mf8_+Mf9_+Mf10_+Mf11_+Mf12_+Mf13_+Mf14_+Mf15_+Mf16_+Mf17_+Mf18_+Mf19_+Mf20_+Mf21_+Mf22_+Mf23_+Mf24_+Mf25_+Mf26_+Mf27_+Mf28_+Mf29_+Mf30_+Mf31_+Mf32_+Mf33_+Mf34_+Mf35_+Mf36_+Mf37_)),0)</f>
        <v>0</v>
      </c>
      <c r="AU390" s="24" t="str">
        <f t="shared" si="36"/>
        <v/>
      </c>
      <c r="AV390" s="24" t="str">
        <f t="shared" si="37"/>
        <v/>
      </c>
      <c r="AW390" s="24" t="str">
        <f t="shared" si="38"/>
        <v/>
      </c>
      <c r="AX390" s="72">
        <f t="shared" si="39"/>
        <v>0</v>
      </c>
      <c r="AY390" s="24">
        <f t="shared" si="40"/>
        <v>0</v>
      </c>
      <c r="AZ390" s="24">
        <f t="array" ref="AZ390">IF(OR(RIGHT(B390,LEN(Par_LabelTravelTime))=Par_LabelTravelTime,B390="čas na ceste - fakturácia"),1,0)</f>
        <v>0</v>
      </c>
    </row>
    <row r="391" spans="2:52" s="24" customFormat="1" ht="12.75" x14ac:dyDescent="0.2">
      <c r="B391" s="97"/>
      <c r="C391" s="92"/>
      <c r="D391" s="31" t="str">
        <f>IF(E391=1,VLOOKUP(TableInvs[[#This Row],[Calc_V_Typ]],Tran_RevenuesList,3,FALSE),"")</f>
        <v/>
      </c>
      <c r="E391" s="31">
        <f t="shared" ref="E391:E454" si="41">IF(B391="",0,IF(LEFT(B391,3)="***",-1,1))</f>
        <v>0</v>
      </c>
      <c r="F391" s="9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  <c r="S391" s="84"/>
      <c r="T391" s="84"/>
      <c r="U391" s="84"/>
      <c r="V391" s="84"/>
      <c r="W391" s="84"/>
      <c r="X391" s="84"/>
      <c r="Y391" s="84"/>
      <c r="Z391" s="84"/>
      <c r="AA391" s="84"/>
      <c r="AB391" s="84"/>
      <c r="AC391" s="85"/>
      <c r="AD391" s="85"/>
      <c r="AE391" s="84"/>
      <c r="AF391" s="84"/>
      <c r="AG391" s="84"/>
      <c r="AH391" s="84"/>
      <c r="AI391" s="84"/>
      <c r="AJ391" s="84"/>
      <c r="AK391" s="84"/>
      <c r="AL391" s="84"/>
      <c r="AM391" s="84"/>
      <c r="AN391" s="84"/>
      <c r="AO391" s="84"/>
      <c r="AP391" s="84"/>
      <c r="AQ391" s="84"/>
      <c r="AR391" s="84"/>
      <c r="AS391" s="87">
        <f t="array" ref="AS391">IF(E391=1,SUM((ROW(Mf0)=ROW(AS391))*(Mf0+Mf1_+Mf2_+Mf3_+Mf4_+Mf5_+Mf6_+Mf7_+Mf8_+Mf9_+Mf10_+Mf11_+Mf12_+Mf13_+Mf14_+Mf15_+Mf16_+Mf17_+Mf18_+Mf19_+Mf20_+Mf21_+Mf22_+Mf23_+Mf24_+Mf25_+Mf26_+Mf27_+Mf28_+Mf29_+Mf30_+Mf31_+Mf32_+Mf33_+Mf34_+Mf35_+Mf36_+Mf37_)),0)</f>
        <v>0</v>
      </c>
      <c r="AU391" s="24" t="str">
        <f t="shared" ref="AU391:AU454" si="42">IF(E391=1,VLOOKUP(B391,Tran_RevenuesList,2,0),"")</f>
        <v/>
      </c>
      <c r="AV391" s="24" t="str">
        <f t="shared" ref="AV391:AV454" si="43">IF(E391=1,D391,"")</f>
        <v/>
      </c>
      <c r="AW391" s="24" t="str">
        <f t="shared" ref="AW391:AW454" si="44">IF(C391="","",VLOOKUP(C391,Tab_Parts,2,0))</f>
        <v/>
      </c>
      <c r="AX391" s="72">
        <f t="shared" ref="AX391:AX454" si="45">IF(E391=1,AS391,0)</f>
        <v>0</v>
      </c>
      <c r="AY391" s="24">
        <f t="shared" ref="AY391:AY454" si="46">IF(RIGHT(B391,LEN(Par_LabelTravelTime))=Par_LabelTravelTime,LEFT(B391,LEN(B391)-LEN(Par_LabelTravelTime)),B391)</f>
        <v>0</v>
      </c>
      <c r="AZ391" s="24">
        <f t="array" ref="AZ391">IF(OR(RIGHT(B391,LEN(Par_LabelTravelTime))=Par_LabelTravelTime,B391="čas na ceste - fakturácia"),1,0)</f>
        <v>0</v>
      </c>
    </row>
    <row r="392" spans="2:52" s="24" customFormat="1" ht="12.75" x14ac:dyDescent="0.2">
      <c r="B392" s="97"/>
      <c r="C392" s="92"/>
      <c r="D392" s="31" t="str">
        <f>IF(E392=1,VLOOKUP(TableInvs[[#This Row],[Calc_V_Typ]],Tran_RevenuesList,3,FALSE),"")</f>
        <v/>
      </c>
      <c r="E392" s="31">
        <f t="shared" si="41"/>
        <v>0</v>
      </c>
      <c r="F392" s="9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  <c r="S392" s="84"/>
      <c r="T392" s="84"/>
      <c r="U392" s="84"/>
      <c r="V392" s="84"/>
      <c r="W392" s="84"/>
      <c r="X392" s="84"/>
      <c r="Y392" s="84"/>
      <c r="Z392" s="84"/>
      <c r="AA392" s="84"/>
      <c r="AB392" s="84"/>
      <c r="AC392" s="85"/>
      <c r="AD392" s="85"/>
      <c r="AE392" s="84"/>
      <c r="AF392" s="84"/>
      <c r="AG392" s="84"/>
      <c r="AH392" s="84"/>
      <c r="AI392" s="84"/>
      <c r="AJ392" s="84"/>
      <c r="AK392" s="84"/>
      <c r="AL392" s="84"/>
      <c r="AM392" s="84"/>
      <c r="AN392" s="84"/>
      <c r="AO392" s="84"/>
      <c r="AP392" s="84"/>
      <c r="AQ392" s="84"/>
      <c r="AR392" s="84"/>
      <c r="AS392" s="87">
        <f t="array" ref="AS392">IF(E392=1,SUM((ROW(Mf0)=ROW(AS392))*(Mf0+Mf1_+Mf2_+Mf3_+Mf4_+Mf5_+Mf6_+Mf7_+Mf8_+Mf9_+Mf10_+Mf11_+Mf12_+Mf13_+Mf14_+Mf15_+Mf16_+Mf17_+Mf18_+Mf19_+Mf20_+Mf21_+Mf22_+Mf23_+Mf24_+Mf25_+Mf26_+Mf27_+Mf28_+Mf29_+Mf30_+Mf31_+Mf32_+Mf33_+Mf34_+Mf35_+Mf36_+Mf37_)),0)</f>
        <v>0</v>
      </c>
      <c r="AU392" s="24" t="str">
        <f t="shared" si="42"/>
        <v/>
      </c>
      <c r="AV392" s="24" t="str">
        <f t="shared" si="43"/>
        <v/>
      </c>
      <c r="AW392" s="24" t="str">
        <f t="shared" si="44"/>
        <v/>
      </c>
      <c r="AX392" s="72">
        <f t="shared" si="45"/>
        <v>0</v>
      </c>
      <c r="AY392" s="24">
        <f t="shared" si="46"/>
        <v>0</v>
      </c>
      <c r="AZ392" s="24">
        <f t="array" ref="AZ392">IF(OR(RIGHT(B392,LEN(Par_LabelTravelTime))=Par_LabelTravelTime,B392="čas na ceste - fakturácia"),1,0)</f>
        <v>0</v>
      </c>
    </row>
    <row r="393" spans="2:52" s="24" customFormat="1" ht="12.75" x14ac:dyDescent="0.2">
      <c r="B393" s="97"/>
      <c r="C393" s="92"/>
      <c r="D393" s="31" t="str">
        <f>IF(E393=1,VLOOKUP(TableInvs[[#This Row],[Calc_V_Typ]],Tran_RevenuesList,3,FALSE),"")</f>
        <v/>
      </c>
      <c r="E393" s="31">
        <f t="shared" si="41"/>
        <v>0</v>
      </c>
      <c r="F393" s="9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  <c r="S393" s="84"/>
      <c r="T393" s="84"/>
      <c r="U393" s="84"/>
      <c r="V393" s="84"/>
      <c r="W393" s="84"/>
      <c r="X393" s="84"/>
      <c r="Y393" s="84"/>
      <c r="Z393" s="84"/>
      <c r="AA393" s="84"/>
      <c r="AB393" s="84"/>
      <c r="AC393" s="85"/>
      <c r="AD393" s="85"/>
      <c r="AE393" s="84"/>
      <c r="AF393" s="84"/>
      <c r="AG393" s="84"/>
      <c r="AH393" s="84"/>
      <c r="AI393" s="84"/>
      <c r="AJ393" s="84"/>
      <c r="AK393" s="84"/>
      <c r="AL393" s="84"/>
      <c r="AM393" s="84"/>
      <c r="AN393" s="84"/>
      <c r="AO393" s="84"/>
      <c r="AP393" s="84"/>
      <c r="AQ393" s="84"/>
      <c r="AR393" s="84"/>
      <c r="AS393" s="87">
        <f t="array" ref="AS393">IF(E393=1,SUM((ROW(Mf0)=ROW(AS393))*(Mf0+Mf1_+Mf2_+Mf3_+Mf4_+Mf5_+Mf6_+Mf7_+Mf8_+Mf9_+Mf10_+Mf11_+Mf12_+Mf13_+Mf14_+Mf15_+Mf16_+Mf17_+Mf18_+Mf19_+Mf20_+Mf21_+Mf22_+Mf23_+Mf24_+Mf25_+Mf26_+Mf27_+Mf28_+Mf29_+Mf30_+Mf31_+Mf32_+Mf33_+Mf34_+Mf35_+Mf36_+Mf37_)),0)</f>
        <v>0</v>
      </c>
      <c r="AU393" s="24" t="str">
        <f t="shared" si="42"/>
        <v/>
      </c>
      <c r="AV393" s="24" t="str">
        <f t="shared" si="43"/>
        <v/>
      </c>
      <c r="AW393" s="24" t="str">
        <f t="shared" si="44"/>
        <v/>
      </c>
      <c r="AX393" s="72">
        <f t="shared" si="45"/>
        <v>0</v>
      </c>
      <c r="AY393" s="24">
        <f t="shared" si="46"/>
        <v>0</v>
      </c>
      <c r="AZ393" s="24">
        <f t="array" ref="AZ393">IF(OR(RIGHT(B393,LEN(Par_LabelTravelTime))=Par_LabelTravelTime,B393="čas na ceste - fakturácia"),1,0)</f>
        <v>0</v>
      </c>
    </row>
    <row r="394" spans="2:52" s="24" customFormat="1" ht="12.75" x14ac:dyDescent="0.2">
      <c r="B394" s="97"/>
      <c r="C394" s="92"/>
      <c r="D394" s="31" t="str">
        <f>IF(E394=1,VLOOKUP(TableInvs[[#This Row],[Calc_V_Typ]],Tran_RevenuesList,3,FALSE),"")</f>
        <v/>
      </c>
      <c r="E394" s="31">
        <f t="shared" si="41"/>
        <v>0</v>
      </c>
      <c r="F394" s="9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  <c r="R394" s="84"/>
      <c r="S394" s="84"/>
      <c r="T394" s="84"/>
      <c r="U394" s="84"/>
      <c r="V394" s="84"/>
      <c r="W394" s="84"/>
      <c r="X394" s="84"/>
      <c r="Y394" s="84"/>
      <c r="Z394" s="84"/>
      <c r="AA394" s="84"/>
      <c r="AB394" s="84"/>
      <c r="AC394" s="85"/>
      <c r="AD394" s="85"/>
      <c r="AE394" s="84"/>
      <c r="AF394" s="84"/>
      <c r="AG394" s="84"/>
      <c r="AH394" s="84"/>
      <c r="AI394" s="84"/>
      <c r="AJ394" s="84"/>
      <c r="AK394" s="84"/>
      <c r="AL394" s="84"/>
      <c r="AM394" s="84"/>
      <c r="AN394" s="84"/>
      <c r="AO394" s="84"/>
      <c r="AP394" s="84"/>
      <c r="AQ394" s="84"/>
      <c r="AR394" s="84"/>
      <c r="AS394" s="87">
        <f t="array" ref="AS394">IF(E394=1,SUM((ROW(Mf0)=ROW(AS394))*(Mf0+Mf1_+Mf2_+Mf3_+Mf4_+Mf5_+Mf6_+Mf7_+Mf8_+Mf9_+Mf10_+Mf11_+Mf12_+Mf13_+Mf14_+Mf15_+Mf16_+Mf17_+Mf18_+Mf19_+Mf20_+Mf21_+Mf22_+Mf23_+Mf24_+Mf25_+Mf26_+Mf27_+Mf28_+Mf29_+Mf30_+Mf31_+Mf32_+Mf33_+Mf34_+Mf35_+Mf36_+Mf37_)),0)</f>
        <v>0</v>
      </c>
      <c r="AU394" s="24" t="str">
        <f t="shared" si="42"/>
        <v/>
      </c>
      <c r="AV394" s="24" t="str">
        <f t="shared" si="43"/>
        <v/>
      </c>
      <c r="AW394" s="24" t="str">
        <f t="shared" si="44"/>
        <v/>
      </c>
      <c r="AX394" s="72">
        <f t="shared" si="45"/>
        <v>0</v>
      </c>
      <c r="AY394" s="24">
        <f t="shared" si="46"/>
        <v>0</v>
      </c>
      <c r="AZ394" s="24">
        <f t="array" ref="AZ394">IF(OR(RIGHT(B394,LEN(Par_LabelTravelTime))=Par_LabelTravelTime,B394="čas na ceste - fakturácia"),1,0)</f>
        <v>0</v>
      </c>
    </row>
    <row r="395" spans="2:52" s="24" customFormat="1" ht="12.75" x14ac:dyDescent="0.2">
      <c r="B395" s="97"/>
      <c r="C395" s="92"/>
      <c r="D395" s="31" t="str">
        <f>IF(E395=1,VLOOKUP(TableInvs[[#This Row],[Calc_V_Typ]],Tran_RevenuesList,3,FALSE),"")</f>
        <v/>
      </c>
      <c r="E395" s="31">
        <f t="shared" si="41"/>
        <v>0</v>
      </c>
      <c r="F395" s="9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  <c r="R395" s="84"/>
      <c r="S395" s="84"/>
      <c r="T395" s="84"/>
      <c r="U395" s="84"/>
      <c r="V395" s="84"/>
      <c r="W395" s="84"/>
      <c r="X395" s="84"/>
      <c r="Y395" s="84"/>
      <c r="Z395" s="84"/>
      <c r="AA395" s="84"/>
      <c r="AB395" s="84"/>
      <c r="AC395" s="85"/>
      <c r="AD395" s="85"/>
      <c r="AE395" s="84"/>
      <c r="AF395" s="84"/>
      <c r="AG395" s="84"/>
      <c r="AH395" s="84"/>
      <c r="AI395" s="84"/>
      <c r="AJ395" s="84"/>
      <c r="AK395" s="84"/>
      <c r="AL395" s="84"/>
      <c r="AM395" s="84"/>
      <c r="AN395" s="84"/>
      <c r="AO395" s="84"/>
      <c r="AP395" s="84"/>
      <c r="AQ395" s="84"/>
      <c r="AR395" s="84"/>
      <c r="AS395" s="87">
        <f t="array" ref="AS395">IF(E395=1,SUM((ROW(Mf0)=ROW(AS395))*(Mf0+Mf1_+Mf2_+Mf3_+Mf4_+Mf5_+Mf6_+Mf7_+Mf8_+Mf9_+Mf10_+Mf11_+Mf12_+Mf13_+Mf14_+Mf15_+Mf16_+Mf17_+Mf18_+Mf19_+Mf20_+Mf21_+Mf22_+Mf23_+Mf24_+Mf25_+Mf26_+Mf27_+Mf28_+Mf29_+Mf30_+Mf31_+Mf32_+Mf33_+Mf34_+Mf35_+Mf36_+Mf37_)),0)</f>
        <v>0</v>
      </c>
      <c r="AU395" s="24" t="str">
        <f t="shared" si="42"/>
        <v/>
      </c>
      <c r="AV395" s="24" t="str">
        <f t="shared" si="43"/>
        <v/>
      </c>
      <c r="AW395" s="24" t="str">
        <f t="shared" si="44"/>
        <v/>
      </c>
      <c r="AX395" s="72">
        <f t="shared" si="45"/>
        <v>0</v>
      </c>
      <c r="AY395" s="24">
        <f t="shared" si="46"/>
        <v>0</v>
      </c>
      <c r="AZ395" s="24">
        <f t="array" ref="AZ395">IF(OR(RIGHT(B395,LEN(Par_LabelTravelTime))=Par_LabelTravelTime,B395="čas na ceste - fakturácia"),1,0)</f>
        <v>0</v>
      </c>
    </row>
    <row r="396" spans="2:52" s="24" customFormat="1" ht="12.75" x14ac:dyDescent="0.2">
      <c r="B396" s="97"/>
      <c r="C396" s="92"/>
      <c r="D396" s="31" t="str">
        <f>IF(E396=1,VLOOKUP(TableInvs[[#This Row],[Calc_V_Typ]],Tran_RevenuesList,3,FALSE),"")</f>
        <v/>
      </c>
      <c r="E396" s="31">
        <f t="shared" si="41"/>
        <v>0</v>
      </c>
      <c r="F396" s="9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  <c r="R396" s="84"/>
      <c r="S396" s="84"/>
      <c r="T396" s="84"/>
      <c r="U396" s="84"/>
      <c r="V396" s="84"/>
      <c r="W396" s="84"/>
      <c r="X396" s="84"/>
      <c r="Y396" s="84"/>
      <c r="Z396" s="84"/>
      <c r="AA396" s="84"/>
      <c r="AB396" s="84"/>
      <c r="AC396" s="85"/>
      <c r="AD396" s="85"/>
      <c r="AE396" s="84"/>
      <c r="AF396" s="84"/>
      <c r="AG396" s="84"/>
      <c r="AH396" s="84"/>
      <c r="AI396" s="84"/>
      <c r="AJ396" s="84"/>
      <c r="AK396" s="84"/>
      <c r="AL396" s="84"/>
      <c r="AM396" s="84"/>
      <c r="AN396" s="84"/>
      <c r="AO396" s="84"/>
      <c r="AP396" s="84"/>
      <c r="AQ396" s="84"/>
      <c r="AR396" s="84"/>
      <c r="AS396" s="87">
        <f t="array" ref="AS396">IF(E396=1,SUM((ROW(Mf0)=ROW(AS396))*(Mf0+Mf1_+Mf2_+Mf3_+Mf4_+Mf5_+Mf6_+Mf7_+Mf8_+Mf9_+Mf10_+Mf11_+Mf12_+Mf13_+Mf14_+Mf15_+Mf16_+Mf17_+Mf18_+Mf19_+Mf20_+Mf21_+Mf22_+Mf23_+Mf24_+Mf25_+Mf26_+Mf27_+Mf28_+Mf29_+Mf30_+Mf31_+Mf32_+Mf33_+Mf34_+Mf35_+Mf36_+Mf37_)),0)</f>
        <v>0</v>
      </c>
      <c r="AU396" s="24" t="str">
        <f t="shared" si="42"/>
        <v/>
      </c>
      <c r="AV396" s="24" t="str">
        <f t="shared" si="43"/>
        <v/>
      </c>
      <c r="AW396" s="24" t="str">
        <f t="shared" si="44"/>
        <v/>
      </c>
      <c r="AX396" s="72">
        <f t="shared" si="45"/>
        <v>0</v>
      </c>
      <c r="AY396" s="24">
        <f t="shared" si="46"/>
        <v>0</v>
      </c>
      <c r="AZ396" s="24">
        <f t="array" ref="AZ396">IF(OR(RIGHT(B396,LEN(Par_LabelTravelTime))=Par_LabelTravelTime,B396="čas na ceste - fakturácia"),1,0)</f>
        <v>0</v>
      </c>
    </row>
    <row r="397" spans="2:52" s="24" customFormat="1" ht="12.75" x14ac:dyDescent="0.2">
      <c r="B397" s="97"/>
      <c r="C397" s="92"/>
      <c r="D397" s="31" t="str">
        <f>IF(E397=1,VLOOKUP(TableInvs[[#This Row],[Calc_V_Typ]],Tran_RevenuesList,3,FALSE),"")</f>
        <v/>
      </c>
      <c r="E397" s="31">
        <f t="shared" si="41"/>
        <v>0</v>
      </c>
      <c r="F397" s="9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  <c r="R397" s="84"/>
      <c r="S397" s="84"/>
      <c r="T397" s="84"/>
      <c r="U397" s="84"/>
      <c r="V397" s="84"/>
      <c r="W397" s="84"/>
      <c r="X397" s="84"/>
      <c r="Y397" s="84"/>
      <c r="Z397" s="84"/>
      <c r="AA397" s="84"/>
      <c r="AB397" s="84"/>
      <c r="AC397" s="85"/>
      <c r="AD397" s="85"/>
      <c r="AE397" s="84"/>
      <c r="AF397" s="84"/>
      <c r="AG397" s="84"/>
      <c r="AH397" s="84"/>
      <c r="AI397" s="84"/>
      <c r="AJ397" s="84"/>
      <c r="AK397" s="84"/>
      <c r="AL397" s="84"/>
      <c r="AM397" s="84"/>
      <c r="AN397" s="84"/>
      <c r="AO397" s="84"/>
      <c r="AP397" s="84"/>
      <c r="AQ397" s="84"/>
      <c r="AR397" s="84"/>
      <c r="AS397" s="87">
        <f t="array" ref="AS397">IF(E397=1,SUM((ROW(Mf0)=ROW(AS397))*(Mf0+Mf1_+Mf2_+Mf3_+Mf4_+Mf5_+Mf6_+Mf7_+Mf8_+Mf9_+Mf10_+Mf11_+Mf12_+Mf13_+Mf14_+Mf15_+Mf16_+Mf17_+Mf18_+Mf19_+Mf20_+Mf21_+Mf22_+Mf23_+Mf24_+Mf25_+Mf26_+Mf27_+Mf28_+Mf29_+Mf30_+Mf31_+Mf32_+Mf33_+Mf34_+Mf35_+Mf36_+Mf37_)),0)</f>
        <v>0</v>
      </c>
      <c r="AU397" s="24" t="str">
        <f t="shared" si="42"/>
        <v/>
      </c>
      <c r="AV397" s="24" t="str">
        <f t="shared" si="43"/>
        <v/>
      </c>
      <c r="AW397" s="24" t="str">
        <f t="shared" si="44"/>
        <v/>
      </c>
      <c r="AX397" s="72">
        <f t="shared" si="45"/>
        <v>0</v>
      </c>
      <c r="AY397" s="24">
        <f t="shared" si="46"/>
        <v>0</v>
      </c>
      <c r="AZ397" s="24">
        <f t="array" ref="AZ397">IF(OR(RIGHT(B397,LEN(Par_LabelTravelTime))=Par_LabelTravelTime,B397="čas na ceste - fakturácia"),1,0)</f>
        <v>0</v>
      </c>
    </row>
    <row r="398" spans="2:52" s="24" customFormat="1" ht="12.75" x14ac:dyDescent="0.2">
      <c r="B398" s="97"/>
      <c r="C398" s="92"/>
      <c r="D398" s="31" t="str">
        <f>IF(E398=1,VLOOKUP(TableInvs[[#This Row],[Calc_V_Typ]],Tran_RevenuesList,3,FALSE),"")</f>
        <v/>
      </c>
      <c r="E398" s="31">
        <f t="shared" si="41"/>
        <v>0</v>
      </c>
      <c r="F398" s="9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  <c r="R398" s="84"/>
      <c r="S398" s="84"/>
      <c r="T398" s="84"/>
      <c r="U398" s="84"/>
      <c r="V398" s="84"/>
      <c r="W398" s="84"/>
      <c r="X398" s="84"/>
      <c r="Y398" s="84"/>
      <c r="Z398" s="84"/>
      <c r="AA398" s="84"/>
      <c r="AB398" s="84"/>
      <c r="AC398" s="85"/>
      <c r="AD398" s="85"/>
      <c r="AE398" s="84"/>
      <c r="AF398" s="84"/>
      <c r="AG398" s="84"/>
      <c r="AH398" s="84"/>
      <c r="AI398" s="84"/>
      <c r="AJ398" s="84"/>
      <c r="AK398" s="84"/>
      <c r="AL398" s="84"/>
      <c r="AM398" s="84"/>
      <c r="AN398" s="84"/>
      <c r="AO398" s="84"/>
      <c r="AP398" s="84"/>
      <c r="AQ398" s="84"/>
      <c r="AR398" s="84"/>
      <c r="AS398" s="87">
        <f t="array" ref="AS398">IF(E398=1,SUM((ROW(Mf0)=ROW(AS398))*(Mf0+Mf1_+Mf2_+Mf3_+Mf4_+Mf5_+Mf6_+Mf7_+Mf8_+Mf9_+Mf10_+Mf11_+Mf12_+Mf13_+Mf14_+Mf15_+Mf16_+Mf17_+Mf18_+Mf19_+Mf20_+Mf21_+Mf22_+Mf23_+Mf24_+Mf25_+Mf26_+Mf27_+Mf28_+Mf29_+Mf30_+Mf31_+Mf32_+Mf33_+Mf34_+Mf35_+Mf36_+Mf37_)),0)</f>
        <v>0</v>
      </c>
      <c r="AU398" s="24" t="str">
        <f t="shared" si="42"/>
        <v/>
      </c>
      <c r="AV398" s="24" t="str">
        <f t="shared" si="43"/>
        <v/>
      </c>
      <c r="AW398" s="24" t="str">
        <f t="shared" si="44"/>
        <v/>
      </c>
      <c r="AX398" s="72">
        <f t="shared" si="45"/>
        <v>0</v>
      </c>
      <c r="AY398" s="24">
        <f t="shared" si="46"/>
        <v>0</v>
      </c>
      <c r="AZ398" s="24">
        <f t="array" ref="AZ398">IF(OR(RIGHT(B398,LEN(Par_LabelTravelTime))=Par_LabelTravelTime,B398="čas na ceste - fakturácia"),1,0)</f>
        <v>0</v>
      </c>
    </row>
    <row r="399" spans="2:52" s="24" customFormat="1" ht="12.75" x14ac:dyDescent="0.2">
      <c r="B399" s="97"/>
      <c r="C399" s="92"/>
      <c r="D399" s="31" t="str">
        <f>IF(E399=1,VLOOKUP(TableInvs[[#This Row],[Calc_V_Typ]],Tran_RevenuesList,3,FALSE),"")</f>
        <v/>
      </c>
      <c r="E399" s="31">
        <f t="shared" si="41"/>
        <v>0</v>
      </c>
      <c r="F399" s="94"/>
      <c r="G399" s="84"/>
      <c r="H399" s="84"/>
      <c r="I399" s="84"/>
      <c r="J399" s="84"/>
      <c r="K399" s="84"/>
      <c r="L399" s="84"/>
      <c r="M399" s="84"/>
      <c r="N399" s="84"/>
      <c r="O399" s="84"/>
      <c r="P399" s="84"/>
      <c r="Q399" s="84"/>
      <c r="R399" s="84"/>
      <c r="S399" s="84"/>
      <c r="T399" s="84"/>
      <c r="U399" s="84"/>
      <c r="V399" s="84"/>
      <c r="W399" s="84"/>
      <c r="X399" s="84"/>
      <c r="Y399" s="84"/>
      <c r="Z399" s="84"/>
      <c r="AA399" s="84"/>
      <c r="AB399" s="84"/>
      <c r="AC399" s="85"/>
      <c r="AD399" s="85"/>
      <c r="AE399" s="84"/>
      <c r="AF399" s="84"/>
      <c r="AG399" s="84"/>
      <c r="AH399" s="84"/>
      <c r="AI399" s="84"/>
      <c r="AJ399" s="84"/>
      <c r="AK399" s="84"/>
      <c r="AL399" s="84"/>
      <c r="AM399" s="84"/>
      <c r="AN399" s="84"/>
      <c r="AO399" s="84"/>
      <c r="AP399" s="84"/>
      <c r="AQ399" s="84"/>
      <c r="AR399" s="84"/>
      <c r="AS399" s="87">
        <f t="array" ref="AS399">IF(E399=1,SUM((ROW(Mf0)=ROW(AS399))*(Mf0+Mf1_+Mf2_+Mf3_+Mf4_+Mf5_+Mf6_+Mf7_+Mf8_+Mf9_+Mf10_+Mf11_+Mf12_+Mf13_+Mf14_+Mf15_+Mf16_+Mf17_+Mf18_+Mf19_+Mf20_+Mf21_+Mf22_+Mf23_+Mf24_+Mf25_+Mf26_+Mf27_+Mf28_+Mf29_+Mf30_+Mf31_+Mf32_+Mf33_+Mf34_+Mf35_+Mf36_+Mf37_)),0)</f>
        <v>0</v>
      </c>
      <c r="AU399" s="24" t="str">
        <f t="shared" si="42"/>
        <v/>
      </c>
      <c r="AV399" s="24" t="str">
        <f t="shared" si="43"/>
        <v/>
      </c>
      <c r="AW399" s="24" t="str">
        <f t="shared" si="44"/>
        <v/>
      </c>
      <c r="AX399" s="72">
        <f t="shared" si="45"/>
        <v>0</v>
      </c>
      <c r="AY399" s="24">
        <f t="shared" si="46"/>
        <v>0</v>
      </c>
      <c r="AZ399" s="24">
        <f t="array" ref="AZ399">IF(OR(RIGHT(B399,LEN(Par_LabelTravelTime))=Par_LabelTravelTime,B399="čas na ceste - fakturácia"),1,0)</f>
        <v>0</v>
      </c>
    </row>
    <row r="400" spans="2:52" s="24" customFormat="1" ht="12.75" x14ac:dyDescent="0.2">
      <c r="B400" s="97"/>
      <c r="C400" s="92"/>
      <c r="D400" s="31" t="str">
        <f>IF(E400=1,VLOOKUP(TableInvs[[#This Row],[Calc_V_Typ]],Tran_RevenuesList,3,FALSE),"")</f>
        <v/>
      </c>
      <c r="E400" s="31">
        <f t="shared" si="41"/>
        <v>0</v>
      </c>
      <c r="F400" s="94"/>
      <c r="G400" s="84"/>
      <c r="H400" s="84"/>
      <c r="I400" s="84"/>
      <c r="J400" s="84"/>
      <c r="K400" s="84"/>
      <c r="L400" s="84"/>
      <c r="M400" s="84"/>
      <c r="N400" s="84"/>
      <c r="O400" s="84"/>
      <c r="P400" s="84"/>
      <c r="Q400" s="84"/>
      <c r="R400" s="84"/>
      <c r="S400" s="84"/>
      <c r="T400" s="84"/>
      <c r="U400" s="84"/>
      <c r="V400" s="84"/>
      <c r="W400" s="84"/>
      <c r="X400" s="84"/>
      <c r="Y400" s="84"/>
      <c r="Z400" s="84"/>
      <c r="AA400" s="84"/>
      <c r="AB400" s="84"/>
      <c r="AC400" s="85"/>
      <c r="AD400" s="85"/>
      <c r="AE400" s="84"/>
      <c r="AF400" s="84"/>
      <c r="AG400" s="84"/>
      <c r="AH400" s="84"/>
      <c r="AI400" s="84"/>
      <c r="AJ400" s="84"/>
      <c r="AK400" s="84"/>
      <c r="AL400" s="84"/>
      <c r="AM400" s="84"/>
      <c r="AN400" s="84"/>
      <c r="AO400" s="84"/>
      <c r="AP400" s="84"/>
      <c r="AQ400" s="84"/>
      <c r="AR400" s="84"/>
      <c r="AS400" s="87">
        <f t="array" ref="AS400">IF(E400=1,SUM((ROW(Mf0)=ROW(AS400))*(Mf0+Mf1_+Mf2_+Mf3_+Mf4_+Mf5_+Mf6_+Mf7_+Mf8_+Mf9_+Mf10_+Mf11_+Mf12_+Mf13_+Mf14_+Mf15_+Mf16_+Mf17_+Mf18_+Mf19_+Mf20_+Mf21_+Mf22_+Mf23_+Mf24_+Mf25_+Mf26_+Mf27_+Mf28_+Mf29_+Mf30_+Mf31_+Mf32_+Mf33_+Mf34_+Mf35_+Mf36_+Mf37_)),0)</f>
        <v>0</v>
      </c>
      <c r="AU400" s="24" t="str">
        <f t="shared" si="42"/>
        <v/>
      </c>
      <c r="AV400" s="24" t="str">
        <f t="shared" si="43"/>
        <v/>
      </c>
      <c r="AW400" s="24" t="str">
        <f t="shared" si="44"/>
        <v/>
      </c>
      <c r="AX400" s="72">
        <f t="shared" si="45"/>
        <v>0</v>
      </c>
      <c r="AY400" s="24">
        <f t="shared" si="46"/>
        <v>0</v>
      </c>
      <c r="AZ400" s="24">
        <f t="array" ref="AZ400">IF(OR(RIGHT(B400,LEN(Par_LabelTravelTime))=Par_LabelTravelTime,B400="čas na ceste - fakturácia"),1,0)</f>
        <v>0</v>
      </c>
    </row>
    <row r="401" spans="2:52" s="24" customFormat="1" ht="12.75" x14ac:dyDescent="0.2">
      <c r="B401" s="97"/>
      <c r="C401" s="92"/>
      <c r="D401" s="31" t="str">
        <f>IF(E401=1,VLOOKUP(TableInvs[[#This Row],[Calc_V_Typ]],Tran_RevenuesList,3,FALSE),"")</f>
        <v/>
      </c>
      <c r="E401" s="31">
        <f t="shared" si="41"/>
        <v>0</v>
      </c>
      <c r="F401" s="94"/>
      <c r="G401" s="84"/>
      <c r="H401" s="84"/>
      <c r="I401" s="84"/>
      <c r="J401" s="84"/>
      <c r="K401" s="84"/>
      <c r="L401" s="84"/>
      <c r="M401" s="84"/>
      <c r="N401" s="84"/>
      <c r="O401" s="84"/>
      <c r="P401" s="84"/>
      <c r="Q401" s="84"/>
      <c r="R401" s="84"/>
      <c r="S401" s="84"/>
      <c r="T401" s="84"/>
      <c r="U401" s="84"/>
      <c r="V401" s="84"/>
      <c r="W401" s="84"/>
      <c r="X401" s="84"/>
      <c r="Y401" s="84"/>
      <c r="Z401" s="84"/>
      <c r="AA401" s="84"/>
      <c r="AB401" s="84"/>
      <c r="AC401" s="85"/>
      <c r="AD401" s="85"/>
      <c r="AE401" s="84"/>
      <c r="AF401" s="84"/>
      <c r="AG401" s="84"/>
      <c r="AH401" s="84"/>
      <c r="AI401" s="84"/>
      <c r="AJ401" s="84"/>
      <c r="AK401" s="84"/>
      <c r="AL401" s="84"/>
      <c r="AM401" s="84"/>
      <c r="AN401" s="84"/>
      <c r="AO401" s="84"/>
      <c r="AP401" s="84"/>
      <c r="AQ401" s="84"/>
      <c r="AR401" s="84"/>
      <c r="AS401" s="87">
        <f t="array" ref="AS401">IF(E401=1,SUM((ROW(Mf0)=ROW(AS401))*(Mf0+Mf1_+Mf2_+Mf3_+Mf4_+Mf5_+Mf6_+Mf7_+Mf8_+Mf9_+Mf10_+Mf11_+Mf12_+Mf13_+Mf14_+Mf15_+Mf16_+Mf17_+Mf18_+Mf19_+Mf20_+Mf21_+Mf22_+Mf23_+Mf24_+Mf25_+Mf26_+Mf27_+Mf28_+Mf29_+Mf30_+Mf31_+Mf32_+Mf33_+Mf34_+Mf35_+Mf36_+Mf37_)),0)</f>
        <v>0</v>
      </c>
      <c r="AU401" s="24" t="str">
        <f t="shared" si="42"/>
        <v/>
      </c>
      <c r="AV401" s="24" t="str">
        <f t="shared" si="43"/>
        <v/>
      </c>
      <c r="AW401" s="24" t="str">
        <f t="shared" si="44"/>
        <v/>
      </c>
      <c r="AX401" s="72">
        <f t="shared" si="45"/>
        <v>0</v>
      </c>
      <c r="AY401" s="24">
        <f t="shared" si="46"/>
        <v>0</v>
      </c>
      <c r="AZ401" s="24">
        <f t="array" ref="AZ401">IF(OR(RIGHT(B401,LEN(Par_LabelTravelTime))=Par_LabelTravelTime,B401="čas na ceste - fakturácia"),1,0)</f>
        <v>0</v>
      </c>
    </row>
    <row r="402" spans="2:52" s="24" customFormat="1" ht="12.75" x14ac:dyDescent="0.2">
      <c r="B402" s="97"/>
      <c r="C402" s="92"/>
      <c r="D402" s="31" t="str">
        <f>IF(E402=1,VLOOKUP(TableInvs[[#This Row],[Calc_V_Typ]],Tran_RevenuesList,3,FALSE),"")</f>
        <v/>
      </c>
      <c r="E402" s="31">
        <f t="shared" si="41"/>
        <v>0</v>
      </c>
      <c r="F402" s="94"/>
      <c r="G402" s="84"/>
      <c r="H402" s="84"/>
      <c r="I402" s="84"/>
      <c r="J402" s="84"/>
      <c r="K402" s="84"/>
      <c r="L402" s="84"/>
      <c r="M402" s="84"/>
      <c r="N402" s="84"/>
      <c r="O402" s="84"/>
      <c r="P402" s="84"/>
      <c r="Q402" s="84"/>
      <c r="R402" s="84"/>
      <c r="S402" s="84"/>
      <c r="T402" s="84"/>
      <c r="U402" s="84"/>
      <c r="V402" s="84"/>
      <c r="W402" s="84"/>
      <c r="X402" s="84"/>
      <c r="Y402" s="84"/>
      <c r="Z402" s="84"/>
      <c r="AA402" s="84"/>
      <c r="AB402" s="84"/>
      <c r="AC402" s="85"/>
      <c r="AD402" s="85"/>
      <c r="AE402" s="84"/>
      <c r="AF402" s="84"/>
      <c r="AG402" s="84"/>
      <c r="AH402" s="84"/>
      <c r="AI402" s="84"/>
      <c r="AJ402" s="84"/>
      <c r="AK402" s="84"/>
      <c r="AL402" s="84"/>
      <c r="AM402" s="84"/>
      <c r="AN402" s="84"/>
      <c r="AO402" s="84"/>
      <c r="AP402" s="84"/>
      <c r="AQ402" s="84"/>
      <c r="AR402" s="84"/>
      <c r="AS402" s="87">
        <f t="array" ref="AS402">IF(E402=1,SUM((ROW(Mf0)=ROW(AS402))*(Mf0+Mf1_+Mf2_+Mf3_+Mf4_+Mf5_+Mf6_+Mf7_+Mf8_+Mf9_+Mf10_+Mf11_+Mf12_+Mf13_+Mf14_+Mf15_+Mf16_+Mf17_+Mf18_+Mf19_+Mf20_+Mf21_+Mf22_+Mf23_+Mf24_+Mf25_+Mf26_+Mf27_+Mf28_+Mf29_+Mf30_+Mf31_+Mf32_+Mf33_+Mf34_+Mf35_+Mf36_+Mf37_)),0)</f>
        <v>0</v>
      </c>
      <c r="AU402" s="24" t="str">
        <f t="shared" si="42"/>
        <v/>
      </c>
      <c r="AV402" s="24" t="str">
        <f t="shared" si="43"/>
        <v/>
      </c>
      <c r="AW402" s="24" t="str">
        <f t="shared" si="44"/>
        <v/>
      </c>
      <c r="AX402" s="72">
        <f t="shared" si="45"/>
        <v>0</v>
      </c>
      <c r="AY402" s="24">
        <f t="shared" si="46"/>
        <v>0</v>
      </c>
      <c r="AZ402" s="24">
        <f t="array" ref="AZ402">IF(OR(RIGHT(B402,LEN(Par_LabelTravelTime))=Par_LabelTravelTime,B402="čas na ceste - fakturácia"),1,0)</f>
        <v>0</v>
      </c>
    </row>
    <row r="403" spans="2:52" s="24" customFormat="1" ht="12.75" x14ac:dyDescent="0.2">
      <c r="B403" s="97"/>
      <c r="C403" s="92"/>
      <c r="D403" s="31" t="str">
        <f>IF(E403=1,VLOOKUP(TableInvs[[#This Row],[Calc_V_Typ]],Tran_RevenuesList,3,FALSE),"")</f>
        <v/>
      </c>
      <c r="E403" s="31">
        <f t="shared" si="41"/>
        <v>0</v>
      </c>
      <c r="F403" s="94"/>
      <c r="G403" s="84"/>
      <c r="H403" s="84"/>
      <c r="I403" s="84"/>
      <c r="J403" s="84"/>
      <c r="K403" s="84"/>
      <c r="L403" s="84"/>
      <c r="M403" s="84"/>
      <c r="N403" s="84"/>
      <c r="O403" s="84"/>
      <c r="P403" s="84"/>
      <c r="Q403" s="84"/>
      <c r="R403" s="84"/>
      <c r="S403" s="84"/>
      <c r="T403" s="84"/>
      <c r="U403" s="84"/>
      <c r="V403" s="84"/>
      <c r="W403" s="84"/>
      <c r="X403" s="84"/>
      <c r="Y403" s="84"/>
      <c r="Z403" s="84"/>
      <c r="AA403" s="84"/>
      <c r="AB403" s="84"/>
      <c r="AC403" s="85"/>
      <c r="AD403" s="85"/>
      <c r="AE403" s="84"/>
      <c r="AF403" s="84"/>
      <c r="AG403" s="84"/>
      <c r="AH403" s="84"/>
      <c r="AI403" s="84"/>
      <c r="AJ403" s="84"/>
      <c r="AK403" s="84"/>
      <c r="AL403" s="84"/>
      <c r="AM403" s="84"/>
      <c r="AN403" s="84"/>
      <c r="AO403" s="84"/>
      <c r="AP403" s="84"/>
      <c r="AQ403" s="84"/>
      <c r="AR403" s="84"/>
      <c r="AS403" s="87">
        <f t="array" ref="AS403">IF(E403=1,SUM((ROW(Mf0)=ROW(AS403))*(Mf0+Mf1_+Mf2_+Mf3_+Mf4_+Mf5_+Mf6_+Mf7_+Mf8_+Mf9_+Mf10_+Mf11_+Mf12_+Mf13_+Mf14_+Mf15_+Mf16_+Mf17_+Mf18_+Mf19_+Mf20_+Mf21_+Mf22_+Mf23_+Mf24_+Mf25_+Mf26_+Mf27_+Mf28_+Mf29_+Mf30_+Mf31_+Mf32_+Mf33_+Mf34_+Mf35_+Mf36_+Mf37_)),0)</f>
        <v>0</v>
      </c>
      <c r="AU403" s="24" t="str">
        <f t="shared" si="42"/>
        <v/>
      </c>
      <c r="AV403" s="24" t="str">
        <f t="shared" si="43"/>
        <v/>
      </c>
      <c r="AW403" s="24" t="str">
        <f t="shared" si="44"/>
        <v/>
      </c>
      <c r="AX403" s="72">
        <f t="shared" si="45"/>
        <v>0</v>
      </c>
      <c r="AY403" s="24">
        <f t="shared" si="46"/>
        <v>0</v>
      </c>
      <c r="AZ403" s="24">
        <f t="array" ref="AZ403">IF(OR(RIGHT(B403,LEN(Par_LabelTravelTime))=Par_LabelTravelTime,B403="čas na ceste - fakturácia"),1,0)</f>
        <v>0</v>
      </c>
    </row>
    <row r="404" spans="2:52" s="24" customFormat="1" ht="12.75" x14ac:dyDescent="0.2">
      <c r="B404" s="97"/>
      <c r="C404" s="92"/>
      <c r="D404" s="31" t="str">
        <f>IF(E404=1,VLOOKUP(TableInvs[[#This Row],[Calc_V_Typ]],Tran_RevenuesList,3,FALSE),"")</f>
        <v/>
      </c>
      <c r="E404" s="31">
        <f t="shared" si="41"/>
        <v>0</v>
      </c>
      <c r="F404" s="94"/>
      <c r="G404" s="84"/>
      <c r="H404" s="84"/>
      <c r="I404" s="84"/>
      <c r="J404" s="84"/>
      <c r="K404" s="84"/>
      <c r="L404" s="84"/>
      <c r="M404" s="84"/>
      <c r="N404" s="84"/>
      <c r="O404" s="84"/>
      <c r="P404" s="84"/>
      <c r="Q404" s="84"/>
      <c r="R404" s="84"/>
      <c r="S404" s="84"/>
      <c r="T404" s="84"/>
      <c r="U404" s="84"/>
      <c r="V404" s="84"/>
      <c r="W404" s="84"/>
      <c r="X404" s="84"/>
      <c r="Y404" s="84"/>
      <c r="Z404" s="84"/>
      <c r="AA404" s="84"/>
      <c r="AB404" s="84"/>
      <c r="AC404" s="85"/>
      <c r="AD404" s="85"/>
      <c r="AE404" s="84"/>
      <c r="AF404" s="84"/>
      <c r="AG404" s="84"/>
      <c r="AH404" s="84"/>
      <c r="AI404" s="84"/>
      <c r="AJ404" s="84"/>
      <c r="AK404" s="84"/>
      <c r="AL404" s="84"/>
      <c r="AM404" s="84"/>
      <c r="AN404" s="84"/>
      <c r="AO404" s="84"/>
      <c r="AP404" s="84"/>
      <c r="AQ404" s="84"/>
      <c r="AR404" s="84"/>
      <c r="AS404" s="87">
        <f t="array" ref="AS404">IF(E404=1,SUM((ROW(Mf0)=ROW(AS404))*(Mf0+Mf1_+Mf2_+Mf3_+Mf4_+Mf5_+Mf6_+Mf7_+Mf8_+Mf9_+Mf10_+Mf11_+Mf12_+Mf13_+Mf14_+Mf15_+Mf16_+Mf17_+Mf18_+Mf19_+Mf20_+Mf21_+Mf22_+Mf23_+Mf24_+Mf25_+Mf26_+Mf27_+Mf28_+Mf29_+Mf30_+Mf31_+Mf32_+Mf33_+Mf34_+Mf35_+Mf36_+Mf37_)),0)</f>
        <v>0</v>
      </c>
      <c r="AU404" s="24" t="str">
        <f t="shared" si="42"/>
        <v/>
      </c>
      <c r="AV404" s="24" t="str">
        <f t="shared" si="43"/>
        <v/>
      </c>
      <c r="AW404" s="24" t="str">
        <f t="shared" si="44"/>
        <v/>
      </c>
      <c r="AX404" s="72">
        <f t="shared" si="45"/>
        <v>0</v>
      </c>
      <c r="AY404" s="24">
        <f t="shared" si="46"/>
        <v>0</v>
      </c>
      <c r="AZ404" s="24">
        <f t="array" ref="AZ404">IF(OR(RIGHT(B404,LEN(Par_LabelTravelTime))=Par_LabelTravelTime,B404="čas na ceste - fakturácia"),1,0)</f>
        <v>0</v>
      </c>
    </row>
    <row r="405" spans="2:52" s="24" customFormat="1" ht="12.75" x14ac:dyDescent="0.2">
      <c r="B405" s="97"/>
      <c r="C405" s="92"/>
      <c r="D405" s="31" t="str">
        <f>IF(E405=1,VLOOKUP(TableInvs[[#This Row],[Calc_V_Typ]],Tran_RevenuesList,3,FALSE),"")</f>
        <v/>
      </c>
      <c r="E405" s="31">
        <f t="shared" si="41"/>
        <v>0</v>
      </c>
      <c r="F405" s="94"/>
      <c r="G405" s="84"/>
      <c r="H405" s="84"/>
      <c r="I405" s="84"/>
      <c r="J405" s="84"/>
      <c r="K405" s="84"/>
      <c r="L405" s="84"/>
      <c r="M405" s="84"/>
      <c r="N405" s="84"/>
      <c r="O405" s="84"/>
      <c r="P405" s="84"/>
      <c r="Q405" s="84"/>
      <c r="R405" s="84"/>
      <c r="S405" s="84"/>
      <c r="T405" s="84"/>
      <c r="U405" s="84"/>
      <c r="V405" s="84"/>
      <c r="W405" s="84"/>
      <c r="X405" s="84"/>
      <c r="Y405" s="84"/>
      <c r="Z405" s="84"/>
      <c r="AA405" s="84"/>
      <c r="AB405" s="84"/>
      <c r="AC405" s="85"/>
      <c r="AD405" s="85"/>
      <c r="AE405" s="84"/>
      <c r="AF405" s="84"/>
      <c r="AG405" s="84"/>
      <c r="AH405" s="84"/>
      <c r="AI405" s="84"/>
      <c r="AJ405" s="84"/>
      <c r="AK405" s="84"/>
      <c r="AL405" s="84"/>
      <c r="AM405" s="84"/>
      <c r="AN405" s="84"/>
      <c r="AO405" s="84"/>
      <c r="AP405" s="84"/>
      <c r="AQ405" s="84"/>
      <c r="AR405" s="84"/>
      <c r="AS405" s="87">
        <f t="array" ref="AS405">IF(E405=1,SUM((ROW(Mf0)=ROW(AS405))*(Mf0+Mf1_+Mf2_+Mf3_+Mf4_+Mf5_+Mf6_+Mf7_+Mf8_+Mf9_+Mf10_+Mf11_+Mf12_+Mf13_+Mf14_+Mf15_+Mf16_+Mf17_+Mf18_+Mf19_+Mf20_+Mf21_+Mf22_+Mf23_+Mf24_+Mf25_+Mf26_+Mf27_+Mf28_+Mf29_+Mf30_+Mf31_+Mf32_+Mf33_+Mf34_+Mf35_+Mf36_+Mf37_)),0)</f>
        <v>0</v>
      </c>
      <c r="AU405" s="24" t="str">
        <f t="shared" si="42"/>
        <v/>
      </c>
      <c r="AV405" s="24" t="str">
        <f t="shared" si="43"/>
        <v/>
      </c>
      <c r="AW405" s="24" t="str">
        <f t="shared" si="44"/>
        <v/>
      </c>
      <c r="AX405" s="72">
        <f t="shared" si="45"/>
        <v>0</v>
      </c>
      <c r="AY405" s="24">
        <f t="shared" si="46"/>
        <v>0</v>
      </c>
      <c r="AZ405" s="24">
        <f t="array" ref="AZ405">IF(OR(RIGHT(B405,LEN(Par_LabelTravelTime))=Par_LabelTravelTime,B405="čas na ceste - fakturácia"),1,0)</f>
        <v>0</v>
      </c>
    </row>
    <row r="406" spans="2:52" s="24" customFormat="1" ht="12.75" x14ac:dyDescent="0.2">
      <c r="B406" s="97"/>
      <c r="C406" s="92"/>
      <c r="D406" s="31" t="str">
        <f>IF(E406=1,VLOOKUP(TableInvs[[#This Row],[Calc_V_Typ]],Tran_RevenuesList,3,FALSE),"")</f>
        <v/>
      </c>
      <c r="E406" s="31">
        <f t="shared" si="41"/>
        <v>0</v>
      </c>
      <c r="F406" s="94"/>
      <c r="G406" s="84"/>
      <c r="H406" s="84"/>
      <c r="I406" s="84"/>
      <c r="J406" s="84"/>
      <c r="K406" s="84"/>
      <c r="L406" s="84"/>
      <c r="M406" s="84"/>
      <c r="N406" s="84"/>
      <c r="O406" s="84"/>
      <c r="P406" s="84"/>
      <c r="Q406" s="84"/>
      <c r="R406" s="84"/>
      <c r="S406" s="84"/>
      <c r="T406" s="84"/>
      <c r="U406" s="84"/>
      <c r="V406" s="84"/>
      <c r="W406" s="84"/>
      <c r="X406" s="84"/>
      <c r="Y406" s="84"/>
      <c r="Z406" s="84"/>
      <c r="AA406" s="84"/>
      <c r="AB406" s="84"/>
      <c r="AC406" s="85"/>
      <c r="AD406" s="85"/>
      <c r="AE406" s="84"/>
      <c r="AF406" s="84"/>
      <c r="AG406" s="84"/>
      <c r="AH406" s="84"/>
      <c r="AI406" s="84"/>
      <c r="AJ406" s="84"/>
      <c r="AK406" s="84"/>
      <c r="AL406" s="84"/>
      <c r="AM406" s="84"/>
      <c r="AN406" s="84"/>
      <c r="AO406" s="84"/>
      <c r="AP406" s="84"/>
      <c r="AQ406" s="84"/>
      <c r="AR406" s="84"/>
      <c r="AS406" s="87">
        <f t="array" ref="AS406">IF(E406=1,SUM((ROW(Mf0)=ROW(AS406))*(Mf0+Mf1_+Mf2_+Mf3_+Mf4_+Mf5_+Mf6_+Mf7_+Mf8_+Mf9_+Mf10_+Mf11_+Mf12_+Mf13_+Mf14_+Mf15_+Mf16_+Mf17_+Mf18_+Mf19_+Mf20_+Mf21_+Mf22_+Mf23_+Mf24_+Mf25_+Mf26_+Mf27_+Mf28_+Mf29_+Mf30_+Mf31_+Mf32_+Mf33_+Mf34_+Mf35_+Mf36_+Mf37_)),0)</f>
        <v>0</v>
      </c>
      <c r="AU406" s="24" t="str">
        <f t="shared" si="42"/>
        <v/>
      </c>
      <c r="AV406" s="24" t="str">
        <f t="shared" si="43"/>
        <v/>
      </c>
      <c r="AW406" s="24" t="str">
        <f t="shared" si="44"/>
        <v/>
      </c>
      <c r="AX406" s="72">
        <f t="shared" si="45"/>
        <v>0</v>
      </c>
      <c r="AY406" s="24">
        <f t="shared" si="46"/>
        <v>0</v>
      </c>
      <c r="AZ406" s="24">
        <f t="array" ref="AZ406">IF(OR(RIGHT(B406,LEN(Par_LabelTravelTime))=Par_LabelTravelTime,B406="čas na ceste - fakturácia"),1,0)</f>
        <v>0</v>
      </c>
    </row>
    <row r="407" spans="2:52" s="24" customFormat="1" ht="12.75" x14ac:dyDescent="0.2">
      <c r="B407" s="97"/>
      <c r="C407" s="92"/>
      <c r="D407" s="31" t="str">
        <f>IF(E407=1,VLOOKUP(TableInvs[[#This Row],[Calc_V_Typ]],Tran_RevenuesList,3,FALSE),"")</f>
        <v/>
      </c>
      <c r="E407" s="31">
        <f t="shared" si="41"/>
        <v>0</v>
      </c>
      <c r="F407" s="94"/>
      <c r="G407" s="84"/>
      <c r="H407" s="84"/>
      <c r="I407" s="84"/>
      <c r="J407" s="84"/>
      <c r="K407" s="84"/>
      <c r="L407" s="84"/>
      <c r="M407" s="84"/>
      <c r="N407" s="84"/>
      <c r="O407" s="84"/>
      <c r="P407" s="84"/>
      <c r="Q407" s="84"/>
      <c r="R407" s="84"/>
      <c r="S407" s="84"/>
      <c r="T407" s="84"/>
      <c r="U407" s="84"/>
      <c r="V407" s="84"/>
      <c r="W407" s="84"/>
      <c r="X407" s="84"/>
      <c r="Y407" s="84"/>
      <c r="Z407" s="84"/>
      <c r="AA407" s="84"/>
      <c r="AB407" s="84"/>
      <c r="AC407" s="85"/>
      <c r="AD407" s="85"/>
      <c r="AE407" s="84"/>
      <c r="AF407" s="84"/>
      <c r="AG407" s="84"/>
      <c r="AH407" s="84"/>
      <c r="AI407" s="84"/>
      <c r="AJ407" s="84"/>
      <c r="AK407" s="84"/>
      <c r="AL407" s="84"/>
      <c r="AM407" s="84"/>
      <c r="AN407" s="84"/>
      <c r="AO407" s="84"/>
      <c r="AP407" s="84"/>
      <c r="AQ407" s="84"/>
      <c r="AR407" s="84"/>
      <c r="AS407" s="87">
        <f t="array" ref="AS407">IF(E407=1,SUM((ROW(Mf0)=ROW(AS407))*(Mf0+Mf1_+Mf2_+Mf3_+Mf4_+Mf5_+Mf6_+Mf7_+Mf8_+Mf9_+Mf10_+Mf11_+Mf12_+Mf13_+Mf14_+Mf15_+Mf16_+Mf17_+Mf18_+Mf19_+Mf20_+Mf21_+Mf22_+Mf23_+Mf24_+Mf25_+Mf26_+Mf27_+Mf28_+Mf29_+Mf30_+Mf31_+Mf32_+Mf33_+Mf34_+Mf35_+Mf36_+Mf37_)),0)</f>
        <v>0</v>
      </c>
      <c r="AU407" s="24" t="str">
        <f t="shared" si="42"/>
        <v/>
      </c>
      <c r="AV407" s="24" t="str">
        <f t="shared" si="43"/>
        <v/>
      </c>
      <c r="AW407" s="24" t="str">
        <f t="shared" si="44"/>
        <v/>
      </c>
      <c r="AX407" s="72">
        <f t="shared" si="45"/>
        <v>0</v>
      </c>
      <c r="AY407" s="24">
        <f t="shared" si="46"/>
        <v>0</v>
      </c>
      <c r="AZ407" s="24">
        <f t="array" ref="AZ407">IF(OR(RIGHT(B407,LEN(Par_LabelTravelTime))=Par_LabelTravelTime,B407="čas na ceste - fakturácia"),1,0)</f>
        <v>0</v>
      </c>
    </row>
    <row r="408" spans="2:52" s="24" customFormat="1" ht="12.75" x14ac:dyDescent="0.2">
      <c r="B408" s="97"/>
      <c r="C408" s="92"/>
      <c r="D408" s="31" t="str">
        <f>IF(E408=1,VLOOKUP(TableInvs[[#This Row],[Calc_V_Typ]],Tran_RevenuesList,3,FALSE),"")</f>
        <v/>
      </c>
      <c r="E408" s="31">
        <f t="shared" si="41"/>
        <v>0</v>
      </c>
      <c r="F408" s="94"/>
      <c r="G408" s="84"/>
      <c r="H408" s="84"/>
      <c r="I408" s="84"/>
      <c r="J408" s="84"/>
      <c r="K408" s="84"/>
      <c r="L408" s="84"/>
      <c r="M408" s="84"/>
      <c r="N408" s="84"/>
      <c r="O408" s="84"/>
      <c r="P408" s="84"/>
      <c r="Q408" s="84"/>
      <c r="R408" s="84"/>
      <c r="S408" s="84"/>
      <c r="T408" s="84"/>
      <c r="U408" s="84"/>
      <c r="V408" s="84"/>
      <c r="W408" s="84"/>
      <c r="X408" s="84"/>
      <c r="Y408" s="84"/>
      <c r="Z408" s="84"/>
      <c r="AA408" s="84"/>
      <c r="AB408" s="84"/>
      <c r="AC408" s="85"/>
      <c r="AD408" s="85"/>
      <c r="AE408" s="84"/>
      <c r="AF408" s="84"/>
      <c r="AG408" s="84"/>
      <c r="AH408" s="84"/>
      <c r="AI408" s="84"/>
      <c r="AJ408" s="84"/>
      <c r="AK408" s="84"/>
      <c r="AL408" s="84"/>
      <c r="AM408" s="84"/>
      <c r="AN408" s="84"/>
      <c r="AO408" s="84"/>
      <c r="AP408" s="84"/>
      <c r="AQ408" s="84"/>
      <c r="AR408" s="84"/>
      <c r="AS408" s="87">
        <f t="array" ref="AS408">IF(E408=1,SUM((ROW(Mf0)=ROW(AS408))*(Mf0+Mf1_+Mf2_+Mf3_+Mf4_+Mf5_+Mf6_+Mf7_+Mf8_+Mf9_+Mf10_+Mf11_+Mf12_+Mf13_+Mf14_+Mf15_+Mf16_+Mf17_+Mf18_+Mf19_+Mf20_+Mf21_+Mf22_+Mf23_+Mf24_+Mf25_+Mf26_+Mf27_+Mf28_+Mf29_+Mf30_+Mf31_+Mf32_+Mf33_+Mf34_+Mf35_+Mf36_+Mf37_)),0)</f>
        <v>0</v>
      </c>
      <c r="AU408" s="24" t="str">
        <f t="shared" si="42"/>
        <v/>
      </c>
      <c r="AV408" s="24" t="str">
        <f t="shared" si="43"/>
        <v/>
      </c>
      <c r="AW408" s="24" t="str">
        <f t="shared" si="44"/>
        <v/>
      </c>
      <c r="AX408" s="72">
        <f t="shared" si="45"/>
        <v>0</v>
      </c>
      <c r="AY408" s="24">
        <f t="shared" si="46"/>
        <v>0</v>
      </c>
      <c r="AZ408" s="24">
        <f t="array" ref="AZ408">IF(OR(RIGHT(B408,LEN(Par_LabelTravelTime))=Par_LabelTravelTime,B408="čas na ceste - fakturácia"),1,0)</f>
        <v>0</v>
      </c>
    </row>
    <row r="409" spans="2:52" s="24" customFormat="1" ht="12.75" x14ac:dyDescent="0.2">
      <c r="B409" s="97"/>
      <c r="C409" s="92"/>
      <c r="D409" s="31" t="str">
        <f>IF(E409=1,VLOOKUP(TableInvs[[#This Row],[Calc_V_Typ]],Tran_RevenuesList,3,FALSE),"")</f>
        <v/>
      </c>
      <c r="E409" s="31">
        <f t="shared" si="41"/>
        <v>0</v>
      </c>
      <c r="F409" s="94"/>
      <c r="G409" s="84"/>
      <c r="H409" s="84"/>
      <c r="I409" s="84"/>
      <c r="J409" s="84"/>
      <c r="K409" s="84"/>
      <c r="L409" s="84"/>
      <c r="M409" s="84"/>
      <c r="N409" s="84"/>
      <c r="O409" s="84"/>
      <c r="P409" s="84"/>
      <c r="Q409" s="84"/>
      <c r="R409" s="84"/>
      <c r="S409" s="84"/>
      <c r="T409" s="84"/>
      <c r="U409" s="84"/>
      <c r="V409" s="84"/>
      <c r="W409" s="84"/>
      <c r="X409" s="84"/>
      <c r="Y409" s="84"/>
      <c r="Z409" s="84"/>
      <c r="AA409" s="84"/>
      <c r="AB409" s="84"/>
      <c r="AC409" s="85"/>
      <c r="AD409" s="85"/>
      <c r="AE409" s="84"/>
      <c r="AF409" s="84"/>
      <c r="AG409" s="84"/>
      <c r="AH409" s="84"/>
      <c r="AI409" s="84"/>
      <c r="AJ409" s="84"/>
      <c r="AK409" s="84"/>
      <c r="AL409" s="84"/>
      <c r="AM409" s="84"/>
      <c r="AN409" s="84"/>
      <c r="AO409" s="84"/>
      <c r="AP409" s="84"/>
      <c r="AQ409" s="84"/>
      <c r="AR409" s="84"/>
      <c r="AS409" s="87">
        <f t="array" ref="AS409">IF(E409=1,SUM((ROW(Mf0)=ROW(AS409))*(Mf0+Mf1_+Mf2_+Mf3_+Mf4_+Mf5_+Mf6_+Mf7_+Mf8_+Mf9_+Mf10_+Mf11_+Mf12_+Mf13_+Mf14_+Mf15_+Mf16_+Mf17_+Mf18_+Mf19_+Mf20_+Mf21_+Mf22_+Mf23_+Mf24_+Mf25_+Mf26_+Mf27_+Mf28_+Mf29_+Mf30_+Mf31_+Mf32_+Mf33_+Mf34_+Mf35_+Mf36_+Mf37_)),0)</f>
        <v>0</v>
      </c>
      <c r="AU409" s="24" t="str">
        <f t="shared" si="42"/>
        <v/>
      </c>
      <c r="AV409" s="24" t="str">
        <f t="shared" si="43"/>
        <v/>
      </c>
      <c r="AW409" s="24" t="str">
        <f t="shared" si="44"/>
        <v/>
      </c>
      <c r="AX409" s="72">
        <f t="shared" si="45"/>
        <v>0</v>
      </c>
      <c r="AY409" s="24">
        <f t="shared" si="46"/>
        <v>0</v>
      </c>
      <c r="AZ409" s="24">
        <f t="array" ref="AZ409">IF(OR(RIGHT(B409,LEN(Par_LabelTravelTime))=Par_LabelTravelTime,B409="čas na ceste - fakturácia"),1,0)</f>
        <v>0</v>
      </c>
    </row>
    <row r="410" spans="2:52" s="24" customFormat="1" ht="12.75" x14ac:dyDescent="0.2">
      <c r="B410" s="97"/>
      <c r="C410" s="92"/>
      <c r="D410" s="31" t="str">
        <f>IF(E410=1,VLOOKUP(TableInvs[[#This Row],[Calc_V_Typ]],Tran_RevenuesList,3,FALSE),"")</f>
        <v/>
      </c>
      <c r="E410" s="31">
        <f t="shared" si="41"/>
        <v>0</v>
      </c>
      <c r="F410" s="94"/>
      <c r="G410" s="84"/>
      <c r="H410" s="84"/>
      <c r="I410" s="84"/>
      <c r="J410" s="84"/>
      <c r="K410" s="84"/>
      <c r="L410" s="84"/>
      <c r="M410" s="84"/>
      <c r="N410" s="84"/>
      <c r="O410" s="84"/>
      <c r="P410" s="84"/>
      <c r="Q410" s="84"/>
      <c r="R410" s="84"/>
      <c r="S410" s="84"/>
      <c r="T410" s="84"/>
      <c r="U410" s="84"/>
      <c r="V410" s="84"/>
      <c r="W410" s="84"/>
      <c r="X410" s="84"/>
      <c r="Y410" s="84"/>
      <c r="Z410" s="84"/>
      <c r="AA410" s="84"/>
      <c r="AB410" s="84"/>
      <c r="AC410" s="85"/>
      <c r="AD410" s="85"/>
      <c r="AE410" s="84"/>
      <c r="AF410" s="84"/>
      <c r="AG410" s="84"/>
      <c r="AH410" s="84"/>
      <c r="AI410" s="84"/>
      <c r="AJ410" s="84"/>
      <c r="AK410" s="84"/>
      <c r="AL410" s="84"/>
      <c r="AM410" s="84"/>
      <c r="AN410" s="84"/>
      <c r="AO410" s="84"/>
      <c r="AP410" s="84"/>
      <c r="AQ410" s="84"/>
      <c r="AR410" s="84"/>
      <c r="AS410" s="87">
        <f t="array" ref="AS410">IF(E410=1,SUM((ROW(Mf0)=ROW(AS410))*(Mf0+Mf1_+Mf2_+Mf3_+Mf4_+Mf5_+Mf6_+Mf7_+Mf8_+Mf9_+Mf10_+Mf11_+Mf12_+Mf13_+Mf14_+Mf15_+Mf16_+Mf17_+Mf18_+Mf19_+Mf20_+Mf21_+Mf22_+Mf23_+Mf24_+Mf25_+Mf26_+Mf27_+Mf28_+Mf29_+Mf30_+Mf31_+Mf32_+Mf33_+Mf34_+Mf35_+Mf36_+Mf37_)),0)</f>
        <v>0</v>
      </c>
      <c r="AU410" s="24" t="str">
        <f t="shared" si="42"/>
        <v/>
      </c>
      <c r="AV410" s="24" t="str">
        <f t="shared" si="43"/>
        <v/>
      </c>
      <c r="AW410" s="24" t="str">
        <f t="shared" si="44"/>
        <v/>
      </c>
      <c r="AX410" s="72">
        <f t="shared" si="45"/>
        <v>0</v>
      </c>
      <c r="AY410" s="24">
        <f t="shared" si="46"/>
        <v>0</v>
      </c>
      <c r="AZ410" s="24">
        <f t="array" ref="AZ410">IF(OR(RIGHT(B410,LEN(Par_LabelTravelTime))=Par_LabelTravelTime,B410="čas na ceste - fakturácia"),1,0)</f>
        <v>0</v>
      </c>
    </row>
    <row r="411" spans="2:52" s="24" customFormat="1" ht="12.75" x14ac:dyDescent="0.2">
      <c r="B411" s="97"/>
      <c r="C411" s="92"/>
      <c r="D411" s="31" t="str">
        <f>IF(E411=1,VLOOKUP(TableInvs[[#This Row],[Calc_V_Typ]],Tran_RevenuesList,3,FALSE),"")</f>
        <v/>
      </c>
      <c r="E411" s="31">
        <f t="shared" si="41"/>
        <v>0</v>
      </c>
      <c r="F411" s="94"/>
      <c r="G411" s="84"/>
      <c r="H411" s="84"/>
      <c r="I411" s="84"/>
      <c r="J411" s="84"/>
      <c r="K411" s="84"/>
      <c r="L411" s="84"/>
      <c r="M411" s="84"/>
      <c r="N411" s="84"/>
      <c r="O411" s="84"/>
      <c r="P411" s="84"/>
      <c r="Q411" s="84"/>
      <c r="R411" s="84"/>
      <c r="S411" s="84"/>
      <c r="T411" s="84"/>
      <c r="U411" s="84"/>
      <c r="V411" s="84"/>
      <c r="W411" s="84"/>
      <c r="X411" s="84"/>
      <c r="Y411" s="84"/>
      <c r="Z411" s="84"/>
      <c r="AA411" s="84"/>
      <c r="AB411" s="84"/>
      <c r="AC411" s="85"/>
      <c r="AD411" s="85"/>
      <c r="AE411" s="84"/>
      <c r="AF411" s="84"/>
      <c r="AG411" s="84"/>
      <c r="AH411" s="84"/>
      <c r="AI411" s="84"/>
      <c r="AJ411" s="84"/>
      <c r="AK411" s="84"/>
      <c r="AL411" s="84"/>
      <c r="AM411" s="84"/>
      <c r="AN411" s="84"/>
      <c r="AO411" s="84"/>
      <c r="AP411" s="84"/>
      <c r="AQ411" s="84"/>
      <c r="AR411" s="84"/>
      <c r="AS411" s="87">
        <f t="array" ref="AS411">IF(E411=1,SUM((ROW(Mf0)=ROW(AS411))*(Mf0+Mf1_+Mf2_+Mf3_+Mf4_+Mf5_+Mf6_+Mf7_+Mf8_+Mf9_+Mf10_+Mf11_+Mf12_+Mf13_+Mf14_+Mf15_+Mf16_+Mf17_+Mf18_+Mf19_+Mf20_+Mf21_+Mf22_+Mf23_+Mf24_+Mf25_+Mf26_+Mf27_+Mf28_+Mf29_+Mf30_+Mf31_+Mf32_+Mf33_+Mf34_+Mf35_+Mf36_+Mf37_)),0)</f>
        <v>0</v>
      </c>
      <c r="AU411" s="24" t="str">
        <f t="shared" si="42"/>
        <v/>
      </c>
      <c r="AV411" s="24" t="str">
        <f t="shared" si="43"/>
        <v/>
      </c>
      <c r="AW411" s="24" t="str">
        <f t="shared" si="44"/>
        <v/>
      </c>
      <c r="AX411" s="72">
        <f t="shared" si="45"/>
        <v>0</v>
      </c>
      <c r="AY411" s="24">
        <f t="shared" si="46"/>
        <v>0</v>
      </c>
      <c r="AZ411" s="24">
        <f t="array" ref="AZ411">IF(OR(RIGHT(B411,LEN(Par_LabelTravelTime))=Par_LabelTravelTime,B411="čas na ceste - fakturácia"),1,0)</f>
        <v>0</v>
      </c>
    </row>
    <row r="412" spans="2:52" s="24" customFormat="1" ht="12.75" x14ac:dyDescent="0.2">
      <c r="B412" s="97"/>
      <c r="C412" s="92"/>
      <c r="D412" s="31" t="str">
        <f>IF(E412=1,VLOOKUP(TableInvs[[#This Row],[Calc_V_Typ]],Tran_RevenuesList,3,FALSE),"")</f>
        <v/>
      </c>
      <c r="E412" s="31">
        <f t="shared" si="41"/>
        <v>0</v>
      </c>
      <c r="F412" s="94"/>
      <c r="G412" s="84"/>
      <c r="H412" s="84"/>
      <c r="I412" s="84"/>
      <c r="J412" s="84"/>
      <c r="K412" s="84"/>
      <c r="L412" s="84"/>
      <c r="M412" s="84"/>
      <c r="N412" s="84"/>
      <c r="O412" s="84"/>
      <c r="P412" s="84"/>
      <c r="Q412" s="84"/>
      <c r="R412" s="84"/>
      <c r="S412" s="84"/>
      <c r="T412" s="84"/>
      <c r="U412" s="84"/>
      <c r="V412" s="84"/>
      <c r="W412" s="84"/>
      <c r="X412" s="84"/>
      <c r="Y412" s="84"/>
      <c r="Z412" s="84"/>
      <c r="AA412" s="84"/>
      <c r="AB412" s="84"/>
      <c r="AC412" s="85"/>
      <c r="AD412" s="85"/>
      <c r="AE412" s="84"/>
      <c r="AF412" s="84"/>
      <c r="AG412" s="84"/>
      <c r="AH412" s="84"/>
      <c r="AI412" s="84"/>
      <c r="AJ412" s="84"/>
      <c r="AK412" s="84"/>
      <c r="AL412" s="84"/>
      <c r="AM412" s="84"/>
      <c r="AN412" s="84"/>
      <c r="AO412" s="84"/>
      <c r="AP412" s="84"/>
      <c r="AQ412" s="84"/>
      <c r="AR412" s="84"/>
      <c r="AS412" s="87">
        <f t="array" ref="AS412">IF(E412=1,SUM((ROW(Mf0)=ROW(AS412))*(Mf0+Mf1_+Mf2_+Mf3_+Mf4_+Mf5_+Mf6_+Mf7_+Mf8_+Mf9_+Mf10_+Mf11_+Mf12_+Mf13_+Mf14_+Mf15_+Mf16_+Mf17_+Mf18_+Mf19_+Mf20_+Mf21_+Mf22_+Mf23_+Mf24_+Mf25_+Mf26_+Mf27_+Mf28_+Mf29_+Mf30_+Mf31_+Mf32_+Mf33_+Mf34_+Mf35_+Mf36_+Mf37_)),0)</f>
        <v>0</v>
      </c>
      <c r="AU412" s="24" t="str">
        <f t="shared" si="42"/>
        <v/>
      </c>
      <c r="AV412" s="24" t="str">
        <f t="shared" si="43"/>
        <v/>
      </c>
      <c r="AW412" s="24" t="str">
        <f t="shared" si="44"/>
        <v/>
      </c>
      <c r="AX412" s="72">
        <f t="shared" si="45"/>
        <v>0</v>
      </c>
      <c r="AY412" s="24">
        <f t="shared" si="46"/>
        <v>0</v>
      </c>
      <c r="AZ412" s="24">
        <f t="array" ref="AZ412">IF(OR(RIGHT(B412,LEN(Par_LabelTravelTime))=Par_LabelTravelTime,B412="čas na ceste - fakturácia"),1,0)</f>
        <v>0</v>
      </c>
    </row>
    <row r="413" spans="2:52" s="24" customFormat="1" ht="12.75" x14ac:dyDescent="0.2">
      <c r="B413" s="97"/>
      <c r="C413" s="92"/>
      <c r="D413" s="31" t="str">
        <f>IF(E413=1,VLOOKUP(TableInvs[[#This Row],[Calc_V_Typ]],Tran_RevenuesList,3,FALSE),"")</f>
        <v/>
      </c>
      <c r="E413" s="31">
        <f t="shared" si="41"/>
        <v>0</v>
      </c>
      <c r="F413" s="94"/>
      <c r="G413" s="84"/>
      <c r="H413" s="84"/>
      <c r="I413" s="84"/>
      <c r="J413" s="84"/>
      <c r="K413" s="84"/>
      <c r="L413" s="84"/>
      <c r="M413" s="84"/>
      <c r="N413" s="84"/>
      <c r="O413" s="84"/>
      <c r="P413" s="84"/>
      <c r="Q413" s="84"/>
      <c r="R413" s="84"/>
      <c r="S413" s="84"/>
      <c r="T413" s="84"/>
      <c r="U413" s="84"/>
      <c r="V413" s="84"/>
      <c r="W413" s="84"/>
      <c r="X413" s="84"/>
      <c r="Y413" s="84"/>
      <c r="Z413" s="84"/>
      <c r="AA413" s="84"/>
      <c r="AB413" s="84"/>
      <c r="AC413" s="85"/>
      <c r="AD413" s="85"/>
      <c r="AE413" s="84"/>
      <c r="AF413" s="84"/>
      <c r="AG413" s="84"/>
      <c r="AH413" s="84"/>
      <c r="AI413" s="84"/>
      <c r="AJ413" s="84"/>
      <c r="AK413" s="84"/>
      <c r="AL413" s="84"/>
      <c r="AM413" s="84"/>
      <c r="AN413" s="84"/>
      <c r="AO413" s="84"/>
      <c r="AP413" s="84"/>
      <c r="AQ413" s="84"/>
      <c r="AR413" s="84"/>
      <c r="AS413" s="87">
        <f t="array" ref="AS413">IF(E413=1,SUM((ROW(Mf0)=ROW(AS413))*(Mf0+Mf1_+Mf2_+Mf3_+Mf4_+Mf5_+Mf6_+Mf7_+Mf8_+Mf9_+Mf10_+Mf11_+Mf12_+Mf13_+Mf14_+Mf15_+Mf16_+Mf17_+Mf18_+Mf19_+Mf20_+Mf21_+Mf22_+Mf23_+Mf24_+Mf25_+Mf26_+Mf27_+Mf28_+Mf29_+Mf30_+Mf31_+Mf32_+Mf33_+Mf34_+Mf35_+Mf36_+Mf37_)),0)</f>
        <v>0</v>
      </c>
      <c r="AU413" s="24" t="str">
        <f t="shared" si="42"/>
        <v/>
      </c>
      <c r="AV413" s="24" t="str">
        <f t="shared" si="43"/>
        <v/>
      </c>
      <c r="AW413" s="24" t="str">
        <f t="shared" si="44"/>
        <v/>
      </c>
      <c r="AX413" s="72">
        <f t="shared" si="45"/>
        <v>0</v>
      </c>
      <c r="AY413" s="24">
        <f t="shared" si="46"/>
        <v>0</v>
      </c>
      <c r="AZ413" s="24">
        <f t="array" ref="AZ413">IF(OR(RIGHT(B413,LEN(Par_LabelTravelTime))=Par_LabelTravelTime,B413="čas na ceste - fakturácia"),1,0)</f>
        <v>0</v>
      </c>
    </row>
    <row r="414" spans="2:52" s="24" customFormat="1" ht="12.75" x14ac:dyDescent="0.2">
      <c r="B414" s="97"/>
      <c r="C414" s="92"/>
      <c r="D414" s="31" t="str">
        <f>IF(E414=1,VLOOKUP(TableInvs[[#This Row],[Calc_V_Typ]],Tran_RevenuesList,3,FALSE),"")</f>
        <v/>
      </c>
      <c r="E414" s="31">
        <f t="shared" si="41"/>
        <v>0</v>
      </c>
      <c r="F414" s="9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  <c r="R414" s="84"/>
      <c r="S414" s="84"/>
      <c r="T414" s="84"/>
      <c r="U414" s="84"/>
      <c r="V414" s="84"/>
      <c r="W414" s="84"/>
      <c r="X414" s="84"/>
      <c r="Y414" s="84"/>
      <c r="Z414" s="84"/>
      <c r="AA414" s="84"/>
      <c r="AB414" s="84"/>
      <c r="AC414" s="85"/>
      <c r="AD414" s="85"/>
      <c r="AE414" s="84"/>
      <c r="AF414" s="84"/>
      <c r="AG414" s="84"/>
      <c r="AH414" s="84"/>
      <c r="AI414" s="84"/>
      <c r="AJ414" s="84"/>
      <c r="AK414" s="84"/>
      <c r="AL414" s="84"/>
      <c r="AM414" s="84"/>
      <c r="AN414" s="84"/>
      <c r="AO414" s="84"/>
      <c r="AP414" s="84"/>
      <c r="AQ414" s="84"/>
      <c r="AR414" s="84"/>
      <c r="AS414" s="87">
        <f t="array" ref="AS414">IF(E414=1,SUM((ROW(Mf0)=ROW(AS414))*(Mf0+Mf1_+Mf2_+Mf3_+Mf4_+Mf5_+Mf6_+Mf7_+Mf8_+Mf9_+Mf10_+Mf11_+Mf12_+Mf13_+Mf14_+Mf15_+Mf16_+Mf17_+Mf18_+Mf19_+Mf20_+Mf21_+Mf22_+Mf23_+Mf24_+Mf25_+Mf26_+Mf27_+Mf28_+Mf29_+Mf30_+Mf31_+Mf32_+Mf33_+Mf34_+Mf35_+Mf36_+Mf37_)),0)</f>
        <v>0</v>
      </c>
      <c r="AU414" s="24" t="str">
        <f t="shared" si="42"/>
        <v/>
      </c>
      <c r="AV414" s="24" t="str">
        <f t="shared" si="43"/>
        <v/>
      </c>
      <c r="AW414" s="24" t="str">
        <f t="shared" si="44"/>
        <v/>
      </c>
      <c r="AX414" s="72">
        <f t="shared" si="45"/>
        <v>0</v>
      </c>
      <c r="AY414" s="24">
        <f t="shared" si="46"/>
        <v>0</v>
      </c>
      <c r="AZ414" s="24">
        <f t="array" ref="AZ414">IF(OR(RIGHT(B414,LEN(Par_LabelTravelTime))=Par_LabelTravelTime,B414="čas na ceste - fakturácia"),1,0)</f>
        <v>0</v>
      </c>
    </row>
    <row r="415" spans="2:52" s="24" customFormat="1" ht="12.75" x14ac:dyDescent="0.2">
      <c r="B415" s="97"/>
      <c r="C415" s="92"/>
      <c r="D415" s="31" t="str">
        <f>IF(E415=1,VLOOKUP(TableInvs[[#This Row],[Calc_V_Typ]],Tran_RevenuesList,3,FALSE),"")</f>
        <v/>
      </c>
      <c r="E415" s="31">
        <f t="shared" si="41"/>
        <v>0</v>
      </c>
      <c r="F415" s="9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  <c r="R415" s="84"/>
      <c r="S415" s="84"/>
      <c r="T415" s="84"/>
      <c r="U415" s="84"/>
      <c r="V415" s="84"/>
      <c r="W415" s="84"/>
      <c r="X415" s="84"/>
      <c r="Y415" s="84"/>
      <c r="Z415" s="84"/>
      <c r="AA415" s="84"/>
      <c r="AB415" s="84"/>
      <c r="AC415" s="85"/>
      <c r="AD415" s="85"/>
      <c r="AE415" s="84"/>
      <c r="AF415" s="84"/>
      <c r="AG415" s="84"/>
      <c r="AH415" s="84"/>
      <c r="AI415" s="84"/>
      <c r="AJ415" s="84"/>
      <c r="AK415" s="84"/>
      <c r="AL415" s="84"/>
      <c r="AM415" s="84"/>
      <c r="AN415" s="84"/>
      <c r="AO415" s="84"/>
      <c r="AP415" s="84"/>
      <c r="AQ415" s="84"/>
      <c r="AR415" s="84"/>
      <c r="AS415" s="87">
        <f t="array" ref="AS415">IF(E415=1,SUM((ROW(Mf0)=ROW(AS415))*(Mf0+Mf1_+Mf2_+Mf3_+Mf4_+Mf5_+Mf6_+Mf7_+Mf8_+Mf9_+Mf10_+Mf11_+Mf12_+Mf13_+Mf14_+Mf15_+Mf16_+Mf17_+Mf18_+Mf19_+Mf20_+Mf21_+Mf22_+Mf23_+Mf24_+Mf25_+Mf26_+Mf27_+Mf28_+Mf29_+Mf30_+Mf31_+Mf32_+Mf33_+Mf34_+Mf35_+Mf36_+Mf37_)),0)</f>
        <v>0</v>
      </c>
      <c r="AU415" s="24" t="str">
        <f t="shared" si="42"/>
        <v/>
      </c>
      <c r="AV415" s="24" t="str">
        <f t="shared" si="43"/>
        <v/>
      </c>
      <c r="AW415" s="24" t="str">
        <f t="shared" si="44"/>
        <v/>
      </c>
      <c r="AX415" s="72">
        <f t="shared" si="45"/>
        <v>0</v>
      </c>
      <c r="AY415" s="24">
        <f t="shared" si="46"/>
        <v>0</v>
      </c>
      <c r="AZ415" s="24">
        <f t="array" ref="AZ415">IF(OR(RIGHT(B415,LEN(Par_LabelTravelTime))=Par_LabelTravelTime,B415="čas na ceste - fakturácia"),1,0)</f>
        <v>0</v>
      </c>
    </row>
    <row r="416" spans="2:52" s="24" customFormat="1" ht="12.75" x14ac:dyDescent="0.2">
      <c r="B416" s="97"/>
      <c r="C416" s="92"/>
      <c r="D416" s="31" t="str">
        <f>IF(E416=1,VLOOKUP(TableInvs[[#This Row],[Calc_V_Typ]],Tran_RevenuesList,3,FALSE),"")</f>
        <v/>
      </c>
      <c r="E416" s="31">
        <f t="shared" si="41"/>
        <v>0</v>
      </c>
      <c r="F416" s="94"/>
      <c r="G416" s="84"/>
      <c r="H416" s="84"/>
      <c r="I416" s="84"/>
      <c r="J416" s="84"/>
      <c r="K416" s="84"/>
      <c r="L416" s="84"/>
      <c r="M416" s="84"/>
      <c r="N416" s="84"/>
      <c r="O416" s="84"/>
      <c r="P416" s="84"/>
      <c r="Q416" s="84"/>
      <c r="R416" s="84"/>
      <c r="S416" s="84"/>
      <c r="T416" s="84"/>
      <c r="U416" s="84"/>
      <c r="V416" s="84"/>
      <c r="W416" s="84"/>
      <c r="X416" s="84"/>
      <c r="Y416" s="84"/>
      <c r="Z416" s="84"/>
      <c r="AA416" s="84"/>
      <c r="AB416" s="84"/>
      <c r="AC416" s="85"/>
      <c r="AD416" s="85"/>
      <c r="AE416" s="84"/>
      <c r="AF416" s="84"/>
      <c r="AG416" s="84"/>
      <c r="AH416" s="84"/>
      <c r="AI416" s="84"/>
      <c r="AJ416" s="84"/>
      <c r="AK416" s="84"/>
      <c r="AL416" s="84"/>
      <c r="AM416" s="84"/>
      <c r="AN416" s="84"/>
      <c r="AO416" s="84"/>
      <c r="AP416" s="84"/>
      <c r="AQ416" s="84"/>
      <c r="AR416" s="84"/>
      <c r="AS416" s="87">
        <f t="array" ref="AS416">IF(E416=1,SUM((ROW(Mf0)=ROW(AS416))*(Mf0+Mf1_+Mf2_+Mf3_+Mf4_+Mf5_+Mf6_+Mf7_+Mf8_+Mf9_+Mf10_+Mf11_+Mf12_+Mf13_+Mf14_+Mf15_+Mf16_+Mf17_+Mf18_+Mf19_+Mf20_+Mf21_+Mf22_+Mf23_+Mf24_+Mf25_+Mf26_+Mf27_+Mf28_+Mf29_+Mf30_+Mf31_+Mf32_+Mf33_+Mf34_+Mf35_+Mf36_+Mf37_)),0)</f>
        <v>0</v>
      </c>
      <c r="AU416" s="24" t="str">
        <f t="shared" si="42"/>
        <v/>
      </c>
      <c r="AV416" s="24" t="str">
        <f t="shared" si="43"/>
        <v/>
      </c>
      <c r="AW416" s="24" t="str">
        <f t="shared" si="44"/>
        <v/>
      </c>
      <c r="AX416" s="72">
        <f t="shared" si="45"/>
        <v>0</v>
      </c>
      <c r="AY416" s="24">
        <f t="shared" si="46"/>
        <v>0</v>
      </c>
      <c r="AZ416" s="24">
        <f t="array" ref="AZ416">IF(OR(RIGHT(B416,LEN(Par_LabelTravelTime))=Par_LabelTravelTime,B416="čas na ceste - fakturácia"),1,0)</f>
        <v>0</v>
      </c>
    </row>
    <row r="417" spans="2:52" s="24" customFormat="1" ht="12.75" x14ac:dyDescent="0.2">
      <c r="B417" s="97"/>
      <c r="C417" s="92"/>
      <c r="D417" s="31" t="str">
        <f>IF(E417=1,VLOOKUP(TableInvs[[#This Row],[Calc_V_Typ]],Tran_RevenuesList,3,FALSE),"")</f>
        <v/>
      </c>
      <c r="E417" s="31">
        <f t="shared" si="41"/>
        <v>0</v>
      </c>
      <c r="F417" s="9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  <c r="S417" s="84"/>
      <c r="T417" s="84"/>
      <c r="U417" s="84"/>
      <c r="V417" s="84"/>
      <c r="W417" s="84"/>
      <c r="X417" s="84"/>
      <c r="Y417" s="84"/>
      <c r="Z417" s="84"/>
      <c r="AA417" s="84"/>
      <c r="AB417" s="84"/>
      <c r="AC417" s="85"/>
      <c r="AD417" s="85"/>
      <c r="AE417" s="84"/>
      <c r="AF417" s="84"/>
      <c r="AG417" s="84"/>
      <c r="AH417" s="84"/>
      <c r="AI417" s="84"/>
      <c r="AJ417" s="84"/>
      <c r="AK417" s="84"/>
      <c r="AL417" s="84"/>
      <c r="AM417" s="84"/>
      <c r="AN417" s="84"/>
      <c r="AO417" s="84"/>
      <c r="AP417" s="84"/>
      <c r="AQ417" s="84"/>
      <c r="AR417" s="84"/>
      <c r="AS417" s="87">
        <f t="array" ref="AS417">IF(E417=1,SUM((ROW(Mf0)=ROW(AS417))*(Mf0+Mf1_+Mf2_+Mf3_+Mf4_+Mf5_+Mf6_+Mf7_+Mf8_+Mf9_+Mf10_+Mf11_+Mf12_+Mf13_+Mf14_+Mf15_+Mf16_+Mf17_+Mf18_+Mf19_+Mf20_+Mf21_+Mf22_+Mf23_+Mf24_+Mf25_+Mf26_+Mf27_+Mf28_+Mf29_+Mf30_+Mf31_+Mf32_+Mf33_+Mf34_+Mf35_+Mf36_+Mf37_)),0)</f>
        <v>0</v>
      </c>
      <c r="AU417" s="24" t="str">
        <f t="shared" si="42"/>
        <v/>
      </c>
      <c r="AV417" s="24" t="str">
        <f t="shared" si="43"/>
        <v/>
      </c>
      <c r="AW417" s="24" t="str">
        <f t="shared" si="44"/>
        <v/>
      </c>
      <c r="AX417" s="72">
        <f t="shared" si="45"/>
        <v>0</v>
      </c>
      <c r="AY417" s="24">
        <f t="shared" si="46"/>
        <v>0</v>
      </c>
      <c r="AZ417" s="24">
        <f t="array" ref="AZ417">IF(OR(RIGHT(B417,LEN(Par_LabelTravelTime))=Par_LabelTravelTime,B417="čas na ceste - fakturácia"),1,0)</f>
        <v>0</v>
      </c>
    </row>
    <row r="418" spans="2:52" s="24" customFormat="1" ht="12.75" x14ac:dyDescent="0.2">
      <c r="B418" s="97"/>
      <c r="C418" s="92"/>
      <c r="D418" s="31" t="str">
        <f>IF(E418=1,VLOOKUP(TableInvs[[#This Row],[Calc_V_Typ]],Tran_RevenuesList,3,FALSE),"")</f>
        <v/>
      </c>
      <c r="E418" s="31">
        <f t="shared" si="41"/>
        <v>0</v>
      </c>
      <c r="F418" s="9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  <c r="S418" s="84"/>
      <c r="T418" s="84"/>
      <c r="U418" s="84"/>
      <c r="V418" s="84"/>
      <c r="W418" s="84"/>
      <c r="X418" s="84"/>
      <c r="Y418" s="84"/>
      <c r="Z418" s="84"/>
      <c r="AA418" s="84"/>
      <c r="AB418" s="84"/>
      <c r="AC418" s="85"/>
      <c r="AD418" s="85"/>
      <c r="AE418" s="84"/>
      <c r="AF418" s="84"/>
      <c r="AG418" s="84"/>
      <c r="AH418" s="84"/>
      <c r="AI418" s="84"/>
      <c r="AJ418" s="84"/>
      <c r="AK418" s="84"/>
      <c r="AL418" s="84"/>
      <c r="AM418" s="84"/>
      <c r="AN418" s="84"/>
      <c r="AO418" s="84"/>
      <c r="AP418" s="84"/>
      <c r="AQ418" s="84"/>
      <c r="AR418" s="84"/>
      <c r="AS418" s="87">
        <f t="array" ref="AS418">IF(E418=1,SUM((ROW(Mf0)=ROW(AS418))*(Mf0+Mf1_+Mf2_+Mf3_+Mf4_+Mf5_+Mf6_+Mf7_+Mf8_+Mf9_+Mf10_+Mf11_+Mf12_+Mf13_+Mf14_+Mf15_+Mf16_+Mf17_+Mf18_+Mf19_+Mf20_+Mf21_+Mf22_+Mf23_+Mf24_+Mf25_+Mf26_+Mf27_+Mf28_+Mf29_+Mf30_+Mf31_+Mf32_+Mf33_+Mf34_+Mf35_+Mf36_+Mf37_)),0)</f>
        <v>0</v>
      </c>
      <c r="AU418" s="24" t="str">
        <f t="shared" si="42"/>
        <v/>
      </c>
      <c r="AV418" s="24" t="str">
        <f t="shared" si="43"/>
        <v/>
      </c>
      <c r="AW418" s="24" t="str">
        <f t="shared" si="44"/>
        <v/>
      </c>
      <c r="AX418" s="72">
        <f t="shared" si="45"/>
        <v>0</v>
      </c>
      <c r="AY418" s="24">
        <f t="shared" si="46"/>
        <v>0</v>
      </c>
      <c r="AZ418" s="24">
        <f t="array" ref="AZ418">IF(OR(RIGHT(B418,LEN(Par_LabelTravelTime))=Par_LabelTravelTime,B418="čas na ceste - fakturácia"),1,0)</f>
        <v>0</v>
      </c>
    </row>
    <row r="419" spans="2:52" s="24" customFormat="1" ht="12.75" x14ac:dyDescent="0.2">
      <c r="B419" s="97"/>
      <c r="C419" s="92"/>
      <c r="D419" s="31" t="str">
        <f>IF(E419=1,VLOOKUP(TableInvs[[#This Row],[Calc_V_Typ]],Tran_RevenuesList,3,FALSE),"")</f>
        <v/>
      </c>
      <c r="E419" s="31">
        <f t="shared" si="41"/>
        <v>0</v>
      </c>
      <c r="F419" s="9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  <c r="S419" s="84"/>
      <c r="T419" s="84"/>
      <c r="U419" s="84"/>
      <c r="V419" s="84"/>
      <c r="W419" s="84"/>
      <c r="X419" s="84"/>
      <c r="Y419" s="84"/>
      <c r="Z419" s="84"/>
      <c r="AA419" s="84"/>
      <c r="AB419" s="84"/>
      <c r="AC419" s="85"/>
      <c r="AD419" s="85"/>
      <c r="AE419" s="84"/>
      <c r="AF419" s="84"/>
      <c r="AG419" s="84"/>
      <c r="AH419" s="84"/>
      <c r="AI419" s="84"/>
      <c r="AJ419" s="84"/>
      <c r="AK419" s="84"/>
      <c r="AL419" s="84"/>
      <c r="AM419" s="84"/>
      <c r="AN419" s="84"/>
      <c r="AO419" s="84"/>
      <c r="AP419" s="84"/>
      <c r="AQ419" s="84"/>
      <c r="AR419" s="84"/>
      <c r="AS419" s="87">
        <f t="array" ref="AS419">IF(E419=1,SUM((ROW(Mf0)=ROW(AS419))*(Mf0+Mf1_+Mf2_+Mf3_+Mf4_+Mf5_+Mf6_+Mf7_+Mf8_+Mf9_+Mf10_+Mf11_+Mf12_+Mf13_+Mf14_+Mf15_+Mf16_+Mf17_+Mf18_+Mf19_+Mf20_+Mf21_+Mf22_+Mf23_+Mf24_+Mf25_+Mf26_+Mf27_+Mf28_+Mf29_+Mf30_+Mf31_+Mf32_+Mf33_+Mf34_+Mf35_+Mf36_+Mf37_)),0)</f>
        <v>0</v>
      </c>
      <c r="AU419" s="24" t="str">
        <f t="shared" si="42"/>
        <v/>
      </c>
      <c r="AV419" s="24" t="str">
        <f t="shared" si="43"/>
        <v/>
      </c>
      <c r="AW419" s="24" t="str">
        <f t="shared" si="44"/>
        <v/>
      </c>
      <c r="AX419" s="72">
        <f t="shared" si="45"/>
        <v>0</v>
      </c>
      <c r="AY419" s="24">
        <f t="shared" si="46"/>
        <v>0</v>
      </c>
      <c r="AZ419" s="24">
        <f t="array" ref="AZ419">IF(OR(RIGHT(B419,LEN(Par_LabelTravelTime))=Par_LabelTravelTime,B419="čas na ceste - fakturácia"),1,0)</f>
        <v>0</v>
      </c>
    </row>
    <row r="420" spans="2:52" s="24" customFormat="1" ht="12.75" x14ac:dyDescent="0.2">
      <c r="B420" s="97"/>
      <c r="C420" s="92"/>
      <c r="D420" s="31" t="str">
        <f>IF(E420=1,VLOOKUP(TableInvs[[#This Row],[Calc_V_Typ]],Tran_RevenuesList,3,FALSE),"")</f>
        <v/>
      </c>
      <c r="E420" s="31">
        <f t="shared" si="41"/>
        <v>0</v>
      </c>
      <c r="F420" s="9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  <c r="S420" s="84"/>
      <c r="T420" s="84"/>
      <c r="U420" s="84"/>
      <c r="V420" s="84"/>
      <c r="W420" s="84"/>
      <c r="X420" s="84"/>
      <c r="Y420" s="84"/>
      <c r="Z420" s="84"/>
      <c r="AA420" s="84"/>
      <c r="AB420" s="84"/>
      <c r="AC420" s="85"/>
      <c r="AD420" s="85"/>
      <c r="AE420" s="84"/>
      <c r="AF420" s="84"/>
      <c r="AG420" s="84"/>
      <c r="AH420" s="84"/>
      <c r="AI420" s="84"/>
      <c r="AJ420" s="84"/>
      <c r="AK420" s="84"/>
      <c r="AL420" s="84"/>
      <c r="AM420" s="84"/>
      <c r="AN420" s="84"/>
      <c r="AO420" s="84"/>
      <c r="AP420" s="84"/>
      <c r="AQ420" s="84"/>
      <c r="AR420" s="84"/>
      <c r="AS420" s="87">
        <f t="array" ref="AS420">IF(E420=1,SUM((ROW(Mf0)=ROW(AS420))*(Mf0+Mf1_+Mf2_+Mf3_+Mf4_+Mf5_+Mf6_+Mf7_+Mf8_+Mf9_+Mf10_+Mf11_+Mf12_+Mf13_+Mf14_+Mf15_+Mf16_+Mf17_+Mf18_+Mf19_+Mf20_+Mf21_+Mf22_+Mf23_+Mf24_+Mf25_+Mf26_+Mf27_+Mf28_+Mf29_+Mf30_+Mf31_+Mf32_+Mf33_+Mf34_+Mf35_+Mf36_+Mf37_)),0)</f>
        <v>0</v>
      </c>
      <c r="AU420" s="24" t="str">
        <f t="shared" si="42"/>
        <v/>
      </c>
      <c r="AV420" s="24" t="str">
        <f t="shared" si="43"/>
        <v/>
      </c>
      <c r="AW420" s="24" t="str">
        <f t="shared" si="44"/>
        <v/>
      </c>
      <c r="AX420" s="72">
        <f t="shared" si="45"/>
        <v>0</v>
      </c>
      <c r="AY420" s="24">
        <f t="shared" si="46"/>
        <v>0</v>
      </c>
      <c r="AZ420" s="24">
        <f t="array" ref="AZ420">IF(OR(RIGHT(B420,LEN(Par_LabelTravelTime))=Par_LabelTravelTime,B420="čas na ceste - fakturácia"),1,0)</f>
        <v>0</v>
      </c>
    </row>
    <row r="421" spans="2:52" s="24" customFormat="1" ht="12.75" x14ac:dyDescent="0.2">
      <c r="B421" s="97"/>
      <c r="C421" s="92"/>
      <c r="D421" s="31" t="str">
        <f>IF(E421=1,VLOOKUP(TableInvs[[#This Row],[Calc_V_Typ]],Tran_RevenuesList,3,FALSE),"")</f>
        <v/>
      </c>
      <c r="E421" s="31">
        <f t="shared" si="41"/>
        <v>0</v>
      </c>
      <c r="F421" s="9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  <c r="S421" s="84"/>
      <c r="T421" s="84"/>
      <c r="U421" s="84"/>
      <c r="V421" s="84"/>
      <c r="W421" s="84"/>
      <c r="X421" s="84"/>
      <c r="Y421" s="84"/>
      <c r="Z421" s="84"/>
      <c r="AA421" s="84"/>
      <c r="AB421" s="84"/>
      <c r="AC421" s="85"/>
      <c r="AD421" s="85"/>
      <c r="AE421" s="84"/>
      <c r="AF421" s="84"/>
      <c r="AG421" s="84"/>
      <c r="AH421" s="84"/>
      <c r="AI421" s="84"/>
      <c r="AJ421" s="84"/>
      <c r="AK421" s="84"/>
      <c r="AL421" s="84"/>
      <c r="AM421" s="84"/>
      <c r="AN421" s="84"/>
      <c r="AO421" s="84"/>
      <c r="AP421" s="84"/>
      <c r="AQ421" s="84"/>
      <c r="AR421" s="84"/>
      <c r="AS421" s="87">
        <f t="array" ref="AS421">IF(E421=1,SUM((ROW(Mf0)=ROW(AS421))*(Mf0+Mf1_+Mf2_+Mf3_+Mf4_+Mf5_+Mf6_+Mf7_+Mf8_+Mf9_+Mf10_+Mf11_+Mf12_+Mf13_+Mf14_+Mf15_+Mf16_+Mf17_+Mf18_+Mf19_+Mf20_+Mf21_+Mf22_+Mf23_+Mf24_+Mf25_+Mf26_+Mf27_+Mf28_+Mf29_+Mf30_+Mf31_+Mf32_+Mf33_+Mf34_+Mf35_+Mf36_+Mf37_)),0)</f>
        <v>0</v>
      </c>
      <c r="AU421" s="24" t="str">
        <f t="shared" si="42"/>
        <v/>
      </c>
      <c r="AV421" s="24" t="str">
        <f t="shared" si="43"/>
        <v/>
      </c>
      <c r="AW421" s="24" t="str">
        <f t="shared" si="44"/>
        <v/>
      </c>
      <c r="AX421" s="72">
        <f t="shared" si="45"/>
        <v>0</v>
      </c>
      <c r="AY421" s="24">
        <f t="shared" si="46"/>
        <v>0</v>
      </c>
      <c r="AZ421" s="24">
        <f t="array" ref="AZ421">IF(OR(RIGHT(B421,LEN(Par_LabelTravelTime))=Par_LabelTravelTime,B421="čas na ceste - fakturácia"),1,0)</f>
        <v>0</v>
      </c>
    </row>
    <row r="422" spans="2:52" s="24" customFormat="1" ht="12.75" x14ac:dyDescent="0.2">
      <c r="B422" s="97"/>
      <c r="C422" s="92"/>
      <c r="D422" s="31" t="str">
        <f>IF(E422=1,VLOOKUP(TableInvs[[#This Row],[Calc_V_Typ]],Tran_RevenuesList,3,FALSE),"")</f>
        <v/>
      </c>
      <c r="E422" s="31">
        <f t="shared" si="41"/>
        <v>0</v>
      </c>
      <c r="F422" s="9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  <c r="S422" s="84"/>
      <c r="T422" s="84"/>
      <c r="U422" s="84"/>
      <c r="V422" s="84"/>
      <c r="W422" s="84"/>
      <c r="X422" s="84"/>
      <c r="Y422" s="84"/>
      <c r="Z422" s="84"/>
      <c r="AA422" s="84"/>
      <c r="AB422" s="84"/>
      <c r="AC422" s="85"/>
      <c r="AD422" s="85"/>
      <c r="AE422" s="84"/>
      <c r="AF422" s="84"/>
      <c r="AG422" s="84"/>
      <c r="AH422" s="84"/>
      <c r="AI422" s="84"/>
      <c r="AJ422" s="84"/>
      <c r="AK422" s="84"/>
      <c r="AL422" s="84"/>
      <c r="AM422" s="84"/>
      <c r="AN422" s="84"/>
      <c r="AO422" s="84"/>
      <c r="AP422" s="84"/>
      <c r="AQ422" s="84"/>
      <c r="AR422" s="84"/>
      <c r="AS422" s="87">
        <f t="array" ref="AS422">IF(E422=1,SUM((ROW(Mf0)=ROW(AS422))*(Mf0+Mf1_+Mf2_+Mf3_+Mf4_+Mf5_+Mf6_+Mf7_+Mf8_+Mf9_+Mf10_+Mf11_+Mf12_+Mf13_+Mf14_+Mf15_+Mf16_+Mf17_+Mf18_+Mf19_+Mf20_+Mf21_+Mf22_+Mf23_+Mf24_+Mf25_+Mf26_+Mf27_+Mf28_+Mf29_+Mf30_+Mf31_+Mf32_+Mf33_+Mf34_+Mf35_+Mf36_+Mf37_)),0)</f>
        <v>0</v>
      </c>
      <c r="AU422" s="24" t="str">
        <f t="shared" si="42"/>
        <v/>
      </c>
      <c r="AV422" s="24" t="str">
        <f t="shared" si="43"/>
        <v/>
      </c>
      <c r="AW422" s="24" t="str">
        <f t="shared" si="44"/>
        <v/>
      </c>
      <c r="AX422" s="72">
        <f t="shared" si="45"/>
        <v>0</v>
      </c>
      <c r="AY422" s="24">
        <f t="shared" si="46"/>
        <v>0</v>
      </c>
      <c r="AZ422" s="24">
        <f t="array" ref="AZ422">IF(OR(RIGHT(B422,LEN(Par_LabelTravelTime))=Par_LabelTravelTime,B422="čas na ceste - fakturácia"),1,0)</f>
        <v>0</v>
      </c>
    </row>
    <row r="423" spans="2:52" s="24" customFormat="1" ht="12.75" x14ac:dyDescent="0.2">
      <c r="B423" s="97"/>
      <c r="C423" s="92"/>
      <c r="D423" s="31" t="str">
        <f>IF(E423=1,VLOOKUP(TableInvs[[#This Row],[Calc_V_Typ]],Tran_RevenuesList,3,FALSE),"")</f>
        <v/>
      </c>
      <c r="E423" s="31">
        <f t="shared" si="41"/>
        <v>0</v>
      </c>
      <c r="F423" s="9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  <c r="S423" s="84"/>
      <c r="T423" s="84"/>
      <c r="U423" s="84"/>
      <c r="V423" s="84"/>
      <c r="W423" s="84"/>
      <c r="X423" s="84"/>
      <c r="Y423" s="84"/>
      <c r="Z423" s="84"/>
      <c r="AA423" s="84"/>
      <c r="AB423" s="84"/>
      <c r="AC423" s="85"/>
      <c r="AD423" s="85"/>
      <c r="AE423" s="84"/>
      <c r="AF423" s="84"/>
      <c r="AG423" s="84"/>
      <c r="AH423" s="84"/>
      <c r="AI423" s="84"/>
      <c r="AJ423" s="84"/>
      <c r="AK423" s="84"/>
      <c r="AL423" s="84"/>
      <c r="AM423" s="84"/>
      <c r="AN423" s="84"/>
      <c r="AO423" s="84"/>
      <c r="AP423" s="84"/>
      <c r="AQ423" s="84"/>
      <c r="AR423" s="84"/>
      <c r="AS423" s="87">
        <f t="array" ref="AS423">IF(E423=1,SUM((ROW(Mf0)=ROW(AS423))*(Mf0+Mf1_+Mf2_+Mf3_+Mf4_+Mf5_+Mf6_+Mf7_+Mf8_+Mf9_+Mf10_+Mf11_+Mf12_+Mf13_+Mf14_+Mf15_+Mf16_+Mf17_+Mf18_+Mf19_+Mf20_+Mf21_+Mf22_+Mf23_+Mf24_+Mf25_+Mf26_+Mf27_+Mf28_+Mf29_+Mf30_+Mf31_+Mf32_+Mf33_+Mf34_+Mf35_+Mf36_+Mf37_)),0)</f>
        <v>0</v>
      </c>
      <c r="AU423" s="24" t="str">
        <f t="shared" si="42"/>
        <v/>
      </c>
      <c r="AV423" s="24" t="str">
        <f t="shared" si="43"/>
        <v/>
      </c>
      <c r="AW423" s="24" t="str">
        <f t="shared" si="44"/>
        <v/>
      </c>
      <c r="AX423" s="72">
        <f t="shared" si="45"/>
        <v>0</v>
      </c>
      <c r="AY423" s="24">
        <f t="shared" si="46"/>
        <v>0</v>
      </c>
      <c r="AZ423" s="24">
        <f t="array" ref="AZ423">IF(OR(RIGHT(B423,LEN(Par_LabelTravelTime))=Par_LabelTravelTime,B423="čas na ceste - fakturácia"),1,0)</f>
        <v>0</v>
      </c>
    </row>
    <row r="424" spans="2:52" s="24" customFormat="1" ht="12.75" x14ac:dyDescent="0.2">
      <c r="B424" s="97"/>
      <c r="C424" s="92"/>
      <c r="D424" s="31" t="str">
        <f>IF(E424=1,VLOOKUP(TableInvs[[#This Row],[Calc_V_Typ]],Tran_RevenuesList,3,FALSE),"")</f>
        <v/>
      </c>
      <c r="E424" s="31">
        <f t="shared" si="41"/>
        <v>0</v>
      </c>
      <c r="F424" s="9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  <c r="S424" s="84"/>
      <c r="T424" s="84"/>
      <c r="U424" s="84"/>
      <c r="V424" s="84"/>
      <c r="W424" s="84"/>
      <c r="X424" s="84"/>
      <c r="Y424" s="84"/>
      <c r="Z424" s="84"/>
      <c r="AA424" s="84"/>
      <c r="AB424" s="84"/>
      <c r="AC424" s="85"/>
      <c r="AD424" s="85"/>
      <c r="AE424" s="84"/>
      <c r="AF424" s="84"/>
      <c r="AG424" s="84"/>
      <c r="AH424" s="84"/>
      <c r="AI424" s="84"/>
      <c r="AJ424" s="84"/>
      <c r="AK424" s="84"/>
      <c r="AL424" s="84"/>
      <c r="AM424" s="84"/>
      <c r="AN424" s="84"/>
      <c r="AO424" s="84"/>
      <c r="AP424" s="84"/>
      <c r="AQ424" s="84"/>
      <c r="AR424" s="84"/>
      <c r="AS424" s="87">
        <f t="array" ref="AS424">IF(E424=1,SUM((ROW(Mf0)=ROW(AS424))*(Mf0+Mf1_+Mf2_+Mf3_+Mf4_+Mf5_+Mf6_+Mf7_+Mf8_+Mf9_+Mf10_+Mf11_+Mf12_+Mf13_+Mf14_+Mf15_+Mf16_+Mf17_+Mf18_+Mf19_+Mf20_+Mf21_+Mf22_+Mf23_+Mf24_+Mf25_+Mf26_+Mf27_+Mf28_+Mf29_+Mf30_+Mf31_+Mf32_+Mf33_+Mf34_+Mf35_+Mf36_+Mf37_)),0)</f>
        <v>0</v>
      </c>
      <c r="AU424" s="24" t="str">
        <f t="shared" si="42"/>
        <v/>
      </c>
      <c r="AV424" s="24" t="str">
        <f t="shared" si="43"/>
        <v/>
      </c>
      <c r="AW424" s="24" t="str">
        <f t="shared" si="44"/>
        <v/>
      </c>
      <c r="AX424" s="72">
        <f t="shared" si="45"/>
        <v>0</v>
      </c>
      <c r="AY424" s="24">
        <f t="shared" si="46"/>
        <v>0</v>
      </c>
      <c r="AZ424" s="24">
        <f t="array" ref="AZ424">IF(OR(RIGHT(B424,LEN(Par_LabelTravelTime))=Par_LabelTravelTime,B424="čas na ceste - fakturácia"),1,0)</f>
        <v>0</v>
      </c>
    </row>
    <row r="425" spans="2:52" s="24" customFormat="1" ht="12.75" x14ac:dyDescent="0.2">
      <c r="B425" s="97"/>
      <c r="C425" s="92"/>
      <c r="D425" s="31" t="str">
        <f>IF(E425=1,VLOOKUP(TableInvs[[#This Row],[Calc_V_Typ]],Tran_RevenuesList,3,FALSE),"")</f>
        <v/>
      </c>
      <c r="E425" s="31">
        <f t="shared" si="41"/>
        <v>0</v>
      </c>
      <c r="F425" s="9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  <c r="S425" s="84"/>
      <c r="T425" s="84"/>
      <c r="U425" s="84"/>
      <c r="V425" s="84"/>
      <c r="W425" s="84"/>
      <c r="X425" s="84"/>
      <c r="Y425" s="84"/>
      <c r="Z425" s="84"/>
      <c r="AA425" s="84"/>
      <c r="AB425" s="84"/>
      <c r="AC425" s="85"/>
      <c r="AD425" s="85"/>
      <c r="AE425" s="84"/>
      <c r="AF425" s="84"/>
      <c r="AG425" s="84"/>
      <c r="AH425" s="84"/>
      <c r="AI425" s="84"/>
      <c r="AJ425" s="84"/>
      <c r="AK425" s="84"/>
      <c r="AL425" s="84"/>
      <c r="AM425" s="84"/>
      <c r="AN425" s="84"/>
      <c r="AO425" s="84"/>
      <c r="AP425" s="84"/>
      <c r="AQ425" s="84"/>
      <c r="AR425" s="84"/>
      <c r="AS425" s="87">
        <f t="array" ref="AS425">IF(E425=1,SUM((ROW(Mf0)=ROW(AS425))*(Mf0+Mf1_+Mf2_+Mf3_+Mf4_+Mf5_+Mf6_+Mf7_+Mf8_+Mf9_+Mf10_+Mf11_+Mf12_+Mf13_+Mf14_+Mf15_+Mf16_+Mf17_+Mf18_+Mf19_+Mf20_+Mf21_+Mf22_+Mf23_+Mf24_+Mf25_+Mf26_+Mf27_+Mf28_+Mf29_+Mf30_+Mf31_+Mf32_+Mf33_+Mf34_+Mf35_+Mf36_+Mf37_)),0)</f>
        <v>0</v>
      </c>
      <c r="AU425" s="24" t="str">
        <f t="shared" si="42"/>
        <v/>
      </c>
      <c r="AV425" s="24" t="str">
        <f t="shared" si="43"/>
        <v/>
      </c>
      <c r="AW425" s="24" t="str">
        <f t="shared" si="44"/>
        <v/>
      </c>
      <c r="AX425" s="72">
        <f t="shared" si="45"/>
        <v>0</v>
      </c>
      <c r="AY425" s="24">
        <f t="shared" si="46"/>
        <v>0</v>
      </c>
      <c r="AZ425" s="24">
        <f t="array" ref="AZ425">IF(OR(RIGHT(B425,LEN(Par_LabelTravelTime))=Par_LabelTravelTime,B425="čas na ceste - fakturácia"),1,0)</f>
        <v>0</v>
      </c>
    </row>
    <row r="426" spans="2:52" s="24" customFormat="1" ht="12.75" x14ac:dyDescent="0.2">
      <c r="B426" s="97"/>
      <c r="C426" s="92"/>
      <c r="D426" s="31" t="str">
        <f>IF(E426=1,VLOOKUP(TableInvs[[#This Row],[Calc_V_Typ]],Tran_RevenuesList,3,FALSE),"")</f>
        <v/>
      </c>
      <c r="E426" s="31">
        <f t="shared" si="41"/>
        <v>0</v>
      </c>
      <c r="F426" s="9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  <c r="S426" s="84"/>
      <c r="T426" s="84"/>
      <c r="U426" s="84"/>
      <c r="V426" s="84"/>
      <c r="W426" s="84"/>
      <c r="X426" s="84"/>
      <c r="Y426" s="84"/>
      <c r="Z426" s="84"/>
      <c r="AA426" s="84"/>
      <c r="AB426" s="84"/>
      <c r="AC426" s="85"/>
      <c r="AD426" s="85"/>
      <c r="AE426" s="84"/>
      <c r="AF426" s="84"/>
      <c r="AG426" s="84"/>
      <c r="AH426" s="84"/>
      <c r="AI426" s="84"/>
      <c r="AJ426" s="84"/>
      <c r="AK426" s="84"/>
      <c r="AL426" s="84"/>
      <c r="AM426" s="84"/>
      <c r="AN426" s="84"/>
      <c r="AO426" s="84"/>
      <c r="AP426" s="84"/>
      <c r="AQ426" s="84"/>
      <c r="AR426" s="84"/>
      <c r="AS426" s="87">
        <f t="array" ref="AS426">IF(E426=1,SUM((ROW(Mf0)=ROW(AS426))*(Mf0+Mf1_+Mf2_+Mf3_+Mf4_+Mf5_+Mf6_+Mf7_+Mf8_+Mf9_+Mf10_+Mf11_+Mf12_+Mf13_+Mf14_+Mf15_+Mf16_+Mf17_+Mf18_+Mf19_+Mf20_+Mf21_+Mf22_+Mf23_+Mf24_+Mf25_+Mf26_+Mf27_+Mf28_+Mf29_+Mf30_+Mf31_+Mf32_+Mf33_+Mf34_+Mf35_+Mf36_+Mf37_)),0)</f>
        <v>0</v>
      </c>
      <c r="AU426" s="24" t="str">
        <f t="shared" si="42"/>
        <v/>
      </c>
      <c r="AV426" s="24" t="str">
        <f t="shared" si="43"/>
        <v/>
      </c>
      <c r="AW426" s="24" t="str">
        <f t="shared" si="44"/>
        <v/>
      </c>
      <c r="AX426" s="72">
        <f t="shared" si="45"/>
        <v>0</v>
      </c>
      <c r="AY426" s="24">
        <f t="shared" si="46"/>
        <v>0</v>
      </c>
      <c r="AZ426" s="24">
        <f t="array" ref="AZ426">IF(OR(RIGHT(B426,LEN(Par_LabelTravelTime))=Par_LabelTravelTime,B426="čas na ceste - fakturácia"),1,0)</f>
        <v>0</v>
      </c>
    </row>
    <row r="427" spans="2:52" s="24" customFormat="1" ht="12.75" x14ac:dyDescent="0.2">
      <c r="B427" s="97"/>
      <c r="C427" s="92"/>
      <c r="D427" s="31" t="str">
        <f>IF(E427=1,VLOOKUP(TableInvs[[#This Row],[Calc_V_Typ]],Tran_RevenuesList,3,FALSE),"")</f>
        <v/>
      </c>
      <c r="E427" s="31">
        <f t="shared" si="41"/>
        <v>0</v>
      </c>
      <c r="F427" s="9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  <c r="W427" s="84"/>
      <c r="X427" s="84"/>
      <c r="Y427" s="84"/>
      <c r="Z427" s="84"/>
      <c r="AA427" s="84"/>
      <c r="AB427" s="84"/>
      <c r="AC427" s="85"/>
      <c r="AD427" s="85"/>
      <c r="AE427" s="84"/>
      <c r="AF427" s="84"/>
      <c r="AG427" s="84"/>
      <c r="AH427" s="84"/>
      <c r="AI427" s="84"/>
      <c r="AJ427" s="84"/>
      <c r="AK427" s="84"/>
      <c r="AL427" s="84"/>
      <c r="AM427" s="84"/>
      <c r="AN427" s="84"/>
      <c r="AO427" s="84"/>
      <c r="AP427" s="84"/>
      <c r="AQ427" s="84"/>
      <c r="AR427" s="84"/>
      <c r="AS427" s="87">
        <f t="array" ref="AS427">IF(E427=1,SUM((ROW(Mf0)=ROW(AS427))*(Mf0+Mf1_+Mf2_+Mf3_+Mf4_+Mf5_+Mf6_+Mf7_+Mf8_+Mf9_+Mf10_+Mf11_+Mf12_+Mf13_+Mf14_+Mf15_+Mf16_+Mf17_+Mf18_+Mf19_+Mf20_+Mf21_+Mf22_+Mf23_+Mf24_+Mf25_+Mf26_+Mf27_+Mf28_+Mf29_+Mf30_+Mf31_+Mf32_+Mf33_+Mf34_+Mf35_+Mf36_+Mf37_)),0)</f>
        <v>0</v>
      </c>
      <c r="AU427" s="24" t="str">
        <f t="shared" si="42"/>
        <v/>
      </c>
      <c r="AV427" s="24" t="str">
        <f t="shared" si="43"/>
        <v/>
      </c>
      <c r="AW427" s="24" t="str">
        <f t="shared" si="44"/>
        <v/>
      </c>
      <c r="AX427" s="72">
        <f t="shared" si="45"/>
        <v>0</v>
      </c>
      <c r="AY427" s="24">
        <f t="shared" si="46"/>
        <v>0</v>
      </c>
      <c r="AZ427" s="24">
        <f t="array" ref="AZ427">IF(OR(RIGHT(B427,LEN(Par_LabelTravelTime))=Par_LabelTravelTime,B427="čas na ceste - fakturácia"),1,0)</f>
        <v>0</v>
      </c>
    </row>
    <row r="428" spans="2:52" s="24" customFormat="1" ht="12.75" x14ac:dyDescent="0.2">
      <c r="B428" s="97"/>
      <c r="C428" s="92"/>
      <c r="D428" s="31" t="str">
        <f>IF(E428=1,VLOOKUP(TableInvs[[#This Row],[Calc_V_Typ]],Tran_RevenuesList,3,FALSE),"")</f>
        <v/>
      </c>
      <c r="E428" s="31">
        <f t="shared" si="41"/>
        <v>0</v>
      </c>
      <c r="F428" s="9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  <c r="S428" s="84"/>
      <c r="T428" s="84"/>
      <c r="U428" s="84"/>
      <c r="V428" s="84"/>
      <c r="W428" s="84"/>
      <c r="X428" s="84"/>
      <c r="Y428" s="84"/>
      <c r="Z428" s="84"/>
      <c r="AA428" s="84"/>
      <c r="AB428" s="84"/>
      <c r="AC428" s="85"/>
      <c r="AD428" s="85"/>
      <c r="AE428" s="84"/>
      <c r="AF428" s="84"/>
      <c r="AG428" s="84"/>
      <c r="AH428" s="84"/>
      <c r="AI428" s="84"/>
      <c r="AJ428" s="84"/>
      <c r="AK428" s="84"/>
      <c r="AL428" s="84"/>
      <c r="AM428" s="84"/>
      <c r="AN428" s="84"/>
      <c r="AO428" s="84"/>
      <c r="AP428" s="84"/>
      <c r="AQ428" s="84"/>
      <c r="AR428" s="84"/>
      <c r="AS428" s="87">
        <f t="array" ref="AS428">IF(E428=1,SUM((ROW(Mf0)=ROW(AS428))*(Mf0+Mf1_+Mf2_+Mf3_+Mf4_+Mf5_+Mf6_+Mf7_+Mf8_+Mf9_+Mf10_+Mf11_+Mf12_+Mf13_+Mf14_+Mf15_+Mf16_+Mf17_+Mf18_+Mf19_+Mf20_+Mf21_+Mf22_+Mf23_+Mf24_+Mf25_+Mf26_+Mf27_+Mf28_+Mf29_+Mf30_+Mf31_+Mf32_+Mf33_+Mf34_+Mf35_+Mf36_+Mf37_)),0)</f>
        <v>0</v>
      </c>
      <c r="AU428" s="24" t="str">
        <f t="shared" si="42"/>
        <v/>
      </c>
      <c r="AV428" s="24" t="str">
        <f t="shared" si="43"/>
        <v/>
      </c>
      <c r="AW428" s="24" t="str">
        <f t="shared" si="44"/>
        <v/>
      </c>
      <c r="AX428" s="72">
        <f t="shared" si="45"/>
        <v>0</v>
      </c>
      <c r="AY428" s="24">
        <f t="shared" si="46"/>
        <v>0</v>
      </c>
      <c r="AZ428" s="24">
        <f t="array" ref="AZ428">IF(OR(RIGHT(B428,LEN(Par_LabelTravelTime))=Par_LabelTravelTime,B428="čas na ceste - fakturácia"),1,0)</f>
        <v>0</v>
      </c>
    </row>
    <row r="429" spans="2:52" s="24" customFormat="1" ht="12.75" x14ac:dyDescent="0.2">
      <c r="B429" s="97"/>
      <c r="C429" s="92"/>
      <c r="D429" s="31" t="str">
        <f>IF(E429=1,VLOOKUP(TableInvs[[#This Row],[Calc_V_Typ]],Tran_RevenuesList,3,FALSE),"")</f>
        <v/>
      </c>
      <c r="E429" s="31">
        <f t="shared" si="41"/>
        <v>0</v>
      </c>
      <c r="F429" s="9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  <c r="S429" s="84"/>
      <c r="T429" s="84"/>
      <c r="U429" s="84"/>
      <c r="V429" s="84"/>
      <c r="W429" s="84"/>
      <c r="X429" s="84"/>
      <c r="Y429" s="84"/>
      <c r="Z429" s="84"/>
      <c r="AA429" s="84"/>
      <c r="AB429" s="84"/>
      <c r="AC429" s="85"/>
      <c r="AD429" s="85"/>
      <c r="AE429" s="84"/>
      <c r="AF429" s="84"/>
      <c r="AG429" s="84"/>
      <c r="AH429" s="84"/>
      <c r="AI429" s="84"/>
      <c r="AJ429" s="84"/>
      <c r="AK429" s="84"/>
      <c r="AL429" s="84"/>
      <c r="AM429" s="84"/>
      <c r="AN429" s="84"/>
      <c r="AO429" s="84"/>
      <c r="AP429" s="84"/>
      <c r="AQ429" s="84"/>
      <c r="AR429" s="84"/>
      <c r="AS429" s="87">
        <f t="array" ref="AS429">IF(E429=1,SUM((ROW(Mf0)=ROW(AS429))*(Mf0+Mf1_+Mf2_+Mf3_+Mf4_+Mf5_+Mf6_+Mf7_+Mf8_+Mf9_+Mf10_+Mf11_+Mf12_+Mf13_+Mf14_+Mf15_+Mf16_+Mf17_+Mf18_+Mf19_+Mf20_+Mf21_+Mf22_+Mf23_+Mf24_+Mf25_+Mf26_+Mf27_+Mf28_+Mf29_+Mf30_+Mf31_+Mf32_+Mf33_+Mf34_+Mf35_+Mf36_+Mf37_)),0)</f>
        <v>0</v>
      </c>
      <c r="AU429" s="24" t="str">
        <f t="shared" si="42"/>
        <v/>
      </c>
      <c r="AV429" s="24" t="str">
        <f t="shared" si="43"/>
        <v/>
      </c>
      <c r="AW429" s="24" t="str">
        <f t="shared" si="44"/>
        <v/>
      </c>
      <c r="AX429" s="72">
        <f t="shared" si="45"/>
        <v>0</v>
      </c>
      <c r="AY429" s="24">
        <f t="shared" si="46"/>
        <v>0</v>
      </c>
      <c r="AZ429" s="24">
        <f t="array" ref="AZ429">IF(OR(RIGHT(B429,LEN(Par_LabelTravelTime))=Par_LabelTravelTime,B429="čas na ceste - fakturácia"),1,0)</f>
        <v>0</v>
      </c>
    </row>
    <row r="430" spans="2:52" s="24" customFormat="1" ht="12.75" x14ac:dyDescent="0.2">
      <c r="B430" s="97"/>
      <c r="C430" s="92"/>
      <c r="D430" s="31" t="str">
        <f>IF(E430=1,VLOOKUP(TableInvs[[#This Row],[Calc_V_Typ]],Tran_RevenuesList,3,FALSE),"")</f>
        <v/>
      </c>
      <c r="E430" s="31">
        <f t="shared" si="41"/>
        <v>0</v>
      </c>
      <c r="F430" s="9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  <c r="S430" s="84"/>
      <c r="T430" s="84"/>
      <c r="U430" s="84"/>
      <c r="V430" s="84"/>
      <c r="W430" s="84"/>
      <c r="X430" s="84"/>
      <c r="Y430" s="84"/>
      <c r="Z430" s="84"/>
      <c r="AA430" s="84"/>
      <c r="AB430" s="84"/>
      <c r="AC430" s="85"/>
      <c r="AD430" s="85"/>
      <c r="AE430" s="84"/>
      <c r="AF430" s="84"/>
      <c r="AG430" s="84"/>
      <c r="AH430" s="84"/>
      <c r="AI430" s="84"/>
      <c r="AJ430" s="84"/>
      <c r="AK430" s="84"/>
      <c r="AL430" s="84"/>
      <c r="AM430" s="84"/>
      <c r="AN430" s="84"/>
      <c r="AO430" s="84"/>
      <c r="AP430" s="84"/>
      <c r="AQ430" s="84"/>
      <c r="AR430" s="84"/>
      <c r="AS430" s="87">
        <f t="array" ref="AS430">IF(E430=1,SUM((ROW(Mf0)=ROW(AS430))*(Mf0+Mf1_+Mf2_+Mf3_+Mf4_+Mf5_+Mf6_+Mf7_+Mf8_+Mf9_+Mf10_+Mf11_+Mf12_+Mf13_+Mf14_+Mf15_+Mf16_+Mf17_+Mf18_+Mf19_+Mf20_+Mf21_+Mf22_+Mf23_+Mf24_+Mf25_+Mf26_+Mf27_+Mf28_+Mf29_+Mf30_+Mf31_+Mf32_+Mf33_+Mf34_+Mf35_+Mf36_+Mf37_)),0)</f>
        <v>0</v>
      </c>
      <c r="AU430" s="24" t="str">
        <f t="shared" si="42"/>
        <v/>
      </c>
      <c r="AV430" s="24" t="str">
        <f t="shared" si="43"/>
        <v/>
      </c>
      <c r="AW430" s="24" t="str">
        <f t="shared" si="44"/>
        <v/>
      </c>
      <c r="AX430" s="72">
        <f t="shared" si="45"/>
        <v>0</v>
      </c>
      <c r="AY430" s="24">
        <f t="shared" si="46"/>
        <v>0</v>
      </c>
      <c r="AZ430" s="24">
        <f t="array" ref="AZ430">IF(OR(RIGHT(B430,LEN(Par_LabelTravelTime))=Par_LabelTravelTime,B430="čas na ceste - fakturácia"),1,0)</f>
        <v>0</v>
      </c>
    </row>
    <row r="431" spans="2:52" s="24" customFormat="1" ht="12.75" x14ac:dyDescent="0.2">
      <c r="B431" s="97"/>
      <c r="C431" s="92"/>
      <c r="D431" s="31" t="str">
        <f>IF(E431=1,VLOOKUP(TableInvs[[#This Row],[Calc_V_Typ]],Tran_RevenuesList,3,FALSE),"")</f>
        <v/>
      </c>
      <c r="E431" s="31">
        <f t="shared" si="41"/>
        <v>0</v>
      </c>
      <c r="F431" s="9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  <c r="S431" s="84"/>
      <c r="T431" s="84"/>
      <c r="U431" s="84"/>
      <c r="V431" s="84"/>
      <c r="W431" s="84"/>
      <c r="X431" s="84"/>
      <c r="Y431" s="84"/>
      <c r="Z431" s="84"/>
      <c r="AA431" s="84"/>
      <c r="AB431" s="84"/>
      <c r="AC431" s="85"/>
      <c r="AD431" s="85"/>
      <c r="AE431" s="84"/>
      <c r="AF431" s="84"/>
      <c r="AG431" s="84"/>
      <c r="AH431" s="84"/>
      <c r="AI431" s="84"/>
      <c r="AJ431" s="84"/>
      <c r="AK431" s="84"/>
      <c r="AL431" s="84"/>
      <c r="AM431" s="84"/>
      <c r="AN431" s="84"/>
      <c r="AO431" s="84"/>
      <c r="AP431" s="84"/>
      <c r="AQ431" s="84"/>
      <c r="AR431" s="84"/>
      <c r="AS431" s="87">
        <f t="array" ref="AS431">IF(E431=1,SUM((ROW(Mf0)=ROW(AS431))*(Mf0+Mf1_+Mf2_+Mf3_+Mf4_+Mf5_+Mf6_+Mf7_+Mf8_+Mf9_+Mf10_+Mf11_+Mf12_+Mf13_+Mf14_+Mf15_+Mf16_+Mf17_+Mf18_+Mf19_+Mf20_+Mf21_+Mf22_+Mf23_+Mf24_+Mf25_+Mf26_+Mf27_+Mf28_+Mf29_+Mf30_+Mf31_+Mf32_+Mf33_+Mf34_+Mf35_+Mf36_+Mf37_)),0)</f>
        <v>0</v>
      </c>
      <c r="AU431" s="24" t="str">
        <f t="shared" si="42"/>
        <v/>
      </c>
      <c r="AV431" s="24" t="str">
        <f t="shared" si="43"/>
        <v/>
      </c>
      <c r="AW431" s="24" t="str">
        <f t="shared" si="44"/>
        <v/>
      </c>
      <c r="AX431" s="72">
        <f t="shared" si="45"/>
        <v>0</v>
      </c>
      <c r="AY431" s="24">
        <f t="shared" si="46"/>
        <v>0</v>
      </c>
      <c r="AZ431" s="24">
        <f t="array" ref="AZ431">IF(OR(RIGHT(B431,LEN(Par_LabelTravelTime))=Par_LabelTravelTime,B431="čas na ceste - fakturácia"),1,0)</f>
        <v>0</v>
      </c>
    </row>
    <row r="432" spans="2:52" s="24" customFormat="1" ht="12.75" x14ac:dyDescent="0.2">
      <c r="B432" s="97"/>
      <c r="C432" s="92"/>
      <c r="D432" s="31" t="str">
        <f>IF(E432=1,VLOOKUP(TableInvs[[#This Row],[Calc_V_Typ]],Tran_RevenuesList,3,FALSE),"")</f>
        <v/>
      </c>
      <c r="E432" s="31">
        <f t="shared" si="41"/>
        <v>0</v>
      </c>
      <c r="F432" s="9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  <c r="S432" s="84"/>
      <c r="T432" s="84"/>
      <c r="U432" s="84"/>
      <c r="V432" s="84"/>
      <c r="W432" s="84"/>
      <c r="X432" s="84"/>
      <c r="Y432" s="84"/>
      <c r="Z432" s="84"/>
      <c r="AA432" s="84"/>
      <c r="AB432" s="84"/>
      <c r="AC432" s="85"/>
      <c r="AD432" s="85"/>
      <c r="AE432" s="84"/>
      <c r="AF432" s="84"/>
      <c r="AG432" s="84"/>
      <c r="AH432" s="84"/>
      <c r="AI432" s="84"/>
      <c r="AJ432" s="84"/>
      <c r="AK432" s="84"/>
      <c r="AL432" s="84"/>
      <c r="AM432" s="84"/>
      <c r="AN432" s="84"/>
      <c r="AO432" s="84"/>
      <c r="AP432" s="84"/>
      <c r="AQ432" s="84"/>
      <c r="AR432" s="84"/>
      <c r="AS432" s="87">
        <f t="array" ref="AS432">IF(E432=1,SUM((ROW(Mf0)=ROW(AS432))*(Mf0+Mf1_+Mf2_+Mf3_+Mf4_+Mf5_+Mf6_+Mf7_+Mf8_+Mf9_+Mf10_+Mf11_+Mf12_+Mf13_+Mf14_+Mf15_+Mf16_+Mf17_+Mf18_+Mf19_+Mf20_+Mf21_+Mf22_+Mf23_+Mf24_+Mf25_+Mf26_+Mf27_+Mf28_+Mf29_+Mf30_+Mf31_+Mf32_+Mf33_+Mf34_+Mf35_+Mf36_+Mf37_)),0)</f>
        <v>0</v>
      </c>
      <c r="AU432" s="24" t="str">
        <f t="shared" si="42"/>
        <v/>
      </c>
      <c r="AV432" s="24" t="str">
        <f t="shared" si="43"/>
        <v/>
      </c>
      <c r="AW432" s="24" t="str">
        <f t="shared" si="44"/>
        <v/>
      </c>
      <c r="AX432" s="72">
        <f t="shared" si="45"/>
        <v>0</v>
      </c>
      <c r="AY432" s="24">
        <f t="shared" si="46"/>
        <v>0</v>
      </c>
      <c r="AZ432" s="24">
        <f t="array" ref="AZ432">IF(OR(RIGHT(B432,LEN(Par_LabelTravelTime))=Par_LabelTravelTime,B432="čas na ceste - fakturácia"),1,0)</f>
        <v>0</v>
      </c>
    </row>
    <row r="433" spans="2:52" s="24" customFormat="1" ht="12.75" x14ac:dyDescent="0.2">
      <c r="B433" s="97"/>
      <c r="C433" s="92"/>
      <c r="D433" s="31" t="str">
        <f>IF(E433=1,VLOOKUP(TableInvs[[#This Row],[Calc_V_Typ]],Tran_RevenuesList,3,FALSE),"")</f>
        <v/>
      </c>
      <c r="E433" s="31">
        <f t="shared" si="41"/>
        <v>0</v>
      </c>
      <c r="F433" s="9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  <c r="S433" s="84"/>
      <c r="T433" s="84"/>
      <c r="U433" s="84"/>
      <c r="V433" s="84"/>
      <c r="W433" s="84"/>
      <c r="X433" s="84"/>
      <c r="Y433" s="84"/>
      <c r="Z433" s="84"/>
      <c r="AA433" s="84"/>
      <c r="AB433" s="84"/>
      <c r="AC433" s="85"/>
      <c r="AD433" s="85"/>
      <c r="AE433" s="84"/>
      <c r="AF433" s="84"/>
      <c r="AG433" s="84"/>
      <c r="AH433" s="84"/>
      <c r="AI433" s="84"/>
      <c r="AJ433" s="84"/>
      <c r="AK433" s="84"/>
      <c r="AL433" s="84"/>
      <c r="AM433" s="84"/>
      <c r="AN433" s="84"/>
      <c r="AO433" s="84"/>
      <c r="AP433" s="84"/>
      <c r="AQ433" s="84"/>
      <c r="AR433" s="84"/>
      <c r="AS433" s="87">
        <f t="array" ref="AS433">IF(E433=1,SUM((ROW(Mf0)=ROW(AS433))*(Mf0+Mf1_+Mf2_+Mf3_+Mf4_+Mf5_+Mf6_+Mf7_+Mf8_+Mf9_+Mf10_+Mf11_+Mf12_+Mf13_+Mf14_+Mf15_+Mf16_+Mf17_+Mf18_+Mf19_+Mf20_+Mf21_+Mf22_+Mf23_+Mf24_+Mf25_+Mf26_+Mf27_+Mf28_+Mf29_+Mf30_+Mf31_+Mf32_+Mf33_+Mf34_+Mf35_+Mf36_+Mf37_)),0)</f>
        <v>0</v>
      </c>
      <c r="AU433" s="24" t="str">
        <f t="shared" si="42"/>
        <v/>
      </c>
      <c r="AV433" s="24" t="str">
        <f t="shared" si="43"/>
        <v/>
      </c>
      <c r="AW433" s="24" t="str">
        <f t="shared" si="44"/>
        <v/>
      </c>
      <c r="AX433" s="72">
        <f t="shared" si="45"/>
        <v>0</v>
      </c>
      <c r="AY433" s="24">
        <f t="shared" si="46"/>
        <v>0</v>
      </c>
      <c r="AZ433" s="24">
        <f t="array" ref="AZ433">IF(OR(RIGHT(B433,LEN(Par_LabelTravelTime))=Par_LabelTravelTime,B433="čas na ceste - fakturácia"),1,0)</f>
        <v>0</v>
      </c>
    </row>
    <row r="434" spans="2:52" s="24" customFormat="1" ht="12.75" x14ac:dyDescent="0.2">
      <c r="B434" s="97"/>
      <c r="C434" s="92"/>
      <c r="D434" s="31" t="str">
        <f>IF(E434=1,VLOOKUP(TableInvs[[#This Row],[Calc_V_Typ]],Tran_RevenuesList,3,FALSE),"")</f>
        <v/>
      </c>
      <c r="E434" s="31">
        <f t="shared" si="41"/>
        <v>0</v>
      </c>
      <c r="F434" s="9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  <c r="S434" s="84"/>
      <c r="T434" s="84"/>
      <c r="U434" s="84"/>
      <c r="V434" s="84"/>
      <c r="W434" s="84"/>
      <c r="X434" s="84"/>
      <c r="Y434" s="84"/>
      <c r="Z434" s="84"/>
      <c r="AA434" s="84"/>
      <c r="AB434" s="84"/>
      <c r="AC434" s="85"/>
      <c r="AD434" s="85"/>
      <c r="AE434" s="84"/>
      <c r="AF434" s="84"/>
      <c r="AG434" s="84"/>
      <c r="AH434" s="84"/>
      <c r="AI434" s="84"/>
      <c r="AJ434" s="84"/>
      <c r="AK434" s="84"/>
      <c r="AL434" s="84"/>
      <c r="AM434" s="84"/>
      <c r="AN434" s="84"/>
      <c r="AO434" s="84"/>
      <c r="AP434" s="84"/>
      <c r="AQ434" s="84"/>
      <c r="AR434" s="84"/>
      <c r="AS434" s="87">
        <f t="array" ref="AS434">IF(E434=1,SUM((ROW(Mf0)=ROW(AS434))*(Mf0+Mf1_+Mf2_+Mf3_+Mf4_+Mf5_+Mf6_+Mf7_+Mf8_+Mf9_+Mf10_+Mf11_+Mf12_+Mf13_+Mf14_+Mf15_+Mf16_+Mf17_+Mf18_+Mf19_+Mf20_+Mf21_+Mf22_+Mf23_+Mf24_+Mf25_+Mf26_+Mf27_+Mf28_+Mf29_+Mf30_+Mf31_+Mf32_+Mf33_+Mf34_+Mf35_+Mf36_+Mf37_)),0)</f>
        <v>0</v>
      </c>
      <c r="AU434" s="24" t="str">
        <f t="shared" si="42"/>
        <v/>
      </c>
      <c r="AV434" s="24" t="str">
        <f t="shared" si="43"/>
        <v/>
      </c>
      <c r="AW434" s="24" t="str">
        <f t="shared" si="44"/>
        <v/>
      </c>
      <c r="AX434" s="72">
        <f t="shared" si="45"/>
        <v>0</v>
      </c>
      <c r="AY434" s="24">
        <f t="shared" si="46"/>
        <v>0</v>
      </c>
      <c r="AZ434" s="24">
        <f t="array" ref="AZ434">IF(OR(RIGHT(B434,LEN(Par_LabelTravelTime))=Par_LabelTravelTime,B434="čas na ceste - fakturácia"),1,0)</f>
        <v>0</v>
      </c>
    </row>
    <row r="435" spans="2:52" s="24" customFormat="1" ht="12.75" x14ac:dyDescent="0.2">
      <c r="B435" s="97"/>
      <c r="C435" s="92"/>
      <c r="D435" s="31" t="str">
        <f>IF(E435=1,VLOOKUP(TableInvs[[#This Row],[Calc_V_Typ]],Tran_RevenuesList,3,FALSE),"")</f>
        <v/>
      </c>
      <c r="E435" s="31">
        <f t="shared" si="41"/>
        <v>0</v>
      </c>
      <c r="F435" s="9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  <c r="S435" s="84"/>
      <c r="T435" s="84"/>
      <c r="U435" s="84"/>
      <c r="V435" s="84"/>
      <c r="W435" s="84"/>
      <c r="X435" s="84"/>
      <c r="Y435" s="84"/>
      <c r="Z435" s="84"/>
      <c r="AA435" s="84"/>
      <c r="AB435" s="84"/>
      <c r="AC435" s="85"/>
      <c r="AD435" s="85"/>
      <c r="AE435" s="84"/>
      <c r="AF435" s="84"/>
      <c r="AG435" s="84"/>
      <c r="AH435" s="84"/>
      <c r="AI435" s="84"/>
      <c r="AJ435" s="84"/>
      <c r="AK435" s="84"/>
      <c r="AL435" s="84"/>
      <c r="AM435" s="84"/>
      <c r="AN435" s="84"/>
      <c r="AO435" s="84"/>
      <c r="AP435" s="84"/>
      <c r="AQ435" s="84"/>
      <c r="AR435" s="84"/>
      <c r="AS435" s="87">
        <f t="array" ref="AS435">IF(E435=1,SUM((ROW(Mf0)=ROW(AS435))*(Mf0+Mf1_+Mf2_+Mf3_+Mf4_+Mf5_+Mf6_+Mf7_+Mf8_+Mf9_+Mf10_+Mf11_+Mf12_+Mf13_+Mf14_+Mf15_+Mf16_+Mf17_+Mf18_+Mf19_+Mf20_+Mf21_+Mf22_+Mf23_+Mf24_+Mf25_+Mf26_+Mf27_+Mf28_+Mf29_+Mf30_+Mf31_+Mf32_+Mf33_+Mf34_+Mf35_+Mf36_+Mf37_)),0)</f>
        <v>0</v>
      </c>
      <c r="AU435" s="24" t="str">
        <f t="shared" si="42"/>
        <v/>
      </c>
      <c r="AV435" s="24" t="str">
        <f t="shared" si="43"/>
        <v/>
      </c>
      <c r="AW435" s="24" t="str">
        <f t="shared" si="44"/>
        <v/>
      </c>
      <c r="AX435" s="72">
        <f t="shared" si="45"/>
        <v>0</v>
      </c>
      <c r="AY435" s="24">
        <f t="shared" si="46"/>
        <v>0</v>
      </c>
      <c r="AZ435" s="24">
        <f t="array" ref="AZ435">IF(OR(RIGHT(B435,LEN(Par_LabelTravelTime))=Par_LabelTravelTime,B435="čas na ceste - fakturácia"),1,0)</f>
        <v>0</v>
      </c>
    </row>
    <row r="436" spans="2:52" s="24" customFormat="1" ht="12.75" x14ac:dyDescent="0.2">
      <c r="B436" s="97"/>
      <c r="C436" s="92"/>
      <c r="D436" s="31" t="str">
        <f>IF(E436=1,VLOOKUP(TableInvs[[#This Row],[Calc_V_Typ]],Tran_RevenuesList,3,FALSE),"")</f>
        <v/>
      </c>
      <c r="E436" s="31">
        <f t="shared" si="41"/>
        <v>0</v>
      </c>
      <c r="F436" s="9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  <c r="S436" s="84"/>
      <c r="T436" s="84"/>
      <c r="U436" s="84"/>
      <c r="V436" s="84"/>
      <c r="W436" s="84"/>
      <c r="X436" s="84"/>
      <c r="Y436" s="84"/>
      <c r="Z436" s="84"/>
      <c r="AA436" s="84"/>
      <c r="AB436" s="84"/>
      <c r="AC436" s="85"/>
      <c r="AD436" s="85"/>
      <c r="AE436" s="84"/>
      <c r="AF436" s="84"/>
      <c r="AG436" s="84"/>
      <c r="AH436" s="84"/>
      <c r="AI436" s="84"/>
      <c r="AJ436" s="84"/>
      <c r="AK436" s="84"/>
      <c r="AL436" s="84"/>
      <c r="AM436" s="84"/>
      <c r="AN436" s="84"/>
      <c r="AO436" s="84"/>
      <c r="AP436" s="84"/>
      <c r="AQ436" s="84"/>
      <c r="AR436" s="84"/>
      <c r="AS436" s="87">
        <f t="array" ref="AS436">IF(E436=1,SUM((ROW(Mf0)=ROW(AS436))*(Mf0+Mf1_+Mf2_+Mf3_+Mf4_+Mf5_+Mf6_+Mf7_+Mf8_+Mf9_+Mf10_+Mf11_+Mf12_+Mf13_+Mf14_+Mf15_+Mf16_+Mf17_+Mf18_+Mf19_+Mf20_+Mf21_+Mf22_+Mf23_+Mf24_+Mf25_+Mf26_+Mf27_+Mf28_+Mf29_+Mf30_+Mf31_+Mf32_+Mf33_+Mf34_+Mf35_+Mf36_+Mf37_)),0)</f>
        <v>0</v>
      </c>
      <c r="AU436" s="24" t="str">
        <f t="shared" si="42"/>
        <v/>
      </c>
      <c r="AV436" s="24" t="str">
        <f t="shared" si="43"/>
        <v/>
      </c>
      <c r="AW436" s="24" t="str">
        <f t="shared" si="44"/>
        <v/>
      </c>
      <c r="AX436" s="72">
        <f t="shared" si="45"/>
        <v>0</v>
      </c>
      <c r="AY436" s="24">
        <f t="shared" si="46"/>
        <v>0</v>
      </c>
      <c r="AZ436" s="24">
        <f t="array" ref="AZ436">IF(OR(RIGHT(B436,LEN(Par_LabelTravelTime))=Par_LabelTravelTime,B436="čas na ceste - fakturácia"),1,0)</f>
        <v>0</v>
      </c>
    </row>
    <row r="437" spans="2:52" s="24" customFormat="1" ht="12.75" x14ac:dyDescent="0.2">
      <c r="B437" s="97"/>
      <c r="C437" s="92"/>
      <c r="D437" s="31" t="str">
        <f>IF(E437=1,VLOOKUP(TableInvs[[#This Row],[Calc_V_Typ]],Tran_RevenuesList,3,FALSE),"")</f>
        <v/>
      </c>
      <c r="E437" s="31">
        <f t="shared" si="41"/>
        <v>0</v>
      </c>
      <c r="F437" s="9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  <c r="S437" s="84"/>
      <c r="T437" s="84"/>
      <c r="U437" s="84"/>
      <c r="V437" s="84"/>
      <c r="W437" s="84"/>
      <c r="X437" s="84"/>
      <c r="Y437" s="84"/>
      <c r="Z437" s="84"/>
      <c r="AA437" s="84"/>
      <c r="AB437" s="84"/>
      <c r="AC437" s="85"/>
      <c r="AD437" s="85"/>
      <c r="AE437" s="84"/>
      <c r="AF437" s="84"/>
      <c r="AG437" s="84"/>
      <c r="AH437" s="84"/>
      <c r="AI437" s="84"/>
      <c r="AJ437" s="84"/>
      <c r="AK437" s="84"/>
      <c r="AL437" s="84"/>
      <c r="AM437" s="84"/>
      <c r="AN437" s="84"/>
      <c r="AO437" s="84"/>
      <c r="AP437" s="84"/>
      <c r="AQ437" s="84"/>
      <c r="AR437" s="84"/>
      <c r="AS437" s="87">
        <f t="array" ref="AS437">IF(E437=1,SUM((ROW(Mf0)=ROW(AS437))*(Mf0+Mf1_+Mf2_+Mf3_+Mf4_+Mf5_+Mf6_+Mf7_+Mf8_+Mf9_+Mf10_+Mf11_+Mf12_+Mf13_+Mf14_+Mf15_+Mf16_+Mf17_+Mf18_+Mf19_+Mf20_+Mf21_+Mf22_+Mf23_+Mf24_+Mf25_+Mf26_+Mf27_+Mf28_+Mf29_+Mf30_+Mf31_+Mf32_+Mf33_+Mf34_+Mf35_+Mf36_+Mf37_)),0)</f>
        <v>0</v>
      </c>
      <c r="AU437" s="24" t="str">
        <f t="shared" si="42"/>
        <v/>
      </c>
      <c r="AV437" s="24" t="str">
        <f t="shared" si="43"/>
        <v/>
      </c>
      <c r="AW437" s="24" t="str">
        <f t="shared" si="44"/>
        <v/>
      </c>
      <c r="AX437" s="72">
        <f t="shared" si="45"/>
        <v>0</v>
      </c>
      <c r="AY437" s="24">
        <f t="shared" si="46"/>
        <v>0</v>
      </c>
      <c r="AZ437" s="24">
        <f t="array" ref="AZ437">IF(OR(RIGHT(B437,LEN(Par_LabelTravelTime))=Par_LabelTravelTime,B437="čas na ceste - fakturácia"),1,0)</f>
        <v>0</v>
      </c>
    </row>
    <row r="438" spans="2:52" s="24" customFormat="1" ht="12.75" x14ac:dyDescent="0.2">
      <c r="B438" s="97"/>
      <c r="C438" s="92"/>
      <c r="D438" s="31" t="str">
        <f>IF(E438=1,VLOOKUP(TableInvs[[#This Row],[Calc_V_Typ]],Tran_RevenuesList,3,FALSE),"")</f>
        <v/>
      </c>
      <c r="E438" s="31">
        <f t="shared" si="41"/>
        <v>0</v>
      </c>
      <c r="F438" s="9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  <c r="S438" s="84"/>
      <c r="T438" s="84"/>
      <c r="U438" s="84"/>
      <c r="V438" s="84"/>
      <c r="W438" s="84"/>
      <c r="X438" s="84"/>
      <c r="Y438" s="84"/>
      <c r="Z438" s="84"/>
      <c r="AA438" s="84"/>
      <c r="AB438" s="84"/>
      <c r="AC438" s="85"/>
      <c r="AD438" s="85"/>
      <c r="AE438" s="84"/>
      <c r="AF438" s="84"/>
      <c r="AG438" s="84"/>
      <c r="AH438" s="84"/>
      <c r="AI438" s="84"/>
      <c r="AJ438" s="84"/>
      <c r="AK438" s="84"/>
      <c r="AL438" s="84"/>
      <c r="AM438" s="84"/>
      <c r="AN438" s="84"/>
      <c r="AO438" s="84"/>
      <c r="AP438" s="84"/>
      <c r="AQ438" s="84"/>
      <c r="AR438" s="84"/>
      <c r="AS438" s="87">
        <f t="array" ref="AS438">IF(E438=1,SUM((ROW(Mf0)=ROW(AS438))*(Mf0+Mf1_+Mf2_+Mf3_+Mf4_+Mf5_+Mf6_+Mf7_+Mf8_+Mf9_+Mf10_+Mf11_+Mf12_+Mf13_+Mf14_+Mf15_+Mf16_+Mf17_+Mf18_+Mf19_+Mf20_+Mf21_+Mf22_+Mf23_+Mf24_+Mf25_+Mf26_+Mf27_+Mf28_+Mf29_+Mf30_+Mf31_+Mf32_+Mf33_+Mf34_+Mf35_+Mf36_+Mf37_)),0)</f>
        <v>0</v>
      </c>
      <c r="AU438" s="24" t="str">
        <f t="shared" si="42"/>
        <v/>
      </c>
      <c r="AV438" s="24" t="str">
        <f t="shared" si="43"/>
        <v/>
      </c>
      <c r="AW438" s="24" t="str">
        <f t="shared" si="44"/>
        <v/>
      </c>
      <c r="AX438" s="72">
        <f t="shared" si="45"/>
        <v>0</v>
      </c>
      <c r="AY438" s="24">
        <f t="shared" si="46"/>
        <v>0</v>
      </c>
      <c r="AZ438" s="24">
        <f t="array" ref="AZ438">IF(OR(RIGHT(B438,LEN(Par_LabelTravelTime))=Par_LabelTravelTime,B438="čas na ceste - fakturácia"),1,0)</f>
        <v>0</v>
      </c>
    </row>
    <row r="439" spans="2:52" s="24" customFormat="1" ht="12.75" x14ac:dyDescent="0.2">
      <c r="B439" s="97"/>
      <c r="C439" s="92"/>
      <c r="D439" s="31" t="str">
        <f>IF(E439=1,VLOOKUP(TableInvs[[#This Row],[Calc_V_Typ]],Tran_RevenuesList,3,FALSE),"")</f>
        <v/>
      </c>
      <c r="E439" s="31">
        <f t="shared" si="41"/>
        <v>0</v>
      </c>
      <c r="F439" s="9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  <c r="S439" s="84"/>
      <c r="T439" s="84"/>
      <c r="U439" s="84"/>
      <c r="V439" s="84"/>
      <c r="W439" s="84"/>
      <c r="X439" s="84"/>
      <c r="Y439" s="84"/>
      <c r="Z439" s="84"/>
      <c r="AA439" s="84"/>
      <c r="AB439" s="84"/>
      <c r="AC439" s="85"/>
      <c r="AD439" s="85"/>
      <c r="AE439" s="84"/>
      <c r="AF439" s="84"/>
      <c r="AG439" s="84"/>
      <c r="AH439" s="84"/>
      <c r="AI439" s="84"/>
      <c r="AJ439" s="84"/>
      <c r="AK439" s="84"/>
      <c r="AL439" s="84"/>
      <c r="AM439" s="84"/>
      <c r="AN439" s="84"/>
      <c r="AO439" s="84"/>
      <c r="AP439" s="84"/>
      <c r="AQ439" s="84"/>
      <c r="AR439" s="84"/>
      <c r="AS439" s="87">
        <f t="array" ref="AS439">IF(E439=1,SUM((ROW(Mf0)=ROW(AS439))*(Mf0+Mf1_+Mf2_+Mf3_+Mf4_+Mf5_+Mf6_+Mf7_+Mf8_+Mf9_+Mf10_+Mf11_+Mf12_+Mf13_+Mf14_+Mf15_+Mf16_+Mf17_+Mf18_+Mf19_+Mf20_+Mf21_+Mf22_+Mf23_+Mf24_+Mf25_+Mf26_+Mf27_+Mf28_+Mf29_+Mf30_+Mf31_+Mf32_+Mf33_+Mf34_+Mf35_+Mf36_+Mf37_)),0)</f>
        <v>0</v>
      </c>
      <c r="AU439" s="24" t="str">
        <f t="shared" si="42"/>
        <v/>
      </c>
      <c r="AV439" s="24" t="str">
        <f t="shared" si="43"/>
        <v/>
      </c>
      <c r="AW439" s="24" t="str">
        <f t="shared" si="44"/>
        <v/>
      </c>
      <c r="AX439" s="72">
        <f t="shared" si="45"/>
        <v>0</v>
      </c>
      <c r="AY439" s="24">
        <f t="shared" si="46"/>
        <v>0</v>
      </c>
      <c r="AZ439" s="24">
        <f t="array" ref="AZ439">IF(OR(RIGHT(B439,LEN(Par_LabelTravelTime))=Par_LabelTravelTime,B439="čas na ceste - fakturácia"),1,0)</f>
        <v>0</v>
      </c>
    </row>
    <row r="440" spans="2:52" s="24" customFormat="1" ht="12.75" x14ac:dyDescent="0.2">
      <c r="B440" s="97"/>
      <c r="C440" s="92"/>
      <c r="D440" s="31" t="str">
        <f>IF(E440=1,VLOOKUP(TableInvs[[#This Row],[Calc_V_Typ]],Tran_RevenuesList,3,FALSE),"")</f>
        <v/>
      </c>
      <c r="E440" s="31">
        <f t="shared" si="41"/>
        <v>0</v>
      </c>
      <c r="F440" s="94"/>
      <c r="G440" s="84"/>
      <c r="H440" s="84"/>
      <c r="I440" s="84"/>
      <c r="J440" s="84"/>
      <c r="K440" s="84"/>
      <c r="L440" s="84"/>
      <c r="M440" s="84"/>
      <c r="N440" s="84"/>
      <c r="O440" s="84"/>
      <c r="P440" s="84"/>
      <c r="Q440" s="84"/>
      <c r="R440" s="84"/>
      <c r="S440" s="84"/>
      <c r="T440" s="84"/>
      <c r="U440" s="84"/>
      <c r="V440" s="84"/>
      <c r="W440" s="84"/>
      <c r="X440" s="84"/>
      <c r="Y440" s="84"/>
      <c r="Z440" s="84"/>
      <c r="AA440" s="84"/>
      <c r="AB440" s="84"/>
      <c r="AC440" s="85"/>
      <c r="AD440" s="85"/>
      <c r="AE440" s="84"/>
      <c r="AF440" s="84"/>
      <c r="AG440" s="84"/>
      <c r="AH440" s="84"/>
      <c r="AI440" s="84"/>
      <c r="AJ440" s="84"/>
      <c r="AK440" s="84"/>
      <c r="AL440" s="84"/>
      <c r="AM440" s="84"/>
      <c r="AN440" s="84"/>
      <c r="AO440" s="84"/>
      <c r="AP440" s="84"/>
      <c r="AQ440" s="84"/>
      <c r="AR440" s="84"/>
      <c r="AS440" s="87">
        <f t="array" ref="AS440">IF(E440=1,SUM((ROW(Mf0)=ROW(AS440))*(Mf0+Mf1_+Mf2_+Mf3_+Mf4_+Mf5_+Mf6_+Mf7_+Mf8_+Mf9_+Mf10_+Mf11_+Mf12_+Mf13_+Mf14_+Mf15_+Mf16_+Mf17_+Mf18_+Mf19_+Mf20_+Mf21_+Mf22_+Mf23_+Mf24_+Mf25_+Mf26_+Mf27_+Mf28_+Mf29_+Mf30_+Mf31_+Mf32_+Mf33_+Mf34_+Mf35_+Mf36_+Mf37_)),0)</f>
        <v>0</v>
      </c>
      <c r="AU440" s="24" t="str">
        <f t="shared" si="42"/>
        <v/>
      </c>
      <c r="AV440" s="24" t="str">
        <f t="shared" si="43"/>
        <v/>
      </c>
      <c r="AW440" s="24" t="str">
        <f t="shared" si="44"/>
        <v/>
      </c>
      <c r="AX440" s="72">
        <f t="shared" si="45"/>
        <v>0</v>
      </c>
      <c r="AY440" s="24">
        <f t="shared" si="46"/>
        <v>0</v>
      </c>
      <c r="AZ440" s="24">
        <f t="array" ref="AZ440">IF(OR(RIGHT(B440,LEN(Par_LabelTravelTime))=Par_LabelTravelTime,B440="čas na ceste - fakturácia"),1,0)</f>
        <v>0</v>
      </c>
    </row>
    <row r="441" spans="2:52" s="24" customFormat="1" ht="12.75" x14ac:dyDescent="0.2">
      <c r="B441" s="97"/>
      <c r="C441" s="92"/>
      <c r="D441" s="31" t="str">
        <f>IF(E441=1,VLOOKUP(TableInvs[[#This Row],[Calc_V_Typ]],Tran_RevenuesList,3,FALSE),"")</f>
        <v/>
      </c>
      <c r="E441" s="31">
        <f t="shared" si="41"/>
        <v>0</v>
      </c>
      <c r="F441" s="94"/>
      <c r="G441" s="84"/>
      <c r="H441" s="84"/>
      <c r="I441" s="84"/>
      <c r="J441" s="84"/>
      <c r="K441" s="84"/>
      <c r="L441" s="84"/>
      <c r="M441" s="84"/>
      <c r="N441" s="84"/>
      <c r="O441" s="84"/>
      <c r="P441" s="84"/>
      <c r="Q441" s="84"/>
      <c r="R441" s="84"/>
      <c r="S441" s="84"/>
      <c r="T441" s="84"/>
      <c r="U441" s="84"/>
      <c r="V441" s="84"/>
      <c r="W441" s="84"/>
      <c r="X441" s="84"/>
      <c r="Y441" s="84"/>
      <c r="Z441" s="84"/>
      <c r="AA441" s="84"/>
      <c r="AB441" s="84"/>
      <c r="AC441" s="85"/>
      <c r="AD441" s="85"/>
      <c r="AE441" s="84"/>
      <c r="AF441" s="84"/>
      <c r="AG441" s="84"/>
      <c r="AH441" s="84"/>
      <c r="AI441" s="84"/>
      <c r="AJ441" s="84"/>
      <c r="AK441" s="84"/>
      <c r="AL441" s="84"/>
      <c r="AM441" s="84"/>
      <c r="AN441" s="84"/>
      <c r="AO441" s="84"/>
      <c r="AP441" s="84"/>
      <c r="AQ441" s="84"/>
      <c r="AR441" s="84"/>
      <c r="AS441" s="87">
        <f t="array" ref="AS441">IF(E441=1,SUM((ROW(Mf0)=ROW(AS441))*(Mf0+Mf1_+Mf2_+Mf3_+Mf4_+Mf5_+Mf6_+Mf7_+Mf8_+Mf9_+Mf10_+Mf11_+Mf12_+Mf13_+Mf14_+Mf15_+Mf16_+Mf17_+Mf18_+Mf19_+Mf20_+Mf21_+Mf22_+Mf23_+Mf24_+Mf25_+Mf26_+Mf27_+Mf28_+Mf29_+Mf30_+Mf31_+Mf32_+Mf33_+Mf34_+Mf35_+Mf36_+Mf37_)),0)</f>
        <v>0</v>
      </c>
      <c r="AU441" s="24" t="str">
        <f t="shared" si="42"/>
        <v/>
      </c>
      <c r="AV441" s="24" t="str">
        <f t="shared" si="43"/>
        <v/>
      </c>
      <c r="AW441" s="24" t="str">
        <f t="shared" si="44"/>
        <v/>
      </c>
      <c r="AX441" s="72">
        <f t="shared" si="45"/>
        <v>0</v>
      </c>
      <c r="AY441" s="24">
        <f t="shared" si="46"/>
        <v>0</v>
      </c>
      <c r="AZ441" s="24">
        <f t="array" ref="AZ441">IF(OR(RIGHT(B441,LEN(Par_LabelTravelTime))=Par_LabelTravelTime,B441="čas na ceste - fakturácia"),1,0)</f>
        <v>0</v>
      </c>
    </row>
    <row r="442" spans="2:52" s="24" customFormat="1" ht="12.75" x14ac:dyDescent="0.2">
      <c r="B442" s="97"/>
      <c r="C442" s="92"/>
      <c r="D442" s="31" t="str">
        <f>IF(E442=1,VLOOKUP(TableInvs[[#This Row],[Calc_V_Typ]],Tran_RevenuesList,3,FALSE),"")</f>
        <v/>
      </c>
      <c r="E442" s="31">
        <f t="shared" si="41"/>
        <v>0</v>
      </c>
      <c r="F442" s="9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  <c r="R442" s="84"/>
      <c r="S442" s="84"/>
      <c r="T442" s="84"/>
      <c r="U442" s="84"/>
      <c r="V442" s="84"/>
      <c r="W442" s="84"/>
      <c r="X442" s="84"/>
      <c r="Y442" s="84"/>
      <c r="Z442" s="84"/>
      <c r="AA442" s="84"/>
      <c r="AB442" s="84"/>
      <c r="AC442" s="85"/>
      <c r="AD442" s="85"/>
      <c r="AE442" s="84"/>
      <c r="AF442" s="84"/>
      <c r="AG442" s="84"/>
      <c r="AH442" s="84"/>
      <c r="AI442" s="84"/>
      <c r="AJ442" s="84"/>
      <c r="AK442" s="84"/>
      <c r="AL442" s="84"/>
      <c r="AM442" s="84"/>
      <c r="AN442" s="84"/>
      <c r="AO442" s="84"/>
      <c r="AP442" s="84"/>
      <c r="AQ442" s="84"/>
      <c r="AR442" s="84"/>
      <c r="AS442" s="87">
        <f t="array" ref="AS442">IF(E442=1,SUM((ROW(Mf0)=ROW(AS442))*(Mf0+Mf1_+Mf2_+Mf3_+Mf4_+Mf5_+Mf6_+Mf7_+Mf8_+Mf9_+Mf10_+Mf11_+Mf12_+Mf13_+Mf14_+Mf15_+Mf16_+Mf17_+Mf18_+Mf19_+Mf20_+Mf21_+Mf22_+Mf23_+Mf24_+Mf25_+Mf26_+Mf27_+Mf28_+Mf29_+Mf30_+Mf31_+Mf32_+Mf33_+Mf34_+Mf35_+Mf36_+Mf37_)),0)</f>
        <v>0</v>
      </c>
      <c r="AU442" s="24" t="str">
        <f t="shared" si="42"/>
        <v/>
      </c>
      <c r="AV442" s="24" t="str">
        <f t="shared" si="43"/>
        <v/>
      </c>
      <c r="AW442" s="24" t="str">
        <f t="shared" si="44"/>
        <v/>
      </c>
      <c r="AX442" s="72">
        <f t="shared" si="45"/>
        <v>0</v>
      </c>
      <c r="AY442" s="24">
        <f t="shared" si="46"/>
        <v>0</v>
      </c>
      <c r="AZ442" s="24">
        <f t="array" ref="AZ442">IF(OR(RIGHT(B442,LEN(Par_LabelTravelTime))=Par_LabelTravelTime,B442="čas na ceste - fakturácia"),1,0)</f>
        <v>0</v>
      </c>
    </row>
    <row r="443" spans="2:52" s="24" customFormat="1" ht="12.75" x14ac:dyDescent="0.2">
      <c r="B443" s="97"/>
      <c r="C443" s="92"/>
      <c r="D443" s="31" t="str">
        <f>IF(E443=1,VLOOKUP(TableInvs[[#This Row],[Calc_V_Typ]],Tran_RevenuesList,3,FALSE),"")</f>
        <v/>
      </c>
      <c r="E443" s="31">
        <f t="shared" si="41"/>
        <v>0</v>
      </c>
      <c r="F443" s="9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  <c r="R443" s="84"/>
      <c r="S443" s="84"/>
      <c r="T443" s="84"/>
      <c r="U443" s="84"/>
      <c r="V443" s="84"/>
      <c r="W443" s="84"/>
      <c r="X443" s="84"/>
      <c r="Y443" s="84"/>
      <c r="Z443" s="84"/>
      <c r="AA443" s="84"/>
      <c r="AB443" s="84"/>
      <c r="AC443" s="85"/>
      <c r="AD443" s="85"/>
      <c r="AE443" s="84"/>
      <c r="AF443" s="84"/>
      <c r="AG443" s="84"/>
      <c r="AH443" s="84"/>
      <c r="AI443" s="84"/>
      <c r="AJ443" s="84"/>
      <c r="AK443" s="84"/>
      <c r="AL443" s="84"/>
      <c r="AM443" s="84"/>
      <c r="AN443" s="84"/>
      <c r="AO443" s="84"/>
      <c r="AP443" s="84"/>
      <c r="AQ443" s="84"/>
      <c r="AR443" s="84"/>
      <c r="AS443" s="87">
        <f t="array" ref="AS443">IF(E443=1,SUM((ROW(Mf0)=ROW(AS443))*(Mf0+Mf1_+Mf2_+Mf3_+Mf4_+Mf5_+Mf6_+Mf7_+Mf8_+Mf9_+Mf10_+Mf11_+Mf12_+Mf13_+Mf14_+Mf15_+Mf16_+Mf17_+Mf18_+Mf19_+Mf20_+Mf21_+Mf22_+Mf23_+Mf24_+Mf25_+Mf26_+Mf27_+Mf28_+Mf29_+Mf30_+Mf31_+Mf32_+Mf33_+Mf34_+Mf35_+Mf36_+Mf37_)),0)</f>
        <v>0</v>
      </c>
      <c r="AU443" s="24" t="str">
        <f t="shared" si="42"/>
        <v/>
      </c>
      <c r="AV443" s="24" t="str">
        <f t="shared" si="43"/>
        <v/>
      </c>
      <c r="AW443" s="24" t="str">
        <f t="shared" si="44"/>
        <v/>
      </c>
      <c r="AX443" s="72">
        <f t="shared" si="45"/>
        <v>0</v>
      </c>
      <c r="AY443" s="24">
        <f t="shared" si="46"/>
        <v>0</v>
      </c>
      <c r="AZ443" s="24">
        <f t="array" ref="AZ443">IF(OR(RIGHT(B443,LEN(Par_LabelTravelTime))=Par_LabelTravelTime,B443="čas na ceste - fakturácia"),1,0)</f>
        <v>0</v>
      </c>
    </row>
    <row r="444" spans="2:52" s="24" customFormat="1" ht="12.75" x14ac:dyDescent="0.2">
      <c r="B444" s="97"/>
      <c r="C444" s="92"/>
      <c r="D444" s="31" t="str">
        <f>IF(E444=1,VLOOKUP(TableInvs[[#This Row],[Calc_V_Typ]],Tran_RevenuesList,3,FALSE),"")</f>
        <v/>
      </c>
      <c r="E444" s="31">
        <f t="shared" si="41"/>
        <v>0</v>
      </c>
      <c r="F444" s="9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4"/>
      <c r="R444" s="84"/>
      <c r="S444" s="84"/>
      <c r="T444" s="84"/>
      <c r="U444" s="84"/>
      <c r="V444" s="84"/>
      <c r="W444" s="84"/>
      <c r="X444" s="84"/>
      <c r="Y444" s="84"/>
      <c r="Z444" s="84"/>
      <c r="AA444" s="84"/>
      <c r="AB444" s="84"/>
      <c r="AC444" s="85"/>
      <c r="AD444" s="85"/>
      <c r="AE444" s="84"/>
      <c r="AF444" s="84"/>
      <c r="AG444" s="84"/>
      <c r="AH444" s="84"/>
      <c r="AI444" s="84"/>
      <c r="AJ444" s="84"/>
      <c r="AK444" s="84"/>
      <c r="AL444" s="84"/>
      <c r="AM444" s="84"/>
      <c r="AN444" s="84"/>
      <c r="AO444" s="84"/>
      <c r="AP444" s="84"/>
      <c r="AQ444" s="84"/>
      <c r="AR444" s="84"/>
      <c r="AS444" s="87">
        <f t="array" ref="AS444">IF(E444=1,SUM((ROW(Mf0)=ROW(AS444))*(Mf0+Mf1_+Mf2_+Mf3_+Mf4_+Mf5_+Mf6_+Mf7_+Mf8_+Mf9_+Mf10_+Mf11_+Mf12_+Mf13_+Mf14_+Mf15_+Mf16_+Mf17_+Mf18_+Mf19_+Mf20_+Mf21_+Mf22_+Mf23_+Mf24_+Mf25_+Mf26_+Mf27_+Mf28_+Mf29_+Mf30_+Mf31_+Mf32_+Mf33_+Mf34_+Mf35_+Mf36_+Mf37_)),0)</f>
        <v>0</v>
      </c>
      <c r="AU444" s="24" t="str">
        <f t="shared" si="42"/>
        <v/>
      </c>
      <c r="AV444" s="24" t="str">
        <f t="shared" si="43"/>
        <v/>
      </c>
      <c r="AW444" s="24" t="str">
        <f t="shared" si="44"/>
        <v/>
      </c>
      <c r="AX444" s="72">
        <f t="shared" si="45"/>
        <v>0</v>
      </c>
      <c r="AY444" s="24">
        <f t="shared" si="46"/>
        <v>0</v>
      </c>
      <c r="AZ444" s="24">
        <f t="array" ref="AZ444">IF(OR(RIGHT(B444,LEN(Par_LabelTravelTime))=Par_LabelTravelTime,B444="čas na ceste - fakturácia"),1,0)</f>
        <v>0</v>
      </c>
    </row>
    <row r="445" spans="2:52" s="24" customFormat="1" ht="12.75" x14ac:dyDescent="0.2">
      <c r="B445" s="97"/>
      <c r="C445" s="92"/>
      <c r="D445" s="31" t="str">
        <f>IF(E445=1,VLOOKUP(TableInvs[[#This Row],[Calc_V_Typ]],Tran_RevenuesList,3,FALSE),"")</f>
        <v/>
      </c>
      <c r="E445" s="31">
        <f t="shared" si="41"/>
        <v>0</v>
      </c>
      <c r="F445" s="94"/>
      <c r="G445" s="84"/>
      <c r="H445" s="84"/>
      <c r="I445" s="84"/>
      <c r="J445" s="84"/>
      <c r="K445" s="84"/>
      <c r="L445" s="84"/>
      <c r="M445" s="84"/>
      <c r="N445" s="84"/>
      <c r="O445" s="84"/>
      <c r="P445" s="84"/>
      <c r="Q445" s="84"/>
      <c r="R445" s="84"/>
      <c r="S445" s="84"/>
      <c r="T445" s="84"/>
      <c r="U445" s="84"/>
      <c r="V445" s="84"/>
      <c r="W445" s="84"/>
      <c r="X445" s="84"/>
      <c r="Y445" s="84"/>
      <c r="Z445" s="84"/>
      <c r="AA445" s="84"/>
      <c r="AB445" s="84"/>
      <c r="AC445" s="85"/>
      <c r="AD445" s="85"/>
      <c r="AE445" s="84"/>
      <c r="AF445" s="84"/>
      <c r="AG445" s="84"/>
      <c r="AH445" s="84"/>
      <c r="AI445" s="84"/>
      <c r="AJ445" s="84"/>
      <c r="AK445" s="84"/>
      <c r="AL445" s="84"/>
      <c r="AM445" s="84"/>
      <c r="AN445" s="84"/>
      <c r="AO445" s="84"/>
      <c r="AP445" s="84"/>
      <c r="AQ445" s="84"/>
      <c r="AR445" s="84"/>
      <c r="AS445" s="87">
        <f t="array" ref="AS445">IF(E445=1,SUM((ROW(Mf0)=ROW(AS445))*(Mf0+Mf1_+Mf2_+Mf3_+Mf4_+Mf5_+Mf6_+Mf7_+Mf8_+Mf9_+Mf10_+Mf11_+Mf12_+Mf13_+Mf14_+Mf15_+Mf16_+Mf17_+Mf18_+Mf19_+Mf20_+Mf21_+Mf22_+Mf23_+Mf24_+Mf25_+Mf26_+Mf27_+Mf28_+Mf29_+Mf30_+Mf31_+Mf32_+Mf33_+Mf34_+Mf35_+Mf36_+Mf37_)),0)</f>
        <v>0</v>
      </c>
      <c r="AU445" s="24" t="str">
        <f t="shared" si="42"/>
        <v/>
      </c>
      <c r="AV445" s="24" t="str">
        <f t="shared" si="43"/>
        <v/>
      </c>
      <c r="AW445" s="24" t="str">
        <f t="shared" si="44"/>
        <v/>
      </c>
      <c r="AX445" s="72">
        <f t="shared" si="45"/>
        <v>0</v>
      </c>
      <c r="AY445" s="24">
        <f t="shared" si="46"/>
        <v>0</v>
      </c>
      <c r="AZ445" s="24">
        <f t="array" ref="AZ445">IF(OR(RIGHT(B445,LEN(Par_LabelTravelTime))=Par_LabelTravelTime,B445="čas na ceste - fakturácia"),1,0)</f>
        <v>0</v>
      </c>
    </row>
    <row r="446" spans="2:52" s="24" customFormat="1" ht="12.75" x14ac:dyDescent="0.2">
      <c r="B446" s="97"/>
      <c r="C446" s="92"/>
      <c r="D446" s="31" t="str">
        <f>IF(E446=1,VLOOKUP(TableInvs[[#This Row],[Calc_V_Typ]],Tran_RevenuesList,3,FALSE),"")</f>
        <v/>
      </c>
      <c r="E446" s="31">
        <f t="shared" si="41"/>
        <v>0</v>
      </c>
      <c r="F446" s="94"/>
      <c r="G446" s="84"/>
      <c r="H446" s="84"/>
      <c r="I446" s="84"/>
      <c r="J446" s="84"/>
      <c r="K446" s="84"/>
      <c r="L446" s="84"/>
      <c r="M446" s="84"/>
      <c r="N446" s="84"/>
      <c r="O446" s="84"/>
      <c r="P446" s="84"/>
      <c r="Q446" s="84"/>
      <c r="R446" s="84"/>
      <c r="S446" s="84"/>
      <c r="T446" s="84"/>
      <c r="U446" s="84"/>
      <c r="V446" s="84"/>
      <c r="W446" s="84"/>
      <c r="X446" s="84"/>
      <c r="Y446" s="84"/>
      <c r="Z446" s="84"/>
      <c r="AA446" s="84"/>
      <c r="AB446" s="84"/>
      <c r="AC446" s="85"/>
      <c r="AD446" s="85"/>
      <c r="AE446" s="84"/>
      <c r="AF446" s="84"/>
      <c r="AG446" s="84"/>
      <c r="AH446" s="84"/>
      <c r="AI446" s="84"/>
      <c r="AJ446" s="84"/>
      <c r="AK446" s="84"/>
      <c r="AL446" s="84"/>
      <c r="AM446" s="84"/>
      <c r="AN446" s="84"/>
      <c r="AO446" s="84"/>
      <c r="AP446" s="84"/>
      <c r="AQ446" s="84"/>
      <c r="AR446" s="84"/>
      <c r="AS446" s="87">
        <f t="array" ref="AS446">IF(E446=1,SUM((ROW(Mf0)=ROW(AS446))*(Mf0+Mf1_+Mf2_+Mf3_+Mf4_+Mf5_+Mf6_+Mf7_+Mf8_+Mf9_+Mf10_+Mf11_+Mf12_+Mf13_+Mf14_+Mf15_+Mf16_+Mf17_+Mf18_+Mf19_+Mf20_+Mf21_+Mf22_+Mf23_+Mf24_+Mf25_+Mf26_+Mf27_+Mf28_+Mf29_+Mf30_+Mf31_+Mf32_+Mf33_+Mf34_+Mf35_+Mf36_+Mf37_)),0)</f>
        <v>0</v>
      </c>
      <c r="AU446" s="24" t="str">
        <f t="shared" si="42"/>
        <v/>
      </c>
      <c r="AV446" s="24" t="str">
        <f t="shared" si="43"/>
        <v/>
      </c>
      <c r="AW446" s="24" t="str">
        <f t="shared" si="44"/>
        <v/>
      </c>
      <c r="AX446" s="72">
        <f t="shared" si="45"/>
        <v>0</v>
      </c>
      <c r="AY446" s="24">
        <f t="shared" si="46"/>
        <v>0</v>
      </c>
      <c r="AZ446" s="24">
        <f t="array" ref="AZ446">IF(OR(RIGHT(B446,LEN(Par_LabelTravelTime))=Par_LabelTravelTime,B446="čas na ceste - fakturácia"),1,0)</f>
        <v>0</v>
      </c>
    </row>
    <row r="447" spans="2:52" s="24" customFormat="1" ht="12.75" x14ac:dyDescent="0.2">
      <c r="B447" s="97"/>
      <c r="C447" s="92"/>
      <c r="D447" s="31" t="str">
        <f>IF(E447=1,VLOOKUP(TableInvs[[#This Row],[Calc_V_Typ]],Tran_RevenuesList,3,FALSE),"")</f>
        <v/>
      </c>
      <c r="E447" s="31">
        <f t="shared" si="41"/>
        <v>0</v>
      </c>
      <c r="F447" s="94"/>
      <c r="G447" s="84"/>
      <c r="H447" s="84"/>
      <c r="I447" s="84"/>
      <c r="J447" s="84"/>
      <c r="K447" s="84"/>
      <c r="L447" s="84"/>
      <c r="M447" s="84"/>
      <c r="N447" s="84"/>
      <c r="O447" s="84"/>
      <c r="P447" s="84"/>
      <c r="Q447" s="84"/>
      <c r="R447" s="84"/>
      <c r="S447" s="84"/>
      <c r="T447" s="84"/>
      <c r="U447" s="84"/>
      <c r="V447" s="84"/>
      <c r="W447" s="84"/>
      <c r="X447" s="84"/>
      <c r="Y447" s="84"/>
      <c r="Z447" s="84"/>
      <c r="AA447" s="84"/>
      <c r="AB447" s="84"/>
      <c r="AC447" s="85"/>
      <c r="AD447" s="85"/>
      <c r="AE447" s="84"/>
      <c r="AF447" s="84"/>
      <c r="AG447" s="84"/>
      <c r="AH447" s="84"/>
      <c r="AI447" s="84"/>
      <c r="AJ447" s="84"/>
      <c r="AK447" s="84"/>
      <c r="AL447" s="84"/>
      <c r="AM447" s="84"/>
      <c r="AN447" s="84"/>
      <c r="AO447" s="84"/>
      <c r="AP447" s="84"/>
      <c r="AQ447" s="84"/>
      <c r="AR447" s="84"/>
      <c r="AS447" s="87">
        <f t="array" ref="AS447">IF(E447=1,SUM((ROW(Mf0)=ROW(AS447))*(Mf0+Mf1_+Mf2_+Mf3_+Mf4_+Mf5_+Mf6_+Mf7_+Mf8_+Mf9_+Mf10_+Mf11_+Mf12_+Mf13_+Mf14_+Mf15_+Mf16_+Mf17_+Mf18_+Mf19_+Mf20_+Mf21_+Mf22_+Mf23_+Mf24_+Mf25_+Mf26_+Mf27_+Mf28_+Mf29_+Mf30_+Mf31_+Mf32_+Mf33_+Mf34_+Mf35_+Mf36_+Mf37_)),0)</f>
        <v>0</v>
      </c>
      <c r="AU447" s="24" t="str">
        <f t="shared" si="42"/>
        <v/>
      </c>
      <c r="AV447" s="24" t="str">
        <f t="shared" si="43"/>
        <v/>
      </c>
      <c r="AW447" s="24" t="str">
        <f t="shared" si="44"/>
        <v/>
      </c>
      <c r="AX447" s="72">
        <f t="shared" si="45"/>
        <v>0</v>
      </c>
      <c r="AY447" s="24">
        <f t="shared" si="46"/>
        <v>0</v>
      </c>
      <c r="AZ447" s="24">
        <f t="array" ref="AZ447">IF(OR(RIGHT(B447,LEN(Par_LabelTravelTime))=Par_LabelTravelTime,B447="čas na ceste - fakturácia"),1,0)</f>
        <v>0</v>
      </c>
    </row>
    <row r="448" spans="2:52" s="24" customFormat="1" ht="12.75" x14ac:dyDescent="0.2">
      <c r="B448" s="97"/>
      <c r="C448" s="92"/>
      <c r="D448" s="31" t="str">
        <f>IF(E448=1,VLOOKUP(TableInvs[[#This Row],[Calc_V_Typ]],Tran_RevenuesList,3,FALSE),"")</f>
        <v/>
      </c>
      <c r="E448" s="31">
        <f t="shared" si="41"/>
        <v>0</v>
      </c>
      <c r="F448" s="94"/>
      <c r="G448" s="84"/>
      <c r="H448" s="84"/>
      <c r="I448" s="84"/>
      <c r="J448" s="84"/>
      <c r="K448" s="84"/>
      <c r="L448" s="84"/>
      <c r="M448" s="84"/>
      <c r="N448" s="84"/>
      <c r="O448" s="84"/>
      <c r="P448" s="84"/>
      <c r="Q448" s="84"/>
      <c r="R448" s="84"/>
      <c r="S448" s="84"/>
      <c r="T448" s="84"/>
      <c r="U448" s="84"/>
      <c r="V448" s="84"/>
      <c r="W448" s="84"/>
      <c r="X448" s="84"/>
      <c r="Y448" s="84"/>
      <c r="Z448" s="84"/>
      <c r="AA448" s="84"/>
      <c r="AB448" s="84"/>
      <c r="AC448" s="85"/>
      <c r="AD448" s="85"/>
      <c r="AE448" s="84"/>
      <c r="AF448" s="84"/>
      <c r="AG448" s="84"/>
      <c r="AH448" s="84"/>
      <c r="AI448" s="84"/>
      <c r="AJ448" s="84"/>
      <c r="AK448" s="84"/>
      <c r="AL448" s="84"/>
      <c r="AM448" s="84"/>
      <c r="AN448" s="84"/>
      <c r="AO448" s="84"/>
      <c r="AP448" s="84"/>
      <c r="AQ448" s="84"/>
      <c r="AR448" s="84"/>
      <c r="AS448" s="87">
        <f t="array" ref="AS448">IF(E448=1,SUM((ROW(Mf0)=ROW(AS448))*(Mf0+Mf1_+Mf2_+Mf3_+Mf4_+Mf5_+Mf6_+Mf7_+Mf8_+Mf9_+Mf10_+Mf11_+Mf12_+Mf13_+Mf14_+Mf15_+Mf16_+Mf17_+Mf18_+Mf19_+Mf20_+Mf21_+Mf22_+Mf23_+Mf24_+Mf25_+Mf26_+Mf27_+Mf28_+Mf29_+Mf30_+Mf31_+Mf32_+Mf33_+Mf34_+Mf35_+Mf36_+Mf37_)),0)</f>
        <v>0</v>
      </c>
      <c r="AU448" s="24" t="str">
        <f t="shared" si="42"/>
        <v/>
      </c>
      <c r="AV448" s="24" t="str">
        <f t="shared" si="43"/>
        <v/>
      </c>
      <c r="AW448" s="24" t="str">
        <f t="shared" si="44"/>
        <v/>
      </c>
      <c r="AX448" s="72">
        <f t="shared" si="45"/>
        <v>0</v>
      </c>
      <c r="AY448" s="24">
        <f t="shared" si="46"/>
        <v>0</v>
      </c>
      <c r="AZ448" s="24">
        <f t="array" ref="AZ448">IF(OR(RIGHT(B448,LEN(Par_LabelTravelTime))=Par_LabelTravelTime,B448="čas na ceste - fakturácia"),1,0)</f>
        <v>0</v>
      </c>
    </row>
    <row r="449" spans="2:52" s="24" customFormat="1" ht="12.75" x14ac:dyDescent="0.2">
      <c r="B449" s="97"/>
      <c r="C449" s="92"/>
      <c r="D449" s="31" t="str">
        <f>IF(E449=1,VLOOKUP(TableInvs[[#This Row],[Calc_V_Typ]],Tran_RevenuesList,3,FALSE),"")</f>
        <v/>
      </c>
      <c r="E449" s="31">
        <f t="shared" si="41"/>
        <v>0</v>
      </c>
      <c r="F449" s="94"/>
      <c r="G449" s="84"/>
      <c r="H449" s="84"/>
      <c r="I449" s="84"/>
      <c r="J449" s="84"/>
      <c r="K449" s="84"/>
      <c r="L449" s="84"/>
      <c r="M449" s="84"/>
      <c r="N449" s="84"/>
      <c r="O449" s="84"/>
      <c r="P449" s="84"/>
      <c r="Q449" s="84"/>
      <c r="R449" s="84"/>
      <c r="S449" s="84"/>
      <c r="T449" s="84"/>
      <c r="U449" s="84"/>
      <c r="V449" s="84"/>
      <c r="W449" s="84"/>
      <c r="X449" s="84"/>
      <c r="Y449" s="84"/>
      <c r="Z449" s="84"/>
      <c r="AA449" s="84"/>
      <c r="AB449" s="84"/>
      <c r="AC449" s="85"/>
      <c r="AD449" s="85"/>
      <c r="AE449" s="84"/>
      <c r="AF449" s="84"/>
      <c r="AG449" s="84"/>
      <c r="AH449" s="84"/>
      <c r="AI449" s="84"/>
      <c r="AJ449" s="84"/>
      <c r="AK449" s="84"/>
      <c r="AL449" s="84"/>
      <c r="AM449" s="84"/>
      <c r="AN449" s="84"/>
      <c r="AO449" s="84"/>
      <c r="AP449" s="84"/>
      <c r="AQ449" s="84"/>
      <c r="AR449" s="84"/>
      <c r="AS449" s="87">
        <f t="array" ref="AS449">IF(E449=1,SUM((ROW(Mf0)=ROW(AS449))*(Mf0+Mf1_+Mf2_+Mf3_+Mf4_+Mf5_+Mf6_+Mf7_+Mf8_+Mf9_+Mf10_+Mf11_+Mf12_+Mf13_+Mf14_+Mf15_+Mf16_+Mf17_+Mf18_+Mf19_+Mf20_+Mf21_+Mf22_+Mf23_+Mf24_+Mf25_+Mf26_+Mf27_+Mf28_+Mf29_+Mf30_+Mf31_+Mf32_+Mf33_+Mf34_+Mf35_+Mf36_+Mf37_)),0)</f>
        <v>0</v>
      </c>
      <c r="AU449" s="24" t="str">
        <f t="shared" si="42"/>
        <v/>
      </c>
      <c r="AV449" s="24" t="str">
        <f t="shared" si="43"/>
        <v/>
      </c>
      <c r="AW449" s="24" t="str">
        <f t="shared" si="44"/>
        <v/>
      </c>
      <c r="AX449" s="72">
        <f t="shared" si="45"/>
        <v>0</v>
      </c>
      <c r="AY449" s="24">
        <f t="shared" si="46"/>
        <v>0</v>
      </c>
      <c r="AZ449" s="24">
        <f t="array" ref="AZ449">IF(OR(RIGHT(B449,LEN(Par_LabelTravelTime))=Par_LabelTravelTime,B449="čas na ceste - fakturácia"),1,0)</f>
        <v>0</v>
      </c>
    </row>
    <row r="450" spans="2:52" s="24" customFormat="1" ht="12.75" x14ac:dyDescent="0.2">
      <c r="B450" s="97"/>
      <c r="C450" s="92"/>
      <c r="D450" s="31" t="str">
        <f>IF(E450=1,VLOOKUP(TableInvs[[#This Row],[Calc_V_Typ]],Tran_RevenuesList,3,FALSE),"")</f>
        <v/>
      </c>
      <c r="E450" s="31">
        <f t="shared" si="41"/>
        <v>0</v>
      </c>
      <c r="F450" s="94"/>
      <c r="G450" s="84"/>
      <c r="H450" s="84"/>
      <c r="I450" s="84"/>
      <c r="J450" s="84"/>
      <c r="K450" s="84"/>
      <c r="L450" s="84"/>
      <c r="M450" s="84"/>
      <c r="N450" s="84"/>
      <c r="O450" s="84"/>
      <c r="P450" s="84"/>
      <c r="Q450" s="84"/>
      <c r="R450" s="84"/>
      <c r="S450" s="84"/>
      <c r="T450" s="84"/>
      <c r="U450" s="84"/>
      <c r="V450" s="84"/>
      <c r="W450" s="84"/>
      <c r="X450" s="84"/>
      <c r="Y450" s="84"/>
      <c r="Z450" s="84"/>
      <c r="AA450" s="84"/>
      <c r="AB450" s="84"/>
      <c r="AC450" s="85"/>
      <c r="AD450" s="85"/>
      <c r="AE450" s="84"/>
      <c r="AF450" s="84"/>
      <c r="AG450" s="84"/>
      <c r="AH450" s="84"/>
      <c r="AI450" s="84"/>
      <c r="AJ450" s="84"/>
      <c r="AK450" s="84"/>
      <c r="AL450" s="84"/>
      <c r="AM450" s="84"/>
      <c r="AN450" s="84"/>
      <c r="AO450" s="84"/>
      <c r="AP450" s="84"/>
      <c r="AQ450" s="84"/>
      <c r="AR450" s="84"/>
      <c r="AS450" s="87">
        <f t="array" ref="AS450">IF(E450=1,SUM((ROW(Mf0)=ROW(AS450))*(Mf0+Mf1_+Mf2_+Mf3_+Mf4_+Mf5_+Mf6_+Mf7_+Mf8_+Mf9_+Mf10_+Mf11_+Mf12_+Mf13_+Mf14_+Mf15_+Mf16_+Mf17_+Mf18_+Mf19_+Mf20_+Mf21_+Mf22_+Mf23_+Mf24_+Mf25_+Mf26_+Mf27_+Mf28_+Mf29_+Mf30_+Mf31_+Mf32_+Mf33_+Mf34_+Mf35_+Mf36_+Mf37_)),0)</f>
        <v>0</v>
      </c>
      <c r="AU450" s="24" t="str">
        <f t="shared" si="42"/>
        <v/>
      </c>
      <c r="AV450" s="24" t="str">
        <f t="shared" si="43"/>
        <v/>
      </c>
      <c r="AW450" s="24" t="str">
        <f t="shared" si="44"/>
        <v/>
      </c>
      <c r="AX450" s="72">
        <f t="shared" si="45"/>
        <v>0</v>
      </c>
      <c r="AY450" s="24">
        <f t="shared" si="46"/>
        <v>0</v>
      </c>
      <c r="AZ450" s="24">
        <f t="array" ref="AZ450">IF(OR(RIGHT(B450,LEN(Par_LabelTravelTime))=Par_LabelTravelTime,B450="čas na ceste - fakturácia"),1,0)</f>
        <v>0</v>
      </c>
    </row>
    <row r="451" spans="2:52" s="24" customFormat="1" ht="12.75" x14ac:dyDescent="0.2">
      <c r="B451" s="97"/>
      <c r="C451" s="92"/>
      <c r="D451" s="31" t="str">
        <f>IF(E451=1,VLOOKUP(TableInvs[[#This Row],[Calc_V_Typ]],Tran_RevenuesList,3,FALSE),"")</f>
        <v/>
      </c>
      <c r="E451" s="31">
        <f t="shared" si="41"/>
        <v>0</v>
      </c>
      <c r="F451" s="94"/>
      <c r="G451" s="84"/>
      <c r="H451" s="84"/>
      <c r="I451" s="84"/>
      <c r="J451" s="84"/>
      <c r="K451" s="84"/>
      <c r="L451" s="84"/>
      <c r="M451" s="84"/>
      <c r="N451" s="84"/>
      <c r="O451" s="84"/>
      <c r="P451" s="84"/>
      <c r="Q451" s="84"/>
      <c r="R451" s="84"/>
      <c r="S451" s="84"/>
      <c r="T451" s="84"/>
      <c r="U451" s="84"/>
      <c r="V451" s="84"/>
      <c r="W451" s="84"/>
      <c r="X451" s="84"/>
      <c r="Y451" s="84"/>
      <c r="Z451" s="84"/>
      <c r="AA451" s="84"/>
      <c r="AB451" s="84"/>
      <c r="AC451" s="85"/>
      <c r="AD451" s="85"/>
      <c r="AE451" s="84"/>
      <c r="AF451" s="84"/>
      <c r="AG451" s="84"/>
      <c r="AH451" s="84"/>
      <c r="AI451" s="84"/>
      <c r="AJ451" s="84"/>
      <c r="AK451" s="84"/>
      <c r="AL451" s="84"/>
      <c r="AM451" s="84"/>
      <c r="AN451" s="84"/>
      <c r="AO451" s="84"/>
      <c r="AP451" s="84"/>
      <c r="AQ451" s="84"/>
      <c r="AR451" s="84"/>
      <c r="AS451" s="87">
        <f t="array" ref="AS451">IF(E451=1,SUM((ROW(Mf0)=ROW(AS451))*(Mf0+Mf1_+Mf2_+Mf3_+Mf4_+Mf5_+Mf6_+Mf7_+Mf8_+Mf9_+Mf10_+Mf11_+Mf12_+Mf13_+Mf14_+Mf15_+Mf16_+Mf17_+Mf18_+Mf19_+Mf20_+Mf21_+Mf22_+Mf23_+Mf24_+Mf25_+Mf26_+Mf27_+Mf28_+Mf29_+Mf30_+Mf31_+Mf32_+Mf33_+Mf34_+Mf35_+Mf36_+Mf37_)),0)</f>
        <v>0</v>
      </c>
      <c r="AU451" s="24" t="str">
        <f t="shared" si="42"/>
        <v/>
      </c>
      <c r="AV451" s="24" t="str">
        <f t="shared" si="43"/>
        <v/>
      </c>
      <c r="AW451" s="24" t="str">
        <f t="shared" si="44"/>
        <v/>
      </c>
      <c r="AX451" s="72">
        <f t="shared" si="45"/>
        <v>0</v>
      </c>
      <c r="AY451" s="24">
        <f t="shared" si="46"/>
        <v>0</v>
      </c>
      <c r="AZ451" s="24">
        <f t="array" ref="AZ451">IF(OR(RIGHT(B451,LEN(Par_LabelTravelTime))=Par_LabelTravelTime,B451="čas na ceste - fakturácia"),1,0)</f>
        <v>0</v>
      </c>
    </row>
    <row r="452" spans="2:52" s="24" customFormat="1" ht="12.75" x14ac:dyDescent="0.2">
      <c r="B452" s="97"/>
      <c r="C452" s="92"/>
      <c r="D452" s="31" t="str">
        <f>IF(E452=1,VLOOKUP(TableInvs[[#This Row],[Calc_V_Typ]],Tran_RevenuesList,3,FALSE),"")</f>
        <v/>
      </c>
      <c r="E452" s="31">
        <f t="shared" si="41"/>
        <v>0</v>
      </c>
      <c r="F452" s="94"/>
      <c r="G452" s="84"/>
      <c r="H452" s="84"/>
      <c r="I452" s="84"/>
      <c r="J452" s="84"/>
      <c r="K452" s="84"/>
      <c r="L452" s="84"/>
      <c r="M452" s="84"/>
      <c r="N452" s="84"/>
      <c r="O452" s="84"/>
      <c r="P452" s="84"/>
      <c r="Q452" s="84"/>
      <c r="R452" s="84"/>
      <c r="S452" s="84"/>
      <c r="T452" s="84"/>
      <c r="U452" s="84"/>
      <c r="V452" s="84"/>
      <c r="W452" s="84"/>
      <c r="X452" s="84"/>
      <c r="Y452" s="84"/>
      <c r="Z452" s="84"/>
      <c r="AA452" s="84"/>
      <c r="AB452" s="84"/>
      <c r="AC452" s="85"/>
      <c r="AD452" s="85"/>
      <c r="AE452" s="84"/>
      <c r="AF452" s="84"/>
      <c r="AG452" s="84"/>
      <c r="AH452" s="84"/>
      <c r="AI452" s="84"/>
      <c r="AJ452" s="84"/>
      <c r="AK452" s="84"/>
      <c r="AL452" s="84"/>
      <c r="AM452" s="84"/>
      <c r="AN452" s="84"/>
      <c r="AO452" s="84"/>
      <c r="AP452" s="84"/>
      <c r="AQ452" s="84"/>
      <c r="AR452" s="84"/>
      <c r="AS452" s="87">
        <f t="array" ref="AS452">IF(E452=1,SUM((ROW(Mf0)=ROW(AS452))*(Mf0+Mf1_+Mf2_+Mf3_+Mf4_+Mf5_+Mf6_+Mf7_+Mf8_+Mf9_+Mf10_+Mf11_+Mf12_+Mf13_+Mf14_+Mf15_+Mf16_+Mf17_+Mf18_+Mf19_+Mf20_+Mf21_+Mf22_+Mf23_+Mf24_+Mf25_+Mf26_+Mf27_+Mf28_+Mf29_+Mf30_+Mf31_+Mf32_+Mf33_+Mf34_+Mf35_+Mf36_+Mf37_)),0)</f>
        <v>0</v>
      </c>
      <c r="AU452" s="24" t="str">
        <f t="shared" si="42"/>
        <v/>
      </c>
      <c r="AV452" s="24" t="str">
        <f t="shared" si="43"/>
        <v/>
      </c>
      <c r="AW452" s="24" t="str">
        <f t="shared" si="44"/>
        <v/>
      </c>
      <c r="AX452" s="72">
        <f t="shared" si="45"/>
        <v>0</v>
      </c>
      <c r="AY452" s="24">
        <f t="shared" si="46"/>
        <v>0</v>
      </c>
      <c r="AZ452" s="24">
        <f t="array" ref="AZ452">IF(OR(RIGHT(B452,LEN(Par_LabelTravelTime))=Par_LabelTravelTime,B452="čas na ceste - fakturácia"),1,0)</f>
        <v>0</v>
      </c>
    </row>
    <row r="453" spans="2:52" s="24" customFormat="1" ht="12.75" x14ac:dyDescent="0.2">
      <c r="B453" s="97"/>
      <c r="C453" s="92"/>
      <c r="D453" s="31" t="str">
        <f>IF(E453=1,VLOOKUP(TableInvs[[#This Row],[Calc_V_Typ]],Tran_RevenuesList,3,FALSE),"")</f>
        <v/>
      </c>
      <c r="E453" s="31">
        <f t="shared" si="41"/>
        <v>0</v>
      </c>
      <c r="F453" s="94"/>
      <c r="G453" s="84"/>
      <c r="H453" s="84"/>
      <c r="I453" s="84"/>
      <c r="J453" s="84"/>
      <c r="K453" s="84"/>
      <c r="L453" s="84"/>
      <c r="M453" s="84"/>
      <c r="N453" s="84"/>
      <c r="O453" s="84"/>
      <c r="P453" s="84"/>
      <c r="Q453" s="84"/>
      <c r="R453" s="84"/>
      <c r="S453" s="84"/>
      <c r="T453" s="84"/>
      <c r="U453" s="84"/>
      <c r="V453" s="84"/>
      <c r="W453" s="84"/>
      <c r="X453" s="84"/>
      <c r="Y453" s="84"/>
      <c r="Z453" s="84"/>
      <c r="AA453" s="84"/>
      <c r="AB453" s="84"/>
      <c r="AC453" s="85"/>
      <c r="AD453" s="85"/>
      <c r="AE453" s="84"/>
      <c r="AF453" s="84"/>
      <c r="AG453" s="84"/>
      <c r="AH453" s="84"/>
      <c r="AI453" s="84"/>
      <c r="AJ453" s="84"/>
      <c r="AK453" s="84"/>
      <c r="AL453" s="84"/>
      <c r="AM453" s="84"/>
      <c r="AN453" s="84"/>
      <c r="AO453" s="84"/>
      <c r="AP453" s="84"/>
      <c r="AQ453" s="84"/>
      <c r="AR453" s="84"/>
      <c r="AS453" s="87">
        <f t="array" ref="AS453">IF(E453=1,SUM((ROW(Mf0)=ROW(AS453))*(Mf0+Mf1_+Mf2_+Mf3_+Mf4_+Mf5_+Mf6_+Mf7_+Mf8_+Mf9_+Mf10_+Mf11_+Mf12_+Mf13_+Mf14_+Mf15_+Mf16_+Mf17_+Mf18_+Mf19_+Mf20_+Mf21_+Mf22_+Mf23_+Mf24_+Mf25_+Mf26_+Mf27_+Mf28_+Mf29_+Mf30_+Mf31_+Mf32_+Mf33_+Mf34_+Mf35_+Mf36_+Mf37_)),0)</f>
        <v>0</v>
      </c>
      <c r="AU453" s="24" t="str">
        <f t="shared" si="42"/>
        <v/>
      </c>
      <c r="AV453" s="24" t="str">
        <f t="shared" si="43"/>
        <v/>
      </c>
      <c r="AW453" s="24" t="str">
        <f t="shared" si="44"/>
        <v/>
      </c>
      <c r="AX453" s="72">
        <f t="shared" si="45"/>
        <v>0</v>
      </c>
      <c r="AY453" s="24">
        <f t="shared" si="46"/>
        <v>0</v>
      </c>
      <c r="AZ453" s="24">
        <f t="array" ref="AZ453">IF(OR(RIGHT(B453,LEN(Par_LabelTravelTime))=Par_LabelTravelTime,B453="čas na ceste - fakturácia"),1,0)</f>
        <v>0</v>
      </c>
    </row>
    <row r="454" spans="2:52" s="24" customFormat="1" ht="12.75" x14ac:dyDescent="0.2">
      <c r="B454" s="97"/>
      <c r="C454" s="92"/>
      <c r="D454" s="31" t="str">
        <f>IF(E454=1,VLOOKUP(TableInvs[[#This Row],[Calc_V_Typ]],Tran_RevenuesList,3,FALSE),"")</f>
        <v/>
      </c>
      <c r="E454" s="31">
        <f t="shared" si="41"/>
        <v>0</v>
      </c>
      <c r="F454" s="94"/>
      <c r="G454" s="84"/>
      <c r="H454" s="84"/>
      <c r="I454" s="84"/>
      <c r="J454" s="84"/>
      <c r="K454" s="84"/>
      <c r="L454" s="84"/>
      <c r="M454" s="84"/>
      <c r="N454" s="84"/>
      <c r="O454" s="84"/>
      <c r="P454" s="84"/>
      <c r="Q454" s="84"/>
      <c r="R454" s="84"/>
      <c r="S454" s="84"/>
      <c r="T454" s="84"/>
      <c r="U454" s="84"/>
      <c r="V454" s="84"/>
      <c r="W454" s="84"/>
      <c r="X454" s="84"/>
      <c r="Y454" s="84"/>
      <c r="Z454" s="84"/>
      <c r="AA454" s="84"/>
      <c r="AB454" s="84"/>
      <c r="AC454" s="85"/>
      <c r="AD454" s="85"/>
      <c r="AE454" s="84"/>
      <c r="AF454" s="84"/>
      <c r="AG454" s="84"/>
      <c r="AH454" s="84"/>
      <c r="AI454" s="84"/>
      <c r="AJ454" s="84"/>
      <c r="AK454" s="84"/>
      <c r="AL454" s="84"/>
      <c r="AM454" s="84"/>
      <c r="AN454" s="84"/>
      <c r="AO454" s="84"/>
      <c r="AP454" s="84"/>
      <c r="AQ454" s="84"/>
      <c r="AR454" s="84"/>
      <c r="AS454" s="87">
        <f t="array" ref="AS454">IF(E454=1,SUM((ROW(Mf0)=ROW(AS454))*(Mf0+Mf1_+Mf2_+Mf3_+Mf4_+Mf5_+Mf6_+Mf7_+Mf8_+Mf9_+Mf10_+Mf11_+Mf12_+Mf13_+Mf14_+Mf15_+Mf16_+Mf17_+Mf18_+Mf19_+Mf20_+Mf21_+Mf22_+Mf23_+Mf24_+Mf25_+Mf26_+Mf27_+Mf28_+Mf29_+Mf30_+Mf31_+Mf32_+Mf33_+Mf34_+Mf35_+Mf36_+Mf37_)),0)</f>
        <v>0</v>
      </c>
      <c r="AU454" s="24" t="str">
        <f t="shared" si="42"/>
        <v/>
      </c>
      <c r="AV454" s="24" t="str">
        <f t="shared" si="43"/>
        <v/>
      </c>
      <c r="AW454" s="24" t="str">
        <f t="shared" si="44"/>
        <v/>
      </c>
      <c r="AX454" s="72">
        <f t="shared" si="45"/>
        <v>0</v>
      </c>
      <c r="AY454" s="24">
        <f t="shared" si="46"/>
        <v>0</v>
      </c>
      <c r="AZ454" s="24">
        <f t="array" ref="AZ454">IF(OR(RIGHT(B454,LEN(Par_LabelTravelTime))=Par_LabelTravelTime,B454="čas na ceste - fakturácia"),1,0)</f>
        <v>0</v>
      </c>
    </row>
    <row r="455" spans="2:52" s="24" customFormat="1" ht="12.75" x14ac:dyDescent="0.2">
      <c r="B455" s="97"/>
      <c r="C455" s="92"/>
      <c r="D455" s="31" t="str">
        <f>IF(E455=1,VLOOKUP(TableInvs[[#This Row],[Calc_V_Typ]],Tran_RevenuesList,3,FALSE),"")</f>
        <v/>
      </c>
      <c r="E455" s="31">
        <f t="shared" ref="E455:E518" si="47">IF(B455="",0,IF(LEFT(B455,3)="***",-1,1))</f>
        <v>0</v>
      </c>
      <c r="F455" s="94"/>
      <c r="G455" s="84"/>
      <c r="H455" s="84"/>
      <c r="I455" s="84"/>
      <c r="J455" s="84"/>
      <c r="K455" s="84"/>
      <c r="L455" s="84"/>
      <c r="M455" s="84"/>
      <c r="N455" s="84"/>
      <c r="O455" s="84"/>
      <c r="P455" s="84"/>
      <c r="Q455" s="84"/>
      <c r="R455" s="84"/>
      <c r="S455" s="84"/>
      <c r="T455" s="84"/>
      <c r="U455" s="84"/>
      <c r="V455" s="84"/>
      <c r="W455" s="84"/>
      <c r="X455" s="84"/>
      <c r="Y455" s="84"/>
      <c r="Z455" s="84"/>
      <c r="AA455" s="84"/>
      <c r="AB455" s="84"/>
      <c r="AC455" s="85"/>
      <c r="AD455" s="85"/>
      <c r="AE455" s="84"/>
      <c r="AF455" s="84"/>
      <c r="AG455" s="84"/>
      <c r="AH455" s="84"/>
      <c r="AI455" s="84"/>
      <c r="AJ455" s="84"/>
      <c r="AK455" s="84"/>
      <c r="AL455" s="84"/>
      <c r="AM455" s="84"/>
      <c r="AN455" s="84"/>
      <c r="AO455" s="84"/>
      <c r="AP455" s="84"/>
      <c r="AQ455" s="84"/>
      <c r="AR455" s="84"/>
      <c r="AS455" s="87">
        <f t="array" ref="AS455">IF(E455=1,SUM((ROW(Mf0)=ROW(AS455))*(Mf0+Mf1_+Mf2_+Mf3_+Mf4_+Mf5_+Mf6_+Mf7_+Mf8_+Mf9_+Mf10_+Mf11_+Mf12_+Mf13_+Mf14_+Mf15_+Mf16_+Mf17_+Mf18_+Mf19_+Mf20_+Mf21_+Mf22_+Mf23_+Mf24_+Mf25_+Mf26_+Mf27_+Mf28_+Mf29_+Mf30_+Mf31_+Mf32_+Mf33_+Mf34_+Mf35_+Mf36_+Mf37_)),0)</f>
        <v>0</v>
      </c>
      <c r="AU455" s="24" t="str">
        <f t="shared" ref="AU455:AU518" si="48">IF(E455=1,VLOOKUP(B455,Tran_RevenuesList,2,0),"")</f>
        <v/>
      </c>
      <c r="AV455" s="24" t="str">
        <f t="shared" ref="AV455:AV518" si="49">IF(E455=1,D455,"")</f>
        <v/>
      </c>
      <c r="AW455" s="24" t="str">
        <f t="shared" ref="AW455:AW518" si="50">IF(C455="","",VLOOKUP(C455,Tab_Parts,2,0))</f>
        <v/>
      </c>
      <c r="AX455" s="72">
        <f t="shared" ref="AX455:AX518" si="51">IF(E455=1,AS455,0)</f>
        <v>0</v>
      </c>
      <c r="AY455" s="24">
        <f t="shared" ref="AY455:AY518" si="52">IF(RIGHT(B455,LEN(Par_LabelTravelTime))=Par_LabelTravelTime,LEFT(B455,LEN(B455)-LEN(Par_LabelTravelTime)),B455)</f>
        <v>0</v>
      </c>
      <c r="AZ455" s="24">
        <f t="array" ref="AZ455">IF(OR(RIGHT(B455,LEN(Par_LabelTravelTime))=Par_LabelTravelTime,B455="čas na ceste - fakturácia"),1,0)</f>
        <v>0</v>
      </c>
    </row>
    <row r="456" spans="2:52" s="24" customFormat="1" ht="12.75" x14ac:dyDescent="0.2">
      <c r="B456" s="97"/>
      <c r="C456" s="92"/>
      <c r="D456" s="31" t="str">
        <f>IF(E456=1,VLOOKUP(TableInvs[[#This Row],[Calc_V_Typ]],Tran_RevenuesList,3,FALSE),"")</f>
        <v/>
      </c>
      <c r="E456" s="31">
        <f t="shared" si="47"/>
        <v>0</v>
      </c>
      <c r="F456" s="94"/>
      <c r="G456" s="84"/>
      <c r="H456" s="84"/>
      <c r="I456" s="84"/>
      <c r="J456" s="84"/>
      <c r="K456" s="84"/>
      <c r="L456" s="84"/>
      <c r="M456" s="84"/>
      <c r="N456" s="84"/>
      <c r="O456" s="84"/>
      <c r="P456" s="84"/>
      <c r="Q456" s="84"/>
      <c r="R456" s="84"/>
      <c r="S456" s="84"/>
      <c r="T456" s="84"/>
      <c r="U456" s="84"/>
      <c r="V456" s="84"/>
      <c r="W456" s="84"/>
      <c r="X456" s="84"/>
      <c r="Y456" s="84"/>
      <c r="Z456" s="84"/>
      <c r="AA456" s="84"/>
      <c r="AB456" s="84"/>
      <c r="AC456" s="85"/>
      <c r="AD456" s="85"/>
      <c r="AE456" s="84"/>
      <c r="AF456" s="84"/>
      <c r="AG456" s="84"/>
      <c r="AH456" s="84"/>
      <c r="AI456" s="84"/>
      <c r="AJ456" s="84"/>
      <c r="AK456" s="84"/>
      <c r="AL456" s="84"/>
      <c r="AM456" s="84"/>
      <c r="AN456" s="84"/>
      <c r="AO456" s="84"/>
      <c r="AP456" s="84"/>
      <c r="AQ456" s="84"/>
      <c r="AR456" s="84"/>
      <c r="AS456" s="87">
        <f t="array" ref="AS456">IF(E456=1,SUM((ROW(Mf0)=ROW(AS456))*(Mf0+Mf1_+Mf2_+Mf3_+Mf4_+Mf5_+Mf6_+Mf7_+Mf8_+Mf9_+Mf10_+Mf11_+Mf12_+Mf13_+Mf14_+Mf15_+Mf16_+Mf17_+Mf18_+Mf19_+Mf20_+Mf21_+Mf22_+Mf23_+Mf24_+Mf25_+Mf26_+Mf27_+Mf28_+Mf29_+Mf30_+Mf31_+Mf32_+Mf33_+Mf34_+Mf35_+Mf36_+Mf37_)),0)</f>
        <v>0</v>
      </c>
      <c r="AU456" s="24" t="str">
        <f t="shared" si="48"/>
        <v/>
      </c>
      <c r="AV456" s="24" t="str">
        <f t="shared" si="49"/>
        <v/>
      </c>
      <c r="AW456" s="24" t="str">
        <f t="shared" si="50"/>
        <v/>
      </c>
      <c r="AX456" s="72">
        <f t="shared" si="51"/>
        <v>0</v>
      </c>
      <c r="AY456" s="24">
        <f t="shared" si="52"/>
        <v>0</v>
      </c>
      <c r="AZ456" s="24">
        <f t="array" ref="AZ456">IF(OR(RIGHT(B456,LEN(Par_LabelTravelTime))=Par_LabelTravelTime,B456="čas na ceste - fakturácia"),1,0)</f>
        <v>0</v>
      </c>
    </row>
    <row r="457" spans="2:52" s="24" customFormat="1" ht="12.75" x14ac:dyDescent="0.2">
      <c r="B457" s="97"/>
      <c r="C457" s="92"/>
      <c r="D457" s="31" t="str">
        <f>IF(E457=1,VLOOKUP(TableInvs[[#This Row],[Calc_V_Typ]],Tran_RevenuesList,3,FALSE),"")</f>
        <v/>
      </c>
      <c r="E457" s="31">
        <f t="shared" si="47"/>
        <v>0</v>
      </c>
      <c r="F457" s="94"/>
      <c r="G457" s="84"/>
      <c r="H457" s="84"/>
      <c r="I457" s="84"/>
      <c r="J457" s="84"/>
      <c r="K457" s="84"/>
      <c r="L457" s="84"/>
      <c r="M457" s="84"/>
      <c r="N457" s="84"/>
      <c r="O457" s="84"/>
      <c r="P457" s="84"/>
      <c r="Q457" s="84"/>
      <c r="R457" s="84"/>
      <c r="S457" s="84"/>
      <c r="T457" s="84"/>
      <c r="U457" s="84"/>
      <c r="V457" s="84"/>
      <c r="W457" s="84"/>
      <c r="X457" s="84"/>
      <c r="Y457" s="84"/>
      <c r="Z457" s="84"/>
      <c r="AA457" s="84"/>
      <c r="AB457" s="84"/>
      <c r="AC457" s="85"/>
      <c r="AD457" s="85"/>
      <c r="AE457" s="84"/>
      <c r="AF457" s="84"/>
      <c r="AG457" s="84"/>
      <c r="AH457" s="84"/>
      <c r="AI457" s="84"/>
      <c r="AJ457" s="84"/>
      <c r="AK457" s="84"/>
      <c r="AL457" s="84"/>
      <c r="AM457" s="84"/>
      <c r="AN457" s="84"/>
      <c r="AO457" s="84"/>
      <c r="AP457" s="84"/>
      <c r="AQ457" s="84"/>
      <c r="AR457" s="84"/>
      <c r="AS457" s="87">
        <f t="array" ref="AS457">IF(E457=1,SUM((ROW(Mf0)=ROW(AS457))*(Mf0+Mf1_+Mf2_+Mf3_+Mf4_+Mf5_+Mf6_+Mf7_+Mf8_+Mf9_+Mf10_+Mf11_+Mf12_+Mf13_+Mf14_+Mf15_+Mf16_+Mf17_+Mf18_+Mf19_+Mf20_+Mf21_+Mf22_+Mf23_+Mf24_+Mf25_+Mf26_+Mf27_+Mf28_+Mf29_+Mf30_+Mf31_+Mf32_+Mf33_+Mf34_+Mf35_+Mf36_+Mf37_)),0)</f>
        <v>0</v>
      </c>
      <c r="AU457" s="24" t="str">
        <f t="shared" si="48"/>
        <v/>
      </c>
      <c r="AV457" s="24" t="str">
        <f t="shared" si="49"/>
        <v/>
      </c>
      <c r="AW457" s="24" t="str">
        <f t="shared" si="50"/>
        <v/>
      </c>
      <c r="AX457" s="72">
        <f t="shared" si="51"/>
        <v>0</v>
      </c>
      <c r="AY457" s="24">
        <f t="shared" si="52"/>
        <v>0</v>
      </c>
      <c r="AZ457" s="24">
        <f t="array" ref="AZ457">IF(OR(RIGHT(B457,LEN(Par_LabelTravelTime))=Par_LabelTravelTime,B457="čas na ceste - fakturácia"),1,0)</f>
        <v>0</v>
      </c>
    </row>
    <row r="458" spans="2:52" s="24" customFormat="1" ht="12.75" x14ac:dyDescent="0.2">
      <c r="B458" s="97"/>
      <c r="C458" s="92"/>
      <c r="D458" s="31" t="str">
        <f>IF(E458=1,VLOOKUP(TableInvs[[#This Row],[Calc_V_Typ]],Tran_RevenuesList,3,FALSE),"")</f>
        <v/>
      </c>
      <c r="E458" s="31">
        <f t="shared" si="47"/>
        <v>0</v>
      </c>
      <c r="F458" s="94"/>
      <c r="G458" s="84"/>
      <c r="H458" s="84"/>
      <c r="I458" s="84"/>
      <c r="J458" s="84"/>
      <c r="K458" s="84"/>
      <c r="L458" s="84"/>
      <c r="M458" s="84"/>
      <c r="N458" s="84"/>
      <c r="O458" s="84"/>
      <c r="P458" s="84"/>
      <c r="Q458" s="84"/>
      <c r="R458" s="84"/>
      <c r="S458" s="84"/>
      <c r="T458" s="84"/>
      <c r="U458" s="84"/>
      <c r="V458" s="84"/>
      <c r="W458" s="84"/>
      <c r="X458" s="84"/>
      <c r="Y458" s="84"/>
      <c r="Z458" s="84"/>
      <c r="AA458" s="84"/>
      <c r="AB458" s="84"/>
      <c r="AC458" s="85"/>
      <c r="AD458" s="85"/>
      <c r="AE458" s="84"/>
      <c r="AF458" s="84"/>
      <c r="AG458" s="84"/>
      <c r="AH458" s="84"/>
      <c r="AI458" s="84"/>
      <c r="AJ458" s="84"/>
      <c r="AK458" s="84"/>
      <c r="AL458" s="84"/>
      <c r="AM458" s="84"/>
      <c r="AN458" s="84"/>
      <c r="AO458" s="84"/>
      <c r="AP458" s="84"/>
      <c r="AQ458" s="84"/>
      <c r="AR458" s="84"/>
      <c r="AS458" s="87">
        <f t="array" ref="AS458">IF(E458=1,SUM((ROW(Mf0)=ROW(AS458))*(Mf0+Mf1_+Mf2_+Mf3_+Mf4_+Mf5_+Mf6_+Mf7_+Mf8_+Mf9_+Mf10_+Mf11_+Mf12_+Mf13_+Mf14_+Mf15_+Mf16_+Mf17_+Mf18_+Mf19_+Mf20_+Mf21_+Mf22_+Mf23_+Mf24_+Mf25_+Mf26_+Mf27_+Mf28_+Mf29_+Mf30_+Mf31_+Mf32_+Mf33_+Mf34_+Mf35_+Mf36_+Mf37_)),0)</f>
        <v>0</v>
      </c>
      <c r="AU458" s="24" t="str">
        <f t="shared" si="48"/>
        <v/>
      </c>
      <c r="AV458" s="24" t="str">
        <f t="shared" si="49"/>
        <v/>
      </c>
      <c r="AW458" s="24" t="str">
        <f t="shared" si="50"/>
        <v/>
      </c>
      <c r="AX458" s="72">
        <f t="shared" si="51"/>
        <v>0</v>
      </c>
      <c r="AY458" s="24">
        <f t="shared" si="52"/>
        <v>0</v>
      </c>
      <c r="AZ458" s="24">
        <f t="array" ref="AZ458">IF(OR(RIGHT(B458,LEN(Par_LabelTravelTime))=Par_LabelTravelTime,B458="čas na ceste - fakturácia"),1,0)</f>
        <v>0</v>
      </c>
    </row>
    <row r="459" spans="2:52" s="24" customFormat="1" ht="12.75" x14ac:dyDescent="0.2">
      <c r="B459" s="97"/>
      <c r="C459" s="92"/>
      <c r="D459" s="31" t="str">
        <f>IF(E459=1,VLOOKUP(TableInvs[[#This Row],[Calc_V_Typ]],Tran_RevenuesList,3,FALSE),"")</f>
        <v/>
      </c>
      <c r="E459" s="31">
        <f t="shared" si="47"/>
        <v>0</v>
      </c>
      <c r="F459" s="9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  <c r="R459" s="84"/>
      <c r="S459" s="84"/>
      <c r="T459" s="84"/>
      <c r="U459" s="84"/>
      <c r="V459" s="84"/>
      <c r="W459" s="84"/>
      <c r="X459" s="84"/>
      <c r="Y459" s="84"/>
      <c r="Z459" s="84"/>
      <c r="AA459" s="84"/>
      <c r="AB459" s="84"/>
      <c r="AC459" s="85"/>
      <c r="AD459" s="85"/>
      <c r="AE459" s="84"/>
      <c r="AF459" s="84"/>
      <c r="AG459" s="84"/>
      <c r="AH459" s="84"/>
      <c r="AI459" s="84"/>
      <c r="AJ459" s="84"/>
      <c r="AK459" s="84"/>
      <c r="AL459" s="84"/>
      <c r="AM459" s="84"/>
      <c r="AN459" s="84"/>
      <c r="AO459" s="84"/>
      <c r="AP459" s="84"/>
      <c r="AQ459" s="84"/>
      <c r="AR459" s="84"/>
      <c r="AS459" s="87">
        <f t="array" ref="AS459">IF(E459=1,SUM((ROW(Mf0)=ROW(AS459))*(Mf0+Mf1_+Mf2_+Mf3_+Mf4_+Mf5_+Mf6_+Mf7_+Mf8_+Mf9_+Mf10_+Mf11_+Mf12_+Mf13_+Mf14_+Mf15_+Mf16_+Mf17_+Mf18_+Mf19_+Mf20_+Mf21_+Mf22_+Mf23_+Mf24_+Mf25_+Mf26_+Mf27_+Mf28_+Mf29_+Mf30_+Mf31_+Mf32_+Mf33_+Mf34_+Mf35_+Mf36_+Mf37_)),0)</f>
        <v>0</v>
      </c>
      <c r="AU459" s="24" t="str">
        <f t="shared" si="48"/>
        <v/>
      </c>
      <c r="AV459" s="24" t="str">
        <f t="shared" si="49"/>
        <v/>
      </c>
      <c r="AW459" s="24" t="str">
        <f t="shared" si="50"/>
        <v/>
      </c>
      <c r="AX459" s="72">
        <f t="shared" si="51"/>
        <v>0</v>
      </c>
      <c r="AY459" s="24">
        <f t="shared" si="52"/>
        <v>0</v>
      </c>
      <c r="AZ459" s="24">
        <f t="array" ref="AZ459">IF(OR(RIGHT(B459,LEN(Par_LabelTravelTime))=Par_LabelTravelTime,B459="čas na ceste - fakturácia"),1,0)</f>
        <v>0</v>
      </c>
    </row>
    <row r="460" spans="2:52" s="24" customFormat="1" ht="12.75" x14ac:dyDescent="0.2">
      <c r="B460" s="97"/>
      <c r="C460" s="92"/>
      <c r="D460" s="31" t="str">
        <f>IF(E460=1,VLOOKUP(TableInvs[[#This Row],[Calc_V_Typ]],Tran_RevenuesList,3,FALSE),"")</f>
        <v/>
      </c>
      <c r="E460" s="31">
        <f t="shared" si="47"/>
        <v>0</v>
      </c>
      <c r="F460" s="9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  <c r="R460" s="84"/>
      <c r="S460" s="84"/>
      <c r="T460" s="84"/>
      <c r="U460" s="84"/>
      <c r="V460" s="84"/>
      <c r="W460" s="84"/>
      <c r="X460" s="84"/>
      <c r="Y460" s="84"/>
      <c r="Z460" s="84"/>
      <c r="AA460" s="84"/>
      <c r="AB460" s="84"/>
      <c r="AC460" s="85"/>
      <c r="AD460" s="85"/>
      <c r="AE460" s="84"/>
      <c r="AF460" s="84"/>
      <c r="AG460" s="84"/>
      <c r="AH460" s="84"/>
      <c r="AI460" s="84"/>
      <c r="AJ460" s="84"/>
      <c r="AK460" s="84"/>
      <c r="AL460" s="84"/>
      <c r="AM460" s="84"/>
      <c r="AN460" s="84"/>
      <c r="AO460" s="84"/>
      <c r="AP460" s="84"/>
      <c r="AQ460" s="84"/>
      <c r="AR460" s="84"/>
      <c r="AS460" s="87">
        <f t="array" ref="AS460">IF(E460=1,SUM((ROW(Mf0)=ROW(AS460))*(Mf0+Mf1_+Mf2_+Mf3_+Mf4_+Mf5_+Mf6_+Mf7_+Mf8_+Mf9_+Mf10_+Mf11_+Mf12_+Mf13_+Mf14_+Mf15_+Mf16_+Mf17_+Mf18_+Mf19_+Mf20_+Mf21_+Mf22_+Mf23_+Mf24_+Mf25_+Mf26_+Mf27_+Mf28_+Mf29_+Mf30_+Mf31_+Mf32_+Mf33_+Mf34_+Mf35_+Mf36_+Mf37_)),0)</f>
        <v>0</v>
      </c>
      <c r="AU460" s="24" t="str">
        <f t="shared" si="48"/>
        <v/>
      </c>
      <c r="AV460" s="24" t="str">
        <f t="shared" si="49"/>
        <v/>
      </c>
      <c r="AW460" s="24" t="str">
        <f t="shared" si="50"/>
        <v/>
      </c>
      <c r="AX460" s="72">
        <f t="shared" si="51"/>
        <v>0</v>
      </c>
      <c r="AY460" s="24">
        <f t="shared" si="52"/>
        <v>0</v>
      </c>
      <c r="AZ460" s="24">
        <f t="array" ref="AZ460">IF(OR(RIGHT(B460,LEN(Par_LabelTravelTime))=Par_LabelTravelTime,B460="čas na ceste - fakturácia"),1,0)</f>
        <v>0</v>
      </c>
    </row>
    <row r="461" spans="2:52" s="24" customFormat="1" ht="12.75" x14ac:dyDescent="0.2">
      <c r="B461" s="97"/>
      <c r="C461" s="92"/>
      <c r="D461" s="31" t="str">
        <f>IF(E461=1,VLOOKUP(TableInvs[[#This Row],[Calc_V_Typ]],Tran_RevenuesList,3,FALSE),"")</f>
        <v/>
      </c>
      <c r="E461" s="31">
        <f t="shared" si="47"/>
        <v>0</v>
      </c>
      <c r="F461" s="9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  <c r="R461" s="84"/>
      <c r="S461" s="84"/>
      <c r="T461" s="84"/>
      <c r="U461" s="84"/>
      <c r="V461" s="84"/>
      <c r="W461" s="84"/>
      <c r="X461" s="84"/>
      <c r="Y461" s="84"/>
      <c r="Z461" s="84"/>
      <c r="AA461" s="84"/>
      <c r="AB461" s="84"/>
      <c r="AC461" s="85"/>
      <c r="AD461" s="85"/>
      <c r="AE461" s="84"/>
      <c r="AF461" s="84"/>
      <c r="AG461" s="84"/>
      <c r="AH461" s="84"/>
      <c r="AI461" s="84"/>
      <c r="AJ461" s="84"/>
      <c r="AK461" s="84"/>
      <c r="AL461" s="84"/>
      <c r="AM461" s="84"/>
      <c r="AN461" s="84"/>
      <c r="AO461" s="84"/>
      <c r="AP461" s="84"/>
      <c r="AQ461" s="84"/>
      <c r="AR461" s="84"/>
      <c r="AS461" s="87">
        <f t="array" ref="AS461">IF(E461=1,SUM((ROW(Mf0)=ROW(AS461))*(Mf0+Mf1_+Mf2_+Mf3_+Mf4_+Mf5_+Mf6_+Mf7_+Mf8_+Mf9_+Mf10_+Mf11_+Mf12_+Mf13_+Mf14_+Mf15_+Mf16_+Mf17_+Mf18_+Mf19_+Mf20_+Mf21_+Mf22_+Mf23_+Mf24_+Mf25_+Mf26_+Mf27_+Mf28_+Mf29_+Mf30_+Mf31_+Mf32_+Mf33_+Mf34_+Mf35_+Mf36_+Mf37_)),0)</f>
        <v>0</v>
      </c>
      <c r="AU461" s="24" t="str">
        <f t="shared" si="48"/>
        <v/>
      </c>
      <c r="AV461" s="24" t="str">
        <f t="shared" si="49"/>
        <v/>
      </c>
      <c r="AW461" s="24" t="str">
        <f t="shared" si="50"/>
        <v/>
      </c>
      <c r="AX461" s="72">
        <f t="shared" si="51"/>
        <v>0</v>
      </c>
      <c r="AY461" s="24">
        <f t="shared" si="52"/>
        <v>0</v>
      </c>
      <c r="AZ461" s="24">
        <f t="array" ref="AZ461">IF(OR(RIGHT(B461,LEN(Par_LabelTravelTime))=Par_LabelTravelTime,B461="čas na ceste - fakturácia"),1,0)</f>
        <v>0</v>
      </c>
    </row>
    <row r="462" spans="2:52" s="24" customFormat="1" ht="12.75" x14ac:dyDescent="0.2">
      <c r="B462" s="97"/>
      <c r="C462" s="92"/>
      <c r="D462" s="31" t="str">
        <f>IF(E462=1,VLOOKUP(TableInvs[[#This Row],[Calc_V_Typ]],Tran_RevenuesList,3,FALSE),"")</f>
        <v/>
      </c>
      <c r="E462" s="31">
        <f t="shared" si="47"/>
        <v>0</v>
      </c>
      <c r="F462" s="9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  <c r="R462" s="84"/>
      <c r="S462" s="84"/>
      <c r="T462" s="84"/>
      <c r="U462" s="84"/>
      <c r="V462" s="84"/>
      <c r="W462" s="84"/>
      <c r="X462" s="84"/>
      <c r="Y462" s="84"/>
      <c r="Z462" s="84"/>
      <c r="AA462" s="84"/>
      <c r="AB462" s="84"/>
      <c r="AC462" s="85"/>
      <c r="AD462" s="85"/>
      <c r="AE462" s="84"/>
      <c r="AF462" s="84"/>
      <c r="AG462" s="84"/>
      <c r="AH462" s="84"/>
      <c r="AI462" s="84"/>
      <c r="AJ462" s="84"/>
      <c r="AK462" s="84"/>
      <c r="AL462" s="84"/>
      <c r="AM462" s="84"/>
      <c r="AN462" s="84"/>
      <c r="AO462" s="84"/>
      <c r="AP462" s="84"/>
      <c r="AQ462" s="84"/>
      <c r="AR462" s="84"/>
      <c r="AS462" s="87">
        <f t="array" ref="AS462">IF(E462=1,SUM((ROW(Mf0)=ROW(AS462))*(Mf0+Mf1_+Mf2_+Mf3_+Mf4_+Mf5_+Mf6_+Mf7_+Mf8_+Mf9_+Mf10_+Mf11_+Mf12_+Mf13_+Mf14_+Mf15_+Mf16_+Mf17_+Mf18_+Mf19_+Mf20_+Mf21_+Mf22_+Mf23_+Mf24_+Mf25_+Mf26_+Mf27_+Mf28_+Mf29_+Mf30_+Mf31_+Mf32_+Mf33_+Mf34_+Mf35_+Mf36_+Mf37_)),0)</f>
        <v>0</v>
      </c>
      <c r="AU462" s="24" t="str">
        <f t="shared" si="48"/>
        <v/>
      </c>
      <c r="AV462" s="24" t="str">
        <f t="shared" si="49"/>
        <v/>
      </c>
      <c r="AW462" s="24" t="str">
        <f t="shared" si="50"/>
        <v/>
      </c>
      <c r="AX462" s="72">
        <f t="shared" si="51"/>
        <v>0</v>
      </c>
      <c r="AY462" s="24">
        <f t="shared" si="52"/>
        <v>0</v>
      </c>
      <c r="AZ462" s="24">
        <f t="array" ref="AZ462">IF(OR(RIGHT(B462,LEN(Par_LabelTravelTime))=Par_LabelTravelTime,B462="čas na ceste - fakturácia"),1,0)</f>
        <v>0</v>
      </c>
    </row>
    <row r="463" spans="2:52" s="24" customFormat="1" ht="12.75" x14ac:dyDescent="0.2">
      <c r="B463" s="97"/>
      <c r="C463" s="92"/>
      <c r="D463" s="31" t="str">
        <f>IF(E463=1,VLOOKUP(TableInvs[[#This Row],[Calc_V_Typ]],Tran_RevenuesList,3,FALSE),"")</f>
        <v/>
      </c>
      <c r="E463" s="31">
        <f t="shared" si="47"/>
        <v>0</v>
      </c>
      <c r="F463" s="9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  <c r="S463" s="84"/>
      <c r="T463" s="84"/>
      <c r="U463" s="84"/>
      <c r="V463" s="84"/>
      <c r="W463" s="84"/>
      <c r="X463" s="84"/>
      <c r="Y463" s="84"/>
      <c r="Z463" s="84"/>
      <c r="AA463" s="84"/>
      <c r="AB463" s="84"/>
      <c r="AC463" s="85"/>
      <c r="AD463" s="85"/>
      <c r="AE463" s="84"/>
      <c r="AF463" s="84"/>
      <c r="AG463" s="84"/>
      <c r="AH463" s="84"/>
      <c r="AI463" s="84"/>
      <c r="AJ463" s="84"/>
      <c r="AK463" s="84"/>
      <c r="AL463" s="84"/>
      <c r="AM463" s="84"/>
      <c r="AN463" s="84"/>
      <c r="AO463" s="84"/>
      <c r="AP463" s="84"/>
      <c r="AQ463" s="84"/>
      <c r="AR463" s="84"/>
      <c r="AS463" s="87">
        <f t="array" ref="AS463">IF(E463=1,SUM((ROW(Mf0)=ROW(AS463))*(Mf0+Mf1_+Mf2_+Mf3_+Mf4_+Mf5_+Mf6_+Mf7_+Mf8_+Mf9_+Mf10_+Mf11_+Mf12_+Mf13_+Mf14_+Mf15_+Mf16_+Mf17_+Mf18_+Mf19_+Mf20_+Mf21_+Mf22_+Mf23_+Mf24_+Mf25_+Mf26_+Mf27_+Mf28_+Mf29_+Mf30_+Mf31_+Mf32_+Mf33_+Mf34_+Mf35_+Mf36_+Mf37_)),0)</f>
        <v>0</v>
      </c>
      <c r="AU463" s="24" t="str">
        <f t="shared" si="48"/>
        <v/>
      </c>
      <c r="AV463" s="24" t="str">
        <f t="shared" si="49"/>
        <v/>
      </c>
      <c r="AW463" s="24" t="str">
        <f t="shared" si="50"/>
        <v/>
      </c>
      <c r="AX463" s="72">
        <f t="shared" si="51"/>
        <v>0</v>
      </c>
      <c r="AY463" s="24">
        <f t="shared" si="52"/>
        <v>0</v>
      </c>
      <c r="AZ463" s="24">
        <f t="array" ref="AZ463">IF(OR(RIGHT(B463,LEN(Par_LabelTravelTime))=Par_LabelTravelTime,B463="čas na ceste - fakturácia"),1,0)</f>
        <v>0</v>
      </c>
    </row>
    <row r="464" spans="2:52" s="24" customFormat="1" ht="12.75" x14ac:dyDescent="0.2">
      <c r="B464" s="97"/>
      <c r="C464" s="92"/>
      <c r="D464" s="31" t="str">
        <f>IF(E464=1,VLOOKUP(TableInvs[[#This Row],[Calc_V_Typ]],Tran_RevenuesList,3,FALSE),"")</f>
        <v/>
      </c>
      <c r="E464" s="31">
        <f t="shared" si="47"/>
        <v>0</v>
      </c>
      <c r="F464" s="9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  <c r="S464" s="84"/>
      <c r="T464" s="84"/>
      <c r="U464" s="84"/>
      <c r="V464" s="84"/>
      <c r="W464" s="84"/>
      <c r="X464" s="84"/>
      <c r="Y464" s="84"/>
      <c r="Z464" s="84"/>
      <c r="AA464" s="84"/>
      <c r="AB464" s="84"/>
      <c r="AC464" s="85"/>
      <c r="AD464" s="85"/>
      <c r="AE464" s="84"/>
      <c r="AF464" s="84"/>
      <c r="AG464" s="84"/>
      <c r="AH464" s="84"/>
      <c r="AI464" s="84"/>
      <c r="AJ464" s="84"/>
      <c r="AK464" s="84"/>
      <c r="AL464" s="84"/>
      <c r="AM464" s="84"/>
      <c r="AN464" s="84"/>
      <c r="AO464" s="84"/>
      <c r="AP464" s="84"/>
      <c r="AQ464" s="84"/>
      <c r="AR464" s="84"/>
      <c r="AS464" s="87">
        <f t="array" ref="AS464">IF(E464=1,SUM((ROW(Mf0)=ROW(AS464))*(Mf0+Mf1_+Mf2_+Mf3_+Mf4_+Mf5_+Mf6_+Mf7_+Mf8_+Mf9_+Mf10_+Mf11_+Mf12_+Mf13_+Mf14_+Mf15_+Mf16_+Mf17_+Mf18_+Mf19_+Mf20_+Mf21_+Mf22_+Mf23_+Mf24_+Mf25_+Mf26_+Mf27_+Mf28_+Mf29_+Mf30_+Mf31_+Mf32_+Mf33_+Mf34_+Mf35_+Mf36_+Mf37_)),0)</f>
        <v>0</v>
      </c>
      <c r="AU464" s="24" t="str">
        <f t="shared" si="48"/>
        <v/>
      </c>
      <c r="AV464" s="24" t="str">
        <f t="shared" si="49"/>
        <v/>
      </c>
      <c r="AW464" s="24" t="str">
        <f t="shared" si="50"/>
        <v/>
      </c>
      <c r="AX464" s="72">
        <f t="shared" si="51"/>
        <v>0</v>
      </c>
      <c r="AY464" s="24">
        <f t="shared" si="52"/>
        <v>0</v>
      </c>
      <c r="AZ464" s="24">
        <f t="array" ref="AZ464">IF(OR(RIGHT(B464,LEN(Par_LabelTravelTime))=Par_LabelTravelTime,B464="čas na ceste - fakturácia"),1,0)</f>
        <v>0</v>
      </c>
    </row>
    <row r="465" spans="2:52" s="24" customFormat="1" ht="12.75" x14ac:dyDescent="0.2">
      <c r="B465" s="97"/>
      <c r="C465" s="92"/>
      <c r="D465" s="31" t="str">
        <f>IF(E465=1,VLOOKUP(TableInvs[[#This Row],[Calc_V_Typ]],Tran_RevenuesList,3,FALSE),"")</f>
        <v/>
      </c>
      <c r="E465" s="31">
        <f t="shared" si="47"/>
        <v>0</v>
      </c>
      <c r="F465" s="9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  <c r="S465" s="84"/>
      <c r="T465" s="84"/>
      <c r="U465" s="84"/>
      <c r="V465" s="84"/>
      <c r="W465" s="84"/>
      <c r="X465" s="84"/>
      <c r="Y465" s="84"/>
      <c r="Z465" s="84"/>
      <c r="AA465" s="84"/>
      <c r="AB465" s="84"/>
      <c r="AC465" s="85"/>
      <c r="AD465" s="85"/>
      <c r="AE465" s="84"/>
      <c r="AF465" s="84"/>
      <c r="AG465" s="84"/>
      <c r="AH465" s="84"/>
      <c r="AI465" s="84"/>
      <c r="AJ465" s="84"/>
      <c r="AK465" s="84"/>
      <c r="AL465" s="84"/>
      <c r="AM465" s="84"/>
      <c r="AN465" s="84"/>
      <c r="AO465" s="84"/>
      <c r="AP465" s="84"/>
      <c r="AQ465" s="84"/>
      <c r="AR465" s="84"/>
      <c r="AS465" s="87">
        <f t="array" ref="AS465">IF(E465=1,SUM((ROW(Mf0)=ROW(AS465))*(Mf0+Mf1_+Mf2_+Mf3_+Mf4_+Mf5_+Mf6_+Mf7_+Mf8_+Mf9_+Mf10_+Mf11_+Mf12_+Mf13_+Mf14_+Mf15_+Mf16_+Mf17_+Mf18_+Mf19_+Mf20_+Mf21_+Mf22_+Mf23_+Mf24_+Mf25_+Mf26_+Mf27_+Mf28_+Mf29_+Mf30_+Mf31_+Mf32_+Mf33_+Mf34_+Mf35_+Mf36_+Mf37_)),0)</f>
        <v>0</v>
      </c>
      <c r="AU465" s="24" t="str">
        <f t="shared" si="48"/>
        <v/>
      </c>
      <c r="AV465" s="24" t="str">
        <f t="shared" si="49"/>
        <v/>
      </c>
      <c r="AW465" s="24" t="str">
        <f t="shared" si="50"/>
        <v/>
      </c>
      <c r="AX465" s="72">
        <f t="shared" si="51"/>
        <v>0</v>
      </c>
      <c r="AY465" s="24">
        <f t="shared" si="52"/>
        <v>0</v>
      </c>
      <c r="AZ465" s="24">
        <f t="array" ref="AZ465">IF(OR(RIGHT(B465,LEN(Par_LabelTravelTime))=Par_LabelTravelTime,B465="čas na ceste - fakturácia"),1,0)</f>
        <v>0</v>
      </c>
    </row>
    <row r="466" spans="2:52" s="24" customFormat="1" ht="12.75" x14ac:dyDescent="0.2">
      <c r="B466" s="97"/>
      <c r="C466" s="92"/>
      <c r="D466" s="31" t="str">
        <f>IF(E466=1,VLOOKUP(TableInvs[[#This Row],[Calc_V_Typ]],Tran_RevenuesList,3,FALSE),"")</f>
        <v/>
      </c>
      <c r="E466" s="31">
        <f t="shared" si="47"/>
        <v>0</v>
      </c>
      <c r="F466" s="9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  <c r="S466" s="84"/>
      <c r="T466" s="84"/>
      <c r="U466" s="84"/>
      <c r="V466" s="84"/>
      <c r="W466" s="84"/>
      <c r="X466" s="84"/>
      <c r="Y466" s="84"/>
      <c r="Z466" s="84"/>
      <c r="AA466" s="84"/>
      <c r="AB466" s="84"/>
      <c r="AC466" s="85"/>
      <c r="AD466" s="85"/>
      <c r="AE466" s="84"/>
      <c r="AF466" s="84"/>
      <c r="AG466" s="84"/>
      <c r="AH466" s="84"/>
      <c r="AI466" s="84"/>
      <c r="AJ466" s="84"/>
      <c r="AK466" s="84"/>
      <c r="AL466" s="84"/>
      <c r="AM466" s="84"/>
      <c r="AN466" s="84"/>
      <c r="AO466" s="84"/>
      <c r="AP466" s="84"/>
      <c r="AQ466" s="84"/>
      <c r="AR466" s="84"/>
      <c r="AS466" s="87">
        <f t="array" ref="AS466">IF(E466=1,SUM((ROW(Mf0)=ROW(AS466))*(Mf0+Mf1_+Mf2_+Mf3_+Mf4_+Mf5_+Mf6_+Mf7_+Mf8_+Mf9_+Mf10_+Mf11_+Mf12_+Mf13_+Mf14_+Mf15_+Mf16_+Mf17_+Mf18_+Mf19_+Mf20_+Mf21_+Mf22_+Mf23_+Mf24_+Mf25_+Mf26_+Mf27_+Mf28_+Mf29_+Mf30_+Mf31_+Mf32_+Mf33_+Mf34_+Mf35_+Mf36_+Mf37_)),0)</f>
        <v>0</v>
      </c>
      <c r="AU466" s="24" t="str">
        <f t="shared" si="48"/>
        <v/>
      </c>
      <c r="AV466" s="24" t="str">
        <f t="shared" si="49"/>
        <v/>
      </c>
      <c r="AW466" s="24" t="str">
        <f t="shared" si="50"/>
        <v/>
      </c>
      <c r="AX466" s="72">
        <f t="shared" si="51"/>
        <v>0</v>
      </c>
      <c r="AY466" s="24">
        <f t="shared" si="52"/>
        <v>0</v>
      </c>
      <c r="AZ466" s="24">
        <f t="array" ref="AZ466">IF(OR(RIGHT(B466,LEN(Par_LabelTravelTime))=Par_LabelTravelTime,B466="čas na ceste - fakturácia"),1,0)</f>
        <v>0</v>
      </c>
    </row>
    <row r="467" spans="2:52" s="24" customFormat="1" ht="12.75" x14ac:dyDescent="0.2">
      <c r="B467" s="97"/>
      <c r="C467" s="92"/>
      <c r="D467" s="31" t="str">
        <f>IF(E467=1,VLOOKUP(TableInvs[[#This Row],[Calc_V_Typ]],Tran_RevenuesList,3,FALSE),"")</f>
        <v/>
      </c>
      <c r="E467" s="31">
        <f t="shared" si="47"/>
        <v>0</v>
      </c>
      <c r="F467" s="9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  <c r="S467" s="84"/>
      <c r="T467" s="84"/>
      <c r="U467" s="84"/>
      <c r="V467" s="84"/>
      <c r="W467" s="84"/>
      <c r="X467" s="84"/>
      <c r="Y467" s="84"/>
      <c r="Z467" s="84"/>
      <c r="AA467" s="84"/>
      <c r="AB467" s="84"/>
      <c r="AC467" s="85"/>
      <c r="AD467" s="85"/>
      <c r="AE467" s="84"/>
      <c r="AF467" s="84"/>
      <c r="AG467" s="84"/>
      <c r="AH467" s="84"/>
      <c r="AI467" s="84"/>
      <c r="AJ467" s="84"/>
      <c r="AK467" s="84"/>
      <c r="AL467" s="84"/>
      <c r="AM467" s="84"/>
      <c r="AN467" s="84"/>
      <c r="AO467" s="84"/>
      <c r="AP467" s="84"/>
      <c r="AQ467" s="84"/>
      <c r="AR467" s="84"/>
      <c r="AS467" s="87">
        <f t="array" ref="AS467">IF(E467=1,SUM((ROW(Mf0)=ROW(AS467))*(Mf0+Mf1_+Mf2_+Mf3_+Mf4_+Mf5_+Mf6_+Mf7_+Mf8_+Mf9_+Mf10_+Mf11_+Mf12_+Mf13_+Mf14_+Mf15_+Mf16_+Mf17_+Mf18_+Mf19_+Mf20_+Mf21_+Mf22_+Mf23_+Mf24_+Mf25_+Mf26_+Mf27_+Mf28_+Mf29_+Mf30_+Mf31_+Mf32_+Mf33_+Mf34_+Mf35_+Mf36_+Mf37_)),0)</f>
        <v>0</v>
      </c>
      <c r="AU467" s="24" t="str">
        <f t="shared" si="48"/>
        <v/>
      </c>
      <c r="AV467" s="24" t="str">
        <f t="shared" si="49"/>
        <v/>
      </c>
      <c r="AW467" s="24" t="str">
        <f t="shared" si="50"/>
        <v/>
      </c>
      <c r="AX467" s="72">
        <f t="shared" si="51"/>
        <v>0</v>
      </c>
      <c r="AY467" s="24">
        <f t="shared" si="52"/>
        <v>0</v>
      </c>
      <c r="AZ467" s="24">
        <f t="array" ref="AZ467">IF(OR(RIGHT(B467,LEN(Par_LabelTravelTime))=Par_LabelTravelTime,B467="čas na ceste - fakturácia"),1,0)</f>
        <v>0</v>
      </c>
    </row>
    <row r="468" spans="2:52" s="24" customFormat="1" ht="12.75" x14ac:dyDescent="0.2">
      <c r="B468" s="97"/>
      <c r="C468" s="92"/>
      <c r="D468" s="31" t="str">
        <f>IF(E468=1,VLOOKUP(TableInvs[[#This Row],[Calc_V_Typ]],Tran_RevenuesList,3,FALSE),"")</f>
        <v/>
      </c>
      <c r="E468" s="31">
        <f t="shared" si="47"/>
        <v>0</v>
      </c>
      <c r="F468" s="9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  <c r="S468" s="84"/>
      <c r="T468" s="84"/>
      <c r="U468" s="84"/>
      <c r="V468" s="84"/>
      <c r="W468" s="84"/>
      <c r="X468" s="84"/>
      <c r="Y468" s="84"/>
      <c r="Z468" s="84"/>
      <c r="AA468" s="84"/>
      <c r="AB468" s="84"/>
      <c r="AC468" s="85"/>
      <c r="AD468" s="85"/>
      <c r="AE468" s="84"/>
      <c r="AF468" s="84"/>
      <c r="AG468" s="84"/>
      <c r="AH468" s="84"/>
      <c r="AI468" s="84"/>
      <c r="AJ468" s="84"/>
      <c r="AK468" s="84"/>
      <c r="AL468" s="84"/>
      <c r="AM468" s="84"/>
      <c r="AN468" s="84"/>
      <c r="AO468" s="84"/>
      <c r="AP468" s="84"/>
      <c r="AQ468" s="84"/>
      <c r="AR468" s="84"/>
      <c r="AS468" s="87">
        <f t="array" ref="AS468">IF(E468=1,SUM((ROW(Mf0)=ROW(AS468))*(Mf0+Mf1_+Mf2_+Mf3_+Mf4_+Mf5_+Mf6_+Mf7_+Mf8_+Mf9_+Mf10_+Mf11_+Mf12_+Mf13_+Mf14_+Mf15_+Mf16_+Mf17_+Mf18_+Mf19_+Mf20_+Mf21_+Mf22_+Mf23_+Mf24_+Mf25_+Mf26_+Mf27_+Mf28_+Mf29_+Mf30_+Mf31_+Mf32_+Mf33_+Mf34_+Mf35_+Mf36_+Mf37_)),0)</f>
        <v>0</v>
      </c>
      <c r="AU468" s="24" t="str">
        <f t="shared" si="48"/>
        <v/>
      </c>
      <c r="AV468" s="24" t="str">
        <f t="shared" si="49"/>
        <v/>
      </c>
      <c r="AW468" s="24" t="str">
        <f t="shared" si="50"/>
        <v/>
      </c>
      <c r="AX468" s="72">
        <f t="shared" si="51"/>
        <v>0</v>
      </c>
      <c r="AY468" s="24">
        <f t="shared" si="52"/>
        <v>0</v>
      </c>
      <c r="AZ468" s="24">
        <f t="array" ref="AZ468">IF(OR(RIGHT(B468,LEN(Par_LabelTravelTime))=Par_LabelTravelTime,B468="čas na ceste - fakturácia"),1,0)</f>
        <v>0</v>
      </c>
    </row>
    <row r="469" spans="2:52" s="24" customFormat="1" ht="12.75" x14ac:dyDescent="0.2">
      <c r="B469" s="97"/>
      <c r="C469" s="92"/>
      <c r="D469" s="31" t="str">
        <f>IF(E469=1,VLOOKUP(TableInvs[[#This Row],[Calc_V_Typ]],Tran_RevenuesList,3,FALSE),"")</f>
        <v/>
      </c>
      <c r="E469" s="31">
        <f t="shared" si="47"/>
        <v>0</v>
      </c>
      <c r="F469" s="9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  <c r="S469" s="84"/>
      <c r="T469" s="84"/>
      <c r="U469" s="84"/>
      <c r="V469" s="84"/>
      <c r="W469" s="84"/>
      <c r="X469" s="84"/>
      <c r="Y469" s="84"/>
      <c r="Z469" s="84"/>
      <c r="AA469" s="84"/>
      <c r="AB469" s="84"/>
      <c r="AC469" s="85"/>
      <c r="AD469" s="85"/>
      <c r="AE469" s="84"/>
      <c r="AF469" s="84"/>
      <c r="AG469" s="84"/>
      <c r="AH469" s="84"/>
      <c r="AI469" s="84"/>
      <c r="AJ469" s="84"/>
      <c r="AK469" s="84"/>
      <c r="AL469" s="84"/>
      <c r="AM469" s="84"/>
      <c r="AN469" s="84"/>
      <c r="AO469" s="84"/>
      <c r="AP469" s="84"/>
      <c r="AQ469" s="84"/>
      <c r="AR469" s="84"/>
      <c r="AS469" s="87">
        <f t="array" ref="AS469">IF(E469=1,SUM((ROW(Mf0)=ROW(AS469))*(Mf0+Mf1_+Mf2_+Mf3_+Mf4_+Mf5_+Mf6_+Mf7_+Mf8_+Mf9_+Mf10_+Mf11_+Mf12_+Mf13_+Mf14_+Mf15_+Mf16_+Mf17_+Mf18_+Mf19_+Mf20_+Mf21_+Mf22_+Mf23_+Mf24_+Mf25_+Mf26_+Mf27_+Mf28_+Mf29_+Mf30_+Mf31_+Mf32_+Mf33_+Mf34_+Mf35_+Mf36_+Mf37_)),0)</f>
        <v>0</v>
      </c>
      <c r="AU469" s="24" t="str">
        <f t="shared" si="48"/>
        <v/>
      </c>
      <c r="AV469" s="24" t="str">
        <f t="shared" si="49"/>
        <v/>
      </c>
      <c r="AW469" s="24" t="str">
        <f t="shared" si="50"/>
        <v/>
      </c>
      <c r="AX469" s="72">
        <f t="shared" si="51"/>
        <v>0</v>
      </c>
      <c r="AY469" s="24">
        <f t="shared" si="52"/>
        <v>0</v>
      </c>
      <c r="AZ469" s="24">
        <f t="array" ref="AZ469">IF(OR(RIGHT(B469,LEN(Par_LabelTravelTime))=Par_LabelTravelTime,B469="čas na ceste - fakturácia"),1,0)</f>
        <v>0</v>
      </c>
    </row>
    <row r="470" spans="2:52" s="24" customFormat="1" ht="12.75" x14ac:dyDescent="0.2">
      <c r="B470" s="97"/>
      <c r="C470" s="92"/>
      <c r="D470" s="31" t="str">
        <f>IF(E470=1,VLOOKUP(TableInvs[[#This Row],[Calc_V_Typ]],Tran_RevenuesList,3,FALSE),"")</f>
        <v/>
      </c>
      <c r="E470" s="31">
        <f t="shared" si="47"/>
        <v>0</v>
      </c>
      <c r="F470" s="9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  <c r="S470" s="84"/>
      <c r="T470" s="84"/>
      <c r="U470" s="84"/>
      <c r="V470" s="84"/>
      <c r="W470" s="84"/>
      <c r="X470" s="84"/>
      <c r="Y470" s="84"/>
      <c r="Z470" s="84"/>
      <c r="AA470" s="84"/>
      <c r="AB470" s="84"/>
      <c r="AC470" s="85"/>
      <c r="AD470" s="85"/>
      <c r="AE470" s="84"/>
      <c r="AF470" s="84"/>
      <c r="AG470" s="84"/>
      <c r="AH470" s="84"/>
      <c r="AI470" s="84"/>
      <c r="AJ470" s="84"/>
      <c r="AK470" s="84"/>
      <c r="AL470" s="84"/>
      <c r="AM470" s="84"/>
      <c r="AN470" s="84"/>
      <c r="AO470" s="84"/>
      <c r="AP470" s="84"/>
      <c r="AQ470" s="84"/>
      <c r="AR470" s="84"/>
      <c r="AS470" s="87">
        <f t="array" ref="AS470">IF(E470=1,SUM((ROW(Mf0)=ROW(AS470))*(Mf0+Mf1_+Mf2_+Mf3_+Mf4_+Mf5_+Mf6_+Mf7_+Mf8_+Mf9_+Mf10_+Mf11_+Mf12_+Mf13_+Mf14_+Mf15_+Mf16_+Mf17_+Mf18_+Mf19_+Mf20_+Mf21_+Mf22_+Mf23_+Mf24_+Mf25_+Mf26_+Mf27_+Mf28_+Mf29_+Mf30_+Mf31_+Mf32_+Mf33_+Mf34_+Mf35_+Mf36_+Mf37_)),0)</f>
        <v>0</v>
      </c>
      <c r="AU470" s="24" t="str">
        <f t="shared" si="48"/>
        <v/>
      </c>
      <c r="AV470" s="24" t="str">
        <f t="shared" si="49"/>
        <v/>
      </c>
      <c r="AW470" s="24" t="str">
        <f t="shared" si="50"/>
        <v/>
      </c>
      <c r="AX470" s="72">
        <f t="shared" si="51"/>
        <v>0</v>
      </c>
      <c r="AY470" s="24">
        <f t="shared" si="52"/>
        <v>0</v>
      </c>
      <c r="AZ470" s="24">
        <f t="array" ref="AZ470">IF(OR(RIGHT(B470,LEN(Par_LabelTravelTime))=Par_LabelTravelTime,B470="čas na ceste - fakturácia"),1,0)</f>
        <v>0</v>
      </c>
    </row>
    <row r="471" spans="2:52" s="24" customFormat="1" ht="12.75" x14ac:dyDescent="0.2">
      <c r="B471" s="97"/>
      <c r="C471" s="92"/>
      <c r="D471" s="31" t="str">
        <f>IF(E471=1,VLOOKUP(TableInvs[[#This Row],[Calc_V_Typ]],Tran_RevenuesList,3,FALSE),"")</f>
        <v/>
      </c>
      <c r="E471" s="31">
        <f t="shared" si="47"/>
        <v>0</v>
      </c>
      <c r="F471" s="9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  <c r="S471" s="84"/>
      <c r="T471" s="84"/>
      <c r="U471" s="84"/>
      <c r="V471" s="84"/>
      <c r="W471" s="84"/>
      <c r="X471" s="84"/>
      <c r="Y471" s="84"/>
      <c r="Z471" s="84"/>
      <c r="AA471" s="84"/>
      <c r="AB471" s="84"/>
      <c r="AC471" s="85"/>
      <c r="AD471" s="85"/>
      <c r="AE471" s="84"/>
      <c r="AF471" s="84"/>
      <c r="AG471" s="84"/>
      <c r="AH471" s="84"/>
      <c r="AI471" s="84"/>
      <c r="AJ471" s="84"/>
      <c r="AK471" s="84"/>
      <c r="AL471" s="84"/>
      <c r="AM471" s="84"/>
      <c r="AN471" s="84"/>
      <c r="AO471" s="84"/>
      <c r="AP471" s="84"/>
      <c r="AQ471" s="84"/>
      <c r="AR471" s="84"/>
      <c r="AS471" s="87">
        <f t="array" ref="AS471">IF(E471=1,SUM((ROW(Mf0)=ROW(AS471))*(Mf0+Mf1_+Mf2_+Mf3_+Mf4_+Mf5_+Mf6_+Mf7_+Mf8_+Mf9_+Mf10_+Mf11_+Mf12_+Mf13_+Mf14_+Mf15_+Mf16_+Mf17_+Mf18_+Mf19_+Mf20_+Mf21_+Mf22_+Mf23_+Mf24_+Mf25_+Mf26_+Mf27_+Mf28_+Mf29_+Mf30_+Mf31_+Mf32_+Mf33_+Mf34_+Mf35_+Mf36_+Mf37_)),0)</f>
        <v>0</v>
      </c>
      <c r="AU471" s="24" t="str">
        <f t="shared" si="48"/>
        <v/>
      </c>
      <c r="AV471" s="24" t="str">
        <f t="shared" si="49"/>
        <v/>
      </c>
      <c r="AW471" s="24" t="str">
        <f t="shared" si="50"/>
        <v/>
      </c>
      <c r="AX471" s="72">
        <f t="shared" si="51"/>
        <v>0</v>
      </c>
      <c r="AY471" s="24">
        <f t="shared" si="52"/>
        <v>0</v>
      </c>
      <c r="AZ471" s="24">
        <f t="array" ref="AZ471">IF(OR(RIGHT(B471,LEN(Par_LabelTravelTime))=Par_LabelTravelTime,B471="čas na ceste - fakturácia"),1,0)</f>
        <v>0</v>
      </c>
    </row>
    <row r="472" spans="2:52" s="24" customFormat="1" ht="12.75" x14ac:dyDescent="0.2">
      <c r="B472" s="97"/>
      <c r="C472" s="92"/>
      <c r="D472" s="31" t="str">
        <f>IF(E472=1,VLOOKUP(TableInvs[[#This Row],[Calc_V_Typ]],Tran_RevenuesList,3,FALSE),"")</f>
        <v/>
      </c>
      <c r="E472" s="31">
        <f t="shared" si="47"/>
        <v>0</v>
      </c>
      <c r="F472" s="9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  <c r="S472" s="84"/>
      <c r="T472" s="84"/>
      <c r="U472" s="84"/>
      <c r="V472" s="84"/>
      <c r="W472" s="84"/>
      <c r="X472" s="84"/>
      <c r="Y472" s="84"/>
      <c r="Z472" s="84"/>
      <c r="AA472" s="84"/>
      <c r="AB472" s="84"/>
      <c r="AC472" s="85"/>
      <c r="AD472" s="85"/>
      <c r="AE472" s="84"/>
      <c r="AF472" s="84"/>
      <c r="AG472" s="84"/>
      <c r="AH472" s="84"/>
      <c r="AI472" s="84"/>
      <c r="AJ472" s="84"/>
      <c r="AK472" s="84"/>
      <c r="AL472" s="84"/>
      <c r="AM472" s="84"/>
      <c r="AN472" s="84"/>
      <c r="AO472" s="84"/>
      <c r="AP472" s="84"/>
      <c r="AQ472" s="84"/>
      <c r="AR472" s="84"/>
      <c r="AS472" s="87">
        <f t="array" ref="AS472">IF(E472=1,SUM((ROW(Mf0)=ROW(AS472))*(Mf0+Mf1_+Mf2_+Mf3_+Mf4_+Mf5_+Mf6_+Mf7_+Mf8_+Mf9_+Mf10_+Mf11_+Mf12_+Mf13_+Mf14_+Mf15_+Mf16_+Mf17_+Mf18_+Mf19_+Mf20_+Mf21_+Mf22_+Mf23_+Mf24_+Mf25_+Mf26_+Mf27_+Mf28_+Mf29_+Mf30_+Mf31_+Mf32_+Mf33_+Mf34_+Mf35_+Mf36_+Mf37_)),0)</f>
        <v>0</v>
      </c>
      <c r="AU472" s="24" t="str">
        <f t="shared" si="48"/>
        <v/>
      </c>
      <c r="AV472" s="24" t="str">
        <f t="shared" si="49"/>
        <v/>
      </c>
      <c r="AW472" s="24" t="str">
        <f t="shared" si="50"/>
        <v/>
      </c>
      <c r="AX472" s="72">
        <f t="shared" si="51"/>
        <v>0</v>
      </c>
      <c r="AY472" s="24">
        <f t="shared" si="52"/>
        <v>0</v>
      </c>
      <c r="AZ472" s="24">
        <f t="array" ref="AZ472">IF(OR(RIGHT(B472,LEN(Par_LabelTravelTime))=Par_LabelTravelTime,B472="čas na ceste - fakturácia"),1,0)</f>
        <v>0</v>
      </c>
    </row>
    <row r="473" spans="2:52" s="24" customFormat="1" ht="12.75" x14ac:dyDescent="0.2">
      <c r="B473" s="97"/>
      <c r="C473" s="92"/>
      <c r="D473" s="31" t="str">
        <f>IF(E473=1,VLOOKUP(TableInvs[[#This Row],[Calc_V_Typ]],Tran_RevenuesList,3,FALSE),"")</f>
        <v/>
      </c>
      <c r="E473" s="31">
        <f t="shared" si="47"/>
        <v>0</v>
      </c>
      <c r="F473" s="9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  <c r="S473" s="84"/>
      <c r="T473" s="84"/>
      <c r="U473" s="84"/>
      <c r="V473" s="84"/>
      <c r="W473" s="84"/>
      <c r="X473" s="84"/>
      <c r="Y473" s="84"/>
      <c r="Z473" s="84"/>
      <c r="AA473" s="84"/>
      <c r="AB473" s="84"/>
      <c r="AC473" s="85"/>
      <c r="AD473" s="85"/>
      <c r="AE473" s="84"/>
      <c r="AF473" s="84"/>
      <c r="AG473" s="84"/>
      <c r="AH473" s="84"/>
      <c r="AI473" s="84"/>
      <c r="AJ473" s="84"/>
      <c r="AK473" s="84"/>
      <c r="AL473" s="84"/>
      <c r="AM473" s="84"/>
      <c r="AN473" s="84"/>
      <c r="AO473" s="84"/>
      <c r="AP473" s="84"/>
      <c r="AQ473" s="84"/>
      <c r="AR473" s="84"/>
      <c r="AS473" s="87">
        <f t="array" ref="AS473">IF(E473=1,SUM((ROW(Mf0)=ROW(AS473))*(Mf0+Mf1_+Mf2_+Mf3_+Mf4_+Mf5_+Mf6_+Mf7_+Mf8_+Mf9_+Mf10_+Mf11_+Mf12_+Mf13_+Mf14_+Mf15_+Mf16_+Mf17_+Mf18_+Mf19_+Mf20_+Mf21_+Mf22_+Mf23_+Mf24_+Mf25_+Mf26_+Mf27_+Mf28_+Mf29_+Mf30_+Mf31_+Mf32_+Mf33_+Mf34_+Mf35_+Mf36_+Mf37_)),0)</f>
        <v>0</v>
      </c>
      <c r="AU473" s="24" t="str">
        <f t="shared" si="48"/>
        <v/>
      </c>
      <c r="AV473" s="24" t="str">
        <f t="shared" si="49"/>
        <v/>
      </c>
      <c r="AW473" s="24" t="str">
        <f t="shared" si="50"/>
        <v/>
      </c>
      <c r="AX473" s="72">
        <f t="shared" si="51"/>
        <v>0</v>
      </c>
      <c r="AY473" s="24">
        <f t="shared" si="52"/>
        <v>0</v>
      </c>
      <c r="AZ473" s="24">
        <f t="array" ref="AZ473">IF(OR(RIGHT(B473,LEN(Par_LabelTravelTime))=Par_LabelTravelTime,B473="čas na ceste - fakturácia"),1,0)</f>
        <v>0</v>
      </c>
    </row>
    <row r="474" spans="2:52" s="24" customFormat="1" ht="12.75" x14ac:dyDescent="0.2">
      <c r="B474" s="97"/>
      <c r="C474" s="92"/>
      <c r="D474" s="31" t="str">
        <f>IF(E474=1,VLOOKUP(TableInvs[[#This Row],[Calc_V_Typ]],Tran_RevenuesList,3,FALSE),"")</f>
        <v/>
      </c>
      <c r="E474" s="31">
        <f t="shared" si="47"/>
        <v>0</v>
      </c>
      <c r="F474" s="9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  <c r="S474" s="84"/>
      <c r="T474" s="84"/>
      <c r="U474" s="84"/>
      <c r="V474" s="84"/>
      <c r="W474" s="84"/>
      <c r="X474" s="84"/>
      <c r="Y474" s="84"/>
      <c r="Z474" s="84"/>
      <c r="AA474" s="84"/>
      <c r="AB474" s="84"/>
      <c r="AC474" s="85"/>
      <c r="AD474" s="85"/>
      <c r="AE474" s="84"/>
      <c r="AF474" s="84"/>
      <c r="AG474" s="84"/>
      <c r="AH474" s="84"/>
      <c r="AI474" s="84"/>
      <c r="AJ474" s="84"/>
      <c r="AK474" s="84"/>
      <c r="AL474" s="84"/>
      <c r="AM474" s="84"/>
      <c r="AN474" s="84"/>
      <c r="AO474" s="84"/>
      <c r="AP474" s="84"/>
      <c r="AQ474" s="84"/>
      <c r="AR474" s="84"/>
      <c r="AS474" s="87">
        <f t="array" ref="AS474">IF(E474=1,SUM((ROW(Mf0)=ROW(AS474))*(Mf0+Mf1_+Mf2_+Mf3_+Mf4_+Mf5_+Mf6_+Mf7_+Mf8_+Mf9_+Mf10_+Mf11_+Mf12_+Mf13_+Mf14_+Mf15_+Mf16_+Mf17_+Mf18_+Mf19_+Mf20_+Mf21_+Mf22_+Mf23_+Mf24_+Mf25_+Mf26_+Mf27_+Mf28_+Mf29_+Mf30_+Mf31_+Mf32_+Mf33_+Mf34_+Mf35_+Mf36_+Mf37_)),0)</f>
        <v>0</v>
      </c>
      <c r="AU474" s="24" t="str">
        <f t="shared" si="48"/>
        <v/>
      </c>
      <c r="AV474" s="24" t="str">
        <f t="shared" si="49"/>
        <v/>
      </c>
      <c r="AW474" s="24" t="str">
        <f t="shared" si="50"/>
        <v/>
      </c>
      <c r="AX474" s="72">
        <f t="shared" si="51"/>
        <v>0</v>
      </c>
      <c r="AY474" s="24">
        <f t="shared" si="52"/>
        <v>0</v>
      </c>
      <c r="AZ474" s="24">
        <f t="array" ref="AZ474">IF(OR(RIGHT(B474,LEN(Par_LabelTravelTime))=Par_LabelTravelTime,B474="čas na ceste - fakturácia"),1,0)</f>
        <v>0</v>
      </c>
    </row>
    <row r="475" spans="2:52" s="24" customFormat="1" ht="12.75" x14ac:dyDescent="0.2">
      <c r="B475" s="97"/>
      <c r="C475" s="92"/>
      <c r="D475" s="31" t="str">
        <f>IF(E475=1,VLOOKUP(TableInvs[[#This Row],[Calc_V_Typ]],Tran_RevenuesList,3,FALSE),"")</f>
        <v/>
      </c>
      <c r="E475" s="31">
        <f t="shared" si="47"/>
        <v>0</v>
      </c>
      <c r="F475" s="9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  <c r="S475" s="84"/>
      <c r="T475" s="84"/>
      <c r="U475" s="84"/>
      <c r="V475" s="84"/>
      <c r="W475" s="84"/>
      <c r="X475" s="84"/>
      <c r="Y475" s="84"/>
      <c r="Z475" s="84"/>
      <c r="AA475" s="84"/>
      <c r="AB475" s="84"/>
      <c r="AC475" s="85"/>
      <c r="AD475" s="85"/>
      <c r="AE475" s="84"/>
      <c r="AF475" s="84"/>
      <c r="AG475" s="84"/>
      <c r="AH475" s="84"/>
      <c r="AI475" s="84"/>
      <c r="AJ475" s="84"/>
      <c r="AK475" s="84"/>
      <c r="AL475" s="84"/>
      <c r="AM475" s="84"/>
      <c r="AN475" s="84"/>
      <c r="AO475" s="84"/>
      <c r="AP475" s="84"/>
      <c r="AQ475" s="84"/>
      <c r="AR475" s="84"/>
      <c r="AS475" s="87">
        <f t="array" ref="AS475">IF(E475=1,SUM((ROW(Mf0)=ROW(AS475))*(Mf0+Mf1_+Mf2_+Mf3_+Mf4_+Mf5_+Mf6_+Mf7_+Mf8_+Mf9_+Mf10_+Mf11_+Mf12_+Mf13_+Mf14_+Mf15_+Mf16_+Mf17_+Mf18_+Mf19_+Mf20_+Mf21_+Mf22_+Mf23_+Mf24_+Mf25_+Mf26_+Mf27_+Mf28_+Mf29_+Mf30_+Mf31_+Mf32_+Mf33_+Mf34_+Mf35_+Mf36_+Mf37_)),0)</f>
        <v>0</v>
      </c>
      <c r="AU475" s="24" t="str">
        <f t="shared" si="48"/>
        <v/>
      </c>
      <c r="AV475" s="24" t="str">
        <f t="shared" si="49"/>
        <v/>
      </c>
      <c r="AW475" s="24" t="str">
        <f t="shared" si="50"/>
        <v/>
      </c>
      <c r="AX475" s="72">
        <f t="shared" si="51"/>
        <v>0</v>
      </c>
      <c r="AY475" s="24">
        <f t="shared" si="52"/>
        <v>0</v>
      </c>
      <c r="AZ475" s="24">
        <f t="array" ref="AZ475">IF(OR(RIGHT(B475,LEN(Par_LabelTravelTime))=Par_LabelTravelTime,B475="čas na ceste - fakturácia"),1,0)</f>
        <v>0</v>
      </c>
    </row>
    <row r="476" spans="2:52" s="24" customFormat="1" ht="12.75" x14ac:dyDescent="0.2">
      <c r="B476" s="97"/>
      <c r="C476" s="92"/>
      <c r="D476" s="31" t="str">
        <f>IF(E476=1,VLOOKUP(TableInvs[[#This Row],[Calc_V_Typ]],Tran_RevenuesList,3,FALSE),"")</f>
        <v/>
      </c>
      <c r="E476" s="31">
        <f t="shared" si="47"/>
        <v>0</v>
      </c>
      <c r="F476" s="9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  <c r="S476" s="84"/>
      <c r="T476" s="84"/>
      <c r="U476" s="84"/>
      <c r="V476" s="84"/>
      <c r="W476" s="84"/>
      <c r="X476" s="84"/>
      <c r="Y476" s="84"/>
      <c r="Z476" s="84"/>
      <c r="AA476" s="84"/>
      <c r="AB476" s="84"/>
      <c r="AC476" s="85"/>
      <c r="AD476" s="85"/>
      <c r="AE476" s="84"/>
      <c r="AF476" s="84"/>
      <c r="AG476" s="84"/>
      <c r="AH476" s="84"/>
      <c r="AI476" s="84"/>
      <c r="AJ476" s="84"/>
      <c r="AK476" s="84"/>
      <c r="AL476" s="84"/>
      <c r="AM476" s="84"/>
      <c r="AN476" s="84"/>
      <c r="AO476" s="84"/>
      <c r="AP476" s="84"/>
      <c r="AQ476" s="84"/>
      <c r="AR476" s="84"/>
      <c r="AS476" s="87">
        <f t="array" ref="AS476">IF(E476=1,SUM((ROW(Mf0)=ROW(AS476))*(Mf0+Mf1_+Mf2_+Mf3_+Mf4_+Mf5_+Mf6_+Mf7_+Mf8_+Mf9_+Mf10_+Mf11_+Mf12_+Mf13_+Mf14_+Mf15_+Mf16_+Mf17_+Mf18_+Mf19_+Mf20_+Mf21_+Mf22_+Mf23_+Mf24_+Mf25_+Mf26_+Mf27_+Mf28_+Mf29_+Mf30_+Mf31_+Mf32_+Mf33_+Mf34_+Mf35_+Mf36_+Mf37_)),0)</f>
        <v>0</v>
      </c>
      <c r="AU476" s="24" t="str">
        <f t="shared" si="48"/>
        <v/>
      </c>
      <c r="AV476" s="24" t="str">
        <f t="shared" si="49"/>
        <v/>
      </c>
      <c r="AW476" s="24" t="str">
        <f t="shared" si="50"/>
        <v/>
      </c>
      <c r="AX476" s="72">
        <f t="shared" si="51"/>
        <v>0</v>
      </c>
      <c r="AY476" s="24">
        <f t="shared" si="52"/>
        <v>0</v>
      </c>
      <c r="AZ476" s="24">
        <f t="array" ref="AZ476">IF(OR(RIGHT(B476,LEN(Par_LabelTravelTime))=Par_LabelTravelTime,B476="čas na ceste - fakturácia"),1,0)</f>
        <v>0</v>
      </c>
    </row>
    <row r="477" spans="2:52" s="24" customFormat="1" ht="12.75" x14ac:dyDescent="0.2">
      <c r="B477" s="97"/>
      <c r="C477" s="92"/>
      <c r="D477" s="31" t="str">
        <f>IF(E477=1,VLOOKUP(TableInvs[[#This Row],[Calc_V_Typ]],Tran_RevenuesList,3,FALSE),"")</f>
        <v/>
      </c>
      <c r="E477" s="31">
        <f t="shared" si="47"/>
        <v>0</v>
      </c>
      <c r="F477" s="9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  <c r="S477" s="84"/>
      <c r="T477" s="84"/>
      <c r="U477" s="84"/>
      <c r="V477" s="84"/>
      <c r="W477" s="84"/>
      <c r="X477" s="84"/>
      <c r="Y477" s="84"/>
      <c r="Z477" s="84"/>
      <c r="AA477" s="84"/>
      <c r="AB477" s="84"/>
      <c r="AC477" s="85"/>
      <c r="AD477" s="85"/>
      <c r="AE477" s="84"/>
      <c r="AF477" s="84"/>
      <c r="AG477" s="84"/>
      <c r="AH477" s="84"/>
      <c r="AI477" s="84"/>
      <c r="AJ477" s="84"/>
      <c r="AK477" s="84"/>
      <c r="AL477" s="84"/>
      <c r="AM477" s="84"/>
      <c r="AN477" s="84"/>
      <c r="AO477" s="84"/>
      <c r="AP477" s="84"/>
      <c r="AQ477" s="84"/>
      <c r="AR477" s="84"/>
      <c r="AS477" s="87">
        <f t="array" ref="AS477">IF(E477=1,SUM((ROW(Mf0)=ROW(AS477))*(Mf0+Mf1_+Mf2_+Mf3_+Mf4_+Mf5_+Mf6_+Mf7_+Mf8_+Mf9_+Mf10_+Mf11_+Mf12_+Mf13_+Mf14_+Mf15_+Mf16_+Mf17_+Mf18_+Mf19_+Mf20_+Mf21_+Mf22_+Mf23_+Mf24_+Mf25_+Mf26_+Mf27_+Mf28_+Mf29_+Mf30_+Mf31_+Mf32_+Mf33_+Mf34_+Mf35_+Mf36_+Mf37_)),0)</f>
        <v>0</v>
      </c>
      <c r="AU477" s="24" t="str">
        <f t="shared" si="48"/>
        <v/>
      </c>
      <c r="AV477" s="24" t="str">
        <f t="shared" si="49"/>
        <v/>
      </c>
      <c r="AW477" s="24" t="str">
        <f t="shared" si="50"/>
        <v/>
      </c>
      <c r="AX477" s="72">
        <f t="shared" si="51"/>
        <v>0</v>
      </c>
      <c r="AY477" s="24">
        <f t="shared" si="52"/>
        <v>0</v>
      </c>
      <c r="AZ477" s="24">
        <f t="array" ref="AZ477">IF(OR(RIGHT(B477,LEN(Par_LabelTravelTime))=Par_LabelTravelTime,B477="čas na ceste - fakturácia"),1,0)</f>
        <v>0</v>
      </c>
    </row>
    <row r="478" spans="2:52" s="24" customFormat="1" ht="12.75" x14ac:dyDescent="0.2">
      <c r="B478" s="97"/>
      <c r="C478" s="92"/>
      <c r="D478" s="31" t="str">
        <f>IF(E478=1,VLOOKUP(TableInvs[[#This Row],[Calc_V_Typ]],Tran_RevenuesList,3,FALSE),"")</f>
        <v/>
      </c>
      <c r="E478" s="31">
        <f t="shared" si="47"/>
        <v>0</v>
      </c>
      <c r="F478" s="9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  <c r="S478" s="84"/>
      <c r="T478" s="84"/>
      <c r="U478" s="84"/>
      <c r="V478" s="84"/>
      <c r="W478" s="84"/>
      <c r="X478" s="84"/>
      <c r="Y478" s="84"/>
      <c r="Z478" s="84"/>
      <c r="AA478" s="84"/>
      <c r="AB478" s="84"/>
      <c r="AC478" s="85"/>
      <c r="AD478" s="85"/>
      <c r="AE478" s="84"/>
      <c r="AF478" s="84"/>
      <c r="AG478" s="84"/>
      <c r="AH478" s="84"/>
      <c r="AI478" s="84"/>
      <c r="AJ478" s="84"/>
      <c r="AK478" s="84"/>
      <c r="AL478" s="84"/>
      <c r="AM478" s="84"/>
      <c r="AN478" s="84"/>
      <c r="AO478" s="84"/>
      <c r="AP478" s="84"/>
      <c r="AQ478" s="84"/>
      <c r="AR478" s="84"/>
      <c r="AS478" s="87">
        <f t="array" ref="AS478">IF(E478=1,SUM((ROW(Mf0)=ROW(AS478))*(Mf0+Mf1_+Mf2_+Mf3_+Mf4_+Mf5_+Mf6_+Mf7_+Mf8_+Mf9_+Mf10_+Mf11_+Mf12_+Mf13_+Mf14_+Mf15_+Mf16_+Mf17_+Mf18_+Mf19_+Mf20_+Mf21_+Mf22_+Mf23_+Mf24_+Mf25_+Mf26_+Mf27_+Mf28_+Mf29_+Mf30_+Mf31_+Mf32_+Mf33_+Mf34_+Mf35_+Mf36_+Mf37_)),0)</f>
        <v>0</v>
      </c>
      <c r="AU478" s="24" t="str">
        <f t="shared" si="48"/>
        <v/>
      </c>
      <c r="AV478" s="24" t="str">
        <f t="shared" si="49"/>
        <v/>
      </c>
      <c r="AW478" s="24" t="str">
        <f t="shared" si="50"/>
        <v/>
      </c>
      <c r="AX478" s="72">
        <f t="shared" si="51"/>
        <v>0</v>
      </c>
      <c r="AY478" s="24">
        <f t="shared" si="52"/>
        <v>0</v>
      </c>
      <c r="AZ478" s="24">
        <f t="array" ref="AZ478">IF(OR(RIGHT(B478,LEN(Par_LabelTravelTime))=Par_LabelTravelTime,B478="čas na ceste - fakturácia"),1,0)</f>
        <v>0</v>
      </c>
    </row>
    <row r="479" spans="2:52" s="24" customFormat="1" ht="12.75" x14ac:dyDescent="0.2">
      <c r="B479" s="97"/>
      <c r="C479" s="92"/>
      <c r="D479" s="31" t="str">
        <f>IF(E479=1,VLOOKUP(TableInvs[[#This Row],[Calc_V_Typ]],Tran_RevenuesList,3,FALSE),"")</f>
        <v/>
      </c>
      <c r="E479" s="31">
        <f t="shared" si="47"/>
        <v>0</v>
      </c>
      <c r="F479" s="94"/>
      <c r="G479" s="84"/>
      <c r="H479" s="84"/>
      <c r="I479" s="84"/>
      <c r="J479" s="84"/>
      <c r="K479" s="84"/>
      <c r="L479" s="84"/>
      <c r="M479" s="84"/>
      <c r="N479" s="84"/>
      <c r="O479" s="84"/>
      <c r="P479" s="84"/>
      <c r="Q479" s="84"/>
      <c r="R479" s="84"/>
      <c r="S479" s="84"/>
      <c r="T479" s="84"/>
      <c r="U479" s="84"/>
      <c r="V479" s="84"/>
      <c r="W479" s="84"/>
      <c r="X479" s="84"/>
      <c r="Y479" s="84"/>
      <c r="Z479" s="84"/>
      <c r="AA479" s="84"/>
      <c r="AB479" s="84"/>
      <c r="AC479" s="85"/>
      <c r="AD479" s="85"/>
      <c r="AE479" s="84"/>
      <c r="AF479" s="84"/>
      <c r="AG479" s="84"/>
      <c r="AH479" s="84"/>
      <c r="AI479" s="84"/>
      <c r="AJ479" s="84"/>
      <c r="AK479" s="84"/>
      <c r="AL479" s="84"/>
      <c r="AM479" s="84"/>
      <c r="AN479" s="84"/>
      <c r="AO479" s="84"/>
      <c r="AP479" s="84"/>
      <c r="AQ479" s="84"/>
      <c r="AR479" s="84"/>
      <c r="AS479" s="87">
        <f t="array" ref="AS479">IF(E479=1,SUM((ROW(Mf0)=ROW(AS479))*(Mf0+Mf1_+Mf2_+Mf3_+Mf4_+Mf5_+Mf6_+Mf7_+Mf8_+Mf9_+Mf10_+Mf11_+Mf12_+Mf13_+Mf14_+Mf15_+Mf16_+Mf17_+Mf18_+Mf19_+Mf20_+Mf21_+Mf22_+Mf23_+Mf24_+Mf25_+Mf26_+Mf27_+Mf28_+Mf29_+Mf30_+Mf31_+Mf32_+Mf33_+Mf34_+Mf35_+Mf36_+Mf37_)),0)</f>
        <v>0</v>
      </c>
      <c r="AU479" s="24" t="str">
        <f t="shared" si="48"/>
        <v/>
      </c>
      <c r="AV479" s="24" t="str">
        <f t="shared" si="49"/>
        <v/>
      </c>
      <c r="AW479" s="24" t="str">
        <f t="shared" si="50"/>
        <v/>
      </c>
      <c r="AX479" s="72">
        <f t="shared" si="51"/>
        <v>0</v>
      </c>
      <c r="AY479" s="24">
        <f t="shared" si="52"/>
        <v>0</v>
      </c>
      <c r="AZ479" s="24">
        <f t="array" ref="AZ479">IF(OR(RIGHT(B479,LEN(Par_LabelTravelTime))=Par_LabelTravelTime,B479="čas na ceste - fakturácia"),1,0)</f>
        <v>0</v>
      </c>
    </row>
    <row r="480" spans="2:52" s="24" customFormat="1" ht="12.75" x14ac:dyDescent="0.2">
      <c r="B480" s="97"/>
      <c r="C480" s="92"/>
      <c r="D480" s="31" t="str">
        <f>IF(E480=1,VLOOKUP(TableInvs[[#This Row],[Calc_V_Typ]],Tran_RevenuesList,3,FALSE),"")</f>
        <v/>
      </c>
      <c r="E480" s="31">
        <f t="shared" si="47"/>
        <v>0</v>
      </c>
      <c r="F480" s="9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  <c r="S480" s="84"/>
      <c r="T480" s="84"/>
      <c r="U480" s="84"/>
      <c r="V480" s="84"/>
      <c r="W480" s="84"/>
      <c r="X480" s="84"/>
      <c r="Y480" s="84"/>
      <c r="Z480" s="84"/>
      <c r="AA480" s="84"/>
      <c r="AB480" s="84"/>
      <c r="AC480" s="85"/>
      <c r="AD480" s="85"/>
      <c r="AE480" s="84"/>
      <c r="AF480" s="84"/>
      <c r="AG480" s="84"/>
      <c r="AH480" s="84"/>
      <c r="AI480" s="84"/>
      <c r="AJ480" s="84"/>
      <c r="AK480" s="84"/>
      <c r="AL480" s="84"/>
      <c r="AM480" s="84"/>
      <c r="AN480" s="84"/>
      <c r="AO480" s="84"/>
      <c r="AP480" s="84"/>
      <c r="AQ480" s="84"/>
      <c r="AR480" s="84"/>
      <c r="AS480" s="87">
        <f t="array" ref="AS480">IF(E480=1,SUM((ROW(Mf0)=ROW(AS480))*(Mf0+Mf1_+Mf2_+Mf3_+Mf4_+Mf5_+Mf6_+Mf7_+Mf8_+Mf9_+Mf10_+Mf11_+Mf12_+Mf13_+Mf14_+Mf15_+Mf16_+Mf17_+Mf18_+Mf19_+Mf20_+Mf21_+Mf22_+Mf23_+Mf24_+Mf25_+Mf26_+Mf27_+Mf28_+Mf29_+Mf30_+Mf31_+Mf32_+Mf33_+Mf34_+Mf35_+Mf36_+Mf37_)),0)</f>
        <v>0</v>
      </c>
      <c r="AU480" s="24" t="str">
        <f t="shared" si="48"/>
        <v/>
      </c>
      <c r="AV480" s="24" t="str">
        <f t="shared" si="49"/>
        <v/>
      </c>
      <c r="AW480" s="24" t="str">
        <f t="shared" si="50"/>
        <v/>
      </c>
      <c r="AX480" s="72">
        <f t="shared" si="51"/>
        <v>0</v>
      </c>
      <c r="AY480" s="24">
        <f t="shared" si="52"/>
        <v>0</v>
      </c>
      <c r="AZ480" s="24">
        <f t="array" ref="AZ480">IF(OR(RIGHT(B480,LEN(Par_LabelTravelTime))=Par_LabelTravelTime,B480="čas na ceste - fakturácia"),1,0)</f>
        <v>0</v>
      </c>
    </row>
    <row r="481" spans="2:52" s="24" customFormat="1" ht="12.75" x14ac:dyDescent="0.2">
      <c r="B481" s="97"/>
      <c r="C481" s="92"/>
      <c r="D481" s="31" t="str">
        <f>IF(E481=1,VLOOKUP(TableInvs[[#This Row],[Calc_V_Typ]],Tran_RevenuesList,3,FALSE),"")</f>
        <v/>
      </c>
      <c r="E481" s="31">
        <f t="shared" si="47"/>
        <v>0</v>
      </c>
      <c r="F481" s="9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  <c r="S481" s="84"/>
      <c r="T481" s="84"/>
      <c r="U481" s="84"/>
      <c r="V481" s="84"/>
      <c r="W481" s="84"/>
      <c r="X481" s="84"/>
      <c r="Y481" s="84"/>
      <c r="Z481" s="84"/>
      <c r="AA481" s="84"/>
      <c r="AB481" s="84"/>
      <c r="AC481" s="85"/>
      <c r="AD481" s="85"/>
      <c r="AE481" s="84"/>
      <c r="AF481" s="84"/>
      <c r="AG481" s="84"/>
      <c r="AH481" s="84"/>
      <c r="AI481" s="84"/>
      <c r="AJ481" s="84"/>
      <c r="AK481" s="84"/>
      <c r="AL481" s="84"/>
      <c r="AM481" s="84"/>
      <c r="AN481" s="84"/>
      <c r="AO481" s="84"/>
      <c r="AP481" s="84"/>
      <c r="AQ481" s="84"/>
      <c r="AR481" s="84"/>
      <c r="AS481" s="87">
        <f t="array" ref="AS481">IF(E481=1,SUM((ROW(Mf0)=ROW(AS481))*(Mf0+Mf1_+Mf2_+Mf3_+Mf4_+Mf5_+Mf6_+Mf7_+Mf8_+Mf9_+Mf10_+Mf11_+Mf12_+Mf13_+Mf14_+Mf15_+Mf16_+Mf17_+Mf18_+Mf19_+Mf20_+Mf21_+Mf22_+Mf23_+Mf24_+Mf25_+Mf26_+Mf27_+Mf28_+Mf29_+Mf30_+Mf31_+Mf32_+Mf33_+Mf34_+Mf35_+Mf36_+Mf37_)),0)</f>
        <v>0</v>
      </c>
      <c r="AU481" s="24" t="str">
        <f t="shared" si="48"/>
        <v/>
      </c>
      <c r="AV481" s="24" t="str">
        <f t="shared" si="49"/>
        <v/>
      </c>
      <c r="AW481" s="24" t="str">
        <f t="shared" si="50"/>
        <v/>
      </c>
      <c r="AX481" s="72">
        <f t="shared" si="51"/>
        <v>0</v>
      </c>
      <c r="AY481" s="24">
        <f t="shared" si="52"/>
        <v>0</v>
      </c>
      <c r="AZ481" s="24">
        <f t="array" ref="AZ481">IF(OR(RIGHT(B481,LEN(Par_LabelTravelTime))=Par_LabelTravelTime,B481="čas na ceste - fakturácia"),1,0)</f>
        <v>0</v>
      </c>
    </row>
    <row r="482" spans="2:52" s="24" customFormat="1" ht="12.75" x14ac:dyDescent="0.2">
      <c r="B482" s="97"/>
      <c r="C482" s="92"/>
      <c r="D482" s="31" t="str">
        <f>IF(E482=1,VLOOKUP(TableInvs[[#This Row],[Calc_V_Typ]],Tran_RevenuesList,3,FALSE),"")</f>
        <v/>
      </c>
      <c r="E482" s="31">
        <f t="shared" si="47"/>
        <v>0</v>
      </c>
      <c r="F482" s="9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  <c r="S482" s="84"/>
      <c r="T482" s="84"/>
      <c r="U482" s="84"/>
      <c r="V482" s="84"/>
      <c r="W482" s="84"/>
      <c r="X482" s="84"/>
      <c r="Y482" s="84"/>
      <c r="Z482" s="84"/>
      <c r="AA482" s="84"/>
      <c r="AB482" s="84"/>
      <c r="AC482" s="85"/>
      <c r="AD482" s="85"/>
      <c r="AE482" s="84"/>
      <c r="AF482" s="84"/>
      <c r="AG482" s="84"/>
      <c r="AH482" s="84"/>
      <c r="AI482" s="84"/>
      <c r="AJ482" s="84"/>
      <c r="AK482" s="84"/>
      <c r="AL482" s="84"/>
      <c r="AM482" s="84"/>
      <c r="AN482" s="84"/>
      <c r="AO482" s="84"/>
      <c r="AP482" s="84"/>
      <c r="AQ482" s="84"/>
      <c r="AR482" s="84"/>
      <c r="AS482" s="87">
        <f t="array" ref="AS482">IF(E482=1,SUM((ROW(Mf0)=ROW(AS482))*(Mf0+Mf1_+Mf2_+Mf3_+Mf4_+Mf5_+Mf6_+Mf7_+Mf8_+Mf9_+Mf10_+Mf11_+Mf12_+Mf13_+Mf14_+Mf15_+Mf16_+Mf17_+Mf18_+Mf19_+Mf20_+Mf21_+Mf22_+Mf23_+Mf24_+Mf25_+Mf26_+Mf27_+Mf28_+Mf29_+Mf30_+Mf31_+Mf32_+Mf33_+Mf34_+Mf35_+Mf36_+Mf37_)),0)</f>
        <v>0</v>
      </c>
      <c r="AU482" s="24" t="str">
        <f t="shared" si="48"/>
        <v/>
      </c>
      <c r="AV482" s="24" t="str">
        <f t="shared" si="49"/>
        <v/>
      </c>
      <c r="AW482" s="24" t="str">
        <f t="shared" si="50"/>
        <v/>
      </c>
      <c r="AX482" s="72">
        <f t="shared" si="51"/>
        <v>0</v>
      </c>
      <c r="AY482" s="24">
        <f t="shared" si="52"/>
        <v>0</v>
      </c>
      <c r="AZ482" s="24">
        <f t="array" ref="AZ482">IF(OR(RIGHT(B482,LEN(Par_LabelTravelTime))=Par_LabelTravelTime,B482="čas na ceste - fakturácia"),1,0)</f>
        <v>0</v>
      </c>
    </row>
    <row r="483" spans="2:52" s="24" customFormat="1" ht="12.75" x14ac:dyDescent="0.2">
      <c r="B483" s="97"/>
      <c r="C483" s="92"/>
      <c r="D483" s="31" t="str">
        <f>IF(E483=1,VLOOKUP(TableInvs[[#This Row],[Calc_V_Typ]],Tran_RevenuesList,3,FALSE),"")</f>
        <v/>
      </c>
      <c r="E483" s="31">
        <f t="shared" si="47"/>
        <v>0</v>
      </c>
      <c r="F483" s="9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  <c r="S483" s="84"/>
      <c r="T483" s="84"/>
      <c r="U483" s="84"/>
      <c r="V483" s="84"/>
      <c r="W483" s="84"/>
      <c r="X483" s="84"/>
      <c r="Y483" s="84"/>
      <c r="Z483" s="84"/>
      <c r="AA483" s="84"/>
      <c r="AB483" s="84"/>
      <c r="AC483" s="85"/>
      <c r="AD483" s="85"/>
      <c r="AE483" s="84"/>
      <c r="AF483" s="84"/>
      <c r="AG483" s="84"/>
      <c r="AH483" s="84"/>
      <c r="AI483" s="84"/>
      <c r="AJ483" s="84"/>
      <c r="AK483" s="84"/>
      <c r="AL483" s="84"/>
      <c r="AM483" s="84"/>
      <c r="AN483" s="84"/>
      <c r="AO483" s="84"/>
      <c r="AP483" s="84"/>
      <c r="AQ483" s="84"/>
      <c r="AR483" s="84"/>
      <c r="AS483" s="87">
        <f t="array" ref="AS483">IF(E483=1,SUM((ROW(Mf0)=ROW(AS483))*(Mf0+Mf1_+Mf2_+Mf3_+Mf4_+Mf5_+Mf6_+Mf7_+Mf8_+Mf9_+Mf10_+Mf11_+Mf12_+Mf13_+Mf14_+Mf15_+Mf16_+Mf17_+Mf18_+Mf19_+Mf20_+Mf21_+Mf22_+Mf23_+Mf24_+Mf25_+Mf26_+Mf27_+Mf28_+Mf29_+Mf30_+Mf31_+Mf32_+Mf33_+Mf34_+Mf35_+Mf36_+Mf37_)),0)</f>
        <v>0</v>
      </c>
      <c r="AU483" s="24" t="str">
        <f t="shared" si="48"/>
        <v/>
      </c>
      <c r="AV483" s="24" t="str">
        <f t="shared" si="49"/>
        <v/>
      </c>
      <c r="AW483" s="24" t="str">
        <f t="shared" si="50"/>
        <v/>
      </c>
      <c r="AX483" s="72">
        <f t="shared" si="51"/>
        <v>0</v>
      </c>
      <c r="AY483" s="24">
        <f t="shared" si="52"/>
        <v>0</v>
      </c>
      <c r="AZ483" s="24">
        <f t="array" ref="AZ483">IF(OR(RIGHT(B483,LEN(Par_LabelTravelTime))=Par_LabelTravelTime,B483="čas na ceste - fakturácia"),1,0)</f>
        <v>0</v>
      </c>
    </row>
    <row r="484" spans="2:52" s="24" customFormat="1" ht="12.75" x14ac:dyDescent="0.2">
      <c r="B484" s="97"/>
      <c r="C484" s="92"/>
      <c r="D484" s="31" t="str">
        <f>IF(E484=1,VLOOKUP(TableInvs[[#This Row],[Calc_V_Typ]],Tran_RevenuesList,3,FALSE),"")</f>
        <v/>
      </c>
      <c r="E484" s="31">
        <f t="shared" si="47"/>
        <v>0</v>
      </c>
      <c r="F484" s="9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  <c r="S484" s="84"/>
      <c r="T484" s="84"/>
      <c r="U484" s="84"/>
      <c r="V484" s="84"/>
      <c r="W484" s="84"/>
      <c r="X484" s="84"/>
      <c r="Y484" s="84"/>
      <c r="Z484" s="84"/>
      <c r="AA484" s="84"/>
      <c r="AB484" s="84"/>
      <c r="AC484" s="85"/>
      <c r="AD484" s="85"/>
      <c r="AE484" s="84"/>
      <c r="AF484" s="84"/>
      <c r="AG484" s="84"/>
      <c r="AH484" s="84"/>
      <c r="AI484" s="84"/>
      <c r="AJ484" s="84"/>
      <c r="AK484" s="84"/>
      <c r="AL484" s="84"/>
      <c r="AM484" s="84"/>
      <c r="AN484" s="84"/>
      <c r="AO484" s="84"/>
      <c r="AP484" s="84"/>
      <c r="AQ484" s="84"/>
      <c r="AR484" s="84"/>
      <c r="AS484" s="87">
        <f t="array" ref="AS484">IF(E484=1,SUM((ROW(Mf0)=ROW(AS484))*(Mf0+Mf1_+Mf2_+Mf3_+Mf4_+Mf5_+Mf6_+Mf7_+Mf8_+Mf9_+Mf10_+Mf11_+Mf12_+Mf13_+Mf14_+Mf15_+Mf16_+Mf17_+Mf18_+Mf19_+Mf20_+Mf21_+Mf22_+Mf23_+Mf24_+Mf25_+Mf26_+Mf27_+Mf28_+Mf29_+Mf30_+Mf31_+Mf32_+Mf33_+Mf34_+Mf35_+Mf36_+Mf37_)),0)</f>
        <v>0</v>
      </c>
      <c r="AU484" s="24" t="str">
        <f t="shared" si="48"/>
        <v/>
      </c>
      <c r="AV484" s="24" t="str">
        <f t="shared" si="49"/>
        <v/>
      </c>
      <c r="AW484" s="24" t="str">
        <f t="shared" si="50"/>
        <v/>
      </c>
      <c r="AX484" s="72">
        <f t="shared" si="51"/>
        <v>0</v>
      </c>
      <c r="AY484" s="24">
        <f t="shared" si="52"/>
        <v>0</v>
      </c>
      <c r="AZ484" s="24">
        <f t="array" ref="AZ484">IF(OR(RIGHT(B484,LEN(Par_LabelTravelTime))=Par_LabelTravelTime,B484="čas na ceste - fakturácia"),1,0)</f>
        <v>0</v>
      </c>
    </row>
    <row r="485" spans="2:52" s="24" customFormat="1" ht="12.75" x14ac:dyDescent="0.2">
      <c r="B485" s="97"/>
      <c r="C485" s="92"/>
      <c r="D485" s="31" t="str">
        <f>IF(E485=1,VLOOKUP(TableInvs[[#This Row],[Calc_V_Typ]],Tran_RevenuesList,3,FALSE),"")</f>
        <v/>
      </c>
      <c r="E485" s="31">
        <f t="shared" si="47"/>
        <v>0</v>
      </c>
      <c r="F485" s="9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  <c r="S485" s="84"/>
      <c r="T485" s="84"/>
      <c r="U485" s="84"/>
      <c r="V485" s="84"/>
      <c r="W485" s="84"/>
      <c r="X485" s="84"/>
      <c r="Y485" s="84"/>
      <c r="Z485" s="84"/>
      <c r="AA485" s="84"/>
      <c r="AB485" s="84"/>
      <c r="AC485" s="85"/>
      <c r="AD485" s="85"/>
      <c r="AE485" s="84"/>
      <c r="AF485" s="84"/>
      <c r="AG485" s="84"/>
      <c r="AH485" s="84"/>
      <c r="AI485" s="84"/>
      <c r="AJ485" s="84"/>
      <c r="AK485" s="84"/>
      <c r="AL485" s="84"/>
      <c r="AM485" s="84"/>
      <c r="AN485" s="84"/>
      <c r="AO485" s="84"/>
      <c r="AP485" s="84"/>
      <c r="AQ485" s="84"/>
      <c r="AR485" s="84"/>
      <c r="AS485" s="87">
        <f t="array" ref="AS485">IF(E485=1,SUM((ROW(Mf0)=ROW(AS485))*(Mf0+Mf1_+Mf2_+Mf3_+Mf4_+Mf5_+Mf6_+Mf7_+Mf8_+Mf9_+Mf10_+Mf11_+Mf12_+Mf13_+Mf14_+Mf15_+Mf16_+Mf17_+Mf18_+Mf19_+Mf20_+Mf21_+Mf22_+Mf23_+Mf24_+Mf25_+Mf26_+Mf27_+Mf28_+Mf29_+Mf30_+Mf31_+Mf32_+Mf33_+Mf34_+Mf35_+Mf36_+Mf37_)),0)</f>
        <v>0</v>
      </c>
      <c r="AU485" s="24" t="str">
        <f t="shared" si="48"/>
        <v/>
      </c>
      <c r="AV485" s="24" t="str">
        <f t="shared" si="49"/>
        <v/>
      </c>
      <c r="AW485" s="24" t="str">
        <f t="shared" si="50"/>
        <v/>
      </c>
      <c r="AX485" s="72">
        <f t="shared" si="51"/>
        <v>0</v>
      </c>
      <c r="AY485" s="24">
        <f t="shared" si="52"/>
        <v>0</v>
      </c>
      <c r="AZ485" s="24">
        <f t="array" ref="AZ485">IF(OR(RIGHT(B485,LEN(Par_LabelTravelTime))=Par_LabelTravelTime,B485="čas na ceste - fakturácia"),1,0)</f>
        <v>0</v>
      </c>
    </row>
    <row r="486" spans="2:52" s="24" customFormat="1" ht="12.75" x14ac:dyDescent="0.2">
      <c r="B486" s="97"/>
      <c r="C486" s="92"/>
      <c r="D486" s="31" t="str">
        <f>IF(E486=1,VLOOKUP(TableInvs[[#This Row],[Calc_V_Typ]],Tran_RevenuesList,3,FALSE),"")</f>
        <v/>
      </c>
      <c r="E486" s="31">
        <f t="shared" si="47"/>
        <v>0</v>
      </c>
      <c r="F486" s="9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  <c r="R486" s="84"/>
      <c r="S486" s="84"/>
      <c r="T486" s="84"/>
      <c r="U486" s="84"/>
      <c r="V486" s="84"/>
      <c r="W486" s="84"/>
      <c r="X486" s="84"/>
      <c r="Y486" s="84"/>
      <c r="Z486" s="84"/>
      <c r="AA486" s="84"/>
      <c r="AB486" s="84"/>
      <c r="AC486" s="85"/>
      <c r="AD486" s="85"/>
      <c r="AE486" s="84"/>
      <c r="AF486" s="84"/>
      <c r="AG486" s="84"/>
      <c r="AH486" s="84"/>
      <c r="AI486" s="84"/>
      <c r="AJ486" s="84"/>
      <c r="AK486" s="84"/>
      <c r="AL486" s="84"/>
      <c r="AM486" s="84"/>
      <c r="AN486" s="84"/>
      <c r="AO486" s="84"/>
      <c r="AP486" s="84"/>
      <c r="AQ486" s="84"/>
      <c r="AR486" s="84"/>
      <c r="AS486" s="87">
        <f t="array" ref="AS486">IF(E486=1,SUM((ROW(Mf0)=ROW(AS486))*(Mf0+Mf1_+Mf2_+Mf3_+Mf4_+Mf5_+Mf6_+Mf7_+Mf8_+Mf9_+Mf10_+Mf11_+Mf12_+Mf13_+Mf14_+Mf15_+Mf16_+Mf17_+Mf18_+Mf19_+Mf20_+Mf21_+Mf22_+Mf23_+Mf24_+Mf25_+Mf26_+Mf27_+Mf28_+Mf29_+Mf30_+Mf31_+Mf32_+Mf33_+Mf34_+Mf35_+Mf36_+Mf37_)),0)</f>
        <v>0</v>
      </c>
      <c r="AU486" s="24" t="str">
        <f t="shared" si="48"/>
        <v/>
      </c>
      <c r="AV486" s="24" t="str">
        <f t="shared" si="49"/>
        <v/>
      </c>
      <c r="AW486" s="24" t="str">
        <f t="shared" si="50"/>
        <v/>
      </c>
      <c r="AX486" s="72">
        <f t="shared" si="51"/>
        <v>0</v>
      </c>
      <c r="AY486" s="24">
        <f t="shared" si="52"/>
        <v>0</v>
      </c>
      <c r="AZ486" s="24">
        <f t="array" ref="AZ486">IF(OR(RIGHT(B486,LEN(Par_LabelTravelTime))=Par_LabelTravelTime,B486="čas na ceste - fakturácia"),1,0)</f>
        <v>0</v>
      </c>
    </row>
    <row r="487" spans="2:52" s="24" customFormat="1" ht="12.75" x14ac:dyDescent="0.2">
      <c r="B487" s="97"/>
      <c r="C487" s="92"/>
      <c r="D487" s="31" t="str">
        <f>IF(E487=1,VLOOKUP(TableInvs[[#This Row],[Calc_V_Typ]],Tran_RevenuesList,3,FALSE),"")</f>
        <v/>
      </c>
      <c r="E487" s="31">
        <f t="shared" si="47"/>
        <v>0</v>
      </c>
      <c r="F487" s="9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  <c r="R487" s="84"/>
      <c r="S487" s="84"/>
      <c r="T487" s="84"/>
      <c r="U487" s="84"/>
      <c r="V487" s="84"/>
      <c r="W487" s="84"/>
      <c r="X487" s="84"/>
      <c r="Y487" s="84"/>
      <c r="Z487" s="84"/>
      <c r="AA487" s="84"/>
      <c r="AB487" s="84"/>
      <c r="AC487" s="85"/>
      <c r="AD487" s="85"/>
      <c r="AE487" s="84"/>
      <c r="AF487" s="84"/>
      <c r="AG487" s="84"/>
      <c r="AH487" s="84"/>
      <c r="AI487" s="84"/>
      <c r="AJ487" s="84"/>
      <c r="AK487" s="84"/>
      <c r="AL487" s="84"/>
      <c r="AM487" s="84"/>
      <c r="AN487" s="84"/>
      <c r="AO487" s="84"/>
      <c r="AP487" s="84"/>
      <c r="AQ487" s="84"/>
      <c r="AR487" s="84"/>
      <c r="AS487" s="87">
        <f t="array" ref="AS487">IF(E487=1,SUM((ROW(Mf0)=ROW(AS487))*(Mf0+Mf1_+Mf2_+Mf3_+Mf4_+Mf5_+Mf6_+Mf7_+Mf8_+Mf9_+Mf10_+Mf11_+Mf12_+Mf13_+Mf14_+Mf15_+Mf16_+Mf17_+Mf18_+Mf19_+Mf20_+Mf21_+Mf22_+Mf23_+Mf24_+Mf25_+Mf26_+Mf27_+Mf28_+Mf29_+Mf30_+Mf31_+Mf32_+Mf33_+Mf34_+Mf35_+Mf36_+Mf37_)),0)</f>
        <v>0</v>
      </c>
      <c r="AU487" s="24" t="str">
        <f t="shared" si="48"/>
        <v/>
      </c>
      <c r="AV487" s="24" t="str">
        <f t="shared" si="49"/>
        <v/>
      </c>
      <c r="AW487" s="24" t="str">
        <f t="shared" si="50"/>
        <v/>
      </c>
      <c r="AX487" s="72">
        <f t="shared" si="51"/>
        <v>0</v>
      </c>
      <c r="AY487" s="24">
        <f t="shared" si="52"/>
        <v>0</v>
      </c>
      <c r="AZ487" s="24">
        <f t="array" ref="AZ487">IF(OR(RIGHT(B487,LEN(Par_LabelTravelTime))=Par_LabelTravelTime,B487="čas na ceste - fakturácia"),1,0)</f>
        <v>0</v>
      </c>
    </row>
    <row r="488" spans="2:52" s="24" customFormat="1" ht="12.75" x14ac:dyDescent="0.2">
      <c r="B488" s="97"/>
      <c r="C488" s="92"/>
      <c r="D488" s="31" t="str">
        <f>IF(E488=1,VLOOKUP(TableInvs[[#This Row],[Calc_V_Typ]],Tran_RevenuesList,3,FALSE),"")</f>
        <v/>
      </c>
      <c r="E488" s="31">
        <f t="shared" si="47"/>
        <v>0</v>
      </c>
      <c r="F488" s="9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  <c r="R488" s="84"/>
      <c r="S488" s="84"/>
      <c r="T488" s="84"/>
      <c r="U488" s="84"/>
      <c r="V488" s="84"/>
      <c r="W488" s="84"/>
      <c r="X488" s="84"/>
      <c r="Y488" s="84"/>
      <c r="Z488" s="84"/>
      <c r="AA488" s="84"/>
      <c r="AB488" s="84"/>
      <c r="AC488" s="85"/>
      <c r="AD488" s="85"/>
      <c r="AE488" s="84"/>
      <c r="AF488" s="84"/>
      <c r="AG488" s="84"/>
      <c r="AH488" s="84"/>
      <c r="AI488" s="84"/>
      <c r="AJ488" s="84"/>
      <c r="AK488" s="84"/>
      <c r="AL488" s="84"/>
      <c r="AM488" s="84"/>
      <c r="AN488" s="84"/>
      <c r="AO488" s="84"/>
      <c r="AP488" s="84"/>
      <c r="AQ488" s="84"/>
      <c r="AR488" s="84"/>
      <c r="AS488" s="87">
        <f t="array" ref="AS488">IF(E488=1,SUM((ROW(Mf0)=ROW(AS488))*(Mf0+Mf1_+Mf2_+Mf3_+Mf4_+Mf5_+Mf6_+Mf7_+Mf8_+Mf9_+Mf10_+Mf11_+Mf12_+Mf13_+Mf14_+Mf15_+Mf16_+Mf17_+Mf18_+Mf19_+Mf20_+Mf21_+Mf22_+Mf23_+Mf24_+Mf25_+Mf26_+Mf27_+Mf28_+Mf29_+Mf30_+Mf31_+Mf32_+Mf33_+Mf34_+Mf35_+Mf36_+Mf37_)),0)</f>
        <v>0</v>
      </c>
      <c r="AU488" s="24" t="str">
        <f t="shared" si="48"/>
        <v/>
      </c>
      <c r="AV488" s="24" t="str">
        <f t="shared" si="49"/>
        <v/>
      </c>
      <c r="AW488" s="24" t="str">
        <f t="shared" si="50"/>
        <v/>
      </c>
      <c r="AX488" s="72">
        <f t="shared" si="51"/>
        <v>0</v>
      </c>
      <c r="AY488" s="24">
        <f t="shared" si="52"/>
        <v>0</v>
      </c>
      <c r="AZ488" s="24">
        <f t="array" ref="AZ488">IF(OR(RIGHT(B488,LEN(Par_LabelTravelTime))=Par_LabelTravelTime,B488="čas na ceste - fakturácia"),1,0)</f>
        <v>0</v>
      </c>
    </row>
    <row r="489" spans="2:52" s="24" customFormat="1" ht="12.75" x14ac:dyDescent="0.2">
      <c r="B489" s="97"/>
      <c r="C489" s="92"/>
      <c r="D489" s="31" t="str">
        <f>IF(E489=1,VLOOKUP(TableInvs[[#This Row],[Calc_V_Typ]],Tran_RevenuesList,3,FALSE),"")</f>
        <v/>
      </c>
      <c r="E489" s="31">
        <f t="shared" si="47"/>
        <v>0</v>
      </c>
      <c r="F489" s="9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  <c r="R489" s="84"/>
      <c r="S489" s="84"/>
      <c r="T489" s="84"/>
      <c r="U489" s="84"/>
      <c r="V489" s="84"/>
      <c r="W489" s="84"/>
      <c r="X489" s="84"/>
      <c r="Y489" s="84"/>
      <c r="Z489" s="84"/>
      <c r="AA489" s="84"/>
      <c r="AB489" s="84"/>
      <c r="AC489" s="85"/>
      <c r="AD489" s="85"/>
      <c r="AE489" s="84"/>
      <c r="AF489" s="84"/>
      <c r="AG489" s="84"/>
      <c r="AH489" s="84"/>
      <c r="AI489" s="84"/>
      <c r="AJ489" s="84"/>
      <c r="AK489" s="84"/>
      <c r="AL489" s="84"/>
      <c r="AM489" s="84"/>
      <c r="AN489" s="84"/>
      <c r="AO489" s="84"/>
      <c r="AP489" s="84"/>
      <c r="AQ489" s="84"/>
      <c r="AR489" s="84"/>
      <c r="AS489" s="87">
        <f t="array" ref="AS489">IF(E489=1,SUM((ROW(Mf0)=ROW(AS489))*(Mf0+Mf1_+Mf2_+Mf3_+Mf4_+Mf5_+Mf6_+Mf7_+Mf8_+Mf9_+Mf10_+Mf11_+Mf12_+Mf13_+Mf14_+Mf15_+Mf16_+Mf17_+Mf18_+Mf19_+Mf20_+Mf21_+Mf22_+Mf23_+Mf24_+Mf25_+Mf26_+Mf27_+Mf28_+Mf29_+Mf30_+Mf31_+Mf32_+Mf33_+Mf34_+Mf35_+Mf36_+Mf37_)),0)</f>
        <v>0</v>
      </c>
      <c r="AU489" s="24" t="str">
        <f t="shared" si="48"/>
        <v/>
      </c>
      <c r="AV489" s="24" t="str">
        <f t="shared" si="49"/>
        <v/>
      </c>
      <c r="AW489" s="24" t="str">
        <f t="shared" si="50"/>
        <v/>
      </c>
      <c r="AX489" s="72">
        <f t="shared" si="51"/>
        <v>0</v>
      </c>
      <c r="AY489" s="24">
        <f t="shared" si="52"/>
        <v>0</v>
      </c>
      <c r="AZ489" s="24">
        <f t="array" ref="AZ489">IF(OR(RIGHT(B489,LEN(Par_LabelTravelTime))=Par_LabelTravelTime,B489="čas na ceste - fakturácia"),1,0)</f>
        <v>0</v>
      </c>
    </row>
    <row r="490" spans="2:52" s="24" customFormat="1" ht="12.75" x14ac:dyDescent="0.2">
      <c r="B490" s="97"/>
      <c r="C490" s="92"/>
      <c r="D490" s="31" t="str">
        <f>IF(E490=1,VLOOKUP(TableInvs[[#This Row],[Calc_V_Typ]],Tran_RevenuesList,3,FALSE),"")</f>
        <v/>
      </c>
      <c r="E490" s="31">
        <f t="shared" si="47"/>
        <v>0</v>
      </c>
      <c r="F490" s="9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  <c r="R490" s="84"/>
      <c r="S490" s="84"/>
      <c r="T490" s="84"/>
      <c r="U490" s="84"/>
      <c r="V490" s="84"/>
      <c r="W490" s="84"/>
      <c r="X490" s="84"/>
      <c r="Y490" s="84"/>
      <c r="Z490" s="84"/>
      <c r="AA490" s="84"/>
      <c r="AB490" s="84"/>
      <c r="AC490" s="85"/>
      <c r="AD490" s="85"/>
      <c r="AE490" s="84"/>
      <c r="AF490" s="84"/>
      <c r="AG490" s="84"/>
      <c r="AH490" s="84"/>
      <c r="AI490" s="84"/>
      <c r="AJ490" s="84"/>
      <c r="AK490" s="84"/>
      <c r="AL490" s="84"/>
      <c r="AM490" s="84"/>
      <c r="AN490" s="84"/>
      <c r="AO490" s="84"/>
      <c r="AP490" s="84"/>
      <c r="AQ490" s="84"/>
      <c r="AR490" s="84"/>
      <c r="AS490" s="87">
        <f t="array" ref="AS490">IF(E490=1,SUM((ROW(Mf0)=ROW(AS490))*(Mf0+Mf1_+Mf2_+Mf3_+Mf4_+Mf5_+Mf6_+Mf7_+Mf8_+Mf9_+Mf10_+Mf11_+Mf12_+Mf13_+Mf14_+Mf15_+Mf16_+Mf17_+Mf18_+Mf19_+Mf20_+Mf21_+Mf22_+Mf23_+Mf24_+Mf25_+Mf26_+Mf27_+Mf28_+Mf29_+Mf30_+Mf31_+Mf32_+Mf33_+Mf34_+Mf35_+Mf36_+Mf37_)),0)</f>
        <v>0</v>
      </c>
      <c r="AU490" s="24" t="str">
        <f t="shared" si="48"/>
        <v/>
      </c>
      <c r="AV490" s="24" t="str">
        <f t="shared" si="49"/>
        <v/>
      </c>
      <c r="AW490" s="24" t="str">
        <f t="shared" si="50"/>
        <v/>
      </c>
      <c r="AX490" s="72">
        <f t="shared" si="51"/>
        <v>0</v>
      </c>
      <c r="AY490" s="24">
        <f t="shared" si="52"/>
        <v>0</v>
      </c>
      <c r="AZ490" s="24">
        <f t="array" ref="AZ490">IF(OR(RIGHT(B490,LEN(Par_LabelTravelTime))=Par_LabelTravelTime,B490="čas na ceste - fakturácia"),1,0)</f>
        <v>0</v>
      </c>
    </row>
    <row r="491" spans="2:52" s="24" customFormat="1" ht="12.75" x14ac:dyDescent="0.2">
      <c r="B491" s="97"/>
      <c r="C491" s="92"/>
      <c r="D491" s="31" t="str">
        <f>IF(E491=1,VLOOKUP(TableInvs[[#This Row],[Calc_V_Typ]],Tran_RevenuesList,3,FALSE),"")</f>
        <v/>
      </c>
      <c r="E491" s="31">
        <f t="shared" si="47"/>
        <v>0</v>
      </c>
      <c r="F491" s="9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  <c r="R491" s="84"/>
      <c r="S491" s="84"/>
      <c r="T491" s="84"/>
      <c r="U491" s="84"/>
      <c r="V491" s="84"/>
      <c r="W491" s="84"/>
      <c r="X491" s="84"/>
      <c r="Y491" s="84"/>
      <c r="Z491" s="84"/>
      <c r="AA491" s="84"/>
      <c r="AB491" s="84"/>
      <c r="AC491" s="85"/>
      <c r="AD491" s="85"/>
      <c r="AE491" s="84"/>
      <c r="AF491" s="84"/>
      <c r="AG491" s="84"/>
      <c r="AH491" s="84"/>
      <c r="AI491" s="84"/>
      <c r="AJ491" s="84"/>
      <c r="AK491" s="84"/>
      <c r="AL491" s="84"/>
      <c r="AM491" s="84"/>
      <c r="AN491" s="84"/>
      <c r="AO491" s="84"/>
      <c r="AP491" s="84"/>
      <c r="AQ491" s="84"/>
      <c r="AR491" s="84"/>
      <c r="AS491" s="87">
        <f t="array" ref="AS491">IF(E491=1,SUM((ROW(Mf0)=ROW(AS491))*(Mf0+Mf1_+Mf2_+Mf3_+Mf4_+Mf5_+Mf6_+Mf7_+Mf8_+Mf9_+Mf10_+Mf11_+Mf12_+Mf13_+Mf14_+Mf15_+Mf16_+Mf17_+Mf18_+Mf19_+Mf20_+Mf21_+Mf22_+Mf23_+Mf24_+Mf25_+Mf26_+Mf27_+Mf28_+Mf29_+Mf30_+Mf31_+Mf32_+Mf33_+Mf34_+Mf35_+Mf36_+Mf37_)),0)</f>
        <v>0</v>
      </c>
      <c r="AU491" s="24" t="str">
        <f t="shared" si="48"/>
        <v/>
      </c>
      <c r="AV491" s="24" t="str">
        <f t="shared" si="49"/>
        <v/>
      </c>
      <c r="AW491" s="24" t="str">
        <f t="shared" si="50"/>
        <v/>
      </c>
      <c r="AX491" s="72">
        <f t="shared" si="51"/>
        <v>0</v>
      </c>
      <c r="AY491" s="24">
        <f t="shared" si="52"/>
        <v>0</v>
      </c>
      <c r="AZ491" s="24">
        <f t="array" ref="AZ491">IF(OR(RIGHT(B491,LEN(Par_LabelTravelTime))=Par_LabelTravelTime,B491="čas na ceste - fakturácia"),1,0)</f>
        <v>0</v>
      </c>
    </row>
    <row r="492" spans="2:52" s="24" customFormat="1" ht="12.75" x14ac:dyDescent="0.2">
      <c r="B492" s="97"/>
      <c r="C492" s="92"/>
      <c r="D492" s="31" t="str">
        <f>IF(E492=1,VLOOKUP(TableInvs[[#This Row],[Calc_V_Typ]],Tran_RevenuesList,3,FALSE),"")</f>
        <v/>
      </c>
      <c r="E492" s="31">
        <f t="shared" si="47"/>
        <v>0</v>
      </c>
      <c r="F492" s="9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  <c r="R492" s="84"/>
      <c r="S492" s="84"/>
      <c r="T492" s="84"/>
      <c r="U492" s="84"/>
      <c r="V492" s="84"/>
      <c r="W492" s="84"/>
      <c r="X492" s="84"/>
      <c r="Y492" s="84"/>
      <c r="Z492" s="84"/>
      <c r="AA492" s="84"/>
      <c r="AB492" s="84"/>
      <c r="AC492" s="85"/>
      <c r="AD492" s="85"/>
      <c r="AE492" s="84"/>
      <c r="AF492" s="84"/>
      <c r="AG492" s="84"/>
      <c r="AH492" s="84"/>
      <c r="AI492" s="84"/>
      <c r="AJ492" s="84"/>
      <c r="AK492" s="84"/>
      <c r="AL492" s="84"/>
      <c r="AM492" s="84"/>
      <c r="AN492" s="84"/>
      <c r="AO492" s="84"/>
      <c r="AP492" s="84"/>
      <c r="AQ492" s="84"/>
      <c r="AR492" s="84"/>
      <c r="AS492" s="87">
        <f t="array" ref="AS492">IF(E492=1,SUM((ROW(Mf0)=ROW(AS492))*(Mf0+Mf1_+Mf2_+Mf3_+Mf4_+Mf5_+Mf6_+Mf7_+Mf8_+Mf9_+Mf10_+Mf11_+Mf12_+Mf13_+Mf14_+Mf15_+Mf16_+Mf17_+Mf18_+Mf19_+Mf20_+Mf21_+Mf22_+Mf23_+Mf24_+Mf25_+Mf26_+Mf27_+Mf28_+Mf29_+Mf30_+Mf31_+Mf32_+Mf33_+Mf34_+Mf35_+Mf36_+Mf37_)),0)</f>
        <v>0</v>
      </c>
      <c r="AU492" s="24" t="str">
        <f t="shared" si="48"/>
        <v/>
      </c>
      <c r="AV492" s="24" t="str">
        <f t="shared" si="49"/>
        <v/>
      </c>
      <c r="AW492" s="24" t="str">
        <f t="shared" si="50"/>
        <v/>
      </c>
      <c r="AX492" s="72">
        <f t="shared" si="51"/>
        <v>0</v>
      </c>
      <c r="AY492" s="24">
        <f t="shared" si="52"/>
        <v>0</v>
      </c>
      <c r="AZ492" s="24">
        <f t="array" ref="AZ492">IF(OR(RIGHT(B492,LEN(Par_LabelTravelTime))=Par_LabelTravelTime,B492="čas na ceste - fakturácia"),1,0)</f>
        <v>0</v>
      </c>
    </row>
    <row r="493" spans="2:52" s="24" customFormat="1" ht="12.75" x14ac:dyDescent="0.2">
      <c r="B493" s="97"/>
      <c r="C493" s="92"/>
      <c r="D493" s="31" t="str">
        <f>IF(E493=1,VLOOKUP(TableInvs[[#This Row],[Calc_V_Typ]],Tran_RevenuesList,3,FALSE),"")</f>
        <v/>
      </c>
      <c r="E493" s="31">
        <f t="shared" si="47"/>
        <v>0</v>
      </c>
      <c r="F493" s="9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  <c r="R493" s="84"/>
      <c r="S493" s="84"/>
      <c r="T493" s="84"/>
      <c r="U493" s="84"/>
      <c r="V493" s="84"/>
      <c r="W493" s="84"/>
      <c r="X493" s="84"/>
      <c r="Y493" s="84"/>
      <c r="Z493" s="84"/>
      <c r="AA493" s="84"/>
      <c r="AB493" s="84"/>
      <c r="AC493" s="85"/>
      <c r="AD493" s="85"/>
      <c r="AE493" s="84"/>
      <c r="AF493" s="84"/>
      <c r="AG493" s="84"/>
      <c r="AH493" s="84"/>
      <c r="AI493" s="84"/>
      <c r="AJ493" s="84"/>
      <c r="AK493" s="84"/>
      <c r="AL493" s="84"/>
      <c r="AM493" s="84"/>
      <c r="AN493" s="84"/>
      <c r="AO493" s="84"/>
      <c r="AP493" s="84"/>
      <c r="AQ493" s="84"/>
      <c r="AR493" s="84"/>
      <c r="AS493" s="87">
        <f t="array" ref="AS493">IF(E493=1,SUM((ROW(Mf0)=ROW(AS493))*(Mf0+Mf1_+Mf2_+Mf3_+Mf4_+Mf5_+Mf6_+Mf7_+Mf8_+Mf9_+Mf10_+Mf11_+Mf12_+Mf13_+Mf14_+Mf15_+Mf16_+Mf17_+Mf18_+Mf19_+Mf20_+Mf21_+Mf22_+Mf23_+Mf24_+Mf25_+Mf26_+Mf27_+Mf28_+Mf29_+Mf30_+Mf31_+Mf32_+Mf33_+Mf34_+Mf35_+Mf36_+Mf37_)),0)</f>
        <v>0</v>
      </c>
      <c r="AU493" s="24" t="str">
        <f t="shared" si="48"/>
        <v/>
      </c>
      <c r="AV493" s="24" t="str">
        <f t="shared" si="49"/>
        <v/>
      </c>
      <c r="AW493" s="24" t="str">
        <f t="shared" si="50"/>
        <v/>
      </c>
      <c r="AX493" s="72">
        <f t="shared" si="51"/>
        <v>0</v>
      </c>
      <c r="AY493" s="24">
        <f t="shared" si="52"/>
        <v>0</v>
      </c>
      <c r="AZ493" s="24">
        <f t="array" ref="AZ493">IF(OR(RIGHT(B493,LEN(Par_LabelTravelTime))=Par_LabelTravelTime,B493="čas na ceste - fakturácia"),1,0)</f>
        <v>0</v>
      </c>
    </row>
    <row r="494" spans="2:52" s="24" customFormat="1" ht="12.75" x14ac:dyDescent="0.2">
      <c r="B494" s="97"/>
      <c r="C494" s="92"/>
      <c r="D494" s="31" t="str">
        <f>IF(E494=1,VLOOKUP(TableInvs[[#This Row],[Calc_V_Typ]],Tran_RevenuesList,3,FALSE),"")</f>
        <v/>
      </c>
      <c r="E494" s="31">
        <f t="shared" si="47"/>
        <v>0</v>
      </c>
      <c r="F494" s="9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  <c r="R494" s="84"/>
      <c r="S494" s="84"/>
      <c r="T494" s="84"/>
      <c r="U494" s="84"/>
      <c r="V494" s="84"/>
      <c r="W494" s="84"/>
      <c r="X494" s="84"/>
      <c r="Y494" s="84"/>
      <c r="Z494" s="84"/>
      <c r="AA494" s="84"/>
      <c r="AB494" s="84"/>
      <c r="AC494" s="85"/>
      <c r="AD494" s="85"/>
      <c r="AE494" s="84"/>
      <c r="AF494" s="84"/>
      <c r="AG494" s="84"/>
      <c r="AH494" s="84"/>
      <c r="AI494" s="84"/>
      <c r="AJ494" s="84"/>
      <c r="AK494" s="84"/>
      <c r="AL494" s="84"/>
      <c r="AM494" s="84"/>
      <c r="AN494" s="84"/>
      <c r="AO494" s="84"/>
      <c r="AP494" s="84"/>
      <c r="AQ494" s="84"/>
      <c r="AR494" s="84"/>
      <c r="AS494" s="87">
        <f t="array" ref="AS494">IF(E494=1,SUM((ROW(Mf0)=ROW(AS494))*(Mf0+Mf1_+Mf2_+Mf3_+Mf4_+Mf5_+Mf6_+Mf7_+Mf8_+Mf9_+Mf10_+Mf11_+Mf12_+Mf13_+Mf14_+Mf15_+Mf16_+Mf17_+Mf18_+Mf19_+Mf20_+Mf21_+Mf22_+Mf23_+Mf24_+Mf25_+Mf26_+Mf27_+Mf28_+Mf29_+Mf30_+Mf31_+Mf32_+Mf33_+Mf34_+Mf35_+Mf36_+Mf37_)),0)</f>
        <v>0</v>
      </c>
      <c r="AU494" s="24" t="str">
        <f t="shared" si="48"/>
        <v/>
      </c>
      <c r="AV494" s="24" t="str">
        <f t="shared" si="49"/>
        <v/>
      </c>
      <c r="AW494" s="24" t="str">
        <f t="shared" si="50"/>
        <v/>
      </c>
      <c r="AX494" s="72">
        <f t="shared" si="51"/>
        <v>0</v>
      </c>
      <c r="AY494" s="24">
        <f t="shared" si="52"/>
        <v>0</v>
      </c>
      <c r="AZ494" s="24">
        <f t="array" ref="AZ494">IF(OR(RIGHT(B494,LEN(Par_LabelTravelTime))=Par_LabelTravelTime,B494="čas na ceste - fakturácia"),1,0)</f>
        <v>0</v>
      </c>
    </row>
    <row r="495" spans="2:52" s="24" customFormat="1" ht="12.75" x14ac:dyDescent="0.2">
      <c r="B495" s="97"/>
      <c r="C495" s="92"/>
      <c r="D495" s="31" t="str">
        <f>IF(E495=1,VLOOKUP(TableInvs[[#This Row],[Calc_V_Typ]],Tran_RevenuesList,3,FALSE),"")</f>
        <v/>
      </c>
      <c r="E495" s="31">
        <f t="shared" si="47"/>
        <v>0</v>
      </c>
      <c r="F495" s="94"/>
      <c r="G495" s="84"/>
      <c r="H495" s="84"/>
      <c r="I495" s="84"/>
      <c r="J495" s="84"/>
      <c r="K495" s="84"/>
      <c r="L495" s="84"/>
      <c r="M495" s="84"/>
      <c r="N495" s="84"/>
      <c r="O495" s="84"/>
      <c r="P495" s="84"/>
      <c r="Q495" s="84"/>
      <c r="R495" s="84"/>
      <c r="S495" s="84"/>
      <c r="T495" s="84"/>
      <c r="U495" s="84"/>
      <c r="V495" s="84"/>
      <c r="W495" s="84"/>
      <c r="X495" s="84"/>
      <c r="Y495" s="84"/>
      <c r="Z495" s="84"/>
      <c r="AA495" s="84"/>
      <c r="AB495" s="84"/>
      <c r="AC495" s="85"/>
      <c r="AD495" s="85"/>
      <c r="AE495" s="84"/>
      <c r="AF495" s="84"/>
      <c r="AG495" s="84"/>
      <c r="AH495" s="84"/>
      <c r="AI495" s="84"/>
      <c r="AJ495" s="84"/>
      <c r="AK495" s="84"/>
      <c r="AL495" s="84"/>
      <c r="AM495" s="84"/>
      <c r="AN495" s="84"/>
      <c r="AO495" s="84"/>
      <c r="AP495" s="84"/>
      <c r="AQ495" s="84"/>
      <c r="AR495" s="84"/>
      <c r="AS495" s="87">
        <f t="array" ref="AS495">IF(E495=1,SUM((ROW(Mf0)=ROW(AS495))*(Mf0+Mf1_+Mf2_+Mf3_+Mf4_+Mf5_+Mf6_+Mf7_+Mf8_+Mf9_+Mf10_+Mf11_+Mf12_+Mf13_+Mf14_+Mf15_+Mf16_+Mf17_+Mf18_+Mf19_+Mf20_+Mf21_+Mf22_+Mf23_+Mf24_+Mf25_+Mf26_+Mf27_+Mf28_+Mf29_+Mf30_+Mf31_+Mf32_+Mf33_+Mf34_+Mf35_+Mf36_+Mf37_)),0)</f>
        <v>0</v>
      </c>
      <c r="AU495" s="24" t="str">
        <f t="shared" si="48"/>
        <v/>
      </c>
      <c r="AV495" s="24" t="str">
        <f t="shared" si="49"/>
        <v/>
      </c>
      <c r="AW495" s="24" t="str">
        <f t="shared" si="50"/>
        <v/>
      </c>
      <c r="AX495" s="72">
        <f t="shared" si="51"/>
        <v>0</v>
      </c>
      <c r="AY495" s="24">
        <f t="shared" si="52"/>
        <v>0</v>
      </c>
      <c r="AZ495" s="24">
        <f t="array" ref="AZ495">IF(OR(RIGHT(B495,LEN(Par_LabelTravelTime))=Par_LabelTravelTime,B495="čas na ceste - fakturácia"),1,0)</f>
        <v>0</v>
      </c>
    </row>
    <row r="496" spans="2:52" s="24" customFormat="1" ht="12.75" x14ac:dyDescent="0.2">
      <c r="B496" s="97"/>
      <c r="C496" s="92"/>
      <c r="D496" s="31" t="str">
        <f>IF(E496=1,VLOOKUP(TableInvs[[#This Row],[Calc_V_Typ]],Tran_RevenuesList,3,FALSE),"")</f>
        <v/>
      </c>
      <c r="E496" s="31">
        <f t="shared" si="47"/>
        <v>0</v>
      </c>
      <c r="F496" s="94"/>
      <c r="G496" s="84"/>
      <c r="H496" s="84"/>
      <c r="I496" s="84"/>
      <c r="J496" s="84"/>
      <c r="K496" s="84"/>
      <c r="L496" s="84"/>
      <c r="M496" s="84"/>
      <c r="N496" s="84"/>
      <c r="O496" s="84"/>
      <c r="P496" s="84"/>
      <c r="Q496" s="84"/>
      <c r="R496" s="84"/>
      <c r="S496" s="84"/>
      <c r="T496" s="84"/>
      <c r="U496" s="84"/>
      <c r="V496" s="84"/>
      <c r="W496" s="84"/>
      <c r="X496" s="84"/>
      <c r="Y496" s="84"/>
      <c r="Z496" s="84"/>
      <c r="AA496" s="84"/>
      <c r="AB496" s="84"/>
      <c r="AC496" s="85"/>
      <c r="AD496" s="85"/>
      <c r="AE496" s="84"/>
      <c r="AF496" s="84"/>
      <c r="AG496" s="84"/>
      <c r="AH496" s="84"/>
      <c r="AI496" s="84"/>
      <c r="AJ496" s="84"/>
      <c r="AK496" s="84"/>
      <c r="AL496" s="84"/>
      <c r="AM496" s="84"/>
      <c r="AN496" s="84"/>
      <c r="AO496" s="84"/>
      <c r="AP496" s="84"/>
      <c r="AQ496" s="84"/>
      <c r="AR496" s="84"/>
      <c r="AS496" s="87">
        <f t="array" ref="AS496">IF(E496=1,SUM((ROW(Mf0)=ROW(AS496))*(Mf0+Mf1_+Mf2_+Mf3_+Mf4_+Mf5_+Mf6_+Mf7_+Mf8_+Mf9_+Mf10_+Mf11_+Mf12_+Mf13_+Mf14_+Mf15_+Mf16_+Mf17_+Mf18_+Mf19_+Mf20_+Mf21_+Mf22_+Mf23_+Mf24_+Mf25_+Mf26_+Mf27_+Mf28_+Mf29_+Mf30_+Mf31_+Mf32_+Mf33_+Mf34_+Mf35_+Mf36_+Mf37_)),0)</f>
        <v>0</v>
      </c>
      <c r="AU496" s="24" t="str">
        <f t="shared" si="48"/>
        <v/>
      </c>
      <c r="AV496" s="24" t="str">
        <f t="shared" si="49"/>
        <v/>
      </c>
      <c r="AW496" s="24" t="str">
        <f t="shared" si="50"/>
        <v/>
      </c>
      <c r="AX496" s="72">
        <f t="shared" si="51"/>
        <v>0</v>
      </c>
      <c r="AY496" s="24">
        <f t="shared" si="52"/>
        <v>0</v>
      </c>
      <c r="AZ496" s="24">
        <f t="array" ref="AZ496">IF(OR(RIGHT(B496,LEN(Par_LabelTravelTime))=Par_LabelTravelTime,B496="čas na ceste - fakturácia"),1,0)</f>
        <v>0</v>
      </c>
    </row>
    <row r="497" spans="2:52" s="24" customFormat="1" ht="12.75" x14ac:dyDescent="0.2">
      <c r="B497" s="97"/>
      <c r="C497" s="92"/>
      <c r="D497" s="31" t="str">
        <f>IF(E497=1,VLOOKUP(TableInvs[[#This Row],[Calc_V_Typ]],Tran_RevenuesList,3,FALSE),"")</f>
        <v/>
      </c>
      <c r="E497" s="31">
        <f t="shared" si="47"/>
        <v>0</v>
      </c>
      <c r="F497" s="94"/>
      <c r="G497" s="84"/>
      <c r="H497" s="84"/>
      <c r="I497" s="84"/>
      <c r="J497" s="84"/>
      <c r="K497" s="84"/>
      <c r="L497" s="84"/>
      <c r="M497" s="84"/>
      <c r="N497" s="84"/>
      <c r="O497" s="84"/>
      <c r="P497" s="84"/>
      <c r="Q497" s="84"/>
      <c r="R497" s="84"/>
      <c r="S497" s="84"/>
      <c r="T497" s="84"/>
      <c r="U497" s="84"/>
      <c r="V497" s="84"/>
      <c r="W497" s="84"/>
      <c r="X497" s="84"/>
      <c r="Y497" s="84"/>
      <c r="Z497" s="84"/>
      <c r="AA497" s="84"/>
      <c r="AB497" s="84"/>
      <c r="AC497" s="85"/>
      <c r="AD497" s="85"/>
      <c r="AE497" s="84"/>
      <c r="AF497" s="84"/>
      <c r="AG497" s="84"/>
      <c r="AH497" s="84"/>
      <c r="AI497" s="84"/>
      <c r="AJ497" s="84"/>
      <c r="AK497" s="84"/>
      <c r="AL497" s="84"/>
      <c r="AM497" s="84"/>
      <c r="AN497" s="84"/>
      <c r="AO497" s="84"/>
      <c r="AP497" s="84"/>
      <c r="AQ497" s="84"/>
      <c r="AR497" s="84"/>
      <c r="AS497" s="87">
        <f t="array" ref="AS497">IF(E497=1,SUM((ROW(Mf0)=ROW(AS497))*(Mf0+Mf1_+Mf2_+Mf3_+Mf4_+Mf5_+Mf6_+Mf7_+Mf8_+Mf9_+Mf10_+Mf11_+Mf12_+Mf13_+Mf14_+Mf15_+Mf16_+Mf17_+Mf18_+Mf19_+Mf20_+Mf21_+Mf22_+Mf23_+Mf24_+Mf25_+Mf26_+Mf27_+Mf28_+Mf29_+Mf30_+Mf31_+Mf32_+Mf33_+Mf34_+Mf35_+Mf36_+Mf37_)),0)</f>
        <v>0</v>
      </c>
      <c r="AU497" s="24" t="str">
        <f t="shared" si="48"/>
        <v/>
      </c>
      <c r="AV497" s="24" t="str">
        <f t="shared" si="49"/>
        <v/>
      </c>
      <c r="AW497" s="24" t="str">
        <f t="shared" si="50"/>
        <v/>
      </c>
      <c r="AX497" s="72">
        <f t="shared" si="51"/>
        <v>0</v>
      </c>
      <c r="AY497" s="24">
        <f t="shared" si="52"/>
        <v>0</v>
      </c>
      <c r="AZ497" s="24">
        <f t="array" ref="AZ497">IF(OR(RIGHT(B497,LEN(Par_LabelTravelTime))=Par_LabelTravelTime,B497="čas na ceste - fakturácia"),1,0)</f>
        <v>0</v>
      </c>
    </row>
    <row r="498" spans="2:52" s="24" customFormat="1" ht="12.75" x14ac:dyDescent="0.2">
      <c r="B498" s="97"/>
      <c r="C498" s="92"/>
      <c r="D498" s="31" t="str">
        <f>IF(E498=1,VLOOKUP(TableInvs[[#This Row],[Calc_V_Typ]],Tran_RevenuesList,3,FALSE),"")</f>
        <v/>
      </c>
      <c r="E498" s="31">
        <f t="shared" si="47"/>
        <v>0</v>
      </c>
      <c r="F498" s="94"/>
      <c r="G498" s="84"/>
      <c r="H498" s="84"/>
      <c r="I498" s="84"/>
      <c r="J498" s="84"/>
      <c r="K498" s="84"/>
      <c r="L498" s="84"/>
      <c r="M498" s="84"/>
      <c r="N498" s="84"/>
      <c r="O498" s="84"/>
      <c r="P498" s="84"/>
      <c r="Q498" s="84"/>
      <c r="R498" s="84"/>
      <c r="S498" s="84"/>
      <c r="T498" s="84"/>
      <c r="U498" s="84"/>
      <c r="V498" s="84"/>
      <c r="W498" s="84"/>
      <c r="X498" s="84"/>
      <c r="Y498" s="84"/>
      <c r="Z498" s="84"/>
      <c r="AA498" s="84"/>
      <c r="AB498" s="84"/>
      <c r="AC498" s="85"/>
      <c r="AD498" s="85"/>
      <c r="AE498" s="84"/>
      <c r="AF498" s="84"/>
      <c r="AG498" s="84"/>
      <c r="AH498" s="84"/>
      <c r="AI498" s="84"/>
      <c r="AJ498" s="84"/>
      <c r="AK498" s="84"/>
      <c r="AL498" s="84"/>
      <c r="AM498" s="84"/>
      <c r="AN498" s="84"/>
      <c r="AO498" s="84"/>
      <c r="AP498" s="84"/>
      <c r="AQ498" s="84"/>
      <c r="AR498" s="84"/>
      <c r="AS498" s="87">
        <f t="array" ref="AS498">IF(E498=1,SUM((ROW(Mf0)=ROW(AS498))*(Mf0+Mf1_+Mf2_+Mf3_+Mf4_+Mf5_+Mf6_+Mf7_+Mf8_+Mf9_+Mf10_+Mf11_+Mf12_+Mf13_+Mf14_+Mf15_+Mf16_+Mf17_+Mf18_+Mf19_+Mf20_+Mf21_+Mf22_+Mf23_+Mf24_+Mf25_+Mf26_+Mf27_+Mf28_+Mf29_+Mf30_+Mf31_+Mf32_+Mf33_+Mf34_+Mf35_+Mf36_+Mf37_)),0)</f>
        <v>0</v>
      </c>
      <c r="AU498" s="24" t="str">
        <f t="shared" si="48"/>
        <v/>
      </c>
      <c r="AV498" s="24" t="str">
        <f t="shared" si="49"/>
        <v/>
      </c>
      <c r="AW498" s="24" t="str">
        <f t="shared" si="50"/>
        <v/>
      </c>
      <c r="AX498" s="72">
        <f t="shared" si="51"/>
        <v>0</v>
      </c>
      <c r="AY498" s="24">
        <f t="shared" si="52"/>
        <v>0</v>
      </c>
      <c r="AZ498" s="24">
        <f t="array" ref="AZ498">IF(OR(RIGHT(B498,LEN(Par_LabelTravelTime))=Par_LabelTravelTime,B498="čas na ceste - fakturácia"),1,0)</f>
        <v>0</v>
      </c>
    </row>
    <row r="499" spans="2:52" s="24" customFormat="1" ht="12.75" x14ac:dyDescent="0.2">
      <c r="B499" s="97"/>
      <c r="C499" s="92"/>
      <c r="D499" s="31" t="str">
        <f>IF(E499=1,VLOOKUP(TableInvs[[#This Row],[Calc_V_Typ]],Tran_RevenuesList,3,FALSE),"")</f>
        <v/>
      </c>
      <c r="E499" s="31">
        <f t="shared" si="47"/>
        <v>0</v>
      </c>
      <c r="F499" s="94"/>
      <c r="G499" s="84"/>
      <c r="H499" s="84"/>
      <c r="I499" s="84"/>
      <c r="J499" s="84"/>
      <c r="K499" s="84"/>
      <c r="L499" s="84"/>
      <c r="M499" s="84"/>
      <c r="N499" s="84"/>
      <c r="O499" s="84"/>
      <c r="P499" s="84"/>
      <c r="Q499" s="84"/>
      <c r="R499" s="84"/>
      <c r="S499" s="84"/>
      <c r="T499" s="84"/>
      <c r="U499" s="84"/>
      <c r="V499" s="84"/>
      <c r="W499" s="84"/>
      <c r="X499" s="84"/>
      <c r="Y499" s="84"/>
      <c r="Z499" s="84"/>
      <c r="AA499" s="84"/>
      <c r="AB499" s="84"/>
      <c r="AC499" s="85"/>
      <c r="AD499" s="85"/>
      <c r="AE499" s="84"/>
      <c r="AF499" s="84"/>
      <c r="AG499" s="84"/>
      <c r="AH499" s="84"/>
      <c r="AI499" s="84"/>
      <c r="AJ499" s="84"/>
      <c r="AK499" s="84"/>
      <c r="AL499" s="84"/>
      <c r="AM499" s="84"/>
      <c r="AN499" s="84"/>
      <c r="AO499" s="84"/>
      <c r="AP499" s="84"/>
      <c r="AQ499" s="84"/>
      <c r="AR499" s="84"/>
      <c r="AS499" s="87">
        <f t="array" ref="AS499">IF(E499=1,SUM((ROW(Mf0)=ROW(AS499))*(Mf0+Mf1_+Mf2_+Mf3_+Mf4_+Mf5_+Mf6_+Mf7_+Mf8_+Mf9_+Mf10_+Mf11_+Mf12_+Mf13_+Mf14_+Mf15_+Mf16_+Mf17_+Mf18_+Mf19_+Mf20_+Mf21_+Mf22_+Mf23_+Mf24_+Mf25_+Mf26_+Mf27_+Mf28_+Mf29_+Mf30_+Mf31_+Mf32_+Mf33_+Mf34_+Mf35_+Mf36_+Mf37_)),0)</f>
        <v>0</v>
      </c>
      <c r="AU499" s="24" t="str">
        <f t="shared" si="48"/>
        <v/>
      </c>
      <c r="AV499" s="24" t="str">
        <f t="shared" si="49"/>
        <v/>
      </c>
      <c r="AW499" s="24" t="str">
        <f t="shared" si="50"/>
        <v/>
      </c>
      <c r="AX499" s="72">
        <f t="shared" si="51"/>
        <v>0</v>
      </c>
      <c r="AY499" s="24">
        <f t="shared" si="52"/>
        <v>0</v>
      </c>
      <c r="AZ499" s="24">
        <f t="array" ref="AZ499">IF(OR(RIGHT(B499,LEN(Par_LabelTravelTime))=Par_LabelTravelTime,B499="čas na ceste - fakturácia"),1,0)</f>
        <v>0</v>
      </c>
    </row>
    <row r="500" spans="2:52" s="24" customFormat="1" ht="12.75" x14ac:dyDescent="0.2">
      <c r="B500" s="97"/>
      <c r="C500" s="92"/>
      <c r="D500" s="31" t="str">
        <f>IF(E500=1,VLOOKUP(TableInvs[[#This Row],[Calc_V_Typ]],Tran_RevenuesList,3,FALSE),"")</f>
        <v/>
      </c>
      <c r="E500" s="31">
        <f t="shared" si="47"/>
        <v>0</v>
      </c>
      <c r="F500" s="94"/>
      <c r="G500" s="84"/>
      <c r="H500" s="84"/>
      <c r="I500" s="84"/>
      <c r="J500" s="84"/>
      <c r="K500" s="84"/>
      <c r="L500" s="84"/>
      <c r="M500" s="84"/>
      <c r="N500" s="84"/>
      <c r="O500" s="84"/>
      <c r="P500" s="84"/>
      <c r="Q500" s="84"/>
      <c r="R500" s="84"/>
      <c r="S500" s="84"/>
      <c r="T500" s="84"/>
      <c r="U500" s="84"/>
      <c r="V500" s="84"/>
      <c r="W500" s="84"/>
      <c r="X500" s="84"/>
      <c r="Y500" s="84"/>
      <c r="Z500" s="84"/>
      <c r="AA500" s="84"/>
      <c r="AB500" s="84"/>
      <c r="AC500" s="85"/>
      <c r="AD500" s="85"/>
      <c r="AE500" s="84"/>
      <c r="AF500" s="84"/>
      <c r="AG500" s="84"/>
      <c r="AH500" s="84"/>
      <c r="AI500" s="84"/>
      <c r="AJ500" s="84"/>
      <c r="AK500" s="84"/>
      <c r="AL500" s="84"/>
      <c r="AM500" s="84"/>
      <c r="AN500" s="84"/>
      <c r="AO500" s="84"/>
      <c r="AP500" s="84"/>
      <c r="AQ500" s="84"/>
      <c r="AR500" s="84"/>
      <c r="AS500" s="87">
        <f t="array" ref="AS500">IF(E500=1,SUM((ROW(Mf0)=ROW(AS500))*(Mf0+Mf1_+Mf2_+Mf3_+Mf4_+Mf5_+Mf6_+Mf7_+Mf8_+Mf9_+Mf10_+Mf11_+Mf12_+Mf13_+Mf14_+Mf15_+Mf16_+Mf17_+Mf18_+Mf19_+Mf20_+Mf21_+Mf22_+Mf23_+Mf24_+Mf25_+Mf26_+Mf27_+Mf28_+Mf29_+Mf30_+Mf31_+Mf32_+Mf33_+Mf34_+Mf35_+Mf36_+Mf37_)),0)</f>
        <v>0</v>
      </c>
      <c r="AU500" s="24" t="str">
        <f t="shared" si="48"/>
        <v/>
      </c>
      <c r="AV500" s="24" t="str">
        <f t="shared" si="49"/>
        <v/>
      </c>
      <c r="AW500" s="24" t="str">
        <f t="shared" si="50"/>
        <v/>
      </c>
      <c r="AX500" s="72">
        <f t="shared" si="51"/>
        <v>0</v>
      </c>
      <c r="AY500" s="24">
        <f t="shared" si="52"/>
        <v>0</v>
      </c>
      <c r="AZ500" s="24">
        <f t="array" ref="AZ500">IF(OR(RIGHT(B500,LEN(Par_LabelTravelTime))=Par_LabelTravelTime,B500="čas na ceste - fakturácia"),1,0)</f>
        <v>0</v>
      </c>
    </row>
    <row r="501" spans="2:52" s="24" customFormat="1" ht="12.75" x14ac:dyDescent="0.2">
      <c r="B501" s="97"/>
      <c r="C501" s="92"/>
      <c r="D501" s="31" t="str">
        <f>IF(E501=1,VLOOKUP(TableInvs[[#This Row],[Calc_V_Typ]],Tran_RevenuesList,3,FALSE),"")</f>
        <v/>
      </c>
      <c r="E501" s="31">
        <f t="shared" si="47"/>
        <v>0</v>
      </c>
      <c r="F501" s="94"/>
      <c r="G501" s="84"/>
      <c r="H501" s="84"/>
      <c r="I501" s="84"/>
      <c r="J501" s="84"/>
      <c r="K501" s="84"/>
      <c r="L501" s="84"/>
      <c r="M501" s="84"/>
      <c r="N501" s="84"/>
      <c r="O501" s="84"/>
      <c r="P501" s="84"/>
      <c r="Q501" s="84"/>
      <c r="R501" s="84"/>
      <c r="S501" s="84"/>
      <c r="T501" s="84"/>
      <c r="U501" s="84"/>
      <c r="V501" s="84"/>
      <c r="W501" s="84"/>
      <c r="X501" s="84"/>
      <c r="Y501" s="84"/>
      <c r="Z501" s="84"/>
      <c r="AA501" s="84"/>
      <c r="AB501" s="84"/>
      <c r="AC501" s="85"/>
      <c r="AD501" s="85"/>
      <c r="AE501" s="84"/>
      <c r="AF501" s="84"/>
      <c r="AG501" s="84"/>
      <c r="AH501" s="84"/>
      <c r="AI501" s="84"/>
      <c r="AJ501" s="84"/>
      <c r="AK501" s="84"/>
      <c r="AL501" s="84"/>
      <c r="AM501" s="84"/>
      <c r="AN501" s="84"/>
      <c r="AO501" s="84"/>
      <c r="AP501" s="84"/>
      <c r="AQ501" s="84"/>
      <c r="AR501" s="84"/>
      <c r="AS501" s="87">
        <f t="array" ref="AS501">IF(E501=1,SUM((ROW(Mf0)=ROW(AS501))*(Mf0+Mf1_+Mf2_+Mf3_+Mf4_+Mf5_+Mf6_+Mf7_+Mf8_+Mf9_+Mf10_+Mf11_+Mf12_+Mf13_+Mf14_+Mf15_+Mf16_+Mf17_+Mf18_+Mf19_+Mf20_+Mf21_+Mf22_+Mf23_+Mf24_+Mf25_+Mf26_+Mf27_+Mf28_+Mf29_+Mf30_+Mf31_+Mf32_+Mf33_+Mf34_+Mf35_+Mf36_+Mf37_)),0)</f>
        <v>0</v>
      </c>
      <c r="AU501" s="24" t="str">
        <f t="shared" si="48"/>
        <v/>
      </c>
      <c r="AV501" s="24" t="str">
        <f t="shared" si="49"/>
        <v/>
      </c>
      <c r="AW501" s="24" t="str">
        <f t="shared" si="50"/>
        <v/>
      </c>
      <c r="AX501" s="72">
        <f t="shared" si="51"/>
        <v>0</v>
      </c>
      <c r="AY501" s="24">
        <f t="shared" si="52"/>
        <v>0</v>
      </c>
      <c r="AZ501" s="24">
        <f t="array" ref="AZ501">IF(OR(RIGHT(B501,LEN(Par_LabelTravelTime))=Par_LabelTravelTime,B501="čas na ceste - fakturácia"),1,0)</f>
        <v>0</v>
      </c>
    </row>
    <row r="502" spans="2:52" s="24" customFormat="1" ht="12.75" x14ac:dyDescent="0.2">
      <c r="B502" s="97"/>
      <c r="C502" s="92"/>
      <c r="D502" s="31" t="str">
        <f>IF(E502=1,VLOOKUP(TableInvs[[#This Row],[Calc_V_Typ]],Tran_RevenuesList,3,FALSE),"")</f>
        <v/>
      </c>
      <c r="E502" s="31">
        <f t="shared" si="47"/>
        <v>0</v>
      </c>
      <c r="F502" s="94"/>
      <c r="G502" s="84"/>
      <c r="H502" s="84"/>
      <c r="I502" s="84"/>
      <c r="J502" s="84"/>
      <c r="K502" s="84"/>
      <c r="L502" s="84"/>
      <c r="M502" s="84"/>
      <c r="N502" s="84"/>
      <c r="O502" s="84"/>
      <c r="P502" s="84"/>
      <c r="Q502" s="84"/>
      <c r="R502" s="84"/>
      <c r="S502" s="84"/>
      <c r="T502" s="84"/>
      <c r="U502" s="84"/>
      <c r="V502" s="84"/>
      <c r="W502" s="84"/>
      <c r="X502" s="84"/>
      <c r="Y502" s="84"/>
      <c r="Z502" s="84"/>
      <c r="AA502" s="84"/>
      <c r="AB502" s="84"/>
      <c r="AC502" s="85"/>
      <c r="AD502" s="85"/>
      <c r="AE502" s="84"/>
      <c r="AF502" s="84"/>
      <c r="AG502" s="84"/>
      <c r="AH502" s="84"/>
      <c r="AI502" s="84"/>
      <c r="AJ502" s="84"/>
      <c r="AK502" s="84"/>
      <c r="AL502" s="84"/>
      <c r="AM502" s="84"/>
      <c r="AN502" s="84"/>
      <c r="AO502" s="84"/>
      <c r="AP502" s="84"/>
      <c r="AQ502" s="84"/>
      <c r="AR502" s="84"/>
      <c r="AS502" s="87">
        <f t="array" ref="AS502">IF(E502=1,SUM((ROW(Mf0)=ROW(AS502))*(Mf0+Mf1_+Mf2_+Mf3_+Mf4_+Mf5_+Mf6_+Mf7_+Mf8_+Mf9_+Mf10_+Mf11_+Mf12_+Mf13_+Mf14_+Mf15_+Mf16_+Mf17_+Mf18_+Mf19_+Mf20_+Mf21_+Mf22_+Mf23_+Mf24_+Mf25_+Mf26_+Mf27_+Mf28_+Mf29_+Mf30_+Mf31_+Mf32_+Mf33_+Mf34_+Mf35_+Mf36_+Mf37_)),0)</f>
        <v>0</v>
      </c>
      <c r="AU502" s="24" t="str">
        <f t="shared" si="48"/>
        <v/>
      </c>
      <c r="AV502" s="24" t="str">
        <f t="shared" si="49"/>
        <v/>
      </c>
      <c r="AW502" s="24" t="str">
        <f t="shared" si="50"/>
        <v/>
      </c>
      <c r="AX502" s="72">
        <f t="shared" si="51"/>
        <v>0</v>
      </c>
      <c r="AY502" s="24">
        <f t="shared" si="52"/>
        <v>0</v>
      </c>
      <c r="AZ502" s="24">
        <f t="array" ref="AZ502">IF(OR(RIGHT(B502,LEN(Par_LabelTravelTime))=Par_LabelTravelTime,B502="čas na ceste - fakturácia"),1,0)</f>
        <v>0</v>
      </c>
    </row>
    <row r="503" spans="2:52" s="24" customFormat="1" ht="12.75" x14ac:dyDescent="0.2">
      <c r="B503" s="97"/>
      <c r="C503" s="92"/>
      <c r="D503" s="31" t="str">
        <f>IF(E503=1,VLOOKUP(TableInvs[[#This Row],[Calc_V_Typ]],Tran_RevenuesList,3,FALSE),"")</f>
        <v/>
      </c>
      <c r="E503" s="31">
        <f t="shared" si="47"/>
        <v>0</v>
      </c>
      <c r="F503" s="94"/>
      <c r="G503" s="84"/>
      <c r="H503" s="84"/>
      <c r="I503" s="84"/>
      <c r="J503" s="84"/>
      <c r="K503" s="84"/>
      <c r="L503" s="84"/>
      <c r="M503" s="84"/>
      <c r="N503" s="84"/>
      <c r="O503" s="84"/>
      <c r="P503" s="84"/>
      <c r="Q503" s="84"/>
      <c r="R503" s="84"/>
      <c r="S503" s="84"/>
      <c r="T503" s="84"/>
      <c r="U503" s="84"/>
      <c r="V503" s="84"/>
      <c r="W503" s="84"/>
      <c r="X503" s="84"/>
      <c r="Y503" s="84"/>
      <c r="Z503" s="84"/>
      <c r="AA503" s="84"/>
      <c r="AB503" s="84"/>
      <c r="AC503" s="85"/>
      <c r="AD503" s="85"/>
      <c r="AE503" s="84"/>
      <c r="AF503" s="84"/>
      <c r="AG503" s="84"/>
      <c r="AH503" s="84"/>
      <c r="AI503" s="84"/>
      <c r="AJ503" s="84"/>
      <c r="AK503" s="84"/>
      <c r="AL503" s="84"/>
      <c r="AM503" s="84"/>
      <c r="AN503" s="84"/>
      <c r="AO503" s="84"/>
      <c r="AP503" s="84"/>
      <c r="AQ503" s="84"/>
      <c r="AR503" s="84"/>
      <c r="AS503" s="87">
        <f t="array" ref="AS503">IF(E503=1,SUM((ROW(Mf0)=ROW(AS503))*(Mf0+Mf1_+Mf2_+Mf3_+Mf4_+Mf5_+Mf6_+Mf7_+Mf8_+Mf9_+Mf10_+Mf11_+Mf12_+Mf13_+Mf14_+Mf15_+Mf16_+Mf17_+Mf18_+Mf19_+Mf20_+Mf21_+Mf22_+Mf23_+Mf24_+Mf25_+Mf26_+Mf27_+Mf28_+Mf29_+Mf30_+Mf31_+Mf32_+Mf33_+Mf34_+Mf35_+Mf36_+Mf37_)),0)</f>
        <v>0</v>
      </c>
      <c r="AU503" s="24" t="str">
        <f t="shared" si="48"/>
        <v/>
      </c>
      <c r="AV503" s="24" t="str">
        <f t="shared" si="49"/>
        <v/>
      </c>
      <c r="AW503" s="24" t="str">
        <f t="shared" si="50"/>
        <v/>
      </c>
      <c r="AX503" s="72">
        <f t="shared" si="51"/>
        <v>0</v>
      </c>
      <c r="AY503" s="24">
        <f t="shared" si="52"/>
        <v>0</v>
      </c>
      <c r="AZ503" s="24">
        <f t="array" ref="AZ503">IF(OR(RIGHT(B503,LEN(Par_LabelTravelTime))=Par_LabelTravelTime,B503="čas na ceste - fakturácia"),1,0)</f>
        <v>0</v>
      </c>
    </row>
    <row r="504" spans="2:52" s="24" customFormat="1" ht="12.75" x14ac:dyDescent="0.2">
      <c r="B504" s="97"/>
      <c r="C504" s="92"/>
      <c r="D504" s="31" t="str">
        <f>IF(E504=1,VLOOKUP(TableInvs[[#This Row],[Calc_V_Typ]],Tran_RevenuesList,3,FALSE),"")</f>
        <v/>
      </c>
      <c r="E504" s="31">
        <f t="shared" si="47"/>
        <v>0</v>
      </c>
      <c r="F504" s="94"/>
      <c r="G504" s="84"/>
      <c r="H504" s="84"/>
      <c r="I504" s="84"/>
      <c r="J504" s="84"/>
      <c r="K504" s="84"/>
      <c r="L504" s="84"/>
      <c r="M504" s="84"/>
      <c r="N504" s="84"/>
      <c r="O504" s="84"/>
      <c r="P504" s="84"/>
      <c r="Q504" s="84"/>
      <c r="R504" s="84"/>
      <c r="S504" s="84"/>
      <c r="T504" s="84"/>
      <c r="U504" s="84"/>
      <c r="V504" s="84"/>
      <c r="W504" s="84"/>
      <c r="X504" s="84"/>
      <c r="Y504" s="84"/>
      <c r="Z504" s="84"/>
      <c r="AA504" s="84"/>
      <c r="AB504" s="84"/>
      <c r="AC504" s="85"/>
      <c r="AD504" s="85"/>
      <c r="AE504" s="84"/>
      <c r="AF504" s="84"/>
      <c r="AG504" s="84"/>
      <c r="AH504" s="84"/>
      <c r="AI504" s="84"/>
      <c r="AJ504" s="84"/>
      <c r="AK504" s="84"/>
      <c r="AL504" s="84"/>
      <c r="AM504" s="84"/>
      <c r="AN504" s="84"/>
      <c r="AO504" s="84"/>
      <c r="AP504" s="84"/>
      <c r="AQ504" s="84"/>
      <c r="AR504" s="84"/>
      <c r="AS504" s="87">
        <f t="array" ref="AS504">IF(E504=1,SUM((ROW(Mf0)=ROW(AS504))*(Mf0+Mf1_+Mf2_+Mf3_+Mf4_+Mf5_+Mf6_+Mf7_+Mf8_+Mf9_+Mf10_+Mf11_+Mf12_+Mf13_+Mf14_+Mf15_+Mf16_+Mf17_+Mf18_+Mf19_+Mf20_+Mf21_+Mf22_+Mf23_+Mf24_+Mf25_+Mf26_+Mf27_+Mf28_+Mf29_+Mf30_+Mf31_+Mf32_+Mf33_+Mf34_+Mf35_+Mf36_+Mf37_)),0)</f>
        <v>0</v>
      </c>
      <c r="AU504" s="24" t="str">
        <f t="shared" si="48"/>
        <v/>
      </c>
      <c r="AV504" s="24" t="str">
        <f t="shared" si="49"/>
        <v/>
      </c>
      <c r="AW504" s="24" t="str">
        <f t="shared" si="50"/>
        <v/>
      </c>
      <c r="AX504" s="72">
        <f t="shared" si="51"/>
        <v>0</v>
      </c>
      <c r="AY504" s="24">
        <f t="shared" si="52"/>
        <v>0</v>
      </c>
      <c r="AZ504" s="24">
        <f t="array" ref="AZ504">IF(OR(RIGHT(B504,LEN(Par_LabelTravelTime))=Par_LabelTravelTime,B504="čas na ceste - fakturácia"),1,0)</f>
        <v>0</v>
      </c>
    </row>
    <row r="505" spans="2:52" s="24" customFormat="1" ht="12.75" x14ac:dyDescent="0.2">
      <c r="B505" s="97"/>
      <c r="C505" s="92"/>
      <c r="D505" s="31" t="str">
        <f>IF(E505=1,VLOOKUP(TableInvs[[#This Row],[Calc_V_Typ]],Tran_RevenuesList,3,FALSE),"")</f>
        <v/>
      </c>
      <c r="E505" s="31">
        <f t="shared" si="47"/>
        <v>0</v>
      </c>
      <c r="F505" s="94"/>
      <c r="G505" s="84"/>
      <c r="H505" s="84"/>
      <c r="I505" s="84"/>
      <c r="J505" s="84"/>
      <c r="K505" s="84"/>
      <c r="L505" s="84"/>
      <c r="M505" s="84"/>
      <c r="N505" s="84"/>
      <c r="O505" s="84"/>
      <c r="P505" s="84"/>
      <c r="Q505" s="84"/>
      <c r="R505" s="84"/>
      <c r="S505" s="84"/>
      <c r="T505" s="84"/>
      <c r="U505" s="84"/>
      <c r="V505" s="84"/>
      <c r="W505" s="84"/>
      <c r="X505" s="84"/>
      <c r="Y505" s="84"/>
      <c r="Z505" s="84"/>
      <c r="AA505" s="84"/>
      <c r="AB505" s="84"/>
      <c r="AC505" s="85"/>
      <c r="AD505" s="85"/>
      <c r="AE505" s="84"/>
      <c r="AF505" s="84"/>
      <c r="AG505" s="84"/>
      <c r="AH505" s="84"/>
      <c r="AI505" s="84"/>
      <c r="AJ505" s="84"/>
      <c r="AK505" s="84"/>
      <c r="AL505" s="84"/>
      <c r="AM505" s="84"/>
      <c r="AN505" s="84"/>
      <c r="AO505" s="84"/>
      <c r="AP505" s="84"/>
      <c r="AQ505" s="84"/>
      <c r="AR505" s="84"/>
      <c r="AS505" s="87">
        <f t="array" ref="AS505">IF(E505=1,SUM((ROW(Mf0)=ROW(AS505))*(Mf0+Mf1_+Mf2_+Mf3_+Mf4_+Mf5_+Mf6_+Mf7_+Mf8_+Mf9_+Mf10_+Mf11_+Mf12_+Mf13_+Mf14_+Mf15_+Mf16_+Mf17_+Mf18_+Mf19_+Mf20_+Mf21_+Mf22_+Mf23_+Mf24_+Mf25_+Mf26_+Mf27_+Mf28_+Mf29_+Mf30_+Mf31_+Mf32_+Mf33_+Mf34_+Mf35_+Mf36_+Mf37_)),0)</f>
        <v>0</v>
      </c>
      <c r="AU505" s="24" t="str">
        <f t="shared" si="48"/>
        <v/>
      </c>
      <c r="AV505" s="24" t="str">
        <f t="shared" si="49"/>
        <v/>
      </c>
      <c r="AW505" s="24" t="str">
        <f t="shared" si="50"/>
        <v/>
      </c>
      <c r="AX505" s="72">
        <f t="shared" si="51"/>
        <v>0</v>
      </c>
      <c r="AY505" s="24">
        <f t="shared" si="52"/>
        <v>0</v>
      </c>
      <c r="AZ505" s="24">
        <f t="array" ref="AZ505">IF(OR(RIGHT(B505,LEN(Par_LabelTravelTime))=Par_LabelTravelTime,B505="čas na ceste - fakturácia"),1,0)</f>
        <v>0</v>
      </c>
    </row>
    <row r="506" spans="2:52" s="24" customFormat="1" ht="12.75" x14ac:dyDescent="0.2">
      <c r="B506" s="97"/>
      <c r="C506" s="92"/>
      <c r="D506" s="31" t="str">
        <f>IF(E506=1,VLOOKUP(TableInvs[[#This Row],[Calc_V_Typ]],Tran_RevenuesList,3,FALSE),"")</f>
        <v/>
      </c>
      <c r="E506" s="31">
        <f t="shared" si="47"/>
        <v>0</v>
      </c>
      <c r="F506" s="94"/>
      <c r="G506" s="84"/>
      <c r="H506" s="84"/>
      <c r="I506" s="84"/>
      <c r="J506" s="84"/>
      <c r="K506" s="84"/>
      <c r="L506" s="84"/>
      <c r="M506" s="84"/>
      <c r="N506" s="84"/>
      <c r="O506" s="84"/>
      <c r="P506" s="84"/>
      <c r="Q506" s="84"/>
      <c r="R506" s="84"/>
      <c r="S506" s="84"/>
      <c r="T506" s="84"/>
      <c r="U506" s="84"/>
      <c r="V506" s="84"/>
      <c r="W506" s="84"/>
      <c r="X506" s="84"/>
      <c r="Y506" s="84"/>
      <c r="Z506" s="84"/>
      <c r="AA506" s="84"/>
      <c r="AB506" s="84"/>
      <c r="AC506" s="85"/>
      <c r="AD506" s="85"/>
      <c r="AE506" s="84"/>
      <c r="AF506" s="84"/>
      <c r="AG506" s="84"/>
      <c r="AH506" s="84"/>
      <c r="AI506" s="84"/>
      <c r="AJ506" s="84"/>
      <c r="AK506" s="84"/>
      <c r="AL506" s="84"/>
      <c r="AM506" s="84"/>
      <c r="AN506" s="84"/>
      <c r="AO506" s="84"/>
      <c r="AP506" s="84"/>
      <c r="AQ506" s="84"/>
      <c r="AR506" s="84"/>
      <c r="AS506" s="87">
        <f t="array" ref="AS506">IF(E506=1,SUM((ROW(Mf0)=ROW(AS506))*(Mf0+Mf1_+Mf2_+Mf3_+Mf4_+Mf5_+Mf6_+Mf7_+Mf8_+Mf9_+Mf10_+Mf11_+Mf12_+Mf13_+Mf14_+Mf15_+Mf16_+Mf17_+Mf18_+Mf19_+Mf20_+Mf21_+Mf22_+Mf23_+Mf24_+Mf25_+Mf26_+Mf27_+Mf28_+Mf29_+Mf30_+Mf31_+Mf32_+Mf33_+Mf34_+Mf35_+Mf36_+Mf37_)),0)</f>
        <v>0</v>
      </c>
      <c r="AU506" s="24" t="str">
        <f t="shared" si="48"/>
        <v/>
      </c>
      <c r="AV506" s="24" t="str">
        <f t="shared" si="49"/>
        <v/>
      </c>
      <c r="AW506" s="24" t="str">
        <f t="shared" si="50"/>
        <v/>
      </c>
      <c r="AX506" s="72">
        <f t="shared" si="51"/>
        <v>0</v>
      </c>
      <c r="AY506" s="24">
        <f t="shared" si="52"/>
        <v>0</v>
      </c>
      <c r="AZ506" s="24">
        <f t="array" ref="AZ506">IF(OR(RIGHT(B506,LEN(Par_LabelTravelTime))=Par_LabelTravelTime,B506="čas na ceste - fakturácia"),1,0)</f>
        <v>0</v>
      </c>
    </row>
    <row r="507" spans="2:52" s="24" customFormat="1" ht="12.75" x14ac:dyDescent="0.2">
      <c r="B507" s="97"/>
      <c r="C507" s="92"/>
      <c r="D507" s="31" t="str">
        <f>IF(E507=1,VLOOKUP(TableInvs[[#This Row],[Calc_V_Typ]],Tran_RevenuesList,3,FALSE),"")</f>
        <v/>
      </c>
      <c r="E507" s="31">
        <f t="shared" si="47"/>
        <v>0</v>
      </c>
      <c r="F507" s="9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  <c r="R507" s="84"/>
      <c r="S507" s="84"/>
      <c r="T507" s="84"/>
      <c r="U507" s="84"/>
      <c r="V507" s="84"/>
      <c r="W507" s="84"/>
      <c r="X507" s="84"/>
      <c r="Y507" s="84"/>
      <c r="Z507" s="84"/>
      <c r="AA507" s="84"/>
      <c r="AB507" s="84"/>
      <c r="AC507" s="85"/>
      <c r="AD507" s="85"/>
      <c r="AE507" s="84"/>
      <c r="AF507" s="84"/>
      <c r="AG507" s="84"/>
      <c r="AH507" s="84"/>
      <c r="AI507" s="84"/>
      <c r="AJ507" s="84"/>
      <c r="AK507" s="84"/>
      <c r="AL507" s="84"/>
      <c r="AM507" s="84"/>
      <c r="AN507" s="84"/>
      <c r="AO507" s="84"/>
      <c r="AP507" s="84"/>
      <c r="AQ507" s="84"/>
      <c r="AR507" s="84"/>
      <c r="AS507" s="87">
        <f t="array" ref="AS507">IF(E507=1,SUM((ROW(Mf0)=ROW(AS507))*(Mf0+Mf1_+Mf2_+Mf3_+Mf4_+Mf5_+Mf6_+Mf7_+Mf8_+Mf9_+Mf10_+Mf11_+Mf12_+Mf13_+Mf14_+Mf15_+Mf16_+Mf17_+Mf18_+Mf19_+Mf20_+Mf21_+Mf22_+Mf23_+Mf24_+Mf25_+Mf26_+Mf27_+Mf28_+Mf29_+Mf30_+Mf31_+Mf32_+Mf33_+Mf34_+Mf35_+Mf36_+Mf37_)),0)</f>
        <v>0</v>
      </c>
      <c r="AU507" s="24" t="str">
        <f t="shared" si="48"/>
        <v/>
      </c>
      <c r="AV507" s="24" t="str">
        <f t="shared" si="49"/>
        <v/>
      </c>
      <c r="AW507" s="24" t="str">
        <f t="shared" si="50"/>
        <v/>
      </c>
      <c r="AX507" s="72">
        <f t="shared" si="51"/>
        <v>0</v>
      </c>
      <c r="AY507" s="24">
        <f t="shared" si="52"/>
        <v>0</v>
      </c>
      <c r="AZ507" s="24">
        <f t="array" ref="AZ507">IF(OR(RIGHT(B507,LEN(Par_LabelTravelTime))=Par_LabelTravelTime,B507="čas na ceste - fakturácia"),1,0)</f>
        <v>0</v>
      </c>
    </row>
    <row r="508" spans="2:52" s="24" customFormat="1" ht="12.75" x14ac:dyDescent="0.2">
      <c r="B508" s="97"/>
      <c r="C508" s="92"/>
      <c r="D508" s="31" t="str">
        <f>IF(E508=1,VLOOKUP(TableInvs[[#This Row],[Calc_V_Typ]],Tran_RevenuesList,3,FALSE),"")</f>
        <v/>
      </c>
      <c r="E508" s="31">
        <f t="shared" si="47"/>
        <v>0</v>
      </c>
      <c r="F508" s="9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  <c r="R508" s="84"/>
      <c r="S508" s="84"/>
      <c r="T508" s="84"/>
      <c r="U508" s="84"/>
      <c r="V508" s="84"/>
      <c r="W508" s="84"/>
      <c r="X508" s="84"/>
      <c r="Y508" s="84"/>
      <c r="Z508" s="84"/>
      <c r="AA508" s="84"/>
      <c r="AB508" s="84"/>
      <c r="AC508" s="85"/>
      <c r="AD508" s="85"/>
      <c r="AE508" s="84"/>
      <c r="AF508" s="84"/>
      <c r="AG508" s="84"/>
      <c r="AH508" s="84"/>
      <c r="AI508" s="84"/>
      <c r="AJ508" s="84"/>
      <c r="AK508" s="84"/>
      <c r="AL508" s="84"/>
      <c r="AM508" s="84"/>
      <c r="AN508" s="84"/>
      <c r="AO508" s="84"/>
      <c r="AP508" s="84"/>
      <c r="AQ508" s="84"/>
      <c r="AR508" s="84"/>
      <c r="AS508" s="87">
        <f t="array" ref="AS508">IF(E508=1,SUM((ROW(Mf0)=ROW(AS508))*(Mf0+Mf1_+Mf2_+Mf3_+Mf4_+Mf5_+Mf6_+Mf7_+Mf8_+Mf9_+Mf10_+Mf11_+Mf12_+Mf13_+Mf14_+Mf15_+Mf16_+Mf17_+Mf18_+Mf19_+Mf20_+Mf21_+Mf22_+Mf23_+Mf24_+Mf25_+Mf26_+Mf27_+Mf28_+Mf29_+Mf30_+Mf31_+Mf32_+Mf33_+Mf34_+Mf35_+Mf36_+Mf37_)),0)</f>
        <v>0</v>
      </c>
      <c r="AU508" s="24" t="str">
        <f t="shared" si="48"/>
        <v/>
      </c>
      <c r="AV508" s="24" t="str">
        <f t="shared" si="49"/>
        <v/>
      </c>
      <c r="AW508" s="24" t="str">
        <f t="shared" si="50"/>
        <v/>
      </c>
      <c r="AX508" s="72">
        <f t="shared" si="51"/>
        <v>0</v>
      </c>
      <c r="AY508" s="24">
        <f t="shared" si="52"/>
        <v>0</v>
      </c>
      <c r="AZ508" s="24">
        <f t="array" ref="AZ508">IF(OR(RIGHT(B508,LEN(Par_LabelTravelTime))=Par_LabelTravelTime,B508="čas na ceste - fakturácia"),1,0)</f>
        <v>0</v>
      </c>
    </row>
    <row r="509" spans="2:52" s="24" customFormat="1" ht="12.75" x14ac:dyDescent="0.2">
      <c r="B509" s="97"/>
      <c r="C509" s="92"/>
      <c r="D509" s="31" t="str">
        <f>IF(E509=1,VLOOKUP(TableInvs[[#This Row],[Calc_V_Typ]],Tran_RevenuesList,3,FALSE),"")</f>
        <v/>
      </c>
      <c r="E509" s="31">
        <f t="shared" si="47"/>
        <v>0</v>
      </c>
      <c r="F509" s="9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  <c r="S509" s="84"/>
      <c r="T509" s="84"/>
      <c r="U509" s="84"/>
      <c r="V509" s="84"/>
      <c r="W509" s="84"/>
      <c r="X509" s="84"/>
      <c r="Y509" s="84"/>
      <c r="Z509" s="84"/>
      <c r="AA509" s="84"/>
      <c r="AB509" s="84"/>
      <c r="AC509" s="85"/>
      <c r="AD509" s="85"/>
      <c r="AE509" s="84"/>
      <c r="AF509" s="84"/>
      <c r="AG509" s="84"/>
      <c r="AH509" s="84"/>
      <c r="AI509" s="84"/>
      <c r="AJ509" s="84"/>
      <c r="AK509" s="84"/>
      <c r="AL509" s="84"/>
      <c r="AM509" s="84"/>
      <c r="AN509" s="84"/>
      <c r="AO509" s="84"/>
      <c r="AP509" s="84"/>
      <c r="AQ509" s="84"/>
      <c r="AR509" s="84"/>
      <c r="AS509" s="87">
        <f t="array" ref="AS509">IF(E509=1,SUM((ROW(Mf0)=ROW(AS509))*(Mf0+Mf1_+Mf2_+Mf3_+Mf4_+Mf5_+Mf6_+Mf7_+Mf8_+Mf9_+Mf10_+Mf11_+Mf12_+Mf13_+Mf14_+Mf15_+Mf16_+Mf17_+Mf18_+Mf19_+Mf20_+Mf21_+Mf22_+Mf23_+Mf24_+Mf25_+Mf26_+Mf27_+Mf28_+Mf29_+Mf30_+Mf31_+Mf32_+Mf33_+Mf34_+Mf35_+Mf36_+Mf37_)),0)</f>
        <v>0</v>
      </c>
      <c r="AU509" s="24" t="str">
        <f t="shared" si="48"/>
        <v/>
      </c>
      <c r="AV509" s="24" t="str">
        <f t="shared" si="49"/>
        <v/>
      </c>
      <c r="AW509" s="24" t="str">
        <f t="shared" si="50"/>
        <v/>
      </c>
      <c r="AX509" s="72">
        <f t="shared" si="51"/>
        <v>0</v>
      </c>
      <c r="AY509" s="24">
        <f t="shared" si="52"/>
        <v>0</v>
      </c>
      <c r="AZ509" s="24">
        <f t="array" ref="AZ509">IF(OR(RIGHT(B509,LEN(Par_LabelTravelTime))=Par_LabelTravelTime,B509="čas na ceste - fakturácia"),1,0)</f>
        <v>0</v>
      </c>
    </row>
    <row r="510" spans="2:52" s="24" customFormat="1" ht="12.75" x14ac:dyDescent="0.2">
      <c r="B510" s="97"/>
      <c r="C510" s="92"/>
      <c r="D510" s="31" t="str">
        <f>IF(E510=1,VLOOKUP(TableInvs[[#This Row],[Calc_V_Typ]],Tran_RevenuesList,3,FALSE),"")</f>
        <v/>
      </c>
      <c r="E510" s="31">
        <f t="shared" si="47"/>
        <v>0</v>
      </c>
      <c r="F510" s="9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  <c r="S510" s="84"/>
      <c r="T510" s="84"/>
      <c r="U510" s="84"/>
      <c r="V510" s="84"/>
      <c r="W510" s="84"/>
      <c r="X510" s="84"/>
      <c r="Y510" s="84"/>
      <c r="Z510" s="84"/>
      <c r="AA510" s="84"/>
      <c r="AB510" s="84"/>
      <c r="AC510" s="85"/>
      <c r="AD510" s="85"/>
      <c r="AE510" s="84"/>
      <c r="AF510" s="84"/>
      <c r="AG510" s="84"/>
      <c r="AH510" s="84"/>
      <c r="AI510" s="84"/>
      <c r="AJ510" s="84"/>
      <c r="AK510" s="84"/>
      <c r="AL510" s="84"/>
      <c r="AM510" s="84"/>
      <c r="AN510" s="84"/>
      <c r="AO510" s="84"/>
      <c r="AP510" s="84"/>
      <c r="AQ510" s="84"/>
      <c r="AR510" s="84"/>
      <c r="AS510" s="87">
        <f t="array" ref="AS510">IF(E510=1,SUM((ROW(Mf0)=ROW(AS510))*(Mf0+Mf1_+Mf2_+Mf3_+Mf4_+Mf5_+Mf6_+Mf7_+Mf8_+Mf9_+Mf10_+Mf11_+Mf12_+Mf13_+Mf14_+Mf15_+Mf16_+Mf17_+Mf18_+Mf19_+Mf20_+Mf21_+Mf22_+Mf23_+Mf24_+Mf25_+Mf26_+Mf27_+Mf28_+Mf29_+Mf30_+Mf31_+Mf32_+Mf33_+Mf34_+Mf35_+Mf36_+Mf37_)),0)</f>
        <v>0</v>
      </c>
      <c r="AU510" s="24" t="str">
        <f t="shared" si="48"/>
        <v/>
      </c>
      <c r="AV510" s="24" t="str">
        <f t="shared" si="49"/>
        <v/>
      </c>
      <c r="AW510" s="24" t="str">
        <f t="shared" si="50"/>
        <v/>
      </c>
      <c r="AX510" s="72">
        <f t="shared" si="51"/>
        <v>0</v>
      </c>
      <c r="AY510" s="24">
        <f t="shared" si="52"/>
        <v>0</v>
      </c>
      <c r="AZ510" s="24">
        <f t="array" ref="AZ510">IF(OR(RIGHT(B510,LEN(Par_LabelTravelTime))=Par_LabelTravelTime,B510="čas na ceste - fakturácia"),1,0)</f>
        <v>0</v>
      </c>
    </row>
    <row r="511" spans="2:52" s="24" customFormat="1" ht="12.75" x14ac:dyDescent="0.2">
      <c r="B511" s="97"/>
      <c r="C511" s="92"/>
      <c r="D511" s="31" t="str">
        <f>IF(E511=1,VLOOKUP(TableInvs[[#This Row],[Calc_V_Typ]],Tran_RevenuesList,3,FALSE),"")</f>
        <v/>
      </c>
      <c r="E511" s="31">
        <f t="shared" si="47"/>
        <v>0</v>
      </c>
      <c r="F511" s="9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  <c r="S511" s="84"/>
      <c r="T511" s="84"/>
      <c r="U511" s="84"/>
      <c r="V511" s="84"/>
      <c r="W511" s="84"/>
      <c r="X511" s="84"/>
      <c r="Y511" s="84"/>
      <c r="Z511" s="84"/>
      <c r="AA511" s="84"/>
      <c r="AB511" s="84"/>
      <c r="AC511" s="85"/>
      <c r="AD511" s="85"/>
      <c r="AE511" s="84"/>
      <c r="AF511" s="84"/>
      <c r="AG511" s="84"/>
      <c r="AH511" s="84"/>
      <c r="AI511" s="84"/>
      <c r="AJ511" s="84"/>
      <c r="AK511" s="84"/>
      <c r="AL511" s="84"/>
      <c r="AM511" s="84"/>
      <c r="AN511" s="84"/>
      <c r="AO511" s="84"/>
      <c r="AP511" s="84"/>
      <c r="AQ511" s="84"/>
      <c r="AR511" s="84"/>
      <c r="AS511" s="87">
        <f t="array" ref="AS511">IF(E511=1,SUM((ROW(Mf0)=ROW(AS511))*(Mf0+Mf1_+Mf2_+Mf3_+Mf4_+Mf5_+Mf6_+Mf7_+Mf8_+Mf9_+Mf10_+Mf11_+Mf12_+Mf13_+Mf14_+Mf15_+Mf16_+Mf17_+Mf18_+Mf19_+Mf20_+Mf21_+Mf22_+Mf23_+Mf24_+Mf25_+Mf26_+Mf27_+Mf28_+Mf29_+Mf30_+Mf31_+Mf32_+Mf33_+Mf34_+Mf35_+Mf36_+Mf37_)),0)</f>
        <v>0</v>
      </c>
      <c r="AU511" s="24" t="str">
        <f t="shared" si="48"/>
        <v/>
      </c>
      <c r="AV511" s="24" t="str">
        <f t="shared" si="49"/>
        <v/>
      </c>
      <c r="AW511" s="24" t="str">
        <f t="shared" si="50"/>
        <v/>
      </c>
      <c r="AX511" s="72">
        <f t="shared" si="51"/>
        <v>0</v>
      </c>
      <c r="AY511" s="24">
        <f t="shared" si="52"/>
        <v>0</v>
      </c>
      <c r="AZ511" s="24">
        <f t="array" ref="AZ511">IF(OR(RIGHT(B511,LEN(Par_LabelTravelTime))=Par_LabelTravelTime,B511="čas na ceste - fakturácia"),1,0)</f>
        <v>0</v>
      </c>
    </row>
    <row r="512" spans="2:52" s="24" customFormat="1" ht="12.75" x14ac:dyDescent="0.2">
      <c r="B512" s="97"/>
      <c r="C512" s="92"/>
      <c r="D512" s="31" t="str">
        <f>IF(E512=1,VLOOKUP(TableInvs[[#This Row],[Calc_V_Typ]],Tran_RevenuesList,3,FALSE),"")</f>
        <v/>
      </c>
      <c r="E512" s="31">
        <f t="shared" si="47"/>
        <v>0</v>
      </c>
      <c r="F512" s="9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  <c r="S512" s="84"/>
      <c r="T512" s="84"/>
      <c r="U512" s="84"/>
      <c r="V512" s="84"/>
      <c r="W512" s="84"/>
      <c r="X512" s="84"/>
      <c r="Y512" s="84"/>
      <c r="Z512" s="84"/>
      <c r="AA512" s="84"/>
      <c r="AB512" s="84"/>
      <c r="AC512" s="85"/>
      <c r="AD512" s="85"/>
      <c r="AE512" s="84"/>
      <c r="AF512" s="84"/>
      <c r="AG512" s="84"/>
      <c r="AH512" s="84"/>
      <c r="AI512" s="84"/>
      <c r="AJ512" s="84"/>
      <c r="AK512" s="84"/>
      <c r="AL512" s="84"/>
      <c r="AM512" s="84"/>
      <c r="AN512" s="84"/>
      <c r="AO512" s="84"/>
      <c r="AP512" s="84"/>
      <c r="AQ512" s="84"/>
      <c r="AR512" s="84"/>
      <c r="AS512" s="87">
        <f t="array" ref="AS512">IF(E512=1,SUM((ROW(Mf0)=ROW(AS512))*(Mf0+Mf1_+Mf2_+Mf3_+Mf4_+Mf5_+Mf6_+Mf7_+Mf8_+Mf9_+Mf10_+Mf11_+Mf12_+Mf13_+Mf14_+Mf15_+Mf16_+Mf17_+Mf18_+Mf19_+Mf20_+Mf21_+Mf22_+Mf23_+Mf24_+Mf25_+Mf26_+Mf27_+Mf28_+Mf29_+Mf30_+Mf31_+Mf32_+Mf33_+Mf34_+Mf35_+Mf36_+Mf37_)),0)</f>
        <v>0</v>
      </c>
      <c r="AU512" s="24" t="str">
        <f t="shared" si="48"/>
        <v/>
      </c>
      <c r="AV512" s="24" t="str">
        <f t="shared" si="49"/>
        <v/>
      </c>
      <c r="AW512" s="24" t="str">
        <f t="shared" si="50"/>
        <v/>
      </c>
      <c r="AX512" s="72">
        <f t="shared" si="51"/>
        <v>0</v>
      </c>
      <c r="AY512" s="24">
        <f t="shared" si="52"/>
        <v>0</v>
      </c>
      <c r="AZ512" s="24">
        <f t="array" ref="AZ512">IF(OR(RIGHT(B512,LEN(Par_LabelTravelTime))=Par_LabelTravelTime,B512="čas na ceste - fakturácia"),1,0)</f>
        <v>0</v>
      </c>
    </row>
    <row r="513" spans="2:52" s="24" customFormat="1" ht="12.75" x14ac:dyDescent="0.2">
      <c r="B513" s="97"/>
      <c r="C513" s="92"/>
      <c r="D513" s="31" t="str">
        <f>IF(E513=1,VLOOKUP(TableInvs[[#This Row],[Calc_V_Typ]],Tran_RevenuesList,3,FALSE),"")</f>
        <v/>
      </c>
      <c r="E513" s="31">
        <f t="shared" si="47"/>
        <v>0</v>
      </c>
      <c r="F513" s="9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  <c r="R513" s="84"/>
      <c r="S513" s="84"/>
      <c r="T513" s="84"/>
      <c r="U513" s="84"/>
      <c r="V513" s="84"/>
      <c r="W513" s="84"/>
      <c r="X513" s="84"/>
      <c r="Y513" s="84"/>
      <c r="Z513" s="84"/>
      <c r="AA513" s="84"/>
      <c r="AB513" s="84"/>
      <c r="AC513" s="85"/>
      <c r="AD513" s="85"/>
      <c r="AE513" s="84"/>
      <c r="AF513" s="84"/>
      <c r="AG513" s="84"/>
      <c r="AH513" s="84"/>
      <c r="AI513" s="84"/>
      <c r="AJ513" s="84"/>
      <c r="AK513" s="84"/>
      <c r="AL513" s="84"/>
      <c r="AM513" s="84"/>
      <c r="AN513" s="84"/>
      <c r="AO513" s="84"/>
      <c r="AP513" s="84"/>
      <c r="AQ513" s="84"/>
      <c r="AR513" s="84"/>
      <c r="AS513" s="87">
        <f t="array" ref="AS513">IF(E513=1,SUM((ROW(Mf0)=ROW(AS513))*(Mf0+Mf1_+Mf2_+Mf3_+Mf4_+Mf5_+Mf6_+Mf7_+Mf8_+Mf9_+Mf10_+Mf11_+Mf12_+Mf13_+Mf14_+Mf15_+Mf16_+Mf17_+Mf18_+Mf19_+Mf20_+Mf21_+Mf22_+Mf23_+Mf24_+Mf25_+Mf26_+Mf27_+Mf28_+Mf29_+Mf30_+Mf31_+Mf32_+Mf33_+Mf34_+Mf35_+Mf36_+Mf37_)),0)</f>
        <v>0</v>
      </c>
      <c r="AU513" s="24" t="str">
        <f t="shared" si="48"/>
        <v/>
      </c>
      <c r="AV513" s="24" t="str">
        <f t="shared" si="49"/>
        <v/>
      </c>
      <c r="AW513" s="24" t="str">
        <f t="shared" si="50"/>
        <v/>
      </c>
      <c r="AX513" s="72">
        <f t="shared" si="51"/>
        <v>0</v>
      </c>
      <c r="AY513" s="24">
        <f t="shared" si="52"/>
        <v>0</v>
      </c>
      <c r="AZ513" s="24">
        <f t="array" ref="AZ513">IF(OR(RIGHT(B513,LEN(Par_LabelTravelTime))=Par_LabelTravelTime,B513="čas na ceste - fakturácia"),1,0)</f>
        <v>0</v>
      </c>
    </row>
    <row r="514" spans="2:52" s="24" customFormat="1" ht="12.75" x14ac:dyDescent="0.2">
      <c r="B514" s="97"/>
      <c r="C514" s="92"/>
      <c r="D514" s="31" t="str">
        <f>IF(E514=1,VLOOKUP(TableInvs[[#This Row],[Calc_V_Typ]],Tran_RevenuesList,3,FALSE),"")</f>
        <v/>
      </c>
      <c r="E514" s="31">
        <f t="shared" si="47"/>
        <v>0</v>
      </c>
      <c r="F514" s="9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  <c r="S514" s="84"/>
      <c r="T514" s="84"/>
      <c r="U514" s="84"/>
      <c r="V514" s="84"/>
      <c r="W514" s="84"/>
      <c r="X514" s="84"/>
      <c r="Y514" s="84"/>
      <c r="Z514" s="84"/>
      <c r="AA514" s="84"/>
      <c r="AB514" s="84"/>
      <c r="AC514" s="85"/>
      <c r="AD514" s="85"/>
      <c r="AE514" s="84"/>
      <c r="AF514" s="84"/>
      <c r="AG514" s="84"/>
      <c r="AH514" s="84"/>
      <c r="AI514" s="84"/>
      <c r="AJ514" s="84"/>
      <c r="AK514" s="84"/>
      <c r="AL514" s="84"/>
      <c r="AM514" s="84"/>
      <c r="AN514" s="84"/>
      <c r="AO514" s="84"/>
      <c r="AP514" s="84"/>
      <c r="AQ514" s="84"/>
      <c r="AR514" s="84"/>
      <c r="AS514" s="87">
        <f t="array" ref="AS514">IF(E514=1,SUM((ROW(Mf0)=ROW(AS514))*(Mf0+Mf1_+Mf2_+Mf3_+Mf4_+Mf5_+Mf6_+Mf7_+Mf8_+Mf9_+Mf10_+Mf11_+Mf12_+Mf13_+Mf14_+Mf15_+Mf16_+Mf17_+Mf18_+Mf19_+Mf20_+Mf21_+Mf22_+Mf23_+Mf24_+Mf25_+Mf26_+Mf27_+Mf28_+Mf29_+Mf30_+Mf31_+Mf32_+Mf33_+Mf34_+Mf35_+Mf36_+Mf37_)),0)</f>
        <v>0</v>
      </c>
      <c r="AU514" s="24" t="str">
        <f t="shared" si="48"/>
        <v/>
      </c>
      <c r="AV514" s="24" t="str">
        <f t="shared" si="49"/>
        <v/>
      </c>
      <c r="AW514" s="24" t="str">
        <f t="shared" si="50"/>
        <v/>
      </c>
      <c r="AX514" s="72">
        <f t="shared" si="51"/>
        <v>0</v>
      </c>
      <c r="AY514" s="24">
        <f t="shared" si="52"/>
        <v>0</v>
      </c>
      <c r="AZ514" s="24">
        <f t="array" ref="AZ514">IF(OR(RIGHT(B514,LEN(Par_LabelTravelTime))=Par_LabelTravelTime,B514="čas na ceste - fakturácia"),1,0)</f>
        <v>0</v>
      </c>
    </row>
    <row r="515" spans="2:52" s="24" customFormat="1" ht="12.75" x14ac:dyDescent="0.2">
      <c r="B515" s="97"/>
      <c r="C515" s="92"/>
      <c r="D515" s="31" t="str">
        <f>IF(E515=1,VLOOKUP(TableInvs[[#This Row],[Calc_V_Typ]],Tran_RevenuesList,3,FALSE),"")</f>
        <v/>
      </c>
      <c r="E515" s="31">
        <f t="shared" si="47"/>
        <v>0</v>
      </c>
      <c r="F515" s="9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  <c r="S515" s="84"/>
      <c r="T515" s="84"/>
      <c r="U515" s="84"/>
      <c r="V515" s="84"/>
      <c r="W515" s="84"/>
      <c r="X515" s="84"/>
      <c r="Y515" s="84"/>
      <c r="Z515" s="84"/>
      <c r="AA515" s="84"/>
      <c r="AB515" s="84"/>
      <c r="AC515" s="85"/>
      <c r="AD515" s="85"/>
      <c r="AE515" s="84"/>
      <c r="AF515" s="84"/>
      <c r="AG515" s="84"/>
      <c r="AH515" s="84"/>
      <c r="AI515" s="84"/>
      <c r="AJ515" s="84"/>
      <c r="AK515" s="84"/>
      <c r="AL515" s="84"/>
      <c r="AM515" s="84"/>
      <c r="AN515" s="84"/>
      <c r="AO515" s="84"/>
      <c r="AP515" s="84"/>
      <c r="AQ515" s="84"/>
      <c r="AR515" s="84"/>
      <c r="AS515" s="87">
        <f t="array" ref="AS515">IF(E515=1,SUM((ROW(Mf0)=ROW(AS515))*(Mf0+Mf1_+Mf2_+Mf3_+Mf4_+Mf5_+Mf6_+Mf7_+Mf8_+Mf9_+Mf10_+Mf11_+Mf12_+Mf13_+Mf14_+Mf15_+Mf16_+Mf17_+Mf18_+Mf19_+Mf20_+Mf21_+Mf22_+Mf23_+Mf24_+Mf25_+Mf26_+Mf27_+Mf28_+Mf29_+Mf30_+Mf31_+Mf32_+Mf33_+Mf34_+Mf35_+Mf36_+Mf37_)),0)</f>
        <v>0</v>
      </c>
      <c r="AU515" s="24" t="str">
        <f t="shared" si="48"/>
        <v/>
      </c>
      <c r="AV515" s="24" t="str">
        <f t="shared" si="49"/>
        <v/>
      </c>
      <c r="AW515" s="24" t="str">
        <f t="shared" si="50"/>
        <v/>
      </c>
      <c r="AX515" s="72">
        <f t="shared" si="51"/>
        <v>0</v>
      </c>
      <c r="AY515" s="24">
        <f t="shared" si="52"/>
        <v>0</v>
      </c>
      <c r="AZ515" s="24">
        <f t="array" ref="AZ515">IF(OR(RIGHT(B515,LEN(Par_LabelTravelTime))=Par_LabelTravelTime,B515="čas na ceste - fakturácia"),1,0)</f>
        <v>0</v>
      </c>
    </row>
    <row r="516" spans="2:52" s="24" customFormat="1" ht="12.75" x14ac:dyDescent="0.2">
      <c r="B516" s="97"/>
      <c r="C516" s="92"/>
      <c r="D516" s="31" t="str">
        <f>IF(E516=1,VLOOKUP(TableInvs[[#This Row],[Calc_V_Typ]],Tran_RevenuesList,3,FALSE),"")</f>
        <v/>
      </c>
      <c r="E516" s="31">
        <f t="shared" si="47"/>
        <v>0</v>
      </c>
      <c r="F516" s="9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  <c r="S516" s="84"/>
      <c r="T516" s="84"/>
      <c r="U516" s="84"/>
      <c r="V516" s="84"/>
      <c r="W516" s="84"/>
      <c r="X516" s="84"/>
      <c r="Y516" s="84"/>
      <c r="Z516" s="84"/>
      <c r="AA516" s="84"/>
      <c r="AB516" s="84"/>
      <c r="AC516" s="85"/>
      <c r="AD516" s="85"/>
      <c r="AE516" s="84"/>
      <c r="AF516" s="84"/>
      <c r="AG516" s="84"/>
      <c r="AH516" s="84"/>
      <c r="AI516" s="84"/>
      <c r="AJ516" s="84"/>
      <c r="AK516" s="84"/>
      <c r="AL516" s="84"/>
      <c r="AM516" s="84"/>
      <c r="AN516" s="84"/>
      <c r="AO516" s="84"/>
      <c r="AP516" s="84"/>
      <c r="AQ516" s="84"/>
      <c r="AR516" s="84"/>
      <c r="AS516" s="87">
        <f t="array" ref="AS516">IF(E516=1,SUM((ROW(Mf0)=ROW(AS516))*(Mf0+Mf1_+Mf2_+Mf3_+Mf4_+Mf5_+Mf6_+Mf7_+Mf8_+Mf9_+Mf10_+Mf11_+Mf12_+Mf13_+Mf14_+Mf15_+Mf16_+Mf17_+Mf18_+Mf19_+Mf20_+Mf21_+Mf22_+Mf23_+Mf24_+Mf25_+Mf26_+Mf27_+Mf28_+Mf29_+Mf30_+Mf31_+Mf32_+Mf33_+Mf34_+Mf35_+Mf36_+Mf37_)),0)</f>
        <v>0</v>
      </c>
      <c r="AU516" s="24" t="str">
        <f t="shared" si="48"/>
        <v/>
      </c>
      <c r="AV516" s="24" t="str">
        <f t="shared" si="49"/>
        <v/>
      </c>
      <c r="AW516" s="24" t="str">
        <f t="shared" si="50"/>
        <v/>
      </c>
      <c r="AX516" s="72">
        <f t="shared" si="51"/>
        <v>0</v>
      </c>
      <c r="AY516" s="24">
        <f t="shared" si="52"/>
        <v>0</v>
      </c>
      <c r="AZ516" s="24">
        <f t="array" ref="AZ516">IF(OR(RIGHT(B516,LEN(Par_LabelTravelTime))=Par_LabelTravelTime,B516="čas na ceste - fakturácia"),1,0)</f>
        <v>0</v>
      </c>
    </row>
    <row r="517" spans="2:52" s="24" customFormat="1" ht="12.75" x14ac:dyDescent="0.2">
      <c r="B517" s="97"/>
      <c r="C517" s="92"/>
      <c r="D517" s="31" t="str">
        <f>IF(E517=1,VLOOKUP(TableInvs[[#This Row],[Calc_V_Typ]],Tran_RevenuesList,3,FALSE),"")</f>
        <v/>
      </c>
      <c r="E517" s="31">
        <f t="shared" si="47"/>
        <v>0</v>
      </c>
      <c r="F517" s="9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  <c r="S517" s="84"/>
      <c r="T517" s="84"/>
      <c r="U517" s="84"/>
      <c r="V517" s="84"/>
      <c r="W517" s="84"/>
      <c r="X517" s="84"/>
      <c r="Y517" s="84"/>
      <c r="Z517" s="84"/>
      <c r="AA517" s="84"/>
      <c r="AB517" s="84"/>
      <c r="AC517" s="85"/>
      <c r="AD517" s="85"/>
      <c r="AE517" s="84"/>
      <c r="AF517" s="84"/>
      <c r="AG517" s="84"/>
      <c r="AH517" s="84"/>
      <c r="AI517" s="84"/>
      <c r="AJ517" s="84"/>
      <c r="AK517" s="84"/>
      <c r="AL517" s="84"/>
      <c r="AM517" s="84"/>
      <c r="AN517" s="84"/>
      <c r="AO517" s="84"/>
      <c r="AP517" s="84"/>
      <c r="AQ517" s="84"/>
      <c r="AR517" s="84"/>
      <c r="AS517" s="87">
        <f t="array" ref="AS517">IF(E517=1,SUM((ROW(Mf0)=ROW(AS517))*(Mf0+Mf1_+Mf2_+Mf3_+Mf4_+Mf5_+Mf6_+Mf7_+Mf8_+Mf9_+Mf10_+Mf11_+Mf12_+Mf13_+Mf14_+Mf15_+Mf16_+Mf17_+Mf18_+Mf19_+Mf20_+Mf21_+Mf22_+Mf23_+Mf24_+Mf25_+Mf26_+Mf27_+Mf28_+Mf29_+Mf30_+Mf31_+Mf32_+Mf33_+Mf34_+Mf35_+Mf36_+Mf37_)),0)</f>
        <v>0</v>
      </c>
      <c r="AU517" s="24" t="str">
        <f t="shared" si="48"/>
        <v/>
      </c>
      <c r="AV517" s="24" t="str">
        <f t="shared" si="49"/>
        <v/>
      </c>
      <c r="AW517" s="24" t="str">
        <f t="shared" si="50"/>
        <v/>
      </c>
      <c r="AX517" s="72">
        <f t="shared" si="51"/>
        <v>0</v>
      </c>
      <c r="AY517" s="24">
        <f t="shared" si="52"/>
        <v>0</v>
      </c>
      <c r="AZ517" s="24">
        <f t="array" ref="AZ517">IF(OR(RIGHT(B517,LEN(Par_LabelTravelTime))=Par_LabelTravelTime,B517="čas na ceste - fakturácia"),1,0)</f>
        <v>0</v>
      </c>
    </row>
    <row r="518" spans="2:52" s="24" customFormat="1" ht="12.75" x14ac:dyDescent="0.2">
      <c r="B518" s="97"/>
      <c r="C518" s="92"/>
      <c r="D518" s="31" t="str">
        <f>IF(E518=1,VLOOKUP(TableInvs[[#This Row],[Calc_V_Typ]],Tran_RevenuesList,3,FALSE),"")</f>
        <v/>
      </c>
      <c r="E518" s="31">
        <f t="shared" si="47"/>
        <v>0</v>
      </c>
      <c r="F518" s="9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  <c r="S518" s="84"/>
      <c r="T518" s="84"/>
      <c r="U518" s="84"/>
      <c r="V518" s="84"/>
      <c r="W518" s="84"/>
      <c r="X518" s="84"/>
      <c r="Y518" s="84"/>
      <c r="Z518" s="84"/>
      <c r="AA518" s="84"/>
      <c r="AB518" s="84"/>
      <c r="AC518" s="85"/>
      <c r="AD518" s="85"/>
      <c r="AE518" s="84"/>
      <c r="AF518" s="84"/>
      <c r="AG518" s="84"/>
      <c r="AH518" s="84"/>
      <c r="AI518" s="84"/>
      <c r="AJ518" s="84"/>
      <c r="AK518" s="84"/>
      <c r="AL518" s="84"/>
      <c r="AM518" s="84"/>
      <c r="AN518" s="84"/>
      <c r="AO518" s="84"/>
      <c r="AP518" s="84"/>
      <c r="AQ518" s="84"/>
      <c r="AR518" s="84"/>
      <c r="AS518" s="87">
        <f t="array" ref="AS518">IF(E518=1,SUM((ROW(Mf0)=ROW(AS518))*(Mf0+Mf1_+Mf2_+Mf3_+Mf4_+Mf5_+Mf6_+Mf7_+Mf8_+Mf9_+Mf10_+Mf11_+Mf12_+Mf13_+Mf14_+Mf15_+Mf16_+Mf17_+Mf18_+Mf19_+Mf20_+Mf21_+Mf22_+Mf23_+Mf24_+Mf25_+Mf26_+Mf27_+Mf28_+Mf29_+Mf30_+Mf31_+Mf32_+Mf33_+Mf34_+Mf35_+Mf36_+Mf37_)),0)</f>
        <v>0</v>
      </c>
      <c r="AU518" s="24" t="str">
        <f t="shared" si="48"/>
        <v/>
      </c>
      <c r="AV518" s="24" t="str">
        <f t="shared" si="49"/>
        <v/>
      </c>
      <c r="AW518" s="24" t="str">
        <f t="shared" si="50"/>
        <v/>
      </c>
      <c r="AX518" s="72">
        <f t="shared" si="51"/>
        <v>0</v>
      </c>
      <c r="AY518" s="24">
        <f t="shared" si="52"/>
        <v>0</v>
      </c>
      <c r="AZ518" s="24">
        <f t="array" ref="AZ518">IF(OR(RIGHT(B518,LEN(Par_LabelTravelTime))=Par_LabelTravelTime,B518="čas na ceste - fakturácia"),1,0)</f>
        <v>0</v>
      </c>
    </row>
    <row r="519" spans="2:52" s="24" customFormat="1" ht="12.75" x14ac:dyDescent="0.2">
      <c r="B519" s="97"/>
      <c r="C519" s="92"/>
      <c r="D519" s="31" t="str">
        <f>IF(E519=1,VLOOKUP(TableInvs[[#This Row],[Calc_V_Typ]],Tran_RevenuesList,3,FALSE),"")</f>
        <v/>
      </c>
      <c r="E519" s="31">
        <f t="shared" ref="E519:E582" si="53">IF(B519="",0,IF(LEFT(B519,3)="***",-1,1))</f>
        <v>0</v>
      </c>
      <c r="F519" s="9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  <c r="S519" s="84"/>
      <c r="T519" s="84"/>
      <c r="U519" s="84"/>
      <c r="V519" s="84"/>
      <c r="W519" s="84"/>
      <c r="X519" s="84"/>
      <c r="Y519" s="84"/>
      <c r="Z519" s="84"/>
      <c r="AA519" s="84"/>
      <c r="AB519" s="84"/>
      <c r="AC519" s="85"/>
      <c r="AD519" s="85"/>
      <c r="AE519" s="84"/>
      <c r="AF519" s="84"/>
      <c r="AG519" s="84"/>
      <c r="AH519" s="84"/>
      <c r="AI519" s="84"/>
      <c r="AJ519" s="84"/>
      <c r="AK519" s="84"/>
      <c r="AL519" s="84"/>
      <c r="AM519" s="84"/>
      <c r="AN519" s="84"/>
      <c r="AO519" s="84"/>
      <c r="AP519" s="84"/>
      <c r="AQ519" s="84"/>
      <c r="AR519" s="84"/>
      <c r="AS519" s="87">
        <f t="array" ref="AS519">IF(E519=1,SUM((ROW(Mf0)=ROW(AS519))*(Mf0+Mf1_+Mf2_+Mf3_+Mf4_+Mf5_+Mf6_+Mf7_+Mf8_+Mf9_+Mf10_+Mf11_+Mf12_+Mf13_+Mf14_+Mf15_+Mf16_+Mf17_+Mf18_+Mf19_+Mf20_+Mf21_+Mf22_+Mf23_+Mf24_+Mf25_+Mf26_+Mf27_+Mf28_+Mf29_+Mf30_+Mf31_+Mf32_+Mf33_+Mf34_+Mf35_+Mf36_+Mf37_)),0)</f>
        <v>0</v>
      </c>
      <c r="AU519" s="24" t="str">
        <f t="shared" ref="AU519:AU582" si="54">IF(E519=1,VLOOKUP(B519,Tran_RevenuesList,2,0),"")</f>
        <v/>
      </c>
      <c r="AV519" s="24" t="str">
        <f t="shared" ref="AV519:AV582" si="55">IF(E519=1,D519,"")</f>
        <v/>
      </c>
      <c r="AW519" s="24" t="str">
        <f t="shared" ref="AW519:AW582" si="56">IF(C519="","",VLOOKUP(C519,Tab_Parts,2,0))</f>
        <v/>
      </c>
      <c r="AX519" s="72">
        <f t="shared" ref="AX519:AX582" si="57">IF(E519=1,AS519,0)</f>
        <v>0</v>
      </c>
      <c r="AY519" s="24">
        <f t="shared" ref="AY519:AY582" si="58">IF(RIGHT(B519,LEN(Par_LabelTravelTime))=Par_LabelTravelTime,LEFT(B519,LEN(B519)-LEN(Par_LabelTravelTime)),B519)</f>
        <v>0</v>
      </c>
      <c r="AZ519" s="24">
        <f t="array" ref="AZ519">IF(OR(RIGHT(B519,LEN(Par_LabelTravelTime))=Par_LabelTravelTime,B519="čas na ceste - fakturácia"),1,0)</f>
        <v>0</v>
      </c>
    </row>
    <row r="520" spans="2:52" s="24" customFormat="1" ht="12.75" x14ac:dyDescent="0.2">
      <c r="B520" s="97"/>
      <c r="C520" s="92"/>
      <c r="D520" s="31" t="str">
        <f>IF(E520=1,VLOOKUP(TableInvs[[#This Row],[Calc_V_Typ]],Tran_RevenuesList,3,FALSE),"")</f>
        <v/>
      </c>
      <c r="E520" s="31">
        <f t="shared" si="53"/>
        <v>0</v>
      </c>
      <c r="F520" s="9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  <c r="S520" s="84"/>
      <c r="T520" s="84"/>
      <c r="U520" s="84"/>
      <c r="V520" s="84"/>
      <c r="W520" s="84"/>
      <c r="X520" s="84"/>
      <c r="Y520" s="84"/>
      <c r="Z520" s="84"/>
      <c r="AA520" s="84"/>
      <c r="AB520" s="84"/>
      <c r="AC520" s="85"/>
      <c r="AD520" s="85"/>
      <c r="AE520" s="84"/>
      <c r="AF520" s="84"/>
      <c r="AG520" s="84"/>
      <c r="AH520" s="84"/>
      <c r="AI520" s="84"/>
      <c r="AJ520" s="84"/>
      <c r="AK520" s="84"/>
      <c r="AL520" s="84"/>
      <c r="AM520" s="84"/>
      <c r="AN520" s="84"/>
      <c r="AO520" s="84"/>
      <c r="AP520" s="84"/>
      <c r="AQ520" s="84"/>
      <c r="AR520" s="84"/>
      <c r="AS520" s="87">
        <f t="array" ref="AS520">IF(E520=1,SUM((ROW(Mf0)=ROW(AS520))*(Mf0+Mf1_+Mf2_+Mf3_+Mf4_+Mf5_+Mf6_+Mf7_+Mf8_+Mf9_+Mf10_+Mf11_+Mf12_+Mf13_+Mf14_+Mf15_+Mf16_+Mf17_+Mf18_+Mf19_+Mf20_+Mf21_+Mf22_+Mf23_+Mf24_+Mf25_+Mf26_+Mf27_+Mf28_+Mf29_+Mf30_+Mf31_+Mf32_+Mf33_+Mf34_+Mf35_+Mf36_+Mf37_)),0)</f>
        <v>0</v>
      </c>
      <c r="AU520" s="24" t="str">
        <f t="shared" si="54"/>
        <v/>
      </c>
      <c r="AV520" s="24" t="str">
        <f t="shared" si="55"/>
        <v/>
      </c>
      <c r="AW520" s="24" t="str">
        <f t="shared" si="56"/>
        <v/>
      </c>
      <c r="AX520" s="72">
        <f t="shared" si="57"/>
        <v>0</v>
      </c>
      <c r="AY520" s="24">
        <f t="shared" si="58"/>
        <v>0</v>
      </c>
      <c r="AZ520" s="24">
        <f t="array" ref="AZ520">IF(OR(RIGHT(B520,LEN(Par_LabelTravelTime))=Par_LabelTravelTime,B520="čas na ceste - fakturácia"),1,0)</f>
        <v>0</v>
      </c>
    </row>
    <row r="521" spans="2:52" s="24" customFormat="1" ht="12.75" x14ac:dyDescent="0.2">
      <c r="B521" s="97"/>
      <c r="C521" s="92"/>
      <c r="D521" s="31" t="str">
        <f>IF(E521=1,VLOOKUP(TableInvs[[#This Row],[Calc_V_Typ]],Tran_RevenuesList,3,FALSE),"")</f>
        <v/>
      </c>
      <c r="E521" s="31">
        <f t="shared" si="53"/>
        <v>0</v>
      </c>
      <c r="F521" s="9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  <c r="S521" s="84"/>
      <c r="T521" s="84"/>
      <c r="U521" s="84"/>
      <c r="V521" s="84"/>
      <c r="W521" s="84"/>
      <c r="X521" s="84"/>
      <c r="Y521" s="84"/>
      <c r="Z521" s="84"/>
      <c r="AA521" s="84"/>
      <c r="AB521" s="84"/>
      <c r="AC521" s="85"/>
      <c r="AD521" s="85"/>
      <c r="AE521" s="84"/>
      <c r="AF521" s="84"/>
      <c r="AG521" s="84"/>
      <c r="AH521" s="84"/>
      <c r="AI521" s="84"/>
      <c r="AJ521" s="84"/>
      <c r="AK521" s="84"/>
      <c r="AL521" s="84"/>
      <c r="AM521" s="84"/>
      <c r="AN521" s="84"/>
      <c r="AO521" s="84"/>
      <c r="AP521" s="84"/>
      <c r="AQ521" s="84"/>
      <c r="AR521" s="84"/>
      <c r="AS521" s="87">
        <f t="array" ref="AS521">IF(E521=1,SUM((ROW(Mf0)=ROW(AS521))*(Mf0+Mf1_+Mf2_+Mf3_+Mf4_+Mf5_+Mf6_+Mf7_+Mf8_+Mf9_+Mf10_+Mf11_+Mf12_+Mf13_+Mf14_+Mf15_+Mf16_+Mf17_+Mf18_+Mf19_+Mf20_+Mf21_+Mf22_+Mf23_+Mf24_+Mf25_+Mf26_+Mf27_+Mf28_+Mf29_+Mf30_+Mf31_+Mf32_+Mf33_+Mf34_+Mf35_+Mf36_+Mf37_)),0)</f>
        <v>0</v>
      </c>
      <c r="AU521" s="24" t="str">
        <f t="shared" si="54"/>
        <v/>
      </c>
      <c r="AV521" s="24" t="str">
        <f t="shared" si="55"/>
        <v/>
      </c>
      <c r="AW521" s="24" t="str">
        <f t="shared" si="56"/>
        <v/>
      </c>
      <c r="AX521" s="72">
        <f t="shared" si="57"/>
        <v>0</v>
      </c>
      <c r="AY521" s="24">
        <f t="shared" si="58"/>
        <v>0</v>
      </c>
      <c r="AZ521" s="24">
        <f t="array" ref="AZ521">IF(OR(RIGHT(B521,LEN(Par_LabelTravelTime))=Par_LabelTravelTime,B521="čas na ceste - fakturácia"),1,0)</f>
        <v>0</v>
      </c>
    </row>
    <row r="522" spans="2:52" s="24" customFormat="1" ht="12.75" x14ac:dyDescent="0.2">
      <c r="B522" s="97"/>
      <c r="C522" s="92"/>
      <c r="D522" s="31" t="str">
        <f>IF(E522=1,VLOOKUP(TableInvs[[#This Row],[Calc_V_Typ]],Tran_RevenuesList,3,FALSE),"")</f>
        <v/>
      </c>
      <c r="E522" s="31">
        <f t="shared" si="53"/>
        <v>0</v>
      </c>
      <c r="F522" s="9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  <c r="S522" s="84"/>
      <c r="T522" s="84"/>
      <c r="U522" s="84"/>
      <c r="V522" s="84"/>
      <c r="W522" s="84"/>
      <c r="X522" s="84"/>
      <c r="Y522" s="84"/>
      <c r="Z522" s="84"/>
      <c r="AA522" s="84"/>
      <c r="AB522" s="84"/>
      <c r="AC522" s="85"/>
      <c r="AD522" s="85"/>
      <c r="AE522" s="84"/>
      <c r="AF522" s="84"/>
      <c r="AG522" s="84"/>
      <c r="AH522" s="84"/>
      <c r="AI522" s="84"/>
      <c r="AJ522" s="84"/>
      <c r="AK522" s="84"/>
      <c r="AL522" s="84"/>
      <c r="AM522" s="84"/>
      <c r="AN522" s="84"/>
      <c r="AO522" s="84"/>
      <c r="AP522" s="84"/>
      <c r="AQ522" s="84"/>
      <c r="AR522" s="84"/>
      <c r="AS522" s="87">
        <f t="array" ref="AS522">IF(E522=1,SUM((ROW(Mf0)=ROW(AS522))*(Mf0+Mf1_+Mf2_+Mf3_+Mf4_+Mf5_+Mf6_+Mf7_+Mf8_+Mf9_+Mf10_+Mf11_+Mf12_+Mf13_+Mf14_+Mf15_+Mf16_+Mf17_+Mf18_+Mf19_+Mf20_+Mf21_+Mf22_+Mf23_+Mf24_+Mf25_+Mf26_+Mf27_+Mf28_+Mf29_+Mf30_+Mf31_+Mf32_+Mf33_+Mf34_+Mf35_+Mf36_+Mf37_)),0)</f>
        <v>0</v>
      </c>
      <c r="AU522" s="24" t="str">
        <f t="shared" si="54"/>
        <v/>
      </c>
      <c r="AV522" s="24" t="str">
        <f t="shared" si="55"/>
        <v/>
      </c>
      <c r="AW522" s="24" t="str">
        <f t="shared" si="56"/>
        <v/>
      </c>
      <c r="AX522" s="72">
        <f t="shared" si="57"/>
        <v>0</v>
      </c>
      <c r="AY522" s="24">
        <f t="shared" si="58"/>
        <v>0</v>
      </c>
      <c r="AZ522" s="24">
        <f t="array" ref="AZ522">IF(OR(RIGHT(B522,LEN(Par_LabelTravelTime))=Par_LabelTravelTime,B522="čas na ceste - fakturácia"),1,0)</f>
        <v>0</v>
      </c>
    </row>
    <row r="523" spans="2:52" s="24" customFormat="1" ht="12.75" x14ac:dyDescent="0.2">
      <c r="B523" s="97"/>
      <c r="C523" s="92"/>
      <c r="D523" s="31" t="str">
        <f>IF(E523=1,VLOOKUP(TableInvs[[#This Row],[Calc_V_Typ]],Tran_RevenuesList,3,FALSE),"")</f>
        <v/>
      </c>
      <c r="E523" s="31">
        <f t="shared" si="53"/>
        <v>0</v>
      </c>
      <c r="F523" s="9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  <c r="S523" s="84"/>
      <c r="T523" s="84"/>
      <c r="U523" s="84"/>
      <c r="V523" s="84"/>
      <c r="W523" s="84"/>
      <c r="X523" s="84"/>
      <c r="Y523" s="84"/>
      <c r="Z523" s="84"/>
      <c r="AA523" s="84"/>
      <c r="AB523" s="84"/>
      <c r="AC523" s="85"/>
      <c r="AD523" s="85"/>
      <c r="AE523" s="84"/>
      <c r="AF523" s="84"/>
      <c r="AG523" s="84"/>
      <c r="AH523" s="84"/>
      <c r="AI523" s="84"/>
      <c r="AJ523" s="84"/>
      <c r="AK523" s="84"/>
      <c r="AL523" s="84"/>
      <c r="AM523" s="84"/>
      <c r="AN523" s="84"/>
      <c r="AO523" s="84"/>
      <c r="AP523" s="84"/>
      <c r="AQ523" s="84"/>
      <c r="AR523" s="84"/>
      <c r="AS523" s="87">
        <f t="array" ref="AS523">IF(E523=1,SUM((ROW(Mf0)=ROW(AS523))*(Mf0+Mf1_+Mf2_+Mf3_+Mf4_+Mf5_+Mf6_+Mf7_+Mf8_+Mf9_+Mf10_+Mf11_+Mf12_+Mf13_+Mf14_+Mf15_+Mf16_+Mf17_+Mf18_+Mf19_+Mf20_+Mf21_+Mf22_+Mf23_+Mf24_+Mf25_+Mf26_+Mf27_+Mf28_+Mf29_+Mf30_+Mf31_+Mf32_+Mf33_+Mf34_+Mf35_+Mf36_+Mf37_)),0)</f>
        <v>0</v>
      </c>
      <c r="AU523" s="24" t="str">
        <f t="shared" si="54"/>
        <v/>
      </c>
      <c r="AV523" s="24" t="str">
        <f t="shared" si="55"/>
        <v/>
      </c>
      <c r="AW523" s="24" t="str">
        <f t="shared" si="56"/>
        <v/>
      </c>
      <c r="AX523" s="72">
        <f t="shared" si="57"/>
        <v>0</v>
      </c>
      <c r="AY523" s="24">
        <f t="shared" si="58"/>
        <v>0</v>
      </c>
      <c r="AZ523" s="24">
        <f t="array" ref="AZ523">IF(OR(RIGHT(B523,LEN(Par_LabelTravelTime))=Par_LabelTravelTime,B523="čas na ceste - fakturácia"),1,0)</f>
        <v>0</v>
      </c>
    </row>
    <row r="524" spans="2:52" s="24" customFormat="1" ht="12.75" x14ac:dyDescent="0.2">
      <c r="B524" s="97"/>
      <c r="C524" s="92"/>
      <c r="D524" s="31" t="str">
        <f>IF(E524=1,VLOOKUP(TableInvs[[#This Row],[Calc_V_Typ]],Tran_RevenuesList,3,FALSE),"")</f>
        <v/>
      </c>
      <c r="E524" s="31">
        <f t="shared" si="53"/>
        <v>0</v>
      </c>
      <c r="F524" s="9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  <c r="Y524" s="84"/>
      <c r="Z524" s="84"/>
      <c r="AA524" s="84"/>
      <c r="AB524" s="84"/>
      <c r="AC524" s="85"/>
      <c r="AD524" s="85"/>
      <c r="AE524" s="84"/>
      <c r="AF524" s="84"/>
      <c r="AG524" s="84"/>
      <c r="AH524" s="84"/>
      <c r="AI524" s="84"/>
      <c r="AJ524" s="84"/>
      <c r="AK524" s="84"/>
      <c r="AL524" s="84"/>
      <c r="AM524" s="84"/>
      <c r="AN524" s="84"/>
      <c r="AO524" s="84"/>
      <c r="AP524" s="84"/>
      <c r="AQ524" s="84"/>
      <c r="AR524" s="84"/>
      <c r="AS524" s="87">
        <f t="array" ref="AS524">IF(E524=1,SUM((ROW(Mf0)=ROW(AS524))*(Mf0+Mf1_+Mf2_+Mf3_+Mf4_+Mf5_+Mf6_+Mf7_+Mf8_+Mf9_+Mf10_+Mf11_+Mf12_+Mf13_+Mf14_+Mf15_+Mf16_+Mf17_+Mf18_+Mf19_+Mf20_+Mf21_+Mf22_+Mf23_+Mf24_+Mf25_+Mf26_+Mf27_+Mf28_+Mf29_+Mf30_+Mf31_+Mf32_+Mf33_+Mf34_+Mf35_+Mf36_+Mf37_)),0)</f>
        <v>0</v>
      </c>
      <c r="AU524" s="24" t="str">
        <f t="shared" si="54"/>
        <v/>
      </c>
      <c r="AV524" s="24" t="str">
        <f t="shared" si="55"/>
        <v/>
      </c>
      <c r="AW524" s="24" t="str">
        <f t="shared" si="56"/>
        <v/>
      </c>
      <c r="AX524" s="72">
        <f t="shared" si="57"/>
        <v>0</v>
      </c>
      <c r="AY524" s="24">
        <f t="shared" si="58"/>
        <v>0</v>
      </c>
      <c r="AZ524" s="24">
        <f t="array" ref="AZ524">IF(OR(RIGHT(B524,LEN(Par_LabelTravelTime))=Par_LabelTravelTime,B524="čas na ceste - fakturácia"),1,0)</f>
        <v>0</v>
      </c>
    </row>
    <row r="525" spans="2:52" s="24" customFormat="1" ht="12.75" x14ac:dyDescent="0.2">
      <c r="B525" s="97"/>
      <c r="C525" s="92"/>
      <c r="D525" s="31" t="str">
        <f>IF(E525=1,VLOOKUP(TableInvs[[#This Row],[Calc_V_Typ]],Tran_RevenuesList,3,FALSE),"")</f>
        <v/>
      </c>
      <c r="E525" s="31">
        <f t="shared" si="53"/>
        <v>0</v>
      </c>
      <c r="F525" s="9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  <c r="S525" s="84"/>
      <c r="T525" s="84"/>
      <c r="U525" s="84"/>
      <c r="V525" s="84"/>
      <c r="W525" s="84"/>
      <c r="X525" s="84"/>
      <c r="Y525" s="84"/>
      <c r="Z525" s="84"/>
      <c r="AA525" s="84"/>
      <c r="AB525" s="84"/>
      <c r="AC525" s="85"/>
      <c r="AD525" s="85"/>
      <c r="AE525" s="84"/>
      <c r="AF525" s="84"/>
      <c r="AG525" s="84"/>
      <c r="AH525" s="84"/>
      <c r="AI525" s="84"/>
      <c r="AJ525" s="84"/>
      <c r="AK525" s="84"/>
      <c r="AL525" s="84"/>
      <c r="AM525" s="84"/>
      <c r="AN525" s="84"/>
      <c r="AO525" s="84"/>
      <c r="AP525" s="84"/>
      <c r="AQ525" s="84"/>
      <c r="AR525" s="84"/>
      <c r="AS525" s="87">
        <f t="array" ref="AS525">IF(E525=1,SUM((ROW(Mf0)=ROW(AS525))*(Mf0+Mf1_+Mf2_+Mf3_+Mf4_+Mf5_+Mf6_+Mf7_+Mf8_+Mf9_+Mf10_+Mf11_+Mf12_+Mf13_+Mf14_+Mf15_+Mf16_+Mf17_+Mf18_+Mf19_+Mf20_+Mf21_+Mf22_+Mf23_+Mf24_+Mf25_+Mf26_+Mf27_+Mf28_+Mf29_+Mf30_+Mf31_+Mf32_+Mf33_+Mf34_+Mf35_+Mf36_+Mf37_)),0)</f>
        <v>0</v>
      </c>
      <c r="AU525" s="24" t="str">
        <f t="shared" si="54"/>
        <v/>
      </c>
      <c r="AV525" s="24" t="str">
        <f t="shared" si="55"/>
        <v/>
      </c>
      <c r="AW525" s="24" t="str">
        <f t="shared" si="56"/>
        <v/>
      </c>
      <c r="AX525" s="72">
        <f t="shared" si="57"/>
        <v>0</v>
      </c>
      <c r="AY525" s="24">
        <f t="shared" si="58"/>
        <v>0</v>
      </c>
      <c r="AZ525" s="24">
        <f t="array" ref="AZ525">IF(OR(RIGHT(B525,LEN(Par_LabelTravelTime))=Par_LabelTravelTime,B525="čas na ceste - fakturácia"),1,0)</f>
        <v>0</v>
      </c>
    </row>
    <row r="526" spans="2:52" s="24" customFormat="1" ht="12.75" x14ac:dyDescent="0.2">
      <c r="B526" s="97"/>
      <c r="C526" s="92"/>
      <c r="D526" s="31" t="str">
        <f>IF(E526=1,VLOOKUP(TableInvs[[#This Row],[Calc_V_Typ]],Tran_RevenuesList,3,FALSE),"")</f>
        <v/>
      </c>
      <c r="E526" s="31">
        <f t="shared" si="53"/>
        <v>0</v>
      </c>
      <c r="F526" s="9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  <c r="S526" s="84"/>
      <c r="T526" s="84"/>
      <c r="U526" s="84"/>
      <c r="V526" s="84"/>
      <c r="W526" s="84"/>
      <c r="X526" s="84"/>
      <c r="Y526" s="84"/>
      <c r="Z526" s="84"/>
      <c r="AA526" s="84"/>
      <c r="AB526" s="84"/>
      <c r="AC526" s="85"/>
      <c r="AD526" s="85"/>
      <c r="AE526" s="84"/>
      <c r="AF526" s="84"/>
      <c r="AG526" s="84"/>
      <c r="AH526" s="84"/>
      <c r="AI526" s="84"/>
      <c r="AJ526" s="84"/>
      <c r="AK526" s="84"/>
      <c r="AL526" s="84"/>
      <c r="AM526" s="84"/>
      <c r="AN526" s="84"/>
      <c r="AO526" s="84"/>
      <c r="AP526" s="84"/>
      <c r="AQ526" s="84"/>
      <c r="AR526" s="84"/>
      <c r="AS526" s="87">
        <f t="array" ref="AS526">IF(E526=1,SUM((ROW(Mf0)=ROW(AS526))*(Mf0+Mf1_+Mf2_+Mf3_+Mf4_+Mf5_+Mf6_+Mf7_+Mf8_+Mf9_+Mf10_+Mf11_+Mf12_+Mf13_+Mf14_+Mf15_+Mf16_+Mf17_+Mf18_+Mf19_+Mf20_+Mf21_+Mf22_+Mf23_+Mf24_+Mf25_+Mf26_+Mf27_+Mf28_+Mf29_+Mf30_+Mf31_+Mf32_+Mf33_+Mf34_+Mf35_+Mf36_+Mf37_)),0)</f>
        <v>0</v>
      </c>
      <c r="AU526" s="24" t="str">
        <f t="shared" si="54"/>
        <v/>
      </c>
      <c r="AV526" s="24" t="str">
        <f t="shared" si="55"/>
        <v/>
      </c>
      <c r="AW526" s="24" t="str">
        <f t="shared" si="56"/>
        <v/>
      </c>
      <c r="AX526" s="72">
        <f t="shared" si="57"/>
        <v>0</v>
      </c>
      <c r="AY526" s="24">
        <f t="shared" si="58"/>
        <v>0</v>
      </c>
      <c r="AZ526" s="24">
        <f t="array" ref="AZ526">IF(OR(RIGHT(B526,LEN(Par_LabelTravelTime))=Par_LabelTravelTime,B526="čas na ceste - fakturácia"),1,0)</f>
        <v>0</v>
      </c>
    </row>
    <row r="527" spans="2:52" s="24" customFormat="1" ht="12.75" x14ac:dyDescent="0.2">
      <c r="B527" s="97"/>
      <c r="C527" s="92"/>
      <c r="D527" s="31" t="str">
        <f>IF(E527=1,VLOOKUP(TableInvs[[#This Row],[Calc_V_Typ]],Tran_RevenuesList,3,FALSE),"")</f>
        <v/>
      </c>
      <c r="E527" s="31">
        <f t="shared" si="53"/>
        <v>0</v>
      </c>
      <c r="F527" s="9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  <c r="S527" s="84"/>
      <c r="T527" s="84"/>
      <c r="U527" s="84"/>
      <c r="V527" s="84"/>
      <c r="W527" s="84"/>
      <c r="X527" s="84"/>
      <c r="Y527" s="84"/>
      <c r="Z527" s="84"/>
      <c r="AA527" s="84"/>
      <c r="AB527" s="84"/>
      <c r="AC527" s="85"/>
      <c r="AD527" s="85"/>
      <c r="AE527" s="84"/>
      <c r="AF527" s="84"/>
      <c r="AG527" s="84"/>
      <c r="AH527" s="84"/>
      <c r="AI527" s="84"/>
      <c r="AJ527" s="84"/>
      <c r="AK527" s="84"/>
      <c r="AL527" s="84"/>
      <c r="AM527" s="84"/>
      <c r="AN527" s="84"/>
      <c r="AO527" s="84"/>
      <c r="AP527" s="84"/>
      <c r="AQ527" s="84"/>
      <c r="AR527" s="84"/>
      <c r="AS527" s="87">
        <f t="array" ref="AS527">IF(E527=1,SUM((ROW(Mf0)=ROW(AS527))*(Mf0+Mf1_+Mf2_+Mf3_+Mf4_+Mf5_+Mf6_+Mf7_+Mf8_+Mf9_+Mf10_+Mf11_+Mf12_+Mf13_+Mf14_+Mf15_+Mf16_+Mf17_+Mf18_+Mf19_+Mf20_+Mf21_+Mf22_+Mf23_+Mf24_+Mf25_+Mf26_+Mf27_+Mf28_+Mf29_+Mf30_+Mf31_+Mf32_+Mf33_+Mf34_+Mf35_+Mf36_+Mf37_)),0)</f>
        <v>0</v>
      </c>
      <c r="AU527" s="24" t="str">
        <f t="shared" si="54"/>
        <v/>
      </c>
      <c r="AV527" s="24" t="str">
        <f t="shared" si="55"/>
        <v/>
      </c>
      <c r="AW527" s="24" t="str">
        <f t="shared" si="56"/>
        <v/>
      </c>
      <c r="AX527" s="72">
        <f t="shared" si="57"/>
        <v>0</v>
      </c>
      <c r="AY527" s="24">
        <f t="shared" si="58"/>
        <v>0</v>
      </c>
      <c r="AZ527" s="24">
        <f t="array" ref="AZ527">IF(OR(RIGHT(B527,LEN(Par_LabelTravelTime))=Par_LabelTravelTime,B527="čas na ceste - fakturácia"),1,0)</f>
        <v>0</v>
      </c>
    </row>
    <row r="528" spans="2:52" s="24" customFormat="1" ht="12.75" x14ac:dyDescent="0.2">
      <c r="B528" s="97"/>
      <c r="C528" s="92"/>
      <c r="D528" s="31" t="str">
        <f>IF(E528=1,VLOOKUP(TableInvs[[#This Row],[Calc_V_Typ]],Tran_RevenuesList,3,FALSE),"")</f>
        <v/>
      </c>
      <c r="E528" s="31">
        <f t="shared" si="53"/>
        <v>0</v>
      </c>
      <c r="F528" s="9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  <c r="S528" s="84"/>
      <c r="T528" s="84"/>
      <c r="U528" s="84"/>
      <c r="V528" s="84"/>
      <c r="W528" s="84"/>
      <c r="X528" s="84"/>
      <c r="Y528" s="84"/>
      <c r="Z528" s="84"/>
      <c r="AA528" s="84"/>
      <c r="AB528" s="84"/>
      <c r="AC528" s="85"/>
      <c r="AD528" s="85"/>
      <c r="AE528" s="84"/>
      <c r="AF528" s="84"/>
      <c r="AG528" s="84"/>
      <c r="AH528" s="84"/>
      <c r="AI528" s="84"/>
      <c r="AJ528" s="84"/>
      <c r="AK528" s="84"/>
      <c r="AL528" s="84"/>
      <c r="AM528" s="84"/>
      <c r="AN528" s="84"/>
      <c r="AO528" s="84"/>
      <c r="AP528" s="84"/>
      <c r="AQ528" s="84"/>
      <c r="AR528" s="84"/>
      <c r="AS528" s="87">
        <f t="array" ref="AS528">IF(E528=1,SUM((ROW(Mf0)=ROW(AS528))*(Mf0+Mf1_+Mf2_+Mf3_+Mf4_+Mf5_+Mf6_+Mf7_+Mf8_+Mf9_+Mf10_+Mf11_+Mf12_+Mf13_+Mf14_+Mf15_+Mf16_+Mf17_+Mf18_+Mf19_+Mf20_+Mf21_+Mf22_+Mf23_+Mf24_+Mf25_+Mf26_+Mf27_+Mf28_+Mf29_+Mf30_+Mf31_+Mf32_+Mf33_+Mf34_+Mf35_+Mf36_+Mf37_)),0)</f>
        <v>0</v>
      </c>
      <c r="AU528" s="24" t="str">
        <f t="shared" si="54"/>
        <v/>
      </c>
      <c r="AV528" s="24" t="str">
        <f t="shared" si="55"/>
        <v/>
      </c>
      <c r="AW528" s="24" t="str">
        <f t="shared" si="56"/>
        <v/>
      </c>
      <c r="AX528" s="72">
        <f t="shared" si="57"/>
        <v>0</v>
      </c>
      <c r="AY528" s="24">
        <f t="shared" si="58"/>
        <v>0</v>
      </c>
      <c r="AZ528" s="24">
        <f t="array" ref="AZ528">IF(OR(RIGHT(B528,LEN(Par_LabelTravelTime))=Par_LabelTravelTime,B528="čas na ceste - fakturácia"),1,0)</f>
        <v>0</v>
      </c>
    </row>
    <row r="529" spans="2:52" s="24" customFormat="1" ht="12.75" x14ac:dyDescent="0.2">
      <c r="B529" s="97"/>
      <c r="C529" s="92"/>
      <c r="D529" s="31" t="str">
        <f>IF(E529=1,VLOOKUP(TableInvs[[#This Row],[Calc_V_Typ]],Tran_RevenuesList,3,FALSE),"")</f>
        <v/>
      </c>
      <c r="E529" s="31">
        <f t="shared" si="53"/>
        <v>0</v>
      </c>
      <c r="F529" s="9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  <c r="S529" s="84"/>
      <c r="T529" s="84"/>
      <c r="U529" s="84"/>
      <c r="V529" s="84"/>
      <c r="W529" s="84"/>
      <c r="X529" s="84"/>
      <c r="Y529" s="84"/>
      <c r="Z529" s="84"/>
      <c r="AA529" s="84"/>
      <c r="AB529" s="84"/>
      <c r="AC529" s="85"/>
      <c r="AD529" s="85"/>
      <c r="AE529" s="84"/>
      <c r="AF529" s="84"/>
      <c r="AG529" s="84"/>
      <c r="AH529" s="84"/>
      <c r="AI529" s="84"/>
      <c r="AJ529" s="84"/>
      <c r="AK529" s="84"/>
      <c r="AL529" s="84"/>
      <c r="AM529" s="84"/>
      <c r="AN529" s="84"/>
      <c r="AO529" s="84"/>
      <c r="AP529" s="84"/>
      <c r="AQ529" s="84"/>
      <c r="AR529" s="84"/>
      <c r="AS529" s="87">
        <f t="array" ref="AS529">IF(E529=1,SUM((ROW(Mf0)=ROW(AS529))*(Mf0+Mf1_+Mf2_+Mf3_+Mf4_+Mf5_+Mf6_+Mf7_+Mf8_+Mf9_+Mf10_+Mf11_+Mf12_+Mf13_+Mf14_+Mf15_+Mf16_+Mf17_+Mf18_+Mf19_+Mf20_+Mf21_+Mf22_+Mf23_+Mf24_+Mf25_+Mf26_+Mf27_+Mf28_+Mf29_+Mf30_+Mf31_+Mf32_+Mf33_+Mf34_+Mf35_+Mf36_+Mf37_)),0)</f>
        <v>0</v>
      </c>
      <c r="AU529" s="24" t="str">
        <f t="shared" si="54"/>
        <v/>
      </c>
      <c r="AV529" s="24" t="str">
        <f t="shared" si="55"/>
        <v/>
      </c>
      <c r="AW529" s="24" t="str">
        <f t="shared" si="56"/>
        <v/>
      </c>
      <c r="AX529" s="72">
        <f t="shared" si="57"/>
        <v>0</v>
      </c>
      <c r="AY529" s="24">
        <f t="shared" si="58"/>
        <v>0</v>
      </c>
      <c r="AZ529" s="24">
        <f t="array" ref="AZ529">IF(OR(RIGHT(B529,LEN(Par_LabelTravelTime))=Par_LabelTravelTime,B529="čas na ceste - fakturácia"),1,0)</f>
        <v>0</v>
      </c>
    </row>
    <row r="530" spans="2:52" s="24" customFormat="1" ht="12.75" x14ac:dyDescent="0.2">
      <c r="B530" s="97"/>
      <c r="C530" s="92"/>
      <c r="D530" s="31" t="str">
        <f>IF(E530=1,VLOOKUP(TableInvs[[#This Row],[Calc_V_Typ]],Tran_RevenuesList,3,FALSE),"")</f>
        <v/>
      </c>
      <c r="E530" s="31">
        <f t="shared" si="53"/>
        <v>0</v>
      </c>
      <c r="F530" s="94"/>
      <c r="G530" s="84"/>
      <c r="H530" s="84"/>
      <c r="I530" s="84"/>
      <c r="J530" s="84"/>
      <c r="K530" s="84"/>
      <c r="L530" s="84"/>
      <c r="M530" s="84"/>
      <c r="N530" s="84"/>
      <c r="O530" s="84"/>
      <c r="P530" s="84"/>
      <c r="Q530" s="84"/>
      <c r="R530" s="84"/>
      <c r="S530" s="84"/>
      <c r="T530" s="84"/>
      <c r="U530" s="84"/>
      <c r="V530" s="84"/>
      <c r="W530" s="84"/>
      <c r="X530" s="84"/>
      <c r="Y530" s="84"/>
      <c r="Z530" s="84"/>
      <c r="AA530" s="84"/>
      <c r="AB530" s="84"/>
      <c r="AC530" s="85"/>
      <c r="AD530" s="85"/>
      <c r="AE530" s="84"/>
      <c r="AF530" s="84"/>
      <c r="AG530" s="84"/>
      <c r="AH530" s="84"/>
      <c r="AI530" s="84"/>
      <c r="AJ530" s="84"/>
      <c r="AK530" s="84"/>
      <c r="AL530" s="84"/>
      <c r="AM530" s="84"/>
      <c r="AN530" s="84"/>
      <c r="AO530" s="84"/>
      <c r="AP530" s="84"/>
      <c r="AQ530" s="84"/>
      <c r="AR530" s="84"/>
      <c r="AS530" s="87">
        <f t="array" ref="AS530">IF(E530=1,SUM((ROW(Mf0)=ROW(AS530))*(Mf0+Mf1_+Mf2_+Mf3_+Mf4_+Mf5_+Mf6_+Mf7_+Mf8_+Mf9_+Mf10_+Mf11_+Mf12_+Mf13_+Mf14_+Mf15_+Mf16_+Mf17_+Mf18_+Mf19_+Mf20_+Mf21_+Mf22_+Mf23_+Mf24_+Mf25_+Mf26_+Mf27_+Mf28_+Mf29_+Mf30_+Mf31_+Mf32_+Mf33_+Mf34_+Mf35_+Mf36_+Mf37_)),0)</f>
        <v>0</v>
      </c>
      <c r="AU530" s="24" t="str">
        <f t="shared" si="54"/>
        <v/>
      </c>
      <c r="AV530" s="24" t="str">
        <f t="shared" si="55"/>
        <v/>
      </c>
      <c r="AW530" s="24" t="str">
        <f t="shared" si="56"/>
        <v/>
      </c>
      <c r="AX530" s="72">
        <f t="shared" si="57"/>
        <v>0</v>
      </c>
      <c r="AY530" s="24">
        <f t="shared" si="58"/>
        <v>0</v>
      </c>
      <c r="AZ530" s="24">
        <f t="array" ref="AZ530">IF(OR(RIGHT(B530,LEN(Par_LabelTravelTime))=Par_LabelTravelTime,B530="čas na ceste - fakturácia"),1,0)</f>
        <v>0</v>
      </c>
    </row>
    <row r="531" spans="2:52" s="24" customFormat="1" ht="12.75" x14ac:dyDescent="0.2">
      <c r="B531" s="97"/>
      <c r="C531" s="92"/>
      <c r="D531" s="31" t="str">
        <f>IF(E531=1,VLOOKUP(TableInvs[[#This Row],[Calc_V_Typ]],Tran_RevenuesList,3,FALSE),"")</f>
        <v/>
      </c>
      <c r="E531" s="31">
        <f t="shared" si="53"/>
        <v>0</v>
      </c>
      <c r="F531" s="9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  <c r="S531" s="84"/>
      <c r="T531" s="84"/>
      <c r="U531" s="84"/>
      <c r="V531" s="84"/>
      <c r="W531" s="84"/>
      <c r="X531" s="84"/>
      <c r="Y531" s="84"/>
      <c r="Z531" s="84"/>
      <c r="AA531" s="84"/>
      <c r="AB531" s="84"/>
      <c r="AC531" s="85"/>
      <c r="AD531" s="85"/>
      <c r="AE531" s="84"/>
      <c r="AF531" s="84"/>
      <c r="AG531" s="84"/>
      <c r="AH531" s="84"/>
      <c r="AI531" s="84"/>
      <c r="AJ531" s="84"/>
      <c r="AK531" s="84"/>
      <c r="AL531" s="84"/>
      <c r="AM531" s="84"/>
      <c r="AN531" s="84"/>
      <c r="AO531" s="84"/>
      <c r="AP531" s="84"/>
      <c r="AQ531" s="84"/>
      <c r="AR531" s="84"/>
      <c r="AS531" s="87">
        <f t="array" ref="AS531">IF(E531=1,SUM((ROW(Mf0)=ROW(AS531))*(Mf0+Mf1_+Mf2_+Mf3_+Mf4_+Mf5_+Mf6_+Mf7_+Mf8_+Mf9_+Mf10_+Mf11_+Mf12_+Mf13_+Mf14_+Mf15_+Mf16_+Mf17_+Mf18_+Mf19_+Mf20_+Mf21_+Mf22_+Mf23_+Mf24_+Mf25_+Mf26_+Mf27_+Mf28_+Mf29_+Mf30_+Mf31_+Mf32_+Mf33_+Mf34_+Mf35_+Mf36_+Mf37_)),0)</f>
        <v>0</v>
      </c>
      <c r="AU531" s="24" t="str">
        <f t="shared" si="54"/>
        <v/>
      </c>
      <c r="AV531" s="24" t="str">
        <f t="shared" si="55"/>
        <v/>
      </c>
      <c r="AW531" s="24" t="str">
        <f t="shared" si="56"/>
        <v/>
      </c>
      <c r="AX531" s="72">
        <f t="shared" si="57"/>
        <v>0</v>
      </c>
      <c r="AY531" s="24">
        <f t="shared" si="58"/>
        <v>0</v>
      </c>
      <c r="AZ531" s="24">
        <f t="array" ref="AZ531">IF(OR(RIGHT(B531,LEN(Par_LabelTravelTime))=Par_LabelTravelTime,B531="čas na ceste - fakturácia"),1,0)</f>
        <v>0</v>
      </c>
    </row>
    <row r="532" spans="2:52" s="24" customFormat="1" ht="12.75" x14ac:dyDescent="0.2">
      <c r="B532" s="97"/>
      <c r="C532" s="92"/>
      <c r="D532" s="31" t="str">
        <f>IF(E532=1,VLOOKUP(TableInvs[[#This Row],[Calc_V_Typ]],Tran_RevenuesList,3,FALSE),"")</f>
        <v/>
      </c>
      <c r="E532" s="31">
        <f t="shared" si="53"/>
        <v>0</v>
      </c>
      <c r="F532" s="94"/>
      <c r="G532" s="84"/>
      <c r="H532" s="84"/>
      <c r="I532" s="84"/>
      <c r="J532" s="84"/>
      <c r="K532" s="84"/>
      <c r="L532" s="84"/>
      <c r="M532" s="84"/>
      <c r="N532" s="84"/>
      <c r="O532" s="84"/>
      <c r="P532" s="84"/>
      <c r="Q532" s="84"/>
      <c r="R532" s="84"/>
      <c r="S532" s="84"/>
      <c r="T532" s="84"/>
      <c r="U532" s="84"/>
      <c r="V532" s="84"/>
      <c r="W532" s="84"/>
      <c r="X532" s="84"/>
      <c r="Y532" s="84"/>
      <c r="Z532" s="84"/>
      <c r="AA532" s="84"/>
      <c r="AB532" s="84"/>
      <c r="AC532" s="85"/>
      <c r="AD532" s="85"/>
      <c r="AE532" s="84"/>
      <c r="AF532" s="84"/>
      <c r="AG532" s="84"/>
      <c r="AH532" s="84"/>
      <c r="AI532" s="84"/>
      <c r="AJ532" s="84"/>
      <c r="AK532" s="84"/>
      <c r="AL532" s="84"/>
      <c r="AM532" s="84"/>
      <c r="AN532" s="84"/>
      <c r="AO532" s="84"/>
      <c r="AP532" s="84"/>
      <c r="AQ532" s="84"/>
      <c r="AR532" s="84"/>
      <c r="AS532" s="87">
        <f t="array" ref="AS532">IF(E532=1,SUM((ROW(Mf0)=ROW(AS532))*(Mf0+Mf1_+Mf2_+Mf3_+Mf4_+Mf5_+Mf6_+Mf7_+Mf8_+Mf9_+Mf10_+Mf11_+Mf12_+Mf13_+Mf14_+Mf15_+Mf16_+Mf17_+Mf18_+Mf19_+Mf20_+Mf21_+Mf22_+Mf23_+Mf24_+Mf25_+Mf26_+Mf27_+Mf28_+Mf29_+Mf30_+Mf31_+Mf32_+Mf33_+Mf34_+Mf35_+Mf36_+Mf37_)),0)</f>
        <v>0</v>
      </c>
      <c r="AU532" s="24" t="str">
        <f t="shared" si="54"/>
        <v/>
      </c>
      <c r="AV532" s="24" t="str">
        <f t="shared" si="55"/>
        <v/>
      </c>
      <c r="AW532" s="24" t="str">
        <f t="shared" si="56"/>
        <v/>
      </c>
      <c r="AX532" s="72">
        <f t="shared" si="57"/>
        <v>0</v>
      </c>
      <c r="AY532" s="24">
        <f t="shared" si="58"/>
        <v>0</v>
      </c>
      <c r="AZ532" s="24">
        <f t="array" ref="AZ532">IF(OR(RIGHT(B532,LEN(Par_LabelTravelTime))=Par_LabelTravelTime,B532="čas na ceste - fakturácia"),1,0)</f>
        <v>0</v>
      </c>
    </row>
    <row r="533" spans="2:52" s="24" customFormat="1" ht="12.75" x14ac:dyDescent="0.2">
      <c r="B533" s="97"/>
      <c r="C533" s="92"/>
      <c r="D533" s="31" t="str">
        <f>IF(E533=1,VLOOKUP(TableInvs[[#This Row],[Calc_V_Typ]],Tran_RevenuesList,3,FALSE),"")</f>
        <v/>
      </c>
      <c r="E533" s="31">
        <f t="shared" si="53"/>
        <v>0</v>
      </c>
      <c r="F533" s="94"/>
      <c r="G533" s="84"/>
      <c r="H533" s="84"/>
      <c r="I533" s="84"/>
      <c r="J533" s="84"/>
      <c r="K533" s="84"/>
      <c r="L533" s="84"/>
      <c r="M533" s="84"/>
      <c r="N533" s="84"/>
      <c r="O533" s="84"/>
      <c r="P533" s="84"/>
      <c r="Q533" s="84"/>
      <c r="R533" s="84"/>
      <c r="S533" s="84"/>
      <c r="T533" s="84"/>
      <c r="U533" s="84"/>
      <c r="V533" s="84"/>
      <c r="W533" s="84"/>
      <c r="X533" s="84"/>
      <c r="Y533" s="84"/>
      <c r="Z533" s="84"/>
      <c r="AA533" s="84"/>
      <c r="AB533" s="84"/>
      <c r="AC533" s="85"/>
      <c r="AD533" s="85"/>
      <c r="AE533" s="84"/>
      <c r="AF533" s="84"/>
      <c r="AG533" s="84"/>
      <c r="AH533" s="84"/>
      <c r="AI533" s="84"/>
      <c r="AJ533" s="84"/>
      <c r="AK533" s="84"/>
      <c r="AL533" s="84"/>
      <c r="AM533" s="84"/>
      <c r="AN533" s="84"/>
      <c r="AO533" s="84"/>
      <c r="AP533" s="84"/>
      <c r="AQ533" s="84"/>
      <c r="AR533" s="84"/>
      <c r="AS533" s="87">
        <f t="array" ref="AS533">IF(E533=1,SUM((ROW(Mf0)=ROW(AS533))*(Mf0+Mf1_+Mf2_+Mf3_+Mf4_+Mf5_+Mf6_+Mf7_+Mf8_+Mf9_+Mf10_+Mf11_+Mf12_+Mf13_+Mf14_+Mf15_+Mf16_+Mf17_+Mf18_+Mf19_+Mf20_+Mf21_+Mf22_+Mf23_+Mf24_+Mf25_+Mf26_+Mf27_+Mf28_+Mf29_+Mf30_+Mf31_+Mf32_+Mf33_+Mf34_+Mf35_+Mf36_+Mf37_)),0)</f>
        <v>0</v>
      </c>
      <c r="AU533" s="24" t="str">
        <f t="shared" si="54"/>
        <v/>
      </c>
      <c r="AV533" s="24" t="str">
        <f t="shared" si="55"/>
        <v/>
      </c>
      <c r="AW533" s="24" t="str">
        <f t="shared" si="56"/>
        <v/>
      </c>
      <c r="AX533" s="72">
        <f t="shared" si="57"/>
        <v>0</v>
      </c>
      <c r="AY533" s="24">
        <f t="shared" si="58"/>
        <v>0</v>
      </c>
      <c r="AZ533" s="24">
        <f t="array" ref="AZ533">IF(OR(RIGHT(B533,LEN(Par_LabelTravelTime))=Par_LabelTravelTime,B533="čas na ceste - fakturácia"),1,0)</f>
        <v>0</v>
      </c>
    </row>
    <row r="534" spans="2:52" s="24" customFormat="1" ht="12.75" x14ac:dyDescent="0.2">
      <c r="B534" s="97"/>
      <c r="C534" s="92"/>
      <c r="D534" s="31" t="str">
        <f>IF(E534=1,VLOOKUP(TableInvs[[#This Row],[Calc_V_Typ]],Tran_RevenuesList,3,FALSE),"")</f>
        <v/>
      </c>
      <c r="E534" s="31">
        <f t="shared" si="53"/>
        <v>0</v>
      </c>
      <c r="F534" s="94"/>
      <c r="G534" s="84"/>
      <c r="H534" s="84"/>
      <c r="I534" s="84"/>
      <c r="J534" s="84"/>
      <c r="K534" s="84"/>
      <c r="L534" s="84"/>
      <c r="M534" s="84"/>
      <c r="N534" s="84"/>
      <c r="O534" s="84"/>
      <c r="P534" s="84"/>
      <c r="Q534" s="84"/>
      <c r="R534" s="84"/>
      <c r="S534" s="84"/>
      <c r="T534" s="84"/>
      <c r="U534" s="84"/>
      <c r="V534" s="84"/>
      <c r="W534" s="84"/>
      <c r="X534" s="84"/>
      <c r="Y534" s="84"/>
      <c r="Z534" s="84"/>
      <c r="AA534" s="84"/>
      <c r="AB534" s="84"/>
      <c r="AC534" s="85"/>
      <c r="AD534" s="85"/>
      <c r="AE534" s="84"/>
      <c r="AF534" s="84"/>
      <c r="AG534" s="84"/>
      <c r="AH534" s="84"/>
      <c r="AI534" s="84"/>
      <c r="AJ534" s="84"/>
      <c r="AK534" s="84"/>
      <c r="AL534" s="84"/>
      <c r="AM534" s="84"/>
      <c r="AN534" s="84"/>
      <c r="AO534" s="84"/>
      <c r="AP534" s="84"/>
      <c r="AQ534" s="84"/>
      <c r="AR534" s="84"/>
      <c r="AS534" s="87">
        <f t="array" ref="AS534">IF(E534=1,SUM((ROW(Mf0)=ROW(AS534))*(Mf0+Mf1_+Mf2_+Mf3_+Mf4_+Mf5_+Mf6_+Mf7_+Mf8_+Mf9_+Mf10_+Mf11_+Mf12_+Mf13_+Mf14_+Mf15_+Mf16_+Mf17_+Mf18_+Mf19_+Mf20_+Mf21_+Mf22_+Mf23_+Mf24_+Mf25_+Mf26_+Mf27_+Mf28_+Mf29_+Mf30_+Mf31_+Mf32_+Mf33_+Mf34_+Mf35_+Mf36_+Mf37_)),0)</f>
        <v>0</v>
      </c>
      <c r="AU534" s="24" t="str">
        <f t="shared" si="54"/>
        <v/>
      </c>
      <c r="AV534" s="24" t="str">
        <f t="shared" si="55"/>
        <v/>
      </c>
      <c r="AW534" s="24" t="str">
        <f t="shared" si="56"/>
        <v/>
      </c>
      <c r="AX534" s="72">
        <f t="shared" si="57"/>
        <v>0</v>
      </c>
      <c r="AY534" s="24">
        <f t="shared" si="58"/>
        <v>0</v>
      </c>
      <c r="AZ534" s="24">
        <f t="array" ref="AZ534">IF(OR(RIGHT(B534,LEN(Par_LabelTravelTime))=Par_LabelTravelTime,B534="čas na ceste - fakturácia"),1,0)</f>
        <v>0</v>
      </c>
    </row>
    <row r="535" spans="2:52" s="24" customFormat="1" ht="12.75" x14ac:dyDescent="0.2">
      <c r="B535" s="97"/>
      <c r="C535" s="92"/>
      <c r="D535" s="31" t="str">
        <f>IF(E535=1,VLOOKUP(TableInvs[[#This Row],[Calc_V_Typ]],Tran_RevenuesList,3,FALSE),"")</f>
        <v/>
      </c>
      <c r="E535" s="31">
        <f t="shared" si="53"/>
        <v>0</v>
      </c>
      <c r="F535" s="94"/>
      <c r="G535" s="84"/>
      <c r="H535" s="84"/>
      <c r="I535" s="84"/>
      <c r="J535" s="84"/>
      <c r="K535" s="84"/>
      <c r="L535" s="84"/>
      <c r="M535" s="84"/>
      <c r="N535" s="84"/>
      <c r="O535" s="84"/>
      <c r="P535" s="84"/>
      <c r="Q535" s="84"/>
      <c r="R535" s="84"/>
      <c r="S535" s="84"/>
      <c r="T535" s="84"/>
      <c r="U535" s="84"/>
      <c r="V535" s="84"/>
      <c r="W535" s="84"/>
      <c r="X535" s="84"/>
      <c r="Y535" s="84"/>
      <c r="Z535" s="84"/>
      <c r="AA535" s="84"/>
      <c r="AB535" s="84"/>
      <c r="AC535" s="85"/>
      <c r="AD535" s="85"/>
      <c r="AE535" s="84"/>
      <c r="AF535" s="84"/>
      <c r="AG535" s="84"/>
      <c r="AH535" s="84"/>
      <c r="AI535" s="84"/>
      <c r="AJ535" s="84"/>
      <c r="AK535" s="84"/>
      <c r="AL535" s="84"/>
      <c r="AM535" s="84"/>
      <c r="AN535" s="84"/>
      <c r="AO535" s="84"/>
      <c r="AP535" s="84"/>
      <c r="AQ535" s="84"/>
      <c r="AR535" s="84"/>
      <c r="AS535" s="87">
        <f t="array" ref="AS535">IF(E535=1,SUM((ROW(Mf0)=ROW(AS535))*(Mf0+Mf1_+Mf2_+Mf3_+Mf4_+Mf5_+Mf6_+Mf7_+Mf8_+Mf9_+Mf10_+Mf11_+Mf12_+Mf13_+Mf14_+Mf15_+Mf16_+Mf17_+Mf18_+Mf19_+Mf20_+Mf21_+Mf22_+Mf23_+Mf24_+Mf25_+Mf26_+Mf27_+Mf28_+Mf29_+Mf30_+Mf31_+Mf32_+Mf33_+Mf34_+Mf35_+Mf36_+Mf37_)),0)</f>
        <v>0</v>
      </c>
      <c r="AU535" s="24" t="str">
        <f t="shared" si="54"/>
        <v/>
      </c>
      <c r="AV535" s="24" t="str">
        <f t="shared" si="55"/>
        <v/>
      </c>
      <c r="AW535" s="24" t="str">
        <f t="shared" si="56"/>
        <v/>
      </c>
      <c r="AX535" s="72">
        <f t="shared" si="57"/>
        <v>0</v>
      </c>
      <c r="AY535" s="24">
        <f t="shared" si="58"/>
        <v>0</v>
      </c>
      <c r="AZ535" s="24">
        <f t="array" ref="AZ535">IF(OR(RIGHT(B535,LEN(Par_LabelTravelTime))=Par_LabelTravelTime,B535="čas na ceste - fakturácia"),1,0)</f>
        <v>0</v>
      </c>
    </row>
    <row r="536" spans="2:52" s="24" customFormat="1" ht="12.75" x14ac:dyDescent="0.2">
      <c r="B536" s="97"/>
      <c r="C536" s="92"/>
      <c r="D536" s="31" t="str">
        <f>IF(E536=1,VLOOKUP(TableInvs[[#This Row],[Calc_V_Typ]],Tran_RevenuesList,3,FALSE),"")</f>
        <v/>
      </c>
      <c r="E536" s="31">
        <f t="shared" si="53"/>
        <v>0</v>
      </c>
      <c r="F536" s="9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  <c r="AA536" s="84"/>
      <c r="AB536" s="84"/>
      <c r="AC536" s="85"/>
      <c r="AD536" s="85"/>
      <c r="AE536" s="84"/>
      <c r="AF536" s="84"/>
      <c r="AG536" s="84"/>
      <c r="AH536" s="84"/>
      <c r="AI536" s="84"/>
      <c r="AJ536" s="84"/>
      <c r="AK536" s="84"/>
      <c r="AL536" s="84"/>
      <c r="AM536" s="84"/>
      <c r="AN536" s="84"/>
      <c r="AO536" s="84"/>
      <c r="AP536" s="84"/>
      <c r="AQ536" s="84"/>
      <c r="AR536" s="84"/>
      <c r="AS536" s="87">
        <f t="array" ref="AS536">IF(E536=1,SUM((ROW(Mf0)=ROW(AS536))*(Mf0+Mf1_+Mf2_+Mf3_+Mf4_+Mf5_+Mf6_+Mf7_+Mf8_+Mf9_+Mf10_+Mf11_+Mf12_+Mf13_+Mf14_+Mf15_+Mf16_+Mf17_+Mf18_+Mf19_+Mf20_+Mf21_+Mf22_+Mf23_+Mf24_+Mf25_+Mf26_+Mf27_+Mf28_+Mf29_+Mf30_+Mf31_+Mf32_+Mf33_+Mf34_+Mf35_+Mf36_+Mf37_)),0)</f>
        <v>0</v>
      </c>
      <c r="AU536" s="24" t="str">
        <f t="shared" si="54"/>
        <v/>
      </c>
      <c r="AV536" s="24" t="str">
        <f t="shared" si="55"/>
        <v/>
      </c>
      <c r="AW536" s="24" t="str">
        <f t="shared" si="56"/>
        <v/>
      </c>
      <c r="AX536" s="72">
        <f t="shared" si="57"/>
        <v>0</v>
      </c>
      <c r="AY536" s="24">
        <f t="shared" si="58"/>
        <v>0</v>
      </c>
      <c r="AZ536" s="24">
        <f t="array" ref="AZ536">IF(OR(RIGHT(B536,LEN(Par_LabelTravelTime))=Par_LabelTravelTime,B536="čas na ceste - fakturácia"),1,0)</f>
        <v>0</v>
      </c>
    </row>
    <row r="537" spans="2:52" s="24" customFormat="1" ht="12.75" x14ac:dyDescent="0.2">
      <c r="B537" s="97"/>
      <c r="C537" s="92"/>
      <c r="D537" s="31" t="str">
        <f>IF(E537=1,VLOOKUP(TableInvs[[#This Row],[Calc_V_Typ]],Tran_RevenuesList,3,FALSE),"")</f>
        <v/>
      </c>
      <c r="E537" s="31">
        <f t="shared" si="53"/>
        <v>0</v>
      </c>
      <c r="F537" s="9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  <c r="AA537" s="84"/>
      <c r="AB537" s="84"/>
      <c r="AC537" s="85"/>
      <c r="AD537" s="85"/>
      <c r="AE537" s="84"/>
      <c r="AF537" s="84"/>
      <c r="AG537" s="84"/>
      <c r="AH537" s="84"/>
      <c r="AI537" s="84"/>
      <c r="AJ537" s="84"/>
      <c r="AK537" s="84"/>
      <c r="AL537" s="84"/>
      <c r="AM537" s="84"/>
      <c r="AN537" s="84"/>
      <c r="AO537" s="84"/>
      <c r="AP537" s="84"/>
      <c r="AQ537" s="84"/>
      <c r="AR537" s="84"/>
      <c r="AS537" s="87">
        <f t="array" ref="AS537">IF(E537=1,SUM((ROW(Mf0)=ROW(AS537))*(Mf0+Mf1_+Mf2_+Mf3_+Mf4_+Mf5_+Mf6_+Mf7_+Mf8_+Mf9_+Mf10_+Mf11_+Mf12_+Mf13_+Mf14_+Mf15_+Mf16_+Mf17_+Mf18_+Mf19_+Mf20_+Mf21_+Mf22_+Mf23_+Mf24_+Mf25_+Mf26_+Mf27_+Mf28_+Mf29_+Mf30_+Mf31_+Mf32_+Mf33_+Mf34_+Mf35_+Mf36_+Mf37_)),0)</f>
        <v>0</v>
      </c>
      <c r="AU537" s="24" t="str">
        <f t="shared" si="54"/>
        <v/>
      </c>
      <c r="AV537" s="24" t="str">
        <f t="shared" si="55"/>
        <v/>
      </c>
      <c r="AW537" s="24" t="str">
        <f t="shared" si="56"/>
        <v/>
      </c>
      <c r="AX537" s="72">
        <f t="shared" si="57"/>
        <v>0</v>
      </c>
      <c r="AY537" s="24">
        <f t="shared" si="58"/>
        <v>0</v>
      </c>
      <c r="AZ537" s="24">
        <f t="array" ref="AZ537">IF(OR(RIGHT(B537,LEN(Par_LabelTravelTime))=Par_LabelTravelTime,B537="čas na ceste - fakturácia"),1,0)</f>
        <v>0</v>
      </c>
    </row>
    <row r="538" spans="2:52" s="24" customFormat="1" ht="12.75" x14ac:dyDescent="0.2">
      <c r="B538" s="97"/>
      <c r="C538" s="92"/>
      <c r="D538" s="31" t="str">
        <f>IF(E538=1,VLOOKUP(TableInvs[[#This Row],[Calc_V_Typ]],Tran_RevenuesList,3,FALSE),"")</f>
        <v/>
      </c>
      <c r="E538" s="31">
        <f t="shared" si="53"/>
        <v>0</v>
      </c>
      <c r="F538" s="9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  <c r="R538" s="84"/>
      <c r="S538" s="84"/>
      <c r="T538" s="84"/>
      <c r="U538" s="84"/>
      <c r="V538" s="84"/>
      <c r="W538" s="84"/>
      <c r="X538" s="84"/>
      <c r="Y538" s="84"/>
      <c r="Z538" s="84"/>
      <c r="AA538" s="84"/>
      <c r="AB538" s="84"/>
      <c r="AC538" s="85"/>
      <c r="AD538" s="85"/>
      <c r="AE538" s="84"/>
      <c r="AF538" s="84"/>
      <c r="AG538" s="84"/>
      <c r="AH538" s="84"/>
      <c r="AI538" s="84"/>
      <c r="AJ538" s="84"/>
      <c r="AK538" s="84"/>
      <c r="AL538" s="84"/>
      <c r="AM538" s="84"/>
      <c r="AN538" s="84"/>
      <c r="AO538" s="84"/>
      <c r="AP538" s="84"/>
      <c r="AQ538" s="84"/>
      <c r="AR538" s="84"/>
      <c r="AS538" s="87">
        <f t="array" ref="AS538">IF(E538=1,SUM((ROW(Mf0)=ROW(AS538))*(Mf0+Mf1_+Mf2_+Mf3_+Mf4_+Mf5_+Mf6_+Mf7_+Mf8_+Mf9_+Mf10_+Mf11_+Mf12_+Mf13_+Mf14_+Mf15_+Mf16_+Mf17_+Mf18_+Mf19_+Mf20_+Mf21_+Mf22_+Mf23_+Mf24_+Mf25_+Mf26_+Mf27_+Mf28_+Mf29_+Mf30_+Mf31_+Mf32_+Mf33_+Mf34_+Mf35_+Mf36_+Mf37_)),0)</f>
        <v>0</v>
      </c>
      <c r="AU538" s="24" t="str">
        <f t="shared" si="54"/>
        <v/>
      </c>
      <c r="AV538" s="24" t="str">
        <f t="shared" si="55"/>
        <v/>
      </c>
      <c r="AW538" s="24" t="str">
        <f t="shared" si="56"/>
        <v/>
      </c>
      <c r="AX538" s="72">
        <f t="shared" si="57"/>
        <v>0</v>
      </c>
      <c r="AY538" s="24">
        <f t="shared" si="58"/>
        <v>0</v>
      </c>
      <c r="AZ538" s="24">
        <f t="array" ref="AZ538">IF(OR(RIGHT(B538,LEN(Par_LabelTravelTime))=Par_LabelTravelTime,B538="čas na ceste - fakturácia"),1,0)</f>
        <v>0</v>
      </c>
    </row>
    <row r="539" spans="2:52" s="24" customFormat="1" ht="12.75" x14ac:dyDescent="0.2">
      <c r="B539" s="97"/>
      <c r="C539" s="92"/>
      <c r="D539" s="31" t="str">
        <f>IF(E539=1,VLOOKUP(TableInvs[[#This Row],[Calc_V_Typ]],Tran_RevenuesList,3,FALSE),"")</f>
        <v/>
      </c>
      <c r="E539" s="31">
        <f t="shared" si="53"/>
        <v>0</v>
      </c>
      <c r="F539" s="9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  <c r="R539" s="84"/>
      <c r="S539" s="84"/>
      <c r="T539" s="84"/>
      <c r="U539" s="84"/>
      <c r="V539" s="84"/>
      <c r="W539" s="84"/>
      <c r="X539" s="84"/>
      <c r="Y539" s="84"/>
      <c r="Z539" s="84"/>
      <c r="AA539" s="84"/>
      <c r="AB539" s="84"/>
      <c r="AC539" s="85"/>
      <c r="AD539" s="85"/>
      <c r="AE539" s="84"/>
      <c r="AF539" s="84"/>
      <c r="AG539" s="84"/>
      <c r="AH539" s="84"/>
      <c r="AI539" s="84"/>
      <c r="AJ539" s="84"/>
      <c r="AK539" s="84"/>
      <c r="AL539" s="84"/>
      <c r="AM539" s="84"/>
      <c r="AN539" s="84"/>
      <c r="AO539" s="84"/>
      <c r="AP539" s="84"/>
      <c r="AQ539" s="84"/>
      <c r="AR539" s="84"/>
      <c r="AS539" s="87">
        <f t="array" ref="AS539">IF(E539=1,SUM((ROW(Mf0)=ROW(AS539))*(Mf0+Mf1_+Mf2_+Mf3_+Mf4_+Mf5_+Mf6_+Mf7_+Mf8_+Mf9_+Mf10_+Mf11_+Mf12_+Mf13_+Mf14_+Mf15_+Mf16_+Mf17_+Mf18_+Mf19_+Mf20_+Mf21_+Mf22_+Mf23_+Mf24_+Mf25_+Mf26_+Mf27_+Mf28_+Mf29_+Mf30_+Mf31_+Mf32_+Mf33_+Mf34_+Mf35_+Mf36_+Mf37_)),0)</f>
        <v>0</v>
      </c>
      <c r="AU539" s="24" t="str">
        <f t="shared" si="54"/>
        <v/>
      </c>
      <c r="AV539" s="24" t="str">
        <f t="shared" si="55"/>
        <v/>
      </c>
      <c r="AW539" s="24" t="str">
        <f t="shared" si="56"/>
        <v/>
      </c>
      <c r="AX539" s="72">
        <f t="shared" si="57"/>
        <v>0</v>
      </c>
      <c r="AY539" s="24">
        <f t="shared" si="58"/>
        <v>0</v>
      </c>
      <c r="AZ539" s="24">
        <f t="array" ref="AZ539">IF(OR(RIGHT(B539,LEN(Par_LabelTravelTime))=Par_LabelTravelTime,B539="čas na ceste - fakturácia"),1,0)</f>
        <v>0</v>
      </c>
    </row>
    <row r="540" spans="2:52" s="24" customFormat="1" ht="12.75" x14ac:dyDescent="0.2">
      <c r="B540" s="97"/>
      <c r="C540" s="92"/>
      <c r="D540" s="31" t="str">
        <f>IF(E540=1,VLOOKUP(TableInvs[[#This Row],[Calc_V_Typ]],Tran_RevenuesList,3,FALSE),"")</f>
        <v/>
      </c>
      <c r="E540" s="31">
        <f t="shared" si="53"/>
        <v>0</v>
      </c>
      <c r="F540" s="9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  <c r="R540" s="84"/>
      <c r="S540" s="84"/>
      <c r="T540" s="84"/>
      <c r="U540" s="84"/>
      <c r="V540" s="84"/>
      <c r="W540" s="84"/>
      <c r="X540" s="84"/>
      <c r="Y540" s="84"/>
      <c r="Z540" s="84"/>
      <c r="AA540" s="84"/>
      <c r="AB540" s="84"/>
      <c r="AC540" s="85"/>
      <c r="AD540" s="85"/>
      <c r="AE540" s="84"/>
      <c r="AF540" s="84"/>
      <c r="AG540" s="84"/>
      <c r="AH540" s="84"/>
      <c r="AI540" s="84"/>
      <c r="AJ540" s="84"/>
      <c r="AK540" s="84"/>
      <c r="AL540" s="84"/>
      <c r="AM540" s="84"/>
      <c r="AN540" s="84"/>
      <c r="AO540" s="84"/>
      <c r="AP540" s="84"/>
      <c r="AQ540" s="84"/>
      <c r="AR540" s="84"/>
      <c r="AS540" s="87">
        <f t="array" ref="AS540">IF(E540=1,SUM((ROW(Mf0)=ROW(AS540))*(Mf0+Mf1_+Mf2_+Mf3_+Mf4_+Mf5_+Mf6_+Mf7_+Mf8_+Mf9_+Mf10_+Mf11_+Mf12_+Mf13_+Mf14_+Mf15_+Mf16_+Mf17_+Mf18_+Mf19_+Mf20_+Mf21_+Mf22_+Mf23_+Mf24_+Mf25_+Mf26_+Mf27_+Mf28_+Mf29_+Mf30_+Mf31_+Mf32_+Mf33_+Mf34_+Mf35_+Mf36_+Mf37_)),0)</f>
        <v>0</v>
      </c>
      <c r="AU540" s="24" t="str">
        <f t="shared" si="54"/>
        <v/>
      </c>
      <c r="AV540" s="24" t="str">
        <f t="shared" si="55"/>
        <v/>
      </c>
      <c r="AW540" s="24" t="str">
        <f t="shared" si="56"/>
        <v/>
      </c>
      <c r="AX540" s="72">
        <f t="shared" si="57"/>
        <v>0</v>
      </c>
      <c r="AY540" s="24">
        <f t="shared" si="58"/>
        <v>0</v>
      </c>
      <c r="AZ540" s="24">
        <f t="array" ref="AZ540">IF(OR(RIGHT(B540,LEN(Par_LabelTravelTime))=Par_LabelTravelTime,B540="čas na ceste - fakturácia"),1,0)</f>
        <v>0</v>
      </c>
    </row>
    <row r="541" spans="2:52" s="24" customFormat="1" ht="12.75" x14ac:dyDescent="0.2">
      <c r="B541" s="97"/>
      <c r="C541" s="92"/>
      <c r="D541" s="31" t="str">
        <f>IF(E541=1,VLOOKUP(TableInvs[[#This Row],[Calc_V_Typ]],Tran_RevenuesList,3,FALSE),"")</f>
        <v/>
      </c>
      <c r="E541" s="31">
        <f t="shared" si="53"/>
        <v>0</v>
      </c>
      <c r="F541" s="9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  <c r="R541" s="84"/>
      <c r="S541" s="84"/>
      <c r="T541" s="84"/>
      <c r="U541" s="84"/>
      <c r="V541" s="84"/>
      <c r="W541" s="84"/>
      <c r="X541" s="84"/>
      <c r="Y541" s="84"/>
      <c r="Z541" s="84"/>
      <c r="AA541" s="84"/>
      <c r="AB541" s="84"/>
      <c r="AC541" s="85"/>
      <c r="AD541" s="85"/>
      <c r="AE541" s="84"/>
      <c r="AF541" s="84"/>
      <c r="AG541" s="84"/>
      <c r="AH541" s="84"/>
      <c r="AI541" s="84"/>
      <c r="AJ541" s="84"/>
      <c r="AK541" s="84"/>
      <c r="AL541" s="84"/>
      <c r="AM541" s="84"/>
      <c r="AN541" s="84"/>
      <c r="AO541" s="84"/>
      <c r="AP541" s="84"/>
      <c r="AQ541" s="84"/>
      <c r="AR541" s="84"/>
      <c r="AS541" s="87">
        <f t="array" ref="AS541">IF(E541=1,SUM((ROW(Mf0)=ROW(AS541))*(Mf0+Mf1_+Mf2_+Mf3_+Mf4_+Mf5_+Mf6_+Mf7_+Mf8_+Mf9_+Mf10_+Mf11_+Mf12_+Mf13_+Mf14_+Mf15_+Mf16_+Mf17_+Mf18_+Mf19_+Mf20_+Mf21_+Mf22_+Mf23_+Mf24_+Mf25_+Mf26_+Mf27_+Mf28_+Mf29_+Mf30_+Mf31_+Mf32_+Mf33_+Mf34_+Mf35_+Mf36_+Mf37_)),0)</f>
        <v>0</v>
      </c>
      <c r="AU541" s="24" t="str">
        <f t="shared" si="54"/>
        <v/>
      </c>
      <c r="AV541" s="24" t="str">
        <f t="shared" si="55"/>
        <v/>
      </c>
      <c r="AW541" s="24" t="str">
        <f t="shared" si="56"/>
        <v/>
      </c>
      <c r="AX541" s="72">
        <f t="shared" si="57"/>
        <v>0</v>
      </c>
      <c r="AY541" s="24">
        <f t="shared" si="58"/>
        <v>0</v>
      </c>
      <c r="AZ541" s="24">
        <f t="array" ref="AZ541">IF(OR(RIGHT(B541,LEN(Par_LabelTravelTime))=Par_LabelTravelTime,B541="čas na ceste - fakturácia"),1,0)</f>
        <v>0</v>
      </c>
    </row>
    <row r="542" spans="2:52" s="24" customFormat="1" ht="12.75" x14ac:dyDescent="0.2">
      <c r="B542" s="97"/>
      <c r="C542" s="92"/>
      <c r="D542" s="31" t="str">
        <f>IF(E542=1,VLOOKUP(TableInvs[[#This Row],[Calc_V_Typ]],Tran_RevenuesList,3,FALSE),"")</f>
        <v/>
      </c>
      <c r="E542" s="31">
        <f t="shared" si="53"/>
        <v>0</v>
      </c>
      <c r="F542" s="9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  <c r="R542" s="84"/>
      <c r="S542" s="84"/>
      <c r="T542" s="84"/>
      <c r="U542" s="84"/>
      <c r="V542" s="84"/>
      <c r="W542" s="84"/>
      <c r="X542" s="84"/>
      <c r="Y542" s="84"/>
      <c r="Z542" s="84"/>
      <c r="AA542" s="84"/>
      <c r="AB542" s="84"/>
      <c r="AC542" s="85"/>
      <c r="AD542" s="85"/>
      <c r="AE542" s="84"/>
      <c r="AF542" s="84"/>
      <c r="AG542" s="84"/>
      <c r="AH542" s="84"/>
      <c r="AI542" s="84"/>
      <c r="AJ542" s="84"/>
      <c r="AK542" s="84"/>
      <c r="AL542" s="84"/>
      <c r="AM542" s="84"/>
      <c r="AN542" s="84"/>
      <c r="AO542" s="84"/>
      <c r="AP542" s="84"/>
      <c r="AQ542" s="84"/>
      <c r="AR542" s="84"/>
      <c r="AS542" s="87">
        <f t="array" ref="AS542">IF(E542=1,SUM((ROW(Mf0)=ROW(AS542))*(Mf0+Mf1_+Mf2_+Mf3_+Mf4_+Mf5_+Mf6_+Mf7_+Mf8_+Mf9_+Mf10_+Mf11_+Mf12_+Mf13_+Mf14_+Mf15_+Mf16_+Mf17_+Mf18_+Mf19_+Mf20_+Mf21_+Mf22_+Mf23_+Mf24_+Mf25_+Mf26_+Mf27_+Mf28_+Mf29_+Mf30_+Mf31_+Mf32_+Mf33_+Mf34_+Mf35_+Mf36_+Mf37_)),0)</f>
        <v>0</v>
      </c>
      <c r="AU542" s="24" t="str">
        <f t="shared" si="54"/>
        <v/>
      </c>
      <c r="AV542" s="24" t="str">
        <f t="shared" si="55"/>
        <v/>
      </c>
      <c r="AW542" s="24" t="str">
        <f t="shared" si="56"/>
        <v/>
      </c>
      <c r="AX542" s="72">
        <f t="shared" si="57"/>
        <v>0</v>
      </c>
      <c r="AY542" s="24">
        <f t="shared" si="58"/>
        <v>0</v>
      </c>
      <c r="AZ542" s="24">
        <f t="array" ref="AZ542">IF(OR(RIGHT(B542,LEN(Par_LabelTravelTime))=Par_LabelTravelTime,B542="čas na ceste - fakturácia"),1,0)</f>
        <v>0</v>
      </c>
    </row>
    <row r="543" spans="2:52" s="24" customFormat="1" ht="12.75" x14ac:dyDescent="0.2">
      <c r="B543" s="97"/>
      <c r="C543" s="92"/>
      <c r="D543" s="31" t="str">
        <f>IF(E543=1,VLOOKUP(TableInvs[[#This Row],[Calc_V_Typ]],Tran_RevenuesList,3,FALSE),"")</f>
        <v/>
      </c>
      <c r="E543" s="31">
        <f t="shared" si="53"/>
        <v>0</v>
      </c>
      <c r="F543" s="94"/>
      <c r="G543" s="84"/>
      <c r="H543" s="84"/>
      <c r="I543" s="84"/>
      <c r="J543" s="84"/>
      <c r="K543" s="84"/>
      <c r="L543" s="84"/>
      <c r="M543" s="84"/>
      <c r="N543" s="84"/>
      <c r="O543" s="84"/>
      <c r="P543" s="84"/>
      <c r="Q543" s="84"/>
      <c r="R543" s="84"/>
      <c r="S543" s="84"/>
      <c r="T543" s="84"/>
      <c r="U543" s="84"/>
      <c r="V543" s="84"/>
      <c r="W543" s="84"/>
      <c r="X543" s="84"/>
      <c r="Y543" s="84"/>
      <c r="Z543" s="84"/>
      <c r="AA543" s="84"/>
      <c r="AB543" s="84"/>
      <c r="AC543" s="85"/>
      <c r="AD543" s="85"/>
      <c r="AE543" s="84"/>
      <c r="AF543" s="84"/>
      <c r="AG543" s="84"/>
      <c r="AH543" s="84"/>
      <c r="AI543" s="84"/>
      <c r="AJ543" s="84"/>
      <c r="AK543" s="84"/>
      <c r="AL543" s="84"/>
      <c r="AM543" s="84"/>
      <c r="AN543" s="84"/>
      <c r="AO543" s="84"/>
      <c r="AP543" s="84"/>
      <c r="AQ543" s="84"/>
      <c r="AR543" s="84"/>
      <c r="AS543" s="87">
        <f t="array" ref="AS543">IF(E543=1,SUM((ROW(Mf0)=ROW(AS543))*(Mf0+Mf1_+Mf2_+Mf3_+Mf4_+Mf5_+Mf6_+Mf7_+Mf8_+Mf9_+Mf10_+Mf11_+Mf12_+Mf13_+Mf14_+Mf15_+Mf16_+Mf17_+Mf18_+Mf19_+Mf20_+Mf21_+Mf22_+Mf23_+Mf24_+Mf25_+Mf26_+Mf27_+Mf28_+Mf29_+Mf30_+Mf31_+Mf32_+Mf33_+Mf34_+Mf35_+Mf36_+Mf37_)),0)</f>
        <v>0</v>
      </c>
      <c r="AU543" s="24" t="str">
        <f t="shared" si="54"/>
        <v/>
      </c>
      <c r="AV543" s="24" t="str">
        <f t="shared" si="55"/>
        <v/>
      </c>
      <c r="AW543" s="24" t="str">
        <f t="shared" si="56"/>
        <v/>
      </c>
      <c r="AX543" s="72">
        <f t="shared" si="57"/>
        <v>0</v>
      </c>
      <c r="AY543" s="24">
        <f t="shared" si="58"/>
        <v>0</v>
      </c>
      <c r="AZ543" s="24">
        <f t="array" ref="AZ543">IF(OR(RIGHT(B543,LEN(Par_LabelTravelTime))=Par_LabelTravelTime,B543="čas na ceste - fakturácia"),1,0)</f>
        <v>0</v>
      </c>
    </row>
    <row r="544" spans="2:52" s="24" customFormat="1" ht="12.75" x14ac:dyDescent="0.2">
      <c r="B544" s="97"/>
      <c r="C544" s="92"/>
      <c r="D544" s="31" t="str">
        <f>IF(E544=1,VLOOKUP(TableInvs[[#This Row],[Calc_V_Typ]],Tran_RevenuesList,3,FALSE),"")</f>
        <v/>
      </c>
      <c r="E544" s="31">
        <f t="shared" si="53"/>
        <v>0</v>
      </c>
      <c r="F544" s="94"/>
      <c r="G544" s="84"/>
      <c r="H544" s="84"/>
      <c r="I544" s="84"/>
      <c r="J544" s="84"/>
      <c r="K544" s="84"/>
      <c r="L544" s="84"/>
      <c r="M544" s="84"/>
      <c r="N544" s="84"/>
      <c r="O544" s="84"/>
      <c r="P544" s="84"/>
      <c r="Q544" s="84"/>
      <c r="R544" s="84"/>
      <c r="S544" s="84"/>
      <c r="T544" s="84"/>
      <c r="U544" s="84"/>
      <c r="V544" s="84"/>
      <c r="W544" s="84"/>
      <c r="X544" s="84"/>
      <c r="Y544" s="84"/>
      <c r="Z544" s="84"/>
      <c r="AA544" s="84"/>
      <c r="AB544" s="84"/>
      <c r="AC544" s="85"/>
      <c r="AD544" s="85"/>
      <c r="AE544" s="84"/>
      <c r="AF544" s="84"/>
      <c r="AG544" s="84"/>
      <c r="AH544" s="84"/>
      <c r="AI544" s="84"/>
      <c r="AJ544" s="84"/>
      <c r="AK544" s="84"/>
      <c r="AL544" s="84"/>
      <c r="AM544" s="84"/>
      <c r="AN544" s="84"/>
      <c r="AO544" s="84"/>
      <c r="AP544" s="84"/>
      <c r="AQ544" s="84"/>
      <c r="AR544" s="84"/>
      <c r="AS544" s="87">
        <f t="array" ref="AS544">IF(E544=1,SUM((ROW(Mf0)=ROW(AS544))*(Mf0+Mf1_+Mf2_+Mf3_+Mf4_+Mf5_+Mf6_+Mf7_+Mf8_+Mf9_+Mf10_+Mf11_+Mf12_+Mf13_+Mf14_+Mf15_+Mf16_+Mf17_+Mf18_+Mf19_+Mf20_+Mf21_+Mf22_+Mf23_+Mf24_+Mf25_+Mf26_+Mf27_+Mf28_+Mf29_+Mf30_+Mf31_+Mf32_+Mf33_+Mf34_+Mf35_+Mf36_+Mf37_)),0)</f>
        <v>0</v>
      </c>
      <c r="AU544" s="24" t="str">
        <f t="shared" si="54"/>
        <v/>
      </c>
      <c r="AV544" s="24" t="str">
        <f t="shared" si="55"/>
        <v/>
      </c>
      <c r="AW544" s="24" t="str">
        <f t="shared" si="56"/>
        <v/>
      </c>
      <c r="AX544" s="72">
        <f t="shared" si="57"/>
        <v>0</v>
      </c>
      <c r="AY544" s="24">
        <f t="shared" si="58"/>
        <v>0</v>
      </c>
      <c r="AZ544" s="24">
        <f t="array" ref="AZ544">IF(OR(RIGHT(B544,LEN(Par_LabelTravelTime))=Par_LabelTravelTime,B544="čas na ceste - fakturácia"),1,0)</f>
        <v>0</v>
      </c>
    </row>
    <row r="545" spans="2:52" s="24" customFormat="1" ht="12.75" x14ac:dyDescent="0.2">
      <c r="B545" s="97"/>
      <c r="C545" s="92"/>
      <c r="D545" s="31" t="str">
        <f>IF(E545=1,VLOOKUP(TableInvs[[#This Row],[Calc_V_Typ]],Tran_RevenuesList,3,FALSE),"")</f>
        <v/>
      </c>
      <c r="E545" s="31">
        <f t="shared" si="53"/>
        <v>0</v>
      </c>
      <c r="F545" s="94"/>
      <c r="G545" s="84"/>
      <c r="H545" s="84"/>
      <c r="I545" s="84"/>
      <c r="J545" s="84"/>
      <c r="K545" s="84"/>
      <c r="L545" s="84"/>
      <c r="M545" s="84"/>
      <c r="N545" s="84"/>
      <c r="O545" s="84"/>
      <c r="P545" s="84"/>
      <c r="Q545" s="84"/>
      <c r="R545" s="84"/>
      <c r="S545" s="84"/>
      <c r="T545" s="84"/>
      <c r="U545" s="84"/>
      <c r="V545" s="84"/>
      <c r="W545" s="84"/>
      <c r="X545" s="84"/>
      <c r="Y545" s="84"/>
      <c r="Z545" s="84"/>
      <c r="AA545" s="84"/>
      <c r="AB545" s="84"/>
      <c r="AC545" s="85"/>
      <c r="AD545" s="85"/>
      <c r="AE545" s="84"/>
      <c r="AF545" s="84"/>
      <c r="AG545" s="84"/>
      <c r="AH545" s="84"/>
      <c r="AI545" s="84"/>
      <c r="AJ545" s="84"/>
      <c r="AK545" s="84"/>
      <c r="AL545" s="84"/>
      <c r="AM545" s="84"/>
      <c r="AN545" s="84"/>
      <c r="AO545" s="84"/>
      <c r="AP545" s="84"/>
      <c r="AQ545" s="84"/>
      <c r="AR545" s="84"/>
      <c r="AS545" s="87">
        <f t="array" ref="AS545">IF(E545=1,SUM((ROW(Mf0)=ROW(AS545))*(Mf0+Mf1_+Mf2_+Mf3_+Mf4_+Mf5_+Mf6_+Mf7_+Mf8_+Mf9_+Mf10_+Mf11_+Mf12_+Mf13_+Mf14_+Mf15_+Mf16_+Mf17_+Mf18_+Mf19_+Mf20_+Mf21_+Mf22_+Mf23_+Mf24_+Mf25_+Mf26_+Mf27_+Mf28_+Mf29_+Mf30_+Mf31_+Mf32_+Mf33_+Mf34_+Mf35_+Mf36_+Mf37_)),0)</f>
        <v>0</v>
      </c>
      <c r="AU545" s="24" t="str">
        <f t="shared" si="54"/>
        <v/>
      </c>
      <c r="AV545" s="24" t="str">
        <f t="shared" si="55"/>
        <v/>
      </c>
      <c r="AW545" s="24" t="str">
        <f t="shared" si="56"/>
        <v/>
      </c>
      <c r="AX545" s="72">
        <f t="shared" si="57"/>
        <v>0</v>
      </c>
      <c r="AY545" s="24">
        <f t="shared" si="58"/>
        <v>0</v>
      </c>
      <c r="AZ545" s="24">
        <f t="array" ref="AZ545">IF(OR(RIGHT(B545,LEN(Par_LabelTravelTime))=Par_LabelTravelTime,B545="čas na ceste - fakturácia"),1,0)</f>
        <v>0</v>
      </c>
    </row>
    <row r="546" spans="2:52" s="24" customFormat="1" ht="12.75" x14ac:dyDescent="0.2">
      <c r="B546" s="97"/>
      <c r="C546" s="92"/>
      <c r="D546" s="31" t="str">
        <f>IF(E546=1,VLOOKUP(TableInvs[[#This Row],[Calc_V_Typ]],Tran_RevenuesList,3,FALSE),"")</f>
        <v/>
      </c>
      <c r="E546" s="31">
        <f t="shared" si="53"/>
        <v>0</v>
      </c>
      <c r="F546" s="94"/>
      <c r="G546" s="84"/>
      <c r="H546" s="84"/>
      <c r="I546" s="84"/>
      <c r="J546" s="84"/>
      <c r="K546" s="84"/>
      <c r="L546" s="84"/>
      <c r="M546" s="84"/>
      <c r="N546" s="84"/>
      <c r="O546" s="84"/>
      <c r="P546" s="84"/>
      <c r="Q546" s="84"/>
      <c r="R546" s="84"/>
      <c r="S546" s="84"/>
      <c r="T546" s="84"/>
      <c r="U546" s="84"/>
      <c r="V546" s="84"/>
      <c r="W546" s="84"/>
      <c r="X546" s="84"/>
      <c r="Y546" s="84"/>
      <c r="Z546" s="84"/>
      <c r="AA546" s="84"/>
      <c r="AB546" s="84"/>
      <c r="AC546" s="85"/>
      <c r="AD546" s="85"/>
      <c r="AE546" s="84"/>
      <c r="AF546" s="84"/>
      <c r="AG546" s="84"/>
      <c r="AH546" s="84"/>
      <c r="AI546" s="84"/>
      <c r="AJ546" s="84"/>
      <c r="AK546" s="84"/>
      <c r="AL546" s="84"/>
      <c r="AM546" s="84"/>
      <c r="AN546" s="84"/>
      <c r="AO546" s="84"/>
      <c r="AP546" s="84"/>
      <c r="AQ546" s="84"/>
      <c r="AR546" s="84"/>
      <c r="AS546" s="87">
        <f t="array" ref="AS546">IF(E546=1,SUM((ROW(Mf0)=ROW(AS546))*(Mf0+Mf1_+Mf2_+Mf3_+Mf4_+Mf5_+Mf6_+Mf7_+Mf8_+Mf9_+Mf10_+Mf11_+Mf12_+Mf13_+Mf14_+Mf15_+Mf16_+Mf17_+Mf18_+Mf19_+Mf20_+Mf21_+Mf22_+Mf23_+Mf24_+Mf25_+Mf26_+Mf27_+Mf28_+Mf29_+Mf30_+Mf31_+Mf32_+Mf33_+Mf34_+Mf35_+Mf36_+Mf37_)),0)</f>
        <v>0</v>
      </c>
      <c r="AU546" s="24" t="str">
        <f t="shared" si="54"/>
        <v/>
      </c>
      <c r="AV546" s="24" t="str">
        <f t="shared" si="55"/>
        <v/>
      </c>
      <c r="AW546" s="24" t="str">
        <f t="shared" si="56"/>
        <v/>
      </c>
      <c r="AX546" s="72">
        <f t="shared" si="57"/>
        <v>0</v>
      </c>
      <c r="AY546" s="24">
        <f t="shared" si="58"/>
        <v>0</v>
      </c>
      <c r="AZ546" s="24">
        <f t="array" ref="AZ546">IF(OR(RIGHT(B546,LEN(Par_LabelTravelTime))=Par_LabelTravelTime,B546="čas na ceste - fakturácia"),1,0)</f>
        <v>0</v>
      </c>
    </row>
    <row r="547" spans="2:52" s="24" customFormat="1" ht="12.75" x14ac:dyDescent="0.2">
      <c r="B547" s="97"/>
      <c r="C547" s="92"/>
      <c r="D547" s="31" t="str">
        <f>IF(E547=1,VLOOKUP(TableInvs[[#This Row],[Calc_V_Typ]],Tran_RevenuesList,3,FALSE),"")</f>
        <v/>
      </c>
      <c r="E547" s="31">
        <f t="shared" si="53"/>
        <v>0</v>
      </c>
      <c r="F547" s="94"/>
      <c r="G547" s="84"/>
      <c r="H547" s="84"/>
      <c r="I547" s="84"/>
      <c r="J547" s="84"/>
      <c r="K547" s="84"/>
      <c r="L547" s="84"/>
      <c r="M547" s="84"/>
      <c r="N547" s="84"/>
      <c r="O547" s="84"/>
      <c r="P547" s="84"/>
      <c r="Q547" s="84"/>
      <c r="R547" s="84"/>
      <c r="S547" s="84"/>
      <c r="T547" s="84"/>
      <c r="U547" s="84"/>
      <c r="V547" s="84"/>
      <c r="W547" s="84"/>
      <c r="X547" s="84"/>
      <c r="Y547" s="84"/>
      <c r="Z547" s="84"/>
      <c r="AA547" s="84"/>
      <c r="AB547" s="84"/>
      <c r="AC547" s="85"/>
      <c r="AD547" s="85"/>
      <c r="AE547" s="84"/>
      <c r="AF547" s="84"/>
      <c r="AG547" s="84"/>
      <c r="AH547" s="84"/>
      <c r="AI547" s="84"/>
      <c r="AJ547" s="84"/>
      <c r="AK547" s="84"/>
      <c r="AL547" s="84"/>
      <c r="AM547" s="84"/>
      <c r="AN547" s="84"/>
      <c r="AO547" s="84"/>
      <c r="AP547" s="84"/>
      <c r="AQ547" s="84"/>
      <c r="AR547" s="84"/>
      <c r="AS547" s="87">
        <f t="array" ref="AS547">IF(E547=1,SUM((ROW(Mf0)=ROW(AS547))*(Mf0+Mf1_+Mf2_+Mf3_+Mf4_+Mf5_+Mf6_+Mf7_+Mf8_+Mf9_+Mf10_+Mf11_+Mf12_+Mf13_+Mf14_+Mf15_+Mf16_+Mf17_+Mf18_+Mf19_+Mf20_+Mf21_+Mf22_+Mf23_+Mf24_+Mf25_+Mf26_+Mf27_+Mf28_+Mf29_+Mf30_+Mf31_+Mf32_+Mf33_+Mf34_+Mf35_+Mf36_+Mf37_)),0)</f>
        <v>0</v>
      </c>
      <c r="AU547" s="24" t="str">
        <f t="shared" si="54"/>
        <v/>
      </c>
      <c r="AV547" s="24" t="str">
        <f t="shared" si="55"/>
        <v/>
      </c>
      <c r="AW547" s="24" t="str">
        <f t="shared" si="56"/>
        <v/>
      </c>
      <c r="AX547" s="72">
        <f t="shared" si="57"/>
        <v>0</v>
      </c>
      <c r="AY547" s="24">
        <f t="shared" si="58"/>
        <v>0</v>
      </c>
      <c r="AZ547" s="24">
        <f t="array" ref="AZ547">IF(OR(RIGHT(B547,LEN(Par_LabelTravelTime))=Par_LabelTravelTime,B547="čas na ceste - fakturácia"),1,0)</f>
        <v>0</v>
      </c>
    </row>
    <row r="548" spans="2:52" s="24" customFormat="1" ht="12.75" x14ac:dyDescent="0.2">
      <c r="B548" s="97"/>
      <c r="C548" s="92"/>
      <c r="D548" s="31" t="str">
        <f>IF(E548=1,VLOOKUP(TableInvs[[#This Row],[Calc_V_Typ]],Tran_RevenuesList,3,FALSE),"")</f>
        <v/>
      </c>
      <c r="E548" s="31">
        <f t="shared" si="53"/>
        <v>0</v>
      </c>
      <c r="F548" s="94"/>
      <c r="G548" s="84"/>
      <c r="H548" s="84"/>
      <c r="I548" s="84"/>
      <c r="J548" s="84"/>
      <c r="K548" s="84"/>
      <c r="L548" s="84"/>
      <c r="M548" s="84"/>
      <c r="N548" s="84"/>
      <c r="O548" s="84"/>
      <c r="P548" s="84"/>
      <c r="Q548" s="84"/>
      <c r="R548" s="84"/>
      <c r="S548" s="84"/>
      <c r="T548" s="84"/>
      <c r="U548" s="84"/>
      <c r="V548" s="84"/>
      <c r="W548" s="84"/>
      <c r="X548" s="84"/>
      <c r="Y548" s="84"/>
      <c r="Z548" s="84"/>
      <c r="AA548" s="84"/>
      <c r="AB548" s="84"/>
      <c r="AC548" s="85"/>
      <c r="AD548" s="85"/>
      <c r="AE548" s="84"/>
      <c r="AF548" s="84"/>
      <c r="AG548" s="84"/>
      <c r="AH548" s="84"/>
      <c r="AI548" s="84"/>
      <c r="AJ548" s="84"/>
      <c r="AK548" s="84"/>
      <c r="AL548" s="84"/>
      <c r="AM548" s="84"/>
      <c r="AN548" s="84"/>
      <c r="AO548" s="84"/>
      <c r="AP548" s="84"/>
      <c r="AQ548" s="84"/>
      <c r="AR548" s="84"/>
      <c r="AS548" s="87">
        <f t="array" ref="AS548">IF(E548=1,SUM((ROW(Mf0)=ROW(AS548))*(Mf0+Mf1_+Mf2_+Mf3_+Mf4_+Mf5_+Mf6_+Mf7_+Mf8_+Mf9_+Mf10_+Mf11_+Mf12_+Mf13_+Mf14_+Mf15_+Mf16_+Mf17_+Mf18_+Mf19_+Mf20_+Mf21_+Mf22_+Mf23_+Mf24_+Mf25_+Mf26_+Mf27_+Mf28_+Mf29_+Mf30_+Mf31_+Mf32_+Mf33_+Mf34_+Mf35_+Mf36_+Mf37_)),0)</f>
        <v>0</v>
      </c>
      <c r="AU548" s="24" t="str">
        <f t="shared" si="54"/>
        <v/>
      </c>
      <c r="AV548" s="24" t="str">
        <f t="shared" si="55"/>
        <v/>
      </c>
      <c r="AW548" s="24" t="str">
        <f t="shared" si="56"/>
        <v/>
      </c>
      <c r="AX548" s="72">
        <f t="shared" si="57"/>
        <v>0</v>
      </c>
      <c r="AY548" s="24">
        <f t="shared" si="58"/>
        <v>0</v>
      </c>
      <c r="AZ548" s="24">
        <f t="array" ref="AZ548">IF(OR(RIGHT(B548,LEN(Par_LabelTravelTime))=Par_LabelTravelTime,B548="čas na ceste - fakturácia"),1,0)</f>
        <v>0</v>
      </c>
    </row>
    <row r="549" spans="2:52" s="24" customFormat="1" ht="12.75" x14ac:dyDescent="0.2">
      <c r="B549" s="97"/>
      <c r="C549" s="92"/>
      <c r="D549" s="31" t="str">
        <f>IF(E549=1,VLOOKUP(TableInvs[[#This Row],[Calc_V_Typ]],Tran_RevenuesList,3,FALSE),"")</f>
        <v/>
      </c>
      <c r="E549" s="31">
        <f t="shared" si="53"/>
        <v>0</v>
      </c>
      <c r="F549" s="94"/>
      <c r="G549" s="84"/>
      <c r="H549" s="84"/>
      <c r="I549" s="84"/>
      <c r="J549" s="84"/>
      <c r="K549" s="84"/>
      <c r="L549" s="84"/>
      <c r="M549" s="84"/>
      <c r="N549" s="84"/>
      <c r="O549" s="84"/>
      <c r="P549" s="84"/>
      <c r="Q549" s="84"/>
      <c r="R549" s="84"/>
      <c r="S549" s="84"/>
      <c r="T549" s="84"/>
      <c r="U549" s="84"/>
      <c r="V549" s="84"/>
      <c r="W549" s="84"/>
      <c r="X549" s="84"/>
      <c r="Y549" s="84"/>
      <c r="Z549" s="84"/>
      <c r="AA549" s="84"/>
      <c r="AB549" s="84"/>
      <c r="AC549" s="85"/>
      <c r="AD549" s="85"/>
      <c r="AE549" s="84"/>
      <c r="AF549" s="84"/>
      <c r="AG549" s="84"/>
      <c r="AH549" s="84"/>
      <c r="AI549" s="84"/>
      <c r="AJ549" s="84"/>
      <c r="AK549" s="84"/>
      <c r="AL549" s="84"/>
      <c r="AM549" s="84"/>
      <c r="AN549" s="84"/>
      <c r="AO549" s="84"/>
      <c r="AP549" s="84"/>
      <c r="AQ549" s="84"/>
      <c r="AR549" s="84"/>
      <c r="AS549" s="87">
        <f t="array" ref="AS549">IF(E549=1,SUM((ROW(Mf0)=ROW(AS549))*(Mf0+Mf1_+Mf2_+Mf3_+Mf4_+Mf5_+Mf6_+Mf7_+Mf8_+Mf9_+Mf10_+Mf11_+Mf12_+Mf13_+Mf14_+Mf15_+Mf16_+Mf17_+Mf18_+Mf19_+Mf20_+Mf21_+Mf22_+Mf23_+Mf24_+Mf25_+Mf26_+Mf27_+Mf28_+Mf29_+Mf30_+Mf31_+Mf32_+Mf33_+Mf34_+Mf35_+Mf36_+Mf37_)),0)</f>
        <v>0</v>
      </c>
      <c r="AU549" s="24" t="str">
        <f t="shared" si="54"/>
        <v/>
      </c>
      <c r="AV549" s="24" t="str">
        <f t="shared" si="55"/>
        <v/>
      </c>
      <c r="AW549" s="24" t="str">
        <f t="shared" si="56"/>
        <v/>
      </c>
      <c r="AX549" s="72">
        <f t="shared" si="57"/>
        <v>0</v>
      </c>
      <c r="AY549" s="24">
        <f t="shared" si="58"/>
        <v>0</v>
      </c>
      <c r="AZ549" s="24">
        <f t="array" ref="AZ549">IF(OR(RIGHT(B549,LEN(Par_LabelTravelTime))=Par_LabelTravelTime,B549="čas na ceste - fakturácia"),1,0)</f>
        <v>0</v>
      </c>
    </row>
    <row r="550" spans="2:52" s="24" customFormat="1" ht="12.75" x14ac:dyDescent="0.2">
      <c r="B550" s="97"/>
      <c r="C550" s="92"/>
      <c r="D550" s="31" t="str">
        <f>IF(E550=1,VLOOKUP(TableInvs[[#This Row],[Calc_V_Typ]],Tran_RevenuesList,3,FALSE),"")</f>
        <v/>
      </c>
      <c r="E550" s="31">
        <f t="shared" si="53"/>
        <v>0</v>
      </c>
      <c r="F550" s="94"/>
      <c r="G550" s="84"/>
      <c r="H550" s="84"/>
      <c r="I550" s="84"/>
      <c r="J550" s="84"/>
      <c r="K550" s="84"/>
      <c r="L550" s="84"/>
      <c r="M550" s="84"/>
      <c r="N550" s="84"/>
      <c r="O550" s="84"/>
      <c r="P550" s="84"/>
      <c r="Q550" s="84"/>
      <c r="R550" s="84"/>
      <c r="S550" s="84"/>
      <c r="T550" s="84"/>
      <c r="U550" s="84"/>
      <c r="V550" s="84"/>
      <c r="W550" s="84"/>
      <c r="X550" s="84"/>
      <c r="Y550" s="84"/>
      <c r="Z550" s="84"/>
      <c r="AA550" s="84"/>
      <c r="AB550" s="84"/>
      <c r="AC550" s="85"/>
      <c r="AD550" s="85"/>
      <c r="AE550" s="84"/>
      <c r="AF550" s="84"/>
      <c r="AG550" s="84"/>
      <c r="AH550" s="84"/>
      <c r="AI550" s="84"/>
      <c r="AJ550" s="84"/>
      <c r="AK550" s="84"/>
      <c r="AL550" s="84"/>
      <c r="AM550" s="84"/>
      <c r="AN550" s="84"/>
      <c r="AO550" s="84"/>
      <c r="AP550" s="84"/>
      <c r="AQ550" s="84"/>
      <c r="AR550" s="84"/>
      <c r="AS550" s="87">
        <f t="array" ref="AS550">IF(E550=1,SUM((ROW(Mf0)=ROW(AS550))*(Mf0+Mf1_+Mf2_+Mf3_+Mf4_+Mf5_+Mf6_+Mf7_+Mf8_+Mf9_+Mf10_+Mf11_+Mf12_+Mf13_+Mf14_+Mf15_+Mf16_+Mf17_+Mf18_+Mf19_+Mf20_+Mf21_+Mf22_+Mf23_+Mf24_+Mf25_+Mf26_+Mf27_+Mf28_+Mf29_+Mf30_+Mf31_+Mf32_+Mf33_+Mf34_+Mf35_+Mf36_+Mf37_)),0)</f>
        <v>0</v>
      </c>
      <c r="AU550" s="24" t="str">
        <f t="shared" si="54"/>
        <v/>
      </c>
      <c r="AV550" s="24" t="str">
        <f t="shared" si="55"/>
        <v/>
      </c>
      <c r="AW550" s="24" t="str">
        <f t="shared" si="56"/>
        <v/>
      </c>
      <c r="AX550" s="72">
        <f t="shared" si="57"/>
        <v>0</v>
      </c>
      <c r="AY550" s="24">
        <f t="shared" si="58"/>
        <v>0</v>
      </c>
      <c r="AZ550" s="24">
        <f t="array" ref="AZ550">IF(OR(RIGHT(B550,LEN(Par_LabelTravelTime))=Par_LabelTravelTime,B550="čas na ceste - fakturácia"),1,0)</f>
        <v>0</v>
      </c>
    </row>
    <row r="551" spans="2:52" s="24" customFormat="1" ht="12.75" x14ac:dyDescent="0.2">
      <c r="B551" s="97"/>
      <c r="C551" s="92"/>
      <c r="D551" s="31" t="str">
        <f>IF(E551=1,VLOOKUP(TableInvs[[#This Row],[Calc_V_Typ]],Tran_RevenuesList,3,FALSE),"")</f>
        <v/>
      </c>
      <c r="E551" s="31">
        <f t="shared" si="53"/>
        <v>0</v>
      </c>
      <c r="F551" s="94"/>
      <c r="G551" s="84"/>
      <c r="H551" s="84"/>
      <c r="I551" s="84"/>
      <c r="J551" s="84"/>
      <c r="K551" s="84"/>
      <c r="L551" s="84"/>
      <c r="M551" s="84"/>
      <c r="N551" s="84"/>
      <c r="O551" s="84"/>
      <c r="P551" s="84"/>
      <c r="Q551" s="84"/>
      <c r="R551" s="84"/>
      <c r="S551" s="84"/>
      <c r="T551" s="84"/>
      <c r="U551" s="84"/>
      <c r="V551" s="84"/>
      <c r="W551" s="84"/>
      <c r="X551" s="84"/>
      <c r="Y551" s="84"/>
      <c r="Z551" s="84"/>
      <c r="AA551" s="84"/>
      <c r="AB551" s="84"/>
      <c r="AC551" s="85"/>
      <c r="AD551" s="85"/>
      <c r="AE551" s="84"/>
      <c r="AF551" s="84"/>
      <c r="AG551" s="84"/>
      <c r="AH551" s="84"/>
      <c r="AI551" s="84"/>
      <c r="AJ551" s="84"/>
      <c r="AK551" s="84"/>
      <c r="AL551" s="84"/>
      <c r="AM551" s="84"/>
      <c r="AN551" s="84"/>
      <c r="AO551" s="84"/>
      <c r="AP551" s="84"/>
      <c r="AQ551" s="84"/>
      <c r="AR551" s="84"/>
      <c r="AS551" s="87">
        <f t="array" ref="AS551">IF(E551=1,SUM((ROW(Mf0)=ROW(AS551))*(Mf0+Mf1_+Mf2_+Mf3_+Mf4_+Mf5_+Mf6_+Mf7_+Mf8_+Mf9_+Mf10_+Mf11_+Mf12_+Mf13_+Mf14_+Mf15_+Mf16_+Mf17_+Mf18_+Mf19_+Mf20_+Mf21_+Mf22_+Mf23_+Mf24_+Mf25_+Mf26_+Mf27_+Mf28_+Mf29_+Mf30_+Mf31_+Mf32_+Mf33_+Mf34_+Mf35_+Mf36_+Mf37_)),0)</f>
        <v>0</v>
      </c>
      <c r="AU551" s="24" t="str">
        <f t="shared" si="54"/>
        <v/>
      </c>
      <c r="AV551" s="24" t="str">
        <f t="shared" si="55"/>
        <v/>
      </c>
      <c r="AW551" s="24" t="str">
        <f t="shared" si="56"/>
        <v/>
      </c>
      <c r="AX551" s="72">
        <f t="shared" si="57"/>
        <v>0</v>
      </c>
      <c r="AY551" s="24">
        <f t="shared" si="58"/>
        <v>0</v>
      </c>
      <c r="AZ551" s="24">
        <f t="array" ref="AZ551">IF(OR(RIGHT(B551,LEN(Par_LabelTravelTime))=Par_LabelTravelTime,B551="čas na ceste - fakturácia"),1,0)</f>
        <v>0</v>
      </c>
    </row>
    <row r="552" spans="2:52" s="24" customFormat="1" ht="12.75" x14ac:dyDescent="0.2">
      <c r="B552" s="97"/>
      <c r="C552" s="92"/>
      <c r="D552" s="31" t="str">
        <f>IF(E552=1,VLOOKUP(TableInvs[[#This Row],[Calc_V_Typ]],Tran_RevenuesList,3,FALSE),"")</f>
        <v/>
      </c>
      <c r="E552" s="31">
        <f t="shared" si="53"/>
        <v>0</v>
      </c>
      <c r="F552" s="94"/>
      <c r="G552" s="84"/>
      <c r="H552" s="84"/>
      <c r="I552" s="84"/>
      <c r="J552" s="84"/>
      <c r="K552" s="84"/>
      <c r="L552" s="84"/>
      <c r="M552" s="84"/>
      <c r="N552" s="84"/>
      <c r="O552" s="84"/>
      <c r="P552" s="84"/>
      <c r="Q552" s="84"/>
      <c r="R552" s="84"/>
      <c r="S552" s="84"/>
      <c r="T552" s="84"/>
      <c r="U552" s="84"/>
      <c r="V552" s="84"/>
      <c r="W552" s="84"/>
      <c r="X552" s="84"/>
      <c r="Y552" s="84"/>
      <c r="Z552" s="84"/>
      <c r="AA552" s="84"/>
      <c r="AB552" s="84"/>
      <c r="AC552" s="85"/>
      <c r="AD552" s="85"/>
      <c r="AE552" s="84"/>
      <c r="AF552" s="84"/>
      <c r="AG552" s="84"/>
      <c r="AH552" s="84"/>
      <c r="AI552" s="84"/>
      <c r="AJ552" s="84"/>
      <c r="AK552" s="84"/>
      <c r="AL552" s="84"/>
      <c r="AM552" s="84"/>
      <c r="AN552" s="84"/>
      <c r="AO552" s="84"/>
      <c r="AP552" s="84"/>
      <c r="AQ552" s="84"/>
      <c r="AR552" s="84"/>
      <c r="AS552" s="87">
        <f t="array" ref="AS552">IF(E552=1,SUM((ROW(Mf0)=ROW(AS552))*(Mf0+Mf1_+Mf2_+Mf3_+Mf4_+Mf5_+Mf6_+Mf7_+Mf8_+Mf9_+Mf10_+Mf11_+Mf12_+Mf13_+Mf14_+Mf15_+Mf16_+Mf17_+Mf18_+Mf19_+Mf20_+Mf21_+Mf22_+Mf23_+Mf24_+Mf25_+Mf26_+Mf27_+Mf28_+Mf29_+Mf30_+Mf31_+Mf32_+Mf33_+Mf34_+Mf35_+Mf36_+Mf37_)),0)</f>
        <v>0</v>
      </c>
      <c r="AU552" s="24" t="str">
        <f t="shared" si="54"/>
        <v/>
      </c>
      <c r="AV552" s="24" t="str">
        <f t="shared" si="55"/>
        <v/>
      </c>
      <c r="AW552" s="24" t="str">
        <f t="shared" si="56"/>
        <v/>
      </c>
      <c r="AX552" s="72">
        <f t="shared" si="57"/>
        <v>0</v>
      </c>
      <c r="AY552" s="24">
        <f t="shared" si="58"/>
        <v>0</v>
      </c>
      <c r="AZ552" s="24">
        <f t="array" ref="AZ552">IF(OR(RIGHT(B552,LEN(Par_LabelTravelTime))=Par_LabelTravelTime,B552="čas na ceste - fakturácia"),1,0)</f>
        <v>0</v>
      </c>
    </row>
    <row r="553" spans="2:52" s="24" customFormat="1" ht="12.75" x14ac:dyDescent="0.2">
      <c r="B553" s="97"/>
      <c r="C553" s="92"/>
      <c r="D553" s="31" t="str">
        <f>IF(E553=1,VLOOKUP(TableInvs[[#This Row],[Calc_V_Typ]],Tran_RevenuesList,3,FALSE),"")</f>
        <v/>
      </c>
      <c r="E553" s="31">
        <f t="shared" si="53"/>
        <v>0</v>
      </c>
      <c r="F553" s="94"/>
      <c r="G553" s="84"/>
      <c r="H553" s="84"/>
      <c r="I553" s="84"/>
      <c r="J553" s="84"/>
      <c r="K553" s="84"/>
      <c r="L553" s="84"/>
      <c r="M553" s="84"/>
      <c r="N553" s="84"/>
      <c r="O553" s="84"/>
      <c r="P553" s="84"/>
      <c r="Q553" s="84"/>
      <c r="R553" s="84"/>
      <c r="S553" s="84"/>
      <c r="T553" s="84"/>
      <c r="U553" s="84"/>
      <c r="V553" s="84"/>
      <c r="W553" s="84"/>
      <c r="X553" s="84"/>
      <c r="Y553" s="84"/>
      <c r="Z553" s="84"/>
      <c r="AA553" s="84"/>
      <c r="AB553" s="84"/>
      <c r="AC553" s="85"/>
      <c r="AD553" s="85"/>
      <c r="AE553" s="84"/>
      <c r="AF553" s="84"/>
      <c r="AG553" s="84"/>
      <c r="AH553" s="84"/>
      <c r="AI553" s="84"/>
      <c r="AJ553" s="84"/>
      <c r="AK553" s="84"/>
      <c r="AL553" s="84"/>
      <c r="AM553" s="84"/>
      <c r="AN553" s="84"/>
      <c r="AO553" s="84"/>
      <c r="AP553" s="84"/>
      <c r="AQ553" s="84"/>
      <c r="AR553" s="84"/>
      <c r="AS553" s="87">
        <f t="array" ref="AS553">IF(E553=1,SUM((ROW(Mf0)=ROW(AS553))*(Mf0+Mf1_+Mf2_+Mf3_+Mf4_+Mf5_+Mf6_+Mf7_+Mf8_+Mf9_+Mf10_+Mf11_+Mf12_+Mf13_+Mf14_+Mf15_+Mf16_+Mf17_+Mf18_+Mf19_+Mf20_+Mf21_+Mf22_+Mf23_+Mf24_+Mf25_+Mf26_+Mf27_+Mf28_+Mf29_+Mf30_+Mf31_+Mf32_+Mf33_+Mf34_+Mf35_+Mf36_+Mf37_)),0)</f>
        <v>0</v>
      </c>
      <c r="AU553" s="24" t="str">
        <f t="shared" si="54"/>
        <v/>
      </c>
      <c r="AV553" s="24" t="str">
        <f t="shared" si="55"/>
        <v/>
      </c>
      <c r="AW553" s="24" t="str">
        <f t="shared" si="56"/>
        <v/>
      </c>
      <c r="AX553" s="72">
        <f t="shared" si="57"/>
        <v>0</v>
      </c>
      <c r="AY553" s="24">
        <f t="shared" si="58"/>
        <v>0</v>
      </c>
      <c r="AZ553" s="24">
        <f t="array" ref="AZ553">IF(OR(RIGHT(B553,LEN(Par_LabelTravelTime))=Par_LabelTravelTime,B553="čas na ceste - fakturácia"),1,0)</f>
        <v>0</v>
      </c>
    </row>
    <row r="554" spans="2:52" s="24" customFormat="1" ht="12.75" x14ac:dyDescent="0.2">
      <c r="B554" s="97"/>
      <c r="C554" s="92"/>
      <c r="D554" s="31" t="str">
        <f>IF(E554=1,VLOOKUP(TableInvs[[#This Row],[Calc_V_Typ]],Tran_RevenuesList,3,FALSE),"")</f>
        <v/>
      </c>
      <c r="E554" s="31">
        <f t="shared" si="53"/>
        <v>0</v>
      </c>
      <c r="F554" s="94"/>
      <c r="G554" s="84"/>
      <c r="H554" s="84"/>
      <c r="I554" s="84"/>
      <c r="J554" s="84"/>
      <c r="K554" s="84"/>
      <c r="L554" s="84"/>
      <c r="M554" s="84"/>
      <c r="N554" s="84"/>
      <c r="O554" s="84"/>
      <c r="P554" s="84"/>
      <c r="Q554" s="84"/>
      <c r="R554" s="84"/>
      <c r="S554" s="84"/>
      <c r="T554" s="84"/>
      <c r="U554" s="84"/>
      <c r="V554" s="84"/>
      <c r="W554" s="84"/>
      <c r="X554" s="84"/>
      <c r="Y554" s="84"/>
      <c r="Z554" s="84"/>
      <c r="AA554" s="84"/>
      <c r="AB554" s="84"/>
      <c r="AC554" s="85"/>
      <c r="AD554" s="85"/>
      <c r="AE554" s="84"/>
      <c r="AF554" s="84"/>
      <c r="AG554" s="84"/>
      <c r="AH554" s="84"/>
      <c r="AI554" s="84"/>
      <c r="AJ554" s="84"/>
      <c r="AK554" s="84"/>
      <c r="AL554" s="84"/>
      <c r="AM554" s="84"/>
      <c r="AN554" s="84"/>
      <c r="AO554" s="84"/>
      <c r="AP554" s="84"/>
      <c r="AQ554" s="84"/>
      <c r="AR554" s="84"/>
      <c r="AS554" s="87">
        <f t="array" ref="AS554">IF(E554=1,SUM((ROW(Mf0)=ROW(AS554))*(Mf0+Mf1_+Mf2_+Mf3_+Mf4_+Mf5_+Mf6_+Mf7_+Mf8_+Mf9_+Mf10_+Mf11_+Mf12_+Mf13_+Mf14_+Mf15_+Mf16_+Mf17_+Mf18_+Mf19_+Mf20_+Mf21_+Mf22_+Mf23_+Mf24_+Mf25_+Mf26_+Mf27_+Mf28_+Mf29_+Mf30_+Mf31_+Mf32_+Mf33_+Mf34_+Mf35_+Mf36_+Mf37_)),0)</f>
        <v>0</v>
      </c>
      <c r="AU554" s="24" t="str">
        <f t="shared" si="54"/>
        <v/>
      </c>
      <c r="AV554" s="24" t="str">
        <f t="shared" si="55"/>
        <v/>
      </c>
      <c r="AW554" s="24" t="str">
        <f t="shared" si="56"/>
        <v/>
      </c>
      <c r="AX554" s="72">
        <f t="shared" si="57"/>
        <v>0</v>
      </c>
      <c r="AY554" s="24">
        <f t="shared" si="58"/>
        <v>0</v>
      </c>
      <c r="AZ554" s="24">
        <f t="array" ref="AZ554">IF(OR(RIGHT(B554,LEN(Par_LabelTravelTime))=Par_LabelTravelTime,B554="čas na ceste - fakturácia"),1,0)</f>
        <v>0</v>
      </c>
    </row>
    <row r="555" spans="2:52" s="24" customFormat="1" ht="12.75" x14ac:dyDescent="0.2">
      <c r="B555" s="97"/>
      <c r="C555" s="92"/>
      <c r="D555" s="31" t="str">
        <f>IF(E555=1,VLOOKUP(TableInvs[[#This Row],[Calc_V_Typ]],Tran_RevenuesList,3,FALSE),"")</f>
        <v/>
      </c>
      <c r="E555" s="31">
        <f t="shared" si="53"/>
        <v>0</v>
      </c>
      <c r="F555" s="9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  <c r="S555" s="84"/>
      <c r="T555" s="84"/>
      <c r="U555" s="84"/>
      <c r="V555" s="84"/>
      <c r="W555" s="84"/>
      <c r="X555" s="84"/>
      <c r="Y555" s="84"/>
      <c r="Z555" s="84"/>
      <c r="AA555" s="84"/>
      <c r="AB555" s="84"/>
      <c r="AC555" s="85"/>
      <c r="AD555" s="85"/>
      <c r="AE555" s="84"/>
      <c r="AF555" s="84"/>
      <c r="AG555" s="84"/>
      <c r="AH555" s="84"/>
      <c r="AI555" s="84"/>
      <c r="AJ555" s="84"/>
      <c r="AK555" s="84"/>
      <c r="AL555" s="84"/>
      <c r="AM555" s="84"/>
      <c r="AN555" s="84"/>
      <c r="AO555" s="84"/>
      <c r="AP555" s="84"/>
      <c r="AQ555" s="84"/>
      <c r="AR555" s="84"/>
      <c r="AS555" s="87">
        <f t="array" ref="AS555">IF(E555=1,SUM((ROW(Mf0)=ROW(AS555))*(Mf0+Mf1_+Mf2_+Mf3_+Mf4_+Mf5_+Mf6_+Mf7_+Mf8_+Mf9_+Mf10_+Mf11_+Mf12_+Mf13_+Mf14_+Mf15_+Mf16_+Mf17_+Mf18_+Mf19_+Mf20_+Mf21_+Mf22_+Mf23_+Mf24_+Mf25_+Mf26_+Mf27_+Mf28_+Mf29_+Mf30_+Mf31_+Mf32_+Mf33_+Mf34_+Mf35_+Mf36_+Mf37_)),0)</f>
        <v>0</v>
      </c>
      <c r="AU555" s="24" t="str">
        <f t="shared" si="54"/>
        <v/>
      </c>
      <c r="AV555" s="24" t="str">
        <f t="shared" si="55"/>
        <v/>
      </c>
      <c r="AW555" s="24" t="str">
        <f t="shared" si="56"/>
        <v/>
      </c>
      <c r="AX555" s="72">
        <f t="shared" si="57"/>
        <v>0</v>
      </c>
      <c r="AY555" s="24">
        <f t="shared" si="58"/>
        <v>0</v>
      </c>
      <c r="AZ555" s="24">
        <f t="array" ref="AZ555">IF(OR(RIGHT(B555,LEN(Par_LabelTravelTime))=Par_LabelTravelTime,B555="čas na ceste - fakturácia"),1,0)</f>
        <v>0</v>
      </c>
    </row>
    <row r="556" spans="2:52" s="24" customFormat="1" ht="12.75" x14ac:dyDescent="0.2">
      <c r="B556" s="97"/>
      <c r="C556" s="92"/>
      <c r="D556" s="31" t="str">
        <f>IF(E556=1,VLOOKUP(TableInvs[[#This Row],[Calc_V_Typ]],Tran_RevenuesList,3,FALSE),"")</f>
        <v/>
      </c>
      <c r="E556" s="31">
        <f t="shared" si="53"/>
        <v>0</v>
      </c>
      <c r="F556" s="9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  <c r="S556" s="84"/>
      <c r="T556" s="84"/>
      <c r="U556" s="84"/>
      <c r="V556" s="84"/>
      <c r="W556" s="84"/>
      <c r="X556" s="84"/>
      <c r="Y556" s="84"/>
      <c r="Z556" s="84"/>
      <c r="AA556" s="84"/>
      <c r="AB556" s="84"/>
      <c r="AC556" s="85"/>
      <c r="AD556" s="85"/>
      <c r="AE556" s="84"/>
      <c r="AF556" s="84"/>
      <c r="AG556" s="84"/>
      <c r="AH556" s="84"/>
      <c r="AI556" s="84"/>
      <c r="AJ556" s="84"/>
      <c r="AK556" s="84"/>
      <c r="AL556" s="84"/>
      <c r="AM556" s="84"/>
      <c r="AN556" s="84"/>
      <c r="AO556" s="84"/>
      <c r="AP556" s="84"/>
      <c r="AQ556" s="84"/>
      <c r="AR556" s="84"/>
      <c r="AS556" s="87">
        <f t="array" ref="AS556">IF(E556=1,SUM((ROW(Mf0)=ROW(AS556))*(Mf0+Mf1_+Mf2_+Mf3_+Mf4_+Mf5_+Mf6_+Mf7_+Mf8_+Mf9_+Mf10_+Mf11_+Mf12_+Mf13_+Mf14_+Mf15_+Mf16_+Mf17_+Mf18_+Mf19_+Mf20_+Mf21_+Mf22_+Mf23_+Mf24_+Mf25_+Mf26_+Mf27_+Mf28_+Mf29_+Mf30_+Mf31_+Mf32_+Mf33_+Mf34_+Mf35_+Mf36_+Mf37_)),0)</f>
        <v>0</v>
      </c>
      <c r="AU556" s="24" t="str">
        <f t="shared" si="54"/>
        <v/>
      </c>
      <c r="AV556" s="24" t="str">
        <f t="shared" si="55"/>
        <v/>
      </c>
      <c r="AW556" s="24" t="str">
        <f t="shared" si="56"/>
        <v/>
      </c>
      <c r="AX556" s="72">
        <f t="shared" si="57"/>
        <v>0</v>
      </c>
      <c r="AY556" s="24">
        <f t="shared" si="58"/>
        <v>0</v>
      </c>
      <c r="AZ556" s="24">
        <f t="array" ref="AZ556">IF(OR(RIGHT(B556,LEN(Par_LabelTravelTime))=Par_LabelTravelTime,B556="čas na ceste - fakturácia"),1,0)</f>
        <v>0</v>
      </c>
    </row>
    <row r="557" spans="2:52" s="24" customFormat="1" ht="12.75" x14ac:dyDescent="0.2">
      <c r="B557" s="97"/>
      <c r="C557" s="92"/>
      <c r="D557" s="31" t="str">
        <f>IF(E557=1,VLOOKUP(TableInvs[[#This Row],[Calc_V_Typ]],Tran_RevenuesList,3,FALSE),"")</f>
        <v/>
      </c>
      <c r="E557" s="31">
        <f t="shared" si="53"/>
        <v>0</v>
      </c>
      <c r="F557" s="9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  <c r="S557" s="84"/>
      <c r="T557" s="84"/>
      <c r="U557" s="84"/>
      <c r="V557" s="84"/>
      <c r="W557" s="84"/>
      <c r="X557" s="84"/>
      <c r="Y557" s="84"/>
      <c r="Z557" s="84"/>
      <c r="AA557" s="84"/>
      <c r="AB557" s="84"/>
      <c r="AC557" s="85"/>
      <c r="AD557" s="85"/>
      <c r="AE557" s="84"/>
      <c r="AF557" s="84"/>
      <c r="AG557" s="84"/>
      <c r="AH557" s="84"/>
      <c r="AI557" s="84"/>
      <c r="AJ557" s="84"/>
      <c r="AK557" s="84"/>
      <c r="AL557" s="84"/>
      <c r="AM557" s="84"/>
      <c r="AN557" s="84"/>
      <c r="AO557" s="84"/>
      <c r="AP557" s="84"/>
      <c r="AQ557" s="84"/>
      <c r="AR557" s="84"/>
      <c r="AS557" s="87">
        <f t="array" ref="AS557">IF(E557=1,SUM((ROW(Mf0)=ROW(AS557))*(Mf0+Mf1_+Mf2_+Mf3_+Mf4_+Mf5_+Mf6_+Mf7_+Mf8_+Mf9_+Mf10_+Mf11_+Mf12_+Mf13_+Mf14_+Mf15_+Mf16_+Mf17_+Mf18_+Mf19_+Mf20_+Mf21_+Mf22_+Mf23_+Mf24_+Mf25_+Mf26_+Mf27_+Mf28_+Mf29_+Mf30_+Mf31_+Mf32_+Mf33_+Mf34_+Mf35_+Mf36_+Mf37_)),0)</f>
        <v>0</v>
      </c>
      <c r="AU557" s="24" t="str">
        <f t="shared" si="54"/>
        <v/>
      </c>
      <c r="AV557" s="24" t="str">
        <f t="shared" si="55"/>
        <v/>
      </c>
      <c r="AW557" s="24" t="str">
        <f t="shared" si="56"/>
        <v/>
      </c>
      <c r="AX557" s="72">
        <f t="shared" si="57"/>
        <v>0</v>
      </c>
      <c r="AY557" s="24">
        <f t="shared" si="58"/>
        <v>0</v>
      </c>
      <c r="AZ557" s="24">
        <f t="array" ref="AZ557">IF(OR(RIGHT(B557,LEN(Par_LabelTravelTime))=Par_LabelTravelTime,B557="čas na ceste - fakturácia"),1,0)</f>
        <v>0</v>
      </c>
    </row>
    <row r="558" spans="2:52" s="24" customFormat="1" ht="12.75" x14ac:dyDescent="0.2">
      <c r="B558" s="97"/>
      <c r="C558" s="92"/>
      <c r="D558" s="31" t="str">
        <f>IF(E558=1,VLOOKUP(TableInvs[[#This Row],[Calc_V_Typ]],Tran_RevenuesList,3,FALSE),"")</f>
        <v/>
      </c>
      <c r="E558" s="31">
        <f t="shared" si="53"/>
        <v>0</v>
      </c>
      <c r="F558" s="9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  <c r="S558" s="84"/>
      <c r="T558" s="84"/>
      <c r="U558" s="84"/>
      <c r="V558" s="84"/>
      <c r="W558" s="84"/>
      <c r="X558" s="84"/>
      <c r="Y558" s="84"/>
      <c r="Z558" s="84"/>
      <c r="AA558" s="84"/>
      <c r="AB558" s="84"/>
      <c r="AC558" s="85"/>
      <c r="AD558" s="85"/>
      <c r="AE558" s="84"/>
      <c r="AF558" s="84"/>
      <c r="AG558" s="84"/>
      <c r="AH558" s="84"/>
      <c r="AI558" s="84"/>
      <c r="AJ558" s="84"/>
      <c r="AK558" s="84"/>
      <c r="AL558" s="84"/>
      <c r="AM558" s="84"/>
      <c r="AN558" s="84"/>
      <c r="AO558" s="84"/>
      <c r="AP558" s="84"/>
      <c r="AQ558" s="84"/>
      <c r="AR558" s="84"/>
      <c r="AS558" s="87">
        <f t="array" ref="AS558">IF(E558=1,SUM((ROW(Mf0)=ROW(AS558))*(Mf0+Mf1_+Mf2_+Mf3_+Mf4_+Mf5_+Mf6_+Mf7_+Mf8_+Mf9_+Mf10_+Mf11_+Mf12_+Mf13_+Mf14_+Mf15_+Mf16_+Mf17_+Mf18_+Mf19_+Mf20_+Mf21_+Mf22_+Mf23_+Mf24_+Mf25_+Mf26_+Mf27_+Mf28_+Mf29_+Mf30_+Mf31_+Mf32_+Mf33_+Mf34_+Mf35_+Mf36_+Mf37_)),0)</f>
        <v>0</v>
      </c>
      <c r="AU558" s="24" t="str">
        <f t="shared" si="54"/>
        <v/>
      </c>
      <c r="AV558" s="24" t="str">
        <f t="shared" si="55"/>
        <v/>
      </c>
      <c r="AW558" s="24" t="str">
        <f t="shared" si="56"/>
        <v/>
      </c>
      <c r="AX558" s="72">
        <f t="shared" si="57"/>
        <v>0</v>
      </c>
      <c r="AY558" s="24">
        <f t="shared" si="58"/>
        <v>0</v>
      </c>
      <c r="AZ558" s="24">
        <f t="array" ref="AZ558">IF(OR(RIGHT(B558,LEN(Par_LabelTravelTime))=Par_LabelTravelTime,B558="čas na ceste - fakturácia"),1,0)</f>
        <v>0</v>
      </c>
    </row>
    <row r="559" spans="2:52" s="24" customFormat="1" ht="12.75" x14ac:dyDescent="0.2">
      <c r="B559" s="97"/>
      <c r="C559" s="92"/>
      <c r="D559" s="31" t="str">
        <f>IF(E559=1,VLOOKUP(TableInvs[[#This Row],[Calc_V_Typ]],Tran_RevenuesList,3,FALSE),"")</f>
        <v/>
      </c>
      <c r="E559" s="31">
        <f t="shared" si="53"/>
        <v>0</v>
      </c>
      <c r="F559" s="9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  <c r="S559" s="84"/>
      <c r="T559" s="84"/>
      <c r="U559" s="84"/>
      <c r="V559" s="84"/>
      <c r="W559" s="84"/>
      <c r="X559" s="84"/>
      <c r="Y559" s="84"/>
      <c r="Z559" s="84"/>
      <c r="AA559" s="84"/>
      <c r="AB559" s="84"/>
      <c r="AC559" s="85"/>
      <c r="AD559" s="85"/>
      <c r="AE559" s="84"/>
      <c r="AF559" s="84"/>
      <c r="AG559" s="84"/>
      <c r="AH559" s="84"/>
      <c r="AI559" s="84"/>
      <c r="AJ559" s="84"/>
      <c r="AK559" s="84"/>
      <c r="AL559" s="84"/>
      <c r="AM559" s="84"/>
      <c r="AN559" s="84"/>
      <c r="AO559" s="84"/>
      <c r="AP559" s="84"/>
      <c r="AQ559" s="84"/>
      <c r="AR559" s="84"/>
      <c r="AS559" s="87">
        <f t="array" ref="AS559">IF(E559=1,SUM((ROW(Mf0)=ROW(AS559))*(Mf0+Mf1_+Mf2_+Mf3_+Mf4_+Mf5_+Mf6_+Mf7_+Mf8_+Mf9_+Mf10_+Mf11_+Mf12_+Mf13_+Mf14_+Mf15_+Mf16_+Mf17_+Mf18_+Mf19_+Mf20_+Mf21_+Mf22_+Mf23_+Mf24_+Mf25_+Mf26_+Mf27_+Mf28_+Mf29_+Mf30_+Mf31_+Mf32_+Mf33_+Mf34_+Mf35_+Mf36_+Mf37_)),0)</f>
        <v>0</v>
      </c>
      <c r="AU559" s="24" t="str">
        <f t="shared" si="54"/>
        <v/>
      </c>
      <c r="AV559" s="24" t="str">
        <f t="shared" si="55"/>
        <v/>
      </c>
      <c r="AW559" s="24" t="str">
        <f t="shared" si="56"/>
        <v/>
      </c>
      <c r="AX559" s="72">
        <f t="shared" si="57"/>
        <v>0</v>
      </c>
      <c r="AY559" s="24">
        <f t="shared" si="58"/>
        <v>0</v>
      </c>
      <c r="AZ559" s="24">
        <f t="array" ref="AZ559">IF(OR(RIGHT(B559,LEN(Par_LabelTravelTime))=Par_LabelTravelTime,B559="čas na ceste - fakturácia"),1,0)</f>
        <v>0</v>
      </c>
    </row>
    <row r="560" spans="2:52" s="24" customFormat="1" ht="12.75" x14ac:dyDescent="0.2">
      <c r="B560" s="97"/>
      <c r="C560" s="92"/>
      <c r="D560" s="31" t="str">
        <f>IF(E560=1,VLOOKUP(TableInvs[[#This Row],[Calc_V_Typ]],Tran_RevenuesList,3,FALSE),"")</f>
        <v/>
      </c>
      <c r="E560" s="31">
        <f t="shared" si="53"/>
        <v>0</v>
      </c>
      <c r="F560" s="9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  <c r="S560" s="84"/>
      <c r="T560" s="84"/>
      <c r="U560" s="84"/>
      <c r="V560" s="84"/>
      <c r="W560" s="84"/>
      <c r="X560" s="84"/>
      <c r="Y560" s="84"/>
      <c r="Z560" s="84"/>
      <c r="AA560" s="84"/>
      <c r="AB560" s="84"/>
      <c r="AC560" s="85"/>
      <c r="AD560" s="85"/>
      <c r="AE560" s="84"/>
      <c r="AF560" s="84"/>
      <c r="AG560" s="84"/>
      <c r="AH560" s="84"/>
      <c r="AI560" s="84"/>
      <c r="AJ560" s="84"/>
      <c r="AK560" s="84"/>
      <c r="AL560" s="84"/>
      <c r="AM560" s="84"/>
      <c r="AN560" s="84"/>
      <c r="AO560" s="84"/>
      <c r="AP560" s="84"/>
      <c r="AQ560" s="84"/>
      <c r="AR560" s="84"/>
      <c r="AS560" s="87">
        <f t="array" ref="AS560">IF(E560=1,SUM((ROW(Mf0)=ROW(AS560))*(Mf0+Mf1_+Mf2_+Mf3_+Mf4_+Mf5_+Mf6_+Mf7_+Mf8_+Mf9_+Mf10_+Mf11_+Mf12_+Mf13_+Mf14_+Mf15_+Mf16_+Mf17_+Mf18_+Mf19_+Mf20_+Mf21_+Mf22_+Mf23_+Mf24_+Mf25_+Mf26_+Mf27_+Mf28_+Mf29_+Mf30_+Mf31_+Mf32_+Mf33_+Mf34_+Mf35_+Mf36_+Mf37_)),0)</f>
        <v>0</v>
      </c>
      <c r="AU560" s="24" t="str">
        <f t="shared" si="54"/>
        <v/>
      </c>
      <c r="AV560" s="24" t="str">
        <f t="shared" si="55"/>
        <v/>
      </c>
      <c r="AW560" s="24" t="str">
        <f t="shared" si="56"/>
        <v/>
      </c>
      <c r="AX560" s="72">
        <f t="shared" si="57"/>
        <v>0</v>
      </c>
      <c r="AY560" s="24">
        <f t="shared" si="58"/>
        <v>0</v>
      </c>
      <c r="AZ560" s="24">
        <f t="array" ref="AZ560">IF(OR(RIGHT(B560,LEN(Par_LabelTravelTime))=Par_LabelTravelTime,B560="čas na ceste - fakturácia"),1,0)</f>
        <v>0</v>
      </c>
    </row>
    <row r="561" spans="2:52" s="24" customFormat="1" ht="12.75" x14ac:dyDescent="0.2">
      <c r="B561" s="97"/>
      <c r="C561" s="92"/>
      <c r="D561" s="31" t="str">
        <f>IF(E561=1,VLOOKUP(TableInvs[[#This Row],[Calc_V_Typ]],Tran_RevenuesList,3,FALSE),"")</f>
        <v/>
      </c>
      <c r="E561" s="31">
        <f t="shared" si="53"/>
        <v>0</v>
      </c>
      <c r="F561" s="9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  <c r="S561" s="84"/>
      <c r="T561" s="84"/>
      <c r="U561" s="84"/>
      <c r="V561" s="84"/>
      <c r="W561" s="84"/>
      <c r="X561" s="84"/>
      <c r="Y561" s="84"/>
      <c r="Z561" s="84"/>
      <c r="AA561" s="84"/>
      <c r="AB561" s="84"/>
      <c r="AC561" s="85"/>
      <c r="AD561" s="85"/>
      <c r="AE561" s="84"/>
      <c r="AF561" s="84"/>
      <c r="AG561" s="84"/>
      <c r="AH561" s="84"/>
      <c r="AI561" s="84"/>
      <c r="AJ561" s="84"/>
      <c r="AK561" s="84"/>
      <c r="AL561" s="84"/>
      <c r="AM561" s="84"/>
      <c r="AN561" s="84"/>
      <c r="AO561" s="84"/>
      <c r="AP561" s="84"/>
      <c r="AQ561" s="84"/>
      <c r="AR561" s="84"/>
      <c r="AS561" s="87">
        <f t="array" ref="AS561">IF(E561=1,SUM((ROW(Mf0)=ROW(AS561))*(Mf0+Mf1_+Mf2_+Mf3_+Mf4_+Mf5_+Mf6_+Mf7_+Mf8_+Mf9_+Mf10_+Mf11_+Mf12_+Mf13_+Mf14_+Mf15_+Mf16_+Mf17_+Mf18_+Mf19_+Mf20_+Mf21_+Mf22_+Mf23_+Mf24_+Mf25_+Mf26_+Mf27_+Mf28_+Mf29_+Mf30_+Mf31_+Mf32_+Mf33_+Mf34_+Mf35_+Mf36_+Mf37_)),0)</f>
        <v>0</v>
      </c>
      <c r="AU561" s="24" t="str">
        <f t="shared" si="54"/>
        <v/>
      </c>
      <c r="AV561" s="24" t="str">
        <f t="shared" si="55"/>
        <v/>
      </c>
      <c r="AW561" s="24" t="str">
        <f t="shared" si="56"/>
        <v/>
      </c>
      <c r="AX561" s="72">
        <f t="shared" si="57"/>
        <v>0</v>
      </c>
      <c r="AY561" s="24">
        <f t="shared" si="58"/>
        <v>0</v>
      </c>
      <c r="AZ561" s="24">
        <f t="array" ref="AZ561">IF(OR(RIGHT(B561,LEN(Par_LabelTravelTime))=Par_LabelTravelTime,B561="čas na ceste - fakturácia"),1,0)</f>
        <v>0</v>
      </c>
    </row>
    <row r="562" spans="2:52" s="24" customFormat="1" ht="12.75" x14ac:dyDescent="0.2">
      <c r="B562" s="97"/>
      <c r="C562" s="92"/>
      <c r="D562" s="31" t="str">
        <f>IF(E562=1,VLOOKUP(TableInvs[[#This Row],[Calc_V_Typ]],Tran_RevenuesList,3,FALSE),"")</f>
        <v/>
      </c>
      <c r="E562" s="31">
        <f t="shared" si="53"/>
        <v>0</v>
      </c>
      <c r="F562" s="9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  <c r="S562" s="84"/>
      <c r="T562" s="84"/>
      <c r="U562" s="84"/>
      <c r="V562" s="84"/>
      <c r="W562" s="84"/>
      <c r="X562" s="84"/>
      <c r="Y562" s="84"/>
      <c r="Z562" s="84"/>
      <c r="AA562" s="84"/>
      <c r="AB562" s="84"/>
      <c r="AC562" s="85"/>
      <c r="AD562" s="85"/>
      <c r="AE562" s="84"/>
      <c r="AF562" s="84"/>
      <c r="AG562" s="84"/>
      <c r="AH562" s="84"/>
      <c r="AI562" s="84"/>
      <c r="AJ562" s="84"/>
      <c r="AK562" s="84"/>
      <c r="AL562" s="84"/>
      <c r="AM562" s="84"/>
      <c r="AN562" s="84"/>
      <c r="AO562" s="84"/>
      <c r="AP562" s="84"/>
      <c r="AQ562" s="84"/>
      <c r="AR562" s="84"/>
      <c r="AS562" s="87">
        <f t="array" ref="AS562">IF(E562=1,SUM((ROW(Mf0)=ROW(AS562))*(Mf0+Mf1_+Mf2_+Mf3_+Mf4_+Mf5_+Mf6_+Mf7_+Mf8_+Mf9_+Mf10_+Mf11_+Mf12_+Mf13_+Mf14_+Mf15_+Mf16_+Mf17_+Mf18_+Mf19_+Mf20_+Mf21_+Mf22_+Mf23_+Mf24_+Mf25_+Mf26_+Mf27_+Mf28_+Mf29_+Mf30_+Mf31_+Mf32_+Mf33_+Mf34_+Mf35_+Mf36_+Mf37_)),0)</f>
        <v>0</v>
      </c>
      <c r="AU562" s="24" t="str">
        <f t="shared" si="54"/>
        <v/>
      </c>
      <c r="AV562" s="24" t="str">
        <f t="shared" si="55"/>
        <v/>
      </c>
      <c r="AW562" s="24" t="str">
        <f t="shared" si="56"/>
        <v/>
      </c>
      <c r="AX562" s="72">
        <f t="shared" si="57"/>
        <v>0</v>
      </c>
      <c r="AY562" s="24">
        <f t="shared" si="58"/>
        <v>0</v>
      </c>
      <c r="AZ562" s="24">
        <f t="array" ref="AZ562">IF(OR(RIGHT(B562,LEN(Par_LabelTravelTime))=Par_LabelTravelTime,B562="čas na ceste - fakturácia"),1,0)</f>
        <v>0</v>
      </c>
    </row>
    <row r="563" spans="2:52" s="24" customFormat="1" ht="12.75" x14ac:dyDescent="0.2">
      <c r="B563" s="97"/>
      <c r="C563" s="92"/>
      <c r="D563" s="31" t="str">
        <f>IF(E563=1,VLOOKUP(TableInvs[[#This Row],[Calc_V_Typ]],Tran_RevenuesList,3,FALSE),"")</f>
        <v/>
      </c>
      <c r="E563" s="31">
        <f t="shared" si="53"/>
        <v>0</v>
      </c>
      <c r="F563" s="9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  <c r="S563" s="84"/>
      <c r="T563" s="84"/>
      <c r="U563" s="84"/>
      <c r="V563" s="84"/>
      <c r="W563" s="84"/>
      <c r="X563" s="84"/>
      <c r="Y563" s="84"/>
      <c r="Z563" s="84"/>
      <c r="AA563" s="84"/>
      <c r="AB563" s="84"/>
      <c r="AC563" s="85"/>
      <c r="AD563" s="85"/>
      <c r="AE563" s="84"/>
      <c r="AF563" s="84"/>
      <c r="AG563" s="84"/>
      <c r="AH563" s="84"/>
      <c r="AI563" s="84"/>
      <c r="AJ563" s="84"/>
      <c r="AK563" s="84"/>
      <c r="AL563" s="84"/>
      <c r="AM563" s="84"/>
      <c r="AN563" s="84"/>
      <c r="AO563" s="84"/>
      <c r="AP563" s="84"/>
      <c r="AQ563" s="84"/>
      <c r="AR563" s="84"/>
      <c r="AS563" s="87">
        <f t="array" ref="AS563">IF(E563=1,SUM((ROW(Mf0)=ROW(AS563))*(Mf0+Mf1_+Mf2_+Mf3_+Mf4_+Mf5_+Mf6_+Mf7_+Mf8_+Mf9_+Mf10_+Mf11_+Mf12_+Mf13_+Mf14_+Mf15_+Mf16_+Mf17_+Mf18_+Mf19_+Mf20_+Mf21_+Mf22_+Mf23_+Mf24_+Mf25_+Mf26_+Mf27_+Mf28_+Mf29_+Mf30_+Mf31_+Mf32_+Mf33_+Mf34_+Mf35_+Mf36_+Mf37_)),0)</f>
        <v>0</v>
      </c>
      <c r="AU563" s="24" t="str">
        <f t="shared" si="54"/>
        <v/>
      </c>
      <c r="AV563" s="24" t="str">
        <f t="shared" si="55"/>
        <v/>
      </c>
      <c r="AW563" s="24" t="str">
        <f t="shared" si="56"/>
        <v/>
      </c>
      <c r="AX563" s="72">
        <f t="shared" si="57"/>
        <v>0</v>
      </c>
      <c r="AY563" s="24">
        <f t="shared" si="58"/>
        <v>0</v>
      </c>
      <c r="AZ563" s="24">
        <f t="array" ref="AZ563">IF(OR(RIGHT(B563,LEN(Par_LabelTravelTime))=Par_LabelTravelTime,B563="čas na ceste - fakturácia"),1,0)</f>
        <v>0</v>
      </c>
    </row>
    <row r="564" spans="2:52" s="24" customFormat="1" ht="12.75" x14ac:dyDescent="0.2">
      <c r="B564" s="97"/>
      <c r="C564" s="92"/>
      <c r="D564" s="31" t="str">
        <f>IF(E564=1,VLOOKUP(TableInvs[[#This Row],[Calc_V_Typ]],Tran_RevenuesList,3,FALSE),"")</f>
        <v/>
      </c>
      <c r="E564" s="31">
        <f t="shared" si="53"/>
        <v>0</v>
      </c>
      <c r="F564" s="9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  <c r="R564" s="84"/>
      <c r="S564" s="84"/>
      <c r="T564" s="84"/>
      <c r="U564" s="84"/>
      <c r="V564" s="84"/>
      <c r="W564" s="84"/>
      <c r="X564" s="84"/>
      <c r="Y564" s="84"/>
      <c r="Z564" s="84"/>
      <c r="AA564" s="84"/>
      <c r="AB564" s="84"/>
      <c r="AC564" s="85"/>
      <c r="AD564" s="85"/>
      <c r="AE564" s="84"/>
      <c r="AF564" s="84"/>
      <c r="AG564" s="84"/>
      <c r="AH564" s="84"/>
      <c r="AI564" s="84"/>
      <c r="AJ564" s="84"/>
      <c r="AK564" s="84"/>
      <c r="AL564" s="84"/>
      <c r="AM564" s="84"/>
      <c r="AN564" s="84"/>
      <c r="AO564" s="84"/>
      <c r="AP564" s="84"/>
      <c r="AQ564" s="84"/>
      <c r="AR564" s="84"/>
      <c r="AS564" s="87">
        <f t="array" ref="AS564">IF(E564=1,SUM((ROW(Mf0)=ROW(AS564))*(Mf0+Mf1_+Mf2_+Mf3_+Mf4_+Mf5_+Mf6_+Mf7_+Mf8_+Mf9_+Mf10_+Mf11_+Mf12_+Mf13_+Mf14_+Mf15_+Mf16_+Mf17_+Mf18_+Mf19_+Mf20_+Mf21_+Mf22_+Mf23_+Mf24_+Mf25_+Mf26_+Mf27_+Mf28_+Mf29_+Mf30_+Mf31_+Mf32_+Mf33_+Mf34_+Mf35_+Mf36_+Mf37_)),0)</f>
        <v>0</v>
      </c>
      <c r="AU564" s="24" t="str">
        <f t="shared" si="54"/>
        <v/>
      </c>
      <c r="AV564" s="24" t="str">
        <f t="shared" si="55"/>
        <v/>
      </c>
      <c r="AW564" s="24" t="str">
        <f t="shared" si="56"/>
        <v/>
      </c>
      <c r="AX564" s="72">
        <f t="shared" si="57"/>
        <v>0</v>
      </c>
      <c r="AY564" s="24">
        <f t="shared" si="58"/>
        <v>0</v>
      </c>
      <c r="AZ564" s="24">
        <f t="array" ref="AZ564">IF(OR(RIGHT(B564,LEN(Par_LabelTravelTime))=Par_LabelTravelTime,B564="čas na ceste - fakturácia"),1,0)</f>
        <v>0</v>
      </c>
    </row>
    <row r="565" spans="2:52" s="24" customFormat="1" ht="12.75" x14ac:dyDescent="0.2">
      <c r="B565" s="97"/>
      <c r="C565" s="92"/>
      <c r="D565" s="31" t="str">
        <f>IF(E565=1,VLOOKUP(TableInvs[[#This Row],[Calc_V_Typ]],Tran_RevenuesList,3,FALSE),"")</f>
        <v/>
      </c>
      <c r="E565" s="31">
        <f t="shared" si="53"/>
        <v>0</v>
      </c>
      <c r="F565" s="9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  <c r="S565" s="84"/>
      <c r="T565" s="84"/>
      <c r="U565" s="84"/>
      <c r="V565" s="84"/>
      <c r="W565" s="84"/>
      <c r="X565" s="84"/>
      <c r="Y565" s="84"/>
      <c r="Z565" s="84"/>
      <c r="AA565" s="84"/>
      <c r="AB565" s="84"/>
      <c r="AC565" s="85"/>
      <c r="AD565" s="85"/>
      <c r="AE565" s="84"/>
      <c r="AF565" s="84"/>
      <c r="AG565" s="84"/>
      <c r="AH565" s="84"/>
      <c r="AI565" s="84"/>
      <c r="AJ565" s="84"/>
      <c r="AK565" s="84"/>
      <c r="AL565" s="84"/>
      <c r="AM565" s="84"/>
      <c r="AN565" s="84"/>
      <c r="AO565" s="84"/>
      <c r="AP565" s="84"/>
      <c r="AQ565" s="84"/>
      <c r="AR565" s="84"/>
      <c r="AS565" s="87">
        <f t="array" ref="AS565">IF(E565=1,SUM((ROW(Mf0)=ROW(AS565))*(Mf0+Mf1_+Mf2_+Mf3_+Mf4_+Mf5_+Mf6_+Mf7_+Mf8_+Mf9_+Mf10_+Mf11_+Mf12_+Mf13_+Mf14_+Mf15_+Mf16_+Mf17_+Mf18_+Mf19_+Mf20_+Mf21_+Mf22_+Mf23_+Mf24_+Mf25_+Mf26_+Mf27_+Mf28_+Mf29_+Mf30_+Mf31_+Mf32_+Mf33_+Mf34_+Mf35_+Mf36_+Mf37_)),0)</f>
        <v>0</v>
      </c>
      <c r="AU565" s="24" t="str">
        <f t="shared" si="54"/>
        <v/>
      </c>
      <c r="AV565" s="24" t="str">
        <f t="shared" si="55"/>
        <v/>
      </c>
      <c r="AW565" s="24" t="str">
        <f t="shared" si="56"/>
        <v/>
      </c>
      <c r="AX565" s="72">
        <f t="shared" si="57"/>
        <v>0</v>
      </c>
      <c r="AY565" s="24">
        <f t="shared" si="58"/>
        <v>0</v>
      </c>
      <c r="AZ565" s="24">
        <f t="array" ref="AZ565">IF(OR(RIGHT(B565,LEN(Par_LabelTravelTime))=Par_LabelTravelTime,B565="čas na ceste - fakturácia"),1,0)</f>
        <v>0</v>
      </c>
    </row>
    <row r="566" spans="2:52" s="24" customFormat="1" ht="12.75" x14ac:dyDescent="0.2">
      <c r="B566" s="97"/>
      <c r="C566" s="92"/>
      <c r="D566" s="31" t="str">
        <f>IF(E566=1,VLOOKUP(TableInvs[[#This Row],[Calc_V_Typ]],Tran_RevenuesList,3,FALSE),"")</f>
        <v/>
      </c>
      <c r="E566" s="31">
        <f t="shared" si="53"/>
        <v>0</v>
      </c>
      <c r="F566" s="9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  <c r="S566" s="84"/>
      <c r="T566" s="84"/>
      <c r="U566" s="84"/>
      <c r="V566" s="84"/>
      <c r="W566" s="84"/>
      <c r="X566" s="84"/>
      <c r="Y566" s="84"/>
      <c r="Z566" s="84"/>
      <c r="AA566" s="84"/>
      <c r="AB566" s="84"/>
      <c r="AC566" s="85"/>
      <c r="AD566" s="85"/>
      <c r="AE566" s="84"/>
      <c r="AF566" s="84"/>
      <c r="AG566" s="84"/>
      <c r="AH566" s="84"/>
      <c r="AI566" s="84"/>
      <c r="AJ566" s="84"/>
      <c r="AK566" s="84"/>
      <c r="AL566" s="84"/>
      <c r="AM566" s="84"/>
      <c r="AN566" s="84"/>
      <c r="AO566" s="84"/>
      <c r="AP566" s="84"/>
      <c r="AQ566" s="84"/>
      <c r="AR566" s="84"/>
      <c r="AS566" s="87">
        <f t="array" ref="AS566">IF(E566=1,SUM((ROW(Mf0)=ROW(AS566))*(Mf0+Mf1_+Mf2_+Mf3_+Mf4_+Mf5_+Mf6_+Mf7_+Mf8_+Mf9_+Mf10_+Mf11_+Mf12_+Mf13_+Mf14_+Mf15_+Mf16_+Mf17_+Mf18_+Mf19_+Mf20_+Mf21_+Mf22_+Mf23_+Mf24_+Mf25_+Mf26_+Mf27_+Mf28_+Mf29_+Mf30_+Mf31_+Mf32_+Mf33_+Mf34_+Mf35_+Mf36_+Mf37_)),0)</f>
        <v>0</v>
      </c>
      <c r="AU566" s="24" t="str">
        <f t="shared" si="54"/>
        <v/>
      </c>
      <c r="AV566" s="24" t="str">
        <f t="shared" si="55"/>
        <v/>
      </c>
      <c r="AW566" s="24" t="str">
        <f t="shared" si="56"/>
        <v/>
      </c>
      <c r="AX566" s="72">
        <f t="shared" si="57"/>
        <v>0</v>
      </c>
      <c r="AY566" s="24">
        <f t="shared" si="58"/>
        <v>0</v>
      </c>
      <c r="AZ566" s="24">
        <f t="array" ref="AZ566">IF(OR(RIGHT(B566,LEN(Par_LabelTravelTime))=Par_LabelTravelTime,B566="čas na ceste - fakturácia"),1,0)</f>
        <v>0</v>
      </c>
    </row>
    <row r="567" spans="2:52" s="24" customFormat="1" ht="12.75" x14ac:dyDescent="0.2">
      <c r="B567" s="97"/>
      <c r="C567" s="92"/>
      <c r="D567" s="31" t="str">
        <f>IF(E567=1,VLOOKUP(TableInvs[[#This Row],[Calc_V_Typ]],Tran_RevenuesList,3,FALSE),"")</f>
        <v/>
      </c>
      <c r="E567" s="31">
        <f t="shared" si="53"/>
        <v>0</v>
      </c>
      <c r="F567" s="9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  <c r="S567" s="84"/>
      <c r="T567" s="84"/>
      <c r="U567" s="84"/>
      <c r="V567" s="84"/>
      <c r="W567" s="84"/>
      <c r="X567" s="84"/>
      <c r="Y567" s="84"/>
      <c r="Z567" s="84"/>
      <c r="AA567" s="84"/>
      <c r="AB567" s="84"/>
      <c r="AC567" s="85"/>
      <c r="AD567" s="85"/>
      <c r="AE567" s="84"/>
      <c r="AF567" s="84"/>
      <c r="AG567" s="84"/>
      <c r="AH567" s="84"/>
      <c r="AI567" s="84"/>
      <c r="AJ567" s="84"/>
      <c r="AK567" s="84"/>
      <c r="AL567" s="84"/>
      <c r="AM567" s="84"/>
      <c r="AN567" s="84"/>
      <c r="AO567" s="84"/>
      <c r="AP567" s="84"/>
      <c r="AQ567" s="84"/>
      <c r="AR567" s="84"/>
      <c r="AS567" s="87">
        <f t="array" ref="AS567">IF(E567=1,SUM((ROW(Mf0)=ROW(AS567))*(Mf0+Mf1_+Mf2_+Mf3_+Mf4_+Mf5_+Mf6_+Mf7_+Mf8_+Mf9_+Mf10_+Mf11_+Mf12_+Mf13_+Mf14_+Mf15_+Mf16_+Mf17_+Mf18_+Mf19_+Mf20_+Mf21_+Mf22_+Mf23_+Mf24_+Mf25_+Mf26_+Mf27_+Mf28_+Mf29_+Mf30_+Mf31_+Mf32_+Mf33_+Mf34_+Mf35_+Mf36_+Mf37_)),0)</f>
        <v>0</v>
      </c>
      <c r="AU567" s="24" t="str">
        <f t="shared" si="54"/>
        <v/>
      </c>
      <c r="AV567" s="24" t="str">
        <f t="shared" si="55"/>
        <v/>
      </c>
      <c r="AW567" s="24" t="str">
        <f t="shared" si="56"/>
        <v/>
      </c>
      <c r="AX567" s="72">
        <f t="shared" si="57"/>
        <v>0</v>
      </c>
      <c r="AY567" s="24">
        <f t="shared" si="58"/>
        <v>0</v>
      </c>
      <c r="AZ567" s="24">
        <f t="array" ref="AZ567">IF(OR(RIGHT(B567,LEN(Par_LabelTravelTime))=Par_LabelTravelTime,B567="čas na ceste - fakturácia"),1,0)</f>
        <v>0</v>
      </c>
    </row>
    <row r="568" spans="2:52" s="24" customFormat="1" ht="12.75" x14ac:dyDescent="0.2">
      <c r="B568" s="97"/>
      <c r="C568" s="92"/>
      <c r="D568" s="31" t="str">
        <f>IF(E568=1,VLOOKUP(TableInvs[[#This Row],[Calc_V_Typ]],Tran_RevenuesList,3,FALSE),"")</f>
        <v/>
      </c>
      <c r="E568" s="31">
        <f t="shared" si="53"/>
        <v>0</v>
      </c>
      <c r="F568" s="9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  <c r="S568" s="84"/>
      <c r="T568" s="84"/>
      <c r="U568" s="84"/>
      <c r="V568" s="84"/>
      <c r="W568" s="84"/>
      <c r="X568" s="84"/>
      <c r="Y568" s="84"/>
      <c r="Z568" s="84"/>
      <c r="AA568" s="84"/>
      <c r="AB568" s="84"/>
      <c r="AC568" s="85"/>
      <c r="AD568" s="85"/>
      <c r="AE568" s="84"/>
      <c r="AF568" s="84"/>
      <c r="AG568" s="84"/>
      <c r="AH568" s="84"/>
      <c r="AI568" s="84"/>
      <c r="AJ568" s="84"/>
      <c r="AK568" s="84"/>
      <c r="AL568" s="84"/>
      <c r="AM568" s="84"/>
      <c r="AN568" s="84"/>
      <c r="AO568" s="84"/>
      <c r="AP568" s="84"/>
      <c r="AQ568" s="84"/>
      <c r="AR568" s="84"/>
      <c r="AS568" s="87">
        <f t="array" ref="AS568">IF(E568=1,SUM((ROW(Mf0)=ROW(AS568))*(Mf0+Mf1_+Mf2_+Mf3_+Mf4_+Mf5_+Mf6_+Mf7_+Mf8_+Mf9_+Mf10_+Mf11_+Mf12_+Mf13_+Mf14_+Mf15_+Mf16_+Mf17_+Mf18_+Mf19_+Mf20_+Mf21_+Mf22_+Mf23_+Mf24_+Mf25_+Mf26_+Mf27_+Mf28_+Mf29_+Mf30_+Mf31_+Mf32_+Mf33_+Mf34_+Mf35_+Mf36_+Mf37_)),0)</f>
        <v>0</v>
      </c>
      <c r="AU568" s="24" t="str">
        <f t="shared" si="54"/>
        <v/>
      </c>
      <c r="AV568" s="24" t="str">
        <f t="shared" si="55"/>
        <v/>
      </c>
      <c r="AW568" s="24" t="str">
        <f t="shared" si="56"/>
        <v/>
      </c>
      <c r="AX568" s="72">
        <f t="shared" si="57"/>
        <v>0</v>
      </c>
      <c r="AY568" s="24">
        <f t="shared" si="58"/>
        <v>0</v>
      </c>
      <c r="AZ568" s="24">
        <f t="array" ref="AZ568">IF(OR(RIGHT(B568,LEN(Par_LabelTravelTime))=Par_LabelTravelTime,B568="čas na ceste - fakturácia"),1,0)</f>
        <v>0</v>
      </c>
    </row>
    <row r="569" spans="2:52" s="24" customFormat="1" ht="12.75" x14ac:dyDescent="0.2">
      <c r="B569" s="97"/>
      <c r="C569" s="92"/>
      <c r="D569" s="31" t="str">
        <f>IF(E569=1,VLOOKUP(TableInvs[[#This Row],[Calc_V_Typ]],Tran_RevenuesList,3,FALSE),"")</f>
        <v/>
      </c>
      <c r="E569" s="31">
        <f t="shared" si="53"/>
        <v>0</v>
      </c>
      <c r="F569" s="9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  <c r="S569" s="84"/>
      <c r="T569" s="84"/>
      <c r="U569" s="84"/>
      <c r="V569" s="84"/>
      <c r="W569" s="84"/>
      <c r="X569" s="84"/>
      <c r="Y569" s="84"/>
      <c r="Z569" s="84"/>
      <c r="AA569" s="84"/>
      <c r="AB569" s="84"/>
      <c r="AC569" s="85"/>
      <c r="AD569" s="85"/>
      <c r="AE569" s="84"/>
      <c r="AF569" s="84"/>
      <c r="AG569" s="84"/>
      <c r="AH569" s="84"/>
      <c r="AI569" s="84"/>
      <c r="AJ569" s="84"/>
      <c r="AK569" s="84"/>
      <c r="AL569" s="84"/>
      <c r="AM569" s="84"/>
      <c r="AN569" s="84"/>
      <c r="AO569" s="84"/>
      <c r="AP569" s="84"/>
      <c r="AQ569" s="84"/>
      <c r="AR569" s="84"/>
      <c r="AS569" s="87">
        <f t="array" ref="AS569">IF(E569=1,SUM((ROW(Mf0)=ROW(AS569))*(Mf0+Mf1_+Mf2_+Mf3_+Mf4_+Mf5_+Mf6_+Mf7_+Mf8_+Mf9_+Mf10_+Mf11_+Mf12_+Mf13_+Mf14_+Mf15_+Mf16_+Mf17_+Mf18_+Mf19_+Mf20_+Mf21_+Mf22_+Mf23_+Mf24_+Mf25_+Mf26_+Mf27_+Mf28_+Mf29_+Mf30_+Mf31_+Mf32_+Mf33_+Mf34_+Mf35_+Mf36_+Mf37_)),0)</f>
        <v>0</v>
      </c>
      <c r="AU569" s="24" t="str">
        <f t="shared" si="54"/>
        <v/>
      </c>
      <c r="AV569" s="24" t="str">
        <f t="shared" si="55"/>
        <v/>
      </c>
      <c r="AW569" s="24" t="str">
        <f t="shared" si="56"/>
        <v/>
      </c>
      <c r="AX569" s="72">
        <f t="shared" si="57"/>
        <v>0</v>
      </c>
      <c r="AY569" s="24">
        <f t="shared" si="58"/>
        <v>0</v>
      </c>
      <c r="AZ569" s="24">
        <f t="array" ref="AZ569">IF(OR(RIGHT(B569,LEN(Par_LabelTravelTime))=Par_LabelTravelTime,B569="čas na ceste - fakturácia"),1,0)</f>
        <v>0</v>
      </c>
    </row>
    <row r="570" spans="2:52" s="24" customFormat="1" ht="12.75" x14ac:dyDescent="0.2">
      <c r="B570" s="97"/>
      <c r="C570" s="92"/>
      <c r="D570" s="31" t="str">
        <f>IF(E570=1,VLOOKUP(TableInvs[[#This Row],[Calc_V_Typ]],Tran_RevenuesList,3,FALSE),"")</f>
        <v/>
      </c>
      <c r="E570" s="31">
        <f t="shared" si="53"/>
        <v>0</v>
      </c>
      <c r="F570" s="9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  <c r="S570" s="84"/>
      <c r="T570" s="84"/>
      <c r="U570" s="84"/>
      <c r="V570" s="84"/>
      <c r="W570" s="84"/>
      <c r="X570" s="84"/>
      <c r="Y570" s="84"/>
      <c r="Z570" s="84"/>
      <c r="AA570" s="84"/>
      <c r="AB570" s="84"/>
      <c r="AC570" s="85"/>
      <c r="AD570" s="85"/>
      <c r="AE570" s="84"/>
      <c r="AF570" s="84"/>
      <c r="AG570" s="84"/>
      <c r="AH570" s="84"/>
      <c r="AI570" s="84"/>
      <c r="AJ570" s="84"/>
      <c r="AK570" s="84"/>
      <c r="AL570" s="84"/>
      <c r="AM570" s="84"/>
      <c r="AN570" s="84"/>
      <c r="AO570" s="84"/>
      <c r="AP570" s="84"/>
      <c r="AQ570" s="84"/>
      <c r="AR570" s="84"/>
      <c r="AS570" s="87">
        <f t="array" ref="AS570">IF(E570=1,SUM((ROW(Mf0)=ROW(AS570))*(Mf0+Mf1_+Mf2_+Mf3_+Mf4_+Mf5_+Mf6_+Mf7_+Mf8_+Mf9_+Mf10_+Mf11_+Mf12_+Mf13_+Mf14_+Mf15_+Mf16_+Mf17_+Mf18_+Mf19_+Mf20_+Mf21_+Mf22_+Mf23_+Mf24_+Mf25_+Mf26_+Mf27_+Mf28_+Mf29_+Mf30_+Mf31_+Mf32_+Mf33_+Mf34_+Mf35_+Mf36_+Mf37_)),0)</f>
        <v>0</v>
      </c>
      <c r="AU570" s="24" t="str">
        <f t="shared" si="54"/>
        <v/>
      </c>
      <c r="AV570" s="24" t="str">
        <f t="shared" si="55"/>
        <v/>
      </c>
      <c r="AW570" s="24" t="str">
        <f t="shared" si="56"/>
        <v/>
      </c>
      <c r="AX570" s="72">
        <f t="shared" si="57"/>
        <v>0</v>
      </c>
      <c r="AY570" s="24">
        <f t="shared" si="58"/>
        <v>0</v>
      </c>
      <c r="AZ570" s="24">
        <f t="array" ref="AZ570">IF(OR(RIGHT(B570,LEN(Par_LabelTravelTime))=Par_LabelTravelTime,B570="čas na ceste - fakturácia"),1,0)</f>
        <v>0</v>
      </c>
    </row>
    <row r="571" spans="2:52" s="24" customFormat="1" ht="12.75" x14ac:dyDescent="0.2">
      <c r="B571" s="97"/>
      <c r="C571" s="92"/>
      <c r="D571" s="31" t="str">
        <f>IF(E571=1,VLOOKUP(TableInvs[[#This Row],[Calc_V_Typ]],Tran_RevenuesList,3,FALSE),"")</f>
        <v/>
      </c>
      <c r="E571" s="31">
        <f t="shared" si="53"/>
        <v>0</v>
      </c>
      <c r="F571" s="9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  <c r="S571" s="84"/>
      <c r="T571" s="84"/>
      <c r="U571" s="84"/>
      <c r="V571" s="84"/>
      <c r="W571" s="84"/>
      <c r="X571" s="84"/>
      <c r="Y571" s="84"/>
      <c r="Z571" s="84"/>
      <c r="AA571" s="84"/>
      <c r="AB571" s="84"/>
      <c r="AC571" s="85"/>
      <c r="AD571" s="85"/>
      <c r="AE571" s="84"/>
      <c r="AF571" s="84"/>
      <c r="AG571" s="84"/>
      <c r="AH571" s="84"/>
      <c r="AI571" s="84"/>
      <c r="AJ571" s="84"/>
      <c r="AK571" s="84"/>
      <c r="AL571" s="84"/>
      <c r="AM571" s="84"/>
      <c r="AN571" s="84"/>
      <c r="AO571" s="84"/>
      <c r="AP571" s="84"/>
      <c r="AQ571" s="84"/>
      <c r="AR571" s="84"/>
      <c r="AS571" s="87">
        <f t="array" ref="AS571">IF(E571=1,SUM((ROW(Mf0)=ROW(AS571))*(Mf0+Mf1_+Mf2_+Mf3_+Mf4_+Mf5_+Mf6_+Mf7_+Mf8_+Mf9_+Mf10_+Mf11_+Mf12_+Mf13_+Mf14_+Mf15_+Mf16_+Mf17_+Mf18_+Mf19_+Mf20_+Mf21_+Mf22_+Mf23_+Mf24_+Mf25_+Mf26_+Mf27_+Mf28_+Mf29_+Mf30_+Mf31_+Mf32_+Mf33_+Mf34_+Mf35_+Mf36_+Mf37_)),0)</f>
        <v>0</v>
      </c>
      <c r="AU571" s="24" t="str">
        <f t="shared" si="54"/>
        <v/>
      </c>
      <c r="AV571" s="24" t="str">
        <f t="shared" si="55"/>
        <v/>
      </c>
      <c r="AW571" s="24" t="str">
        <f t="shared" si="56"/>
        <v/>
      </c>
      <c r="AX571" s="72">
        <f t="shared" si="57"/>
        <v>0</v>
      </c>
      <c r="AY571" s="24">
        <f t="shared" si="58"/>
        <v>0</v>
      </c>
      <c r="AZ571" s="24">
        <f t="array" ref="AZ571">IF(OR(RIGHT(B571,LEN(Par_LabelTravelTime))=Par_LabelTravelTime,B571="čas na ceste - fakturácia"),1,0)</f>
        <v>0</v>
      </c>
    </row>
    <row r="572" spans="2:52" s="24" customFormat="1" ht="12.75" x14ac:dyDescent="0.2">
      <c r="B572" s="97"/>
      <c r="C572" s="92"/>
      <c r="D572" s="31" t="str">
        <f>IF(E572=1,VLOOKUP(TableInvs[[#This Row],[Calc_V_Typ]],Tran_RevenuesList,3,FALSE),"")</f>
        <v/>
      </c>
      <c r="E572" s="31">
        <f t="shared" si="53"/>
        <v>0</v>
      </c>
      <c r="F572" s="9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  <c r="S572" s="84"/>
      <c r="T572" s="84"/>
      <c r="U572" s="84"/>
      <c r="V572" s="84"/>
      <c r="W572" s="84"/>
      <c r="X572" s="84"/>
      <c r="Y572" s="84"/>
      <c r="Z572" s="84"/>
      <c r="AA572" s="84"/>
      <c r="AB572" s="84"/>
      <c r="AC572" s="85"/>
      <c r="AD572" s="85"/>
      <c r="AE572" s="84"/>
      <c r="AF572" s="84"/>
      <c r="AG572" s="84"/>
      <c r="AH572" s="84"/>
      <c r="AI572" s="84"/>
      <c r="AJ572" s="84"/>
      <c r="AK572" s="84"/>
      <c r="AL572" s="84"/>
      <c r="AM572" s="84"/>
      <c r="AN572" s="84"/>
      <c r="AO572" s="84"/>
      <c r="AP572" s="84"/>
      <c r="AQ572" s="84"/>
      <c r="AR572" s="84"/>
      <c r="AS572" s="87">
        <f t="array" ref="AS572">IF(E572=1,SUM((ROW(Mf0)=ROW(AS572))*(Mf0+Mf1_+Mf2_+Mf3_+Mf4_+Mf5_+Mf6_+Mf7_+Mf8_+Mf9_+Mf10_+Mf11_+Mf12_+Mf13_+Mf14_+Mf15_+Mf16_+Mf17_+Mf18_+Mf19_+Mf20_+Mf21_+Mf22_+Mf23_+Mf24_+Mf25_+Mf26_+Mf27_+Mf28_+Mf29_+Mf30_+Mf31_+Mf32_+Mf33_+Mf34_+Mf35_+Mf36_+Mf37_)),0)</f>
        <v>0</v>
      </c>
      <c r="AU572" s="24" t="str">
        <f t="shared" si="54"/>
        <v/>
      </c>
      <c r="AV572" s="24" t="str">
        <f t="shared" si="55"/>
        <v/>
      </c>
      <c r="AW572" s="24" t="str">
        <f t="shared" si="56"/>
        <v/>
      </c>
      <c r="AX572" s="72">
        <f t="shared" si="57"/>
        <v>0</v>
      </c>
      <c r="AY572" s="24">
        <f t="shared" si="58"/>
        <v>0</v>
      </c>
      <c r="AZ572" s="24">
        <f t="array" ref="AZ572">IF(OR(RIGHT(B572,LEN(Par_LabelTravelTime))=Par_LabelTravelTime,B572="čas na ceste - fakturácia"),1,0)</f>
        <v>0</v>
      </c>
    </row>
    <row r="573" spans="2:52" s="24" customFormat="1" ht="12.75" x14ac:dyDescent="0.2">
      <c r="B573" s="97"/>
      <c r="C573" s="92"/>
      <c r="D573" s="31" t="str">
        <f>IF(E573=1,VLOOKUP(TableInvs[[#This Row],[Calc_V_Typ]],Tran_RevenuesList,3,FALSE),"")</f>
        <v/>
      </c>
      <c r="E573" s="31">
        <f t="shared" si="53"/>
        <v>0</v>
      </c>
      <c r="F573" s="9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  <c r="S573" s="84"/>
      <c r="T573" s="84"/>
      <c r="U573" s="84"/>
      <c r="V573" s="84"/>
      <c r="W573" s="84"/>
      <c r="X573" s="84"/>
      <c r="Y573" s="84"/>
      <c r="Z573" s="84"/>
      <c r="AA573" s="84"/>
      <c r="AB573" s="84"/>
      <c r="AC573" s="85"/>
      <c r="AD573" s="85"/>
      <c r="AE573" s="84"/>
      <c r="AF573" s="84"/>
      <c r="AG573" s="84"/>
      <c r="AH573" s="84"/>
      <c r="AI573" s="84"/>
      <c r="AJ573" s="84"/>
      <c r="AK573" s="84"/>
      <c r="AL573" s="84"/>
      <c r="AM573" s="84"/>
      <c r="AN573" s="84"/>
      <c r="AO573" s="84"/>
      <c r="AP573" s="84"/>
      <c r="AQ573" s="84"/>
      <c r="AR573" s="84"/>
      <c r="AS573" s="87">
        <f t="array" ref="AS573">IF(E573=1,SUM((ROW(Mf0)=ROW(AS573))*(Mf0+Mf1_+Mf2_+Mf3_+Mf4_+Mf5_+Mf6_+Mf7_+Mf8_+Mf9_+Mf10_+Mf11_+Mf12_+Mf13_+Mf14_+Mf15_+Mf16_+Mf17_+Mf18_+Mf19_+Mf20_+Mf21_+Mf22_+Mf23_+Mf24_+Mf25_+Mf26_+Mf27_+Mf28_+Mf29_+Mf30_+Mf31_+Mf32_+Mf33_+Mf34_+Mf35_+Mf36_+Mf37_)),0)</f>
        <v>0</v>
      </c>
      <c r="AU573" s="24" t="str">
        <f t="shared" si="54"/>
        <v/>
      </c>
      <c r="AV573" s="24" t="str">
        <f t="shared" si="55"/>
        <v/>
      </c>
      <c r="AW573" s="24" t="str">
        <f t="shared" si="56"/>
        <v/>
      </c>
      <c r="AX573" s="72">
        <f t="shared" si="57"/>
        <v>0</v>
      </c>
      <c r="AY573" s="24">
        <f t="shared" si="58"/>
        <v>0</v>
      </c>
      <c r="AZ573" s="24">
        <f t="array" ref="AZ573">IF(OR(RIGHT(B573,LEN(Par_LabelTravelTime))=Par_LabelTravelTime,B573="čas na ceste - fakturácia"),1,0)</f>
        <v>0</v>
      </c>
    </row>
    <row r="574" spans="2:52" s="24" customFormat="1" ht="12.75" x14ac:dyDescent="0.2">
      <c r="B574" s="97"/>
      <c r="C574" s="92"/>
      <c r="D574" s="31" t="str">
        <f>IF(E574=1,VLOOKUP(TableInvs[[#This Row],[Calc_V_Typ]],Tran_RevenuesList,3,FALSE),"")</f>
        <v/>
      </c>
      <c r="E574" s="31">
        <f t="shared" si="53"/>
        <v>0</v>
      </c>
      <c r="F574" s="9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  <c r="S574" s="84"/>
      <c r="T574" s="84"/>
      <c r="U574" s="84"/>
      <c r="V574" s="84"/>
      <c r="W574" s="84"/>
      <c r="X574" s="84"/>
      <c r="Y574" s="84"/>
      <c r="Z574" s="84"/>
      <c r="AA574" s="84"/>
      <c r="AB574" s="84"/>
      <c r="AC574" s="85"/>
      <c r="AD574" s="85"/>
      <c r="AE574" s="84"/>
      <c r="AF574" s="84"/>
      <c r="AG574" s="84"/>
      <c r="AH574" s="84"/>
      <c r="AI574" s="84"/>
      <c r="AJ574" s="84"/>
      <c r="AK574" s="84"/>
      <c r="AL574" s="84"/>
      <c r="AM574" s="84"/>
      <c r="AN574" s="84"/>
      <c r="AO574" s="84"/>
      <c r="AP574" s="84"/>
      <c r="AQ574" s="84"/>
      <c r="AR574" s="84"/>
      <c r="AS574" s="87">
        <f t="array" ref="AS574">IF(E574=1,SUM((ROW(Mf0)=ROW(AS574))*(Mf0+Mf1_+Mf2_+Mf3_+Mf4_+Mf5_+Mf6_+Mf7_+Mf8_+Mf9_+Mf10_+Mf11_+Mf12_+Mf13_+Mf14_+Mf15_+Mf16_+Mf17_+Mf18_+Mf19_+Mf20_+Mf21_+Mf22_+Mf23_+Mf24_+Mf25_+Mf26_+Mf27_+Mf28_+Mf29_+Mf30_+Mf31_+Mf32_+Mf33_+Mf34_+Mf35_+Mf36_+Mf37_)),0)</f>
        <v>0</v>
      </c>
      <c r="AU574" s="24" t="str">
        <f t="shared" si="54"/>
        <v/>
      </c>
      <c r="AV574" s="24" t="str">
        <f t="shared" si="55"/>
        <v/>
      </c>
      <c r="AW574" s="24" t="str">
        <f t="shared" si="56"/>
        <v/>
      </c>
      <c r="AX574" s="72">
        <f t="shared" si="57"/>
        <v>0</v>
      </c>
      <c r="AY574" s="24">
        <f t="shared" si="58"/>
        <v>0</v>
      </c>
      <c r="AZ574" s="24">
        <f t="array" ref="AZ574">IF(OR(RIGHT(B574,LEN(Par_LabelTravelTime))=Par_LabelTravelTime,B574="čas na ceste - fakturácia"),1,0)</f>
        <v>0</v>
      </c>
    </row>
    <row r="575" spans="2:52" s="24" customFormat="1" ht="12.75" x14ac:dyDescent="0.2">
      <c r="B575" s="97"/>
      <c r="C575" s="92"/>
      <c r="D575" s="31" t="str">
        <f>IF(E575=1,VLOOKUP(TableInvs[[#This Row],[Calc_V_Typ]],Tran_RevenuesList,3,FALSE),"")</f>
        <v/>
      </c>
      <c r="E575" s="31">
        <f t="shared" si="53"/>
        <v>0</v>
      </c>
      <c r="F575" s="9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  <c r="S575" s="84"/>
      <c r="T575" s="84"/>
      <c r="U575" s="84"/>
      <c r="V575" s="84"/>
      <c r="W575" s="84"/>
      <c r="X575" s="84"/>
      <c r="Y575" s="84"/>
      <c r="Z575" s="84"/>
      <c r="AA575" s="84"/>
      <c r="AB575" s="84"/>
      <c r="AC575" s="85"/>
      <c r="AD575" s="85"/>
      <c r="AE575" s="84"/>
      <c r="AF575" s="84"/>
      <c r="AG575" s="84"/>
      <c r="AH575" s="84"/>
      <c r="AI575" s="84"/>
      <c r="AJ575" s="84"/>
      <c r="AK575" s="84"/>
      <c r="AL575" s="84"/>
      <c r="AM575" s="84"/>
      <c r="AN575" s="84"/>
      <c r="AO575" s="84"/>
      <c r="AP575" s="84"/>
      <c r="AQ575" s="84"/>
      <c r="AR575" s="84"/>
      <c r="AS575" s="87">
        <f t="array" ref="AS575">IF(E575=1,SUM((ROW(Mf0)=ROW(AS575))*(Mf0+Mf1_+Mf2_+Mf3_+Mf4_+Mf5_+Mf6_+Mf7_+Mf8_+Mf9_+Mf10_+Mf11_+Mf12_+Mf13_+Mf14_+Mf15_+Mf16_+Mf17_+Mf18_+Mf19_+Mf20_+Mf21_+Mf22_+Mf23_+Mf24_+Mf25_+Mf26_+Mf27_+Mf28_+Mf29_+Mf30_+Mf31_+Mf32_+Mf33_+Mf34_+Mf35_+Mf36_+Mf37_)),0)</f>
        <v>0</v>
      </c>
      <c r="AU575" s="24" t="str">
        <f t="shared" si="54"/>
        <v/>
      </c>
      <c r="AV575" s="24" t="str">
        <f t="shared" si="55"/>
        <v/>
      </c>
      <c r="AW575" s="24" t="str">
        <f t="shared" si="56"/>
        <v/>
      </c>
      <c r="AX575" s="72">
        <f t="shared" si="57"/>
        <v>0</v>
      </c>
      <c r="AY575" s="24">
        <f t="shared" si="58"/>
        <v>0</v>
      </c>
      <c r="AZ575" s="24">
        <f t="array" ref="AZ575">IF(OR(RIGHT(B575,LEN(Par_LabelTravelTime))=Par_LabelTravelTime,B575="čas na ceste - fakturácia"),1,0)</f>
        <v>0</v>
      </c>
    </row>
    <row r="576" spans="2:52" s="24" customFormat="1" ht="12.75" x14ac:dyDescent="0.2">
      <c r="B576" s="97"/>
      <c r="C576" s="92"/>
      <c r="D576" s="31" t="str">
        <f>IF(E576=1,VLOOKUP(TableInvs[[#This Row],[Calc_V_Typ]],Tran_RevenuesList,3,FALSE),"")</f>
        <v/>
      </c>
      <c r="E576" s="31">
        <f t="shared" si="53"/>
        <v>0</v>
      </c>
      <c r="F576" s="9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  <c r="S576" s="84"/>
      <c r="T576" s="84"/>
      <c r="U576" s="84"/>
      <c r="V576" s="84"/>
      <c r="W576" s="84"/>
      <c r="X576" s="84"/>
      <c r="Y576" s="84"/>
      <c r="Z576" s="84"/>
      <c r="AA576" s="84"/>
      <c r="AB576" s="84"/>
      <c r="AC576" s="85"/>
      <c r="AD576" s="85"/>
      <c r="AE576" s="84"/>
      <c r="AF576" s="84"/>
      <c r="AG576" s="84"/>
      <c r="AH576" s="84"/>
      <c r="AI576" s="84"/>
      <c r="AJ576" s="84"/>
      <c r="AK576" s="84"/>
      <c r="AL576" s="84"/>
      <c r="AM576" s="84"/>
      <c r="AN576" s="84"/>
      <c r="AO576" s="84"/>
      <c r="AP576" s="84"/>
      <c r="AQ576" s="84"/>
      <c r="AR576" s="84"/>
      <c r="AS576" s="87">
        <f t="array" ref="AS576">IF(E576=1,SUM((ROW(Mf0)=ROW(AS576))*(Mf0+Mf1_+Mf2_+Mf3_+Mf4_+Mf5_+Mf6_+Mf7_+Mf8_+Mf9_+Mf10_+Mf11_+Mf12_+Mf13_+Mf14_+Mf15_+Mf16_+Mf17_+Mf18_+Mf19_+Mf20_+Mf21_+Mf22_+Mf23_+Mf24_+Mf25_+Mf26_+Mf27_+Mf28_+Mf29_+Mf30_+Mf31_+Mf32_+Mf33_+Mf34_+Mf35_+Mf36_+Mf37_)),0)</f>
        <v>0</v>
      </c>
      <c r="AU576" s="24" t="str">
        <f t="shared" si="54"/>
        <v/>
      </c>
      <c r="AV576" s="24" t="str">
        <f t="shared" si="55"/>
        <v/>
      </c>
      <c r="AW576" s="24" t="str">
        <f t="shared" si="56"/>
        <v/>
      </c>
      <c r="AX576" s="72">
        <f t="shared" si="57"/>
        <v>0</v>
      </c>
      <c r="AY576" s="24">
        <f t="shared" si="58"/>
        <v>0</v>
      </c>
      <c r="AZ576" s="24">
        <f t="array" ref="AZ576">IF(OR(RIGHT(B576,LEN(Par_LabelTravelTime))=Par_LabelTravelTime,B576="čas na ceste - fakturácia"),1,0)</f>
        <v>0</v>
      </c>
    </row>
    <row r="577" spans="2:52" s="24" customFormat="1" ht="12.75" x14ac:dyDescent="0.2">
      <c r="B577" s="97"/>
      <c r="C577" s="92"/>
      <c r="D577" s="31" t="str">
        <f>IF(E577=1,VLOOKUP(TableInvs[[#This Row],[Calc_V_Typ]],Tran_RevenuesList,3,FALSE),"")</f>
        <v/>
      </c>
      <c r="E577" s="31">
        <f t="shared" si="53"/>
        <v>0</v>
      </c>
      <c r="F577" s="9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  <c r="S577" s="84"/>
      <c r="T577" s="84"/>
      <c r="U577" s="84"/>
      <c r="V577" s="84"/>
      <c r="W577" s="84"/>
      <c r="X577" s="84"/>
      <c r="Y577" s="84"/>
      <c r="Z577" s="84"/>
      <c r="AA577" s="84"/>
      <c r="AB577" s="84"/>
      <c r="AC577" s="85"/>
      <c r="AD577" s="85"/>
      <c r="AE577" s="84"/>
      <c r="AF577" s="84"/>
      <c r="AG577" s="84"/>
      <c r="AH577" s="84"/>
      <c r="AI577" s="84"/>
      <c r="AJ577" s="84"/>
      <c r="AK577" s="84"/>
      <c r="AL577" s="84"/>
      <c r="AM577" s="84"/>
      <c r="AN577" s="84"/>
      <c r="AO577" s="84"/>
      <c r="AP577" s="84"/>
      <c r="AQ577" s="84"/>
      <c r="AR577" s="84"/>
      <c r="AS577" s="87">
        <f t="array" ref="AS577">IF(E577=1,SUM((ROW(Mf0)=ROW(AS577))*(Mf0+Mf1_+Mf2_+Mf3_+Mf4_+Mf5_+Mf6_+Mf7_+Mf8_+Mf9_+Mf10_+Mf11_+Mf12_+Mf13_+Mf14_+Mf15_+Mf16_+Mf17_+Mf18_+Mf19_+Mf20_+Mf21_+Mf22_+Mf23_+Mf24_+Mf25_+Mf26_+Mf27_+Mf28_+Mf29_+Mf30_+Mf31_+Mf32_+Mf33_+Mf34_+Mf35_+Mf36_+Mf37_)),0)</f>
        <v>0</v>
      </c>
      <c r="AU577" s="24" t="str">
        <f t="shared" si="54"/>
        <v/>
      </c>
      <c r="AV577" s="24" t="str">
        <f t="shared" si="55"/>
        <v/>
      </c>
      <c r="AW577" s="24" t="str">
        <f t="shared" si="56"/>
        <v/>
      </c>
      <c r="AX577" s="72">
        <f t="shared" si="57"/>
        <v>0</v>
      </c>
      <c r="AY577" s="24">
        <f t="shared" si="58"/>
        <v>0</v>
      </c>
      <c r="AZ577" s="24">
        <f t="array" ref="AZ577">IF(OR(RIGHT(B577,LEN(Par_LabelTravelTime))=Par_LabelTravelTime,B577="čas na ceste - fakturácia"),1,0)</f>
        <v>0</v>
      </c>
    </row>
    <row r="578" spans="2:52" s="24" customFormat="1" ht="12.75" x14ac:dyDescent="0.2">
      <c r="B578" s="97"/>
      <c r="C578" s="92"/>
      <c r="D578" s="31" t="str">
        <f>IF(E578=1,VLOOKUP(TableInvs[[#This Row],[Calc_V_Typ]],Tran_RevenuesList,3,FALSE),"")</f>
        <v/>
      </c>
      <c r="E578" s="31">
        <f t="shared" si="53"/>
        <v>0</v>
      </c>
      <c r="F578" s="94"/>
      <c r="G578" s="84"/>
      <c r="H578" s="84"/>
      <c r="I578" s="84"/>
      <c r="J578" s="84"/>
      <c r="K578" s="84"/>
      <c r="L578" s="84"/>
      <c r="M578" s="84"/>
      <c r="N578" s="84"/>
      <c r="O578" s="84"/>
      <c r="P578" s="84"/>
      <c r="Q578" s="84"/>
      <c r="R578" s="84"/>
      <c r="S578" s="84"/>
      <c r="T578" s="84"/>
      <c r="U578" s="84"/>
      <c r="V578" s="84"/>
      <c r="W578" s="84"/>
      <c r="X578" s="84"/>
      <c r="Y578" s="84"/>
      <c r="Z578" s="84"/>
      <c r="AA578" s="84"/>
      <c r="AB578" s="84"/>
      <c r="AC578" s="85"/>
      <c r="AD578" s="85"/>
      <c r="AE578" s="84"/>
      <c r="AF578" s="84"/>
      <c r="AG578" s="84"/>
      <c r="AH578" s="84"/>
      <c r="AI578" s="84"/>
      <c r="AJ578" s="84"/>
      <c r="AK578" s="84"/>
      <c r="AL578" s="84"/>
      <c r="AM578" s="84"/>
      <c r="AN578" s="84"/>
      <c r="AO578" s="84"/>
      <c r="AP578" s="84"/>
      <c r="AQ578" s="84"/>
      <c r="AR578" s="84"/>
      <c r="AS578" s="87">
        <f t="array" ref="AS578">IF(E578=1,SUM((ROW(Mf0)=ROW(AS578))*(Mf0+Mf1_+Mf2_+Mf3_+Mf4_+Mf5_+Mf6_+Mf7_+Mf8_+Mf9_+Mf10_+Mf11_+Mf12_+Mf13_+Mf14_+Mf15_+Mf16_+Mf17_+Mf18_+Mf19_+Mf20_+Mf21_+Mf22_+Mf23_+Mf24_+Mf25_+Mf26_+Mf27_+Mf28_+Mf29_+Mf30_+Mf31_+Mf32_+Mf33_+Mf34_+Mf35_+Mf36_+Mf37_)),0)</f>
        <v>0</v>
      </c>
      <c r="AU578" s="24" t="str">
        <f t="shared" si="54"/>
        <v/>
      </c>
      <c r="AV578" s="24" t="str">
        <f t="shared" si="55"/>
        <v/>
      </c>
      <c r="AW578" s="24" t="str">
        <f t="shared" si="56"/>
        <v/>
      </c>
      <c r="AX578" s="72">
        <f t="shared" si="57"/>
        <v>0</v>
      </c>
      <c r="AY578" s="24">
        <f t="shared" si="58"/>
        <v>0</v>
      </c>
      <c r="AZ578" s="24">
        <f t="array" ref="AZ578">IF(OR(RIGHT(B578,LEN(Par_LabelTravelTime))=Par_LabelTravelTime,B578="čas na ceste - fakturácia"),1,0)</f>
        <v>0</v>
      </c>
    </row>
    <row r="579" spans="2:52" s="24" customFormat="1" ht="12.75" x14ac:dyDescent="0.2">
      <c r="B579" s="97"/>
      <c r="C579" s="92"/>
      <c r="D579" s="31" t="str">
        <f>IF(E579=1,VLOOKUP(TableInvs[[#This Row],[Calc_V_Typ]],Tran_RevenuesList,3,FALSE),"")</f>
        <v/>
      </c>
      <c r="E579" s="31">
        <f t="shared" si="53"/>
        <v>0</v>
      </c>
      <c r="F579" s="9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  <c r="R579" s="84"/>
      <c r="S579" s="84"/>
      <c r="T579" s="84"/>
      <c r="U579" s="84"/>
      <c r="V579" s="84"/>
      <c r="W579" s="84"/>
      <c r="X579" s="84"/>
      <c r="Y579" s="84"/>
      <c r="Z579" s="84"/>
      <c r="AA579" s="84"/>
      <c r="AB579" s="84"/>
      <c r="AC579" s="85"/>
      <c r="AD579" s="85"/>
      <c r="AE579" s="84"/>
      <c r="AF579" s="84"/>
      <c r="AG579" s="84"/>
      <c r="AH579" s="84"/>
      <c r="AI579" s="84"/>
      <c r="AJ579" s="84"/>
      <c r="AK579" s="84"/>
      <c r="AL579" s="84"/>
      <c r="AM579" s="84"/>
      <c r="AN579" s="84"/>
      <c r="AO579" s="84"/>
      <c r="AP579" s="84"/>
      <c r="AQ579" s="84"/>
      <c r="AR579" s="84"/>
      <c r="AS579" s="87">
        <f t="array" ref="AS579">IF(E579=1,SUM((ROW(Mf0)=ROW(AS579))*(Mf0+Mf1_+Mf2_+Mf3_+Mf4_+Mf5_+Mf6_+Mf7_+Mf8_+Mf9_+Mf10_+Mf11_+Mf12_+Mf13_+Mf14_+Mf15_+Mf16_+Mf17_+Mf18_+Mf19_+Mf20_+Mf21_+Mf22_+Mf23_+Mf24_+Mf25_+Mf26_+Mf27_+Mf28_+Mf29_+Mf30_+Mf31_+Mf32_+Mf33_+Mf34_+Mf35_+Mf36_+Mf37_)),0)</f>
        <v>0</v>
      </c>
      <c r="AU579" s="24" t="str">
        <f t="shared" si="54"/>
        <v/>
      </c>
      <c r="AV579" s="24" t="str">
        <f t="shared" si="55"/>
        <v/>
      </c>
      <c r="AW579" s="24" t="str">
        <f t="shared" si="56"/>
        <v/>
      </c>
      <c r="AX579" s="72">
        <f t="shared" si="57"/>
        <v>0</v>
      </c>
      <c r="AY579" s="24">
        <f t="shared" si="58"/>
        <v>0</v>
      </c>
      <c r="AZ579" s="24">
        <f t="array" ref="AZ579">IF(OR(RIGHT(B579,LEN(Par_LabelTravelTime))=Par_LabelTravelTime,B579="čas na ceste - fakturácia"),1,0)</f>
        <v>0</v>
      </c>
    </row>
    <row r="580" spans="2:52" s="24" customFormat="1" ht="12.75" x14ac:dyDescent="0.2">
      <c r="B580" s="97"/>
      <c r="C580" s="92"/>
      <c r="D580" s="31" t="str">
        <f>IF(E580=1,VLOOKUP(TableInvs[[#This Row],[Calc_V_Typ]],Tran_RevenuesList,3,FALSE),"")</f>
        <v/>
      </c>
      <c r="E580" s="31">
        <f t="shared" si="53"/>
        <v>0</v>
      </c>
      <c r="F580" s="9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  <c r="R580" s="84"/>
      <c r="S580" s="84"/>
      <c r="T580" s="84"/>
      <c r="U580" s="84"/>
      <c r="V580" s="84"/>
      <c r="W580" s="84"/>
      <c r="X580" s="84"/>
      <c r="Y580" s="84"/>
      <c r="Z580" s="84"/>
      <c r="AA580" s="84"/>
      <c r="AB580" s="84"/>
      <c r="AC580" s="85"/>
      <c r="AD580" s="85"/>
      <c r="AE580" s="84"/>
      <c r="AF580" s="84"/>
      <c r="AG580" s="84"/>
      <c r="AH580" s="84"/>
      <c r="AI580" s="84"/>
      <c r="AJ580" s="84"/>
      <c r="AK580" s="84"/>
      <c r="AL580" s="84"/>
      <c r="AM580" s="84"/>
      <c r="AN580" s="84"/>
      <c r="AO580" s="84"/>
      <c r="AP580" s="84"/>
      <c r="AQ580" s="84"/>
      <c r="AR580" s="84"/>
      <c r="AS580" s="87">
        <f t="array" ref="AS580">IF(E580=1,SUM((ROW(Mf0)=ROW(AS580))*(Mf0+Mf1_+Mf2_+Mf3_+Mf4_+Mf5_+Mf6_+Mf7_+Mf8_+Mf9_+Mf10_+Mf11_+Mf12_+Mf13_+Mf14_+Mf15_+Mf16_+Mf17_+Mf18_+Mf19_+Mf20_+Mf21_+Mf22_+Mf23_+Mf24_+Mf25_+Mf26_+Mf27_+Mf28_+Mf29_+Mf30_+Mf31_+Mf32_+Mf33_+Mf34_+Mf35_+Mf36_+Mf37_)),0)</f>
        <v>0</v>
      </c>
      <c r="AU580" s="24" t="str">
        <f t="shared" si="54"/>
        <v/>
      </c>
      <c r="AV580" s="24" t="str">
        <f t="shared" si="55"/>
        <v/>
      </c>
      <c r="AW580" s="24" t="str">
        <f t="shared" si="56"/>
        <v/>
      </c>
      <c r="AX580" s="72">
        <f t="shared" si="57"/>
        <v>0</v>
      </c>
      <c r="AY580" s="24">
        <f t="shared" si="58"/>
        <v>0</v>
      </c>
      <c r="AZ580" s="24">
        <f t="array" ref="AZ580">IF(OR(RIGHT(B580,LEN(Par_LabelTravelTime))=Par_LabelTravelTime,B580="čas na ceste - fakturácia"),1,0)</f>
        <v>0</v>
      </c>
    </row>
    <row r="581" spans="2:52" s="24" customFormat="1" ht="12.75" x14ac:dyDescent="0.2">
      <c r="B581" s="97"/>
      <c r="C581" s="92"/>
      <c r="D581" s="31" t="str">
        <f>IF(E581=1,VLOOKUP(TableInvs[[#This Row],[Calc_V_Typ]],Tran_RevenuesList,3,FALSE),"")</f>
        <v/>
      </c>
      <c r="E581" s="31">
        <f t="shared" si="53"/>
        <v>0</v>
      </c>
      <c r="F581" s="9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  <c r="R581" s="84"/>
      <c r="S581" s="84"/>
      <c r="T581" s="84"/>
      <c r="U581" s="84"/>
      <c r="V581" s="84"/>
      <c r="W581" s="84"/>
      <c r="X581" s="84"/>
      <c r="Y581" s="84"/>
      <c r="Z581" s="84"/>
      <c r="AA581" s="84"/>
      <c r="AB581" s="84"/>
      <c r="AC581" s="85"/>
      <c r="AD581" s="85"/>
      <c r="AE581" s="84"/>
      <c r="AF581" s="84"/>
      <c r="AG581" s="84"/>
      <c r="AH581" s="84"/>
      <c r="AI581" s="84"/>
      <c r="AJ581" s="84"/>
      <c r="AK581" s="84"/>
      <c r="AL581" s="84"/>
      <c r="AM581" s="84"/>
      <c r="AN581" s="84"/>
      <c r="AO581" s="84"/>
      <c r="AP581" s="84"/>
      <c r="AQ581" s="84"/>
      <c r="AR581" s="84"/>
      <c r="AS581" s="87">
        <f t="array" ref="AS581">IF(E581=1,SUM((ROW(Mf0)=ROW(AS581))*(Mf0+Mf1_+Mf2_+Mf3_+Mf4_+Mf5_+Mf6_+Mf7_+Mf8_+Mf9_+Mf10_+Mf11_+Mf12_+Mf13_+Mf14_+Mf15_+Mf16_+Mf17_+Mf18_+Mf19_+Mf20_+Mf21_+Mf22_+Mf23_+Mf24_+Mf25_+Mf26_+Mf27_+Mf28_+Mf29_+Mf30_+Mf31_+Mf32_+Mf33_+Mf34_+Mf35_+Mf36_+Mf37_)),0)</f>
        <v>0</v>
      </c>
      <c r="AU581" s="24" t="str">
        <f t="shared" si="54"/>
        <v/>
      </c>
      <c r="AV581" s="24" t="str">
        <f t="shared" si="55"/>
        <v/>
      </c>
      <c r="AW581" s="24" t="str">
        <f t="shared" si="56"/>
        <v/>
      </c>
      <c r="AX581" s="72">
        <f t="shared" si="57"/>
        <v>0</v>
      </c>
      <c r="AY581" s="24">
        <f t="shared" si="58"/>
        <v>0</v>
      </c>
      <c r="AZ581" s="24">
        <f t="array" ref="AZ581">IF(OR(RIGHT(B581,LEN(Par_LabelTravelTime))=Par_LabelTravelTime,B581="čas na ceste - fakturácia"),1,0)</f>
        <v>0</v>
      </c>
    </row>
    <row r="582" spans="2:52" s="24" customFormat="1" ht="12.75" x14ac:dyDescent="0.2">
      <c r="B582" s="97"/>
      <c r="C582" s="92"/>
      <c r="D582" s="31" t="str">
        <f>IF(E582=1,VLOOKUP(TableInvs[[#This Row],[Calc_V_Typ]],Tran_RevenuesList,3,FALSE),"")</f>
        <v/>
      </c>
      <c r="E582" s="31">
        <f t="shared" si="53"/>
        <v>0</v>
      </c>
      <c r="F582" s="9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  <c r="R582" s="84"/>
      <c r="S582" s="84"/>
      <c r="T582" s="84"/>
      <c r="U582" s="84"/>
      <c r="V582" s="84"/>
      <c r="W582" s="84"/>
      <c r="X582" s="84"/>
      <c r="Y582" s="84"/>
      <c r="Z582" s="84"/>
      <c r="AA582" s="84"/>
      <c r="AB582" s="84"/>
      <c r="AC582" s="85"/>
      <c r="AD582" s="85"/>
      <c r="AE582" s="84"/>
      <c r="AF582" s="84"/>
      <c r="AG582" s="84"/>
      <c r="AH582" s="84"/>
      <c r="AI582" s="84"/>
      <c r="AJ582" s="84"/>
      <c r="AK582" s="84"/>
      <c r="AL582" s="84"/>
      <c r="AM582" s="84"/>
      <c r="AN582" s="84"/>
      <c r="AO582" s="84"/>
      <c r="AP582" s="84"/>
      <c r="AQ582" s="84"/>
      <c r="AR582" s="84"/>
      <c r="AS582" s="87">
        <f t="array" ref="AS582">IF(E582=1,SUM((ROW(Mf0)=ROW(AS582))*(Mf0+Mf1_+Mf2_+Mf3_+Mf4_+Mf5_+Mf6_+Mf7_+Mf8_+Mf9_+Mf10_+Mf11_+Mf12_+Mf13_+Mf14_+Mf15_+Mf16_+Mf17_+Mf18_+Mf19_+Mf20_+Mf21_+Mf22_+Mf23_+Mf24_+Mf25_+Mf26_+Mf27_+Mf28_+Mf29_+Mf30_+Mf31_+Mf32_+Mf33_+Mf34_+Mf35_+Mf36_+Mf37_)),0)</f>
        <v>0</v>
      </c>
      <c r="AU582" s="24" t="str">
        <f t="shared" si="54"/>
        <v/>
      </c>
      <c r="AV582" s="24" t="str">
        <f t="shared" si="55"/>
        <v/>
      </c>
      <c r="AW582" s="24" t="str">
        <f t="shared" si="56"/>
        <v/>
      </c>
      <c r="AX582" s="72">
        <f t="shared" si="57"/>
        <v>0</v>
      </c>
      <c r="AY582" s="24">
        <f t="shared" si="58"/>
        <v>0</v>
      </c>
      <c r="AZ582" s="24">
        <f t="array" ref="AZ582">IF(OR(RIGHT(B582,LEN(Par_LabelTravelTime))=Par_LabelTravelTime,B582="čas na ceste - fakturácia"),1,0)</f>
        <v>0</v>
      </c>
    </row>
    <row r="583" spans="2:52" s="24" customFormat="1" ht="12.75" x14ac:dyDescent="0.2">
      <c r="B583" s="97"/>
      <c r="C583" s="92"/>
      <c r="D583" s="31" t="str">
        <f>IF(E583=1,VLOOKUP(TableInvs[[#This Row],[Calc_V_Typ]],Tran_RevenuesList,3,FALSE),"")</f>
        <v/>
      </c>
      <c r="E583" s="31">
        <f t="shared" ref="E583:E646" si="59">IF(B583="",0,IF(LEFT(B583,3)="***",-1,1))</f>
        <v>0</v>
      </c>
      <c r="F583" s="9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  <c r="R583" s="84"/>
      <c r="S583" s="84"/>
      <c r="T583" s="84"/>
      <c r="U583" s="84"/>
      <c r="V583" s="84"/>
      <c r="W583" s="84"/>
      <c r="X583" s="84"/>
      <c r="Y583" s="84"/>
      <c r="Z583" s="84"/>
      <c r="AA583" s="84"/>
      <c r="AB583" s="84"/>
      <c r="AC583" s="85"/>
      <c r="AD583" s="85"/>
      <c r="AE583" s="84"/>
      <c r="AF583" s="84"/>
      <c r="AG583" s="84"/>
      <c r="AH583" s="84"/>
      <c r="AI583" s="84"/>
      <c r="AJ583" s="84"/>
      <c r="AK583" s="84"/>
      <c r="AL583" s="84"/>
      <c r="AM583" s="84"/>
      <c r="AN583" s="84"/>
      <c r="AO583" s="84"/>
      <c r="AP583" s="84"/>
      <c r="AQ583" s="84"/>
      <c r="AR583" s="84"/>
      <c r="AS583" s="87">
        <f t="array" ref="AS583">IF(E583=1,SUM((ROW(Mf0)=ROW(AS583))*(Mf0+Mf1_+Mf2_+Mf3_+Mf4_+Mf5_+Mf6_+Mf7_+Mf8_+Mf9_+Mf10_+Mf11_+Mf12_+Mf13_+Mf14_+Mf15_+Mf16_+Mf17_+Mf18_+Mf19_+Mf20_+Mf21_+Mf22_+Mf23_+Mf24_+Mf25_+Mf26_+Mf27_+Mf28_+Mf29_+Mf30_+Mf31_+Mf32_+Mf33_+Mf34_+Mf35_+Mf36_+Mf37_)),0)</f>
        <v>0</v>
      </c>
      <c r="AU583" s="24" t="str">
        <f t="shared" ref="AU583:AU646" si="60">IF(E583=1,VLOOKUP(B583,Tran_RevenuesList,2,0),"")</f>
        <v/>
      </c>
      <c r="AV583" s="24" t="str">
        <f t="shared" ref="AV583:AV646" si="61">IF(E583=1,D583,"")</f>
        <v/>
      </c>
      <c r="AW583" s="24" t="str">
        <f t="shared" ref="AW583:AW646" si="62">IF(C583="","",VLOOKUP(C583,Tab_Parts,2,0))</f>
        <v/>
      </c>
      <c r="AX583" s="72">
        <f t="shared" ref="AX583:AX646" si="63">IF(E583=1,AS583,0)</f>
        <v>0</v>
      </c>
      <c r="AY583" s="24">
        <f t="shared" ref="AY583:AY646" si="64">IF(RIGHT(B583,LEN(Par_LabelTravelTime))=Par_LabelTravelTime,LEFT(B583,LEN(B583)-LEN(Par_LabelTravelTime)),B583)</f>
        <v>0</v>
      </c>
      <c r="AZ583" s="24">
        <f t="array" ref="AZ583">IF(OR(RIGHT(B583,LEN(Par_LabelTravelTime))=Par_LabelTravelTime,B583="čas na ceste - fakturácia"),1,0)</f>
        <v>0</v>
      </c>
    </row>
    <row r="584" spans="2:52" s="24" customFormat="1" ht="12.75" x14ac:dyDescent="0.2">
      <c r="B584" s="97"/>
      <c r="C584" s="92"/>
      <c r="D584" s="31" t="str">
        <f>IF(E584=1,VLOOKUP(TableInvs[[#This Row],[Calc_V_Typ]],Tran_RevenuesList,3,FALSE),"")</f>
        <v/>
      </c>
      <c r="E584" s="31">
        <f t="shared" si="59"/>
        <v>0</v>
      </c>
      <c r="F584" s="9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  <c r="R584" s="84"/>
      <c r="S584" s="84"/>
      <c r="T584" s="84"/>
      <c r="U584" s="84"/>
      <c r="V584" s="84"/>
      <c r="W584" s="84"/>
      <c r="X584" s="84"/>
      <c r="Y584" s="84"/>
      <c r="Z584" s="84"/>
      <c r="AA584" s="84"/>
      <c r="AB584" s="84"/>
      <c r="AC584" s="85"/>
      <c r="AD584" s="85"/>
      <c r="AE584" s="84"/>
      <c r="AF584" s="84"/>
      <c r="AG584" s="84"/>
      <c r="AH584" s="84"/>
      <c r="AI584" s="84"/>
      <c r="AJ584" s="84"/>
      <c r="AK584" s="84"/>
      <c r="AL584" s="84"/>
      <c r="AM584" s="84"/>
      <c r="AN584" s="84"/>
      <c r="AO584" s="84"/>
      <c r="AP584" s="84"/>
      <c r="AQ584" s="84"/>
      <c r="AR584" s="84"/>
      <c r="AS584" s="87">
        <f t="array" ref="AS584">IF(E584=1,SUM((ROW(Mf0)=ROW(AS584))*(Mf0+Mf1_+Mf2_+Mf3_+Mf4_+Mf5_+Mf6_+Mf7_+Mf8_+Mf9_+Mf10_+Mf11_+Mf12_+Mf13_+Mf14_+Mf15_+Mf16_+Mf17_+Mf18_+Mf19_+Mf20_+Mf21_+Mf22_+Mf23_+Mf24_+Mf25_+Mf26_+Mf27_+Mf28_+Mf29_+Mf30_+Mf31_+Mf32_+Mf33_+Mf34_+Mf35_+Mf36_+Mf37_)),0)</f>
        <v>0</v>
      </c>
      <c r="AU584" s="24" t="str">
        <f t="shared" si="60"/>
        <v/>
      </c>
      <c r="AV584" s="24" t="str">
        <f t="shared" si="61"/>
        <v/>
      </c>
      <c r="AW584" s="24" t="str">
        <f t="shared" si="62"/>
        <v/>
      </c>
      <c r="AX584" s="72">
        <f t="shared" si="63"/>
        <v>0</v>
      </c>
      <c r="AY584" s="24">
        <f t="shared" si="64"/>
        <v>0</v>
      </c>
      <c r="AZ584" s="24">
        <f t="array" ref="AZ584">IF(OR(RIGHT(B584,LEN(Par_LabelTravelTime))=Par_LabelTravelTime,B584="čas na ceste - fakturácia"),1,0)</f>
        <v>0</v>
      </c>
    </row>
    <row r="585" spans="2:52" s="24" customFormat="1" ht="12.75" x14ac:dyDescent="0.2">
      <c r="B585" s="97"/>
      <c r="C585" s="92"/>
      <c r="D585" s="31" t="str">
        <f>IF(E585=1,VLOOKUP(TableInvs[[#This Row],[Calc_V_Typ]],Tran_RevenuesList,3,FALSE),"")</f>
        <v/>
      </c>
      <c r="E585" s="31">
        <f t="shared" si="59"/>
        <v>0</v>
      </c>
      <c r="F585" s="9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  <c r="R585" s="84"/>
      <c r="S585" s="84"/>
      <c r="T585" s="84"/>
      <c r="U585" s="84"/>
      <c r="V585" s="84"/>
      <c r="W585" s="84"/>
      <c r="X585" s="84"/>
      <c r="Y585" s="84"/>
      <c r="Z585" s="84"/>
      <c r="AA585" s="84"/>
      <c r="AB585" s="84"/>
      <c r="AC585" s="85"/>
      <c r="AD585" s="85"/>
      <c r="AE585" s="84"/>
      <c r="AF585" s="84"/>
      <c r="AG585" s="84"/>
      <c r="AH585" s="84"/>
      <c r="AI585" s="84"/>
      <c r="AJ585" s="84"/>
      <c r="AK585" s="84"/>
      <c r="AL585" s="84"/>
      <c r="AM585" s="84"/>
      <c r="AN585" s="84"/>
      <c r="AO585" s="84"/>
      <c r="AP585" s="84"/>
      <c r="AQ585" s="84"/>
      <c r="AR585" s="84"/>
      <c r="AS585" s="87">
        <f t="array" ref="AS585">IF(E585=1,SUM((ROW(Mf0)=ROW(AS585))*(Mf0+Mf1_+Mf2_+Mf3_+Mf4_+Mf5_+Mf6_+Mf7_+Mf8_+Mf9_+Mf10_+Mf11_+Mf12_+Mf13_+Mf14_+Mf15_+Mf16_+Mf17_+Mf18_+Mf19_+Mf20_+Mf21_+Mf22_+Mf23_+Mf24_+Mf25_+Mf26_+Mf27_+Mf28_+Mf29_+Mf30_+Mf31_+Mf32_+Mf33_+Mf34_+Mf35_+Mf36_+Mf37_)),0)</f>
        <v>0</v>
      </c>
      <c r="AU585" s="24" t="str">
        <f t="shared" si="60"/>
        <v/>
      </c>
      <c r="AV585" s="24" t="str">
        <f t="shared" si="61"/>
        <v/>
      </c>
      <c r="AW585" s="24" t="str">
        <f t="shared" si="62"/>
        <v/>
      </c>
      <c r="AX585" s="72">
        <f t="shared" si="63"/>
        <v>0</v>
      </c>
      <c r="AY585" s="24">
        <f t="shared" si="64"/>
        <v>0</v>
      </c>
      <c r="AZ585" s="24">
        <f t="array" ref="AZ585">IF(OR(RIGHT(B585,LEN(Par_LabelTravelTime))=Par_LabelTravelTime,B585="čas na ceste - fakturácia"),1,0)</f>
        <v>0</v>
      </c>
    </row>
    <row r="586" spans="2:52" s="24" customFormat="1" ht="12.75" x14ac:dyDescent="0.2">
      <c r="B586" s="97"/>
      <c r="C586" s="92"/>
      <c r="D586" s="31" t="str">
        <f>IF(E586=1,VLOOKUP(TableInvs[[#This Row],[Calc_V_Typ]],Tran_RevenuesList,3,FALSE),"")</f>
        <v/>
      </c>
      <c r="E586" s="31">
        <f t="shared" si="59"/>
        <v>0</v>
      </c>
      <c r="F586" s="9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  <c r="R586" s="84"/>
      <c r="S586" s="84"/>
      <c r="T586" s="84"/>
      <c r="U586" s="84"/>
      <c r="V586" s="84"/>
      <c r="W586" s="84"/>
      <c r="X586" s="84"/>
      <c r="Y586" s="84"/>
      <c r="Z586" s="84"/>
      <c r="AA586" s="84"/>
      <c r="AB586" s="84"/>
      <c r="AC586" s="85"/>
      <c r="AD586" s="85"/>
      <c r="AE586" s="84"/>
      <c r="AF586" s="84"/>
      <c r="AG586" s="84"/>
      <c r="AH586" s="84"/>
      <c r="AI586" s="84"/>
      <c r="AJ586" s="84"/>
      <c r="AK586" s="84"/>
      <c r="AL586" s="84"/>
      <c r="AM586" s="84"/>
      <c r="AN586" s="84"/>
      <c r="AO586" s="84"/>
      <c r="AP586" s="84"/>
      <c r="AQ586" s="84"/>
      <c r="AR586" s="84"/>
      <c r="AS586" s="87">
        <f t="array" ref="AS586">IF(E586=1,SUM((ROW(Mf0)=ROW(AS586))*(Mf0+Mf1_+Mf2_+Mf3_+Mf4_+Mf5_+Mf6_+Mf7_+Mf8_+Mf9_+Mf10_+Mf11_+Mf12_+Mf13_+Mf14_+Mf15_+Mf16_+Mf17_+Mf18_+Mf19_+Mf20_+Mf21_+Mf22_+Mf23_+Mf24_+Mf25_+Mf26_+Mf27_+Mf28_+Mf29_+Mf30_+Mf31_+Mf32_+Mf33_+Mf34_+Mf35_+Mf36_+Mf37_)),0)</f>
        <v>0</v>
      </c>
      <c r="AU586" s="24" t="str">
        <f t="shared" si="60"/>
        <v/>
      </c>
      <c r="AV586" s="24" t="str">
        <f t="shared" si="61"/>
        <v/>
      </c>
      <c r="AW586" s="24" t="str">
        <f t="shared" si="62"/>
        <v/>
      </c>
      <c r="AX586" s="72">
        <f t="shared" si="63"/>
        <v>0</v>
      </c>
      <c r="AY586" s="24">
        <f t="shared" si="64"/>
        <v>0</v>
      </c>
      <c r="AZ586" s="24">
        <f t="array" ref="AZ586">IF(OR(RIGHT(B586,LEN(Par_LabelTravelTime))=Par_LabelTravelTime,B586="čas na ceste - fakturácia"),1,0)</f>
        <v>0</v>
      </c>
    </row>
    <row r="587" spans="2:52" s="24" customFormat="1" ht="12.75" x14ac:dyDescent="0.2">
      <c r="B587" s="97"/>
      <c r="C587" s="92"/>
      <c r="D587" s="31" t="str">
        <f>IF(E587=1,VLOOKUP(TableInvs[[#This Row],[Calc_V_Typ]],Tran_RevenuesList,3,FALSE),"")</f>
        <v/>
      </c>
      <c r="E587" s="31">
        <f t="shared" si="59"/>
        <v>0</v>
      </c>
      <c r="F587" s="9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  <c r="R587" s="84"/>
      <c r="S587" s="84"/>
      <c r="T587" s="84"/>
      <c r="U587" s="84"/>
      <c r="V587" s="84"/>
      <c r="W587" s="84"/>
      <c r="X587" s="84"/>
      <c r="Y587" s="84"/>
      <c r="Z587" s="84"/>
      <c r="AA587" s="84"/>
      <c r="AB587" s="84"/>
      <c r="AC587" s="85"/>
      <c r="AD587" s="85"/>
      <c r="AE587" s="84"/>
      <c r="AF587" s="84"/>
      <c r="AG587" s="84"/>
      <c r="AH587" s="84"/>
      <c r="AI587" s="84"/>
      <c r="AJ587" s="84"/>
      <c r="AK587" s="84"/>
      <c r="AL587" s="84"/>
      <c r="AM587" s="84"/>
      <c r="AN587" s="84"/>
      <c r="AO587" s="84"/>
      <c r="AP587" s="84"/>
      <c r="AQ587" s="84"/>
      <c r="AR587" s="84"/>
      <c r="AS587" s="87">
        <f t="array" ref="AS587">IF(E587=1,SUM((ROW(Mf0)=ROW(AS587))*(Mf0+Mf1_+Mf2_+Mf3_+Mf4_+Mf5_+Mf6_+Mf7_+Mf8_+Mf9_+Mf10_+Mf11_+Mf12_+Mf13_+Mf14_+Mf15_+Mf16_+Mf17_+Mf18_+Mf19_+Mf20_+Mf21_+Mf22_+Mf23_+Mf24_+Mf25_+Mf26_+Mf27_+Mf28_+Mf29_+Mf30_+Mf31_+Mf32_+Mf33_+Mf34_+Mf35_+Mf36_+Mf37_)),0)</f>
        <v>0</v>
      </c>
      <c r="AU587" s="24" t="str">
        <f t="shared" si="60"/>
        <v/>
      </c>
      <c r="AV587" s="24" t="str">
        <f t="shared" si="61"/>
        <v/>
      </c>
      <c r="AW587" s="24" t="str">
        <f t="shared" si="62"/>
        <v/>
      </c>
      <c r="AX587" s="72">
        <f t="shared" si="63"/>
        <v>0</v>
      </c>
      <c r="AY587" s="24">
        <f t="shared" si="64"/>
        <v>0</v>
      </c>
      <c r="AZ587" s="24">
        <f t="array" ref="AZ587">IF(OR(RIGHT(B587,LEN(Par_LabelTravelTime))=Par_LabelTravelTime,B587="čas na ceste - fakturácia"),1,0)</f>
        <v>0</v>
      </c>
    </row>
    <row r="588" spans="2:52" s="24" customFormat="1" ht="12.75" x14ac:dyDescent="0.2">
      <c r="B588" s="97"/>
      <c r="C588" s="92"/>
      <c r="D588" s="31" t="str">
        <f>IF(E588=1,VLOOKUP(TableInvs[[#This Row],[Calc_V_Typ]],Tran_RevenuesList,3,FALSE),"")</f>
        <v/>
      </c>
      <c r="E588" s="31">
        <f t="shared" si="59"/>
        <v>0</v>
      </c>
      <c r="F588" s="94"/>
      <c r="G588" s="84"/>
      <c r="H588" s="84"/>
      <c r="I588" s="84"/>
      <c r="J588" s="84"/>
      <c r="K588" s="84"/>
      <c r="L588" s="84"/>
      <c r="M588" s="84"/>
      <c r="N588" s="84"/>
      <c r="O588" s="84"/>
      <c r="P588" s="84"/>
      <c r="Q588" s="84"/>
      <c r="R588" s="84"/>
      <c r="S588" s="84"/>
      <c r="T588" s="84"/>
      <c r="U588" s="84"/>
      <c r="V588" s="84"/>
      <c r="W588" s="84"/>
      <c r="X588" s="84"/>
      <c r="Y588" s="84"/>
      <c r="Z588" s="84"/>
      <c r="AA588" s="84"/>
      <c r="AB588" s="84"/>
      <c r="AC588" s="85"/>
      <c r="AD588" s="85"/>
      <c r="AE588" s="84"/>
      <c r="AF588" s="84"/>
      <c r="AG588" s="84"/>
      <c r="AH588" s="84"/>
      <c r="AI588" s="84"/>
      <c r="AJ588" s="84"/>
      <c r="AK588" s="84"/>
      <c r="AL588" s="84"/>
      <c r="AM588" s="84"/>
      <c r="AN588" s="84"/>
      <c r="AO588" s="84"/>
      <c r="AP588" s="84"/>
      <c r="AQ588" s="84"/>
      <c r="AR588" s="84"/>
      <c r="AS588" s="87">
        <f t="array" ref="AS588">IF(E588=1,SUM((ROW(Mf0)=ROW(AS588))*(Mf0+Mf1_+Mf2_+Mf3_+Mf4_+Mf5_+Mf6_+Mf7_+Mf8_+Mf9_+Mf10_+Mf11_+Mf12_+Mf13_+Mf14_+Mf15_+Mf16_+Mf17_+Mf18_+Mf19_+Mf20_+Mf21_+Mf22_+Mf23_+Mf24_+Mf25_+Mf26_+Mf27_+Mf28_+Mf29_+Mf30_+Mf31_+Mf32_+Mf33_+Mf34_+Mf35_+Mf36_+Mf37_)),0)</f>
        <v>0</v>
      </c>
      <c r="AU588" s="24" t="str">
        <f t="shared" si="60"/>
        <v/>
      </c>
      <c r="AV588" s="24" t="str">
        <f t="shared" si="61"/>
        <v/>
      </c>
      <c r="AW588" s="24" t="str">
        <f t="shared" si="62"/>
        <v/>
      </c>
      <c r="AX588" s="72">
        <f t="shared" si="63"/>
        <v>0</v>
      </c>
      <c r="AY588" s="24">
        <f t="shared" si="64"/>
        <v>0</v>
      </c>
      <c r="AZ588" s="24">
        <f t="array" ref="AZ588">IF(OR(RIGHT(B588,LEN(Par_LabelTravelTime))=Par_LabelTravelTime,B588="čas na ceste - fakturácia"),1,0)</f>
        <v>0</v>
      </c>
    </row>
    <row r="589" spans="2:52" s="24" customFormat="1" ht="12.75" x14ac:dyDescent="0.2">
      <c r="B589" s="97"/>
      <c r="C589" s="92"/>
      <c r="D589" s="31" t="str">
        <f>IF(E589=1,VLOOKUP(TableInvs[[#This Row],[Calc_V_Typ]],Tran_RevenuesList,3,FALSE),"")</f>
        <v/>
      </c>
      <c r="E589" s="31">
        <f t="shared" si="59"/>
        <v>0</v>
      </c>
      <c r="F589" s="94"/>
      <c r="G589" s="84"/>
      <c r="H589" s="84"/>
      <c r="I589" s="84"/>
      <c r="J589" s="84"/>
      <c r="K589" s="84"/>
      <c r="L589" s="84"/>
      <c r="M589" s="84"/>
      <c r="N589" s="84"/>
      <c r="O589" s="84"/>
      <c r="P589" s="84"/>
      <c r="Q589" s="84"/>
      <c r="R589" s="84"/>
      <c r="S589" s="84"/>
      <c r="T589" s="84"/>
      <c r="U589" s="84"/>
      <c r="V589" s="84"/>
      <c r="W589" s="84"/>
      <c r="X589" s="84"/>
      <c r="Y589" s="84"/>
      <c r="Z589" s="84"/>
      <c r="AA589" s="84"/>
      <c r="AB589" s="84"/>
      <c r="AC589" s="85"/>
      <c r="AD589" s="85"/>
      <c r="AE589" s="84"/>
      <c r="AF589" s="84"/>
      <c r="AG589" s="84"/>
      <c r="AH589" s="84"/>
      <c r="AI589" s="84"/>
      <c r="AJ589" s="84"/>
      <c r="AK589" s="84"/>
      <c r="AL589" s="84"/>
      <c r="AM589" s="84"/>
      <c r="AN589" s="84"/>
      <c r="AO589" s="84"/>
      <c r="AP589" s="84"/>
      <c r="AQ589" s="84"/>
      <c r="AR589" s="84"/>
      <c r="AS589" s="87">
        <f t="array" ref="AS589">IF(E589=1,SUM((ROW(Mf0)=ROW(AS589))*(Mf0+Mf1_+Mf2_+Mf3_+Mf4_+Mf5_+Mf6_+Mf7_+Mf8_+Mf9_+Mf10_+Mf11_+Mf12_+Mf13_+Mf14_+Mf15_+Mf16_+Mf17_+Mf18_+Mf19_+Mf20_+Mf21_+Mf22_+Mf23_+Mf24_+Mf25_+Mf26_+Mf27_+Mf28_+Mf29_+Mf30_+Mf31_+Mf32_+Mf33_+Mf34_+Mf35_+Mf36_+Mf37_)),0)</f>
        <v>0</v>
      </c>
      <c r="AU589" s="24" t="str">
        <f t="shared" si="60"/>
        <v/>
      </c>
      <c r="AV589" s="24" t="str">
        <f t="shared" si="61"/>
        <v/>
      </c>
      <c r="AW589" s="24" t="str">
        <f t="shared" si="62"/>
        <v/>
      </c>
      <c r="AX589" s="72">
        <f t="shared" si="63"/>
        <v>0</v>
      </c>
      <c r="AY589" s="24">
        <f t="shared" si="64"/>
        <v>0</v>
      </c>
      <c r="AZ589" s="24">
        <f t="array" ref="AZ589">IF(OR(RIGHT(B589,LEN(Par_LabelTravelTime))=Par_LabelTravelTime,B589="čas na ceste - fakturácia"),1,0)</f>
        <v>0</v>
      </c>
    </row>
    <row r="590" spans="2:52" s="24" customFormat="1" ht="12.75" x14ac:dyDescent="0.2">
      <c r="B590" s="97"/>
      <c r="C590" s="92"/>
      <c r="D590" s="31" t="str">
        <f>IF(E590=1,VLOOKUP(TableInvs[[#This Row],[Calc_V_Typ]],Tran_RevenuesList,3,FALSE),"")</f>
        <v/>
      </c>
      <c r="E590" s="31">
        <f t="shared" si="59"/>
        <v>0</v>
      </c>
      <c r="F590" s="94"/>
      <c r="G590" s="84"/>
      <c r="H590" s="84"/>
      <c r="I590" s="84"/>
      <c r="J590" s="84"/>
      <c r="K590" s="84"/>
      <c r="L590" s="84"/>
      <c r="M590" s="84"/>
      <c r="N590" s="84"/>
      <c r="O590" s="84"/>
      <c r="P590" s="84"/>
      <c r="Q590" s="84"/>
      <c r="R590" s="84"/>
      <c r="S590" s="84"/>
      <c r="T590" s="84"/>
      <c r="U590" s="84"/>
      <c r="V590" s="84"/>
      <c r="W590" s="84"/>
      <c r="X590" s="84"/>
      <c r="Y590" s="84"/>
      <c r="Z590" s="84"/>
      <c r="AA590" s="84"/>
      <c r="AB590" s="84"/>
      <c r="AC590" s="85"/>
      <c r="AD590" s="85"/>
      <c r="AE590" s="84"/>
      <c r="AF590" s="84"/>
      <c r="AG590" s="84"/>
      <c r="AH590" s="84"/>
      <c r="AI590" s="84"/>
      <c r="AJ590" s="84"/>
      <c r="AK590" s="84"/>
      <c r="AL590" s="84"/>
      <c r="AM590" s="84"/>
      <c r="AN590" s="84"/>
      <c r="AO590" s="84"/>
      <c r="AP590" s="84"/>
      <c r="AQ590" s="84"/>
      <c r="AR590" s="84"/>
      <c r="AS590" s="87">
        <f t="array" ref="AS590">IF(E590=1,SUM((ROW(Mf0)=ROW(AS590))*(Mf0+Mf1_+Mf2_+Mf3_+Mf4_+Mf5_+Mf6_+Mf7_+Mf8_+Mf9_+Mf10_+Mf11_+Mf12_+Mf13_+Mf14_+Mf15_+Mf16_+Mf17_+Mf18_+Mf19_+Mf20_+Mf21_+Mf22_+Mf23_+Mf24_+Mf25_+Mf26_+Mf27_+Mf28_+Mf29_+Mf30_+Mf31_+Mf32_+Mf33_+Mf34_+Mf35_+Mf36_+Mf37_)),0)</f>
        <v>0</v>
      </c>
      <c r="AU590" s="24" t="str">
        <f t="shared" si="60"/>
        <v/>
      </c>
      <c r="AV590" s="24" t="str">
        <f t="shared" si="61"/>
        <v/>
      </c>
      <c r="AW590" s="24" t="str">
        <f t="shared" si="62"/>
        <v/>
      </c>
      <c r="AX590" s="72">
        <f t="shared" si="63"/>
        <v>0</v>
      </c>
      <c r="AY590" s="24">
        <f t="shared" si="64"/>
        <v>0</v>
      </c>
      <c r="AZ590" s="24">
        <f t="array" ref="AZ590">IF(OR(RIGHT(B590,LEN(Par_LabelTravelTime))=Par_LabelTravelTime,B590="čas na ceste - fakturácia"),1,0)</f>
        <v>0</v>
      </c>
    </row>
    <row r="591" spans="2:52" s="24" customFormat="1" ht="12.75" x14ac:dyDescent="0.2">
      <c r="B591" s="97"/>
      <c r="C591" s="92"/>
      <c r="D591" s="31" t="str">
        <f>IF(E591=1,VLOOKUP(TableInvs[[#This Row],[Calc_V_Typ]],Tran_RevenuesList,3,FALSE),"")</f>
        <v/>
      </c>
      <c r="E591" s="31">
        <f t="shared" si="59"/>
        <v>0</v>
      </c>
      <c r="F591" s="94"/>
      <c r="G591" s="84"/>
      <c r="H591" s="84"/>
      <c r="I591" s="84"/>
      <c r="J591" s="84"/>
      <c r="K591" s="84"/>
      <c r="L591" s="84"/>
      <c r="M591" s="84"/>
      <c r="N591" s="84"/>
      <c r="O591" s="84"/>
      <c r="P591" s="84"/>
      <c r="Q591" s="84"/>
      <c r="R591" s="84"/>
      <c r="S591" s="84"/>
      <c r="T591" s="84"/>
      <c r="U591" s="84"/>
      <c r="V591" s="84"/>
      <c r="W591" s="84"/>
      <c r="X591" s="84"/>
      <c r="Y591" s="84"/>
      <c r="Z591" s="84"/>
      <c r="AA591" s="84"/>
      <c r="AB591" s="84"/>
      <c r="AC591" s="85"/>
      <c r="AD591" s="85"/>
      <c r="AE591" s="84"/>
      <c r="AF591" s="84"/>
      <c r="AG591" s="84"/>
      <c r="AH591" s="84"/>
      <c r="AI591" s="84"/>
      <c r="AJ591" s="84"/>
      <c r="AK591" s="84"/>
      <c r="AL591" s="84"/>
      <c r="AM591" s="84"/>
      <c r="AN591" s="84"/>
      <c r="AO591" s="84"/>
      <c r="AP591" s="84"/>
      <c r="AQ591" s="84"/>
      <c r="AR591" s="84"/>
      <c r="AS591" s="87">
        <f t="array" ref="AS591">IF(E591=1,SUM((ROW(Mf0)=ROW(AS591))*(Mf0+Mf1_+Mf2_+Mf3_+Mf4_+Mf5_+Mf6_+Mf7_+Mf8_+Mf9_+Mf10_+Mf11_+Mf12_+Mf13_+Mf14_+Mf15_+Mf16_+Mf17_+Mf18_+Mf19_+Mf20_+Mf21_+Mf22_+Mf23_+Mf24_+Mf25_+Mf26_+Mf27_+Mf28_+Mf29_+Mf30_+Mf31_+Mf32_+Mf33_+Mf34_+Mf35_+Mf36_+Mf37_)),0)</f>
        <v>0</v>
      </c>
      <c r="AU591" s="24" t="str">
        <f t="shared" si="60"/>
        <v/>
      </c>
      <c r="AV591" s="24" t="str">
        <f t="shared" si="61"/>
        <v/>
      </c>
      <c r="AW591" s="24" t="str">
        <f t="shared" si="62"/>
        <v/>
      </c>
      <c r="AX591" s="72">
        <f t="shared" si="63"/>
        <v>0</v>
      </c>
      <c r="AY591" s="24">
        <f t="shared" si="64"/>
        <v>0</v>
      </c>
      <c r="AZ591" s="24">
        <f t="array" ref="AZ591">IF(OR(RIGHT(B591,LEN(Par_LabelTravelTime))=Par_LabelTravelTime,B591="čas na ceste - fakturácia"),1,0)</f>
        <v>0</v>
      </c>
    </row>
    <row r="592" spans="2:52" s="24" customFormat="1" ht="12.75" x14ac:dyDescent="0.2">
      <c r="B592" s="97"/>
      <c r="C592" s="92"/>
      <c r="D592" s="31" t="str">
        <f>IF(E592=1,VLOOKUP(TableInvs[[#This Row],[Calc_V_Typ]],Tran_RevenuesList,3,FALSE),"")</f>
        <v/>
      </c>
      <c r="E592" s="31">
        <f t="shared" si="59"/>
        <v>0</v>
      </c>
      <c r="F592" s="94"/>
      <c r="G592" s="84"/>
      <c r="H592" s="84"/>
      <c r="I592" s="84"/>
      <c r="J592" s="84"/>
      <c r="K592" s="84"/>
      <c r="L592" s="84"/>
      <c r="M592" s="84"/>
      <c r="N592" s="84"/>
      <c r="O592" s="84"/>
      <c r="P592" s="84"/>
      <c r="Q592" s="84"/>
      <c r="R592" s="84"/>
      <c r="S592" s="84"/>
      <c r="T592" s="84"/>
      <c r="U592" s="84"/>
      <c r="V592" s="84"/>
      <c r="W592" s="84"/>
      <c r="X592" s="84"/>
      <c r="Y592" s="84"/>
      <c r="Z592" s="84"/>
      <c r="AA592" s="84"/>
      <c r="AB592" s="84"/>
      <c r="AC592" s="85"/>
      <c r="AD592" s="85"/>
      <c r="AE592" s="84"/>
      <c r="AF592" s="84"/>
      <c r="AG592" s="84"/>
      <c r="AH592" s="84"/>
      <c r="AI592" s="84"/>
      <c r="AJ592" s="84"/>
      <c r="AK592" s="84"/>
      <c r="AL592" s="84"/>
      <c r="AM592" s="84"/>
      <c r="AN592" s="84"/>
      <c r="AO592" s="84"/>
      <c r="AP592" s="84"/>
      <c r="AQ592" s="84"/>
      <c r="AR592" s="84"/>
      <c r="AS592" s="87">
        <f t="array" ref="AS592">IF(E592=1,SUM((ROW(Mf0)=ROW(AS592))*(Mf0+Mf1_+Mf2_+Mf3_+Mf4_+Mf5_+Mf6_+Mf7_+Mf8_+Mf9_+Mf10_+Mf11_+Mf12_+Mf13_+Mf14_+Mf15_+Mf16_+Mf17_+Mf18_+Mf19_+Mf20_+Mf21_+Mf22_+Mf23_+Mf24_+Mf25_+Mf26_+Mf27_+Mf28_+Mf29_+Mf30_+Mf31_+Mf32_+Mf33_+Mf34_+Mf35_+Mf36_+Mf37_)),0)</f>
        <v>0</v>
      </c>
      <c r="AU592" s="24" t="str">
        <f t="shared" si="60"/>
        <v/>
      </c>
      <c r="AV592" s="24" t="str">
        <f t="shared" si="61"/>
        <v/>
      </c>
      <c r="AW592" s="24" t="str">
        <f t="shared" si="62"/>
        <v/>
      </c>
      <c r="AX592" s="72">
        <f t="shared" si="63"/>
        <v>0</v>
      </c>
      <c r="AY592" s="24">
        <f t="shared" si="64"/>
        <v>0</v>
      </c>
      <c r="AZ592" s="24">
        <f t="array" ref="AZ592">IF(OR(RIGHT(B592,LEN(Par_LabelTravelTime))=Par_LabelTravelTime,B592="čas na ceste - fakturácia"),1,0)</f>
        <v>0</v>
      </c>
    </row>
    <row r="593" spans="2:52" s="24" customFormat="1" ht="12.75" x14ac:dyDescent="0.2">
      <c r="B593" s="97"/>
      <c r="C593" s="92"/>
      <c r="D593" s="31" t="str">
        <f>IF(E593=1,VLOOKUP(TableInvs[[#This Row],[Calc_V_Typ]],Tran_RevenuesList,3,FALSE),"")</f>
        <v/>
      </c>
      <c r="E593" s="31">
        <f t="shared" si="59"/>
        <v>0</v>
      </c>
      <c r="F593" s="94"/>
      <c r="G593" s="84"/>
      <c r="H593" s="84"/>
      <c r="I593" s="84"/>
      <c r="J593" s="84"/>
      <c r="K593" s="84"/>
      <c r="L593" s="84"/>
      <c r="M593" s="84"/>
      <c r="N593" s="84"/>
      <c r="O593" s="84"/>
      <c r="P593" s="84"/>
      <c r="Q593" s="84"/>
      <c r="R593" s="84"/>
      <c r="S593" s="84"/>
      <c r="T593" s="84"/>
      <c r="U593" s="84"/>
      <c r="V593" s="84"/>
      <c r="W593" s="84"/>
      <c r="X593" s="84"/>
      <c r="Y593" s="84"/>
      <c r="Z593" s="84"/>
      <c r="AA593" s="84"/>
      <c r="AB593" s="84"/>
      <c r="AC593" s="85"/>
      <c r="AD593" s="85"/>
      <c r="AE593" s="84"/>
      <c r="AF593" s="84"/>
      <c r="AG593" s="84"/>
      <c r="AH593" s="84"/>
      <c r="AI593" s="84"/>
      <c r="AJ593" s="84"/>
      <c r="AK593" s="84"/>
      <c r="AL593" s="84"/>
      <c r="AM593" s="84"/>
      <c r="AN593" s="84"/>
      <c r="AO593" s="84"/>
      <c r="AP593" s="84"/>
      <c r="AQ593" s="84"/>
      <c r="AR593" s="84"/>
      <c r="AS593" s="87">
        <f t="array" ref="AS593">IF(E593=1,SUM((ROW(Mf0)=ROW(AS593))*(Mf0+Mf1_+Mf2_+Mf3_+Mf4_+Mf5_+Mf6_+Mf7_+Mf8_+Mf9_+Mf10_+Mf11_+Mf12_+Mf13_+Mf14_+Mf15_+Mf16_+Mf17_+Mf18_+Mf19_+Mf20_+Mf21_+Mf22_+Mf23_+Mf24_+Mf25_+Mf26_+Mf27_+Mf28_+Mf29_+Mf30_+Mf31_+Mf32_+Mf33_+Mf34_+Mf35_+Mf36_+Mf37_)),0)</f>
        <v>0</v>
      </c>
      <c r="AU593" s="24" t="str">
        <f t="shared" si="60"/>
        <v/>
      </c>
      <c r="AV593" s="24" t="str">
        <f t="shared" si="61"/>
        <v/>
      </c>
      <c r="AW593" s="24" t="str">
        <f t="shared" si="62"/>
        <v/>
      </c>
      <c r="AX593" s="72">
        <f t="shared" si="63"/>
        <v>0</v>
      </c>
      <c r="AY593" s="24">
        <f t="shared" si="64"/>
        <v>0</v>
      </c>
      <c r="AZ593" s="24">
        <f t="array" ref="AZ593">IF(OR(RIGHT(B593,LEN(Par_LabelTravelTime))=Par_LabelTravelTime,B593="čas na ceste - fakturácia"),1,0)</f>
        <v>0</v>
      </c>
    </row>
    <row r="594" spans="2:52" s="24" customFormat="1" ht="12.75" x14ac:dyDescent="0.2">
      <c r="B594" s="97"/>
      <c r="C594" s="92"/>
      <c r="D594" s="31" t="str">
        <f>IF(E594=1,VLOOKUP(TableInvs[[#This Row],[Calc_V_Typ]],Tran_RevenuesList,3,FALSE),"")</f>
        <v/>
      </c>
      <c r="E594" s="31">
        <f t="shared" si="59"/>
        <v>0</v>
      </c>
      <c r="F594" s="94"/>
      <c r="G594" s="84"/>
      <c r="H594" s="84"/>
      <c r="I594" s="84"/>
      <c r="J594" s="84"/>
      <c r="K594" s="84"/>
      <c r="L594" s="84"/>
      <c r="M594" s="84"/>
      <c r="N594" s="84"/>
      <c r="O594" s="84"/>
      <c r="P594" s="84"/>
      <c r="Q594" s="84"/>
      <c r="R594" s="84"/>
      <c r="S594" s="84"/>
      <c r="T594" s="84"/>
      <c r="U594" s="84"/>
      <c r="V594" s="84"/>
      <c r="W594" s="84"/>
      <c r="X594" s="84"/>
      <c r="Y594" s="84"/>
      <c r="Z594" s="84"/>
      <c r="AA594" s="84"/>
      <c r="AB594" s="84"/>
      <c r="AC594" s="85"/>
      <c r="AD594" s="85"/>
      <c r="AE594" s="84"/>
      <c r="AF594" s="84"/>
      <c r="AG594" s="84"/>
      <c r="AH594" s="84"/>
      <c r="AI594" s="84"/>
      <c r="AJ594" s="84"/>
      <c r="AK594" s="84"/>
      <c r="AL594" s="84"/>
      <c r="AM594" s="84"/>
      <c r="AN594" s="84"/>
      <c r="AO594" s="84"/>
      <c r="AP594" s="84"/>
      <c r="AQ594" s="84"/>
      <c r="AR594" s="84"/>
      <c r="AS594" s="87">
        <f t="array" ref="AS594">IF(E594=1,SUM((ROW(Mf0)=ROW(AS594))*(Mf0+Mf1_+Mf2_+Mf3_+Mf4_+Mf5_+Mf6_+Mf7_+Mf8_+Mf9_+Mf10_+Mf11_+Mf12_+Mf13_+Mf14_+Mf15_+Mf16_+Mf17_+Mf18_+Mf19_+Mf20_+Mf21_+Mf22_+Mf23_+Mf24_+Mf25_+Mf26_+Mf27_+Mf28_+Mf29_+Mf30_+Mf31_+Mf32_+Mf33_+Mf34_+Mf35_+Mf36_+Mf37_)),0)</f>
        <v>0</v>
      </c>
      <c r="AU594" s="24" t="str">
        <f t="shared" si="60"/>
        <v/>
      </c>
      <c r="AV594" s="24" t="str">
        <f t="shared" si="61"/>
        <v/>
      </c>
      <c r="AW594" s="24" t="str">
        <f t="shared" si="62"/>
        <v/>
      </c>
      <c r="AX594" s="72">
        <f t="shared" si="63"/>
        <v>0</v>
      </c>
      <c r="AY594" s="24">
        <f t="shared" si="64"/>
        <v>0</v>
      </c>
      <c r="AZ594" s="24">
        <f t="array" ref="AZ594">IF(OR(RIGHT(B594,LEN(Par_LabelTravelTime))=Par_LabelTravelTime,B594="čas na ceste - fakturácia"),1,0)</f>
        <v>0</v>
      </c>
    </row>
    <row r="595" spans="2:52" s="24" customFormat="1" ht="12.75" x14ac:dyDescent="0.2">
      <c r="B595" s="97"/>
      <c r="C595" s="92"/>
      <c r="D595" s="31" t="str">
        <f>IF(E595=1,VLOOKUP(TableInvs[[#This Row],[Calc_V_Typ]],Tran_RevenuesList,3,FALSE),"")</f>
        <v/>
      </c>
      <c r="E595" s="31">
        <f t="shared" si="59"/>
        <v>0</v>
      </c>
      <c r="F595" s="94"/>
      <c r="G595" s="84"/>
      <c r="H595" s="84"/>
      <c r="I595" s="84"/>
      <c r="J595" s="84"/>
      <c r="K595" s="84"/>
      <c r="L595" s="84"/>
      <c r="M595" s="84"/>
      <c r="N595" s="84"/>
      <c r="O595" s="84"/>
      <c r="P595" s="84"/>
      <c r="Q595" s="84"/>
      <c r="R595" s="84"/>
      <c r="S595" s="84"/>
      <c r="T595" s="84"/>
      <c r="U595" s="84"/>
      <c r="V595" s="84"/>
      <c r="W595" s="84"/>
      <c r="X595" s="84"/>
      <c r="Y595" s="84"/>
      <c r="Z595" s="84"/>
      <c r="AA595" s="84"/>
      <c r="AB595" s="84"/>
      <c r="AC595" s="85"/>
      <c r="AD595" s="85"/>
      <c r="AE595" s="84"/>
      <c r="AF595" s="84"/>
      <c r="AG595" s="84"/>
      <c r="AH595" s="84"/>
      <c r="AI595" s="84"/>
      <c r="AJ595" s="84"/>
      <c r="AK595" s="84"/>
      <c r="AL595" s="84"/>
      <c r="AM595" s="84"/>
      <c r="AN595" s="84"/>
      <c r="AO595" s="84"/>
      <c r="AP595" s="84"/>
      <c r="AQ595" s="84"/>
      <c r="AR595" s="84"/>
      <c r="AS595" s="87">
        <f t="array" ref="AS595">IF(E595=1,SUM((ROW(Mf0)=ROW(AS595))*(Mf0+Mf1_+Mf2_+Mf3_+Mf4_+Mf5_+Mf6_+Mf7_+Mf8_+Mf9_+Mf10_+Mf11_+Mf12_+Mf13_+Mf14_+Mf15_+Mf16_+Mf17_+Mf18_+Mf19_+Mf20_+Mf21_+Mf22_+Mf23_+Mf24_+Mf25_+Mf26_+Mf27_+Mf28_+Mf29_+Mf30_+Mf31_+Mf32_+Mf33_+Mf34_+Mf35_+Mf36_+Mf37_)),0)</f>
        <v>0</v>
      </c>
      <c r="AU595" s="24" t="str">
        <f t="shared" si="60"/>
        <v/>
      </c>
      <c r="AV595" s="24" t="str">
        <f t="shared" si="61"/>
        <v/>
      </c>
      <c r="AW595" s="24" t="str">
        <f t="shared" si="62"/>
        <v/>
      </c>
      <c r="AX595" s="72">
        <f t="shared" si="63"/>
        <v>0</v>
      </c>
      <c r="AY595" s="24">
        <f t="shared" si="64"/>
        <v>0</v>
      </c>
      <c r="AZ595" s="24">
        <f t="array" ref="AZ595">IF(OR(RIGHT(B595,LEN(Par_LabelTravelTime))=Par_LabelTravelTime,B595="čas na ceste - fakturácia"),1,0)</f>
        <v>0</v>
      </c>
    </row>
    <row r="596" spans="2:52" s="24" customFormat="1" ht="12.75" x14ac:dyDescent="0.2">
      <c r="B596" s="97"/>
      <c r="C596" s="92"/>
      <c r="D596" s="31" t="str">
        <f>IF(E596=1,VLOOKUP(TableInvs[[#This Row],[Calc_V_Typ]],Tran_RevenuesList,3,FALSE),"")</f>
        <v/>
      </c>
      <c r="E596" s="31">
        <f t="shared" si="59"/>
        <v>0</v>
      </c>
      <c r="F596" s="94"/>
      <c r="G596" s="84"/>
      <c r="H596" s="84"/>
      <c r="I596" s="84"/>
      <c r="J596" s="84"/>
      <c r="K596" s="84"/>
      <c r="L596" s="84"/>
      <c r="M596" s="84"/>
      <c r="N596" s="84"/>
      <c r="O596" s="84"/>
      <c r="P596" s="84"/>
      <c r="Q596" s="84"/>
      <c r="R596" s="84"/>
      <c r="S596" s="84"/>
      <c r="T596" s="84"/>
      <c r="U596" s="84"/>
      <c r="V596" s="84"/>
      <c r="W596" s="84"/>
      <c r="X596" s="84"/>
      <c r="Y596" s="84"/>
      <c r="Z596" s="84"/>
      <c r="AA596" s="84"/>
      <c r="AB596" s="84"/>
      <c r="AC596" s="85"/>
      <c r="AD596" s="85"/>
      <c r="AE596" s="84"/>
      <c r="AF596" s="84"/>
      <c r="AG596" s="84"/>
      <c r="AH596" s="84"/>
      <c r="AI596" s="84"/>
      <c r="AJ596" s="84"/>
      <c r="AK596" s="84"/>
      <c r="AL596" s="84"/>
      <c r="AM596" s="84"/>
      <c r="AN596" s="84"/>
      <c r="AO596" s="84"/>
      <c r="AP596" s="84"/>
      <c r="AQ596" s="84"/>
      <c r="AR596" s="84"/>
      <c r="AS596" s="87">
        <f t="array" ref="AS596">IF(E596=1,SUM((ROW(Mf0)=ROW(AS596))*(Mf0+Mf1_+Mf2_+Mf3_+Mf4_+Mf5_+Mf6_+Mf7_+Mf8_+Mf9_+Mf10_+Mf11_+Mf12_+Mf13_+Mf14_+Mf15_+Mf16_+Mf17_+Mf18_+Mf19_+Mf20_+Mf21_+Mf22_+Mf23_+Mf24_+Mf25_+Mf26_+Mf27_+Mf28_+Mf29_+Mf30_+Mf31_+Mf32_+Mf33_+Mf34_+Mf35_+Mf36_+Mf37_)),0)</f>
        <v>0</v>
      </c>
      <c r="AU596" s="24" t="str">
        <f t="shared" si="60"/>
        <v/>
      </c>
      <c r="AV596" s="24" t="str">
        <f t="shared" si="61"/>
        <v/>
      </c>
      <c r="AW596" s="24" t="str">
        <f t="shared" si="62"/>
        <v/>
      </c>
      <c r="AX596" s="72">
        <f t="shared" si="63"/>
        <v>0</v>
      </c>
      <c r="AY596" s="24">
        <f t="shared" si="64"/>
        <v>0</v>
      </c>
      <c r="AZ596" s="24">
        <f t="array" ref="AZ596">IF(OR(RIGHT(B596,LEN(Par_LabelTravelTime))=Par_LabelTravelTime,B596="čas na ceste - fakturácia"),1,0)</f>
        <v>0</v>
      </c>
    </row>
    <row r="597" spans="2:52" s="24" customFormat="1" ht="12.75" x14ac:dyDescent="0.2">
      <c r="B597" s="97"/>
      <c r="C597" s="92"/>
      <c r="D597" s="31" t="str">
        <f>IF(E597=1,VLOOKUP(TableInvs[[#This Row],[Calc_V_Typ]],Tran_RevenuesList,3,FALSE),"")</f>
        <v/>
      </c>
      <c r="E597" s="31">
        <f t="shared" si="59"/>
        <v>0</v>
      </c>
      <c r="F597" s="94"/>
      <c r="G597" s="84"/>
      <c r="H597" s="84"/>
      <c r="I597" s="84"/>
      <c r="J597" s="84"/>
      <c r="K597" s="84"/>
      <c r="L597" s="84"/>
      <c r="M597" s="84"/>
      <c r="N597" s="84"/>
      <c r="O597" s="84"/>
      <c r="P597" s="84"/>
      <c r="Q597" s="84"/>
      <c r="R597" s="84"/>
      <c r="S597" s="84"/>
      <c r="T597" s="84"/>
      <c r="U597" s="84"/>
      <c r="V597" s="84"/>
      <c r="W597" s="84"/>
      <c r="X597" s="84"/>
      <c r="Y597" s="84"/>
      <c r="Z597" s="84"/>
      <c r="AA597" s="84"/>
      <c r="AB597" s="84"/>
      <c r="AC597" s="85"/>
      <c r="AD597" s="85"/>
      <c r="AE597" s="84"/>
      <c r="AF597" s="84"/>
      <c r="AG597" s="84"/>
      <c r="AH597" s="84"/>
      <c r="AI597" s="84"/>
      <c r="AJ597" s="84"/>
      <c r="AK597" s="84"/>
      <c r="AL597" s="84"/>
      <c r="AM597" s="84"/>
      <c r="AN597" s="84"/>
      <c r="AO597" s="84"/>
      <c r="AP597" s="84"/>
      <c r="AQ597" s="84"/>
      <c r="AR597" s="84"/>
      <c r="AS597" s="87">
        <f t="array" ref="AS597">IF(E597=1,SUM((ROW(Mf0)=ROW(AS597))*(Mf0+Mf1_+Mf2_+Mf3_+Mf4_+Mf5_+Mf6_+Mf7_+Mf8_+Mf9_+Mf10_+Mf11_+Mf12_+Mf13_+Mf14_+Mf15_+Mf16_+Mf17_+Mf18_+Mf19_+Mf20_+Mf21_+Mf22_+Mf23_+Mf24_+Mf25_+Mf26_+Mf27_+Mf28_+Mf29_+Mf30_+Mf31_+Mf32_+Mf33_+Mf34_+Mf35_+Mf36_+Mf37_)),0)</f>
        <v>0</v>
      </c>
      <c r="AU597" s="24" t="str">
        <f t="shared" si="60"/>
        <v/>
      </c>
      <c r="AV597" s="24" t="str">
        <f t="shared" si="61"/>
        <v/>
      </c>
      <c r="AW597" s="24" t="str">
        <f t="shared" si="62"/>
        <v/>
      </c>
      <c r="AX597" s="72">
        <f t="shared" si="63"/>
        <v>0</v>
      </c>
      <c r="AY597" s="24">
        <f t="shared" si="64"/>
        <v>0</v>
      </c>
      <c r="AZ597" s="24">
        <f t="array" ref="AZ597">IF(OR(RIGHT(B597,LEN(Par_LabelTravelTime))=Par_LabelTravelTime,B597="čas na ceste - fakturácia"),1,0)</f>
        <v>0</v>
      </c>
    </row>
    <row r="598" spans="2:52" s="24" customFormat="1" ht="12.75" x14ac:dyDescent="0.2">
      <c r="B598" s="97"/>
      <c r="C598" s="92"/>
      <c r="D598" s="31" t="str">
        <f>IF(E598=1,VLOOKUP(TableInvs[[#This Row],[Calc_V_Typ]],Tran_RevenuesList,3,FALSE),"")</f>
        <v/>
      </c>
      <c r="E598" s="31">
        <f t="shared" si="59"/>
        <v>0</v>
      </c>
      <c r="F598" s="94"/>
      <c r="G598" s="84"/>
      <c r="H598" s="84"/>
      <c r="I598" s="84"/>
      <c r="J598" s="84"/>
      <c r="K598" s="84"/>
      <c r="L598" s="84"/>
      <c r="M598" s="84"/>
      <c r="N598" s="84"/>
      <c r="O598" s="84"/>
      <c r="P598" s="84"/>
      <c r="Q598" s="84"/>
      <c r="R598" s="84"/>
      <c r="S598" s="84"/>
      <c r="T598" s="84"/>
      <c r="U598" s="84"/>
      <c r="V598" s="84"/>
      <c r="W598" s="84"/>
      <c r="X598" s="84"/>
      <c r="Y598" s="84"/>
      <c r="Z598" s="84"/>
      <c r="AA598" s="84"/>
      <c r="AB598" s="84"/>
      <c r="AC598" s="85"/>
      <c r="AD598" s="85"/>
      <c r="AE598" s="84"/>
      <c r="AF598" s="84"/>
      <c r="AG598" s="84"/>
      <c r="AH598" s="84"/>
      <c r="AI598" s="84"/>
      <c r="AJ598" s="84"/>
      <c r="AK598" s="84"/>
      <c r="AL598" s="84"/>
      <c r="AM598" s="84"/>
      <c r="AN598" s="84"/>
      <c r="AO598" s="84"/>
      <c r="AP598" s="84"/>
      <c r="AQ598" s="84"/>
      <c r="AR598" s="84"/>
      <c r="AS598" s="87">
        <f t="array" ref="AS598">IF(E598=1,SUM((ROW(Mf0)=ROW(AS598))*(Mf0+Mf1_+Mf2_+Mf3_+Mf4_+Mf5_+Mf6_+Mf7_+Mf8_+Mf9_+Mf10_+Mf11_+Mf12_+Mf13_+Mf14_+Mf15_+Mf16_+Mf17_+Mf18_+Mf19_+Mf20_+Mf21_+Mf22_+Mf23_+Mf24_+Mf25_+Mf26_+Mf27_+Mf28_+Mf29_+Mf30_+Mf31_+Mf32_+Mf33_+Mf34_+Mf35_+Mf36_+Mf37_)),0)</f>
        <v>0</v>
      </c>
      <c r="AU598" s="24" t="str">
        <f t="shared" si="60"/>
        <v/>
      </c>
      <c r="AV598" s="24" t="str">
        <f t="shared" si="61"/>
        <v/>
      </c>
      <c r="AW598" s="24" t="str">
        <f t="shared" si="62"/>
        <v/>
      </c>
      <c r="AX598" s="72">
        <f t="shared" si="63"/>
        <v>0</v>
      </c>
      <c r="AY598" s="24">
        <f t="shared" si="64"/>
        <v>0</v>
      </c>
      <c r="AZ598" s="24">
        <f t="array" ref="AZ598">IF(OR(RIGHT(B598,LEN(Par_LabelTravelTime))=Par_LabelTravelTime,B598="čas na ceste - fakturácia"),1,0)</f>
        <v>0</v>
      </c>
    </row>
    <row r="599" spans="2:52" s="24" customFormat="1" ht="12.75" x14ac:dyDescent="0.2">
      <c r="B599" s="97"/>
      <c r="C599" s="92"/>
      <c r="D599" s="31" t="str">
        <f>IF(E599=1,VLOOKUP(TableInvs[[#This Row],[Calc_V_Typ]],Tran_RevenuesList,3,FALSE),"")</f>
        <v/>
      </c>
      <c r="E599" s="31">
        <f t="shared" si="59"/>
        <v>0</v>
      </c>
      <c r="F599" s="94"/>
      <c r="G599" s="84"/>
      <c r="H599" s="84"/>
      <c r="I599" s="84"/>
      <c r="J599" s="84"/>
      <c r="K599" s="84"/>
      <c r="L599" s="84"/>
      <c r="M599" s="84"/>
      <c r="N599" s="84"/>
      <c r="O599" s="84"/>
      <c r="P599" s="84"/>
      <c r="Q599" s="84"/>
      <c r="R599" s="84"/>
      <c r="S599" s="84"/>
      <c r="T599" s="84"/>
      <c r="U599" s="84"/>
      <c r="V599" s="84"/>
      <c r="W599" s="84"/>
      <c r="X599" s="84"/>
      <c r="Y599" s="84"/>
      <c r="Z599" s="84"/>
      <c r="AA599" s="84"/>
      <c r="AB599" s="84"/>
      <c r="AC599" s="85"/>
      <c r="AD599" s="85"/>
      <c r="AE599" s="84"/>
      <c r="AF599" s="84"/>
      <c r="AG599" s="84"/>
      <c r="AH599" s="84"/>
      <c r="AI599" s="84"/>
      <c r="AJ599" s="84"/>
      <c r="AK599" s="84"/>
      <c r="AL599" s="84"/>
      <c r="AM599" s="84"/>
      <c r="AN599" s="84"/>
      <c r="AO599" s="84"/>
      <c r="AP599" s="84"/>
      <c r="AQ599" s="84"/>
      <c r="AR599" s="84"/>
      <c r="AS599" s="87">
        <f t="array" ref="AS599">IF(E599=1,SUM((ROW(Mf0)=ROW(AS599))*(Mf0+Mf1_+Mf2_+Mf3_+Mf4_+Mf5_+Mf6_+Mf7_+Mf8_+Mf9_+Mf10_+Mf11_+Mf12_+Mf13_+Mf14_+Mf15_+Mf16_+Mf17_+Mf18_+Mf19_+Mf20_+Mf21_+Mf22_+Mf23_+Mf24_+Mf25_+Mf26_+Mf27_+Mf28_+Mf29_+Mf30_+Mf31_+Mf32_+Mf33_+Mf34_+Mf35_+Mf36_+Mf37_)),0)</f>
        <v>0</v>
      </c>
      <c r="AU599" s="24" t="str">
        <f t="shared" si="60"/>
        <v/>
      </c>
      <c r="AV599" s="24" t="str">
        <f t="shared" si="61"/>
        <v/>
      </c>
      <c r="AW599" s="24" t="str">
        <f t="shared" si="62"/>
        <v/>
      </c>
      <c r="AX599" s="72">
        <f t="shared" si="63"/>
        <v>0</v>
      </c>
      <c r="AY599" s="24">
        <f t="shared" si="64"/>
        <v>0</v>
      </c>
      <c r="AZ599" s="24">
        <f t="array" ref="AZ599">IF(OR(RIGHT(B599,LEN(Par_LabelTravelTime))=Par_LabelTravelTime,B599="čas na ceste - fakturácia"),1,0)</f>
        <v>0</v>
      </c>
    </row>
    <row r="600" spans="2:52" s="24" customFormat="1" ht="12.75" x14ac:dyDescent="0.2">
      <c r="B600" s="97"/>
      <c r="C600" s="92"/>
      <c r="D600" s="31" t="str">
        <f>IF(E600=1,VLOOKUP(TableInvs[[#This Row],[Calc_V_Typ]],Tran_RevenuesList,3,FALSE),"")</f>
        <v/>
      </c>
      <c r="E600" s="31">
        <f t="shared" si="59"/>
        <v>0</v>
      </c>
      <c r="F600" s="94"/>
      <c r="G600" s="84"/>
      <c r="H600" s="84"/>
      <c r="I600" s="84"/>
      <c r="J600" s="84"/>
      <c r="K600" s="84"/>
      <c r="L600" s="84"/>
      <c r="M600" s="84"/>
      <c r="N600" s="84"/>
      <c r="O600" s="84"/>
      <c r="P600" s="84"/>
      <c r="Q600" s="84"/>
      <c r="R600" s="84"/>
      <c r="S600" s="84"/>
      <c r="T600" s="84"/>
      <c r="U600" s="84"/>
      <c r="V600" s="84"/>
      <c r="W600" s="84"/>
      <c r="X600" s="84"/>
      <c r="Y600" s="84"/>
      <c r="Z600" s="84"/>
      <c r="AA600" s="84"/>
      <c r="AB600" s="84"/>
      <c r="AC600" s="85"/>
      <c r="AD600" s="85"/>
      <c r="AE600" s="84"/>
      <c r="AF600" s="84"/>
      <c r="AG600" s="84"/>
      <c r="AH600" s="84"/>
      <c r="AI600" s="84"/>
      <c r="AJ600" s="84"/>
      <c r="AK600" s="84"/>
      <c r="AL600" s="84"/>
      <c r="AM600" s="84"/>
      <c r="AN600" s="84"/>
      <c r="AO600" s="84"/>
      <c r="AP600" s="84"/>
      <c r="AQ600" s="84"/>
      <c r="AR600" s="84"/>
      <c r="AS600" s="87">
        <f t="array" ref="AS600">IF(E600=1,SUM((ROW(Mf0)=ROW(AS600))*(Mf0+Mf1_+Mf2_+Mf3_+Mf4_+Mf5_+Mf6_+Mf7_+Mf8_+Mf9_+Mf10_+Mf11_+Mf12_+Mf13_+Mf14_+Mf15_+Mf16_+Mf17_+Mf18_+Mf19_+Mf20_+Mf21_+Mf22_+Mf23_+Mf24_+Mf25_+Mf26_+Mf27_+Mf28_+Mf29_+Mf30_+Mf31_+Mf32_+Mf33_+Mf34_+Mf35_+Mf36_+Mf37_)),0)</f>
        <v>0</v>
      </c>
      <c r="AU600" s="24" t="str">
        <f t="shared" si="60"/>
        <v/>
      </c>
      <c r="AV600" s="24" t="str">
        <f t="shared" si="61"/>
        <v/>
      </c>
      <c r="AW600" s="24" t="str">
        <f t="shared" si="62"/>
        <v/>
      </c>
      <c r="AX600" s="72">
        <f t="shared" si="63"/>
        <v>0</v>
      </c>
      <c r="AY600" s="24">
        <f t="shared" si="64"/>
        <v>0</v>
      </c>
      <c r="AZ600" s="24">
        <f t="array" ref="AZ600">IF(OR(RIGHT(B600,LEN(Par_LabelTravelTime))=Par_LabelTravelTime,B600="čas na ceste - fakturácia"),1,0)</f>
        <v>0</v>
      </c>
    </row>
    <row r="601" spans="2:52" s="24" customFormat="1" ht="12.75" x14ac:dyDescent="0.2">
      <c r="B601" s="97"/>
      <c r="C601" s="92"/>
      <c r="D601" s="31" t="str">
        <f>IF(E601=1,VLOOKUP(TableInvs[[#This Row],[Calc_V_Typ]],Tran_RevenuesList,3,FALSE),"")</f>
        <v/>
      </c>
      <c r="E601" s="31">
        <f t="shared" si="59"/>
        <v>0</v>
      </c>
      <c r="F601" s="94"/>
      <c r="G601" s="84"/>
      <c r="H601" s="84"/>
      <c r="I601" s="84"/>
      <c r="J601" s="84"/>
      <c r="K601" s="84"/>
      <c r="L601" s="84"/>
      <c r="M601" s="84"/>
      <c r="N601" s="84"/>
      <c r="O601" s="84"/>
      <c r="P601" s="84"/>
      <c r="Q601" s="84"/>
      <c r="R601" s="84"/>
      <c r="S601" s="84"/>
      <c r="T601" s="84"/>
      <c r="U601" s="84"/>
      <c r="V601" s="84"/>
      <c r="W601" s="84"/>
      <c r="X601" s="84"/>
      <c r="Y601" s="84"/>
      <c r="Z601" s="84"/>
      <c r="AA601" s="84"/>
      <c r="AB601" s="84"/>
      <c r="AC601" s="85"/>
      <c r="AD601" s="85"/>
      <c r="AE601" s="84"/>
      <c r="AF601" s="84"/>
      <c r="AG601" s="84"/>
      <c r="AH601" s="84"/>
      <c r="AI601" s="84"/>
      <c r="AJ601" s="84"/>
      <c r="AK601" s="84"/>
      <c r="AL601" s="84"/>
      <c r="AM601" s="84"/>
      <c r="AN601" s="84"/>
      <c r="AO601" s="84"/>
      <c r="AP601" s="84"/>
      <c r="AQ601" s="84"/>
      <c r="AR601" s="84"/>
      <c r="AS601" s="87">
        <f t="array" ref="AS601">IF(E601=1,SUM((ROW(Mf0)=ROW(AS601))*(Mf0+Mf1_+Mf2_+Mf3_+Mf4_+Mf5_+Mf6_+Mf7_+Mf8_+Mf9_+Mf10_+Mf11_+Mf12_+Mf13_+Mf14_+Mf15_+Mf16_+Mf17_+Mf18_+Mf19_+Mf20_+Mf21_+Mf22_+Mf23_+Mf24_+Mf25_+Mf26_+Mf27_+Mf28_+Mf29_+Mf30_+Mf31_+Mf32_+Mf33_+Mf34_+Mf35_+Mf36_+Mf37_)),0)</f>
        <v>0</v>
      </c>
      <c r="AU601" s="24" t="str">
        <f t="shared" si="60"/>
        <v/>
      </c>
      <c r="AV601" s="24" t="str">
        <f t="shared" si="61"/>
        <v/>
      </c>
      <c r="AW601" s="24" t="str">
        <f t="shared" si="62"/>
        <v/>
      </c>
      <c r="AX601" s="72">
        <f t="shared" si="63"/>
        <v>0</v>
      </c>
      <c r="AY601" s="24">
        <f t="shared" si="64"/>
        <v>0</v>
      </c>
      <c r="AZ601" s="24">
        <f t="array" ref="AZ601">IF(OR(RIGHT(B601,LEN(Par_LabelTravelTime))=Par_LabelTravelTime,B601="čas na ceste - fakturácia"),1,0)</f>
        <v>0</v>
      </c>
    </row>
    <row r="602" spans="2:52" s="24" customFormat="1" ht="12.75" x14ac:dyDescent="0.2">
      <c r="B602" s="97"/>
      <c r="C602" s="92"/>
      <c r="D602" s="31" t="str">
        <f>IF(E602=1,VLOOKUP(TableInvs[[#This Row],[Calc_V_Typ]],Tran_RevenuesList,3,FALSE),"")</f>
        <v/>
      </c>
      <c r="E602" s="31">
        <f t="shared" si="59"/>
        <v>0</v>
      </c>
      <c r="F602" s="94"/>
      <c r="G602" s="84"/>
      <c r="H602" s="84"/>
      <c r="I602" s="84"/>
      <c r="J602" s="84"/>
      <c r="K602" s="84"/>
      <c r="L602" s="84"/>
      <c r="M602" s="84"/>
      <c r="N602" s="84"/>
      <c r="O602" s="84"/>
      <c r="P602" s="84"/>
      <c r="Q602" s="84"/>
      <c r="R602" s="84"/>
      <c r="S602" s="84"/>
      <c r="T602" s="84"/>
      <c r="U602" s="84"/>
      <c r="V602" s="84"/>
      <c r="W602" s="84"/>
      <c r="X602" s="84"/>
      <c r="Y602" s="84"/>
      <c r="Z602" s="84"/>
      <c r="AA602" s="84"/>
      <c r="AB602" s="84"/>
      <c r="AC602" s="85"/>
      <c r="AD602" s="85"/>
      <c r="AE602" s="84"/>
      <c r="AF602" s="84"/>
      <c r="AG602" s="84"/>
      <c r="AH602" s="84"/>
      <c r="AI602" s="84"/>
      <c r="AJ602" s="84"/>
      <c r="AK602" s="84"/>
      <c r="AL602" s="84"/>
      <c r="AM602" s="84"/>
      <c r="AN602" s="84"/>
      <c r="AO602" s="84"/>
      <c r="AP602" s="84"/>
      <c r="AQ602" s="84"/>
      <c r="AR602" s="84"/>
      <c r="AS602" s="87">
        <f t="array" ref="AS602">IF(E602=1,SUM((ROW(Mf0)=ROW(AS602))*(Mf0+Mf1_+Mf2_+Mf3_+Mf4_+Mf5_+Mf6_+Mf7_+Mf8_+Mf9_+Mf10_+Mf11_+Mf12_+Mf13_+Mf14_+Mf15_+Mf16_+Mf17_+Mf18_+Mf19_+Mf20_+Mf21_+Mf22_+Mf23_+Mf24_+Mf25_+Mf26_+Mf27_+Mf28_+Mf29_+Mf30_+Mf31_+Mf32_+Mf33_+Mf34_+Mf35_+Mf36_+Mf37_)),0)</f>
        <v>0</v>
      </c>
      <c r="AU602" s="24" t="str">
        <f t="shared" si="60"/>
        <v/>
      </c>
      <c r="AV602" s="24" t="str">
        <f t="shared" si="61"/>
        <v/>
      </c>
      <c r="AW602" s="24" t="str">
        <f t="shared" si="62"/>
        <v/>
      </c>
      <c r="AX602" s="72">
        <f t="shared" si="63"/>
        <v>0</v>
      </c>
      <c r="AY602" s="24">
        <f t="shared" si="64"/>
        <v>0</v>
      </c>
      <c r="AZ602" s="24">
        <f t="array" ref="AZ602">IF(OR(RIGHT(B602,LEN(Par_LabelTravelTime))=Par_LabelTravelTime,B602="čas na ceste - fakturácia"),1,0)</f>
        <v>0</v>
      </c>
    </row>
    <row r="603" spans="2:52" s="24" customFormat="1" ht="12.75" x14ac:dyDescent="0.2">
      <c r="B603" s="97"/>
      <c r="C603" s="92"/>
      <c r="D603" s="31" t="str">
        <f>IF(E603=1,VLOOKUP(TableInvs[[#This Row],[Calc_V_Typ]],Tran_RevenuesList,3,FALSE),"")</f>
        <v/>
      </c>
      <c r="E603" s="31">
        <f t="shared" si="59"/>
        <v>0</v>
      </c>
      <c r="F603" s="9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  <c r="R603" s="84"/>
      <c r="S603" s="84"/>
      <c r="T603" s="84"/>
      <c r="U603" s="84"/>
      <c r="V603" s="84"/>
      <c r="W603" s="84"/>
      <c r="X603" s="84"/>
      <c r="Y603" s="84"/>
      <c r="Z603" s="84"/>
      <c r="AA603" s="84"/>
      <c r="AB603" s="84"/>
      <c r="AC603" s="85"/>
      <c r="AD603" s="85"/>
      <c r="AE603" s="84"/>
      <c r="AF603" s="84"/>
      <c r="AG603" s="84"/>
      <c r="AH603" s="84"/>
      <c r="AI603" s="84"/>
      <c r="AJ603" s="84"/>
      <c r="AK603" s="84"/>
      <c r="AL603" s="84"/>
      <c r="AM603" s="84"/>
      <c r="AN603" s="84"/>
      <c r="AO603" s="84"/>
      <c r="AP603" s="84"/>
      <c r="AQ603" s="84"/>
      <c r="AR603" s="84"/>
      <c r="AS603" s="87">
        <f t="array" ref="AS603">IF(E603=1,SUM((ROW(Mf0)=ROW(AS603))*(Mf0+Mf1_+Mf2_+Mf3_+Mf4_+Mf5_+Mf6_+Mf7_+Mf8_+Mf9_+Mf10_+Mf11_+Mf12_+Mf13_+Mf14_+Mf15_+Mf16_+Mf17_+Mf18_+Mf19_+Mf20_+Mf21_+Mf22_+Mf23_+Mf24_+Mf25_+Mf26_+Mf27_+Mf28_+Mf29_+Mf30_+Mf31_+Mf32_+Mf33_+Mf34_+Mf35_+Mf36_+Mf37_)),0)</f>
        <v>0</v>
      </c>
      <c r="AU603" s="24" t="str">
        <f t="shared" si="60"/>
        <v/>
      </c>
      <c r="AV603" s="24" t="str">
        <f t="shared" si="61"/>
        <v/>
      </c>
      <c r="AW603" s="24" t="str">
        <f t="shared" si="62"/>
        <v/>
      </c>
      <c r="AX603" s="72">
        <f t="shared" si="63"/>
        <v>0</v>
      </c>
      <c r="AY603" s="24">
        <f t="shared" si="64"/>
        <v>0</v>
      </c>
      <c r="AZ603" s="24">
        <f t="array" ref="AZ603">IF(OR(RIGHT(B603,LEN(Par_LabelTravelTime))=Par_LabelTravelTime,B603="čas na ceste - fakturácia"),1,0)</f>
        <v>0</v>
      </c>
    </row>
    <row r="604" spans="2:52" s="24" customFormat="1" ht="12.75" x14ac:dyDescent="0.2">
      <c r="B604" s="97"/>
      <c r="C604" s="92"/>
      <c r="D604" s="31" t="str">
        <f>IF(E604=1,VLOOKUP(TableInvs[[#This Row],[Calc_V_Typ]],Tran_RevenuesList,3,FALSE),"")</f>
        <v/>
      </c>
      <c r="E604" s="31">
        <f t="shared" si="59"/>
        <v>0</v>
      </c>
      <c r="F604" s="9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  <c r="R604" s="84"/>
      <c r="S604" s="84"/>
      <c r="T604" s="84"/>
      <c r="U604" s="84"/>
      <c r="V604" s="84"/>
      <c r="W604" s="84"/>
      <c r="X604" s="84"/>
      <c r="Y604" s="84"/>
      <c r="Z604" s="84"/>
      <c r="AA604" s="84"/>
      <c r="AB604" s="84"/>
      <c r="AC604" s="85"/>
      <c r="AD604" s="85"/>
      <c r="AE604" s="84"/>
      <c r="AF604" s="84"/>
      <c r="AG604" s="84"/>
      <c r="AH604" s="84"/>
      <c r="AI604" s="84"/>
      <c r="AJ604" s="84"/>
      <c r="AK604" s="84"/>
      <c r="AL604" s="84"/>
      <c r="AM604" s="84"/>
      <c r="AN604" s="84"/>
      <c r="AO604" s="84"/>
      <c r="AP604" s="84"/>
      <c r="AQ604" s="84"/>
      <c r="AR604" s="84"/>
      <c r="AS604" s="87">
        <f t="array" ref="AS604">IF(E604=1,SUM((ROW(Mf0)=ROW(AS604))*(Mf0+Mf1_+Mf2_+Mf3_+Mf4_+Mf5_+Mf6_+Mf7_+Mf8_+Mf9_+Mf10_+Mf11_+Mf12_+Mf13_+Mf14_+Mf15_+Mf16_+Mf17_+Mf18_+Mf19_+Mf20_+Mf21_+Mf22_+Mf23_+Mf24_+Mf25_+Mf26_+Mf27_+Mf28_+Mf29_+Mf30_+Mf31_+Mf32_+Mf33_+Mf34_+Mf35_+Mf36_+Mf37_)),0)</f>
        <v>0</v>
      </c>
      <c r="AU604" s="24" t="str">
        <f t="shared" si="60"/>
        <v/>
      </c>
      <c r="AV604" s="24" t="str">
        <f t="shared" si="61"/>
        <v/>
      </c>
      <c r="AW604" s="24" t="str">
        <f t="shared" si="62"/>
        <v/>
      </c>
      <c r="AX604" s="72">
        <f t="shared" si="63"/>
        <v>0</v>
      </c>
      <c r="AY604" s="24">
        <f t="shared" si="64"/>
        <v>0</v>
      </c>
      <c r="AZ604" s="24">
        <f t="array" ref="AZ604">IF(OR(RIGHT(B604,LEN(Par_LabelTravelTime))=Par_LabelTravelTime,B604="čas na ceste - fakturácia"),1,0)</f>
        <v>0</v>
      </c>
    </row>
    <row r="605" spans="2:52" s="24" customFormat="1" ht="12.75" x14ac:dyDescent="0.2">
      <c r="B605" s="97"/>
      <c r="C605" s="92"/>
      <c r="D605" s="31" t="str">
        <f>IF(E605=1,VLOOKUP(TableInvs[[#This Row],[Calc_V_Typ]],Tran_RevenuesList,3,FALSE),"")</f>
        <v/>
      </c>
      <c r="E605" s="31">
        <f t="shared" si="59"/>
        <v>0</v>
      </c>
      <c r="F605" s="9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  <c r="R605" s="84"/>
      <c r="S605" s="84"/>
      <c r="T605" s="84"/>
      <c r="U605" s="84"/>
      <c r="V605" s="84"/>
      <c r="W605" s="84"/>
      <c r="X605" s="84"/>
      <c r="Y605" s="84"/>
      <c r="Z605" s="84"/>
      <c r="AA605" s="84"/>
      <c r="AB605" s="84"/>
      <c r="AC605" s="85"/>
      <c r="AD605" s="85"/>
      <c r="AE605" s="84"/>
      <c r="AF605" s="84"/>
      <c r="AG605" s="84"/>
      <c r="AH605" s="84"/>
      <c r="AI605" s="84"/>
      <c r="AJ605" s="84"/>
      <c r="AK605" s="84"/>
      <c r="AL605" s="84"/>
      <c r="AM605" s="84"/>
      <c r="AN605" s="84"/>
      <c r="AO605" s="84"/>
      <c r="AP605" s="84"/>
      <c r="AQ605" s="84"/>
      <c r="AR605" s="84"/>
      <c r="AS605" s="87">
        <f t="array" ref="AS605">IF(E605=1,SUM((ROW(Mf0)=ROW(AS605))*(Mf0+Mf1_+Mf2_+Mf3_+Mf4_+Mf5_+Mf6_+Mf7_+Mf8_+Mf9_+Mf10_+Mf11_+Mf12_+Mf13_+Mf14_+Mf15_+Mf16_+Mf17_+Mf18_+Mf19_+Mf20_+Mf21_+Mf22_+Mf23_+Mf24_+Mf25_+Mf26_+Mf27_+Mf28_+Mf29_+Mf30_+Mf31_+Mf32_+Mf33_+Mf34_+Mf35_+Mf36_+Mf37_)),0)</f>
        <v>0</v>
      </c>
      <c r="AU605" s="24" t="str">
        <f t="shared" si="60"/>
        <v/>
      </c>
      <c r="AV605" s="24" t="str">
        <f t="shared" si="61"/>
        <v/>
      </c>
      <c r="AW605" s="24" t="str">
        <f t="shared" si="62"/>
        <v/>
      </c>
      <c r="AX605" s="72">
        <f t="shared" si="63"/>
        <v>0</v>
      </c>
      <c r="AY605" s="24">
        <f t="shared" si="64"/>
        <v>0</v>
      </c>
      <c r="AZ605" s="24">
        <f t="array" ref="AZ605">IF(OR(RIGHT(B605,LEN(Par_LabelTravelTime))=Par_LabelTravelTime,B605="čas na ceste - fakturácia"),1,0)</f>
        <v>0</v>
      </c>
    </row>
    <row r="606" spans="2:52" s="24" customFormat="1" ht="12.75" x14ac:dyDescent="0.2">
      <c r="B606" s="97"/>
      <c r="C606" s="92"/>
      <c r="D606" s="31" t="str">
        <f>IF(E606=1,VLOOKUP(TableInvs[[#This Row],[Calc_V_Typ]],Tran_RevenuesList,3,FALSE),"")</f>
        <v/>
      </c>
      <c r="E606" s="31">
        <f t="shared" si="59"/>
        <v>0</v>
      </c>
      <c r="F606" s="9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  <c r="S606" s="84"/>
      <c r="T606" s="84"/>
      <c r="U606" s="84"/>
      <c r="V606" s="84"/>
      <c r="W606" s="84"/>
      <c r="X606" s="84"/>
      <c r="Y606" s="84"/>
      <c r="Z606" s="84"/>
      <c r="AA606" s="84"/>
      <c r="AB606" s="84"/>
      <c r="AC606" s="85"/>
      <c r="AD606" s="85"/>
      <c r="AE606" s="84"/>
      <c r="AF606" s="84"/>
      <c r="AG606" s="84"/>
      <c r="AH606" s="84"/>
      <c r="AI606" s="84"/>
      <c r="AJ606" s="84"/>
      <c r="AK606" s="84"/>
      <c r="AL606" s="84"/>
      <c r="AM606" s="84"/>
      <c r="AN606" s="84"/>
      <c r="AO606" s="84"/>
      <c r="AP606" s="84"/>
      <c r="AQ606" s="84"/>
      <c r="AR606" s="84"/>
      <c r="AS606" s="87">
        <f t="array" ref="AS606">IF(E606=1,SUM((ROW(Mf0)=ROW(AS606))*(Mf0+Mf1_+Mf2_+Mf3_+Mf4_+Mf5_+Mf6_+Mf7_+Mf8_+Mf9_+Mf10_+Mf11_+Mf12_+Mf13_+Mf14_+Mf15_+Mf16_+Mf17_+Mf18_+Mf19_+Mf20_+Mf21_+Mf22_+Mf23_+Mf24_+Mf25_+Mf26_+Mf27_+Mf28_+Mf29_+Mf30_+Mf31_+Mf32_+Mf33_+Mf34_+Mf35_+Mf36_+Mf37_)),0)</f>
        <v>0</v>
      </c>
      <c r="AU606" s="24" t="str">
        <f t="shared" si="60"/>
        <v/>
      </c>
      <c r="AV606" s="24" t="str">
        <f t="shared" si="61"/>
        <v/>
      </c>
      <c r="AW606" s="24" t="str">
        <f t="shared" si="62"/>
        <v/>
      </c>
      <c r="AX606" s="72">
        <f t="shared" si="63"/>
        <v>0</v>
      </c>
      <c r="AY606" s="24">
        <f t="shared" si="64"/>
        <v>0</v>
      </c>
      <c r="AZ606" s="24">
        <f t="array" ref="AZ606">IF(OR(RIGHT(B606,LEN(Par_LabelTravelTime))=Par_LabelTravelTime,B606="čas na ceste - fakturácia"),1,0)</f>
        <v>0</v>
      </c>
    </row>
    <row r="607" spans="2:52" s="24" customFormat="1" ht="12.75" x14ac:dyDescent="0.2">
      <c r="B607" s="97"/>
      <c r="C607" s="92"/>
      <c r="D607" s="31" t="str">
        <f>IF(E607=1,VLOOKUP(TableInvs[[#This Row],[Calc_V_Typ]],Tran_RevenuesList,3,FALSE),"")</f>
        <v/>
      </c>
      <c r="E607" s="31">
        <f t="shared" si="59"/>
        <v>0</v>
      </c>
      <c r="F607" s="9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  <c r="R607" s="84"/>
      <c r="S607" s="84"/>
      <c r="T607" s="84"/>
      <c r="U607" s="84"/>
      <c r="V607" s="84"/>
      <c r="W607" s="84"/>
      <c r="X607" s="84"/>
      <c r="Y607" s="84"/>
      <c r="Z607" s="84"/>
      <c r="AA607" s="84"/>
      <c r="AB607" s="84"/>
      <c r="AC607" s="85"/>
      <c r="AD607" s="85"/>
      <c r="AE607" s="84"/>
      <c r="AF607" s="84"/>
      <c r="AG607" s="84"/>
      <c r="AH607" s="84"/>
      <c r="AI607" s="84"/>
      <c r="AJ607" s="84"/>
      <c r="AK607" s="84"/>
      <c r="AL607" s="84"/>
      <c r="AM607" s="84"/>
      <c r="AN607" s="84"/>
      <c r="AO607" s="84"/>
      <c r="AP607" s="84"/>
      <c r="AQ607" s="84"/>
      <c r="AR607" s="84"/>
      <c r="AS607" s="87">
        <f t="array" ref="AS607">IF(E607=1,SUM((ROW(Mf0)=ROW(AS607))*(Mf0+Mf1_+Mf2_+Mf3_+Mf4_+Mf5_+Mf6_+Mf7_+Mf8_+Mf9_+Mf10_+Mf11_+Mf12_+Mf13_+Mf14_+Mf15_+Mf16_+Mf17_+Mf18_+Mf19_+Mf20_+Mf21_+Mf22_+Mf23_+Mf24_+Mf25_+Mf26_+Mf27_+Mf28_+Mf29_+Mf30_+Mf31_+Mf32_+Mf33_+Mf34_+Mf35_+Mf36_+Mf37_)),0)</f>
        <v>0</v>
      </c>
      <c r="AU607" s="24" t="str">
        <f t="shared" si="60"/>
        <v/>
      </c>
      <c r="AV607" s="24" t="str">
        <f t="shared" si="61"/>
        <v/>
      </c>
      <c r="AW607" s="24" t="str">
        <f t="shared" si="62"/>
        <v/>
      </c>
      <c r="AX607" s="72">
        <f t="shared" si="63"/>
        <v>0</v>
      </c>
      <c r="AY607" s="24">
        <f t="shared" si="64"/>
        <v>0</v>
      </c>
      <c r="AZ607" s="24">
        <f t="array" ref="AZ607">IF(OR(RIGHT(B607,LEN(Par_LabelTravelTime))=Par_LabelTravelTime,B607="čas na ceste - fakturácia"),1,0)</f>
        <v>0</v>
      </c>
    </row>
    <row r="608" spans="2:52" s="24" customFormat="1" ht="12.75" x14ac:dyDescent="0.2">
      <c r="B608" s="97"/>
      <c r="C608" s="92"/>
      <c r="D608" s="31" t="str">
        <f>IF(E608=1,VLOOKUP(TableInvs[[#This Row],[Calc_V_Typ]],Tran_RevenuesList,3,FALSE),"")</f>
        <v/>
      </c>
      <c r="E608" s="31">
        <f t="shared" si="59"/>
        <v>0</v>
      </c>
      <c r="F608" s="9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  <c r="R608" s="84"/>
      <c r="S608" s="84"/>
      <c r="T608" s="84"/>
      <c r="U608" s="84"/>
      <c r="V608" s="84"/>
      <c r="W608" s="84"/>
      <c r="X608" s="84"/>
      <c r="Y608" s="84"/>
      <c r="Z608" s="84"/>
      <c r="AA608" s="84"/>
      <c r="AB608" s="84"/>
      <c r="AC608" s="85"/>
      <c r="AD608" s="85"/>
      <c r="AE608" s="84"/>
      <c r="AF608" s="84"/>
      <c r="AG608" s="84"/>
      <c r="AH608" s="84"/>
      <c r="AI608" s="84"/>
      <c r="AJ608" s="84"/>
      <c r="AK608" s="84"/>
      <c r="AL608" s="84"/>
      <c r="AM608" s="84"/>
      <c r="AN608" s="84"/>
      <c r="AO608" s="84"/>
      <c r="AP608" s="84"/>
      <c r="AQ608" s="84"/>
      <c r="AR608" s="84"/>
      <c r="AS608" s="87">
        <f t="array" ref="AS608">IF(E608=1,SUM((ROW(Mf0)=ROW(AS608))*(Mf0+Mf1_+Mf2_+Mf3_+Mf4_+Mf5_+Mf6_+Mf7_+Mf8_+Mf9_+Mf10_+Mf11_+Mf12_+Mf13_+Mf14_+Mf15_+Mf16_+Mf17_+Mf18_+Mf19_+Mf20_+Mf21_+Mf22_+Mf23_+Mf24_+Mf25_+Mf26_+Mf27_+Mf28_+Mf29_+Mf30_+Mf31_+Mf32_+Mf33_+Mf34_+Mf35_+Mf36_+Mf37_)),0)</f>
        <v>0</v>
      </c>
      <c r="AU608" s="24" t="str">
        <f t="shared" si="60"/>
        <v/>
      </c>
      <c r="AV608" s="24" t="str">
        <f t="shared" si="61"/>
        <v/>
      </c>
      <c r="AW608" s="24" t="str">
        <f t="shared" si="62"/>
        <v/>
      </c>
      <c r="AX608" s="72">
        <f t="shared" si="63"/>
        <v>0</v>
      </c>
      <c r="AY608" s="24">
        <f t="shared" si="64"/>
        <v>0</v>
      </c>
      <c r="AZ608" s="24">
        <f t="array" ref="AZ608">IF(OR(RIGHT(B608,LEN(Par_LabelTravelTime))=Par_LabelTravelTime,B608="čas na ceste - fakturácia"),1,0)</f>
        <v>0</v>
      </c>
    </row>
    <row r="609" spans="2:52" s="24" customFormat="1" ht="12.75" x14ac:dyDescent="0.2">
      <c r="B609" s="97"/>
      <c r="C609" s="92"/>
      <c r="D609" s="31" t="str">
        <f>IF(E609=1,VLOOKUP(TableInvs[[#This Row],[Calc_V_Typ]],Tran_RevenuesList,3,FALSE),"")</f>
        <v/>
      </c>
      <c r="E609" s="31">
        <f t="shared" si="59"/>
        <v>0</v>
      </c>
      <c r="F609" s="9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  <c r="R609" s="84"/>
      <c r="S609" s="84"/>
      <c r="T609" s="84"/>
      <c r="U609" s="84"/>
      <c r="V609" s="84"/>
      <c r="W609" s="84"/>
      <c r="X609" s="84"/>
      <c r="Y609" s="84"/>
      <c r="Z609" s="84"/>
      <c r="AA609" s="84"/>
      <c r="AB609" s="84"/>
      <c r="AC609" s="85"/>
      <c r="AD609" s="85"/>
      <c r="AE609" s="84"/>
      <c r="AF609" s="84"/>
      <c r="AG609" s="84"/>
      <c r="AH609" s="84"/>
      <c r="AI609" s="84"/>
      <c r="AJ609" s="84"/>
      <c r="AK609" s="84"/>
      <c r="AL609" s="84"/>
      <c r="AM609" s="84"/>
      <c r="AN609" s="84"/>
      <c r="AO609" s="84"/>
      <c r="AP609" s="84"/>
      <c r="AQ609" s="84"/>
      <c r="AR609" s="84"/>
      <c r="AS609" s="87">
        <f t="array" ref="AS609">IF(E609=1,SUM((ROW(Mf0)=ROW(AS609))*(Mf0+Mf1_+Mf2_+Mf3_+Mf4_+Mf5_+Mf6_+Mf7_+Mf8_+Mf9_+Mf10_+Mf11_+Mf12_+Mf13_+Mf14_+Mf15_+Mf16_+Mf17_+Mf18_+Mf19_+Mf20_+Mf21_+Mf22_+Mf23_+Mf24_+Mf25_+Mf26_+Mf27_+Mf28_+Mf29_+Mf30_+Mf31_+Mf32_+Mf33_+Mf34_+Mf35_+Mf36_+Mf37_)),0)</f>
        <v>0</v>
      </c>
      <c r="AU609" s="24" t="str">
        <f t="shared" si="60"/>
        <v/>
      </c>
      <c r="AV609" s="24" t="str">
        <f t="shared" si="61"/>
        <v/>
      </c>
      <c r="AW609" s="24" t="str">
        <f t="shared" si="62"/>
        <v/>
      </c>
      <c r="AX609" s="72">
        <f t="shared" si="63"/>
        <v>0</v>
      </c>
      <c r="AY609" s="24">
        <f t="shared" si="64"/>
        <v>0</v>
      </c>
      <c r="AZ609" s="24">
        <f t="array" ref="AZ609">IF(OR(RIGHT(B609,LEN(Par_LabelTravelTime))=Par_LabelTravelTime,B609="čas na ceste - fakturácia"),1,0)</f>
        <v>0</v>
      </c>
    </row>
    <row r="610" spans="2:52" s="24" customFormat="1" ht="12.75" x14ac:dyDescent="0.2">
      <c r="B610" s="97"/>
      <c r="C610" s="92"/>
      <c r="D610" s="31" t="str">
        <f>IF(E610=1,VLOOKUP(TableInvs[[#This Row],[Calc_V_Typ]],Tran_RevenuesList,3,FALSE),"")</f>
        <v/>
      </c>
      <c r="E610" s="31">
        <f t="shared" si="59"/>
        <v>0</v>
      </c>
      <c r="F610" s="9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  <c r="S610" s="84"/>
      <c r="T610" s="84"/>
      <c r="U610" s="84"/>
      <c r="V610" s="84"/>
      <c r="W610" s="84"/>
      <c r="X610" s="84"/>
      <c r="Y610" s="84"/>
      <c r="Z610" s="84"/>
      <c r="AA610" s="84"/>
      <c r="AB610" s="84"/>
      <c r="AC610" s="85"/>
      <c r="AD610" s="85"/>
      <c r="AE610" s="84"/>
      <c r="AF610" s="84"/>
      <c r="AG610" s="84"/>
      <c r="AH610" s="84"/>
      <c r="AI610" s="84"/>
      <c r="AJ610" s="84"/>
      <c r="AK610" s="84"/>
      <c r="AL610" s="84"/>
      <c r="AM610" s="84"/>
      <c r="AN610" s="84"/>
      <c r="AO610" s="84"/>
      <c r="AP610" s="84"/>
      <c r="AQ610" s="84"/>
      <c r="AR610" s="84"/>
      <c r="AS610" s="87">
        <f t="array" ref="AS610">IF(E610=1,SUM((ROW(Mf0)=ROW(AS610))*(Mf0+Mf1_+Mf2_+Mf3_+Mf4_+Mf5_+Mf6_+Mf7_+Mf8_+Mf9_+Mf10_+Mf11_+Mf12_+Mf13_+Mf14_+Mf15_+Mf16_+Mf17_+Mf18_+Mf19_+Mf20_+Mf21_+Mf22_+Mf23_+Mf24_+Mf25_+Mf26_+Mf27_+Mf28_+Mf29_+Mf30_+Mf31_+Mf32_+Mf33_+Mf34_+Mf35_+Mf36_+Mf37_)),0)</f>
        <v>0</v>
      </c>
      <c r="AU610" s="24" t="str">
        <f t="shared" si="60"/>
        <v/>
      </c>
      <c r="AV610" s="24" t="str">
        <f t="shared" si="61"/>
        <v/>
      </c>
      <c r="AW610" s="24" t="str">
        <f t="shared" si="62"/>
        <v/>
      </c>
      <c r="AX610" s="72">
        <f t="shared" si="63"/>
        <v>0</v>
      </c>
      <c r="AY610" s="24">
        <f t="shared" si="64"/>
        <v>0</v>
      </c>
      <c r="AZ610" s="24">
        <f t="array" ref="AZ610">IF(OR(RIGHT(B610,LEN(Par_LabelTravelTime))=Par_LabelTravelTime,B610="čas na ceste - fakturácia"),1,0)</f>
        <v>0</v>
      </c>
    </row>
    <row r="611" spans="2:52" s="24" customFormat="1" ht="12.75" x14ac:dyDescent="0.2">
      <c r="B611" s="97"/>
      <c r="C611" s="92"/>
      <c r="D611" s="31" t="str">
        <f>IF(E611=1,VLOOKUP(TableInvs[[#This Row],[Calc_V_Typ]],Tran_RevenuesList,3,FALSE),"")</f>
        <v/>
      </c>
      <c r="E611" s="31">
        <f t="shared" si="59"/>
        <v>0</v>
      </c>
      <c r="F611" s="9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  <c r="S611" s="84"/>
      <c r="T611" s="84"/>
      <c r="U611" s="84"/>
      <c r="V611" s="84"/>
      <c r="W611" s="84"/>
      <c r="X611" s="84"/>
      <c r="Y611" s="84"/>
      <c r="Z611" s="84"/>
      <c r="AA611" s="84"/>
      <c r="AB611" s="84"/>
      <c r="AC611" s="85"/>
      <c r="AD611" s="85"/>
      <c r="AE611" s="84"/>
      <c r="AF611" s="84"/>
      <c r="AG611" s="84"/>
      <c r="AH611" s="84"/>
      <c r="AI611" s="84"/>
      <c r="AJ611" s="84"/>
      <c r="AK611" s="84"/>
      <c r="AL611" s="84"/>
      <c r="AM611" s="84"/>
      <c r="AN611" s="84"/>
      <c r="AO611" s="84"/>
      <c r="AP611" s="84"/>
      <c r="AQ611" s="84"/>
      <c r="AR611" s="84"/>
      <c r="AS611" s="87">
        <f t="array" ref="AS611">IF(E611=1,SUM((ROW(Mf0)=ROW(AS611))*(Mf0+Mf1_+Mf2_+Mf3_+Mf4_+Mf5_+Mf6_+Mf7_+Mf8_+Mf9_+Mf10_+Mf11_+Mf12_+Mf13_+Mf14_+Mf15_+Mf16_+Mf17_+Mf18_+Mf19_+Mf20_+Mf21_+Mf22_+Mf23_+Mf24_+Mf25_+Mf26_+Mf27_+Mf28_+Mf29_+Mf30_+Mf31_+Mf32_+Mf33_+Mf34_+Mf35_+Mf36_+Mf37_)),0)</f>
        <v>0</v>
      </c>
      <c r="AU611" s="24" t="str">
        <f t="shared" si="60"/>
        <v/>
      </c>
      <c r="AV611" s="24" t="str">
        <f t="shared" si="61"/>
        <v/>
      </c>
      <c r="AW611" s="24" t="str">
        <f t="shared" si="62"/>
        <v/>
      </c>
      <c r="AX611" s="72">
        <f t="shared" si="63"/>
        <v>0</v>
      </c>
      <c r="AY611" s="24">
        <f t="shared" si="64"/>
        <v>0</v>
      </c>
      <c r="AZ611" s="24">
        <f t="array" ref="AZ611">IF(OR(RIGHT(B611,LEN(Par_LabelTravelTime))=Par_LabelTravelTime,B611="čas na ceste - fakturácia"),1,0)</f>
        <v>0</v>
      </c>
    </row>
    <row r="612" spans="2:52" s="24" customFormat="1" ht="12.75" x14ac:dyDescent="0.2">
      <c r="B612" s="97"/>
      <c r="C612" s="92"/>
      <c r="D612" s="31" t="str">
        <f>IF(E612=1,VLOOKUP(TableInvs[[#This Row],[Calc_V_Typ]],Tran_RevenuesList,3,FALSE),"")</f>
        <v/>
      </c>
      <c r="E612" s="31">
        <f t="shared" si="59"/>
        <v>0</v>
      </c>
      <c r="F612" s="9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  <c r="S612" s="84"/>
      <c r="T612" s="84"/>
      <c r="U612" s="84"/>
      <c r="V612" s="84"/>
      <c r="W612" s="84"/>
      <c r="X612" s="84"/>
      <c r="Y612" s="84"/>
      <c r="Z612" s="84"/>
      <c r="AA612" s="84"/>
      <c r="AB612" s="84"/>
      <c r="AC612" s="85"/>
      <c r="AD612" s="85"/>
      <c r="AE612" s="84"/>
      <c r="AF612" s="84"/>
      <c r="AG612" s="84"/>
      <c r="AH612" s="84"/>
      <c r="AI612" s="84"/>
      <c r="AJ612" s="84"/>
      <c r="AK612" s="84"/>
      <c r="AL612" s="84"/>
      <c r="AM612" s="84"/>
      <c r="AN612" s="84"/>
      <c r="AO612" s="84"/>
      <c r="AP612" s="84"/>
      <c r="AQ612" s="84"/>
      <c r="AR612" s="84"/>
      <c r="AS612" s="87">
        <f t="array" ref="AS612">IF(E612=1,SUM((ROW(Mf0)=ROW(AS612))*(Mf0+Mf1_+Mf2_+Mf3_+Mf4_+Mf5_+Mf6_+Mf7_+Mf8_+Mf9_+Mf10_+Mf11_+Mf12_+Mf13_+Mf14_+Mf15_+Mf16_+Mf17_+Mf18_+Mf19_+Mf20_+Mf21_+Mf22_+Mf23_+Mf24_+Mf25_+Mf26_+Mf27_+Mf28_+Mf29_+Mf30_+Mf31_+Mf32_+Mf33_+Mf34_+Mf35_+Mf36_+Mf37_)),0)</f>
        <v>0</v>
      </c>
      <c r="AU612" s="24" t="str">
        <f t="shared" si="60"/>
        <v/>
      </c>
      <c r="AV612" s="24" t="str">
        <f t="shared" si="61"/>
        <v/>
      </c>
      <c r="AW612" s="24" t="str">
        <f t="shared" si="62"/>
        <v/>
      </c>
      <c r="AX612" s="72">
        <f t="shared" si="63"/>
        <v>0</v>
      </c>
      <c r="AY612" s="24">
        <f t="shared" si="64"/>
        <v>0</v>
      </c>
      <c r="AZ612" s="24">
        <f t="array" ref="AZ612">IF(OR(RIGHT(B612,LEN(Par_LabelTravelTime))=Par_LabelTravelTime,B612="čas na ceste - fakturácia"),1,0)</f>
        <v>0</v>
      </c>
    </row>
    <row r="613" spans="2:52" s="24" customFormat="1" ht="12.75" x14ac:dyDescent="0.2">
      <c r="B613" s="97"/>
      <c r="C613" s="92"/>
      <c r="D613" s="31" t="str">
        <f>IF(E613=1,VLOOKUP(TableInvs[[#This Row],[Calc_V_Typ]],Tran_RevenuesList,3,FALSE),"")</f>
        <v/>
      </c>
      <c r="E613" s="31">
        <f t="shared" si="59"/>
        <v>0</v>
      </c>
      <c r="F613" s="9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  <c r="S613" s="84"/>
      <c r="T613" s="84"/>
      <c r="U613" s="84"/>
      <c r="V613" s="84"/>
      <c r="W613" s="84"/>
      <c r="X613" s="84"/>
      <c r="Y613" s="84"/>
      <c r="Z613" s="84"/>
      <c r="AA613" s="84"/>
      <c r="AB613" s="84"/>
      <c r="AC613" s="85"/>
      <c r="AD613" s="85"/>
      <c r="AE613" s="84"/>
      <c r="AF613" s="84"/>
      <c r="AG613" s="84"/>
      <c r="AH613" s="84"/>
      <c r="AI613" s="84"/>
      <c r="AJ613" s="84"/>
      <c r="AK613" s="84"/>
      <c r="AL613" s="84"/>
      <c r="AM613" s="84"/>
      <c r="AN613" s="84"/>
      <c r="AO613" s="84"/>
      <c r="AP613" s="84"/>
      <c r="AQ613" s="84"/>
      <c r="AR613" s="84"/>
      <c r="AS613" s="87">
        <f t="array" ref="AS613">IF(E613=1,SUM((ROW(Mf0)=ROW(AS613))*(Mf0+Mf1_+Mf2_+Mf3_+Mf4_+Mf5_+Mf6_+Mf7_+Mf8_+Mf9_+Mf10_+Mf11_+Mf12_+Mf13_+Mf14_+Mf15_+Mf16_+Mf17_+Mf18_+Mf19_+Mf20_+Mf21_+Mf22_+Mf23_+Mf24_+Mf25_+Mf26_+Mf27_+Mf28_+Mf29_+Mf30_+Mf31_+Mf32_+Mf33_+Mf34_+Mf35_+Mf36_+Mf37_)),0)</f>
        <v>0</v>
      </c>
      <c r="AU613" s="24" t="str">
        <f t="shared" si="60"/>
        <v/>
      </c>
      <c r="AV613" s="24" t="str">
        <f t="shared" si="61"/>
        <v/>
      </c>
      <c r="AW613" s="24" t="str">
        <f t="shared" si="62"/>
        <v/>
      </c>
      <c r="AX613" s="72">
        <f t="shared" si="63"/>
        <v>0</v>
      </c>
      <c r="AY613" s="24">
        <f t="shared" si="64"/>
        <v>0</v>
      </c>
      <c r="AZ613" s="24">
        <f t="array" ref="AZ613">IF(OR(RIGHT(B613,LEN(Par_LabelTravelTime))=Par_LabelTravelTime,B613="čas na ceste - fakturácia"),1,0)</f>
        <v>0</v>
      </c>
    </row>
    <row r="614" spans="2:52" s="24" customFormat="1" ht="12.75" x14ac:dyDescent="0.2">
      <c r="B614" s="97"/>
      <c r="C614" s="92"/>
      <c r="D614" s="31" t="str">
        <f>IF(E614=1,VLOOKUP(TableInvs[[#This Row],[Calc_V_Typ]],Tran_RevenuesList,3,FALSE),"")</f>
        <v/>
      </c>
      <c r="E614" s="31">
        <f t="shared" si="59"/>
        <v>0</v>
      </c>
      <c r="F614" s="9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  <c r="S614" s="84"/>
      <c r="T614" s="84"/>
      <c r="U614" s="84"/>
      <c r="V614" s="84"/>
      <c r="W614" s="84"/>
      <c r="X614" s="84"/>
      <c r="Y614" s="84"/>
      <c r="Z614" s="84"/>
      <c r="AA614" s="84"/>
      <c r="AB614" s="84"/>
      <c r="AC614" s="85"/>
      <c r="AD614" s="85"/>
      <c r="AE614" s="84"/>
      <c r="AF614" s="84"/>
      <c r="AG614" s="84"/>
      <c r="AH614" s="84"/>
      <c r="AI614" s="84"/>
      <c r="AJ614" s="84"/>
      <c r="AK614" s="84"/>
      <c r="AL614" s="84"/>
      <c r="AM614" s="84"/>
      <c r="AN614" s="84"/>
      <c r="AO614" s="84"/>
      <c r="AP614" s="84"/>
      <c r="AQ614" s="84"/>
      <c r="AR614" s="84"/>
      <c r="AS614" s="87">
        <f t="array" ref="AS614">IF(E614=1,SUM((ROW(Mf0)=ROW(AS614))*(Mf0+Mf1_+Mf2_+Mf3_+Mf4_+Mf5_+Mf6_+Mf7_+Mf8_+Mf9_+Mf10_+Mf11_+Mf12_+Mf13_+Mf14_+Mf15_+Mf16_+Mf17_+Mf18_+Mf19_+Mf20_+Mf21_+Mf22_+Mf23_+Mf24_+Mf25_+Mf26_+Mf27_+Mf28_+Mf29_+Mf30_+Mf31_+Mf32_+Mf33_+Mf34_+Mf35_+Mf36_+Mf37_)),0)</f>
        <v>0</v>
      </c>
      <c r="AU614" s="24" t="str">
        <f t="shared" si="60"/>
        <v/>
      </c>
      <c r="AV614" s="24" t="str">
        <f t="shared" si="61"/>
        <v/>
      </c>
      <c r="AW614" s="24" t="str">
        <f t="shared" si="62"/>
        <v/>
      </c>
      <c r="AX614" s="72">
        <f t="shared" si="63"/>
        <v>0</v>
      </c>
      <c r="AY614" s="24">
        <f t="shared" si="64"/>
        <v>0</v>
      </c>
      <c r="AZ614" s="24">
        <f t="array" ref="AZ614">IF(OR(RIGHT(B614,LEN(Par_LabelTravelTime))=Par_LabelTravelTime,B614="čas na ceste - fakturácia"),1,0)</f>
        <v>0</v>
      </c>
    </row>
    <row r="615" spans="2:52" s="24" customFormat="1" ht="12.75" x14ac:dyDescent="0.2">
      <c r="B615" s="97"/>
      <c r="C615" s="92"/>
      <c r="D615" s="31" t="str">
        <f>IF(E615=1,VLOOKUP(TableInvs[[#This Row],[Calc_V_Typ]],Tran_RevenuesList,3,FALSE),"")</f>
        <v/>
      </c>
      <c r="E615" s="31">
        <f t="shared" si="59"/>
        <v>0</v>
      </c>
      <c r="F615" s="9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  <c r="R615" s="84"/>
      <c r="S615" s="84"/>
      <c r="T615" s="84"/>
      <c r="U615" s="84"/>
      <c r="V615" s="84"/>
      <c r="W615" s="84"/>
      <c r="X615" s="84"/>
      <c r="Y615" s="84"/>
      <c r="Z615" s="84"/>
      <c r="AA615" s="84"/>
      <c r="AB615" s="84"/>
      <c r="AC615" s="85"/>
      <c r="AD615" s="85"/>
      <c r="AE615" s="84"/>
      <c r="AF615" s="84"/>
      <c r="AG615" s="84"/>
      <c r="AH615" s="84"/>
      <c r="AI615" s="84"/>
      <c r="AJ615" s="84"/>
      <c r="AK615" s="84"/>
      <c r="AL615" s="84"/>
      <c r="AM615" s="84"/>
      <c r="AN615" s="84"/>
      <c r="AO615" s="84"/>
      <c r="AP615" s="84"/>
      <c r="AQ615" s="84"/>
      <c r="AR615" s="84"/>
      <c r="AS615" s="87">
        <f t="array" ref="AS615">IF(E615=1,SUM((ROW(Mf0)=ROW(AS615))*(Mf0+Mf1_+Mf2_+Mf3_+Mf4_+Mf5_+Mf6_+Mf7_+Mf8_+Mf9_+Mf10_+Mf11_+Mf12_+Mf13_+Mf14_+Mf15_+Mf16_+Mf17_+Mf18_+Mf19_+Mf20_+Mf21_+Mf22_+Mf23_+Mf24_+Mf25_+Mf26_+Mf27_+Mf28_+Mf29_+Mf30_+Mf31_+Mf32_+Mf33_+Mf34_+Mf35_+Mf36_+Mf37_)),0)</f>
        <v>0</v>
      </c>
      <c r="AU615" s="24" t="str">
        <f t="shared" si="60"/>
        <v/>
      </c>
      <c r="AV615" s="24" t="str">
        <f t="shared" si="61"/>
        <v/>
      </c>
      <c r="AW615" s="24" t="str">
        <f t="shared" si="62"/>
        <v/>
      </c>
      <c r="AX615" s="72">
        <f t="shared" si="63"/>
        <v>0</v>
      </c>
      <c r="AY615" s="24">
        <f t="shared" si="64"/>
        <v>0</v>
      </c>
      <c r="AZ615" s="24">
        <f t="array" ref="AZ615">IF(OR(RIGHT(B615,LEN(Par_LabelTravelTime))=Par_LabelTravelTime,B615="čas na ceste - fakturácia"),1,0)</f>
        <v>0</v>
      </c>
    </row>
    <row r="616" spans="2:52" s="24" customFormat="1" ht="12.75" x14ac:dyDescent="0.2">
      <c r="B616" s="97"/>
      <c r="C616" s="92"/>
      <c r="D616" s="31" t="str">
        <f>IF(E616=1,VLOOKUP(TableInvs[[#This Row],[Calc_V_Typ]],Tran_RevenuesList,3,FALSE),"")</f>
        <v/>
      </c>
      <c r="E616" s="31">
        <f t="shared" si="59"/>
        <v>0</v>
      </c>
      <c r="F616" s="9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  <c r="S616" s="84"/>
      <c r="T616" s="84"/>
      <c r="U616" s="84"/>
      <c r="V616" s="84"/>
      <c r="W616" s="84"/>
      <c r="X616" s="84"/>
      <c r="Y616" s="84"/>
      <c r="Z616" s="84"/>
      <c r="AA616" s="84"/>
      <c r="AB616" s="84"/>
      <c r="AC616" s="85"/>
      <c r="AD616" s="85"/>
      <c r="AE616" s="84"/>
      <c r="AF616" s="84"/>
      <c r="AG616" s="84"/>
      <c r="AH616" s="84"/>
      <c r="AI616" s="84"/>
      <c r="AJ616" s="84"/>
      <c r="AK616" s="84"/>
      <c r="AL616" s="84"/>
      <c r="AM616" s="84"/>
      <c r="AN616" s="84"/>
      <c r="AO616" s="84"/>
      <c r="AP616" s="84"/>
      <c r="AQ616" s="84"/>
      <c r="AR616" s="84"/>
      <c r="AS616" s="87">
        <f t="array" ref="AS616">IF(E616=1,SUM((ROW(Mf0)=ROW(AS616))*(Mf0+Mf1_+Mf2_+Mf3_+Mf4_+Mf5_+Mf6_+Mf7_+Mf8_+Mf9_+Mf10_+Mf11_+Mf12_+Mf13_+Mf14_+Mf15_+Mf16_+Mf17_+Mf18_+Mf19_+Mf20_+Mf21_+Mf22_+Mf23_+Mf24_+Mf25_+Mf26_+Mf27_+Mf28_+Mf29_+Mf30_+Mf31_+Mf32_+Mf33_+Mf34_+Mf35_+Mf36_+Mf37_)),0)</f>
        <v>0</v>
      </c>
      <c r="AU616" s="24" t="str">
        <f t="shared" si="60"/>
        <v/>
      </c>
      <c r="AV616" s="24" t="str">
        <f t="shared" si="61"/>
        <v/>
      </c>
      <c r="AW616" s="24" t="str">
        <f t="shared" si="62"/>
        <v/>
      </c>
      <c r="AX616" s="72">
        <f t="shared" si="63"/>
        <v>0</v>
      </c>
      <c r="AY616" s="24">
        <f t="shared" si="64"/>
        <v>0</v>
      </c>
      <c r="AZ616" s="24">
        <f t="array" ref="AZ616">IF(OR(RIGHT(B616,LEN(Par_LabelTravelTime))=Par_LabelTravelTime,B616="čas na ceste - fakturácia"),1,0)</f>
        <v>0</v>
      </c>
    </row>
    <row r="617" spans="2:52" s="24" customFormat="1" ht="12.75" x14ac:dyDescent="0.2">
      <c r="B617" s="97"/>
      <c r="C617" s="92"/>
      <c r="D617" s="31" t="str">
        <f>IF(E617=1,VLOOKUP(TableInvs[[#This Row],[Calc_V_Typ]],Tran_RevenuesList,3,FALSE),"")</f>
        <v/>
      </c>
      <c r="E617" s="31">
        <f t="shared" si="59"/>
        <v>0</v>
      </c>
      <c r="F617" s="9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  <c r="S617" s="84"/>
      <c r="T617" s="84"/>
      <c r="U617" s="84"/>
      <c r="V617" s="84"/>
      <c r="W617" s="84"/>
      <c r="X617" s="84"/>
      <c r="Y617" s="84"/>
      <c r="Z617" s="84"/>
      <c r="AA617" s="84"/>
      <c r="AB617" s="84"/>
      <c r="AC617" s="85"/>
      <c r="AD617" s="85"/>
      <c r="AE617" s="84"/>
      <c r="AF617" s="84"/>
      <c r="AG617" s="84"/>
      <c r="AH617" s="84"/>
      <c r="AI617" s="84"/>
      <c r="AJ617" s="84"/>
      <c r="AK617" s="84"/>
      <c r="AL617" s="84"/>
      <c r="AM617" s="84"/>
      <c r="AN617" s="84"/>
      <c r="AO617" s="84"/>
      <c r="AP617" s="84"/>
      <c r="AQ617" s="84"/>
      <c r="AR617" s="84"/>
      <c r="AS617" s="87">
        <f t="array" ref="AS617">IF(E617=1,SUM((ROW(Mf0)=ROW(AS617))*(Mf0+Mf1_+Mf2_+Mf3_+Mf4_+Mf5_+Mf6_+Mf7_+Mf8_+Mf9_+Mf10_+Mf11_+Mf12_+Mf13_+Mf14_+Mf15_+Mf16_+Mf17_+Mf18_+Mf19_+Mf20_+Mf21_+Mf22_+Mf23_+Mf24_+Mf25_+Mf26_+Mf27_+Mf28_+Mf29_+Mf30_+Mf31_+Mf32_+Mf33_+Mf34_+Mf35_+Mf36_+Mf37_)),0)</f>
        <v>0</v>
      </c>
      <c r="AU617" s="24" t="str">
        <f t="shared" si="60"/>
        <v/>
      </c>
      <c r="AV617" s="24" t="str">
        <f t="shared" si="61"/>
        <v/>
      </c>
      <c r="AW617" s="24" t="str">
        <f t="shared" si="62"/>
        <v/>
      </c>
      <c r="AX617" s="72">
        <f t="shared" si="63"/>
        <v>0</v>
      </c>
      <c r="AY617" s="24">
        <f t="shared" si="64"/>
        <v>0</v>
      </c>
      <c r="AZ617" s="24">
        <f t="array" ref="AZ617">IF(OR(RIGHT(B617,LEN(Par_LabelTravelTime))=Par_LabelTravelTime,B617="čas na ceste - fakturácia"),1,0)</f>
        <v>0</v>
      </c>
    </row>
    <row r="618" spans="2:52" s="24" customFormat="1" ht="12.75" x14ac:dyDescent="0.2">
      <c r="B618" s="97"/>
      <c r="C618" s="92"/>
      <c r="D618" s="31" t="str">
        <f>IF(E618=1,VLOOKUP(TableInvs[[#This Row],[Calc_V_Typ]],Tran_RevenuesList,3,FALSE),"")</f>
        <v/>
      </c>
      <c r="E618" s="31">
        <f t="shared" si="59"/>
        <v>0</v>
      </c>
      <c r="F618" s="9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  <c r="S618" s="84"/>
      <c r="T618" s="84"/>
      <c r="U618" s="84"/>
      <c r="V618" s="84"/>
      <c r="W618" s="84"/>
      <c r="X618" s="84"/>
      <c r="Y618" s="84"/>
      <c r="Z618" s="84"/>
      <c r="AA618" s="84"/>
      <c r="AB618" s="84"/>
      <c r="AC618" s="85"/>
      <c r="AD618" s="85"/>
      <c r="AE618" s="84"/>
      <c r="AF618" s="84"/>
      <c r="AG618" s="84"/>
      <c r="AH618" s="84"/>
      <c r="AI618" s="84"/>
      <c r="AJ618" s="84"/>
      <c r="AK618" s="84"/>
      <c r="AL618" s="84"/>
      <c r="AM618" s="84"/>
      <c r="AN618" s="84"/>
      <c r="AO618" s="84"/>
      <c r="AP618" s="84"/>
      <c r="AQ618" s="84"/>
      <c r="AR618" s="84"/>
      <c r="AS618" s="87">
        <f t="array" ref="AS618">IF(E618=1,SUM((ROW(Mf0)=ROW(AS618))*(Mf0+Mf1_+Mf2_+Mf3_+Mf4_+Mf5_+Mf6_+Mf7_+Mf8_+Mf9_+Mf10_+Mf11_+Mf12_+Mf13_+Mf14_+Mf15_+Mf16_+Mf17_+Mf18_+Mf19_+Mf20_+Mf21_+Mf22_+Mf23_+Mf24_+Mf25_+Mf26_+Mf27_+Mf28_+Mf29_+Mf30_+Mf31_+Mf32_+Mf33_+Mf34_+Mf35_+Mf36_+Mf37_)),0)</f>
        <v>0</v>
      </c>
      <c r="AU618" s="24" t="str">
        <f t="shared" si="60"/>
        <v/>
      </c>
      <c r="AV618" s="24" t="str">
        <f t="shared" si="61"/>
        <v/>
      </c>
      <c r="AW618" s="24" t="str">
        <f t="shared" si="62"/>
        <v/>
      </c>
      <c r="AX618" s="72">
        <f t="shared" si="63"/>
        <v>0</v>
      </c>
      <c r="AY618" s="24">
        <f t="shared" si="64"/>
        <v>0</v>
      </c>
      <c r="AZ618" s="24">
        <f t="array" ref="AZ618">IF(OR(RIGHT(B618,LEN(Par_LabelTravelTime))=Par_LabelTravelTime,B618="čas na ceste - fakturácia"),1,0)</f>
        <v>0</v>
      </c>
    </row>
    <row r="619" spans="2:52" s="24" customFormat="1" ht="12.75" x14ac:dyDescent="0.2">
      <c r="B619" s="97"/>
      <c r="C619" s="92"/>
      <c r="D619" s="31" t="str">
        <f>IF(E619=1,VLOOKUP(TableInvs[[#This Row],[Calc_V_Typ]],Tran_RevenuesList,3,FALSE),"")</f>
        <v/>
      </c>
      <c r="E619" s="31">
        <f t="shared" si="59"/>
        <v>0</v>
      </c>
      <c r="F619" s="9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  <c r="S619" s="84"/>
      <c r="T619" s="84"/>
      <c r="U619" s="84"/>
      <c r="V619" s="84"/>
      <c r="W619" s="84"/>
      <c r="X619" s="84"/>
      <c r="Y619" s="84"/>
      <c r="Z619" s="84"/>
      <c r="AA619" s="84"/>
      <c r="AB619" s="84"/>
      <c r="AC619" s="85"/>
      <c r="AD619" s="85"/>
      <c r="AE619" s="84"/>
      <c r="AF619" s="84"/>
      <c r="AG619" s="84"/>
      <c r="AH619" s="84"/>
      <c r="AI619" s="84"/>
      <c r="AJ619" s="84"/>
      <c r="AK619" s="84"/>
      <c r="AL619" s="84"/>
      <c r="AM619" s="84"/>
      <c r="AN619" s="84"/>
      <c r="AO619" s="84"/>
      <c r="AP619" s="84"/>
      <c r="AQ619" s="84"/>
      <c r="AR619" s="84"/>
      <c r="AS619" s="87">
        <f t="array" ref="AS619">IF(E619=1,SUM((ROW(Mf0)=ROW(AS619))*(Mf0+Mf1_+Mf2_+Mf3_+Mf4_+Mf5_+Mf6_+Mf7_+Mf8_+Mf9_+Mf10_+Mf11_+Mf12_+Mf13_+Mf14_+Mf15_+Mf16_+Mf17_+Mf18_+Mf19_+Mf20_+Mf21_+Mf22_+Mf23_+Mf24_+Mf25_+Mf26_+Mf27_+Mf28_+Mf29_+Mf30_+Mf31_+Mf32_+Mf33_+Mf34_+Mf35_+Mf36_+Mf37_)),0)</f>
        <v>0</v>
      </c>
      <c r="AU619" s="24" t="str">
        <f t="shared" si="60"/>
        <v/>
      </c>
      <c r="AV619" s="24" t="str">
        <f t="shared" si="61"/>
        <v/>
      </c>
      <c r="AW619" s="24" t="str">
        <f t="shared" si="62"/>
        <v/>
      </c>
      <c r="AX619" s="72">
        <f t="shared" si="63"/>
        <v>0</v>
      </c>
      <c r="AY619" s="24">
        <f t="shared" si="64"/>
        <v>0</v>
      </c>
      <c r="AZ619" s="24">
        <f t="array" ref="AZ619">IF(OR(RIGHT(B619,LEN(Par_LabelTravelTime))=Par_LabelTravelTime,B619="čas na ceste - fakturácia"),1,0)</f>
        <v>0</v>
      </c>
    </row>
    <row r="620" spans="2:52" s="24" customFormat="1" ht="12.75" x14ac:dyDescent="0.2">
      <c r="B620" s="97"/>
      <c r="C620" s="92"/>
      <c r="D620" s="31" t="str">
        <f>IF(E620=1,VLOOKUP(TableInvs[[#This Row],[Calc_V_Typ]],Tran_RevenuesList,3,FALSE),"")</f>
        <v/>
      </c>
      <c r="E620" s="31">
        <f t="shared" si="59"/>
        <v>0</v>
      </c>
      <c r="F620" s="94"/>
      <c r="G620" s="84"/>
      <c r="H620" s="84"/>
      <c r="I620" s="84"/>
      <c r="J620" s="84"/>
      <c r="K620" s="84"/>
      <c r="L620" s="84"/>
      <c r="M620" s="84"/>
      <c r="N620" s="84"/>
      <c r="O620" s="84"/>
      <c r="P620" s="84"/>
      <c r="Q620" s="84"/>
      <c r="R620" s="84"/>
      <c r="S620" s="84"/>
      <c r="T620" s="84"/>
      <c r="U620" s="84"/>
      <c r="V620" s="84"/>
      <c r="W620" s="84"/>
      <c r="X620" s="84"/>
      <c r="Y620" s="84"/>
      <c r="Z620" s="84"/>
      <c r="AA620" s="84"/>
      <c r="AB620" s="84"/>
      <c r="AC620" s="85"/>
      <c r="AD620" s="85"/>
      <c r="AE620" s="84"/>
      <c r="AF620" s="84"/>
      <c r="AG620" s="84"/>
      <c r="AH620" s="84"/>
      <c r="AI620" s="84"/>
      <c r="AJ620" s="84"/>
      <c r="AK620" s="84"/>
      <c r="AL620" s="84"/>
      <c r="AM620" s="84"/>
      <c r="AN620" s="84"/>
      <c r="AO620" s="84"/>
      <c r="AP620" s="84"/>
      <c r="AQ620" s="84"/>
      <c r="AR620" s="84"/>
      <c r="AS620" s="87">
        <f t="array" ref="AS620">IF(E620=1,SUM((ROW(Mf0)=ROW(AS620))*(Mf0+Mf1_+Mf2_+Mf3_+Mf4_+Mf5_+Mf6_+Mf7_+Mf8_+Mf9_+Mf10_+Mf11_+Mf12_+Mf13_+Mf14_+Mf15_+Mf16_+Mf17_+Mf18_+Mf19_+Mf20_+Mf21_+Mf22_+Mf23_+Mf24_+Mf25_+Mf26_+Mf27_+Mf28_+Mf29_+Mf30_+Mf31_+Mf32_+Mf33_+Mf34_+Mf35_+Mf36_+Mf37_)),0)</f>
        <v>0</v>
      </c>
      <c r="AU620" s="24" t="str">
        <f t="shared" si="60"/>
        <v/>
      </c>
      <c r="AV620" s="24" t="str">
        <f t="shared" si="61"/>
        <v/>
      </c>
      <c r="AW620" s="24" t="str">
        <f t="shared" si="62"/>
        <v/>
      </c>
      <c r="AX620" s="72">
        <f t="shared" si="63"/>
        <v>0</v>
      </c>
      <c r="AY620" s="24">
        <f t="shared" si="64"/>
        <v>0</v>
      </c>
      <c r="AZ620" s="24">
        <f t="array" ref="AZ620">IF(OR(RIGHT(B620,LEN(Par_LabelTravelTime))=Par_LabelTravelTime,B620="čas na ceste - fakturácia"),1,0)</f>
        <v>0</v>
      </c>
    </row>
    <row r="621" spans="2:52" s="24" customFormat="1" ht="12.75" x14ac:dyDescent="0.2">
      <c r="B621" s="97"/>
      <c r="C621" s="92"/>
      <c r="D621" s="31" t="str">
        <f>IF(E621=1,VLOOKUP(TableInvs[[#This Row],[Calc_V_Typ]],Tran_RevenuesList,3,FALSE),"")</f>
        <v/>
      </c>
      <c r="E621" s="31">
        <f t="shared" si="59"/>
        <v>0</v>
      </c>
      <c r="F621" s="94"/>
      <c r="G621" s="84"/>
      <c r="H621" s="84"/>
      <c r="I621" s="84"/>
      <c r="J621" s="84"/>
      <c r="K621" s="84"/>
      <c r="L621" s="84"/>
      <c r="M621" s="84"/>
      <c r="N621" s="84"/>
      <c r="O621" s="84"/>
      <c r="P621" s="84"/>
      <c r="Q621" s="84"/>
      <c r="R621" s="84"/>
      <c r="S621" s="84"/>
      <c r="T621" s="84"/>
      <c r="U621" s="84"/>
      <c r="V621" s="84"/>
      <c r="W621" s="84"/>
      <c r="X621" s="84"/>
      <c r="Y621" s="84"/>
      <c r="Z621" s="84"/>
      <c r="AA621" s="84"/>
      <c r="AB621" s="84"/>
      <c r="AC621" s="85"/>
      <c r="AD621" s="85"/>
      <c r="AE621" s="84"/>
      <c r="AF621" s="84"/>
      <c r="AG621" s="84"/>
      <c r="AH621" s="84"/>
      <c r="AI621" s="84"/>
      <c r="AJ621" s="84"/>
      <c r="AK621" s="84"/>
      <c r="AL621" s="84"/>
      <c r="AM621" s="84"/>
      <c r="AN621" s="84"/>
      <c r="AO621" s="84"/>
      <c r="AP621" s="84"/>
      <c r="AQ621" s="84"/>
      <c r="AR621" s="84"/>
      <c r="AS621" s="87">
        <f t="array" ref="AS621">IF(E621=1,SUM((ROW(Mf0)=ROW(AS621))*(Mf0+Mf1_+Mf2_+Mf3_+Mf4_+Mf5_+Mf6_+Mf7_+Mf8_+Mf9_+Mf10_+Mf11_+Mf12_+Mf13_+Mf14_+Mf15_+Mf16_+Mf17_+Mf18_+Mf19_+Mf20_+Mf21_+Mf22_+Mf23_+Mf24_+Mf25_+Mf26_+Mf27_+Mf28_+Mf29_+Mf30_+Mf31_+Mf32_+Mf33_+Mf34_+Mf35_+Mf36_+Mf37_)),0)</f>
        <v>0</v>
      </c>
      <c r="AU621" s="24" t="str">
        <f t="shared" si="60"/>
        <v/>
      </c>
      <c r="AV621" s="24" t="str">
        <f t="shared" si="61"/>
        <v/>
      </c>
      <c r="AW621" s="24" t="str">
        <f t="shared" si="62"/>
        <v/>
      </c>
      <c r="AX621" s="72">
        <f t="shared" si="63"/>
        <v>0</v>
      </c>
      <c r="AY621" s="24">
        <f t="shared" si="64"/>
        <v>0</v>
      </c>
      <c r="AZ621" s="24">
        <f t="array" ref="AZ621">IF(OR(RIGHT(B621,LEN(Par_LabelTravelTime))=Par_LabelTravelTime,B621="čas na ceste - fakturácia"),1,0)</f>
        <v>0</v>
      </c>
    </row>
    <row r="622" spans="2:52" s="24" customFormat="1" ht="12.75" x14ac:dyDescent="0.2">
      <c r="B622" s="97"/>
      <c r="C622" s="92"/>
      <c r="D622" s="31" t="str">
        <f>IF(E622=1,VLOOKUP(TableInvs[[#This Row],[Calc_V_Typ]],Tran_RevenuesList,3,FALSE),"")</f>
        <v/>
      </c>
      <c r="E622" s="31">
        <f t="shared" si="59"/>
        <v>0</v>
      </c>
      <c r="F622" s="94"/>
      <c r="G622" s="84"/>
      <c r="H622" s="84"/>
      <c r="I622" s="84"/>
      <c r="J622" s="84"/>
      <c r="K622" s="84"/>
      <c r="L622" s="84"/>
      <c r="M622" s="84"/>
      <c r="N622" s="84"/>
      <c r="O622" s="84"/>
      <c r="P622" s="84"/>
      <c r="Q622" s="84"/>
      <c r="R622" s="84"/>
      <c r="S622" s="84"/>
      <c r="T622" s="84"/>
      <c r="U622" s="84"/>
      <c r="V622" s="84"/>
      <c r="W622" s="84"/>
      <c r="X622" s="84"/>
      <c r="Y622" s="84"/>
      <c r="Z622" s="84"/>
      <c r="AA622" s="84"/>
      <c r="AB622" s="84"/>
      <c r="AC622" s="85"/>
      <c r="AD622" s="85"/>
      <c r="AE622" s="84"/>
      <c r="AF622" s="84"/>
      <c r="AG622" s="84"/>
      <c r="AH622" s="84"/>
      <c r="AI622" s="84"/>
      <c r="AJ622" s="84"/>
      <c r="AK622" s="84"/>
      <c r="AL622" s="84"/>
      <c r="AM622" s="84"/>
      <c r="AN622" s="84"/>
      <c r="AO622" s="84"/>
      <c r="AP622" s="84"/>
      <c r="AQ622" s="84"/>
      <c r="AR622" s="84"/>
      <c r="AS622" s="87">
        <f t="array" ref="AS622">IF(E622=1,SUM((ROW(Mf0)=ROW(AS622))*(Mf0+Mf1_+Mf2_+Mf3_+Mf4_+Mf5_+Mf6_+Mf7_+Mf8_+Mf9_+Mf10_+Mf11_+Mf12_+Mf13_+Mf14_+Mf15_+Mf16_+Mf17_+Mf18_+Mf19_+Mf20_+Mf21_+Mf22_+Mf23_+Mf24_+Mf25_+Mf26_+Mf27_+Mf28_+Mf29_+Mf30_+Mf31_+Mf32_+Mf33_+Mf34_+Mf35_+Mf36_+Mf37_)),0)</f>
        <v>0</v>
      </c>
      <c r="AU622" s="24" t="str">
        <f t="shared" si="60"/>
        <v/>
      </c>
      <c r="AV622" s="24" t="str">
        <f t="shared" si="61"/>
        <v/>
      </c>
      <c r="AW622" s="24" t="str">
        <f t="shared" si="62"/>
        <v/>
      </c>
      <c r="AX622" s="72">
        <f t="shared" si="63"/>
        <v>0</v>
      </c>
      <c r="AY622" s="24">
        <f t="shared" si="64"/>
        <v>0</v>
      </c>
      <c r="AZ622" s="24">
        <f t="array" ref="AZ622">IF(OR(RIGHT(B622,LEN(Par_LabelTravelTime))=Par_LabelTravelTime,B622="čas na ceste - fakturácia"),1,0)</f>
        <v>0</v>
      </c>
    </row>
    <row r="623" spans="2:52" s="24" customFormat="1" ht="12.75" x14ac:dyDescent="0.2">
      <c r="B623" s="97"/>
      <c r="C623" s="92"/>
      <c r="D623" s="31" t="str">
        <f>IF(E623=1,VLOOKUP(TableInvs[[#This Row],[Calc_V_Typ]],Tran_RevenuesList,3,FALSE),"")</f>
        <v/>
      </c>
      <c r="E623" s="31">
        <f t="shared" si="59"/>
        <v>0</v>
      </c>
      <c r="F623" s="94"/>
      <c r="G623" s="84"/>
      <c r="H623" s="84"/>
      <c r="I623" s="84"/>
      <c r="J623" s="84"/>
      <c r="K623" s="84"/>
      <c r="L623" s="84"/>
      <c r="M623" s="84"/>
      <c r="N623" s="84"/>
      <c r="O623" s="84"/>
      <c r="P623" s="84"/>
      <c r="Q623" s="84"/>
      <c r="R623" s="84"/>
      <c r="S623" s="84"/>
      <c r="T623" s="84"/>
      <c r="U623" s="84"/>
      <c r="V623" s="84"/>
      <c r="W623" s="84"/>
      <c r="X623" s="84"/>
      <c r="Y623" s="84"/>
      <c r="Z623" s="84"/>
      <c r="AA623" s="84"/>
      <c r="AB623" s="84"/>
      <c r="AC623" s="85"/>
      <c r="AD623" s="85"/>
      <c r="AE623" s="84"/>
      <c r="AF623" s="84"/>
      <c r="AG623" s="84"/>
      <c r="AH623" s="84"/>
      <c r="AI623" s="84"/>
      <c r="AJ623" s="84"/>
      <c r="AK623" s="84"/>
      <c r="AL623" s="84"/>
      <c r="AM623" s="84"/>
      <c r="AN623" s="84"/>
      <c r="AO623" s="84"/>
      <c r="AP623" s="84"/>
      <c r="AQ623" s="84"/>
      <c r="AR623" s="84"/>
      <c r="AS623" s="87">
        <f t="array" ref="AS623">IF(E623=1,SUM((ROW(Mf0)=ROW(AS623))*(Mf0+Mf1_+Mf2_+Mf3_+Mf4_+Mf5_+Mf6_+Mf7_+Mf8_+Mf9_+Mf10_+Mf11_+Mf12_+Mf13_+Mf14_+Mf15_+Mf16_+Mf17_+Mf18_+Mf19_+Mf20_+Mf21_+Mf22_+Mf23_+Mf24_+Mf25_+Mf26_+Mf27_+Mf28_+Mf29_+Mf30_+Mf31_+Mf32_+Mf33_+Mf34_+Mf35_+Mf36_+Mf37_)),0)</f>
        <v>0</v>
      </c>
      <c r="AU623" s="24" t="str">
        <f t="shared" si="60"/>
        <v/>
      </c>
      <c r="AV623" s="24" t="str">
        <f t="shared" si="61"/>
        <v/>
      </c>
      <c r="AW623" s="24" t="str">
        <f t="shared" si="62"/>
        <v/>
      </c>
      <c r="AX623" s="72">
        <f t="shared" si="63"/>
        <v>0</v>
      </c>
      <c r="AY623" s="24">
        <f t="shared" si="64"/>
        <v>0</v>
      </c>
      <c r="AZ623" s="24">
        <f t="array" ref="AZ623">IF(OR(RIGHT(B623,LEN(Par_LabelTravelTime))=Par_LabelTravelTime,B623="čas na ceste - fakturácia"),1,0)</f>
        <v>0</v>
      </c>
    </row>
    <row r="624" spans="2:52" s="24" customFormat="1" ht="12.75" x14ac:dyDescent="0.2">
      <c r="B624" s="97"/>
      <c r="C624" s="92"/>
      <c r="D624" s="31" t="str">
        <f>IF(E624=1,VLOOKUP(TableInvs[[#This Row],[Calc_V_Typ]],Tran_RevenuesList,3,FALSE),"")</f>
        <v/>
      </c>
      <c r="E624" s="31">
        <f t="shared" si="59"/>
        <v>0</v>
      </c>
      <c r="F624" s="94"/>
      <c r="G624" s="84"/>
      <c r="H624" s="84"/>
      <c r="I624" s="84"/>
      <c r="J624" s="84"/>
      <c r="K624" s="84"/>
      <c r="L624" s="84"/>
      <c r="M624" s="84"/>
      <c r="N624" s="84"/>
      <c r="O624" s="84"/>
      <c r="P624" s="84"/>
      <c r="Q624" s="84"/>
      <c r="R624" s="84"/>
      <c r="S624" s="84"/>
      <c r="T624" s="84"/>
      <c r="U624" s="84"/>
      <c r="V624" s="84"/>
      <c r="W624" s="84"/>
      <c r="X624" s="84"/>
      <c r="Y624" s="84"/>
      <c r="Z624" s="84"/>
      <c r="AA624" s="84"/>
      <c r="AB624" s="84"/>
      <c r="AC624" s="85"/>
      <c r="AD624" s="85"/>
      <c r="AE624" s="84"/>
      <c r="AF624" s="84"/>
      <c r="AG624" s="84"/>
      <c r="AH624" s="84"/>
      <c r="AI624" s="84"/>
      <c r="AJ624" s="84"/>
      <c r="AK624" s="84"/>
      <c r="AL624" s="84"/>
      <c r="AM624" s="84"/>
      <c r="AN624" s="84"/>
      <c r="AO624" s="84"/>
      <c r="AP624" s="84"/>
      <c r="AQ624" s="84"/>
      <c r="AR624" s="84"/>
      <c r="AS624" s="87">
        <f t="array" ref="AS624">IF(E624=1,SUM((ROW(Mf0)=ROW(AS624))*(Mf0+Mf1_+Mf2_+Mf3_+Mf4_+Mf5_+Mf6_+Mf7_+Mf8_+Mf9_+Mf10_+Mf11_+Mf12_+Mf13_+Mf14_+Mf15_+Mf16_+Mf17_+Mf18_+Mf19_+Mf20_+Mf21_+Mf22_+Mf23_+Mf24_+Mf25_+Mf26_+Mf27_+Mf28_+Mf29_+Mf30_+Mf31_+Mf32_+Mf33_+Mf34_+Mf35_+Mf36_+Mf37_)),0)</f>
        <v>0</v>
      </c>
      <c r="AU624" s="24" t="str">
        <f t="shared" si="60"/>
        <v/>
      </c>
      <c r="AV624" s="24" t="str">
        <f t="shared" si="61"/>
        <v/>
      </c>
      <c r="AW624" s="24" t="str">
        <f t="shared" si="62"/>
        <v/>
      </c>
      <c r="AX624" s="72">
        <f t="shared" si="63"/>
        <v>0</v>
      </c>
      <c r="AY624" s="24">
        <f t="shared" si="64"/>
        <v>0</v>
      </c>
      <c r="AZ624" s="24">
        <f t="array" ref="AZ624">IF(OR(RIGHT(B624,LEN(Par_LabelTravelTime))=Par_LabelTravelTime,B624="čas na ceste - fakturácia"),1,0)</f>
        <v>0</v>
      </c>
    </row>
    <row r="625" spans="2:52" s="24" customFormat="1" ht="12.75" x14ac:dyDescent="0.2">
      <c r="B625" s="97"/>
      <c r="C625" s="92"/>
      <c r="D625" s="31" t="str">
        <f>IF(E625=1,VLOOKUP(TableInvs[[#This Row],[Calc_V_Typ]],Tran_RevenuesList,3,FALSE),"")</f>
        <v/>
      </c>
      <c r="E625" s="31">
        <f t="shared" si="59"/>
        <v>0</v>
      </c>
      <c r="F625" s="94"/>
      <c r="G625" s="84"/>
      <c r="H625" s="84"/>
      <c r="I625" s="84"/>
      <c r="J625" s="84"/>
      <c r="K625" s="84"/>
      <c r="L625" s="84"/>
      <c r="M625" s="84"/>
      <c r="N625" s="84"/>
      <c r="O625" s="84"/>
      <c r="P625" s="84"/>
      <c r="Q625" s="84"/>
      <c r="R625" s="84"/>
      <c r="S625" s="84"/>
      <c r="T625" s="84"/>
      <c r="U625" s="84"/>
      <c r="V625" s="84"/>
      <c r="W625" s="84"/>
      <c r="X625" s="84"/>
      <c r="Y625" s="84"/>
      <c r="Z625" s="84"/>
      <c r="AA625" s="84"/>
      <c r="AB625" s="84"/>
      <c r="AC625" s="85"/>
      <c r="AD625" s="85"/>
      <c r="AE625" s="84"/>
      <c r="AF625" s="84"/>
      <c r="AG625" s="84"/>
      <c r="AH625" s="84"/>
      <c r="AI625" s="84"/>
      <c r="AJ625" s="84"/>
      <c r="AK625" s="84"/>
      <c r="AL625" s="84"/>
      <c r="AM625" s="84"/>
      <c r="AN625" s="84"/>
      <c r="AO625" s="84"/>
      <c r="AP625" s="84"/>
      <c r="AQ625" s="84"/>
      <c r="AR625" s="84"/>
      <c r="AS625" s="87">
        <f t="array" ref="AS625">IF(E625=1,SUM((ROW(Mf0)=ROW(AS625))*(Mf0+Mf1_+Mf2_+Mf3_+Mf4_+Mf5_+Mf6_+Mf7_+Mf8_+Mf9_+Mf10_+Mf11_+Mf12_+Mf13_+Mf14_+Mf15_+Mf16_+Mf17_+Mf18_+Mf19_+Mf20_+Mf21_+Mf22_+Mf23_+Mf24_+Mf25_+Mf26_+Mf27_+Mf28_+Mf29_+Mf30_+Mf31_+Mf32_+Mf33_+Mf34_+Mf35_+Mf36_+Mf37_)),0)</f>
        <v>0</v>
      </c>
      <c r="AU625" s="24" t="str">
        <f t="shared" si="60"/>
        <v/>
      </c>
      <c r="AV625" s="24" t="str">
        <f t="shared" si="61"/>
        <v/>
      </c>
      <c r="AW625" s="24" t="str">
        <f t="shared" si="62"/>
        <v/>
      </c>
      <c r="AX625" s="72">
        <f t="shared" si="63"/>
        <v>0</v>
      </c>
      <c r="AY625" s="24">
        <f t="shared" si="64"/>
        <v>0</v>
      </c>
      <c r="AZ625" s="24">
        <f t="array" ref="AZ625">IF(OR(RIGHT(B625,LEN(Par_LabelTravelTime))=Par_LabelTravelTime,B625="čas na ceste - fakturácia"),1,0)</f>
        <v>0</v>
      </c>
    </row>
    <row r="626" spans="2:52" s="24" customFormat="1" ht="12.75" x14ac:dyDescent="0.2">
      <c r="B626" s="97"/>
      <c r="C626" s="92"/>
      <c r="D626" s="31" t="str">
        <f>IF(E626=1,VLOOKUP(TableInvs[[#This Row],[Calc_V_Typ]],Tran_RevenuesList,3,FALSE),"")</f>
        <v/>
      </c>
      <c r="E626" s="31">
        <f t="shared" si="59"/>
        <v>0</v>
      </c>
      <c r="F626" s="94"/>
      <c r="G626" s="84"/>
      <c r="H626" s="84"/>
      <c r="I626" s="84"/>
      <c r="J626" s="84"/>
      <c r="K626" s="84"/>
      <c r="L626" s="84"/>
      <c r="M626" s="84"/>
      <c r="N626" s="84"/>
      <c r="O626" s="84"/>
      <c r="P626" s="84"/>
      <c r="Q626" s="84"/>
      <c r="R626" s="84"/>
      <c r="S626" s="84"/>
      <c r="T626" s="84"/>
      <c r="U626" s="84"/>
      <c r="V626" s="84"/>
      <c r="W626" s="84"/>
      <c r="X626" s="84"/>
      <c r="Y626" s="84"/>
      <c r="Z626" s="84"/>
      <c r="AA626" s="84"/>
      <c r="AB626" s="84"/>
      <c r="AC626" s="85"/>
      <c r="AD626" s="85"/>
      <c r="AE626" s="84"/>
      <c r="AF626" s="84"/>
      <c r="AG626" s="84"/>
      <c r="AH626" s="84"/>
      <c r="AI626" s="84"/>
      <c r="AJ626" s="84"/>
      <c r="AK626" s="84"/>
      <c r="AL626" s="84"/>
      <c r="AM626" s="84"/>
      <c r="AN626" s="84"/>
      <c r="AO626" s="84"/>
      <c r="AP626" s="84"/>
      <c r="AQ626" s="84"/>
      <c r="AR626" s="84"/>
      <c r="AS626" s="87">
        <f t="array" ref="AS626">IF(E626=1,SUM((ROW(Mf0)=ROW(AS626))*(Mf0+Mf1_+Mf2_+Mf3_+Mf4_+Mf5_+Mf6_+Mf7_+Mf8_+Mf9_+Mf10_+Mf11_+Mf12_+Mf13_+Mf14_+Mf15_+Mf16_+Mf17_+Mf18_+Mf19_+Mf20_+Mf21_+Mf22_+Mf23_+Mf24_+Mf25_+Mf26_+Mf27_+Mf28_+Mf29_+Mf30_+Mf31_+Mf32_+Mf33_+Mf34_+Mf35_+Mf36_+Mf37_)),0)</f>
        <v>0</v>
      </c>
      <c r="AU626" s="24" t="str">
        <f t="shared" si="60"/>
        <v/>
      </c>
      <c r="AV626" s="24" t="str">
        <f t="shared" si="61"/>
        <v/>
      </c>
      <c r="AW626" s="24" t="str">
        <f t="shared" si="62"/>
        <v/>
      </c>
      <c r="AX626" s="72">
        <f t="shared" si="63"/>
        <v>0</v>
      </c>
      <c r="AY626" s="24">
        <f t="shared" si="64"/>
        <v>0</v>
      </c>
      <c r="AZ626" s="24">
        <f t="array" ref="AZ626">IF(OR(RIGHT(B626,LEN(Par_LabelTravelTime))=Par_LabelTravelTime,B626="čas na ceste - fakturácia"),1,0)</f>
        <v>0</v>
      </c>
    </row>
    <row r="627" spans="2:52" s="24" customFormat="1" ht="12.75" x14ac:dyDescent="0.2">
      <c r="B627" s="97"/>
      <c r="C627" s="92"/>
      <c r="D627" s="31" t="str">
        <f>IF(E627=1,VLOOKUP(TableInvs[[#This Row],[Calc_V_Typ]],Tran_RevenuesList,3,FALSE),"")</f>
        <v/>
      </c>
      <c r="E627" s="31">
        <f t="shared" si="59"/>
        <v>0</v>
      </c>
      <c r="F627" s="94"/>
      <c r="G627" s="84"/>
      <c r="H627" s="84"/>
      <c r="I627" s="84"/>
      <c r="J627" s="84"/>
      <c r="K627" s="84"/>
      <c r="L627" s="84"/>
      <c r="M627" s="84"/>
      <c r="N627" s="84"/>
      <c r="O627" s="84"/>
      <c r="P627" s="84"/>
      <c r="Q627" s="84"/>
      <c r="R627" s="84"/>
      <c r="S627" s="84"/>
      <c r="T627" s="84"/>
      <c r="U627" s="84"/>
      <c r="V627" s="84"/>
      <c r="W627" s="84"/>
      <c r="X627" s="84"/>
      <c r="Y627" s="84"/>
      <c r="Z627" s="84"/>
      <c r="AA627" s="84"/>
      <c r="AB627" s="84"/>
      <c r="AC627" s="85"/>
      <c r="AD627" s="85"/>
      <c r="AE627" s="84"/>
      <c r="AF627" s="84"/>
      <c r="AG627" s="84"/>
      <c r="AH627" s="84"/>
      <c r="AI627" s="84"/>
      <c r="AJ627" s="84"/>
      <c r="AK627" s="84"/>
      <c r="AL627" s="84"/>
      <c r="AM627" s="84"/>
      <c r="AN627" s="84"/>
      <c r="AO627" s="84"/>
      <c r="AP627" s="84"/>
      <c r="AQ627" s="84"/>
      <c r="AR627" s="84"/>
      <c r="AS627" s="87">
        <f t="array" ref="AS627">IF(E627=1,SUM((ROW(Mf0)=ROW(AS627))*(Mf0+Mf1_+Mf2_+Mf3_+Mf4_+Mf5_+Mf6_+Mf7_+Mf8_+Mf9_+Mf10_+Mf11_+Mf12_+Mf13_+Mf14_+Mf15_+Mf16_+Mf17_+Mf18_+Mf19_+Mf20_+Mf21_+Mf22_+Mf23_+Mf24_+Mf25_+Mf26_+Mf27_+Mf28_+Mf29_+Mf30_+Mf31_+Mf32_+Mf33_+Mf34_+Mf35_+Mf36_+Mf37_)),0)</f>
        <v>0</v>
      </c>
      <c r="AU627" s="24" t="str">
        <f t="shared" si="60"/>
        <v/>
      </c>
      <c r="AV627" s="24" t="str">
        <f t="shared" si="61"/>
        <v/>
      </c>
      <c r="AW627" s="24" t="str">
        <f t="shared" si="62"/>
        <v/>
      </c>
      <c r="AX627" s="72">
        <f t="shared" si="63"/>
        <v>0</v>
      </c>
      <c r="AY627" s="24">
        <f t="shared" si="64"/>
        <v>0</v>
      </c>
      <c r="AZ627" s="24">
        <f t="array" ref="AZ627">IF(OR(RIGHT(B627,LEN(Par_LabelTravelTime))=Par_LabelTravelTime,B627="čas na ceste - fakturácia"),1,0)</f>
        <v>0</v>
      </c>
    </row>
    <row r="628" spans="2:52" s="24" customFormat="1" ht="12.75" x14ac:dyDescent="0.2">
      <c r="B628" s="97"/>
      <c r="C628" s="92"/>
      <c r="D628" s="31" t="str">
        <f>IF(E628=1,VLOOKUP(TableInvs[[#This Row],[Calc_V_Typ]],Tran_RevenuesList,3,FALSE),"")</f>
        <v/>
      </c>
      <c r="E628" s="31">
        <f t="shared" si="59"/>
        <v>0</v>
      </c>
      <c r="F628" s="94"/>
      <c r="G628" s="84"/>
      <c r="H628" s="84"/>
      <c r="I628" s="84"/>
      <c r="J628" s="84"/>
      <c r="K628" s="84"/>
      <c r="L628" s="84"/>
      <c r="M628" s="84"/>
      <c r="N628" s="84"/>
      <c r="O628" s="84"/>
      <c r="P628" s="84"/>
      <c r="Q628" s="84"/>
      <c r="R628" s="84"/>
      <c r="S628" s="84"/>
      <c r="T628" s="84"/>
      <c r="U628" s="84"/>
      <c r="V628" s="84"/>
      <c r="W628" s="84"/>
      <c r="X628" s="84"/>
      <c r="Y628" s="84"/>
      <c r="Z628" s="84"/>
      <c r="AA628" s="84"/>
      <c r="AB628" s="84"/>
      <c r="AC628" s="85"/>
      <c r="AD628" s="85"/>
      <c r="AE628" s="84"/>
      <c r="AF628" s="84"/>
      <c r="AG628" s="84"/>
      <c r="AH628" s="84"/>
      <c r="AI628" s="84"/>
      <c r="AJ628" s="84"/>
      <c r="AK628" s="84"/>
      <c r="AL628" s="84"/>
      <c r="AM628" s="84"/>
      <c r="AN628" s="84"/>
      <c r="AO628" s="84"/>
      <c r="AP628" s="84"/>
      <c r="AQ628" s="84"/>
      <c r="AR628" s="84"/>
      <c r="AS628" s="87">
        <f t="array" ref="AS628">IF(E628=1,SUM((ROW(Mf0)=ROW(AS628))*(Mf0+Mf1_+Mf2_+Mf3_+Mf4_+Mf5_+Mf6_+Mf7_+Mf8_+Mf9_+Mf10_+Mf11_+Mf12_+Mf13_+Mf14_+Mf15_+Mf16_+Mf17_+Mf18_+Mf19_+Mf20_+Mf21_+Mf22_+Mf23_+Mf24_+Mf25_+Mf26_+Mf27_+Mf28_+Mf29_+Mf30_+Mf31_+Mf32_+Mf33_+Mf34_+Mf35_+Mf36_+Mf37_)),0)</f>
        <v>0</v>
      </c>
      <c r="AU628" s="24" t="str">
        <f t="shared" si="60"/>
        <v/>
      </c>
      <c r="AV628" s="24" t="str">
        <f t="shared" si="61"/>
        <v/>
      </c>
      <c r="AW628" s="24" t="str">
        <f t="shared" si="62"/>
        <v/>
      </c>
      <c r="AX628" s="72">
        <f t="shared" si="63"/>
        <v>0</v>
      </c>
      <c r="AY628" s="24">
        <f t="shared" si="64"/>
        <v>0</v>
      </c>
      <c r="AZ628" s="24">
        <f t="array" ref="AZ628">IF(OR(RIGHT(B628,LEN(Par_LabelTravelTime))=Par_LabelTravelTime,B628="čas na ceste - fakturácia"),1,0)</f>
        <v>0</v>
      </c>
    </row>
    <row r="629" spans="2:52" s="24" customFormat="1" ht="12.75" x14ac:dyDescent="0.2">
      <c r="B629" s="97"/>
      <c r="C629" s="92"/>
      <c r="D629" s="31" t="str">
        <f>IF(E629=1,VLOOKUP(TableInvs[[#This Row],[Calc_V_Typ]],Tran_RevenuesList,3,FALSE),"")</f>
        <v/>
      </c>
      <c r="E629" s="31">
        <f t="shared" si="59"/>
        <v>0</v>
      </c>
      <c r="F629" s="94"/>
      <c r="G629" s="84"/>
      <c r="H629" s="84"/>
      <c r="I629" s="84"/>
      <c r="J629" s="84"/>
      <c r="K629" s="84"/>
      <c r="L629" s="84"/>
      <c r="M629" s="84"/>
      <c r="N629" s="84"/>
      <c r="O629" s="84"/>
      <c r="P629" s="84"/>
      <c r="Q629" s="84"/>
      <c r="R629" s="84"/>
      <c r="S629" s="84"/>
      <c r="T629" s="84"/>
      <c r="U629" s="84"/>
      <c r="V629" s="84"/>
      <c r="W629" s="84"/>
      <c r="X629" s="84"/>
      <c r="Y629" s="84"/>
      <c r="Z629" s="84"/>
      <c r="AA629" s="84"/>
      <c r="AB629" s="84"/>
      <c r="AC629" s="85"/>
      <c r="AD629" s="85"/>
      <c r="AE629" s="84"/>
      <c r="AF629" s="84"/>
      <c r="AG629" s="84"/>
      <c r="AH629" s="84"/>
      <c r="AI629" s="84"/>
      <c r="AJ629" s="84"/>
      <c r="AK629" s="84"/>
      <c r="AL629" s="84"/>
      <c r="AM629" s="84"/>
      <c r="AN629" s="84"/>
      <c r="AO629" s="84"/>
      <c r="AP629" s="84"/>
      <c r="AQ629" s="84"/>
      <c r="AR629" s="84"/>
      <c r="AS629" s="87">
        <f t="array" ref="AS629">IF(E629=1,SUM((ROW(Mf0)=ROW(AS629))*(Mf0+Mf1_+Mf2_+Mf3_+Mf4_+Mf5_+Mf6_+Mf7_+Mf8_+Mf9_+Mf10_+Mf11_+Mf12_+Mf13_+Mf14_+Mf15_+Mf16_+Mf17_+Mf18_+Mf19_+Mf20_+Mf21_+Mf22_+Mf23_+Mf24_+Mf25_+Mf26_+Mf27_+Mf28_+Mf29_+Mf30_+Mf31_+Mf32_+Mf33_+Mf34_+Mf35_+Mf36_+Mf37_)),0)</f>
        <v>0</v>
      </c>
      <c r="AU629" s="24" t="str">
        <f t="shared" si="60"/>
        <v/>
      </c>
      <c r="AV629" s="24" t="str">
        <f t="shared" si="61"/>
        <v/>
      </c>
      <c r="AW629" s="24" t="str">
        <f t="shared" si="62"/>
        <v/>
      </c>
      <c r="AX629" s="72">
        <f t="shared" si="63"/>
        <v>0</v>
      </c>
      <c r="AY629" s="24">
        <f t="shared" si="64"/>
        <v>0</v>
      </c>
      <c r="AZ629" s="24">
        <f t="array" ref="AZ629">IF(OR(RIGHT(B629,LEN(Par_LabelTravelTime))=Par_LabelTravelTime,B629="čas na ceste - fakturácia"),1,0)</f>
        <v>0</v>
      </c>
    </row>
    <row r="630" spans="2:52" s="24" customFormat="1" ht="12.75" x14ac:dyDescent="0.2">
      <c r="B630" s="97"/>
      <c r="C630" s="92"/>
      <c r="D630" s="31" t="str">
        <f>IF(E630=1,VLOOKUP(TableInvs[[#This Row],[Calc_V_Typ]],Tran_RevenuesList,3,FALSE),"")</f>
        <v/>
      </c>
      <c r="E630" s="31">
        <f t="shared" si="59"/>
        <v>0</v>
      </c>
      <c r="F630" s="94"/>
      <c r="G630" s="84"/>
      <c r="H630" s="84"/>
      <c r="I630" s="84"/>
      <c r="J630" s="84"/>
      <c r="K630" s="84"/>
      <c r="L630" s="84"/>
      <c r="M630" s="84"/>
      <c r="N630" s="84"/>
      <c r="O630" s="84"/>
      <c r="P630" s="84"/>
      <c r="Q630" s="84"/>
      <c r="R630" s="84"/>
      <c r="S630" s="84"/>
      <c r="T630" s="84"/>
      <c r="U630" s="84"/>
      <c r="V630" s="84"/>
      <c r="W630" s="84"/>
      <c r="X630" s="84"/>
      <c r="Y630" s="84"/>
      <c r="Z630" s="84"/>
      <c r="AA630" s="84"/>
      <c r="AB630" s="84"/>
      <c r="AC630" s="85"/>
      <c r="AD630" s="85"/>
      <c r="AE630" s="84"/>
      <c r="AF630" s="84"/>
      <c r="AG630" s="84"/>
      <c r="AH630" s="84"/>
      <c r="AI630" s="84"/>
      <c r="AJ630" s="84"/>
      <c r="AK630" s="84"/>
      <c r="AL630" s="84"/>
      <c r="AM630" s="84"/>
      <c r="AN630" s="84"/>
      <c r="AO630" s="84"/>
      <c r="AP630" s="84"/>
      <c r="AQ630" s="84"/>
      <c r="AR630" s="84"/>
      <c r="AS630" s="87">
        <f t="array" ref="AS630">IF(E630=1,SUM((ROW(Mf0)=ROW(AS630))*(Mf0+Mf1_+Mf2_+Mf3_+Mf4_+Mf5_+Mf6_+Mf7_+Mf8_+Mf9_+Mf10_+Mf11_+Mf12_+Mf13_+Mf14_+Mf15_+Mf16_+Mf17_+Mf18_+Mf19_+Mf20_+Mf21_+Mf22_+Mf23_+Mf24_+Mf25_+Mf26_+Mf27_+Mf28_+Mf29_+Mf30_+Mf31_+Mf32_+Mf33_+Mf34_+Mf35_+Mf36_+Mf37_)),0)</f>
        <v>0</v>
      </c>
      <c r="AU630" s="24" t="str">
        <f t="shared" si="60"/>
        <v/>
      </c>
      <c r="AV630" s="24" t="str">
        <f t="shared" si="61"/>
        <v/>
      </c>
      <c r="AW630" s="24" t="str">
        <f t="shared" si="62"/>
        <v/>
      </c>
      <c r="AX630" s="72">
        <f t="shared" si="63"/>
        <v>0</v>
      </c>
      <c r="AY630" s="24">
        <f t="shared" si="64"/>
        <v>0</v>
      </c>
      <c r="AZ630" s="24">
        <f t="array" ref="AZ630">IF(OR(RIGHT(B630,LEN(Par_LabelTravelTime))=Par_LabelTravelTime,B630="čas na ceste - fakturácia"),1,0)</f>
        <v>0</v>
      </c>
    </row>
    <row r="631" spans="2:52" s="24" customFormat="1" ht="12.75" x14ac:dyDescent="0.2">
      <c r="B631" s="97"/>
      <c r="C631" s="92"/>
      <c r="D631" s="31" t="str">
        <f>IF(E631=1,VLOOKUP(TableInvs[[#This Row],[Calc_V_Typ]],Tran_RevenuesList,3,FALSE),"")</f>
        <v/>
      </c>
      <c r="E631" s="31">
        <f t="shared" si="59"/>
        <v>0</v>
      </c>
      <c r="F631" s="94"/>
      <c r="G631" s="84"/>
      <c r="H631" s="84"/>
      <c r="I631" s="84"/>
      <c r="J631" s="84"/>
      <c r="K631" s="84"/>
      <c r="L631" s="84"/>
      <c r="M631" s="84"/>
      <c r="N631" s="84"/>
      <c r="O631" s="84"/>
      <c r="P631" s="84"/>
      <c r="Q631" s="84"/>
      <c r="R631" s="84"/>
      <c r="S631" s="84"/>
      <c r="T631" s="84"/>
      <c r="U631" s="84"/>
      <c r="V631" s="84"/>
      <c r="W631" s="84"/>
      <c r="X631" s="84"/>
      <c r="Y631" s="84"/>
      <c r="Z631" s="84"/>
      <c r="AA631" s="84"/>
      <c r="AB631" s="84"/>
      <c r="AC631" s="85"/>
      <c r="AD631" s="85"/>
      <c r="AE631" s="84"/>
      <c r="AF631" s="84"/>
      <c r="AG631" s="84"/>
      <c r="AH631" s="84"/>
      <c r="AI631" s="84"/>
      <c r="AJ631" s="84"/>
      <c r="AK631" s="84"/>
      <c r="AL631" s="84"/>
      <c r="AM631" s="84"/>
      <c r="AN631" s="84"/>
      <c r="AO631" s="84"/>
      <c r="AP631" s="84"/>
      <c r="AQ631" s="84"/>
      <c r="AR631" s="84"/>
      <c r="AS631" s="87">
        <f t="array" ref="AS631">IF(E631=1,SUM((ROW(Mf0)=ROW(AS631))*(Mf0+Mf1_+Mf2_+Mf3_+Mf4_+Mf5_+Mf6_+Mf7_+Mf8_+Mf9_+Mf10_+Mf11_+Mf12_+Mf13_+Mf14_+Mf15_+Mf16_+Mf17_+Mf18_+Mf19_+Mf20_+Mf21_+Mf22_+Mf23_+Mf24_+Mf25_+Mf26_+Mf27_+Mf28_+Mf29_+Mf30_+Mf31_+Mf32_+Mf33_+Mf34_+Mf35_+Mf36_+Mf37_)),0)</f>
        <v>0</v>
      </c>
      <c r="AU631" s="24" t="str">
        <f t="shared" si="60"/>
        <v/>
      </c>
      <c r="AV631" s="24" t="str">
        <f t="shared" si="61"/>
        <v/>
      </c>
      <c r="AW631" s="24" t="str">
        <f t="shared" si="62"/>
        <v/>
      </c>
      <c r="AX631" s="72">
        <f t="shared" si="63"/>
        <v>0</v>
      </c>
      <c r="AY631" s="24">
        <f t="shared" si="64"/>
        <v>0</v>
      </c>
      <c r="AZ631" s="24">
        <f t="array" ref="AZ631">IF(OR(RIGHT(B631,LEN(Par_LabelTravelTime))=Par_LabelTravelTime,B631="čas na ceste - fakturácia"),1,0)</f>
        <v>0</v>
      </c>
    </row>
    <row r="632" spans="2:52" s="24" customFormat="1" ht="12.75" x14ac:dyDescent="0.2">
      <c r="B632" s="97"/>
      <c r="C632" s="92"/>
      <c r="D632" s="31" t="str">
        <f>IF(E632=1,VLOOKUP(TableInvs[[#This Row],[Calc_V_Typ]],Tran_RevenuesList,3,FALSE),"")</f>
        <v/>
      </c>
      <c r="E632" s="31">
        <f t="shared" si="59"/>
        <v>0</v>
      </c>
      <c r="F632" s="94"/>
      <c r="G632" s="84"/>
      <c r="H632" s="84"/>
      <c r="I632" s="84"/>
      <c r="J632" s="84"/>
      <c r="K632" s="84"/>
      <c r="L632" s="84"/>
      <c r="M632" s="84"/>
      <c r="N632" s="84"/>
      <c r="O632" s="84"/>
      <c r="P632" s="84"/>
      <c r="Q632" s="84"/>
      <c r="R632" s="84"/>
      <c r="S632" s="84"/>
      <c r="T632" s="84"/>
      <c r="U632" s="84"/>
      <c r="V632" s="84"/>
      <c r="W632" s="84"/>
      <c r="X632" s="84"/>
      <c r="Y632" s="84"/>
      <c r="Z632" s="84"/>
      <c r="AA632" s="84"/>
      <c r="AB632" s="84"/>
      <c r="AC632" s="85"/>
      <c r="AD632" s="85"/>
      <c r="AE632" s="84"/>
      <c r="AF632" s="84"/>
      <c r="AG632" s="84"/>
      <c r="AH632" s="84"/>
      <c r="AI632" s="84"/>
      <c r="AJ632" s="84"/>
      <c r="AK632" s="84"/>
      <c r="AL632" s="84"/>
      <c r="AM632" s="84"/>
      <c r="AN632" s="84"/>
      <c r="AO632" s="84"/>
      <c r="AP632" s="84"/>
      <c r="AQ632" s="84"/>
      <c r="AR632" s="84"/>
      <c r="AS632" s="87">
        <f t="array" ref="AS632">IF(E632=1,SUM((ROW(Mf0)=ROW(AS632))*(Mf0+Mf1_+Mf2_+Mf3_+Mf4_+Mf5_+Mf6_+Mf7_+Mf8_+Mf9_+Mf10_+Mf11_+Mf12_+Mf13_+Mf14_+Mf15_+Mf16_+Mf17_+Mf18_+Mf19_+Mf20_+Mf21_+Mf22_+Mf23_+Mf24_+Mf25_+Mf26_+Mf27_+Mf28_+Mf29_+Mf30_+Mf31_+Mf32_+Mf33_+Mf34_+Mf35_+Mf36_+Mf37_)),0)</f>
        <v>0</v>
      </c>
      <c r="AU632" s="24" t="str">
        <f t="shared" si="60"/>
        <v/>
      </c>
      <c r="AV632" s="24" t="str">
        <f t="shared" si="61"/>
        <v/>
      </c>
      <c r="AW632" s="24" t="str">
        <f t="shared" si="62"/>
        <v/>
      </c>
      <c r="AX632" s="72">
        <f t="shared" si="63"/>
        <v>0</v>
      </c>
      <c r="AY632" s="24">
        <f t="shared" si="64"/>
        <v>0</v>
      </c>
      <c r="AZ632" s="24">
        <f t="array" ref="AZ632">IF(OR(RIGHT(B632,LEN(Par_LabelTravelTime))=Par_LabelTravelTime,B632="čas na ceste - fakturácia"),1,0)</f>
        <v>0</v>
      </c>
    </row>
    <row r="633" spans="2:52" s="24" customFormat="1" ht="12.75" x14ac:dyDescent="0.2">
      <c r="B633" s="97"/>
      <c r="C633" s="92"/>
      <c r="D633" s="31" t="str">
        <f>IF(E633=1,VLOOKUP(TableInvs[[#This Row],[Calc_V_Typ]],Tran_RevenuesList,3,FALSE),"")</f>
        <v/>
      </c>
      <c r="E633" s="31">
        <f t="shared" si="59"/>
        <v>0</v>
      </c>
      <c r="F633" s="94"/>
      <c r="G633" s="84"/>
      <c r="H633" s="84"/>
      <c r="I633" s="84"/>
      <c r="J633" s="84"/>
      <c r="K633" s="84"/>
      <c r="L633" s="84"/>
      <c r="M633" s="84"/>
      <c r="N633" s="84"/>
      <c r="O633" s="84"/>
      <c r="P633" s="84"/>
      <c r="Q633" s="84"/>
      <c r="R633" s="84"/>
      <c r="S633" s="84"/>
      <c r="T633" s="84"/>
      <c r="U633" s="84"/>
      <c r="V633" s="84"/>
      <c r="W633" s="84"/>
      <c r="X633" s="84"/>
      <c r="Y633" s="84"/>
      <c r="Z633" s="84"/>
      <c r="AA633" s="84"/>
      <c r="AB633" s="84"/>
      <c r="AC633" s="85"/>
      <c r="AD633" s="85"/>
      <c r="AE633" s="84"/>
      <c r="AF633" s="84"/>
      <c r="AG633" s="84"/>
      <c r="AH633" s="84"/>
      <c r="AI633" s="84"/>
      <c r="AJ633" s="84"/>
      <c r="AK633" s="84"/>
      <c r="AL633" s="84"/>
      <c r="AM633" s="84"/>
      <c r="AN633" s="84"/>
      <c r="AO633" s="84"/>
      <c r="AP633" s="84"/>
      <c r="AQ633" s="84"/>
      <c r="AR633" s="84"/>
      <c r="AS633" s="87">
        <f t="array" ref="AS633">IF(E633=1,SUM((ROW(Mf0)=ROW(AS633))*(Mf0+Mf1_+Mf2_+Mf3_+Mf4_+Mf5_+Mf6_+Mf7_+Mf8_+Mf9_+Mf10_+Mf11_+Mf12_+Mf13_+Mf14_+Mf15_+Mf16_+Mf17_+Mf18_+Mf19_+Mf20_+Mf21_+Mf22_+Mf23_+Mf24_+Mf25_+Mf26_+Mf27_+Mf28_+Mf29_+Mf30_+Mf31_+Mf32_+Mf33_+Mf34_+Mf35_+Mf36_+Mf37_)),0)</f>
        <v>0</v>
      </c>
      <c r="AU633" s="24" t="str">
        <f t="shared" si="60"/>
        <v/>
      </c>
      <c r="AV633" s="24" t="str">
        <f t="shared" si="61"/>
        <v/>
      </c>
      <c r="AW633" s="24" t="str">
        <f t="shared" si="62"/>
        <v/>
      </c>
      <c r="AX633" s="72">
        <f t="shared" si="63"/>
        <v>0</v>
      </c>
      <c r="AY633" s="24">
        <f t="shared" si="64"/>
        <v>0</v>
      </c>
      <c r="AZ633" s="24">
        <f t="array" ref="AZ633">IF(OR(RIGHT(B633,LEN(Par_LabelTravelTime))=Par_LabelTravelTime,B633="čas na ceste - fakturácia"),1,0)</f>
        <v>0</v>
      </c>
    </row>
    <row r="634" spans="2:52" s="24" customFormat="1" ht="12.75" x14ac:dyDescent="0.2">
      <c r="B634" s="97"/>
      <c r="C634" s="92"/>
      <c r="D634" s="31" t="str">
        <f>IF(E634=1,VLOOKUP(TableInvs[[#This Row],[Calc_V_Typ]],Tran_RevenuesList,3,FALSE),"")</f>
        <v/>
      </c>
      <c r="E634" s="31">
        <f t="shared" si="59"/>
        <v>0</v>
      </c>
      <c r="F634" s="94"/>
      <c r="G634" s="84"/>
      <c r="H634" s="84"/>
      <c r="I634" s="84"/>
      <c r="J634" s="84"/>
      <c r="K634" s="84"/>
      <c r="L634" s="84"/>
      <c r="M634" s="84"/>
      <c r="N634" s="84"/>
      <c r="O634" s="84"/>
      <c r="P634" s="84"/>
      <c r="Q634" s="84"/>
      <c r="R634" s="84"/>
      <c r="S634" s="84"/>
      <c r="T634" s="84"/>
      <c r="U634" s="84"/>
      <c r="V634" s="84"/>
      <c r="W634" s="84"/>
      <c r="X634" s="84"/>
      <c r="Y634" s="84"/>
      <c r="Z634" s="84"/>
      <c r="AA634" s="84"/>
      <c r="AB634" s="84"/>
      <c r="AC634" s="85"/>
      <c r="AD634" s="85"/>
      <c r="AE634" s="84"/>
      <c r="AF634" s="84"/>
      <c r="AG634" s="84"/>
      <c r="AH634" s="84"/>
      <c r="AI634" s="84"/>
      <c r="AJ634" s="84"/>
      <c r="AK634" s="84"/>
      <c r="AL634" s="84"/>
      <c r="AM634" s="84"/>
      <c r="AN634" s="84"/>
      <c r="AO634" s="84"/>
      <c r="AP634" s="84"/>
      <c r="AQ634" s="84"/>
      <c r="AR634" s="84"/>
      <c r="AS634" s="87">
        <f t="array" ref="AS634">IF(E634=1,SUM((ROW(Mf0)=ROW(AS634))*(Mf0+Mf1_+Mf2_+Mf3_+Mf4_+Mf5_+Mf6_+Mf7_+Mf8_+Mf9_+Mf10_+Mf11_+Mf12_+Mf13_+Mf14_+Mf15_+Mf16_+Mf17_+Mf18_+Mf19_+Mf20_+Mf21_+Mf22_+Mf23_+Mf24_+Mf25_+Mf26_+Mf27_+Mf28_+Mf29_+Mf30_+Mf31_+Mf32_+Mf33_+Mf34_+Mf35_+Mf36_+Mf37_)),0)</f>
        <v>0</v>
      </c>
      <c r="AU634" s="24" t="str">
        <f t="shared" si="60"/>
        <v/>
      </c>
      <c r="AV634" s="24" t="str">
        <f t="shared" si="61"/>
        <v/>
      </c>
      <c r="AW634" s="24" t="str">
        <f t="shared" si="62"/>
        <v/>
      </c>
      <c r="AX634" s="72">
        <f t="shared" si="63"/>
        <v>0</v>
      </c>
      <c r="AY634" s="24">
        <f t="shared" si="64"/>
        <v>0</v>
      </c>
      <c r="AZ634" s="24">
        <f t="array" ref="AZ634">IF(OR(RIGHT(B634,LEN(Par_LabelTravelTime))=Par_LabelTravelTime,B634="čas na ceste - fakturácia"),1,0)</f>
        <v>0</v>
      </c>
    </row>
    <row r="635" spans="2:52" s="24" customFormat="1" ht="12.75" x14ac:dyDescent="0.2">
      <c r="B635" s="97"/>
      <c r="C635" s="92"/>
      <c r="D635" s="31" t="str">
        <f>IF(E635=1,VLOOKUP(TableInvs[[#This Row],[Calc_V_Typ]],Tran_RevenuesList,3,FALSE),"")</f>
        <v/>
      </c>
      <c r="E635" s="31">
        <f t="shared" si="59"/>
        <v>0</v>
      </c>
      <c r="F635" s="94"/>
      <c r="G635" s="84"/>
      <c r="H635" s="84"/>
      <c r="I635" s="84"/>
      <c r="J635" s="84"/>
      <c r="K635" s="84"/>
      <c r="L635" s="84"/>
      <c r="M635" s="84"/>
      <c r="N635" s="84"/>
      <c r="O635" s="84"/>
      <c r="P635" s="84"/>
      <c r="Q635" s="84"/>
      <c r="R635" s="84"/>
      <c r="S635" s="84"/>
      <c r="T635" s="84"/>
      <c r="U635" s="84"/>
      <c r="V635" s="84"/>
      <c r="W635" s="84"/>
      <c r="X635" s="84"/>
      <c r="Y635" s="84"/>
      <c r="Z635" s="84"/>
      <c r="AA635" s="84"/>
      <c r="AB635" s="84"/>
      <c r="AC635" s="85"/>
      <c r="AD635" s="85"/>
      <c r="AE635" s="84"/>
      <c r="AF635" s="84"/>
      <c r="AG635" s="84"/>
      <c r="AH635" s="84"/>
      <c r="AI635" s="84"/>
      <c r="AJ635" s="84"/>
      <c r="AK635" s="84"/>
      <c r="AL635" s="84"/>
      <c r="AM635" s="84"/>
      <c r="AN635" s="84"/>
      <c r="AO635" s="84"/>
      <c r="AP635" s="84"/>
      <c r="AQ635" s="84"/>
      <c r="AR635" s="84"/>
      <c r="AS635" s="87">
        <f t="array" ref="AS635">IF(E635=1,SUM((ROW(Mf0)=ROW(AS635))*(Mf0+Mf1_+Mf2_+Mf3_+Mf4_+Mf5_+Mf6_+Mf7_+Mf8_+Mf9_+Mf10_+Mf11_+Mf12_+Mf13_+Mf14_+Mf15_+Mf16_+Mf17_+Mf18_+Mf19_+Mf20_+Mf21_+Mf22_+Mf23_+Mf24_+Mf25_+Mf26_+Mf27_+Mf28_+Mf29_+Mf30_+Mf31_+Mf32_+Mf33_+Mf34_+Mf35_+Mf36_+Mf37_)),0)</f>
        <v>0</v>
      </c>
      <c r="AU635" s="24" t="str">
        <f t="shared" si="60"/>
        <v/>
      </c>
      <c r="AV635" s="24" t="str">
        <f t="shared" si="61"/>
        <v/>
      </c>
      <c r="AW635" s="24" t="str">
        <f t="shared" si="62"/>
        <v/>
      </c>
      <c r="AX635" s="72">
        <f t="shared" si="63"/>
        <v>0</v>
      </c>
      <c r="AY635" s="24">
        <f t="shared" si="64"/>
        <v>0</v>
      </c>
      <c r="AZ635" s="24">
        <f t="array" ref="AZ635">IF(OR(RIGHT(B635,LEN(Par_LabelTravelTime))=Par_LabelTravelTime,B635="čas na ceste - fakturácia"),1,0)</f>
        <v>0</v>
      </c>
    </row>
    <row r="636" spans="2:52" s="24" customFormat="1" ht="12.75" x14ac:dyDescent="0.2">
      <c r="B636" s="97"/>
      <c r="C636" s="92"/>
      <c r="D636" s="31" t="str">
        <f>IF(E636=1,VLOOKUP(TableInvs[[#This Row],[Calc_V_Typ]],Tran_RevenuesList,3,FALSE),"")</f>
        <v/>
      </c>
      <c r="E636" s="31">
        <f t="shared" si="59"/>
        <v>0</v>
      </c>
      <c r="F636" s="94"/>
      <c r="G636" s="84"/>
      <c r="H636" s="84"/>
      <c r="I636" s="84"/>
      <c r="J636" s="84"/>
      <c r="K636" s="84"/>
      <c r="L636" s="84"/>
      <c r="M636" s="84"/>
      <c r="N636" s="84"/>
      <c r="O636" s="84"/>
      <c r="P636" s="84"/>
      <c r="Q636" s="84"/>
      <c r="R636" s="84"/>
      <c r="S636" s="84"/>
      <c r="T636" s="84"/>
      <c r="U636" s="84"/>
      <c r="V636" s="84"/>
      <c r="W636" s="84"/>
      <c r="X636" s="84"/>
      <c r="Y636" s="84"/>
      <c r="Z636" s="84"/>
      <c r="AA636" s="84"/>
      <c r="AB636" s="84"/>
      <c r="AC636" s="85"/>
      <c r="AD636" s="85"/>
      <c r="AE636" s="84"/>
      <c r="AF636" s="84"/>
      <c r="AG636" s="84"/>
      <c r="AH636" s="84"/>
      <c r="AI636" s="84"/>
      <c r="AJ636" s="84"/>
      <c r="AK636" s="84"/>
      <c r="AL636" s="84"/>
      <c r="AM636" s="84"/>
      <c r="AN636" s="84"/>
      <c r="AO636" s="84"/>
      <c r="AP636" s="84"/>
      <c r="AQ636" s="84"/>
      <c r="AR636" s="84"/>
      <c r="AS636" s="87">
        <f t="array" ref="AS636">IF(E636=1,SUM((ROW(Mf0)=ROW(AS636))*(Mf0+Mf1_+Mf2_+Mf3_+Mf4_+Mf5_+Mf6_+Mf7_+Mf8_+Mf9_+Mf10_+Mf11_+Mf12_+Mf13_+Mf14_+Mf15_+Mf16_+Mf17_+Mf18_+Mf19_+Mf20_+Mf21_+Mf22_+Mf23_+Mf24_+Mf25_+Mf26_+Mf27_+Mf28_+Mf29_+Mf30_+Mf31_+Mf32_+Mf33_+Mf34_+Mf35_+Mf36_+Mf37_)),0)</f>
        <v>0</v>
      </c>
      <c r="AU636" s="24" t="str">
        <f t="shared" si="60"/>
        <v/>
      </c>
      <c r="AV636" s="24" t="str">
        <f t="shared" si="61"/>
        <v/>
      </c>
      <c r="AW636" s="24" t="str">
        <f t="shared" si="62"/>
        <v/>
      </c>
      <c r="AX636" s="72">
        <f t="shared" si="63"/>
        <v>0</v>
      </c>
      <c r="AY636" s="24">
        <f t="shared" si="64"/>
        <v>0</v>
      </c>
      <c r="AZ636" s="24">
        <f t="array" ref="AZ636">IF(OR(RIGHT(B636,LEN(Par_LabelTravelTime))=Par_LabelTravelTime,B636="čas na ceste - fakturácia"),1,0)</f>
        <v>0</v>
      </c>
    </row>
    <row r="637" spans="2:52" s="24" customFormat="1" ht="12.75" x14ac:dyDescent="0.2">
      <c r="B637" s="97"/>
      <c r="C637" s="92"/>
      <c r="D637" s="31" t="str">
        <f>IF(E637=1,VLOOKUP(TableInvs[[#This Row],[Calc_V_Typ]],Tran_RevenuesList,3,FALSE),"")</f>
        <v/>
      </c>
      <c r="E637" s="31">
        <f t="shared" si="59"/>
        <v>0</v>
      </c>
      <c r="F637" s="94"/>
      <c r="G637" s="84"/>
      <c r="H637" s="84"/>
      <c r="I637" s="84"/>
      <c r="J637" s="84"/>
      <c r="K637" s="84"/>
      <c r="L637" s="84"/>
      <c r="M637" s="84"/>
      <c r="N637" s="84"/>
      <c r="O637" s="84"/>
      <c r="P637" s="84"/>
      <c r="Q637" s="84"/>
      <c r="R637" s="84"/>
      <c r="S637" s="84"/>
      <c r="T637" s="84"/>
      <c r="U637" s="84"/>
      <c r="V637" s="84"/>
      <c r="W637" s="84"/>
      <c r="X637" s="84"/>
      <c r="Y637" s="84"/>
      <c r="Z637" s="84"/>
      <c r="AA637" s="84"/>
      <c r="AB637" s="84"/>
      <c r="AC637" s="85"/>
      <c r="AD637" s="85"/>
      <c r="AE637" s="84"/>
      <c r="AF637" s="84"/>
      <c r="AG637" s="84"/>
      <c r="AH637" s="84"/>
      <c r="AI637" s="84"/>
      <c r="AJ637" s="84"/>
      <c r="AK637" s="84"/>
      <c r="AL637" s="84"/>
      <c r="AM637" s="84"/>
      <c r="AN637" s="84"/>
      <c r="AO637" s="84"/>
      <c r="AP637" s="84"/>
      <c r="AQ637" s="84"/>
      <c r="AR637" s="84"/>
      <c r="AS637" s="87">
        <f t="array" ref="AS637">IF(E637=1,SUM((ROW(Mf0)=ROW(AS637))*(Mf0+Mf1_+Mf2_+Mf3_+Mf4_+Mf5_+Mf6_+Mf7_+Mf8_+Mf9_+Mf10_+Mf11_+Mf12_+Mf13_+Mf14_+Mf15_+Mf16_+Mf17_+Mf18_+Mf19_+Mf20_+Mf21_+Mf22_+Mf23_+Mf24_+Mf25_+Mf26_+Mf27_+Mf28_+Mf29_+Mf30_+Mf31_+Mf32_+Mf33_+Mf34_+Mf35_+Mf36_+Mf37_)),0)</f>
        <v>0</v>
      </c>
      <c r="AU637" s="24" t="str">
        <f t="shared" si="60"/>
        <v/>
      </c>
      <c r="AV637" s="24" t="str">
        <f t="shared" si="61"/>
        <v/>
      </c>
      <c r="AW637" s="24" t="str">
        <f t="shared" si="62"/>
        <v/>
      </c>
      <c r="AX637" s="72">
        <f t="shared" si="63"/>
        <v>0</v>
      </c>
      <c r="AY637" s="24">
        <f t="shared" si="64"/>
        <v>0</v>
      </c>
      <c r="AZ637" s="24">
        <f t="array" ref="AZ637">IF(OR(RIGHT(B637,LEN(Par_LabelTravelTime))=Par_LabelTravelTime,B637="čas na ceste - fakturácia"),1,0)</f>
        <v>0</v>
      </c>
    </row>
    <row r="638" spans="2:52" s="24" customFormat="1" ht="12.75" x14ac:dyDescent="0.2">
      <c r="B638" s="97"/>
      <c r="C638" s="92"/>
      <c r="D638" s="31" t="str">
        <f>IF(E638=1,VLOOKUP(TableInvs[[#This Row],[Calc_V_Typ]],Tran_RevenuesList,3,FALSE),"")</f>
        <v/>
      </c>
      <c r="E638" s="31">
        <f t="shared" si="59"/>
        <v>0</v>
      </c>
      <c r="F638" s="94"/>
      <c r="G638" s="84"/>
      <c r="H638" s="84"/>
      <c r="I638" s="84"/>
      <c r="J638" s="84"/>
      <c r="K638" s="84"/>
      <c r="L638" s="84"/>
      <c r="M638" s="84"/>
      <c r="N638" s="84"/>
      <c r="O638" s="84"/>
      <c r="P638" s="84"/>
      <c r="Q638" s="84"/>
      <c r="R638" s="84"/>
      <c r="S638" s="84"/>
      <c r="T638" s="84"/>
      <c r="U638" s="84"/>
      <c r="V638" s="84"/>
      <c r="W638" s="84"/>
      <c r="X638" s="84"/>
      <c r="Y638" s="84"/>
      <c r="Z638" s="84"/>
      <c r="AA638" s="84"/>
      <c r="AB638" s="84"/>
      <c r="AC638" s="85"/>
      <c r="AD638" s="85"/>
      <c r="AE638" s="84"/>
      <c r="AF638" s="84"/>
      <c r="AG638" s="84"/>
      <c r="AH638" s="84"/>
      <c r="AI638" s="84"/>
      <c r="AJ638" s="84"/>
      <c r="AK638" s="84"/>
      <c r="AL638" s="84"/>
      <c r="AM638" s="84"/>
      <c r="AN638" s="84"/>
      <c r="AO638" s="84"/>
      <c r="AP638" s="84"/>
      <c r="AQ638" s="84"/>
      <c r="AR638" s="84"/>
      <c r="AS638" s="87">
        <f t="array" ref="AS638">IF(E638=1,SUM((ROW(Mf0)=ROW(AS638))*(Mf0+Mf1_+Mf2_+Mf3_+Mf4_+Mf5_+Mf6_+Mf7_+Mf8_+Mf9_+Mf10_+Mf11_+Mf12_+Mf13_+Mf14_+Mf15_+Mf16_+Mf17_+Mf18_+Mf19_+Mf20_+Mf21_+Mf22_+Mf23_+Mf24_+Mf25_+Mf26_+Mf27_+Mf28_+Mf29_+Mf30_+Mf31_+Mf32_+Mf33_+Mf34_+Mf35_+Mf36_+Mf37_)),0)</f>
        <v>0</v>
      </c>
      <c r="AU638" s="24" t="str">
        <f t="shared" si="60"/>
        <v/>
      </c>
      <c r="AV638" s="24" t="str">
        <f t="shared" si="61"/>
        <v/>
      </c>
      <c r="AW638" s="24" t="str">
        <f t="shared" si="62"/>
        <v/>
      </c>
      <c r="AX638" s="72">
        <f t="shared" si="63"/>
        <v>0</v>
      </c>
      <c r="AY638" s="24">
        <f t="shared" si="64"/>
        <v>0</v>
      </c>
      <c r="AZ638" s="24">
        <f t="array" ref="AZ638">IF(OR(RIGHT(B638,LEN(Par_LabelTravelTime))=Par_LabelTravelTime,B638="čas na ceste - fakturácia"),1,0)</f>
        <v>0</v>
      </c>
    </row>
    <row r="639" spans="2:52" s="24" customFormat="1" ht="12.75" x14ac:dyDescent="0.2">
      <c r="B639" s="97"/>
      <c r="C639" s="92"/>
      <c r="D639" s="31" t="str">
        <f>IF(E639=1,VLOOKUP(TableInvs[[#This Row],[Calc_V_Typ]],Tran_RevenuesList,3,FALSE),"")</f>
        <v/>
      </c>
      <c r="E639" s="31">
        <f t="shared" si="59"/>
        <v>0</v>
      </c>
      <c r="F639" s="94"/>
      <c r="G639" s="84"/>
      <c r="H639" s="84"/>
      <c r="I639" s="84"/>
      <c r="J639" s="84"/>
      <c r="K639" s="84"/>
      <c r="L639" s="84"/>
      <c r="M639" s="84"/>
      <c r="N639" s="84"/>
      <c r="O639" s="84"/>
      <c r="P639" s="84"/>
      <c r="Q639" s="84"/>
      <c r="R639" s="84"/>
      <c r="S639" s="84"/>
      <c r="T639" s="84"/>
      <c r="U639" s="84"/>
      <c r="V639" s="84"/>
      <c r="W639" s="84"/>
      <c r="X639" s="84"/>
      <c r="Y639" s="84"/>
      <c r="Z639" s="84"/>
      <c r="AA639" s="84"/>
      <c r="AB639" s="84"/>
      <c r="AC639" s="85"/>
      <c r="AD639" s="85"/>
      <c r="AE639" s="84"/>
      <c r="AF639" s="84"/>
      <c r="AG639" s="84"/>
      <c r="AH639" s="84"/>
      <c r="AI639" s="84"/>
      <c r="AJ639" s="84"/>
      <c r="AK639" s="84"/>
      <c r="AL639" s="84"/>
      <c r="AM639" s="84"/>
      <c r="AN639" s="84"/>
      <c r="AO639" s="84"/>
      <c r="AP639" s="84"/>
      <c r="AQ639" s="84"/>
      <c r="AR639" s="84"/>
      <c r="AS639" s="87">
        <f t="array" ref="AS639">IF(E639=1,SUM((ROW(Mf0)=ROW(AS639))*(Mf0+Mf1_+Mf2_+Mf3_+Mf4_+Mf5_+Mf6_+Mf7_+Mf8_+Mf9_+Mf10_+Mf11_+Mf12_+Mf13_+Mf14_+Mf15_+Mf16_+Mf17_+Mf18_+Mf19_+Mf20_+Mf21_+Mf22_+Mf23_+Mf24_+Mf25_+Mf26_+Mf27_+Mf28_+Mf29_+Mf30_+Mf31_+Mf32_+Mf33_+Mf34_+Mf35_+Mf36_+Mf37_)),0)</f>
        <v>0</v>
      </c>
      <c r="AU639" s="24" t="str">
        <f t="shared" si="60"/>
        <v/>
      </c>
      <c r="AV639" s="24" t="str">
        <f t="shared" si="61"/>
        <v/>
      </c>
      <c r="AW639" s="24" t="str">
        <f t="shared" si="62"/>
        <v/>
      </c>
      <c r="AX639" s="72">
        <f t="shared" si="63"/>
        <v>0</v>
      </c>
      <c r="AY639" s="24">
        <f t="shared" si="64"/>
        <v>0</v>
      </c>
      <c r="AZ639" s="24">
        <f t="array" ref="AZ639">IF(OR(RIGHT(B639,LEN(Par_LabelTravelTime))=Par_LabelTravelTime,B639="čas na ceste - fakturácia"),1,0)</f>
        <v>0</v>
      </c>
    </row>
    <row r="640" spans="2:52" s="24" customFormat="1" ht="12.75" x14ac:dyDescent="0.2">
      <c r="B640" s="97"/>
      <c r="C640" s="92"/>
      <c r="D640" s="31" t="str">
        <f>IF(E640=1,VLOOKUP(TableInvs[[#This Row],[Calc_V_Typ]],Tran_RevenuesList,3,FALSE),"")</f>
        <v/>
      </c>
      <c r="E640" s="31">
        <f t="shared" si="59"/>
        <v>0</v>
      </c>
      <c r="F640" s="94"/>
      <c r="G640" s="84"/>
      <c r="H640" s="84"/>
      <c r="I640" s="84"/>
      <c r="J640" s="84"/>
      <c r="K640" s="84"/>
      <c r="L640" s="84"/>
      <c r="M640" s="84"/>
      <c r="N640" s="84"/>
      <c r="O640" s="84"/>
      <c r="P640" s="84"/>
      <c r="Q640" s="84"/>
      <c r="R640" s="84"/>
      <c r="S640" s="84"/>
      <c r="T640" s="84"/>
      <c r="U640" s="84"/>
      <c r="V640" s="84"/>
      <c r="W640" s="84"/>
      <c r="X640" s="84"/>
      <c r="Y640" s="84"/>
      <c r="Z640" s="84"/>
      <c r="AA640" s="84"/>
      <c r="AB640" s="84"/>
      <c r="AC640" s="85"/>
      <c r="AD640" s="85"/>
      <c r="AE640" s="84"/>
      <c r="AF640" s="84"/>
      <c r="AG640" s="84"/>
      <c r="AH640" s="84"/>
      <c r="AI640" s="84"/>
      <c r="AJ640" s="84"/>
      <c r="AK640" s="84"/>
      <c r="AL640" s="84"/>
      <c r="AM640" s="84"/>
      <c r="AN640" s="84"/>
      <c r="AO640" s="84"/>
      <c r="AP640" s="84"/>
      <c r="AQ640" s="84"/>
      <c r="AR640" s="84"/>
      <c r="AS640" s="87">
        <f t="array" ref="AS640">IF(E640=1,SUM((ROW(Mf0)=ROW(AS640))*(Mf0+Mf1_+Mf2_+Mf3_+Mf4_+Mf5_+Mf6_+Mf7_+Mf8_+Mf9_+Mf10_+Mf11_+Mf12_+Mf13_+Mf14_+Mf15_+Mf16_+Mf17_+Mf18_+Mf19_+Mf20_+Mf21_+Mf22_+Mf23_+Mf24_+Mf25_+Mf26_+Mf27_+Mf28_+Mf29_+Mf30_+Mf31_+Mf32_+Mf33_+Mf34_+Mf35_+Mf36_+Mf37_)),0)</f>
        <v>0</v>
      </c>
      <c r="AU640" s="24" t="str">
        <f t="shared" si="60"/>
        <v/>
      </c>
      <c r="AV640" s="24" t="str">
        <f t="shared" si="61"/>
        <v/>
      </c>
      <c r="AW640" s="24" t="str">
        <f t="shared" si="62"/>
        <v/>
      </c>
      <c r="AX640" s="72">
        <f t="shared" si="63"/>
        <v>0</v>
      </c>
      <c r="AY640" s="24">
        <f t="shared" si="64"/>
        <v>0</v>
      </c>
      <c r="AZ640" s="24">
        <f t="array" ref="AZ640">IF(OR(RIGHT(B640,LEN(Par_LabelTravelTime))=Par_LabelTravelTime,B640="čas na ceste - fakturácia"),1,0)</f>
        <v>0</v>
      </c>
    </row>
    <row r="641" spans="2:52" s="24" customFormat="1" ht="12.75" x14ac:dyDescent="0.2">
      <c r="B641" s="97"/>
      <c r="C641" s="92"/>
      <c r="D641" s="31" t="str">
        <f>IF(E641=1,VLOOKUP(TableInvs[[#This Row],[Calc_V_Typ]],Tran_RevenuesList,3,FALSE),"")</f>
        <v/>
      </c>
      <c r="E641" s="31">
        <f t="shared" si="59"/>
        <v>0</v>
      </c>
      <c r="F641" s="94"/>
      <c r="G641" s="84"/>
      <c r="H641" s="84"/>
      <c r="I641" s="84"/>
      <c r="J641" s="84"/>
      <c r="K641" s="84"/>
      <c r="L641" s="84"/>
      <c r="M641" s="84"/>
      <c r="N641" s="84"/>
      <c r="O641" s="84"/>
      <c r="P641" s="84"/>
      <c r="Q641" s="84"/>
      <c r="R641" s="84"/>
      <c r="S641" s="84"/>
      <c r="T641" s="84"/>
      <c r="U641" s="84"/>
      <c r="V641" s="84"/>
      <c r="W641" s="84"/>
      <c r="X641" s="84"/>
      <c r="Y641" s="84"/>
      <c r="Z641" s="84"/>
      <c r="AA641" s="84"/>
      <c r="AB641" s="84"/>
      <c r="AC641" s="85"/>
      <c r="AD641" s="85"/>
      <c r="AE641" s="84"/>
      <c r="AF641" s="84"/>
      <c r="AG641" s="84"/>
      <c r="AH641" s="84"/>
      <c r="AI641" s="84"/>
      <c r="AJ641" s="84"/>
      <c r="AK641" s="84"/>
      <c r="AL641" s="84"/>
      <c r="AM641" s="84"/>
      <c r="AN641" s="84"/>
      <c r="AO641" s="84"/>
      <c r="AP641" s="84"/>
      <c r="AQ641" s="84"/>
      <c r="AR641" s="84"/>
      <c r="AS641" s="87">
        <f t="array" ref="AS641">IF(E641=1,SUM((ROW(Mf0)=ROW(AS641))*(Mf0+Mf1_+Mf2_+Mf3_+Mf4_+Mf5_+Mf6_+Mf7_+Mf8_+Mf9_+Mf10_+Mf11_+Mf12_+Mf13_+Mf14_+Mf15_+Mf16_+Mf17_+Mf18_+Mf19_+Mf20_+Mf21_+Mf22_+Mf23_+Mf24_+Mf25_+Mf26_+Mf27_+Mf28_+Mf29_+Mf30_+Mf31_+Mf32_+Mf33_+Mf34_+Mf35_+Mf36_+Mf37_)),0)</f>
        <v>0</v>
      </c>
      <c r="AU641" s="24" t="str">
        <f t="shared" si="60"/>
        <v/>
      </c>
      <c r="AV641" s="24" t="str">
        <f t="shared" si="61"/>
        <v/>
      </c>
      <c r="AW641" s="24" t="str">
        <f t="shared" si="62"/>
        <v/>
      </c>
      <c r="AX641" s="72">
        <f t="shared" si="63"/>
        <v>0</v>
      </c>
      <c r="AY641" s="24">
        <f t="shared" si="64"/>
        <v>0</v>
      </c>
      <c r="AZ641" s="24">
        <f t="array" ref="AZ641">IF(OR(RIGHT(B641,LEN(Par_LabelTravelTime))=Par_LabelTravelTime,B641="čas na ceste - fakturácia"),1,0)</f>
        <v>0</v>
      </c>
    </row>
    <row r="642" spans="2:52" s="24" customFormat="1" ht="12.75" x14ac:dyDescent="0.2">
      <c r="B642" s="97"/>
      <c r="C642" s="92"/>
      <c r="D642" s="31" t="str">
        <f>IF(E642=1,VLOOKUP(TableInvs[[#This Row],[Calc_V_Typ]],Tran_RevenuesList,3,FALSE),"")</f>
        <v/>
      </c>
      <c r="E642" s="31">
        <f t="shared" si="59"/>
        <v>0</v>
      </c>
      <c r="F642" s="94"/>
      <c r="G642" s="84"/>
      <c r="H642" s="84"/>
      <c r="I642" s="84"/>
      <c r="J642" s="84"/>
      <c r="K642" s="84"/>
      <c r="L642" s="84"/>
      <c r="M642" s="84"/>
      <c r="N642" s="84"/>
      <c r="O642" s="84"/>
      <c r="P642" s="84"/>
      <c r="Q642" s="84"/>
      <c r="R642" s="84"/>
      <c r="S642" s="84"/>
      <c r="T642" s="84"/>
      <c r="U642" s="84"/>
      <c r="V642" s="84"/>
      <c r="W642" s="84"/>
      <c r="X642" s="84"/>
      <c r="Y642" s="84"/>
      <c r="Z642" s="84"/>
      <c r="AA642" s="84"/>
      <c r="AB642" s="84"/>
      <c r="AC642" s="85"/>
      <c r="AD642" s="85"/>
      <c r="AE642" s="84"/>
      <c r="AF642" s="84"/>
      <c r="AG642" s="84"/>
      <c r="AH642" s="84"/>
      <c r="AI642" s="84"/>
      <c r="AJ642" s="84"/>
      <c r="AK642" s="84"/>
      <c r="AL642" s="84"/>
      <c r="AM642" s="84"/>
      <c r="AN642" s="84"/>
      <c r="AO642" s="84"/>
      <c r="AP642" s="84"/>
      <c r="AQ642" s="84"/>
      <c r="AR642" s="84"/>
      <c r="AS642" s="87">
        <f t="array" ref="AS642">IF(E642=1,SUM((ROW(Mf0)=ROW(AS642))*(Mf0+Mf1_+Mf2_+Mf3_+Mf4_+Mf5_+Mf6_+Mf7_+Mf8_+Mf9_+Mf10_+Mf11_+Mf12_+Mf13_+Mf14_+Mf15_+Mf16_+Mf17_+Mf18_+Mf19_+Mf20_+Mf21_+Mf22_+Mf23_+Mf24_+Mf25_+Mf26_+Mf27_+Mf28_+Mf29_+Mf30_+Mf31_+Mf32_+Mf33_+Mf34_+Mf35_+Mf36_+Mf37_)),0)</f>
        <v>0</v>
      </c>
      <c r="AU642" s="24" t="str">
        <f t="shared" si="60"/>
        <v/>
      </c>
      <c r="AV642" s="24" t="str">
        <f t="shared" si="61"/>
        <v/>
      </c>
      <c r="AW642" s="24" t="str">
        <f t="shared" si="62"/>
        <v/>
      </c>
      <c r="AX642" s="72">
        <f t="shared" si="63"/>
        <v>0</v>
      </c>
      <c r="AY642" s="24">
        <f t="shared" si="64"/>
        <v>0</v>
      </c>
      <c r="AZ642" s="24">
        <f t="array" ref="AZ642">IF(OR(RIGHT(B642,LEN(Par_LabelTravelTime))=Par_LabelTravelTime,B642="čas na ceste - fakturácia"),1,0)</f>
        <v>0</v>
      </c>
    </row>
    <row r="643" spans="2:52" s="24" customFormat="1" ht="12.75" x14ac:dyDescent="0.2">
      <c r="B643" s="97"/>
      <c r="C643" s="92"/>
      <c r="D643" s="31" t="str">
        <f>IF(E643=1,VLOOKUP(TableInvs[[#This Row],[Calc_V_Typ]],Tran_RevenuesList,3,FALSE),"")</f>
        <v/>
      </c>
      <c r="E643" s="31">
        <f t="shared" si="59"/>
        <v>0</v>
      </c>
      <c r="F643" s="94"/>
      <c r="G643" s="84"/>
      <c r="H643" s="84"/>
      <c r="I643" s="84"/>
      <c r="J643" s="84"/>
      <c r="K643" s="84"/>
      <c r="L643" s="84"/>
      <c r="M643" s="84"/>
      <c r="N643" s="84"/>
      <c r="O643" s="84"/>
      <c r="P643" s="84"/>
      <c r="Q643" s="84"/>
      <c r="R643" s="84"/>
      <c r="S643" s="84"/>
      <c r="T643" s="84"/>
      <c r="U643" s="84"/>
      <c r="V643" s="84"/>
      <c r="W643" s="84"/>
      <c r="X643" s="84"/>
      <c r="Y643" s="84"/>
      <c r="Z643" s="84"/>
      <c r="AA643" s="84"/>
      <c r="AB643" s="84"/>
      <c r="AC643" s="85"/>
      <c r="AD643" s="85"/>
      <c r="AE643" s="84"/>
      <c r="AF643" s="84"/>
      <c r="AG643" s="84"/>
      <c r="AH643" s="84"/>
      <c r="AI643" s="84"/>
      <c r="AJ643" s="84"/>
      <c r="AK643" s="84"/>
      <c r="AL643" s="84"/>
      <c r="AM643" s="84"/>
      <c r="AN643" s="84"/>
      <c r="AO643" s="84"/>
      <c r="AP643" s="84"/>
      <c r="AQ643" s="84"/>
      <c r="AR643" s="84"/>
      <c r="AS643" s="87">
        <f t="array" ref="AS643">IF(E643=1,SUM((ROW(Mf0)=ROW(AS643))*(Mf0+Mf1_+Mf2_+Mf3_+Mf4_+Mf5_+Mf6_+Mf7_+Mf8_+Mf9_+Mf10_+Mf11_+Mf12_+Mf13_+Mf14_+Mf15_+Mf16_+Mf17_+Mf18_+Mf19_+Mf20_+Mf21_+Mf22_+Mf23_+Mf24_+Mf25_+Mf26_+Mf27_+Mf28_+Mf29_+Mf30_+Mf31_+Mf32_+Mf33_+Mf34_+Mf35_+Mf36_+Mf37_)),0)</f>
        <v>0</v>
      </c>
      <c r="AU643" s="24" t="str">
        <f t="shared" si="60"/>
        <v/>
      </c>
      <c r="AV643" s="24" t="str">
        <f t="shared" si="61"/>
        <v/>
      </c>
      <c r="AW643" s="24" t="str">
        <f t="shared" si="62"/>
        <v/>
      </c>
      <c r="AX643" s="72">
        <f t="shared" si="63"/>
        <v>0</v>
      </c>
      <c r="AY643" s="24">
        <f t="shared" si="64"/>
        <v>0</v>
      </c>
      <c r="AZ643" s="24">
        <f t="array" ref="AZ643">IF(OR(RIGHT(B643,LEN(Par_LabelTravelTime))=Par_LabelTravelTime,B643="čas na ceste - fakturácia"),1,0)</f>
        <v>0</v>
      </c>
    </row>
    <row r="644" spans="2:52" s="24" customFormat="1" ht="12.75" x14ac:dyDescent="0.2">
      <c r="B644" s="97"/>
      <c r="C644" s="92"/>
      <c r="D644" s="31" t="str">
        <f>IF(E644=1,VLOOKUP(TableInvs[[#This Row],[Calc_V_Typ]],Tran_RevenuesList,3,FALSE),"")</f>
        <v/>
      </c>
      <c r="E644" s="31">
        <f t="shared" si="59"/>
        <v>0</v>
      </c>
      <c r="F644" s="94"/>
      <c r="G644" s="84"/>
      <c r="H644" s="84"/>
      <c r="I644" s="84"/>
      <c r="J644" s="84"/>
      <c r="K644" s="84"/>
      <c r="L644" s="84"/>
      <c r="M644" s="84"/>
      <c r="N644" s="84"/>
      <c r="O644" s="84"/>
      <c r="P644" s="84"/>
      <c r="Q644" s="84"/>
      <c r="R644" s="84"/>
      <c r="S644" s="84"/>
      <c r="T644" s="84"/>
      <c r="U644" s="84"/>
      <c r="V644" s="84"/>
      <c r="W644" s="84"/>
      <c r="X644" s="84"/>
      <c r="Y644" s="84"/>
      <c r="Z644" s="84"/>
      <c r="AA644" s="84"/>
      <c r="AB644" s="84"/>
      <c r="AC644" s="85"/>
      <c r="AD644" s="85"/>
      <c r="AE644" s="84"/>
      <c r="AF644" s="84"/>
      <c r="AG644" s="84"/>
      <c r="AH644" s="84"/>
      <c r="AI644" s="84"/>
      <c r="AJ644" s="84"/>
      <c r="AK644" s="84"/>
      <c r="AL644" s="84"/>
      <c r="AM644" s="84"/>
      <c r="AN644" s="84"/>
      <c r="AO644" s="84"/>
      <c r="AP644" s="84"/>
      <c r="AQ644" s="84"/>
      <c r="AR644" s="84"/>
      <c r="AS644" s="87">
        <f t="array" ref="AS644">IF(E644=1,SUM((ROW(Mf0)=ROW(AS644))*(Mf0+Mf1_+Mf2_+Mf3_+Mf4_+Mf5_+Mf6_+Mf7_+Mf8_+Mf9_+Mf10_+Mf11_+Mf12_+Mf13_+Mf14_+Mf15_+Mf16_+Mf17_+Mf18_+Mf19_+Mf20_+Mf21_+Mf22_+Mf23_+Mf24_+Mf25_+Mf26_+Mf27_+Mf28_+Mf29_+Mf30_+Mf31_+Mf32_+Mf33_+Mf34_+Mf35_+Mf36_+Mf37_)),0)</f>
        <v>0</v>
      </c>
      <c r="AU644" s="24" t="str">
        <f t="shared" si="60"/>
        <v/>
      </c>
      <c r="AV644" s="24" t="str">
        <f t="shared" si="61"/>
        <v/>
      </c>
      <c r="AW644" s="24" t="str">
        <f t="shared" si="62"/>
        <v/>
      </c>
      <c r="AX644" s="72">
        <f t="shared" si="63"/>
        <v>0</v>
      </c>
      <c r="AY644" s="24">
        <f t="shared" si="64"/>
        <v>0</v>
      </c>
      <c r="AZ644" s="24">
        <f t="array" ref="AZ644">IF(OR(RIGHT(B644,LEN(Par_LabelTravelTime))=Par_LabelTravelTime,B644="čas na ceste - fakturácia"),1,0)</f>
        <v>0</v>
      </c>
    </row>
    <row r="645" spans="2:52" s="24" customFormat="1" ht="12.75" x14ac:dyDescent="0.2">
      <c r="B645" s="97"/>
      <c r="C645" s="92"/>
      <c r="D645" s="31" t="str">
        <f>IF(E645=1,VLOOKUP(TableInvs[[#This Row],[Calc_V_Typ]],Tran_RevenuesList,3,FALSE),"")</f>
        <v/>
      </c>
      <c r="E645" s="31">
        <f t="shared" si="59"/>
        <v>0</v>
      </c>
      <c r="F645" s="94"/>
      <c r="G645" s="84"/>
      <c r="H645" s="84"/>
      <c r="I645" s="84"/>
      <c r="J645" s="84"/>
      <c r="K645" s="84"/>
      <c r="L645" s="84"/>
      <c r="M645" s="84"/>
      <c r="N645" s="84"/>
      <c r="O645" s="84"/>
      <c r="P645" s="84"/>
      <c r="Q645" s="84"/>
      <c r="R645" s="84"/>
      <c r="S645" s="84"/>
      <c r="T645" s="84"/>
      <c r="U645" s="84"/>
      <c r="V645" s="84"/>
      <c r="W645" s="84"/>
      <c r="X645" s="84"/>
      <c r="Y645" s="84"/>
      <c r="Z645" s="84"/>
      <c r="AA645" s="84"/>
      <c r="AB645" s="84"/>
      <c r="AC645" s="85"/>
      <c r="AD645" s="85"/>
      <c r="AE645" s="84"/>
      <c r="AF645" s="84"/>
      <c r="AG645" s="84"/>
      <c r="AH645" s="84"/>
      <c r="AI645" s="84"/>
      <c r="AJ645" s="84"/>
      <c r="AK645" s="84"/>
      <c r="AL645" s="84"/>
      <c r="AM645" s="84"/>
      <c r="AN645" s="84"/>
      <c r="AO645" s="84"/>
      <c r="AP645" s="84"/>
      <c r="AQ645" s="84"/>
      <c r="AR645" s="84"/>
      <c r="AS645" s="87">
        <f t="array" ref="AS645">IF(E645=1,SUM((ROW(Mf0)=ROW(AS645))*(Mf0+Mf1_+Mf2_+Mf3_+Mf4_+Mf5_+Mf6_+Mf7_+Mf8_+Mf9_+Mf10_+Mf11_+Mf12_+Mf13_+Mf14_+Mf15_+Mf16_+Mf17_+Mf18_+Mf19_+Mf20_+Mf21_+Mf22_+Mf23_+Mf24_+Mf25_+Mf26_+Mf27_+Mf28_+Mf29_+Mf30_+Mf31_+Mf32_+Mf33_+Mf34_+Mf35_+Mf36_+Mf37_)),0)</f>
        <v>0</v>
      </c>
      <c r="AU645" s="24" t="str">
        <f t="shared" si="60"/>
        <v/>
      </c>
      <c r="AV645" s="24" t="str">
        <f t="shared" si="61"/>
        <v/>
      </c>
      <c r="AW645" s="24" t="str">
        <f t="shared" si="62"/>
        <v/>
      </c>
      <c r="AX645" s="72">
        <f t="shared" si="63"/>
        <v>0</v>
      </c>
      <c r="AY645" s="24">
        <f t="shared" si="64"/>
        <v>0</v>
      </c>
      <c r="AZ645" s="24">
        <f t="array" ref="AZ645">IF(OR(RIGHT(B645,LEN(Par_LabelTravelTime))=Par_LabelTravelTime,B645="čas na ceste - fakturácia"),1,0)</f>
        <v>0</v>
      </c>
    </row>
    <row r="646" spans="2:52" s="24" customFormat="1" ht="12.75" x14ac:dyDescent="0.2">
      <c r="B646" s="97"/>
      <c r="C646" s="92"/>
      <c r="D646" s="31" t="str">
        <f>IF(E646=1,VLOOKUP(TableInvs[[#This Row],[Calc_V_Typ]],Tran_RevenuesList,3,FALSE),"")</f>
        <v/>
      </c>
      <c r="E646" s="31">
        <f t="shared" si="59"/>
        <v>0</v>
      </c>
      <c r="F646" s="94"/>
      <c r="G646" s="84"/>
      <c r="H646" s="84"/>
      <c r="I646" s="84"/>
      <c r="J646" s="84"/>
      <c r="K646" s="84"/>
      <c r="L646" s="84"/>
      <c r="M646" s="84"/>
      <c r="N646" s="84"/>
      <c r="O646" s="84"/>
      <c r="P646" s="84"/>
      <c r="Q646" s="84"/>
      <c r="R646" s="84"/>
      <c r="S646" s="84"/>
      <c r="T646" s="84"/>
      <c r="U646" s="84"/>
      <c r="V646" s="84"/>
      <c r="W646" s="84"/>
      <c r="X646" s="84"/>
      <c r="Y646" s="84"/>
      <c r="Z646" s="84"/>
      <c r="AA646" s="84"/>
      <c r="AB646" s="84"/>
      <c r="AC646" s="85"/>
      <c r="AD646" s="85"/>
      <c r="AE646" s="84"/>
      <c r="AF646" s="84"/>
      <c r="AG646" s="84"/>
      <c r="AH646" s="84"/>
      <c r="AI646" s="84"/>
      <c r="AJ646" s="84"/>
      <c r="AK646" s="84"/>
      <c r="AL646" s="84"/>
      <c r="AM646" s="84"/>
      <c r="AN646" s="84"/>
      <c r="AO646" s="84"/>
      <c r="AP646" s="84"/>
      <c r="AQ646" s="84"/>
      <c r="AR646" s="84"/>
      <c r="AS646" s="87">
        <f t="array" ref="AS646">IF(E646=1,SUM((ROW(Mf0)=ROW(AS646))*(Mf0+Mf1_+Mf2_+Mf3_+Mf4_+Mf5_+Mf6_+Mf7_+Mf8_+Mf9_+Mf10_+Mf11_+Mf12_+Mf13_+Mf14_+Mf15_+Mf16_+Mf17_+Mf18_+Mf19_+Mf20_+Mf21_+Mf22_+Mf23_+Mf24_+Mf25_+Mf26_+Mf27_+Mf28_+Mf29_+Mf30_+Mf31_+Mf32_+Mf33_+Mf34_+Mf35_+Mf36_+Mf37_)),0)</f>
        <v>0</v>
      </c>
      <c r="AU646" s="24" t="str">
        <f t="shared" si="60"/>
        <v/>
      </c>
      <c r="AV646" s="24" t="str">
        <f t="shared" si="61"/>
        <v/>
      </c>
      <c r="AW646" s="24" t="str">
        <f t="shared" si="62"/>
        <v/>
      </c>
      <c r="AX646" s="72">
        <f t="shared" si="63"/>
        <v>0</v>
      </c>
      <c r="AY646" s="24">
        <f t="shared" si="64"/>
        <v>0</v>
      </c>
      <c r="AZ646" s="24">
        <f t="array" ref="AZ646">IF(OR(RIGHT(B646,LEN(Par_LabelTravelTime))=Par_LabelTravelTime,B646="čas na ceste - fakturácia"),1,0)</f>
        <v>0</v>
      </c>
    </row>
    <row r="647" spans="2:52" s="24" customFormat="1" ht="12.75" x14ac:dyDescent="0.2">
      <c r="B647" s="97"/>
      <c r="C647" s="92"/>
      <c r="D647" s="31" t="str">
        <f>IF(E647=1,VLOOKUP(TableInvs[[#This Row],[Calc_V_Typ]],Tran_RevenuesList,3,FALSE),"")</f>
        <v/>
      </c>
      <c r="E647" s="31">
        <f t="shared" ref="E647:E710" si="65">IF(B647="",0,IF(LEFT(B647,3)="***",-1,1))</f>
        <v>0</v>
      </c>
      <c r="F647" s="9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  <c r="S647" s="84"/>
      <c r="T647" s="84"/>
      <c r="U647" s="84"/>
      <c r="V647" s="84"/>
      <c r="W647" s="84"/>
      <c r="X647" s="84"/>
      <c r="Y647" s="84"/>
      <c r="Z647" s="84"/>
      <c r="AA647" s="84"/>
      <c r="AB647" s="84"/>
      <c r="AC647" s="85"/>
      <c r="AD647" s="85"/>
      <c r="AE647" s="84"/>
      <c r="AF647" s="84"/>
      <c r="AG647" s="84"/>
      <c r="AH647" s="84"/>
      <c r="AI647" s="84"/>
      <c r="AJ647" s="84"/>
      <c r="AK647" s="84"/>
      <c r="AL647" s="84"/>
      <c r="AM647" s="84"/>
      <c r="AN647" s="84"/>
      <c r="AO647" s="84"/>
      <c r="AP647" s="84"/>
      <c r="AQ647" s="84"/>
      <c r="AR647" s="84"/>
      <c r="AS647" s="87">
        <f t="array" ref="AS647">IF(E647=1,SUM((ROW(Mf0)=ROW(AS647))*(Mf0+Mf1_+Mf2_+Mf3_+Mf4_+Mf5_+Mf6_+Mf7_+Mf8_+Mf9_+Mf10_+Mf11_+Mf12_+Mf13_+Mf14_+Mf15_+Mf16_+Mf17_+Mf18_+Mf19_+Mf20_+Mf21_+Mf22_+Mf23_+Mf24_+Mf25_+Mf26_+Mf27_+Mf28_+Mf29_+Mf30_+Mf31_+Mf32_+Mf33_+Mf34_+Mf35_+Mf36_+Mf37_)),0)</f>
        <v>0</v>
      </c>
      <c r="AU647" s="24" t="str">
        <f t="shared" ref="AU647:AU710" si="66">IF(E647=1,VLOOKUP(B647,Tran_RevenuesList,2,0),"")</f>
        <v/>
      </c>
      <c r="AV647" s="24" t="str">
        <f t="shared" ref="AV647:AV710" si="67">IF(E647=1,D647,"")</f>
        <v/>
      </c>
      <c r="AW647" s="24" t="str">
        <f t="shared" ref="AW647:AW710" si="68">IF(C647="","",VLOOKUP(C647,Tab_Parts,2,0))</f>
        <v/>
      </c>
      <c r="AX647" s="72">
        <f t="shared" ref="AX647:AX710" si="69">IF(E647=1,AS647,0)</f>
        <v>0</v>
      </c>
      <c r="AY647" s="24">
        <f t="shared" ref="AY647:AY710" si="70">IF(RIGHT(B647,LEN(Par_LabelTravelTime))=Par_LabelTravelTime,LEFT(B647,LEN(B647)-LEN(Par_LabelTravelTime)),B647)</f>
        <v>0</v>
      </c>
      <c r="AZ647" s="24">
        <f t="array" ref="AZ647">IF(OR(RIGHT(B647,LEN(Par_LabelTravelTime))=Par_LabelTravelTime,B647="čas na ceste - fakturácia"),1,0)</f>
        <v>0</v>
      </c>
    </row>
    <row r="648" spans="2:52" s="24" customFormat="1" ht="12.75" x14ac:dyDescent="0.2">
      <c r="B648" s="97"/>
      <c r="C648" s="92"/>
      <c r="D648" s="31" t="str">
        <f>IF(E648=1,VLOOKUP(TableInvs[[#This Row],[Calc_V_Typ]],Tran_RevenuesList,3,FALSE),"")</f>
        <v/>
      </c>
      <c r="E648" s="31">
        <f t="shared" si="65"/>
        <v>0</v>
      </c>
      <c r="F648" s="9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  <c r="S648" s="84"/>
      <c r="T648" s="84"/>
      <c r="U648" s="84"/>
      <c r="V648" s="84"/>
      <c r="W648" s="84"/>
      <c r="X648" s="84"/>
      <c r="Y648" s="84"/>
      <c r="Z648" s="84"/>
      <c r="AA648" s="84"/>
      <c r="AB648" s="84"/>
      <c r="AC648" s="85"/>
      <c r="AD648" s="85"/>
      <c r="AE648" s="84"/>
      <c r="AF648" s="84"/>
      <c r="AG648" s="84"/>
      <c r="AH648" s="84"/>
      <c r="AI648" s="84"/>
      <c r="AJ648" s="84"/>
      <c r="AK648" s="84"/>
      <c r="AL648" s="84"/>
      <c r="AM648" s="84"/>
      <c r="AN648" s="84"/>
      <c r="AO648" s="84"/>
      <c r="AP648" s="84"/>
      <c r="AQ648" s="84"/>
      <c r="AR648" s="84"/>
      <c r="AS648" s="87">
        <f t="array" ref="AS648">IF(E648=1,SUM((ROW(Mf0)=ROW(AS648))*(Mf0+Mf1_+Mf2_+Mf3_+Mf4_+Mf5_+Mf6_+Mf7_+Mf8_+Mf9_+Mf10_+Mf11_+Mf12_+Mf13_+Mf14_+Mf15_+Mf16_+Mf17_+Mf18_+Mf19_+Mf20_+Mf21_+Mf22_+Mf23_+Mf24_+Mf25_+Mf26_+Mf27_+Mf28_+Mf29_+Mf30_+Mf31_+Mf32_+Mf33_+Mf34_+Mf35_+Mf36_+Mf37_)),0)</f>
        <v>0</v>
      </c>
      <c r="AU648" s="24" t="str">
        <f t="shared" si="66"/>
        <v/>
      </c>
      <c r="AV648" s="24" t="str">
        <f t="shared" si="67"/>
        <v/>
      </c>
      <c r="AW648" s="24" t="str">
        <f t="shared" si="68"/>
        <v/>
      </c>
      <c r="AX648" s="72">
        <f t="shared" si="69"/>
        <v>0</v>
      </c>
      <c r="AY648" s="24">
        <f t="shared" si="70"/>
        <v>0</v>
      </c>
      <c r="AZ648" s="24">
        <f t="array" ref="AZ648">IF(OR(RIGHT(B648,LEN(Par_LabelTravelTime))=Par_LabelTravelTime,B648="čas na ceste - fakturácia"),1,0)</f>
        <v>0</v>
      </c>
    </row>
    <row r="649" spans="2:52" s="24" customFormat="1" ht="12.75" x14ac:dyDescent="0.2">
      <c r="B649" s="97"/>
      <c r="C649" s="92"/>
      <c r="D649" s="31" t="str">
        <f>IF(E649=1,VLOOKUP(TableInvs[[#This Row],[Calc_V_Typ]],Tran_RevenuesList,3,FALSE),"")</f>
        <v/>
      </c>
      <c r="E649" s="31">
        <f t="shared" si="65"/>
        <v>0</v>
      </c>
      <c r="F649" s="94"/>
      <c r="G649" s="84"/>
      <c r="H649" s="84"/>
      <c r="I649" s="84"/>
      <c r="J649" s="84"/>
      <c r="K649" s="84"/>
      <c r="L649" s="84"/>
      <c r="M649" s="84"/>
      <c r="N649" s="84"/>
      <c r="O649" s="84"/>
      <c r="P649" s="84"/>
      <c r="Q649" s="84"/>
      <c r="R649" s="84"/>
      <c r="S649" s="84"/>
      <c r="T649" s="84"/>
      <c r="U649" s="84"/>
      <c r="V649" s="84"/>
      <c r="W649" s="84"/>
      <c r="X649" s="84"/>
      <c r="Y649" s="84"/>
      <c r="Z649" s="84"/>
      <c r="AA649" s="84"/>
      <c r="AB649" s="84"/>
      <c r="AC649" s="85"/>
      <c r="AD649" s="85"/>
      <c r="AE649" s="84"/>
      <c r="AF649" s="84"/>
      <c r="AG649" s="84"/>
      <c r="AH649" s="84"/>
      <c r="AI649" s="84"/>
      <c r="AJ649" s="84"/>
      <c r="AK649" s="84"/>
      <c r="AL649" s="84"/>
      <c r="AM649" s="84"/>
      <c r="AN649" s="84"/>
      <c r="AO649" s="84"/>
      <c r="AP649" s="84"/>
      <c r="AQ649" s="84"/>
      <c r="AR649" s="84"/>
      <c r="AS649" s="87">
        <f t="array" ref="AS649">IF(E649=1,SUM((ROW(Mf0)=ROW(AS649))*(Mf0+Mf1_+Mf2_+Mf3_+Mf4_+Mf5_+Mf6_+Mf7_+Mf8_+Mf9_+Mf10_+Mf11_+Mf12_+Mf13_+Mf14_+Mf15_+Mf16_+Mf17_+Mf18_+Mf19_+Mf20_+Mf21_+Mf22_+Mf23_+Mf24_+Mf25_+Mf26_+Mf27_+Mf28_+Mf29_+Mf30_+Mf31_+Mf32_+Mf33_+Mf34_+Mf35_+Mf36_+Mf37_)),0)</f>
        <v>0</v>
      </c>
      <c r="AU649" s="24" t="str">
        <f t="shared" si="66"/>
        <v/>
      </c>
      <c r="AV649" s="24" t="str">
        <f t="shared" si="67"/>
        <v/>
      </c>
      <c r="AW649" s="24" t="str">
        <f t="shared" si="68"/>
        <v/>
      </c>
      <c r="AX649" s="72">
        <f t="shared" si="69"/>
        <v>0</v>
      </c>
      <c r="AY649" s="24">
        <f t="shared" si="70"/>
        <v>0</v>
      </c>
      <c r="AZ649" s="24">
        <f t="array" ref="AZ649">IF(OR(RIGHT(B649,LEN(Par_LabelTravelTime))=Par_LabelTravelTime,B649="čas na ceste - fakturácia"),1,0)</f>
        <v>0</v>
      </c>
    </row>
    <row r="650" spans="2:52" s="24" customFormat="1" ht="12.75" x14ac:dyDescent="0.2">
      <c r="B650" s="97"/>
      <c r="C650" s="92"/>
      <c r="D650" s="31" t="str">
        <f>IF(E650=1,VLOOKUP(TableInvs[[#This Row],[Calc_V_Typ]],Tran_RevenuesList,3,FALSE),"")</f>
        <v/>
      </c>
      <c r="E650" s="31">
        <f t="shared" si="65"/>
        <v>0</v>
      </c>
      <c r="F650" s="9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  <c r="S650" s="84"/>
      <c r="T650" s="84"/>
      <c r="U650" s="84"/>
      <c r="V650" s="84"/>
      <c r="W650" s="84"/>
      <c r="X650" s="84"/>
      <c r="Y650" s="84"/>
      <c r="Z650" s="84"/>
      <c r="AA650" s="84"/>
      <c r="AB650" s="84"/>
      <c r="AC650" s="85"/>
      <c r="AD650" s="85"/>
      <c r="AE650" s="84"/>
      <c r="AF650" s="84"/>
      <c r="AG650" s="84"/>
      <c r="AH650" s="84"/>
      <c r="AI650" s="84"/>
      <c r="AJ650" s="84"/>
      <c r="AK650" s="84"/>
      <c r="AL650" s="84"/>
      <c r="AM650" s="84"/>
      <c r="AN650" s="84"/>
      <c r="AO650" s="84"/>
      <c r="AP650" s="84"/>
      <c r="AQ650" s="84"/>
      <c r="AR650" s="84"/>
      <c r="AS650" s="87">
        <f t="array" ref="AS650">IF(E650=1,SUM((ROW(Mf0)=ROW(AS650))*(Mf0+Mf1_+Mf2_+Mf3_+Mf4_+Mf5_+Mf6_+Mf7_+Mf8_+Mf9_+Mf10_+Mf11_+Mf12_+Mf13_+Mf14_+Mf15_+Mf16_+Mf17_+Mf18_+Mf19_+Mf20_+Mf21_+Mf22_+Mf23_+Mf24_+Mf25_+Mf26_+Mf27_+Mf28_+Mf29_+Mf30_+Mf31_+Mf32_+Mf33_+Mf34_+Mf35_+Mf36_+Mf37_)),0)</f>
        <v>0</v>
      </c>
      <c r="AU650" s="24" t="str">
        <f t="shared" si="66"/>
        <v/>
      </c>
      <c r="AV650" s="24" t="str">
        <f t="shared" si="67"/>
        <v/>
      </c>
      <c r="AW650" s="24" t="str">
        <f t="shared" si="68"/>
        <v/>
      </c>
      <c r="AX650" s="72">
        <f t="shared" si="69"/>
        <v>0</v>
      </c>
      <c r="AY650" s="24">
        <f t="shared" si="70"/>
        <v>0</v>
      </c>
      <c r="AZ650" s="24">
        <f t="array" ref="AZ650">IF(OR(RIGHT(B650,LEN(Par_LabelTravelTime))=Par_LabelTravelTime,B650="čas na ceste - fakturácia"),1,0)</f>
        <v>0</v>
      </c>
    </row>
    <row r="651" spans="2:52" s="24" customFormat="1" ht="12.75" x14ac:dyDescent="0.2">
      <c r="B651" s="97"/>
      <c r="C651" s="92"/>
      <c r="D651" s="31" t="str">
        <f>IF(E651=1,VLOOKUP(TableInvs[[#This Row],[Calc_V_Typ]],Tran_RevenuesList,3,FALSE),"")</f>
        <v/>
      </c>
      <c r="E651" s="31">
        <f t="shared" si="65"/>
        <v>0</v>
      </c>
      <c r="F651" s="9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  <c r="S651" s="84"/>
      <c r="T651" s="84"/>
      <c r="U651" s="84"/>
      <c r="V651" s="84"/>
      <c r="W651" s="84"/>
      <c r="X651" s="84"/>
      <c r="Y651" s="84"/>
      <c r="Z651" s="84"/>
      <c r="AA651" s="84"/>
      <c r="AB651" s="84"/>
      <c r="AC651" s="85"/>
      <c r="AD651" s="85"/>
      <c r="AE651" s="84"/>
      <c r="AF651" s="84"/>
      <c r="AG651" s="84"/>
      <c r="AH651" s="84"/>
      <c r="AI651" s="84"/>
      <c r="AJ651" s="84"/>
      <c r="AK651" s="84"/>
      <c r="AL651" s="84"/>
      <c r="AM651" s="84"/>
      <c r="AN651" s="84"/>
      <c r="AO651" s="84"/>
      <c r="AP651" s="84"/>
      <c r="AQ651" s="84"/>
      <c r="AR651" s="84"/>
      <c r="AS651" s="87">
        <f t="array" ref="AS651">IF(E651=1,SUM((ROW(Mf0)=ROW(AS651))*(Mf0+Mf1_+Mf2_+Mf3_+Mf4_+Mf5_+Mf6_+Mf7_+Mf8_+Mf9_+Mf10_+Mf11_+Mf12_+Mf13_+Mf14_+Mf15_+Mf16_+Mf17_+Mf18_+Mf19_+Mf20_+Mf21_+Mf22_+Mf23_+Mf24_+Mf25_+Mf26_+Mf27_+Mf28_+Mf29_+Mf30_+Mf31_+Mf32_+Mf33_+Mf34_+Mf35_+Mf36_+Mf37_)),0)</f>
        <v>0</v>
      </c>
      <c r="AU651" s="24" t="str">
        <f t="shared" si="66"/>
        <v/>
      </c>
      <c r="AV651" s="24" t="str">
        <f t="shared" si="67"/>
        <v/>
      </c>
      <c r="AW651" s="24" t="str">
        <f t="shared" si="68"/>
        <v/>
      </c>
      <c r="AX651" s="72">
        <f t="shared" si="69"/>
        <v>0</v>
      </c>
      <c r="AY651" s="24">
        <f t="shared" si="70"/>
        <v>0</v>
      </c>
      <c r="AZ651" s="24">
        <f t="array" ref="AZ651">IF(OR(RIGHT(B651,LEN(Par_LabelTravelTime))=Par_LabelTravelTime,B651="čas na ceste - fakturácia"),1,0)</f>
        <v>0</v>
      </c>
    </row>
    <row r="652" spans="2:52" s="24" customFormat="1" ht="12.75" x14ac:dyDescent="0.2">
      <c r="B652" s="97"/>
      <c r="C652" s="92"/>
      <c r="D652" s="31" t="str">
        <f>IF(E652=1,VLOOKUP(TableInvs[[#This Row],[Calc_V_Typ]],Tran_RevenuesList,3,FALSE),"")</f>
        <v/>
      </c>
      <c r="E652" s="31">
        <f t="shared" si="65"/>
        <v>0</v>
      </c>
      <c r="F652" s="9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  <c r="S652" s="84"/>
      <c r="T652" s="84"/>
      <c r="U652" s="84"/>
      <c r="V652" s="84"/>
      <c r="W652" s="84"/>
      <c r="X652" s="84"/>
      <c r="Y652" s="84"/>
      <c r="Z652" s="84"/>
      <c r="AA652" s="84"/>
      <c r="AB652" s="84"/>
      <c r="AC652" s="85"/>
      <c r="AD652" s="85"/>
      <c r="AE652" s="84"/>
      <c r="AF652" s="84"/>
      <c r="AG652" s="84"/>
      <c r="AH652" s="84"/>
      <c r="AI652" s="84"/>
      <c r="AJ652" s="84"/>
      <c r="AK652" s="84"/>
      <c r="AL652" s="84"/>
      <c r="AM652" s="84"/>
      <c r="AN652" s="84"/>
      <c r="AO652" s="84"/>
      <c r="AP652" s="84"/>
      <c r="AQ652" s="84"/>
      <c r="AR652" s="84"/>
      <c r="AS652" s="87">
        <f t="array" ref="AS652">IF(E652=1,SUM((ROW(Mf0)=ROW(AS652))*(Mf0+Mf1_+Mf2_+Mf3_+Mf4_+Mf5_+Mf6_+Mf7_+Mf8_+Mf9_+Mf10_+Mf11_+Mf12_+Mf13_+Mf14_+Mf15_+Mf16_+Mf17_+Mf18_+Mf19_+Mf20_+Mf21_+Mf22_+Mf23_+Mf24_+Mf25_+Mf26_+Mf27_+Mf28_+Mf29_+Mf30_+Mf31_+Mf32_+Mf33_+Mf34_+Mf35_+Mf36_+Mf37_)),0)</f>
        <v>0</v>
      </c>
      <c r="AU652" s="24" t="str">
        <f t="shared" si="66"/>
        <v/>
      </c>
      <c r="AV652" s="24" t="str">
        <f t="shared" si="67"/>
        <v/>
      </c>
      <c r="AW652" s="24" t="str">
        <f t="shared" si="68"/>
        <v/>
      </c>
      <c r="AX652" s="72">
        <f t="shared" si="69"/>
        <v>0</v>
      </c>
      <c r="AY652" s="24">
        <f t="shared" si="70"/>
        <v>0</v>
      </c>
      <c r="AZ652" s="24">
        <f t="array" ref="AZ652">IF(OR(RIGHT(B652,LEN(Par_LabelTravelTime))=Par_LabelTravelTime,B652="čas na ceste - fakturácia"),1,0)</f>
        <v>0</v>
      </c>
    </row>
    <row r="653" spans="2:52" s="24" customFormat="1" ht="12.75" x14ac:dyDescent="0.2">
      <c r="B653" s="97"/>
      <c r="C653" s="92"/>
      <c r="D653" s="31" t="str">
        <f>IF(E653=1,VLOOKUP(TableInvs[[#This Row],[Calc_V_Typ]],Tran_RevenuesList,3,FALSE),"")</f>
        <v/>
      </c>
      <c r="E653" s="31">
        <f t="shared" si="65"/>
        <v>0</v>
      </c>
      <c r="F653" s="9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  <c r="S653" s="84"/>
      <c r="T653" s="84"/>
      <c r="U653" s="84"/>
      <c r="V653" s="84"/>
      <c r="W653" s="84"/>
      <c r="X653" s="84"/>
      <c r="Y653" s="84"/>
      <c r="Z653" s="84"/>
      <c r="AA653" s="84"/>
      <c r="AB653" s="84"/>
      <c r="AC653" s="85"/>
      <c r="AD653" s="85"/>
      <c r="AE653" s="84"/>
      <c r="AF653" s="84"/>
      <c r="AG653" s="84"/>
      <c r="AH653" s="84"/>
      <c r="AI653" s="84"/>
      <c r="AJ653" s="84"/>
      <c r="AK653" s="84"/>
      <c r="AL653" s="84"/>
      <c r="AM653" s="84"/>
      <c r="AN653" s="84"/>
      <c r="AO653" s="84"/>
      <c r="AP653" s="84"/>
      <c r="AQ653" s="84"/>
      <c r="AR653" s="84"/>
      <c r="AS653" s="87">
        <f t="array" ref="AS653">IF(E653=1,SUM((ROW(Mf0)=ROW(AS653))*(Mf0+Mf1_+Mf2_+Mf3_+Mf4_+Mf5_+Mf6_+Mf7_+Mf8_+Mf9_+Mf10_+Mf11_+Mf12_+Mf13_+Mf14_+Mf15_+Mf16_+Mf17_+Mf18_+Mf19_+Mf20_+Mf21_+Mf22_+Mf23_+Mf24_+Mf25_+Mf26_+Mf27_+Mf28_+Mf29_+Mf30_+Mf31_+Mf32_+Mf33_+Mf34_+Mf35_+Mf36_+Mf37_)),0)</f>
        <v>0</v>
      </c>
      <c r="AU653" s="24" t="str">
        <f t="shared" si="66"/>
        <v/>
      </c>
      <c r="AV653" s="24" t="str">
        <f t="shared" si="67"/>
        <v/>
      </c>
      <c r="AW653" s="24" t="str">
        <f t="shared" si="68"/>
        <v/>
      </c>
      <c r="AX653" s="72">
        <f t="shared" si="69"/>
        <v>0</v>
      </c>
      <c r="AY653" s="24">
        <f t="shared" si="70"/>
        <v>0</v>
      </c>
      <c r="AZ653" s="24">
        <f t="array" ref="AZ653">IF(OR(RIGHT(B653,LEN(Par_LabelTravelTime))=Par_LabelTravelTime,B653="čas na ceste - fakturácia"),1,0)</f>
        <v>0</v>
      </c>
    </row>
    <row r="654" spans="2:52" s="24" customFormat="1" ht="12.75" x14ac:dyDescent="0.2">
      <c r="B654" s="97"/>
      <c r="C654" s="92"/>
      <c r="D654" s="31" t="str">
        <f>IF(E654=1,VLOOKUP(TableInvs[[#This Row],[Calc_V_Typ]],Tran_RevenuesList,3,FALSE),"")</f>
        <v/>
      </c>
      <c r="E654" s="31">
        <f t="shared" si="65"/>
        <v>0</v>
      </c>
      <c r="F654" s="9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  <c r="S654" s="84"/>
      <c r="T654" s="84"/>
      <c r="U654" s="84"/>
      <c r="V654" s="84"/>
      <c r="W654" s="84"/>
      <c r="X654" s="84"/>
      <c r="Y654" s="84"/>
      <c r="Z654" s="84"/>
      <c r="AA654" s="84"/>
      <c r="AB654" s="84"/>
      <c r="AC654" s="85"/>
      <c r="AD654" s="85"/>
      <c r="AE654" s="84"/>
      <c r="AF654" s="84"/>
      <c r="AG654" s="84"/>
      <c r="AH654" s="84"/>
      <c r="AI654" s="84"/>
      <c r="AJ654" s="84"/>
      <c r="AK654" s="84"/>
      <c r="AL654" s="84"/>
      <c r="AM654" s="84"/>
      <c r="AN654" s="84"/>
      <c r="AO654" s="84"/>
      <c r="AP654" s="84"/>
      <c r="AQ654" s="84"/>
      <c r="AR654" s="84"/>
      <c r="AS654" s="87">
        <f t="array" ref="AS654">IF(E654=1,SUM((ROW(Mf0)=ROW(AS654))*(Mf0+Mf1_+Mf2_+Mf3_+Mf4_+Mf5_+Mf6_+Mf7_+Mf8_+Mf9_+Mf10_+Mf11_+Mf12_+Mf13_+Mf14_+Mf15_+Mf16_+Mf17_+Mf18_+Mf19_+Mf20_+Mf21_+Mf22_+Mf23_+Mf24_+Mf25_+Mf26_+Mf27_+Mf28_+Mf29_+Mf30_+Mf31_+Mf32_+Mf33_+Mf34_+Mf35_+Mf36_+Mf37_)),0)</f>
        <v>0</v>
      </c>
      <c r="AU654" s="24" t="str">
        <f t="shared" si="66"/>
        <v/>
      </c>
      <c r="AV654" s="24" t="str">
        <f t="shared" si="67"/>
        <v/>
      </c>
      <c r="AW654" s="24" t="str">
        <f t="shared" si="68"/>
        <v/>
      </c>
      <c r="AX654" s="72">
        <f t="shared" si="69"/>
        <v>0</v>
      </c>
      <c r="AY654" s="24">
        <f t="shared" si="70"/>
        <v>0</v>
      </c>
      <c r="AZ654" s="24">
        <f t="array" ref="AZ654">IF(OR(RIGHT(B654,LEN(Par_LabelTravelTime))=Par_LabelTravelTime,B654="čas na ceste - fakturácia"),1,0)</f>
        <v>0</v>
      </c>
    </row>
    <row r="655" spans="2:52" s="24" customFormat="1" ht="12.75" x14ac:dyDescent="0.2">
      <c r="B655" s="97"/>
      <c r="C655" s="92"/>
      <c r="D655" s="31" t="str">
        <f>IF(E655=1,VLOOKUP(TableInvs[[#This Row],[Calc_V_Typ]],Tran_RevenuesList,3,FALSE),"")</f>
        <v/>
      </c>
      <c r="E655" s="31">
        <f t="shared" si="65"/>
        <v>0</v>
      </c>
      <c r="F655" s="9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  <c r="S655" s="84"/>
      <c r="T655" s="84"/>
      <c r="U655" s="84"/>
      <c r="V655" s="84"/>
      <c r="W655" s="84"/>
      <c r="X655" s="84"/>
      <c r="Y655" s="84"/>
      <c r="Z655" s="84"/>
      <c r="AA655" s="84"/>
      <c r="AB655" s="84"/>
      <c r="AC655" s="85"/>
      <c r="AD655" s="85"/>
      <c r="AE655" s="84"/>
      <c r="AF655" s="84"/>
      <c r="AG655" s="84"/>
      <c r="AH655" s="84"/>
      <c r="AI655" s="84"/>
      <c r="AJ655" s="84"/>
      <c r="AK655" s="84"/>
      <c r="AL655" s="84"/>
      <c r="AM655" s="84"/>
      <c r="AN655" s="84"/>
      <c r="AO655" s="84"/>
      <c r="AP655" s="84"/>
      <c r="AQ655" s="84"/>
      <c r="AR655" s="84"/>
      <c r="AS655" s="87">
        <f t="array" ref="AS655">IF(E655=1,SUM((ROW(Mf0)=ROW(AS655))*(Mf0+Mf1_+Mf2_+Mf3_+Mf4_+Mf5_+Mf6_+Mf7_+Mf8_+Mf9_+Mf10_+Mf11_+Mf12_+Mf13_+Mf14_+Mf15_+Mf16_+Mf17_+Mf18_+Mf19_+Mf20_+Mf21_+Mf22_+Mf23_+Mf24_+Mf25_+Mf26_+Mf27_+Mf28_+Mf29_+Mf30_+Mf31_+Mf32_+Mf33_+Mf34_+Mf35_+Mf36_+Mf37_)),0)</f>
        <v>0</v>
      </c>
      <c r="AU655" s="24" t="str">
        <f t="shared" si="66"/>
        <v/>
      </c>
      <c r="AV655" s="24" t="str">
        <f t="shared" si="67"/>
        <v/>
      </c>
      <c r="AW655" s="24" t="str">
        <f t="shared" si="68"/>
        <v/>
      </c>
      <c r="AX655" s="72">
        <f t="shared" si="69"/>
        <v>0</v>
      </c>
      <c r="AY655" s="24">
        <f t="shared" si="70"/>
        <v>0</v>
      </c>
      <c r="AZ655" s="24">
        <f t="array" ref="AZ655">IF(OR(RIGHT(B655,LEN(Par_LabelTravelTime))=Par_LabelTravelTime,B655="čas na ceste - fakturácia"),1,0)</f>
        <v>0</v>
      </c>
    </row>
    <row r="656" spans="2:52" s="24" customFormat="1" ht="12.75" x14ac:dyDescent="0.2">
      <c r="B656" s="97"/>
      <c r="C656" s="92"/>
      <c r="D656" s="31" t="str">
        <f>IF(E656=1,VLOOKUP(TableInvs[[#This Row],[Calc_V_Typ]],Tran_RevenuesList,3,FALSE),"")</f>
        <v/>
      </c>
      <c r="E656" s="31">
        <f t="shared" si="65"/>
        <v>0</v>
      </c>
      <c r="F656" s="9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  <c r="S656" s="84"/>
      <c r="T656" s="84"/>
      <c r="U656" s="84"/>
      <c r="V656" s="84"/>
      <c r="W656" s="84"/>
      <c r="X656" s="84"/>
      <c r="Y656" s="84"/>
      <c r="Z656" s="84"/>
      <c r="AA656" s="84"/>
      <c r="AB656" s="84"/>
      <c r="AC656" s="85"/>
      <c r="AD656" s="85"/>
      <c r="AE656" s="84"/>
      <c r="AF656" s="84"/>
      <c r="AG656" s="84"/>
      <c r="AH656" s="84"/>
      <c r="AI656" s="84"/>
      <c r="AJ656" s="84"/>
      <c r="AK656" s="84"/>
      <c r="AL656" s="84"/>
      <c r="AM656" s="84"/>
      <c r="AN656" s="84"/>
      <c r="AO656" s="84"/>
      <c r="AP656" s="84"/>
      <c r="AQ656" s="84"/>
      <c r="AR656" s="84"/>
      <c r="AS656" s="87">
        <f t="array" ref="AS656">IF(E656=1,SUM((ROW(Mf0)=ROW(AS656))*(Mf0+Mf1_+Mf2_+Mf3_+Mf4_+Mf5_+Mf6_+Mf7_+Mf8_+Mf9_+Mf10_+Mf11_+Mf12_+Mf13_+Mf14_+Mf15_+Mf16_+Mf17_+Mf18_+Mf19_+Mf20_+Mf21_+Mf22_+Mf23_+Mf24_+Mf25_+Mf26_+Mf27_+Mf28_+Mf29_+Mf30_+Mf31_+Mf32_+Mf33_+Mf34_+Mf35_+Mf36_+Mf37_)),0)</f>
        <v>0</v>
      </c>
      <c r="AU656" s="24" t="str">
        <f t="shared" si="66"/>
        <v/>
      </c>
      <c r="AV656" s="24" t="str">
        <f t="shared" si="67"/>
        <v/>
      </c>
      <c r="AW656" s="24" t="str">
        <f t="shared" si="68"/>
        <v/>
      </c>
      <c r="AX656" s="72">
        <f t="shared" si="69"/>
        <v>0</v>
      </c>
      <c r="AY656" s="24">
        <f t="shared" si="70"/>
        <v>0</v>
      </c>
      <c r="AZ656" s="24">
        <f t="array" ref="AZ656">IF(OR(RIGHT(B656,LEN(Par_LabelTravelTime))=Par_LabelTravelTime,B656="čas na ceste - fakturácia"),1,0)</f>
        <v>0</v>
      </c>
    </row>
    <row r="657" spans="2:52" s="24" customFormat="1" ht="12.75" x14ac:dyDescent="0.2">
      <c r="B657" s="97"/>
      <c r="C657" s="92"/>
      <c r="D657" s="31" t="str">
        <f>IF(E657=1,VLOOKUP(TableInvs[[#This Row],[Calc_V_Typ]],Tran_RevenuesList,3,FALSE),"")</f>
        <v/>
      </c>
      <c r="E657" s="31">
        <f t="shared" si="65"/>
        <v>0</v>
      </c>
      <c r="F657" s="9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  <c r="R657" s="84"/>
      <c r="S657" s="84"/>
      <c r="T657" s="84"/>
      <c r="U657" s="84"/>
      <c r="V657" s="84"/>
      <c r="W657" s="84"/>
      <c r="X657" s="84"/>
      <c r="Y657" s="84"/>
      <c r="Z657" s="84"/>
      <c r="AA657" s="84"/>
      <c r="AB657" s="84"/>
      <c r="AC657" s="85"/>
      <c r="AD657" s="85"/>
      <c r="AE657" s="84"/>
      <c r="AF657" s="84"/>
      <c r="AG657" s="84"/>
      <c r="AH657" s="84"/>
      <c r="AI657" s="84"/>
      <c r="AJ657" s="84"/>
      <c r="AK657" s="84"/>
      <c r="AL657" s="84"/>
      <c r="AM657" s="84"/>
      <c r="AN657" s="84"/>
      <c r="AO657" s="84"/>
      <c r="AP657" s="84"/>
      <c r="AQ657" s="84"/>
      <c r="AR657" s="84"/>
      <c r="AS657" s="87">
        <f t="array" ref="AS657">IF(E657=1,SUM((ROW(Mf0)=ROW(AS657))*(Mf0+Mf1_+Mf2_+Mf3_+Mf4_+Mf5_+Mf6_+Mf7_+Mf8_+Mf9_+Mf10_+Mf11_+Mf12_+Mf13_+Mf14_+Mf15_+Mf16_+Mf17_+Mf18_+Mf19_+Mf20_+Mf21_+Mf22_+Mf23_+Mf24_+Mf25_+Mf26_+Mf27_+Mf28_+Mf29_+Mf30_+Mf31_+Mf32_+Mf33_+Mf34_+Mf35_+Mf36_+Mf37_)),0)</f>
        <v>0</v>
      </c>
      <c r="AU657" s="24" t="str">
        <f t="shared" si="66"/>
        <v/>
      </c>
      <c r="AV657" s="24" t="str">
        <f t="shared" si="67"/>
        <v/>
      </c>
      <c r="AW657" s="24" t="str">
        <f t="shared" si="68"/>
        <v/>
      </c>
      <c r="AX657" s="72">
        <f t="shared" si="69"/>
        <v>0</v>
      </c>
      <c r="AY657" s="24">
        <f t="shared" si="70"/>
        <v>0</v>
      </c>
      <c r="AZ657" s="24">
        <f t="array" ref="AZ657">IF(OR(RIGHT(B657,LEN(Par_LabelTravelTime))=Par_LabelTravelTime,B657="čas na ceste - fakturácia"),1,0)</f>
        <v>0</v>
      </c>
    </row>
    <row r="658" spans="2:52" s="24" customFormat="1" ht="12.75" x14ac:dyDescent="0.2">
      <c r="B658" s="97"/>
      <c r="C658" s="92"/>
      <c r="D658" s="31" t="str">
        <f>IF(E658=1,VLOOKUP(TableInvs[[#This Row],[Calc_V_Typ]],Tran_RevenuesList,3,FALSE),"")</f>
        <v/>
      </c>
      <c r="E658" s="31">
        <f t="shared" si="65"/>
        <v>0</v>
      </c>
      <c r="F658" s="9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  <c r="R658" s="84"/>
      <c r="S658" s="84"/>
      <c r="T658" s="84"/>
      <c r="U658" s="84"/>
      <c r="V658" s="84"/>
      <c r="W658" s="84"/>
      <c r="X658" s="84"/>
      <c r="Y658" s="84"/>
      <c r="Z658" s="84"/>
      <c r="AA658" s="84"/>
      <c r="AB658" s="84"/>
      <c r="AC658" s="85"/>
      <c r="AD658" s="85"/>
      <c r="AE658" s="84"/>
      <c r="AF658" s="84"/>
      <c r="AG658" s="84"/>
      <c r="AH658" s="84"/>
      <c r="AI658" s="84"/>
      <c r="AJ658" s="84"/>
      <c r="AK658" s="84"/>
      <c r="AL658" s="84"/>
      <c r="AM658" s="84"/>
      <c r="AN658" s="84"/>
      <c r="AO658" s="84"/>
      <c r="AP658" s="84"/>
      <c r="AQ658" s="84"/>
      <c r="AR658" s="84"/>
      <c r="AS658" s="87">
        <f t="array" ref="AS658">IF(E658=1,SUM((ROW(Mf0)=ROW(AS658))*(Mf0+Mf1_+Mf2_+Mf3_+Mf4_+Mf5_+Mf6_+Mf7_+Mf8_+Mf9_+Mf10_+Mf11_+Mf12_+Mf13_+Mf14_+Mf15_+Mf16_+Mf17_+Mf18_+Mf19_+Mf20_+Mf21_+Mf22_+Mf23_+Mf24_+Mf25_+Mf26_+Mf27_+Mf28_+Mf29_+Mf30_+Mf31_+Mf32_+Mf33_+Mf34_+Mf35_+Mf36_+Mf37_)),0)</f>
        <v>0</v>
      </c>
      <c r="AU658" s="24" t="str">
        <f t="shared" si="66"/>
        <v/>
      </c>
      <c r="AV658" s="24" t="str">
        <f t="shared" si="67"/>
        <v/>
      </c>
      <c r="AW658" s="24" t="str">
        <f t="shared" si="68"/>
        <v/>
      </c>
      <c r="AX658" s="72">
        <f t="shared" si="69"/>
        <v>0</v>
      </c>
      <c r="AY658" s="24">
        <f t="shared" si="70"/>
        <v>0</v>
      </c>
      <c r="AZ658" s="24">
        <f t="array" ref="AZ658">IF(OR(RIGHT(B658,LEN(Par_LabelTravelTime))=Par_LabelTravelTime,B658="čas na ceste - fakturácia"),1,0)</f>
        <v>0</v>
      </c>
    </row>
    <row r="659" spans="2:52" s="24" customFormat="1" ht="12.75" x14ac:dyDescent="0.2">
      <c r="B659" s="97"/>
      <c r="C659" s="92"/>
      <c r="D659" s="31" t="str">
        <f>IF(E659=1,VLOOKUP(TableInvs[[#This Row],[Calc_V_Typ]],Tran_RevenuesList,3,FALSE),"")</f>
        <v/>
      </c>
      <c r="E659" s="31">
        <f t="shared" si="65"/>
        <v>0</v>
      </c>
      <c r="F659" s="9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  <c r="R659" s="84"/>
      <c r="S659" s="84"/>
      <c r="T659" s="84"/>
      <c r="U659" s="84"/>
      <c r="V659" s="84"/>
      <c r="W659" s="84"/>
      <c r="X659" s="84"/>
      <c r="Y659" s="84"/>
      <c r="Z659" s="84"/>
      <c r="AA659" s="84"/>
      <c r="AB659" s="84"/>
      <c r="AC659" s="85"/>
      <c r="AD659" s="85"/>
      <c r="AE659" s="84"/>
      <c r="AF659" s="84"/>
      <c r="AG659" s="84"/>
      <c r="AH659" s="84"/>
      <c r="AI659" s="84"/>
      <c r="AJ659" s="84"/>
      <c r="AK659" s="84"/>
      <c r="AL659" s="84"/>
      <c r="AM659" s="84"/>
      <c r="AN659" s="84"/>
      <c r="AO659" s="84"/>
      <c r="AP659" s="84"/>
      <c r="AQ659" s="84"/>
      <c r="AR659" s="84"/>
      <c r="AS659" s="87">
        <f t="array" ref="AS659">IF(E659=1,SUM((ROW(Mf0)=ROW(AS659))*(Mf0+Mf1_+Mf2_+Mf3_+Mf4_+Mf5_+Mf6_+Mf7_+Mf8_+Mf9_+Mf10_+Mf11_+Mf12_+Mf13_+Mf14_+Mf15_+Mf16_+Mf17_+Mf18_+Mf19_+Mf20_+Mf21_+Mf22_+Mf23_+Mf24_+Mf25_+Mf26_+Mf27_+Mf28_+Mf29_+Mf30_+Mf31_+Mf32_+Mf33_+Mf34_+Mf35_+Mf36_+Mf37_)),0)</f>
        <v>0</v>
      </c>
      <c r="AU659" s="24" t="str">
        <f t="shared" si="66"/>
        <v/>
      </c>
      <c r="AV659" s="24" t="str">
        <f t="shared" si="67"/>
        <v/>
      </c>
      <c r="AW659" s="24" t="str">
        <f t="shared" si="68"/>
        <v/>
      </c>
      <c r="AX659" s="72">
        <f t="shared" si="69"/>
        <v>0</v>
      </c>
      <c r="AY659" s="24">
        <f t="shared" si="70"/>
        <v>0</v>
      </c>
      <c r="AZ659" s="24">
        <f t="array" ref="AZ659">IF(OR(RIGHT(B659,LEN(Par_LabelTravelTime))=Par_LabelTravelTime,B659="čas na ceste - fakturácia"),1,0)</f>
        <v>0</v>
      </c>
    </row>
    <row r="660" spans="2:52" s="24" customFormat="1" ht="12.75" x14ac:dyDescent="0.2">
      <c r="B660" s="97"/>
      <c r="C660" s="92"/>
      <c r="D660" s="31" t="str">
        <f>IF(E660=1,VLOOKUP(TableInvs[[#This Row],[Calc_V_Typ]],Tran_RevenuesList,3,FALSE),"")</f>
        <v/>
      </c>
      <c r="E660" s="31">
        <f t="shared" si="65"/>
        <v>0</v>
      </c>
      <c r="F660" s="9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  <c r="R660" s="84"/>
      <c r="S660" s="84"/>
      <c r="T660" s="84"/>
      <c r="U660" s="84"/>
      <c r="V660" s="84"/>
      <c r="W660" s="84"/>
      <c r="X660" s="84"/>
      <c r="Y660" s="84"/>
      <c r="Z660" s="84"/>
      <c r="AA660" s="84"/>
      <c r="AB660" s="84"/>
      <c r="AC660" s="85"/>
      <c r="AD660" s="85"/>
      <c r="AE660" s="84"/>
      <c r="AF660" s="84"/>
      <c r="AG660" s="84"/>
      <c r="AH660" s="84"/>
      <c r="AI660" s="84"/>
      <c r="AJ660" s="84"/>
      <c r="AK660" s="84"/>
      <c r="AL660" s="84"/>
      <c r="AM660" s="84"/>
      <c r="AN660" s="84"/>
      <c r="AO660" s="84"/>
      <c r="AP660" s="84"/>
      <c r="AQ660" s="84"/>
      <c r="AR660" s="84"/>
      <c r="AS660" s="87">
        <f t="array" ref="AS660">IF(E660=1,SUM((ROW(Mf0)=ROW(AS660))*(Mf0+Mf1_+Mf2_+Mf3_+Mf4_+Mf5_+Mf6_+Mf7_+Mf8_+Mf9_+Mf10_+Mf11_+Mf12_+Mf13_+Mf14_+Mf15_+Mf16_+Mf17_+Mf18_+Mf19_+Mf20_+Mf21_+Mf22_+Mf23_+Mf24_+Mf25_+Mf26_+Mf27_+Mf28_+Mf29_+Mf30_+Mf31_+Mf32_+Mf33_+Mf34_+Mf35_+Mf36_+Mf37_)),0)</f>
        <v>0</v>
      </c>
      <c r="AU660" s="24" t="str">
        <f t="shared" si="66"/>
        <v/>
      </c>
      <c r="AV660" s="24" t="str">
        <f t="shared" si="67"/>
        <v/>
      </c>
      <c r="AW660" s="24" t="str">
        <f t="shared" si="68"/>
        <v/>
      </c>
      <c r="AX660" s="72">
        <f t="shared" si="69"/>
        <v>0</v>
      </c>
      <c r="AY660" s="24">
        <f t="shared" si="70"/>
        <v>0</v>
      </c>
      <c r="AZ660" s="24">
        <f t="array" ref="AZ660">IF(OR(RIGHT(B660,LEN(Par_LabelTravelTime))=Par_LabelTravelTime,B660="čas na ceste - fakturácia"),1,0)</f>
        <v>0</v>
      </c>
    </row>
    <row r="661" spans="2:52" s="24" customFormat="1" ht="12.75" x14ac:dyDescent="0.2">
      <c r="B661" s="97"/>
      <c r="C661" s="92"/>
      <c r="D661" s="31" t="str">
        <f>IF(E661=1,VLOOKUP(TableInvs[[#This Row],[Calc_V_Typ]],Tran_RevenuesList,3,FALSE),"")</f>
        <v/>
      </c>
      <c r="E661" s="31">
        <f t="shared" si="65"/>
        <v>0</v>
      </c>
      <c r="F661" s="9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  <c r="R661" s="84"/>
      <c r="S661" s="84"/>
      <c r="T661" s="84"/>
      <c r="U661" s="84"/>
      <c r="V661" s="84"/>
      <c r="W661" s="84"/>
      <c r="X661" s="84"/>
      <c r="Y661" s="84"/>
      <c r="Z661" s="84"/>
      <c r="AA661" s="84"/>
      <c r="AB661" s="84"/>
      <c r="AC661" s="85"/>
      <c r="AD661" s="85"/>
      <c r="AE661" s="84"/>
      <c r="AF661" s="84"/>
      <c r="AG661" s="84"/>
      <c r="AH661" s="84"/>
      <c r="AI661" s="84"/>
      <c r="AJ661" s="84"/>
      <c r="AK661" s="84"/>
      <c r="AL661" s="84"/>
      <c r="AM661" s="84"/>
      <c r="AN661" s="84"/>
      <c r="AO661" s="84"/>
      <c r="AP661" s="84"/>
      <c r="AQ661" s="84"/>
      <c r="AR661" s="84"/>
      <c r="AS661" s="87">
        <f t="array" ref="AS661">IF(E661=1,SUM((ROW(Mf0)=ROW(AS661))*(Mf0+Mf1_+Mf2_+Mf3_+Mf4_+Mf5_+Mf6_+Mf7_+Mf8_+Mf9_+Mf10_+Mf11_+Mf12_+Mf13_+Mf14_+Mf15_+Mf16_+Mf17_+Mf18_+Mf19_+Mf20_+Mf21_+Mf22_+Mf23_+Mf24_+Mf25_+Mf26_+Mf27_+Mf28_+Mf29_+Mf30_+Mf31_+Mf32_+Mf33_+Mf34_+Mf35_+Mf36_+Mf37_)),0)</f>
        <v>0</v>
      </c>
      <c r="AU661" s="24" t="str">
        <f t="shared" si="66"/>
        <v/>
      </c>
      <c r="AV661" s="24" t="str">
        <f t="shared" si="67"/>
        <v/>
      </c>
      <c r="AW661" s="24" t="str">
        <f t="shared" si="68"/>
        <v/>
      </c>
      <c r="AX661" s="72">
        <f t="shared" si="69"/>
        <v>0</v>
      </c>
      <c r="AY661" s="24">
        <f t="shared" si="70"/>
        <v>0</v>
      </c>
      <c r="AZ661" s="24">
        <f t="array" ref="AZ661">IF(OR(RIGHT(B661,LEN(Par_LabelTravelTime))=Par_LabelTravelTime,B661="čas na ceste - fakturácia"),1,0)</f>
        <v>0</v>
      </c>
    </row>
    <row r="662" spans="2:52" s="24" customFormat="1" ht="12.75" x14ac:dyDescent="0.2">
      <c r="B662" s="97"/>
      <c r="C662" s="92"/>
      <c r="D662" s="31" t="str">
        <f>IF(E662=1,VLOOKUP(TableInvs[[#This Row],[Calc_V_Typ]],Tran_RevenuesList,3,FALSE),"")</f>
        <v/>
      </c>
      <c r="E662" s="31">
        <f t="shared" si="65"/>
        <v>0</v>
      </c>
      <c r="F662" s="9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  <c r="R662" s="84"/>
      <c r="S662" s="84"/>
      <c r="T662" s="84"/>
      <c r="U662" s="84"/>
      <c r="V662" s="84"/>
      <c r="W662" s="84"/>
      <c r="X662" s="84"/>
      <c r="Y662" s="84"/>
      <c r="Z662" s="84"/>
      <c r="AA662" s="84"/>
      <c r="AB662" s="84"/>
      <c r="AC662" s="85"/>
      <c r="AD662" s="85"/>
      <c r="AE662" s="84"/>
      <c r="AF662" s="84"/>
      <c r="AG662" s="84"/>
      <c r="AH662" s="84"/>
      <c r="AI662" s="84"/>
      <c r="AJ662" s="84"/>
      <c r="AK662" s="84"/>
      <c r="AL662" s="84"/>
      <c r="AM662" s="84"/>
      <c r="AN662" s="84"/>
      <c r="AO662" s="84"/>
      <c r="AP662" s="84"/>
      <c r="AQ662" s="84"/>
      <c r="AR662" s="84"/>
      <c r="AS662" s="87">
        <f t="array" ref="AS662">IF(E662=1,SUM((ROW(Mf0)=ROW(AS662))*(Mf0+Mf1_+Mf2_+Mf3_+Mf4_+Mf5_+Mf6_+Mf7_+Mf8_+Mf9_+Mf10_+Mf11_+Mf12_+Mf13_+Mf14_+Mf15_+Mf16_+Mf17_+Mf18_+Mf19_+Mf20_+Mf21_+Mf22_+Mf23_+Mf24_+Mf25_+Mf26_+Mf27_+Mf28_+Mf29_+Mf30_+Mf31_+Mf32_+Mf33_+Mf34_+Mf35_+Mf36_+Mf37_)),0)</f>
        <v>0</v>
      </c>
      <c r="AU662" s="24" t="str">
        <f t="shared" si="66"/>
        <v/>
      </c>
      <c r="AV662" s="24" t="str">
        <f t="shared" si="67"/>
        <v/>
      </c>
      <c r="AW662" s="24" t="str">
        <f t="shared" si="68"/>
        <v/>
      </c>
      <c r="AX662" s="72">
        <f t="shared" si="69"/>
        <v>0</v>
      </c>
      <c r="AY662" s="24">
        <f t="shared" si="70"/>
        <v>0</v>
      </c>
      <c r="AZ662" s="24">
        <f t="array" ref="AZ662">IF(OR(RIGHT(B662,LEN(Par_LabelTravelTime))=Par_LabelTravelTime,B662="čas na ceste - fakturácia"),1,0)</f>
        <v>0</v>
      </c>
    </row>
    <row r="663" spans="2:52" s="24" customFormat="1" ht="12.75" x14ac:dyDescent="0.2">
      <c r="B663" s="97"/>
      <c r="C663" s="92"/>
      <c r="D663" s="31" t="str">
        <f>IF(E663=1,VLOOKUP(TableInvs[[#This Row],[Calc_V_Typ]],Tran_RevenuesList,3,FALSE),"")</f>
        <v/>
      </c>
      <c r="E663" s="31">
        <f t="shared" si="65"/>
        <v>0</v>
      </c>
      <c r="F663" s="9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  <c r="R663" s="84"/>
      <c r="S663" s="84"/>
      <c r="T663" s="84"/>
      <c r="U663" s="84"/>
      <c r="V663" s="84"/>
      <c r="W663" s="84"/>
      <c r="X663" s="84"/>
      <c r="Y663" s="84"/>
      <c r="Z663" s="84"/>
      <c r="AA663" s="84"/>
      <c r="AB663" s="84"/>
      <c r="AC663" s="85"/>
      <c r="AD663" s="85"/>
      <c r="AE663" s="84"/>
      <c r="AF663" s="84"/>
      <c r="AG663" s="84"/>
      <c r="AH663" s="84"/>
      <c r="AI663" s="84"/>
      <c r="AJ663" s="84"/>
      <c r="AK663" s="84"/>
      <c r="AL663" s="84"/>
      <c r="AM663" s="84"/>
      <c r="AN663" s="84"/>
      <c r="AO663" s="84"/>
      <c r="AP663" s="84"/>
      <c r="AQ663" s="84"/>
      <c r="AR663" s="84"/>
      <c r="AS663" s="87">
        <f t="array" ref="AS663">IF(E663=1,SUM((ROW(Mf0)=ROW(AS663))*(Mf0+Mf1_+Mf2_+Mf3_+Mf4_+Mf5_+Mf6_+Mf7_+Mf8_+Mf9_+Mf10_+Mf11_+Mf12_+Mf13_+Mf14_+Mf15_+Mf16_+Mf17_+Mf18_+Mf19_+Mf20_+Mf21_+Mf22_+Mf23_+Mf24_+Mf25_+Mf26_+Mf27_+Mf28_+Mf29_+Mf30_+Mf31_+Mf32_+Mf33_+Mf34_+Mf35_+Mf36_+Mf37_)),0)</f>
        <v>0</v>
      </c>
      <c r="AU663" s="24" t="str">
        <f t="shared" si="66"/>
        <v/>
      </c>
      <c r="AV663" s="24" t="str">
        <f t="shared" si="67"/>
        <v/>
      </c>
      <c r="AW663" s="24" t="str">
        <f t="shared" si="68"/>
        <v/>
      </c>
      <c r="AX663" s="72">
        <f t="shared" si="69"/>
        <v>0</v>
      </c>
      <c r="AY663" s="24">
        <f t="shared" si="70"/>
        <v>0</v>
      </c>
      <c r="AZ663" s="24">
        <f t="array" ref="AZ663">IF(OR(RIGHT(B663,LEN(Par_LabelTravelTime))=Par_LabelTravelTime,B663="čas na ceste - fakturácia"),1,0)</f>
        <v>0</v>
      </c>
    </row>
    <row r="664" spans="2:52" s="24" customFormat="1" ht="12.75" x14ac:dyDescent="0.2">
      <c r="B664" s="97"/>
      <c r="C664" s="92"/>
      <c r="D664" s="31" t="str">
        <f>IF(E664=1,VLOOKUP(TableInvs[[#This Row],[Calc_V_Typ]],Tran_RevenuesList,3,FALSE),"")</f>
        <v/>
      </c>
      <c r="E664" s="31">
        <f t="shared" si="65"/>
        <v>0</v>
      </c>
      <c r="F664" s="9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  <c r="R664" s="84"/>
      <c r="S664" s="84"/>
      <c r="T664" s="84"/>
      <c r="U664" s="84"/>
      <c r="V664" s="84"/>
      <c r="W664" s="84"/>
      <c r="X664" s="84"/>
      <c r="Y664" s="84"/>
      <c r="Z664" s="84"/>
      <c r="AA664" s="84"/>
      <c r="AB664" s="84"/>
      <c r="AC664" s="85"/>
      <c r="AD664" s="85"/>
      <c r="AE664" s="84"/>
      <c r="AF664" s="84"/>
      <c r="AG664" s="84"/>
      <c r="AH664" s="84"/>
      <c r="AI664" s="84"/>
      <c r="AJ664" s="84"/>
      <c r="AK664" s="84"/>
      <c r="AL664" s="84"/>
      <c r="AM664" s="84"/>
      <c r="AN664" s="84"/>
      <c r="AO664" s="84"/>
      <c r="AP664" s="84"/>
      <c r="AQ664" s="84"/>
      <c r="AR664" s="84"/>
      <c r="AS664" s="87">
        <f t="array" ref="AS664">IF(E664=1,SUM((ROW(Mf0)=ROW(AS664))*(Mf0+Mf1_+Mf2_+Mf3_+Mf4_+Mf5_+Mf6_+Mf7_+Mf8_+Mf9_+Mf10_+Mf11_+Mf12_+Mf13_+Mf14_+Mf15_+Mf16_+Mf17_+Mf18_+Mf19_+Mf20_+Mf21_+Mf22_+Mf23_+Mf24_+Mf25_+Mf26_+Mf27_+Mf28_+Mf29_+Mf30_+Mf31_+Mf32_+Mf33_+Mf34_+Mf35_+Mf36_+Mf37_)),0)</f>
        <v>0</v>
      </c>
      <c r="AU664" s="24" t="str">
        <f t="shared" si="66"/>
        <v/>
      </c>
      <c r="AV664" s="24" t="str">
        <f t="shared" si="67"/>
        <v/>
      </c>
      <c r="AW664" s="24" t="str">
        <f t="shared" si="68"/>
        <v/>
      </c>
      <c r="AX664" s="72">
        <f t="shared" si="69"/>
        <v>0</v>
      </c>
      <c r="AY664" s="24">
        <f t="shared" si="70"/>
        <v>0</v>
      </c>
      <c r="AZ664" s="24">
        <f t="array" ref="AZ664">IF(OR(RIGHT(B664,LEN(Par_LabelTravelTime))=Par_LabelTravelTime,B664="čas na ceste - fakturácia"),1,0)</f>
        <v>0</v>
      </c>
    </row>
    <row r="665" spans="2:52" s="24" customFormat="1" ht="12.75" x14ac:dyDescent="0.2">
      <c r="B665" s="97"/>
      <c r="C665" s="92"/>
      <c r="D665" s="31" t="str">
        <f>IF(E665=1,VLOOKUP(TableInvs[[#This Row],[Calc_V_Typ]],Tran_RevenuesList,3,FALSE),"")</f>
        <v/>
      </c>
      <c r="E665" s="31">
        <f t="shared" si="65"/>
        <v>0</v>
      </c>
      <c r="F665" s="9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  <c r="R665" s="84"/>
      <c r="S665" s="84"/>
      <c r="T665" s="84"/>
      <c r="U665" s="84"/>
      <c r="V665" s="84"/>
      <c r="W665" s="84"/>
      <c r="X665" s="84"/>
      <c r="Y665" s="84"/>
      <c r="Z665" s="84"/>
      <c r="AA665" s="84"/>
      <c r="AB665" s="84"/>
      <c r="AC665" s="85"/>
      <c r="AD665" s="85"/>
      <c r="AE665" s="84"/>
      <c r="AF665" s="84"/>
      <c r="AG665" s="84"/>
      <c r="AH665" s="84"/>
      <c r="AI665" s="84"/>
      <c r="AJ665" s="84"/>
      <c r="AK665" s="84"/>
      <c r="AL665" s="84"/>
      <c r="AM665" s="84"/>
      <c r="AN665" s="84"/>
      <c r="AO665" s="84"/>
      <c r="AP665" s="84"/>
      <c r="AQ665" s="84"/>
      <c r="AR665" s="84"/>
      <c r="AS665" s="87">
        <f t="array" ref="AS665">IF(E665=1,SUM((ROW(Mf0)=ROW(AS665))*(Mf0+Mf1_+Mf2_+Mf3_+Mf4_+Mf5_+Mf6_+Mf7_+Mf8_+Mf9_+Mf10_+Mf11_+Mf12_+Mf13_+Mf14_+Mf15_+Mf16_+Mf17_+Mf18_+Mf19_+Mf20_+Mf21_+Mf22_+Mf23_+Mf24_+Mf25_+Mf26_+Mf27_+Mf28_+Mf29_+Mf30_+Mf31_+Mf32_+Mf33_+Mf34_+Mf35_+Mf36_+Mf37_)),0)</f>
        <v>0</v>
      </c>
      <c r="AU665" s="24" t="str">
        <f t="shared" si="66"/>
        <v/>
      </c>
      <c r="AV665" s="24" t="str">
        <f t="shared" si="67"/>
        <v/>
      </c>
      <c r="AW665" s="24" t="str">
        <f t="shared" si="68"/>
        <v/>
      </c>
      <c r="AX665" s="72">
        <f t="shared" si="69"/>
        <v>0</v>
      </c>
      <c r="AY665" s="24">
        <f t="shared" si="70"/>
        <v>0</v>
      </c>
      <c r="AZ665" s="24">
        <f t="array" ref="AZ665">IF(OR(RIGHT(B665,LEN(Par_LabelTravelTime))=Par_LabelTravelTime,B665="čas na ceste - fakturácia"),1,0)</f>
        <v>0</v>
      </c>
    </row>
    <row r="666" spans="2:52" s="24" customFormat="1" ht="12.75" x14ac:dyDescent="0.2">
      <c r="B666" s="97"/>
      <c r="C666" s="92"/>
      <c r="D666" s="31" t="str">
        <f>IF(E666=1,VLOOKUP(TableInvs[[#This Row],[Calc_V_Typ]],Tran_RevenuesList,3,FALSE),"")</f>
        <v/>
      </c>
      <c r="E666" s="31">
        <f t="shared" si="65"/>
        <v>0</v>
      </c>
      <c r="F666" s="94"/>
      <c r="G666" s="84"/>
      <c r="H666" s="84"/>
      <c r="I666" s="84"/>
      <c r="J666" s="84"/>
      <c r="K666" s="84"/>
      <c r="L666" s="84"/>
      <c r="M666" s="84"/>
      <c r="N666" s="84"/>
      <c r="O666" s="84"/>
      <c r="P666" s="84"/>
      <c r="Q666" s="84"/>
      <c r="R666" s="84"/>
      <c r="S666" s="84"/>
      <c r="T666" s="84"/>
      <c r="U666" s="84"/>
      <c r="V666" s="84"/>
      <c r="W666" s="84"/>
      <c r="X666" s="84"/>
      <c r="Y666" s="84"/>
      <c r="Z666" s="84"/>
      <c r="AA666" s="84"/>
      <c r="AB666" s="84"/>
      <c r="AC666" s="85"/>
      <c r="AD666" s="85"/>
      <c r="AE666" s="84"/>
      <c r="AF666" s="84"/>
      <c r="AG666" s="84"/>
      <c r="AH666" s="84"/>
      <c r="AI666" s="84"/>
      <c r="AJ666" s="84"/>
      <c r="AK666" s="84"/>
      <c r="AL666" s="84"/>
      <c r="AM666" s="84"/>
      <c r="AN666" s="84"/>
      <c r="AO666" s="84"/>
      <c r="AP666" s="84"/>
      <c r="AQ666" s="84"/>
      <c r="AR666" s="84"/>
      <c r="AS666" s="87">
        <f t="array" ref="AS666">IF(E666=1,SUM((ROW(Mf0)=ROW(AS666))*(Mf0+Mf1_+Mf2_+Mf3_+Mf4_+Mf5_+Mf6_+Mf7_+Mf8_+Mf9_+Mf10_+Mf11_+Mf12_+Mf13_+Mf14_+Mf15_+Mf16_+Mf17_+Mf18_+Mf19_+Mf20_+Mf21_+Mf22_+Mf23_+Mf24_+Mf25_+Mf26_+Mf27_+Mf28_+Mf29_+Mf30_+Mf31_+Mf32_+Mf33_+Mf34_+Mf35_+Mf36_+Mf37_)),0)</f>
        <v>0</v>
      </c>
      <c r="AU666" s="24" t="str">
        <f t="shared" si="66"/>
        <v/>
      </c>
      <c r="AV666" s="24" t="str">
        <f t="shared" si="67"/>
        <v/>
      </c>
      <c r="AW666" s="24" t="str">
        <f t="shared" si="68"/>
        <v/>
      </c>
      <c r="AX666" s="72">
        <f t="shared" si="69"/>
        <v>0</v>
      </c>
      <c r="AY666" s="24">
        <f t="shared" si="70"/>
        <v>0</v>
      </c>
      <c r="AZ666" s="24">
        <f t="array" ref="AZ666">IF(OR(RIGHT(B666,LEN(Par_LabelTravelTime))=Par_LabelTravelTime,B666="čas na ceste - fakturácia"),1,0)</f>
        <v>0</v>
      </c>
    </row>
    <row r="667" spans="2:52" s="24" customFormat="1" ht="12.75" x14ac:dyDescent="0.2">
      <c r="B667" s="97"/>
      <c r="C667" s="92"/>
      <c r="D667" s="31" t="str">
        <f>IF(E667=1,VLOOKUP(TableInvs[[#This Row],[Calc_V_Typ]],Tran_RevenuesList,3,FALSE),"")</f>
        <v/>
      </c>
      <c r="E667" s="31">
        <f t="shared" si="65"/>
        <v>0</v>
      </c>
      <c r="F667" s="9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  <c r="R667" s="84"/>
      <c r="S667" s="84"/>
      <c r="T667" s="84"/>
      <c r="U667" s="84"/>
      <c r="V667" s="84"/>
      <c r="W667" s="84"/>
      <c r="X667" s="84"/>
      <c r="Y667" s="84"/>
      <c r="Z667" s="84"/>
      <c r="AA667" s="84"/>
      <c r="AB667" s="84"/>
      <c r="AC667" s="85"/>
      <c r="AD667" s="85"/>
      <c r="AE667" s="84"/>
      <c r="AF667" s="84"/>
      <c r="AG667" s="84"/>
      <c r="AH667" s="84"/>
      <c r="AI667" s="84"/>
      <c r="AJ667" s="84"/>
      <c r="AK667" s="84"/>
      <c r="AL667" s="84"/>
      <c r="AM667" s="84"/>
      <c r="AN667" s="84"/>
      <c r="AO667" s="84"/>
      <c r="AP667" s="84"/>
      <c r="AQ667" s="84"/>
      <c r="AR667" s="84"/>
      <c r="AS667" s="87">
        <f t="array" ref="AS667">IF(E667=1,SUM((ROW(Mf0)=ROW(AS667))*(Mf0+Mf1_+Mf2_+Mf3_+Mf4_+Mf5_+Mf6_+Mf7_+Mf8_+Mf9_+Mf10_+Mf11_+Mf12_+Mf13_+Mf14_+Mf15_+Mf16_+Mf17_+Mf18_+Mf19_+Mf20_+Mf21_+Mf22_+Mf23_+Mf24_+Mf25_+Mf26_+Mf27_+Mf28_+Mf29_+Mf30_+Mf31_+Mf32_+Mf33_+Mf34_+Mf35_+Mf36_+Mf37_)),0)</f>
        <v>0</v>
      </c>
      <c r="AU667" s="24" t="str">
        <f t="shared" si="66"/>
        <v/>
      </c>
      <c r="AV667" s="24" t="str">
        <f t="shared" si="67"/>
        <v/>
      </c>
      <c r="AW667" s="24" t="str">
        <f t="shared" si="68"/>
        <v/>
      </c>
      <c r="AX667" s="72">
        <f t="shared" si="69"/>
        <v>0</v>
      </c>
      <c r="AY667" s="24">
        <f t="shared" si="70"/>
        <v>0</v>
      </c>
      <c r="AZ667" s="24">
        <f t="array" ref="AZ667">IF(OR(RIGHT(B667,LEN(Par_LabelTravelTime))=Par_LabelTravelTime,B667="čas na ceste - fakturácia"),1,0)</f>
        <v>0</v>
      </c>
    </row>
    <row r="668" spans="2:52" s="24" customFormat="1" ht="12.75" x14ac:dyDescent="0.2">
      <c r="B668" s="97"/>
      <c r="C668" s="92"/>
      <c r="D668" s="31" t="str">
        <f>IF(E668=1,VLOOKUP(TableInvs[[#This Row],[Calc_V_Typ]],Tran_RevenuesList,3,FALSE),"")</f>
        <v/>
      </c>
      <c r="E668" s="31">
        <f t="shared" si="65"/>
        <v>0</v>
      </c>
      <c r="F668" s="9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  <c r="R668" s="84"/>
      <c r="S668" s="84"/>
      <c r="T668" s="84"/>
      <c r="U668" s="84"/>
      <c r="V668" s="84"/>
      <c r="W668" s="84"/>
      <c r="X668" s="84"/>
      <c r="Y668" s="84"/>
      <c r="Z668" s="84"/>
      <c r="AA668" s="84"/>
      <c r="AB668" s="84"/>
      <c r="AC668" s="85"/>
      <c r="AD668" s="85"/>
      <c r="AE668" s="84"/>
      <c r="AF668" s="84"/>
      <c r="AG668" s="84"/>
      <c r="AH668" s="84"/>
      <c r="AI668" s="84"/>
      <c r="AJ668" s="84"/>
      <c r="AK668" s="84"/>
      <c r="AL668" s="84"/>
      <c r="AM668" s="84"/>
      <c r="AN668" s="84"/>
      <c r="AO668" s="84"/>
      <c r="AP668" s="84"/>
      <c r="AQ668" s="84"/>
      <c r="AR668" s="84"/>
      <c r="AS668" s="87">
        <f t="array" ref="AS668">IF(E668=1,SUM((ROW(Mf0)=ROW(AS668))*(Mf0+Mf1_+Mf2_+Mf3_+Mf4_+Mf5_+Mf6_+Mf7_+Mf8_+Mf9_+Mf10_+Mf11_+Mf12_+Mf13_+Mf14_+Mf15_+Mf16_+Mf17_+Mf18_+Mf19_+Mf20_+Mf21_+Mf22_+Mf23_+Mf24_+Mf25_+Mf26_+Mf27_+Mf28_+Mf29_+Mf30_+Mf31_+Mf32_+Mf33_+Mf34_+Mf35_+Mf36_+Mf37_)),0)</f>
        <v>0</v>
      </c>
      <c r="AU668" s="24" t="str">
        <f t="shared" si="66"/>
        <v/>
      </c>
      <c r="AV668" s="24" t="str">
        <f t="shared" si="67"/>
        <v/>
      </c>
      <c r="AW668" s="24" t="str">
        <f t="shared" si="68"/>
        <v/>
      </c>
      <c r="AX668" s="72">
        <f t="shared" si="69"/>
        <v>0</v>
      </c>
      <c r="AY668" s="24">
        <f t="shared" si="70"/>
        <v>0</v>
      </c>
      <c r="AZ668" s="24">
        <f t="array" ref="AZ668">IF(OR(RIGHT(B668,LEN(Par_LabelTravelTime))=Par_LabelTravelTime,B668="čas na ceste - fakturácia"),1,0)</f>
        <v>0</v>
      </c>
    </row>
    <row r="669" spans="2:52" s="24" customFormat="1" ht="12.75" x14ac:dyDescent="0.2">
      <c r="B669" s="97"/>
      <c r="C669" s="92"/>
      <c r="D669" s="31" t="str">
        <f>IF(E669=1,VLOOKUP(TableInvs[[#This Row],[Calc_V_Typ]],Tran_RevenuesList,3,FALSE),"")</f>
        <v/>
      </c>
      <c r="E669" s="31">
        <f t="shared" si="65"/>
        <v>0</v>
      </c>
      <c r="F669" s="9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  <c r="R669" s="84"/>
      <c r="S669" s="84"/>
      <c r="T669" s="84"/>
      <c r="U669" s="84"/>
      <c r="V669" s="84"/>
      <c r="W669" s="84"/>
      <c r="X669" s="84"/>
      <c r="Y669" s="84"/>
      <c r="Z669" s="84"/>
      <c r="AA669" s="84"/>
      <c r="AB669" s="84"/>
      <c r="AC669" s="85"/>
      <c r="AD669" s="85"/>
      <c r="AE669" s="84"/>
      <c r="AF669" s="84"/>
      <c r="AG669" s="84"/>
      <c r="AH669" s="84"/>
      <c r="AI669" s="84"/>
      <c r="AJ669" s="84"/>
      <c r="AK669" s="84"/>
      <c r="AL669" s="84"/>
      <c r="AM669" s="84"/>
      <c r="AN669" s="84"/>
      <c r="AO669" s="84"/>
      <c r="AP669" s="84"/>
      <c r="AQ669" s="84"/>
      <c r="AR669" s="84"/>
      <c r="AS669" s="87">
        <f t="array" ref="AS669">IF(E669=1,SUM((ROW(Mf0)=ROW(AS669))*(Mf0+Mf1_+Mf2_+Mf3_+Mf4_+Mf5_+Mf6_+Mf7_+Mf8_+Mf9_+Mf10_+Mf11_+Mf12_+Mf13_+Mf14_+Mf15_+Mf16_+Mf17_+Mf18_+Mf19_+Mf20_+Mf21_+Mf22_+Mf23_+Mf24_+Mf25_+Mf26_+Mf27_+Mf28_+Mf29_+Mf30_+Mf31_+Mf32_+Mf33_+Mf34_+Mf35_+Mf36_+Mf37_)),0)</f>
        <v>0</v>
      </c>
      <c r="AU669" s="24" t="str">
        <f t="shared" si="66"/>
        <v/>
      </c>
      <c r="AV669" s="24" t="str">
        <f t="shared" si="67"/>
        <v/>
      </c>
      <c r="AW669" s="24" t="str">
        <f t="shared" si="68"/>
        <v/>
      </c>
      <c r="AX669" s="72">
        <f t="shared" si="69"/>
        <v>0</v>
      </c>
      <c r="AY669" s="24">
        <f t="shared" si="70"/>
        <v>0</v>
      </c>
      <c r="AZ669" s="24">
        <f t="array" ref="AZ669">IF(OR(RIGHT(B669,LEN(Par_LabelTravelTime))=Par_LabelTravelTime,B669="čas na ceste - fakturácia"),1,0)</f>
        <v>0</v>
      </c>
    </row>
    <row r="670" spans="2:52" s="24" customFormat="1" ht="12.75" x14ac:dyDescent="0.2">
      <c r="B670" s="97"/>
      <c r="C670" s="92"/>
      <c r="D670" s="31" t="str">
        <f>IF(E670=1,VLOOKUP(TableInvs[[#This Row],[Calc_V_Typ]],Tran_RevenuesList,3,FALSE),"")</f>
        <v/>
      </c>
      <c r="E670" s="31">
        <f t="shared" si="65"/>
        <v>0</v>
      </c>
      <c r="F670" s="94"/>
      <c r="G670" s="84"/>
      <c r="H670" s="84"/>
      <c r="I670" s="84"/>
      <c r="J670" s="84"/>
      <c r="K670" s="84"/>
      <c r="L670" s="84"/>
      <c r="M670" s="84"/>
      <c r="N670" s="84"/>
      <c r="O670" s="84"/>
      <c r="P670" s="84"/>
      <c r="Q670" s="84"/>
      <c r="R670" s="84"/>
      <c r="S670" s="84"/>
      <c r="T670" s="84"/>
      <c r="U670" s="84"/>
      <c r="V670" s="84"/>
      <c r="W670" s="84"/>
      <c r="X670" s="84"/>
      <c r="Y670" s="84"/>
      <c r="Z670" s="84"/>
      <c r="AA670" s="84"/>
      <c r="AB670" s="84"/>
      <c r="AC670" s="85"/>
      <c r="AD670" s="85"/>
      <c r="AE670" s="84"/>
      <c r="AF670" s="84"/>
      <c r="AG670" s="84"/>
      <c r="AH670" s="84"/>
      <c r="AI670" s="84"/>
      <c r="AJ670" s="84"/>
      <c r="AK670" s="84"/>
      <c r="AL670" s="84"/>
      <c r="AM670" s="84"/>
      <c r="AN670" s="84"/>
      <c r="AO670" s="84"/>
      <c r="AP670" s="84"/>
      <c r="AQ670" s="84"/>
      <c r="AR670" s="84"/>
      <c r="AS670" s="87">
        <f t="array" ref="AS670">IF(E670=1,SUM((ROW(Mf0)=ROW(AS670))*(Mf0+Mf1_+Mf2_+Mf3_+Mf4_+Mf5_+Mf6_+Mf7_+Mf8_+Mf9_+Mf10_+Mf11_+Mf12_+Mf13_+Mf14_+Mf15_+Mf16_+Mf17_+Mf18_+Mf19_+Mf20_+Mf21_+Mf22_+Mf23_+Mf24_+Mf25_+Mf26_+Mf27_+Mf28_+Mf29_+Mf30_+Mf31_+Mf32_+Mf33_+Mf34_+Mf35_+Mf36_+Mf37_)),0)</f>
        <v>0</v>
      </c>
      <c r="AU670" s="24" t="str">
        <f t="shared" si="66"/>
        <v/>
      </c>
      <c r="AV670" s="24" t="str">
        <f t="shared" si="67"/>
        <v/>
      </c>
      <c r="AW670" s="24" t="str">
        <f t="shared" si="68"/>
        <v/>
      </c>
      <c r="AX670" s="72">
        <f t="shared" si="69"/>
        <v>0</v>
      </c>
      <c r="AY670" s="24">
        <f t="shared" si="70"/>
        <v>0</v>
      </c>
      <c r="AZ670" s="24">
        <f t="array" ref="AZ670">IF(OR(RIGHT(B670,LEN(Par_LabelTravelTime))=Par_LabelTravelTime,B670="čas na ceste - fakturácia"),1,0)</f>
        <v>0</v>
      </c>
    </row>
    <row r="671" spans="2:52" s="24" customFormat="1" ht="12.75" x14ac:dyDescent="0.2">
      <c r="B671" s="97"/>
      <c r="C671" s="92"/>
      <c r="D671" s="31" t="str">
        <f>IF(E671=1,VLOOKUP(TableInvs[[#This Row],[Calc_V_Typ]],Tran_RevenuesList,3,FALSE),"")</f>
        <v/>
      </c>
      <c r="E671" s="31">
        <f t="shared" si="65"/>
        <v>0</v>
      </c>
      <c r="F671" s="94"/>
      <c r="G671" s="84"/>
      <c r="H671" s="84"/>
      <c r="I671" s="84"/>
      <c r="J671" s="84"/>
      <c r="K671" s="84"/>
      <c r="L671" s="84"/>
      <c r="M671" s="84"/>
      <c r="N671" s="84"/>
      <c r="O671" s="84"/>
      <c r="P671" s="84"/>
      <c r="Q671" s="84"/>
      <c r="R671" s="84"/>
      <c r="S671" s="84"/>
      <c r="T671" s="84"/>
      <c r="U671" s="84"/>
      <c r="V671" s="84"/>
      <c r="W671" s="84"/>
      <c r="X671" s="84"/>
      <c r="Y671" s="84"/>
      <c r="Z671" s="84"/>
      <c r="AA671" s="84"/>
      <c r="AB671" s="84"/>
      <c r="AC671" s="85"/>
      <c r="AD671" s="85"/>
      <c r="AE671" s="84"/>
      <c r="AF671" s="84"/>
      <c r="AG671" s="84"/>
      <c r="AH671" s="84"/>
      <c r="AI671" s="84"/>
      <c r="AJ671" s="84"/>
      <c r="AK671" s="84"/>
      <c r="AL671" s="84"/>
      <c r="AM671" s="84"/>
      <c r="AN671" s="84"/>
      <c r="AO671" s="84"/>
      <c r="AP671" s="84"/>
      <c r="AQ671" s="84"/>
      <c r="AR671" s="84"/>
      <c r="AS671" s="87">
        <f t="array" ref="AS671">IF(E671=1,SUM((ROW(Mf0)=ROW(AS671))*(Mf0+Mf1_+Mf2_+Mf3_+Mf4_+Mf5_+Mf6_+Mf7_+Mf8_+Mf9_+Mf10_+Mf11_+Mf12_+Mf13_+Mf14_+Mf15_+Mf16_+Mf17_+Mf18_+Mf19_+Mf20_+Mf21_+Mf22_+Mf23_+Mf24_+Mf25_+Mf26_+Mf27_+Mf28_+Mf29_+Mf30_+Mf31_+Mf32_+Mf33_+Mf34_+Mf35_+Mf36_+Mf37_)),0)</f>
        <v>0</v>
      </c>
      <c r="AU671" s="24" t="str">
        <f t="shared" si="66"/>
        <v/>
      </c>
      <c r="AV671" s="24" t="str">
        <f t="shared" si="67"/>
        <v/>
      </c>
      <c r="AW671" s="24" t="str">
        <f t="shared" si="68"/>
        <v/>
      </c>
      <c r="AX671" s="72">
        <f t="shared" si="69"/>
        <v>0</v>
      </c>
      <c r="AY671" s="24">
        <f t="shared" si="70"/>
        <v>0</v>
      </c>
      <c r="AZ671" s="24">
        <f t="array" ref="AZ671">IF(OR(RIGHT(B671,LEN(Par_LabelTravelTime))=Par_LabelTravelTime,B671="čas na ceste - fakturácia"),1,0)</f>
        <v>0</v>
      </c>
    </row>
    <row r="672" spans="2:52" s="24" customFormat="1" ht="12.75" x14ac:dyDescent="0.2">
      <c r="B672" s="97"/>
      <c r="C672" s="92"/>
      <c r="D672" s="31" t="str">
        <f>IF(E672=1,VLOOKUP(TableInvs[[#This Row],[Calc_V_Typ]],Tran_RevenuesList,3,FALSE),"")</f>
        <v/>
      </c>
      <c r="E672" s="31">
        <f t="shared" si="65"/>
        <v>0</v>
      </c>
      <c r="F672" s="94"/>
      <c r="G672" s="84"/>
      <c r="H672" s="84"/>
      <c r="I672" s="84"/>
      <c r="J672" s="84"/>
      <c r="K672" s="84"/>
      <c r="L672" s="84"/>
      <c r="M672" s="84"/>
      <c r="N672" s="84"/>
      <c r="O672" s="84"/>
      <c r="P672" s="84"/>
      <c r="Q672" s="84"/>
      <c r="R672" s="84"/>
      <c r="S672" s="84"/>
      <c r="T672" s="84"/>
      <c r="U672" s="84"/>
      <c r="V672" s="84"/>
      <c r="W672" s="84"/>
      <c r="X672" s="84"/>
      <c r="Y672" s="84"/>
      <c r="Z672" s="84"/>
      <c r="AA672" s="84"/>
      <c r="AB672" s="84"/>
      <c r="AC672" s="85"/>
      <c r="AD672" s="85"/>
      <c r="AE672" s="84"/>
      <c r="AF672" s="84"/>
      <c r="AG672" s="84"/>
      <c r="AH672" s="84"/>
      <c r="AI672" s="84"/>
      <c r="AJ672" s="84"/>
      <c r="AK672" s="84"/>
      <c r="AL672" s="84"/>
      <c r="AM672" s="84"/>
      <c r="AN672" s="84"/>
      <c r="AO672" s="84"/>
      <c r="AP672" s="84"/>
      <c r="AQ672" s="84"/>
      <c r="AR672" s="84"/>
      <c r="AS672" s="87">
        <f t="array" ref="AS672">IF(E672=1,SUM((ROW(Mf0)=ROW(AS672))*(Mf0+Mf1_+Mf2_+Mf3_+Mf4_+Mf5_+Mf6_+Mf7_+Mf8_+Mf9_+Mf10_+Mf11_+Mf12_+Mf13_+Mf14_+Mf15_+Mf16_+Mf17_+Mf18_+Mf19_+Mf20_+Mf21_+Mf22_+Mf23_+Mf24_+Mf25_+Mf26_+Mf27_+Mf28_+Mf29_+Mf30_+Mf31_+Mf32_+Mf33_+Mf34_+Mf35_+Mf36_+Mf37_)),0)</f>
        <v>0</v>
      </c>
      <c r="AU672" s="24" t="str">
        <f t="shared" si="66"/>
        <v/>
      </c>
      <c r="AV672" s="24" t="str">
        <f t="shared" si="67"/>
        <v/>
      </c>
      <c r="AW672" s="24" t="str">
        <f t="shared" si="68"/>
        <v/>
      </c>
      <c r="AX672" s="72">
        <f t="shared" si="69"/>
        <v>0</v>
      </c>
      <c r="AY672" s="24">
        <f t="shared" si="70"/>
        <v>0</v>
      </c>
      <c r="AZ672" s="24">
        <f t="array" ref="AZ672">IF(OR(RIGHT(B672,LEN(Par_LabelTravelTime))=Par_LabelTravelTime,B672="čas na ceste - fakturácia"),1,0)</f>
        <v>0</v>
      </c>
    </row>
    <row r="673" spans="2:52" s="24" customFormat="1" ht="12.75" x14ac:dyDescent="0.2">
      <c r="B673" s="97"/>
      <c r="C673" s="92"/>
      <c r="D673" s="31" t="str">
        <f>IF(E673=1,VLOOKUP(TableInvs[[#This Row],[Calc_V_Typ]],Tran_RevenuesList,3,FALSE),"")</f>
        <v/>
      </c>
      <c r="E673" s="31">
        <f t="shared" si="65"/>
        <v>0</v>
      </c>
      <c r="F673" s="94"/>
      <c r="G673" s="84"/>
      <c r="H673" s="84"/>
      <c r="I673" s="84"/>
      <c r="J673" s="84"/>
      <c r="K673" s="84"/>
      <c r="L673" s="84"/>
      <c r="M673" s="84"/>
      <c r="N673" s="84"/>
      <c r="O673" s="84"/>
      <c r="P673" s="84"/>
      <c r="Q673" s="84"/>
      <c r="R673" s="84"/>
      <c r="S673" s="84"/>
      <c r="T673" s="84"/>
      <c r="U673" s="84"/>
      <c r="V673" s="84"/>
      <c r="W673" s="84"/>
      <c r="X673" s="84"/>
      <c r="Y673" s="84"/>
      <c r="Z673" s="84"/>
      <c r="AA673" s="84"/>
      <c r="AB673" s="84"/>
      <c r="AC673" s="85"/>
      <c r="AD673" s="85"/>
      <c r="AE673" s="84"/>
      <c r="AF673" s="84"/>
      <c r="AG673" s="84"/>
      <c r="AH673" s="84"/>
      <c r="AI673" s="84"/>
      <c r="AJ673" s="84"/>
      <c r="AK673" s="84"/>
      <c r="AL673" s="84"/>
      <c r="AM673" s="84"/>
      <c r="AN673" s="84"/>
      <c r="AO673" s="84"/>
      <c r="AP673" s="84"/>
      <c r="AQ673" s="84"/>
      <c r="AR673" s="84"/>
      <c r="AS673" s="87">
        <f t="array" ref="AS673">IF(E673=1,SUM((ROW(Mf0)=ROW(AS673))*(Mf0+Mf1_+Mf2_+Mf3_+Mf4_+Mf5_+Mf6_+Mf7_+Mf8_+Mf9_+Mf10_+Mf11_+Mf12_+Mf13_+Mf14_+Mf15_+Mf16_+Mf17_+Mf18_+Mf19_+Mf20_+Mf21_+Mf22_+Mf23_+Mf24_+Mf25_+Mf26_+Mf27_+Mf28_+Mf29_+Mf30_+Mf31_+Mf32_+Mf33_+Mf34_+Mf35_+Mf36_+Mf37_)),0)</f>
        <v>0</v>
      </c>
      <c r="AU673" s="24" t="str">
        <f t="shared" si="66"/>
        <v/>
      </c>
      <c r="AV673" s="24" t="str">
        <f t="shared" si="67"/>
        <v/>
      </c>
      <c r="AW673" s="24" t="str">
        <f t="shared" si="68"/>
        <v/>
      </c>
      <c r="AX673" s="72">
        <f t="shared" si="69"/>
        <v>0</v>
      </c>
      <c r="AY673" s="24">
        <f t="shared" si="70"/>
        <v>0</v>
      </c>
      <c r="AZ673" s="24">
        <f t="array" ref="AZ673">IF(OR(RIGHT(B673,LEN(Par_LabelTravelTime))=Par_LabelTravelTime,B673="čas na ceste - fakturácia"),1,0)</f>
        <v>0</v>
      </c>
    </row>
    <row r="674" spans="2:52" s="24" customFormat="1" ht="12.75" x14ac:dyDescent="0.2">
      <c r="B674" s="97"/>
      <c r="C674" s="92"/>
      <c r="D674" s="31" t="str">
        <f>IF(E674=1,VLOOKUP(TableInvs[[#This Row],[Calc_V_Typ]],Tran_RevenuesList,3,FALSE),"")</f>
        <v/>
      </c>
      <c r="E674" s="31">
        <f t="shared" si="65"/>
        <v>0</v>
      </c>
      <c r="F674" s="94"/>
      <c r="G674" s="84"/>
      <c r="H674" s="84"/>
      <c r="I674" s="84"/>
      <c r="J674" s="84"/>
      <c r="K674" s="84"/>
      <c r="L674" s="84"/>
      <c r="M674" s="84"/>
      <c r="N674" s="84"/>
      <c r="O674" s="84"/>
      <c r="P674" s="84"/>
      <c r="Q674" s="84"/>
      <c r="R674" s="84"/>
      <c r="S674" s="84"/>
      <c r="T674" s="84"/>
      <c r="U674" s="84"/>
      <c r="V674" s="84"/>
      <c r="W674" s="84"/>
      <c r="X674" s="84"/>
      <c r="Y674" s="84"/>
      <c r="Z674" s="84"/>
      <c r="AA674" s="84"/>
      <c r="AB674" s="84"/>
      <c r="AC674" s="85"/>
      <c r="AD674" s="85"/>
      <c r="AE674" s="84"/>
      <c r="AF674" s="84"/>
      <c r="AG674" s="84"/>
      <c r="AH674" s="84"/>
      <c r="AI674" s="84"/>
      <c r="AJ674" s="84"/>
      <c r="AK674" s="84"/>
      <c r="AL674" s="84"/>
      <c r="AM674" s="84"/>
      <c r="AN674" s="84"/>
      <c r="AO674" s="84"/>
      <c r="AP674" s="84"/>
      <c r="AQ674" s="84"/>
      <c r="AR674" s="84"/>
      <c r="AS674" s="87">
        <f t="array" ref="AS674">IF(E674=1,SUM((ROW(Mf0)=ROW(AS674))*(Mf0+Mf1_+Mf2_+Mf3_+Mf4_+Mf5_+Mf6_+Mf7_+Mf8_+Mf9_+Mf10_+Mf11_+Mf12_+Mf13_+Mf14_+Mf15_+Mf16_+Mf17_+Mf18_+Mf19_+Mf20_+Mf21_+Mf22_+Mf23_+Mf24_+Mf25_+Mf26_+Mf27_+Mf28_+Mf29_+Mf30_+Mf31_+Mf32_+Mf33_+Mf34_+Mf35_+Mf36_+Mf37_)),0)</f>
        <v>0</v>
      </c>
      <c r="AU674" s="24" t="str">
        <f t="shared" si="66"/>
        <v/>
      </c>
      <c r="AV674" s="24" t="str">
        <f t="shared" si="67"/>
        <v/>
      </c>
      <c r="AW674" s="24" t="str">
        <f t="shared" si="68"/>
        <v/>
      </c>
      <c r="AX674" s="72">
        <f t="shared" si="69"/>
        <v>0</v>
      </c>
      <c r="AY674" s="24">
        <f t="shared" si="70"/>
        <v>0</v>
      </c>
      <c r="AZ674" s="24">
        <f t="array" ref="AZ674">IF(OR(RIGHT(B674,LEN(Par_LabelTravelTime))=Par_LabelTravelTime,B674="čas na ceste - fakturácia"),1,0)</f>
        <v>0</v>
      </c>
    </row>
    <row r="675" spans="2:52" s="24" customFormat="1" ht="12.75" x14ac:dyDescent="0.2">
      <c r="B675" s="97"/>
      <c r="C675" s="92"/>
      <c r="D675" s="31" t="str">
        <f>IF(E675=1,VLOOKUP(TableInvs[[#This Row],[Calc_V_Typ]],Tran_RevenuesList,3,FALSE),"")</f>
        <v/>
      </c>
      <c r="E675" s="31">
        <f t="shared" si="65"/>
        <v>0</v>
      </c>
      <c r="F675" s="94"/>
      <c r="G675" s="84"/>
      <c r="H675" s="84"/>
      <c r="I675" s="84"/>
      <c r="J675" s="84"/>
      <c r="K675" s="84"/>
      <c r="L675" s="84"/>
      <c r="M675" s="84"/>
      <c r="N675" s="84"/>
      <c r="O675" s="84"/>
      <c r="P675" s="84"/>
      <c r="Q675" s="84"/>
      <c r="R675" s="84"/>
      <c r="S675" s="84"/>
      <c r="T675" s="84"/>
      <c r="U675" s="84"/>
      <c r="V675" s="84"/>
      <c r="W675" s="84"/>
      <c r="X675" s="84"/>
      <c r="Y675" s="84"/>
      <c r="Z675" s="84"/>
      <c r="AA675" s="84"/>
      <c r="AB675" s="84"/>
      <c r="AC675" s="85"/>
      <c r="AD675" s="85"/>
      <c r="AE675" s="84"/>
      <c r="AF675" s="84"/>
      <c r="AG675" s="84"/>
      <c r="AH675" s="84"/>
      <c r="AI675" s="84"/>
      <c r="AJ675" s="84"/>
      <c r="AK675" s="84"/>
      <c r="AL675" s="84"/>
      <c r="AM675" s="84"/>
      <c r="AN675" s="84"/>
      <c r="AO675" s="84"/>
      <c r="AP675" s="84"/>
      <c r="AQ675" s="84"/>
      <c r="AR675" s="84"/>
      <c r="AS675" s="87">
        <f t="array" ref="AS675">IF(E675=1,SUM((ROW(Mf0)=ROW(AS675))*(Mf0+Mf1_+Mf2_+Mf3_+Mf4_+Mf5_+Mf6_+Mf7_+Mf8_+Mf9_+Mf10_+Mf11_+Mf12_+Mf13_+Mf14_+Mf15_+Mf16_+Mf17_+Mf18_+Mf19_+Mf20_+Mf21_+Mf22_+Mf23_+Mf24_+Mf25_+Mf26_+Mf27_+Mf28_+Mf29_+Mf30_+Mf31_+Mf32_+Mf33_+Mf34_+Mf35_+Mf36_+Mf37_)),0)</f>
        <v>0</v>
      </c>
      <c r="AU675" s="24" t="str">
        <f t="shared" si="66"/>
        <v/>
      </c>
      <c r="AV675" s="24" t="str">
        <f t="shared" si="67"/>
        <v/>
      </c>
      <c r="AW675" s="24" t="str">
        <f t="shared" si="68"/>
        <v/>
      </c>
      <c r="AX675" s="72">
        <f t="shared" si="69"/>
        <v>0</v>
      </c>
      <c r="AY675" s="24">
        <f t="shared" si="70"/>
        <v>0</v>
      </c>
      <c r="AZ675" s="24">
        <f t="array" ref="AZ675">IF(OR(RIGHT(B675,LEN(Par_LabelTravelTime))=Par_LabelTravelTime,B675="čas na ceste - fakturácia"),1,0)</f>
        <v>0</v>
      </c>
    </row>
    <row r="676" spans="2:52" s="24" customFormat="1" ht="12.75" x14ac:dyDescent="0.2">
      <c r="B676" s="97"/>
      <c r="C676" s="92"/>
      <c r="D676" s="31" t="str">
        <f>IF(E676=1,VLOOKUP(TableInvs[[#This Row],[Calc_V_Typ]],Tran_RevenuesList,3,FALSE),"")</f>
        <v/>
      </c>
      <c r="E676" s="31">
        <f t="shared" si="65"/>
        <v>0</v>
      </c>
      <c r="F676" s="94"/>
      <c r="G676" s="84"/>
      <c r="H676" s="84"/>
      <c r="I676" s="84"/>
      <c r="J676" s="84"/>
      <c r="K676" s="84"/>
      <c r="L676" s="84"/>
      <c r="M676" s="84"/>
      <c r="N676" s="84"/>
      <c r="O676" s="84"/>
      <c r="P676" s="84"/>
      <c r="Q676" s="84"/>
      <c r="R676" s="84"/>
      <c r="S676" s="84"/>
      <c r="T676" s="84"/>
      <c r="U676" s="84"/>
      <c r="V676" s="84"/>
      <c r="W676" s="84"/>
      <c r="X676" s="84"/>
      <c r="Y676" s="84"/>
      <c r="Z676" s="84"/>
      <c r="AA676" s="84"/>
      <c r="AB676" s="84"/>
      <c r="AC676" s="85"/>
      <c r="AD676" s="85"/>
      <c r="AE676" s="84"/>
      <c r="AF676" s="84"/>
      <c r="AG676" s="84"/>
      <c r="AH676" s="84"/>
      <c r="AI676" s="84"/>
      <c r="AJ676" s="84"/>
      <c r="AK676" s="84"/>
      <c r="AL676" s="84"/>
      <c r="AM676" s="84"/>
      <c r="AN676" s="84"/>
      <c r="AO676" s="84"/>
      <c r="AP676" s="84"/>
      <c r="AQ676" s="84"/>
      <c r="AR676" s="84"/>
      <c r="AS676" s="87">
        <f t="array" ref="AS676">IF(E676=1,SUM((ROW(Mf0)=ROW(AS676))*(Mf0+Mf1_+Mf2_+Mf3_+Mf4_+Mf5_+Mf6_+Mf7_+Mf8_+Mf9_+Mf10_+Mf11_+Mf12_+Mf13_+Mf14_+Mf15_+Mf16_+Mf17_+Mf18_+Mf19_+Mf20_+Mf21_+Mf22_+Mf23_+Mf24_+Mf25_+Mf26_+Mf27_+Mf28_+Mf29_+Mf30_+Mf31_+Mf32_+Mf33_+Mf34_+Mf35_+Mf36_+Mf37_)),0)</f>
        <v>0</v>
      </c>
      <c r="AU676" s="24" t="str">
        <f t="shared" si="66"/>
        <v/>
      </c>
      <c r="AV676" s="24" t="str">
        <f t="shared" si="67"/>
        <v/>
      </c>
      <c r="AW676" s="24" t="str">
        <f t="shared" si="68"/>
        <v/>
      </c>
      <c r="AX676" s="72">
        <f t="shared" si="69"/>
        <v>0</v>
      </c>
      <c r="AY676" s="24">
        <f t="shared" si="70"/>
        <v>0</v>
      </c>
      <c r="AZ676" s="24">
        <f t="array" ref="AZ676">IF(OR(RIGHT(B676,LEN(Par_LabelTravelTime))=Par_LabelTravelTime,B676="čas na ceste - fakturácia"),1,0)</f>
        <v>0</v>
      </c>
    </row>
    <row r="677" spans="2:52" s="24" customFormat="1" ht="12.75" x14ac:dyDescent="0.2">
      <c r="B677" s="97"/>
      <c r="C677" s="92"/>
      <c r="D677" s="31" t="str">
        <f>IF(E677=1,VLOOKUP(TableInvs[[#This Row],[Calc_V_Typ]],Tran_RevenuesList,3,FALSE),"")</f>
        <v/>
      </c>
      <c r="E677" s="31">
        <f t="shared" si="65"/>
        <v>0</v>
      </c>
      <c r="F677" s="94"/>
      <c r="G677" s="84"/>
      <c r="H677" s="84"/>
      <c r="I677" s="84"/>
      <c r="J677" s="84"/>
      <c r="K677" s="84"/>
      <c r="L677" s="84"/>
      <c r="M677" s="84"/>
      <c r="N677" s="84"/>
      <c r="O677" s="84"/>
      <c r="P677" s="84"/>
      <c r="Q677" s="84"/>
      <c r="R677" s="84"/>
      <c r="S677" s="84"/>
      <c r="T677" s="84"/>
      <c r="U677" s="84"/>
      <c r="V677" s="84"/>
      <c r="W677" s="84"/>
      <c r="X677" s="84"/>
      <c r="Y677" s="84"/>
      <c r="Z677" s="84"/>
      <c r="AA677" s="84"/>
      <c r="AB677" s="84"/>
      <c r="AC677" s="85"/>
      <c r="AD677" s="85"/>
      <c r="AE677" s="84"/>
      <c r="AF677" s="84"/>
      <c r="AG677" s="84"/>
      <c r="AH677" s="84"/>
      <c r="AI677" s="84"/>
      <c r="AJ677" s="84"/>
      <c r="AK677" s="84"/>
      <c r="AL677" s="84"/>
      <c r="AM677" s="84"/>
      <c r="AN677" s="84"/>
      <c r="AO677" s="84"/>
      <c r="AP677" s="84"/>
      <c r="AQ677" s="84"/>
      <c r="AR677" s="84"/>
      <c r="AS677" s="87">
        <f t="array" ref="AS677">IF(E677=1,SUM((ROW(Mf0)=ROW(AS677))*(Mf0+Mf1_+Mf2_+Mf3_+Mf4_+Mf5_+Mf6_+Mf7_+Mf8_+Mf9_+Mf10_+Mf11_+Mf12_+Mf13_+Mf14_+Mf15_+Mf16_+Mf17_+Mf18_+Mf19_+Mf20_+Mf21_+Mf22_+Mf23_+Mf24_+Mf25_+Mf26_+Mf27_+Mf28_+Mf29_+Mf30_+Mf31_+Mf32_+Mf33_+Mf34_+Mf35_+Mf36_+Mf37_)),0)</f>
        <v>0</v>
      </c>
      <c r="AU677" s="24" t="str">
        <f t="shared" si="66"/>
        <v/>
      </c>
      <c r="AV677" s="24" t="str">
        <f t="shared" si="67"/>
        <v/>
      </c>
      <c r="AW677" s="24" t="str">
        <f t="shared" si="68"/>
        <v/>
      </c>
      <c r="AX677" s="72">
        <f t="shared" si="69"/>
        <v>0</v>
      </c>
      <c r="AY677" s="24">
        <f t="shared" si="70"/>
        <v>0</v>
      </c>
      <c r="AZ677" s="24">
        <f t="array" ref="AZ677">IF(OR(RIGHT(B677,LEN(Par_LabelTravelTime))=Par_LabelTravelTime,B677="čas na ceste - fakturácia"),1,0)</f>
        <v>0</v>
      </c>
    </row>
    <row r="678" spans="2:52" s="24" customFormat="1" ht="12.75" x14ac:dyDescent="0.2">
      <c r="B678" s="97"/>
      <c r="C678" s="92"/>
      <c r="D678" s="31" t="str">
        <f>IF(E678=1,VLOOKUP(TableInvs[[#This Row],[Calc_V_Typ]],Tran_RevenuesList,3,FALSE),"")</f>
        <v/>
      </c>
      <c r="E678" s="31">
        <f t="shared" si="65"/>
        <v>0</v>
      </c>
      <c r="F678" s="94"/>
      <c r="G678" s="84"/>
      <c r="H678" s="84"/>
      <c r="I678" s="84"/>
      <c r="J678" s="84"/>
      <c r="K678" s="84"/>
      <c r="L678" s="84"/>
      <c r="M678" s="84"/>
      <c r="N678" s="84"/>
      <c r="O678" s="84"/>
      <c r="P678" s="84"/>
      <c r="Q678" s="84"/>
      <c r="R678" s="84"/>
      <c r="S678" s="84"/>
      <c r="T678" s="84"/>
      <c r="U678" s="84"/>
      <c r="V678" s="84"/>
      <c r="W678" s="84"/>
      <c r="X678" s="84"/>
      <c r="Y678" s="84"/>
      <c r="Z678" s="84"/>
      <c r="AA678" s="84"/>
      <c r="AB678" s="84"/>
      <c r="AC678" s="85"/>
      <c r="AD678" s="85"/>
      <c r="AE678" s="84"/>
      <c r="AF678" s="84"/>
      <c r="AG678" s="84"/>
      <c r="AH678" s="84"/>
      <c r="AI678" s="84"/>
      <c r="AJ678" s="84"/>
      <c r="AK678" s="84"/>
      <c r="AL678" s="84"/>
      <c r="AM678" s="84"/>
      <c r="AN678" s="84"/>
      <c r="AO678" s="84"/>
      <c r="AP678" s="84"/>
      <c r="AQ678" s="84"/>
      <c r="AR678" s="84"/>
      <c r="AS678" s="87">
        <f t="array" ref="AS678">IF(E678=1,SUM((ROW(Mf0)=ROW(AS678))*(Mf0+Mf1_+Mf2_+Mf3_+Mf4_+Mf5_+Mf6_+Mf7_+Mf8_+Mf9_+Mf10_+Mf11_+Mf12_+Mf13_+Mf14_+Mf15_+Mf16_+Mf17_+Mf18_+Mf19_+Mf20_+Mf21_+Mf22_+Mf23_+Mf24_+Mf25_+Mf26_+Mf27_+Mf28_+Mf29_+Mf30_+Mf31_+Mf32_+Mf33_+Mf34_+Mf35_+Mf36_+Mf37_)),0)</f>
        <v>0</v>
      </c>
      <c r="AU678" s="24" t="str">
        <f t="shared" si="66"/>
        <v/>
      </c>
      <c r="AV678" s="24" t="str">
        <f t="shared" si="67"/>
        <v/>
      </c>
      <c r="AW678" s="24" t="str">
        <f t="shared" si="68"/>
        <v/>
      </c>
      <c r="AX678" s="72">
        <f t="shared" si="69"/>
        <v>0</v>
      </c>
      <c r="AY678" s="24">
        <f t="shared" si="70"/>
        <v>0</v>
      </c>
      <c r="AZ678" s="24">
        <f t="array" ref="AZ678">IF(OR(RIGHT(B678,LEN(Par_LabelTravelTime))=Par_LabelTravelTime,B678="čas na ceste - fakturácia"),1,0)</f>
        <v>0</v>
      </c>
    </row>
    <row r="679" spans="2:52" s="24" customFormat="1" ht="12.75" x14ac:dyDescent="0.2">
      <c r="B679" s="97"/>
      <c r="C679" s="92"/>
      <c r="D679" s="31" t="str">
        <f>IF(E679=1,VLOOKUP(TableInvs[[#This Row],[Calc_V_Typ]],Tran_RevenuesList,3,FALSE),"")</f>
        <v/>
      </c>
      <c r="E679" s="31">
        <f t="shared" si="65"/>
        <v>0</v>
      </c>
      <c r="F679" s="94"/>
      <c r="G679" s="84"/>
      <c r="H679" s="84"/>
      <c r="I679" s="84"/>
      <c r="J679" s="84"/>
      <c r="K679" s="84"/>
      <c r="L679" s="84"/>
      <c r="M679" s="84"/>
      <c r="N679" s="84"/>
      <c r="O679" s="84"/>
      <c r="P679" s="84"/>
      <c r="Q679" s="84"/>
      <c r="R679" s="84"/>
      <c r="S679" s="84"/>
      <c r="T679" s="84"/>
      <c r="U679" s="84"/>
      <c r="V679" s="84"/>
      <c r="W679" s="84"/>
      <c r="X679" s="84"/>
      <c r="Y679" s="84"/>
      <c r="Z679" s="84"/>
      <c r="AA679" s="84"/>
      <c r="AB679" s="84"/>
      <c r="AC679" s="85"/>
      <c r="AD679" s="85"/>
      <c r="AE679" s="84"/>
      <c r="AF679" s="84"/>
      <c r="AG679" s="84"/>
      <c r="AH679" s="84"/>
      <c r="AI679" s="84"/>
      <c r="AJ679" s="84"/>
      <c r="AK679" s="84"/>
      <c r="AL679" s="84"/>
      <c r="AM679" s="84"/>
      <c r="AN679" s="84"/>
      <c r="AO679" s="84"/>
      <c r="AP679" s="84"/>
      <c r="AQ679" s="84"/>
      <c r="AR679" s="84"/>
      <c r="AS679" s="87">
        <f t="array" ref="AS679">IF(E679=1,SUM((ROW(Mf0)=ROW(AS679))*(Mf0+Mf1_+Mf2_+Mf3_+Mf4_+Mf5_+Mf6_+Mf7_+Mf8_+Mf9_+Mf10_+Mf11_+Mf12_+Mf13_+Mf14_+Mf15_+Mf16_+Mf17_+Mf18_+Mf19_+Mf20_+Mf21_+Mf22_+Mf23_+Mf24_+Mf25_+Mf26_+Mf27_+Mf28_+Mf29_+Mf30_+Mf31_+Mf32_+Mf33_+Mf34_+Mf35_+Mf36_+Mf37_)),0)</f>
        <v>0</v>
      </c>
      <c r="AU679" s="24" t="str">
        <f t="shared" si="66"/>
        <v/>
      </c>
      <c r="AV679" s="24" t="str">
        <f t="shared" si="67"/>
        <v/>
      </c>
      <c r="AW679" s="24" t="str">
        <f t="shared" si="68"/>
        <v/>
      </c>
      <c r="AX679" s="72">
        <f t="shared" si="69"/>
        <v>0</v>
      </c>
      <c r="AY679" s="24">
        <f t="shared" si="70"/>
        <v>0</v>
      </c>
      <c r="AZ679" s="24">
        <f t="array" ref="AZ679">IF(OR(RIGHT(B679,LEN(Par_LabelTravelTime))=Par_LabelTravelTime,B679="čas na ceste - fakturácia"),1,0)</f>
        <v>0</v>
      </c>
    </row>
    <row r="680" spans="2:52" s="24" customFormat="1" ht="12.75" x14ac:dyDescent="0.2">
      <c r="B680" s="97"/>
      <c r="C680" s="92"/>
      <c r="D680" s="31" t="str">
        <f>IF(E680=1,VLOOKUP(TableInvs[[#This Row],[Calc_V_Typ]],Tran_RevenuesList,3,FALSE),"")</f>
        <v/>
      </c>
      <c r="E680" s="31">
        <f t="shared" si="65"/>
        <v>0</v>
      </c>
      <c r="F680" s="94"/>
      <c r="G680" s="84"/>
      <c r="H680" s="84"/>
      <c r="I680" s="84"/>
      <c r="J680" s="84"/>
      <c r="K680" s="84"/>
      <c r="L680" s="84"/>
      <c r="M680" s="84"/>
      <c r="N680" s="84"/>
      <c r="O680" s="84"/>
      <c r="P680" s="84"/>
      <c r="Q680" s="84"/>
      <c r="R680" s="84"/>
      <c r="S680" s="84"/>
      <c r="T680" s="84"/>
      <c r="U680" s="84"/>
      <c r="V680" s="84"/>
      <c r="W680" s="84"/>
      <c r="X680" s="84"/>
      <c r="Y680" s="84"/>
      <c r="Z680" s="84"/>
      <c r="AA680" s="84"/>
      <c r="AB680" s="84"/>
      <c r="AC680" s="85"/>
      <c r="AD680" s="85"/>
      <c r="AE680" s="84"/>
      <c r="AF680" s="84"/>
      <c r="AG680" s="84"/>
      <c r="AH680" s="84"/>
      <c r="AI680" s="84"/>
      <c r="AJ680" s="84"/>
      <c r="AK680" s="84"/>
      <c r="AL680" s="84"/>
      <c r="AM680" s="84"/>
      <c r="AN680" s="84"/>
      <c r="AO680" s="84"/>
      <c r="AP680" s="84"/>
      <c r="AQ680" s="84"/>
      <c r="AR680" s="84"/>
      <c r="AS680" s="87">
        <f t="array" ref="AS680">IF(E680=1,SUM((ROW(Mf0)=ROW(AS680))*(Mf0+Mf1_+Mf2_+Mf3_+Mf4_+Mf5_+Mf6_+Mf7_+Mf8_+Mf9_+Mf10_+Mf11_+Mf12_+Mf13_+Mf14_+Mf15_+Mf16_+Mf17_+Mf18_+Mf19_+Mf20_+Mf21_+Mf22_+Mf23_+Mf24_+Mf25_+Mf26_+Mf27_+Mf28_+Mf29_+Mf30_+Mf31_+Mf32_+Mf33_+Mf34_+Mf35_+Mf36_+Mf37_)),0)</f>
        <v>0</v>
      </c>
      <c r="AU680" s="24" t="str">
        <f t="shared" si="66"/>
        <v/>
      </c>
      <c r="AV680" s="24" t="str">
        <f t="shared" si="67"/>
        <v/>
      </c>
      <c r="AW680" s="24" t="str">
        <f t="shared" si="68"/>
        <v/>
      </c>
      <c r="AX680" s="72">
        <f t="shared" si="69"/>
        <v>0</v>
      </c>
      <c r="AY680" s="24">
        <f t="shared" si="70"/>
        <v>0</v>
      </c>
      <c r="AZ680" s="24">
        <f t="array" ref="AZ680">IF(OR(RIGHT(B680,LEN(Par_LabelTravelTime))=Par_LabelTravelTime,B680="čas na ceste - fakturácia"),1,0)</f>
        <v>0</v>
      </c>
    </row>
    <row r="681" spans="2:52" s="24" customFormat="1" ht="12.75" x14ac:dyDescent="0.2">
      <c r="B681" s="97"/>
      <c r="C681" s="92"/>
      <c r="D681" s="31" t="str">
        <f>IF(E681=1,VLOOKUP(TableInvs[[#This Row],[Calc_V_Typ]],Tran_RevenuesList,3,FALSE),"")</f>
        <v/>
      </c>
      <c r="E681" s="31">
        <f t="shared" si="65"/>
        <v>0</v>
      </c>
      <c r="F681" s="94"/>
      <c r="G681" s="84"/>
      <c r="H681" s="84"/>
      <c r="I681" s="84"/>
      <c r="J681" s="84"/>
      <c r="K681" s="84"/>
      <c r="L681" s="84"/>
      <c r="M681" s="84"/>
      <c r="N681" s="84"/>
      <c r="O681" s="84"/>
      <c r="P681" s="84"/>
      <c r="Q681" s="84"/>
      <c r="R681" s="84"/>
      <c r="S681" s="84"/>
      <c r="T681" s="84"/>
      <c r="U681" s="84"/>
      <c r="V681" s="84"/>
      <c r="W681" s="84"/>
      <c r="X681" s="84"/>
      <c r="Y681" s="84"/>
      <c r="Z681" s="84"/>
      <c r="AA681" s="84"/>
      <c r="AB681" s="84"/>
      <c r="AC681" s="85"/>
      <c r="AD681" s="85"/>
      <c r="AE681" s="84"/>
      <c r="AF681" s="84"/>
      <c r="AG681" s="84"/>
      <c r="AH681" s="84"/>
      <c r="AI681" s="84"/>
      <c r="AJ681" s="84"/>
      <c r="AK681" s="84"/>
      <c r="AL681" s="84"/>
      <c r="AM681" s="84"/>
      <c r="AN681" s="84"/>
      <c r="AO681" s="84"/>
      <c r="AP681" s="84"/>
      <c r="AQ681" s="84"/>
      <c r="AR681" s="84"/>
      <c r="AS681" s="87">
        <f t="array" ref="AS681">IF(E681=1,SUM((ROW(Mf0)=ROW(AS681))*(Mf0+Mf1_+Mf2_+Mf3_+Mf4_+Mf5_+Mf6_+Mf7_+Mf8_+Mf9_+Mf10_+Mf11_+Mf12_+Mf13_+Mf14_+Mf15_+Mf16_+Mf17_+Mf18_+Mf19_+Mf20_+Mf21_+Mf22_+Mf23_+Mf24_+Mf25_+Mf26_+Mf27_+Mf28_+Mf29_+Mf30_+Mf31_+Mf32_+Mf33_+Mf34_+Mf35_+Mf36_+Mf37_)),0)</f>
        <v>0</v>
      </c>
      <c r="AU681" s="24" t="str">
        <f t="shared" si="66"/>
        <v/>
      </c>
      <c r="AV681" s="24" t="str">
        <f t="shared" si="67"/>
        <v/>
      </c>
      <c r="AW681" s="24" t="str">
        <f t="shared" si="68"/>
        <v/>
      </c>
      <c r="AX681" s="72">
        <f t="shared" si="69"/>
        <v>0</v>
      </c>
      <c r="AY681" s="24">
        <f t="shared" si="70"/>
        <v>0</v>
      </c>
      <c r="AZ681" s="24">
        <f t="array" ref="AZ681">IF(OR(RIGHT(B681,LEN(Par_LabelTravelTime))=Par_LabelTravelTime,B681="čas na ceste - fakturácia"),1,0)</f>
        <v>0</v>
      </c>
    </row>
    <row r="682" spans="2:52" s="24" customFormat="1" ht="12.75" x14ac:dyDescent="0.2">
      <c r="B682" s="97"/>
      <c r="C682" s="92"/>
      <c r="D682" s="31" t="str">
        <f>IF(E682=1,VLOOKUP(TableInvs[[#This Row],[Calc_V_Typ]],Tran_RevenuesList,3,FALSE),"")</f>
        <v/>
      </c>
      <c r="E682" s="31">
        <f t="shared" si="65"/>
        <v>0</v>
      </c>
      <c r="F682" s="94"/>
      <c r="G682" s="84"/>
      <c r="H682" s="84"/>
      <c r="I682" s="84"/>
      <c r="J682" s="84"/>
      <c r="K682" s="84"/>
      <c r="L682" s="84"/>
      <c r="M682" s="84"/>
      <c r="N682" s="84"/>
      <c r="O682" s="84"/>
      <c r="P682" s="84"/>
      <c r="Q682" s="84"/>
      <c r="R682" s="84"/>
      <c r="S682" s="84"/>
      <c r="T682" s="84"/>
      <c r="U682" s="84"/>
      <c r="V682" s="84"/>
      <c r="W682" s="84"/>
      <c r="X682" s="84"/>
      <c r="Y682" s="84"/>
      <c r="Z682" s="84"/>
      <c r="AA682" s="84"/>
      <c r="AB682" s="84"/>
      <c r="AC682" s="85"/>
      <c r="AD682" s="85"/>
      <c r="AE682" s="84"/>
      <c r="AF682" s="84"/>
      <c r="AG682" s="84"/>
      <c r="AH682" s="84"/>
      <c r="AI682" s="84"/>
      <c r="AJ682" s="84"/>
      <c r="AK682" s="84"/>
      <c r="AL682" s="84"/>
      <c r="AM682" s="84"/>
      <c r="AN682" s="84"/>
      <c r="AO682" s="84"/>
      <c r="AP682" s="84"/>
      <c r="AQ682" s="84"/>
      <c r="AR682" s="84"/>
      <c r="AS682" s="87">
        <f t="array" ref="AS682">IF(E682=1,SUM((ROW(Mf0)=ROW(AS682))*(Mf0+Mf1_+Mf2_+Mf3_+Mf4_+Mf5_+Mf6_+Mf7_+Mf8_+Mf9_+Mf10_+Mf11_+Mf12_+Mf13_+Mf14_+Mf15_+Mf16_+Mf17_+Mf18_+Mf19_+Mf20_+Mf21_+Mf22_+Mf23_+Mf24_+Mf25_+Mf26_+Mf27_+Mf28_+Mf29_+Mf30_+Mf31_+Mf32_+Mf33_+Mf34_+Mf35_+Mf36_+Mf37_)),0)</f>
        <v>0</v>
      </c>
      <c r="AU682" s="24" t="str">
        <f t="shared" si="66"/>
        <v/>
      </c>
      <c r="AV682" s="24" t="str">
        <f t="shared" si="67"/>
        <v/>
      </c>
      <c r="AW682" s="24" t="str">
        <f t="shared" si="68"/>
        <v/>
      </c>
      <c r="AX682" s="72">
        <f t="shared" si="69"/>
        <v>0</v>
      </c>
      <c r="AY682" s="24">
        <f t="shared" si="70"/>
        <v>0</v>
      </c>
      <c r="AZ682" s="24">
        <f t="array" ref="AZ682">IF(OR(RIGHT(B682,LEN(Par_LabelTravelTime))=Par_LabelTravelTime,B682="čas na ceste - fakturácia"),1,0)</f>
        <v>0</v>
      </c>
    </row>
    <row r="683" spans="2:52" s="24" customFormat="1" ht="12.75" x14ac:dyDescent="0.2">
      <c r="B683" s="97"/>
      <c r="C683" s="92"/>
      <c r="D683" s="31" t="str">
        <f>IF(E683=1,VLOOKUP(TableInvs[[#This Row],[Calc_V_Typ]],Tran_RevenuesList,3,FALSE),"")</f>
        <v/>
      </c>
      <c r="E683" s="31">
        <f t="shared" si="65"/>
        <v>0</v>
      </c>
      <c r="F683" s="94"/>
      <c r="G683" s="84"/>
      <c r="H683" s="84"/>
      <c r="I683" s="84"/>
      <c r="J683" s="84"/>
      <c r="K683" s="84"/>
      <c r="L683" s="84"/>
      <c r="M683" s="84"/>
      <c r="N683" s="84"/>
      <c r="O683" s="84"/>
      <c r="P683" s="84"/>
      <c r="Q683" s="84"/>
      <c r="R683" s="84"/>
      <c r="S683" s="84"/>
      <c r="T683" s="84"/>
      <c r="U683" s="84"/>
      <c r="V683" s="84"/>
      <c r="W683" s="84"/>
      <c r="X683" s="84"/>
      <c r="Y683" s="84"/>
      <c r="Z683" s="84"/>
      <c r="AA683" s="84"/>
      <c r="AB683" s="84"/>
      <c r="AC683" s="85"/>
      <c r="AD683" s="85"/>
      <c r="AE683" s="84"/>
      <c r="AF683" s="84"/>
      <c r="AG683" s="84"/>
      <c r="AH683" s="84"/>
      <c r="AI683" s="84"/>
      <c r="AJ683" s="84"/>
      <c r="AK683" s="84"/>
      <c r="AL683" s="84"/>
      <c r="AM683" s="84"/>
      <c r="AN683" s="84"/>
      <c r="AO683" s="84"/>
      <c r="AP683" s="84"/>
      <c r="AQ683" s="84"/>
      <c r="AR683" s="84"/>
      <c r="AS683" s="87">
        <f t="array" ref="AS683">IF(E683=1,SUM((ROW(Mf0)=ROW(AS683))*(Mf0+Mf1_+Mf2_+Mf3_+Mf4_+Mf5_+Mf6_+Mf7_+Mf8_+Mf9_+Mf10_+Mf11_+Mf12_+Mf13_+Mf14_+Mf15_+Mf16_+Mf17_+Mf18_+Mf19_+Mf20_+Mf21_+Mf22_+Mf23_+Mf24_+Mf25_+Mf26_+Mf27_+Mf28_+Mf29_+Mf30_+Mf31_+Mf32_+Mf33_+Mf34_+Mf35_+Mf36_+Mf37_)),0)</f>
        <v>0</v>
      </c>
      <c r="AU683" s="24" t="str">
        <f t="shared" si="66"/>
        <v/>
      </c>
      <c r="AV683" s="24" t="str">
        <f t="shared" si="67"/>
        <v/>
      </c>
      <c r="AW683" s="24" t="str">
        <f t="shared" si="68"/>
        <v/>
      </c>
      <c r="AX683" s="72">
        <f t="shared" si="69"/>
        <v>0</v>
      </c>
      <c r="AY683" s="24">
        <f t="shared" si="70"/>
        <v>0</v>
      </c>
      <c r="AZ683" s="24">
        <f t="array" ref="AZ683">IF(OR(RIGHT(B683,LEN(Par_LabelTravelTime))=Par_LabelTravelTime,B683="čas na ceste - fakturácia"),1,0)</f>
        <v>0</v>
      </c>
    </row>
    <row r="684" spans="2:52" s="24" customFormat="1" ht="12.75" x14ac:dyDescent="0.2">
      <c r="B684" s="97"/>
      <c r="C684" s="92"/>
      <c r="D684" s="31" t="str">
        <f>IF(E684=1,VLOOKUP(TableInvs[[#This Row],[Calc_V_Typ]],Tran_RevenuesList,3,FALSE),"")</f>
        <v/>
      </c>
      <c r="E684" s="31">
        <f t="shared" si="65"/>
        <v>0</v>
      </c>
      <c r="F684" s="94"/>
      <c r="G684" s="84"/>
      <c r="H684" s="84"/>
      <c r="I684" s="84"/>
      <c r="J684" s="84"/>
      <c r="K684" s="84"/>
      <c r="L684" s="84"/>
      <c r="M684" s="84"/>
      <c r="N684" s="84"/>
      <c r="O684" s="84"/>
      <c r="P684" s="84"/>
      <c r="Q684" s="84"/>
      <c r="R684" s="84"/>
      <c r="S684" s="84"/>
      <c r="T684" s="84"/>
      <c r="U684" s="84"/>
      <c r="V684" s="84"/>
      <c r="W684" s="84"/>
      <c r="X684" s="84"/>
      <c r="Y684" s="84"/>
      <c r="Z684" s="84"/>
      <c r="AA684" s="84"/>
      <c r="AB684" s="84"/>
      <c r="AC684" s="85"/>
      <c r="AD684" s="85"/>
      <c r="AE684" s="84"/>
      <c r="AF684" s="84"/>
      <c r="AG684" s="84"/>
      <c r="AH684" s="84"/>
      <c r="AI684" s="84"/>
      <c r="AJ684" s="84"/>
      <c r="AK684" s="84"/>
      <c r="AL684" s="84"/>
      <c r="AM684" s="84"/>
      <c r="AN684" s="84"/>
      <c r="AO684" s="84"/>
      <c r="AP684" s="84"/>
      <c r="AQ684" s="84"/>
      <c r="AR684" s="84"/>
      <c r="AS684" s="87">
        <f t="array" ref="AS684">IF(E684=1,SUM((ROW(Mf0)=ROW(AS684))*(Mf0+Mf1_+Mf2_+Mf3_+Mf4_+Mf5_+Mf6_+Mf7_+Mf8_+Mf9_+Mf10_+Mf11_+Mf12_+Mf13_+Mf14_+Mf15_+Mf16_+Mf17_+Mf18_+Mf19_+Mf20_+Mf21_+Mf22_+Mf23_+Mf24_+Mf25_+Mf26_+Mf27_+Mf28_+Mf29_+Mf30_+Mf31_+Mf32_+Mf33_+Mf34_+Mf35_+Mf36_+Mf37_)),0)</f>
        <v>0</v>
      </c>
      <c r="AU684" s="24" t="str">
        <f t="shared" si="66"/>
        <v/>
      </c>
      <c r="AV684" s="24" t="str">
        <f t="shared" si="67"/>
        <v/>
      </c>
      <c r="AW684" s="24" t="str">
        <f t="shared" si="68"/>
        <v/>
      </c>
      <c r="AX684" s="72">
        <f t="shared" si="69"/>
        <v>0</v>
      </c>
      <c r="AY684" s="24">
        <f t="shared" si="70"/>
        <v>0</v>
      </c>
      <c r="AZ684" s="24">
        <f t="array" ref="AZ684">IF(OR(RIGHT(B684,LEN(Par_LabelTravelTime))=Par_LabelTravelTime,B684="čas na ceste - fakturácia"),1,0)</f>
        <v>0</v>
      </c>
    </row>
    <row r="685" spans="2:52" s="24" customFormat="1" ht="12.75" x14ac:dyDescent="0.2">
      <c r="B685" s="97"/>
      <c r="C685" s="92"/>
      <c r="D685" s="31" t="str">
        <f>IF(E685=1,VLOOKUP(TableInvs[[#This Row],[Calc_V_Typ]],Tran_RevenuesList,3,FALSE),"")</f>
        <v/>
      </c>
      <c r="E685" s="31">
        <f t="shared" si="65"/>
        <v>0</v>
      </c>
      <c r="F685" s="94"/>
      <c r="G685" s="84"/>
      <c r="H685" s="84"/>
      <c r="I685" s="84"/>
      <c r="J685" s="84"/>
      <c r="K685" s="84"/>
      <c r="L685" s="84"/>
      <c r="M685" s="84"/>
      <c r="N685" s="84"/>
      <c r="O685" s="84"/>
      <c r="P685" s="84"/>
      <c r="Q685" s="84"/>
      <c r="R685" s="84"/>
      <c r="S685" s="84"/>
      <c r="T685" s="84"/>
      <c r="U685" s="84"/>
      <c r="V685" s="84"/>
      <c r="W685" s="84"/>
      <c r="X685" s="84"/>
      <c r="Y685" s="84"/>
      <c r="Z685" s="84"/>
      <c r="AA685" s="84"/>
      <c r="AB685" s="84"/>
      <c r="AC685" s="85"/>
      <c r="AD685" s="85"/>
      <c r="AE685" s="84"/>
      <c r="AF685" s="84"/>
      <c r="AG685" s="84"/>
      <c r="AH685" s="84"/>
      <c r="AI685" s="84"/>
      <c r="AJ685" s="84"/>
      <c r="AK685" s="84"/>
      <c r="AL685" s="84"/>
      <c r="AM685" s="84"/>
      <c r="AN685" s="84"/>
      <c r="AO685" s="84"/>
      <c r="AP685" s="84"/>
      <c r="AQ685" s="84"/>
      <c r="AR685" s="84"/>
      <c r="AS685" s="87">
        <f t="array" ref="AS685">IF(E685=1,SUM((ROW(Mf0)=ROW(AS685))*(Mf0+Mf1_+Mf2_+Mf3_+Mf4_+Mf5_+Mf6_+Mf7_+Mf8_+Mf9_+Mf10_+Mf11_+Mf12_+Mf13_+Mf14_+Mf15_+Mf16_+Mf17_+Mf18_+Mf19_+Mf20_+Mf21_+Mf22_+Mf23_+Mf24_+Mf25_+Mf26_+Mf27_+Mf28_+Mf29_+Mf30_+Mf31_+Mf32_+Mf33_+Mf34_+Mf35_+Mf36_+Mf37_)),0)</f>
        <v>0</v>
      </c>
      <c r="AU685" s="24" t="str">
        <f t="shared" si="66"/>
        <v/>
      </c>
      <c r="AV685" s="24" t="str">
        <f t="shared" si="67"/>
        <v/>
      </c>
      <c r="AW685" s="24" t="str">
        <f t="shared" si="68"/>
        <v/>
      </c>
      <c r="AX685" s="72">
        <f t="shared" si="69"/>
        <v>0</v>
      </c>
      <c r="AY685" s="24">
        <f t="shared" si="70"/>
        <v>0</v>
      </c>
      <c r="AZ685" s="24">
        <f t="array" ref="AZ685">IF(OR(RIGHT(B685,LEN(Par_LabelTravelTime))=Par_LabelTravelTime,B685="čas na ceste - fakturácia"),1,0)</f>
        <v>0</v>
      </c>
    </row>
    <row r="686" spans="2:52" s="24" customFormat="1" ht="12.75" x14ac:dyDescent="0.2">
      <c r="B686" s="97"/>
      <c r="C686" s="92"/>
      <c r="D686" s="31" t="str">
        <f>IF(E686=1,VLOOKUP(TableInvs[[#This Row],[Calc_V_Typ]],Tran_RevenuesList,3,FALSE),"")</f>
        <v/>
      </c>
      <c r="E686" s="31">
        <f t="shared" si="65"/>
        <v>0</v>
      </c>
      <c r="F686" s="94"/>
      <c r="G686" s="84"/>
      <c r="H686" s="84"/>
      <c r="I686" s="84"/>
      <c r="J686" s="84"/>
      <c r="K686" s="84"/>
      <c r="L686" s="84"/>
      <c r="M686" s="84"/>
      <c r="N686" s="84"/>
      <c r="O686" s="84"/>
      <c r="P686" s="84"/>
      <c r="Q686" s="84"/>
      <c r="R686" s="84"/>
      <c r="S686" s="84"/>
      <c r="T686" s="84"/>
      <c r="U686" s="84"/>
      <c r="V686" s="84"/>
      <c r="W686" s="84"/>
      <c r="X686" s="84"/>
      <c r="Y686" s="84"/>
      <c r="Z686" s="84"/>
      <c r="AA686" s="84"/>
      <c r="AB686" s="84"/>
      <c r="AC686" s="85"/>
      <c r="AD686" s="85"/>
      <c r="AE686" s="84"/>
      <c r="AF686" s="84"/>
      <c r="AG686" s="84"/>
      <c r="AH686" s="84"/>
      <c r="AI686" s="84"/>
      <c r="AJ686" s="84"/>
      <c r="AK686" s="84"/>
      <c r="AL686" s="84"/>
      <c r="AM686" s="84"/>
      <c r="AN686" s="84"/>
      <c r="AO686" s="84"/>
      <c r="AP686" s="84"/>
      <c r="AQ686" s="84"/>
      <c r="AR686" s="84"/>
      <c r="AS686" s="87">
        <f t="array" ref="AS686">IF(E686=1,SUM((ROW(Mf0)=ROW(AS686))*(Mf0+Mf1_+Mf2_+Mf3_+Mf4_+Mf5_+Mf6_+Mf7_+Mf8_+Mf9_+Mf10_+Mf11_+Mf12_+Mf13_+Mf14_+Mf15_+Mf16_+Mf17_+Mf18_+Mf19_+Mf20_+Mf21_+Mf22_+Mf23_+Mf24_+Mf25_+Mf26_+Mf27_+Mf28_+Mf29_+Mf30_+Mf31_+Mf32_+Mf33_+Mf34_+Mf35_+Mf36_+Mf37_)),0)</f>
        <v>0</v>
      </c>
      <c r="AU686" s="24" t="str">
        <f t="shared" si="66"/>
        <v/>
      </c>
      <c r="AV686" s="24" t="str">
        <f t="shared" si="67"/>
        <v/>
      </c>
      <c r="AW686" s="24" t="str">
        <f t="shared" si="68"/>
        <v/>
      </c>
      <c r="AX686" s="72">
        <f t="shared" si="69"/>
        <v>0</v>
      </c>
      <c r="AY686" s="24">
        <f t="shared" si="70"/>
        <v>0</v>
      </c>
      <c r="AZ686" s="24">
        <f t="array" ref="AZ686">IF(OR(RIGHT(B686,LEN(Par_LabelTravelTime))=Par_LabelTravelTime,B686="čas na ceste - fakturácia"),1,0)</f>
        <v>0</v>
      </c>
    </row>
    <row r="687" spans="2:52" s="24" customFormat="1" ht="12.75" x14ac:dyDescent="0.2">
      <c r="B687" s="97"/>
      <c r="C687" s="92"/>
      <c r="D687" s="31" t="str">
        <f>IF(E687=1,VLOOKUP(TableInvs[[#This Row],[Calc_V_Typ]],Tran_RevenuesList,3,FALSE),"")</f>
        <v/>
      </c>
      <c r="E687" s="31">
        <f t="shared" si="65"/>
        <v>0</v>
      </c>
      <c r="F687" s="94"/>
      <c r="G687" s="84"/>
      <c r="H687" s="84"/>
      <c r="I687" s="84"/>
      <c r="J687" s="84"/>
      <c r="K687" s="84"/>
      <c r="L687" s="84"/>
      <c r="M687" s="84"/>
      <c r="N687" s="84"/>
      <c r="O687" s="84"/>
      <c r="P687" s="84"/>
      <c r="Q687" s="84"/>
      <c r="R687" s="84"/>
      <c r="S687" s="84"/>
      <c r="T687" s="84"/>
      <c r="U687" s="84"/>
      <c r="V687" s="84"/>
      <c r="W687" s="84"/>
      <c r="X687" s="84"/>
      <c r="Y687" s="84"/>
      <c r="Z687" s="84"/>
      <c r="AA687" s="84"/>
      <c r="AB687" s="84"/>
      <c r="AC687" s="85"/>
      <c r="AD687" s="85"/>
      <c r="AE687" s="84"/>
      <c r="AF687" s="84"/>
      <c r="AG687" s="84"/>
      <c r="AH687" s="84"/>
      <c r="AI687" s="84"/>
      <c r="AJ687" s="84"/>
      <c r="AK687" s="84"/>
      <c r="AL687" s="84"/>
      <c r="AM687" s="84"/>
      <c r="AN687" s="84"/>
      <c r="AO687" s="84"/>
      <c r="AP687" s="84"/>
      <c r="AQ687" s="84"/>
      <c r="AR687" s="84"/>
      <c r="AS687" s="87">
        <f t="array" ref="AS687">IF(E687=1,SUM((ROW(Mf0)=ROW(AS687))*(Mf0+Mf1_+Mf2_+Mf3_+Mf4_+Mf5_+Mf6_+Mf7_+Mf8_+Mf9_+Mf10_+Mf11_+Mf12_+Mf13_+Mf14_+Mf15_+Mf16_+Mf17_+Mf18_+Mf19_+Mf20_+Mf21_+Mf22_+Mf23_+Mf24_+Mf25_+Mf26_+Mf27_+Mf28_+Mf29_+Mf30_+Mf31_+Mf32_+Mf33_+Mf34_+Mf35_+Mf36_+Mf37_)),0)</f>
        <v>0</v>
      </c>
      <c r="AU687" s="24" t="str">
        <f t="shared" si="66"/>
        <v/>
      </c>
      <c r="AV687" s="24" t="str">
        <f t="shared" si="67"/>
        <v/>
      </c>
      <c r="AW687" s="24" t="str">
        <f t="shared" si="68"/>
        <v/>
      </c>
      <c r="AX687" s="72">
        <f t="shared" si="69"/>
        <v>0</v>
      </c>
      <c r="AY687" s="24">
        <f t="shared" si="70"/>
        <v>0</v>
      </c>
      <c r="AZ687" s="24">
        <f t="array" ref="AZ687">IF(OR(RIGHT(B687,LEN(Par_LabelTravelTime))=Par_LabelTravelTime,B687="čas na ceste - fakturácia"),1,0)</f>
        <v>0</v>
      </c>
    </row>
    <row r="688" spans="2:52" s="24" customFormat="1" ht="12.75" x14ac:dyDescent="0.2">
      <c r="B688" s="97"/>
      <c r="C688" s="92"/>
      <c r="D688" s="31" t="str">
        <f>IF(E688=1,VLOOKUP(TableInvs[[#This Row],[Calc_V_Typ]],Tran_RevenuesList,3,FALSE),"")</f>
        <v/>
      </c>
      <c r="E688" s="31">
        <f t="shared" si="65"/>
        <v>0</v>
      </c>
      <c r="F688" s="94"/>
      <c r="G688" s="84"/>
      <c r="H688" s="84"/>
      <c r="I688" s="84"/>
      <c r="J688" s="84"/>
      <c r="K688" s="84"/>
      <c r="L688" s="84"/>
      <c r="M688" s="84"/>
      <c r="N688" s="84"/>
      <c r="O688" s="84"/>
      <c r="P688" s="84"/>
      <c r="Q688" s="84"/>
      <c r="R688" s="84"/>
      <c r="S688" s="84"/>
      <c r="T688" s="84"/>
      <c r="U688" s="84"/>
      <c r="V688" s="84"/>
      <c r="W688" s="84"/>
      <c r="X688" s="84"/>
      <c r="Y688" s="84"/>
      <c r="Z688" s="84"/>
      <c r="AA688" s="84"/>
      <c r="AB688" s="84"/>
      <c r="AC688" s="85"/>
      <c r="AD688" s="85"/>
      <c r="AE688" s="84"/>
      <c r="AF688" s="84"/>
      <c r="AG688" s="84"/>
      <c r="AH688" s="84"/>
      <c r="AI688" s="84"/>
      <c r="AJ688" s="84"/>
      <c r="AK688" s="84"/>
      <c r="AL688" s="84"/>
      <c r="AM688" s="84"/>
      <c r="AN688" s="84"/>
      <c r="AO688" s="84"/>
      <c r="AP688" s="84"/>
      <c r="AQ688" s="84"/>
      <c r="AR688" s="84"/>
      <c r="AS688" s="87">
        <f t="array" ref="AS688">IF(E688=1,SUM((ROW(Mf0)=ROW(AS688))*(Mf0+Mf1_+Mf2_+Mf3_+Mf4_+Mf5_+Mf6_+Mf7_+Mf8_+Mf9_+Mf10_+Mf11_+Mf12_+Mf13_+Mf14_+Mf15_+Mf16_+Mf17_+Mf18_+Mf19_+Mf20_+Mf21_+Mf22_+Mf23_+Mf24_+Mf25_+Mf26_+Mf27_+Mf28_+Mf29_+Mf30_+Mf31_+Mf32_+Mf33_+Mf34_+Mf35_+Mf36_+Mf37_)),0)</f>
        <v>0</v>
      </c>
      <c r="AU688" s="24" t="str">
        <f t="shared" si="66"/>
        <v/>
      </c>
      <c r="AV688" s="24" t="str">
        <f t="shared" si="67"/>
        <v/>
      </c>
      <c r="AW688" s="24" t="str">
        <f t="shared" si="68"/>
        <v/>
      </c>
      <c r="AX688" s="72">
        <f t="shared" si="69"/>
        <v>0</v>
      </c>
      <c r="AY688" s="24">
        <f t="shared" si="70"/>
        <v>0</v>
      </c>
      <c r="AZ688" s="24">
        <f t="array" ref="AZ688">IF(OR(RIGHT(B688,LEN(Par_LabelTravelTime))=Par_LabelTravelTime,B688="čas na ceste - fakturácia"),1,0)</f>
        <v>0</v>
      </c>
    </row>
    <row r="689" spans="2:52" s="24" customFormat="1" ht="12.75" x14ac:dyDescent="0.2">
      <c r="B689" s="97"/>
      <c r="C689" s="92"/>
      <c r="D689" s="31" t="str">
        <f>IF(E689=1,VLOOKUP(TableInvs[[#This Row],[Calc_V_Typ]],Tran_RevenuesList,3,FALSE),"")</f>
        <v/>
      </c>
      <c r="E689" s="31">
        <f t="shared" si="65"/>
        <v>0</v>
      </c>
      <c r="F689" s="94"/>
      <c r="G689" s="84"/>
      <c r="H689" s="84"/>
      <c r="I689" s="84"/>
      <c r="J689" s="84"/>
      <c r="K689" s="84"/>
      <c r="L689" s="84"/>
      <c r="M689" s="84"/>
      <c r="N689" s="84"/>
      <c r="O689" s="84"/>
      <c r="P689" s="84"/>
      <c r="Q689" s="84"/>
      <c r="R689" s="84"/>
      <c r="S689" s="84"/>
      <c r="T689" s="84"/>
      <c r="U689" s="84"/>
      <c r="V689" s="84"/>
      <c r="W689" s="84"/>
      <c r="X689" s="84"/>
      <c r="Y689" s="84"/>
      <c r="Z689" s="84"/>
      <c r="AA689" s="84"/>
      <c r="AB689" s="84"/>
      <c r="AC689" s="85"/>
      <c r="AD689" s="85"/>
      <c r="AE689" s="84"/>
      <c r="AF689" s="84"/>
      <c r="AG689" s="84"/>
      <c r="AH689" s="84"/>
      <c r="AI689" s="84"/>
      <c r="AJ689" s="84"/>
      <c r="AK689" s="84"/>
      <c r="AL689" s="84"/>
      <c r="AM689" s="84"/>
      <c r="AN689" s="84"/>
      <c r="AO689" s="84"/>
      <c r="AP689" s="84"/>
      <c r="AQ689" s="84"/>
      <c r="AR689" s="84"/>
      <c r="AS689" s="87">
        <f t="array" ref="AS689">IF(E689=1,SUM((ROW(Mf0)=ROW(AS689))*(Mf0+Mf1_+Mf2_+Mf3_+Mf4_+Mf5_+Mf6_+Mf7_+Mf8_+Mf9_+Mf10_+Mf11_+Mf12_+Mf13_+Mf14_+Mf15_+Mf16_+Mf17_+Mf18_+Mf19_+Mf20_+Mf21_+Mf22_+Mf23_+Mf24_+Mf25_+Mf26_+Mf27_+Mf28_+Mf29_+Mf30_+Mf31_+Mf32_+Mf33_+Mf34_+Mf35_+Mf36_+Mf37_)),0)</f>
        <v>0</v>
      </c>
      <c r="AU689" s="24" t="str">
        <f t="shared" si="66"/>
        <v/>
      </c>
      <c r="AV689" s="24" t="str">
        <f t="shared" si="67"/>
        <v/>
      </c>
      <c r="AW689" s="24" t="str">
        <f t="shared" si="68"/>
        <v/>
      </c>
      <c r="AX689" s="72">
        <f t="shared" si="69"/>
        <v>0</v>
      </c>
      <c r="AY689" s="24">
        <f t="shared" si="70"/>
        <v>0</v>
      </c>
      <c r="AZ689" s="24">
        <f t="array" ref="AZ689">IF(OR(RIGHT(B689,LEN(Par_LabelTravelTime))=Par_LabelTravelTime,B689="čas na ceste - fakturácia"),1,0)</f>
        <v>0</v>
      </c>
    </row>
    <row r="690" spans="2:52" s="24" customFormat="1" ht="12.75" x14ac:dyDescent="0.2">
      <c r="B690" s="97"/>
      <c r="C690" s="92"/>
      <c r="D690" s="31" t="str">
        <f>IF(E690=1,VLOOKUP(TableInvs[[#This Row],[Calc_V_Typ]],Tran_RevenuesList,3,FALSE),"")</f>
        <v/>
      </c>
      <c r="E690" s="31">
        <f t="shared" si="65"/>
        <v>0</v>
      </c>
      <c r="F690" s="94"/>
      <c r="G690" s="84"/>
      <c r="H690" s="84"/>
      <c r="I690" s="84"/>
      <c r="J690" s="84"/>
      <c r="K690" s="84"/>
      <c r="L690" s="84"/>
      <c r="M690" s="84"/>
      <c r="N690" s="84"/>
      <c r="O690" s="84"/>
      <c r="P690" s="84"/>
      <c r="Q690" s="84"/>
      <c r="R690" s="84"/>
      <c r="S690" s="84"/>
      <c r="T690" s="84"/>
      <c r="U690" s="84"/>
      <c r="V690" s="84"/>
      <c r="W690" s="84"/>
      <c r="X690" s="84"/>
      <c r="Y690" s="84"/>
      <c r="Z690" s="84"/>
      <c r="AA690" s="84"/>
      <c r="AB690" s="84"/>
      <c r="AC690" s="85"/>
      <c r="AD690" s="85"/>
      <c r="AE690" s="84"/>
      <c r="AF690" s="84"/>
      <c r="AG690" s="84"/>
      <c r="AH690" s="84"/>
      <c r="AI690" s="84"/>
      <c r="AJ690" s="84"/>
      <c r="AK690" s="84"/>
      <c r="AL690" s="84"/>
      <c r="AM690" s="84"/>
      <c r="AN690" s="84"/>
      <c r="AO690" s="84"/>
      <c r="AP690" s="84"/>
      <c r="AQ690" s="84"/>
      <c r="AR690" s="84"/>
      <c r="AS690" s="87">
        <f t="array" ref="AS690">IF(E690=1,SUM((ROW(Mf0)=ROW(AS690))*(Mf0+Mf1_+Mf2_+Mf3_+Mf4_+Mf5_+Mf6_+Mf7_+Mf8_+Mf9_+Mf10_+Mf11_+Mf12_+Mf13_+Mf14_+Mf15_+Mf16_+Mf17_+Mf18_+Mf19_+Mf20_+Mf21_+Mf22_+Mf23_+Mf24_+Mf25_+Mf26_+Mf27_+Mf28_+Mf29_+Mf30_+Mf31_+Mf32_+Mf33_+Mf34_+Mf35_+Mf36_+Mf37_)),0)</f>
        <v>0</v>
      </c>
      <c r="AU690" s="24" t="str">
        <f t="shared" si="66"/>
        <v/>
      </c>
      <c r="AV690" s="24" t="str">
        <f t="shared" si="67"/>
        <v/>
      </c>
      <c r="AW690" s="24" t="str">
        <f t="shared" si="68"/>
        <v/>
      </c>
      <c r="AX690" s="72">
        <f t="shared" si="69"/>
        <v>0</v>
      </c>
      <c r="AY690" s="24">
        <f t="shared" si="70"/>
        <v>0</v>
      </c>
      <c r="AZ690" s="24">
        <f t="array" ref="AZ690">IF(OR(RIGHT(B690,LEN(Par_LabelTravelTime))=Par_LabelTravelTime,B690="čas na ceste - fakturácia"),1,0)</f>
        <v>0</v>
      </c>
    </row>
    <row r="691" spans="2:52" s="24" customFormat="1" ht="12.75" x14ac:dyDescent="0.2">
      <c r="B691" s="97"/>
      <c r="C691" s="92"/>
      <c r="D691" s="31" t="str">
        <f>IF(E691=1,VLOOKUP(TableInvs[[#This Row],[Calc_V_Typ]],Tran_RevenuesList,3,FALSE),"")</f>
        <v/>
      </c>
      <c r="E691" s="31">
        <f t="shared" si="65"/>
        <v>0</v>
      </c>
      <c r="F691" s="94"/>
      <c r="G691" s="84"/>
      <c r="H691" s="84"/>
      <c r="I691" s="84"/>
      <c r="J691" s="84"/>
      <c r="K691" s="84"/>
      <c r="L691" s="84"/>
      <c r="M691" s="84"/>
      <c r="N691" s="84"/>
      <c r="O691" s="84"/>
      <c r="P691" s="84"/>
      <c r="Q691" s="84"/>
      <c r="R691" s="84"/>
      <c r="S691" s="84"/>
      <c r="T691" s="84"/>
      <c r="U691" s="84"/>
      <c r="V691" s="84"/>
      <c r="W691" s="84"/>
      <c r="X691" s="84"/>
      <c r="Y691" s="84"/>
      <c r="Z691" s="84"/>
      <c r="AA691" s="84"/>
      <c r="AB691" s="84"/>
      <c r="AC691" s="85"/>
      <c r="AD691" s="85"/>
      <c r="AE691" s="84"/>
      <c r="AF691" s="84"/>
      <c r="AG691" s="84"/>
      <c r="AH691" s="84"/>
      <c r="AI691" s="84"/>
      <c r="AJ691" s="84"/>
      <c r="AK691" s="84"/>
      <c r="AL691" s="84"/>
      <c r="AM691" s="84"/>
      <c r="AN691" s="84"/>
      <c r="AO691" s="84"/>
      <c r="AP691" s="84"/>
      <c r="AQ691" s="84"/>
      <c r="AR691" s="84"/>
      <c r="AS691" s="87">
        <f t="array" ref="AS691">IF(E691=1,SUM((ROW(Mf0)=ROW(AS691))*(Mf0+Mf1_+Mf2_+Mf3_+Mf4_+Mf5_+Mf6_+Mf7_+Mf8_+Mf9_+Mf10_+Mf11_+Mf12_+Mf13_+Mf14_+Mf15_+Mf16_+Mf17_+Mf18_+Mf19_+Mf20_+Mf21_+Mf22_+Mf23_+Mf24_+Mf25_+Mf26_+Mf27_+Mf28_+Mf29_+Mf30_+Mf31_+Mf32_+Mf33_+Mf34_+Mf35_+Mf36_+Mf37_)),0)</f>
        <v>0</v>
      </c>
      <c r="AU691" s="24" t="str">
        <f t="shared" si="66"/>
        <v/>
      </c>
      <c r="AV691" s="24" t="str">
        <f t="shared" si="67"/>
        <v/>
      </c>
      <c r="AW691" s="24" t="str">
        <f t="shared" si="68"/>
        <v/>
      </c>
      <c r="AX691" s="72">
        <f t="shared" si="69"/>
        <v>0</v>
      </c>
      <c r="AY691" s="24">
        <f t="shared" si="70"/>
        <v>0</v>
      </c>
      <c r="AZ691" s="24">
        <f t="array" ref="AZ691">IF(OR(RIGHT(B691,LEN(Par_LabelTravelTime))=Par_LabelTravelTime,B691="čas na ceste - fakturácia"),1,0)</f>
        <v>0</v>
      </c>
    </row>
    <row r="692" spans="2:52" s="24" customFormat="1" ht="12.75" x14ac:dyDescent="0.2">
      <c r="B692" s="97"/>
      <c r="C692" s="92"/>
      <c r="D692" s="31" t="str">
        <f>IF(E692=1,VLOOKUP(TableInvs[[#This Row],[Calc_V_Typ]],Tran_RevenuesList,3,FALSE),"")</f>
        <v/>
      </c>
      <c r="E692" s="31">
        <f t="shared" si="65"/>
        <v>0</v>
      </c>
      <c r="F692" s="94"/>
      <c r="G692" s="84"/>
      <c r="H692" s="84"/>
      <c r="I692" s="84"/>
      <c r="J692" s="84"/>
      <c r="K692" s="84"/>
      <c r="L692" s="84"/>
      <c r="M692" s="84"/>
      <c r="N692" s="84"/>
      <c r="O692" s="84"/>
      <c r="P692" s="84"/>
      <c r="Q692" s="84"/>
      <c r="R692" s="84"/>
      <c r="S692" s="84"/>
      <c r="T692" s="84"/>
      <c r="U692" s="84"/>
      <c r="V692" s="84"/>
      <c r="W692" s="84"/>
      <c r="X692" s="84"/>
      <c r="Y692" s="84"/>
      <c r="Z692" s="84"/>
      <c r="AA692" s="84"/>
      <c r="AB692" s="84"/>
      <c r="AC692" s="85"/>
      <c r="AD692" s="85"/>
      <c r="AE692" s="84"/>
      <c r="AF692" s="84"/>
      <c r="AG692" s="84"/>
      <c r="AH692" s="84"/>
      <c r="AI692" s="84"/>
      <c r="AJ692" s="84"/>
      <c r="AK692" s="84"/>
      <c r="AL692" s="84"/>
      <c r="AM692" s="84"/>
      <c r="AN692" s="84"/>
      <c r="AO692" s="84"/>
      <c r="AP692" s="84"/>
      <c r="AQ692" s="84"/>
      <c r="AR692" s="84"/>
      <c r="AS692" s="87">
        <f t="array" ref="AS692">IF(E692=1,SUM((ROW(Mf0)=ROW(AS692))*(Mf0+Mf1_+Mf2_+Mf3_+Mf4_+Mf5_+Mf6_+Mf7_+Mf8_+Mf9_+Mf10_+Mf11_+Mf12_+Mf13_+Mf14_+Mf15_+Mf16_+Mf17_+Mf18_+Mf19_+Mf20_+Mf21_+Mf22_+Mf23_+Mf24_+Mf25_+Mf26_+Mf27_+Mf28_+Mf29_+Mf30_+Mf31_+Mf32_+Mf33_+Mf34_+Mf35_+Mf36_+Mf37_)),0)</f>
        <v>0</v>
      </c>
      <c r="AU692" s="24" t="str">
        <f t="shared" si="66"/>
        <v/>
      </c>
      <c r="AV692" s="24" t="str">
        <f t="shared" si="67"/>
        <v/>
      </c>
      <c r="AW692" s="24" t="str">
        <f t="shared" si="68"/>
        <v/>
      </c>
      <c r="AX692" s="72">
        <f t="shared" si="69"/>
        <v>0</v>
      </c>
      <c r="AY692" s="24">
        <f t="shared" si="70"/>
        <v>0</v>
      </c>
      <c r="AZ692" s="24">
        <f t="array" ref="AZ692">IF(OR(RIGHT(B692,LEN(Par_LabelTravelTime))=Par_LabelTravelTime,B692="čas na ceste - fakturácia"),1,0)</f>
        <v>0</v>
      </c>
    </row>
    <row r="693" spans="2:52" s="24" customFormat="1" ht="12.75" x14ac:dyDescent="0.2">
      <c r="B693" s="97"/>
      <c r="C693" s="92"/>
      <c r="D693" s="31" t="str">
        <f>IF(E693=1,VLOOKUP(TableInvs[[#This Row],[Calc_V_Typ]],Tran_RevenuesList,3,FALSE),"")</f>
        <v/>
      </c>
      <c r="E693" s="31">
        <f t="shared" si="65"/>
        <v>0</v>
      </c>
      <c r="F693" s="9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  <c r="S693" s="84"/>
      <c r="T693" s="84"/>
      <c r="U693" s="84"/>
      <c r="V693" s="84"/>
      <c r="W693" s="84"/>
      <c r="X693" s="84"/>
      <c r="Y693" s="84"/>
      <c r="Z693" s="84"/>
      <c r="AA693" s="84"/>
      <c r="AB693" s="84"/>
      <c r="AC693" s="85"/>
      <c r="AD693" s="85"/>
      <c r="AE693" s="84"/>
      <c r="AF693" s="84"/>
      <c r="AG693" s="84"/>
      <c r="AH693" s="84"/>
      <c r="AI693" s="84"/>
      <c r="AJ693" s="84"/>
      <c r="AK693" s="84"/>
      <c r="AL693" s="84"/>
      <c r="AM693" s="84"/>
      <c r="AN693" s="84"/>
      <c r="AO693" s="84"/>
      <c r="AP693" s="84"/>
      <c r="AQ693" s="84"/>
      <c r="AR693" s="84"/>
      <c r="AS693" s="87">
        <f t="array" ref="AS693">IF(E693=1,SUM((ROW(Mf0)=ROW(AS693))*(Mf0+Mf1_+Mf2_+Mf3_+Mf4_+Mf5_+Mf6_+Mf7_+Mf8_+Mf9_+Mf10_+Mf11_+Mf12_+Mf13_+Mf14_+Mf15_+Mf16_+Mf17_+Mf18_+Mf19_+Mf20_+Mf21_+Mf22_+Mf23_+Mf24_+Mf25_+Mf26_+Mf27_+Mf28_+Mf29_+Mf30_+Mf31_+Mf32_+Mf33_+Mf34_+Mf35_+Mf36_+Mf37_)),0)</f>
        <v>0</v>
      </c>
      <c r="AU693" s="24" t="str">
        <f t="shared" si="66"/>
        <v/>
      </c>
      <c r="AV693" s="24" t="str">
        <f t="shared" si="67"/>
        <v/>
      </c>
      <c r="AW693" s="24" t="str">
        <f t="shared" si="68"/>
        <v/>
      </c>
      <c r="AX693" s="72">
        <f t="shared" si="69"/>
        <v>0</v>
      </c>
      <c r="AY693" s="24">
        <f t="shared" si="70"/>
        <v>0</v>
      </c>
      <c r="AZ693" s="24">
        <f t="array" ref="AZ693">IF(OR(RIGHT(B693,LEN(Par_LabelTravelTime))=Par_LabelTravelTime,B693="čas na ceste - fakturácia"),1,0)</f>
        <v>0</v>
      </c>
    </row>
    <row r="694" spans="2:52" s="24" customFormat="1" ht="12.75" x14ac:dyDescent="0.2">
      <c r="B694" s="97"/>
      <c r="C694" s="92"/>
      <c r="D694" s="31" t="str">
        <f>IF(E694=1,VLOOKUP(TableInvs[[#This Row],[Calc_V_Typ]],Tran_RevenuesList,3,FALSE),"")</f>
        <v/>
      </c>
      <c r="E694" s="31">
        <f t="shared" si="65"/>
        <v>0</v>
      </c>
      <c r="F694" s="9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  <c r="R694" s="84"/>
      <c r="S694" s="84"/>
      <c r="T694" s="84"/>
      <c r="U694" s="84"/>
      <c r="V694" s="84"/>
      <c r="W694" s="84"/>
      <c r="X694" s="84"/>
      <c r="Y694" s="84"/>
      <c r="Z694" s="84"/>
      <c r="AA694" s="84"/>
      <c r="AB694" s="84"/>
      <c r="AC694" s="85"/>
      <c r="AD694" s="85"/>
      <c r="AE694" s="84"/>
      <c r="AF694" s="84"/>
      <c r="AG694" s="84"/>
      <c r="AH694" s="84"/>
      <c r="AI694" s="84"/>
      <c r="AJ694" s="84"/>
      <c r="AK694" s="84"/>
      <c r="AL694" s="84"/>
      <c r="AM694" s="84"/>
      <c r="AN694" s="84"/>
      <c r="AO694" s="84"/>
      <c r="AP694" s="84"/>
      <c r="AQ694" s="84"/>
      <c r="AR694" s="84"/>
      <c r="AS694" s="87">
        <f t="array" ref="AS694">IF(E694=1,SUM((ROW(Mf0)=ROW(AS694))*(Mf0+Mf1_+Mf2_+Mf3_+Mf4_+Mf5_+Mf6_+Mf7_+Mf8_+Mf9_+Mf10_+Mf11_+Mf12_+Mf13_+Mf14_+Mf15_+Mf16_+Mf17_+Mf18_+Mf19_+Mf20_+Mf21_+Mf22_+Mf23_+Mf24_+Mf25_+Mf26_+Mf27_+Mf28_+Mf29_+Mf30_+Mf31_+Mf32_+Mf33_+Mf34_+Mf35_+Mf36_+Mf37_)),0)</f>
        <v>0</v>
      </c>
      <c r="AU694" s="24" t="str">
        <f t="shared" si="66"/>
        <v/>
      </c>
      <c r="AV694" s="24" t="str">
        <f t="shared" si="67"/>
        <v/>
      </c>
      <c r="AW694" s="24" t="str">
        <f t="shared" si="68"/>
        <v/>
      </c>
      <c r="AX694" s="72">
        <f t="shared" si="69"/>
        <v>0</v>
      </c>
      <c r="AY694" s="24">
        <f t="shared" si="70"/>
        <v>0</v>
      </c>
      <c r="AZ694" s="24">
        <f t="array" ref="AZ694">IF(OR(RIGHT(B694,LEN(Par_LabelTravelTime))=Par_LabelTravelTime,B694="čas na ceste - fakturácia"),1,0)</f>
        <v>0</v>
      </c>
    </row>
    <row r="695" spans="2:52" s="24" customFormat="1" ht="12.75" x14ac:dyDescent="0.2">
      <c r="B695" s="97"/>
      <c r="C695" s="92"/>
      <c r="D695" s="31" t="str">
        <f>IF(E695=1,VLOOKUP(TableInvs[[#This Row],[Calc_V_Typ]],Tran_RevenuesList,3,FALSE),"")</f>
        <v/>
      </c>
      <c r="E695" s="31">
        <f t="shared" si="65"/>
        <v>0</v>
      </c>
      <c r="F695" s="9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  <c r="R695" s="84"/>
      <c r="S695" s="84"/>
      <c r="T695" s="84"/>
      <c r="U695" s="84"/>
      <c r="V695" s="84"/>
      <c r="W695" s="84"/>
      <c r="X695" s="84"/>
      <c r="Y695" s="84"/>
      <c r="Z695" s="84"/>
      <c r="AA695" s="84"/>
      <c r="AB695" s="84"/>
      <c r="AC695" s="85"/>
      <c r="AD695" s="85"/>
      <c r="AE695" s="84"/>
      <c r="AF695" s="84"/>
      <c r="AG695" s="84"/>
      <c r="AH695" s="84"/>
      <c r="AI695" s="84"/>
      <c r="AJ695" s="84"/>
      <c r="AK695" s="84"/>
      <c r="AL695" s="84"/>
      <c r="AM695" s="84"/>
      <c r="AN695" s="84"/>
      <c r="AO695" s="84"/>
      <c r="AP695" s="84"/>
      <c r="AQ695" s="84"/>
      <c r="AR695" s="84"/>
      <c r="AS695" s="87">
        <f t="array" ref="AS695">IF(E695=1,SUM((ROW(Mf0)=ROW(AS695))*(Mf0+Mf1_+Mf2_+Mf3_+Mf4_+Mf5_+Mf6_+Mf7_+Mf8_+Mf9_+Mf10_+Mf11_+Mf12_+Mf13_+Mf14_+Mf15_+Mf16_+Mf17_+Mf18_+Mf19_+Mf20_+Mf21_+Mf22_+Mf23_+Mf24_+Mf25_+Mf26_+Mf27_+Mf28_+Mf29_+Mf30_+Mf31_+Mf32_+Mf33_+Mf34_+Mf35_+Mf36_+Mf37_)),0)</f>
        <v>0</v>
      </c>
      <c r="AU695" s="24" t="str">
        <f t="shared" si="66"/>
        <v/>
      </c>
      <c r="AV695" s="24" t="str">
        <f t="shared" si="67"/>
        <v/>
      </c>
      <c r="AW695" s="24" t="str">
        <f t="shared" si="68"/>
        <v/>
      </c>
      <c r="AX695" s="72">
        <f t="shared" si="69"/>
        <v>0</v>
      </c>
      <c r="AY695" s="24">
        <f t="shared" si="70"/>
        <v>0</v>
      </c>
      <c r="AZ695" s="24">
        <f t="array" ref="AZ695">IF(OR(RIGHT(B695,LEN(Par_LabelTravelTime))=Par_LabelTravelTime,B695="čas na ceste - fakturácia"),1,0)</f>
        <v>0</v>
      </c>
    </row>
    <row r="696" spans="2:52" s="24" customFormat="1" ht="12.75" x14ac:dyDescent="0.2">
      <c r="B696" s="97"/>
      <c r="C696" s="92"/>
      <c r="D696" s="31" t="str">
        <f>IF(E696=1,VLOOKUP(TableInvs[[#This Row],[Calc_V_Typ]],Tran_RevenuesList,3,FALSE),"")</f>
        <v/>
      </c>
      <c r="E696" s="31">
        <f t="shared" si="65"/>
        <v>0</v>
      </c>
      <c r="F696" s="9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  <c r="R696" s="84"/>
      <c r="S696" s="84"/>
      <c r="T696" s="84"/>
      <c r="U696" s="84"/>
      <c r="V696" s="84"/>
      <c r="W696" s="84"/>
      <c r="X696" s="84"/>
      <c r="Y696" s="84"/>
      <c r="Z696" s="84"/>
      <c r="AA696" s="84"/>
      <c r="AB696" s="84"/>
      <c r="AC696" s="85"/>
      <c r="AD696" s="85"/>
      <c r="AE696" s="84"/>
      <c r="AF696" s="84"/>
      <c r="AG696" s="84"/>
      <c r="AH696" s="84"/>
      <c r="AI696" s="84"/>
      <c r="AJ696" s="84"/>
      <c r="AK696" s="84"/>
      <c r="AL696" s="84"/>
      <c r="AM696" s="84"/>
      <c r="AN696" s="84"/>
      <c r="AO696" s="84"/>
      <c r="AP696" s="84"/>
      <c r="AQ696" s="84"/>
      <c r="AR696" s="84"/>
      <c r="AS696" s="87">
        <f t="array" ref="AS696">IF(E696=1,SUM((ROW(Mf0)=ROW(AS696))*(Mf0+Mf1_+Mf2_+Mf3_+Mf4_+Mf5_+Mf6_+Mf7_+Mf8_+Mf9_+Mf10_+Mf11_+Mf12_+Mf13_+Mf14_+Mf15_+Mf16_+Mf17_+Mf18_+Mf19_+Mf20_+Mf21_+Mf22_+Mf23_+Mf24_+Mf25_+Mf26_+Mf27_+Mf28_+Mf29_+Mf30_+Mf31_+Mf32_+Mf33_+Mf34_+Mf35_+Mf36_+Mf37_)),0)</f>
        <v>0</v>
      </c>
      <c r="AU696" s="24" t="str">
        <f t="shared" si="66"/>
        <v/>
      </c>
      <c r="AV696" s="24" t="str">
        <f t="shared" si="67"/>
        <v/>
      </c>
      <c r="AW696" s="24" t="str">
        <f t="shared" si="68"/>
        <v/>
      </c>
      <c r="AX696" s="72">
        <f t="shared" si="69"/>
        <v>0</v>
      </c>
      <c r="AY696" s="24">
        <f t="shared" si="70"/>
        <v>0</v>
      </c>
      <c r="AZ696" s="24">
        <f t="array" ref="AZ696">IF(OR(RIGHT(B696,LEN(Par_LabelTravelTime))=Par_LabelTravelTime,B696="čas na ceste - fakturácia"),1,0)</f>
        <v>0</v>
      </c>
    </row>
    <row r="697" spans="2:52" s="24" customFormat="1" ht="12.75" x14ac:dyDescent="0.2">
      <c r="B697" s="97"/>
      <c r="C697" s="92"/>
      <c r="D697" s="31" t="str">
        <f>IF(E697=1,VLOOKUP(TableInvs[[#This Row],[Calc_V_Typ]],Tran_RevenuesList,3,FALSE),"")</f>
        <v/>
      </c>
      <c r="E697" s="31">
        <f t="shared" si="65"/>
        <v>0</v>
      </c>
      <c r="F697" s="9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  <c r="R697" s="84"/>
      <c r="S697" s="84"/>
      <c r="T697" s="84"/>
      <c r="U697" s="84"/>
      <c r="V697" s="84"/>
      <c r="W697" s="84"/>
      <c r="X697" s="84"/>
      <c r="Y697" s="84"/>
      <c r="Z697" s="84"/>
      <c r="AA697" s="84"/>
      <c r="AB697" s="84"/>
      <c r="AC697" s="85"/>
      <c r="AD697" s="85"/>
      <c r="AE697" s="84"/>
      <c r="AF697" s="84"/>
      <c r="AG697" s="84"/>
      <c r="AH697" s="84"/>
      <c r="AI697" s="84"/>
      <c r="AJ697" s="84"/>
      <c r="AK697" s="84"/>
      <c r="AL697" s="84"/>
      <c r="AM697" s="84"/>
      <c r="AN697" s="84"/>
      <c r="AO697" s="84"/>
      <c r="AP697" s="84"/>
      <c r="AQ697" s="84"/>
      <c r="AR697" s="84"/>
      <c r="AS697" s="87">
        <f t="array" ref="AS697">IF(E697=1,SUM((ROW(Mf0)=ROW(AS697))*(Mf0+Mf1_+Mf2_+Mf3_+Mf4_+Mf5_+Mf6_+Mf7_+Mf8_+Mf9_+Mf10_+Mf11_+Mf12_+Mf13_+Mf14_+Mf15_+Mf16_+Mf17_+Mf18_+Mf19_+Mf20_+Mf21_+Mf22_+Mf23_+Mf24_+Mf25_+Mf26_+Mf27_+Mf28_+Mf29_+Mf30_+Mf31_+Mf32_+Mf33_+Mf34_+Mf35_+Mf36_+Mf37_)),0)</f>
        <v>0</v>
      </c>
      <c r="AU697" s="24" t="str">
        <f t="shared" si="66"/>
        <v/>
      </c>
      <c r="AV697" s="24" t="str">
        <f t="shared" si="67"/>
        <v/>
      </c>
      <c r="AW697" s="24" t="str">
        <f t="shared" si="68"/>
        <v/>
      </c>
      <c r="AX697" s="72">
        <f t="shared" si="69"/>
        <v>0</v>
      </c>
      <c r="AY697" s="24">
        <f t="shared" si="70"/>
        <v>0</v>
      </c>
      <c r="AZ697" s="24">
        <f t="array" ref="AZ697">IF(OR(RIGHT(B697,LEN(Par_LabelTravelTime))=Par_LabelTravelTime,B697="čas na ceste - fakturácia"),1,0)</f>
        <v>0</v>
      </c>
    </row>
    <row r="698" spans="2:52" s="24" customFormat="1" ht="12.75" x14ac:dyDescent="0.2">
      <c r="B698" s="97"/>
      <c r="C698" s="92"/>
      <c r="D698" s="31" t="str">
        <f>IF(E698=1,VLOOKUP(TableInvs[[#This Row],[Calc_V_Typ]],Tran_RevenuesList,3,FALSE),"")</f>
        <v/>
      </c>
      <c r="E698" s="31">
        <f t="shared" si="65"/>
        <v>0</v>
      </c>
      <c r="F698" s="9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  <c r="R698" s="84"/>
      <c r="S698" s="84"/>
      <c r="T698" s="84"/>
      <c r="U698" s="84"/>
      <c r="V698" s="84"/>
      <c r="W698" s="84"/>
      <c r="X698" s="84"/>
      <c r="Y698" s="84"/>
      <c r="Z698" s="84"/>
      <c r="AA698" s="84"/>
      <c r="AB698" s="84"/>
      <c r="AC698" s="85"/>
      <c r="AD698" s="85"/>
      <c r="AE698" s="84"/>
      <c r="AF698" s="84"/>
      <c r="AG698" s="84"/>
      <c r="AH698" s="84"/>
      <c r="AI698" s="84"/>
      <c r="AJ698" s="84"/>
      <c r="AK698" s="84"/>
      <c r="AL698" s="84"/>
      <c r="AM698" s="84"/>
      <c r="AN698" s="84"/>
      <c r="AO698" s="84"/>
      <c r="AP698" s="84"/>
      <c r="AQ698" s="84"/>
      <c r="AR698" s="84"/>
      <c r="AS698" s="87">
        <f t="array" ref="AS698">IF(E698=1,SUM((ROW(Mf0)=ROW(AS698))*(Mf0+Mf1_+Mf2_+Mf3_+Mf4_+Mf5_+Mf6_+Mf7_+Mf8_+Mf9_+Mf10_+Mf11_+Mf12_+Mf13_+Mf14_+Mf15_+Mf16_+Mf17_+Mf18_+Mf19_+Mf20_+Mf21_+Mf22_+Mf23_+Mf24_+Mf25_+Mf26_+Mf27_+Mf28_+Mf29_+Mf30_+Mf31_+Mf32_+Mf33_+Mf34_+Mf35_+Mf36_+Mf37_)),0)</f>
        <v>0</v>
      </c>
      <c r="AU698" s="24" t="str">
        <f t="shared" si="66"/>
        <v/>
      </c>
      <c r="AV698" s="24" t="str">
        <f t="shared" si="67"/>
        <v/>
      </c>
      <c r="AW698" s="24" t="str">
        <f t="shared" si="68"/>
        <v/>
      </c>
      <c r="AX698" s="72">
        <f t="shared" si="69"/>
        <v>0</v>
      </c>
      <c r="AY698" s="24">
        <f t="shared" si="70"/>
        <v>0</v>
      </c>
      <c r="AZ698" s="24">
        <f t="array" ref="AZ698">IF(OR(RIGHT(B698,LEN(Par_LabelTravelTime))=Par_LabelTravelTime,B698="čas na ceste - fakturácia"),1,0)</f>
        <v>0</v>
      </c>
    </row>
    <row r="699" spans="2:52" s="24" customFormat="1" ht="12.75" x14ac:dyDescent="0.2">
      <c r="B699" s="97"/>
      <c r="C699" s="92"/>
      <c r="D699" s="31" t="str">
        <f>IF(E699=1,VLOOKUP(TableInvs[[#This Row],[Calc_V_Typ]],Tran_RevenuesList,3,FALSE),"")</f>
        <v/>
      </c>
      <c r="E699" s="31">
        <f t="shared" si="65"/>
        <v>0</v>
      </c>
      <c r="F699" s="9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  <c r="R699" s="84"/>
      <c r="S699" s="84"/>
      <c r="T699" s="84"/>
      <c r="U699" s="84"/>
      <c r="V699" s="84"/>
      <c r="W699" s="84"/>
      <c r="X699" s="84"/>
      <c r="Y699" s="84"/>
      <c r="Z699" s="84"/>
      <c r="AA699" s="84"/>
      <c r="AB699" s="84"/>
      <c r="AC699" s="85"/>
      <c r="AD699" s="85"/>
      <c r="AE699" s="84"/>
      <c r="AF699" s="84"/>
      <c r="AG699" s="84"/>
      <c r="AH699" s="84"/>
      <c r="AI699" s="84"/>
      <c r="AJ699" s="84"/>
      <c r="AK699" s="84"/>
      <c r="AL699" s="84"/>
      <c r="AM699" s="84"/>
      <c r="AN699" s="84"/>
      <c r="AO699" s="84"/>
      <c r="AP699" s="84"/>
      <c r="AQ699" s="84"/>
      <c r="AR699" s="84"/>
      <c r="AS699" s="87">
        <f t="array" ref="AS699">IF(E699=1,SUM((ROW(Mf0)=ROW(AS699))*(Mf0+Mf1_+Mf2_+Mf3_+Mf4_+Mf5_+Mf6_+Mf7_+Mf8_+Mf9_+Mf10_+Mf11_+Mf12_+Mf13_+Mf14_+Mf15_+Mf16_+Mf17_+Mf18_+Mf19_+Mf20_+Mf21_+Mf22_+Mf23_+Mf24_+Mf25_+Mf26_+Mf27_+Mf28_+Mf29_+Mf30_+Mf31_+Mf32_+Mf33_+Mf34_+Mf35_+Mf36_+Mf37_)),0)</f>
        <v>0</v>
      </c>
      <c r="AU699" s="24" t="str">
        <f t="shared" si="66"/>
        <v/>
      </c>
      <c r="AV699" s="24" t="str">
        <f t="shared" si="67"/>
        <v/>
      </c>
      <c r="AW699" s="24" t="str">
        <f t="shared" si="68"/>
        <v/>
      </c>
      <c r="AX699" s="72">
        <f t="shared" si="69"/>
        <v>0</v>
      </c>
      <c r="AY699" s="24">
        <f t="shared" si="70"/>
        <v>0</v>
      </c>
      <c r="AZ699" s="24">
        <f t="array" ref="AZ699">IF(OR(RIGHT(B699,LEN(Par_LabelTravelTime))=Par_LabelTravelTime,B699="čas na ceste - fakturácia"),1,0)</f>
        <v>0</v>
      </c>
    </row>
    <row r="700" spans="2:52" s="24" customFormat="1" ht="12.75" x14ac:dyDescent="0.2">
      <c r="B700" s="97"/>
      <c r="C700" s="92"/>
      <c r="D700" s="31" t="str">
        <f>IF(E700=1,VLOOKUP(TableInvs[[#This Row],[Calc_V_Typ]],Tran_RevenuesList,3,FALSE),"")</f>
        <v/>
      </c>
      <c r="E700" s="31">
        <f t="shared" si="65"/>
        <v>0</v>
      </c>
      <c r="F700" s="9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  <c r="R700" s="84"/>
      <c r="S700" s="84"/>
      <c r="T700" s="84"/>
      <c r="U700" s="84"/>
      <c r="V700" s="84"/>
      <c r="W700" s="84"/>
      <c r="X700" s="84"/>
      <c r="Y700" s="84"/>
      <c r="Z700" s="84"/>
      <c r="AA700" s="84"/>
      <c r="AB700" s="84"/>
      <c r="AC700" s="85"/>
      <c r="AD700" s="85"/>
      <c r="AE700" s="84"/>
      <c r="AF700" s="84"/>
      <c r="AG700" s="84"/>
      <c r="AH700" s="84"/>
      <c r="AI700" s="84"/>
      <c r="AJ700" s="84"/>
      <c r="AK700" s="84"/>
      <c r="AL700" s="84"/>
      <c r="AM700" s="84"/>
      <c r="AN700" s="84"/>
      <c r="AO700" s="84"/>
      <c r="AP700" s="84"/>
      <c r="AQ700" s="84"/>
      <c r="AR700" s="84"/>
      <c r="AS700" s="87">
        <f t="array" ref="AS700">IF(E700=1,SUM((ROW(Mf0)=ROW(AS700))*(Mf0+Mf1_+Mf2_+Mf3_+Mf4_+Mf5_+Mf6_+Mf7_+Mf8_+Mf9_+Mf10_+Mf11_+Mf12_+Mf13_+Mf14_+Mf15_+Mf16_+Mf17_+Mf18_+Mf19_+Mf20_+Mf21_+Mf22_+Mf23_+Mf24_+Mf25_+Mf26_+Mf27_+Mf28_+Mf29_+Mf30_+Mf31_+Mf32_+Mf33_+Mf34_+Mf35_+Mf36_+Mf37_)),0)</f>
        <v>0</v>
      </c>
      <c r="AU700" s="24" t="str">
        <f t="shared" si="66"/>
        <v/>
      </c>
      <c r="AV700" s="24" t="str">
        <f t="shared" si="67"/>
        <v/>
      </c>
      <c r="AW700" s="24" t="str">
        <f t="shared" si="68"/>
        <v/>
      </c>
      <c r="AX700" s="72">
        <f t="shared" si="69"/>
        <v>0</v>
      </c>
      <c r="AY700" s="24">
        <f t="shared" si="70"/>
        <v>0</v>
      </c>
      <c r="AZ700" s="24">
        <f t="array" ref="AZ700">IF(OR(RIGHT(B700,LEN(Par_LabelTravelTime))=Par_LabelTravelTime,B700="čas na ceste - fakturácia"),1,0)</f>
        <v>0</v>
      </c>
    </row>
    <row r="701" spans="2:52" s="24" customFormat="1" ht="12.75" x14ac:dyDescent="0.2">
      <c r="B701" s="97"/>
      <c r="C701" s="92"/>
      <c r="D701" s="31" t="str">
        <f>IF(E701=1,VLOOKUP(TableInvs[[#This Row],[Calc_V_Typ]],Tran_RevenuesList,3,FALSE),"")</f>
        <v/>
      </c>
      <c r="E701" s="31">
        <f t="shared" si="65"/>
        <v>0</v>
      </c>
      <c r="F701" s="9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  <c r="R701" s="84"/>
      <c r="S701" s="84"/>
      <c r="T701" s="84"/>
      <c r="U701" s="84"/>
      <c r="V701" s="84"/>
      <c r="W701" s="84"/>
      <c r="X701" s="84"/>
      <c r="Y701" s="84"/>
      <c r="Z701" s="84"/>
      <c r="AA701" s="84"/>
      <c r="AB701" s="84"/>
      <c r="AC701" s="85"/>
      <c r="AD701" s="85"/>
      <c r="AE701" s="84"/>
      <c r="AF701" s="84"/>
      <c r="AG701" s="84"/>
      <c r="AH701" s="84"/>
      <c r="AI701" s="84"/>
      <c r="AJ701" s="84"/>
      <c r="AK701" s="84"/>
      <c r="AL701" s="84"/>
      <c r="AM701" s="84"/>
      <c r="AN701" s="84"/>
      <c r="AO701" s="84"/>
      <c r="AP701" s="84"/>
      <c r="AQ701" s="84"/>
      <c r="AR701" s="84"/>
      <c r="AS701" s="87">
        <f t="array" ref="AS701">IF(E701=1,SUM((ROW(Mf0)=ROW(AS701))*(Mf0+Mf1_+Mf2_+Mf3_+Mf4_+Mf5_+Mf6_+Mf7_+Mf8_+Mf9_+Mf10_+Mf11_+Mf12_+Mf13_+Mf14_+Mf15_+Mf16_+Mf17_+Mf18_+Mf19_+Mf20_+Mf21_+Mf22_+Mf23_+Mf24_+Mf25_+Mf26_+Mf27_+Mf28_+Mf29_+Mf30_+Mf31_+Mf32_+Mf33_+Mf34_+Mf35_+Mf36_+Mf37_)),0)</f>
        <v>0</v>
      </c>
      <c r="AU701" s="24" t="str">
        <f t="shared" si="66"/>
        <v/>
      </c>
      <c r="AV701" s="24" t="str">
        <f t="shared" si="67"/>
        <v/>
      </c>
      <c r="AW701" s="24" t="str">
        <f t="shared" si="68"/>
        <v/>
      </c>
      <c r="AX701" s="72">
        <f t="shared" si="69"/>
        <v>0</v>
      </c>
      <c r="AY701" s="24">
        <f t="shared" si="70"/>
        <v>0</v>
      </c>
      <c r="AZ701" s="24">
        <f t="array" ref="AZ701">IF(OR(RIGHT(B701,LEN(Par_LabelTravelTime))=Par_LabelTravelTime,B701="čas na ceste - fakturácia"),1,0)</f>
        <v>0</v>
      </c>
    </row>
    <row r="702" spans="2:52" s="24" customFormat="1" ht="12.75" x14ac:dyDescent="0.2">
      <c r="B702" s="97"/>
      <c r="C702" s="92"/>
      <c r="D702" s="31" t="str">
        <f>IF(E702=1,VLOOKUP(TableInvs[[#This Row],[Calc_V_Typ]],Tran_RevenuesList,3,FALSE),"")</f>
        <v/>
      </c>
      <c r="E702" s="31">
        <f t="shared" si="65"/>
        <v>0</v>
      </c>
      <c r="F702" s="9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  <c r="R702" s="84"/>
      <c r="S702" s="84"/>
      <c r="T702" s="84"/>
      <c r="U702" s="84"/>
      <c r="V702" s="84"/>
      <c r="W702" s="84"/>
      <c r="X702" s="84"/>
      <c r="Y702" s="84"/>
      <c r="Z702" s="84"/>
      <c r="AA702" s="84"/>
      <c r="AB702" s="84"/>
      <c r="AC702" s="85"/>
      <c r="AD702" s="85"/>
      <c r="AE702" s="84"/>
      <c r="AF702" s="84"/>
      <c r="AG702" s="84"/>
      <c r="AH702" s="84"/>
      <c r="AI702" s="84"/>
      <c r="AJ702" s="84"/>
      <c r="AK702" s="84"/>
      <c r="AL702" s="84"/>
      <c r="AM702" s="84"/>
      <c r="AN702" s="84"/>
      <c r="AO702" s="84"/>
      <c r="AP702" s="84"/>
      <c r="AQ702" s="84"/>
      <c r="AR702" s="84"/>
      <c r="AS702" s="87">
        <f t="array" ref="AS702">IF(E702=1,SUM((ROW(Mf0)=ROW(AS702))*(Mf0+Mf1_+Mf2_+Mf3_+Mf4_+Mf5_+Mf6_+Mf7_+Mf8_+Mf9_+Mf10_+Mf11_+Mf12_+Mf13_+Mf14_+Mf15_+Mf16_+Mf17_+Mf18_+Mf19_+Mf20_+Mf21_+Mf22_+Mf23_+Mf24_+Mf25_+Mf26_+Mf27_+Mf28_+Mf29_+Mf30_+Mf31_+Mf32_+Mf33_+Mf34_+Mf35_+Mf36_+Mf37_)),0)</f>
        <v>0</v>
      </c>
      <c r="AU702" s="24" t="str">
        <f t="shared" si="66"/>
        <v/>
      </c>
      <c r="AV702" s="24" t="str">
        <f t="shared" si="67"/>
        <v/>
      </c>
      <c r="AW702" s="24" t="str">
        <f t="shared" si="68"/>
        <v/>
      </c>
      <c r="AX702" s="72">
        <f t="shared" si="69"/>
        <v>0</v>
      </c>
      <c r="AY702" s="24">
        <f t="shared" si="70"/>
        <v>0</v>
      </c>
      <c r="AZ702" s="24">
        <f t="array" ref="AZ702">IF(OR(RIGHT(B702,LEN(Par_LabelTravelTime))=Par_LabelTravelTime,B702="čas na ceste - fakturácia"),1,0)</f>
        <v>0</v>
      </c>
    </row>
    <row r="703" spans="2:52" s="24" customFormat="1" ht="12.75" x14ac:dyDescent="0.2">
      <c r="B703" s="97"/>
      <c r="C703" s="92"/>
      <c r="D703" s="31" t="str">
        <f>IF(E703=1,VLOOKUP(TableInvs[[#This Row],[Calc_V_Typ]],Tran_RevenuesList,3,FALSE),"")</f>
        <v/>
      </c>
      <c r="E703" s="31">
        <f t="shared" si="65"/>
        <v>0</v>
      </c>
      <c r="F703" s="9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  <c r="R703" s="84"/>
      <c r="S703" s="84"/>
      <c r="T703" s="84"/>
      <c r="U703" s="84"/>
      <c r="V703" s="84"/>
      <c r="W703" s="84"/>
      <c r="X703" s="84"/>
      <c r="Y703" s="84"/>
      <c r="Z703" s="84"/>
      <c r="AA703" s="84"/>
      <c r="AB703" s="84"/>
      <c r="AC703" s="85"/>
      <c r="AD703" s="85"/>
      <c r="AE703" s="84"/>
      <c r="AF703" s="84"/>
      <c r="AG703" s="84"/>
      <c r="AH703" s="84"/>
      <c r="AI703" s="84"/>
      <c r="AJ703" s="84"/>
      <c r="AK703" s="84"/>
      <c r="AL703" s="84"/>
      <c r="AM703" s="84"/>
      <c r="AN703" s="84"/>
      <c r="AO703" s="84"/>
      <c r="AP703" s="84"/>
      <c r="AQ703" s="84"/>
      <c r="AR703" s="84"/>
      <c r="AS703" s="87">
        <f t="array" ref="AS703">IF(E703=1,SUM((ROW(Mf0)=ROW(AS703))*(Mf0+Mf1_+Mf2_+Mf3_+Mf4_+Mf5_+Mf6_+Mf7_+Mf8_+Mf9_+Mf10_+Mf11_+Mf12_+Mf13_+Mf14_+Mf15_+Mf16_+Mf17_+Mf18_+Mf19_+Mf20_+Mf21_+Mf22_+Mf23_+Mf24_+Mf25_+Mf26_+Mf27_+Mf28_+Mf29_+Mf30_+Mf31_+Mf32_+Mf33_+Mf34_+Mf35_+Mf36_+Mf37_)),0)</f>
        <v>0</v>
      </c>
      <c r="AU703" s="24" t="str">
        <f t="shared" si="66"/>
        <v/>
      </c>
      <c r="AV703" s="24" t="str">
        <f t="shared" si="67"/>
        <v/>
      </c>
      <c r="AW703" s="24" t="str">
        <f t="shared" si="68"/>
        <v/>
      </c>
      <c r="AX703" s="72">
        <f t="shared" si="69"/>
        <v>0</v>
      </c>
      <c r="AY703" s="24">
        <f t="shared" si="70"/>
        <v>0</v>
      </c>
      <c r="AZ703" s="24">
        <f t="array" ref="AZ703">IF(OR(RIGHT(B703,LEN(Par_LabelTravelTime))=Par_LabelTravelTime,B703="čas na ceste - fakturácia"),1,0)</f>
        <v>0</v>
      </c>
    </row>
    <row r="704" spans="2:52" s="24" customFormat="1" ht="12.75" x14ac:dyDescent="0.2">
      <c r="B704" s="97"/>
      <c r="C704" s="92"/>
      <c r="D704" s="31" t="str">
        <f>IF(E704=1,VLOOKUP(TableInvs[[#This Row],[Calc_V_Typ]],Tran_RevenuesList,3,FALSE),"")</f>
        <v/>
      </c>
      <c r="E704" s="31">
        <f t="shared" si="65"/>
        <v>0</v>
      </c>
      <c r="F704" s="9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  <c r="R704" s="84"/>
      <c r="S704" s="84"/>
      <c r="T704" s="84"/>
      <c r="U704" s="84"/>
      <c r="V704" s="84"/>
      <c r="W704" s="84"/>
      <c r="X704" s="84"/>
      <c r="Y704" s="84"/>
      <c r="Z704" s="84"/>
      <c r="AA704" s="84"/>
      <c r="AB704" s="84"/>
      <c r="AC704" s="85"/>
      <c r="AD704" s="85"/>
      <c r="AE704" s="84"/>
      <c r="AF704" s="84"/>
      <c r="AG704" s="84"/>
      <c r="AH704" s="84"/>
      <c r="AI704" s="84"/>
      <c r="AJ704" s="84"/>
      <c r="AK704" s="84"/>
      <c r="AL704" s="84"/>
      <c r="AM704" s="84"/>
      <c r="AN704" s="84"/>
      <c r="AO704" s="84"/>
      <c r="AP704" s="84"/>
      <c r="AQ704" s="84"/>
      <c r="AR704" s="84"/>
      <c r="AS704" s="87">
        <f t="array" ref="AS704">IF(E704=1,SUM((ROW(Mf0)=ROW(AS704))*(Mf0+Mf1_+Mf2_+Mf3_+Mf4_+Mf5_+Mf6_+Mf7_+Mf8_+Mf9_+Mf10_+Mf11_+Mf12_+Mf13_+Mf14_+Mf15_+Mf16_+Mf17_+Mf18_+Mf19_+Mf20_+Mf21_+Mf22_+Mf23_+Mf24_+Mf25_+Mf26_+Mf27_+Mf28_+Mf29_+Mf30_+Mf31_+Mf32_+Mf33_+Mf34_+Mf35_+Mf36_+Mf37_)),0)</f>
        <v>0</v>
      </c>
      <c r="AU704" s="24" t="str">
        <f t="shared" si="66"/>
        <v/>
      </c>
      <c r="AV704" s="24" t="str">
        <f t="shared" si="67"/>
        <v/>
      </c>
      <c r="AW704" s="24" t="str">
        <f t="shared" si="68"/>
        <v/>
      </c>
      <c r="AX704" s="72">
        <f t="shared" si="69"/>
        <v>0</v>
      </c>
      <c r="AY704" s="24">
        <f t="shared" si="70"/>
        <v>0</v>
      </c>
      <c r="AZ704" s="24">
        <f t="array" ref="AZ704">IF(OR(RIGHT(B704,LEN(Par_LabelTravelTime))=Par_LabelTravelTime,B704="čas na ceste - fakturácia"),1,0)</f>
        <v>0</v>
      </c>
    </row>
    <row r="705" spans="2:52" s="24" customFormat="1" ht="12.75" x14ac:dyDescent="0.2">
      <c r="B705" s="97"/>
      <c r="C705" s="92"/>
      <c r="D705" s="31" t="str">
        <f>IF(E705=1,VLOOKUP(TableInvs[[#This Row],[Calc_V_Typ]],Tran_RevenuesList,3,FALSE),"")</f>
        <v/>
      </c>
      <c r="E705" s="31">
        <f t="shared" si="65"/>
        <v>0</v>
      </c>
      <c r="F705" s="9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  <c r="R705" s="84"/>
      <c r="S705" s="84"/>
      <c r="T705" s="84"/>
      <c r="U705" s="84"/>
      <c r="V705" s="84"/>
      <c r="W705" s="84"/>
      <c r="X705" s="84"/>
      <c r="Y705" s="84"/>
      <c r="Z705" s="84"/>
      <c r="AA705" s="84"/>
      <c r="AB705" s="84"/>
      <c r="AC705" s="85"/>
      <c r="AD705" s="85"/>
      <c r="AE705" s="84"/>
      <c r="AF705" s="84"/>
      <c r="AG705" s="84"/>
      <c r="AH705" s="84"/>
      <c r="AI705" s="84"/>
      <c r="AJ705" s="84"/>
      <c r="AK705" s="84"/>
      <c r="AL705" s="84"/>
      <c r="AM705" s="84"/>
      <c r="AN705" s="84"/>
      <c r="AO705" s="84"/>
      <c r="AP705" s="84"/>
      <c r="AQ705" s="84"/>
      <c r="AR705" s="84"/>
      <c r="AS705" s="87">
        <f t="array" ref="AS705">IF(E705=1,SUM((ROW(Mf0)=ROW(AS705))*(Mf0+Mf1_+Mf2_+Mf3_+Mf4_+Mf5_+Mf6_+Mf7_+Mf8_+Mf9_+Mf10_+Mf11_+Mf12_+Mf13_+Mf14_+Mf15_+Mf16_+Mf17_+Mf18_+Mf19_+Mf20_+Mf21_+Mf22_+Mf23_+Mf24_+Mf25_+Mf26_+Mf27_+Mf28_+Mf29_+Mf30_+Mf31_+Mf32_+Mf33_+Mf34_+Mf35_+Mf36_+Mf37_)),0)</f>
        <v>0</v>
      </c>
      <c r="AU705" s="24" t="str">
        <f t="shared" si="66"/>
        <v/>
      </c>
      <c r="AV705" s="24" t="str">
        <f t="shared" si="67"/>
        <v/>
      </c>
      <c r="AW705" s="24" t="str">
        <f t="shared" si="68"/>
        <v/>
      </c>
      <c r="AX705" s="72">
        <f t="shared" si="69"/>
        <v>0</v>
      </c>
      <c r="AY705" s="24">
        <f t="shared" si="70"/>
        <v>0</v>
      </c>
      <c r="AZ705" s="24">
        <f t="array" ref="AZ705">IF(OR(RIGHT(B705,LEN(Par_LabelTravelTime))=Par_LabelTravelTime,B705="čas na ceste - fakturácia"),1,0)</f>
        <v>0</v>
      </c>
    </row>
    <row r="706" spans="2:52" s="24" customFormat="1" ht="12.75" x14ac:dyDescent="0.2">
      <c r="B706" s="97"/>
      <c r="C706" s="92"/>
      <c r="D706" s="31" t="str">
        <f>IF(E706=1,VLOOKUP(TableInvs[[#This Row],[Calc_V_Typ]],Tran_RevenuesList,3,FALSE),"")</f>
        <v/>
      </c>
      <c r="E706" s="31">
        <f t="shared" si="65"/>
        <v>0</v>
      </c>
      <c r="F706" s="9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  <c r="R706" s="84"/>
      <c r="S706" s="84"/>
      <c r="T706" s="84"/>
      <c r="U706" s="84"/>
      <c r="V706" s="84"/>
      <c r="W706" s="84"/>
      <c r="X706" s="84"/>
      <c r="Y706" s="84"/>
      <c r="Z706" s="84"/>
      <c r="AA706" s="84"/>
      <c r="AB706" s="84"/>
      <c r="AC706" s="85"/>
      <c r="AD706" s="85"/>
      <c r="AE706" s="84"/>
      <c r="AF706" s="84"/>
      <c r="AG706" s="84"/>
      <c r="AH706" s="84"/>
      <c r="AI706" s="84"/>
      <c r="AJ706" s="84"/>
      <c r="AK706" s="84"/>
      <c r="AL706" s="84"/>
      <c r="AM706" s="84"/>
      <c r="AN706" s="84"/>
      <c r="AO706" s="84"/>
      <c r="AP706" s="84"/>
      <c r="AQ706" s="84"/>
      <c r="AR706" s="84"/>
      <c r="AS706" s="87">
        <f t="array" ref="AS706">IF(E706=1,SUM((ROW(Mf0)=ROW(AS706))*(Mf0+Mf1_+Mf2_+Mf3_+Mf4_+Mf5_+Mf6_+Mf7_+Mf8_+Mf9_+Mf10_+Mf11_+Mf12_+Mf13_+Mf14_+Mf15_+Mf16_+Mf17_+Mf18_+Mf19_+Mf20_+Mf21_+Mf22_+Mf23_+Mf24_+Mf25_+Mf26_+Mf27_+Mf28_+Mf29_+Mf30_+Mf31_+Mf32_+Mf33_+Mf34_+Mf35_+Mf36_+Mf37_)),0)</f>
        <v>0</v>
      </c>
      <c r="AU706" s="24" t="str">
        <f t="shared" si="66"/>
        <v/>
      </c>
      <c r="AV706" s="24" t="str">
        <f t="shared" si="67"/>
        <v/>
      </c>
      <c r="AW706" s="24" t="str">
        <f t="shared" si="68"/>
        <v/>
      </c>
      <c r="AX706" s="72">
        <f t="shared" si="69"/>
        <v>0</v>
      </c>
      <c r="AY706" s="24">
        <f t="shared" si="70"/>
        <v>0</v>
      </c>
      <c r="AZ706" s="24">
        <f t="array" ref="AZ706">IF(OR(RIGHT(B706,LEN(Par_LabelTravelTime))=Par_LabelTravelTime,B706="čas na ceste - fakturácia"),1,0)</f>
        <v>0</v>
      </c>
    </row>
    <row r="707" spans="2:52" s="24" customFormat="1" ht="12.75" x14ac:dyDescent="0.2">
      <c r="B707" s="97"/>
      <c r="C707" s="92"/>
      <c r="D707" s="31" t="str">
        <f>IF(E707=1,VLOOKUP(TableInvs[[#This Row],[Calc_V_Typ]],Tran_RevenuesList,3,FALSE),"")</f>
        <v/>
      </c>
      <c r="E707" s="31">
        <f t="shared" si="65"/>
        <v>0</v>
      </c>
      <c r="F707" s="9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  <c r="R707" s="84"/>
      <c r="S707" s="84"/>
      <c r="T707" s="84"/>
      <c r="U707" s="84"/>
      <c r="V707" s="84"/>
      <c r="W707" s="84"/>
      <c r="X707" s="84"/>
      <c r="Y707" s="84"/>
      <c r="Z707" s="84"/>
      <c r="AA707" s="84"/>
      <c r="AB707" s="84"/>
      <c r="AC707" s="85"/>
      <c r="AD707" s="85"/>
      <c r="AE707" s="84"/>
      <c r="AF707" s="84"/>
      <c r="AG707" s="84"/>
      <c r="AH707" s="84"/>
      <c r="AI707" s="84"/>
      <c r="AJ707" s="84"/>
      <c r="AK707" s="84"/>
      <c r="AL707" s="84"/>
      <c r="AM707" s="84"/>
      <c r="AN707" s="84"/>
      <c r="AO707" s="84"/>
      <c r="AP707" s="84"/>
      <c r="AQ707" s="84"/>
      <c r="AR707" s="84"/>
      <c r="AS707" s="87">
        <f t="array" ref="AS707">IF(E707=1,SUM((ROW(Mf0)=ROW(AS707))*(Mf0+Mf1_+Mf2_+Mf3_+Mf4_+Mf5_+Mf6_+Mf7_+Mf8_+Mf9_+Mf10_+Mf11_+Mf12_+Mf13_+Mf14_+Mf15_+Mf16_+Mf17_+Mf18_+Mf19_+Mf20_+Mf21_+Mf22_+Mf23_+Mf24_+Mf25_+Mf26_+Mf27_+Mf28_+Mf29_+Mf30_+Mf31_+Mf32_+Mf33_+Mf34_+Mf35_+Mf36_+Mf37_)),0)</f>
        <v>0</v>
      </c>
      <c r="AU707" s="24" t="str">
        <f t="shared" si="66"/>
        <v/>
      </c>
      <c r="AV707" s="24" t="str">
        <f t="shared" si="67"/>
        <v/>
      </c>
      <c r="AW707" s="24" t="str">
        <f t="shared" si="68"/>
        <v/>
      </c>
      <c r="AX707" s="72">
        <f t="shared" si="69"/>
        <v>0</v>
      </c>
      <c r="AY707" s="24">
        <f t="shared" si="70"/>
        <v>0</v>
      </c>
      <c r="AZ707" s="24">
        <f t="array" ref="AZ707">IF(OR(RIGHT(B707,LEN(Par_LabelTravelTime))=Par_LabelTravelTime,B707="čas na ceste - fakturácia"),1,0)</f>
        <v>0</v>
      </c>
    </row>
    <row r="708" spans="2:52" s="24" customFormat="1" ht="12.75" x14ac:dyDescent="0.2">
      <c r="B708" s="97"/>
      <c r="C708" s="92"/>
      <c r="D708" s="31" t="str">
        <f>IF(E708=1,VLOOKUP(TableInvs[[#This Row],[Calc_V_Typ]],Tran_RevenuesList,3,FALSE),"")</f>
        <v/>
      </c>
      <c r="E708" s="31">
        <f t="shared" si="65"/>
        <v>0</v>
      </c>
      <c r="F708" s="9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  <c r="R708" s="84"/>
      <c r="S708" s="84"/>
      <c r="T708" s="84"/>
      <c r="U708" s="84"/>
      <c r="V708" s="84"/>
      <c r="W708" s="84"/>
      <c r="X708" s="84"/>
      <c r="Y708" s="84"/>
      <c r="Z708" s="84"/>
      <c r="AA708" s="84"/>
      <c r="AB708" s="84"/>
      <c r="AC708" s="85"/>
      <c r="AD708" s="85"/>
      <c r="AE708" s="84"/>
      <c r="AF708" s="84"/>
      <c r="AG708" s="84"/>
      <c r="AH708" s="84"/>
      <c r="AI708" s="84"/>
      <c r="AJ708" s="84"/>
      <c r="AK708" s="84"/>
      <c r="AL708" s="84"/>
      <c r="AM708" s="84"/>
      <c r="AN708" s="84"/>
      <c r="AO708" s="84"/>
      <c r="AP708" s="84"/>
      <c r="AQ708" s="84"/>
      <c r="AR708" s="84"/>
      <c r="AS708" s="87">
        <f t="array" ref="AS708">IF(E708=1,SUM((ROW(Mf0)=ROW(AS708))*(Mf0+Mf1_+Mf2_+Mf3_+Mf4_+Mf5_+Mf6_+Mf7_+Mf8_+Mf9_+Mf10_+Mf11_+Mf12_+Mf13_+Mf14_+Mf15_+Mf16_+Mf17_+Mf18_+Mf19_+Mf20_+Mf21_+Mf22_+Mf23_+Mf24_+Mf25_+Mf26_+Mf27_+Mf28_+Mf29_+Mf30_+Mf31_+Mf32_+Mf33_+Mf34_+Mf35_+Mf36_+Mf37_)),0)</f>
        <v>0</v>
      </c>
      <c r="AU708" s="24" t="str">
        <f t="shared" si="66"/>
        <v/>
      </c>
      <c r="AV708" s="24" t="str">
        <f t="shared" si="67"/>
        <v/>
      </c>
      <c r="AW708" s="24" t="str">
        <f t="shared" si="68"/>
        <v/>
      </c>
      <c r="AX708" s="72">
        <f t="shared" si="69"/>
        <v>0</v>
      </c>
      <c r="AY708" s="24">
        <f t="shared" si="70"/>
        <v>0</v>
      </c>
      <c r="AZ708" s="24">
        <f t="array" ref="AZ708">IF(OR(RIGHT(B708,LEN(Par_LabelTravelTime))=Par_LabelTravelTime,B708="čas na ceste - fakturácia"),1,0)</f>
        <v>0</v>
      </c>
    </row>
    <row r="709" spans="2:52" s="24" customFormat="1" ht="12.75" x14ac:dyDescent="0.2">
      <c r="B709" s="97"/>
      <c r="C709" s="92"/>
      <c r="D709" s="31" t="str">
        <f>IF(E709=1,VLOOKUP(TableInvs[[#This Row],[Calc_V_Typ]],Tran_RevenuesList,3,FALSE),"")</f>
        <v/>
      </c>
      <c r="E709" s="31">
        <f t="shared" si="65"/>
        <v>0</v>
      </c>
      <c r="F709" s="9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  <c r="R709" s="84"/>
      <c r="S709" s="84"/>
      <c r="T709" s="84"/>
      <c r="U709" s="84"/>
      <c r="V709" s="84"/>
      <c r="W709" s="84"/>
      <c r="X709" s="84"/>
      <c r="Y709" s="84"/>
      <c r="Z709" s="84"/>
      <c r="AA709" s="84"/>
      <c r="AB709" s="84"/>
      <c r="AC709" s="85"/>
      <c r="AD709" s="85"/>
      <c r="AE709" s="84"/>
      <c r="AF709" s="84"/>
      <c r="AG709" s="84"/>
      <c r="AH709" s="84"/>
      <c r="AI709" s="84"/>
      <c r="AJ709" s="84"/>
      <c r="AK709" s="84"/>
      <c r="AL709" s="84"/>
      <c r="AM709" s="84"/>
      <c r="AN709" s="84"/>
      <c r="AO709" s="84"/>
      <c r="AP709" s="84"/>
      <c r="AQ709" s="84"/>
      <c r="AR709" s="84"/>
      <c r="AS709" s="87">
        <f t="array" ref="AS709">IF(E709=1,SUM((ROW(Mf0)=ROW(AS709))*(Mf0+Mf1_+Mf2_+Mf3_+Mf4_+Mf5_+Mf6_+Mf7_+Mf8_+Mf9_+Mf10_+Mf11_+Mf12_+Mf13_+Mf14_+Mf15_+Mf16_+Mf17_+Mf18_+Mf19_+Mf20_+Mf21_+Mf22_+Mf23_+Mf24_+Mf25_+Mf26_+Mf27_+Mf28_+Mf29_+Mf30_+Mf31_+Mf32_+Mf33_+Mf34_+Mf35_+Mf36_+Mf37_)),0)</f>
        <v>0</v>
      </c>
      <c r="AU709" s="24" t="str">
        <f t="shared" si="66"/>
        <v/>
      </c>
      <c r="AV709" s="24" t="str">
        <f t="shared" si="67"/>
        <v/>
      </c>
      <c r="AW709" s="24" t="str">
        <f t="shared" si="68"/>
        <v/>
      </c>
      <c r="AX709" s="72">
        <f t="shared" si="69"/>
        <v>0</v>
      </c>
      <c r="AY709" s="24">
        <f t="shared" si="70"/>
        <v>0</v>
      </c>
      <c r="AZ709" s="24">
        <f t="array" ref="AZ709">IF(OR(RIGHT(B709,LEN(Par_LabelTravelTime))=Par_LabelTravelTime,B709="čas na ceste - fakturácia"),1,0)</f>
        <v>0</v>
      </c>
    </row>
    <row r="710" spans="2:52" s="24" customFormat="1" ht="12.75" x14ac:dyDescent="0.2">
      <c r="B710" s="97"/>
      <c r="C710" s="92"/>
      <c r="D710" s="31" t="str">
        <f>IF(E710=1,VLOOKUP(TableInvs[[#This Row],[Calc_V_Typ]],Tran_RevenuesList,3,FALSE),"")</f>
        <v/>
      </c>
      <c r="E710" s="31">
        <f t="shared" si="65"/>
        <v>0</v>
      </c>
      <c r="F710" s="9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  <c r="R710" s="84"/>
      <c r="S710" s="84"/>
      <c r="T710" s="84"/>
      <c r="U710" s="84"/>
      <c r="V710" s="84"/>
      <c r="W710" s="84"/>
      <c r="X710" s="84"/>
      <c r="Y710" s="84"/>
      <c r="Z710" s="84"/>
      <c r="AA710" s="84"/>
      <c r="AB710" s="84"/>
      <c r="AC710" s="85"/>
      <c r="AD710" s="85"/>
      <c r="AE710" s="84"/>
      <c r="AF710" s="84"/>
      <c r="AG710" s="84"/>
      <c r="AH710" s="84"/>
      <c r="AI710" s="84"/>
      <c r="AJ710" s="84"/>
      <c r="AK710" s="84"/>
      <c r="AL710" s="84"/>
      <c r="AM710" s="84"/>
      <c r="AN710" s="84"/>
      <c r="AO710" s="84"/>
      <c r="AP710" s="84"/>
      <c r="AQ710" s="84"/>
      <c r="AR710" s="84"/>
      <c r="AS710" s="87">
        <f t="array" ref="AS710">IF(E710=1,SUM((ROW(Mf0)=ROW(AS710))*(Mf0+Mf1_+Mf2_+Mf3_+Mf4_+Mf5_+Mf6_+Mf7_+Mf8_+Mf9_+Mf10_+Mf11_+Mf12_+Mf13_+Mf14_+Mf15_+Mf16_+Mf17_+Mf18_+Mf19_+Mf20_+Mf21_+Mf22_+Mf23_+Mf24_+Mf25_+Mf26_+Mf27_+Mf28_+Mf29_+Mf30_+Mf31_+Mf32_+Mf33_+Mf34_+Mf35_+Mf36_+Mf37_)),0)</f>
        <v>0</v>
      </c>
      <c r="AU710" s="24" t="str">
        <f t="shared" si="66"/>
        <v/>
      </c>
      <c r="AV710" s="24" t="str">
        <f t="shared" si="67"/>
        <v/>
      </c>
      <c r="AW710" s="24" t="str">
        <f t="shared" si="68"/>
        <v/>
      </c>
      <c r="AX710" s="72">
        <f t="shared" si="69"/>
        <v>0</v>
      </c>
      <c r="AY710" s="24">
        <f t="shared" si="70"/>
        <v>0</v>
      </c>
      <c r="AZ710" s="24">
        <f t="array" ref="AZ710">IF(OR(RIGHT(B710,LEN(Par_LabelTravelTime))=Par_LabelTravelTime,B710="čas na ceste - fakturácia"),1,0)</f>
        <v>0</v>
      </c>
    </row>
    <row r="711" spans="2:52" s="24" customFormat="1" ht="12.75" x14ac:dyDescent="0.2">
      <c r="B711" s="97"/>
      <c r="C711" s="92"/>
      <c r="D711" s="31" t="str">
        <f>IF(E711=1,VLOOKUP(TableInvs[[#This Row],[Calc_V_Typ]],Tran_RevenuesList,3,FALSE),"")</f>
        <v/>
      </c>
      <c r="E711" s="31">
        <f t="shared" ref="E711:E750" si="71">IF(B711="",0,IF(LEFT(B711,3)="***",-1,1))</f>
        <v>0</v>
      </c>
      <c r="F711" s="94"/>
      <c r="G711" s="84"/>
      <c r="H711" s="84"/>
      <c r="I711" s="84"/>
      <c r="J711" s="84"/>
      <c r="K711" s="84"/>
      <c r="L711" s="84"/>
      <c r="M711" s="84"/>
      <c r="N711" s="84"/>
      <c r="O711" s="84"/>
      <c r="P711" s="84"/>
      <c r="Q711" s="84"/>
      <c r="R711" s="84"/>
      <c r="S711" s="84"/>
      <c r="T711" s="84"/>
      <c r="U711" s="84"/>
      <c r="V711" s="84"/>
      <c r="W711" s="84"/>
      <c r="X711" s="84"/>
      <c r="Y711" s="84"/>
      <c r="Z711" s="84"/>
      <c r="AA711" s="84"/>
      <c r="AB711" s="84"/>
      <c r="AC711" s="85"/>
      <c r="AD711" s="85"/>
      <c r="AE711" s="84"/>
      <c r="AF711" s="84"/>
      <c r="AG711" s="84"/>
      <c r="AH711" s="84"/>
      <c r="AI711" s="84"/>
      <c r="AJ711" s="84"/>
      <c r="AK711" s="84"/>
      <c r="AL711" s="84"/>
      <c r="AM711" s="84"/>
      <c r="AN711" s="84"/>
      <c r="AO711" s="84"/>
      <c r="AP711" s="84"/>
      <c r="AQ711" s="84"/>
      <c r="AR711" s="84"/>
      <c r="AS711" s="87">
        <f t="array" ref="AS711">IF(E711=1,SUM((ROW(Mf0)=ROW(AS711))*(Mf0+Mf1_+Mf2_+Mf3_+Mf4_+Mf5_+Mf6_+Mf7_+Mf8_+Mf9_+Mf10_+Mf11_+Mf12_+Mf13_+Mf14_+Mf15_+Mf16_+Mf17_+Mf18_+Mf19_+Mf20_+Mf21_+Mf22_+Mf23_+Mf24_+Mf25_+Mf26_+Mf27_+Mf28_+Mf29_+Mf30_+Mf31_+Mf32_+Mf33_+Mf34_+Mf35_+Mf36_+Mf37_)),0)</f>
        <v>0</v>
      </c>
      <c r="AU711" s="24" t="str">
        <f t="shared" ref="AU711:AU750" si="72">IF(E711=1,VLOOKUP(B711,Tran_RevenuesList,2,0),"")</f>
        <v/>
      </c>
      <c r="AV711" s="24" t="str">
        <f t="shared" ref="AV711:AV750" si="73">IF(E711=1,D711,"")</f>
        <v/>
      </c>
      <c r="AW711" s="24" t="str">
        <f t="shared" ref="AW711:AW750" si="74">IF(C711="","",VLOOKUP(C711,Tab_Parts,2,0))</f>
        <v/>
      </c>
      <c r="AX711" s="72">
        <f t="shared" ref="AX711:AX750" si="75">IF(E711=1,AS711,0)</f>
        <v>0</v>
      </c>
      <c r="AY711" s="24">
        <f t="shared" ref="AY711:AY750" si="76">IF(RIGHT(B711,LEN(Par_LabelTravelTime))=Par_LabelTravelTime,LEFT(B711,LEN(B711)-LEN(Par_LabelTravelTime)),B711)</f>
        <v>0</v>
      </c>
      <c r="AZ711" s="24">
        <f t="array" ref="AZ711">IF(OR(RIGHT(B711,LEN(Par_LabelTravelTime))=Par_LabelTravelTime,B711="čas na ceste - fakturácia"),1,0)</f>
        <v>0</v>
      </c>
    </row>
    <row r="712" spans="2:52" s="24" customFormat="1" ht="12.75" x14ac:dyDescent="0.2">
      <c r="B712" s="97"/>
      <c r="C712" s="92"/>
      <c r="D712" s="31" t="str">
        <f>IF(E712=1,VLOOKUP(TableInvs[[#This Row],[Calc_V_Typ]],Tran_RevenuesList,3,FALSE),"")</f>
        <v/>
      </c>
      <c r="E712" s="31">
        <f t="shared" si="71"/>
        <v>0</v>
      </c>
      <c r="F712" s="94"/>
      <c r="G712" s="84"/>
      <c r="H712" s="84"/>
      <c r="I712" s="84"/>
      <c r="J712" s="84"/>
      <c r="K712" s="84"/>
      <c r="L712" s="84"/>
      <c r="M712" s="84"/>
      <c r="N712" s="84"/>
      <c r="O712" s="84"/>
      <c r="P712" s="84"/>
      <c r="Q712" s="84"/>
      <c r="R712" s="84"/>
      <c r="S712" s="84"/>
      <c r="T712" s="84"/>
      <c r="U712" s="84"/>
      <c r="V712" s="84"/>
      <c r="W712" s="84"/>
      <c r="X712" s="84"/>
      <c r="Y712" s="84"/>
      <c r="Z712" s="84"/>
      <c r="AA712" s="84"/>
      <c r="AB712" s="84"/>
      <c r="AC712" s="85"/>
      <c r="AD712" s="85"/>
      <c r="AE712" s="84"/>
      <c r="AF712" s="84"/>
      <c r="AG712" s="84"/>
      <c r="AH712" s="84"/>
      <c r="AI712" s="84"/>
      <c r="AJ712" s="84"/>
      <c r="AK712" s="84"/>
      <c r="AL712" s="84"/>
      <c r="AM712" s="84"/>
      <c r="AN712" s="84"/>
      <c r="AO712" s="84"/>
      <c r="AP712" s="84"/>
      <c r="AQ712" s="84"/>
      <c r="AR712" s="84"/>
      <c r="AS712" s="87">
        <f t="array" ref="AS712">IF(E712=1,SUM((ROW(Mf0)=ROW(AS712))*(Mf0+Mf1_+Mf2_+Mf3_+Mf4_+Mf5_+Mf6_+Mf7_+Mf8_+Mf9_+Mf10_+Mf11_+Mf12_+Mf13_+Mf14_+Mf15_+Mf16_+Mf17_+Mf18_+Mf19_+Mf20_+Mf21_+Mf22_+Mf23_+Mf24_+Mf25_+Mf26_+Mf27_+Mf28_+Mf29_+Mf30_+Mf31_+Mf32_+Mf33_+Mf34_+Mf35_+Mf36_+Mf37_)),0)</f>
        <v>0</v>
      </c>
      <c r="AU712" s="24" t="str">
        <f t="shared" si="72"/>
        <v/>
      </c>
      <c r="AV712" s="24" t="str">
        <f t="shared" si="73"/>
        <v/>
      </c>
      <c r="AW712" s="24" t="str">
        <f t="shared" si="74"/>
        <v/>
      </c>
      <c r="AX712" s="72">
        <f t="shared" si="75"/>
        <v>0</v>
      </c>
      <c r="AY712" s="24">
        <f t="shared" si="76"/>
        <v>0</v>
      </c>
      <c r="AZ712" s="24">
        <f t="array" ref="AZ712">IF(OR(RIGHT(B712,LEN(Par_LabelTravelTime))=Par_LabelTravelTime,B712="čas na ceste - fakturácia"),1,0)</f>
        <v>0</v>
      </c>
    </row>
    <row r="713" spans="2:52" s="24" customFormat="1" ht="12.75" x14ac:dyDescent="0.2">
      <c r="B713" s="97"/>
      <c r="C713" s="92"/>
      <c r="D713" s="31" t="str">
        <f>IF(E713=1,VLOOKUP(TableInvs[[#This Row],[Calc_V_Typ]],Tran_RevenuesList,3,FALSE),"")</f>
        <v/>
      </c>
      <c r="E713" s="31">
        <f t="shared" si="71"/>
        <v>0</v>
      </c>
      <c r="F713" s="94"/>
      <c r="G713" s="84"/>
      <c r="H713" s="84"/>
      <c r="I713" s="84"/>
      <c r="J713" s="84"/>
      <c r="K713" s="84"/>
      <c r="L713" s="84"/>
      <c r="M713" s="84"/>
      <c r="N713" s="84"/>
      <c r="O713" s="84"/>
      <c r="P713" s="84"/>
      <c r="Q713" s="84"/>
      <c r="R713" s="84"/>
      <c r="S713" s="84"/>
      <c r="T713" s="84"/>
      <c r="U713" s="84"/>
      <c r="V713" s="84"/>
      <c r="W713" s="84"/>
      <c r="X713" s="84"/>
      <c r="Y713" s="84"/>
      <c r="Z713" s="84"/>
      <c r="AA713" s="84"/>
      <c r="AB713" s="84"/>
      <c r="AC713" s="85"/>
      <c r="AD713" s="85"/>
      <c r="AE713" s="84"/>
      <c r="AF713" s="84"/>
      <c r="AG713" s="84"/>
      <c r="AH713" s="84"/>
      <c r="AI713" s="84"/>
      <c r="AJ713" s="84"/>
      <c r="AK713" s="84"/>
      <c r="AL713" s="84"/>
      <c r="AM713" s="84"/>
      <c r="AN713" s="84"/>
      <c r="AO713" s="84"/>
      <c r="AP713" s="84"/>
      <c r="AQ713" s="84"/>
      <c r="AR713" s="84"/>
      <c r="AS713" s="87">
        <f t="array" ref="AS713">IF(E713=1,SUM((ROW(Mf0)=ROW(AS713))*(Mf0+Mf1_+Mf2_+Mf3_+Mf4_+Mf5_+Mf6_+Mf7_+Mf8_+Mf9_+Mf10_+Mf11_+Mf12_+Mf13_+Mf14_+Mf15_+Mf16_+Mf17_+Mf18_+Mf19_+Mf20_+Mf21_+Mf22_+Mf23_+Mf24_+Mf25_+Mf26_+Mf27_+Mf28_+Mf29_+Mf30_+Mf31_+Mf32_+Mf33_+Mf34_+Mf35_+Mf36_+Mf37_)),0)</f>
        <v>0</v>
      </c>
      <c r="AU713" s="24" t="str">
        <f t="shared" si="72"/>
        <v/>
      </c>
      <c r="AV713" s="24" t="str">
        <f t="shared" si="73"/>
        <v/>
      </c>
      <c r="AW713" s="24" t="str">
        <f t="shared" si="74"/>
        <v/>
      </c>
      <c r="AX713" s="72">
        <f t="shared" si="75"/>
        <v>0</v>
      </c>
      <c r="AY713" s="24">
        <f t="shared" si="76"/>
        <v>0</v>
      </c>
      <c r="AZ713" s="24">
        <f t="array" ref="AZ713">IF(OR(RIGHT(B713,LEN(Par_LabelTravelTime))=Par_LabelTravelTime,B713="čas na ceste - fakturácia"),1,0)</f>
        <v>0</v>
      </c>
    </row>
    <row r="714" spans="2:52" s="24" customFormat="1" ht="12.75" x14ac:dyDescent="0.2">
      <c r="B714" s="97"/>
      <c r="C714" s="92"/>
      <c r="D714" s="31" t="str">
        <f>IF(E714=1,VLOOKUP(TableInvs[[#This Row],[Calc_V_Typ]],Tran_RevenuesList,3,FALSE),"")</f>
        <v/>
      </c>
      <c r="E714" s="31">
        <f t="shared" si="71"/>
        <v>0</v>
      </c>
      <c r="F714" s="94"/>
      <c r="G714" s="84"/>
      <c r="H714" s="84"/>
      <c r="I714" s="84"/>
      <c r="J714" s="84"/>
      <c r="K714" s="84"/>
      <c r="L714" s="84"/>
      <c r="M714" s="84"/>
      <c r="N714" s="84"/>
      <c r="O714" s="84"/>
      <c r="P714" s="84"/>
      <c r="Q714" s="84"/>
      <c r="R714" s="84"/>
      <c r="S714" s="84"/>
      <c r="T714" s="84"/>
      <c r="U714" s="84"/>
      <c r="V714" s="84"/>
      <c r="W714" s="84"/>
      <c r="X714" s="84"/>
      <c r="Y714" s="84"/>
      <c r="Z714" s="84"/>
      <c r="AA714" s="84"/>
      <c r="AB714" s="84"/>
      <c r="AC714" s="85"/>
      <c r="AD714" s="85"/>
      <c r="AE714" s="84"/>
      <c r="AF714" s="84"/>
      <c r="AG714" s="84"/>
      <c r="AH714" s="84"/>
      <c r="AI714" s="84"/>
      <c r="AJ714" s="84"/>
      <c r="AK714" s="84"/>
      <c r="AL714" s="84"/>
      <c r="AM714" s="84"/>
      <c r="AN714" s="84"/>
      <c r="AO714" s="84"/>
      <c r="AP714" s="84"/>
      <c r="AQ714" s="84"/>
      <c r="AR714" s="84"/>
      <c r="AS714" s="87">
        <f t="array" ref="AS714">IF(E714=1,SUM((ROW(Mf0)=ROW(AS714))*(Mf0+Mf1_+Mf2_+Mf3_+Mf4_+Mf5_+Mf6_+Mf7_+Mf8_+Mf9_+Mf10_+Mf11_+Mf12_+Mf13_+Mf14_+Mf15_+Mf16_+Mf17_+Mf18_+Mf19_+Mf20_+Mf21_+Mf22_+Mf23_+Mf24_+Mf25_+Mf26_+Mf27_+Mf28_+Mf29_+Mf30_+Mf31_+Mf32_+Mf33_+Mf34_+Mf35_+Mf36_+Mf37_)),0)</f>
        <v>0</v>
      </c>
      <c r="AU714" s="24" t="str">
        <f t="shared" si="72"/>
        <v/>
      </c>
      <c r="AV714" s="24" t="str">
        <f t="shared" si="73"/>
        <v/>
      </c>
      <c r="AW714" s="24" t="str">
        <f t="shared" si="74"/>
        <v/>
      </c>
      <c r="AX714" s="72">
        <f t="shared" si="75"/>
        <v>0</v>
      </c>
      <c r="AY714" s="24">
        <f t="shared" si="76"/>
        <v>0</v>
      </c>
      <c r="AZ714" s="24">
        <f t="array" ref="AZ714">IF(OR(RIGHT(B714,LEN(Par_LabelTravelTime))=Par_LabelTravelTime,B714="čas na ceste - fakturácia"),1,0)</f>
        <v>0</v>
      </c>
    </row>
    <row r="715" spans="2:52" s="24" customFormat="1" ht="12.75" x14ac:dyDescent="0.2">
      <c r="B715" s="97"/>
      <c r="C715" s="92"/>
      <c r="D715" s="31" t="str">
        <f>IF(E715=1,VLOOKUP(TableInvs[[#This Row],[Calc_V_Typ]],Tran_RevenuesList,3,FALSE),"")</f>
        <v/>
      </c>
      <c r="E715" s="31">
        <f t="shared" si="71"/>
        <v>0</v>
      </c>
      <c r="F715" s="94"/>
      <c r="G715" s="84"/>
      <c r="H715" s="84"/>
      <c r="I715" s="84"/>
      <c r="J715" s="84"/>
      <c r="K715" s="84"/>
      <c r="L715" s="84"/>
      <c r="M715" s="84"/>
      <c r="N715" s="84"/>
      <c r="O715" s="84"/>
      <c r="P715" s="84"/>
      <c r="Q715" s="84"/>
      <c r="R715" s="84"/>
      <c r="S715" s="84"/>
      <c r="T715" s="84"/>
      <c r="U715" s="84"/>
      <c r="V715" s="84"/>
      <c r="W715" s="84"/>
      <c r="X715" s="84"/>
      <c r="Y715" s="84"/>
      <c r="Z715" s="84"/>
      <c r="AA715" s="84"/>
      <c r="AB715" s="84"/>
      <c r="AC715" s="85"/>
      <c r="AD715" s="85"/>
      <c r="AE715" s="84"/>
      <c r="AF715" s="84"/>
      <c r="AG715" s="84"/>
      <c r="AH715" s="84"/>
      <c r="AI715" s="84"/>
      <c r="AJ715" s="84"/>
      <c r="AK715" s="84"/>
      <c r="AL715" s="84"/>
      <c r="AM715" s="84"/>
      <c r="AN715" s="84"/>
      <c r="AO715" s="84"/>
      <c r="AP715" s="84"/>
      <c r="AQ715" s="84"/>
      <c r="AR715" s="84"/>
      <c r="AS715" s="87">
        <f t="array" ref="AS715">IF(E715=1,SUM((ROW(Mf0)=ROW(AS715))*(Mf0+Mf1_+Mf2_+Mf3_+Mf4_+Mf5_+Mf6_+Mf7_+Mf8_+Mf9_+Mf10_+Mf11_+Mf12_+Mf13_+Mf14_+Mf15_+Mf16_+Mf17_+Mf18_+Mf19_+Mf20_+Mf21_+Mf22_+Mf23_+Mf24_+Mf25_+Mf26_+Mf27_+Mf28_+Mf29_+Mf30_+Mf31_+Mf32_+Mf33_+Mf34_+Mf35_+Mf36_+Mf37_)),0)</f>
        <v>0</v>
      </c>
      <c r="AU715" s="24" t="str">
        <f t="shared" si="72"/>
        <v/>
      </c>
      <c r="AV715" s="24" t="str">
        <f t="shared" si="73"/>
        <v/>
      </c>
      <c r="AW715" s="24" t="str">
        <f t="shared" si="74"/>
        <v/>
      </c>
      <c r="AX715" s="72">
        <f t="shared" si="75"/>
        <v>0</v>
      </c>
      <c r="AY715" s="24">
        <f t="shared" si="76"/>
        <v>0</v>
      </c>
      <c r="AZ715" s="24">
        <f t="array" ref="AZ715">IF(OR(RIGHT(B715,LEN(Par_LabelTravelTime))=Par_LabelTravelTime,B715="čas na ceste - fakturácia"),1,0)</f>
        <v>0</v>
      </c>
    </row>
    <row r="716" spans="2:52" s="24" customFormat="1" ht="12.75" x14ac:dyDescent="0.2">
      <c r="B716" s="97"/>
      <c r="C716" s="92"/>
      <c r="D716" s="31" t="str">
        <f>IF(E716=1,VLOOKUP(TableInvs[[#This Row],[Calc_V_Typ]],Tran_RevenuesList,3,FALSE),"")</f>
        <v/>
      </c>
      <c r="E716" s="31">
        <f t="shared" si="71"/>
        <v>0</v>
      </c>
      <c r="F716" s="94"/>
      <c r="G716" s="84"/>
      <c r="H716" s="84"/>
      <c r="I716" s="84"/>
      <c r="J716" s="84"/>
      <c r="K716" s="84"/>
      <c r="L716" s="84"/>
      <c r="M716" s="84"/>
      <c r="N716" s="84"/>
      <c r="O716" s="84"/>
      <c r="P716" s="84"/>
      <c r="Q716" s="84"/>
      <c r="R716" s="84"/>
      <c r="S716" s="84"/>
      <c r="T716" s="84"/>
      <c r="U716" s="84"/>
      <c r="V716" s="84"/>
      <c r="W716" s="84"/>
      <c r="X716" s="84"/>
      <c r="Y716" s="84"/>
      <c r="Z716" s="84"/>
      <c r="AA716" s="84"/>
      <c r="AB716" s="84"/>
      <c r="AC716" s="85"/>
      <c r="AD716" s="85"/>
      <c r="AE716" s="84"/>
      <c r="AF716" s="84"/>
      <c r="AG716" s="84"/>
      <c r="AH716" s="84"/>
      <c r="AI716" s="84"/>
      <c r="AJ716" s="84"/>
      <c r="AK716" s="84"/>
      <c r="AL716" s="84"/>
      <c r="AM716" s="84"/>
      <c r="AN716" s="84"/>
      <c r="AO716" s="84"/>
      <c r="AP716" s="84"/>
      <c r="AQ716" s="84"/>
      <c r="AR716" s="84"/>
      <c r="AS716" s="87">
        <f t="array" ref="AS716">IF(E716=1,SUM((ROW(Mf0)=ROW(AS716))*(Mf0+Mf1_+Mf2_+Mf3_+Mf4_+Mf5_+Mf6_+Mf7_+Mf8_+Mf9_+Mf10_+Mf11_+Mf12_+Mf13_+Mf14_+Mf15_+Mf16_+Mf17_+Mf18_+Mf19_+Mf20_+Mf21_+Mf22_+Mf23_+Mf24_+Mf25_+Mf26_+Mf27_+Mf28_+Mf29_+Mf30_+Mf31_+Mf32_+Mf33_+Mf34_+Mf35_+Mf36_+Mf37_)),0)</f>
        <v>0</v>
      </c>
      <c r="AU716" s="24" t="str">
        <f t="shared" si="72"/>
        <v/>
      </c>
      <c r="AV716" s="24" t="str">
        <f t="shared" si="73"/>
        <v/>
      </c>
      <c r="AW716" s="24" t="str">
        <f t="shared" si="74"/>
        <v/>
      </c>
      <c r="AX716" s="72">
        <f t="shared" si="75"/>
        <v>0</v>
      </c>
      <c r="AY716" s="24">
        <f t="shared" si="76"/>
        <v>0</v>
      </c>
      <c r="AZ716" s="24">
        <f t="array" ref="AZ716">IF(OR(RIGHT(B716,LEN(Par_LabelTravelTime))=Par_LabelTravelTime,B716="čas na ceste - fakturácia"),1,0)</f>
        <v>0</v>
      </c>
    </row>
    <row r="717" spans="2:52" s="24" customFormat="1" ht="12.75" x14ac:dyDescent="0.2">
      <c r="B717" s="97"/>
      <c r="C717" s="92"/>
      <c r="D717" s="31" t="str">
        <f>IF(E717=1,VLOOKUP(TableInvs[[#This Row],[Calc_V_Typ]],Tran_RevenuesList,3,FALSE),"")</f>
        <v/>
      </c>
      <c r="E717" s="31">
        <f t="shared" si="71"/>
        <v>0</v>
      </c>
      <c r="F717" s="94"/>
      <c r="G717" s="84"/>
      <c r="H717" s="84"/>
      <c r="I717" s="84"/>
      <c r="J717" s="84"/>
      <c r="K717" s="84"/>
      <c r="L717" s="84"/>
      <c r="M717" s="84"/>
      <c r="N717" s="84"/>
      <c r="O717" s="84"/>
      <c r="P717" s="84"/>
      <c r="Q717" s="84"/>
      <c r="R717" s="84"/>
      <c r="S717" s="84"/>
      <c r="T717" s="84"/>
      <c r="U717" s="84"/>
      <c r="V717" s="84"/>
      <c r="W717" s="84"/>
      <c r="X717" s="84"/>
      <c r="Y717" s="84"/>
      <c r="Z717" s="84"/>
      <c r="AA717" s="84"/>
      <c r="AB717" s="84"/>
      <c r="AC717" s="85"/>
      <c r="AD717" s="85"/>
      <c r="AE717" s="84"/>
      <c r="AF717" s="84"/>
      <c r="AG717" s="84"/>
      <c r="AH717" s="84"/>
      <c r="AI717" s="84"/>
      <c r="AJ717" s="84"/>
      <c r="AK717" s="84"/>
      <c r="AL717" s="84"/>
      <c r="AM717" s="84"/>
      <c r="AN717" s="84"/>
      <c r="AO717" s="84"/>
      <c r="AP717" s="84"/>
      <c r="AQ717" s="84"/>
      <c r="AR717" s="84"/>
      <c r="AS717" s="87">
        <f t="array" ref="AS717">IF(E717=1,SUM((ROW(Mf0)=ROW(AS717))*(Mf0+Mf1_+Mf2_+Mf3_+Mf4_+Mf5_+Mf6_+Mf7_+Mf8_+Mf9_+Mf10_+Mf11_+Mf12_+Mf13_+Mf14_+Mf15_+Mf16_+Mf17_+Mf18_+Mf19_+Mf20_+Mf21_+Mf22_+Mf23_+Mf24_+Mf25_+Mf26_+Mf27_+Mf28_+Mf29_+Mf30_+Mf31_+Mf32_+Mf33_+Mf34_+Mf35_+Mf36_+Mf37_)),0)</f>
        <v>0</v>
      </c>
      <c r="AU717" s="24" t="str">
        <f t="shared" si="72"/>
        <v/>
      </c>
      <c r="AV717" s="24" t="str">
        <f t="shared" si="73"/>
        <v/>
      </c>
      <c r="AW717" s="24" t="str">
        <f t="shared" si="74"/>
        <v/>
      </c>
      <c r="AX717" s="72">
        <f t="shared" si="75"/>
        <v>0</v>
      </c>
      <c r="AY717" s="24">
        <f t="shared" si="76"/>
        <v>0</v>
      </c>
      <c r="AZ717" s="24">
        <f t="array" ref="AZ717">IF(OR(RIGHT(B717,LEN(Par_LabelTravelTime))=Par_LabelTravelTime,B717="čas na ceste - fakturácia"),1,0)</f>
        <v>0</v>
      </c>
    </row>
    <row r="718" spans="2:52" s="24" customFormat="1" ht="12.75" x14ac:dyDescent="0.2">
      <c r="B718" s="97"/>
      <c r="C718" s="92"/>
      <c r="D718" s="31" t="str">
        <f>IF(E718=1,VLOOKUP(TableInvs[[#This Row],[Calc_V_Typ]],Tran_RevenuesList,3,FALSE),"")</f>
        <v/>
      </c>
      <c r="E718" s="31">
        <f t="shared" si="71"/>
        <v>0</v>
      </c>
      <c r="F718" s="94"/>
      <c r="G718" s="84"/>
      <c r="H718" s="84"/>
      <c r="I718" s="84"/>
      <c r="J718" s="84"/>
      <c r="K718" s="84"/>
      <c r="L718" s="84"/>
      <c r="M718" s="84"/>
      <c r="N718" s="84"/>
      <c r="O718" s="84"/>
      <c r="P718" s="84"/>
      <c r="Q718" s="84"/>
      <c r="R718" s="84"/>
      <c r="S718" s="84"/>
      <c r="T718" s="84"/>
      <c r="U718" s="84"/>
      <c r="V718" s="84"/>
      <c r="W718" s="84"/>
      <c r="X718" s="84"/>
      <c r="Y718" s="84"/>
      <c r="Z718" s="84"/>
      <c r="AA718" s="84"/>
      <c r="AB718" s="84"/>
      <c r="AC718" s="85"/>
      <c r="AD718" s="85"/>
      <c r="AE718" s="84"/>
      <c r="AF718" s="84"/>
      <c r="AG718" s="84"/>
      <c r="AH718" s="84"/>
      <c r="AI718" s="84"/>
      <c r="AJ718" s="84"/>
      <c r="AK718" s="84"/>
      <c r="AL718" s="84"/>
      <c r="AM718" s="84"/>
      <c r="AN718" s="84"/>
      <c r="AO718" s="84"/>
      <c r="AP718" s="84"/>
      <c r="AQ718" s="84"/>
      <c r="AR718" s="84"/>
      <c r="AS718" s="87">
        <f t="array" ref="AS718">IF(E718=1,SUM((ROW(Mf0)=ROW(AS718))*(Mf0+Mf1_+Mf2_+Mf3_+Mf4_+Mf5_+Mf6_+Mf7_+Mf8_+Mf9_+Mf10_+Mf11_+Mf12_+Mf13_+Mf14_+Mf15_+Mf16_+Mf17_+Mf18_+Mf19_+Mf20_+Mf21_+Mf22_+Mf23_+Mf24_+Mf25_+Mf26_+Mf27_+Mf28_+Mf29_+Mf30_+Mf31_+Mf32_+Mf33_+Mf34_+Mf35_+Mf36_+Mf37_)),0)</f>
        <v>0</v>
      </c>
      <c r="AU718" s="24" t="str">
        <f t="shared" si="72"/>
        <v/>
      </c>
      <c r="AV718" s="24" t="str">
        <f t="shared" si="73"/>
        <v/>
      </c>
      <c r="AW718" s="24" t="str">
        <f t="shared" si="74"/>
        <v/>
      </c>
      <c r="AX718" s="72">
        <f t="shared" si="75"/>
        <v>0</v>
      </c>
      <c r="AY718" s="24">
        <f t="shared" si="76"/>
        <v>0</v>
      </c>
      <c r="AZ718" s="24">
        <f t="array" ref="AZ718">IF(OR(RIGHT(B718,LEN(Par_LabelTravelTime))=Par_LabelTravelTime,B718="čas na ceste - fakturácia"),1,0)</f>
        <v>0</v>
      </c>
    </row>
    <row r="719" spans="2:52" s="24" customFormat="1" ht="12.75" x14ac:dyDescent="0.2">
      <c r="B719" s="97"/>
      <c r="C719" s="92"/>
      <c r="D719" s="31" t="str">
        <f>IF(E719=1,VLOOKUP(TableInvs[[#This Row],[Calc_V_Typ]],Tran_RevenuesList,3,FALSE),"")</f>
        <v/>
      </c>
      <c r="E719" s="31">
        <f t="shared" si="71"/>
        <v>0</v>
      </c>
      <c r="F719" s="94"/>
      <c r="G719" s="84"/>
      <c r="H719" s="84"/>
      <c r="I719" s="84"/>
      <c r="J719" s="84"/>
      <c r="K719" s="84"/>
      <c r="L719" s="84"/>
      <c r="M719" s="84"/>
      <c r="N719" s="84"/>
      <c r="O719" s="84"/>
      <c r="P719" s="84"/>
      <c r="Q719" s="84"/>
      <c r="R719" s="84"/>
      <c r="S719" s="84"/>
      <c r="T719" s="84"/>
      <c r="U719" s="84"/>
      <c r="V719" s="84"/>
      <c r="W719" s="84"/>
      <c r="X719" s="84"/>
      <c r="Y719" s="84"/>
      <c r="Z719" s="84"/>
      <c r="AA719" s="84"/>
      <c r="AB719" s="84"/>
      <c r="AC719" s="85"/>
      <c r="AD719" s="85"/>
      <c r="AE719" s="84"/>
      <c r="AF719" s="84"/>
      <c r="AG719" s="84"/>
      <c r="AH719" s="84"/>
      <c r="AI719" s="84"/>
      <c r="AJ719" s="84"/>
      <c r="AK719" s="84"/>
      <c r="AL719" s="84"/>
      <c r="AM719" s="84"/>
      <c r="AN719" s="84"/>
      <c r="AO719" s="84"/>
      <c r="AP719" s="84"/>
      <c r="AQ719" s="84"/>
      <c r="AR719" s="84"/>
      <c r="AS719" s="87">
        <f t="array" ref="AS719">IF(E719=1,SUM((ROW(Mf0)=ROW(AS719))*(Mf0+Mf1_+Mf2_+Mf3_+Mf4_+Mf5_+Mf6_+Mf7_+Mf8_+Mf9_+Mf10_+Mf11_+Mf12_+Mf13_+Mf14_+Mf15_+Mf16_+Mf17_+Mf18_+Mf19_+Mf20_+Mf21_+Mf22_+Mf23_+Mf24_+Mf25_+Mf26_+Mf27_+Mf28_+Mf29_+Mf30_+Mf31_+Mf32_+Mf33_+Mf34_+Mf35_+Mf36_+Mf37_)),0)</f>
        <v>0</v>
      </c>
      <c r="AU719" s="24" t="str">
        <f t="shared" si="72"/>
        <v/>
      </c>
      <c r="AV719" s="24" t="str">
        <f t="shared" si="73"/>
        <v/>
      </c>
      <c r="AW719" s="24" t="str">
        <f t="shared" si="74"/>
        <v/>
      </c>
      <c r="AX719" s="72">
        <f t="shared" si="75"/>
        <v>0</v>
      </c>
      <c r="AY719" s="24">
        <f t="shared" si="76"/>
        <v>0</v>
      </c>
      <c r="AZ719" s="24">
        <f t="array" ref="AZ719">IF(OR(RIGHT(B719,LEN(Par_LabelTravelTime))=Par_LabelTravelTime,B719="čas na ceste - fakturácia"),1,0)</f>
        <v>0</v>
      </c>
    </row>
    <row r="720" spans="2:52" s="24" customFormat="1" ht="12.75" x14ac:dyDescent="0.2">
      <c r="B720" s="97"/>
      <c r="C720" s="92"/>
      <c r="D720" s="31" t="str">
        <f>IF(E720=1,VLOOKUP(TableInvs[[#This Row],[Calc_V_Typ]],Tran_RevenuesList,3,FALSE),"")</f>
        <v/>
      </c>
      <c r="E720" s="31">
        <f t="shared" si="71"/>
        <v>0</v>
      </c>
      <c r="F720" s="94"/>
      <c r="G720" s="84"/>
      <c r="H720" s="84"/>
      <c r="I720" s="84"/>
      <c r="J720" s="84"/>
      <c r="K720" s="84"/>
      <c r="L720" s="84"/>
      <c r="M720" s="84"/>
      <c r="N720" s="84"/>
      <c r="O720" s="84"/>
      <c r="P720" s="84"/>
      <c r="Q720" s="84"/>
      <c r="R720" s="84"/>
      <c r="S720" s="84"/>
      <c r="T720" s="84"/>
      <c r="U720" s="84"/>
      <c r="V720" s="84"/>
      <c r="W720" s="84"/>
      <c r="X720" s="84"/>
      <c r="Y720" s="84"/>
      <c r="Z720" s="84"/>
      <c r="AA720" s="84"/>
      <c r="AB720" s="84"/>
      <c r="AC720" s="85"/>
      <c r="AD720" s="85"/>
      <c r="AE720" s="84"/>
      <c r="AF720" s="84"/>
      <c r="AG720" s="84"/>
      <c r="AH720" s="84"/>
      <c r="AI720" s="84"/>
      <c r="AJ720" s="84"/>
      <c r="AK720" s="84"/>
      <c r="AL720" s="84"/>
      <c r="AM720" s="84"/>
      <c r="AN720" s="84"/>
      <c r="AO720" s="84"/>
      <c r="AP720" s="84"/>
      <c r="AQ720" s="84"/>
      <c r="AR720" s="84"/>
      <c r="AS720" s="87">
        <f t="array" ref="AS720">IF(E720=1,SUM((ROW(Mf0)=ROW(AS720))*(Mf0+Mf1_+Mf2_+Mf3_+Mf4_+Mf5_+Mf6_+Mf7_+Mf8_+Mf9_+Mf10_+Mf11_+Mf12_+Mf13_+Mf14_+Mf15_+Mf16_+Mf17_+Mf18_+Mf19_+Mf20_+Mf21_+Mf22_+Mf23_+Mf24_+Mf25_+Mf26_+Mf27_+Mf28_+Mf29_+Mf30_+Mf31_+Mf32_+Mf33_+Mf34_+Mf35_+Mf36_+Mf37_)),0)</f>
        <v>0</v>
      </c>
      <c r="AU720" s="24" t="str">
        <f t="shared" si="72"/>
        <v/>
      </c>
      <c r="AV720" s="24" t="str">
        <f t="shared" si="73"/>
        <v/>
      </c>
      <c r="AW720" s="24" t="str">
        <f t="shared" si="74"/>
        <v/>
      </c>
      <c r="AX720" s="72">
        <f t="shared" si="75"/>
        <v>0</v>
      </c>
      <c r="AY720" s="24">
        <f t="shared" si="76"/>
        <v>0</v>
      </c>
      <c r="AZ720" s="24">
        <f t="array" ref="AZ720">IF(OR(RIGHT(B720,LEN(Par_LabelTravelTime))=Par_LabelTravelTime,B720="čas na ceste - fakturácia"),1,0)</f>
        <v>0</v>
      </c>
    </row>
    <row r="721" spans="2:52" s="24" customFormat="1" ht="12.75" x14ac:dyDescent="0.2">
      <c r="B721" s="97"/>
      <c r="C721" s="92"/>
      <c r="D721" s="31" t="str">
        <f>IF(E721=1,VLOOKUP(TableInvs[[#This Row],[Calc_V_Typ]],Tran_RevenuesList,3,FALSE),"")</f>
        <v/>
      </c>
      <c r="E721" s="31">
        <f t="shared" si="71"/>
        <v>0</v>
      </c>
      <c r="F721" s="94"/>
      <c r="G721" s="84"/>
      <c r="H721" s="84"/>
      <c r="I721" s="84"/>
      <c r="J721" s="84"/>
      <c r="K721" s="84"/>
      <c r="L721" s="84"/>
      <c r="M721" s="84"/>
      <c r="N721" s="84"/>
      <c r="O721" s="84"/>
      <c r="P721" s="84"/>
      <c r="Q721" s="84"/>
      <c r="R721" s="84"/>
      <c r="S721" s="84"/>
      <c r="T721" s="84"/>
      <c r="U721" s="84"/>
      <c r="V721" s="84"/>
      <c r="W721" s="84"/>
      <c r="X721" s="84"/>
      <c r="Y721" s="84"/>
      <c r="Z721" s="84"/>
      <c r="AA721" s="84"/>
      <c r="AB721" s="84"/>
      <c r="AC721" s="85"/>
      <c r="AD721" s="85"/>
      <c r="AE721" s="84"/>
      <c r="AF721" s="84"/>
      <c r="AG721" s="84"/>
      <c r="AH721" s="84"/>
      <c r="AI721" s="84"/>
      <c r="AJ721" s="84"/>
      <c r="AK721" s="84"/>
      <c r="AL721" s="84"/>
      <c r="AM721" s="84"/>
      <c r="AN721" s="84"/>
      <c r="AO721" s="84"/>
      <c r="AP721" s="84"/>
      <c r="AQ721" s="84"/>
      <c r="AR721" s="84"/>
      <c r="AS721" s="87">
        <f t="array" ref="AS721">IF(E721=1,SUM((ROW(Mf0)=ROW(AS721))*(Mf0+Mf1_+Mf2_+Mf3_+Mf4_+Mf5_+Mf6_+Mf7_+Mf8_+Mf9_+Mf10_+Mf11_+Mf12_+Mf13_+Mf14_+Mf15_+Mf16_+Mf17_+Mf18_+Mf19_+Mf20_+Mf21_+Mf22_+Mf23_+Mf24_+Mf25_+Mf26_+Mf27_+Mf28_+Mf29_+Mf30_+Mf31_+Mf32_+Mf33_+Mf34_+Mf35_+Mf36_+Mf37_)),0)</f>
        <v>0</v>
      </c>
      <c r="AU721" s="24" t="str">
        <f t="shared" si="72"/>
        <v/>
      </c>
      <c r="AV721" s="24" t="str">
        <f t="shared" si="73"/>
        <v/>
      </c>
      <c r="AW721" s="24" t="str">
        <f t="shared" si="74"/>
        <v/>
      </c>
      <c r="AX721" s="72">
        <f t="shared" si="75"/>
        <v>0</v>
      </c>
      <c r="AY721" s="24">
        <f t="shared" si="76"/>
        <v>0</v>
      </c>
      <c r="AZ721" s="24">
        <f t="array" ref="AZ721">IF(OR(RIGHT(B721,LEN(Par_LabelTravelTime))=Par_LabelTravelTime,B721="čas na ceste - fakturácia"),1,0)</f>
        <v>0</v>
      </c>
    </row>
    <row r="722" spans="2:52" s="24" customFormat="1" ht="12.75" x14ac:dyDescent="0.2">
      <c r="B722" s="97"/>
      <c r="C722" s="92"/>
      <c r="D722" s="31" t="str">
        <f>IF(E722=1,VLOOKUP(TableInvs[[#This Row],[Calc_V_Typ]],Tran_RevenuesList,3,FALSE),"")</f>
        <v/>
      </c>
      <c r="E722" s="31">
        <f t="shared" si="71"/>
        <v>0</v>
      </c>
      <c r="F722" s="94"/>
      <c r="G722" s="84"/>
      <c r="H722" s="84"/>
      <c r="I722" s="84"/>
      <c r="J722" s="84"/>
      <c r="K722" s="84"/>
      <c r="L722" s="84"/>
      <c r="M722" s="84"/>
      <c r="N722" s="84"/>
      <c r="O722" s="84"/>
      <c r="P722" s="84"/>
      <c r="Q722" s="84"/>
      <c r="R722" s="84"/>
      <c r="S722" s="84"/>
      <c r="T722" s="84"/>
      <c r="U722" s="84"/>
      <c r="V722" s="84"/>
      <c r="W722" s="84"/>
      <c r="X722" s="84"/>
      <c r="Y722" s="84"/>
      <c r="Z722" s="84"/>
      <c r="AA722" s="84"/>
      <c r="AB722" s="84"/>
      <c r="AC722" s="85"/>
      <c r="AD722" s="85"/>
      <c r="AE722" s="84"/>
      <c r="AF722" s="84"/>
      <c r="AG722" s="84"/>
      <c r="AH722" s="84"/>
      <c r="AI722" s="84"/>
      <c r="AJ722" s="84"/>
      <c r="AK722" s="84"/>
      <c r="AL722" s="84"/>
      <c r="AM722" s="84"/>
      <c r="AN722" s="84"/>
      <c r="AO722" s="84"/>
      <c r="AP722" s="84"/>
      <c r="AQ722" s="84"/>
      <c r="AR722" s="84"/>
      <c r="AS722" s="87">
        <f t="array" ref="AS722">IF(E722=1,SUM((ROW(Mf0)=ROW(AS722))*(Mf0+Mf1_+Mf2_+Mf3_+Mf4_+Mf5_+Mf6_+Mf7_+Mf8_+Mf9_+Mf10_+Mf11_+Mf12_+Mf13_+Mf14_+Mf15_+Mf16_+Mf17_+Mf18_+Mf19_+Mf20_+Mf21_+Mf22_+Mf23_+Mf24_+Mf25_+Mf26_+Mf27_+Mf28_+Mf29_+Mf30_+Mf31_+Mf32_+Mf33_+Mf34_+Mf35_+Mf36_+Mf37_)),0)</f>
        <v>0</v>
      </c>
      <c r="AU722" s="24" t="str">
        <f t="shared" si="72"/>
        <v/>
      </c>
      <c r="AV722" s="24" t="str">
        <f t="shared" si="73"/>
        <v/>
      </c>
      <c r="AW722" s="24" t="str">
        <f t="shared" si="74"/>
        <v/>
      </c>
      <c r="AX722" s="72">
        <f t="shared" si="75"/>
        <v>0</v>
      </c>
      <c r="AY722" s="24">
        <f t="shared" si="76"/>
        <v>0</v>
      </c>
      <c r="AZ722" s="24">
        <f t="array" ref="AZ722">IF(OR(RIGHT(B722,LEN(Par_LabelTravelTime))=Par_LabelTravelTime,B722="čas na ceste - fakturácia"),1,0)</f>
        <v>0</v>
      </c>
    </row>
    <row r="723" spans="2:52" s="24" customFormat="1" ht="12.75" x14ac:dyDescent="0.2">
      <c r="B723" s="97"/>
      <c r="C723" s="92"/>
      <c r="D723" s="31" t="str">
        <f>IF(E723=1,VLOOKUP(TableInvs[[#This Row],[Calc_V_Typ]],Tran_RevenuesList,3,FALSE),"")</f>
        <v/>
      </c>
      <c r="E723" s="31">
        <f t="shared" si="71"/>
        <v>0</v>
      </c>
      <c r="F723" s="9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  <c r="R723" s="84"/>
      <c r="S723" s="84"/>
      <c r="T723" s="84"/>
      <c r="U723" s="84"/>
      <c r="V723" s="84"/>
      <c r="W723" s="84"/>
      <c r="X723" s="84"/>
      <c r="Y723" s="84"/>
      <c r="Z723" s="84"/>
      <c r="AA723" s="84"/>
      <c r="AB723" s="84"/>
      <c r="AC723" s="85"/>
      <c r="AD723" s="85"/>
      <c r="AE723" s="84"/>
      <c r="AF723" s="84"/>
      <c r="AG723" s="84"/>
      <c r="AH723" s="84"/>
      <c r="AI723" s="84"/>
      <c r="AJ723" s="84"/>
      <c r="AK723" s="84"/>
      <c r="AL723" s="84"/>
      <c r="AM723" s="84"/>
      <c r="AN723" s="84"/>
      <c r="AO723" s="84"/>
      <c r="AP723" s="84"/>
      <c r="AQ723" s="84"/>
      <c r="AR723" s="84"/>
      <c r="AS723" s="87">
        <f t="array" ref="AS723">IF(E723=1,SUM((ROW(Mf0)=ROW(AS723))*(Mf0+Mf1_+Mf2_+Mf3_+Mf4_+Mf5_+Mf6_+Mf7_+Mf8_+Mf9_+Mf10_+Mf11_+Mf12_+Mf13_+Mf14_+Mf15_+Mf16_+Mf17_+Mf18_+Mf19_+Mf20_+Mf21_+Mf22_+Mf23_+Mf24_+Mf25_+Mf26_+Mf27_+Mf28_+Mf29_+Mf30_+Mf31_+Mf32_+Mf33_+Mf34_+Mf35_+Mf36_+Mf37_)),0)</f>
        <v>0</v>
      </c>
      <c r="AU723" s="24" t="str">
        <f t="shared" si="72"/>
        <v/>
      </c>
      <c r="AV723" s="24" t="str">
        <f t="shared" si="73"/>
        <v/>
      </c>
      <c r="AW723" s="24" t="str">
        <f t="shared" si="74"/>
        <v/>
      </c>
      <c r="AX723" s="72">
        <f t="shared" si="75"/>
        <v>0</v>
      </c>
      <c r="AY723" s="24">
        <f t="shared" si="76"/>
        <v>0</v>
      </c>
      <c r="AZ723" s="24">
        <f t="array" ref="AZ723">IF(OR(RIGHT(B723,LEN(Par_LabelTravelTime))=Par_LabelTravelTime,B723="čas na ceste - fakturácia"),1,0)</f>
        <v>0</v>
      </c>
    </row>
    <row r="724" spans="2:52" s="24" customFormat="1" ht="12.75" x14ac:dyDescent="0.2">
      <c r="B724" s="97"/>
      <c r="C724" s="92"/>
      <c r="D724" s="31" t="str">
        <f>IF(E724=1,VLOOKUP(TableInvs[[#This Row],[Calc_V_Typ]],Tran_RevenuesList,3,FALSE),"")</f>
        <v/>
      </c>
      <c r="E724" s="31">
        <f t="shared" si="71"/>
        <v>0</v>
      </c>
      <c r="F724" s="9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  <c r="R724" s="84"/>
      <c r="S724" s="84"/>
      <c r="T724" s="84"/>
      <c r="U724" s="84"/>
      <c r="V724" s="84"/>
      <c r="W724" s="84"/>
      <c r="X724" s="84"/>
      <c r="Y724" s="84"/>
      <c r="Z724" s="84"/>
      <c r="AA724" s="84"/>
      <c r="AB724" s="84"/>
      <c r="AC724" s="85"/>
      <c r="AD724" s="85"/>
      <c r="AE724" s="84"/>
      <c r="AF724" s="84"/>
      <c r="AG724" s="84"/>
      <c r="AH724" s="84"/>
      <c r="AI724" s="84"/>
      <c r="AJ724" s="84"/>
      <c r="AK724" s="84"/>
      <c r="AL724" s="84"/>
      <c r="AM724" s="84"/>
      <c r="AN724" s="84"/>
      <c r="AO724" s="84"/>
      <c r="AP724" s="84"/>
      <c r="AQ724" s="84"/>
      <c r="AR724" s="84"/>
      <c r="AS724" s="87">
        <f t="array" ref="AS724">IF(E724=1,SUM((ROW(Mf0)=ROW(AS724))*(Mf0+Mf1_+Mf2_+Mf3_+Mf4_+Mf5_+Mf6_+Mf7_+Mf8_+Mf9_+Mf10_+Mf11_+Mf12_+Mf13_+Mf14_+Mf15_+Mf16_+Mf17_+Mf18_+Mf19_+Mf20_+Mf21_+Mf22_+Mf23_+Mf24_+Mf25_+Mf26_+Mf27_+Mf28_+Mf29_+Mf30_+Mf31_+Mf32_+Mf33_+Mf34_+Mf35_+Mf36_+Mf37_)),0)</f>
        <v>0</v>
      </c>
      <c r="AU724" s="24" t="str">
        <f t="shared" si="72"/>
        <v/>
      </c>
      <c r="AV724" s="24" t="str">
        <f t="shared" si="73"/>
        <v/>
      </c>
      <c r="AW724" s="24" t="str">
        <f t="shared" si="74"/>
        <v/>
      </c>
      <c r="AX724" s="72">
        <f t="shared" si="75"/>
        <v>0</v>
      </c>
      <c r="AY724" s="24">
        <f t="shared" si="76"/>
        <v>0</v>
      </c>
      <c r="AZ724" s="24">
        <f t="array" ref="AZ724">IF(OR(RIGHT(B724,LEN(Par_LabelTravelTime))=Par_LabelTravelTime,B724="čas na ceste - fakturácia"),1,0)</f>
        <v>0</v>
      </c>
    </row>
    <row r="725" spans="2:52" s="24" customFormat="1" ht="12.75" x14ac:dyDescent="0.2">
      <c r="B725" s="97"/>
      <c r="C725" s="92"/>
      <c r="D725" s="31" t="str">
        <f>IF(E725=1,VLOOKUP(TableInvs[[#This Row],[Calc_V_Typ]],Tran_RevenuesList,3,FALSE),"")</f>
        <v/>
      </c>
      <c r="E725" s="31">
        <f t="shared" si="71"/>
        <v>0</v>
      </c>
      <c r="F725" s="9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  <c r="R725" s="84"/>
      <c r="S725" s="84"/>
      <c r="T725" s="84"/>
      <c r="U725" s="84"/>
      <c r="V725" s="84"/>
      <c r="W725" s="84"/>
      <c r="X725" s="84"/>
      <c r="Y725" s="84"/>
      <c r="Z725" s="84"/>
      <c r="AA725" s="84"/>
      <c r="AB725" s="84"/>
      <c r="AC725" s="85"/>
      <c r="AD725" s="85"/>
      <c r="AE725" s="84"/>
      <c r="AF725" s="84"/>
      <c r="AG725" s="84"/>
      <c r="AH725" s="84"/>
      <c r="AI725" s="84"/>
      <c r="AJ725" s="84"/>
      <c r="AK725" s="84"/>
      <c r="AL725" s="84"/>
      <c r="AM725" s="84"/>
      <c r="AN725" s="84"/>
      <c r="AO725" s="84"/>
      <c r="AP725" s="84"/>
      <c r="AQ725" s="84"/>
      <c r="AR725" s="84"/>
      <c r="AS725" s="87">
        <f t="array" ref="AS725">IF(E725=1,SUM((ROW(Mf0)=ROW(AS725))*(Mf0+Mf1_+Mf2_+Mf3_+Mf4_+Mf5_+Mf6_+Mf7_+Mf8_+Mf9_+Mf10_+Mf11_+Mf12_+Mf13_+Mf14_+Mf15_+Mf16_+Mf17_+Mf18_+Mf19_+Mf20_+Mf21_+Mf22_+Mf23_+Mf24_+Mf25_+Mf26_+Mf27_+Mf28_+Mf29_+Mf30_+Mf31_+Mf32_+Mf33_+Mf34_+Mf35_+Mf36_+Mf37_)),0)</f>
        <v>0</v>
      </c>
      <c r="AU725" s="24" t="str">
        <f t="shared" si="72"/>
        <v/>
      </c>
      <c r="AV725" s="24" t="str">
        <f t="shared" si="73"/>
        <v/>
      </c>
      <c r="AW725" s="24" t="str">
        <f t="shared" si="74"/>
        <v/>
      </c>
      <c r="AX725" s="72">
        <f t="shared" si="75"/>
        <v>0</v>
      </c>
      <c r="AY725" s="24">
        <f t="shared" si="76"/>
        <v>0</v>
      </c>
      <c r="AZ725" s="24">
        <f t="array" ref="AZ725">IF(OR(RIGHT(B725,LEN(Par_LabelTravelTime))=Par_LabelTravelTime,B725="čas na ceste - fakturácia"),1,0)</f>
        <v>0</v>
      </c>
    </row>
    <row r="726" spans="2:52" s="24" customFormat="1" ht="12.75" x14ac:dyDescent="0.2">
      <c r="B726" s="97"/>
      <c r="C726" s="92"/>
      <c r="D726" s="31" t="str">
        <f>IF(E726=1,VLOOKUP(TableInvs[[#This Row],[Calc_V_Typ]],Tran_RevenuesList,3,FALSE),"")</f>
        <v/>
      </c>
      <c r="E726" s="31">
        <f t="shared" si="71"/>
        <v>0</v>
      </c>
      <c r="F726" s="9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  <c r="R726" s="84"/>
      <c r="S726" s="84"/>
      <c r="T726" s="84"/>
      <c r="U726" s="84"/>
      <c r="V726" s="84"/>
      <c r="W726" s="84"/>
      <c r="X726" s="84"/>
      <c r="Y726" s="84"/>
      <c r="Z726" s="84"/>
      <c r="AA726" s="84"/>
      <c r="AB726" s="84"/>
      <c r="AC726" s="85"/>
      <c r="AD726" s="85"/>
      <c r="AE726" s="84"/>
      <c r="AF726" s="84"/>
      <c r="AG726" s="84"/>
      <c r="AH726" s="84"/>
      <c r="AI726" s="84"/>
      <c r="AJ726" s="84"/>
      <c r="AK726" s="84"/>
      <c r="AL726" s="84"/>
      <c r="AM726" s="84"/>
      <c r="AN726" s="84"/>
      <c r="AO726" s="84"/>
      <c r="AP726" s="84"/>
      <c r="AQ726" s="84"/>
      <c r="AR726" s="84"/>
      <c r="AS726" s="87">
        <f t="array" ref="AS726">IF(E726=1,SUM((ROW(Mf0)=ROW(AS726))*(Mf0+Mf1_+Mf2_+Mf3_+Mf4_+Mf5_+Mf6_+Mf7_+Mf8_+Mf9_+Mf10_+Mf11_+Mf12_+Mf13_+Mf14_+Mf15_+Mf16_+Mf17_+Mf18_+Mf19_+Mf20_+Mf21_+Mf22_+Mf23_+Mf24_+Mf25_+Mf26_+Mf27_+Mf28_+Mf29_+Mf30_+Mf31_+Mf32_+Mf33_+Mf34_+Mf35_+Mf36_+Mf37_)),0)</f>
        <v>0</v>
      </c>
      <c r="AU726" s="24" t="str">
        <f t="shared" si="72"/>
        <v/>
      </c>
      <c r="AV726" s="24" t="str">
        <f t="shared" si="73"/>
        <v/>
      </c>
      <c r="AW726" s="24" t="str">
        <f t="shared" si="74"/>
        <v/>
      </c>
      <c r="AX726" s="72">
        <f t="shared" si="75"/>
        <v>0</v>
      </c>
      <c r="AY726" s="24">
        <f t="shared" si="76"/>
        <v>0</v>
      </c>
      <c r="AZ726" s="24">
        <f t="array" ref="AZ726">IF(OR(RIGHT(B726,LEN(Par_LabelTravelTime))=Par_LabelTravelTime,B726="čas na ceste - fakturácia"),1,0)</f>
        <v>0</v>
      </c>
    </row>
    <row r="727" spans="2:52" s="24" customFormat="1" ht="12.75" x14ac:dyDescent="0.2">
      <c r="B727" s="97"/>
      <c r="C727" s="92"/>
      <c r="D727" s="31" t="str">
        <f>IF(E727=1,VLOOKUP(TableInvs[[#This Row],[Calc_V_Typ]],Tran_RevenuesList,3,FALSE),"")</f>
        <v/>
      </c>
      <c r="E727" s="31">
        <f t="shared" si="71"/>
        <v>0</v>
      </c>
      <c r="F727" s="9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  <c r="R727" s="84"/>
      <c r="S727" s="84"/>
      <c r="T727" s="84"/>
      <c r="U727" s="84"/>
      <c r="V727" s="84"/>
      <c r="W727" s="84"/>
      <c r="X727" s="84"/>
      <c r="Y727" s="84"/>
      <c r="Z727" s="84"/>
      <c r="AA727" s="84"/>
      <c r="AB727" s="84"/>
      <c r="AC727" s="85"/>
      <c r="AD727" s="85"/>
      <c r="AE727" s="84"/>
      <c r="AF727" s="84"/>
      <c r="AG727" s="84"/>
      <c r="AH727" s="84"/>
      <c r="AI727" s="84"/>
      <c r="AJ727" s="84"/>
      <c r="AK727" s="84"/>
      <c r="AL727" s="84"/>
      <c r="AM727" s="84"/>
      <c r="AN727" s="84"/>
      <c r="AO727" s="84"/>
      <c r="AP727" s="84"/>
      <c r="AQ727" s="84"/>
      <c r="AR727" s="84"/>
      <c r="AS727" s="87">
        <f t="array" ref="AS727">IF(E727=1,SUM((ROW(Mf0)=ROW(AS727))*(Mf0+Mf1_+Mf2_+Mf3_+Mf4_+Mf5_+Mf6_+Mf7_+Mf8_+Mf9_+Mf10_+Mf11_+Mf12_+Mf13_+Mf14_+Mf15_+Mf16_+Mf17_+Mf18_+Mf19_+Mf20_+Mf21_+Mf22_+Mf23_+Mf24_+Mf25_+Mf26_+Mf27_+Mf28_+Mf29_+Mf30_+Mf31_+Mf32_+Mf33_+Mf34_+Mf35_+Mf36_+Mf37_)),0)</f>
        <v>0</v>
      </c>
      <c r="AU727" s="24" t="str">
        <f t="shared" si="72"/>
        <v/>
      </c>
      <c r="AV727" s="24" t="str">
        <f t="shared" si="73"/>
        <v/>
      </c>
      <c r="AW727" s="24" t="str">
        <f t="shared" si="74"/>
        <v/>
      </c>
      <c r="AX727" s="72">
        <f t="shared" si="75"/>
        <v>0</v>
      </c>
      <c r="AY727" s="24">
        <f t="shared" si="76"/>
        <v>0</v>
      </c>
      <c r="AZ727" s="24">
        <f t="array" ref="AZ727">IF(OR(RIGHT(B727,LEN(Par_LabelTravelTime))=Par_LabelTravelTime,B727="čas na ceste - fakturácia"),1,0)</f>
        <v>0</v>
      </c>
    </row>
    <row r="728" spans="2:52" s="24" customFormat="1" ht="12.75" x14ac:dyDescent="0.2">
      <c r="B728" s="97"/>
      <c r="C728" s="92"/>
      <c r="D728" s="31" t="str">
        <f>IF(E728=1,VLOOKUP(TableInvs[[#This Row],[Calc_V_Typ]],Tran_RevenuesList,3,FALSE),"")</f>
        <v/>
      </c>
      <c r="E728" s="31">
        <f t="shared" si="71"/>
        <v>0</v>
      </c>
      <c r="F728" s="9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  <c r="R728" s="84"/>
      <c r="S728" s="84"/>
      <c r="T728" s="84"/>
      <c r="U728" s="84"/>
      <c r="V728" s="84"/>
      <c r="W728" s="84"/>
      <c r="X728" s="84"/>
      <c r="Y728" s="84"/>
      <c r="Z728" s="84"/>
      <c r="AA728" s="84"/>
      <c r="AB728" s="84"/>
      <c r="AC728" s="85"/>
      <c r="AD728" s="85"/>
      <c r="AE728" s="84"/>
      <c r="AF728" s="84"/>
      <c r="AG728" s="84"/>
      <c r="AH728" s="84"/>
      <c r="AI728" s="84"/>
      <c r="AJ728" s="84"/>
      <c r="AK728" s="84"/>
      <c r="AL728" s="84"/>
      <c r="AM728" s="84"/>
      <c r="AN728" s="84"/>
      <c r="AO728" s="84"/>
      <c r="AP728" s="84"/>
      <c r="AQ728" s="84"/>
      <c r="AR728" s="84"/>
      <c r="AS728" s="87">
        <f t="array" ref="AS728">IF(E728=1,SUM((ROW(Mf0)=ROW(AS728))*(Mf0+Mf1_+Mf2_+Mf3_+Mf4_+Mf5_+Mf6_+Mf7_+Mf8_+Mf9_+Mf10_+Mf11_+Mf12_+Mf13_+Mf14_+Mf15_+Mf16_+Mf17_+Mf18_+Mf19_+Mf20_+Mf21_+Mf22_+Mf23_+Mf24_+Mf25_+Mf26_+Mf27_+Mf28_+Mf29_+Mf30_+Mf31_+Mf32_+Mf33_+Mf34_+Mf35_+Mf36_+Mf37_)),0)</f>
        <v>0</v>
      </c>
      <c r="AU728" s="24" t="str">
        <f t="shared" si="72"/>
        <v/>
      </c>
      <c r="AV728" s="24" t="str">
        <f t="shared" si="73"/>
        <v/>
      </c>
      <c r="AW728" s="24" t="str">
        <f t="shared" si="74"/>
        <v/>
      </c>
      <c r="AX728" s="72">
        <f t="shared" si="75"/>
        <v>0</v>
      </c>
      <c r="AY728" s="24">
        <f t="shared" si="76"/>
        <v>0</v>
      </c>
      <c r="AZ728" s="24">
        <f t="array" ref="AZ728">IF(OR(RIGHT(B728,LEN(Par_LabelTravelTime))=Par_LabelTravelTime,B728="čas na ceste - fakturácia"),1,0)</f>
        <v>0</v>
      </c>
    </row>
    <row r="729" spans="2:52" s="24" customFormat="1" ht="12.75" x14ac:dyDescent="0.2">
      <c r="B729" s="97"/>
      <c r="C729" s="92"/>
      <c r="D729" s="31" t="str">
        <f>IF(E729=1,VLOOKUP(TableInvs[[#This Row],[Calc_V_Typ]],Tran_RevenuesList,3,FALSE),"")</f>
        <v/>
      </c>
      <c r="E729" s="31">
        <f t="shared" si="71"/>
        <v>0</v>
      </c>
      <c r="F729" s="9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  <c r="R729" s="84"/>
      <c r="S729" s="84"/>
      <c r="T729" s="84"/>
      <c r="U729" s="84"/>
      <c r="V729" s="84"/>
      <c r="W729" s="84"/>
      <c r="X729" s="84"/>
      <c r="Y729" s="84"/>
      <c r="Z729" s="84"/>
      <c r="AA729" s="84"/>
      <c r="AB729" s="84"/>
      <c r="AC729" s="85"/>
      <c r="AD729" s="85"/>
      <c r="AE729" s="84"/>
      <c r="AF729" s="84"/>
      <c r="AG729" s="84"/>
      <c r="AH729" s="84"/>
      <c r="AI729" s="84"/>
      <c r="AJ729" s="84"/>
      <c r="AK729" s="84"/>
      <c r="AL729" s="84"/>
      <c r="AM729" s="84"/>
      <c r="AN729" s="84"/>
      <c r="AO729" s="84"/>
      <c r="AP729" s="84"/>
      <c r="AQ729" s="84"/>
      <c r="AR729" s="84"/>
      <c r="AS729" s="87">
        <f t="array" ref="AS729">IF(E729=1,SUM((ROW(Mf0)=ROW(AS729))*(Mf0+Mf1_+Mf2_+Mf3_+Mf4_+Mf5_+Mf6_+Mf7_+Mf8_+Mf9_+Mf10_+Mf11_+Mf12_+Mf13_+Mf14_+Mf15_+Mf16_+Mf17_+Mf18_+Mf19_+Mf20_+Mf21_+Mf22_+Mf23_+Mf24_+Mf25_+Mf26_+Mf27_+Mf28_+Mf29_+Mf30_+Mf31_+Mf32_+Mf33_+Mf34_+Mf35_+Mf36_+Mf37_)),0)</f>
        <v>0</v>
      </c>
      <c r="AU729" s="24" t="str">
        <f t="shared" si="72"/>
        <v/>
      </c>
      <c r="AV729" s="24" t="str">
        <f t="shared" si="73"/>
        <v/>
      </c>
      <c r="AW729" s="24" t="str">
        <f t="shared" si="74"/>
        <v/>
      </c>
      <c r="AX729" s="72">
        <f t="shared" si="75"/>
        <v>0</v>
      </c>
      <c r="AY729" s="24">
        <f t="shared" si="76"/>
        <v>0</v>
      </c>
      <c r="AZ729" s="24">
        <f t="array" ref="AZ729">IF(OR(RIGHT(B729,LEN(Par_LabelTravelTime))=Par_LabelTravelTime,B729="čas na ceste - fakturácia"),1,0)</f>
        <v>0</v>
      </c>
    </row>
    <row r="730" spans="2:52" s="24" customFormat="1" ht="12.75" x14ac:dyDescent="0.2">
      <c r="B730" s="97"/>
      <c r="C730" s="92"/>
      <c r="D730" s="31" t="str">
        <f>IF(E730=1,VLOOKUP(TableInvs[[#This Row],[Calc_V_Typ]],Tran_RevenuesList,3,FALSE),"")</f>
        <v/>
      </c>
      <c r="E730" s="31">
        <f t="shared" si="71"/>
        <v>0</v>
      </c>
      <c r="F730" s="9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  <c r="R730" s="84"/>
      <c r="S730" s="84"/>
      <c r="T730" s="84"/>
      <c r="U730" s="84"/>
      <c r="V730" s="84"/>
      <c r="W730" s="84"/>
      <c r="X730" s="84"/>
      <c r="Y730" s="84"/>
      <c r="Z730" s="84"/>
      <c r="AA730" s="84"/>
      <c r="AB730" s="84"/>
      <c r="AC730" s="85"/>
      <c r="AD730" s="85"/>
      <c r="AE730" s="84"/>
      <c r="AF730" s="84"/>
      <c r="AG730" s="84"/>
      <c r="AH730" s="84"/>
      <c r="AI730" s="84"/>
      <c r="AJ730" s="84"/>
      <c r="AK730" s="84"/>
      <c r="AL730" s="84"/>
      <c r="AM730" s="84"/>
      <c r="AN730" s="84"/>
      <c r="AO730" s="84"/>
      <c r="AP730" s="84"/>
      <c r="AQ730" s="84"/>
      <c r="AR730" s="84"/>
      <c r="AS730" s="87">
        <f t="array" ref="AS730">IF(E730=1,SUM((ROW(Mf0)=ROW(AS730))*(Mf0+Mf1_+Mf2_+Mf3_+Mf4_+Mf5_+Mf6_+Mf7_+Mf8_+Mf9_+Mf10_+Mf11_+Mf12_+Mf13_+Mf14_+Mf15_+Mf16_+Mf17_+Mf18_+Mf19_+Mf20_+Mf21_+Mf22_+Mf23_+Mf24_+Mf25_+Mf26_+Mf27_+Mf28_+Mf29_+Mf30_+Mf31_+Mf32_+Mf33_+Mf34_+Mf35_+Mf36_+Mf37_)),0)</f>
        <v>0</v>
      </c>
      <c r="AU730" s="24" t="str">
        <f t="shared" si="72"/>
        <v/>
      </c>
      <c r="AV730" s="24" t="str">
        <f t="shared" si="73"/>
        <v/>
      </c>
      <c r="AW730" s="24" t="str">
        <f t="shared" si="74"/>
        <v/>
      </c>
      <c r="AX730" s="72">
        <f t="shared" si="75"/>
        <v>0</v>
      </c>
      <c r="AY730" s="24">
        <f t="shared" si="76"/>
        <v>0</v>
      </c>
      <c r="AZ730" s="24">
        <f t="array" ref="AZ730">IF(OR(RIGHT(B730,LEN(Par_LabelTravelTime))=Par_LabelTravelTime,B730="čas na ceste - fakturácia"),1,0)</f>
        <v>0</v>
      </c>
    </row>
    <row r="731" spans="2:52" s="24" customFormat="1" ht="12.75" x14ac:dyDescent="0.2">
      <c r="B731" s="97"/>
      <c r="C731" s="92"/>
      <c r="D731" s="31" t="str">
        <f>IF(E731=1,VLOOKUP(TableInvs[[#This Row],[Calc_V_Typ]],Tran_RevenuesList,3,FALSE),"")</f>
        <v/>
      </c>
      <c r="E731" s="31">
        <f t="shared" si="71"/>
        <v>0</v>
      </c>
      <c r="F731" s="94"/>
      <c r="G731" s="84"/>
      <c r="H731" s="84"/>
      <c r="I731" s="84"/>
      <c r="J731" s="84"/>
      <c r="K731" s="84"/>
      <c r="L731" s="84"/>
      <c r="M731" s="84"/>
      <c r="N731" s="84"/>
      <c r="O731" s="84"/>
      <c r="P731" s="84"/>
      <c r="Q731" s="84"/>
      <c r="R731" s="84"/>
      <c r="S731" s="84"/>
      <c r="T731" s="84"/>
      <c r="U731" s="84"/>
      <c r="V731" s="84"/>
      <c r="W731" s="84"/>
      <c r="X731" s="84"/>
      <c r="Y731" s="84"/>
      <c r="Z731" s="84"/>
      <c r="AA731" s="84"/>
      <c r="AB731" s="84"/>
      <c r="AC731" s="85"/>
      <c r="AD731" s="85"/>
      <c r="AE731" s="84"/>
      <c r="AF731" s="84"/>
      <c r="AG731" s="84"/>
      <c r="AH731" s="84"/>
      <c r="AI731" s="84"/>
      <c r="AJ731" s="84"/>
      <c r="AK731" s="84"/>
      <c r="AL731" s="84"/>
      <c r="AM731" s="84"/>
      <c r="AN731" s="84"/>
      <c r="AO731" s="84"/>
      <c r="AP731" s="84"/>
      <c r="AQ731" s="84"/>
      <c r="AR731" s="84"/>
      <c r="AS731" s="87">
        <f t="array" ref="AS731">IF(E731=1,SUM((ROW(Mf0)=ROW(AS731))*(Mf0+Mf1_+Mf2_+Mf3_+Mf4_+Mf5_+Mf6_+Mf7_+Mf8_+Mf9_+Mf10_+Mf11_+Mf12_+Mf13_+Mf14_+Mf15_+Mf16_+Mf17_+Mf18_+Mf19_+Mf20_+Mf21_+Mf22_+Mf23_+Mf24_+Mf25_+Mf26_+Mf27_+Mf28_+Mf29_+Mf30_+Mf31_+Mf32_+Mf33_+Mf34_+Mf35_+Mf36_+Mf37_)),0)</f>
        <v>0</v>
      </c>
      <c r="AU731" s="24" t="str">
        <f t="shared" si="72"/>
        <v/>
      </c>
      <c r="AV731" s="24" t="str">
        <f t="shared" si="73"/>
        <v/>
      </c>
      <c r="AW731" s="24" t="str">
        <f t="shared" si="74"/>
        <v/>
      </c>
      <c r="AX731" s="72">
        <f t="shared" si="75"/>
        <v>0</v>
      </c>
      <c r="AY731" s="24">
        <f t="shared" si="76"/>
        <v>0</v>
      </c>
      <c r="AZ731" s="24">
        <f t="array" ref="AZ731">IF(OR(RIGHT(B731,LEN(Par_LabelTravelTime))=Par_LabelTravelTime,B731="čas na ceste - fakturácia"),1,0)</f>
        <v>0</v>
      </c>
    </row>
    <row r="732" spans="2:52" s="24" customFormat="1" ht="12.75" x14ac:dyDescent="0.2">
      <c r="B732" s="97"/>
      <c r="C732" s="92"/>
      <c r="D732" s="31" t="str">
        <f>IF(E732=1,VLOOKUP(TableInvs[[#This Row],[Calc_V_Typ]],Tran_RevenuesList,3,FALSE),"")</f>
        <v/>
      </c>
      <c r="E732" s="31">
        <f t="shared" si="71"/>
        <v>0</v>
      </c>
      <c r="F732" s="94"/>
      <c r="G732" s="84"/>
      <c r="H732" s="84"/>
      <c r="I732" s="84"/>
      <c r="J732" s="84"/>
      <c r="K732" s="84"/>
      <c r="L732" s="84"/>
      <c r="M732" s="84"/>
      <c r="N732" s="84"/>
      <c r="O732" s="84"/>
      <c r="P732" s="84"/>
      <c r="Q732" s="84"/>
      <c r="R732" s="84"/>
      <c r="S732" s="84"/>
      <c r="T732" s="84"/>
      <c r="U732" s="84"/>
      <c r="V732" s="84"/>
      <c r="W732" s="84"/>
      <c r="X732" s="84"/>
      <c r="Y732" s="84"/>
      <c r="Z732" s="84"/>
      <c r="AA732" s="84"/>
      <c r="AB732" s="84"/>
      <c r="AC732" s="85"/>
      <c r="AD732" s="85"/>
      <c r="AE732" s="84"/>
      <c r="AF732" s="84"/>
      <c r="AG732" s="84"/>
      <c r="AH732" s="84"/>
      <c r="AI732" s="84"/>
      <c r="AJ732" s="84"/>
      <c r="AK732" s="84"/>
      <c r="AL732" s="84"/>
      <c r="AM732" s="84"/>
      <c r="AN732" s="84"/>
      <c r="AO732" s="84"/>
      <c r="AP732" s="84"/>
      <c r="AQ732" s="84"/>
      <c r="AR732" s="84"/>
      <c r="AS732" s="87">
        <f t="array" ref="AS732">IF(E732=1,SUM((ROW(Mf0)=ROW(AS732))*(Mf0+Mf1_+Mf2_+Mf3_+Mf4_+Mf5_+Mf6_+Mf7_+Mf8_+Mf9_+Mf10_+Mf11_+Mf12_+Mf13_+Mf14_+Mf15_+Mf16_+Mf17_+Mf18_+Mf19_+Mf20_+Mf21_+Mf22_+Mf23_+Mf24_+Mf25_+Mf26_+Mf27_+Mf28_+Mf29_+Mf30_+Mf31_+Mf32_+Mf33_+Mf34_+Mf35_+Mf36_+Mf37_)),0)</f>
        <v>0</v>
      </c>
      <c r="AU732" s="24" t="str">
        <f t="shared" si="72"/>
        <v/>
      </c>
      <c r="AV732" s="24" t="str">
        <f t="shared" si="73"/>
        <v/>
      </c>
      <c r="AW732" s="24" t="str">
        <f t="shared" si="74"/>
        <v/>
      </c>
      <c r="AX732" s="72">
        <f t="shared" si="75"/>
        <v>0</v>
      </c>
      <c r="AY732" s="24">
        <f t="shared" si="76"/>
        <v>0</v>
      </c>
      <c r="AZ732" s="24">
        <f t="array" ref="AZ732">IF(OR(RIGHT(B732,LEN(Par_LabelTravelTime))=Par_LabelTravelTime,B732="čas na ceste - fakturácia"),1,0)</f>
        <v>0</v>
      </c>
    </row>
    <row r="733" spans="2:52" s="24" customFormat="1" ht="12.75" x14ac:dyDescent="0.2">
      <c r="B733" s="97"/>
      <c r="C733" s="92"/>
      <c r="D733" s="31" t="str">
        <f>IF(E733=1,VLOOKUP(TableInvs[[#This Row],[Calc_V_Typ]],Tran_RevenuesList,3,FALSE),"")</f>
        <v/>
      </c>
      <c r="E733" s="31">
        <f t="shared" si="71"/>
        <v>0</v>
      </c>
      <c r="F733" s="94"/>
      <c r="G733" s="84"/>
      <c r="H733" s="84"/>
      <c r="I733" s="84"/>
      <c r="J733" s="84"/>
      <c r="K733" s="84"/>
      <c r="L733" s="84"/>
      <c r="M733" s="84"/>
      <c r="N733" s="84"/>
      <c r="O733" s="84"/>
      <c r="P733" s="84"/>
      <c r="Q733" s="84"/>
      <c r="R733" s="84"/>
      <c r="S733" s="84"/>
      <c r="T733" s="84"/>
      <c r="U733" s="84"/>
      <c r="V733" s="84"/>
      <c r="W733" s="84"/>
      <c r="X733" s="84"/>
      <c r="Y733" s="84"/>
      <c r="Z733" s="84"/>
      <c r="AA733" s="84"/>
      <c r="AB733" s="84"/>
      <c r="AC733" s="85"/>
      <c r="AD733" s="85"/>
      <c r="AE733" s="84"/>
      <c r="AF733" s="84"/>
      <c r="AG733" s="84"/>
      <c r="AH733" s="84"/>
      <c r="AI733" s="84"/>
      <c r="AJ733" s="84"/>
      <c r="AK733" s="84"/>
      <c r="AL733" s="84"/>
      <c r="AM733" s="84"/>
      <c r="AN733" s="84"/>
      <c r="AO733" s="84"/>
      <c r="AP733" s="84"/>
      <c r="AQ733" s="84"/>
      <c r="AR733" s="84"/>
      <c r="AS733" s="87">
        <f t="array" ref="AS733">IF(E733=1,SUM((ROW(Mf0)=ROW(AS733))*(Mf0+Mf1_+Mf2_+Mf3_+Mf4_+Mf5_+Mf6_+Mf7_+Mf8_+Mf9_+Mf10_+Mf11_+Mf12_+Mf13_+Mf14_+Mf15_+Mf16_+Mf17_+Mf18_+Mf19_+Mf20_+Mf21_+Mf22_+Mf23_+Mf24_+Mf25_+Mf26_+Mf27_+Mf28_+Mf29_+Mf30_+Mf31_+Mf32_+Mf33_+Mf34_+Mf35_+Mf36_+Mf37_)),0)</f>
        <v>0</v>
      </c>
      <c r="AU733" s="24" t="str">
        <f t="shared" si="72"/>
        <v/>
      </c>
      <c r="AV733" s="24" t="str">
        <f t="shared" si="73"/>
        <v/>
      </c>
      <c r="AW733" s="24" t="str">
        <f t="shared" si="74"/>
        <v/>
      </c>
      <c r="AX733" s="72">
        <f t="shared" si="75"/>
        <v>0</v>
      </c>
      <c r="AY733" s="24">
        <f t="shared" si="76"/>
        <v>0</v>
      </c>
      <c r="AZ733" s="24">
        <f t="array" ref="AZ733">IF(OR(RIGHT(B733,LEN(Par_LabelTravelTime))=Par_LabelTravelTime,B733="čas na ceste - fakturácia"),1,0)</f>
        <v>0</v>
      </c>
    </row>
    <row r="734" spans="2:52" s="24" customFormat="1" ht="12.75" x14ac:dyDescent="0.2">
      <c r="B734" s="97"/>
      <c r="C734" s="92"/>
      <c r="D734" s="31" t="str">
        <f>IF(E734=1,VLOOKUP(TableInvs[[#This Row],[Calc_V_Typ]],Tran_RevenuesList,3,FALSE),"")</f>
        <v/>
      </c>
      <c r="E734" s="31">
        <f t="shared" si="71"/>
        <v>0</v>
      </c>
      <c r="F734" s="94"/>
      <c r="G734" s="84"/>
      <c r="H734" s="84"/>
      <c r="I734" s="84"/>
      <c r="J734" s="84"/>
      <c r="K734" s="84"/>
      <c r="L734" s="84"/>
      <c r="M734" s="84"/>
      <c r="N734" s="84"/>
      <c r="O734" s="84"/>
      <c r="P734" s="84"/>
      <c r="Q734" s="84"/>
      <c r="R734" s="84"/>
      <c r="S734" s="84"/>
      <c r="T734" s="84"/>
      <c r="U734" s="84"/>
      <c r="V734" s="84"/>
      <c r="W734" s="84"/>
      <c r="X734" s="84"/>
      <c r="Y734" s="84"/>
      <c r="Z734" s="84"/>
      <c r="AA734" s="84"/>
      <c r="AB734" s="84"/>
      <c r="AC734" s="85"/>
      <c r="AD734" s="85"/>
      <c r="AE734" s="84"/>
      <c r="AF734" s="84"/>
      <c r="AG734" s="84"/>
      <c r="AH734" s="84"/>
      <c r="AI734" s="84"/>
      <c r="AJ734" s="84"/>
      <c r="AK734" s="84"/>
      <c r="AL734" s="84"/>
      <c r="AM734" s="84"/>
      <c r="AN734" s="84"/>
      <c r="AO734" s="84"/>
      <c r="AP734" s="84"/>
      <c r="AQ734" s="84"/>
      <c r="AR734" s="84"/>
      <c r="AS734" s="87">
        <f t="array" ref="AS734">IF(E734=1,SUM((ROW(Mf0)=ROW(AS734))*(Mf0+Mf1_+Mf2_+Mf3_+Mf4_+Mf5_+Mf6_+Mf7_+Mf8_+Mf9_+Mf10_+Mf11_+Mf12_+Mf13_+Mf14_+Mf15_+Mf16_+Mf17_+Mf18_+Mf19_+Mf20_+Mf21_+Mf22_+Mf23_+Mf24_+Mf25_+Mf26_+Mf27_+Mf28_+Mf29_+Mf30_+Mf31_+Mf32_+Mf33_+Mf34_+Mf35_+Mf36_+Mf37_)),0)</f>
        <v>0</v>
      </c>
      <c r="AU734" s="24" t="str">
        <f t="shared" si="72"/>
        <v/>
      </c>
      <c r="AV734" s="24" t="str">
        <f t="shared" si="73"/>
        <v/>
      </c>
      <c r="AW734" s="24" t="str">
        <f t="shared" si="74"/>
        <v/>
      </c>
      <c r="AX734" s="72">
        <f t="shared" si="75"/>
        <v>0</v>
      </c>
      <c r="AY734" s="24">
        <f t="shared" si="76"/>
        <v>0</v>
      </c>
      <c r="AZ734" s="24">
        <f t="array" ref="AZ734">IF(OR(RIGHT(B734,LEN(Par_LabelTravelTime))=Par_LabelTravelTime,B734="čas na ceste - fakturácia"),1,0)</f>
        <v>0</v>
      </c>
    </row>
    <row r="735" spans="2:52" s="24" customFormat="1" ht="12.75" x14ac:dyDescent="0.2">
      <c r="B735" s="97"/>
      <c r="C735" s="92"/>
      <c r="D735" s="31" t="str">
        <f>IF(E735=1,VLOOKUP(TableInvs[[#This Row],[Calc_V_Typ]],Tran_RevenuesList,3,FALSE),"")</f>
        <v/>
      </c>
      <c r="E735" s="31">
        <f t="shared" si="71"/>
        <v>0</v>
      </c>
      <c r="F735" s="94"/>
      <c r="G735" s="84"/>
      <c r="H735" s="84"/>
      <c r="I735" s="84"/>
      <c r="J735" s="84"/>
      <c r="K735" s="84"/>
      <c r="L735" s="84"/>
      <c r="M735" s="84"/>
      <c r="N735" s="84"/>
      <c r="O735" s="84"/>
      <c r="P735" s="84"/>
      <c r="Q735" s="84"/>
      <c r="R735" s="84"/>
      <c r="S735" s="84"/>
      <c r="T735" s="84"/>
      <c r="U735" s="84"/>
      <c r="V735" s="84"/>
      <c r="W735" s="84"/>
      <c r="X735" s="84"/>
      <c r="Y735" s="84"/>
      <c r="Z735" s="84"/>
      <c r="AA735" s="84"/>
      <c r="AB735" s="84"/>
      <c r="AC735" s="85"/>
      <c r="AD735" s="85"/>
      <c r="AE735" s="84"/>
      <c r="AF735" s="84"/>
      <c r="AG735" s="84"/>
      <c r="AH735" s="84"/>
      <c r="AI735" s="84"/>
      <c r="AJ735" s="84"/>
      <c r="AK735" s="84"/>
      <c r="AL735" s="84"/>
      <c r="AM735" s="84"/>
      <c r="AN735" s="84"/>
      <c r="AO735" s="84"/>
      <c r="AP735" s="84"/>
      <c r="AQ735" s="84"/>
      <c r="AR735" s="84"/>
      <c r="AS735" s="87">
        <f t="array" ref="AS735">IF(E735=1,SUM((ROW(Mf0)=ROW(AS735))*(Mf0+Mf1_+Mf2_+Mf3_+Mf4_+Mf5_+Mf6_+Mf7_+Mf8_+Mf9_+Mf10_+Mf11_+Mf12_+Mf13_+Mf14_+Mf15_+Mf16_+Mf17_+Mf18_+Mf19_+Mf20_+Mf21_+Mf22_+Mf23_+Mf24_+Mf25_+Mf26_+Mf27_+Mf28_+Mf29_+Mf30_+Mf31_+Mf32_+Mf33_+Mf34_+Mf35_+Mf36_+Mf37_)),0)</f>
        <v>0</v>
      </c>
      <c r="AU735" s="24" t="str">
        <f t="shared" si="72"/>
        <v/>
      </c>
      <c r="AV735" s="24" t="str">
        <f t="shared" si="73"/>
        <v/>
      </c>
      <c r="AW735" s="24" t="str">
        <f t="shared" si="74"/>
        <v/>
      </c>
      <c r="AX735" s="72">
        <f t="shared" si="75"/>
        <v>0</v>
      </c>
      <c r="AY735" s="24">
        <f t="shared" si="76"/>
        <v>0</v>
      </c>
      <c r="AZ735" s="24">
        <f t="array" ref="AZ735">IF(OR(RIGHT(B735,LEN(Par_LabelTravelTime))=Par_LabelTravelTime,B735="čas na ceste - fakturácia"),1,0)</f>
        <v>0</v>
      </c>
    </row>
    <row r="736" spans="2:52" s="24" customFormat="1" ht="12.75" x14ac:dyDescent="0.2">
      <c r="B736" s="97"/>
      <c r="C736" s="92"/>
      <c r="D736" s="31" t="str">
        <f>IF(E736=1,VLOOKUP(TableInvs[[#This Row],[Calc_V_Typ]],Tran_RevenuesList,3,FALSE),"")</f>
        <v/>
      </c>
      <c r="E736" s="31">
        <f t="shared" si="71"/>
        <v>0</v>
      </c>
      <c r="F736" s="94"/>
      <c r="G736" s="84"/>
      <c r="H736" s="84"/>
      <c r="I736" s="84"/>
      <c r="J736" s="84"/>
      <c r="K736" s="84"/>
      <c r="L736" s="84"/>
      <c r="M736" s="84"/>
      <c r="N736" s="84"/>
      <c r="O736" s="84"/>
      <c r="P736" s="84"/>
      <c r="Q736" s="84"/>
      <c r="R736" s="84"/>
      <c r="S736" s="84"/>
      <c r="T736" s="84"/>
      <c r="U736" s="84"/>
      <c r="V736" s="84"/>
      <c r="W736" s="84"/>
      <c r="X736" s="84"/>
      <c r="Y736" s="84"/>
      <c r="Z736" s="84"/>
      <c r="AA736" s="84"/>
      <c r="AB736" s="84"/>
      <c r="AC736" s="85"/>
      <c r="AD736" s="85"/>
      <c r="AE736" s="84"/>
      <c r="AF736" s="84"/>
      <c r="AG736" s="84"/>
      <c r="AH736" s="84"/>
      <c r="AI736" s="84"/>
      <c r="AJ736" s="84"/>
      <c r="AK736" s="84"/>
      <c r="AL736" s="84"/>
      <c r="AM736" s="84"/>
      <c r="AN736" s="84"/>
      <c r="AO736" s="84"/>
      <c r="AP736" s="84"/>
      <c r="AQ736" s="84"/>
      <c r="AR736" s="84"/>
      <c r="AS736" s="87">
        <f t="array" ref="AS736">IF(E736=1,SUM((ROW(Mf0)=ROW(AS736))*(Mf0+Mf1_+Mf2_+Mf3_+Mf4_+Mf5_+Mf6_+Mf7_+Mf8_+Mf9_+Mf10_+Mf11_+Mf12_+Mf13_+Mf14_+Mf15_+Mf16_+Mf17_+Mf18_+Mf19_+Mf20_+Mf21_+Mf22_+Mf23_+Mf24_+Mf25_+Mf26_+Mf27_+Mf28_+Mf29_+Mf30_+Mf31_+Mf32_+Mf33_+Mf34_+Mf35_+Mf36_+Mf37_)),0)</f>
        <v>0</v>
      </c>
      <c r="AU736" s="24" t="str">
        <f t="shared" si="72"/>
        <v/>
      </c>
      <c r="AV736" s="24" t="str">
        <f t="shared" si="73"/>
        <v/>
      </c>
      <c r="AW736" s="24" t="str">
        <f t="shared" si="74"/>
        <v/>
      </c>
      <c r="AX736" s="72">
        <f t="shared" si="75"/>
        <v>0</v>
      </c>
      <c r="AY736" s="24">
        <f t="shared" si="76"/>
        <v>0</v>
      </c>
      <c r="AZ736" s="24">
        <f t="array" ref="AZ736">IF(OR(RIGHT(B736,LEN(Par_LabelTravelTime))=Par_LabelTravelTime,B736="čas na ceste - fakturácia"),1,0)</f>
        <v>0</v>
      </c>
    </row>
    <row r="737" spans="2:52" s="24" customFormat="1" ht="12.75" x14ac:dyDescent="0.2">
      <c r="B737" s="97"/>
      <c r="C737" s="92"/>
      <c r="D737" s="31" t="str">
        <f>IF(E737=1,VLOOKUP(TableInvs[[#This Row],[Calc_V_Typ]],Tran_RevenuesList,3,FALSE),"")</f>
        <v/>
      </c>
      <c r="E737" s="31">
        <f t="shared" si="71"/>
        <v>0</v>
      </c>
      <c r="F737" s="94"/>
      <c r="G737" s="84"/>
      <c r="H737" s="84"/>
      <c r="I737" s="84"/>
      <c r="J737" s="84"/>
      <c r="K737" s="84"/>
      <c r="L737" s="84"/>
      <c r="M737" s="84"/>
      <c r="N737" s="84"/>
      <c r="O737" s="84"/>
      <c r="P737" s="84"/>
      <c r="Q737" s="84"/>
      <c r="R737" s="84"/>
      <c r="S737" s="84"/>
      <c r="T737" s="84"/>
      <c r="U737" s="84"/>
      <c r="V737" s="84"/>
      <c r="W737" s="84"/>
      <c r="X737" s="84"/>
      <c r="Y737" s="84"/>
      <c r="Z737" s="84"/>
      <c r="AA737" s="84"/>
      <c r="AB737" s="84"/>
      <c r="AC737" s="85"/>
      <c r="AD737" s="85"/>
      <c r="AE737" s="84"/>
      <c r="AF737" s="84"/>
      <c r="AG737" s="84"/>
      <c r="AH737" s="84"/>
      <c r="AI737" s="84"/>
      <c r="AJ737" s="84"/>
      <c r="AK737" s="84"/>
      <c r="AL737" s="84"/>
      <c r="AM737" s="84"/>
      <c r="AN737" s="84"/>
      <c r="AO737" s="84"/>
      <c r="AP737" s="84"/>
      <c r="AQ737" s="84"/>
      <c r="AR737" s="84"/>
      <c r="AS737" s="87">
        <f t="array" ref="AS737">IF(E737=1,SUM((ROW(Mf0)=ROW(AS737))*(Mf0+Mf1_+Mf2_+Mf3_+Mf4_+Mf5_+Mf6_+Mf7_+Mf8_+Mf9_+Mf10_+Mf11_+Mf12_+Mf13_+Mf14_+Mf15_+Mf16_+Mf17_+Mf18_+Mf19_+Mf20_+Mf21_+Mf22_+Mf23_+Mf24_+Mf25_+Mf26_+Mf27_+Mf28_+Mf29_+Mf30_+Mf31_+Mf32_+Mf33_+Mf34_+Mf35_+Mf36_+Mf37_)),0)</f>
        <v>0</v>
      </c>
      <c r="AU737" s="24" t="str">
        <f t="shared" si="72"/>
        <v/>
      </c>
      <c r="AV737" s="24" t="str">
        <f t="shared" si="73"/>
        <v/>
      </c>
      <c r="AW737" s="24" t="str">
        <f t="shared" si="74"/>
        <v/>
      </c>
      <c r="AX737" s="72">
        <f t="shared" si="75"/>
        <v>0</v>
      </c>
      <c r="AY737" s="24">
        <f t="shared" si="76"/>
        <v>0</v>
      </c>
      <c r="AZ737" s="24">
        <f t="array" ref="AZ737">IF(OR(RIGHT(B737,LEN(Par_LabelTravelTime))=Par_LabelTravelTime,B737="čas na ceste - fakturácia"),1,0)</f>
        <v>0</v>
      </c>
    </row>
    <row r="738" spans="2:52" s="24" customFormat="1" ht="12.75" x14ac:dyDescent="0.2">
      <c r="B738" s="97"/>
      <c r="C738" s="92"/>
      <c r="D738" s="31" t="str">
        <f>IF(E738=1,VLOOKUP(TableInvs[[#This Row],[Calc_V_Typ]],Tran_RevenuesList,3,FALSE),"")</f>
        <v/>
      </c>
      <c r="E738" s="31">
        <f t="shared" si="71"/>
        <v>0</v>
      </c>
      <c r="F738" s="94"/>
      <c r="G738" s="84"/>
      <c r="H738" s="84"/>
      <c r="I738" s="84"/>
      <c r="J738" s="84"/>
      <c r="K738" s="84"/>
      <c r="L738" s="84"/>
      <c r="M738" s="84"/>
      <c r="N738" s="84"/>
      <c r="O738" s="84"/>
      <c r="P738" s="84"/>
      <c r="Q738" s="84"/>
      <c r="R738" s="84"/>
      <c r="S738" s="84"/>
      <c r="T738" s="84"/>
      <c r="U738" s="84"/>
      <c r="V738" s="84"/>
      <c r="W738" s="84"/>
      <c r="X738" s="84"/>
      <c r="Y738" s="84"/>
      <c r="Z738" s="84"/>
      <c r="AA738" s="84"/>
      <c r="AB738" s="84"/>
      <c r="AC738" s="85"/>
      <c r="AD738" s="85"/>
      <c r="AE738" s="84"/>
      <c r="AF738" s="84"/>
      <c r="AG738" s="84"/>
      <c r="AH738" s="84"/>
      <c r="AI738" s="84"/>
      <c r="AJ738" s="84"/>
      <c r="AK738" s="84"/>
      <c r="AL738" s="84"/>
      <c r="AM738" s="84"/>
      <c r="AN738" s="84"/>
      <c r="AO738" s="84"/>
      <c r="AP738" s="84"/>
      <c r="AQ738" s="84"/>
      <c r="AR738" s="84"/>
      <c r="AS738" s="87">
        <f t="array" ref="AS738">IF(E738=1,SUM((ROW(Mf0)=ROW(AS738))*(Mf0+Mf1_+Mf2_+Mf3_+Mf4_+Mf5_+Mf6_+Mf7_+Mf8_+Mf9_+Mf10_+Mf11_+Mf12_+Mf13_+Mf14_+Mf15_+Mf16_+Mf17_+Mf18_+Mf19_+Mf20_+Mf21_+Mf22_+Mf23_+Mf24_+Mf25_+Mf26_+Mf27_+Mf28_+Mf29_+Mf30_+Mf31_+Mf32_+Mf33_+Mf34_+Mf35_+Mf36_+Mf37_)),0)</f>
        <v>0</v>
      </c>
      <c r="AU738" s="24" t="str">
        <f t="shared" si="72"/>
        <v/>
      </c>
      <c r="AV738" s="24" t="str">
        <f t="shared" si="73"/>
        <v/>
      </c>
      <c r="AW738" s="24" t="str">
        <f t="shared" si="74"/>
        <v/>
      </c>
      <c r="AX738" s="72">
        <f t="shared" si="75"/>
        <v>0</v>
      </c>
      <c r="AY738" s="24">
        <f t="shared" si="76"/>
        <v>0</v>
      </c>
      <c r="AZ738" s="24">
        <f t="array" ref="AZ738">IF(OR(RIGHT(B738,LEN(Par_LabelTravelTime))=Par_LabelTravelTime,B738="čas na ceste - fakturácia"),1,0)</f>
        <v>0</v>
      </c>
    </row>
    <row r="739" spans="2:52" s="24" customFormat="1" ht="12.75" x14ac:dyDescent="0.2">
      <c r="B739" s="97"/>
      <c r="C739" s="92"/>
      <c r="D739" s="31" t="str">
        <f>IF(E739=1,VLOOKUP(TableInvs[[#This Row],[Calc_V_Typ]],Tran_RevenuesList,3,FALSE),"")</f>
        <v/>
      </c>
      <c r="E739" s="31">
        <f t="shared" si="71"/>
        <v>0</v>
      </c>
      <c r="F739" s="94"/>
      <c r="G739" s="84"/>
      <c r="H739" s="84"/>
      <c r="I739" s="84"/>
      <c r="J739" s="84"/>
      <c r="K739" s="84"/>
      <c r="L739" s="84"/>
      <c r="M739" s="84"/>
      <c r="N739" s="84"/>
      <c r="O739" s="84"/>
      <c r="P739" s="84"/>
      <c r="Q739" s="84"/>
      <c r="R739" s="84"/>
      <c r="S739" s="84"/>
      <c r="T739" s="84"/>
      <c r="U739" s="84"/>
      <c r="V739" s="84"/>
      <c r="W739" s="84"/>
      <c r="X739" s="84"/>
      <c r="Y739" s="84"/>
      <c r="Z739" s="84"/>
      <c r="AA739" s="84"/>
      <c r="AB739" s="84"/>
      <c r="AC739" s="85"/>
      <c r="AD739" s="85"/>
      <c r="AE739" s="84"/>
      <c r="AF739" s="84"/>
      <c r="AG739" s="84"/>
      <c r="AH739" s="84"/>
      <c r="AI739" s="84"/>
      <c r="AJ739" s="84"/>
      <c r="AK739" s="84"/>
      <c r="AL739" s="84"/>
      <c r="AM739" s="84"/>
      <c r="AN739" s="84"/>
      <c r="AO739" s="84"/>
      <c r="AP739" s="84"/>
      <c r="AQ739" s="84"/>
      <c r="AR739" s="84"/>
      <c r="AS739" s="87">
        <f t="array" ref="AS739">IF(E739=1,SUM((ROW(Mf0)=ROW(AS739))*(Mf0+Mf1_+Mf2_+Mf3_+Mf4_+Mf5_+Mf6_+Mf7_+Mf8_+Mf9_+Mf10_+Mf11_+Mf12_+Mf13_+Mf14_+Mf15_+Mf16_+Mf17_+Mf18_+Mf19_+Mf20_+Mf21_+Mf22_+Mf23_+Mf24_+Mf25_+Mf26_+Mf27_+Mf28_+Mf29_+Mf30_+Mf31_+Mf32_+Mf33_+Mf34_+Mf35_+Mf36_+Mf37_)),0)</f>
        <v>0</v>
      </c>
      <c r="AU739" s="24" t="str">
        <f t="shared" si="72"/>
        <v/>
      </c>
      <c r="AV739" s="24" t="str">
        <f t="shared" si="73"/>
        <v/>
      </c>
      <c r="AW739" s="24" t="str">
        <f t="shared" si="74"/>
        <v/>
      </c>
      <c r="AX739" s="72">
        <f t="shared" si="75"/>
        <v>0</v>
      </c>
      <c r="AY739" s="24">
        <f t="shared" si="76"/>
        <v>0</v>
      </c>
      <c r="AZ739" s="24">
        <f t="array" ref="AZ739">IF(OR(RIGHT(B739,LEN(Par_LabelTravelTime))=Par_LabelTravelTime,B739="čas na ceste - fakturácia"),1,0)</f>
        <v>0</v>
      </c>
    </row>
    <row r="740" spans="2:52" s="24" customFormat="1" ht="12.75" x14ac:dyDescent="0.2">
      <c r="B740" s="97"/>
      <c r="C740" s="92"/>
      <c r="D740" s="31" t="str">
        <f>IF(E740=1,VLOOKUP(TableInvs[[#This Row],[Calc_V_Typ]],Tran_RevenuesList,3,FALSE),"")</f>
        <v/>
      </c>
      <c r="E740" s="31">
        <f t="shared" si="71"/>
        <v>0</v>
      </c>
      <c r="F740" s="94"/>
      <c r="G740" s="84"/>
      <c r="H740" s="84"/>
      <c r="I740" s="84"/>
      <c r="J740" s="84"/>
      <c r="K740" s="84"/>
      <c r="L740" s="84"/>
      <c r="M740" s="84"/>
      <c r="N740" s="84"/>
      <c r="O740" s="84"/>
      <c r="P740" s="84"/>
      <c r="Q740" s="84"/>
      <c r="R740" s="84"/>
      <c r="S740" s="84"/>
      <c r="T740" s="84"/>
      <c r="U740" s="84"/>
      <c r="V740" s="84"/>
      <c r="W740" s="84"/>
      <c r="X740" s="84"/>
      <c r="Y740" s="84"/>
      <c r="Z740" s="84"/>
      <c r="AA740" s="84"/>
      <c r="AB740" s="84"/>
      <c r="AC740" s="85"/>
      <c r="AD740" s="85"/>
      <c r="AE740" s="84"/>
      <c r="AF740" s="84"/>
      <c r="AG740" s="84"/>
      <c r="AH740" s="84"/>
      <c r="AI740" s="84"/>
      <c r="AJ740" s="84"/>
      <c r="AK740" s="84"/>
      <c r="AL740" s="84"/>
      <c r="AM740" s="84"/>
      <c r="AN740" s="84"/>
      <c r="AO740" s="84"/>
      <c r="AP740" s="84"/>
      <c r="AQ740" s="84"/>
      <c r="AR740" s="84"/>
      <c r="AS740" s="87">
        <f t="array" ref="AS740">IF(E740=1,SUM((ROW(Mf0)=ROW(AS740))*(Mf0+Mf1_+Mf2_+Mf3_+Mf4_+Mf5_+Mf6_+Mf7_+Mf8_+Mf9_+Mf10_+Mf11_+Mf12_+Mf13_+Mf14_+Mf15_+Mf16_+Mf17_+Mf18_+Mf19_+Mf20_+Mf21_+Mf22_+Mf23_+Mf24_+Mf25_+Mf26_+Mf27_+Mf28_+Mf29_+Mf30_+Mf31_+Mf32_+Mf33_+Mf34_+Mf35_+Mf36_+Mf37_)),0)</f>
        <v>0</v>
      </c>
      <c r="AU740" s="24" t="str">
        <f t="shared" si="72"/>
        <v/>
      </c>
      <c r="AV740" s="24" t="str">
        <f t="shared" si="73"/>
        <v/>
      </c>
      <c r="AW740" s="24" t="str">
        <f t="shared" si="74"/>
        <v/>
      </c>
      <c r="AX740" s="72">
        <f t="shared" si="75"/>
        <v>0</v>
      </c>
      <c r="AY740" s="24">
        <f t="shared" si="76"/>
        <v>0</v>
      </c>
      <c r="AZ740" s="24">
        <f t="array" ref="AZ740">IF(OR(RIGHT(B740,LEN(Par_LabelTravelTime))=Par_LabelTravelTime,B740="čas na ceste - fakturácia"),1,0)</f>
        <v>0</v>
      </c>
    </row>
    <row r="741" spans="2:52" s="24" customFormat="1" ht="12.75" x14ac:dyDescent="0.2">
      <c r="B741" s="97"/>
      <c r="C741" s="92"/>
      <c r="D741" s="31" t="str">
        <f>IF(E741=1,VLOOKUP(TableInvs[[#This Row],[Calc_V_Typ]],Tran_RevenuesList,3,FALSE),"")</f>
        <v/>
      </c>
      <c r="E741" s="31">
        <f t="shared" si="71"/>
        <v>0</v>
      </c>
      <c r="F741" s="94"/>
      <c r="G741" s="84"/>
      <c r="H741" s="84"/>
      <c r="I741" s="84"/>
      <c r="J741" s="84"/>
      <c r="K741" s="84"/>
      <c r="L741" s="84"/>
      <c r="M741" s="84"/>
      <c r="N741" s="84"/>
      <c r="O741" s="84"/>
      <c r="P741" s="84"/>
      <c r="Q741" s="84"/>
      <c r="R741" s="84"/>
      <c r="S741" s="84"/>
      <c r="T741" s="84"/>
      <c r="U741" s="84"/>
      <c r="V741" s="84"/>
      <c r="W741" s="84"/>
      <c r="X741" s="84"/>
      <c r="Y741" s="84"/>
      <c r="Z741" s="84"/>
      <c r="AA741" s="84"/>
      <c r="AB741" s="84"/>
      <c r="AC741" s="85"/>
      <c r="AD741" s="85"/>
      <c r="AE741" s="84"/>
      <c r="AF741" s="84"/>
      <c r="AG741" s="84"/>
      <c r="AH741" s="84"/>
      <c r="AI741" s="84"/>
      <c r="AJ741" s="84"/>
      <c r="AK741" s="84"/>
      <c r="AL741" s="84"/>
      <c r="AM741" s="84"/>
      <c r="AN741" s="84"/>
      <c r="AO741" s="84"/>
      <c r="AP741" s="84"/>
      <c r="AQ741" s="84"/>
      <c r="AR741" s="84"/>
      <c r="AS741" s="87">
        <f t="array" ref="AS741">IF(E741=1,SUM((ROW(Mf0)=ROW(AS741))*(Mf0+Mf1_+Mf2_+Mf3_+Mf4_+Mf5_+Mf6_+Mf7_+Mf8_+Mf9_+Mf10_+Mf11_+Mf12_+Mf13_+Mf14_+Mf15_+Mf16_+Mf17_+Mf18_+Mf19_+Mf20_+Mf21_+Mf22_+Mf23_+Mf24_+Mf25_+Mf26_+Mf27_+Mf28_+Mf29_+Mf30_+Mf31_+Mf32_+Mf33_+Mf34_+Mf35_+Mf36_+Mf37_)),0)</f>
        <v>0</v>
      </c>
      <c r="AU741" s="24" t="str">
        <f t="shared" si="72"/>
        <v/>
      </c>
      <c r="AV741" s="24" t="str">
        <f t="shared" si="73"/>
        <v/>
      </c>
      <c r="AW741" s="24" t="str">
        <f t="shared" si="74"/>
        <v/>
      </c>
      <c r="AX741" s="72">
        <f t="shared" si="75"/>
        <v>0</v>
      </c>
      <c r="AY741" s="24">
        <f t="shared" si="76"/>
        <v>0</v>
      </c>
      <c r="AZ741" s="24">
        <f t="array" ref="AZ741">IF(OR(RIGHT(B741,LEN(Par_LabelTravelTime))=Par_LabelTravelTime,B741="čas na ceste - fakturácia"),1,0)</f>
        <v>0</v>
      </c>
    </row>
    <row r="742" spans="2:52" s="24" customFormat="1" ht="12.75" x14ac:dyDescent="0.2">
      <c r="B742" s="97"/>
      <c r="C742" s="92"/>
      <c r="D742" s="31" t="str">
        <f>IF(E742=1,VLOOKUP(TableInvs[[#This Row],[Calc_V_Typ]],Tran_RevenuesList,3,FALSE),"")</f>
        <v/>
      </c>
      <c r="E742" s="31">
        <f t="shared" si="71"/>
        <v>0</v>
      </c>
      <c r="F742" s="94"/>
      <c r="G742" s="84"/>
      <c r="H742" s="84"/>
      <c r="I742" s="84"/>
      <c r="J742" s="84"/>
      <c r="K742" s="84"/>
      <c r="L742" s="84"/>
      <c r="M742" s="84"/>
      <c r="N742" s="84"/>
      <c r="O742" s="84"/>
      <c r="P742" s="84"/>
      <c r="Q742" s="84"/>
      <c r="R742" s="84"/>
      <c r="S742" s="84"/>
      <c r="T742" s="84"/>
      <c r="U742" s="84"/>
      <c r="V742" s="84"/>
      <c r="W742" s="84"/>
      <c r="X742" s="84"/>
      <c r="Y742" s="84"/>
      <c r="Z742" s="84"/>
      <c r="AA742" s="84"/>
      <c r="AB742" s="84"/>
      <c r="AC742" s="85"/>
      <c r="AD742" s="85"/>
      <c r="AE742" s="84"/>
      <c r="AF742" s="84"/>
      <c r="AG742" s="84"/>
      <c r="AH742" s="84"/>
      <c r="AI742" s="84"/>
      <c r="AJ742" s="84"/>
      <c r="AK742" s="84"/>
      <c r="AL742" s="84"/>
      <c r="AM742" s="84"/>
      <c r="AN742" s="84"/>
      <c r="AO742" s="84"/>
      <c r="AP742" s="84"/>
      <c r="AQ742" s="84"/>
      <c r="AR742" s="84"/>
      <c r="AS742" s="87">
        <f t="array" ref="AS742">IF(E742=1,SUM((ROW(Mf0)=ROW(AS742))*(Mf0+Mf1_+Mf2_+Mf3_+Mf4_+Mf5_+Mf6_+Mf7_+Mf8_+Mf9_+Mf10_+Mf11_+Mf12_+Mf13_+Mf14_+Mf15_+Mf16_+Mf17_+Mf18_+Mf19_+Mf20_+Mf21_+Mf22_+Mf23_+Mf24_+Mf25_+Mf26_+Mf27_+Mf28_+Mf29_+Mf30_+Mf31_+Mf32_+Mf33_+Mf34_+Mf35_+Mf36_+Mf37_)),0)</f>
        <v>0</v>
      </c>
      <c r="AU742" s="24" t="str">
        <f t="shared" si="72"/>
        <v/>
      </c>
      <c r="AV742" s="24" t="str">
        <f t="shared" si="73"/>
        <v/>
      </c>
      <c r="AW742" s="24" t="str">
        <f t="shared" si="74"/>
        <v/>
      </c>
      <c r="AX742" s="72">
        <f t="shared" si="75"/>
        <v>0</v>
      </c>
      <c r="AY742" s="24">
        <f t="shared" si="76"/>
        <v>0</v>
      </c>
      <c r="AZ742" s="24">
        <f t="array" ref="AZ742">IF(OR(RIGHT(B742,LEN(Par_LabelTravelTime))=Par_LabelTravelTime,B742="čas na ceste - fakturácia"),1,0)</f>
        <v>0</v>
      </c>
    </row>
    <row r="743" spans="2:52" s="24" customFormat="1" ht="12.75" x14ac:dyDescent="0.2">
      <c r="B743" s="97"/>
      <c r="C743" s="92"/>
      <c r="D743" s="31" t="str">
        <f>IF(E743=1,VLOOKUP(TableInvs[[#This Row],[Calc_V_Typ]],Tran_RevenuesList,3,FALSE),"")</f>
        <v/>
      </c>
      <c r="E743" s="31">
        <f t="shared" si="71"/>
        <v>0</v>
      </c>
      <c r="F743" s="94"/>
      <c r="G743" s="84"/>
      <c r="H743" s="84"/>
      <c r="I743" s="84"/>
      <c r="J743" s="84"/>
      <c r="K743" s="84"/>
      <c r="L743" s="84"/>
      <c r="M743" s="84"/>
      <c r="N743" s="84"/>
      <c r="O743" s="84"/>
      <c r="P743" s="84"/>
      <c r="Q743" s="84"/>
      <c r="R743" s="84"/>
      <c r="S743" s="84"/>
      <c r="T743" s="84"/>
      <c r="U743" s="84"/>
      <c r="V743" s="84"/>
      <c r="W743" s="84"/>
      <c r="X743" s="84"/>
      <c r="Y743" s="84"/>
      <c r="Z743" s="84"/>
      <c r="AA743" s="84"/>
      <c r="AB743" s="84"/>
      <c r="AC743" s="85"/>
      <c r="AD743" s="85"/>
      <c r="AE743" s="84"/>
      <c r="AF743" s="84"/>
      <c r="AG743" s="84"/>
      <c r="AH743" s="84"/>
      <c r="AI743" s="84"/>
      <c r="AJ743" s="84"/>
      <c r="AK743" s="84"/>
      <c r="AL743" s="84"/>
      <c r="AM743" s="84"/>
      <c r="AN743" s="84"/>
      <c r="AO743" s="84"/>
      <c r="AP743" s="84"/>
      <c r="AQ743" s="84"/>
      <c r="AR743" s="84"/>
      <c r="AS743" s="87">
        <f t="array" ref="AS743">IF(E743=1,SUM((ROW(Mf0)=ROW(AS743))*(Mf0+Mf1_+Mf2_+Mf3_+Mf4_+Mf5_+Mf6_+Mf7_+Mf8_+Mf9_+Mf10_+Mf11_+Mf12_+Mf13_+Mf14_+Mf15_+Mf16_+Mf17_+Mf18_+Mf19_+Mf20_+Mf21_+Mf22_+Mf23_+Mf24_+Mf25_+Mf26_+Mf27_+Mf28_+Mf29_+Mf30_+Mf31_+Mf32_+Mf33_+Mf34_+Mf35_+Mf36_+Mf37_)),0)</f>
        <v>0</v>
      </c>
      <c r="AU743" s="24" t="str">
        <f t="shared" si="72"/>
        <v/>
      </c>
      <c r="AV743" s="24" t="str">
        <f t="shared" si="73"/>
        <v/>
      </c>
      <c r="AW743" s="24" t="str">
        <f t="shared" si="74"/>
        <v/>
      </c>
      <c r="AX743" s="72">
        <f t="shared" si="75"/>
        <v>0</v>
      </c>
      <c r="AY743" s="24">
        <f t="shared" si="76"/>
        <v>0</v>
      </c>
      <c r="AZ743" s="24">
        <f t="array" ref="AZ743">IF(OR(RIGHT(B743,LEN(Par_LabelTravelTime))=Par_LabelTravelTime,B743="čas na ceste - fakturácia"),1,0)</f>
        <v>0</v>
      </c>
    </row>
    <row r="744" spans="2:52" s="24" customFormat="1" ht="12.75" x14ac:dyDescent="0.2">
      <c r="B744" s="97"/>
      <c r="C744" s="92"/>
      <c r="D744" s="31" t="str">
        <f>IF(E744=1,VLOOKUP(TableInvs[[#This Row],[Calc_V_Typ]],Tran_RevenuesList,3,FALSE),"")</f>
        <v/>
      </c>
      <c r="E744" s="31">
        <f t="shared" si="71"/>
        <v>0</v>
      </c>
      <c r="F744" s="94"/>
      <c r="G744" s="84"/>
      <c r="H744" s="84"/>
      <c r="I744" s="84"/>
      <c r="J744" s="84"/>
      <c r="K744" s="84"/>
      <c r="L744" s="84"/>
      <c r="M744" s="84"/>
      <c r="N744" s="84"/>
      <c r="O744" s="84"/>
      <c r="P744" s="84"/>
      <c r="Q744" s="84"/>
      <c r="R744" s="84"/>
      <c r="S744" s="84"/>
      <c r="T744" s="84"/>
      <c r="U744" s="84"/>
      <c r="V744" s="84"/>
      <c r="W744" s="84"/>
      <c r="X744" s="84"/>
      <c r="Y744" s="84"/>
      <c r="Z744" s="84"/>
      <c r="AA744" s="84"/>
      <c r="AB744" s="84"/>
      <c r="AC744" s="85"/>
      <c r="AD744" s="85"/>
      <c r="AE744" s="84"/>
      <c r="AF744" s="84"/>
      <c r="AG744" s="84"/>
      <c r="AH744" s="84"/>
      <c r="AI744" s="84"/>
      <c r="AJ744" s="84"/>
      <c r="AK744" s="84"/>
      <c r="AL744" s="84"/>
      <c r="AM744" s="84"/>
      <c r="AN744" s="84"/>
      <c r="AO744" s="84"/>
      <c r="AP744" s="84"/>
      <c r="AQ744" s="84"/>
      <c r="AR744" s="84"/>
      <c r="AS744" s="87">
        <f t="array" ref="AS744">IF(E744=1,SUM((ROW(Mf0)=ROW(AS744))*(Mf0+Mf1_+Mf2_+Mf3_+Mf4_+Mf5_+Mf6_+Mf7_+Mf8_+Mf9_+Mf10_+Mf11_+Mf12_+Mf13_+Mf14_+Mf15_+Mf16_+Mf17_+Mf18_+Mf19_+Mf20_+Mf21_+Mf22_+Mf23_+Mf24_+Mf25_+Mf26_+Mf27_+Mf28_+Mf29_+Mf30_+Mf31_+Mf32_+Mf33_+Mf34_+Mf35_+Mf36_+Mf37_)),0)</f>
        <v>0</v>
      </c>
      <c r="AU744" s="24" t="str">
        <f t="shared" si="72"/>
        <v/>
      </c>
      <c r="AV744" s="24" t="str">
        <f t="shared" si="73"/>
        <v/>
      </c>
      <c r="AW744" s="24" t="str">
        <f t="shared" si="74"/>
        <v/>
      </c>
      <c r="AX744" s="72">
        <f t="shared" si="75"/>
        <v>0</v>
      </c>
      <c r="AY744" s="24">
        <f t="shared" si="76"/>
        <v>0</v>
      </c>
      <c r="AZ744" s="24">
        <f t="array" ref="AZ744">IF(OR(RIGHT(B744,LEN(Par_LabelTravelTime))=Par_LabelTravelTime,B744="čas na ceste - fakturácia"),1,0)</f>
        <v>0</v>
      </c>
    </row>
    <row r="745" spans="2:52" s="24" customFormat="1" ht="12.75" x14ac:dyDescent="0.2">
      <c r="B745" s="97"/>
      <c r="C745" s="92"/>
      <c r="D745" s="31" t="str">
        <f>IF(E745=1,VLOOKUP(TableInvs[[#This Row],[Calc_V_Typ]],Tran_RevenuesList,3,FALSE),"")</f>
        <v/>
      </c>
      <c r="E745" s="31">
        <f t="shared" si="71"/>
        <v>0</v>
      </c>
      <c r="F745" s="94"/>
      <c r="G745" s="84"/>
      <c r="H745" s="84"/>
      <c r="I745" s="84"/>
      <c r="J745" s="84"/>
      <c r="K745" s="84"/>
      <c r="L745" s="84"/>
      <c r="M745" s="84"/>
      <c r="N745" s="84"/>
      <c r="O745" s="84"/>
      <c r="P745" s="84"/>
      <c r="Q745" s="84"/>
      <c r="R745" s="84"/>
      <c r="S745" s="84"/>
      <c r="T745" s="84"/>
      <c r="U745" s="84"/>
      <c r="V745" s="84"/>
      <c r="W745" s="84"/>
      <c r="X745" s="84"/>
      <c r="Y745" s="84"/>
      <c r="Z745" s="84"/>
      <c r="AA745" s="84"/>
      <c r="AB745" s="84"/>
      <c r="AC745" s="85"/>
      <c r="AD745" s="85"/>
      <c r="AE745" s="84"/>
      <c r="AF745" s="84"/>
      <c r="AG745" s="84"/>
      <c r="AH745" s="84"/>
      <c r="AI745" s="84"/>
      <c r="AJ745" s="84"/>
      <c r="AK745" s="84"/>
      <c r="AL745" s="84"/>
      <c r="AM745" s="84"/>
      <c r="AN745" s="84"/>
      <c r="AO745" s="84"/>
      <c r="AP745" s="84"/>
      <c r="AQ745" s="84"/>
      <c r="AR745" s="84"/>
      <c r="AS745" s="87">
        <f t="array" ref="AS745">IF(E745=1,SUM((ROW(Mf0)=ROW(AS745))*(Mf0+Mf1_+Mf2_+Mf3_+Mf4_+Mf5_+Mf6_+Mf7_+Mf8_+Mf9_+Mf10_+Mf11_+Mf12_+Mf13_+Mf14_+Mf15_+Mf16_+Mf17_+Mf18_+Mf19_+Mf20_+Mf21_+Mf22_+Mf23_+Mf24_+Mf25_+Mf26_+Mf27_+Mf28_+Mf29_+Mf30_+Mf31_+Mf32_+Mf33_+Mf34_+Mf35_+Mf36_+Mf37_)),0)</f>
        <v>0</v>
      </c>
      <c r="AU745" s="24" t="str">
        <f t="shared" si="72"/>
        <v/>
      </c>
      <c r="AV745" s="24" t="str">
        <f t="shared" si="73"/>
        <v/>
      </c>
      <c r="AW745" s="24" t="str">
        <f t="shared" si="74"/>
        <v/>
      </c>
      <c r="AX745" s="72">
        <f t="shared" si="75"/>
        <v>0</v>
      </c>
      <c r="AY745" s="24">
        <f t="shared" si="76"/>
        <v>0</v>
      </c>
      <c r="AZ745" s="24">
        <f t="array" ref="AZ745">IF(OR(RIGHT(B745,LEN(Par_LabelTravelTime))=Par_LabelTravelTime,B745="čas na ceste - fakturácia"),1,0)</f>
        <v>0</v>
      </c>
    </row>
    <row r="746" spans="2:52" s="24" customFormat="1" ht="12.75" x14ac:dyDescent="0.2">
      <c r="B746" s="97"/>
      <c r="C746" s="92"/>
      <c r="D746" s="31" t="str">
        <f>IF(E746=1,VLOOKUP(TableInvs[[#This Row],[Calc_V_Typ]],Tran_RevenuesList,3,FALSE),"")</f>
        <v/>
      </c>
      <c r="E746" s="31">
        <f t="shared" si="71"/>
        <v>0</v>
      </c>
      <c r="F746" s="94"/>
      <c r="G746" s="84"/>
      <c r="H746" s="84"/>
      <c r="I746" s="84"/>
      <c r="J746" s="84"/>
      <c r="K746" s="84"/>
      <c r="L746" s="84"/>
      <c r="M746" s="84"/>
      <c r="N746" s="84"/>
      <c r="O746" s="84"/>
      <c r="P746" s="84"/>
      <c r="Q746" s="84"/>
      <c r="R746" s="84"/>
      <c r="S746" s="84"/>
      <c r="T746" s="84"/>
      <c r="U746" s="84"/>
      <c r="V746" s="84"/>
      <c r="W746" s="84"/>
      <c r="X746" s="84"/>
      <c r="Y746" s="84"/>
      <c r="Z746" s="84"/>
      <c r="AA746" s="84"/>
      <c r="AB746" s="84"/>
      <c r="AC746" s="85"/>
      <c r="AD746" s="85"/>
      <c r="AE746" s="84"/>
      <c r="AF746" s="84"/>
      <c r="AG746" s="84"/>
      <c r="AH746" s="84"/>
      <c r="AI746" s="84"/>
      <c r="AJ746" s="84"/>
      <c r="AK746" s="84"/>
      <c r="AL746" s="84"/>
      <c r="AM746" s="84"/>
      <c r="AN746" s="84"/>
      <c r="AO746" s="84"/>
      <c r="AP746" s="84"/>
      <c r="AQ746" s="84"/>
      <c r="AR746" s="84"/>
      <c r="AS746" s="87">
        <f t="array" ref="AS746">IF(E746=1,SUM((ROW(Mf0)=ROW(AS746))*(Mf0+Mf1_+Mf2_+Mf3_+Mf4_+Mf5_+Mf6_+Mf7_+Mf8_+Mf9_+Mf10_+Mf11_+Mf12_+Mf13_+Mf14_+Mf15_+Mf16_+Mf17_+Mf18_+Mf19_+Mf20_+Mf21_+Mf22_+Mf23_+Mf24_+Mf25_+Mf26_+Mf27_+Mf28_+Mf29_+Mf30_+Mf31_+Mf32_+Mf33_+Mf34_+Mf35_+Mf36_+Mf37_)),0)</f>
        <v>0</v>
      </c>
      <c r="AU746" s="24" t="str">
        <f t="shared" si="72"/>
        <v/>
      </c>
      <c r="AV746" s="24" t="str">
        <f t="shared" si="73"/>
        <v/>
      </c>
      <c r="AW746" s="24" t="str">
        <f t="shared" si="74"/>
        <v/>
      </c>
      <c r="AX746" s="72">
        <f t="shared" si="75"/>
        <v>0</v>
      </c>
      <c r="AY746" s="24">
        <f t="shared" si="76"/>
        <v>0</v>
      </c>
      <c r="AZ746" s="24">
        <f t="array" ref="AZ746">IF(OR(RIGHT(B746,LEN(Par_LabelTravelTime))=Par_LabelTravelTime,B746="čas na ceste - fakturácia"),1,0)</f>
        <v>0</v>
      </c>
    </row>
    <row r="747" spans="2:52" s="24" customFormat="1" ht="12.75" x14ac:dyDescent="0.2">
      <c r="B747" s="97"/>
      <c r="C747" s="92"/>
      <c r="D747" s="31" t="str">
        <f>IF(E747=1,VLOOKUP(TableInvs[[#This Row],[Calc_V_Typ]],Tran_RevenuesList,3,FALSE),"")</f>
        <v/>
      </c>
      <c r="E747" s="31">
        <f t="shared" si="71"/>
        <v>0</v>
      </c>
      <c r="F747" s="9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  <c r="R747" s="84"/>
      <c r="S747" s="84"/>
      <c r="T747" s="84"/>
      <c r="U747" s="84"/>
      <c r="V747" s="84"/>
      <c r="W747" s="84"/>
      <c r="X747" s="84"/>
      <c r="Y747" s="84"/>
      <c r="Z747" s="84"/>
      <c r="AA747" s="84"/>
      <c r="AB747" s="84"/>
      <c r="AC747" s="85"/>
      <c r="AD747" s="85"/>
      <c r="AE747" s="84"/>
      <c r="AF747" s="84"/>
      <c r="AG747" s="84"/>
      <c r="AH747" s="84"/>
      <c r="AI747" s="84"/>
      <c r="AJ747" s="84"/>
      <c r="AK747" s="84"/>
      <c r="AL747" s="84"/>
      <c r="AM747" s="84"/>
      <c r="AN747" s="84"/>
      <c r="AO747" s="84"/>
      <c r="AP747" s="84"/>
      <c r="AQ747" s="84"/>
      <c r="AR747" s="84"/>
      <c r="AS747" s="87">
        <f t="array" ref="AS747">IF(E747=1,SUM((ROW(Mf0)=ROW(AS747))*(Mf0+Mf1_+Mf2_+Mf3_+Mf4_+Mf5_+Mf6_+Mf7_+Mf8_+Mf9_+Mf10_+Mf11_+Mf12_+Mf13_+Mf14_+Mf15_+Mf16_+Mf17_+Mf18_+Mf19_+Mf20_+Mf21_+Mf22_+Mf23_+Mf24_+Mf25_+Mf26_+Mf27_+Mf28_+Mf29_+Mf30_+Mf31_+Mf32_+Mf33_+Mf34_+Mf35_+Mf36_+Mf37_)),0)</f>
        <v>0</v>
      </c>
      <c r="AU747" s="24" t="str">
        <f t="shared" si="72"/>
        <v/>
      </c>
      <c r="AV747" s="24" t="str">
        <f t="shared" si="73"/>
        <v/>
      </c>
      <c r="AW747" s="24" t="str">
        <f t="shared" si="74"/>
        <v/>
      </c>
      <c r="AX747" s="72">
        <f t="shared" si="75"/>
        <v>0</v>
      </c>
      <c r="AY747" s="24">
        <f t="shared" si="76"/>
        <v>0</v>
      </c>
      <c r="AZ747" s="24">
        <f t="array" ref="AZ747">IF(OR(RIGHT(B747,LEN(Par_LabelTravelTime))=Par_LabelTravelTime,B747="čas na ceste - fakturácia"),1,0)</f>
        <v>0</v>
      </c>
    </row>
    <row r="748" spans="2:52" s="24" customFormat="1" ht="12.75" x14ac:dyDescent="0.2">
      <c r="B748" s="97"/>
      <c r="C748" s="92"/>
      <c r="D748" s="31" t="str">
        <f>IF(E748=1,VLOOKUP(TableInvs[[#This Row],[Calc_V_Typ]],Tran_RevenuesList,3,FALSE),"")</f>
        <v/>
      </c>
      <c r="E748" s="31">
        <f t="shared" si="71"/>
        <v>0</v>
      </c>
      <c r="F748" s="9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  <c r="R748" s="84"/>
      <c r="S748" s="84"/>
      <c r="T748" s="84"/>
      <c r="U748" s="84"/>
      <c r="V748" s="84"/>
      <c r="W748" s="84"/>
      <c r="X748" s="84"/>
      <c r="Y748" s="84"/>
      <c r="Z748" s="84"/>
      <c r="AA748" s="84"/>
      <c r="AB748" s="84"/>
      <c r="AC748" s="85"/>
      <c r="AD748" s="85"/>
      <c r="AE748" s="84"/>
      <c r="AF748" s="84"/>
      <c r="AG748" s="84"/>
      <c r="AH748" s="84"/>
      <c r="AI748" s="84"/>
      <c r="AJ748" s="84"/>
      <c r="AK748" s="84"/>
      <c r="AL748" s="84"/>
      <c r="AM748" s="84"/>
      <c r="AN748" s="84"/>
      <c r="AO748" s="84"/>
      <c r="AP748" s="84"/>
      <c r="AQ748" s="84"/>
      <c r="AR748" s="84"/>
      <c r="AS748" s="87">
        <f t="array" ref="AS748">IF(E748=1,SUM((ROW(Mf0)=ROW(AS748))*(Mf0+Mf1_+Mf2_+Mf3_+Mf4_+Mf5_+Mf6_+Mf7_+Mf8_+Mf9_+Mf10_+Mf11_+Mf12_+Mf13_+Mf14_+Mf15_+Mf16_+Mf17_+Mf18_+Mf19_+Mf20_+Mf21_+Mf22_+Mf23_+Mf24_+Mf25_+Mf26_+Mf27_+Mf28_+Mf29_+Mf30_+Mf31_+Mf32_+Mf33_+Mf34_+Mf35_+Mf36_+Mf37_)),0)</f>
        <v>0</v>
      </c>
      <c r="AU748" s="24" t="str">
        <f t="shared" si="72"/>
        <v/>
      </c>
      <c r="AV748" s="24" t="str">
        <f t="shared" si="73"/>
        <v/>
      </c>
      <c r="AW748" s="24" t="str">
        <f t="shared" si="74"/>
        <v/>
      </c>
      <c r="AX748" s="72">
        <f t="shared" si="75"/>
        <v>0</v>
      </c>
      <c r="AY748" s="24">
        <f t="shared" si="76"/>
        <v>0</v>
      </c>
      <c r="AZ748" s="24">
        <f t="array" ref="AZ748">IF(OR(RIGHT(B748,LEN(Par_LabelTravelTime))=Par_LabelTravelTime,B748="čas na ceste - fakturácia"),1,0)</f>
        <v>0</v>
      </c>
    </row>
    <row r="749" spans="2:52" s="24" customFormat="1" ht="12.75" x14ac:dyDescent="0.2">
      <c r="B749" s="97"/>
      <c r="C749" s="92"/>
      <c r="D749" s="31" t="str">
        <f>IF(E749=1,VLOOKUP(TableInvs[[#This Row],[Calc_V_Typ]],Tran_RevenuesList,3,FALSE),"")</f>
        <v/>
      </c>
      <c r="E749" s="31">
        <f t="shared" si="71"/>
        <v>0</v>
      </c>
      <c r="F749" s="9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  <c r="R749" s="84"/>
      <c r="S749" s="84"/>
      <c r="T749" s="84"/>
      <c r="U749" s="84"/>
      <c r="V749" s="84"/>
      <c r="W749" s="84"/>
      <c r="X749" s="84"/>
      <c r="Y749" s="84"/>
      <c r="Z749" s="84"/>
      <c r="AA749" s="84"/>
      <c r="AB749" s="84"/>
      <c r="AC749" s="85"/>
      <c r="AD749" s="85"/>
      <c r="AE749" s="84"/>
      <c r="AF749" s="84"/>
      <c r="AG749" s="84"/>
      <c r="AH749" s="84"/>
      <c r="AI749" s="84"/>
      <c r="AJ749" s="84"/>
      <c r="AK749" s="84"/>
      <c r="AL749" s="84"/>
      <c r="AM749" s="84"/>
      <c r="AN749" s="84"/>
      <c r="AO749" s="84"/>
      <c r="AP749" s="84"/>
      <c r="AQ749" s="84"/>
      <c r="AR749" s="84"/>
      <c r="AS749" s="87">
        <f t="array" ref="AS749">IF(E749=1,SUM((ROW(Mf0)=ROW(AS749))*(Mf0+Mf1_+Mf2_+Mf3_+Mf4_+Mf5_+Mf6_+Mf7_+Mf8_+Mf9_+Mf10_+Mf11_+Mf12_+Mf13_+Mf14_+Mf15_+Mf16_+Mf17_+Mf18_+Mf19_+Mf20_+Mf21_+Mf22_+Mf23_+Mf24_+Mf25_+Mf26_+Mf27_+Mf28_+Mf29_+Mf30_+Mf31_+Mf32_+Mf33_+Mf34_+Mf35_+Mf36_+Mf37_)),0)</f>
        <v>0</v>
      </c>
      <c r="AU749" s="24" t="str">
        <f t="shared" si="72"/>
        <v/>
      </c>
      <c r="AV749" s="24" t="str">
        <f t="shared" si="73"/>
        <v/>
      </c>
      <c r="AW749" s="24" t="str">
        <f t="shared" si="74"/>
        <v/>
      </c>
      <c r="AX749" s="72">
        <f t="shared" si="75"/>
        <v>0</v>
      </c>
      <c r="AY749" s="24">
        <f t="shared" si="76"/>
        <v>0</v>
      </c>
      <c r="AZ749" s="24">
        <f t="array" ref="AZ749">IF(OR(RIGHT(B749,LEN(Par_LabelTravelTime))=Par_LabelTravelTime,B749="čas na ceste - fakturácia"),1,0)</f>
        <v>0</v>
      </c>
    </row>
    <row r="750" spans="2:52" s="24" customFormat="1" ht="12.75" x14ac:dyDescent="0.2">
      <c r="B750" s="98"/>
      <c r="C750" s="93"/>
      <c r="D750" s="95" t="str">
        <f>IF(E750=1,VLOOKUP(TableInvs[[#This Row],[Calc_V_Typ]],Tran_RevenuesList,3,FALSE),"")</f>
        <v/>
      </c>
      <c r="E750" s="95">
        <f t="shared" si="71"/>
        <v>0</v>
      </c>
      <c r="F750" s="96"/>
      <c r="G750" s="86"/>
      <c r="H750" s="86"/>
      <c r="I750" s="86"/>
      <c r="J750" s="86"/>
      <c r="K750" s="86"/>
      <c r="L750" s="86"/>
      <c r="M750" s="86"/>
      <c r="N750" s="86"/>
      <c r="O750" s="86"/>
      <c r="P750" s="86"/>
      <c r="Q750" s="86"/>
      <c r="R750" s="86"/>
      <c r="S750" s="86"/>
      <c r="T750" s="86"/>
      <c r="U750" s="86"/>
      <c r="V750" s="86"/>
      <c r="W750" s="86"/>
      <c r="X750" s="86"/>
      <c r="Y750" s="86"/>
      <c r="Z750" s="86"/>
      <c r="AA750" s="86"/>
      <c r="AB750" s="86"/>
      <c r="AC750" s="99"/>
      <c r="AD750" s="99"/>
      <c r="AE750" s="86"/>
      <c r="AF750" s="86"/>
      <c r="AG750" s="86"/>
      <c r="AH750" s="86"/>
      <c r="AI750" s="86"/>
      <c r="AJ750" s="86"/>
      <c r="AK750" s="86"/>
      <c r="AL750" s="86"/>
      <c r="AM750" s="86"/>
      <c r="AN750" s="86"/>
      <c r="AO750" s="86"/>
      <c r="AP750" s="86"/>
      <c r="AQ750" s="86"/>
      <c r="AR750" s="86"/>
      <c r="AS750" s="88">
        <f t="array" ref="AS750">IF(E750=1,SUM((ROW(Mf0)=ROW(AS750))*(Mf0+Mf1_+Mf2_+Mf3_+Mf4_+Mf5_+Mf6_+Mf7_+Mf8_+Mf9_+Mf10_+Mf11_+Mf12_+Mf13_+Mf14_+Mf15_+Mf16_+Mf17_+Mf18_+Mf19_+Mf20_+Mf21_+Mf22_+Mf23_+Mf24_+Mf25_+Mf26_+Mf27_+Mf28_+Mf29_+Mf30_+Mf31_+Mf32_+Mf33_+Mf34_+Mf35_+Mf36_+Mf37_)),0)</f>
        <v>0</v>
      </c>
      <c r="AU750" s="24" t="str">
        <f t="shared" si="72"/>
        <v/>
      </c>
      <c r="AV750" s="24" t="str">
        <f t="shared" si="73"/>
        <v/>
      </c>
      <c r="AW750" s="24" t="str">
        <f t="shared" si="74"/>
        <v/>
      </c>
      <c r="AX750" s="72">
        <f t="shared" si="75"/>
        <v>0</v>
      </c>
      <c r="AY750" s="24">
        <f t="shared" si="76"/>
        <v>0</v>
      </c>
      <c r="AZ750" s="24">
        <f t="array" ref="AZ750">IF(OR(RIGHT(B750,LEN(Par_LabelTravelTime))=Par_LabelTravelTime,B750="čas na ceste - fakturácia"),1,0)</f>
        <v>0</v>
      </c>
    </row>
  </sheetData>
  <sheetProtection algorithmName="SHA-512" hashValue="3pDos8yNkLUna4tVFl3MVwhIOnjMVm/hUyivp6Ib2F/IQJOa4VZ0NQJeoFimcd68frEKKz1SIrJzmPh572Jflg==" saltValue="m0gxdeV3IE48GMefZpbe1A==" spinCount="100000" sheet="1" objects="1" scenarios="1"/>
  <mergeCells count="1">
    <mergeCell ref="B3:F3"/>
  </mergeCells>
  <conditionalFormatting sqref="E7 B7:C7 B10:C750 C9">
    <cfRule type="expression" dxfId="28" priority="17">
      <formula>$E7=-1</formula>
    </cfRule>
  </conditionalFormatting>
  <conditionalFormatting sqref="D7">
    <cfRule type="expression" dxfId="27" priority="16">
      <formula>$E7=-1</formula>
    </cfRule>
  </conditionalFormatting>
  <conditionalFormatting sqref="F7">
    <cfRule type="expression" dxfId="26" priority="14">
      <formula>$E7=-1</formula>
    </cfRule>
  </conditionalFormatting>
  <conditionalFormatting sqref="E8:E31">
    <cfRule type="expression" dxfId="25" priority="13">
      <formula>$E8=-1</formula>
    </cfRule>
  </conditionalFormatting>
  <conditionalFormatting sqref="D8:D31">
    <cfRule type="expression" dxfId="24" priority="12">
      <formula>$E8=-1</formula>
    </cfRule>
  </conditionalFormatting>
  <conditionalFormatting sqref="B8">
    <cfRule type="expression" dxfId="23" priority="11">
      <formula>$E8=-1</formula>
    </cfRule>
  </conditionalFormatting>
  <conditionalFormatting sqref="F8:F31">
    <cfRule type="expression" dxfId="22" priority="10">
      <formula>$E8=-1</formula>
    </cfRule>
  </conditionalFormatting>
  <conditionalFormatting sqref="E32:E750">
    <cfRule type="expression" dxfId="21" priority="9">
      <formula>$E32=-1</formula>
    </cfRule>
  </conditionalFormatting>
  <conditionalFormatting sqref="D32:D750">
    <cfRule type="expression" dxfId="20" priority="8">
      <formula>$E32=-1</formula>
    </cfRule>
  </conditionalFormatting>
  <conditionalFormatting sqref="F32:F750">
    <cfRule type="expression" dxfId="19" priority="6">
      <formula>$E32=-1</formula>
    </cfRule>
  </conditionalFormatting>
  <conditionalFormatting sqref="C7:C750">
    <cfRule type="expression" dxfId="18" priority="3">
      <formula>$F7=-1</formula>
    </cfRule>
  </conditionalFormatting>
  <conditionalFormatting sqref="C8:C17">
    <cfRule type="expression" dxfId="17" priority="2">
      <formula>$E8=-1</formula>
    </cfRule>
  </conditionalFormatting>
  <conditionalFormatting sqref="B9">
    <cfRule type="expression" dxfId="16" priority="1">
      <formula>$E9=-1</formula>
    </cfRule>
  </conditionalFormatting>
  <dataValidations count="2">
    <dataValidation type="list" showInputMessage="1" showErrorMessage="1" sqref="B7:B750" xr:uid="{00000000-0002-0000-0300-000000000000}">
      <formula1>Cis_RevenuesList</formula1>
    </dataValidation>
    <dataValidation type="list" showInputMessage="1" showErrorMessage="1" promptTitle="Výber časti TP:" prompt="ACQ - Acquisition_x000a_MUL - Maintenance + Upgrade Licenses_x000a_SLA - Servis Level Agreement_x000a_AS - Application Support_x000a_PX - Prophylaxis" sqref="C7:C750" xr:uid="{00000000-0002-0000-0300-000001000000}">
      <formula1>CIS_Parts</formula1>
    </dataValidation>
  </dataValidations>
  <pageMargins left="0.70866141732283472" right="0.70866141732283472" top="0.74803149606299213" bottom="0.74803149606299213" header="0.31496062992125984" footer="0.31496062992125984"/>
  <pageSetup paperSize="9" scale="30" fitToHeight="0" orientation="landscape" r:id="rId1"/>
  <headerFooter>
    <oddHeader>&amp;CFakturácia zákazky</oddHeader>
    <oddFooter>&amp;C&amp;P/&amp;N</oddFooter>
  </headerFooter>
  <ignoredErrors>
    <ignoredError sqref="D5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8" r:id="rId4" name="Button 4">
              <controlPr defaultSize="0" print="0" autoFill="0" autoPict="0" macro="[0]!InsertRow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714375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theme="9" tint="-0.499984740745262"/>
    <pageSetUpPr fitToPage="1"/>
  </sheetPr>
  <dimension ref="B2:L143"/>
  <sheetViews>
    <sheetView showGridLines="0" zoomScale="90" zoomScaleNormal="90" workbookViewId="0">
      <pane ySplit="4" topLeftCell="A5" activePane="bottomLeft" state="frozen"/>
      <selection activeCell="G19" sqref="G19"/>
      <selection pane="bottomLeft" activeCell="H11" sqref="H11"/>
    </sheetView>
  </sheetViews>
  <sheetFormatPr defaultColWidth="9.140625" defaultRowHeight="15" x14ac:dyDescent="0.25"/>
  <cols>
    <col min="1" max="1" width="2.85546875" style="9" customWidth="1"/>
    <col min="2" max="2" width="26.85546875" style="9" customWidth="1"/>
    <col min="3" max="3" width="42.85546875" style="9" customWidth="1"/>
    <col min="4" max="4" width="16.42578125" style="9" bestFit="1" customWidth="1"/>
    <col min="5" max="5" width="22.42578125" style="9" customWidth="1"/>
    <col min="6" max="6" width="16.28515625" style="9" bestFit="1" customWidth="1"/>
    <col min="7" max="7" width="18.28515625" style="9" bestFit="1" customWidth="1"/>
    <col min="8" max="8" width="25.42578125" style="9" bestFit="1" customWidth="1"/>
    <col min="9" max="9" width="19.85546875" style="9" customWidth="1"/>
    <col min="10" max="11" width="9.140625" style="9"/>
    <col min="12" max="12" width="9.140625" style="9" hidden="1" customWidth="1"/>
    <col min="13" max="16384" width="9.140625" style="9"/>
  </cols>
  <sheetData>
    <row r="2" spans="2:12" x14ac:dyDescent="0.25">
      <c r="B2" s="5"/>
      <c r="C2" s="6"/>
      <c r="D2" s="6"/>
      <c r="E2" s="7" t="s">
        <v>4</v>
      </c>
      <c r="F2" s="7" t="s">
        <v>83</v>
      </c>
      <c r="G2" s="7" t="s">
        <v>70</v>
      </c>
      <c r="H2" s="7" t="s">
        <v>313</v>
      </c>
      <c r="I2" s="8" t="s">
        <v>314</v>
      </c>
    </row>
    <row r="3" spans="2:12" s="13" customFormat="1" ht="21" customHeight="1" x14ac:dyDescent="0.45">
      <c r="B3" s="207" t="str">
        <f>PAR_WO_Label&amp;" - sumarizácia"</f>
        <v>nedef. - sumarizácia</v>
      </c>
      <c r="C3" s="208"/>
      <c r="D3" s="208"/>
      <c r="E3" s="11">
        <f t="array" ref="E3">SUM(TableCosts[N_Direct])+E131</f>
        <v>0</v>
      </c>
      <c r="F3" s="12">
        <f t="array" ref="F3">SUM(TableInvs[V_Total])</f>
        <v>0</v>
      </c>
      <c r="G3" s="125">
        <f>F3-E3</f>
        <v>0</v>
      </c>
      <c r="H3" s="176">
        <f>(Par_RevsTotal-Par_Costs3P-Par_CostsTotal+Par_Costs3P)</f>
        <v>0</v>
      </c>
      <c r="I3" s="177" t="str">
        <f>IF(OR(F3=0,I4=""),"",IF(H3&lt;0,-1,H3/(Par_RevsTotal-Par_Costs3P)))</f>
        <v/>
      </c>
    </row>
    <row r="4" spans="2:12" s="13" customFormat="1" ht="15.75" customHeight="1" x14ac:dyDescent="0.4">
      <c r="B4" s="168" t="str">
        <f ca="1">CHAR(MAX(65,MIN(ROUND(RAND()*100,0),90)))&amp;":"&amp;TEXT(L4,"0,0")</f>
        <v>E:0,0</v>
      </c>
      <c r="C4" s="14"/>
      <c r="D4" s="14"/>
      <c r="E4" s="15"/>
      <c r="F4" s="16"/>
      <c r="G4" s="116" t="str">
        <f>IF(F3=0,"",IF(G3&lt;0,"stratová zákazka",G3/F3))</f>
        <v/>
      </c>
      <c r="H4" s="116" t="str">
        <f>IF(F3=0,"",IF(H3&lt;0,"stratová zákazka",H3/(Par_RevsTotal-Par_Costs3P)))</f>
        <v/>
      </c>
      <c r="I4" s="115" t="str">
        <f>IFERROR(VLOOKUP(Par_Center,Tab_GMRequired[],2,0),"")</f>
        <v/>
      </c>
      <c r="L4" s="13">
        <f>IFERROR(((Par_RevsTotal-Par_Costs3P-MAX(Par_CostsLic,Par_RevsLic)-Par_CostsTotal+Par_Costs3P+Par_CostsLic)/(Par_RevsTotal-Par_Costs3P-MAX(Par_CostsLic,Par_RevsLic)))*100,0)</f>
        <v>0</v>
      </c>
    </row>
    <row r="5" spans="2:12" s="13" customFormat="1" ht="15.75" customHeight="1" x14ac:dyDescent="0.4">
      <c r="B5" s="102" t="s">
        <v>263</v>
      </c>
      <c r="C5" s="103"/>
      <c r="D5" s="104"/>
      <c r="E5" s="117">
        <f t="array" ref="E5">SUM((TableCosts[N_Výkon]=B5)*(TableCosts[N_Direct]))</f>
        <v>0</v>
      </c>
      <c r="F5" s="117">
        <f t="array" ref="F5">SUM((TableInvs[V_Výkon]=B5)*TableInvs[V_Total])</f>
        <v>0</v>
      </c>
      <c r="G5" s="105"/>
      <c r="H5" s="105"/>
      <c r="I5" s="106"/>
    </row>
    <row r="6" spans="2:12" s="13" customFormat="1" ht="15.75" customHeight="1" x14ac:dyDescent="0.4">
      <c r="B6" s="23" t="s">
        <v>264</v>
      </c>
      <c r="C6" s="14"/>
      <c r="D6" s="14"/>
      <c r="E6" s="119">
        <f t="array" ref="E6">SUM((TableCosts[N_Výkon]=B5)*(TableCosts[N_Direct]))</f>
        <v>0</v>
      </c>
      <c r="F6" s="16"/>
      <c r="G6" s="116"/>
      <c r="H6" s="116"/>
      <c r="I6" s="115"/>
    </row>
    <row r="7" spans="2:12" s="22" customFormat="1" ht="15.75" x14ac:dyDescent="0.25">
      <c r="B7" s="102" t="s">
        <v>323</v>
      </c>
      <c r="C7" s="103"/>
      <c r="D7" s="104"/>
      <c r="E7" s="117">
        <f t="array" ref="E7">SUM((TableCosts[N_Kateg]=B7)*(TableCosts[N_Výkon]&lt;&gt;B5)*(TableCosts[N_Direct]))</f>
        <v>0</v>
      </c>
      <c r="F7" s="117">
        <f t="array" ref="F7">SUM((TableInvs[V_Kateg]=B7)*TableInvs[V_Total])</f>
        <v>0</v>
      </c>
      <c r="G7" s="169" t="str">
        <f>IF(F7&lt;&gt;0,(F7-E7)/F7,"")</f>
        <v/>
      </c>
      <c r="H7" s="105"/>
      <c r="I7" s="106"/>
    </row>
    <row r="8" spans="2:12" s="22" customFormat="1" ht="15.75" customHeight="1" x14ac:dyDescent="0.4">
      <c r="B8" s="23" t="s">
        <v>264</v>
      </c>
      <c r="C8" s="14"/>
      <c r="D8" s="14"/>
      <c r="E8" s="119">
        <f t="array" ref="E8">SUM((TableCosts[N_Kateg]=B7)*(TableCosts[N_Výkon]&lt;&gt;B5)*(TableCosts[N_Direct]))</f>
        <v>0</v>
      </c>
      <c r="F8" s="119">
        <f t="array" ref="F8">SUM((TableInvs[V_Kateg]=B7)*TableInvs[V_Total])</f>
        <v>0</v>
      </c>
      <c r="G8" s="116"/>
      <c r="H8" s="116"/>
      <c r="I8" s="115"/>
    </row>
    <row r="9" spans="2:12" s="22" customFormat="1" ht="15.6" x14ac:dyDescent="0.3">
      <c r="B9" s="102" t="s">
        <v>134</v>
      </c>
      <c r="C9" s="103"/>
      <c r="D9" s="104"/>
      <c r="E9" s="117">
        <f t="array" ref="E9">SUM((TableCosts[N_Výkon]=B9)*(TableCosts[N_Direct]))</f>
        <v>0</v>
      </c>
      <c r="F9" s="117">
        <f t="array" ref="F9">SUM((TableInvs[V_Výkon]=B9)*TableInvs[V_Total])</f>
        <v>0</v>
      </c>
      <c r="G9" s="105"/>
      <c r="H9" s="105"/>
      <c r="I9" s="106"/>
    </row>
    <row r="10" spans="2:12" s="22" customFormat="1" ht="15.75" x14ac:dyDescent="0.25">
      <c r="B10" s="17" t="s">
        <v>286</v>
      </c>
      <c r="C10" s="100" t="s">
        <v>109</v>
      </c>
      <c r="D10" s="118">
        <f t="array" ref="D10">SUM((TableCosts[N_Výkon]=B9)*(TableCosts[N_Kateg]=B11)*(TableCosts[IsTravelTime]=1)*(TableCosts[N_Amount]))</f>
        <v>0</v>
      </c>
      <c r="E10" s="118">
        <f t="array" ref="E10">SUM((TableCosts[N_Výkon]=B9)*(TableCosts[N_Kateg]=B11)*(TableCosts[IsTravelTime]=1)*(TableCosts[N_Direct]))</f>
        <v>0</v>
      </c>
      <c r="F10" s="121">
        <f t="array" ref="F10">SUM((TableInvs[V_Výkon]=$B$9)*(TableInvs[V_Kateg]=B11)*(TableInvs[IsTravelTime]=1)*TableInvs[V_Total])</f>
        <v>0</v>
      </c>
      <c r="G10" s="114" t="str">
        <f>IF(F10&lt;&gt;0,(F10-E10)/F10,"")</f>
        <v/>
      </c>
      <c r="H10" s="114"/>
      <c r="I10" s="21"/>
    </row>
    <row r="11" spans="2:12" ht="15.75" x14ac:dyDescent="0.25">
      <c r="B11" s="17" t="s">
        <v>74</v>
      </c>
      <c r="C11" s="100" t="s">
        <v>109</v>
      </c>
      <c r="D11" s="118">
        <f t="array" ref="D11">SUM((TableCosts[N_Výkon]=B9)*(TableCosts[N_Kateg]=B11)*(TableCosts[IsTravelTime]=0)*(TableCosts[N_Amount]))</f>
        <v>0</v>
      </c>
      <c r="E11" s="118">
        <f t="array" ref="E11">SUM((TableCosts[N_Výkon]=B9)*(TableCosts[N_Kateg]=B11)*(TableCosts[IsTravelTime]=0)*(TableCosts[N_Direct]))</f>
        <v>0</v>
      </c>
      <c r="F11" s="121">
        <f t="array" ref="F11">SUM((TableInvs[V_Výkon]=$B$9)*(TableInvs[V_Kateg]=B11)*(TableInvs[IsTravelTime]=0)*TableInvs[V_Total])</f>
        <v>0</v>
      </c>
      <c r="G11" s="114" t="str">
        <f>IF(F11&lt;&gt;0,(F11-E11)/F11,"")</f>
        <v/>
      </c>
      <c r="H11" s="196" t="str">
        <f>IF(G11&lt;$I$4,"Nízka fakturácia",IF(AND(G11="",E11&lt;&gt;0),"CHÝBAJÚCA FAKTURÁCIA!",""))</f>
        <v/>
      </c>
      <c r="I11" s="21"/>
    </row>
    <row r="12" spans="2:12" ht="14.45" x14ac:dyDescent="0.3">
      <c r="B12" s="23" t="s">
        <v>236</v>
      </c>
      <c r="C12" s="24"/>
      <c r="D12" s="119">
        <f t="array" ref="D12">SUM((TableCosts[N_Výkon]=$B$9)*(TableCosts[N_Kateg]=$B$11)*(TableCosts[N_Typ]=B12)*(TableCosts[N_Amount]))</f>
        <v>0</v>
      </c>
      <c r="E12" s="119">
        <f t="array" ref="E12">SUM((TableCosts[N_Výkon]=$B$9)*(TableCosts[N_Kateg]=$B$11)*(TableCosts[N_Typ]=B12)*(TableCosts[N_Direct]))</f>
        <v>0</v>
      </c>
      <c r="F12" s="119">
        <f t="array" ref="F12">SUM((TableInvs[V_Výkon]=$B$9)*(TableInvs[V_Kateg]=$B$11)*(TableInvs[V_Typ]=B12)*TableInvs[V_Total])</f>
        <v>0</v>
      </c>
      <c r="G12" s="26"/>
      <c r="H12" s="26"/>
      <c r="I12" s="27"/>
    </row>
    <row r="13" spans="2:12" ht="14.45" x14ac:dyDescent="0.3">
      <c r="B13" s="23" t="s">
        <v>237</v>
      </c>
      <c r="C13" s="24"/>
      <c r="D13" s="119">
        <f t="array" ref="D13">SUM((TableCosts[N_Výkon]=$B$9)*(TableCosts[N_Kateg]=$B$11)*(TableCosts[N_Typ]=B13)*(TableCosts[N_Amount]))</f>
        <v>0</v>
      </c>
      <c r="E13" s="119">
        <f t="array" ref="E13">SUM((TableCosts[N_Výkon]=$B$9)*(TableCosts[N_Kateg]=$B$11)*(TableCosts[N_Typ]=B13)*(TableCosts[N_Direct]))</f>
        <v>0</v>
      </c>
      <c r="F13" s="119">
        <f t="array" ref="F13">SUM((TableInvs[V_Výkon]=$B$9)*(TableInvs[V_Kateg]=$B$11)*(TableInvs[V_Typ]=B13)*TableInvs[V_Total])</f>
        <v>0</v>
      </c>
      <c r="G13" s="26"/>
      <c r="H13" s="26"/>
      <c r="I13" s="27"/>
    </row>
    <row r="14" spans="2:12" x14ac:dyDescent="0.25">
      <c r="B14" s="23" t="s">
        <v>238</v>
      </c>
      <c r="C14" s="24"/>
      <c r="D14" s="119">
        <f t="array" ref="D14">SUM((TableCosts[N_Výkon]=$B$9)*(TableCosts[N_Kateg]=$B$11)*(TableCosts[N_Typ]=B14)*(TableCosts[N_Amount]))</f>
        <v>0</v>
      </c>
      <c r="E14" s="119">
        <f t="array" ref="E14">SUM((TableCosts[N_Výkon]=$B$9)*(TableCosts[N_Kateg]=$B$11)*(TableCosts[N_Typ]=B14)*(TableCosts[N_Direct]))</f>
        <v>0</v>
      </c>
      <c r="F14" s="119">
        <f t="array" ref="F14">SUM((TableInvs[V_Výkon]=$B$9)*(TableInvs[V_Kateg]=$B$11)*(TableInvs[V_Typ]=B14)*TableInvs[V_Total])</f>
        <v>0</v>
      </c>
      <c r="G14" s="26"/>
      <c r="H14" s="26"/>
      <c r="I14" s="27"/>
    </row>
    <row r="15" spans="2:12" ht="14.45" x14ac:dyDescent="0.3">
      <c r="B15" s="23" t="s">
        <v>239</v>
      </c>
      <c r="C15" s="24"/>
      <c r="D15" s="119">
        <f t="array" ref="D15">SUM((TableCosts[N_Výkon]=$B$9)*(TableCosts[N_Kateg]=$B$11)*(TableCosts[N_Typ]=B15)*(TableCosts[N_Amount]))</f>
        <v>0</v>
      </c>
      <c r="E15" s="119">
        <f t="array" ref="E15">SUM((TableCosts[N_Výkon]=$B$9)*(TableCosts[N_Kateg]=$B$11)*(TableCosts[N_Typ]=B15)*(TableCosts[N_Direct]))</f>
        <v>0</v>
      </c>
      <c r="F15" s="119">
        <f t="array" ref="F15">SUM((TableInvs[V_Výkon]=$B$9)*(TableInvs[V_Kateg]=$B$11)*(TableInvs[V_Typ]=B15)*TableInvs[V_Total])</f>
        <v>0</v>
      </c>
      <c r="G15" s="26"/>
      <c r="H15" s="26"/>
      <c r="I15" s="27"/>
    </row>
    <row r="16" spans="2:12" x14ac:dyDescent="0.25">
      <c r="B16" s="23" t="s">
        <v>240</v>
      </c>
      <c r="C16" s="24"/>
      <c r="D16" s="119">
        <f t="array" ref="D16">SUM((TableCosts[N_Výkon]=$B$9)*(TableCosts[N_Kateg]=$B$11)*(TableCosts[N_Typ]=B16)*(TableCosts[N_Amount]))</f>
        <v>0</v>
      </c>
      <c r="E16" s="119">
        <f t="array" ref="E16">SUM((TableCosts[N_Výkon]=$B$9)*(TableCosts[N_Kateg]=$B$11)*(TableCosts[N_Typ]=B16)*(TableCosts[N_Direct]))</f>
        <v>0</v>
      </c>
      <c r="F16" s="119">
        <f t="array" ref="F16">SUM((TableInvs[V_Výkon]=$B$9)*(TableInvs[V_Kateg]=$B$11)*(TableInvs[V_Typ]=B16)*TableInvs[V_Total])</f>
        <v>0</v>
      </c>
      <c r="G16" s="26"/>
      <c r="H16" s="26"/>
      <c r="I16" s="27"/>
    </row>
    <row r="17" spans="2:9" x14ac:dyDescent="0.25">
      <c r="B17" s="23" t="s">
        <v>241</v>
      </c>
      <c r="C17" s="24"/>
      <c r="D17" s="119">
        <f t="array" ref="D17">SUM((TableCosts[N_Výkon]=$B$9)*(TableCosts[N_Kateg]=$B$11)*(TableCosts[N_Typ]=B17)*(TableCosts[N_Amount]))</f>
        <v>0</v>
      </c>
      <c r="E17" s="119">
        <f t="array" ref="E17">SUM((TableCosts[N_Výkon]=$B$9)*(TableCosts[N_Kateg]=$B$11)*(TableCosts[N_Typ]=B17)*(TableCosts[N_Direct]))</f>
        <v>0</v>
      </c>
      <c r="F17" s="119">
        <f t="array" ref="F17">SUM((TableInvs[V_Výkon]=$B$9)*(TableInvs[V_Kateg]=$B$11)*(TableInvs[V_Typ]=B17)*TableInvs[V_Total])</f>
        <v>0</v>
      </c>
      <c r="G17" s="26"/>
      <c r="H17" s="26"/>
      <c r="I17" s="27"/>
    </row>
    <row r="18" spans="2:9" x14ac:dyDescent="0.25">
      <c r="B18" s="23" t="s">
        <v>242</v>
      </c>
      <c r="C18" s="24"/>
      <c r="D18" s="119">
        <f t="array" ref="D18">SUM((TableCosts[N_Výkon]=$B$9)*(TableCosts[N_Kateg]=$B$11)*(TableCosts[N_Typ]=B18)*(TableCosts[N_Amount]))</f>
        <v>0</v>
      </c>
      <c r="E18" s="119">
        <f t="array" ref="E18">SUM((TableCosts[N_Výkon]=$B$9)*(TableCosts[N_Kateg]=$B$11)*(TableCosts[N_Typ]=B18)*(TableCosts[N_Direct]))</f>
        <v>0</v>
      </c>
      <c r="F18" s="119">
        <f t="array" ref="F18">SUM((TableInvs[V_Výkon]=$B$9)*(TableInvs[V_Kateg]=$B$11)*(TableInvs[V_Typ]=B18)*TableInvs[V_Total])</f>
        <v>0</v>
      </c>
      <c r="G18" s="26"/>
      <c r="H18" s="26"/>
      <c r="I18" s="27"/>
    </row>
    <row r="19" spans="2:9" ht="14.45" x14ac:dyDescent="0.3">
      <c r="B19" s="23" t="s">
        <v>243</v>
      </c>
      <c r="C19" s="24"/>
      <c r="D19" s="119">
        <f t="array" ref="D19">SUM((TableCosts[N_Výkon]=$B$9)*(TableCosts[N_Kateg]=$B$11)*(TableCosts[N_Typ]=B19)*(TableCosts[N_Amount]))</f>
        <v>0</v>
      </c>
      <c r="E19" s="119">
        <f t="array" ref="E19">SUM((TableCosts[N_Výkon]=$B$9)*(TableCosts[N_Kateg]=$B$11)*(TableCosts[N_Typ]=B19)*(TableCosts[N_Direct]))</f>
        <v>0</v>
      </c>
      <c r="F19" s="119">
        <f t="array" ref="F19">SUM((TableInvs[V_Výkon]=$B$9)*(TableInvs[V_Kateg]=$B$11)*(TableInvs[V_Typ]=B19)*TableInvs[V_Total])</f>
        <v>0</v>
      </c>
      <c r="G19" s="26"/>
      <c r="H19" s="26"/>
      <c r="I19" s="27"/>
    </row>
    <row r="20" spans="2:9" ht="14.45" x14ac:dyDescent="0.3">
      <c r="B20" s="23" t="s">
        <v>244</v>
      </c>
      <c r="C20" s="24"/>
      <c r="D20" s="119">
        <f t="array" ref="D20">SUM((TableCosts[N_Výkon]=$B$9)*(TableCosts[N_Kateg]=$B$11)*(TableCosts[N_Typ]=B20)*(TableCosts[N_Amount]))</f>
        <v>0</v>
      </c>
      <c r="E20" s="119">
        <f t="array" ref="E20">SUM((TableCosts[N_Výkon]=$B$9)*(TableCosts[N_Kateg]=$B$11)*(TableCosts[N_Typ]=B20)*(TableCosts[N_Direct]))</f>
        <v>0</v>
      </c>
      <c r="F20" s="119">
        <f t="array" ref="F20">SUM((TableInvs[V_Výkon]=$B$9)*(TableInvs[V_Kateg]=$B$11)*(TableInvs[V_Typ]=B20)*TableInvs[V_Total])</f>
        <v>0</v>
      </c>
      <c r="G20" s="26"/>
      <c r="H20" s="26"/>
      <c r="I20" s="27"/>
    </row>
    <row r="21" spans="2:9" x14ac:dyDescent="0.25">
      <c r="B21" s="23" t="s">
        <v>245</v>
      </c>
      <c r="C21" s="24"/>
      <c r="D21" s="119">
        <f t="array" ref="D21">SUM((TableCosts[N_Výkon]=$B$9)*(TableCosts[N_Kateg]=$B$11)*(TableCosts[N_Typ]=B21)*(TableCosts[N_Amount]))</f>
        <v>0</v>
      </c>
      <c r="E21" s="119">
        <f t="array" ref="E21">SUM((TableCosts[N_Výkon]=$B$9)*(TableCosts[N_Kateg]=$B$11)*(TableCosts[N_Typ]=B21)*(TableCosts[N_Direct]))</f>
        <v>0</v>
      </c>
      <c r="F21" s="119">
        <f t="array" ref="F21">SUM((TableInvs[V_Výkon]=$B$9)*(TableInvs[V_Kateg]=$B$11)*(TableInvs[V_Typ]=B21)*TableInvs[V_Total])</f>
        <v>0</v>
      </c>
      <c r="G21" s="26"/>
      <c r="H21" s="26"/>
      <c r="I21" s="27"/>
    </row>
    <row r="22" spans="2:9" x14ac:dyDescent="0.25">
      <c r="B22" s="23" t="s">
        <v>246</v>
      </c>
      <c r="C22" s="24"/>
      <c r="D22" s="119">
        <f t="array" ref="D22">SUM((TableCosts[N_Výkon]=$B$9)*(TableCosts[N_Kateg]=$B$11)*(TableCosts[N_Typ]=B22)*(TableCosts[N_Amount]))</f>
        <v>0</v>
      </c>
      <c r="E22" s="119">
        <f t="array" ref="E22">SUM((TableCosts[N_Výkon]=$B$9)*(TableCosts[N_Kateg]=$B$11)*(TableCosts[N_Typ]=B22)*(TableCosts[N_Direct]))</f>
        <v>0</v>
      </c>
      <c r="F22" s="119">
        <f t="array" ref="F22">SUM((TableInvs[V_Výkon]=$B$9)*(TableInvs[V_Kateg]=$B$11)*(TableInvs[V_Typ]=B22)*TableInvs[V_Total])</f>
        <v>0</v>
      </c>
      <c r="G22" s="26"/>
      <c r="H22" s="26"/>
      <c r="I22" s="27"/>
    </row>
    <row r="23" spans="2:9" x14ac:dyDescent="0.25">
      <c r="B23" s="23" t="s">
        <v>247</v>
      </c>
      <c r="C23" s="24"/>
      <c r="D23" s="119">
        <f t="array" ref="D23">SUM((TableCosts[N_Výkon]=$B$9)*(TableCosts[N_Kateg]=$B$11)*(TableCosts[N_Typ]=B23)*(TableCosts[N_Amount]))</f>
        <v>0</v>
      </c>
      <c r="E23" s="119">
        <f t="array" ref="E23">SUM((TableCosts[N_Výkon]=$B$9)*(TableCosts[N_Kateg]=$B$11)*(TableCosts[N_Typ]=B23)*(TableCosts[N_Direct]))</f>
        <v>0</v>
      </c>
      <c r="F23" s="119">
        <f t="array" ref="F23">SUM((TableInvs[V_Výkon]=$B$9)*(TableInvs[V_Kateg]=$B$11)*(TableInvs[V_Typ]=B23)*TableInvs[V_Total])</f>
        <v>0</v>
      </c>
      <c r="G23" s="26"/>
      <c r="H23" s="26"/>
      <c r="I23" s="27"/>
    </row>
    <row r="24" spans="2:9" x14ac:dyDescent="0.25">
      <c r="B24" s="23" t="s">
        <v>248</v>
      </c>
      <c r="C24" s="24"/>
      <c r="D24" s="119">
        <f t="array" ref="D24">SUM((TableCosts[N_Výkon]=$B$9)*(TableCosts[N_Kateg]=$B$11)*(TableCosts[N_Typ]=B24)*(TableCosts[N_Amount]))</f>
        <v>0</v>
      </c>
      <c r="E24" s="119">
        <f t="array" ref="E24">SUM((TableCosts[N_Výkon]=$B$9)*(TableCosts[N_Kateg]=$B$11)*(TableCosts[N_Typ]=B24)*(TableCosts[N_Direct]))</f>
        <v>0</v>
      </c>
      <c r="F24" s="119">
        <f t="array" ref="F24">SUM((TableInvs[V_Výkon]=$B$9)*(TableInvs[V_Kateg]=$B$11)*(TableInvs[V_Typ]=B24)*TableInvs[V_Total])</f>
        <v>0</v>
      </c>
      <c r="G24" s="26"/>
      <c r="H24" s="26"/>
      <c r="I24" s="27"/>
    </row>
    <row r="25" spans="2:9" x14ac:dyDescent="0.25">
      <c r="B25" s="23" t="s">
        <v>431</v>
      </c>
      <c r="C25" s="24"/>
      <c r="D25" s="119">
        <f t="array" ref="D25">SUM((TableCosts[N_Výkon]=$B$9)*(TableCosts[N_Kateg]=$B$11)*(TableCosts[N_Typ]=B25)*(TableCosts[N_Amount]))</f>
        <v>0</v>
      </c>
      <c r="E25" s="119">
        <f t="array" ref="E25">SUM((TableCosts[N_Výkon]=$B$9)*(TableCosts[N_Kateg]=$B$11)*(TableCosts[N_Typ]=B25)*(TableCosts[N_Direct]))</f>
        <v>0</v>
      </c>
      <c r="F25" s="119">
        <f t="array" ref="F25">SUM((TableInvs[V_Výkon]=$B$9)*(TableInvs[V_Kateg]=$B$11)*(TableInvs[V_Typ]=B25)*TableInvs[V_Total])</f>
        <v>0</v>
      </c>
      <c r="G25" s="26"/>
      <c r="H25" s="26"/>
      <c r="I25" s="27"/>
    </row>
    <row r="26" spans="2:9" x14ac:dyDescent="0.25">
      <c r="B26" s="23" t="s">
        <v>450</v>
      </c>
      <c r="C26" s="24"/>
      <c r="D26" s="119">
        <f t="array" ref="D26">SUM((TableCosts[N_Výkon]=$B$9)*(TableCosts[N_Kateg]=$B$11)*(TableCosts[N_Typ]=B26)*(TableCosts[N_Amount]))</f>
        <v>0</v>
      </c>
      <c r="E26" s="119">
        <f t="array" ref="E26">SUM((TableCosts[N_Výkon]=$B$9)*(TableCosts[N_Kateg]=$B$11)*(TableCosts[N_Typ]=B26)*(TableCosts[N_Direct]))</f>
        <v>0</v>
      </c>
      <c r="F26" s="119">
        <f t="array" ref="F26">SUM((TableInvs[V_Výkon]=$B$9)*(TableInvs[V_Kateg]=$B$11)*(TableInvs[V_Typ]=B26)*TableInvs[V_Total])</f>
        <v>0</v>
      </c>
      <c r="G26" s="26"/>
      <c r="H26" s="26"/>
      <c r="I26" s="27"/>
    </row>
    <row r="27" spans="2:9" ht="14.45" x14ac:dyDescent="0.3">
      <c r="B27" s="23" t="s">
        <v>249</v>
      </c>
      <c r="C27" s="24"/>
      <c r="D27" s="119">
        <f t="array" ref="D27">SUM((TableCosts[N_Výkon]=$B$9)*(TableCosts[N_Kateg]=$B$11)*(TableCosts[N_Typ]=B27)*(TableCosts[N_Amount]))</f>
        <v>0</v>
      </c>
      <c r="E27" s="119">
        <f t="array" ref="E27">SUM((TableCosts[N_Výkon]=$B$9)*(TableCosts[N_Kateg]=$B$11)*(TableCosts[N_Typ]=B27)*(TableCosts[N_Direct]))</f>
        <v>0</v>
      </c>
      <c r="F27" s="119">
        <f t="array" ref="F27">SUM((TableInvs[V_Výkon]=$B$9)*(TableInvs[V_Kateg]=$B$11)*(TableInvs[V_Typ]=B27)*TableInvs[V_Total])</f>
        <v>0</v>
      </c>
      <c r="G27" s="26"/>
      <c r="H27" s="26"/>
      <c r="I27" s="27"/>
    </row>
    <row r="28" spans="2:9" s="22" customFormat="1" ht="15.75" x14ac:dyDescent="0.25">
      <c r="B28" s="17" t="s">
        <v>75</v>
      </c>
      <c r="C28" s="18"/>
      <c r="D28" s="19"/>
      <c r="E28" s="118">
        <f t="array" ref="E28">SUM((TableCosts[N_Výkon]=B9)*(TableCosts[N_Kateg]=B28)*(TableCosts[N_Direct]))</f>
        <v>0</v>
      </c>
      <c r="F28" s="121">
        <f t="array" ref="F28">SUM((TableInvs[V_Výkon]=$B$9)*(TableInvs[V_Kateg]=B28)*TableInvs[V_Total])</f>
        <v>0</v>
      </c>
      <c r="G28" s="114" t="str">
        <f>IF(F28&lt;&gt;0,(F28-E28)/F28,"")</f>
        <v/>
      </c>
      <c r="H28" s="114"/>
      <c r="I28" s="21"/>
    </row>
    <row r="29" spans="2:9" ht="14.45" x14ac:dyDescent="0.3">
      <c r="B29" s="23" t="s">
        <v>61</v>
      </c>
      <c r="C29" s="24" t="str">
        <f t="shared" ref="C29:C35" si="0">VLOOKUP(B29,TRAN_STRITEMS_LABEL,4,FALSE)</f>
        <v>EUR</v>
      </c>
      <c r="D29" s="25"/>
      <c r="E29" s="119">
        <f t="array" ref="E29">SUM((TableCosts[N_Výkon]=$B$9)*(TableCosts[N_Kateg]=$B$28)*(TableCosts[N_Typ]=B29)*(TableCosts[N_Direct]))</f>
        <v>0</v>
      </c>
      <c r="F29" s="119">
        <f t="array" ref="F29">SUM((TableInvs[V_Výkon]=$B$9)*(TableInvs[V_Kateg]=$B$28)*(TableInvs[V_Typ]=B29)*TableInvs[V_Total])</f>
        <v>0</v>
      </c>
      <c r="G29" s="26"/>
      <c r="H29" s="26"/>
      <c r="I29" s="27"/>
    </row>
    <row r="30" spans="2:9" ht="14.45" x14ac:dyDescent="0.3">
      <c r="B30" s="23" t="s">
        <v>62</v>
      </c>
      <c r="C30" s="24" t="str">
        <f t="shared" si="0"/>
        <v>EUR</v>
      </c>
      <c r="D30" s="25"/>
      <c r="E30" s="119">
        <f t="array" ref="E30">SUM((TableCosts[N_Výkon]=$B$9)*(TableCosts[N_Kateg]=$B$28)*(TableCosts[N_Typ]=B30)*(TableCosts[N_Direct]))</f>
        <v>0</v>
      </c>
      <c r="F30" s="119">
        <f t="array" ref="F30">SUM((TableInvs[V_Výkon]=$B$9)*(TableInvs[V_Kateg]=$B$28)*(TableInvs[V_Typ]=B30)*TableInvs[V_Total])</f>
        <v>0</v>
      </c>
      <c r="G30" s="26"/>
      <c r="H30" s="26"/>
      <c r="I30" s="27"/>
    </row>
    <row r="31" spans="2:9" ht="14.45" x14ac:dyDescent="0.3">
      <c r="B31" s="23" t="s">
        <v>63</v>
      </c>
      <c r="C31" s="24" t="str">
        <f t="shared" si="0"/>
        <v>EUR</v>
      </c>
      <c r="D31" s="25"/>
      <c r="E31" s="119">
        <f t="array" ref="E31">SUM((TableCosts[N_Výkon]=$B$9)*(TableCosts[N_Kateg]=$B$28)*(TableCosts[N_Typ]=B31)*(TableCosts[N_Direct]))</f>
        <v>0</v>
      </c>
      <c r="F31" s="119">
        <f t="array" ref="F31">SUM((TableInvs[V_Výkon]=$B$9)*(TableInvs[V_Kateg]=$B$28)*(TableInvs[V_Typ]=B31)*TableInvs[V_Total])</f>
        <v>0</v>
      </c>
      <c r="G31" s="26"/>
      <c r="H31" s="26"/>
      <c r="I31" s="27"/>
    </row>
    <row r="32" spans="2:9" ht="14.45" x14ac:dyDescent="0.3">
      <c r="B32" s="23" t="s">
        <v>64</v>
      </c>
      <c r="C32" s="24" t="str">
        <f t="shared" si="0"/>
        <v>EUR</v>
      </c>
      <c r="D32" s="25"/>
      <c r="E32" s="119">
        <f t="array" ref="E32">SUM((TableCosts[N_Výkon]=$B$9)*(TableCosts[N_Kateg]=$B$28)*(TableCosts[N_Typ]=B32)*(TableCosts[N_Direct]))</f>
        <v>0</v>
      </c>
      <c r="F32" s="119">
        <f t="array" ref="F32">SUM((TableInvs[V_Výkon]=$B$9)*(TableInvs[V_Kateg]=$B$28)*(TableInvs[V_Typ]=B32)*TableInvs[V_Total])</f>
        <v>0</v>
      </c>
      <c r="G32" s="26"/>
      <c r="H32" s="26"/>
      <c r="I32" s="27"/>
    </row>
    <row r="33" spans="2:10" x14ac:dyDescent="0.25">
      <c r="B33" s="23" t="s">
        <v>81</v>
      </c>
      <c r="C33" s="24" t="str">
        <f t="shared" si="0"/>
        <v>EUR</v>
      </c>
      <c r="D33" s="25"/>
      <c r="E33" s="119">
        <f t="array" ref="E33">SUM((TableCosts[N_Výkon]=$B$9)*(TableCosts[N_Kateg]=$B$28)*(TableCosts[N_Typ]=B33)*(TableCosts[N_Direct]))</f>
        <v>0</v>
      </c>
      <c r="F33" s="119">
        <f t="array" ref="F33">SUM((TableInvs[V_Výkon]=$B$9)*(TableInvs[V_Kateg]=$B$28)*(TableInvs[V_Typ]=B33)*TableInvs[V_Total])</f>
        <v>0</v>
      </c>
      <c r="G33" s="26"/>
      <c r="H33" s="26"/>
      <c r="I33" s="27"/>
    </row>
    <row r="34" spans="2:10" x14ac:dyDescent="0.25">
      <c r="B34" s="23" t="s">
        <v>229</v>
      </c>
      <c r="C34" s="24" t="s">
        <v>88</v>
      </c>
      <c r="D34" s="25"/>
      <c r="E34" s="119">
        <f t="array" ref="E34">SUM((TableCosts[N_Výkon]=$B$9)*(TableCosts[N_Kateg]=$B$28)*(TableCosts[N_Typ]=B34)*(TableCosts[N_Direct]))</f>
        <v>0</v>
      </c>
      <c r="F34" s="119">
        <f t="array" ref="F34">SUM((TableInvs[V_Výkon]=$B$9)*(TableInvs[V_Kateg]=$B$28)*(TableInvs[V_Typ]=B34)*TableInvs[V_Total])</f>
        <v>0</v>
      </c>
      <c r="G34" s="26"/>
      <c r="H34" s="26"/>
      <c r="I34" s="27"/>
    </row>
    <row r="35" spans="2:10" x14ac:dyDescent="0.25">
      <c r="B35" s="23" t="s">
        <v>136</v>
      </c>
      <c r="C35" s="24" t="str">
        <f t="shared" si="0"/>
        <v>EUR</v>
      </c>
      <c r="D35" s="25"/>
      <c r="E35" s="119">
        <f t="array" ref="E35">SUM((TableCosts[N_Výkon]=$B$9)*(TableCosts[N_Kateg]=$B$28)*(TableCosts[N_Typ]=B35)*(TableCosts[N_Direct]))</f>
        <v>0</v>
      </c>
      <c r="F35" s="119">
        <f t="array" ref="F35">SUM((TableInvs[V_Výkon]=$B$9)*(TableInvs[V_Kateg]=$B$28)*(TableInvs[V_Typ]=B35)*TableInvs[V_Total])</f>
        <v>0</v>
      </c>
      <c r="G35" s="26"/>
      <c r="H35" s="26"/>
      <c r="I35" s="27"/>
    </row>
    <row r="36" spans="2:10" s="22" customFormat="1" ht="15.75" x14ac:dyDescent="0.25">
      <c r="B36" s="17" t="s">
        <v>158</v>
      </c>
      <c r="C36" s="18"/>
      <c r="D36" s="28"/>
      <c r="E36" s="29">
        <f t="array" ref="E36">SUM((TableCosts[N_Výkon]=B9)*(TableCosts[N_Kateg]=B36)*(TableCosts[N_Direct]))</f>
        <v>0</v>
      </c>
      <c r="F36" s="121">
        <f t="array" ref="F36">SUM((TableInvs[V_Výkon]=$B$9)*(TableInvs[V_Kateg]=B36)*TableInvs[V_Total])</f>
        <v>0</v>
      </c>
      <c r="G36" s="114" t="str">
        <f>IF(F36&lt;&gt;0,(F36-E36)/F36,"")</f>
        <v/>
      </c>
      <c r="H36" s="196" t="str">
        <f>IF(G36&lt;$I$4,"Nízka fakturácia",IF(AND(G36="",E36&lt;&gt;0),"CHÝBAJÚCA FAKTURÁCIA!",""))</f>
        <v/>
      </c>
      <c r="I36" s="21"/>
      <c r="J36" s="9"/>
    </row>
    <row r="37" spans="2:10" x14ac:dyDescent="0.25">
      <c r="B37" s="23" t="s">
        <v>451</v>
      </c>
      <c r="C37" s="24" t="str">
        <f t="shared" ref="C37:C38" si="1">VLOOKUP(B37,TRAN_STRITEMS_LABEL,4,FALSE)</f>
        <v>ks</v>
      </c>
      <c r="D37" s="119">
        <f t="array" ref="D37">SUM((TableCosts[N_Výkon]=$B$9)*(TableCosts[N_Kateg]=$B$36)*(TableCosts[N_Typ]=B37)*(TableCosts[N_Amount]))</f>
        <v>0</v>
      </c>
      <c r="E37" s="119">
        <f t="array" ref="E37">SUM((TableCosts[N_Výkon]=$B$9)*(TableCosts[N_Kateg]=$B$36)*(TableCosts[N_Typ]=B37)*(TableCosts[N_Direct]))</f>
        <v>0</v>
      </c>
      <c r="F37" s="119">
        <f t="array" ref="F37">SUM((TableInvs[V_Výkon]=$B$9)*(TableInvs[V_Kateg]=$B$36)*(TableInvs[V_Typ]=B37)*TableInvs[V_Total])</f>
        <v>0</v>
      </c>
      <c r="G37" s="26"/>
      <c r="H37" s="26"/>
      <c r="I37" s="27"/>
    </row>
    <row r="38" spans="2:10" x14ac:dyDescent="0.25">
      <c r="B38" s="23" t="s">
        <v>443</v>
      </c>
      <c r="C38" s="24" t="str">
        <f t="shared" si="1"/>
        <v>ks</v>
      </c>
      <c r="D38" s="119">
        <f t="array" ref="D38">SUM((TableCosts[N_Výkon]=$B$9)*(TableCosts[N_Kateg]=$B$36)*(TableCosts[N_Typ]=B38)*(TableCosts[N_Amount]))</f>
        <v>0</v>
      </c>
      <c r="E38" s="119">
        <f t="array" ref="E38">SUM((TableCosts[N_Výkon]=$B$9)*(TableCosts[N_Kateg]=$B$36)*(TableCosts[N_Typ]=B38)*(TableCosts[N_Direct]))</f>
        <v>0</v>
      </c>
      <c r="F38" s="119">
        <f t="array" ref="F38">SUM((TableInvs[V_Výkon]=$B$9)*(TableInvs[V_Kateg]=$B$36)*(TableInvs[V_Typ]=B38)*TableInvs[V_Total])</f>
        <v>0</v>
      </c>
      <c r="G38" s="26"/>
      <c r="H38" s="26"/>
      <c r="I38" s="27"/>
    </row>
    <row r="39" spans="2:10" x14ac:dyDescent="0.25">
      <c r="B39" s="23" t="s">
        <v>435</v>
      </c>
      <c r="C39" s="24" t="str">
        <f t="shared" ref="C39:C49" si="2">VLOOKUP(B39,TRAN_STRITEMS_LABEL,4,FALSE)</f>
        <v>ks</v>
      </c>
      <c r="D39" s="119">
        <f t="array" ref="D39">SUM((TableCosts[N_Výkon]=$B$9)*(TableCosts[N_Kateg]=$B$36)*(TableCosts[N_Typ]=B39)*(TableCosts[N_Amount]))</f>
        <v>0</v>
      </c>
      <c r="E39" s="119">
        <f t="array" ref="E39">SUM((TableCosts[N_Výkon]=$B$9)*(TableCosts[N_Kateg]=$B$36)*(TableCosts[N_Typ]=B39)*(TableCosts[N_Direct]))</f>
        <v>0</v>
      </c>
      <c r="F39" s="119">
        <f t="array" ref="F39">SUM((TableInvs[V_Výkon]=$B$9)*(TableInvs[V_Kateg]=$B$36)*(TableInvs[V_Typ]=B39)*TableInvs[V_Total])</f>
        <v>0</v>
      </c>
      <c r="G39" s="26"/>
      <c r="H39" s="26"/>
      <c r="I39" s="27"/>
    </row>
    <row r="40" spans="2:10" x14ac:dyDescent="0.25">
      <c r="B40" s="23" t="s">
        <v>434</v>
      </c>
      <c r="C40" s="24" t="str">
        <f t="shared" ref="C40" si="3">VLOOKUP(B40,TRAN_STRITEMS_LABEL,4,FALSE)</f>
        <v>ks</v>
      </c>
      <c r="D40" s="119">
        <f t="array" ref="D40">SUM((TableCosts[N_Výkon]=$B$9)*(TableCosts[N_Kateg]=$B$36)*(TableCosts[N_Typ]=B40)*(TableCosts[N_Amount]))</f>
        <v>0</v>
      </c>
      <c r="E40" s="119">
        <f t="array" ref="E40">SUM((TableCosts[N_Výkon]=$B$9)*(TableCosts[N_Kateg]=$B$36)*(TableCosts[N_Typ]=B40)*(TableCosts[N_Direct]))</f>
        <v>0</v>
      </c>
      <c r="F40" s="119">
        <f t="array" ref="F40">SUM((TableInvs[V_Výkon]=$B$9)*(TableInvs[V_Kateg]=$B$36)*(TableInvs[V_Typ]=B40)*TableInvs[V_Total])</f>
        <v>0</v>
      </c>
      <c r="G40" s="26"/>
      <c r="H40" s="26"/>
      <c r="I40" s="27"/>
    </row>
    <row r="41" spans="2:10" x14ac:dyDescent="0.25">
      <c r="B41" s="23" t="s">
        <v>415</v>
      </c>
      <c r="C41" s="24" t="str">
        <f t="shared" ref="C41" si="4">VLOOKUP(B41,TRAN_STRITEMS_LABEL,4,FALSE)</f>
        <v>ks</v>
      </c>
      <c r="D41" s="119">
        <f t="array" ref="D41">SUM((TableCosts[N_Výkon]=$B$9)*(TableCosts[N_Kateg]=$B$36)*(TableCosts[N_Typ]=B41)*(TableCosts[N_Amount]))</f>
        <v>0</v>
      </c>
      <c r="E41" s="119">
        <f t="array" ref="E41">SUM((TableCosts[N_Výkon]=$B$9)*(TableCosts[N_Kateg]=$B$36)*(TableCosts[N_Typ]=B41)*(TableCosts[N_Direct]))</f>
        <v>0</v>
      </c>
      <c r="F41" s="119">
        <f t="array" ref="F41">SUM((TableInvs[V_Výkon]=$B$9)*(TableInvs[V_Kateg]=$B$36)*(TableInvs[V_Typ]=B41)*TableInvs[V_Total])</f>
        <v>0</v>
      </c>
      <c r="G41" s="26"/>
      <c r="H41" s="26"/>
      <c r="I41" s="27"/>
    </row>
    <row r="42" spans="2:10" x14ac:dyDescent="0.25">
      <c r="B42" s="23" t="s">
        <v>444</v>
      </c>
      <c r="C42" s="24" t="str">
        <f t="shared" ref="C42:C43" si="5">VLOOKUP(B42,TRAN_STRITEMS_LABEL,4,FALSE)</f>
        <v>ks</v>
      </c>
      <c r="D42" s="119">
        <f t="array" ref="D42">SUM((TableCosts[N_Výkon]=$B$9)*(TableCosts[N_Kateg]=$B$36)*(TableCosts[N_Typ]=B42)*(TableCosts[N_Amount]))</f>
        <v>0</v>
      </c>
      <c r="E42" s="119">
        <f t="array" ref="E42">SUM((TableCosts[N_Výkon]=$B$9)*(TableCosts[N_Kateg]=$B$36)*(TableCosts[N_Typ]=B42)*(TableCosts[N_Direct]))</f>
        <v>0</v>
      </c>
      <c r="F42" s="119">
        <f t="array" ref="F42">SUM((TableInvs[V_Výkon]=$B$9)*(TableInvs[V_Kateg]=$B$36)*(TableInvs[V_Typ]=B42)*TableInvs[V_Total])</f>
        <v>0</v>
      </c>
      <c r="G42" s="26"/>
      <c r="H42" s="26"/>
      <c r="I42" s="27"/>
    </row>
    <row r="43" spans="2:10" x14ac:dyDescent="0.25">
      <c r="B43" s="23" t="s">
        <v>445</v>
      </c>
      <c r="C43" s="24" t="str">
        <f t="shared" si="5"/>
        <v>ks</v>
      </c>
      <c r="D43" s="119">
        <f t="array" ref="D43">SUM((TableCosts[N_Výkon]=$B$9)*(TableCosts[N_Kateg]=$B$36)*(TableCosts[N_Typ]=B43)*(TableCosts[N_Amount]))</f>
        <v>0</v>
      </c>
      <c r="E43" s="119">
        <f t="array" ref="E43">SUM((TableCosts[N_Výkon]=$B$9)*(TableCosts[N_Kateg]=$B$36)*(TableCosts[N_Typ]=B43)*(TableCosts[N_Direct]))</f>
        <v>0</v>
      </c>
      <c r="F43" s="119">
        <f t="array" ref="F43">SUM((TableInvs[V_Výkon]=$B$9)*(TableInvs[V_Kateg]=$B$36)*(TableInvs[V_Typ]=B43)*TableInvs[V_Total])</f>
        <v>0</v>
      </c>
      <c r="G43" s="26"/>
      <c r="H43" s="26"/>
      <c r="I43" s="27"/>
    </row>
    <row r="44" spans="2:10" x14ac:dyDescent="0.25">
      <c r="B44" s="23" t="s">
        <v>163</v>
      </c>
      <c r="C44" s="24" t="str">
        <f t="shared" si="2"/>
        <v>ks</v>
      </c>
      <c r="D44" s="119">
        <f t="array" ref="D44">SUM((TableCosts[N_Výkon]=$B$9)*(TableCosts[N_Kateg]=$B$36)*(TableCosts[N_Typ]=B44)*(TableCosts[N_Amount]))</f>
        <v>0</v>
      </c>
      <c r="E44" s="119">
        <f t="array" ref="E44">SUM((TableCosts[N_Výkon]=$B$9)*(TableCosts[N_Kateg]=$B$36)*(TableCosts[N_Typ]=B44)*(TableCosts[N_Direct]))</f>
        <v>0</v>
      </c>
      <c r="F44" s="119">
        <f t="array" ref="F44">SUM((TableInvs[V_Výkon]=$B$9)*(TableInvs[V_Kateg]=$B$36)*(TableInvs[V_Typ]=B44)*TableInvs[V_Total])</f>
        <v>0</v>
      </c>
      <c r="G44" s="26"/>
      <c r="H44" s="26"/>
      <c r="I44" s="27"/>
    </row>
    <row r="45" spans="2:10" x14ac:dyDescent="0.25">
      <c r="B45" s="23" t="s">
        <v>452</v>
      </c>
      <c r="C45" s="24" t="str">
        <f t="shared" ref="C45" si="6">VLOOKUP(B45,TRAN_STRITEMS_LABEL,4,FALSE)</f>
        <v>ks</v>
      </c>
      <c r="D45" s="119">
        <f t="array" ref="D45">SUM((TableCosts[N_Výkon]=$B$9)*(TableCosts[N_Kateg]=$B$36)*(TableCosts[N_Typ]=B45)*(TableCosts[N_Amount]))</f>
        <v>0</v>
      </c>
      <c r="E45" s="119">
        <f t="array" ref="E45">SUM((TableCosts[N_Výkon]=$B$9)*(TableCosts[N_Kateg]=$B$36)*(TableCosts[N_Typ]=B45)*(TableCosts[N_Direct]))</f>
        <v>0</v>
      </c>
      <c r="F45" s="119">
        <f t="array" ref="F45">SUM((TableInvs[V_Výkon]=$B$9)*(TableInvs[V_Kateg]=$B$36)*(TableInvs[V_Typ]=B45)*TableInvs[V_Total])</f>
        <v>0</v>
      </c>
      <c r="G45" s="26"/>
      <c r="H45" s="26"/>
      <c r="I45" s="27"/>
    </row>
    <row r="46" spans="2:10" x14ac:dyDescent="0.25">
      <c r="B46" s="23" t="s">
        <v>374</v>
      </c>
      <c r="C46" s="24" t="str">
        <f t="shared" si="2"/>
        <v>ks</v>
      </c>
      <c r="D46" s="119">
        <f t="array" ref="D46">SUM((TableCosts[N_Výkon]=$B$9)*(TableCosts[N_Kateg]=$B$36)*(TableCosts[N_Typ]=B46)*(TableCosts[N_Amount]))</f>
        <v>0</v>
      </c>
      <c r="E46" s="119">
        <f t="array" ref="E46">SUM((TableCosts[N_Výkon]=$B$9)*(TableCosts[N_Kateg]=$B$36)*(TableCosts[N_Typ]=B46)*(TableCosts[N_Direct]))</f>
        <v>0</v>
      </c>
      <c r="F46" s="119">
        <f t="array" ref="F46">SUM((TableInvs[V_Výkon]=$B$9)*(TableInvs[V_Kateg]=$B$36)*(TableInvs[V_Typ]=B46)*TableInvs[V_Total])</f>
        <v>0</v>
      </c>
      <c r="G46" s="26"/>
      <c r="H46" s="26"/>
      <c r="I46" s="27"/>
    </row>
    <row r="47" spans="2:10" x14ac:dyDescent="0.25">
      <c r="B47" s="23" t="s">
        <v>338</v>
      </c>
      <c r="C47" s="24" t="str">
        <f t="shared" si="2"/>
        <v>ks</v>
      </c>
      <c r="D47" s="119">
        <f t="array" ref="D47">SUM((TableCosts[N_Výkon]=$B$9)*(TableCosts[N_Kateg]=$B$36)*(TableCosts[N_Typ]=B47)*(TableCosts[N_Amount]))</f>
        <v>0</v>
      </c>
      <c r="E47" s="119">
        <f t="array" ref="E47">SUM((TableCosts[N_Výkon]=$B$9)*(TableCosts[N_Kateg]=$B$36)*(TableCosts[N_Typ]=B47)*(TableCosts[N_Direct]))</f>
        <v>0</v>
      </c>
      <c r="F47" s="119">
        <f t="array" ref="F47">SUM((TableInvs[V_Výkon]=$B$9)*(TableInvs[V_Kateg]=$B$36)*(TableInvs[V_Typ]=B47)*TableInvs[V_Total])</f>
        <v>0</v>
      </c>
      <c r="G47" s="26"/>
      <c r="H47" s="26"/>
      <c r="I47" s="27"/>
    </row>
    <row r="48" spans="2:10" x14ac:dyDescent="0.25">
      <c r="B48" s="23" t="s">
        <v>436</v>
      </c>
      <c r="C48" s="24" t="str">
        <f t="shared" si="2"/>
        <v>ks</v>
      </c>
      <c r="D48" s="119">
        <f t="array" ref="D48">SUM((TableCosts[N_Výkon]=$B$9)*(TableCosts[N_Kateg]=$B$36)*(TableCosts[N_Typ]=B48)*(TableCosts[N_Amount]))</f>
        <v>0</v>
      </c>
      <c r="E48" s="119">
        <f t="array" ref="E48">SUM((TableCosts[N_Výkon]=$B$9)*(TableCosts[N_Kateg]=$B$36)*(TableCosts[N_Typ]=B48)*(TableCosts[N_Direct]))</f>
        <v>0</v>
      </c>
      <c r="F48" s="119">
        <f t="array" ref="F48">SUM((TableInvs[V_Výkon]=$B$9)*(TableInvs[V_Kateg]=$B$36)*(TableInvs[V_Typ]=B48)*TableInvs[V_Total])</f>
        <v>0</v>
      </c>
      <c r="G48" s="26"/>
      <c r="H48" s="26"/>
      <c r="I48" s="27"/>
    </row>
    <row r="49" spans="2:9" x14ac:dyDescent="0.25">
      <c r="B49" s="23" t="s">
        <v>378</v>
      </c>
      <c r="C49" s="24" t="str">
        <f t="shared" si="2"/>
        <v>ks</v>
      </c>
      <c r="D49" s="119">
        <f t="array" ref="D49">SUM((TableCosts[N_Výkon]=$B$9)*(TableCosts[N_Kateg]=$B$36)*(TableCosts[N_Typ]=B49)*(TableCosts[N_Amount]))</f>
        <v>0</v>
      </c>
      <c r="E49" s="119">
        <f t="array" ref="E49">SUM((TableCosts[N_Výkon]=$B$9)*(TableCosts[N_Kateg]=$B$36)*(TableCosts[N_Typ]=B49)*(TableCosts[N_Direct]))</f>
        <v>0</v>
      </c>
      <c r="F49" s="119">
        <f t="array" ref="F49">SUM((TableInvs[V_Výkon]=$B$9)*(TableInvs[V_Kateg]=$B$36)*(TableInvs[V_Typ]=B49)*TableInvs[V_Total])</f>
        <v>0</v>
      </c>
      <c r="G49" s="26"/>
      <c r="H49" s="26"/>
      <c r="I49" s="27"/>
    </row>
    <row r="50" spans="2:9" s="22" customFormat="1" ht="15.75" x14ac:dyDescent="0.25">
      <c r="B50" s="102" t="s">
        <v>120</v>
      </c>
      <c r="C50" s="103"/>
      <c r="D50" s="104"/>
      <c r="E50" s="117">
        <f t="array" ref="E50">SUM((TableCosts[N_Výkon]=B50)*(TableCosts[N_Kateg]&lt;&gt;$B$7)*(TableCosts[N_Direct]))</f>
        <v>0</v>
      </c>
      <c r="F50" s="117">
        <f t="array" ref="F50">SUM((TableInvs[V_Výkon]=B50)*TableInvs[V_Total])</f>
        <v>0</v>
      </c>
      <c r="G50" s="113" t="str">
        <f>IF(F50&lt;&gt;0,(F50-E50)/F50,"")</f>
        <v/>
      </c>
      <c r="H50" s="113"/>
      <c r="I50" s="106"/>
    </row>
    <row r="51" spans="2:9" s="22" customFormat="1" ht="15.75" x14ac:dyDescent="0.25">
      <c r="B51" s="17" t="s">
        <v>286</v>
      </c>
      <c r="C51" s="100" t="s">
        <v>109</v>
      </c>
      <c r="D51" s="118">
        <f t="array" ref="D51">SUM((TableCosts[N_Výkon]=B50)*(TableCosts[N_Kateg]=B52)*(TableCosts[IsTravelTime]=1)*(TableCosts[N_Amount]))</f>
        <v>0</v>
      </c>
      <c r="E51" s="118">
        <f t="array" ref="E51">SUM((TableCosts[N_Výkon]=B50)*(TableCosts[N_Kateg]=B52)*(TableCosts[IsTravelTime]=1)*(TableCosts[N_Direct]))</f>
        <v>0</v>
      </c>
      <c r="F51" s="121">
        <f t="array" ref="F51">SUM((TableInvs[V_Výkon]=$B$50)*(TableInvs[V_Kateg]=B52)*(TableInvs[IsTravelTime]=1)*TableInvs[V_Total])</f>
        <v>0</v>
      </c>
      <c r="G51" s="114" t="str">
        <f>IF(F51&lt;&gt;0,(F51-E51)/F51,"")</f>
        <v/>
      </c>
      <c r="H51" s="114"/>
      <c r="I51" s="21"/>
    </row>
    <row r="52" spans="2:9" ht="15.75" x14ac:dyDescent="0.25">
      <c r="B52" s="17" t="s">
        <v>74</v>
      </c>
      <c r="C52" s="100" t="s">
        <v>109</v>
      </c>
      <c r="D52" s="118">
        <f t="array" ref="D52">SUM((TableCosts[N_Výkon]=B50)*(TableCosts[N_Kateg]=B52)*(TableCosts[IsTravelTime]=0)*(TableCosts[N_Amount]))</f>
        <v>0</v>
      </c>
      <c r="E52" s="118">
        <f t="array" ref="E52">SUM((TableCosts[N_Výkon]=B50)*(TableCosts[N_Kateg]=B52)*(TableCosts[IsTravelTime]=0)*(TableCosts[N_Direct]))</f>
        <v>0</v>
      </c>
      <c r="F52" s="121">
        <f t="array" ref="F52">SUM((TableInvs[V_Výkon]=$B$50)*(TableInvs[V_Kateg]=B52)*(TableCosts[IsTravelTime]=0)*TableInvs[V_Total])</f>
        <v>0</v>
      </c>
      <c r="G52" s="114" t="str">
        <f>IF(F52&lt;&gt;0,(F52-E52)/F52,"")</f>
        <v/>
      </c>
      <c r="H52" s="196" t="str">
        <f>IF(G52&lt;$I$4,"Nízka fakturácia",IF(AND(G52="",E52&lt;&gt;0),"CHÝBAJÚCA FAKTURÁCIA!",""))</f>
        <v/>
      </c>
      <c r="I52" s="21"/>
    </row>
    <row r="53" spans="2:9" x14ac:dyDescent="0.25">
      <c r="B53" s="23" t="s">
        <v>236</v>
      </c>
      <c r="C53" s="24"/>
      <c r="D53" s="119">
        <f t="array" ref="D53">SUM((TableCosts[N_Výkon]=$B$50)*(TableCosts[N_Kateg]=$B$52)*(TableCosts[N_Typ]=B53)*(TableCosts[N_Amount]))</f>
        <v>0</v>
      </c>
      <c r="E53" s="119">
        <f t="array" ref="E53">SUM((TableCosts[N_Výkon]=$B$50)*(TableCosts[N_Kateg]=$B$52)*(TableCosts[N_Typ]=B53)*(TableCosts[N_Direct]))</f>
        <v>0</v>
      </c>
      <c r="F53" s="119">
        <f t="array" ref="F53">SUM((TableInvs[V_Výkon]=$B$50)*(TableInvs[V_Kateg]=$B$52)*(TableInvs[V_Typ]=B53)*TableInvs[V_Total])</f>
        <v>0</v>
      </c>
      <c r="G53" s="26"/>
      <c r="H53" s="26"/>
      <c r="I53" s="27"/>
    </row>
    <row r="54" spans="2:9" x14ac:dyDescent="0.25">
      <c r="B54" s="23" t="s">
        <v>237</v>
      </c>
      <c r="C54" s="24"/>
      <c r="D54" s="119">
        <f t="array" ref="D54">SUM((TableCosts[N_Výkon]=$B$50)*(TableCosts[N_Kateg]=$B$52)*(TableCosts[N_Typ]=B54)*(TableCosts[N_Amount]))</f>
        <v>0</v>
      </c>
      <c r="E54" s="119">
        <f t="array" ref="E54">SUM((TableCosts[N_Výkon]=$B$50)*(TableCosts[N_Kateg]=$B$52)*(TableCosts[N_Typ]=B54)*(TableCosts[N_Direct]))</f>
        <v>0</v>
      </c>
      <c r="F54" s="25">
        <f t="array" ref="F54">SUM((TableInvs[V_Výkon]=$B$50)*(TableInvs[V_Kateg]=$B$52)*(TableInvs[V_Typ]=B54)*TableInvs[V_Total])</f>
        <v>0</v>
      </c>
      <c r="G54" s="26"/>
      <c r="H54" s="26"/>
      <c r="I54" s="27"/>
    </row>
    <row r="55" spans="2:9" x14ac:dyDescent="0.25">
      <c r="B55" s="23" t="s">
        <v>238</v>
      </c>
      <c r="C55" s="24"/>
      <c r="D55" s="119">
        <f t="array" ref="D55">SUM((TableCosts[N_Výkon]=$B$50)*(TableCosts[N_Kateg]=$B$52)*(TableCosts[N_Typ]=B55)*(TableCosts[N_Amount]))</f>
        <v>0</v>
      </c>
      <c r="E55" s="119">
        <f t="array" ref="E55">SUM((TableCosts[N_Výkon]=$B$50)*(TableCosts[N_Kateg]=$B$52)*(TableCosts[N_Typ]=B55)*(TableCosts[N_Direct]))</f>
        <v>0</v>
      </c>
      <c r="F55" s="25">
        <f t="array" ref="F55">SUM((TableInvs[V_Výkon]=$B$50)*(TableInvs[V_Kateg]=$B$52)*(TableInvs[V_Typ]=B55)*TableInvs[V_Total])</f>
        <v>0</v>
      </c>
      <c r="G55" s="26"/>
      <c r="H55" s="26"/>
      <c r="I55" s="27"/>
    </row>
    <row r="56" spans="2:9" x14ac:dyDescent="0.25">
      <c r="B56" s="23" t="s">
        <v>239</v>
      </c>
      <c r="C56" s="24"/>
      <c r="D56" s="119">
        <f t="array" ref="D56">SUM((TableCosts[N_Výkon]=$B$50)*(TableCosts[N_Kateg]=$B$52)*(TableCosts[N_Typ]=B56)*(TableCosts[N_Amount]))</f>
        <v>0</v>
      </c>
      <c r="E56" s="119">
        <f t="array" ref="E56">SUM((TableCosts[N_Výkon]=$B$50)*(TableCosts[N_Kateg]=$B$52)*(TableCosts[N_Typ]=B56)*(TableCosts[N_Direct]))</f>
        <v>0</v>
      </c>
      <c r="F56" s="25">
        <f t="array" ref="F56">SUM((TableInvs[V_Výkon]=$B$50)*(TableInvs[V_Kateg]=$B$52)*(TableInvs[V_Typ]=B56)*TableInvs[V_Total])</f>
        <v>0</v>
      </c>
      <c r="G56" s="26"/>
      <c r="H56" s="26"/>
      <c r="I56" s="27"/>
    </row>
    <row r="57" spans="2:9" x14ac:dyDescent="0.25">
      <c r="B57" s="23" t="s">
        <v>240</v>
      </c>
      <c r="C57" s="24"/>
      <c r="D57" s="119">
        <f t="array" ref="D57">SUM((TableCosts[N_Výkon]=$B$50)*(TableCosts[N_Kateg]=$B$52)*(TableCosts[N_Typ]=B57)*(TableCosts[N_Amount]))</f>
        <v>0</v>
      </c>
      <c r="E57" s="119">
        <f t="array" ref="E57">SUM((TableCosts[N_Výkon]=$B$50)*(TableCosts[N_Kateg]=$B$52)*(TableCosts[N_Typ]=B57)*(TableCosts[N_Direct]))</f>
        <v>0</v>
      </c>
      <c r="F57" s="25">
        <f t="array" ref="F57">SUM((TableInvs[V_Výkon]=$B$50)*(TableInvs[V_Kateg]=$B$52)*(TableInvs[V_Typ]=B57)*TableInvs[V_Total])</f>
        <v>0</v>
      </c>
      <c r="G57" s="26"/>
      <c r="H57" s="26"/>
      <c r="I57" s="27"/>
    </row>
    <row r="58" spans="2:9" x14ac:dyDescent="0.25">
      <c r="B58" s="23" t="s">
        <v>241</v>
      </c>
      <c r="C58" s="24"/>
      <c r="D58" s="119">
        <f t="array" ref="D58">SUM((TableCosts[N_Výkon]=$B$50)*(TableCosts[N_Kateg]=$B$52)*(TableCosts[N_Typ]=B58)*(TableCosts[N_Amount]))</f>
        <v>0</v>
      </c>
      <c r="E58" s="119">
        <f t="array" ref="E58">SUM((TableCosts[N_Výkon]=$B$50)*(TableCosts[N_Kateg]=$B$52)*(TableCosts[N_Typ]=B58)*(TableCosts[N_Direct]))</f>
        <v>0</v>
      </c>
      <c r="F58" s="25">
        <f t="array" ref="F58">SUM((TableInvs[V_Výkon]=$B$50)*(TableInvs[V_Kateg]=$B$52)*(TableInvs[V_Typ]=B58)*TableInvs[V_Total])</f>
        <v>0</v>
      </c>
      <c r="G58" s="26"/>
      <c r="H58" s="26"/>
      <c r="I58" s="27"/>
    </row>
    <row r="59" spans="2:9" x14ac:dyDescent="0.25">
      <c r="B59" s="23" t="s">
        <v>242</v>
      </c>
      <c r="C59" s="24"/>
      <c r="D59" s="119">
        <f t="array" ref="D59">SUM((TableCosts[N_Výkon]=$B$50)*(TableCosts[N_Kateg]=$B$52)*(TableCosts[N_Typ]=B59)*(TableCosts[N_Amount]))</f>
        <v>0</v>
      </c>
      <c r="E59" s="119">
        <f t="array" ref="E59">SUM((TableCosts[N_Výkon]=$B$50)*(TableCosts[N_Kateg]=$B$52)*(TableCosts[N_Typ]=B59)*(TableCosts[N_Direct]))</f>
        <v>0</v>
      </c>
      <c r="F59" s="25">
        <f t="array" ref="F59">SUM((TableInvs[V_Výkon]=$B$50)*(TableInvs[V_Kateg]=$B$52)*(TableInvs[V_Typ]=B59)*TableInvs[V_Total])</f>
        <v>0</v>
      </c>
      <c r="G59" s="26"/>
      <c r="H59" s="26"/>
      <c r="I59" s="27"/>
    </row>
    <row r="60" spans="2:9" x14ac:dyDescent="0.25">
      <c r="B60" s="23" t="s">
        <v>243</v>
      </c>
      <c r="C60" s="24"/>
      <c r="D60" s="119">
        <f t="array" ref="D60">SUM((TableCosts[N_Výkon]=$B$50)*(TableCosts[N_Kateg]=$B$52)*(TableCosts[N_Typ]=B60)*(TableCosts[N_Amount]))</f>
        <v>0</v>
      </c>
      <c r="E60" s="119">
        <f t="array" ref="E60">SUM((TableCosts[N_Výkon]=$B$50)*(TableCosts[N_Kateg]=$B$52)*(TableCosts[N_Typ]=B60)*(TableCosts[N_Direct]))</f>
        <v>0</v>
      </c>
      <c r="F60" s="25">
        <f t="array" ref="F60">SUM((TableInvs[V_Výkon]=$B$50)*(TableInvs[V_Kateg]=$B$52)*(TableInvs[V_Typ]=B60)*TableInvs[V_Total])</f>
        <v>0</v>
      </c>
      <c r="G60" s="26"/>
      <c r="H60" s="26"/>
      <c r="I60" s="27"/>
    </row>
    <row r="61" spans="2:9" x14ac:dyDescent="0.25">
      <c r="B61" s="23" t="s">
        <v>244</v>
      </c>
      <c r="C61" s="24"/>
      <c r="D61" s="119">
        <f t="array" ref="D61">SUM((TableCosts[N_Výkon]=$B$50)*(TableCosts[N_Kateg]=$B$52)*(TableCosts[N_Typ]=B61)*(TableCosts[N_Amount]))</f>
        <v>0</v>
      </c>
      <c r="E61" s="119">
        <f t="array" ref="E61">SUM((TableCosts[N_Výkon]=$B$50)*(TableCosts[N_Kateg]=$B$52)*(TableCosts[N_Typ]=B61)*(TableCosts[N_Direct]))</f>
        <v>0</v>
      </c>
      <c r="F61" s="25">
        <f t="array" ref="F61">SUM((TableInvs[V_Výkon]=$B$50)*(TableInvs[V_Kateg]=$B$52)*(TableInvs[V_Typ]=B61)*TableInvs[V_Total])</f>
        <v>0</v>
      </c>
      <c r="G61" s="26"/>
      <c r="H61" s="26"/>
      <c r="I61" s="27"/>
    </row>
    <row r="62" spans="2:9" x14ac:dyDescent="0.25">
      <c r="B62" s="23" t="s">
        <v>245</v>
      </c>
      <c r="C62" s="24"/>
      <c r="D62" s="119">
        <f t="array" ref="D62">SUM((TableCosts[N_Výkon]=$B$50)*(TableCosts[N_Kateg]=$B$52)*(TableCosts[N_Typ]=B62)*(TableCosts[N_Amount]))</f>
        <v>0</v>
      </c>
      <c r="E62" s="119">
        <f t="array" ref="E62">SUM((TableCosts[N_Výkon]=$B$50)*(TableCosts[N_Kateg]=$B$52)*(TableCosts[N_Typ]=B62)*(TableCosts[N_Direct]))</f>
        <v>0</v>
      </c>
      <c r="F62" s="25">
        <f t="array" ref="F62">SUM((TableInvs[V_Výkon]=$B$50)*(TableInvs[V_Kateg]=$B$52)*(TableInvs[V_Typ]=B62)*TableInvs[V_Total])</f>
        <v>0</v>
      </c>
      <c r="G62" s="26"/>
      <c r="H62" s="26"/>
      <c r="I62" s="27"/>
    </row>
    <row r="63" spans="2:9" x14ac:dyDescent="0.25">
      <c r="B63" s="23" t="s">
        <v>246</v>
      </c>
      <c r="C63" s="24"/>
      <c r="D63" s="119">
        <f t="array" ref="D63">SUM((TableCosts[N_Výkon]=$B$50)*(TableCosts[N_Kateg]=$B$52)*(TableCosts[N_Typ]=B63)*(TableCosts[N_Amount]))</f>
        <v>0</v>
      </c>
      <c r="E63" s="119">
        <f t="array" ref="E63">SUM((TableCosts[N_Výkon]=$B$50)*(TableCosts[N_Kateg]=$B$52)*(TableCosts[N_Typ]=B63)*(TableCosts[N_Direct]))</f>
        <v>0</v>
      </c>
      <c r="F63" s="25">
        <f t="array" ref="F63">SUM((TableInvs[V_Výkon]=$B$50)*(TableInvs[V_Kateg]=$B$52)*(TableInvs[V_Typ]=B63)*TableInvs[V_Total])</f>
        <v>0</v>
      </c>
      <c r="G63" s="26"/>
      <c r="H63" s="26"/>
      <c r="I63" s="27"/>
    </row>
    <row r="64" spans="2:9" x14ac:dyDescent="0.25">
      <c r="B64" s="23" t="s">
        <v>247</v>
      </c>
      <c r="C64" s="24"/>
      <c r="D64" s="119">
        <f t="array" ref="D64">SUM((TableCosts[N_Výkon]=$B$50)*(TableCosts[N_Kateg]=$B$52)*(TableCosts[N_Typ]=B64)*(TableCosts[N_Amount]))</f>
        <v>0</v>
      </c>
      <c r="E64" s="119">
        <f t="array" ref="E64">SUM((TableCosts[N_Výkon]=$B$50)*(TableCosts[N_Kateg]=$B$52)*(TableCosts[N_Typ]=B64)*(TableCosts[N_Direct]))</f>
        <v>0</v>
      </c>
      <c r="F64" s="25">
        <f t="array" ref="F64">SUM((TableInvs[V_Výkon]=$B$50)*(TableInvs[V_Kateg]=$B$52)*(TableInvs[V_Typ]=B64)*TableInvs[V_Total])</f>
        <v>0</v>
      </c>
      <c r="G64" s="26"/>
      <c r="H64" s="26"/>
      <c r="I64" s="27"/>
    </row>
    <row r="65" spans="2:10" x14ac:dyDescent="0.25">
      <c r="B65" s="23" t="s">
        <v>248</v>
      </c>
      <c r="C65" s="24"/>
      <c r="D65" s="119">
        <f t="array" ref="D65">SUM((TableCosts[N_Výkon]=$B$50)*(TableCosts[N_Kateg]=$B$52)*(TableCosts[N_Typ]=B65)*(TableCosts[N_Amount]))</f>
        <v>0</v>
      </c>
      <c r="E65" s="119">
        <f t="array" ref="E65">SUM((TableCosts[N_Výkon]=$B$50)*(TableCosts[N_Kateg]=$B$52)*(TableCosts[N_Typ]=B65)*(TableCosts[N_Direct]))</f>
        <v>0</v>
      </c>
      <c r="F65" s="25">
        <f t="array" ref="F65">SUM((TableInvs[V_Výkon]=$B$50)*(TableInvs[V_Kateg]=$B$52)*(TableInvs[V_Typ]=B65)*TableInvs[V_Total])</f>
        <v>0</v>
      </c>
      <c r="G65" s="26"/>
      <c r="H65" s="26"/>
      <c r="I65" s="27"/>
    </row>
    <row r="66" spans="2:10" x14ac:dyDescent="0.25">
      <c r="B66" s="23" t="s">
        <v>431</v>
      </c>
      <c r="C66" s="24"/>
      <c r="D66" s="119">
        <f t="array" ref="D66">SUM((TableCosts[N_Výkon]=$B$50)*(TableCosts[N_Kateg]=$B$52)*(TableCosts[N_Typ]=B66)*(TableCosts[N_Amount]))</f>
        <v>0</v>
      </c>
      <c r="E66" s="119">
        <f t="array" ref="E66">SUM((TableCosts[N_Výkon]=$B$50)*(TableCosts[N_Kateg]=$B$52)*(TableCosts[N_Typ]=B66)*(TableCosts[N_Direct]))</f>
        <v>0</v>
      </c>
      <c r="F66" s="25">
        <f t="array" ref="F66">SUM((TableInvs[V_Výkon]=$B$50)*(TableInvs[V_Kateg]=$B$52)*(TableInvs[V_Typ]=B66)*TableInvs[V_Total])</f>
        <v>0</v>
      </c>
      <c r="G66" s="26"/>
      <c r="H66" s="26"/>
      <c r="I66" s="27"/>
    </row>
    <row r="67" spans="2:10" x14ac:dyDescent="0.25">
      <c r="B67" s="23" t="s">
        <v>450</v>
      </c>
      <c r="C67" s="24"/>
      <c r="D67" s="119">
        <f t="array" ref="D67">SUM((TableCosts[N_Výkon]=$B$50)*(TableCosts[N_Kateg]=$B$52)*(TableCosts[N_Typ]=B67)*(TableCosts[N_Amount]))</f>
        <v>0</v>
      </c>
      <c r="E67" s="119">
        <f t="array" ref="E67">SUM((TableCosts[N_Výkon]=$B$50)*(TableCosts[N_Kateg]=$B$52)*(TableCosts[N_Typ]=B67)*(TableCosts[N_Direct]))</f>
        <v>0</v>
      </c>
      <c r="F67" s="25">
        <f t="array" ref="F67">SUM((TableInvs[V_Výkon]=$B$50)*(TableInvs[V_Kateg]=$B$52)*(TableInvs[V_Typ]=B67)*TableInvs[V_Total])</f>
        <v>0</v>
      </c>
      <c r="G67" s="26"/>
      <c r="H67" s="26"/>
      <c r="I67" s="27"/>
    </row>
    <row r="68" spans="2:10" x14ac:dyDescent="0.25">
      <c r="B68" s="23" t="s">
        <v>249</v>
      </c>
      <c r="C68" s="24"/>
      <c r="D68" s="119">
        <f t="array" ref="D68">SUM((TableCosts[N_Výkon]=$B$50)*(TableCosts[N_Kateg]=$B$52)*(TableCosts[N_Typ]=B68)*(TableCosts[N_Amount]))</f>
        <v>0</v>
      </c>
      <c r="E68" s="119">
        <f t="array" ref="E68">SUM((TableCosts[N_Výkon]=$B$50)*(TableCosts[N_Kateg]=$B$52)*(TableCosts[N_Typ]=B68)*(TableCosts[N_Direct]))</f>
        <v>0</v>
      </c>
      <c r="F68" s="25">
        <f t="array" ref="F68">SUM((TableInvs[V_Výkon]=$B$50)*(TableInvs[V_Kateg]=$B$52)*(TableInvs[V_Typ]=B68)*TableInvs[V_Total])</f>
        <v>0</v>
      </c>
      <c r="G68" s="26"/>
      <c r="H68" s="26"/>
      <c r="I68" s="27"/>
    </row>
    <row r="69" spans="2:10" s="22" customFormat="1" ht="15.75" x14ac:dyDescent="0.25">
      <c r="B69" s="17" t="s">
        <v>75</v>
      </c>
      <c r="C69" s="18"/>
      <c r="D69" s="19"/>
      <c r="E69" s="118">
        <f t="array" ref="E69">SUM((TableCosts[N_Výkon]=B50)*(TableCosts[N_Kateg]=B69)*(TableCosts[N_Direct]))</f>
        <v>0</v>
      </c>
      <c r="F69" s="121">
        <f t="array" ref="F69">SUM((TableInvs[V_Výkon]=$B$50)*(TableInvs[V_Kateg]=B69)*TableInvs[V_Total])</f>
        <v>0</v>
      </c>
      <c r="G69" s="114" t="str">
        <f>IF(F69&lt;&gt;0,(F69-E69)/F69,"")</f>
        <v/>
      </c>
      <c r="H69" s="114"/>
      <c r="I69" s="21"/>
    </row>
    <row r="70" spans="2:10" x14ac:dyDescent="0.25">
      <c r="B70" s="23" t="s">
        <v>61</v>
      </c>
      <c r="C70" s="24" t="str">
        <f t="shared" ref="C70:C76" si="7">VLOOKUP(B70,TRAN_STRITEMS_LABEL,4,FALSE)</f>
        <v>EUR</v>
      </c>
      <c r="D70" s="25"/>
      <c r="E70" s="119">
        <f t="array" ref="E70">SUM((TableCosts[N_Výkon]=$B$50)*(TableCosts[N_Kateg]=$B$69)*(TableCosts[N_Typ]=B70)*(TableCosts[N_Direct]))</f>
        <v>0</v>
      </c>
      <c r="F70" s="25">
        <f t="array" ref="F70">SUM((TableInvs[V_Výkon]=$B$50)*(TableInvs[V_Typ]=B70)*(TableInvs[V_Total]))</f>
        <v>0</v>
      </c>
      <c r="G70" s="26"/>
      <c r="H70" s="26"/>
      <c r="I70" s="27"/>
    </row>
    <row r="71" spans="2:10" x14ac:dyDescent="0.25">
      <c r="B71" s="23" t="s">
        <v>62</v>
      </c>
      <c r="C71" s="24" t="str">
        <f t="shared" si="7"/>
        <v>EUR</v>
      </c>
      <c r="D71" s="25"/>
      <c r="E71" s="119">
        <f t="array" ref="E71">SUM((TableCosts[N_Výkon]=$B$50)*(TableCosts[N_Kateg]=$B$69)*(TableCosts[N_Typ]=B71)*(TableCosts[N_Direct]))</f>
        <v>0</v>
      </c>
      <c r="F71" s="25">
        <f t="array" ref="F71">SUM((TableInvs[V_Výkon]=$B$50)*(TableInvs[V_Typ]=B71)*(TableInvs[V_Total]))</f>
        <v>0</v>
      </c>
      <c r="G71" s="26"/>
      <c r="H71" s="26"/>
      <c r="I71" s="27"/>
    </row>
    <row r="72" spans="2:10" x14ac:dyDescent="0.25">
      <c r="B72" s="23" t="s">
        <v>63</v>
      </c>
      <c r="C72" s="24" t="str">
        <f t="shared" si="7"/>
        <v>EUR</v>
      </c>
      <c r="D72" s="25"/>
      <c r="E72" s="119">
        <f t="array" ref="E72">SUM((TableCosts[N_Výkon]=$B$50)*(TableCosts[N_Kateg]=$B$69)*(TableCosts[N_Typ]=B72)*(TableCosts[N_Direct]))</f>
        <v>0</v>
      </c>
      <c r="F72" s="25">
        <f t="array" ref="F72">SUM((TableInvs[V_Výkon]=$B$50)*(TableInvs[V_Typ]=B72)*(TableInvs[V_Total]))</f>
        <v>0</v>
      </c>
      <c r="G72" s="26"/>
      <c r="H72" s="26"/>
      <c r="I72" s="27"/>
    </row>
    <row r="73" spans="2:10" x14ac:dyDescent="0.25">
      <c r="B73" s="23" t="s">
        <v>64</v>
      </c>
      <c r="C73" s="24" t="str">
        <f t="shared" si="7"/>
        <v>EUR</v>
      </c>
      <c r="D73" s="25"/>
      <c r="E73" s="119">
        <f t="array" ref="E73">SUM((TableCosts[N_Výkon]=$B$50)*(TableCosts[N_Kateg]=$B$69)*(TableCosts[N_Typ]=B73)*(TableCosts[N_Direct]))</f>
        <v>0</v>
      </c>
      <c r="F73" s="25">
        <f t="array" ref="F73">SUM((TableInvs[V_Výkon]=$B$50)*(TableInvs[V_Typ]=B73)*(TableInvs[V_Total]))</f>
        <v>0</v>
      </c>
      <c r="G73" s="26"/>
      <c r="H73" s="26"/>
      <c r="I73" s="27"/>
    </row>
    <row r="74" spans="2:10" x14ac:dyDescent="0.25">
      <c r="B74" s="23" t="s">
        <v>81</v>
      </c>
      <c r="C74" s="24" t="str">
        <f t="shared" si="7"/>
        <v>EUR</v>
      </c>
      <c r="D74" s="25"/>
      <c r="E74" s="119">
        <f t="array" ref="E74">SUM((TableCosts[N_Výkon]=$B$50)*(TableCosts[N_Kateg]=$B$69)*(TableCosts[N_Typ]=B74)*(TableCosts[N_Direct]))</f>
        <v>0</v>
      </c>
      <c r="F74" s="25">
        <f t="array" ref="F74">SUM((TableInvs[V_Výkon]=$B$50)*(TableInvs[V_Typ]=B74)*(TableInvs[V_Total]))</f>
        <v>0</v>
      </c>
      <c r="G74" s="26"/>
      <c r="H74" s="26"/>
      <c r="I74" s="27"/>
    </row>
    <row r="75" spans="2:10" x14ac:dyDescent="0.25">
      <c r="B75" s="23" t="s">
        <v>229</v>
      </c>
      <c r="C75" s="24" t="s">
        <v>88</v>
      </c>
      <c r="D75" s="25"/>
      <c r="E75" s="119">
        <f t="array" ref="E75">SUM((TableCosts[N_Výkon]=$B$50)*(TableCosts[N_Kateg]=$B$69)*(TableCosts[N_Typ]=B75)*(TableCosts[N_Direct]))</f>
        <v>0</v>
      </c>
      <c r="F75" s="25">
        <f t="array" ref="F75">SUM((TableInvs[V_Výkon]=$B$50)*(TableInvs[V_Typ]=B75)*(TableInvs[V_Total]))</f>
        <v>0</v>
      </c>
      <c r="G75" s="26"/>
      <c r="H75" s="26"/>
      <c r="I75" s="27"/>
    </row>
    <row r="76" spans="2:10" x14ac:dyDescent="0.25">
      <c r="B76" s="23" t="s">
        <v>136</v>
      </c>
      <c r="C76" s="24" t="str">
        <f t="shared" si="7"/>
        <v>EUR</v>
      </c>
      <c r="D76" s="25"/>
      <c r="E76" s="119">
        <f t="array" ref="E76">SUM((TableCosts[N_Výkon]=$B$50)*(TableCosts[N_Kateg]=$B$69)*(TableCosts[N_Typ]=B76)*(TableCosts[N_Direct]))</f>
        <v>0</v>
      </c>
      <c r="F76" s="25">
        <f t="array" ref="F76">SUM((TableInvs[V_Výkon]=$B$50)*(TableInvs[V_Typ]=B76)*(TableInvs[V_Total]))</f>
        <v>0</v>
      </c>
      <c r="G76" s="26"/>
      <c r="H76" s="26"/>
      <c r="I76" s="27"/>
    </row>
    <row r="77" spans="2:10" s="22" customFormat="1" ht="15.75" x14ac:dyDescent="0.25">
      <c r="B77" s="112" t="s">
        <v>128</v>
      </c>
      <c r="C77" s="112"/>
      <c r="D77" s="112"/>
      <c r="E77" s="117">
        <f t="array" ref="E77">SUM((TableCosts[N_Výkon]=B77)*(TableCosts[N_Kateg]&lt;&gt;$B$7)*(TableCosts[N_Direct]))</f>
        <v>0</v>
      </c>
      <c r="F77" s="117">
        <f t="array" ref="F77">SUM((TableInvs[V_Výkon]=B77)*TableInvs[V_Total])</f>
        <v>0</v>
      </c>
      <c r="G77" s="113" t="str">
        <f>IF(F77&lt;&gt;0,(F77-E77)/F77,"")</f>
        <v/>
      </c>
      <c r="H77" s="113"/>
      <c r="I77" s="112"/>
      <c r="J77" s="9"/>
    </row>
    <row r="78" spans="2:10" s="22" customFormat="1" ht="15.75" x14ac:dyDescent="0.25">
      <c r="B78" s="17" t="s">
        <v>286</v>
      </c>
      <c r="C78" s="100" t="s">
        <v>109</v>
      </c>
      <c r="D78" s="118">
        <f t="array" ref="D78">SUM((TableCosts[N_Výkon]=B77)*(TableCosts[N_Kateg]=B79)*(TableCosts[IsTravelTime]=1)*(TableCosts[N_Amount]))</f>
        <v>0</v>
      </c>
      <c r="E78" s="118">
        <f t="array" ref="E78">SUM((TableCosts[N_Výkon]=B77)*(TableCosts[N_Kateg]=B79)*(TableCosts[IsTravelTime]=1)*(TableCosts[N_Direct]))</f>
        <v>0</v>
      </c>
      <c r="F78" s="121">
        <f t="array" ref="F78">SUM((TableInvs[V_Výkon]=$B$77)*(TableInvs[V_Kateg]=B79)*(TableInvs[IsTravelTime]=1)*TableInvs[V_Total])</f>
        <v>0</v>
      </c>
      <c r="G78" s="114" t="str">
        <f>IF(F78&lt;&gt;0,(F78-E78)/F78,"")</f>
        <v/>
      </c>
      <c r="H78" s="114"/>
      <c r="I78" s="21"/>
      <c r="J78" s="9"/>
    </row>
    <row r="79" spans="2:10" ht="15.75" x14ac:dyDescent="0.25">
      <c r="B79" s="17" t="s">
        <v>74</v>
      </c>
      <c r="C79" s="100" t="s">
        <v>109</v>
      </c>
      <c r="D79" s="118">
        <f t="array" ref="D79">SUM((TableCosts[N_Výkon]=B77)*(TableCosts[N_Kateg]=B79)*(TableCosts[IsTravelTime]=0)*(TableCosts[N_Amount]))</f>
        <v>0</v>
      </c>
      <c r="E79" s="118">
        <f t="array" ref="E79">SUM((TableCosts[N_Výkon]=B77)*(TableCosts[N_Kateg]=B79)*(TableCosts[IsTravelTime]=0)*(TableCosts[N_Direct]))</f>
        <v>0</v>
      </c>
      <c r="F79" s="121">
        <f t="array" ref="F79">SUM((TableInvs[V_Výkon]=$B$77)*(TableInvs[V_Kateg]=B79)*(TableCosts[IsTravelTime]=0)*TableInvs[V_Total])</f>
        <v>0</v>
      </c>
      <c r="G79" s="114" t="str">
        <f>IF(F79&lt;&gt;0,(F79-E79)/F79,"")</f>
        <v/>
      </c>
      <c r="H79" s="196" t="str">
        <f>IF(G79&lt;$I$4,"Nízka fakturácia",IF(AND(G79="",E79&lt;&gt;0),"CHÝBAJÚCA FAKTURÁCIA!",""))</f>
        <v/>
      </c>
      <c r="I79" s="21"/>
    </row>
    <row r="80" spans="2:10" x14ac:dyDescent="0.25">
      <c r="B80" s="23" t="s">
        <v>236</v>
      </c>
      <c r="C80" s="24"/>
      <c r="D80" s="119">
        <f t="array" ref="D80">SUM((TableCosts[N_Výkon]=$B$77)*(TableCosts[N_Kateg]=$B$79)*(TableCosts[N_Typ]=B80)*(TableCosts[N_Amount]))</f>
        <v>0</v>
      </c>
      <c r="E80" s="119">
        <f t="array" ref="E80">SUM((TableCosts[N_Výkon]=$B$77)*(TableCosts[N_Kateg]=$B$79)*(TableCosts[N_Typ]=B80)*(TableCosts[N_Direct]))</f>
        <v>0</v>
      </c>
      <c r="F80" s="119">
        <f t="array" ref="F80">SUM((TableInvs[V_Výkon]=$B$77)*(TableInvs[V_Kateg]=$B$79)*(TableInvs[V_Typ]=B80)*TableInvs[V_Total])</f>
        <v>0</v>
      </c>
      <c r="G80" s="26"/>
      <c r="H80" s="26"/>
      <c r="I80" s="27"/>
    </row>
    <row r="81" spans="2:9" x14ac:dyDescent="0.25">
      <c r="B81" s="23" t="s">
        <v>237</v>
      </c>
      <c r="C81" s="24"/>
      <c r="D81" s="119">
        <f t="array" ref="D81">SUM((TableCosts[N_Výkon]=$B$77)*(TableCosts[N_Kateg]=$B$79)*(TableCosts[N_Typ]=B81)*(TableCosts[N_Amount]))</f>
        <v>0</v>
      </c>
      <c r="E81" s="119">
        <f t="array" ref="E81">SUM((TableCosts[N_Výkon]=$B$77)*(TableCosts[N_Kateg]=$B$79)*(TableCosts[N_Typ]=B81)*(TableCosts[N_Direct]))</f>
        <v>0</v>
      </c>
      <c r="F81" s="25">
        <f t="array" ref="F81">SUM((TableInvs[V_Výkon]=$B$77)*(TableInvs[V_Kateg]=$B$79)*(TableInvs[V_Typ]=B81)*TableInvs[V_Total])</f>
        <v>0</v>
      </c>
      <c r="G81" s="26"/>
      <c r="H81" s="26"/>
      <c r="I81" s="27"/>
    </row>
    <row r="82" spans="2:9" x14ac:dyDescent="0.25">
      <c r="B82" s="23" t="s">
        <v>238</v>
      </c>
      <c r="C82" s="24"/>
      <c r="D82" s="119">
        <f t="array" ref="D82">SUM((TableCosts[N_Výkon]=$B$77)*(TableCosts[N_Kateg]=$B$79)*(TableCosts[N_Typ]=B82)*(TableCosts[N_Amount]))</f>
        <v>0</v>
      </c>
      <c r="E82" s="119">
        <f t="array" ref="E82">SUM((TableCosts[N_Výkon]=$B$77)*(TableCosts[N_Kateg]=$B$79)*(TableCosts[N_Typ]=B82)*(TableCosts[N_Direct]))</f>
        <v>0</v>
      </c>
      <c r="F82" s="25">
        <f t="array" ref="F82">SUM((TableInvs[V_Výkon]=$B$77)*(TableInvs[V_Kateg]=$B$79)*(TableInvs[V_Typ]=B82)*TableInvs[V_Total])</f>
        <v>0</v>
      </c>
      <c r="G82" s="26"/>
      <c r="H82" s="26"/>
      <c r="I82" s="27"/>
    </row>
    <row r="83" spans="2:9" x14ac:dyDescent="0.25">
      <c r="B83" s="23" t="s">
        <v>239</v>
      </c>
      <c r="C83" s="24"/>
      <c r="D83" s="119">
        <f t="array" ref="D83">SUM((TableCosts[N_Výkon]=$B$77)*(TableCosts[N_Kateg]=$B$79)*(TableCosts[N_Typ]=B83)*(TableCosts[N_Amount]))</f>
        <v>0</v>
      </c>
      <c r="E83" s="119">
        <f t="array" ref="E83">SUM((TableCosts[N_Výkon]=$B$77)*(TableCosts[N_Kateg]=$B$79)*(TableCosts[N_Typ]=B83)*(TableCosts[N_Direct]))</f>
        <v>0</v>
      </c>
      <c r="F83" s="25">
        <f t="array" ref="F83">SUM((TableInvs[V_Výkon]=$B$77)*(TableInvs[V_Kateg]=$B$79)*(TableInvs[V_Typ]=B83)*TableInvs[V_Total])</f>
        <v>0</v>
      </c>
      <c r="G83" s="26"/>
      <c r="H83" s="26"/>
      <c r="I83" s="27"/>
    </row>
    <row r="84" spans="2:9" x14ac:dyDescent="0.25">
      <c r="B84" s="23" t="s">
        <v>240</v>
      </c>
      <c r="C84" s="24"/>
      <c r="D84" s="119">
        <f t="array" ref="D84">SUM((TableCosts[N_Výkon]=$B$77)*(TableCosts[N_Kateg]=$B$79)*(TableCosts[N_Typ]=B84)*(TableCosts[N_Amount]))</f>
        <v>0</v>
      </c>
      <c r="E84" s="119">
        <f t="array" ref="E84">SUM((TableCosts[N_Výkon]=$B$77)*(TableCosts[N_Kateg]=$B$79)*(TableCosts[N_Typ]=B84)*(TableCosts[N_Direct]))</f>
        <v>0</v>
      </c>
      <c r="F84" s="25">
        <f t="array" ref="F84">SUM((TableInvs[V_Výkon]=$B$77)*(TableInvs[V_Kateg]=$B$79)*(TableInvs[V_Typ]=B84)*TableInvs[V_Total])</f>
        <v>0</v>
      </c>
      <c r="G84" s="26"/>
      <c r="H84" s="26"/>
      <c r="I84" s="27"/>
    </row>
    <row r="85" spans="2:9" x14ac:dyDescent="0.25">
      <c r="B85" s="23" t="s">
        <v>241</v>
      </c>
      <c r="C85" s="24"/>
      <c r="D85" s="119">
        <f t="array" ref="D85">SUM((TableCosts[N_Výkon]=$B$77)*(TableCosts[N_Kateg]=$B$79)*(TableCosts[N_Typ]=B85)*(TableCosts[N_Amount]))</f>
        <v>0</v>
      </c>
      <c r="E85" s="119">
        <f t="array" ref="E85">SUM((TableCosts[N_Výkon]=$B$77)*(TableCosts[N_Kateg]=$B$79)*(TableCosts[N_Typ]=B85)*(TableCosts[N_Direct]))</f>
        <v>0</v>
      </c>
      <c r="F85" s="25">
        <f t="array" ref="F85">SUM((TableInvs[V_Výkon]=$B$77)*(TableInvs[V_Kateg]=$B$79)*(TableInvs[V_Typ]=B85)*TableInvs[V_Total])</f>
        <v>0</v>
      </c>
      <c r="G85" s="26"/>
      <c r="H85" s="26"/>
      <c r="I85" s="27"/>
    </row>
    <row r="86" spans="2:9" x14ac:dyDescent="0.25">
      <c r="B86" s="23" t="s">
        <v>242</v>
      </c>
      <c r="C86" s="24"/>
      <c r="D86" s="119">
        <f t="array" ref="D86">SUM((TableCosts[N_Výkon]=$B$77)*(TableCosts[N_Kateg]=$B$79)*(TableCosts[N_Typ]=B86)*(TableCosts[N_Amount]))</f>
        <v>0</v>
      </c>
      <c r="E86" s="119">
        <f t="array" ref="E86">SUM((TableCosts[N_Výkon]=$B$77)*(TableCosts[N_Kateg]=$B$79)*(TableCosts[N_Typ]=B86)*(TableCosts[N_Direct]))</f>
        <v>0</v>
      </c>
      <c r="F86" s="25">
        <f t="array" ref="F86">SUM((TableInvs[V_Výkon]=$B$77)*(TableInvs[V_Kateg]=$B$79)*(TableInvs[V_Typ]=B86)*TableInvs[V_Total])</f>
        <v>0</v>
      </c>
      <c r="G86" s="26"/>
      <c r="H86" s="26"/>
      <c r="I86" s="27"/>
    </row>
    <row r="87" spans="2:9" x14ac:dyDescent="0.25">
      <c r="B87" s="23" t="s">
        <v>243</v>
      </c>
      <c r="C87" s="24"/>
      <c r="D87" s="119">
        <f t="array" ref="D87">SUM((TableCosts[N_Výkon]=$B$77)*(TableCosts[N_Kateg]=$B$79)*(TableCosts[N_Typ]=B87)*(TableCosts[N_Amount]))</f>
        <v>0</v>
      </c>
      <c r="E87" s="119">
        <f t="array" ref="E87">SUM((TableCosts[N_Výkon]=$B$77)*(TableCosts[N_Kateg]=$B$79)*(TableCosts[N_Typ]=B87)*(TableCosts[N_Direct]))</f>
        <v>0</v>
      </c>
      <c r="F87" s="25">
        <f t="array" ref="F87">SUM((TableInvs[V_Výkon]=$B$77)*(TableInvs[V_Kateg]=$B$79)*(TableInvs[V_Typ]=B87)*TableInvs[V_Total])</f>
        <v>0</v>
      </c>
      <c r="G87" s="26"/>
      <c r="H87" s="26"/>
      <c r="I87" s="27"/>
    </row>
    <row r="88" spans="2:9" x14ac:dyDescent="0.25">
      <c r="B88" s="23" t="s">
        <v>244</v>
      </c>
      <c r="C88" s="24"/>
      <c r="D88" s="119">
        <f t="array" ref="D88">SUM((TableCosts[N_Výkon]=$B$77)*(TableCosts[N_Kateg]=$B$79)*(TableCosts[N_Typ]=B88)*(TableCosts[N_Amount]))</f>
        <v>0</v>
      </c>
      <c r="E88" s="119">
        <f t="array" ref="E88">SUM((TableCosts[N_Výkon]=$B$77)*(TableCosts[N_Kateg]=$B$79)*(TableCosts[N_Typ]=B88)*(TableCosts[N_Direct]))</f>
        <v>0</v>
      </c>
      <c r="F88" s="25">
        <f t="array" ref="F88">SUM((TableInvs[V_Výkon]=$B$77)*(TableInvs[V_Kateg]=$B$79)*(TableInvs[V_Typ]=B88)*TableInvs[V_Total])</f>
        <v>0</v>
      </c>
      <c r="G88" s="26"/>
      <c r="H88" s="26"/>
      <c r="I88" s="27"/>
    </row>
    <row r="89" spans="2:9" x14ac:dyDescent="0.25">
      <c r="B89" s="23" t="s">
        <v>245</v>
      </c>
      <c r="C89" s="24"/>
      <c r="D89" s="119">
        <f t="array" ref="D89">SUM((TableCosts[N_Výkon]=$B$77)*(TableCosts[N_Kateg]=$B$79)*(TableCosts[N_Typ]=B89)*(TableCosts[N_Amount]))</f>
        <v>0</v>
      </c>
      <c r="E89" s="119">
        <f t="array" ref="E89">SUM((TableCosts[N_Výkon]=$B$77)*(TableCosts[N_Kateg]=$B$79)*(TableCosts[N_Typ]=B89)*(TableCosts[N_Direct]))</f>
        <v>0</v>
      </c>
      <c r="F89" s="25">
        <f t="array" ref="F89">SUM((TableInvs[V_Výkon]=$B$77)*(TableInvs[V_Kateg]=$B$79)*(TableInvs[V_Typ]=B89)*TableInvs[V_Total])</f>
        <v>0</v>
      </c>
      <c r="G89" s="26"/>
      <c r="H89" s="26"/>
      <c r="I89" s="27"/>
    </row>
    <row r="90" spans="2:9" x14ac:dyDescent="0.25">
      <c r="B90" s="23" t="s">
        <v>246</v>
      </c>
      <c r="C90" s="24"/>
      <c r="D90" s="119">
        <f t="array" ref="D90">SUM((TableCosts[N_Výkon]=$B$77)*(TableCosts[N_Kateg]=$B$79)*(TableCosts[N_Typ]=B90)*(TableCosts[N_Amount]))</f>
        <v>0</v>
      </c>
      <c r="E90" s="119">
        <f t="array" ref="E90">SUM((TableCosts[N_Výkon]=$B$77)*(TableCosts[N_Kateg]=$B$79)*(TableCosts[N_Typ]=B90)*(TableCosts[N_Direct]))</f>
        <v>0</v>
      </c>
      <c r="F90" s="25">
        <f t="array" ref="F90">SUM((TableInvs[V_Výkon]=$B$77)*(TableInvs[V_Kateg]=$B$79)*(TableInvs[V_Typ]=B90)*TableInvs[V_Total])</f>
        <v>0</v>
      </c>
      <c r="G90" s="26"/>
      <c r="H90" s="26"/>
      <c r="I90" s="27"/>
    </row>
    <row r="91" spans="2:9" x14ac:dyDescent="0.25">
      <c r="B91" s="23" t="s">
        <v>247</v>
      </c>
      <c r="C91" s="24"/>
      <c r="D91" s="119">
        <f t="array" ref="D91">SUM((TableCosts[N_Výkon]=$B$77)*(TableCosts[N_Kateg]=$B$79)*(TableCosts[N_Typ]=B91)*(TableCosts[N_Amount]))</f>
        <v>0</v>
      </c>
      <c r="E91" s="119">
        <f t="array" ref="E91">SUM((TableCosts[N_Výkon]=$B$77)*(TableCosts[N_Kateg]=$B$79)*(TableCosts[N_Typ]=B91)*(TableCosts[N_Direct]))</f>
        <v>0</v>
      </c>
      <c r="F91" s="25">
        <f t="array" ref="F91">SUM((TableInvs[V_Výkon]=$B$77)*(TableInvs[V_Kateg]=$B$79)*(TableInvs[V_Typ]=B91)*TableInvs[V_Total])</f>
        <v>0</v>
      </c>
      <c r="G91" s="26"/>
      <c r="H91" s="26"/>
      <c r="I91" s="27"/>
    </row>
    <row r="92" spans="2:9" x14ac:dyDescent="0.25">
      <c r="B92" s="23" t="s">
        <v>248</v>
      </c>
      <c r="C92" s="24"/>
      <c r="D92" s="119">
        <f t="array" ref="D92">SUM((TableCosts[N_Výkon]=$B$77)*(TableCosts[N_Kateg]=$B$79)*(TableCosts[N_Typ]=B92)*(TableCosts[N_Amount]))</f>
        <v>0</v>
      </c>
      <c r="E92" s="119">
        <f t="array" ref="E92">SUM((TableCosts[N_Výkon]=$B$77)*(TableCosts[N_Kateg]=$B$79)*(TableCosts[N_Typ]=B92)*(TableCosts[N_Direct]))</f>
        <v>0</v>
      </c>
      <c r="F92" s="25">
        <f t="array" ref="F92">SUM((TableInvs[V_Výkon]=$B$77)*(TableInvs[V_Kateg]=$B$79)*(TableInvs[V_Typ]=B92)*TableInvs[V_Total])</f>
        <v>0</v>
      </c>
      <c r="G92" s="26"/>
      <c r="H92" s="26"/>
      <c r="I92" s="27"/>
    </row>
    <row r="93" spans="2:9" x14ac:dyDescent="0.25">
      <c r="B93" s="23" t="s">
        <v>431</v>
      </c>
      <c r="C93" s="24"/>
      <c r="D93" s="119">
        <f t="array" ref="D93">SUM((TableCosts[N_Výkon]=$B$77)*(TableCosts[N_Kateg]=$B$79)*(TableCosts[N_Typ]=B93)*(TableCosts[N_Amount]))</f>
        <v>0</v>
      </c>
      <c r="E93" s="119">
        <f t="array" ref="E93">SUM((TableCosts[N_Výkon]=$B$77)*(TableCosts[N_Kateg]=$B$79)*(TableCosts[N_Typ]=B93)*(TableCosts[N_Direct]))</f>
        <v>0</v>
      </c>
      <c r="F93" s="25">
        <f t="array" ref="F93">SUM((TableInvs[V_Výkon]=$B$77)*(TableInvs[V_Kateg]=$B$79)*(TableInvs[V_Typ]=B93)*TableInvs[V_Total])</f>
        <v>0</v>
      </c>
      <c r="G93" s="26"/>
      <c r="H93" s="26"/>
      <c r="I93" s="27"/>
    </row>
    <row r="94" spans="2:9" x14ac:dyDescent="0.25">
      <c r="B94" s="23" t="s">
        <v>450</v>
      </c>
      <c r="C94" s="24"/>
      <c r="D94" s="119">
        <f t="array" ref="D94">SUM((TableCosts[N_Výkon]=$B$77)*(TableCosts[N_Kateg]=$B$79)*(TableCosts[N_Typ]=B94)*(TableCosts[N_Amount]))</f>
        <v>0</v>
      </c>
      <c r="E94" s="119">
        <f t="array" ref="E94">SUM((TableCosts[N_Výkon]=$B$77)*(TableCosts[N_Kateg]=$B$79)*(TableCosts[N_Typ]=B94)*(TableCosts[N_Direct]))</f>
        <v>0</v>
      </c>
      <c r="F94" s="25">
        <f t="array" ref="F94">SUM((TableInvs[V_Výkon]=$B$77)*(TableInvs[V_Kateg]=$B$79)*(TableInvs[V_Typ]=B94)*TableInvs[V_Total])</f>
        <v>0</v>
      </c>
      <c r="G94" s="26"/>
      <c r="H94" s="26"/>
      <c r="I94" s="27"/>
    </row>
    <row r="95" spans="2:9" x14ac:dyDescent="0.25">
      <c r="B95" s="23" t="s">
        <v>249</v>
      </c>
      <c r="C95" s="24"/>
      <c r="D95" s="119">
        <f t="array" ref="D95">SUM((TableCosts[N_Výkon]=$B$77)*(TableCosts[N_Kateg]=$B$79)*(TableCosts[N_Typ]=B95)*(TableCosts[N_Amount]))</f>
        <v>0</v>
      </c>
      <c r="E95" s="119">
        <f t="array" ref="E95">SUM((TableCosts[N_Výkon]=$B$77)*(TableCosts[N_Kateg]=$B$79)*(TableCosts[N_Typ]=B95)*(TableCosts[N_Direct]))</f>
        <v>0</v>
      </c>
      <c r="F95" s="25">
        <f t="array" ref="F95">SUM((TableInvs[V_Výkon]=$B$77)*(TableInvs[V_Kateg]=$B$79)*(TableInvs[V_Typ]=B95)*TableInvs[V_Total])</f>
        <v>0</v>
      </c>
      <c r="G95" s="26"/>
      <c r="H95" s="26"/>
      <c r="I95" s="27"/>
    </row>
    <row r="96" spans="2:9" s="22" customFormat="1" ht="15.75" x14ac:dyDescent="0.25">
      <c r="B96" s="17" t="s">
        <v>75</v>
      </c>
      <c r="C96" s="18"/>
      <c r="D96" s="19"/>
      <c r="E96" s="118">
        <f t="array" ref="E96">SUM((TableCosts[N_Výkon]=B77)*(TableCosts[N_Kateg]=B96)*(TableCosts[N_Direct]))</f>
        <v>0</v>
      </c>
      <c r="F96" s="20">
        <f t="array" ref="F96">SUM((TableInvs[V_Výkon]="realizácia")*(TableInvs[V_Kateg]=B96)*(TableInvs[V_Total]))</f>
        <v>0</v>
      </c>
      <c r="G96" s="114" t="str">
        <f>IF(F96&lt;&gt;0,(F96-E96)/F96,"")</f>
        <v/>
      </c>
      <c r="H96" s="114"/>
      <c r="I96" s="21"/>
    </row>
    <row r="97" spans="2:9" x14ac:dyDescent="0.25">
      <c r="B97" s="23" t="s">
        <v>61</v>
      </c>
      <c r="C97" s="24" t="str">
        <f t="shared" ref="C97:C103" si="8">VLOOKUP(B97,TRAN_STRITEMS_LABEL,4,FALSE)</f>
        <v>EUR</v>
      </c>
      <c r="D97" s="25"/>
      <c r="E97" s="119">
        <f t="array" ref="E97">SUM((TableCosts[N_Výkon]=$B$77)*(TableCosts[N_Kateg]=$B$96)*(TableCosts[N_Typ]=B97)*(TableCosts[N_Direct]))</f>
        <v>0</v>
      </c>
      <c r="F97" s="25">
        <f t="array" ref="F97">SUM((TableInvs[V_Výkon]=$B$77)*(TableInvs[V_Typ]=B97)*(TableInvs[V_Total]))</f>
        <v>0</v>
      </c>
      <c r="G97" s="26"/>
      <c r="H97" s="26"/>
      <c r="I97" s="27"/>
    </row>
    <row r="98" spans="2:9" x14ac:dyDescent="0.25">
      <c r="B98" s="23" t="s">
        <v>62</v>
      </c>
      <c r="C98" s="24" t="str">
        <f t="shared" si="8"/>
        <v>EUR</v>
      </c>
      <c r="D98" s="25"/>
      <c r="E98" s="119">
        <f t="array" ref="E98">SUM((TableCosts[N_Výkon]=$B$77)*(TableCosts[N_Kateg]=$B$96)*(TableCosts[N_Typ]=B98)*(TableCosts[N_Direct]))</f>
        <v>0</v>
      </c>
      <c r="F98" s="25">
        <f t="array" ref="F98">SUM((TableInvs[V_Výkon]=$B$77)*(TableInvs[V_Typ]=B98)*(TableInvs[V_Total]))</f>
        <v>0</v>
      </c>
      <c r="G98" s="26"/>
      <c r="H98" s="26"/>
      <c r="I98" s="27"/>
    </row>
    <row r="99" spans="2:9" x14ac:dyDescent="0.25">
      <c r="B99" s="23" t="s">
        <v>63</v>
      </c>
      <c r="C99" s="24" t="str">
        <f t="shared" si="8"/>
        <v>EUR</v>
      </c>
      <c r="D99" s="25"/>
      <c r="E99" s="119">
        <f t="array" ref="E99">SUM((TableCosts[N_Výkon]=$B$77)*(TableCosts[N_Kateg]=$B$96)*(TableCosts[N_Typ]=B99)*(TableCosts[N_Direct]))</f>
        <v>0</v>
      </c>
      <c r="F99" s="25">
        <f t="array" ref="F99">SUM((TableInvs[V_Výkon]=$B$77)*(TableInvs[V_Typ]=B99)*(TableInvs[V_Total]))</f>
        <v>0</v>
      </c>
      <c r="G99" s="26"/>
      <c r="H99" s="26"/>
      <c r="I99" s="27"/>
    </row>
    <row r="100" spans="2:9" x14ac:dyDescent="0.25">
      <c r="B100" s="23" t="s">
        <v>64</v>
      </c>
      <c r="C100" s="24" t="str">
        <f t="shared" si="8"/>
        <v>EUR</v>
      </c>
      <c r="D100" s="25"/>
      <c r="E100" s="119">
        <f t="array" ref="E100">SUM((TableCosts[N_Výkon]=$B$77)*(TableCosts[N_Kateg]=$B$96)*(TableCosts[N_Typ]=B100)*(TableCosts[N_Direct]))</f>
        <v>0</v>
      </c>
      <c r="F100" s="25">
        <f t="array" ref="F100">SUM((TableInvs[V_Výkon]=$B$77)*(TableInvs[V_Typ]=B100)*(TableInvs[V_Total]))</f>
        <v>0</v>
      </c>
      <c r="G100" s="26"/>
      <c r="H100" s="26"/>
      <c r="I100" s="27"/>
    </row>
    <row r="101" spans="2:9" x14ac:dyDescent="0.25">
      <c r="B101" s="23" t="s">
        <v>81</v>
      </c>
      <c r="C101" s="24" t="str">
        <f t="shared" si="8"/>
        <v>EUR</v>
      </c>
      <c r="D101" s="25"/>
      <c r="E101" s="119">
        <f t="array" ref="E101">SUM((TableCosts[N_Výkon]=$B$77)*(TableCosts[N_Kateg]=$B$96)*(TableCosts[N_Typ]=B101)*(TableCosts[N_Direct]))</f>
        <v>0</v>
      </c>
      <c r="F101" s="25">
        <f t="array" ref="F101">SUM((TableInvs[V_Výkon]=$B$77)*(TableInvs[V_Typ]=B101)*(TableInvs[V_Total]))</f>
        <v>0</v>
      </c>
      <c r="G101" s="26"/>
      <c r="H101" s="26"/>
      <c r="I101" s="27"/>
    </row>
    <row r="102" spans="2:9" x14ac:dyDescent="0.25">
      <c r="B102" s="23" t="s">
        <v>229</v>
      </c>
      <c r="C102" s="24" t="s">
        <v>88</v>
      </c>
      <c r="D102" s="25"/>
      <c r="E102" s="119">
        <f t="array" ref="E102">SUM((TableCosts[N_Výkon]=$B$77)*(TableCosts[N_Kateg]=$B$96)*(TableCosts[N_Typ]=B102)*(TableCosts[N_Direct]))</f>
        <v>0</v>
      </c>
      <c r="F102" s="25">
        <f t="array" ref="F102">SUM((TableInvs[V_Výkon]=$B$77)*(TableInvs[V_Typ]=B102)*(TableInvs[V_Total]))</f>
        <v>0</v>
      </c>
      <c r="G102" s="26"/>
      <c r="H102" s="26"/>
      <c r="I102" s="27"/>
    </row>
    <row r="103" spans="2:9" x14ac:dyDescent="0.25">
      <c r="B103" s="23" t="s">
        <v>136</v>
      </c>
      <c r="C103" s="24" t="str">
        <f t="shared" si="8"/>
        <v>EUR</v>
      </c>
      <c r="D103" s="25"/>
      <c r="E103" s="119">
        <f t="array" ref="E103">SUM((TableCosts[N_Výkon]=$B$77)*(TableCosts[N_Kateg]=$B$96)*(TableCosts[N_Typ]=B103)*(TableCosts[N_Direct]))</f>
        <v>0</v>
      </c>
      <c r="F103" s="25">
        <f t="array" ref="F103">SUM((TableInvs[V_Výkon]=$B$77)*(TableInvs[V_Typ]=B103)*(TableInvs[V_Total]))</f>
        <v>0</v>
      </c>
      <c r="G103" s="26"/>
      <c r="H103" s="26"/>
      <c r="I103" s="27"/>
    </row>
    <row r="104" spans="2:9" ht="15.75" x14ac:dyDescent="0.25">
      <c r="B104" s="112" t="s">
        <v>285</v>
      </c>
      <c r="C104" s="112"/>
      <c r="D104" s="112"/>
      <c r="E104" s="117">
        <f t="array" ref="E104">SUM((TableCosts[N_Výkon]=B104)*(TableCosts[N_Kateg]&lt;&gt;$B$7)*(TableCosts[N_Direct]))</f>
        <v>0</v>
      </c>
      <c r="F104" s="117">
        <f t="array" ref="F104">SUM((TableInvs[V_Výkon]=B104)*TableInvs[V_Total])</f>
        <v>0</v>
      </c>
      <c r="G104" s="113" t="str">
        <f>IF(F104&lt;&gt;0,(F104-E104)/F104,"")</f>
        <v/>
      </c>
      <c r="H104" s="113"/>
      <c r="I104" s="112"/>
    </row>
    <row r="105" spans="2:9" ht="15.75" x14ac:dyDescent="0.25">
      <c r="B105" s="17" t="s">
        <v>286</v>
      </c>
      <c r="C105" s="100" t="s">
        <v>109</v>
      </c>
      <c r="D105" s="118">
        <f t="array" ref="D105">SUM((TableCosts[N_Výkon]=B104)*(TableCosts[N_Kateg]=B106)*(TableCosts[IsTravelTime]=1)*(TableCosts[N_Amount]))</f>
        <v>0</v>
      </c>
      <c r="E105" s="118">
        <f t="array" ref="E105">SUM((TableCosts[N_Výkon]=B104)*(TableCosts[N_Kateg]=B106)*(TableCosts[IsTravelTime]=1)*(TableCosts[N_Direct]))</f>
        <v>0</v>
      </c>
      <c r="F105" s="121">
        <f t="array" ref="F105">SUM((TableInvs[V_Výkon]=$B$105)*(TableInvs[V_Kateg]=B106)*(TableInvs[IsTravelTime]=1)*TableInvs[V_Total])</f>
        <v>0</v>
      </c>
      <c r="G105" s="114" t="str">
        <f>IF(F105&lt;&gt;0,(F105-E105)/F105,"")</f>
        <v/>
      </c>
      <c r="H105" s="114"/>
      <c r="I105" s="21"/>
    </row>
    <row r="106" spans="2:9" ht="15.75" x14ac:dyDescent="0.25">
      <c r="B106" s="17" t="s">
        <v>74</v>
      </c>
      <c r="C106" s="100" t="s">
        <v>109</v>
      </c>
      <c r="D106" s="118">
        <f t="array" ref="D106">SUM((TableCosts[N_Výkon]=B104)*(TableCosts[N_Kateg]=B106)*(TableCosts[IsTravelTime]=0)*(TableCosts[N_Amount]))</f>
        <v>0</v>
      </c>
      <c r="E106" s="118">
        <f t="array" ref="E106">SUM((TableCosts[N_Výkon]=B104)*(TableCosts[N_Kateg]=B106)*(TableCosts[IsTravelTime]=0)*(TableCosts[N_Direct]))</f>
        <v>0</v>
      </c>
      <c r="F106" s="121">
        <f t="array" ref="F106">SUM((TableInvs[V_Výkon]=$B$104)*(TableInvs[V_Kateg]=B106)*(TableCosts[IsTravelTime]=0)*TableInvs[V_Total])</f>
        <v>0</v>
      </c>
      <c r="G106" s="114" t="str">
        <f>IF(F106&lt;&gt;0,(F106-E106)/F106,"")</f>
        <v/>
      </c>
      <c r="H106" s="196" t="str">
        <f>IF(G106&lt;$I$4,"Nízka fakturácia",IF(AND(G106="",E106&lt;&gt;0),"CHÝBAJÚCA FAKTURÁCIA!",""))</f>
        <v/>
      </c>
      <c r="I106" s="21"/>
    </row>
    <row r="107" spans="2:9" x14ac:dyDescent="0.25">
      <c r="B107" s="23" t="s">
        <v>236</v>
      </c>
      <c r="C107" s="24"/>
      <c r="D107" s="119">
        <f t="array" ref="D107">SUM((TableCosts[N_Výkon]=$B$104)*(TableCosts[N_Kateg]=$B$106)*(TableCosts[N_Typ]=B107)*(TableCosts[N_Amount]))</f>
        <v>0</v>
      </c>
      <c r="E107" s="119">
        <f t="array" ref="E107">SUM((TableCosts[N_Výkon]=$B$104)*(TableCosts[N_Kateg]=$B$106)*(TableCosts[N_Typ]=B107)*(TableCosts[N_Direct]))</f>
        <v>0</v>
      </c>
      <c r="F107" s="119">
        <f t="array" ref="F107">SUM((TableInvs[V_Výkon]=$B$104)*(TableInvs[V_Kateg]=$B$106)*(TableInvs[V_Typ]=B107)*TableInvs[V_Total])</f>
        <v>0</v>
      </c>
      <c r="G107" s="26"/>
      <c r="H107" s="26"/>
      <c r="I107" s="27"/>
    </row>
    <row r="108" spans="2:9" x14ac:dyDescent="0.25">
      <c r="B108" s="23" t="s">
        <v>237</v>
      </c>
      <c r="C108" s="24"/>
      <c r="D108" s="119">
        <f t="array" ref="D108">SUM((TableCosts[N_Výkon]=$B$104)*(TableCosts[N_Kateg]=$B$106)*(TableCosts[N_Typ]=B108)*(TableCosts[N_Amount]))</f>
        <v>0</v>
      </c>
      <c r="E108" s="119">
        <f t="array" ref="E108">SUM((TableCosts[N_Výkon]=$B$104)*(TableCosts[N_Kateg]=$B$106)*(TableCosts[N_Typ]=B108)*(TableCosts[N_Direct]))</f>
        <v>0</v>
      </c>
      <c r="F108" s="25">
        <f t="array" ref="F108">SUM((TableInvs[V_Výkon]=$B$104)*(TableInvs[V_Kateg]=$B$106)*(TableInvs[V_Typ]=B108)*TableInvs[V_Total])</f>
        <v>0</v>
      </c>
      <c r="G108" s="26"/>
      <c r="H108" s="26"/>
      <c r="I108" s="27"/>
    </row>
    <row r="109" spans="2:9" x14ac:dyDescent="0.25">
      <c r="B109" s="23" t="s">
        <v>238</v>
      </c>
      <c r="C109" s="24"/>
      <c r="D109" s="119">
        <f t="array" ref="D109">SUM((TableCosts[N_Výkon]=$B$104)*(TableCosts[N_Kateg]=$B$106)*(TableCosts[N_Typ]=B109)*(TableCosts[N_Amount]))</f>
        <v>0</v>
      </c>
      <c r="E109" s="119">
        <f t="array" ref="E109">SUM((TableCosts[N_Výkon]=$B$104)*(TableCosts[N_Kateg]=$B$106)*(TableCosts[N_Typ]=B109)*(TableCosts[N_Direct]))</f>
        <v>0</v>
      </c>
      <c r="F109" s="25">
        <f t="array" ref="F109">SUM((TableInvs[V_Výkon]=$B$104)*(TableInvs[V_Kateg]=$B$106)*(TableInvs[V_Typ]=B109)*TableInvs[V_Total])</f>
        <v>0</v>
      </c>
      <c r="G109" s="26"/>
      <c r="H109" s="26"/>
      <c r="I109" s="27"/>
    </row>
    <row r="110" spans="2:9" x14ac:dyDescent="0.25">
      <c r="B110" s="23" t="s">
        <v>239</v>
      </c>
      <c r="C110" s="24"/>
      <c r="D110" s="119">
        <f t="array" ref="D110">SUM((TableCosts[N_Výkon]=$B$104)*(TableCosts[N_Kateg]=$B$106)*(TableCosts[N_Typ]=B110)*(TableCosts[N_Amount]))</f>
        <v>0</v>
      </c>
      <c r="E110" s="119">
        <f t="array" ref="E110">SUM((TableCosts[N_Výkon]=$B$104)*(TableCosts[N_Kateg]=$B$106)*(TableCosts[N_Typ]=B110)*(TableCosts[N_Direct]))</f>
        <v>0</v>
      </c>
      <c r="F110" s="25">
        <f t="array" ref="F110">SUM((TableInvs[V_Výkon]=$B$104)*(TableInvs[V_Kateg]=$B$106)*(TableInvs[V_Typ]=B110)*TableInvs[V_Total])</f>
        <v>0</v>
      </c>
      <c r="G110" s="26"/>
      <c r="H110" s="26"/>
      <c r="I110" s="27"/>
    </row>
    <row r="111" spans="2:9" x14ac:dyDescent="0.25">
      <c r="B111" s="23" t="s">
        <v>240</v>
      </c>
      <c r="C111" s="24"/>
      <c r="D111" s="119">
        <f t="array" ref="D111">SUM((TableCosts[N_Výkon]=$B$104)*(TableCosts[N_Kateg]=$B$106)*(TableCosts[N_Typ]=B111)*(TableCosts[N_Amount]))</f>
        <v>0</v>
      </c>
      <c r="E111" s="119">
        <f t="array" ref="E111">SUM((TableCosts[N_Výkon]=$B$104)*(TableCosts[N_Kateg]=$B$106)*(TableCosts[N_Typ]=B111)*(TableCosts[N_Direct]))</f>
        <v>0</v>
      </c>
      <c r="F111" s="25">
        <f t="array" ref="F111">SUM((TableInvs[V_Výkon]=$B$104)*(TableInvs[V_Kateg]=$B$106)*(TableInvs[V_Typ]=B111)*TableInvs[V_Total])</f>
        <v>0</v>
      </c>
      <c r="G111" s="26"/>
      <c r="H111" s="26"/>
      <c r="I111" s="27"/>
    </row>
    <row r="112" spans="2:9" x14ac:dyDescent="0.25">
      <c r="B112" s="23" t="s">
        <v>241</v>
      </c>
      <c r="C112" s="24"/>
      <c r="D112" s="119">
        <f t="array" ref="D112">SUM((TableCosts[N_Výkon]=$B$104)*(TableCosts[N_Kateg]=$B$106)*(TableCosts[N_Typ]=B112)*(TableCosts[N_Amount]))</f>
        <v>0</v>
      </c>
      <c r="E112" s="119">
        <f t="array" ref="E112">SUM((TableCosts[N_Výkon]=$B$104)*(TableCosts[N_Kateg]=$B$106)*(TableCosts[N_Typ]=B112)*(TableCosts[N_Direct]))</f>
        <v>0</v>
      </c>
      <c r="F112" s="25">
        <f t="array" ref="F112">SUM((TableInvs[V_Výkon]=$B$104)*(TableInvs[V_Kateg]=$B$106)*(TableInvs[V_Typ]=B112)*TableInvs[V_Total])</f>
        <v>0</v>
      </c>
      <c r="G112" s="26"/>
      <c r="H112" s="26"/>
      <c r="I112" s="27"/>
    </row>
    <row r="113" spans="2:9" x14ac:dyDescent="0.25">
      <c r="B113" s="23" t="s">
        <v>242</v>
      </c>
      <c r="C113" s="24"/>
      <c r="D113" s="119">
        <f t="array" ref="D113">SUM((TableCosts[N_Výkon]=$B$104)*(TableCosts[N_Kateg]=$B$106)*(TableCosts[N_Typ]=B113)*(TableCosts[N_Amount]))</f>
        <v>0</v>
      </c>
      <c r="E113" s="119">
        <f t="array" ref="E113">SUM((TableCosts[N_Výkon]=$B$104)*(TableCosts[N_Kateg]=$B$106)*(TableCosts[N_Typ]=B113)*(TableCosts[N_Direct]))</f>
        <v>0</v>
      </c>
      <c r="F113" s="25">
        <f t="array" ref="F113">SUM((TableInvs[V_Výkon]=$B$104)*(TableInvs[V_Kateg]=$B$106)*(TableInvs[V_Typ]=B113)*TableInvs[V_Total])</f>
        <v>0</v>
      </c>
      <c r="G113" s="26"/>
      <c r="H113" s="26"/>
      <c r="I113" s="27"/>
    </row>
    <row r="114" spans="2:9" x14ac:dyDescent="0.25">
      <c r="B114" s="23" t="s">
        <v>243</v>
      </c>
      <c r="C114" s="24"/>
      <c r="D114" s="119">
        <f t="array" ref="D114">SUM((TableCosts[N_Výkon]=$B$104)*(TableCosts[N_Kateg]=$B$106)*(TableCosts[N_Typ]=B114)*(TableCosts[N_Amount]))</f>
        <v>0</v>
      </c>
      <c r="E114" s="119">
        <f t="array" ref="E114">SUM((TableCosts[N_Výkon]=$B$104)*(TableCosts[N_Kateg]=$B$106)*(TableCosts[N_Typ]=B114)*(TableCosts[N_Direct]))</f>
        <v>0</v>
      </c>
      <c r="F114" s="25">
        <f t="array" ref="F114">SUM((TableInvs[V_Výkon]=$B$104)*(TableInvs[V_Kateg]=$B$106)*(TableInvs[V_Typ]=B114)*TableInvs[V_Total])</f>
        <v>0</v>
      </c>
      <c r="G114" s="26"/>
      <c r="H114" s="26"/>
      <c r="I114" s="27"/>
    </row>
    <row r="115" spans="2:9" x14ac:dyDescent="0.25">
      <c r="B115" s="23" t="s">
        <v>244</v>
      </c>
      <c r="C115" s="24"/>
      <c r="D115" s="119">
        <f t="array" ref="D115">SUM((TableCosts[N_Výkon]=$B$104)*(TableCosts[N_Kateg]=$B$106)*(TableCosts[N_Typ]=B115)*(TableCosts[N_Amount]))</f>
        <v>0</v>
      </c>
      <c r="E115" s="119">
        <f t="array" ref="E115">SUM((TableCosts[N_Výkon]=$B$104)*(TableCosts[N_Kateg]=$B$106)*(TableCosts[N_Typ]=B115)*(TableCosts[N_Direct]))</f>
        <v>0</v>
      </c>
      <c r="F115" s="25">
        <f t="array" ref="F115">SUM((TableInvs[V_Výkon]=$B$104)*(TableInvs[V_Kateg]=$B$106)*(TableInvs[V_Typ]=B115)*TableInvs[V_Total])</f>
        <v>0</v>
      </c>
      <c r="G115" s="26"/>
      <c r="H115" s="26"/>
      <c r="I115" s="27"/>
    </row>
    <row r="116" spans="2:9" x14ac:dyDescent="0.25">
      <c r="B116" s="23" t="s">
        <v>245</v>
      </c>
      <c r="C116" s="24"/>
      <c r="D116" s="119">
        <f t="array" ref="D116">SUM((TableCosts[N_Výkon]=$B$104)*(TableCosts[N_Kateg]=$B$106)*(TableCosts[N_Typ]=B116)*(TableCosts[N_Amount]))</f>
        <v>0</v>
      </c>
      <c r="E116" s="119">
        <f t="array" ref="E116">SUM((TableCosts[N_Výkon]=$B$104)*(TableCosts[N_Kateg]=$B$106)*(TableCosts[N_Typ]=B116)*(TableCosts[N_Direct]))</f>
        <v>0</v>
      </c>
      <c r="F116" s="25">
        <f t="array" ref="F116">SUM((TableInvs[V_Výkon]=$B$104)*(TableInvs[V_Kateg]=$B$106)*(TableInvs[V_Typ]=B116)*TableInvs[V_Total])</f>
        <v>0</v>
      </c>
      <c r="G116" s="26"/>
      <c r="H116" s="26"/>
      <c r="I116" s="27"/>
    </row>
    <row r="117" spans="2:9" x14ac:dyDescent="0.25">
      <c r="B117" s="23" t="s">
        <v>246</v>
      </c>
      <c r="C117" s="24"/>
      <c r="D117" s="119">
        <f t="array" ref="D117">SUM((TableCosts[N_Výkon]=$B$104)*(TableCosts[N_Kateg]=$B$106)*(TableCosts[N_Typ]=B117)*(TableCosts[N_Amount]))</f>
        <v>0</v>
      </c>
      <c r="E117" s="119">
        <f t="array" ref="E117">SUM((TableCosts[N_Výkon]=$B$104)*(TableCosts[N_Kateg]=$B$106)*(TableCosts[N_Typ]=B117)*(TableCosts[N_Direct]))</f>
        <v>0</v>
      </c>
      <c r="F117" s="25">
        <f t="array" ref="F117">SUM((TableInvs[V_Výkon]=$B$104)*(TableInvs[V_Kateg]=$B$106)*(TableInvs[V_Typ]=B117)*TableInvs[V_Total])</f>
        <v>0</v>
      </c>
      <c r="G117" s="26"/>
      <c r="H117" s="26"/>
      <c r="I117" s="27"/>
    </row>
    <row r="118" spans="2:9" x14ac:dyDescent="0.25">
      <c r="B118" s="23" t="s">
        <v>247</v>
      </c>
      <c r="C118" s="24"/>
      <c r="D118" s="119">
        <f t="array" ref="D118">SUM((TableCosts[N_Výkon]=$B$104)*(TableCosts[N_Kateg]=$B$106)*(TableCosts[N_Typ]=B118)*(TableCosts[N_Amount]))</f>
        <v>0</v>
      </c>
      <c r="E118" s="119">
        <f t="array" ref="E118">SUM((TableCosts[N_Výkon]=$B$104)*(TableCosts[N_Kateg]=$B$106)*(TableCosts[N_Typ]=B118)*(TableCosts[N_Direct]))</f>
        <v>0</v>
      </c>
      <c r="F118" s="25">
        <f t="array" ref="F118">SUM((TableInvs[V_Výkon]=$B$104)*(TableInvs[V_Kateg]=$B$106)*(TableInvs[V_Typ]=B118)*TableInvs[V_Total])</f>
        <v>0</v>
      </c>
      <c r="G118" s="26"/>
      <c r="H118" s="26"/>
      <c r="I118" s="27"/>
    </row>
    <row r="119" spans="2:9" x14ac:dyDescent="0.25">
      <c r="B119" s="23" t="s">
        <v>248</v>
      </c>
      <c r="C119" s="24"/>
      <c r="D119" s="119">
        <f t="array" ref="D119">SUM((TableCosts[N_Výkon]=$B$104)*(TableCosts[N_Kateg]=$B$106)*(TableCosts[N_Typ]=B119)*(TableCosts[N_Amount]))</f>
        <v>0</v>
      </c>
      <c r="E119" s="119">
        <f t="array" ref="E119">SUM((TableCosts[N_Výkon]=$B$104)*(TableCosts[N_Kateg]=$B$106)*(TableCosts[N_Typ]=B119)*(TableCosts[N_Direct]))</f>
        <v>0</v>
      </c>
      <c r="F119" s="25">
        <f t="array" ref="F119">SUM((TableInvs[V_Výkon]=$B$104)*(TableInvs[V_Kateg]=$B$106)*(TableInvs[V_Typ]=B119)*TableInvs[V_Total])</f>
        <v>0</v>
      </c>
      <c r="G119" s="26"/>
      <c r="H119" s="26"/>
      <c r="I119" s="27"/>
    </row>
    <row r="120" spans="2:9" x14ac:dyDescent="0.25">
      <c r="B120" s="23" t="s">
        <v>431</v>
      </c>
      <c r="C120" s="24"/>
      <c r="D120" s="119">
        <f t="array" ref="D120">SUM((TableCosts[N_Výkon]=$B$104)*(TableCosts[N_Kateg]=$B$106)*(TableCosts[N_Typ]=B120)*(TableCosts[N_Amount]))</f>
        <v>0</v>
      </c>
      <c r="E120" s="119">
        <f t="array" ref="E120">SUM((TableCosts[N_Výkon]=$B$104)*(TableCosts[N_Kateg]=$B$106)*(TableCosts[N_Typ]=B120)*(TableCosts[N_Direct]))</f>
        <v>0</v>
      </c>
      <c r="F120" s="25">
        <f t="array" ref="F120">SUM((TableInvs[V_Výkon]=$B$104)*(TableInvs[V_Kateg]=$B$106)*(TableInvs[V_Typ]=B120)*TableInvs[V_Total])</f>
        <v>0</v>
      </c>
      <c r="G120" s="26"/>
      <c r="H120" s="26"/>
      <c r="I120" s="27"/>
    </row>
    <row r="121" spans="2:9" x14ac:dyDescent="0.25">
      <c r="B121" s="23" t="s">
        <v>450</v>
      </c>
      <c r="C121" s="24"/>
      <c r="D121" s="119">
        <f t="array" ref="D121">SUM((TableCosts[N_Výkon]=$B$104)*(TableCosts[N_Kateg]=$B$106)*(TableCosts[N_Typ]=B121)*(TableCosts[N_Amount]))</f>
        <v>0</v>
      </c>
      <c r="E121" s="119">
        <f t="array" ref="E121">SUM((TableCosts[N_Výkon]=$B$104)*(TableCosts[N_Kateg]=$B$106)*(TableCosts[N_Typ]=B121)*(TableCosts[N_Direct]))</f>
        <v>0</v>
      </c>
      <c r="F121" s="25">
        <f t="array" ref="F121">SUM((TableInvs[V_Výkon]=$B$104)*(TableInvs[V_Kateg]=$B$106)*(TableInvs[V_Typ]=B121)*TableInvs[V_Total])</f>
        <v>0</v>
      </c>
      <c r="G121" s="26"/>
      <c r="H121" s="26"/>
      <c r="I121" s="27"/>
    </row>
    <row r="122" spans="2:9" x14ac:dyDescent="0.25">
      <c r="B122" s="23" t="s">
        <v>249</v>
      </c>
      <c r="C122" s="24"/>
      <c r="D122" s="119">
        <f t="array" ref="D122">SUM((TableCosts[N_Výkon]=$B$104)*(TableCosts[N_Kateg]=$B$106)*(TableCosts[N_Typ]=B122)*(TableCosts[N_Amount]))</f>
        <v>0</v>
      </c>
      <c r="E122" s="119">
        <f t="array" ref="E122">SUM((TableCosts[N_Výkon]=$B$104)*(TableCosts[N_Kateg]=$B$106)*(TableCosts[N_Typ]=B122)*(TableCosts[N_Direct]))</f>
        <v>0</v>
      </c>
      <c r="F122" s="25">
        <f t="array" ref="F122">SUM((TableInvs[V_Výkon]=$B$104)*(TableInvs[V_Kateg]=$B$106)*(TableInvs[V_Typ]=B122)*TableInvs[V_Total])</f>
        <v>0</v>
      </c>
      <c r="G122" s="26"/>
      <c r="H122" s="26"/>
      <c r="I122" s="27"/>
    </row>
    <row r="123" spans="2:9" ht="15.75" x14ac:dyDescent="0.25">
      <c r="B123" s="17" t="s">
        <v>75</v>
      </c>
      <c r="C123" s="18"/>
      <c r="D123" s="19"/>
      <c r="E123" s="118">
        <f t="array" ref="E123">SUM((TableCosts[N_Výkon]=B104)*(TableCosts[N_Kateg]=B123)*(TableCosts[N_Direct]))</f>
        <v>0</v>
      </c>
      <c r="F123" s="20">
        <f t="array" ref="F123">SUM((TableInvs[V_Výkon]="realizácia")*(TableInvs[V_Kateg]=B123)*(TableInvs[V_Total]))</f>
        <v>0</v>
      </c>
      <c r="G123" s="114" t="str">
        <f>IF(F123&lt;&gt;0,(F123-E123)/F123,"")</f>
        <v/>
      </c>
      <c r="H123" s="114"/>
      <c r="I123" s="21"/>
    </row>
    <row r="124" spans="2:9" x14ac:dyDescent="0.25">
      <c r="B124" s="23" t="s">
        <v>61</v>
      </c>
      <c r="C124" s="24" t="str">
        <f t="shared" ref="C124:C128" si="9">VLOOKUP(B124,TRAN_STRITEMS_LABEL,4,FALSE)</f>
        <v>EUR</v>
      </c>
      <c r="D124" s="25"/>
      <c r="E124" s="119">
        <f t="array" ref="E124">SUM((TableCosts[N_Výkon]=$B$104)*(TableCosts[N_Kateg]=$B$123)*(TableCosts[N_Typ]=B124)*(TableCosts[N_Direct]))</f>
        <v>0</v>
      </c>
      <c r="F124" s="25">
        <f t="array" ref="F124">SUM((TableInvs[V_Výkon]=$B$104)*(TableInvs[V_Typ]=B124)*(TableInvs[V_Total]))</f>
        <v>0</v>
      </c>
      <c r="G124" s="26"/>
      <c r="H124" s="26"/>
      <c r="I124" s="27"/>
    </row>
    <row r="125" spans="2:9" x14ac:dyDescent="0.25">
      <c r="B125" s="23" t="s">
        <v>62</v>
      </c>
      <c r="C125" s="24" t="str">
        <f t="shared" si="9"/>
        <v>EUR</v>
      </c>
      <c r="D125" s="25"/>
      <c r="E125" s="119">
        <f t="array" ref="E125">SUM((TableCosts[N_Výkon]=$B$104)*(TableCosts[N_Kateg]=$B$123)*(TableCosts[N_Typ]=B125)*(TableCosts[N_Direct]))</f>
        <v>0</v>
      </c>
      <c r="F125" s="25">
        <f t="array" ref="F125">SUM((TableInvs[V_Výkon]=$B$104)*(TableInvs[V_Typ]=B125)*(TableInvs[V_Total]))</f>
        <v>0</v>
      </c>
      <c r="G125" s="26"/>
      <c r="H125" s="26"/>
      <c r="I125" s="27"/>
    </row>
    <row r="126" spans="2:9" x14ac:dyDescent="0.25">
      <c r="B126" s="23" t="s">
        <v>63</v>
      </c>
      <c r="C126" s="24" t="str">
        <f t="shared" si="9"/>
        <v>EUR</v>
      </c>
      <c r="D126" s="25"/>
      <c r="E126" s="119">
        <f t="array" ref="E126">SUM((TableCosts[N_Výkon]=$B$104)*(TableCosts[N_Kateg]=$B$123)*(TableCosts[N_Typ]=B126)*(TableCosts[N_Direct]))</f>
        <v>0</v>
      </c>
      <c r="F126" s="25">
        <f t="array" ref="F126">SUM((TableInvs[V_Výkon]=$B$104)*(TableInvs[V_Typ]=B126)*(TableInvs[V_Total]))</f>
        <v>0</v>
      </c>
      <c r="G126" s="26"/>
      <c r="H126" s="26"/>
      <c r="I126" s="27"/>
    </row>
    <row r="127" spans="2:9" x14ac:dyDescent="0.25">
      <c r="B127" s="23" t="s">
        <v>64</v>
      </c>
      <c r="C127" s="24" t="str">
        <f t="shared" si="9"/>
        <v>EUR</v>
      </c>
      <c r="D127" s="25"/>
      <c r="E127" s="119">
        <f t="array" ref="E127">SUM((TableCosts[N_Výkon]=$B$104)*(TableCosts[N_Kateg]=$B$123)*(TableCosts[N_Typ]=B127)*(TableCosts[N_Direct]))</f>
        <v>0</v>
      </c>
      <c r="F127" s="25">
        <f t="array" ref="F127">SUM((TableInvs[V_Výkon]=$B$104)*(TableInvs[V_Typ]=B127)*(TableInvs[V_Total]))</f>
        <v>0</v>
      </c>
      <c r="G127" s="26"/>
      <c r="H127" s="26"/>
      <c r="I127" s="27"/>
    </row>
    <row r="128" spans="2:9" x14ac:dyDescent="0.25">
      <c r="B128" s="23" t="s">
        <v>81</v>
      </c>
      <c r="C128" s="24" t="str">
        <f t="shared" si="9"/>
        <v>EUR</v>
      </c>
      <c r="D128" s="25"/>
      <c r="E128" s="119">
        <f t="array" ref="E128">SUM((TableCosts[N_Výkon]=$B$104)*(TableCosts[N_Kateg]=$B$123)*(TableCosts[N_Typ]=B128)*(TableCosts[N_Direct]))</f>
        <v>0</v>
      </c>
      <c r="F128" s="25">
        <f t="array" ref="F128">SUM((TableInvs[V_Výkon]=$B$104)*(TableInvs[V_Typ]=B128)*(TableInvs[V_Total]))</f>
        <v>0</v>
      </c>
      <c r="G128" s="26"/>
      <c r="H128" s="26"/>
      <c r="I128" s="27"/>
    </row>
    <row r="129" spans="2:10" x14ac:dyDescent="0.25">
      <c r="B129" s="23" t="s">
        <v>229</v>
      </c>
      <c r="C129" s="24" t="s">
        <v>88</v>
      </c>
      <c r="D129" s="25"/>
      <c r="E129" s="119">
        <f t="array" ref="E129">SUM((TableCosts[N_Výkon]=$B$104)*(TableCosts[N_Kateg]=$B$123)*(TableCosts[N_Typ]=B129)*(TableCosts[N_Direct]))</f>
        <v>0</v>
      </c>
      <c r="F129" s="25">
        <f t="array" ref="F129">SUM((TableInvs[V_Výkon]=$B$104)*(TableInvs[V_Typ]=B129)*(TableInvs[V_Total]))</f>
        <v>0</v>
      </c>
      <c r="G129" s="26"/>
      <c r="H129" s="26"/>
      <c r="I129" s="27"/>
    </row>
    <row r="130" spans="2:10" x14ac:dyDescent="0.25">
      <c r="B130" s="23" t="s">
        <v>136</v>
      </c>
      <c r="C130" s="24" t="str">
        <f t="shared" ref="C130" si="10">VLOOKUP(B130,TRAN_STRITEMS_LABEL,4,FALSE)</f>
        <v>EUR</v>
      </c>
      <c r="D130" s="25"/>
      <c r="E130" s="119">
        <f t="array" ref="E130">SUM((TableCosts[N_Výkon]=$B$104)*(TableCosts[N_Kateg]=$B$123)*(TableCosts[N_Typ]=B130)*(TableCosts[N_Direct]))</f>
        <v>0</v>
      </c>
      <c r="F130" s="25">
        <f t="array" ref="F130">SUM((TableInvs[V_Výkon]=$B$104)*(TableInvs[V_Typ]=B130)*(TableInvs[V_Total]))</f>
        <v>0</v>
      </c>
      <c r="G130" s="26"/>
      <c r="H130" s="26"/>
      <c r="I130" s="27"/>
    </row>
    <row r="131" spans="2:10" s="22" customFormat="1" ht="16.5" customHeight="1" x14ac:dyDescent="0.25">
      <c r="B131" s="102" t="s">
        <v>119</v>
      </c>
      <c r="C131" s="107"/>
      <c r="D131" s="108"/>
      <c r="E131" s="120">
        <f>SUM(E132:E139)</f>
        <v>0</v>
      </c>
      <c r="F131" s="109"/>
      <c r="G131" s="110"/>
      <c r="H131" s="110"/>
      <c r="I131" s="111"/>
      <c r="J131" s="9"/>
    </row>
    <row r="132" spans="2:10" x14ac:dyDescent="0.25">
      <c r="B132" s="30"/>
      <c r="C132" s="24" t="s">
        <v>6</v>
      </c>
      <c r="D132" s="24"/>
      <c r="E132" s="25">
        <f>SUM_Risks_Customer</f>
        <v>0</v>
      </c>
      <c r="F132" s="24"/>
      <c r="G132" s="24"/>
      <c r="H132" s="24"/>
      <c r="I132" s="27"/>
    </row>
    <row r="133" spans="2:10" x14ac:dyDescent="0.25">
      <c r="B133" s="30"/>
      <c r="C133" s="24" t="s">
        <v>13</v>
      </c>
      <c r="D133" s="24"/>
      <c r="E133" s="25">
        <f>SUM_Risks_3S</f>
        <v>0</v>
      </c>
      <c r="F133" s="24"/>
      <c r="G133" s="24"/>
      <c r="H133" s="24"/>
      <c r="I133" s="27"/>
    </row>
    <row r="134" spans="2:10" x14ac:dyDescent="0.25">
      <c r="B134" s="30"/>
      <c r="C134" s="24" t="s">
        <v>19</v>
      </c>
      <c r="D134" s="24"/>
      <c r="E134" s="25">
        <f>SUM_Risks_Legal</f>
        <v>0</v>
      </c>
      <c r="F134" s="31"/>
      <c r="G134" s="31"/>
      <c r="H134" s="31"/>
      <c r="I134" s="32"/>
    </row>
    <row r="135" spans="2:10" x14ac:dyDescent="0.25">
      <c r="B135" s="30"/>
      <c r="C135" s="24" t="s">
        <v>25</v>
      </c>
      <c r="D135" s="24"/>
      <c r="E135" s="119">
        <f>SUM_Risks_Contract</f>
        <v>0</v>
      </c>
      <c r="F135" s="24"/>
      <c r="G135" s="24"/>
      <c r="H135" s="24"/>
      <c r="I135" s="33"/>
    </row>
    <row r="136" spans="2:10" x14ac:dyDescent="0.25">
      <c r="B136" s="30"/>
      <c r="C136" s="24" t="s">
        <v>60</v>
      </c>
      <c r="D136" s="24"/>
      <c r="E136" s="25">
        <f>SUM_Risks_Technical</f>
        <v>0</v>
      </c>
      <c r="F136" s="24"/>
      <c r="G136" s="24"/>
      <c r="H136" s="24"/>
      <c r="I136" s="27"/>
    </row>
    <row r="137" spans="2:10" x14ac:dyDescent="0.25">
      <c r="B137" s="30"/>
      <c r="C137" s="24" t="s">
        <v>46</v>
      </c>
      <c r="D137" s="24"/>
      <c r="E137" s="25">
        <f>SUM_Risks_Project</f>
        <v>0</v>
      </c>
      <c r="F137" s="24"/>
      <c r="G137" s="24"/>
      <c r="H137" s="24"/>
      <c r="I137" s="27"/>
    </row>
    <row r="138" spans="2:10" x14ac:dyDescent="0.25">
      <c r="B138" s="30"/>
      <c r="C138" s="24" t="s">
        <v>427</v>
      </c>
      <c r="D138" s="24"/>
      <c r="E138" s="25">
        <f>SUM_Risks_Enviro</f>
        <v>0</v>
      </c>
      <c r="F138" s="24"/>
      <c r="G138" s="24"/>
      <c r="H138" s="24"/>
      <c r="I138" s="27"/>
    </row>
    <row r="139" spans="2:10" x14ac:dyDescent="0.25">
      <c r="B139" s="34"/>
      <c r="C139" s="35" t="s">
        <v>52</v>
      </c>
      <c r="D139" s="35"/>
      <c r="E139" s="36">
        <f>SUM_Risks_Logistics</f>
        <v>0</v>
      </c>
      <c r="F139" s="35"/>
      <c r="G139" s="35"/>
      <c r="H139" s="35"/>
      <c r="I139" s="37"/>
    </row>
    <row r="140" spans="2:10" x14ac:dyDescent="0.25">
      <c r="B140" s="24"/>
      <c r="C140" s="24"/>
      <c r="D140" s="24"/>
      <c r="E140" s="24"/>
      <c r="F140" s="24"/>
      <c r="G140" s="24"/>
      <c r="H140" s="24"/>
      <c r="I140" s="24"/>
    </row>
    <row r="141" spans="2:10" x14ac:dyDescent="0.25">
      <c r="B141" s="24"/>
      <c r="C141" s="24"/>
      <c r="D141" s="24"/>
      <c r="E141" s="24"/>
      <c r="F141" s="24"/>
      <c r="G141" s="24"/>
      <c r="H141" s="24"/>
      <c r="I141" s="24"/>
    </row>
    <row r="142" spans="2:10" x14ac:dyDescent="0.25">
      <c r="B142" s="24"/>
      <c r="C142" s="24"/>
      <c r="D142" s="24"/>
      <c r="E142" s="24"/>
      <c r="F142" s="24"/>
      <c r="G142" s="24"/>
      <c r="H142" s="24"/>
      <c r="I142" s="24"/>
    </row>
    <row r="143" spans="2:10" x14ac:dyDescent="0.25">
      <c r="B143" s="24"/>
      <c r="C143" s="24"/>
      <c r="D143" s="24"/>
      <c r="E143" s="24"/>
      <c r="F143" s="24"/>
      <c r="G143" s="24"/>
      <c r="H143" s="24"/>
      <c r="I143" s="24"/>
    </row>
  </sheetData>
  <sheetProtection algorithmName="SHA-512" hashValue="r6yBBxVup+78GNxQr6fKrNxT6BOaR+MhQAGvOEnCuIMk3ljWO4hHMnkVc8eUnORsjq1BvOjxII4yyz4oTtWO+w==" saltValue="b+lOZJr7ajv80V99+DFs2g==" spinCount="100000" sheet="1" objects="1" scenarios="1"/>
  <dataConsolidate/>
  <mergeCells count="1">
    <mergeCell ref="B3:D3"/>
  </mergeCells>
  <conditionalFormatting sqref="I3">
    <cfRule type="iconSet" priority="1">
      <iconSet iconSet="3Symbols2" showValue="0">
        <cfvo type="percent" val="0"/>
        <cfvo type="num" val="0"/>
        <cfvo type="num" val="$I$4"/>
      </iconSet>
    </cfRule>
  </conditionalFormatting>
  <pageMargins left="0.70866141732283472" right="0.70866141732283472" top="0.74803149606299213" bottom="0.74803149606299213" header="0.31496062992125984" footer="0.31496062992125984"/>
  <pageSetup paperSize="9" scale="26" orientation="landscape" r:id="rId1"/>
  <headerFooter>
    <oddHeader>&amp;CSumarizácia</oddHeader>
    <oddFooter>&amp;R&amp;D &amp;T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árok2"/>
  <dimension ref="B1:L44"/>
  <sheetViews>
    <sheetView showGridLines="0" zoomScaleNormal="100" zoomScaleSheetLayoutView="130" zoomScalePageLayoutView="85" workbookViewId="0">
      <selection activeCell="G16" sqref="G16"/>
    </sheetView>
  </sheetViews>
  <sheetFormatPr defaultRowHeight="15" x14ac:dyDescent="0.25"/>
  <cols>
    <col min="1" max="1" width="1.42578125" customWidth="1"/>
    <col min="2" max="2" width="27.5703125" customWidth="1"/>
    <col min="3" max="3" width="30.28515625" customWidth="1"/>
    <col min="4" max="5" width="14.5703125" customWidth="1"/>
    <col min="9" max="9" width="10.140625" bestFit="1" customWidth="1"/>
  </cols>
  <sheetData>
    <row r="1" spans="2:12" ht="6" customHeight="1" x14ac:dyDescent="0.3"/>
    <row r="2" spans="2:12" ht="18.75" x14ac:dyDescent="0.3">
      <c r="C2" s="145" t="s">
        <v>290</v>
      </c>
      <c r="D2" s="146"/>
      <c r="E2" s="146"/>
      <c r="F2" s="146"/>
      <c r="I2" s="147"/>
    </row>
    <row r="3" spans="2:12" ht="11.25" customHeight="1" x14ac:dyDescent="0.3"/>
    <row r="4" spans="2:12" ht="14.45" x14ac:dyDescent="0.3">
      <c r="B4" s="9" t="str">
        <f ca="1">"Ponuka predložená na preskúmanie dňa: "&amp;TEXT(TODAY(),"dd.mm.yyyy")</f>
        <v>Ponuka predložená na preskúmanie dňa: 24.04.2025</v>
      </c>
      <c r="D4" s="188"/>
    </row>
    <row r="5" spans="2:12" ht="15.75" customHeight="1" x14ac:dyDescent="0.25">
      <c r="B5" s="230" t="s">
        <v>291</v>
      </c>
      <c r="C5" s="232"/>
      <c r="D5" s="233"/>
      <c r="E5" s="234"/>
    </row>
    <row r="6" spans="2:12" x14ac:dyDescent="0.25">
      <c r="B6" s="231"/>
      <c r="C6" s="235"/>
      <c r="D6" s="236"/>
      <c r="E6" s="237"/>
    </row>
    <row r="7" spans="2:12" ht="31.5" customHeight="1" x14ac:dyDescent="0.25">
      <c r="B7" s="148" t="s">
        <v>6</v>
      </c>
      <c r="C7" s="238">
        <f>Par_EndConsumer</f>
        <v>0</v>
      </c>
      <c r="D7" s="239"/>
      <c r="E7" s="240"/>
    </row>
    <row r="8" spans="2:12" ht="31.5" customHeight="1" x14ac:dyDescent="0.3">
      <c r="B8" s="148" t="s">
        <v>292</v>
      </c>
      <c r="C8" s="241"/>
      <c r="D8" s="242"/>
      <c r="E8" s="243"/>
      <c r="I8" s="147"/>
    </row>
    <row r="9" spans="2:12" ht="43.5" x14ac:dyDescent="0.25">
      <c r="B9" s="149" t="s">
        <v>293</v>
      </c>
      <c r="C9" s="244">
        <f>Par_SalesPerson</f>
        <v>0</v>
      </c>
      <c r="D9" s="245"/>
      <c r="E9" s="246"/>
    </row>
    <row r="10" spans="2:12" ht="31.5" customHeight="1" x14ac:dyDescent="0.25">
      <c r="B10" s="150" t="s">
        <v>294</v>
      </c>
      <c r="C10" s="227" t="e">
        <f>LEFT(Par_WoAccountName,FIND(" ",Par_WoAccountName))</f>
        <v>#VALUE!</v>
      </c>
      <c r="D10" s="228"/>
      <c r="E10" s="229"/>
    </row>
    <row r="11" spans="2:12" ht="15.75" customHeight="1" x14ac:dyDescent="0.25">
      <c r="B11" s="219" t="s">
        <v>295</v>
      </c>
      <c r="C11" s="194" t="str">
        <f>"Náklady: "&amp;TEXT(Par_CostsTotal,"# ### €")</f>
        <v>Náklady:  €</v>
      </c>
      <c r="D11" s="221" t="str">
        <f>"Fakturácia: "&amp;TEXT(Par_RevsTotal,"# ### €")</f>
        <v>Fakturácia:  €</v>
      </c>
      <c r="E11" s="222"/>
      <c r="H11" s="152"/>
      <c r="L11" s="153"/>
    </row>
    <row r="12" spans="2:12" ht="15.75" customHeight="1" x14ac:dyDescent="0.25">
      <c r="B12" s="220"/>
      <c r="C12" s="193" t="str">
        <f>"GM: "&amp;TEXT('(3) Sumarizácia'!G3,"# ### €")&amp;" ("&amp;TEXT('(3) Sumarizácia'!G4,"0,0%")&amp;")"</f>
        <v>GM:  € ()</v>
      </c>
      <c r="D12" s="223" t="str">
        <f>"GM_IPS: "&amp;TEXT('(3) Sumarizácia'!H3,"# ### €")&amp;" ("&amp;TEXT('(3) Sumarizácia'!H4,"0,0%")&amp;")"</f>
        <v>GM_IPS:  € ()</v>
      </c>
      <c r="E12" s="224"/>
    </row>
    <row r="13" spans="2:12" ht="15.75" customHeight="1" x14ac:dyDescent="0.25">
      <c r="B13" s="192"/>
      <c r="C13" s="195" t="str">
        <f>"ER_IPS: "&amp;TEXT(Par_RevsTotal-Par_Costs3P,"# ### €")&amp;" ("&amp;TEXT(Par_EROwnRatio,"0,0%")&amp;")"</f>
        <v>ER_IPS:  € (0,0%)</v>
      </c>
      <c r="D13" s="225"/>
      <c r="E13" s="226"/>
    </row>
    <row r="14" spans="2:12" ht="9.75" customHeight="1" x14ac:dyDescent="0.3"/>
    <row r="15" spans="2:12" x14ac:dyDescent="0.25">
      <c r="B15" t="s">
        <v>296</v>
      </c>
    </row>
    <row r="16" spans="2:12" x14ac:dyDescent="0.25">
      <c r="B16" s="155" t="s">
        <v>297</v>
      </c>
      <c r="C16" s="155" t="s">
        <v>298</v>
      </c>
      <c r="D16" s="155" t="s">
        <v>299</v>
      </c>
      <c r="E16" s="155" t="s">
        <v>300</v>
      </c>
    </row>
    <row r="17" spans="2:5" ht="27" x14ac:dyDescent="0.25">
      <c r="B17" s="156" t="s">
        <v>301</v>
      </c>
      <c r="C17" s="215"/>
      <c r="D17" s="217"/>
      <c r="E17" s="217"/>
    </row>
    <row r="18" spans="2:5" ht="22.5" customHeight="1" x14ac:dyDescent="0.25">
      <c r="B18" s="157"/>
      <c r="C18" s="216"/>
      <c r="D18" s="218"/>
      <c r="E18" s="218"/>
    </row>
    <row r="19" spans="2:5" ht="27" x14ac:dyDescent="0.25">
      <c r="B19" s="156" t="s">
        <v>305</v>
      </c>
      <c r="C19" s="215"/>
      <c r="D19" s="217"/>
      <c r="E19" s="217"/>
    </row>
    <row r="20" spans="2:5" ht="22.5" customHeight="1" x14ac:dyDescent="0.25">
      <c r="B20" s="158">
        <f>Par_Architect</f>
        <v>0</v>
      </c>
      <c r="C20" s="216"/>
      <c r="D20" s="218"/>
      <c r="E20" s="218"/>
    </row>
    <row r="21" spans="2:5" ht="27" x14ac:dyDescent="0.25">
      <c r="B21" s="156" t="s">
        <v>302</v>
      </c>
      <c r="C21" s="215"/>
      <c r="D21" s="217"/>
      <c r="E21" s="217"/>
    </row>
    <row r="22" spans="2:5" ht="22.5" customHeight="1" x14ac:dyDescent="0.25">
      <c r="B22" s="159">
        <f>Par_ContractManager</f>
        <v>0</v>
      </c>
      <c r="C22" s="216"/>
      <c r="D22" s="218"/>
      <c r="E22" s="218"/>
    </row>
    <row r="23" spans="2:5" ht="27" x14ac:dyDescent="0.25">
      <c r="B23" s="156" t="s">
        <v>303</v>
      </c>
      <c r="C23" s="215"/>
      <c r="D23" s="217"/>
      <c r="E23" s="217"/>
    </row>
    <row r="24" spans="2:5" ht="22.5" customHeight="1" x14ac:dyDescent="0.25">
      <c r="B24" s="158"/>
      <c r="C24" s="216"/>
      <c r="D24" s="218"/>
      <c r="E24" s="218"/>
    </row>
    <row r="25" spans="2:5" ht="27" x14ac:dyDescent="0.25">
      <c r="B25" s="156" t="s">
        <v>304</v>
      </c>
      <c r="C25" s="215"/>
      <c r="D25" s="217"/>
      <c r="E25" s="217"/>
    </row>
    <row r="26" spans="2:5" ht="22.5" customHeight="1" x14ac:dyDescent="0.25">
      <c r="B26" s="158"/>
      <c r="C26" s="216"/>
      <c r="D26" s="218"/>
      <c r="E26" s="218"/>
    </row>
    <row r="27" spans="2:5" ht="27" customHeight="1" x14ac:dyDescent="0.25">
      <c r="B27" s="156" t="s">
        <v>325</v>
      </c>
      <c r="C27" s="215"/>
      <c r="D27" s="217"/>
      <c r="E27" s="217"/>
    </row>
    <row r="28" spans="2:5" ht="22.5" customHeight="1" x14ac:dyDescent="0.25">
      <c r="B28" s="158"/>
      <c r="C28" s="216"/>
      <c r="D28" s="218"/>
      <c r="E28" s="218"/>
    </row>
    <row r="29" spans="2:5" ht="9.75" customHeight="1" x14ac:dyDescent="0.25">
      <c r="B29" s="160"/>
      <c r="C29" s="161"/>
      <c r="D29" s="161"/>
      <c r="E29" s="161"/>
    </row>
    <row r="30" spans="2:5" x14ac:dyDescent="0.25">
      <c r="B30" t="s">
        <v>306</v>
      </c>
    </row>
    <row r="31" spans="2:5" x14ac:dyDescent="0.25">
      <c r="B31" s="162" t="s">
        <v>307</v>
      </c>
      <c r="C31" s="163"/>
      <c r="D31" s="163"/>
      <c r="E31" s="164"/>
    </row>
    <row r="32" spans="2:5" x14ac:dyDescent="0.25">
      <c r="B32" s="210" t="s">
        <v>308</v>
      </c>
      <c r="C32" s="211"/>
      <c r="D32" s="210" t="s">
        <v>309</v>
      </c>
      <c r="E32" s="211"/>
    </row>
    <row r="33" spans="2:5" x14ac:dyDescent="0.25">
      <c r="B33" s="212"/>
      <c r="C33" s="213"/>
      <c r="D33" s="212"/>
      <c r="E33" s="213"/>
    </row>
    <row r="34" spans="2:5" x14ac:dyDescent="0.25">
      <c r="B34" s="165" t="s">
        <v>310</v>
      </c>
    </row>
    <row r="35" spans="2:5" ht="11.25" customHeight="1" x14ac:dyDescent="0.25"/>
    <row r="36" spans="2:5" x14ac:dyDescent="0.25">
      <c r="B36" s="166" t="s">
        <v>311</v>
      </c>
    </row>
    <row r="37" spans="2:5" ht="15" customHeight="1" x14ac:dyDescent="0.25">
      <c r="B37" s="214" t="s">
        <v>405</v>
      </c>
      <c r="C37" s="214"/>
      <c r="D37" s="214"/>
      <c r="E37" s="214"/>
    </row>
    <row r="38" spans="2:5" x14ac:dyDescent="0.25">
      <c r="B38" s="214"/>
      <c r="C38" s="214"/>
      <c r="D38" s="214"/>
      <c r="E38" s="214"/>
    </row>
    <row r="39" spans="2:5" x14ac:dyDescent="0.25">
      <c r="B39" s="214"/>
      <c r="C39" s="214"/>
      <c r="D39" s="214"/>
      <c r="E39" s="214"/>
    </row>
    <row r="43" spans="2:5" ht="12" customHeight="1" x14ac:dyDescent="0.25"/>
    <row r="44" spans="2:5" ht="12" customHeight="1" x14ac:dyDescent="0.25"/>
  </sheetData>
  <sheetProtection algorithmName="SHA-512" hashValue="owsN8mYvSWkc6zv+3GK75DfxL3jaREqKdRCo5JIuMq2KnkHmAYEjS8NUjHgxjsrMf8SEZCi0UUwzBIWKw6qnfA==" saltValue="sGaRfV+9aDQfFQJ3swfQxg==" spinCount="100000" sheet="1" objects="1" scenarios="1"/>
  <mergeCells count="31">
    <mergeCell ref="C10:E10"/>
    <mergeCell ref="B5:B6"/>
    <mergeCell ref="C5:E6"/>
    <mergeCell ref="C7:E7"/>
    <mergeCell ref="C8:E8"/>
    <mergeCell ref="C9:E9"/>
    <mergeCell ref="B11:B12"/>
    <mergeCell ref="D11:E11"/>
    <mergeCell ref="D12:E12"/>
    <mergeCell ref="C17:C18"/>
    <mergeCell ref="D17:D18"/>
    <mergeCell ref="E17:E18"/>
    <mergeCell ref="D13:E13"/>
    <mergeCell ref="C19:C20"/>
    <mergeCell ref="D19:D20"/>
    <mergeCell ref="E19:E20"/>
    <mergeCell ref="C21:C22"/>
    <mergeCell ref="D21:D22"/>
    <mergeCell ref="E21:E22"/>
    <mergeCell ref="B32:C33"/>
    <mergeCell ref="D32:E33"/>
    <mergeCell ref="B37:E39"/>
    <mergeCell ref="C23:C24"/>
    <mergeCell ref="D23:D24"/>
    <mergeCell ref="E23:E24"/>
    <mergeCell ref="C25:C26"/>
    <mergeCell ref="D25:D26"/>
    <mergeCell ref="E25:E26"/>
    <mergeCell ref="C27:C28"/>
    <mergeCell ref="D27:D28"/>
    <mergeCell ref="E27:E28"/>
  </mergeCells>
  <pageMargins left="0.70866141732283472" right="0.70866141732283472" top="0.74803149606299213" bottom="0.74803149606299213" header="0.19685039370078741" footer="0.31496062992125984"/>
  <pageSetup paperSize="9" orientation="portrait" r:id="rId1"/>
  <headerFooter>
    <oddHeader>&amp;L&amp;G&amp;R&amp;G</oddHeader>
    <oddFooter>&amp;L&amp;10&amp;K01+043
&amp;K000000FK-P03-02-01/5&amp;R&amp;8Vyplnený záznam má dôverný charakter a bude 
s ním zaobchádzané ako s dokumentom kategórie &amp;"-,Bold"&amp;KFF0000DÔVERNÝ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árok4"/>
  <dimension ref="B1:M45"/>
  <sheetViews>
    <sheetView showGridLines="0" zoomScaleNormal="100" workbookViewId="0">
      <selection activeCell="O17" sqref="O17"/>
    </sheetView>
  </sheetViews>
  <sheetFormatPr defaultRowHeight="15" x14ac:dyDescent="0.25"/>
  <cols>
    <col min="1" max="1" width="1.42578125" customWidth="1"/>
    <col min="2" max="2" width="27.5703125" customWidth="1"/>
    <col min="3" max="3" width="8.28515625" customWidth="1"/>
    <col min="4" max="4" width="19.140625" customWidth="1"/>
    <col min="5" max="5" width="12.5703125" customWidth="1"/>
    <col min="6" max="6" width="19.140625" customWidth="1"/>
    <col min="10" max="10" width="10.140625" bestFit="1" customWidth="1"/>
  </cols>
  <sheetData>
    <row r="1" spans="2:13" ht="7.5" customHeight="1" x14ac:dyDescent="0.3"/>
    <row r="2" spans="2:13" ht="18.75" x14ac:dyDescent="0.3">
      <c r="C2" s="145" t="s">
        <v>370</v>
      </c>
      <c r="D2" s="145"/>
      <c r="E2" s="146"/>
      <c r="F2" s="146"/>
      <c r="G2" s="146"/>
      <c r="J2" s="147"/>
    </row>
    <row r="3" spans="2:13" ht="10.5" customHeight="1" x14ac:dyDescent="0.3"/>
    <row r="4" spans="2:13" ht="14.45" x14ac:dyDescent="0.3">
      <c r="B4" s="9" t="str">
        <f ca="1">"Ponuka predložená na preskúmanie dňa: "&amp;TEXT(TODAY(),"dd.mm.yyyy")</f>
        <v>Ponuka predložená na preskúmanie dňa: 24.04.2025</v>
      </c>
      <c r="E4" s="188"/>
    </row>
    <row r="5" spans="2:13" ht="15.75" customHeight="1" x14ac:dyDescent="0.25">
      <c r="B5" s="230" t="s">
        <v>326</v>
      </c>
      <c r="C5" s="252">
        <f>Par_WoAccountName</f>
        <v>0</v>
      </c>
      <c r="D5" s="253"/>
      <c r="E5" s="253"/>
      <c r="F5" s="254"/>
    </row>
    <row r="6" spans="2:13" x14ac:dyDescent="0.25">
      <c r="B6" s="231"/>
      <c r="C6" s="255"/>
      <c r="D6" s="256"/>
      <c r="E6" s="256"/>
      <c r="F6" s="257"/>
    </row>
    <row r="7" spans="2:13" ht="25.5" customHeight="1" x14ac:dyDescent="0.25">
      <c r="B7" s="148" t="s">
        <v>6</v>
      </c>
      <c r="C7" s="238">
        <f>Par_EndConsumer</f>
        <v>0</v>
      </c>
      <c r="D7" s="239"/>
      <c r="E7" s="239"/>
      <c r="F7" s="240"/>
    </row>
    <row r="8" spans="2:13" ht="43.5" x14ac:dyDescent="0.25">
      <c r="B8" s="149" t="s">
        <v>327</v>
      </c>
      <c r="C8" s="244"/>
      <c r="D8" s="245"/>
      <c r="E8" s="245"/>
      <c r="F8" s="246"/>
    </row>
    <row r="9" spans="2:13" ht="15.75" customHeight="1" x14ac:dyDescent="0.25">
      <c r="B9" s="219" t="s">
        <v>328</v>
      </c>
      <c r="C9" s="151" t="s">
        <v>329</v>
      </c>
      <c r="D9" s="178"/>
      <c r="E9" s="179" t="s">
        <v>330</v>
      </c>
      <c r="F9" s="180"/>
    </row>
    <row r="10" spans="2:13" ht="15.75" customHeight="1" x14ac:dyDescent="0.25">
      <c r="B10" s="247"/>
      <c r="C10" s="154" t="s">
        <v>331</v>
      </c>
      <c r="D10" s="181"/>
      <c r="E10" s="182" t="s">
        <v>332</v>
      </c>
      <c r="F10" s="183"/>
    </row>
    <row r="11" spans="2:13" ht="15.75" customHeight="1" x14ac:dyDescent="0.25">
      <c r="B11" s="219" t="s">
        <v>333</v>
      </c>
      <c r="C11" s="248" t="str">
        <f>"Náklady: "&amp;TEXT(Par_CostsTotal,"# ### €")</f>
        <v>Náklady:  €</v>
      </c>
      <c r="D11" s="249"/>
      <c r="E11" s="221" t="str">
        <f>"Fakturácia: "&amp;TEXT(Par_RevsTotal,"# ### €")</f>
        <v>Fakturácia:  €</v>
      </c>
      <c r="F11" s="222"/>
      <c r="I11" s="152"/>
      <c r="M11" s="153"/>
    </row>
    <row r="12" spans="2:13" ht="15.75" customHeight="1" x14ac:dyDescent="0.25">
      <c r="B12" s="247"/>
      <c r="C12" s="250" t="str">
        <f>"GM: "&amp;TEXT('(3) Sumarizácia'!G3,"# ### €")&amp;" ("&amp;TEXT('(3) Sumarizácia'!G4,"0,0%")&amp;")"</f>
        <v>GM:  € ()</v>
      </c>
      <c r="D12" s="251"/>
      <c r="E12" s="225" t="str">
        <f>"GM_IPS: "&amp;TEXT('(3) Sumarizácia'!H3,"# ### €")&amp;" ("&amp;TEXT('(3) Sumarizácia'!H4,"0,0%")&amp;")"</f>
        <v>GM_IPS:  € ()</v>
      </c>
      <c r="F12" s="226"/>
    </row>
    <row r="13" spans="2:13" ht="43.5" customHeight="1" x14ac:dyDescent="0.25">
      <c r="B13" s="184" t="s">
        <v>334</v>
      </c>
      <c r="C13" s="258"/>
      <c r="D13" s="259"/>
      <c r="E13" s="259"/>
      <c r="F13" s="260"/>
    </row>
    <row r="14" spans="2:13" ht="10.5" customHeight="1" x14ac:dyDescent="0.3"/>
    <row r="16" spans="2:13" x14ac:dyDescent="0.25">
      <c r="B16" s="155" t="s">
        <v>335</v>
      </c>
      <c r="C16" s="155" t="s">
        <v>298</v>
      </c>
      <c r="D16" s="155"/>
      <c r="E16" s="155" t="s">
        <v>299</v>
      </c>
      <c r="F16" s="155" t="s">
        <v>300</v>
      </c>
    </row>
    <row r="17" spans="2:6" ht="27" x14ac:dyDescent="0.25">
      <c r="B17" s="156" t="s">
        <v>301</v>
      </c>
      <c r="C17" s="261"/>
      <c r="D17" s="262"/>
      <c r="E17" s="217"/>
      <c r="F17" s="217"/>
    </row>
    <row r="18" spans="2:6" ht="22.5" customHeight="1" x14ac:dyDescent="0.25">
      <c r="B18" s="157"/>
      <c r="C18" s="263"/>
      <c r="D18" s="264"/>
      <c r="E18" s="218"/>
      <c r="F18" s="218"/>
    </row>
    <row r="19" spans="2:6" ht="27" x14ac:dyDescent="0.25">
      <c r="B19" s="156" t="s">
        <v>305</v>
      </c>
      <c r="C19" s="261"/>
      <c r="D19" s="262"/>
      <c r="E19" s="217"/>
      <c r="F19" s="217"/>
    </row>
    <row r="20" spans="2:6" ht="22.5" customHeight="1" x14ac:dyDescent="0.25">
      <c r="B20" s="158">
        <f>Par_Architect</f>
        <v>0</v>
      </c>
      <c r="C20" s="263"/>
      <c r="D20" s="264"/>
      <c r="E20" s="218"/>
      <c r="F20" s="218"/>
    </row>
    <row r="21" spans="2:6" ht="27" x14ac:dyDescent="0.25">
      <c r="B21" s="156" t="s">
        <v>302</v>
      </c>
      <c r="C21" s="261"/>
      <c r="D21" s="262"/>
      <c r="E21" s="217"/>
      <c r="F21" s="217"/>
    </row>
    <row r="22" spans="2:6" ht="22.5" customHeight="1" x14ac:dyDescent="0.25">
      <c r="B22" s="158">
        <f>Par_ContractManager</f>
        <v>0</v>
      </c>
      <c r="C22" s="263"/>
      <c r="D22" s="264"/>
      <c r="E22" s="218"/>
      <c r="F22" s="218"/>
    </row>
    <row r="23" spans="2:6" ht="27" x14ac:dyDescent="0.25">
      <c r="B23" s="156" t="s">
        <v>303</v>
      </c>
      <c r="C23" s="261"/>
      <c r="D23" s="262"/>
      <c r="E23" s="217"/>
      <c r="F23" s="217"/>
    </row>
    <row r="24" spans="2:6" ht="22.5" customHeight="1" x14ac:dyDescent="0.25">
      <c r="B24" s="158"/>
      <c r="C24" s="263"/>
      <c r="D24" s="264"/>
      <c r="E24" s="218"/>
      <c r="F24" s="218"/>
    </row>
    <row r="25" spans="2:6" ht="27" x14ac:dyDescent="0.25">
      <c r="B25" s="156" t="s">
        <v>340</v>
      </c>
      <c r="C25" s="261"/>
      <c r="D25" s="262"/>
      <c r="E25" s="217"/>
      <c r="F25" s="217"/>
    </row>
    <row r="26" spans="2:6" ht="22.5" customHeight="1" x14ac:dyDescent="0.25">
      <c r="B26" s="158"/>
      <c r="C26" s="263"/>
      <c r="D26" s="264"/>
      <c r="E26" s="218"/>
      <c r="F26" s="218"/>
    </row>
    <row r="27" spans="2:6" ht="27" x14ac:dyDescent="0.25">
      <c r="B27" s="156" t="s">
        <v>341</v>
      </c>
      <c r="C27" s="261"/>
      <c r="D27" s="262"/>
      <c r="E27" s="217"/>
      <c r="F27" s="217"/>
    </row>
    <row r="28" spans="2:6" ht="22.5" customHeight="1" x14ac:dyDescent="0.25">
      <c r="B28" s="158"/>
      <c r="C28" s="263"/>
      <c r="D28" s="264"/>
      <c r="E28" s="218"/>
      <c r="F28" s="218"/>
    </row>
    <row r="29" spans="2:6" ht="10.5" customHeight="1" x14ac:dyDescent="0.25">
      <c r="B29" s="160"/>
      <c r="C29" s="161"/>
      <c r="D29" s="161"/>
      <c r="E29" s="161"/>
      <c r="F29" s="161"/>
    </row>
    <row r="30" spans="2:6" x14ac:dyDescent="0.25">
      <c r="B30" t="s">
        <v>336</v>
      </c>
    </row>
    <row r="31" spans="2:6" x14ac:dyDescent="0.25">
      <c r="B31" s="162" t="s">
        <v>307</v>
      </c>
      <c r="C31" s="163"/>
      <c r="D31" s="163"/>
      <c r="E31" s="163"/>
      <c r="F31" s="164"/>
    </row>
    <row r="32" spans="2:6" x14ac:dyDescent="0.25">
      <c r="B32" s="210" t="s">
        <v>308</v>
      </c>
      <c r="C32" s="211"/>
      <c r="D32" s="185"/>
      <c r="E32" s="210" t="s">
        <v>309</v>
      </c>
      <c r="F32" s="211"/>
    </row>
    <row r="33" spans="2:6" x14ac:dyDescent="0.25">
      <c r="B33" s="212"/>
      <c r="C33" s="213"/>
      <c r="D33" s="186"/>
      <c r="E33" s="212"/>
      <c r="F33" s="213"/>
    </row>
    <row r="34" spans="2:6" x14ac:dyDescent="0.25">
      <c r="B34" s="165" t="s">
        <v>310</v>
      </c>
    </row>
    <row r="35" spans="2:6" ht="10.5" customHeight="1" x14ac:dyDescent="0.25"/>
    <row r="36" spans="2:6" x14ac:dyDescent="0.25">
      <c r="B36" s="166" t="s">
        <v>311</v>
      </c>
    </row>
    <row r="37" spans="2:6" ht="15" customHeight="1" x14ac:dyDescent="0.25">
      <c r="B37" s="214" t="s">
        <v>337</v>
      </c>
      <c r="C37" s="214"/>
      <c r="D37" s="214"/>
      <c r="E37" s="214"/>
      <c r="F37" s="214"/>
    </row>
    <row r="38" spans="2:6" x14ac:dyDescent="0.25">
      <c r="B38" s="214"/>
      <c r="C38" s="214"/>
      <c r="D38" s="214"/>
      <c r="E38" s="214"/>
      <c r="F38" s="214"/>
    </row>
    <row r="39" spans="2:6" x14ac:dyDescent="0.25">
      <c r="B39" s="187"/>
      <c r="C39" s="187"/>
      <c r="D39" s="187"/>
      <c r="E39" s="187"/>
      <c r="F39" s="187"/>
    </row>
    <row r="44" spans="2:6" ht="12" customHeight="1" x14ac:dyDescent="0.25"/>
    <row r="45" spans="2:6" ht="12" customHeight="1" x14ac:dyDescent="0.25"/>
  </sheetData>
  <sheetProtection password="F836" sheet="1" objects="1" scenarios="1"/>
  <mergeCells count="33">
    <mergeCell ref="B37:F38"/>
    <mergeCell ref="C21:D22"/>
    <mergeCell ref="E21:E22"/>
    <mergeCell ref="F21:F22"/>
    <mergeCell ref="C23:D24"/>
    <mergeCell ref="E23:E24"/>
    <mergeCell ref="F23:F24"/>
    <mergeCell ref="C25:D26"/>
    <mergeCell ref="E25:E26"/>
    <mergeCell ref="F25:F26"/>
    <mergeCell ref="B32:C33"/>
    <mergeCell ref="E32:F33"/>
    <mergeCell ref="C27:D28"/>
    <mergeCell ref="E27:E28"/>
    <mergeCell ref="F27:F28"/>
    <mergeCell ref="C13:F13"/>
    <mergeCell ref="C17:D18"/>
    <mergeCell ref="E17:E18"/>
    <mergeCell ref="F17:F18"/>
    <mergeCell ref="C19:D19"/>
    <mergeCell ref="E19:E20"/>
    <mergeCell ref="F19:F20"/>
    <mergeCell ref="C20:D20"/>
    <mergeCell ref="B5:B6"/>
    <mergeCell ref="C5:F6"/>
    <mergeCell ref="C7:F7"/>
    <mergeCell ref="C8:F8"/>
    <mergeCell ref="B9:B10"/>
    <mergeCell ref="B11:B12"/>
    <mergeCell ref="C11:D11"/>
    <mergeCell ref="E11:F11"/>
    <mergeCell ref="C12:D12"/>
    <mergeCell ref="E12:F12"/>
  </mergeCells>
  <pageMargins left="0.70866141732283472" right="0.70866141732283472" top="0.74803149606299213" bottom="0.74803149606299213" header="0.19685039370078741" footer="0.31496062992125984"/>
  <pageSetup paperSize="9" orientation="portrait" r:id="rId1"/>
  <headerFooter>
    <oddHeader>&amp;L&amp;G&amp;R&amp;G</oddHeader>
    <oddFooter>&amp;L&amp;10&amp;K01+039
&amp;K000000FK-P04-02/14&amp;K01+039
&amp;R&amp;8Vyplnený záznam má dôverný charakter a bude 
s ním zaobchádzané ako s dokumentom kategórie &amp;"-,Bold"&amp;KFF0000DÔVERNÝ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0" tint="-0.499984740745262"/>
  </sheetPr>
  <dimension ref="A1:AR118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1" sqref="B21"/>
    </sheetView>
  </sheetViews>
  <sheetFormatPr defaultColWidth="9.140625" defaultRowHeight="12.75" x14ac:dyDescent="0.2"/>
  <cols>
    <col min="1" max="1" width="56.42578125" style="24" bestFit="1" customWidth="1"/>
    <col min="2" max="2" width="17.42578125" style="24" customWidth="1"/>
    <col min="3" max="3" width="9.140625" style="24"/>
    <col min="4" max="4" width="31" style="24" bestFit="1" customWidth="1"/>
    <col min="5" max="5" width="9.85546875" style="24" bestFit="1" customWidth="1"/>
    <col min="6" max="6" width="21.85546875" style="24" bestFit="1" customWidth="1"/>
    <col min="7" max="7" width="4" style="24" bestFit="1" customWidth="1"/>
    <col min="8" max="8" width="11.42578125" style="24" bestFit="1" customWidth="1"/>
    <col min="9" max="9" width="37.42578125" style="24" bestFit="1" customWidth="1"/>
    <col min="10" max="10" width="12.42578125" style="24" bestFit="1" customWidth="1"/>
    <col min="11" max="17" width="8" style="24" customWidth="1"/>
    <col min="18" max="18" width="9.140625" style="24"/>
    <col min="19" max="19" width="12.7109375" style="24" bestFit="1" customWidth="1"/>
    <col min="20" max="20" width="5.85546875" style="24" customWidth="1"/>
    <col min="21" max="21" width="23.28515625" style="24" bestFit="1" customWidth="1"/>
    <col min="22" max="22" width="4.7109375" style="24" customWidth="1"/>
    <col min="23" max="24" width="5.7109375" style="24" customWidth="1"/>
    <col min="25" max="25" width="8.140625" style="24" customWidth="1"/>
    <col min="26" max="26" width="12.42578125" style="24" bestFit="1" customWidth="1"/>
    <col min="27" max="27" width="16.42578125" style="24" bestFit="1" customWidth="1"/>
    <col min="28" max="28" width="21.85546875" style="24" bestFit="1" customWidth="1"/>
    <col min="29" max="29" width="21.85546875" style="24" customWidth="1"/>
    <col min="30" max="30" width="8.5703125" style="24" customWidth="1"/>
    <col min="31" max="31" width="9.140625" style="24"/>
    <col min="32" max="32" width="27.5703125" style="24" bestFit="1" customWidth="1"/>
    <col min="33" max="33" width="9.140625" style="24"/>
    <col min="34" max="34" width="22.28515625" style="24" bestFit="1" customWidth="1"/>
    <col min="35" max="35" width="9.140625" style="24"/>
    <col min="36" max="36" width="16.42578125" style="24" bestFit="1" customWidth="1"/>
    <col min="37" max="37" width="11.7109375" style="24" bestFit="1" customWidth="1"/>
    <col min="38" max="41" width="9.140625" style="24"/>
    <col min="42" max="43" width="43.85546875" style="24" customWidth="1"/>
    <col min="44" max="44" width="10.85546875" style="24" bestFit="1" customWidth="1"/>
    <col min="45" max="16384" width="9.140625" style="24"/>
  </cols>
  <sheetData>
    <row r="1" spans="1:44" s="69" customFormat="1" x14ac:dyDescent="0.2">
      <c r="A1" s="69" t="s">
        <v>1</v>
      </c>
      <c r="B1" s="69" t="s">
        <v>0</v>
      </c>
      <c r="F1" s="69" t="s">
        <v>73</v>
      </c>
      <c r="J1" s="69" t="s">
        <v>125</v>
      </c>
      <c r="K1" s="69" t="s">
        <v>219</v>
      </c>
      <c r="L1" s="69" t="s">
        <v>220</v>
      </c>
      <c r="M1" s="69" t="s">
        <v>221</v>
      </c>
      <c r="N1" s="69" t="s">
        <v>222</v>
      </c>
      <c r="O1" s="69" t="s">
        <v>223</v>
      </c>
      <c r="P1" s="69" t="s">
        <v>224</v>
      </c>
      <c r="Q1" s="69" t="s">
        <v>127</v>
      </c>
      <c r="S1" s="69" t="s">
        <v>82</v>
      </c>
      <c r="U1" s="69" t="s">
        <v>122</v>
      </c>
      <c r="Z1" s="69" t="s">
        <v>113</v>
      </c>
      <c r="AA1" s="69" t="s">
        <v>115</v>
      </c>
      <c r="AB1" s="69" t="s">
        <v>73</v>
      </c>
      <c r="AE1" s="69" t="s">
        <v>130</v>
      </c>
      <c r="AH1" s="69" t="s">
        <v>143</v>
      </c>
      <c r="AJ1" s="69" t="s">
        <v>250</v>
      </c>
      <c r="AK1" s="69" t="s">
        <v>251</v>
      </c>
      <c r="AM1" s="69" t="s">
        <v>315</v>
      </c>
      <c r="AN1" s="69" t="s">
        <v>316</v>
      </c>
      <c r="AP1" s="69" t="s">
        <v>398</v>
      </c>
      <c r="AQ1" s="69" t="s">
        <v>106</v>
      </c>
      <c r="AR1" s="69" t="s">
        <v>107</v>
      </c>
    </row>
    <row r="2" spans="1:44" s="69" customFormat="1" x14ac:dyDescent="0.2">
      <c r="A2" s="24" t="s">
        <v>5</v>
      </c>
      <c r="B2" s="82" t="str">
        <f>IF(INPUT_WO_LABEL="","nedef.",INPUT_WO_LABEL)</f>
        <v>nedef.</v>
      </c>
      <c r="F2" s="71" t="s">
        <v>90</v>
      </c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S2" s="24" t="s">
        <v>74</v>
      </c>
      <c r="T2" s="24"/>
      <c r="U2" s="24" t="s">
        <v>124</v>
      </c>
      <c r="V2" s="24" t="s">
        <v>125</v>
      </c>
      <c r="W2" s="24">
        <v>7</v>
      </c>
      <c r="X2" s="24">
        <v>8</v>
      </c>
      <c r="Y2" s="24"/>
      <c r="Z2" s="24" t="s">
        <v>442</v>
      </c>
      <c r="AA2" s="24" t="s">
        <v>440</v>
      </c>
      <c r="AB2" s="71" t="s">
        <v>90</v>
      </c>
      <c r="AC2" s="24"/>
      <c r="AD2" s="24"/>
      <c r="AE2" s="24" t="s">
        <v>262</v>
      </c>
      <c r="AF2" s="24" t="s">
        <v>263</v>
      </c>
      <c r="AH2" s="24" t="s">
        <v>144</v>
      </c>
      <c r="AJ2" s="24" t="s">
        <v>252</v>
      </c>
      <c r="AK2" s="24" t="s">
        <v>253</v>
      </c>
      <c r="AM2" s="24" t="s">
        <v>404</v>
      </c>
      <c r="AN2" s="24">
        <v>0.41299999999999998</v>
      </c>
      <c r="AP2" s="24" t="s">
        <v>90</v>
      </c>
      <c r="AQ2" s="24"/>
      <c r="AR2" s="24"/>
    </row>
    <row r="3" spans="1:44" x14ac:dyDescent="0.2">
      <c r="A3" s="24" t="s">
        <v>72</v>
      </c>
      <c r="B3" s="81">
        <f>IF(INPUT_WO_PLANSTART="","",INPUT_WO_PLANSTART)</f>
        <v>45658</v>
      </c>
      <c r="D3" s="24" t="str">
        <f t="shared" ref="D3:D118" si="0">E3&amp;F3</f>
        <v>SDSAnalytik</v>
      </c>
      <c r="E3" s="24" t="s">
        <v>440</v>
      </c>
      <c r="F3" s="71" t="s">
        <v>236</v>
      </c>
      <c r="G3" s="24" t="s">
        <v>87</v>
      </c>
      <c r="H3" s="24" t="s">
        <v>74</v>
      </c>
      <c r="I3" s="24" t="s">
        <v>236</v>
      </c>
      <c r="J3" s="72">
        <v>0</v>
      </c>
      <c r="K3" s="72">
        <f t="shared" ref="K3" si="1">IF($J3=0,0,1.42*1.362)</f>
        <v>0</v>
      </c>
      <c r="L3" s="72">
        <f t="shared" ref="L3" si="2">IF($J3=0,0,2.88*1.362)</f>
        <v>0</v>
      </c>
      <c r="M3" s="72">
        <f t="shared" ref="M3" si="3">IF($J3=0,0,4.5*1.362)</f>
        <v>0</v>
      </c>
      <c r="N3" s="72">
        <f t="shared" ref="N3:N4" si="4">IF($J3=0,0,0.94*1.362)</f>
        <v>0</v>
      </c>
      <c r="O3" s="72">
        <f t="shared" ref="O3:O4" si="5">IF($J3=0,0,1.07*1.362)</f>
        <v>0</v>
      </c>
      <c r="P3" s="72">
        <f t="shared" ref="P3:P4" si="6">IF($J3=0,0,1.2*1.362)</f>
        <v>0</v>
      </c>
      <c r="Q3" s="72">
        <f t="shared" ref="Q3:Q50" si="7">J3*0.4*1.5</f>
        <v>0</v>
      </c>
      <c r="S3" s="24" t="s">
        <v>75</v>
      </c>
      <c r="U3" s="24" t="s">
        <v>121</v>
      </c>
      <c r="V3" s="24" t="s">
        <v>127</v>
      </c>
      <c r="W3" s="24">
        <v>14</v>
      </c>
      <c r="X3" s="24">
        <v>8</v>
      </c>
      <c r="Z3" s="24" t="s">
        <v>403</v>
      </c>
      <c r="AA3" s="24" t="s">
        <v>403</v>
      </c>
      <c r="AB3" s="71" t="s">
        <v>236</v>
      </c>
      <c r="AE3" s="24" t="s">
        <v>131</v>
      </c>
      <c r="AF3" s="24" t="s">
        <v>134</v>
      </c>
      <c r="AJ3" s="24" t="s">
        <v>254</v>
      </c>
      <c r="AK3" s="24" t="s">
        <v>255</v>
      </c>
      <c r="AM3" s="24" t="s">
        <v>403</v>
      </c>
      <c r="AN3" s="24">
        <v>0.40899999999999997</v>
      </c>
      <c r="AP3" s="24" t="s">
        <v>418</v>
      </c>
      <c r="AQ3" s="24" t="s">
        <v>415</v>
      </c>
      <c r="AR3" s="24" t="s">
        <v>158</v>
      </c>
    </row>
    <row r="4" spans="1:44" x14ac:dyDescent="0.2">
      <c r="A4" s="24" t="s">
        <v>3</v>
      </c>
      <c r="B4" s="24">
        <v>0.08</v>
      </c>
      <c r="D4" s="24" t="str">
        <f t="shared" si="0"/>
        <v>SDSAnalytik (junior)</v>
      </c>
      <c r="E4" s="24" t="s">
        <v>440</v>
      </c>
      <c r="F4" s="71" t="s">
        <v>237</v>
      </c>
      <c r="G4" s="24" t="s">
        <v>87</v>
      </c>
      <c r="H4" s="24" t="s">
        <v>74</v>
      </c>
      <c r="I4" s="24" t="s">
        <v>237</v>
      </c>
      <c r="J4" s="72">
        <v>0</v>
      </c>
      <c r="K4" s="72">
        <f>IF($J4=0,0,1.42*1.362)</f>
        <v>0</v>
      </c>
      <c r="L4" s="72">
        <f>IF($J4=0,0,2.88*1.362)</f>
        <v>0</v>
      </c>
      <c r="M4" s="72">
        <f>IF($J4=0,0,4.5*1.362)</f>
        <v>0</v>
      </c>
      <c r="N4" s="72">
        <f t="shared" si="4"/>
        <v>0</v>
      </c>
      <c r="O4" s="72">
        <f t="shared" si="5"/>
        <v>0</v>
      </c>
      <c r="P4" s="72">
        <f t="shared" si="6"/>
        <v>0</v>
      </c>
      <c r="Q4" s="72">
        <f t="shared" si="7"/>
        <v>0</v>
      </c>
      <c r="S4" s="24" t="s">
        <v>78</v>
      </c>
      <c r="U4" s="24" t="s">
        <v>225</v>
      </c>
      <c r="V4" s="24" t="s">
        <v>126</v>
      </c>
      <c r="W4" s="24">
        <v>8</v>
      </c>
      <c r="X4" s="24">
        <v>16</v>
      </c>
      <c r="Z4" s="24" t="s">
        <v>404</v>
      </c>
      <c r="AA4" s="24" t="s">
        <v>404</v>
      </c>
      <c r="AB4" s="71" t="s">
        <v>237</v>
      </c>
      <c r="AE4" s="24" t="s">
        <v>132</v>
      </c>
      <c r="AF4" s="24" t="s">
        <v>120</v>
      </c>
      <c r="AM4" s="24" t="s">
        <v>440</v>
      </c>
      <c r="AN4" s="24">
        <v>0.41799999999999998</v>
      </c>
      <c r="AP4" s="24" t="s">
        <v>419</v>
      </c>
      <c r="AQ4" s="24" t="s">
        <v>338</v>
      </c>
      <c r="AR4" s="24" t="s">
        <v>158</v>
      </c>
    </row>
    <row r="5" spans="1:44" x14ac:dyDescent="0.2">
      <c r="A5" s="24" t="s">
        <v>98</v>
      </c>
      <c r="B5" s="24">
        <v>0.18</v>
      </c>
      <c r="D5" s="24" t="str">
        <f t="shared" si="0"/>
        <v>SDSArchitekt softvérového riešenia</v>
      </c>
      <c r="E5" s="24" t="s">
        <v>440</v>
      </c>
      <c r="F5" s="71" t="s">
        <v>238</v>
      </c>
      <c r="G5" s="24" t="s">
        <v>87</v>
      </c>
      <c r="H5" s="24" t="s">
        <v>74</v>
      </c>
      <c r="I5" s="24" t="s">
        <v>238</v>
      </c>
      <c r="J5" s="72">
        <v>63.52</v>
      </c>
      <c r="K5" s="72">
        <f t="shared" ref="K5:K72" si="8">IF($J5=0,0,1.42*1.362)</f>
        <v>1.93404</v>
      </c>
      <c r="L5" s="72">
        <f t="shared" ref="L5:L72" si="9">IF($J5=0,0,2.88*1.362)</f>
        <v>3.9225600000000003</v>
      </c>
      <c r="M5" s="72">
        <f t="shared" ref="M5:M72" si="10">IF($J5=0,0,4.5*1.362)</f>
        <v>6.1290000000000004</v>
      </c>
      <c r="N5" s="72">
        <f>IF($J5=0,0,0.94*1.362)</f>
        <v>1.2802800000000001</v>
      </c>
      <c r="O5" s="72">
        <f>IF($J5=0,0,1.07*1.362)</f>
        <v>1.4573400000000003</v>
      </c>
      <c r="P5" s="72">
        <f>IF($J5=0,0,1.2*1.362)</f>
        <v>1.6344000000000001</v>
      </c>
      <c r="Q5" s="72">
        <f t="shared" si="7"/>
        <v>38.112000000000002</v>
      </c>
      <c r="S5" s="24" t="s">
        <v>97</v>
      </c>
      <c r="U5" s="24" t="s">
        <v>220</v>
      </c>
      <c r="V5" s="24" t="s">
        <v>126</v>
      </c>
      <c r="W5" s="24">
        <v>9</v>
      </c>
      <c r="X5" s="24">
        <v>24</v>
      </c>
      <c r="Z5" s="24" t="s">
        <v>441</v>
      </c>
      <c r="AA5" s="24" t="s">
        <v>259</v>
      </c>
      <c r="AB5" s="71" t="s">
        <v>238</v>
      </c>
      <c r="AE5" s="24" t="s">
        <v>133</v>
      </c>
      <c r="AF5" s="24" t="s">
        <v>128</v>
      </c>
      <c r="AM5" s="24" t="s">
        <v>442</v>
      </c>
      <c r="AN5" s="24">
        <v>0.40699999999999997</v>
      </c>
      <c r="AP5" s="24" t="s">
        <v>457</v>
      </c>
      <c r="AQ5" s="24" t="s">
        <v>451</v>
      </c>
      <c r="AR5" s="24" t="s">
        <v>158</v>
      </c>
    </row>
    <row r="6" spans="1:44" x14ac:dyDescent="0.2">
      <c r="A6" s="24" t="s">
        <v>235</v>
      </c>
      <c r="B6" s="24">
        <v>0.22500000000000001</v>
      </c>
      <c r="D6" s="24" t="str">
        <f t="shared" si="0"/>
        <v>SDSDokumentarista</v>
      </c>
      <c r="E6" s="24" t="s">
        <v>440</v>
      </c>
      <c r="F6" s="71" t="s">
        <v>239</v>
      </c>
      <c r="G6" s="24" t="s">
        <v>87</v>
      </c>
      <c r="H6" s="24" t="s">
        <v>74</v>
      </c>
      <c r="I6" s="24" t="s">
        <v>239</v>
      </c>
      <c r="J6" s="72">
        <v>0</v>
      </c>
      <c r="K6" s="72">
        <f t="shared" si="8"/>
        <v>0</v>
      </c>
      <c r="L6" s="72">
        <f t="shared" si="9"/>
        <v>0</v>
      </c>
      <c r="M6" s="72">
        <f t="shared" si="10"/>
        <v>0</v>
      </c>
      <c r="N6" s="72">
        <f t="shared" ref="N6:N69" si="11">IF($J6=0,0,0.94*1.362)</f>
        <v>0</v>
      </c>
      <c r="O6" s="72">
        <f t="shared" ref="O6:O69" si="12">IF($J6=0,0,1.07*1.362)</f>
        <v>0</v>
      </c>
      <c r="P6" s="72">
        <f t="shared" ref="P6:P69" si="13">IF($J6=0,0,1.2*1.362)</f>
        <v>0</v>
      </c>
      <c r="Q6" s="72">
        <f t="shared" si="7"/>
        <v>0</v>
      </c>
      <c r="U6" s="24" t="s">
        <v>226</v>
      </c>
      <c r="V6" s="24" t="s">
        <v>126</v>
      </c>
      <c r="W6" s="24">
        <v>10</v>
      </c>
      <c r="X6" s="24">
        <v>24</v>
      </c>
      <c r="Z6" s="24" t="s">
        <v>440</v>
      </c>
      <c r="AB6" s="71" t="s">
        <v>239</v>
      </c>
      <c r="AE6" s="24" t="s">
        <v>284</v>
      </c>
      <c r="AF6" s="24" t="s">
        <v>285</v>
      </c>
      <c r="AM6" s="24" t="s">
        <v>441</v>
      </c>
      <c r="AN6" s="24">
        <v>0.40500000000000003</v>
      </c>
      <c r="AP6" s="24" t="s">
        <v>456</v>
      </c>
      <c r="AQ6" s="24" t="s">
        <v>443</v>
      </c>
      <c r="AR6" s="24" t="s">
        <v>158</v>
      </c>
    </row>
    <row r="7" spans="1:44" x14ac:dyDescent="0.2">
      <c r="A7" s="24" t="s">
        <v>71</v>
      </c>
      <c r="B7" s="73">
        <f>1440000/103174</f>
        <v>13.95700467171962</v>
      </c>
      <c r="D7" s="24" t="str">
        <f t="shared" si="0"/>
        <v>SDSIT špecialista</v>
      </c>
      <c r="E7" s="24" t="s">
        <v>440</v>
      </c>
      <c r="F7" s="71" t="s">
        <v>240</v>
      </c>
      <c r="G7" s="24" t="s">
        <v>87</v>
      </c>
      <c r="H7" s="24" t="s">
        <v>74</v>
      </c>
      <c r="I7" s="24" t="s">
        <v>240</v>
      </c>
      <c r="J7" s="72">
        <v>0</v>
      </c>
      <c r="K7" s="72">
        <f t="shared" si="8"/>
        <v>0</v>
      </c>
      <c r="L7" s="72">
        <f t="shared" si="9"/>
        <v>0</v>
      </c>
      <c r="M7" s="72">
        <f t="shared" si="10"/>
        <v>0</v>
      </c>
      <c r="N7" s="72">
        <f t="shared" si="11"/>
        <v>0</v>
      </c>
      <c r="O7" s="72">
        <f t="shared" si="12"/>
        <v>0</v>
      </c>
      <c r="P7" s="72">
        <f t="shared" si="13"/>
        <v>0</v>
      </c>
      <c r="Q7" s="72">
        <f t="shared" si="7"/>
        <v>0</v>
      </c>
      <c r="U7" s="24" t="s">
        <v>227</v>
      </c>
      <c r="V7" s="24" t="s">
        <v>126</v>
      </c>
      <c r="W7" s="24">
        <v>11</v>
      </c>
      <c r="X7" s="24">
        <v>16</v>
      </c>
      <c r="AB7" s="71" t="s">
        <v>240</v>
      </c>
      <c r="AP7" s="24" t="s">
        <v>455</v>
      </c>
      <c r="AQ7" s="24" t="s">
        <v>435</v>
      </c>
      <c r="AR7" s="24" t="s">
        <v>158</v>
      </c>
    </row>
    <row r="8" spans="1:44" x14ac:dyDescent="0.2">
      <c r="A8" s="24" t="s">
        <v>150</v>
      </c>
      <c r="B8" s="24" t="s">
        <v>449</v>
      </c>
      <c r="D8" s="24" t="str">
        <f t="shared" si="0"/>
        <v>SDSIT špecialista (junior)</v>
      </c>
      <c r="E8" s="24" t="s">
        <v>440</v>
      </c>
      <c r="F8" s="71" t="s">
        <v>241</v>
      </c>
      <c r="G8" s="24" t="s">
        <v>87</v>
      </c>
      <c r="H8" s="24" t="s">
        <v>74</v>
      </c>
      <c r="I8" s="24" t="s">
        <v>241</v>
      </c>
      <c r="J8" s="72">
        <v>0</v>
      </c>
      <c r="K8" s="72">
        <f t="shared" si="8"/>
        <v>0</v>
      </c>
      <c r="L8" s="72">
        <f t="shared" si="9"/>
        <v>0</v>
      </c>
      <c r="M8" s="72">
        <f t="shared" si="10"/>
        <v>0</v>
      </c>
      <c r="N8" s="72">
        <f t="shared" si="11"/>
        <v>0</v>
      </c>
      <c r="O8" s="72">
        <f t="shared" si="12"/>
        <v>0</v>
      </c>
      <c r="P8" s="72">
        <f t="shared" si="13"/>
        <v>0</v>
      </c>
      <c r="Q8" s="72">
        <f t="shared" si="7"/>
        <v>0</v>
      </c>
      <c r="U8" s="24" t="s">
        <v>223</v>
      </c>
      <c r="V8" s="24" t="s">
        <v>126</v>
      </c>
      <c r="W8" s="24">
        <v>12</v>
      </c>
      <c r="X8" s="24">
        <v>24</v>
      </c>
      <c r="AB8" s="71" t="s">
        <v>241</v>
      </c>
      <c r="AP8" s="24" t="s">
        <v>454</v>
      </c>
      <c r="AQ8" s="24" t="s">
        <v>434</v>
      </c>
      <c r="AR8" s="24" t="s">
        <v>158</v>
      </c>
    </row>
    <row r="9" spans="1:44" x14ac:dyDescent="0.2">
      <c r="A9" s="24" t="s">
        <v>151</v>
      </c>
      <c r="B9" s="24" t="s">
        <v>153</v>
      </c>
      <c r="D9" s="24" t="str">
        <f t="shared" si="0"/>
        <v>SDSKontrakt manažér</v>
      </c>
      <c r="E9" s="24" t="s">
        <v>440</v>
      </c>
      <c r="F9" s="71" t="s">
        <v>242</v>
      </c>
      <c r="G9" s="24" t="s">
        <v>87</v>
      </c>
      <c r="H9" s="24" t="s">
        <v>74</v>
      </c>
      <c r="I9" s="24" t="s">
        <v>242</v>
      </c>
      <c r="J9" s="72">
        <v>57.13</v>
      </c>
      <c r="K9" s="72">
        <f t="shared" si="8"/>
        <v>1.93404</v>
      </c>
      <c r="L9" s="72">
        <f t="shared" si="9"/>
        <v>3.9225600000000003</v>
      </c>
      <c r="M9" s="72">
        <f t="shared" si="10"/>
        <v>6.1290000000000004</v>
      </c>
      <c r="N9" s="72">
        <f t="shared" si="11"/>
        <v>1.2802800000000001</v>
      </c>
      <c r="O9" s="72">
        <f t="shared" si="12"/>
        <v>1.4573400000000003</v>
      </c>
      <c r="P9" s="72">
        <f t="shared" si="13"/>
        <v>1.6344000000000001</v>
      </c>
      <c r="Q9" s="72">
        <f t="shared" si="7"/>
        <v>34.278000000000006</v>
      </c>
      <c r="U9" s="24" t="s">
        <v>228</v>
      </c>
      <c r="V9" s="24" t="s">
        <v>126</v>
      </c>
      <c r="W9" s="24">
        <v>13</v>
      </c>
      <c r="X9" s="24">
        <v>24</v>
      </c>
      <c r="AB9" s="71" t="s">
        <v>242</v>
      </c>
      <c r="AP9" s="24" t="s">
        <v>453</v>
      </c>
      <c r="AQ9" s="24" t="s">
        <v>452</v>
      </c>
      <c r="AR9" s="24" t="s">
        <v>158</v>
      </c>
    </row>
    <row r="10" spans="1:44" x14ac:dyDescent="0.2">
      <c r="A10" s="24" t="s">
        <v>152</v>
      </c>
      <c r="B10" s="24" t="s">
        <v>154</v>
      </c>
      <c r="D10" s="24" t="str">
        <f t="shared" si="0"/>
        <v>SDSKonzultant (junior)</v>
      </c>
      <c r="E10" s="24" t="s">
        <v>440</v>
      </c>
      <c r="F10" s="71" t="s">
        <v>243</v>
      </c>
      <c r="G10" s="24" t="s">
        <v>87</v>
      </c>
      <c r="H10" s="24" t="s">
        <v>74</v>
      </c>
      <c r="I10" s="24" t="s">
        <v>243</v>
      </c>
      <c r="J10" s="72">
        <v>43.37</v>
      </c>
      <c r="K10" s="72">
        <f t="shared" si="8"/>
        <v>1.93404</v>
      </c>
      <c r="L10" s="72">
        <f t="shared" si="9"/>
        <v>3.9225600000000003</v>
      </c>
      <c r="M10" s="72">
        <f t="shared" si="10"/>
        <v>6.1290000000000004</v>
      </c>
      <c r="N10" s="72">
        <f t="shared" si="11"/>
        <v>1.2802800000000001</v>
      </c>
      <c r="O10" s="72">
        <f t="shared" si="12"/>
        <v>1.4573400000000003</v>
      </c>
      <c r="P10" s="72">
        <f t="shared" si="13"/>
        <v>1.6344000000000001</v>
      </c>
      <c r="Q10" s="72">
        <f t="shared" si="7"/>
        <v>26.021999999999998</v>
      </c>
      <c r="U10" s="24">
        <v>0</v>
      </c>
      <c r="V10" s="24">
        <v>0</v>
      </c>
      <c r="W10" s="24">
        <v>7</v>
      </c>
      <c r="AB10" s="71" t="s">
        <v>243</v>
      </c>
      <c r="AP10" s="24" t="s">
        <v>420</v>
      </c>
      <c r="AQ10" s="24" t="s">
        <v>374</v>
      </c>
      <c r="AR10" s="24" t="s">
        <v>158</v>
      </c>
    </row>
    <row r="11" spans="1:44" x14ac:dyDescent="0.2">
      <c r="D11" s="24" t="str">
        <f t="shared" si="0"/>
        <v>SDSKonzultant</v>
      </c>
      <c r="E11" s="24" t="s">
        <v>440</v>
      </c>
      <c r="F11" s="71" t="s">
        <v>244</v>
      </c>
      <c r="G11" s="24" t="s">
        <v>87</v>
      </c>
      <c r="H11" s="24" t="s">
        <v>74</v>
      </c>
      <c r="I11" s="24" t="s">
        <v>244</v>
      </c>
      <c r="J11" s="72">
        <v>0</v>
      </c>
      <c r="K11" s="72">
        <f t="shared" si="8"/>
        <v>0</v>
      </c>
      <c r="L11" s="72">
        <f t="shared" si="9"/>
        <v>0</v>
      </c>
      <c r="M11" s="72">
        <f t="shared" si="10"/>
        <v>0</v>
      </c>
      <c r="N11" s="72">
        <f t="shared" si="11"/>
        <v>0</v>
      </c>
      <c r="O11" s="72">
        <f t="shared" si="12"/>
        <v>0</v>
      </c>
      <c r="P11" s="72">
        <f t="shared" si="13"/>
        <v>0</v>
      </c>
      <c r="Q11" s="72">
        <f t="shared" si="7"/>
        <v>0</v>
      </c>
      <c r="AB11" s="71" t="s">
        <v>244</v>
      </c>
      <c r="AP11" s="24" t="s">
        <v>438</v>
      </c>
      <c r="AQ11" s="24" t="s">
        <v>436</v>
      </c>
      <c r="AR11" s="24" t="s">
        <v>158</v>
      </c>
    </row>
    <row r="12" spans="1:44" x14ac:dyDescent="0.2">
      <c r="D12" s="24" t="str">
        <f t="shared" si="0"/>
        <v>SDSProgramátor (junior)</v>
      </c>
      <c r="E12" s="24" t="s">
        <v>440</v>
      </c>
      <c r="F12" s="71" t="s">
        <v>245</v>
      </c>
      <c r="G12" s="24" t="s">
        <v>87</v>
      </c>
      <c r="H12" s="24" t="s">
        <v>74</v>
      </c>
      <c r="I12" s="24" t="s">
        <v>245</v>
      </c>
      <c r="J12" s="72">
        <v>46.89</v>
      </c>
      <c r="K12" s="72">
        <f t="shared" si="8"/>
        <v>1.93404</v>
      </c>
      <c r="L12" s="72">
        <f t="shared" si="9"/>
        <v>3.9225600000000003</v>
      </c>
      <c r="M12" s="72">
        <f t="shared" si="10"/>
        <v>6.1290000000000004</v>
      </c>
      <c r="N12" s="72">
        <f t="shared" si="11"/>
        <v>1.2802800000000001</v>
      </c>
      <c r="O12" s="72">
        <f t="shared" si="12"/>
        <v>1.4573400000000003</v>
      </c>
      <c r="P12" s="72">
        <f t="shared" si="13"/>
        <v>1.6344000000000001</v>
      </c>
      <c r="Q12" s="72">
        <f t="shared" si="7"/>
        <v>28.134</v>
      </c>
      <c r="AB12" s="71" t="s">
        <v>245</v>
      </c>
      <c r="AP12" s="24" t="s">
        <v>447</v>
      </c>
      <c r="AQ12" s="24" t="s">
        <v>444</v>
      </c>
      <c r="AR12" s="24" t="s">
        <v>158</v>
      </c>
    </row>
    <row r="13" spans="1:44" x14ac:dyDescent="0.2">
      <c r="A13" s="71" t="s">
        <v>77</v>
      </c>
      <c r="D13" s="24" t="str">
        <f t="shared" si="0"/>
        <v>SDSProgramátor</v>
      </c>
      <c r="E13" s="24" t="s">
        <v>440</v>
      </c>
      <c r="F13" s="71" t="s">
        <v>246</v>
      </c>
      <c r="G13" s="24" t="s">
        <v>87</v>
      </c>
      <c r="H13" s="24" t="s">
        <v>74</v>
      </c>
      <c r="I13" s="24" t="s">
        <v>246</v>
      </c>
      <c r="J13" s="72">
        <v>56.92</v>
      </c>
      <c r="K13" s="72">
        <f t="shared" si="8"/>
        <v>1.93404</v>
      </c>
      <c r="L13" s="72">
        <f t="shared" si="9"/>
        <v>3.9225600000000003</v>
      </c>
      <c r="M13" s="72">
        <f t="shared" si="10"/>
        <v>6.1290000000000004</v>
      </c>
      <c r="N13" s="72">
        <f t="shared" si="11"/>
        <v>1.2802800000000001</v>
      </c>
      <c r="O13" s="72">
        <f t="shared" si="12"/>
        <v>1.4573400000000003</v>
      </c>
      <c r="P13" s="72">
        <f t="shared" si="13"/>
        <v>1.6344000000000001</v>
      </c>
      <c r="Q13" s="72">
        <f t="shared" si="7"/>
        <v>34.152000000000001</v>
      </c>
      <c r="AB13" s="71" t="s">
        <v>246</v>
      </c>
      <c r="AP13" s="24" t="s">
        <v>448</v>
      </c>
      <c r="AQ13" s="24" t="s">
        <v>445</v>
      </c>
      <c r="AR13" s="24" t="s">
        <v>158</v>
      </c>
    </row>
    <row r="14" spans="1:44" x14ac:dyDescent="0.2">
      <c r="A14" s="74" t="s">
        <v>89</v>
      </c>
      <c r="D14" s="24" t="str">
        <f t="shared" si="0"/>
        <v>SDSProjektový manažér (junior)</v>
      </c>
      <c r="E14" s="24" t="s">
        <v>440</v>
      </c>
      <c r="F14" s="71" t="s">
        <v>247</v>
      </c>
      <c r="G14" s="24" t="s">
        <v>87</v>
      </c>
      <c r="H14" s="24" t="s">
        <v>74</v>
      </c>
      <c r="I14" s="24" t="s">
        <v>247</v>
      </c>
      <c r="J14" s="72">
        <v>55.56</v>
      </c>
      <c r="K14" s="72">
        <f t="shared" si="8"/>
        <v>1.93404</v>
      </c>
      <c r="L14" s="72">
        <f t="shared" si="9"/>
        <v>3.9225600000000003</v>
      </c>
      <c r="M14" s="72">
        <f t="shared" si="10"/>
        <v>6.1290000000000004</v>
      </c>
      <c r="N14" s="72">
        <f t="shared" si="11"/>
        <v>1.2802800000000001</v>
      </c>
      <c r="O14" s="72">
        <f t="shared" si="12"/>
        <v>1.4573400000000003</v>
      </c>
      <c r="P14" s="72">
        <f t="shared" si="13"/>
        <v>1.6344000000000001</v>
      </c>
      <c r="Q14" s="72">
        <f t="shared" si="7"/>
        <v>33.336000000000006</v>
      </c>
      <c r="AB14" s="71" t="s">
        <v>247</v>
      </c>
      <c r="AP14" s="24" t="s">
        <v>439</v>
      </c>
      <c r="AQ14" s="24" t="s">
        <v>163</v>
      </c>
      <c r="AR14" s="24" t="s">
        <v>158</v>
      </c>
    </row>
    <row r="15" spans="1:44" x14ac:dyDescent="0.2">
      <c r="D15" s="24" t="str">
        <f t="shared" si="0"/>
        <v>SDSProjektový manažér</v>
      </c>
      <c r="E15" s="24" t="s">
        <v>440</v>
      </c>
      <c r="F15" s="71" t="s">
        <v>248</v>
      </c>
      <c r="G15" s="24" t="s">
        <v>87</v>
      </c>
      <c r="H15" s="24" t="s">
        <v>74</v>
      </c>
      <c r="I15" s="24" t="s">
        <v>248</v>
      </c>
      <c r="J15" s="72">
        <v>59.21</v>
      </c>
      <c r="K15" s="72">
        <f t="shared" si="8"/>
        <v>1.93404</v>
      </c>
      <c r="L15" s="72">
        <f t="shared" si="9"/>
        <v>3.9225600000000003</v>
      </c>
      <c r="M15" s="72">
        <f t="shared" si="10"/>
        <v>6.1290000000000004</v>
      </c>
      <c r="N15" s="72">
        <f t="shared" si="11"/>
        <v>1.2802800000000001</v>
      </c>
      <c r="O15" s="72">
        <f t="shared" si="12"/>
        <v>1.4573400000000003</v>
      </c>
      <c r="P15" s="72">
        <f t="shared" si="13"/>
        <v>1.6344000000000001</v>
      </c>
      <c r="Q15" s="72">
        <f t="shared" si="7"/>
        <v>35.526000000000003</v>
      </c>
      <c r="AB15" s="71" t="s">
        <v>248</v>
      </c>
      <c r="AP15" s="24" t="s">
        <v>421</v>
      </c>
      <c r="AQ15" s="24" t="s">
        <v>378</v>
      </c>
      <c r="AR15" s="24" t="s">
        <v>158</v>
      </c>
    </row>
    <row r="16" spans="1:44" x14ac:dyDescent="0.2">
      <c r="A16" s="24" t="s">
        <v>159</v>
      </c>
      <c r="D16" s="24" t="str">
        <f t="shared" si="0"/>
        <v>SDSProjektový koordinátor</v>
      </c>
      <c r="E16" s="24" t="s">
        <v>440</v>
      </c>
      <c r="F16" s="71" t="s">
        <v>431</v>
      </c>
      <c r="G16" s="24" t="s">
        <v>87</v>
      </c>
      <c r="H16" s="24" t="s">
        <v>74</v>
      </c>
      <c r="I16" s="24" t="s">
        <v>431</v>
      </c>
      <c r="J16" s="72">
        <v>29.81</v>
      </c>
      <c r="K16" s="72">
        <f t="shared" si="8"/>
        <v>1.93404</v>
      </c>
      <c r="L16" s="72">
        <f t="shared" si="9"/>
        <v>3.9225600000000003</v>
      </c>
      <c r="M16" s="72">
        <f t="shared" si="10"/>
        <v>6.1290000000000004</v>
      </c>
      <c r="N16" s="72">
        <f t="shared" si="11"/>
        <v>1.2802800000000001</v>
      </c>
      <c r="O16" s="72">
        <f t="shared" si="12"/>
        <v>1.4573400000000003</v>
      </c>
      <c r="P16" s="72">
        <f t="shared" si="13"/>
        <v>1.6344000000000001</v>
      </c>
      <c r="Q16" s="72">
        <f t="shared" si="7"/>
        <v>17.885999999999999</v>
      </c>
      <c r="AB16" s="71" t="s">
        <v>431</v>
      </c>
      <c r="AP16" s="24" t="s">
        <v>422</v>
      </c>
      <c r="AQ16" s="24" t="s">
        <v>401</v>
      </c>
      <c r="AR16" s="24" t="s">
        <v>158</v>
      </c>
    </row>
    <row r="17" spans="1:44" x14ac:dyDescent="0.2">
      <c r="A17" s="24" t="s">
        <v>93</v>
      </c>
      <c r="D17" s="24" t="str">
        <f t="shared" ref="D17" si="14">E17&amp;F17</f>
        <v>SDSTester</v>
      </c>
      <c r="E17" s="24" t="s">
        <v>440</v>
      </c>
      <c r="F17" s="71" t="s">
        <v>249</v>
      </c>
      <c r="G17" s="24" t="s">
        <v>87</v>
      </c>
      <c r="H17" s="24" t="s">
        <v>74</v>
      </c>
      <c r="I17" s="24" t="s">
        <v>249</v>
      </c>
      <c r="J17" s="72">
        <v>40.56</v>
      </c>
      <c r="K17" s="72">
        <f t="shared" si="8"/>
        <v>1.93404</v>
      </c>
      <c r="L17" s="72">
        <f t="shared" si="9"/>
        <v>3.9225600000000003</v>
      </c>
      <c r="M17" s="72">
        <f t="shared" si="10"/>
        <v>6.1290000000000004</v>
      </c>
      <c r="N17" s="72">
        <f t="shared" si="11"/>
        <v>1.2802800000000001</v>
      </c>
      <c r="O17" s="72">
        <f t="shared" si="12"/>
        <v>1.4573400000000003</v>
      </c>
      <c r="P17" s="72">
        <f t="shared" si="13"/>
        <v>1.6344000000000001</v>
      </c>
      <c r="Q17" s="72">
        <f t="shared" ref="Q17" si="15">J17*0.4*1.5</f>
        <v>24.335999999999999</v>
      </c>
      <c r="AB17" s="71" t="s">
        <v>249</v>
      </c>
      <c r="AP17" s="24" t="s">
        <v>381</v>
      </c>
      <c r="AQ17" s="24" t="s">
        <v>381</v>
      </c>
      <c r="AR17" s="24" t="s">
        <v>74</v>
      </c>
    </row>
    <row r="18" spans="1:44" x14ac:dyDescent="0.2">
      <c r="A18" s="24" t="s">
        <v>94</v>
      </c>
      <c r="D18" s="189" t="str">
        <f t="shared" si="0"/>
        <v>SDSProgramátor (študent)</v>
      </c>
      <c r="E18" s="189" t="s">
        <v>440</v>
      </c>
      <c r="F18" s="190" t="s">
        <v>450</v>
      </c>
      <c r="G18" s="189" t="s">
        <v>87</v>
      </c>
      <c r="H18" s="189" t="s">
        <v>74</v>
      </c>
      <c r="I18" s="189" t="s">
        <v>450</v>
      </c>
      <c r="J18" s="191">
        <v>16.43</v>
      </c>
      <c r="K18" s="191">
        <f t="shared" si="8"/>
        <v>1.93404</v>
      </c>
      <c r="L18" s="191">
        <f t="shared" si="9"/>
        <v>3.9225600000000003</v>
      </c>
      <c r="M18" s="191">
        <f t="shared" si="10"/>
        <v>6.1290000000000004</v>
      </c>
      <c r="N18" s="191">
        <f t="shared" si="11"/>
        <v>1.2802800000000001</v>
      </c>
      <c r="O18" s="191">
        <f t="shared" si="12"/>
        <v>1.4573400000000003</v>
      </c>
      <c r="P18" s="191">
        <f t="shared" si="13"/>
        <v>1.6344000000000001</v>
      </c>
      <c r="Q18" s="191">
        <f t="shared" si="7"/>
        <v>9.8580000000000005</v>
      </c>
      <c r="AB18" s="71" t="s">
        <v>450</v>
      </c>
      <c r="AP18" s="24" t="s">
        <v>382</v>
      </c>
      <c r="AQ18" s="24" t="s">
        <v>382</v>
      </c>
      <c r="AR18" s="24" t="s">
        <v>74</v>
      </c>
    </row>
    <row r="19" spans="1:44" x14ac:dyDescent="0.2">
      <c r="A19" s="24" t="s">
        <v>160</v>
      </c>
      <c r="D19" s="24" t="str">
        <f t="shared" si="0"/>
        <v>EUMAnalytik</v>
      </c>
      <c r="E19" s="24" t="s">
        <v>403</v>
      </c>
      <c r="F19" s="71" t="s">
        <v>236</v>
      </c>
      <c r="G19" s="24" t="s">
        <v>87</v>
      </c>
      <c r="H19" s="24" t="s">
        <v>74</v>
      </c>
      <c r="I19" s="24" t="s">
        <v>236</v>
      </c>
      <c r="J19" s="72">
        <v>58.71</v>
      </c>
      <c r="K19" s="72">
        <f t="shared" si="8"/>
        <v>1.93404</v>
      </c>
      <c r="L19" s="72">
        <f t="shared" si="9"/>
        <v>3.9225600000000003</v>
      </c>
      <c r="M19" s="72">
        <f t="shared" si="10"/>
        <v>6.1290000000000004</v>
      </c>
      <c r="N19" s="72">
        <f t="shared" si="11"/>
        <v>1.2802800000000001</v>
      </c>
      <c r="O19" s="72">
        <f t="shared" si="12"/>
        <v>1.4573400000000003</v>
      </c>
      <c r="P19" s="72">
        <f t="shared" si="13"/>
        <v>1.6344000000000001</v>
      </c>
      <c r="Q19" s="72">
        <f t="shared" si="7"/>
        <v>35.225999999999999</v>
      </c>
      <c r="AB19" s="71" t="s">
        <v>373</v>
      </c>
      <c r="AP19" s="24" t="s">
        <v>383</v>
      </c>
      <c r="AQ19" s="24" t="s">
        <v>383</v>
      </c>
      <c r="AR19" s="24" t="s">
        <v>74</v>
      </c>
    </row>
    <row r="20" spans="1:44" x14ac:dyDescent="0.2">
      <c r="A20" s="24" t="s">
        <v>161</v>
      </c>
      <c r="D20" s="24" t="str">
        <f t="shared" si="0"/>
        <v>EUMAnalytik (junior)</v>
      </c>
      <c r="E20" s="24" t="s">
        <v>403</v>
      </c>
      <c r="F20" s="71" t="s">
        <v>237</v>
      </c>
      <c r="G20" s="24" t="s">
        <v>87</v>
      </c>
      <c r="H20" s="24" t="s">
        <v>74</v>
      </c>
      <c r="I20" s="24" t="s">
        <v>237</v>
      </c>
      <c r="J20" s="72">
        <v>0</v>
      </c>
      <c r="K20" s="72">
        <f t="shared" si="8"/>
        <v>0</v>
      </c>
      <c r="L20" s="72">
        <f t="shared" si="9"/>
        <v>0</v>
      </c>
      <c r="M20" s="72">
        <f t="shared" si="10"/>
        <v>0</v>
      </c>
      <c r="N20" s="72">
        <f t="shared" si="11"/>
        <v>0</v>
      </c>
      <c r="O20" s="72">
        <f t="shared" si="12"/>
        <v>0</v>
      </c>
      <c r="P20" s="72">
        <f t="shared" si="13"/>
        <v>0</v>
      </c>
      <c r="Q20" s="72">
        <f t="shared" si="7"/>
        <v>0</v>
      </c>
      <c r="AB20" s="71" t="s">
        <v>61</v>
      </c>
      <c r="AP20" s="24" t="s">
        <v>384</v>
      </c>
      <c r="AQ20" s="24" t="s">
        <v>384</v>
      </c>
      <c r="AR20" s="24" t="s">
        <v>74</v>
      </c>
    </row>
    <row r="21" spans="1:44" x14ac:dyDescent="0.2">
      <c r="A21" s="24" t="s">
        <v>112</v>
      </c>
      <c r="D21" s="24" t="str">
        <f t="shared" si="0"/>
        <v>EUMArchitekt softvérového riešenia</v>
      </c>
      <c r="E21" s="24" t="s">
        <v>403</v>
      </c>
      <c r="F21" s="71" t="s">
        <v>238</v>
      </c>
      <c r="G21" s="24" t="s">
        <v>87</v>
      </c>
      <c r="H21" s="24" t="s">
        <v>74</v>
      </c>
      <c r="I21" s="24" t="s">
        <v>238</v>
      </c>
      <c r="J21" s="72">
        <v>68.099999999999994</v>
      </c>
      <c r="K21" s="72">
        <f t="shared" si="8"/>
        <v>1.93404</v>
      </c>
      <c r="L21" s="72">
        <f t="shared" si="9"/>
        <v>3.9225600000000003</v>
      </c>
      <c r="M21" s="72">
        <f t="shared" si="10"/>
        <v>6.1290000000000004</v>
      </c>
      <c r="N21" s="72">
        <f t="shared" si="11"/>
        <v>1.2802800000000001</v>
      </c>
      <c r="O21" s="72">
        <f t="shared" si="12"/>
        <v>1.4573400000000003</v>
      </c>
      <c r="P21" s="72">
        <f t="shared" si="13"/>
        <v>1.6344000000000001</v>
      </c>
      <c r="Q21" s="72">
        <f t="shared" si="7"/>
        <v>40.86</v>
      </c>
      <c r="AB21" s="71" t="s">
        <v>62</v>
      </c>
      <c r="AP21" s="24" t="s">
        <v>385</v>
      </c>
      <c r="AQ21" s="24" t="s">
        <v>385</v>
      </c>
      <c r="AR21" s="24" t="s">
        <v>74</v>
      </c>
    </row>
    <row r="22" spans="1:44" x14ac:dyDescent="0.2">
      <c r="D22" s="24" t="str">
        <f t="shared" si="0"/>
        <v>EUMDokumentarista</v>
      </c>
      <c r="E22" s="24" t="s">
        <v>403</v>
      </c>
      <c r="F22" s="71" t="s">
        <v>239</v>
      </c>
      <c r="G22" s="24" t="s">
        <v>87</v>
      </c>
      <c r="H22" s="24" t="s">
        <v>74</v>
      </c>
      <c r="I22" s="24" t="s">
        <v>239</v>
      </c>
      <c r="J22" s="72">
        <v>37.450000000000003</v>
      </c>
      <c r="K22" s="72">
        <f t="shared" si="8"/>
        <v>1.93404</v>
      </c>
      <c r="L22" s="72">
        <f t="shared" si="9"/>
        <v>3.9225600000000003</v>
      </c>
      <c r="M22" s="72">
        <f t="shared" si="10"/>
        <v>6.1290000000000004</v>
      </c>
      <c r="N22" s="72">
        <f t="shared" si="11"/>
        <v>1.2802800000000001</v>
      </c>
      <c r="O22" s="72">
        <f t="shared" si="12"/>
        <v>1.4573400000000003</v>
      </c>
      <c r="P22" s="72">
        <f t="shared" si="13"/>
        <v>1.6344000000000001</v>
      </c>
      <c r="Q22" s="72">
        <f t="shared" si="7"/>
        <v>22.470000000000002</v>
      </c>
      <c r="AB22" s="71" t="s">
        <v>63</v>
      </c>
      <c r="AP22" s="24" t="s">
        <v>386</v>
      </c>
      <c r="AQ22" s="24" t="s">
        <v>386</v>
      </c>
      <c r="AR22" s="24" t="s">
        <v>74</v>
      </c>
    </row>
    <row r="23" spans="1:44" x14ac:dyDescent="0.2">
      <c r="A23" s="24" t="s">
        <v>312</v>
      </c>
      <c r="D23" s="24" t="str">
        <f t="shared" si="0"/>
        <v>EUMIT špecialista</v>
      </c>
      <c r="E23" s="24" t="s">
        <v>403</v>
      </c>
      <c r="F23" s="71" t="s">
        <v>240</v>
      </c>
      <c r="G23" s="24" t="s">
        <v>87</v>
      </c>
      <c r="H23" s="24" t="s">
        <v>74</v>
      </c>
      <c r="I23" s="24" t="s">
        <v>240</v>
      </c>
      <c r="J23" s="72">
        <v>0</v>
      </c>
      <c r="K23" s="72">
        <f t="shared" si="8"/>
        <v>0</v>
      </c>
      <c r="L23" s="72">
        <f t="shared" si="9"/>
        <v>0</v>
      </c>
      <c r="M23" s="72">
        <f t="shared" si="10"/>
        <v>0</v>
      </c>
      <c r="N23" s="72">
        <f t="shared" si="11"/>
        <v>0</v>
      </c>
      <c r="O23" s="72">
        <f t="shared" si="12"/>
        <v>0</v>
      </c>
      <c r="P23" s="72">
        <f t="shared" si="13"/>
        <v>0</v>
      </c>
      <c r="Q23" s="72">
        <f t="shared" si="7"/>
        <v>0</v>
      </c>
      <c r="AB23" s="71" t="s">
        <v>64</v>
      </c>
      <c r="AP23" s="24" t="s">
        <v>387</v>
      </c>
      <c r="AQ23" s="24" t="s">
        <v>387</v>
      </c>
      <c r="AR23" s="24" t="s">
        <v>74</v>
      </c>
    </row>
    <row r="24" spans="1:44" ht="15" x14ac:dyDescent="0.25">
      <c r="A24" s="24" t="s">
        <v>242</v>
      </c>
      <c r="B24"/>
      <c r="D24" s="24" t="str">
        <f t="shared" si="0"/>
        <v>EUMIT špecialista (junior)</v>
      </c>
      <c r="E24" s="24" t="s">
        <v>403</v>
      </c>
      <c r="F24" s="71" t="s">
        <v>241</v>
      </c>
      <c r="G24" s="24" t="s">
        <v>87</v>
      </c>
      <c r="H24" s="24" t="s">
        <v>74</v>
      </c>
      <c r="I24" s="24" t="s">
        <v>241</v>
      </c>
      <c r="J24" s="72">
        <v>0</v>
      </c>
      <c r="K24" s="72">
        <f t="shared" si="8"/>
        <v>0</v>
      </c>
      <c r="L24" s="72">
        <f t="shared" si="9"/>
        <v>0</v>
      </c>
      <c r="M24" s="72">
        <f t="shared" si="10"/>
        <v>0</v>
      </c>
      <c r="N24" s="72">
        <f t="shared" si="11"/>
        <v>0</v>
      </c>
      <c r="O24" s="72">
        <f t="shared" si="12"/>
        <v>0</v>
      </c>
      <c r="P24" s="72">
        <f t="shared" si="13"/>
        <v>0</v>
      </c>
      <c r="Q24" s="72">
        <f t="shared" si="7"/>
        <v>0</v>
      </c>
      <c r="AB24" s="71" t="s">
        <v>81</v>
      </c>
      <c r="AP24" s="24" t="s">
        <v>388</v>
      </c>
      <c r="AQ24" s="24" t="s">
        <v>388</v>
      </c>
      <c r="AR24" s="24" t="s">
        <v>74</v>
      </c>
    </row>
    <row r="25" spans="1:44" x14ac:dyDescent="0.2">
      <c r="D25" s="24" t="str">
        <f t="shared" si="0"/>
        <v>EUMKontrakt manažér</v>
      </c>
      <c r="E25" s="24" t="s">
        <v>403</v>
      </c>
      <c r="F25" s="71" t="s">
        <v>242</v>
      </c>
      <c r="G25" s="24" t="s">
        <v>87</v>
      </c>
      <c r="H25" s="24" t="s">
        <v>74</v>
      </c>
      <c r="I25" s="24" t="s">
        <v>242</v>
      </c>
      <c r="J25" s="72">
        <v>70.37</v>
      </c>
      <c r="K25" s="72">
        <f t="shared" si="8"/>
        <v>1.93404</v>
      </c>
      <c r="L25" s="72">
        <f t="shared" si="9"/>
        <v>3.9225600000000003</v>
      </c>
      <c r="M25" s="72">
        <f t="shared" si="10"/>
        <v>6.1290000000000004</v>
      </c>
      <c r="N25" s="72">
        <f t="shared" si="11"/>
        <v>1.2802800000000001</v>
      </c>
      <c r="O25" s="72">
        <f t="shared" si="12"/>
        <v>1.4573400000000003</v>
      </c>
      <c r="P25" s="72">
        <f t="shared" si="13"/>
        <v>1.6344000000000001</v>
      </c>
      <c r="Q25" s="72">
        <f t="shared" si="7"/>
        <v>42.222000000000008</v>
      </c>
      <c r="AB25" s="71" t="s">
        <v>229</v>
      </c>
      <c r="AP25" s="24" t="s">
        <v>389</v>
      </c>
      <c r="AQ25" s="24" t="s">
        <v>389</v>
      </c>
      <c r="AR25" s="24" t="s">
        <v>74</v>
      </c>
    </row>
    <row r="26" spans="1:44" x14ac:dyDescent="0.2">
      <c r="D26" s="24" t="str">
        <f t="shared" si="0"/>
        <v>EUMKonzultant (junior)</v>
      </c>
      <c r="E26" s="24" t="s">
        <v>403</v>
      </c>
      <c r="F26" s="71" t="s">
        <v>243</v>
      </c>
      <c r="G26" s="24" t="s">
        <v>87</v>
      </c>
      <c r="H26" s="24" t="s">
        <v>74</v>
      </c>
      <c r="I26" s="24" t="s">
        <v>243</v>
      </c>
      <c r="J26" s="72">
        <v>0</v>
      </c>
      <c r="K26" s="72">
        <f t="shared" si="8"/>
        <v>0</v>
      </c>
      <c r="L26" s="72">
        <f t="shared" si="9"/>
        <v>0</v>
      </c>
      <c r="M26" s="72">
        <f t="shared" si="10"/>
        <v>0</v>
      </c>
      <c r="N26" s="72">
        <f t="shared" si="11"/>
        <v>0</v>
      </c>
      <c r="O26" s="72">
        <f t="shared" si="12"/>
        <v>0</v>
      </c>
      <c r="P26" s="72">
        <f t="shared" si="13"/>
        <v>0</v>
      </c>
      <c r="Q26" s="72">
        <f t="shared" si="7"/>
        <v>0</v>
      </c>
      <c r="AB26" s="71" t="s">
        <v>136</v>
      </c>
      <c r="AP26" s="24" t="s">
        <v>395</v>
      </c>
      <c r="AQ26" s="24" t="s">
        <v>395</v>
      </c>
      <c r="AR26" s="24" t="s">
        <v>74</v>
      </c>
    </row>
    <row r="27" spans="1:44" x14ac:dyDescent="0.2">
      <c r="A27" s="24" t="s">
        <v>265</v>
      </c>
      <c r="D27" s="24" t="str">
        <f t="shared" si="0"/>
        <v>EUMKonzultant</v>
      </c>
      <c r="E27" s="24" t="s">
        <v>403</v>
      </c>
      <c r="F27" s="71" t="s">
        <v>244</v>
      </c>
      <c r="G27" s="24" t="s">
        <v>87</v>
      </c>
      <c r="H27" s="24" t="s">
        <v>74</v>
      </c>
      <c r="I27" s="24" t="s">
        <v>244</v>
      </c>
      <c r="J27" s="72">
        <v>57.2</v>
      </c>
      <c r="K27" s="72">
        <f t="shared" si="8"/>
        <v>1.93404</v>
      </c>
      <c r="L27" s="72">
        <f t="shared" si="9"/>
        <v>3.9225600000000003</v>
      </c>
      <c r="M27" s="72">
        <f t="shared" si="10"/>
        <v>6.1290000000000004</v>
      </c>
      <c r="N27" s="72">
        <f t="shared" si="11"/>
        <v>1.2802800000000001</v>
      </c>
      <c r="O27" s="72">
        <f t="shared" si="12"/>
        <v>1.4573400000000003</v>
      </c>
      <c r="P27" s="72">
        <f t="shared" si="13"/>
        <v>1.6344000000000001</v>
      </c>
      <c r="Q27" s="72">
        <f t="shared" si="7"/>
        <v>34.320000000000007</v>
      </c>
      <c r="AB27" s="71" t="s">
        <v>444</v>
      </c>
      <c r="AC27" s="24" t="s">
        <v>403</v>
      </c>
      <c r="AP27" s="24" t="s">
        <v>392</v>
      </c>
      <c r="AQ27" s="24" t="s">
        <v>392</v>
      </c>
      <c r="AR27" s="24" t="s">
        <v>74</v>
      </c>
    </row>
    <row r="28" spans="1:44" x14ac:dyDescent="0.2">
      <c r="D28" s="24" t="str">
        <f t="shared" si="0"/>
        <v>EUMProgramátor (junior)</v>
      </c>
      <c r="E28" s="24" t="s">
        <v>403</v>
      </c>
      <c r="F28" s="71" t="s">
        <v>245</v>
      </c>
      <c r="G28" s="24" t="s">
        <v>87</v>
      </c>
      <c r="H28" s="24" t="s">
        <v>74</v>
      </c>
      <c r="I28" s="24" t="s">
        <v>245</v>
      </c>
      <c r="J28" s="72">
        <v>44.36</v>
      </c>
      <c r="K28" s="72">
        <f t="shared" si="8"/>
        <v>1.93404</v>
      </c>
      <c r="L28" s="72">
        <f t="shared" si="9"/>
        <v>3.9225600000000003</v>
      </c>
      <c r="M28" s="72">
        <f t="shared" si="10"/>
        <v>6.1290000000000004</v>
      </c>
      <c r="N28" s="72">
        <f t="shared" si="11"/>
        <v>1.2802800000000001</v>
      </c>
      <c r="O28" s="72">
        <f t="shared" si="12"/>
        <v>1.4573400000000003</v>
      </c>
      <c r="P28" s="72">
        <f t="shared" si="13"/>
        <v>1.6344000000000001</v>
      </c>
      <c r="Q28" s="72">
        <f t="shared" si="7"/>
        <v>26.616</v>
      </c>
      <c r="AB28" s="71" t="s">
        <v>451</v>
      </c>
      <c r="AC28" s="24" t="s">
        <v>442</v>
      </c>
      <c r="AP28" s="24" t="s">
        <v>393</v>
      </c>
      <c r="AQ28" s="24" t="s">
        <v>393</v>
      </c>
      <c r="AR28" s="24" t="s">
        <v>74</v>
      </c>
    </row>
    <row r="29" spans="1:44" x14ac:dyDescent="0.2">
      <c r="A29" s="24" t="s">
        <v>266</v>
      </c>
      <c r="B29" s="24">
        <f>Par_RevsTotal-Par_CostsTotal</f>
        <v>0</v>
      </c>
      <c r="D29" s="24" t="str">
        <f t="shared" si="0"/>
        <v>EUMProgramátor</v>
      </c>
      <c r="E29" s="24" t="s">
        <v>403</v>
      </c>
      <c r="F29" s="71" t="s">
        <v>246</v>
      </c>
      <c r="G29" s="24" t="s">
        <v>87</v>
      </c>
      <c r="H29" s="24" t="s">
        <v>74</v>
      </c>
      <c r="I29" s="24" t="s">
        <v>246</v>
      </c>
      <c r="J29" s="72">
        <v>51.16</v>
      </c>
      <c r="K29" s="72">
        <f t="shared" si="8"/>
        <v>1.93404</v>
      </c>
      <c r="L29" s="72">
        <f t="shared" si="9"/>
        <v>3.9225600000000003</v>
      </c>
      <c r="M29" s="72">
        <f t="shared" si="10"/>
        <v>6.1290000000000004</v>
      </c>
      <c r="N29" s="72">
        <f t="shared" si="11"/>
        <v>1.2802800000000001</v>
      </c>
      <c r="O29" s="72">
        <f t="shared" si="12"/>
        <v>1.4573400000000003</v>
      </c>
      <c r="P29" s="72">
        <f t="shared" si="13"/>
        <v>1.6344000000000001</v>
      </c>
      <c r="Q29" s="72">
        <f t="shared" si="7"/>
        <v>30.695999999999998</v>
      </c>
      <c r="AB29" s="71" t="s">
        <v>443</v>
      </c>
      <c r="AC29" s="24" t="s">
        <v>442</v>
      </c>
      <c r="AP29" s="24" t="s">
        <v>394</v>
      </c>
      <c r="AQ29" s="24" t="s">
        <v>394</v>
      </c>
      <c r="AR29" s="24" t="s">
        <v>74</v>
      </c>
    </row>
    <row r="30" spans="1:44" x14ac:dyDescent="0.2">
      <c r="A30" s="24" t="s">
        <v>267</v>
      </c>
      <c r="B30" s="24">
        <f t="array" ref="B30">SUM(TableCosts[N_Direct])+Par_CostsRisk</f>
        <v>0</v>
      </c>
      <c r="D30" s="24" t="str">
        <f t="shared" si="0"/>
        <v>EUMProjektový manažér (junior)</v>
      </c>
      <c r="E30" s="24" t="s">
        <v>403</v>
      </c>
      <c r="F30" s="71" t="s">
        <v>247</v>
      </c>
      <c r="G30" s="24" t="s">
        <v>87</v>
      </c>
      <c r="H30" s="24" t="s">
        <v>74</v>
      </c>
      <c r="I30" s="24" t="s">
        <v>247</v>
      </c>
      <c r="J30" s="72">
        <v>0</v>
      </c>
      <c r="K30" s="72">
        <f t="shared" si="8"/>
        <v>0</v>
      </c>
      <c r="L30" s="72">
        <f t="shared" si="9"/>
        <v>0</v>
      </c>
      <c r="M30" s="72">
        <f t="shared" si="10"/>
        <v>0</v>
      </c>
      <c r="N30" s="72">
        <f t="shared" si="11"/>
        <v>0</v>
      </c>
      <c r="O30" s="72">
        <f t="shared" si="12"/>
        <v>0</v>
      </c>
      <c r="P30" s="72">
        <f t="shared" si="13"/>
        <v>0</v>
      </c>
      <c r="Q30" s="72">
        <f t="shared" si="7"/>
        <v>0</v>
      </c>
      <c r="AB30" s="71" t="s">
        <v>435</v>
      </c>
      <c r="AC30" s="24" t="s">
        <v>442</v>
      </c>
      <c r="AP30" s="24" t="s">
        <v>396</v>
      </c>
      <c r="AQ30" s="24" t="s">
        <v>396</v>
      </c>
      <c r="AR30" s="24" t="s">
        <v>74</v>
      </c>
    </row>
    <row r="31" spans="1:44" x14ac:dyDescent="0.2">
      <c r="A31" s="24" t="s">
        <v>268</v>
      </c>
      <c r="B31" s="24">
        <f t="array" ref="B31">SUM((TableCosts[N_Kateg]="interné práce")*TableCosts[N_Direct])</f>
        <v>0</v>
      </c>
      <c r="D31" s="24" t="str">
        <f t="shared" si="0"/>
        <v>EUMProjektový manažér</v>
      </c>
      <c r="E31" s="24" t="s">
        <v>403</v>
      </c>
      <c r="F31" s="71" t="s">
        <v>248</v>
      </c>
      <c r="G31" s="24" t="s">
        <v>87</v>
      </c>
      <c r="H31" s="24" t="s">
        <v>74</v>
      </c>
      <c r="I31" s="24" t="s">
        <v>248</v>
      </c>
      <c r="J31" s="72">
        <v>60.51</v>
      </c>
      <c r="K31" s="72">
        <f t="shared" si="8"/>
        <v>1.93404</v>
      </c>
      <c r="L31" s="72">
        <f t="shared" si="9"/>
        <v>3.9225600000000003</v>
      </c>
      <c r="M31" s="72">
        <f t="shared" si="10"/>
        <v>6.1290000000000004</v>
      </c>
      <c r="N31" s="72">
        <f t="shared" si="11"/>
        <v>1.2802800000000001</v>
      </c>
      <c r="O31" s="72">
        <f t="shared" si="12"/>
        <v>1.4573400000000003</v>
      </c>
      <c r="P31" s="72">
        <f t="shared" si="13"/>
        <v>1.6344000000000001</v>
      </c>
      <c r="Q31" s="72">
        <f t="shared" si="7"/>
        <v>36.305999999999997</v>
      </c>
      <c r="AB31" s="71" t="s">
        <v>434</v>
      </c>
      <c r="AC31" s="24" t="s">
        <v>442</v>
      </c>
      <c r="AP31" s="24" t="s">
        <v>379</v>
      </c>
      <c r="AQ31" s="24" t="s">
        <v>61</v>
      </c>
      <c r="AR31" s="24" t="s">
        <v>75</v>
      </c>
    </row>
    <row r="32" spans="1:44" x14ac:dyDescent="0.2">
      <c r="A32" s="24" t="s">
        <v>269</v>
      </c>
      <c r="B32" s="24">
        <f t="array" ref="B32">SUM((TableCosts[N_Kateg]="licencie IPS")*TableCosts[N_Direct])</f>
        <v>0</v>
      </c>
      <c r="D32" s="24" t="str">
        <f t="shared" si="0"/>
        <v>EUMProjektový koordinátor</v>
      </c>
      <c r="E32" s="24" t="s">
        <v>403</v>
      </c>
      <c r="F32" s="71" t="s">
        <v>431</v>
      </c>
      <c r="G32" s="24" t="s">
        <v>87</v>
      </c>
      <c r="H32" s="24" t="s">
        <v>74</v>
      </c>
      <c r="I32" s="24" t="s">
        <v>431</v>
      </c>
      <c r="J32" s="72">
        <v>0</v>
      </c>
      <c r="K32" s="72">
        <f t="shared" si="8"/>
        <v>0</v>
      </c>
      <c r="L32" s="72">
        <f t="shared" si="9"/>
        <v>0</v>
      </c>
      <c r="M32" s="72">
        <f t="shared" si="10"/>
        <v>0</v>
      </c>
      <c r="N32" s="72">
        <f t="shared" si="11"/>
        <v>0</v>
      </c>
      <c r="O32" s="72">
        <f t="shared" si="12"/>
        <v>0</v>
      </c>
      <c r="P32" s="72">
        <f t="shared" si="13"/>
        <v>0</v>
      </c>
      <c r="Q32" s="72">
        <f t="shared" si="7"/>
        <v>0</v>
      </c>
      <c r="AB32" s="71" t="s">
        <v>445</v>
      </c>
      <c r="AC32" s="24" t="s">
        <v>403</v>
      </c>
      <c r="AP32" s="24" t="s">
        <v>380</v>
      </c>
      <c r="AQ32" s="24" t="s">
        <v>62</v>
      </c>
      <c r="AR32" s="24" t="s">
        <v>75</v>
      </c>
    </row>
    <row r="33" spans="1:44" x14ac:dyDescent="0.2">
      <c r="A33" s="24" t="s">
        <v>270</v>
      </c>
      <c r="B33" s="24">
        <f t="array" ref="B33">SUM((TableCosts[N_Kateg]="nákup 3S")*TableCosts[N_Direct])+SUM((TableCosts[N_Typ]="Vynaložené náklady 3S")*TableCosts[N_Direct])</f>
        <v>0</v>
      </c>
      <c r="D33" s="24" t="str">
        <f t="shared" ref="D33" si="16">E33&amp;F33</f>
        <v>EUMTester</v>
      </c>
      <c r="E33" s="24" t="s">
        <v>403</v>
      </c>
      <c r="F33" s="71" t="s">
        <v>249</v>
      </c>
      <c r="G33" s="24" t="s">
        <v>87</v>
      </c>
      <c r="H33" s="24" t="s">
        <v>74</v>
      </c>
      <c r="I33" s="24" t="s">
        <v>249</v>
      </c>
      <c r="J33" s="72">
        <v>0</v>
      </c>
      <c r="K33" s="72">
        <f t="shared" si="8"/>
        <v>0</v>
      </c>
      <c r="L33" s="72">
        <f t="shared" si="9"/>
        <v>0</v>
      </c>
      <c r="M33" s="72">
        <f t="shared" si="10"/>
        <v>0</v>
      </c>
      <c r="N33" s="72">
        <f t="shared" si="11"/>
        <v>0</v>
      </c>
      <c r="O33" s="72">
        <f t="shared" si="12"/>
        <v>0</v>
      </c>
      <c r="P33" s="72">
        <f t="shared" si="13"/>
        <v>0</v>
      </c>
      <c r="Q33" s="72">
        <f t="shared" ref="Q33" si="17">J33*0.4*1.5</f>
        <v>0</v>
      </c>
      <c r="AB33" s="71" t="s">
        <v>415</v>
      </c>
      <c r="AC33" s="24" t="s">
        <v>403</v>
      </c>
      <c r="AP33" s="24" t="s">
        <v>390</v>
      </c>
      <c r="AQ33" s="24" t="s">
        <v>402</v>
      </c>
      <c r="AR33" s="24" t="s">
        <v>75</v>
      </c>
    </row>
    <row r="34" spans="1:44" x14ac:dyDescent="0.2">
      <c r="A34" s="24" t="s">
        <v>271</v>
      </c>
      <c r="B34" s="24">
        <f>SUM_Risks_Customer+SUM_Risks_3S+SUM_Risks_Legal+SUM_Risks_Contract+SUM_Risks_Technical+SUM_Risks_Project+SUM_Risks_Logistics</f>
        <v>0</v>
      </c>
      <c r="D34" s="189" t="str">
        <f t="shared" si="0"/>
        <v>EUMProgramátor (študent)</v>
      </c>
      <c r="E34" s="189" t="s">
        <v>403</v>
      </c>
      <c r="F34" s="190" t="s">
        <v>450</v>
      </c>
      <c r="G34" s="189" t="s">
        <v>87</v>
      </c>
      <c r="H34" s="189" t="s">
        <v>74</v>
      </c>
      <c r="I34" s="189" t="s">
        <v>450</v>
      </c>
      <c r="J34" s="191">
        <v>15.32</v>
      </c>
      <c r="K34" s="191">
        <f t="shared" si="8"/>
        <v>1.93404</v>
      </c>
      <c r="L34" s="191">
        <f t="shared" si="9"/>
        <v>3.9225600000000003</v>
      </c>
      <c r="M34" s="191">
        <f t="shared" si="10"/>
        <v>6.1290000000000004</v>
      </c>
      <c r="N34" s="191">
        <f t="shared" si="11"/>
        <v>1.2802800000000001</v>
      </c>
      <c r="O34" s="191">
        <f t="shared" si="12"/>
        <v>1.4573400000000003</v>
      </c>
      <c r="P34" s="191">
        <f t="shared" si="13"/>
        <v>1.6344000000000001</v>
      </c>
      <c r="Q34" s="191">
        <f t="shared" si="7"/>
        <v>9.1920000000000002</v>
      </c>
      <c r="AB34" s="71" t="s">
        <v>163</v>
      </c>
      <c r="AC34" s="24" t="s">
        <v>403</v>
      </c>
      <c r="AP34" s="24" t="s">
        <v>391</v>
      </c>
      <c r="AQ34" s="24" t="s">
        <v>391</v>
      </c>
      <c r="AR34" s="24" t="s">
        <v>75</v>
      </c>
    </row>
    <row r="35" spans="1:44" x14ac:dyDescent="0.2">
      <c r="A35" s="24" t="s">
        <v>272</v>
      </c>
      <c r="B35" s="24">
        <f t="array" ref="B35">SUM(TableInvs[V_Total])</f>
        <v>0</v>
      </c>
      <c r="D35" s="24" t="str">
        <f t="shared" si="0"/>
        <v>ETSAnalytik</v>
      </c>
      <c r="E35" s="24" t="s">
        <v>404</v>
      </c>
      <c r="F35" s="71" t="s">
        <v>236</v>
      </c>
      <c r="G35" s="24" t="s">
        <v>87</v>
      </c>
      <c r="H35" s="24" t="s">
        <v>74</v>
      </c>
      <c r="I35" s="24" t="s">
        <v>236</v>
      </c>
      <c r="J35" s="72">
        <v>54.58</v>
      </c>
      <c r="K35" s="72">
        <f t="shared" si="8"/>
        <v>1.93404</v>
      </c>
      <c r="L35" s="72">
        <f t="shared" si="9"/>
        <v>3.9225600000000003</v>
      </c>
      <c r="M35" s="72">
        <f t="shared" si="10"/>
        <v>6.1290000000000004</v>
      </c>
      <c r="N35" s="72">
        <f t="shared" si="11"/>
        <v>1.2802800000000001</v>
      </c>
      <c r="O35" s="72">
        <f t="shared" si="12"/>
        <v>1.4573400000000003</v>
      </c>
      <c r="P35" s="72">
        <f t="shared" si="13"/>
        <v>1.6344000000000001</v>
      </c>
      <c r="Q35" s="72">
        <f t="shared" si="7"/>
        <v>32.748000000000005</v>
      </c>
      <c r="AB35" s="71" t="s">
        <v>452</v>
      </c>
      <c r="AC35" s="24" t="s">
        <v>404</v>
      </c>
      <c r="AP35" s="24" t="s">
        <v>399</v>
      </c>
      <c r="AQ35" s="24" t="s">
        <v>62</v>
      </c>
      <c r="AR35" s="24" t="s">
        <v>75</v>
      </c>
    </row>
    <row r="36" spans="1:44" x14ac:dyDescent="0.2">
      <c r="A36" s="24" t="s">
        <v>273</v>
      </c>
      <c r="B36" s="24">
        <f t="array" ref="B36">SUM((TableInvs[V_Kateg]="interné práce")*TableInvs[V_Total])</f>
        <v>0</v>
      </c>
      <c r="D36" s="24" t="str">
        <f t="shared" si="0"/>
        <v>ETSAnalytik (junior)</v>
      </c>
      <c r="E36" s="24" t="s">
        <v>404</v>
      </c>
      <c r="F36" s="71" t="s">
        <v>237</v>
      </c>
      <c r="G36" s="24" t="s">
        <v>87</v>
      </c>
      <c r="H36" s="24" t="s">
        <v>74</v>
      </c>
      <c r="I36" s="24" t="s">
        <v>237</v>
      </c>
      <c r="J36" s="72">
        <v>0</v>
      </c>
      <c r="K36" s="72">
        <f t="shared" si="8"/>
        <v>0</v>
      </c>
      <c r="L36" s="72">
        <f t="shared" si="9"/>
        <v>0</v>
      </c>
      <c r="M36" s="72">
        <f t="shared" si="10"/>
        <v>0</v>
      </c>
      <c r="N36" s="72">
        <f t="shared" si="11"/>
        <v>0</v>
      </c>
      <c r="O36" s="72">
        <f t="shared" si="12"/>
        <v>0</v>
      </c>
      <c r="P36" s="72">
        <f t="shared" si="13"/>
        <v>0</v>
      </c>
      <c r="Q36" s="72">
        <f t="shared" si="7"/>
        <v>0</v>
      </c>
      <c r="AB36" s="71" t="s">
        <v>374</v>
      </c>
      <c r="AC36" s="24" t="s">
        <v>404</v>
      </c>
      <c r="AP36" s="24" t="s">
        <v>400</v>
      </c>
      <c r="AQ36" s="24" t="s">
        <v>61</v>
      </c>
      <c r="AR36" s="24" t="s">
        <v>75</v>
      </c>
    </row>
    <row r="37" spans="1:44" x14ac:dyDescent="0.2">
      <c r="A37" s="24" t="s">
        <v>274</v>
      </c>
      <c r="B37" s="24">
        <f t="array" ref="B37">SUM((TableInvs[V_Kateg]="licencie IPS")*TableInvs[V_Total])</f>
        <v>0</v>
      </c>
      <c r="D37" s="24" t="str">
        <f t="shared" si="0"/>
        <v>ETSArchitekt softvérového riešenia</v>
      </c>
      <c r="E37" s="24" t="s">
        <v>404</v>
      </c>
      <c r="F37" s="71" t="s">
        <v>238</v>
      </c>
      <c r="G37" s="24" t="s">
        <v>87</v>
      </c>
      <c r="H37" s="24" t="s">
        <v>74</v>
      </c>
      <c r="I37" s="24" t="s">
        <v>238</v>
      </c>
      <c r="J37" s="72">
        <v>62.55</v>
      </c>
      <c r="K37" s="72">
        <f t="shared" si="8"/>
        <v>1.93404</v>
      </c>
      <c r="L37" s="72">
        <f t="shared" si="9"/>
        <v>3.9225600000000003</v>
      </c>
      <c r="M37" s="72">
        <f t="shared" si="10"/>
        <v>6.1290000000000004</v>
      </c>
      <c r="N37" s="72">
        <f t="shared" si="11"/>
        <v>1.2802800000000001</v>
      </c>
      <c r="O37" s="72">
        <f t="shared" si="12"/>
        <v>1.4573400000000003</v>
      </c>
      <c r="P37" s="72">
        <f t="shared" si="13"/>
        <v>1.6344000000000001</v>
      </c>
      <c r="Q37" s="72">
        <f t="shared" si="7"/>
        <v>37.53</v>
      </c>
      <c r="AB37" s="71" t="s">
        <v>338</v>
      </c>
      <c r="AC37" s="24" t="s">
        <v>403</v>
      </c>
      <c r="AP37" s="24" t="s">
        <v>397</v>
      </c>
      <c r="AQ37" s="24" t="s">
        <v>397</v>
      </c>
      <c r="AR37" s="24" t="s">
        <v>75</v>
      </c>
    </row>
    <row r="38" spans="1:44" x14ac:dyDescent="0.2">
      <c r="A38" s="24" t="s">
        <v>275</v>
      </c>
      <c r="B38" s="24">
        <f t="array" ref="B38">SUM((TableInvs[V_Kateg]="nákup 3S")*TableInvs[V_Total])</f>
        <v>0</v>
      </c>
      <c r="D38" s="24" t="str">
        <f t="shared" si="0"/>
        <v>ETSDokumentarista</v>
      </c>
      <c r="E38" s="24" t="s">
        <v>404</v>
      </c>
      <c r="F38" s="71" t="s">
        <v>239</v>
      </c>
      <c r="G38" s="24" t="s">
        <v>87</v>
      </c>
      <c r="H38" s="24" t="s">
        <v>74</v>
      </c>
      <c r="I38" s="24" t="s">
        <v>239</v>
      </c>
      <c r="J38" s="72">
        <v>30.45</v>
      </c>
      <c r="K38" s="72">
        <f t="shared" si="8"/>
        <v>1.93404</v>
      </c>
      <c r="L38" s="72">
        <f t="shared" si="9"/>
        <v>3.9225600000000003</v>
      </c>
      <c r="M38" s="72">
        <f t="shared" si="10"/>
        <v>6.1290000000000004</v>
      </c>
      <c r="N38" s="72">
        <f t="shared" si="11"/>
        <v>1.2802800000000001</v>
      </c>
      <c r="O38" s="72">
        <f t="shared" si="12"/>
        <v>1.4573400000000003</v>
      </c>
      <c r="P38" s="72">
        <f t="shared" si="13"/>
        <v>1.6344000000000001</v>
      </c>
      <c r="Q38" s="72">
        <f t="shared" si="7"/>
        <v>18.27</v>
      </c>
      <c r="AB38" s="71" t="s">
        <v>378</v>
      </c>
      <c r="AC38" s="24" t="s">
        <v>403</v>
      </c>
      <c r="AP38" s="24" t="s">
        <v>283</v>
      </c>
      <c r="AQ38" s="24" t="s">
        <v>283</v>
      </c>
      <c r="AR38" s="24" t="s">
        <v>289</v>
      </c>
    </row>
    <row r="39" spans="1:44" x14ac:dyDescent="0.2">
      <c r="A39" s="24" t="s">
        <v>276</v>
      </c>
      <c r="B39" s="24">
        <f t="array" ref="B39">SUM((TableCosts[N_Kateg]="interné práce")*(TableCosts[IsTravelTime]=0)*TableCosts[N_Amount]*TableCosts[N_ItemsCount])</f>
        <v>0</v>
      </c>
      <c r="D39" s="24" t="str">
        <f t="shared" si="0"/>
        <v>ETSIT špecialista</v>
      </c>
      <c r="E39" s="24" t="s">
        <v>404</v>
      </c>
      <c r="F39" s="71" t="s">
        <v>240</v>
      </c>
      <c r="G39" s="24" t="s">
        <v>87</v>
      </c>
      <c r="H39" s="24" t="s">
        <v>74</v>
      </c>
      <c r="I39" s="24" t="s">
        <v>240</v>
      </c>
      <c r="J39" s="72">
        <v>0</v>
      </c>
      <c r="K39" s="72">
        <f t="shared" si="8"/>
        <v>0</v>
      </c>
      <c r="L39" s="72">
        <f t="shared" si="9"/>
        <v>0</v>
      </c>
      <c r="M39" s="72">
        <f t="shared" si="10"/>
        <v>0</v>
      </c>
      <c r="N39" s="72">
        <f t="shared" si="11"/>
        <v>0</v>
      </c>
      <c r="O39" s="72">
        <f t="shared" si="12"/>
        <v>0</v>
      </c>
      <c r="P39" s="72">
        <f t="shared" si="13"/>
        <v>0</v>
      </c>
      <c r="Q39" s="72">
        <f t="shared" si="7"/>
        <v>0</v>
      </c>
      <c r="AB39" s="71" t="s">
        <v>436</v>
      </c>
      <c r="AC39" s="24" t="s">
        <v>404</v>
      </c>
    </row>
    <row r="40" spans="1:44" x14ac:dyDescent="0.2">
      <c r="A40" s="24" t="s">
        <v>277</v>
      </c>
      <c r="B40" s="24">
        <f t="array" ref="B40">SUM((TableCosts[N_Kateg]="interné práce")*(TableCosts[IsTravelTime]=1)*TableCosts[N_Amount]*TableCosts[N_ItemsCount])</f>
        <v>0</v>
      </c>
      <c r="D40" s="24" t="str">
        <f t="shared" si="0"/>
        <v>ETSIT špecialista (junior)</v>
      </c>
      <c r="E40" s="24" t="s">
        <v>404</v>
      </c>
      <c r="F40" s="71" t="s">
        <v>241</v>
      </c>
      <c r="G40" s="24" t="s">
        <v>87</v>
      </c>
      <c r="H40" s="24" t="s">
        <v>74</v>
      </c>
      <c r="I40" s="24" t="s">
        <v>241</v>
      </c>
      <c r="J40" s="72">
        <v>0</v>
      </c>
      <c r="K40" s="72">
        <f t="shared" si="8"/>
        <v>0</v>
      </c>
      <c r="L40" s="72">
        <f t="shared" si="9"/>
        <v>0</v>
      </c>
      <c r="M40" s="72">
        <f t="shared" si="10"/>
        <v>0</v>
      </c>
      <c r="N40" s="72">
        <f t="shared" si="11"/>
        <v>0</v>
      </c>
      <c r="O40" s="72">
        <f t="shared" si="12"/>
        <v>0</v>
      </c>
      <c r="P40" s="72">
        <f t="shared" si="13"/>
        <v>0</v>
      </c>
      <c r="Q40" s="72">
        <f t="shared" si="7"/>
        <v>0</v>
      </c>
      <c r="AB40" s="71" t="s">
        <v>371</v>
      </c>
    </row>
    <row r="41" spans="1:44" x14ac:dyDescent="0.2">
      <c r="A41" s="24" t="s">
        <v>278</v>
      </c>
      <c r="B41" s="24">
        <f>IF(Par_HoursWork+Par_HoursTravel=0,0,Par_CostsWork/(Par_HoursWork+Par_HoursTravel))</f>
        <v>0</v>
      </c>
      <c r="D41" s="24" t="str">
        <f t="shared" si="0"/>
        <v>ETSKontrakt manažér</v>
      </c>
      <c r="E41" s="24" t="s">
        <v>404</v>
      </c>
      <c r="F41" s="71" t="s">
        <v>242</v>
      </c>
      <c r="G41" s="24" t="s">
        <v>87</v>
      </c>
      <c r="H41" s="24" t="s">
        <v>74</v>
      </c>
      <c r="I41" s="24" t="s">
        <v>242</v>
      </c>
      <c r="J41" s="72">
        <v>0</v>
      </c>
      <c r="K41" s="72">
        <f t="shared" si="8"/>
        <v>0</v>
      </c>
      <c r="L41" s="72">
        <f t="shared" si="9"/>
        <v>0</v>
      </c>
      <c r="M41" s="72">
        <f t="shared" si="10"/>
        <v>0</v>
      </c>
      <c r="N41" s="72">
        <f t="shared" si="11"/>
        <v>0</v>
      </c>
      <c r="O41" s="72">
        <f t="shared" si="12"/>
        <v>0</v>
      </c>
      <c r="P41" s="72">
        <f t="shared" si="13"/>
        <v>0</v>
      </c>
      <c r="Q41" s="72">
        <f t="shared" si="7"/>
        <v>0</v>
      </c>
      <c r="AB41" s="71" t="s">
        <v>372</v>
      </c>
    </row>
    <row r="42" spans="1:44" x14ac:dyDescent="0.2">
      <c r="A42" s="24" t="s">
        <v>279</v>
      </c>
      <c r="B42" s="24">
        <f>IF(Par_HoursWork+Par_HoursTravel=0,0,Par_RevsTotal/(Par_HoursWork+Par_HoursTravel))</f>
        <v>0</v>
      </c>
      <c r="D42" s="24" t="str">
        <f t="shared" si="0"/>
        <v>ETSKonzultant (junior)</v>
      </c>
      <c r="E42" s="24" t="s">
        <v>404</v>
      </c>
      <c r="F42" s="71" t="s">
        <v>243</v>
      </c>
      <c r="G42" s="24" t="s">
        <v>87</v>
      </c>
      <c r="H42" s="24" t="s">
        <v>74</v>
      </c>
      <c r="I42" s="24" t="s">
        <v>243</v>
      </c>
      <c r="J42" s="72">
        <v>0</v>
      </c>
      <c r="K42" s="72">
        <f t="shared" si="8"/>
        <v>0</v>
      </c>
      <c r="L42" s="72">
        <f t="shared" si="9"/>
        <v>0</v>
      </c>
      <c r="M42" s="72">
        <f t="shared" si="10"/>
        <v>0</v>
      </c>
      <c r="N42" s="72">
        <f t="shared" si="11"/>
        <v>0</v>
      </c>
      <c r="O42" s="72">
        <f t="shared" si="12"/>
        <v>0</v>
      </c>
      <c r="P42" s="72">
        <f t="shared" si="13"/>
        <v>0</v>
      </c>
      <c r="Q42" s="72">
        <f t="shared" si="7"/>
        <v>0</v>
      </c>
      <c r="AB42" s="74" t="s">
        <v>84</v>
      </c>
    </row>
    <row r="43" spans="1:44" x14ac:dyDescent="0.2">
      <c r="A43" s="24" t="s">
        <v>280</v>
      </c>
      <c r="B43" s="24">
        <f>IF(Par_RevsTotal=0,0,(Par_RevsTotal-Par_Costs3P)/Par_RevsTotal)</f>
        <v>0</v>
      </c>
      <c r="D43" s="24" t="str">
        <f t="shared" si="0"/>
        <v>ETSKonzultant</v>
      </c>
      <c r="E43" s="24" t="s">
        <v>404</v>
      </c>
      <c r="F43" s="71" t="s">
        <v>244</v>
      </c>
      <c r="G43" s="24" t="s">
        <v>87</v>
      </c>
      <c r="H43" s="24" t="s">
        <v>74</v>
      </c>
      <c r="I43" s="24" t="s">
        <v>244</v>
      </c>
      <c r="J43" s="72">
        <v>56.2</v>
      </c>
      <c r="K43" s="72">
        <f t="shared" si="8"/>
        <v>1.93404</v>
      </c>
      <c r="L43" s="72">
        <f t="shared" si="9"/>
        <v>3.9225600000000003</v>
      </c>
      <c r="M43" s="72">
        <f t="shared" si="10"/>
        <v>6.1290000000000004</v>
      </c>
      <c r="N43" s="72">
        <f t="shared" si="11"/>
        <v>1.2802800000000001</v>
      </c>
      <c r="O43" s="72">
        <f t="shared" si="12"/>
        <v>1.4573400000000003</v>
      </c>
      <c r="P43" s="72">
        <f t="shared" si="13"/>
        <v>1.6344000000000001</v>
      </c>
      <c r="Q43" s="72">
        <f t="shared" si="7"/>
        <v>33.720000000000006</v>
      </c>
      <c r="AB43" s="74" t="s">
        <v>85</v>
      </c>
    </row>
    <row r="44" spans="1:44" x14ac:dyDescent="0.2">
      <c r="A44" s="24" t="s">
        <v>281</v>
      </c>
      <c r="B44" s="24">
        <f t="array" ref="B44">SUM((TableCosts[N_Výkon]="Prophylaxis")*TableCosts[N_ItemsCount])</f>
        <v>0</v>
      </c>
      <c r="D44" s="24" t="str">
        <f t="shared" si="0"/>
        <v>ETSProgramátor (junior)</v>
      </c>
      <c r="E44" s="24" t="s">
        <v>404</v>
      </c>
      <c r="F44" s="71" t="s">
        <v>245</v>
      </c>
      <c r="G44" s="24" t="s">
        <v>87</v>
      </c>
      <c r="H44" s="24" t="s">
        <v>74</v>
      </c>
      <c r="I44" s="24" t="s">
        <v>245</v>
      </c>
      <c r="J44" s="72">
        <v>41.92</v>
      </c>
      <c r="K44" s="72">
        <f t="shared" si="8"/>
        <v>1.93404</v>
      </c>
      <c r="L44" s="72">
        <f t="shared" si="9"/>
        <v>3.9225600000000003</v>
      </c>
      <c r="M44" s="72">
        <f t="shared" si="10"/>
        <v>6.1290000000000004</v>
      </c>
      <c r="N44" s="72">
        <f t="shared" si="11"/>
        <v>1.2802800000000001</v>
      </c>
      <c r="O44" s="72">
        <f t="shared" si="12"/>
        <v>1.4573400000000003</v>
      </c>
      <c r="P44" s="72">
        <f t="shared" si="13"/>
        <v>1.6344000000000001</v>
      </c>
      <c r="Q44" s="72">
        <f t="shared" si="7"/>
        <v>25.152000000000001</v>
      </c>
      <c r="AB44" s="74" t="s">
        <v>322</v>
      </c>
    </row>
    <row r="45" spans="1:44" x14ac:dyDescent="0.2">
      <c r="A45" s="24" t="s">
        <v>320</v>
      </c>
      <c r="B45" s="24">
        <f t="array" ref="B45">SUM((TableCosts[N_Výkon]="Service Level Agreement")*TableCosts[N_ItemsCount])</f>
        <v>0</v>
      </c>
      <c r="D45" s="24" t="str">
        <f t="shared" si="0"/>
        <v>ETSProgramátor</v>
      </c>
      <c r="E45" s="24" t="s">
        <v>404</v>
      </c>
      <c r="F45" s="71" t="s">
        <v>246</v>
      </c>
      <c r="G45" s="24" t="s">
        <v>87</v>
      </c>
      <c r="H45" s="24" t="s">
        <v>74</v>
      </c>
      <c r="I45" s="24" t="s">
        <v>246</v>
      </c>
      <c r="J45" s="72">
        <v>54.56</v>
      </c>
      <c r="K45" s="72">
        <f t="shared" si="8"/>
        <v>1.93404</v>
      </c>
      <c r="L45" s="72">
        <f t="shared" si="9"/>
        <v>3.9225600000000003</v>
      </c>
      <c r="M45" s="72">
        <f t="shared" si="10"/>
        <v>6.1290000000000004</v>
      </c>
      <c r="N45" s="72">
        <f t="shared" si="11"/>
        <v>1.2802800000000001</v>
      </c>
      <c r="O45" s="72">
        <f t="shared" si="12"/>
        <v>1.4573400000000003</v>
      </c>
      <c r="P45" s="72">
        <f t="shared" si="13"/>
        <v>1.6344000000000001</v>
      </c>
      <c r="Q45" s="72">
        <f t="shared" si="7"/>
        <v>32.736000000000004</v>
      </c>
      <c r="AB45" s="74" t="s">
        <v>283</v>
      </c>
    </row>
    <row r="46" spans="1:44" x14ac:dyDescent="0.2">
      <c r="A46" s="24" t="s">
        <v>282</v>
      </c>
      <c r="B46" s="24">
        <f t="array" ref="B46">SUM((TableInvs[V_Výkon]="Prophylaxis")*TableInvs[V_Total])</f>
        <v>0</v>
      </c>
      <c r="D46" s="24" t="str">
        <f t="shared" si="0"/>
        <v>ETSProjektový manažér (junior)</v>
      </c>
      <c r="E46" s="24" t="s">
        <v>404</v>
      </c>
      <c r="F46" s="71" t="s">
        <v>247</v>
      </c>
      <c r="G46" s="24" t="s">
        <v>87</v>
      </c>
      <c r="H46" s="24" t="s">
        <v>74</v>
      </c>
      <c r="I46" s="24" t="s">
        <v>247</v>
      </c>
      <c r="J46" s="72">
        <v>0</v>
      </c>
      <c r="K46" s="72">
        <f t="shared" si="8"/>
        <v>0</v>
      </c>
      <c r="L46" s="72">
        <f t="shared" si="9"/>
        <v>0</v>
      </c>
      <c r="M46" s="72">
        <f t="shared" si="10"/>
        <v>0</v>
      </c>
      <c r="N46" s="72">
        <f t="shared" si="11"/>
        <v>0</v>
      </c>
      <c r="O46" s="72">
        <f t="shared" si="12"/>
        <v>0</v>
      </c>
      <c r="P46" s="72">
        <f t="shared" si="13"/>
        <v>0</v>
      </c>
      <c r="Q46" s="72">
        <f t="shared" si="7"/>
        <v>0</v>
      </c>
    </row>
    <row r="47" spans="1:44" x14ac:dyDescent="0.2">
      <c r="A47" s="24" t="s">
        <v>321</v>
      </c>
      <c r="B47" s="24">
        <f t="array" ref="B47">SUM((TableInvs[V_Výkon]="Service Level Agreement")*TableInvs[V_Total])</f>
        <v>0</v>
      </c>
      <c r="D47" s="24" t="str">
        <f t="shared" si="0"/>
        <v>ETSProjektový manažér</v>
      </c>
      <c r="E47" s="24" t="s">
        <v>404</v>
      </c>
      <c r="F47" s="71" t="s">
        <v>248</v>
      </c>
      <c r="G47" s="24" t="s">
        <v>87</v>
      </c>
      <c r="H47" s="24" t="s">
        <v>74</v>
      </c>
      <c r="I47" s="24" t="s">
        <v>248</v>
      </c>
      <c r="J47" s="72">
        <v>61.32</v>
      </c>
      <c r="K47" s="72">
        <f t="shared" si="8"/>
        <v>1.93404</v>
      </c>
      <c r="L47" s="72">
        <f t="shared" si="9"/>
        <v>3.9225600000000003</v>
      </c>
      <c r="M47" s="72">
        <f t="shared" si="10"/>
        <v>6.1290000000000004</v>
      </c>
      <c r="N47" s="72">
        <f t="shared" si="11"/>
        <v>1.2802800000000001</v>
      </c>
      <c r="O47" s="72">
        <f t="shared" si="12"/>
        <v>1.4573400000000003</v>
      </c>
      <c r="P47" s="72">
        <f t="shared" si="13"/>
        <v>1.6344000000000001</v>
      </c>
      <c r="Q47" s="72">
        <f t="shared" si="7"/>
        <v>36.792000000000002</v>
      </c>
    </row>
    <row r="48" spans="1:44" x14ac:dyDescent="0.2">
      <c r="D48" s="24" t="str">
        <f t="shared" si="0"/>
        <v>ETSProjektový koordinátor</v>
      </c>
      <c r="E48" s="24" t="s">
        <v>404</v>
      </c>
      <c r="F48" s="71" t="s">
        <v>431</v>
      </c>
      <c r="G48" s="24" t="s">
        <v>87</v>
      </c>
      <c r="H48" s="24" t="s">
        <v>74</v>
      </c>
      <c r="I48" s="24" t="s">
        <v>431</v>
      </c>
      <c r="J48" s="72">
        <v>44.91</v>
      </c>
      <c r="K48" s="72">
        <f t="shared" si="8"/>
        <v>1.93404</v>
      </c>
      <c r="L48" s="72">
        <f t="shared" si="9"/>
        <v>3.9225600000000003</v>
      </c>
      <c r="M48" s="72">
        <f t="shared" si="10"/>
        <v>6.1290000000000004</v>
      </c>
      <c r="N48" s="72">
        <f t="shared" si="11"/>
        <v>1.2802800000000001</v>
      </c>
      <c r="O48" s="72">
        <f t="shared" si="12"/>
        <v>1.4573400000000003</v>
      </c>
      <c r="P48" s="72">
        <f t="shared" si="13"/>
        <v>1.6344000000000001</v>
      </c>
      <c r="Q48" s="72">
        <f t="shared" si="7"/>
        <v>26.945999999999998</v>
      </c>
    </row>
    <row r="49" spans="4:17" x14ac:dyDescent="0.2">
      <c r="D49" s="24" t="str">
        <f t="shared" ref="D49" si="18">E49&amp;F49</f>
        <v>ETSTester</v>
      </c>
      <c r="E49" s="24" t="s">
        <v>404</v>
      </c>
      <c r="F49" s="71" t="s">
        <v>249</v>
      </c>
      <c r="G49" s="24" t="s">
        <v>87</v>
      </c>
      <c r="H49" s="24" t="s">
        <v>74</v>
      </c>
      <c r="I49" s="24" t="s">
        <v>249</v>
      </c>
      <c r="J49" s="72">
        <v>0</v>
      </c>
      <c r="K49" s="72">
        <f t="shared" si="8"/>
        <v>0</v>
      </c>
      <c r="L49" s="72">
        <f t="shared" si="9"/>
        <v>0</v>
      </c>
      <c r="M49" s="72">
        <f t="shared" si="10"/>
        <v>0</v>
      </c>
      <c r="N49" s="72">
        <f t="shared" si="11"/>
        <v>0</v>
      </c>
      <c r="O49" s="72">
        <f t="shared" si="12"/>
        <v>0</v>
      </c>
      <c r="P49" s="72">
        <f t="shared" si="13"/>
        <v>0</v>
      </c>
      <c r="Q49" s="72">
        <f t="shared" ref="Q49" si="19">J49*0.4*1.5</f>
        <v>0</v>
      </c>
    </row>
    <row r="50" spans="4:17" x14ac:dyDescent="0.2">
      <c r="D50" s="189" t="str">
        <f t="shared" si="0"/>
        <v>ETSProgramátor (študent)</v>
      </c>
      <c r="E50" s="189" t="s">
        <v>404</v>
      </c>
      <c r="F50" s="190" t="s">
        <v>450</v>
      </c>
      <c r="G50" s="189" t="s">
        <v>87</v>
      </c>
      <c r="H50" s="189" t="s">
        <v>74</v>
      </c>
      <c r="I50" s="189" t="s">
        <v>450</v>
      </c>
      <c r="J50" s="191">
        <v>15.89</v>
      </c>
      <c r="K50" s="191">
        <f t="shared" si="8"/>
        <v>1.93404</v>
      </c>
      <c r="L50" s="191">
        <f t="shared" si="9"/>
        <v>3.9225600000000003</v>
      </c>
      <c r="M50" s="191">
        <f t="shared" si="10"/>
        <v>6.1290000000000004</v>
      </c>
      <c r="N50" s="191">
        <f t="shared" si="11"/>
        <v>1.2802800000000001</v>
      </c>
      <c r="O50" s="191">
        <f t="shared" si="12"/>
        <v>1.4573400000000003</v>
      </c>
      <c r="P50" s="191">
        <f t="shared" si="13"/>
        <v>1.6344000000000001</v>
      </c>
      <c r="Q50" s="191">
        <f t="shared" si="7"/>
        <v>9.5340000000000007</v>
      </c>
    </row>
    <row r="51" spans="4:17" x14ac:dyDescent="0.2">
      <c r="D51" s="24" t="str">
        <f t="shared" ref="D51:D82" si="20">E51&amp;F51</f>
        <v>D2000Analytik</v>
      </c>
      <c r="E51" s="24" t="s">
        <v>442</v>
      </c>
      <c r="F51" s="71" t="s">
        <v>236</v>
      </c>
      <c r="G51" s="24" t="s">
        <v>87</v>
      </c>
      <c r="H51" s="24" t="s">
        <v>74</v>
      </c>
      <c r="I51" s="24" t="s">
        <v>236</v>
      </c>
      <c r="J51" s="72">
        <v>0</v>
      </c>
      <c r="K51" s="72">
        <f t="shared" si="8"/>
        <v>0</v>
      </c>
      <c r="L51" s="72">
        <f t="shared" si="9"/>
        <v>0</v>
      </c>
      <c r="M51" s="72">
        <f t="shared" si="10"/>
        <v>0</v>
      </c>
      <c r="N51" s="72">
        <f t="shared" si="11"/>
        <v>0</v>
      </c>
      <c r="O51" s="72">
        <f t="shared" si="12"/>
        <v>0</v>
      </c>
      <c r="P51" s="72">
        <f t="shared" si="13"/>
        <v>0</v>
      </c>
      <c r="Q51" s="72">
        <f t="shared" ref="Q51:Q82" si="21">J51*0.4*1.5</f>
        <v>0</v>
      </c>
    </row>
    <row r="52" spans="4:17" x14ac:dyDescent="0.2">
      <c r="D52" s="24" t="str">
        <f t="shared" si="20"/>
        <v>D2000Analytik (junior)</v>
      </c>
      <c r="E52" s="24" t="s">
        <v>442</v>
      </c>
      <c r="F52" s="71" t="s">
        <v>237</v>
      </c>
      <c r="G52" s="24" t="s">
        <v>87</v>
      </c>
      <c r="H52" s="24" t="s">
        <v>74</v>
      </c>
      <c r="I52" s="24" t="s">
        <v>237</v>
      </c>
      <c r="J52" s="72">
        <v>0</v>
      </c>
      <c r="K52" s="72">
        <f t="shared" si="8"/>
        <v>0</v>
      </c>
      <c r="L52" s="72">
        <f t="shared" si="9"/>
        <v>0</v>
      </c>
      <c r="M52" s="72">
        <f t="shared" si="10"/>
        <v>0</v>
      </c>
      <c r="N52" s="72">
        <f t="shared" si="11"/>
        <v>0</v>
      </c>
      <c r="O52" s="72">
        <f t="shared" si="12"/>
        <v>0</v>
      </c>
      <c r="P52" s="72">
        <f t="shared" si="13"/>
        <v>0</v>
      </c>
      <c r="Q52" s="72">
        <f t="shared" si="21"/>
        <v>0</v>
      </c>
    </row>
    <row r="53" spans="4:17" x14ac:dyDescent="0.2">
      <c r="D53" s="24" t="str">
        <f t="shared" si="20"/>
        <v>D2000Architekt softvérového riešenia</v>
      </c>
      <c r="E53" s="24" t="s">
        <v>442</v>
      </c>
      <c r="F53" s="71" t="s">
        <v>238</v>
      </c>
      <c r="G53" s="24" t="s">
        <v>87</v>
      </c>
      <c r="H53" s="24" t="s">
        <v>74</v>
      </c>
      <c r="I53" s="24" t="s">
        <v>238</v>
      </c>
      <c r="J53" s="72">
        <v>86.08</v>
      </c>
      <c r="K53" s="72">
        <f t="shared" si="8"/>
        <v>1.93404</v>
      </c>
      <c r="L53" s="72">
        <f t="shared" si="9"/>
        <v>3.9225600000000003</v>
      </c>
      <c r="M53" s="72">
        <f t="shared" si="10"/>
        <v>6.1290000000000004</v>
      </c>
      <c r="N53" s="72">
        <f t="shared" si="11"/>
        <v>1.2802800000000001</v>
      </c>
      <c r="O53" s="72">
        <f t="shared" si="12"/>
        <v>1.4573400000000003</v>
      </c>
      <c r="P53" s="72">
        <f t="shared" si="13"/>
        <v>1.6344000000000001</v>
      </c>
      <c r="Q53" s="72">
        <f t="shared" si="21"/>
        <v>51.648000000000003</v>
      </c>
    </row>
    <row r="54" spans="4:17" x14ac:dyDescent="0.2">
      <c r="D54" s="24" t="str">
        <f t="shared" si="20"/>
        <v>D2000Dokumentarista</v>
      </c>
      <c r="E54" s="24" t="s">
        <v>442</v>
      </c>
      <c r="F54" s="71" t="s">
        <v>239</v>
      </c>
      <c r="G54" s="24" t="s">
        <v>87</v>
      </c>
      <c r="H54" s="24" t="s">
        <v>74</v>
      </c>
      <c r="I54" s="24" t="s">
        <v>239</v>
      </c>
      <c r="J54" s="72">
        <v>0</v>
      </c>
      <c r="K54" s="72">
        <f t="shared" si="8"/>
        <v>0</v>
      </c>
      <c r="L54" s="72">
        <f t="shared" si="9"/>
        <v>0</v>
      </c>
      <c r="M54" s="72">
        <f t="shared" si="10"/>
        <v>0</v>
      </c>
      <c r="N54" s="72">
        <f t="shared" si="11"/>
        <v>0</v>
      </c>
      <c r="O54" s="72">
        <f t="shared" si="12"/>
        <v>0</v>
      </c>
      <c r="P54" s="72">
        <f t="shared" si="13"/>
        <v>0</v>
      </c>
      <c r="Q54" s="72">
        <f t="shared" si="21"/>
        <v>0</v>
      </c>
    </row>
    <row r="55" spans="4:17" x14ac:dyDescent="0.2">
      <c r="D55" s="24" t="str">
        <f t="shared" si="20"/>
        <v>D2000IT špecialista</v>
      </c>
      <c r="E55" s="24" t="s">
        <v>442</v>
      </c>
      <c r="F55" s="71" t="s">
        <v>240</v>
      </c>
      <c r="G55" s="24" t="s">
        <v>87</v>
      </c>
      <c r="H55" s="24" t="s">
        <v>74</v>
      </c>
      <c r="I55" s="24" t="s">
        <v>240</v>
      </c>
      <c r="J55" s="72">
        <v>0</v>
      </c>
      <c r="K55" s="72">
        <f t="shared" si="8"/>
        <v>0</v>
      </c>
      <c r="L55" s="72">
        <f t="shared" si="9"/>
        <v>0</v>
      </c>
      <c r="M55" s="72">
        <f t="shared" si="10"/>
        <v>0</v>
      </c>
      <c r="N55" s="72">
        <f t="shared" si="11"/>
        <v>0</v>
      </c>
      <c r="O55" s="72">
        <f t="shared" si="12"/>
        <v>0</v>
      </c>
      <c r="P55" s="72">
        <f t="shared" si="13"/>
        <v>0</v>
      </c>
      <c r="Q55" s="72">
        <f t="shared" si="21"/>
        <v>0</v>
      </c>
    </row>
    <row r="56" spans="4:17" x14ac:dyDescent="0.2">
      <c r="D56" s="24" t="str">
        <f t="shared" si="20"/>
        <v>D2000IT špecialista (junior)</v>
      </c>
      <c r="E56" s="24" t="s">
        <v>442</v>
      </c>
      <c r="F56" s="71" t="s">
        <v>241</v>
      </c>
      <c r="G56" s="24" t="s">
        <v>87</v>
      </c>
      <c r="H56" s="24" t="s">
        <v>74</v>
      </c>
      <c r="I56" s="24" t="s">
        <v>241</v>
      </c>
      <c r="J56" s="72">
        <v>0</v>
      </c>
      <c r="K56" s="72">
        <f t="shared" si="8"/>
        <v>0</v>
      </c>
      <c r="L56" s="72">
        <f t="shared" si="9"/>
        <v>0</v>
      </c>
      <c r="M56" s="72">
        <f t="shared" si="10"/>
        <v>0</v>
      </c>
      <c r="N56" s="72">
        <f t="shared" si="11"/>
        <v>0</v>
      </c>
      <c r="O56" s="72">
        <f t="shared" si="12"/>
        <v>0</v>
      </c>
      <c r="P56" s="72">
        <f t="shared" si="13"/>
        <v>0</v>
      </c>
      <c r="Q56" s="72">
        <f t="shared" si="21"/>
        <v>0</v>
      </c>
    </row>
    <row r="57" spans="4:17" x14ac:dyDescent="0.2">
      <c r="D57" s="24" t="str">
        <f t="shared" si="20"/>
        <v>D2000Kontrakt manažér</v>
      </c>
      <c r="E57" s="24" t="s">
        <v>442</v>
      </c>
      <c r="F57" s="71" t="s">
        <v>242</v>
      </c>
      <c r="G57" s="24" t="s">
        <v>87</v>
      </c>
      <c r="H57" s="24" t="s">
        <v>74</v>
      </c>
      <c r="I57" s="24" t="s">
        <v>242</v>
      </c>
      <c r="J57" s="72">
        <v>0</v>
      </c>
      <c r="K57" s="72">
        <f t="shared" si="8"/>
        <v>0</v>
      </c>
      <c r="L57" s="72">
        <f t="shared" si="9"/>
        <v>0</v>
      </c>
      <c r="M57" s="72">
        <f t="shared" si="10"/>
        <v>0</v>
      </c>
      <c r="N57" s="72">
        <f t="shared" si="11"/>
        <v>0</v>
      </c>
      <c r="O57" s="72">
        <f t="shared" si="12"/>
        <v>0</v>
      </c>
      <c r="P57" s="72">
        <f t="shared" si="13"/>
        <v>0</v>
      </c>
      <c r="Q57" s="72">
        <f t="shared" si="21"/>
        <v>0</v>
      </c>
    </row>
    <row r="58" spans="4:17" x14ac:dyDescent="0.2">
      <c r="D58" s="24" t="str">
        <f t="shared" si="20"/>
        <v>D2000Konzultant (junior)</v>
      </c>
      <c r="E58" s="24" t="s">
        <v>442</v>
      </c>
      <c r="F58" s="71" t="s">
        <v>243</v>
      </c>
      <c r="G58" s="24" t="s">
        <v>87</v>
      </c>
      <c r="H58" s="24" t="s">
        <v>74</v>
      </c>
      <c r="I58" s="24" t="s">
        <v>243</v>
      </c>
      <c r="J58" s="72">
        <v>0</v>
      </c>
      <c r="K58" s="72">
        <f t="shared" si="8"/>
        <v>0</v>
      </c>
      <c r="L58" s="72">
        <f t="shared" si="9"/>
        <v>0</v>
      </c>
      <c r="M58" s="72">
        <f t="shared" si="10"/>
        <v>0</v>
      </c>
      <c r="N58" s="72">
        <f t="shared" si="11"/>
        <v>0</v>
      </c>
      <c r="O58" s="72">
        <f t="shared" si="12"/>
        <v>0</v>
      </c>
      <c r="P58" s="72">
        <f t="shared" si="13"/>
        <v>0</v>
      </c>
      <c r="Q58" s="72">
        <f t="shared" si="21"/>
        <v>0</v>
      </c>
    </row>
    <row r="59" spans="4:17" x14ac:dyDescent="0.2">
      <c r="D59" s="24" t="str">
        <f t="shared" si="20"/>
        <v>D2000Konzultant</v>
      </c>
      <c r="E59" s="24" t="s">
        <v>442</v>
      </c>
      <c r="F59" s="71" t="s">
        <v>244</v>
      </c>
      <c r="G59" s="24" t="s">
        <v>87</v>
      </c>
      <c r="H59" s="24" t="s">
        <v>74</v>
      </c>
      <c r="I59" s="24" t="s">
        <v>244</v>
      </c>
      <c r="J59" s="72">
        <v>0</v>
      </c>
      <c r="K59" s="72">
        <f t="shared" si="8"/>
        <v>0</v>
      </c>
      <c r="L59" s="72">
        <f t="shared" si="9"/>
        <v>0</v>
      </c>
      <c r="M59" s="72">
        <f t="shared" si="10"/>
        <v>0</v>
      </c>
      <c r="N59" s="72">
        <f t="shared" si="11"/>
        <v>0</v>
      </c>
      <c r="O59" s="72">
        <f t="shared" si="12"/>
        <v>0</v>
      </c>
      <c r="P59" s="72">
        <f t="shared" si="13"/>
        <v>0</v>
      </c>
      <c r="Q59" s="72">
        <f t="shared" si="21"/>
        <v>0</v>
      </c>
    </row>
    <row r="60" spans="4:17" x14ac:dyDescent="0.2">
      <c r="D60" s="24" t="str">
        <f t="shared" si="20"/>
        <v>D2000Programátor (junior)</v>
      </c>
      <c r="E60" s="24" t="s">
        <v>442</v>
      </c>
      <c r="F60" s="71" t="s">
        <v>245</v>
      </c>
      <c r="G60" s="24" t="s">
        <v>87</v>
      </c>
      <c r="H60" s="24" t="s">
        <v>74</v>
      </c>
      <c r="I60" s="24" t="s">
        <v>245</v>
      </c>
      <c r="J60" s="72">
        <v>46.38</v>
      </c>
      <c r="K60" s="72">
        <f t="shared" si="8"/>
        <v>1.93404</v>
      </c>
      <c r="L60" s="72">
        <f t="shared" si="9"/>
        <v>3.9225600000000003</v>
      </c>
      <c r="M60" s="72">
        <f t="shared" si="10"/>
        <v>6.1290000000000004</v>
      </c>
      <c r="N60" s="72">
        <f t="shared" si="11"/>
        <v>1.2802800000000001</v>
      </c>
      <c r="O60" s="72">
        <f t="shared" si="12"/>
        <v>1.4573400000000003</v>
      </c>
      <c r="P60" s="72">
        <f t="shared" si="13"/>
        <v>1.6344000000000001</v>
      </c>
      <c r="Q60" s="72">
        <f t="shared" si="21"/>
        <v>27.828000000000003</v>
      </c>
    </row>
    <row r="61" spans="4:17" x14ac:dyDescent="0.2">
      <c r="D61" s="24" t="str">
        <f t="shared" si="20"/>
        <v>D2000Programátor</v>
      </c>
      <c r="E61" s="24" t="s">
        <v>442</v>
      </c>
      <c r="F61" s="71" t="s">
        <v>246</v>
      </c>
      <c r="G61" s="24" t="s">
        <v>87</v>
      </c>
      <c r="H61" s="24" t="s">
        <v>74</v>
      </c>
      <c r="I61" s="24" t="s">
        <v>246</v>
      </c>
      <c r="J61" s="72">
        <v>57.78</v>
      </c>
      <c r="K61" s="72">
        <f t="shared" si="8"/>
        <v>1.93404</v>
      </c>
      <c r="L61" s="72">
        <f t="shared" si="9"/>
        <v>3.9225600000000003</v>
      </c>
      <c r="M61" s="72">
        <f t="shared" si="10"/>
        <v>6.1290000000000004</v>
      </c>
      <c r="N61" s="72">
        <f t="shared" si="11"/>
        <v>1.2802800000000001</v>
      </c>
      <c r="O61" s="72">
        <f t="shared" si="12"/>
        <v>1.4573400000000003</v>
      </c>
      <c r="P61" s="72">
        <f t="shared" si="13"/>
        <v>1.6344000000000001</v>
      </c>
      <c r="Q61" s="72">
        <f t="shared" si="21"/>
        <v>34.668000000000006</v>
      </c>
    </row>
    <row r="62" spans="4:17" x14ac:dyDescent="0.2">
      <c r="D62" s="24" t="str">
        <f t="shared" si="20"/>
        <v>D2000Projektový manažér (junior)</v>
      </c>
      <c r="E62" s="24" t="s">
        <v>442</v>
      </c>
      <c r="F62" s="71" t="s">
        <v>247</v>
      </c>
      <c r="G62" s="24" t="s">
        <v>87</v>
      </c>
      <c r="H62" s="24" t="s">
        <v>74</v>
      </c>
      <c r="I62" s="24" t="s">
        <v>247</v>
      </c>
      <c r="J62" s="72">
        <v>0</v>
      </c>
      <c r="K62" s="72">
        <f t="shared" si="8"/>
        <v>0</v>
      </c>
      <c r="L62" s="72">
        <f t="shared" si="9"/>
        <v>0</v>
      </c>
      <c r="M62" s="72">
        <f t="shared" si="10"/>
        <v>0</v>
      </c>
      <c r="N62" s="72">
        <f t="shared" si="11"/>
        <v>0</v>
      </c>
      <c r="O62" s="72">
        <f t="shared" si="12"/>
        <v>0</v>
      </c>
      <c r="P62" s="72">
        <f t="shared" si="13"/>
        <v>0</v>
      </c>
      <c r="Q62" s="72">
        <f t="shared" si="21"/>
        <v>0</v>
      </c>
    </row>
    <row r="63" spans="4:17" x14ac:dyDescent="0.2">
      <c r="D63" s="24" t="str">
        <f t="shared" si="20"/>
        <v>D2000Projektový manažér</v>
      </c>
      <c r="E63" s="24" t="s">
        <v>442</v>
      </c>
      <c r="F63" s="71" t="s">
        <v>248</v>
      </c>
      <c r="G63" s="24" t="s">
        <v>87</v>
      </c>
      <c r="H63" s="24" t="s">
        <v>74</v>
      </c>
      <c r="I63" s="24" t="s">
        <v>248</v>
      </c>
      <c r="J63" s="72">
        <v>0</v>
      </c>
      <c r="K63" s="72">
        <f t="shared" si="8"/>
        <v>0</v>
      </c>
      <c r="L63" s="72">
        <f t="shared" si="9"/>
        <v>0</v>
      </c>
      <c r="M63" s="72">
        <f t="shared" si="10"/>
        <v>0</v>
      </c>
      <c r="N63" s="72">
        <f t="shared" si="11"/>
        <v>0</v>
      </c>
      <c r="O63" s="72">
        <f t="shared" si="12"/>
        <v>0</v>
      </c>
      <c r="P63" s="72">
        <f t="shared" si="13"/>
        <v>0</v>
      </c>
      <c r="Q63" s="72">
        <f t="shared" si="21"/>
        <v>0</v>
      </c>
    </row>
    <row r="64" spans="4:17" x14ac:dyDescent="0.2">
      <c r="D64" s="24" t="str">
        <f t="shared" si="20"/>
        <v>D2000Projektový koordinátor</v>
      </c>
      <c r="E64" s="24" t="s">
        <v>442</v>
      </c>
      <c r="F64" s="71" t="s">
        <v>431</v>
      </c>
      <c r="G64" s="24" t="s">
        <v>87</v>
      </c>
      <c r="H64" s="24" t="s">
        <v>74</v>
      </c>
      <c r="I64" s="24" t="s">
        <v>431</v>
      </c>
      <c r="J64" s="72">
        <v>0</v>
      </c>
      <c r="K64" s="72">
        <f t="shared" si="8"/>
        <v>0</v>
      </c>
      <c r="L64" s="72">
        <f t="shared" si="9"/>
        <v>0</v>
      </c>
      <c r="M64" s="72">
        <f t="shared" si="10"/>
        <v>0</v>
      </c>
      <c r="N64" s="72">
        <f t="shared" si="11"/>
        <v>0</v>
      </c>
      <c r="O64" s="72">
        <f t="shared" si="12"/>
        <v>0</v>
      </c>
      <c r="P64" s="72">
        <f t="shared" si="13"/>
        <v>0</v>
      </c>
      <c r="Q64" s="72">
        <f t="shared" si="21"/>
        <v>0</v>
      </c>
    </row>
    <row r="65" spans="4:17" x14ac:dyDescent="0.2">
      <c r="D65" s="24" t="str">
        <f t="shared" ref="D65" si="22">E65&amp;F65</f>
        <v>D2000Tester</v>
      </c>
      <c r="E65" s="24" t="s">
        <v>442</v>
      </c>
      <c r="F65" s="71" t="s">
        <v>249</v>
      </c>
      <c r="G65" s="24" t="s">
        <v>87</v>
      </c>
      <c r="H65" s="24" t="s">
        <v>74</v>
      </c>
      <c r="I65" s="24" t="s">
        <v>249</v>
      </c>
      <c r="J65" s="72">
        <v>35.85</v>
      </c>
      <c r="K65" s="72">
        <f t="shared" si="8"/>
        <v>1.93404</v>
      </c>
      <c r="L65" s="72">
        <f t="shared" si="9"/>
        <v>3.9225600000000003</v>
      </c>
      <c r="M65" s="72">
        <f t="shared" si="10"/>
        <v>6.1290000000000004</v>
      </c>
      <c r="N65" s="72">
        <f t="shared" si="11"/>
        <v>1.2802800000000001</v>
      </c>
      <c r="O65" s="72">
        <f t="shared" si="12"/>
        <v>1.4573400000000003</v>
      </c>
      <c r="P65" s="72">
        <f t="shared" si="13"/>
        <v>1.6344000000000001</v>
      </c>
      <c r="Q65" s="72">
        <f t="shared" ref="Q65" si="23">J65*0.4*1.5</f>
        <v>21.51</v>
      </c>
    </row>
    <row r="66" spans="4:17" x14ac:dyDescent="0.2">
      <c r="D66" s="189" t="str">
        <f t="shared" si="20"/>
        <v>D2000Programátor (študent)</v>
      </c>
      <c r="E66" s="189" t="s">
        <v>442</v>
      </c>
      <c r="F66" s="190" t="s">
        <v>450</v>
      </c>
      <c r="G66" s="189" t="s">
        <v>87</v>
      </c>
      <c r="H66" s="189" t="s">
        <v>74</v>
      </c>
      <c r="I66" s="189" t="s">
        <v>450</v>
      </c>
      <c r="J66" s="191">
        <v>18.16</v>
      </c>
      <c r="K66" s="191">
        <f t="shared" si="8"/>
        <v>1.93404</v>
      </c>
      <c r="L66" s="191">
        <f t="shared" si="9"/>
        <v>3.9225600000000003</v>
      </c>
      <c r="M66" s="191">
        <f t="shared" si="10"/>
        <v>6.1290000000000004</v>
      </c>
      <c r="N66" s="191">
        <f t="shared" si="11"/>
        <v>1.2802800000000001</v>
      </c>
      <c r="O66" s="191">
        <f t="shared" si="12"/>
        <v>1.4573400000000003</v>
      </c>
      <c r="P66" s="191">
        <f t="shared" si="13"/>
        <v>1.6344000000000001</v>
      </c>
      <c r="Q66" s="191">
        <f t="shared" si="21"/>
        <v>10.896000000000001</v>
      </c>
    </row>
    <row r="67" spans="4:17" x14ac:dyDescent="0.2">
      <c r="D67" s="24" t="str">
        <f t="shared" si="20"/>
        <v>ITSAnalytik</v>
      </c>
      <c r="E67" s="24" t="s">
        <v>441</v>
      </c>
      <c r="F67" s="71" t="s">
        <v>236</v>
      </c>
      <c r="G67" s="24" t="s">
        <v>87</v>
      </c>
      <c r="H67" s="24" t="s">
        <v>74</v>
      </c>
      <c r="I67" s="24" t="s">
        <v>236</v>
      </c>
      <c r="J67" s="72">
        <v>0</v>
      </c>
      <c r="K67" s="72">
        <f t="shared" si="8"/>
        <v>0</v>
      </c>
      <c r="L67" s="72">
        <f t="shared" si="9"/>
        <v>0</v>
      </c>
      <c r="M67" s="72">
        <f t="shared" si="10"/>
        <v>0</v>
      </c>
      <c r="N67" s="72">
        <f t="shared" si="11"/>
        <v>0</v>
      </c>
      <c r="O67" s="72">
        <f t="shared" si="12"/>
        <v>0</v>
      </c>
      <c r="P67" s="72">
        <f t="shared" si="13"/>
        <v>0</v>
      </c>
      <c r="Q67" s="72">
        <f t="shared" si="21"/>
        <v>0</v>
      </c>
    </row>
    <row r="68" spans="4:17" x14ac:dyDescent="0.2">
      <c r="D68" s="24" t="str">
        <f t="shared" si="20"/>
        <v>ITSAnalytik (junior)</v>
      </c>
      <c r="E68" s="24" t="s">
        <v>441</v>
      </c>
      <c r="F68" s="71" t="s">
        <v>237</v>
      </c>
      <c r="G68" s="24" t="s">
        <v>87</v>
      </c>
      <c r="H68" s="24" t="s">
        <v>74</v>
      </c>
      <c r="I68" s="24" t="s">
        <v>237</v>
      </c>
      <c r="J68" s="72">
        <v>0</v>
      </c>
      <c r="K68" s="72">
        <f t="shared" si="8"/>
        <v>0</v>
      </c>
      <c r="L68" s="72">
        <f t="shared" si="9"/>
        <v>0</v>
      </c>
      <c r="M68" s="72">
        <f t="shared" si="10"/>
        <v>0</v>
      </c>
      <c r="N68" s="72">
        <f t="shared" si="11"/>
        <v>0</v>
      </c>
      <c r="O68" s="72">
        <f t="shared" si="12"/>
        <v>0</v>
      </c>
      <c r="P68" s="72">
        <f t="shared" si="13"/>
        <v>0</v>
      </c>
      <c r="Q68" s="72">
        <f t="shared" si="21"/>
        <v>0</v>
      </c>
    </row>
    <row r="69" spans="4:17" x14ac:dyDescent="0.2">
      <c r="D69" s="24" t="str">
        <f t="shared" si="20"/>
        <v>ITSArchitekt softvérového riešenia</v>
      </c>
      <c r="E69" s="24" t="s">
        <v>441</v>
      </c>
      <c r="F69" s="71" t="s">
        <v>238</v>
      </c>
      <c r="G69" s="24" t="s">
        <v>87</v>
      </c>
      <c r="H69" s="24" t="s">
        <v>74</v>
      </c>
      <c r="I69" s="24" t="s">
        <v>238</v>
      </c>
      <c r="J69" s="72">
        <v>0</v>
      </c>
      <c r="K69" s="72">
        <f t="shared" si="8"/>
        <v>0</v>
      </c>
      <c r="L69" s="72">
        <f t="shared" si="9"/>
        <v>0</v>
      </c>
      <c r="M69" s="72">
        <f t="shared" si="10"/>
        <v>0</v>
      </c>
      <c r="N69" s="72">
        <f t="shared" si="11"/>
        <v>0</v>
      </c>
      <c r="O69" s="72">
        <f t="shared" si="12"/>
        <v>0</v>
      </c>
      <c r="P69" s="72">
        <f t="shared" si="13"/>
        <v>0</v>
      </c>
      <c r="Q69" s="72">
        <f t="shared" si="21"/>
        <v>0</v>
      </c>
    </row>
    <row r="70" spans="4:17" x14ac:dyDescent="0.2">
      <c r="D70" s="24" t="str">
        <f t="shared" si="20"/>
        <v>ITSDokumentarista</v>
      </c>
      <c r="E70" s="24" t="s">
        <v>441</v>
      </c>
      <c r="F70" s="71" t="s">
        <v>239</v>
      </c>
      <c r="G70" s="24" t="s">
        <v>87</v>
      </c>
      <c r="H70" s="24" t="s">
        <v>74</v>
      </c>
      <c r="I70" s="24" t="s">
        <v>239</v>
      </c>
      <c r="J70" s="72">
        <v>0</v>
      </c>
      <c r="K70" s="72">
        <f t="shared" si="8"/>
        <v>0</v>
      </c>
      <c r="L70" s="72">
        <f t="shared" si="9"/>
        <v>0</v>
      </c>
      <c r="M70" s="72">
        <f t="shared" si="10"/>
        <v>0</v>
      </c>
      <c r="N70" s="72">
        <f t="shared" ref="N70:N82" si="24">IF($J70=0,0,0.94*1.362)</f>
        <v>0</v>
      </c>
      <c r="O70" s="72">
        <f t="shared" ref="O70:O82" si="25">IF($J70=0,0,1.07*1.362)</f>
        <v>0</v>
      </c>
      <c r="P70" s="72">
        <f t="shared" ref="P70:P82" si="26">IF($J70=0,0,1.2*1.362)</f>
        <v>0</v>
      </c>
      <c r="Q70" s="72">
        <f t="shared" si="21"/>
        <v>0</v>
      </c>
    </row>
    <row r="71" spans="4:17" x14ac:dyDescent="0.2">
      <c r="D71" s="24" t="str">
        <f t="shared" si="20"/>
        <v>ITSIT špecialista</v>
      </c>
      <c r="E71" s="24" t="s">
        <v>441</v>
      </c>
      <c r="F71" s="71" t="s">
        <v>240</v>
      </c>
      <c r="G71" s="24" t="s">
        <v>87</v>
      </c>
      <c r="H71" s="24" t="s">
        <v>74</v>
      </c>
      <c r="I71" s="24" t="s">
        <v>240</v>
      </c>
      <c r="J71" s="72">
        <v>52.55</v>
      </c>
      <c r="K71" s="72">
        <f t="shared" si="8"/>
        <v>1.93404</v>
      </c>
      <c r="L71" s="72">
        <f t="shared" si="9"/>
        <v>3.9225600000000003</v>
      </c>
      <c r="M71" s="72">
        <f t="shared" si="10"/>
        <v>6.1290000000000004</v>
      </c>
      <c r="N71" s="72">
        <f t="shared" si="24"/>
        <v>1.2802800000000001</v>
      </c>
      <c r="O71" s="72">
        <f t="shared" si="25"/>
        <v>1.4573400000000003</v>
      </c>
      <c r="P71" s="72">
        <f t="shared" si="26"/>
        <v>1.6344000000000001</v>
      </c>
      <c r="Q71" s="72">
        <f t="shared" si="21"/>
        <v>31.53</v>
      </c>
    </row>
    <row r="72" spans="4:17" x14ac:dyDescent="0.2">
      <c r="D72" s="24" t="str">
        <f t="shared" si="20"/>
        <v>ITSIT špecialista (junior)</v>
      </c>
      <c r="E72" s="24" t="s">
        <v>441</v>
      </c>
      <c r="F72" s="71" t="s">
        <v>241</v>
      </c>
      <c r="G72" s="24" t="s">
        <v>87</v>
      </c>
      <c r="H72" s="24" t="s">
        <v>74</v>
      </c>
      <c r="I72" s="24" t="s">
        <v>241</v>
      </c>
      <c r="J72" s="72">
        <v>37.1</v>
      </c>
      <c r="K72" s="72">
        <f t="shared" si="8"/>
        <v>1.93404</v>
      </c>
      <c r="L72" s="72">
        <f t="shared" si="9"/>
        <v>3.9225600000000003</v>
      </c>
      <c r="M72" s="72">
        <f t="shared" si="10"/>
        <v>6.1290000000000004</v>
      </c>
      <c r="N72" s="72">
        <f t="shared" si="24"/>
        <v>1.2802800000000001</v>
      </c>
      <c r="O72" s="72">
        <f t="shared" si="25"/>
        <v>1.4573400000000003</v>
      </c>
      <c r="P72" s="72">
        <f t="shared" si="26"/>
        <v>1.6344000000000001</v>
      </c>
      <c r="Q72" s="72">
        <f t="shared" si="21"/>
        <v>22.26</v>
      </c>
    </row>
    <row r="73" spans="4:17" x14ac:dyDescent="0.2">
      <c r="D73" s="24" t="str">
        <f t="shared" si="20"/>
        <v>ITSKontrakt manažér</v>
      </c>
      <c r="E73" s="24" t="s">
        <v>441</v>
      </c>
      <c r="F73" s="71" t="s">
        <v>242</v>
      </c>
      <c r="G73" s="24" t="s">
        <v>87</v>
      </c>
      <c r="H73" s="24" t="s">
        <v>74</v>
      </c>
      <c r="I73" s="24" t="s">
        <v>242</v>
      </c>
      <c r="J73" s="72">
        <v>0</v>
      </c>
      <c r="K73" s="72">
        <f t="shared" ref="K73:K82" si="27">IF($J73=0,0,1.42*1.362)</f>
        <v>0</v>
      </c>
      <c r="L73" s="72">
        <f t="shared" ref="L73:L82" si="28">IF($J73=0,0,2.88*1.362)</f>
        <v>0</v>
      </c>
      <c r="M73" s="72">
        <f t="shared" ref="M73:M82" si="29">IF($J73=0,0,4.5*1.362)</f>
        <v>0</v>
      </c>
      <c r="N73" s="72">
        <f t="shared" si="24"/>
        <v>0</v>
      </c>
      <c r="O73" s="72">
        <f t="shared" si="25"/>
        <v>0</v>
      </c>
      <c r="P73" s="72">
        <f t="shared" si="26"/>
        <v>0</v>
      </c>
      <c r="Q73" s="72">
        <f t="shared" si="21"/>
        <v>0</v>
      </c>
    </row>
    <row r="74" spans="4:17" x14ac:dyDescent="0.2">
      <c r="D74" s="24" t="str">
        <f t="shared" si="20"/>
        <v>ITSKonzultant (junior)</v>
      </c>
      <c r="E74" s="24" t="s">
        <v>441</v>
      </c>
      <c r="F74" s="71" t="s">
        <v>243</v>
      </c>
      <c r="G74" s="24" t="s">
        <v>87</v>
      </c>
      <c r="H74" s="24" t="s">
        <v>74</v>
      </c>
      <c r="I74" s="24" t="s">
        <v>243</v>
      </c>
      <c r="J74" s="72">
        <v>0</v>
      </c>
      <c r="K74" s="72">
        <f t="shared" si="27"/>
        <v>0</v>
      </c>
      <c r="L74" s="72">
        <f t="shared" si="28"/>
        <v>0</v>
      </c>
      <c r="M74" s="72">
        <f t="shared" si="29"/>
        <v>0</v>
      </c>
      <c r="N74" s="72">
        <f t="shared" si="24"/>
        <v>0</v>
      </c>
      <c r="O74" s="72">
        <f t="shared" si="25"/>
        <v>0</v>
      </c>
      <c r="P74" s="72">
        <f t="shared" si="26"/>
        <v>0</v>
      </c>
      <c r="Q74" s="72">
        <f t="shared" si="21"/>
        <v>0</v>
      </c>
    </row>
    <row r="75" spans="4:17" x14ac:dyDescent="0.2">
      <c r="D75" s="24" t="str">
        <f t="shared" si="20"/>
        <v>ITSKonzultant</v>
      </c>
      <c r="E75" s="24" t="s">
        <v>441</v>
      </c>
      <c r="F75" s="71" t="s">
        <v>244</v>
      </c>
      <c r="G75" s="24" t="s">
        <v>87</v>
      </c>
      <c r="H75" s="24" t="s">
        <v>74</v>
      </c>
      <c r="I75" s="24" t="s">
        <v>244</v>
      </c>
      <c r="J75" s="72">
        <v>0</v>
      </c>
      <c r="K75" s="72">
        <f t="shared" si="27"/>
        <v>0</v>
      </c>
      <c r="L75" s="72">
        <f t="shared" si="28"/>
        <v>0</v>
      </c>
      <c r="M75" s="72">
        <f t="shared" si="29"/>
        <v>0</v>
      </c>
      <c r="N75" s="72">
        <f t="shared" si="24"/>
        <v>0</v>
      </c>
      <c r="O75" s="72">
        <f t="shared" si="25"/>
        <v>0</v>
      </c>
      <c r="P75" s="72">
        <f t="shared" si="26"/>
        <v>0</v>
      </c>
      <c r="Q75" s="72">
        <f t="shared" si="21"/>
        <v>0</v>
      </c>
    </row>
    <row r="76" spans="4:17" x14ac:dyDescent="0.2">
      <c r="D76" s="24" t="str">
        <f t="shared" si="20"/>
        <v>ITSProgramátor (junior)</v>
      </c>
      <c r="E76" s="24" t="s">
        <v>441</v>
      </c>
      <c r="F76" s="71" t="s">
        <v>245</v>
      </c>
      <c r="G76" s="24" t="s">
        <v>87</v>
      </c>
      <c r="H76" s="24" t="s">
        <v>74</v>
      </c>
      <c r="I76" s="24" t="s">
        <v>245</v>
      </c>
      <c r="J76" s="72">
        <v>0</v>
      </c>
      <c r="K76" s="72">
        <f t="shared" si="27"/>
        <v>0</v>
      </c>
      <c r="L76" s="72">
        <f t="shared" si="28"/>
        <v>0</v>
      </c>
      <c r="M76" s="72">
        <f t="shared" si="29"/>
        <v>0</v>
      </c>
      <c r="N76" s="72">
        <f t="shared" si="24"/>
        <v>0</v>
      </c>
      <c r="O76" s="72">
        <f t="shared" si="25"/>
        <v>0</v>
      </c>
      <c r="P76" s="72">
        <f t="shared" si="26"/>
        <v>0</v>
      </c>
      <c r="Q76" s="72">
        <f t="shared" si="21"/>
        <v>0</v>
      </c>
    </row>
    <row r="77" spans="4:17" x14ac:dyDescent="0.2">
      <c r="D77" s="24" t="str">
        <f t="shared" si="20"/>
        <v>ITSProgramátor</v>
      </c>
      <c r="E77" s="24" t="s">
        <v>441</v>
      </c>
      <c r="F77" s="71" t="s">
        <v>246</v>
      </c>
      <c r="G77" s="24" t="s">
        <v>87</v>
      </c>
      <c r="H77" s="24" t="s">
        <v>74</v>
      </c>
      <c r="I77" s="24" t="s">
        <v>246</v>
      </c>
      <c r="J77" s="72">
        <v>0</v>
      </c>
      <c r="K77" s="72">
        <f t="shared" si="27"/>
        <v>0</v>
      </c>
      <c r="L77" s="72">
        <f t="shared" si="28"/>
        <v>0</v>
      </c>
      <c r="M77" s="72">
        <f t="shared" si="29"/>
        <v>0</v>
      </c>
      <c r="N77" s="72">
        <f t="shared" si="24"/>
        <v>0</v>
      </c>
      <c r="O77" s="72">
        <f t="shared" si="25"/>
        <v>0</v>
      </c>
      <c r="P77" s="72">
        <f t="shared" si="26"/>
        <v>0</v>
      </c>
      <c r="Q77" s="72">
        <f t="shared" si="21"/>
        <v>0</v>
      </c>
    </row>
    <row r="78" spans="4:17" x14ac:dyDescent="0.2">
      <c r="D78" s="24" t="str">
        <f t="shared" si="20"/>
        <v>ITSProjektový manažér (junior)</v>
      </c>
      <c r="E78" s="24" t="s">
        <v>441</v>
      </c>
      <c r="F78" s="71" t="s">
        <v>247</v>
      </c>
      <c r="G78" s="24" t="s">
        <v>87</v>
      </c>
      <c r="H78" s="24" t="s">
        <v>74</v>
      </c>
      <c r="I78" s="24" t="s">
        <v>247</v>
      </c>
      <c r="J78" s="72">
        <v>0</v>
      </c>
      <c r="K78" s="72">
        <f t="shared" si="27"/>
        <v>0</v>
      </c>
      <c r="L78" s="72">
        <f t="shared" si="28"/>
        <v>0</v>
      </c>
      <c r="M78" s="72">
        <f t="shared" si="29"/>
        <v>0</v>
      </c>
      <c r="N78" s="72">
        <f t="shared" si="24"/>
        <v>0</v>
      </c>
      <c r="O78" s="72">
        <f t="shared" si="25"/>
        <v>0</v>
      </c>
      <c r="P78" s="72">
        <f t="shared" si="26"/>
        <v>0</v>
      </c>
      <c r="Q78" s="72">
        <f t="shared" si="21"/>
        <v>0</v>
      </c>
    </row>
    <row r="79" spans="4:17" x14ac:dyDescent="0.2">
      <c r="D79" s="24" t="str">
        <f t="shared" si="20"/>
        <v>ITSProjektový manažér</v>
      </c>
      <c r="E79" s="24" t="s">
        <v>441</v>
      </c>
      <c r="F79" s="71" t="s">
        <v>248</v>
      </c>
      <c r="G79" s="24" t="s">
        <v>87</v>
      </c>
      <c r="H79" s="24" t="s">
        <v>74</v>
      </c>
      <c r="I79" s="24" t="s">
        <v>248</v>
      </c>
      <c r="J79" s="72">
        <v>0</v>
      </c>
      <c r="K79" s="72">
        <f t="shared" si="27"/>
        <v>0</v>
      </c>
      <c r="L79" s="72">
        <f t="shared" si="28"/>
        <v>0</v>
      </c>
      <c r="M79" s="72">
        <f t="shared" si="29"/>
        <v>0</v>
      </c>
      <c r="N79" s="72">
        <f t="shared" si="24"/>
        <v>0</v>
      </c>
      <c r="O79" s="72">
        <f t="shared" si="25"/>
        <v>0</v>
      </c>
      <c r="P79" s="72">
        <f t="shared" si="26"/>
        <v>0</v>
      </c>
      <c r="Q79" s="72">
        <f t="shared" si="21"/>
        <v>0</v>
      </c>
    </row>
    <row r="80" spans="4:17" x14ac:dyDescent="0.2">
      <c r="D80" s="24" t="str">
        <f t="shared" si="20"/>
        <v>ITSProjektový koordinátor</v>
      </c>
      <c r="E80" s="24" t="s">
        <v>441</v>
      </c>
      <c r="F80" s="71" t="s">
        <v>431</v>
      </c>
      <c r="G80" s="24" t="s">
        <v>87</v>
      </c>
      <c r="H80" s="24" t="s">
        <v>74</v>
      </c>
      <c r="I80" s="24" t="s">
        <v>431</v>
      </c>
      <c r="J80" s="72">
        <v>0</v>
      </c>
      <c r="K80" s="72">
        <f t="shared" si="27"/>
        <v>0</v>
      </c>
      <c r="L80" s="72">
        <f t="shared" si="28"/>
        <v>0</v>
      </c>
      <c r="M80" s="72">
        <f t="shared" si="29"/>
        <v>0</v>
      </c>
      <c r="N80" s="72">
        <f t="shared" si="24"/>
        <v>0</v>
      </c>
      <c r="O80" s="72">
        <f t="shared" si="25"/>
        <v>0</v>
      </c>
      <c r="P80" s="72">
        <f t="shared" si="26"/>
        <v>0</v>
      </c>
      <c r="Q80" s="72">
        <f t="shared" si="21"/>
        <v>0</v>
      </c>
    </row>
    <row r="81" spans="4:17" x14ac:dyDescent="0.2">
      <c r="D81" s="24" t="str">
        <f t="shared" ref="D81" si="30">E81&amp;F81</f>
        <v>ITSTester</v>
      </c>
      <c r="E81" s="24" t="s">
        <v>441</v>
      </c>
      <c r="F81" s="71" t="s">
        <v>249</v>
      </c>
      <c r="G81" s="24" t="s">
        <v>87</v>
      </c>
      <c r="H81" s="24" t="s">
        <v>74</v>
      </c>
      <c r="I81" s="24" t="s">
        <v>249</v>
      </c>
      <c r="J81" s="72">
        <v>0</v>
      </c>
      <c r="K81" s="72">
        <f t="shared" si="27"/>
        <v>0</v>
      </c>
      <c r="L81" s="72">
        <f t="shared" si="28"/>
        <v>0</v>
      </c>
      <c r="M81" s="72">
        <f t="shared" si="29"/>
        <v>0</v>
      </c>
      <c r="N81" s="72">
        <f t="shared" si="24"/>
        <v>0</v>
      </c>
      <c r="O81" s="72">
        <f t="shared" si="25"/>
        <v>0</v>
      </c>
      <c r="P81" s="72">
        <f t="shared" si="26"/>
        <v>0</v>
      </c>
      <c r="Q81" s="72">
        <f t="shared" ref="Q81" si="31">J81*0.4*1.5</f>
        <v>0</v>
      </c>
    </row>
    <row r="82" spans="4:17" x14ac:dyDescent="0.2">
      <c r="D82" s="189" t="str">
        <f t="shared" si="20"/>
        <v>ITSProgramátor (študent)</v>
      </c>
      <c r="E82" s="189" t="s">
        <v>441</v>
      </c>
      <c r="F82" s="190" t="s">
        <v>450</v>
      </c>
      <c r="G82" s="189" t="s">
        <v>87</v>
      </c>
      <c r="H82" s="189" t="s">
        <v>74</v>
      </c>
      <c r="I82" s="189" t="s">
        <v>450</v>
      </c>
      <c r="J82" s="191">
        <v>0</v>
      </c>
      <c r="K82" s="191">
        <f t="shared" si="27"/>
        <v>0</v>
      </c>
      <c r="L82" s="191">
        <f t="shared" si="28"/>
        <v>0</v>
      </c>
      <c r="M82" s="191">
        <f t="shared" si="29"/>
        <v>0</v>
      </c>
      <c r="N82" s="191">
        <f t="shared" si="24"/>
        <v>0</v>
      </c>
      <c r="O82" s="191">
        <f t="shared" si="25"/>
        <v>0</v>
      </c>
      <c r="P82" s="191">
        <f t="shared" si="26"/>
        <v>0</v>
      </c>
      <c r="Q82" s="191">
        <f t="shared" si="21"/>
        <v>0</v>
      </c>
    </row>
    <row r="83" spans="4:17" x14ac:dyDescent="0.2">
      <c r="D83" s="24" t="str">
        <f t="shared" ref="D83" si="32">E83&amp;F83</f>
        <v>IPS náklady [Eur]</v>
      </c>
      <c r="F83" s="71" t="s">
        <v>373</v>
      </c>
      <c r="G83" s="24" t="s">
        <v>88</v>
      </c>
      <c r="H83" s="24" t="s">
        <v>74</v>
      </c>
      <c r="J83" s="72">
        <v>1</v>
      </c>
      <c r="K83" s="72"/>
      <c r="L83" s="72"/>
      <c r="M83" s="72"/>
      <c r="N83" s="72"/>
      <c r="O83" s="72"/>
      <c r="P83" s="72"/>
      <c r="Q83" s="72"/>
    </row>
    <row r="84" spans="4:17" x14ac:dyDescent="0.2">
      <c r="D84" s="24" t="str">
        <f t="shared" si="0"/>
        <v>HW</v>
      </c>
      <c r="F84" s="71" t="s">
        <v>61</v>
      </c>
      <c r="G84" s="24" t="s">
        <v>88</v>
      </c>
      <c r="H84" s="24" t="s">
        <v>75</v>
      </c>
      <c r="I84" s="24" t="s">
        <v>66</v>
      </c>
      <c r="J84" s="72">
        <v>1</v>
      </c>
      <c r="K84" s="72"/>
      <c r="L84" s="72"/>
      <c r="M84" s="72"/>
      <c r="N84" s="72"/>
      <c r="O84" s="72"/>
      <c r="P84" s="72"/>
      <c r="Q84" s="72"/>
    </row>
    <row r="85" spans="4:17" x14ac:dyDescent="0.2">
      <c r="D85" s="24" t="str">
        <f t="shared" si="0"/>
        <v>SW</v>
      </c>
      <c r="F85" s="71" t="s">
        <v>62</v>
      </c>
      <c r="G85" s="24" t="s">
        <v>88</v>
      </c>
      <c r="H85" s="24" t="s">
        <v>75</v>
      </c>
      <c r="I85" s="24" t="s">
        <v>67</v>
      </c>
      <c r="J85" s="72">
        <v>1</v>
      </c>
      <c r="K85" s="72"/>
      <c r="L85" s="72"/>
      <c r="M85" s="72"/>
      <c r="N85" s="72"/>
      <c r="O85" s="72"/>
      <c r="P85" s="72"/>
      <c r="Q85" s="72"/>
    </row>
    <row r="86" spans="4:17" x14ac:dyDescent="0.2">
      <c r="D86" s="24" t="str">
        <f t="shared" si="0"/>
        <v>WORKS</v>
      </c>
      <c r="F86" s="71" t="s">
        <v>63</v>
      </c>
      <c r="G86" s="24" t="s">
        <v>88</v>
      </c>
      <c r="H86" s="24" t="s">
        <v>75</v>
      </c>
      <c r="I86" s="24" t="s">
        <v>68</v>
      </c>
      <c r="J86" s="72">
        <v>1</v>
      </c>
      <c r="K86" s="72"/>
      <c r="L86" s="72"/>
      <c r="M86" s="72"/>
      <c r="N86" s="72"/>
      <c r="O86" s="72"/>
      <c r="P86" s="72"/>
      <c r="Q86" s="72"/>
    </row>
    <row r="87" spans="4:17" x14ac:dyDescent="0.2">
      <c r="D87" s="24" t="str">
        <f t="shared" si="0"/>
        <v>PROV</v>
      </c>
      <c r="F87" s="71" t="s">
        <v>64</v>
      </c>
      <c r="G87" s="24" t="s">
        <v>88</v>
      </c>
      <c r="H87" s="24" t="s">
        <v>75</v>
      </c>
      <c r="I87" s="24" t="s">
        <v>69</v>
      </c>
      <c r="J87" s="72">
        <v>1</v>
      </c>
      <c r="K87" s="72"/>
      <c r="L87" s="72"/>
      <c r="M87" s="72"/>
      <c r="N87" s="72"/>
      <c r="O87" s="72"/>
      <c r="P87" s="72"/>
      <c r="Q87" s="72"/>
    </row>
    <row r="88" spans="4:17" x14ac:dyDescent="0.2">
      <c r="D88" s="24" t="str">
        <f t="shared" ref="D88:D114" si="33">E88&amp;F88</f>
        <v>TRAVEL</v>
      </c>
      <c r="F88" s="71" t="s">
        <v>81</v>
      </c>
      <c r="G88" s="24" t="s">
        <v>88</v>
      </c>
      <c r="H88" s="24" t="s">
        <v>75</v>
      </c>
      <c r="I88" s="24" t="s">
        <v>76</v>
      </c>
      <c r="J88" s="72">
        <v>1</v>
      </c>
      <c r="K88" s="72"/>
      <c r="L88" s="72"/>
      <c r="M88" s="72"/>
      <c r="N88" s="72"/>
      <c r="O88" s="72"/>
      <c r="P88" s="72"/>
      <c r="Q88" s="72"/>
    </row>
    <row r="89" spans="4:17" x14ac:dyDescent="0.2">
      <c r="D89" s="24" t="str">
        <f t="shared" ref="D89" si="34">E89&amp;F89</f>
        <v>TRAVEL - km</v>
      </c>
      <c r="F89" s="71" t="s">
        <v>229</v>
      </c>
      <c r="G89" s="24" t="s">
        <v>230</v>
      </c>
      <c r="H89" s="24" t="s">
        <v>75</v>
      </c>
      <c r="I89" s="24" t="s">
        <v>231</v>
      </c>
      <c r="J89" s="24">
        <f>0.183+1.3*5.5*0.01</f>
        <v>0.2545</v>
      </c>
      <c r="K89" s="72"/>
      <c r="L89" s="72"/>
      <c r="M89" s="72"/>
      <c r="N89" s="72"/>
      <c r="O89" s="72"/>
      <c r="P89" s="72"/>
      <c r="Q89" s="72"/>
    </row>
    <row r="90" spans="4:17" x14ac:dyDescent="0.2">
      <c r="D90" s="24" t="str">
        <f t="shared" si="33"/>
        <v>FINANCE</v>
      </c>
      <c r="F90" s="71" t="s">
        <v>136</v>
      </c>
      <c r="G90" s="24" t="s">
        <v>88</v>
      </c>
      <c r="H90" s="24" t="s">
        <v>75</v>
      </c>
      <c r="I90" s="24" t="s">
        <v>145</v>
      </c>
      <c r="J90" s="72">
        <v>1</v>
      </c>
      <c r="K90" s="72"/>
      <c r="L90" s="72"/>
      <c r="M90" s="72"/>
      <c r="N90" s="72"/>
      <c r="O90" s="72"/>
      <c r="P90" s="72"/>
      <c r="Q90" s="72"/>
    </row>
    <row r="91" spans="4:17" x14ac:dyDescent="0.2">
      <c r="D91" s="24" t="str">
        <f t="shared" si="33"/>
        <v>Mnt_PPTE v2</v>
      </c>
      <c r="F91" s="71" t="s">
        <v>444</v>
      </c>
      <c r="G91" s="24" t="s">
        <v>157</v>
      </c>
      <c r="H91" s="24" t="s">
        <v>158</v>
      </c>
      <c r="I91" s="24" t="s">
        <v>432</v>
      </c>
      <c r="J91" s="72">
        <f>21000/5</f>
        <v>4200</v>
      </c>
      <c r="K91" s="72"/>
      <c r="L91" s="72"/>
      <c r="M91" s="72"/>
      <c r="N91" s="72"/>
      <c r="O91" s="72"/>
      <c r="P91" s="72"/>
      <c r="Q91" s="72"/>
    </row>
    <row r="92" spans="4:17" x14ac:dyDescent="0.2">
      <c r="D92" s="24" t="str">
        <f t="shared" si="33"/>
        <v>Mnt_D2000 v25</v>
      </c>
      <c r="F92" s="71" t="s">
        <v>451</v>
      </c>
      <c r="G92" s="24" t="s">
        <v>157</v>
      </c>
      <c r="H92" s="24" t="s">
        <v>158</v>
      </c>
      <c r="I92" s="24" t="s">
        <v>79</v>
      </c>
      <c r="J92" s="72">
        <f t="shared" ref="J92:J97" si="35">10000/5</f>
        <v>2000</v>
      </c>
      <c r="K92" s="72"/>
      <c r="L92" s="72"/>
      <c r="M92" s="72"/>
      <c r="N92" s="72"/>
      <c r="O92" s="72"/>
      <c r="P92" s="72"/>
      <c r="Q92" s="72"/>
    </row>
    <row r="93" spans="4:17" x14ac:dyDescent="0.2">
      <c r="D93" s="24" t="str">
        <f t="shared" ref="D93" si="36">E93&amp;F93</f>
        <v>Mnt_D2000 v24</v>
      </c>
      <c r="F93" s="71" t="s">
        <v>443</v>
      </c>
      <c r="G93" s="24" t="s">
        <v>157</v>
      </c>
      <c r="H93" s="24" t="s">
        <v>158</v>
      </c>
      <c r="I93" s="24" t="s">
        <v>79</v>
      </c>
      <c r="J93" s="72">
        <f t="shared" si="35"/>
        <v>2000</v>
      </c>
      <c r="K93" s="72"/>
      <c r="L93" s="72"/>
      <c r="M93" s="72"/>
      <c r="N93" s="72"/>
      <c r="O93" s="72"/>
      <c r="P93" s="72"/>
      <c r="Q93" s="72"/>
    </row>
    <row r="94" spans="4:17" x14ac:dyDescent="0.2">
      <c r="D94" s="24" t="str">
        <f t="shared" si="33"/>
        <v>Mnt_D2000 v23</v>
      </c>
      <c r="F94" s="71" t="s">
        <v>435</v>
      </c>
      <c r="G94" s="24" t="s">
        <v>157</v>
      </c>
      <c r="H94" s="24" t="s">
        <v>158</v>
      </c>
      <c r="I94" s="24" t="s">
        <v>79</v>
      </c>
      <c r="J94" s="72">
        <f t="shared" si="35"/>
        <v>2000</v>
      </c>
      <c r="K94" s="72"/>
      <c r="L94" s="72"/>
      <c r="M94" s="72"/>
      <c r="N94" s="72"/>
      <c r="O94" s="72"/>
      <c r="P94" s="72"/>
      <c r="Q94" s="72"/>
    </row>
    <row r="95" spans="4:17" x14ac:dyDescent="0.2">
      <c r="D95" s="24" t="str">
        <f t="shared" ref="D95" si="37">E95&amp;F95</f>
        <v>Mnt_D2000 v22</v>
      </c>
      <c r="F95" s="71" t="s">
        <v>434</v>
      </c>
      <c r="G95" s="24" t="s">
        <v>157</v>
      </c>
      <c r="H95" s="24" t="s">
        <v>158</v>
      </c>
      <c r="I95" s="24" t="s">
        <v>79</v>
      </c>
      <c r="J95" s="72">
        <f t="shared" si="35"/>
        <v>2000</v>
      </c>
      <c r="K95" s="72"/>
      <c r="L95" s="72"/>
      <c r="M95" s="72"/>
      <c r="N95" s="72"/>
      <c r="O95" s="72"/>
      <c r="P95" s="72"/>
      <c r="Q95" s="72"/>
    </row>
    <row r="96" spans="4:17" x14ac:dyDescent="0.2">
      <c r="D96" s="24" t="str">
        <f t="shared" si="33"/>
        <v>Mnt_D2000 v21</v>
      </c>
      <c r="F96" s="71" t="s">
        <v>433</v>
      </c>
      <c r="G96" s="24" t="s">
        <v>157</v>
      </c>
      <c r="H96" s="24" t="s">
        <v>158</v>
      </c>
      <c r="I96" s="24" t="s">
        <v>79</v>
      </c>
      <c r="J96" s="72">
        <f t="shared" si="35"/>
        <v>2000</v>
      </c>
      <c r="K96" s="72"/>
      <c r="L96" s="72"/>
      <c r="M96" s="72"/>
      <c r="N96" s="72"/>
      <c r="O96" s="72"/>
      <c r="P96" s="72"/>
      <c r="Q96" s="72"/>
    </row>
    <row r="97" spans="4:17" x14ac:dyDescent="0.2">
      <c r="D97" s="24" t="str">
        <f>E97&amp;F97</f>
        <v>Mnt_D2000 v12</v>
      </c>
      <c r="F97" s="71" t="s">
        <v>406</v>
      </c>
      <c r="G97" s="24" t="s">
        <v>157</v>
      </c>
      <c r="H97" s="24" t="s">
        <v>158</v>
      </c>
      <c r="I97" s="24" t="s">
        <v>79</v>
      </c>
      <c r="J97" s="72">
        <f t="shared" si="35"/>
        <v>2000</v>
      </c>
      <c r="K97" s="72"/>
      <c r="L97" s="72"/>
      <c r="M97" s="72"/>
      <c r="N97" s="72"/>
      <c r="O97" s="72"/>
      <c r="P97" s="72"/>
      <c r="Q97" s="72"/>
    </row>
    <row r="98" spans="4:17" x14ac:dyDescent="0.2">
      <c r="D98" s="24" t="str">
        <f t="shared" si="33"/>
        <v>Mnt_D2000 v.10 Enterprise</v>
      </c>
      <c r="F98" s="71" t="s">
        <v>256</v>
      </c>
      <c r="G98" s="24" t="s">
        <v>157</v>
      </c>
      <c r="H98" s="24" t="s">
        <v>158</v>
      </c>
      <c r="I98" s="24" t="s">
        <v>79</v>
      </c>
      <c r="J98" s="72">
        <f>ROUND(385000/13,-3)/5</f>
        <v>6000</v>
      </c>
      <c r="K98" s="72"/>
      <c r="L98" s="72"/>
      <c r="M98" s="72"/>
      <c r="N98" s="72"/>
      <c r="O98" s="72"/>
      <c r="P98" s="72"/>
      <c r="Q98" s="72"/>
    </row>
    <row r="99" spans="4:17" x14ac:dyDescent="0.2">
      <c r="D99" s="24" t="str">
        <f t="shared" si="33"/>
        <v>Mnt_EMS v2</v>
      </c>
      <c r="F99" s="71" t="s">
        <v>415</v>
      </c>
      <c r="G99" s="24" t="s">
        <v>157</v>
      </c>
      <c r="H99" s="24" t="s">
        <v>158</v>
      </c>
      <c r="I99" s="24" t="s">
        <v>407</v>
      </c>
      <c r="J99" s="72">
        <f>13000/5</f>
        <v>2600</v>
      </c>
      <c r="K99" s="72"/>
      <c r="L99" s="72"/>
      <c r="M99" s="72"/>
      <c r="N99" s="72"/>
      <c r="O99" s="72"/>
      <c r="P99" s="72"/>
      <c r="Q99" s="72"/>
    </row>
    <row r="100" spans="4:17" x14ac:dyDescent="0.2">
      <c r="D100" s="24" t="str">
        <f t="shared" ref="D100" si="38">E100&amp;F100</f>
        <v>Mnt_ISAG v1</v>
      </c>
      <c r="F100" s="71" t="s">
        <v>445</v>
      </c>
      <c r="G100" s="24" t="s">
        <v>157</v>
      </c>
      <c r="H100" s="24" t="s">
        <v>158</v>
      </c>
      <c r="I100" s="24" t="s">
        <v>446</v>
      </c>
      <c r="J100" s="72">
        <f>12500/5</f>
        <v>2500</v>
      </c>
      <c r="K100" s="72"/>
      <c r="L100" s="72"/>
      <c r="M100" s="72"/>
      <c r="N100" s="72"/>
      <c r="O100" s="72"/>
      <c r="P100" s="72"/>
      <c r="Q100" s="72"/>
    </row>
    <row r="101" spans="4:17" x14ac:dyDescent="0.2">
      <c r="D101" s="24" t="str">
        <f t="shared" si="33"/>
        <v>Mnt_EMS v. 1.0</v>
      </c>
      <c r="F101" s="71" t="s">
        <v>162</v>
      </c>
      <c r="G101" s="24" t="s">
        <v>157</v>
      </c>
      <c r="H101" s="24" t="s">
        <v>158</v>
      </c>
      <c r="I101" s="24" t="s">
        <v>407</v>
      </c>
      <c r="J101" s="72">
        <f>ROUNDUP(37000/3,-2)/5</f>
        <v>2480</v>
      </c>
      <c r="K101" s="72"/>
      <c r="L101" s="72"/>
      <c r="M101" s="72"/>
      <c r="N101" s="72"/>
      <c r="O101" s="72"/>
      <c r="P101" s="72"/>
      <c r="Q101" s="72"/>
    </row>
    <row r="102" spans="4:17" x14ac:dyDescent="0.2">
      <c r="D102" s="24" t="str">
        <f t="shared" si="33"/>
        <v>Mnt_REMS v. 1.0</v>
      </c>
      <c r="F102" s="71" t="s">
        <v>163</v>
      </c>
      <c r="G102" s="24" t="s">
        <v>157</v>
      </c>
      <c r="H102" s="24" t="s">
        <v>158</v>
      </c>
      <c r="I102" s="24" t="s">
        <v>408</v>
      </c>
      <c r="J102" s="72">
        <f>ROUNDUP(270000/3,-2)/5</f>
        <v>18000</v>
      </c>
      <c r="K102" s="72"/>
      <c r="L102" s="72"/>
      <c r="M102" s="72"/>
      <c r="N102" s="72"/>
      <c r="O102" s="72"/>
      <c r="P102" s="72"/>
      <c r="Q102" s="72"/>
    </row>
    <row r="103" spans="4:17" x14ac:dyDescent="0.2">
      <c r="D103" s="24" t="str">
        <f t="shared" ref="D103" si="39">E103&amp;F103</f>
        <v>Mnt_SELT Trading Web Basic</v>
      </c>
      <c r="F103" s="71" t="s">
        <v>452</v>
      </c>
      <c r="G103" s="24" t="s">
        <v>157</v>
      </c>
      <c r="H103" s="24" t="s">
        <v>158</v>
      </c>
      <c r="I103" s="24" t="s">
        <v>80</v>
      </c>
      <c r="J103" s="72">
        <v>6000</v>
      </c>
      <c r="K103" s="72"/>
      <c r="L103" s="72"/>
      <c r="M103" s="72"/>
      <c r="N103" s="72"/>
      <c r="O103" s="72"/>
      <c r="P103" s="72"/>
      <c r="Q103" s="72"/>
    </row>
    <row r="104" spans="4:17" x14ac:dyDescent="0.2">
      <c r="D104" s="24" t="str">
        <f t="shared" si="33"/>
        <v>Mnt_SELT v.5</v>
      </c>
      <c r="F104" s="71" t="s">
        <v>374</v>
      </c>
      <c r="G104" s="24" t="s">
        <v>157</v>
      </c>
      <c r="H104" s="24" t="s">
        <v>158</v>
      </c>
      <c r="I104" s="24" t="s">
        <v>80</v>
      </c>
      <c r="J104" s="72">
        <v>2000</v>
      </c>
      <c r="K104" s="72"/>
      <c r="L104" s="72"/>
      <c r="M104" s="72"/>
      <c r="N104" s="72"/>
      <c r="O104" s="72"/>
      <c r="P104" s="72"/>
      <c r="Q104" s="72"/>
    </row>
    <row r="105" spans="4:17" x14ac:dyDescent="0.2">
      <c r="D105" s="24" t="str">
        <f t="shared" si="33"/>
        <v>Mnt_Loco</v>
      </c>
      <c r="F105" s="71" t="s">
        <v>338</v>
      </c>
      <c r="G105" s="24" t="s">
        <v>157</v>
      </c>
      <c r="H105" s="24" t="s">
        <v>158</v>
      </c>
      <c r="I105" s="24" t="s">
        <v>409</v>
      </c>
      <c r="J105" s="72">
        <f>500/5</f>
        <v>100</v>
      </c>
      <c r="K105" s="72"/>
      <c r="L105" s="72"/>
      <c r="M105" s="72"/>
      <c r="N105" s="72"/>
      <c r="O105" s="72"/>
      <c r="P105" s="72"/>
      <c r="Q105" s="72"/>
    </row>
    <row r="106" spans="4:17" x14ac:dyDescent="0.2">
      <c r="D106" s="24" t="str">
        <f t="shared" si="33"/>
        <v>Mnt_WebSuite v.1</v>
      </c>
      <c r="F106" s="71" t="s">
        <v>339</v>
      </c>
      <c r="G106" s="24" t="s">
        <v>157</v>
      </c>
      <c r="H106" s="24" t="s">
        <v>158</v>
      </c>
      <c r="I106" s="24" t="s">
        <v>410</v>
      </c>
      <c r="J106" s="72">
        <f>3300/5</f>
        <v>660</v>
      </c>
      <c r="K106" s="72"/>
      <c r="L106" s="72"/>
      <c r="M106" s="72"/>
      <c r="N106" s="72"/>
      <c r="O106" s="72"/>
      <c r="P106" s="72"/>
      <c r="Q106" s="72"/>
    </row>
    <row r="107" spans="4:17" x14ac:dyDescent="0.2">
      <c r="D107" s="24" t="str">
        <f t="shared" si="33"/>
        <v>Mnt_GSO</v>
      </c>
      <c r="F107" s="71" t="s">
        <v>378</v>
      </c>
      <c r="G107" s="24" t="s">
        <v>157</v>
      </c>
      <c r="H107" s="24" t="s">
        <v>158</v>
      </c>
      <c r="I107" s="24" t="s">
        <v>411</v>
      </c>
      <c r="J107" s="72">
        <f>15550/5</f>
        <v>3110</v>
      </c>
      <c r="K107" s="72"/>
      <c r="L107" s="72"/>
      <c r="M107" s="72"/>
      <c r="N107" s="72"/>
      <c r="O107" s="72"/>
      <c r="P107" s="72"/>
      <c r="Q107" s="72"/>
    </row>
    <row r="108" spans="4:17" x14ac:dyDescent="0.2">
      <c r="D108" s="24" t="str">
        <f t="shared" si="33"/>
        <v>Mnt_DLMS</v>
      </c>
      <c r="F108" s="71" t="s">
        <v>375</v>
      </c>
      <c r="G108" s="24" t="s">
        <v>157</v>
      </c>
      <c r="H108" s="24" t="s">
        <v>158</v>
      </c>
      <c r="I108" s="24" t="s">
        <v>412</v>
      </c>
      <c r="J108" s="72">
        <f>6600/5</f>
        <v>1320</v>
      </c>
      <c r="K108" s="72"/>
      <c r="L108" s="72"/>
      <c r="M108" s="72"/>
      <c r="N108" s="72"/>
      <c r="O108" s="72"/>
      <c r="P108" s="72"/>
      <c r="Q108" s="72"/>
    </row>
    <row r="109" spans="4:17" x14ac:dyDescent="0.2">
      <c r="D109" s="24" t="str">
        <f t="shared" ref="D109" si="40">E109&amp;F109</f>
        <v>Mnt_SELT_MOD</v>
      </c>
      <c r="F109" s="71" t="s">
        <v>436</v>
      </c>
      <c r="G109" s="24" t="s">
        <v>157</v>
      </c>
      <c r="H109" s="24" t="s">
        <v>158</v>
      </c>
      <c r="I109" s="24" t="s">
        <v>437</v>
      </c>
      <c r="J109" s="72">
        <v>800</v>
      </c>
      <c r="K109" s="72"/>
      <c r="L109" s="72"/>
      <c r="M109" s="72"/>
      <c r="N109" s="72"/>
      <c r="O109" s="72"/>
      <c r="P109" s="72"/>
      <c r="Q109" s="72"/>
    </row>
    <row r="110" spans="4:17" x14ac:dyDescent="0.2">
      <c r="D110" s="24" t="str">
        <f t="shared" si="33"/>
        <v>Mnt_MCD</v>
      </c>
      <c r="F110" s="71" t="s">
        <v>376</v>
      </c>
      <c r="G110" s="24" t="s">
        <v>157</v>
      </c>
      <c r="H110" s="24" t="s">
        <v>158</v>
      </c>
      <c r="I110" s="24" t="s">
        <v>413</v>
      </c>
      <c r="J110" s="72">
        <f>8700/5</f>
        <v>1740</v>
      </c>
      <c r="K110" s="72"/>
      <c r="L110" s="72"/>
      <c r="M110" s="72"/>
      <c r="N110" s="72"/>
      <c r="O110" s="72"/>
      <c r="P110" s="72"/>
      <c r="Q110" s="72"/>
    </row>
    <row r="111" spans="4:17" x14ac:dyDescent="0.2">
      <c r="D111" s="24" t="str">
        <f t="shared" si="33"/>
        <v>Mnt_MOP</v>
      </c>
      <c r="F111" s="71" t="s">
        <v>377</v>
      </c>
      <c r="G111" s="24" t="s">
        <v>157</v>
      </c>
      <c r="H111" s="24" t="s">
        <v>158</v>
      </c>
      <c r="I111" s="24" t="s">
        <v>414</v>
      </c>
      <c r="J111" s="72">
        <f>2740/5</f>
        <v>548</v>
      </c>
      <c r="K111" s="72"/>
      <c r="L111" s="72"/>
      <c r="M111" s="72"/>
      <c r="N111" s="72"/>
      <c r="O111" s="72"/>
      <c r="P111" s="72"/>
      <c r="Q111" s="72"/>
    </row>
    <row r="112" spans="4:17" x14ac:dyDescent="0.2">
      <c r="D112" s="24" t="str">
        <f t="shared" si="33"/>
        <v>Mnt_TDMS</v>
      </c>
      <c r="F112" s="71" t="s">
        <v>416</v>
      </c>
      <c r="G112" s="24" t="s">
        <v>157</v>
      </c>
      <c r="H112" s="24" t="s">
        <v>158</v>
      </c>
      <c r="I112" s="24" t="s">
        <v>417</v>
      </c>
      <c r="J112" s="72">
        <f>2000/5</f>
        <v>400</v>
      </c>
      <c r="K112" s="72"/>
      <c r="L112" s="72"/>
      <c r="M112" s="72"/>
      <c r="N112" s="72"/>
      <c r="O112" s="72"/>
      <c r="P112" s="72"/>
      <c r="Q112" s="72"/>
    </row>
    <row r="113" spans="4:17" x14ac:dyDescent="0.2">
      <c r="D113" s="24" t="str">
        <f t="shared" ref="D113" si="41">E113&amp;F113</f>
        <v>Vynaložené náklady IPS</v>
      </c>
      <c r="F113" s="71" t="s">
        <v>371</v>
      </c>
      <c r="G113" s="24" t="s">
        <v>88</v>
      </c>
      <c r="H113" s="24" t="s">
        <v>289</v>
      </c>
      <c r="I113" s="24" t="s">
        <v>371</v>
      </c>
      <c r="J113" s="72">
        <v>1</v>
      </c>
      <c r="K113" s="72"/>
      <c r="L113" s="72"/>
      <c r="M113" s="72"/>
      <c r="N113" s="72"/>
      <c r="O113" s="72"/>
      <c r="P113" s="72"/>
      <c r="Q113" s="72"/>
    </row>
    <row r="114" spans="4:17" x14ac:dyDescent="0.2">
      <c r="D114" s="24" t="str">
        <f t="shared" si="33"/>
        <v>Vynaložené náklady 3S</v>
      </c>
      <c r="F114" s="71" t="s">
        <v>372</v>
      </c>
      <c r="G114" s="24" t="s">
        <v>88</v>
      </c>
      <c r="H114" s="24" t="s">
        <v>289</v>
      </c>
      <c r="I114" s="24" t="s">
        <v>372</v>
      </c>
      <c r="J114" s="72">
        <v>1</v>
      </c>
      <c r="K114" s="72"/>
      <c r="L114" s="72"/>
      <c r="M114" s="72"/>
      <c r="N114" s="72"/>
      <c r="O114" s="72"/>
      <c r="P114" s="72"/>
      <c r="Q114" s="72"/>
    </row>
    <row r="115" spans="4:17" x14ac:dyDescent="0.2">
      <c r="D115" s="24" t="str">
        <f t="shared" si="0"/>
        <v>skup. - interné práce</v>
      </c>
      <c r="F115" s="74" t="s">
        <v>84</v>
      </c>
      <c r="G115" s="24" t="s">
        <v>88</v>
      </c>
      <c r="H115" s="24" t="s">
        <v>74</v>
      </c>
      <c r="K115" s="72"/>
      <c r="L115" s="72"/>
      <c r="M115" s="72"/>
      <c r="N115" s="72"/>
      <c r="O115" s="72"/>
      <c r="P115" s="72"/>
      <c r="Q115" s="72"/>
    </row>
    <row r="116" spans="4:17" x14ac:dyDescent="0.2">
      <c r="D116" s="24" t="str">
        <f t="shared" si="0"/>
        <v>skup. - nákup 3S</v>
      </c>
      <c r="F116" s="74" t="s">
        <v>85</v>
      </c>
      <c r="G116" s="24" t="s">
        <v>88</v>
      </c>
      <c r="H116" s="24" t="s">
        <v>75</v>
      </c>
      <c r="K116" s="72"/>
      <c r="L116" s="72"/>
      <c r="M116" s="72"/>
      <c r="N116" s="72"/>
      <c r="O116" s="72"/>
      <c r="P116" s="72"/>
      <c r="Q116" s="72"/>
    </row>
    <row r="117" spans="4:17" x14ac:dyDescent="0.2">
      <c r="D117" s="24" t="str">
        <f t="shared" si="0"/>
        <v>čas na ceste - fakturácia</v>
      </c>
      <c r="F117" s="74" t="s">
        <v>322</v>
      </c>
      <c r="G117" s="24" t="s">
        <v>88</v>
      </c>
      <c r="H117" s="24" t="s">
        <v>74</v>
      </c>
      <c r="K117" s="72"/>
      <c r="L117" s="72"/>
      <c r="M117" s="72"/>
      <c r="N117" s="72"/>
      <c r="O117" s="72"/>
      <c r="P117" s="72"/>
      <c r="Q117" s="72"/>
    </row>
    <row r="118" spans="4:17" x14ac:dyDescent="0.2">
      <c r="D118" s="24" t="str">
        <f t="shared" si="0"/>
        <v>Zrealizovaná fakturácia</v>
      </c>
      <c r="F118" s="74" t="s">
        <v>283</v>
      </c>
      <c r="G118" s="24" t="s">
        <v>88</v>
      </c>
      <c r="H118" s="24" t="s">
        <v>289</v>
      </c>
    </row>
  </sheetData>
  <customSheetViews>
    <customSheetView guid="{1E1B3255-5DFF-4154-A295-6F5FCEC93D1C}" showGridLines="0">
      <pane xSplit="1" ySplit="1" topLeftCell="B2" activePane="bottomRight" state="frozen"/>
      <selection pane="bottomRight" activeCell="B11" sqref="B1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árok1"/>
  <dimension ref="A1:R44"/>
  <sheetViews>
    <sheetView showGridLines="0" zoomScale="80" zoomScaleNormal="80" workbookViewId="0">
      <selection activeCell="L7" sqref="L7:L44"/>
    </sheetView>
  </sheetViews>
  <sheetFormatPr defaultRowHeight="15" x14ac:dyDescent="0.25"/>
  <cols>
    <col min="1" max="1" width="5.85546875" bestFit="1" customWidth="1"/>
    <col min="2" max="2" width="28.140625" bestFit="1" customWidth="1"/>
    <col min="3" max="3" width="10.28515625" bestFit="1" customWidth="1"/>
    <col min="4" max="4" width="10.85546875" bestFit="1" customWidth="1"/>
    <col min="5" max="5" width="14.42578125" bestFit="1" customWidth="1"/>
    <col min="6" max="6" width="5" bestFit="1" customWidth="1"/>
    <col min="7" max="7" width="10.140625" bestFit="1" customWidth="1"/>
    <col min="8" max="9" width="17.85546875" bestFit="1" customWidth="1"/>
    <col min="10" max="10" width="15.140625" bestFit="1" customWidth="1"/>
    <col min="11" max="11" width="9.85546875" style="130" bestFit="1" customWidth="1"/>
    <col min="12" max="12" width="6.5703125" bestFit="1" customWidth="1"/>
    <col min="13" max="13" width="11" bestFit="1" customWidth="1"/>
    <col min="14" max="14" width="14.28515625" bestFit="1" customWidth="1"/>
    <col min="15" max="15" width="10.5703125" bestFit="1" customWidth="1"/>
    <col min="16" max="16" width="7.85546875" bestFit="1" customWidth="1"/>
    <col min="17" max="17" width="8.140625" bestFit="1" customWidth="1"/>
    <col min="18" max="18" width="14.28515625" bestFit="1" customWidth="1"/>
  </cols>
  <sheetData>
    <row r="1" spans="1:18" s="126" customFormat="1" x14ac:dyDescent="0.25">
      <c r="A1" s="126" t="s">
        <v>146</v>
      </c>
      <c r="B1" s="126" t="s">
        <v>139</v>
      </c>
      <c r="C1" s="126" t="s">
        <v>112</v>
      </c>
      <c r="D1" s="126" t="s">
        <v>147</v>
      </c>
      <c r="E1" s="126" t="s">
        <v>141</v>
      </c>
      <c r="F1" s="126" t="s">
        <v>86</v>
      </c>
      <c r="G1" s="126" t="s">
        <v>135</v>
      </c>
      <c r="H1" s="126" t="s">
        <v>5</v>
      </c>
      <c r="I1" s="126" t="s">
        <v>123</v>
      </c>
      <c r="J1" s="126" t="s">
        <v>142</v>
      </c>
      <c r="K1" s="129" t="s">
        <v>148</v>
      </c>
      <c r="L1" s="126" t="s">
        <v>149</v>
      </c>
      <c r="M1" s="126" t="s">
        <v>192</v>
      </c>
      <c r="N1" s="126" t="s">
        <v>190</v>
      </c>
      <c r="O1" s="126" t="s">
        <v>191</v>
      </c>
      <c r="P1" s="126" t="s">
        <v>232</v>
      </c>
      <c r="Q1" s="126" t="s">
        <v>233</v>
      </c>
      <c r="R1" s="126" t="s">
        <v>234</v>
      </c>
    </row>
    <row r="2" spans="1:18" x14ac:dyDescent="0.25">
      <c r="A2">
        <v>1</v>
      </c>
      <c r="B2" t="s">
        <v>136</v>
      </c>
      <c r="D2" t="s">
        <v>355</v>
      </c>
      <c r="E2" t="s">
        <v>75</v>
      </c>
      <c r="F2" t="s">
        <v>88</v>
      </c>
      <c r="H2" t="s">
        <v>261</v>
      </c>
      <c r="J2" t="s">
        <v>262</v>
      </c>
      <c r="K2" s="130">
        <v>42401</v>
      </c>
      <c r="L2">
        <v>1</v>
      </c>
      <c r="M2">
        <v>0</v>
      </c>
      <c r="N2">
        <v>0</v>
      </c>
      <c r="O2">
        <v>0</v>
      </c>
      <c r="Q2">
        <v>1</v>
      </c>
      <c r="R2">
        <v>1</v>
      </c>
    </row>
    <row r="3" spans="1:18" x14ac:dyDescent="0.25">
      <c r="A3">
        <v>1</v>
      </c>
      <c r="B3" t="s">
        <v>136</v>
      </c>
      <c r="D3" t="s">
        <v>355</v>
      </c>
      <c r="E3" t="s">
        <v>75</v>
      </c>
      <c r="F3" t="s">
        <v>88</v>
      </c>
      <c r="H3" t="s">
        <v>261</v>
      </c>
      <c r="J3" t="s">
        <v>262</v>
      </c>
      <c r="K3" s="130">
        <v>43525</v>
      </c>
      <c r="L3">
        <v>3</v>
      </c>
      <c r="M3">
        <v>0</v>
      </c>
      <c r="N3">
        <v>0</v>
      </c>
      <c r="O3">
        <v>0</v>
      </c>
      <c r="Q3">
        <v>1</v>
      </c>
      <c r="R3">
        <v>3</v>
      </c>
    </row>
    <row r="4" spans="1:18" x14ac:dyDescent="0.25">
      <c r="A4">
        <v>2</v>
      </c>
      <c r="B4" t="s">
        <v>237</v>
      </c>
      <c r="C4" t="s">
        <v>114</v>
      </c>
      <c r="D4" t="s">
        <v>356</v>
      </c>
      <c r="E4" t="s">
        <v>74</v>
      </c>
      <c r="F4" t="s">
        <v>354</v>
      </c>
      <c r="I4" t="s">
        <v>124</v>
      </c>
      <c r="J4" t="s">
        <v>131</v>
      </c>
      <c r="K4" s="130">
        <v>43525</v>
      </c>
      <c r="L4">
        <v>8</v>
      </c>
      <c r="M4">
        <v>1</v>
      </c>
      <c r="N4" t="s">
        <v>114</v>
      </c>
      <c r="O4">
        <v>0</v>
      </c>
      <c r="Q4">
        <v>38.229999999999997</v>
      </c>
      <c r="R4">
        <v>305.83999999999997</v>
      </c>
    </row>
    <row r="5" spans="1:18" x14ac:dyDescent="0.25">
      <c r="A5">
        <v>2</v>
      </c>
      <c r="B5" t="s">
        <v>239</v>
      </c>
      <c r="C5" t="s">
        <v>114</v>
      </c>
      <c r="D5" t="s">
        <v>356</v>
      </c>
      <c r="E5" t="s">
        <v>74</v>
      </c>
      <c r="F5" t="s">
        <v>354</v>
      </c>
      <c r="I5" t="s">
        <v>124</v>
      </c>
      <c r="J5" t="s">
        <v>132</v>
      </c>
      <c r="K5" s="130">
        <v>43497</v>
      </c>
      <c r="L5">
        <v>8</v>
      </c>
      <c r="M5">
        <v>1</v>
      </c>
      <c r="N5" t="s">
        <v>114</v>
      </c>
      <c r="O5">
        <v>0</v>
      </c>
      <c r="Q5">
        <v>21.46</v>
      </c>
      <c r="R5">
        <v>171.68</v>
      </c>
    </row>
    <row r="6" spans="1:18" x14ac:dyDescent="0.25">
      <c r="A6">
        <v>2</v>
      </c>
      <c r="B6" t="s">
        <v>241</v>
      </c>
      <c r="C6" t="s">
        <v>258</v>
      </c>
      <c r="D6" t="s">
        <v>356</v>
      </c>
      <c r="E6" t="s">
        <v>74</v>
      </c>
      <c r="F6" t="s">
        <v>354</v>
      </c>
      <c r="I6" t="s">
        <v>225</v>
      </c>
      <c r="J6" t="s">
        <v>133</v>
      </c>
      <c r="K6" s="130">
        <v>42401</v>
      </c>
      <c r="L6">
        <v>16</v>
      </c>
      <c r="M6">
        <v>1</v>
      </c>
      <c r="N6" t="s">
        <v>258</v>
      </c>
      <c r="O6">
        <v>0</v>
      </c>
      <c r="Q6">
        <v>1.2</v>
      </c>
      <c r="R6">
        <v>19.2</v>
      </c>
    </row>
    <row r="7" spans="1:18" x14ac:dyDescent="0.25">
      <c r="A7">
        <v>3</v>
      </c>
      <c r="B7" t="s">
        <v>236</v>
      </c>
      <c r="E7" t="s">
        <v>74</v>
      </c>
      <c r="H7" t="s">
        <v>369</v>
      </c>
      <c r="J7" t="s">
        <v>131</v>
      </c>
      <c r="K7" s="130">
        <v>42401</v>
      </c>
      <c r="L7">
        <v>1</v>
      </c>
      <c r="R7">
        <v>0</v>
      </c>
    </row>
    <row r="8" spans="1:18" x14ac:dyDescent="0.25">
      <c r="A8">
        <v>3</v>
      </c>
      <c r="B8" t="s">
        <v>236</v>
      </c>
      <c r="E8" t="s">
        <v>74</v>
      </c>
      <c r="H8" t="s">
        <v>369</v>
      </c>
      <c r="J8" t="s">
        <v>131</v>
      </c>
      <c r="K8" s="130">
        <v>42430</v>
      </c>
      <c r="L8">
        <v>1</v>
      </c>
      <c r="R8">
        <v>0</v>
      </c>
    </row>
    <row r="9" spans="1:18" x14ac:dyDescent="0.25">
      <c r="A9">
        <v>3</v>
      </c>
      <c r="B9" t="s">
        <v>236</v>
      </c>
      <c r="E9" t="s">
        <v>74</v>
      </c>
      <c r="H9" t="s">
        <v>369</v>
      </c>
      <c r="J9" t="s">
        <v>131</v>
      </c>
      <c r="K9" s="130">
        <v>42461</v>
      </c>
      <c r="L9">
        <v>1</v>
      </c>
      <c r="R9">
        <v>0</v>
      </c>
    </row>
    <row r="10" spans="1:18" x14ac:dyDescent="0.25">
      <c r="A10">
        <v>3</v>
      </c>
      <c r="B10" t="s">
        <v>236</v>
      </c>
      <c r="E10" t="s">
        <v>74</v>
      </c>
      <c r="H10" t="s">
        <v>369</v>
      </c>
      <c r="J10" t="s">
        <v>131</v>
      </c>
      <c r="K10" s="130">
        <v>42491</v>
      </c>
      <c r="L10">
        <v>1</v>
      </c>
      <c r="R10">
        <v>0</v>
      </c>
    </row>
    <row r="11" spans="1:18" x14ac:dyDescent="0.25">
      <c r="A11">
        <v>3</v>
      </c>
      <c r="B11" t="s">
        <v>236</v>
      </c>
      <c r="E11" t="s">
        <v>74</v>
      </c>
      <c r="H11" t="s">
        <v>369</v>
      </c>
      <c r="J11" t="s">
        <v>131</v>
      </c>
      <c r="K11" s="130">
        <v>42522</v>
      </c>
      <c r="L11">
        <v>1</v>
      </c>
      <c r="R11">
        <v>0</v>
      </c>
    </row>
    <row r="12" spans="1:18" x14ac:dyDescent="0.25">
      <c r="A12">
        <v>3</v>
      </c>
      <c r="B12" t="s">
        <v>236</v>
      </c>
      <c r="E12" t="s">
        <v>74</v>
      </c>
      <c r="H12" t="s">
        <v>369</v>
      </c>
      <c r="J12" t="s">
        <v>131</v>
      </c>
      <c r="K12" s="130">
        <v>42552</v>
      </c>
      <c r="L12">
        <v>1</v>
      </c>
      <c r="R12">
        <v>0</v>
      </c>
    </row>
    <row r="13" spans="1:18" x14ac:dyDescent="0.25">
      <c r="A13">
        <v>3</v>
      </c>
      <c r="B13" t="s">
        <v>236</v>
      </c>
      <c r="E13" t="s">
        <v>74</v>
      </c>
      <c r="H13" t="s">
        <v>369</v>
      </c>
      <c r="J13" t="s">
        <v>131</v>
      </c>
      <c r="K13" s="130">
        <v>42583</v>
      </c>
      <c r="L13">
        <v>1</v>
      </c>
      <c r="R13">
        <v>0</v>
      </c>
    </row>
    <row r="14" spans="1:18" x14ac:dyDescent="0.25">
      <c r="A14">
        <v>3</v>
      </c>
      <c r="B14" t="s">
        <v>236</v>
      </c>
      <c r="E14" t="s">
        <v>74</v>
      </c>
      <c r="H14" t="s">
        <v>369</v>
      </c>
      <c r="J14" t="s">
        <v>131</v>
      </c>
      <c r="K14" s="130">
        <v>42614</v>
      </c>
      <c r="L14">
        <v>1</v>
      </c>
      <c r="R14">
        <v>0</v>
      </c>
    </row>
    <row r="15" spans="1:18" x14ac:dyDescent="0.25">
      <c r="A15">
        <v>3</v>
      </c>
      <c r="B15" t="s">
        <v>236</v>
      </c>
      <c r="E15" t="s">
        <v>74</v>
      </c>
      <c r="H15" t="s">
        <v>369</v>
      </c>
      <c r="J15" t="s">
        <v>131</v>
      </c>
      <c r="K15" s="130">
        <v>42644</v>
      </c>
      <c r="L15">
        <v>1</v>
      </c>
      <c r="R15">
        <v>0</v>
      </c>
    </row>
    <row r="16" spans="1:18" x14ac:dyDescent="0.25">
      <c r="A16">
        <v>3</v>
      </c>
      <c r="B16" t="s">
        <v>236</v>
      </c>
      <c r="E16" t="s">
        <v>74</v>
      </c>
      <c r="H16" t="s">
        <v>369</v>
      </c>
      <c r="J16" t="s">
        <v>131</v>
      </c>
      <c r="K16" s="130">
        <v>42675</v>
      </c>
      <c r="L16">
        <v>1</v>
      </c>
      <c r="R16">
        <v>0</v>
      </c>
    </row>
    <row r="17" spans="1:18" x14ac:dyDescent="0.25">
      <c r="A17">
        <v>3</v>
      </c>
      <c r="B17" t="s">
        <v>236</v>
      </c>
      <c r="E17" t="s">
        <v>74</v>
      </c>
      <c r="H17" t="s">
        <v>369</v>
      </c>
      <c r="J17" t="s">
        <v>131</v>
      </c>
      <c r="K17" s="130">
        <v>42705</v>
      </c>
      <c r="L17">
        <v>1</v>
      </c>
      <c r="R17">
        <v>0</v>
      </c>
    </row>
    <row r="18" spans="1:18" x14ac:dyDescent="0.25">
      <c r="A18">
        <v>3</v>
      </c>
      <c r="B18" t="s">
        <v>236</v>
      </c>
      <c r="E18" t="s">
        <v>74</v>
      </c>
      <c r="H18" t="s">
        <v>369</v>
      </c>
      <c r="J18" t="s">
        <v>131</v>
      </c>
      <c r="K18" s="130">
        <v>42736</v>
      </c>
      <c r="L18">
        <v>1</v>
      </c>
      <c r="R18">
        <v>0</v>
      </c>
    </row>
    <row r="19" spans="1:18" x14ac:dyDescent="0.25">
      <c r="A19">
        <v>3</v>
      </c>
      <c r="B19" t="s">
        <v>236</v>
      </c>
      <c r="E19" t="s">
        <v>74</v>
      </c>
      <c r="H19" t="s">
        <v>369</v>
      </c>
      <c r="J19" t="s">
        <v>131</v>
      </c>
      <c r="K19" s="130">
        <v>42767</v>
      </c>
      <c r="L19">
        <v>1</v>
      </c>
      <c r="R19">
        <v>0</v>
      </c>
    </row>
    <row r="20" spans="1:18" x14ac:dyDescent="0.25">
      <c r="A20">
        <v>3</v>
      </c>
      <c r="B20" t="s">
        <v>236</v>
      </c>
      <c r="E20" t="s">
        <v>74</v>
      </c>
      <c r="H20" t="s">
        <v>369</v>
      </c>
      <c r="J20" t="s">
        <v>131</v>
      </c>
      <c r="K20" s="130">
        <v>42795</v>
      </c>
      <c r="L20">
        <v>1</v>
      </c>
      <c r="R20">
        <v>0</v>
      </c>
    </row>
    <row r="21" spans="1:18" x14ac:dyDescent="0.25">
      <c r="A21">
        <v>3</v>
      </c>
      <c r="B21" t="s">
        <v>236</v>
      </c>
      <c r="E21" t="s">
        <v>74</v>
      </c>
      <c r="H21" t="s">
        <v>369</v>
      </c>
      <c r="J21" t="s">
        <v>131</v>
      </c>
      <c r="K21" s="130">
        <v>42826</v>
      </c>
      <c r="L21">
        <v>1</v>
      </c>
      <c r="R21">
        <v>0</v>
      </c>
    </row>
    <row r="22" spans="1:18" x14ac:dyDescent="0.25">
      <c r="A22">
        <v>3</v>
      </c>
      <c r="B22" t="s">
        <v>236</v>
      </c>
      <c r="E22" t="s">
        <v>74</v>
      </c>
      <c r="H22" t="s">
        <v>369</v>
      </c>
      <c r="J22" t="s">
        <v>131</v>
      </c>
      <c r="K22" s="130">
        <v>42856</v>
      </c>
      <c r="L22">
        <v>1</v>
      </c>
      <c r="R22">
        <v>0</v>
      </c>
    </row>
    <row r="23" spans="1:18" x14ac:dyDescent="0.25">
      <c r="A23">
        <v>3</v>
      </c>
      <c r="B23" t="s">
        <v>236</v>
      </c>
      <c r="E23" t="s">
        <v>74</v>
      </c>
      <c r="H23" t="s">
        <v>369</v>
      </c>
      <c r="J23" t="s">
        <v>131</v>
      </c>
      <c r="K23" s="130">
        <v>42887</v>
      </c>
      <c r="L23">
        <v>1</v>
      </c>
      <c r="R23">
        <v>0</v>
      </c>
    </row>
    <row r="24" spans="1:18" x14ac:dyDescent="0.25">
      <c r="A24">
        <v>3</v>
      </c>
      <c r="B24" t="s">
        <v>236</v>
      </c>
      <c r="E24" t="s">
        <v>74</v>
      </c>
      <c r="H24" t="s">
        <v>369</v>
      </c>
      <c r="J24" t="s">
        <v>131</v>
      </c>
      <c r="K24" s="130">
        <v>42917</v>
      </c>
      <c r="L24">
        <v>1</v>
      </c>
      <c r="R24">
        <v>0</v>
      </c>
    </row>
    <row r="25" spans="1:18" x14ac:dyDescent="0.25">
      <c r="A25">
        <v>3</v>
      </c>
      <c r="B25" t="s">
        <v>236</v>
      </c>
      <c r="E25" t="s">
        <v>74</v>
      </c>
      <c r="H25" t="s">
        <v>369</v>
      </c>
      <c r="J25" t="s">
        <v>131</v>
      </c>
      <c r="K25" s="130">
        <v>42948</v>
      </c>
      <c r="L25">
        <v>1</v>
      </c>
      <c r="R25">
        <v>0</v>
      </c>
    </row>
    <row r="26" spans="1:18" x14ac:dyDescent="0.25">
      <c r="A26">
        <v>3</v>
      </c>
      <c r="B26" t="s">
        <v>236</v>
      </c>
      <c r="E26" t="s">
        <v>74</v>
      </c>
      <c r="H26" t="s">
        <v>369</v>
      </c>
      <c r="J26" t="s">
        <v>131</v>
      </c>
      <c r="K26" s="130">
        <v>42979</v>
      </c>
      <c r="L26">
        <v>1</v>
      </c>
      <c r="R26">
        <v>0</v>
      </c>
    </row>
    <row r="27" spans="1:18" x14ac:dyDescent="0.25">
      <c r="A27">
        <v>3</v>
      </c>
      <c r="B27" t="s">
        <v>236</v>
      </c>
      <c r="E27" t="s">
        <v>74</v>
      </c>
      <c r="H27" t="s">
        <v>369</v>
      </c>
      <c r="J27" t="s">
        <v>131</v>
      </c>
      <c r="K27" s="130">
        <v>43009</v>
      </c>
      <c r="L27">
        <v>1</v>
      </c>
      <c r="R27">
        <v>0</v>
      </c>
    </row>
    <row r="28" spans="1:18" x14ac:dyDescent="0.25">
      <c r="A28">
        <v>3</v>
      </c>
      <c r="B28" t="s">
        <v>236</v>
      </c>
      <c r="E28" t="s">
        <v>74</v>
      </c>
      <c r="H28" t="s">
        <v>369</v>
      </c>
      <c r="J28" t="s">
        <v>131</v>
      </c>
      <c r="K28" s="130">
        <v>43040</v>
      </c>
      <c r="L28">
        <v>1</v>
      </c>
      <c r="R28">
        <v>0</v>
      </c>
    </row>
    <row r="29" spans="1:18" x14ac:dyDescent="0.25">
      <c r="A29">
        <v>3</v>
      </c>
      <c r="B29" t="s">
        <v>236</v>
      </c>
      <c r="E29" t="s">
        <v>74</v>
      </c>
      <c r="H29" t="s">
        <v>369</v>
      </c>
      <c r="J29" t="s">
        <v>131</v>
      </c>
      <c r="K29" s="130">
        <v>43070</v>
      </c>
      <c r="L29">
        <v>1</v>
      </c>
      <c r="R29">
        <v>0</v>
      </c>
    </row>
    <row r="30" spans="1:18" x14ac:dyDescent="0.25">
      <c r="A30">
        <v>3</v>
      </c>
      <c r="B30" t="s">
        <v>236</v>
      </c>
      <c r="E30" t="s">
        <v>74</v>
      </c>
      <c r="H30" t="s">
        <v>369</v>
      </c>
      <c r="J30" t="s">
        <v>131</v>
      </c>
      <c r="K30" s="130">
        <v>43101</v>
      </c>
      <c r="L30">
        <v>1</v>
      </c>
      <c r="R30">
        <v>0</v>
      </c>
    </row>
    <row r="31" spans="1:18" x14ac:dyDescent="0.25">
      <c r="A31">
        <v>3</v>
      </c>
      <c r="B31" t="s">
        <v>236</v>
      </c>
      <c r="E31" t="s">
        <v>74</v>
      </c>
      <c r="H31" t="s">
        <v>369</v>
      </c>
      <c r="J31" t="s">
        <v>131</v>
      </c>
      <c r="K31" s="130">
        <v>43132</v>
      </c>
      <c r="L31">
        <v>1</v>
      </c>
      <c r="R31">
        <v>0</v>
      </c>
    </row>
    <row r="32" spans="1:18" x14ac:dyDescent="0.25">
      <c r="A32">
        <v>3</v>
      </c>
      <c r="B32" t="s">
        <v>236</v>
      </c>
      <c r="E32" t="s">
        <v>74</v>
      </c>
      <c r="H32" t="s">
        <v>369</v>
      </c>
      <c r="J32" t="s">
        <v>131</v>
      </c>
      <c r="K32" s="130">
        <v>43160</v>
      </c>
      <c r="L32">
        <v>1</v>
      </c>
      <c r="R32">
        <v>0</v>
      </c>
    </row>
    <row r="33" spans="1:18" x14ac:dyDescent="0.25">
      <c r="A33">
        <v>3</v>
      </c>
      <c r="B33" t="s">
        <v>236</v>
      </c>
      <c r="E33" t="s">
        <v>74</v>
      </c>
      <c r="H33" t="s">
        <v>369</v>
      </c>
      <c r="J33" t="s">
        <v>131</v>
      </c>
      <c r="K33" s="130">
        <v>43191</v>
      </c>
      <c r="L33">
        <v>1</v>
      </c>
      <c r="R33">
        <v>0</v>
      </c>
    </row>
    <row r="34" spans="1:18" x14ac:dyDescent="0.25">
      <c r="A34">
        <v>3</v>
      </c>
      <c r="B34" t="s">
        <v>236</v>
      </c>
      <c r="E34" t="s">
        <v>74</v>
      </c>
      <c r="H34" t="s">
        <v>369</v>
      </c>
      <c r="J34" t="s">
        <v>131</v>
      </c>
      <c r="K34" s="130">
        <v>43221</v>
      </c>
      <c r="L34">
        <v>1</v>
      </c>
      <c r="R34">
        <v>0</v>
      </c>
    </row>
    <row r="35" spans="1:18" x14ac:dyDescent="0.25">
      <c r="A35">
        <v>3</v>
      </c>
      <c r="B35" t="s">
        <v>236</v>
      </c>
      <c r="E35" t="s">
        <v>74</v>
      </c>
      <c r="H35" t="s">
        <v>369</v>
      </c>
      <c r="J35" t="s">
        <v>131</v>
      </c>
      <c r="K35" s="130">
        <v>43252</v>
      </c>
      <c r="L35">
        <v>1</v>
      </c>
      <c r="R35">
        <v>0</v>
      </c>
    </row>
    <row r="36" spans="1:18" x14ac:dyDescent="0.25">
      <c r="A36">
        <v>3</v>
      </c>
      <c r="B36" t="s">
        <v>236</v>
      </c>
      <c r="E36" t="s">
        <v>74</v>
      </c>
      <c r="H36" t="s">
        <v>369</v>
      </c>
      <c r="J36" t="s">
        <v>131</v>
      </c>
      <c r="K36" s="130">
        <v>43282</v>
      </c>
      <c r="L36">
        <v>1</v>
      </c>
      <c r="R36">
        <v>0</v>
      </c>
    </row>
    <row r="37" spans="1:18" x14ac:dyDescent="0.25">
      <c r="A37">
        <v>3</v>
      </c>
      <c r="B37" t="s">
        <v>236</v>
      </c>
      <c r="E37" t="s">
        <v>74</v>
      </c>
      <c r="H37" t="s">
        <v>369</v>
      </c>
      <c r="J37" t="s">
        <v>131</v>
      </c>
      <c r="K37" s="130">
        <v>43313</v>
      </c>
      <c r="L37">
        <v>1</v>
      </c>
      <c r="R37">
        <v>0</v>
      </c>
    </row>
    <row r="38" spans="1:18" x14ac:dyDescent="0.25">
      <c r="A38">
        <v>3</v>
      </c>
      <c r="B38" t="s">
        <v>236</v>
      </c>
      <c r="E38" t="s">
        <v>74</v>
      </c>
      <c r="H38" t="s">
        <v>369</v>
      </c>
      <c r="J38" t="s">
        <v>131</v>
      </c>
      <c r="K38" s="130">
        <v>43344</v>
      </c>
      <c r="L38">
        <v>1</v>
      </c>
      <c r="R38">
        <v>0</v>
      </c>
    </row>
    <row r="39" spans="1:18" x14ac:dyDescent="0.25">
      <c r="A39">
        <v>3</v>
      </c>
      <c r="B39" t="s">
        <v>236</v>
      </c>
      <c r="E39" t="s">
        <v>74</v>
      </c>
      <c r="H39" t="s">
        <v>369</v>
      </c>
      <c r="J39" t="s">
        <v>131</v>
      </c>
      <c r="K39" s="130">
        <v>43374</v>
      </c>
      <c r="L39">
        <v>1</v>
      </c>
      <c r="R39">
        <v>0</v>
      </c>
    </row>
    <row r="40" spans="1:18" x14ac:dyDescent="0.25">
      <c r="A40">
        <v>3</v>
      </c>
      <c r="B40" t="s">
        <v>236</v>
      </c>
      <c r="E40" t="s">
        <v>74</v>
      </c>
      <c r="H40" t="s">
        <v>369</v>
      </c>
      <c r="J40" t="s">
        <v>131</v>
      </c>
      <c r="K40" s="130">
        <v>43405</v>
      </c>
      <c r="L40">
        <v>1</v>
      </c>
      <c r="R40">
        <v>0</v>
      </c>
    </row>
    <row r="41" spans="1:18" x14ac:dyDescent="0.25">
      <c r="A41">
        <v>3</v>
      </c>
      <c r="B41" t="s">
        <v>236</v>
      </c>
      <c r="E41" t="s">
        <v>74</v>
      </c>
      <c r="H41" t="s">
        <v>369</v>
      </c>
      <c r="J41" t="s">
        <v>131</v>
      </c>
      <c r="K41" s="130">
        <v>43435</v>
      </c>
      <c r="L41">
        <v>1</v>
      </c>
      <c r="R41">
        <v>0</v>
      </c>
    </row>
    <row r="42" spans="1:18" x14ac:dyDescent="0.25">
      <c r="A42">
        <v>3</v>
      </c>
      <c r="B42" t="s">
        <v>236</v>
      </c>
      <c r="E42" t="s">
        <v>74</v>
      </c>
      <c r="H42" t="s">
        <v>369</v>
      </c>
      <c r="J42" t="s">
        <v>131</v>
      </c>
      <c r="K42" s="130">
        <v>43466</v>
      </c>
      <c r="L42">
        <v>1</v>
      </c>
      <c r="R42">
        <v>0</v>
      </c>
    </row>
    <row r="43" spans="1:18" x14ac:dyDescent="0.25">
      <c r="A43">
        <v>3</v>
      </c>
      <c r="B43" t="s">
        <v>236</v>
      </c>
      <c r="E43" t="s">
        <v>74</v>
      </c>
      <c r="H43" t="s">
        <v>369</v>
      </c>
      <c r="J43" t="s">
        <v>131</v>
      </c>
      <c r="K43" s="130">
        <v>43497</v>
      </c>
      <c r="L43">
        <v>1</v>
      </c>
      <c r="R43">
        <v>0</v>
      </c>
    </row>
    <row r="44" spans="1:18" x14ac:dyDescent="0.25">
      <c r="A44">
        <v>3</v>
      </c>
      <c r="B44" t="s">
        <v>236</v>
      </c>
      <c r="E44" t="s">
        <v>74</v>
      </c>
      <c r="H44" t="s">
        <v>369</v>
      </c>
      <c r="J44" t="s">
        <v>131</v>
      </c>
      <c r="K44" s="130">
        <v>43525</v>
      </c>
      <c r="L44">
        <v>1</v>
      </c>
      <c r="R44"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árok3"/>
  <dimension ref="A1:U2"/>
  <sheetViews>
    <sheetView showGridLines="0" topLeftCell="I1" zoomScale="90" zoomScaleNormal="90" workbookViewId="0">
      <selection activeCell="U2" sqref="U2"/>
    </sheetView>
  </sheetViews>
  <sheetFormatPr defaultRowHeight="15" x14ac:dyDescent="0.25"/>
  <cols>
    <col min="1" max="1" width="11.85546875" bestFit="1" customWidth="1"/>
    <col min="2" max="2" width="6" bestFit="1" customWidth="1"/>
    <col min="3" max="3" width="11.140625" bestFit="1" customWidth="1"/>
    <col min="4" max="4" width="14" bestFit="1" customWidth="1"/>
    <col min="5" max="5" width="9" bestFit="1" customWidth="1"/>
    <col min="6" max="6" width="10.140625" bestFit="1" customWidth="1"/>
    <col min="7" max="8" width="15.28515625" bestFit="1" customWidth="1"/>
    <col min="9" max="9" width="18.140625" bestFit="1" customWidth="1"/>
    <col min="10" max="10" width="12.85546875" bestFit="1" customWidth="1"/>
    <col min="11" max="11" width="11.5703125" bestFit="1" customWidth="1"/>
    <col min="12" max="12" width="12.42578125" bestFit="1" customWidth="1"/>
    <col min="13" max="13" width="13.5703125" bestFit="1" customWidth="1"/>
    <col min="14" max="14" width="18.5703125" bestFit="1" customWidth="1"/>
    <col min="15" max="15" width="16.28515625" bestFit="1" customWidth="1"/>
    <col min="16" max="16" width="16.140625" bestFit="1" customWidth="1"/>
    <col min="17" max="17" width="10.140625" bestFit="1" customWidth="1"/>
    <col min="18" max="18" width="19.7109375" bestFit="1" customWidth="1"/>
    <col min="19" max="19" width="14" bestFit="1" customWidth="1"/>
    <col min="20" max="20" width="9" bestFit="1" customWidth="1"/>
    <col min="21" max="21" width="17.42578125" bestFit="1" customWidth="1"/>
  </cols>
  <sheetData>
    <row r="1" spans="1:21" x14ac:dyDescent="0.25">
      <c r="A1" s="167" t="s">
        <v>317</v>
      </c>
      <c r="B1" s="167" t="s">
        <v>266</v>
      </c>
      <c r="C1" s="167" t="s">
        <v>268</v>
      </c>
      <c r="D1" s="167" t="s">
        <v>269</v>
      </c>
      <c r="E1" s="167" t="s">
        <v>270</v>
      </c>
      <c r="F1" s="167" t="s">
        <v>271</v>
      </c>
      <c r="G1" s="167" t="s">
        <v>272</v>
      </c>
      <c r="H1" s="167" t="s">
        <v>273</v>
      </c>
      <c r="I1" s="167" t="s">
        <v>274</v>
      </c>
      <c r="J1" s="167" t="s">
        <v>275</v>
      </c>
      <c r="K1" s="167" t="s">
        <v>276</v>
      </c>
      <c r="L1" s="167" t="s">
        <v>277</v>
      </c>
      <c r="M1" s="167" t="s">
        <v>278</v>
      </c>
      <c r="N1" s="167" t="s">
        <v>279</v>
      </c>
      <c r="O1" s="167" t="s">
        <v>280</v>
      </c>
      <c r="P1" s="167" t="s">
        <v>281</v>
      </c>
      <c r="Q1" s="167" t="s">
        <v>320</v>
      </c>
      <c r="R1" s="167" t="s">
        <v>282</v>
      </c>
      <c r="S1" s="167" t="s">
        <v>321</v>
      </c>
      <c r="T1" s="126" t="s">
        <v>318</v>
      </c>
      <c r="U1" s="126" t="s">
        <v>319</v>
      </c>
    </row>
    <row r="2" spans="1:21" x14ac:dyDescent="0.25">
      <c r="A2" t="e">
        <f>LEFT(Par_WoAccountName,FIND(" ",Par_WoAccountName))</f>
        <v>#VALUE!</v>
      </c>
      <c r="B2">
        <f>Par_Profit</f>
        <v>0</v>
      </c>
      <c r="C2">
        <f>Par_CostsWork</f>
        <v>0</v>
      </c>
      <c r="D2">
        <f>Par_CostsLic</f>
        <v>0</v>
      </c>
      <c r="E2">
        <f>Par_Costs3P</f>
        <v>0</v>
      </c>
      <c r="F2">
        <f>Par_CostsRisk</f>
        <v>0</v>
      </c>
      <c r="G2">
        <f>Par_RevsTotal</f>
        <v>0</v>
      </c>
      <c r="H2">
        <f>Par_RevsWork</f>
        <v>0</v>
      </c>
      <c r="I2">
        <f>Par_RevsLic</f>
        <v>0</v>
      </c>
      <c r="J2">
        <f>Par_Revs3P</f>
        <v>0</v>
      </c>
      <c r="K2">
        <f>Par_HoursWork</f>
        <v>0</v>
      </c>
      <c r="L2">
        <f>Par_HoursTravel</f>
        <v>0</v>
      </c>
      <c r="M2">
        <f>Par_AvgCostHour</f>
        <v>0</v>
      </c>
      <c r="N2">
        <f>Par_AvgRevenuesHour</f>
        <v>0</v>
      </c>
      <c r="O2">
        <f>Par_EROwnRatio</f>
        <v>0</v>
      </c>
      <c r="P2">
        <f>Par_ProfylaxisHours</f>
        <v>0</v>
      </c>
      <c r="Q2">
        <f>Par_StandByHours</f>
        <v>0</v>
      </c>
      <c r="R2">
        <f>Par_ProfylaxisRevs</f>
        <v>0</v>
      </c>
      <c r="S2">
        <f>Par_StandByRevs</f>
        <v>0</v>
      </c>
      <c r="T2">
        <f>Par_Architect</f>
        <v>0</v>
      </c>
      <c r="U2">
        <f>Par_ContractManager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152</vt:i4>
      </vt:variant>
    </vt:vector>
  </HeadingPairs>
  <TitlesOfParts>
    <vt:vector size="158" baseType="lpstr">
      <vt:lpstr>Info</vt:lpstr>
      <vt:lpstr>(1.1) Náklady</vt:lpstr>
      <vt:lpstr>(1.2) Riziká</vt:lpstr>
      <vt:lpstr>(2) Fakturácia</vt:lpstr>
      <vt:lpstr>(3) Sumarizácia</vt:lpstr>
      <vt:lpstr>(4) Protokol</vt:lpstr>
      <vt:lpstr>CIS_CENTER</vt:lpstr>
      <vt:lpstr>CIS_CENTER_WO</vt:lpstr>
      <vt:lpstr>Cis_Hours</vt:lpstr>
      <vt:lpstr>CIS_Parts</vt:lpstr>
      <vt:lpstr>Cis_People</vt:lpstr>
      <vt:lpstr>Cis_RevenuesList</vt:lpstr>
      <vt:lpstr>CIS_STRUCT_ITEMS</vt:lpstr>
      <vt:lpstr>CIS_STRUCT_ITEMSnGROUPS</vt:lpstr>
      <vt:lpstr>Cis_WorkPositions</vt:lpstr>
      <vt:lpstr>DATA_COSTS_CATEGS</vt:lpstr>
      <vt:lpstr>DATA_COSTS_TOTALS</vt:lpstr>
      <vt:lpstr>DATA_COSTS_TYPES</vt:lpstr>
      <vt:lpstr>DATA_INVS_CATEGS</vt:lpstr>
      <vt:lpstr>DATA_INVS_TOTALS</vt:lpstr>
      <vt:lpstr>DATA_INVS_TYPES</vt:lpstr>
      <vt:lpstr>Err_Message1</vt:lpstr>
      <vt:lpstr>Err_Message2</vt:lpstr>
      <vt:lpstr>INPUT_WO_CENTER</vt:lpstr>
      <vt:lpstr>INPUT_WO_ENDCONS</vt:lpstr>
      <vt:lpstr>INPUT_WO_LABEL</vt:lpstr>
      <vt:lpstr>INPUT_WO_PARTNER</vt:lpstr>
      <vt:lpstr>INPUT_WO_PLANSTART</vt:lpstr>
      <vt:lpstr>INPUT_WO_RESPONSIBLE</vt:lpstr>
      <vt:lpstr>IpsLicences</vt:lpstr>
      <vt:lpstr>M0</vt:lpstr>
      <vt:lpstr>M1_</vt:lpstr>
      <vt:lpstr>M10_</vt:lpstr>
      <vt:lpstr>M11_</vt:lpstr>
      <vt:lpstr>M12_</vt:lpstr>
      <vt:lpstr>M13_</vt:lpstr>
      <vt:lpstr>M14_</vt:lpstr>
      <vt:lpstr>M15_</vt:lpstr>
      <vt:lpstr>M16_</vt:lpstr>
      <vt:lpstr>M17_</vt:lpstr>
      <vt:lpstr>M18_</vt:lpstr>
      <vt:lpstr>M19_</vt:lpstr>
      <vt:lpstr>M2_</vt:lpstr>
      <vt:lpstr>M20_</vt:lpstr>
      <vt:lpstr>M21_</vt:lpstr>
      <vt:lpstr>M22_</vt:lpstr>
      <vt:lpstr>M23_</vt:lpstr>
      <vt:lpstr>M24_</vt:lpstr>
      <vt:lpstr>M25_</vt:lpstr>
      <vt:lpstr>M26_</vt:lpstr>
      <vt:lpstr>M27_</vt:lpstr>
      <vt:lpstr>M28_</vt:lpstr>
      <vt:lpstr>M29_</vt:lpstr>
      <vt:lpstr>M3_</vt:lpstr>
      <vt:lpstr>M30_</vt:lpstr>
      <vt:lpstr>M31_</vt:lpstr>
      <vt:lpstr>M32_</vt:lpstr>
      <vt:lpstr>M33_</vt:lpstr>
      <vt:lpstr>M34_</vt:lpstr>
      <vt:lpstr>M35_</vt:lpstr>
      <vt:lpstr>M36_</vt:lpstr>
      <vt:lpstr>M37_</vt:lpstr>
      <vt:lpstr>M4_</vt:lpstr>
      <vt:lpstr>M5_</vt:lpstr>
      <vt:lpstr>M6_</vt:lpstr>
      <vt:lpstr>M7_</vt:lpstr>
      <vt:lpstr>M8_</vt:lpstr>
      <vt:lpstr>M9_</vt:lpstr>
      <vt:lpstr>Mf0</vt:lpstr>
      <vt:lpstr>Mf1_</vt:lpstr>
      <vt:lpstr>Mf10_</vt:lpstr>
      <vt:lpstr>Mf11_</vt:lpstr>
      <vt:lpstr>Mf12_</vt:lpstr>
      <vt:lpstr>Mf13_</vt:lpstr>
      <vt:lpstr>Mf14_</vt:lpstr>
      <vt:lpstr>Mf15_</vt:lpstr>
      <vt:lpstr>Mf16_</vt:lpstr>
      <vt:lpstr>Mf17_</vt:lpstr>
      <vt:lpstr>Mf18_</vt:lpstr>
      <vt:lpstr>Mf19_</vt:lpstr>
      <vt:lpstr>Mf2_</vt:lpstr>
      <vt:lpstr>Mf20_</vt:lpstr>
      <vt:lpstr>Mf21_</vt:lpstr>
      <vt:lpstr>Mf22_</vt:lpstr>
      <vt:lpstr>Mf23_</vt:lpstr>
      <vt:lpstr>Mf24_</vt:lpstr>
      <vt:lpstr>Mf25_</vt:lpstr>
      <vt:lpstr>Mf26_</vt:lpstr>
      <vt:lpstr>Mf27_</vt:lpstr>
      <vt:lpstr>Mf28_</vt:lpstr>
      <vt:lpstr>Mf29_</vt:lpstr>
      <vt:lpstr>Mf3_</vt:lpstr>
      <vt:lpstr>Mf30_</vt:lpstr>
      <vt:lpstr>Mf31_</vt:lpstr>
      <vt:lpstr>Mf32_</vt:lpstr>
      <vt:lpstr>Mf33_</vt:lpstr>
      <vt:lpstr>Mf34_</vt:lpstr>
      <vt:lpstr>Mf35_</vt:lpstr>
      <vt:lpstr>Mf36_</vt:lpstr>
      <vt:lpstr>Mf37_</vt:lpstr>
      <vt:lpstr>Mf4_</vt:lpstr>
      <vt:lpstr>Mf5_</vt:lpstr>
      <vt:lpstr>Mf6_</vt:lpstr>
      <vt:lpstr>Mf7_</vt:lpstr>
      <vt:lpstr>Mf8_</vt:lpstr>
      <vt:lpstr>Mf9_</vt:lpstr>
      <vt:lpstr>Par_Architect</vt:lpstr>
      <vt:lpstr>Par_AvgCostHour</vt:lpstr>
      <vt:lpstr>Par_AvgRevenuesHour</vt:lpstr>
      <vt:lpstr>PAR_BONUSRATIO_PM</vt:lpstr>
      <vt:lpstr>PAR_BONUSRATIO_TEAM</vt:lpstr>
      <vt:lpstr>Par_Center</vt:lpstr>
      <vt:lpstr>Par_ContractDate</vt:lpstr>
      <vt:lpstr>Par_ContractManager</vt:lpstr>
      <vt:lpstr>Par_Costs3P</vt:lpstr>
      <vt:lpstr>Par_CostsLic</vt:lpstr>
      <vt:lpstr>Par_CostsRisk</vt:lpstr>
      <vt:lpstr>Par_CostsTotal</vt:lpstr>
      <vt:lpstr>Par_CostsWork</vt:lpstr>
      <vt:lpstr>Par_EndConsumer</vt:lpstr>
      <vt:lpstr>Par_EROwnRatio</vt:lpstr>
      <vt:lpstr>Par_HoursTravel</vt:lpstr>
      <vt:lpstr>Par_HoursWork</vt:lpstr>
      <vt:lpstr>Par_LabelTravelTime</vt:lpstr>
      <vt:lpstr>Par_OMPlan</vt:lpstr>
      <vt:lpstr>Par_Partner</vt:lpstr>
      <vt:lpstr>Par_Profit</vt:lpstr>
      <vt:lpstr>Par_ProfylaxisHours</vt:lpstr>
      <vt:lpstr>Par_ProfylaxisRevs</vt:lpstr>
      <vt:lpstr>Par_Revs3P</vt:lpstr>
      <vt:lpstr>Par_RevsLic</vt:lpstr>
      <vt:lpstr>Par_RevsTotal</vt:lpstr>
      <vt:lpstr>Par_RevsWork</vt:lpstr>
      <vt:lpstr>Par_SalesPerson</vt:lpstr>
      <vt:lpstr>PAR_SGA_percento</vt:lpstr>
      <vt:lpstr>PAR_SGA_PERHOUR</vt:lpstr>
      <vt:lpstr>Par_StandByHours</vt:lpstr>
      <vt:lpstr>Par_StandByRevs</vt:lpstr>
      <vt:lpstr>PAR_WO_Contracted</vt:lpstr>
      <vt:lpstr>PAR_WO_Label</vt:lpstr>
      <vt:lpstr>Par_WoAccountName</vt:lpstr>
      <vt:lpstr>PAR_XLS_VERSION</vt:lpstr>
      <vt:lpstr>'(4) Protokol'!Print_Area</vt:lpstr>
      <vt:lpstr>'(4.1) P_preplán.'!Print_Area</vt:lpstr>
      <vt:lpstr>SUM_Risks_3S</vt:lpstr>
      <vt:lpstr>SUM_Risks_Contract</vt:lpstr>
      <vt:lpstr>SUM_Risks_Customer</vt:lpstr>
      <vt:lpstr>SUM_Risks_Enviro</vt:lpstr>
      <vt:lpstr>SUM_Risks_Legal</vt:lpstr>
      <vt:lpstr>SUM_Risks_Logistics</vt:lpstr>
      <vt:lpstr>SUM_Risks_Project</vt:lpstr>
      <vt:lpstr>SUM_Risks_Technical</vt:lpstr>
      <vt:lpstr>tab_hou</vt:lpstr>
      <vt:lpstr>Tab_Hours</vt:lpstr>
      <vt:lpstr>Tab_Parts</vt:lpstr>
      <vt:lpstr>TRAN_CIS_ROLES</vt:lpstr>
      <vt:lpstr>Tran_RevenuesList</vt:lpstr>
      <vt:lpstr>TRAN_STRITEMS_LABEL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Michal ROVŇANÍK</dc:creator>
  <cp:lastModifiedBy>Oliver ROVŇANÍK</cp:lastModifiedBy>
  <cp:lastPrinted>2025-04-24T07:09:35Z</cp:lastPrinted>
  <dcterms:created xsi:type="dcterms:W3CDTF">2011-04-26T10:11:11Z</dcterms:created>
  <dcterms:modified xsi:type="dcterms:W3CDTF">2025-04-24T07:09:43Z</dcterms:modified>
</cp:coreProperties>
</file>